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defaultThemeVersion="124226"/>
  <mc:AlternateContent xmlns:mc="http://schemas.openxmlformats.org/markup-compatibility/2006">
    <mc:Choice Requires="x15">
      <x15ac:absPath xmlns:x15ac="http://schemas.microsoft.com/office/spreadsheetml/2010/11/ac" url="/Users/victorhesse/Desktop/Uni/Uni SS 25/Information Structure/"/>
    </mc:Choice>
  </mc:AlternateContent>
  <xr:revisionPtr revIDLastSave="0" documentId="13_ncr:1_{71362A87-9E98-6141-B287-240C38F0AB44}" xr6:coauthVersionLast="47" xr6:coauthVersionMax="47" xr10:uidLastSave="{00000000-0000-0000-0000-000000000000}"/>
  <bookViews>
    <workbookView xWindow="0" yWindow="860" windowWidth="34200" windowHeight="21380" activeTab="1" xr2:uid="{00000000-000D-0000-FFFF-FFFF00000000}"/>
  </bookViews>
  <sheets>
    <sheet name="sentence-level annotation" sheetId="1" r:id="rId1"/>
    <sheet name="word-level annota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66" i="2" l="1"/>
  <c r="F2855" i="2"/>
  <c r="F2863" i="2"/>
  <c r="E3473" i="2"/>
  <c r="E3471" i="2"/>
  <c r="G3471" i="2" s="1"/>
  <c r="E3468" i="2"/>
  <c r="E3467" i="2"/>
  <c r="G3466" i="2"/>
  <c r="F3466" i="2"/>
  <c r="K3466" i="2" s="1"/>
  <c r="E3466" i="2"/>
  <c r="E3465" i="2"/>
  <c r="G3465" i="2" s="1"/>
  <c r="E3464" i="2"/>
  <c r="G3464" i="2" s="1"/>
  <c r="G3463" i="2"/>
  <c r="E3463" i="2"/>
  <c r="F3463" i="2" s="1"/>
  <c r="F3462" i="2"/>
  <c r="E3461" i="2"/>
  <c r="E3460" i="2"/>
  <c r="E3459" i="2"/>
  <c r="E3458" i="2"/>
  <c r="G3458" i="2" s="1"/>
  <c r="G3456" i="2"/>
  <c r="E3456" i="2"/>
  <c r="F3456" i="2" s="1"/>
  <c r="E3455" i="2"/>
  <c r="F3454" i="2"/>
  <c r="G3453" i="2"/>
  <c r="E3453" i="2"/>
  <c r="F3453" i="2" s="1"/>
  <c r="E3452" i="2"/>
  <c r="F3452" i="2" s="1"/>
  <c r="K3452" i="2" s="1"/>
  <c r="E3451" i="2"/>
  <c r="E3449" i="2"/>
  <c r="G3449" i="2" s="1"/>
  <c r="G3448" i="2"/>
  <c r="F3448" i="2"/>
  <c r="I3448" i="2" s="1"/>
  <c r="E3448" i="2"/>
  <c r="E3447" i="2"/>
  <c r="F3447" i="2" s="1"/>
  <c r="E3445" i="2"/>
  <c r="G3445" i="2" s="1"/>
  <c r="E3444" i="2"/>
  <c r="E3440" i="2"/>
  <c r="F3440" i="2" s="1"/>
  <c r="I3440" i="2" s="1"/>
  <c r="E3439" i="2"/>
  <c r="E3438" i="2"/>
  <c r="E3437" i="2"/>
  <c r="G3437" i="2" s="1"/>
  <c r="I3436" i="2"/>
  <c r="E3435" i="2"/>
  <c r="E3434" i="2"/>
  <c r="G3434" i="2" s="1"/>
  <c r="E3433" i="2"/>
  <c r="G3433" i="2" s="1"/>
  <c r="G3432" i="2"/>
  <c r="F3432" i="2"/>
  <c r="K3432" i="2" s="1"/>
  <c r="E3432" i="2"/>
  <c r="E3431" i="2"/>
  <c r="F3430" i="2"/>
  <c r="E3429" i="2"/>
  <c r="E3428" i="2"/>
  <c r="G3427" i="2"/>
  <c r="F3427" i="2"/>
  <c r="E3427" i="2"/>
  <c r="E3426" i="2"/>
  <c r="G3426" i="2" s="1"/>
  <c r="E3425" i="2"/>
  <c r="G3424" i="2"/>
  <c r="F3424" i="2"/>
  <c r="E3424" i="2"/>
  <c r="E3423" i="2"/>
  <c r="G3423" i="2" s="1"/>
  <c r="F3421" i="2"/>
  <c r="J3421" i="2" s="1"/>
  <c r="H3421" i="2" s="1"/>
  <c r="E3421" i="2"/>
  <c r="G3421" i="2" s="1"/>
  <c r="E3420" i="2"/>
  <c r="F3420" i="2" s="1"/>
  <c r="K3420" i="2" s="1"/>
  <c r="G3417" i="2"/>
  <c r="E3417" i="2"/>
  <c r="E3416" i="2"/>
  <c r="G3415" i="2"/>
  <c r="E3415" i="2"/>
  <c r="F3415" i="2" s="1"/>
  <c r="I3415" i="2" s="1"/>
  <c r="E3414" i="2"/>
  <c r="F3414" i="2" s="1"/>
  <c r="I3414" i="2" s="1"/>
  <c r="E3413" i="2"/>
  <c r="F3413" i="2" s="1"/>
  <c r="G3412" i="2"/>
  <c r="F3412" i="2"/>
  <c r="J3412" i="2" s="1"/>
  <c r="H3412" i="2" s="1"/>
  <c r="E3412" i="2"/>
  <c r="G3411" i="2"/>
  <c r="E3411" i="2"/>
  <c r="F3411" i="2" s="1"/>
  <c r="E3410" i="2"/>
  <c r="E3408" i="2"/>
  <c r="G3408" i="2" s="1"/>
  <c r="G3407" i="2"/>
  <c r="E3407" i="2"/>
  <c r="E3405" i="2"/>
  <c r="G3405" i="2" s="1"/>
  <c r="E3402" i="2"/>
  <c r="E3401" i="2"/>
  <c r="G3400" i="2"/>
  <c r="F3400" i="2"/>
  <c r="E3400" i="2"/>
  <c r="E3399" i="2"/>
  <c r="E3398" i="2"/>
  <c r="E3397" i="2"/>
  <c r="G3397" i="2" s="1"/>
  <c r="E3396" i="2"/>
  <c r="G3396" i="2" s="1"/>
  <c r="E3395" i="2"/>
  <c r="F3395" i="2" s="1"/>
  <c r="E3394" i="2"/>
  <c r="G3393" i="2"/>
  <c r="E3393" i="2"/>
  <c r="F3393" i="2" s="1"/>
  <c r="E3392" i="2"/>
  <c r="E3391" i="2"/>
  <c r="E3390" i="2"/>
  <c r="G3390" i="2" s="1"/>
  <c r="G3389" i="2"/>
  <c r="F3389" i="2"/>
  <c r="E3389" i="2"/>
  <c r="E3388" i="2"/>
  <c r="E3387" i="2"/>
  <c r="G3386" i="2"/>
  <c r="F3386" i="2"/>
  <c r="E3386" i="2"/>
  <c r="E3385" i="2"/>
  <c r="G3385" i="2" s="1"/>
  <c r="E3384" i="2"/>
  <c r="F3383" i="2"/>
  <c r="I3383" i="2" s="1"/>
  <c r="E3383" i="2"/>
  <c r="G3383" i="2" s="1"/>
  <c r="E3382" i="2"/>
  <c r="E3381" i="2"/>
  <c r="G3380" i="2"/>
  <c r="F3380" i="2"/>
  <c r="J3380" i="2" s="1"/>
  <c r="H3380" i="2" s="1"/>
  <c r="E3380" i="2"/>
  <c r="E3379" i="2"/>
  <c r="F3378" i="2"/>
  <c r="E3378" i="2"/>
  <c r="E3377" i="2"/>
  <c r="E3376" i="2"/>
  <c r="G3376" i="2" s="1"/>
  <c r="E3375" i="2"/>
  <c r="F3375" i="2" s="1"/>
  <c r="E3374" i="2"/>
  <c r="G3373" i="2"/>
  <c r="F3373" i="2"/>
  <c r="I3373" i="2" s="1"/>
  <c r="E3373" i="2"/>
  <c r="E3372" i="2"/>
  <c r="E3371" i="2"/>
  <c r="F3371" i="2" s="1"/>
  <c r="K3371" i="2" s="1"/>
  <c r="G3370" i="2"/>
  <c r="F3370" i="2"/>
  <c r="E3370" i="2"/>
  <c r="E3369" i="2"/>
  <c r="E3368" i="2"/>
  <c r="G3367" i="2"/>
  <c r="E3367" i="2"/>
  <c r="F3367" i="2" s="1"/>
  <c r="K3367" i="2" s="1"/>
  <c r="E3364" i="2"/>
  <c r="E3362" i="2"/>
  <c r="E3361" i="2"/>
  <c r="E3360" i="2"/>
  <c r="F3359" i="2"/>
  <c r="G3358" i="2"/>
  <c r="E3358" i="2"/>
  <c r="F3358" i="2" s="1"/>
  <c r="J3358" i="2" s="1"/>
  <c r="H3358" i="2" s="1"/>
  <c r="E3357" i="2"/>
  <c r="E3354" i="2"/>
  <c r="E3353" i="2"/>
  <c r="G3353" i="2" s="1"/>
  <c r="G3352" i="2"/>
  <c r="F3352" i="2"/>
  <c r="E3352" i="2"/>
  <c r="E3351" i="2"/>
  <c r="G3351" i="2" s="1"/>
  <c r="E3350" i="2"/>
  <c r="E3349" i="2"/>
  <c r="E3348" i="2"/>
  <c r="E3347" i="2"/>
  <c r="E3346" i="2"/>
  <c r="G3345" i="2"/>
  <c r="E3345" i="2"/>
  <c r="F3345" i="2" s="1"/>
  <c r="E3344" i="2"/>
  <c r="G3344" i="2" s="1"/>
  <c r="G3343" i="2"/>
  <c r="E3343" i="2"/>
  <c r="F3343" i="2" s="1"/>
  <c r="J3343" i="2" s="1"/>
  <c r="H3343" i="2" s="1"/>
  <c r="E3342" i="2"/>
  <c r="G3341" i="2"/>
  <c r="F3341" i="2"/>
  <c r="K3341" i="2" s="1"/>
  <c r="E3341" i="2"/>
  <c r="E3339" i="2"/>
  <c r="G3339" i="2" s="1"/>
  <c r="E3338" i="2"/>
  <c r="F3337" i="2"/>
  <c r="E3334" i="2"/>
  <c r="F3334" i="2" s="1"/>
  <c r="E3332" i="2"/>
  <c r="F3331" i="2"/>
  <c r="E3331" i="2"/>
  <c r="G3331" i="2" s="1"/>
  <c r="E3330" i="2"/>
  <c r="E3329" i="2"/>
  <c r="K3328" i="2"/>
  <c r="E3327" i="2"/>
  <c r="G3327" i="2" s="1"/>
  <c r="E3326" i="2"/>
  <c r="E3325" i="2"/>
  <c r="E3322" i="2"/>
  <c r="E3321" i="2"/>
  <c r="E3320" i="2"/>
  <c r="G3319" i="2"/>
  <c r="F3319" i="2"/>
  <c r="E3319" i="2"/>
  <c r="E3318" i="2"/>
  <c r="G3317" i="2"/>
  <c r="E3316" i="2"/>
  <c r="E3315" i="2"/>
  <c r="E3314" i="2"/>
  <c r="E3312" i="2"/>
  <c r="G3312" i="2" s="1"/>
  <c r="G3311" i="2"/>
  <c r="F3311" i="2"/>
  <c r="E3311" i="2"/>
  <c r="G3310" i="2"/>
  <c r="E3310" i="2"/>
  <c r="F3310" i="2" s="1"/>
  <c r="E3309" i="2"/>
  <c r="E3308" i="2"/>
  <c r="G3308" i="2" s="1"/>
  <c r="E3307" i="2"/>
  <c r="G3306" i="2"/>
  <c r="E3306" i="2"/>
  <c r="E3305" i="2"/>
  <c r="E3304" i="2"/>
  <c r="E3303" i="2"/>
  <c r="F3302" i="2"/>
  <c r="E3299" i="2"/>
  <c r="G3298" i="2"/>
  <c r="F3298" i="2"/>
  <c r="E3298" i="2"/>
  <c r="E3297" i="2"/>
  <c r="E3295" i="2"/>
  <c r="G3295" i="2" s="1"/>
  <c r="E3294" i="2"/>
  <c r="E3293" i="2"/>
  <c r="F3293" i="2" s="1"/>
  <c r="K3293" i="2" s="1"/>
  <c r="E3292" i="2"/>
  <c r="F3291" i="2"/>
  <c r="E3291" i="2"/>
  <c r="E3287" i="2"/>
  <c r="E3285" i="2"/>
  <c r="G3284" i="2"/>
  <c r="F3284" i="2"/>
  <c r="E3284" i="2"/>
  <c r="E3282" i="2"/>
  <c r="G3282" i="2" s="1"/>
  <c r="E3281" i="2"/>
  <c r="E3280" i="2"/>
  <c r="G3280" i="2" s="1"/>
  <c r="E3279" i="2"/>
  <c r="E3278" i="2"/>
  <c r="G3277" i="2"/>
  <c r="E3277" i="2"/>
  <c r="F3277" i="2" s="1"/>
  <c r="I3277" i="2" s="1"/>
  <c r="E3276" i="2"/>
  <c r="E3274" i="2"/>
  <c r="G3274" i="2" s="1"/>
  <c r="E3273" i="2"/>
  <c r="E3270" i="2"/>
  <c r="E3269" i="2"/>
  <c r="F3269" i="2" s="1"/>
  <c r="K3269" i="2" s="1"/>
  <c r="G3268" i="2"/>
  <c r="E3268" i="2"/>
  <c r="F3268" i="2" s="1"/>
  <c r="E3267" i="2"/>
  <c r="F3266" i="2"/>
  <c r="I3266" i="2" s="1"/>
  <c r="E3266" i="2"/>
  <c r="E3265" i="2"/>
  <c r="G3264" i="2"/>
  <c r="E3264" i="2"/>
  <c r="E3263" i="2"/>
  <c r="G3263" i="2" s="1"/>
  <c r="E3262" i="2"/>
  <c r="G3262" i="2" s="1"/>
  <c r="E3261" i="2"/>
  <c r="G3261" i="2" s="1"/>
  <c r="G3260" i="2"/>
  <c r="I3260" i="2"/>
  <c r="G3259" i="2"/>
  <c r="E3259" i="2"/>
  <c r="E3258" i="2"/>
  <c r="E3255" i="2"/>
  <c r="E3254" i="2"/>
  <c r="E3253" i="2"/>
  <c r="G3250" i="2"/>
  <c r="E3250" i="2"/>
  <c r="F3250" i="2" s="1"/>
  <c r="E3249" i="2"/>
  <c r="G3248" i="2"/>
  <c r="E3248" i="2"/>
  <c r="F3248" i="2" s="1"/>
  <c r="K3248" i="2" s="1"/>
  <c r="E3247" i="2"/>
  <c r="E3246" i="2"/>
  <c r="F3246" i="2" s="1"/>
  <c r="E3244" i="2"/>
  <c r="G3244" i="2" s="1"/>
  <c r="G3243" i="2"/>
  <c r="F3243" i="2"/>
  <c r="K3243" i="2" s="1"/>
  <c r="E3243" i="2"/>
  <c r="F3240" i="2"/>
  <c r="E3240" i="2"/>
  <c r="F3239" i="2"/>
  <c r="K3239" i="2" s="1"/>
  <c r="E3239" i="2"/>
  <c r="G3239" i="2" s="1"/>
  <c r="E3238" i="2"/>
  <c r="E3237" i="2"/>
  <c r="G3237" i="2" s="1"/>
  <c r="E3235" i="2"/>
  <c r="E3232" i="2"/>
  <c r="E3230" i="2"/>
  <c r="G3230" i="2" s="1"/>
  <c r="G3229" i="2"/>
  <c r="F3229" i="2"/>
  <c r="E3229" i="2"/>
  <c r="E3228" i="2"/>
  <c r="E3227" i="2"/>
  <c r="E3224" i="2"/>
  <c r="F3224" i="2" s="1"/>
  <c r="E3222" i="2"/>
  <c r="E3221" i="2"/>
  <c r="E3220" i="2"/>
  <c r="E3219" i="2"/>
  <c r="E3218" i="2"/>
  <c r="G3218" i="2" s="1"/>
  <c r="E3217" i="2"/>
  <c r="G3217" i="2" s="1"/>
  <c r="G3216" i="2"/>
  <c r="F3216" i="2"/>
  <c r="J3216" i="2" s="1"/>
  <c r="H3216" i="2" s="1"/>
  <c r="E3216" i="2"/>
  <c r="E3215" i="2"/>
  <c r="E3214" i="2"/>
  <c r="E3213" i="2"/>
  <c r="E3212" i="2"/>
  <c r="E3211" i="2"/>
  <c r="E3210" i="2"/>
  <c r="G3209" i="2"/>
  <c r="F3209" i="2"/>
  <c r="I3209" i="2" s="1"/>
  <c r="E3209" i="2"/>
  <c r="F3208" i="2"/>
  <c r="I3208" i="2" s="1"/>
  <c r="E3208" i="2"/>
  <c r="G3207" i="2"/>
  <c r="E3207" i="2"/>
  <c r="F3207" i="2" s="1"/>
  <c r="K3207" i="2" s="1"/>
  <c r="E3206" i="2"/>
  <c r="E3205" i="2"/>
  <c r="G3204" i="2"/>
  <c r="E3204" i="2"/>
  <c r="F3204" i="2" s="1"/>
  <c r="E3203" i="2"/>
  <c r="E3202" i="2"/>
  <c r="E3201" i="2"/>
  <c r="G3201" i="2" s="1"/>
  <c r="G3200" i="2"/>
  <c r="E3200" i="2"/>
  <c r="F3200" i="2" s="1"/>
  <c r="E3199" i="2"/>
  <c r="G3199" i="2" s="1"/>
  <c r="E3198" i="2"/>
  <c r="G3197" i="2"/>
  <c r="E3197" i="2"/>
  <c r="F3197" i="2" s="1"/>
  <c r="E3196" i="2"/>
  <c r="G3195" i="2"/>
  <c r="F3195" i="2"/>
  <c r="J3195" i="2" s="1"/>
  <c r="H3195" i="2" s="1"/>
  <c r="E3195" i="2"/>
  <c r="E3194" i="2"/>
  <c r="G3193" i="2"/>
  <c r="F3193" i="2"/>
  <c r="K3193" i="2" s="1"/>
  <c r="E3193" i="2"/>
  <c r="E3192" i="2"/>
  <c r="E3191" i="2"/>
  <c r="G3191" i="2" s="1"/>
  <c r="G3190" i="2"/>
  <c r="F3190" i="2"/>
  <c r="I3190" i="2" s="1"/>
  <c r="E3190" i="2"/>
  <c r="E3189" i="2"/>
  <c r="F3189" i="2" s="1"/>
  <c r="G3188" i="2"/>
  <c r="E3188" i="2"/>
  <c r="F3188" i="2" s="1"/>
  <c r="F3187" i="2"/>
  <c r="E3187" i="2"/>
  <c r="G3187" i="2" s="1"/>
  <c r="F3186" i="2"/>
  <c r="G3185" i="2"/>
  <c r="E3185" i="2"/>
  <c r="G3184" i="2"/>
  <c r="E3184" i="2"/>
  <c r="E3183" i="2"/>
  <c r="E3182" i="2"/>
  <c r="E3181" i="2"/>
  <c r="E3180" i="2"/>
  <c r="G3179" i="2"/>
  <c r="F3179" i="2"/>
  <c r="J3179" i="2" s="1"/>
  <c r="H3179" i="2" s="1"/>
  <c r="E3179" i="2"/>
  <c r="G3176" i="2"/>
  <c r="E3176" i="2"/>
  <c r="F3176" i="2" s="1"/>
  <c r="E3175" i="2"/>
  <c r="E3174" i="2"/>
  <c r="G3173" i="2"/>
  <c r="E3173" i="2"/>
  <c r="E3172" i="2"/>
  <c r="F3172" i="2" s="1"/>
  <c r="K3172" i="2" s="1"/>
  <c r="G3171" i="2"/>
  <c r="E3171" i="2"/>
  <c r="E3170" i="2"/>
  <c r="F3169" i="2"/>
  <c r="E3169" i="2"/>
  <c r="G3169" i="2" s="1"/>
  <c r="E3168" i="2"/>
  <c r="F3168" i="2" s="1"/>
  <c r="E3167" i="2"/>
  <c r="G3166" i="2"/>
  <c r="E3166" i="2"/>
  <c r="F3166" i="2" s="1"/>
  <c r="E3165" i="2"/>
  <c r="G3165" i="2" s="1"/>
  <c r="E3164" i="2"/>
  <c r="F3163" i="2"/>
  <c r="E3163" i="2"/>
  <c r="G3163" i="2" s="1"/>
  <c r="E3162" i="2"/>
  <c r="E3161" i="2"/>
  <c r="G3161" i="2" s="1"/>
  <c r="G3159" i="2"/>
  <c r="E3156" i="2"/>
  <c r="G3156" i="2" s="1"/>
  <c r="E3155" i="2"/>
  <c r="G3154" i="2"/>
  <c r="F3154" i="2"/>
  <c r="E3154" i="2"/>
  <c r="E3153" i="2"/>
  <c r="F3152" i="2"/>
  <c r="E3151" i="2"/>
  <c r="G3151" i="2" s="1"/>
  <c r="E3150" i="2"/>
  <c r="G3149" i="2"/>
  <c r="E3149" i="2"/>
  <c r="F3149" i="2" s="1"/>
  <c r="K3149" i="2" s="1"/>
  <c r="F3148" i="2"/>
  <c r="E3148" i="2"/>
  <c r="G3148" i="2" s="1"/>
  <c r="G3147" i="2"/>
  <c r="F3147" i="2"/>
  <c r="E3147" i="2"/>
  <c r="E3146" i="2"/>
  <c r="G3146" i="2" s="1"/>
  <c r="F3145" i="2"/>
  <c r="J3145" i="2" s="1"/>
  <c r="H3145" i="2" s="1"/>
  <c r="E3142" i="2"/>
  <c r="F3142" i="2" s="1"/>
  <c r="E3141" i="2"/>
  <c r="F3140" i="2"/>
  <c r="J3140" i="2" s="1"/>
  <c r="H3140" i="2" s="1"/>
  <c r="G3139" i="2"/>
  <c r="E3139" i="2"/>
  <c r="F3139" i="2" s="1"/>
  <c r="I3139" i="2" s="1"/>
  <c r="E3138" i="2"/>
  <c r="E3137" i="2"/>
  <c r="F3137" i="2" s="1"/>
  <c r="K3137" i="2" s="1"/>
  <c r="E3136" i="2"/>
  <c r="E3135" i="2"/>
  <c r="E3134" i="2"/>
  <c r="G3134" i="2" s="1"/>
  <c r="G3133" i="2"/>
  <c r="F3133" i="2"/>
  <c r="E3133" i="2"/>
  <c r="E3132" i="2"/>
  <c r="E3131" i="2"/>
  <c r="F3130" i="2"/>
  <c r="K3130" i="2" s="1"/>
  <c r="E3130" i="2"/>
  <c r="G3130" i="2" s="1"/>
  <c r="G3129" i="2"/>
  <c r="E3129" i="2"/>
  <c r="E3128" i="2"/>
  <c r="F3128" i="2" s="1"/>
  <c r="K3128" i="2" s="1"/>
  <c r="G3127" i="2"/>
  <c r="E3127" i="2"/>
  <c r="F3127" i="2" s="1"/>
  <c r="E3126" i="2"/>
  <c r="E3125" i="2"/>
  <c r="G3125" i="2" s="1"/>
  <c r="E3124" i="2"/>
  <c r="G3124" i="2" s="1"/>
  <c r="F3123" i="2"/>
  <c r="E3123" i="2"/>
  <c r="G3123" i="2" s="1"/>
  <c r="E3122" i="2"/>
  <c r="G3122" i="2" s="1"/>
  <c r="E3121" i="2"/>
  <c r="F3120" i="2"/>
  <c r="J3120" i="2" s="1"/>
  <c r="H3120" i="2" s="1"/>
  <c r="E3119" i="2"/>
  <c r="F3119" i="2" s="1"/>
  <c r="F3118" i="2"/>
  <c r="E3117" i="2"/>
  <c r="F3117" i="2" s="1"/>
  <c r="G3116" i="2"/>
  <c r="E3116" i="2"/>
  <c r="F3116" i="2" s="1"/>
  <c r="E3112" i="2"/>
  <c r="G3112" i="2" s="1"/>
  <c r="F3111" i="2"/>
  <c r="E3111" i="2"/>
  <c r="G3111" i="2" s="1"/>
  <c r="E3110" i="2"/>
  <c r="E3109" i="2"/>
  <c r="F3108" i="2"/>
  <c r="E3107" i="2"/>
  <c r="E3106" i="2"/>
  <c r="F3106" i="2" s="1"/>
  <c r="K3106" i="2" s="1"/>
  <c r="E3105" i="2"/>
  <c r="E3104" i="2"/>
  <c r="G3104" i="2" s="1"/>
  <c r="E3100" i="2"/>
  <c r="G3100" i="2" s="1"/>
  <c r="F3099" i="2"/>
  <c r="K3099" i="2" s="1"/>
  <c r="E3098" i="2"/>
  <c r="E3097" i="2"/>
  <c r="G3096" i="2"/>
  <c r="E3096" i="2"/>
  <c r="F3096" i="2" s="1"/>
  <c r="E3094" i="2"/>
  <c r="F3093" i="2"/>
  <c r="E3092" i="2"/>
  <c r="G3091" i="2"/>
  <c r="F3091" i="2"/>
  <c r="E3091" i="2"/>
  <c r="E3090" i="2"/>
  <c r="G3090" i="2" s="1"/>
  <c r="E3086" i="2"/>
  <c r="E3085" i="2"/>
  <c r="G3084" i="2"/>
  <c r="F3084" i="2"/>
  <c r="K3084" i="2" s="1"/>
  <c r="E3084" i="2"/>
  <c r="F3083" i="2"/>
  <c r="I3083" i="2" s="1"/>
  <c r="E3082" i="2"/>
  <c r="E3081" i="2"/>
  <c r="F3081" i="2" s="1"/>
  <c r="I3081" i="2" s="1"/>
  <c r="E3080" i="2"/>
  <c r="G3079" i="2"/>
  <c r="E3079" i="2"/>
  <c r="E3078" i="2"/>
  <c r="G3078" i="2" s="1"/>
  <c r="F3077" i="2"/>
  <c r="I3077" i="2" s="1"/>
  <c r="E3077" i="2"/>
  <c r="G3077" i="2" s="1"/>
  <c r="E3076" i="2"/>
  <c r="E3075" i="2"/>
  <c r="G3074" i="2"/>
  <c r="F3074" i="2"/>
  <c r="E3074" i="2"/>
  <c r="G3073" i="2"/>
  <c r="F3073" i="2"/>
  <c r="I3073" i="2" s="1"/>
  <c r="E3073" i="2"/>
  <c r="E3071" i="2"/>
  <c r="E3070" i="2"/>
  <c r="E3069" i="2"/>
  <c r="G3069" i="2" s="1"/>
  <c r="E3068" i="2"/>
  <c r="G3068" i="2" s="1"/>
  <c r="G3067" i="2"/>
  <c r="E3067" i="2"/>
  <c r="F3067" i="2" s="1"/>
  <c r="I3067" i="2" s="1"/>
  <c r="F3066" i="2"/>
  <c r="E3066" i="2"/>
  <c r="E3065" i="2"/>
  <c r="E3064" i="2"/>
  <c r="G3063" i="2"/>
  <c r="E3063" i="2"/>
  <c r="F3062" i="2"/>
  <c r="E3062" i="2"/>
  <c r="G3061" i="2"/>
  <c r="E3061" i="2"/>
  <c r="F3061" i="2" s="1"/>
  <c r="K3061" i="2" s="1"/>
  <c r="E3060" i="2"/>
  <c r="G3059" i="2"/>
  <c r="E3059" i="2"/>
  <c r="E3058" i="2"/>
  <c r="G3058" i="2" s="1"/>
  <c r="E3057" i="2"/>
  <c r="E3056" i="2"/>
  <c r="E3055" i="2"/>
  <c r="F3054" i="2"/>
  <c r="E3054" i="2"/>
  <c r="G3054" i="2" s="1"/>
  <c r="E3053" i="2"/>
  <c r="E3052" i="2"/>
  <c r="G3051" i="2"/>
  <c r="E3051" i="2"/>
  <c r="F3051" i="2" s="1"/>
  <c r="G3050" i="2"/>
  <c r="F3050" i="2"/>
  <c r="J3050" i="2" s="1"/>
  <c r="H3050" i="2" s="1"/>
  <c r="E3050" i="2"/>
  <c r="E3049" i="2"/>
  <c r="E3048" i="2"/>
  <c r="G3048" i="2" s="1"/>
  <c r="E3047" i="2"/>
  <c r="E3046" i="2"/>
  <c r="G3046" i="2" s="1"/>
  <c r="E3045" i="2"/>
  <c r="G3043" i="2"/>
  <c r="F3043" i="2"/>
  <c r="E3043" i="2"/>
  <c r="E3041" i="2"/>
  <c r="F3041" i="2" s="1"/>
  <c r="J3040" i="2"/>
  <c r="H3040" i="2" s="1"/>
  <c r="E3039" i="2"/>
  <c r="F3039" i="2" s="1"/>
  <c r="E3038" i="2"/>
  <c r="G3038" i="2" s="1"/>
  <c r="E3037" i="2"/>
  <c r="E3036" i="2"/>
  <c r="G3036" i="2" s="1"/>
  <c r="E3034" i="2"/>
  <c r="G3034" i="2" s="1"/>
  <c r="E3032" i="2"/>
  <c r="G3032" i="2" s="1"/>
  <c r="E3030" i="2"/>
  <c r="F3029" i="2"/>
  <c r="E3029" i="2"/>
  <c r="G3029" i="2" s="1"/>
  <c r="E3028" i="2"/>
  <c r="F3027" i="2"/>
  <c r="E3026" i="2"/>
  <c r="G3026" i="2" s="1"/>
  <c r="F3025" i="2"/>
  <c r="F3024" i="2"/>
  <c r="E3024" i="2"/>
  <c r="E3023" i="2"/>
  <c r="G3022" i="2"/>
  <c r="F3022" i="2"/>
  <c r="E3022" i="2"/>
  <c r="G3021" i="2"/>
  <c r="F3021" i="2"/>
  <c r="I3021" i="2" s="1"/>
  <c r="E3021" i="2"/>
  <c r="E3019" i="2"/>
  <c r="F3018" i="2"/>
  <c r="I3018" i="2" s="1"/>
  <c r="E3018" i="2"/>
  <c r="G3018" i="2" s="1"/>
  <c r="E3015" i="2"/>
  <c r="E3014" i="2"/>
  <c r="F3013" i="2"/>
  <c r="E3013" i="2"/>
  <c r="G3013" i="2" s="1"/>
  <c r="E3012" i="2"/>
  <c r="G3012" i="2" s="1"/>
  <c r="E3011" i="2"/>
  <c r="G3010" i="2"/>
  <c r="F3010" i="2"/>
  <c r="J3010" i="2" s="1"/>
  <c r="H3010" i="2" s="1"/>
  <c r="E3010" i="2"/>
  <c r="G3009" i="2"/>
  <c r="E3009" i="2"/>
  <c r="F3009" i="2" s="1"/>
  <c r="E3008" i="2"/>
  <c r="G3007" i="2"/>
  <c r="E3007" i="2"/>
  <c r="F3007" i="2" s="1"/>
  <c r="J3007" i="2" s="1"/>
  <c r="H3007" i="2" s="1"/>
  <c r="E3006" i="2"/>
  <c r="F3006" i="2" s="1"/>
  <c r="J3006" i="2" s="1"/>
  <c r="H3006" i="2" s="1"/>
  <c r="G3005" i="2"/>
  <c r="E3005" i="2"/>
  <c r="E3004" i="2"/>
  <c r="G3004" i="2" s="1"/>
  <c r="F3003" i="2"/>
  <c r="E3003" i="2"/>
  <c r="G3003" i="2" s="1"/>
  <c r="E3002" i="2"/>
  <c r="F3002" i="2" s="1"/>
  <c r="E3001" i="2"/>
  <c r="E3000" i="2"/>
  <c r="F2999" i="2"/>
  <c r="I2999" i="2" s="1"/>
  <c r="E2998" i="2"/>
  <c r="F2998" i="2" s="1"/>
  <c r="E2997" i="2"/>
  <c r="E2996" i="2"/>
  <c r="G2996" i="2" s="1"/>
  <c r="G2993" i="2"/>
  <c r="E2993" i="2"/>
  <c r="F2993" i="2" s="1"/>
  <c r="K2993" i="2" s="1"/>
  <c r="E2992" i="2"/>
  <c r="G2992" i="2" s="1"/>
  <c r="E2991" i="2"/>
  <c r="G2991" i="2" s="1"/>
  <c r="E2990" i="2"/>
  <c r="E2989" i="2"/>
  <c r="F2988" i="2"/>
  <c r="I2988" i="2" s="1"/>
  <c r="E2987" i="2"/>
  <c r="E2986" i="2"/>
  <c r="F2986" i="2" s="1"/>
  <c r="J2986" i="2" s="1"/>
  <c r="H2986" i="2" s="1"/>
  <c r="E2983" i="2"/>
  <c r="F2983" i="2" s="1"/>
  <c r="K2983" i="2" s="1"/>
  <c r="E2981" i="2"/>
  <c r="E2980" i="2"/>
  <c r="G2980" i="2" s="1"/>
  <c r="F2979" i="2"/>
  <c r="E2979" i="2"/>
  <c r="E2978" i="2"/>
  <c r="E2977" i="2"/>
  <c r="G2976" i="2"/>
  <c r="E2976" i="2"/>
  <c r="F2976" i="2" s="1"/>
  <c r="K2976" i="2" s="1"/>
  <c r="E2975" i="2"/>
  <c r="E2974" i="2"/>
  <c r="G2973" i="2"/>
  <c r="E2973" i="2"/>
  <c r="F2973" i="2" s="1"/>
  <c r="K2973" i="2" s="1"/>
  <c r="E2971" i="2"/>
  <c r="E2970" i="2"/>
  <c r="G2970" i="2" s="1"/>
  <c r="E2969" i="2"/>
  <c r="E2968" i="2"/>
  <c r="E2965" i="2"/>
  <c r="F2964" i="2"/>
  <c r="I2964" i="2" s="1"/>
  <c r="G2963" i="2"/>
  <c r="F2963" i="2"/>
  <c r="E2963" i="2"/>
  <c r="E2962" i="2"/>
  <c r="F2962" i="2" s="1"/>
  <c r="G2961" i="2"/>
  <c r="E2961" i="2"/>
  <c r="F2961" i="2" s="1"/>
  <c r="I2961" i="2" s="1"/>
  <c r="E2960" i="2"/>
  <c r="E2956" i="2"/>
  <c r="G2956" i="2" s="1"/>
  <c r="E2955" i="2"/>
  <c r="E2954" i="2"/>
  <c r="E2952" i="2"/>
  <c r="G2952" i="2" s="1"/>
  <c r="G2949" i="2"/>
  <c r="E2949" i="2"/>
  <c r="E2947" i="2"/>
  <c r="E2946" i="2"/>
  <c r="E2945" i="2"/>
  <c r="E2944" i="2"/>
  <c r="G2944" i="2" s="1"/>
  <c r="G2943" i="2"/>
  <c r="E2942" i="2"/>
  <c r="F2941" i="2"/>
  <c r="E2941" i="2"/>
  <c r="G2941" i="2" s="1"/>
  <c r="E2938" i="2"/>
  <c r="G2938" i="2" s="1"/>
  <c r="E2937" i="2"/>
  <c r="E2935" i="2"/>
  <c r="F2935" i="2" s="1"/>
  <c r="E2934" i="2"/>
  <c r="F2934" i="2" s="1"/>
  <c r="F2933" i="2"/>
  <c r="E2933" i="2"/>
  <c r="G2933" i="2" s="1"/>
  <c r="E2932" i="2"/>
  <c r="E2930" i="2"/>
  <c r="E2929" i="2"/>
  <c r="G2928" i="2"/>
  <c r="E2928" i="2"/>
  <c r="F2928" i="2" s="1"/>
  <c r="K2928" i="2" s="1"/>
  <c r="E2927" i="2"/>
  <c r="G2927" i="2" s="1"/>
  <c r="E2926" i="2"/>
  <c r="G2925" i="2"/>
  <c r="E2925" i="2"/>
  <c r="F2925" i="2" s="1"/>
  <c r="E2924" i="2"/>
  <c r="G2924" i="2" s="1"/>
  <c r="F2923" i="2"/>
  <c r="E2922" i="2"/>
  <c r="E2921" i="2"/>
  <c r="G2921" i="2" s="1"/>
  <c r="G2920" i="2"/>
  <c r="E2920" i="2"/>
  <c r="F2919" i="2"/>
  <c r="I2919" i="2" s="1"/>
  <c r="E2919" i="2"/>
  <c r="G2918" i="2"/>
  <c r="E2918" i="2"/>
  <c r="F2918" i="2" s="1"/>
  <c r="K2918" i="2" s="1"/>
  <c r="E2917" i="2"/>
  <c r="F2917" i="2" s="1"/>
  <c r="E2916" i="2"/>
  <c r="F2916" i="2" s="1"/>
  <c r="E2915" i="2"/>
  <c r="G2914" i="2"/>
  <c r="F2914" i="2"/>
  <c r="I2914" i="2" s="1"/>
  <c r="E2914" i="2"/>
  <c r="F2913" i="2"/>
  <c r="K2913" i="2" s="1"/>
  <c r="E2913" i="2"/>
  <c r="E2912" i="2"/>
  <c r="E2911" i="2"/>
  <c r="F2911" i="2" s="1"/>
  <c r="K2911" i="2" s="1"/>
  <c r="E2910" i="2"/>
  <c r="E2909" i="2"/>
  <c r="G2908" i="2"/>
  <c r="F2908" i="2"/>
  <c r="E2908" i="2"/>
  <c r="E2907" i="2"/>
  <c r="G2905" i="2"/>
  <c r="E2905" i="2"/>
  <c r="F2905" i="2" s="1"/>
  <c r="K2905" i="2" s="1"/>
  <c r="E2904" i="2"/>
  <c r="G2903" i="2"/>
  <c r="F2903" i="2"/>
  <c r="K2903" i="2" s="1"/>
  <c r="E2903" i="2"/>
  <c r="E2902" i="2"/>
  <c r="G2900" i="2"/>
  <c r="F2900" i="2"/>
  <c r="I2900" i="2" s="1"/>
  <c r="E2900" i="2"/>
  <c r="E2899" i="2"/>
  <c r="G2899" i="2" s="1"/>
  <c r="F2897" i="2"/>
  <c r="E2897" i="2"/>
  <c r="G2897" i="2" s="1"/>
  <c r="G2896" i="2"/>
  <c r="G2895" i="2"/>
  <c r="E2895" i="2"/>
  <c r="F2895" i="2" s="1"/>
  <c r="I2895" i="2" s="1"/>
  <c r="E2894" i="2"/>
  <c r="E2892" i="2"/>
  <c r="E2890" i="2"/>
  <c r="E2889" i="2"/>
  <c r="E2888" i="2"/>
  <c r="G2888" i="2" s="1"/>
  <c r="G2886" i="2"/>
  <c r="F2886" i="2"/>
  <c r="E2886" i="2"/>
  <c r="E2885" i="2"/>
  <c r="E2884" i="2"/>
  <c r="E2883" i="2"/>
  <c r="F2883" i="2" s="1"/>
  <c r="G2882" i="2"/>
  <c r="E2882" i="2"/>
  <c r="F2882" i="2" s="1"/>
  <c r="K2882" i="2" s="1"/>
  <c r="E2880" i="2"/>
  <c r="E2879" i="2"/>
  <c r="F2878" i="2"/>
  <c r="I2878" i="2" s="1"/>
  <c r="E2878" i="2"/>
  <c r="G2878" i="2" s="1"/>
  <c r="E2877" i="2"/>
  <c r="E2876" i="2"/>
  <c r="E2874" i="2"/>
  <c r="G2873" i="2"/>
  <c r="E2873" i="2"/>
  <c r="F2873" i="2" s="1"/>
  <c r="E2872" i="2"/>
  <c r="E2871" i="2"/>
  <c r="G2871" i="2" s="1"/>
  <c r="E2870" i="2"/>
  <c r="F2869" i="2"/>
  <c r="G2866" i="2"/>
  <c r="E2866" i="2"/>
  <c r="E2865" i="2"/>
  <c r="F2864" i="2"/>
  <c r="K2864" i="2" s="1"/>
  <c r="E2864" i="2"/>
  <c r="G2864" i="2" s="1"/>
  <c r="G2862" i="2"/>
  <c r="F2862" i="2"/>
  <c r="J2862" i="2" s="1"/>
  <c r="H2862" i="2" s="1"/>
  <c r="E2862" i="2"/>
  <c r="G2861" i="2"/>
  <c r="E2861" i="2"/>
  <c r="F2861" i="2" s="1"/>
  <c r="J2861" i="2" s="1"/>
  <c r="H2861" i="2" s="1"/>
  <c r="E2859" i="2"/>
  <c r="G2859" i="2" s="1"/>
  <c r="E2858" i="2"/>
  <c r="F2857" i="2"/>
  <c r="J2857" i="2" s="1"/>
  <c r="H2857" i="2" s="1"/>
  <c r="E2857" i="2"/>
  <c r="G2857" i="2" s="1"/>
  <c r="E2856" i="2"/>
  <c r="E2852" i="2"/>
  <c r="G2852" i="2" s="1"/>
  <c r="E2851" i="2"/>
  <c r="F2851" i="2" s="1"/>
  <c r="G2850" i="2"/>
  <c r="F2850" i="2"/>
  <c r="E2850" i="2"/>
  <c r="E2849" i="2"/>
  <c r="G2848" i="2"/>
  <c r="E2848" i="2"/>
  <c r="F2848" i="2" s="1"/>
  <c r="K2848" i="2" s="1"/>
  <c r="E2847" i="2"/>
  <c r="E2845" i="2"/>
  <c r="G2845" i="2" s="1"/>
  <c r="E2844" i="2"/>
  <c r="G2843" i="2"/>
  <c r="E2843" i="2"/>
  <c r="F2843" i="2" s="1"/>
  <c r="J2843" i="2" s="1"/>
  <c r="H2843" i="2" s="1"/>
  <c r="F2842" i="2"/>
  <c r="J2842" i="2" s="1"/>
  <c r="H2842" i="2" s="1"/>
  <c r="E2842" i="2"/>
  <c r="G2842" i="2" s="1"/>
  <c r="E2841" i="2"/>
  <c r="E2840" i="2"/>
  <c r="E2837" i="2"/>
  <c r="G2835" i="2"/>
  <c r="E2835" i="2"/>
  <c r="F2835" i="2" s="1"/>
  <c r="K2835" i="2" s="1"/>
  <c r="F2832" i="2"/>
  <c r="E2832" i="2"/>
  <c r="E2831" i="2"/>
  <c r="E2830" i="2"/>
  <c r="E2829" i="2"/>
  <c r="E2827" i="2"/>
  <c r="E2826" i="2"/>
  <c r="E2825" i="2"/>
  <c r="F2825" i="2" s="1"/>
  <c r="K2825" i="2" s="1"/>
  <c r="G2824" i="2"/>
  <c r="E2824" i="2"/>
  <c r="F2824" i="2" s="1"/>
  <c r="E2823" i="2"/>
  <c r="E2822" i="2"/>
  <c r="E2821" i="2"/>
  <c r="E2820" i="2"/>
  <c r="E2819" i="2"/>
  <c r="G2818" i="2"/>
  <c r="F2818" i="2"/>
  <c r="E2818" i="2"/>
  <c r="E2817" i="2"/>
  <c r="E2816" i="2"/>
  <c r="E2815" i="2"/>
  <c r="E2814" i="2"/>
  <c r="G2814" i="2" s="1"/>
  <c r="E2812" i="2"/>
  <c r="G2809" i="2"/>
  <c r="F2809" i="2"/>
  <c r="K2809" i="2" s="1"/>
  <c r="E2809" i="2"/>
  <c r="E2808" i="2"/>
  <c r="E2807" i="2"/>
  <c r="F2806" i="2"/>
  <c r="J2806" i="2" s="1"/>
  <c r="H2806" i="2" s="1"/>
  <c r="E2806" i="2"/>
  <c r="G2806" i="2" s="1"/>
  <c r="E2805" i="2"/>
  <c r="G2805" i="2" s="1"/>
  <c r="E2804" i="2"/>
  <c r="E2803" i="2"/>
  <c r="G2802" i="2"/>
  <c r="F2802" i="2"/>
  <c r="E2802" i="2"/>
  <c r="F2800" i="2"/>
  <c r="E2800" i="2"/>
  <c r="G2800" i="2" s="1"/>
  <c r="E2799" i="2"/>
  <c r="G2799" i="2" s="1"/>
  <c r="G2798" i="2"/>
  <c r="F2798" i="2"/>
  <c r="J2798" i="2" s="1"/>
  <c r="H2798" i="2" s="1"/>
  <c r="E2798" i="2"/>
  <c r="G2797" i="2"/>
  <c r="E2797" i="2"/>
  <c r="E2796" i="2"/>
  <c r="G2796" i="2" s="1"/>
  <c r="G2794" i="2"/>
  <c r="F2794" i="2"/>
  <c r="E2794" i="2"/>
  <c r="E2793" i="2"/>
  <c r="F2792" i="2"/>
  <c r="E2792" i="2"/>
  <c r="G2792" i="2" s="1"/>
  <c r="G2791" i="2"/>
  <c r="E2791" i="2"/>
  <c r="E2790" i="2"/>
  <c r="G2790" i="2" s="1"/>
  <c r="F2789" i="2"/>
  <c r="G2788" i="2"/>
  <c r="E2788" i="2"/>
  <c r="F2787" i="2"/>
  <c r="K2787" i="2" s="1"/>
  <c r="E2787" i="2"/>
  <c r="G2787" i="2" s="1"/>
  <c r="K2786" i="2"/>
  <c r="G2786" i="2"/>
  <c r="G2783" i="2"/>
  <c r="E2783" i="2"/>
  <c r="E2782" i="2"/>
  <c r="F2782" i="2" s="1"/>
  <c r="K2782" i="2" s="1"/>
  <c r="E2781" i="2"/>
  <c r="E2780" i="2"/>
  <c r="F2780" i="2" s="1"/>
  <c r="J2780" i="2" s="1"/>
  <c r="H2780" i="2" s="1"/>
  <c r="G2779" i="2"/>
  <c r="E2779" i="2"/>
  <c r="F2779" i="2" s="1"/>
  <c r="F2778" i="2"/>
  <c r="I2778" i="2" s="1"/>
  <c r="E2778" i="2"/>
  <c r="E2777" i="2"/>
  <c r="G2776" i="2"/>
  <c r="E2776" i="2"/>
  <c r="G2774" i="2"/>
  <c r="E2774" i="2"/>
  <c r="F2774" i="2" s="1"/>
  <c r="K2774" i="2" s="1"/>
  <c r="G2773" i="2"/>
  <c r="E2773" i="2"/>
  <c r="E2772" i="2"/>
  <c r="G2772" i="2" s="1"/>
  <c r="G2771" i="2"/>
  <c r="E2771" i="2"/>
  <c r="F2771" i="2" s="1"/>
  <c r="K2771" i="2" s="1"/>
  <c r="F2770" i="2"/>
  <c r="I2770" i="2" s="1"/>
  <c r="E2769" i="2"/>
  <c r="F2768" i="2"/>
  <c r="K2768" i="2" s="1"/>
  <c r="E2768" i="2"/>
  <c r="G2768" i="2" s="1"/>
  <c r="E2767" i="2"/>
  <c r="E2766" i="2"/>
  <c r="E2764" i="2"/>
  <c r="G2764" i="2" s="1"/>
  <c r="E2763" i="2"/>
  <c r="E2761" i="2"/>
  <c r="G2761" i="2" s="1"/>
  <c r="E2760" i="2"/>
  <c r="G2760" i="2" s="1"/>
  <c r="F2759" i="2"/>
  <c r="E2759" i="2"/>
  <c r="G2759" i="2" s="1"/>
  <c r="G2757" i="2"/>
  <c r="F2757" i="2"/>
  <c r="K2757" i="2" s="1"/>
  <c r="E2757" i="2"/>
  <c r="F2756" i="2"/>
  <c r="I2756" i="2" s="1"/>
  <c r="E2755" i="2"/>
  <c r="E2754" i="2"/>
  <c r="E2753" i="2"/>
  <c r="E2752" i="2"/>
  <c r="E2749" i="2"/>
  <c r="E2747" i="2"/>
  <c r="E2746" i="2"/>
  <c r="G2746" i="2" s="1"/>
  <c r="E2745" i="2"/>
  <c r="E2744" i="2"/>
  <c r="G2742" i="2"/>
  <c r="E2742" i="2"/>
  <c r="F2742" i="2" s="1"/>
  <c r="I2742" i="2" s="1"/>
  <c r="G2741" i="2"/>
  <c r="E2741" i="2"/>
  <c r="F2741" i="2" s="1"/>
  <c r="K2741" i="2" s="1"/>
  <c r="E2739" i="2"/>
  <c r="F2739" i="2" s="1"/>
  <c r="K2739" i="2" s="1"/>
  <c r="E2738" i="2"/>
  <c r="G2738" i="2" s="1"/>
  <c r="E2737" i="2"/>
  <c r="G2734" i="2"/>
  <c r="F2734" i="2"/>
  <c r="K2734" i="2" s="1"/>
  <c r="E2734" i="2"/>
  <c r="E2733" i="2"/>
  <c r="E2732" i="2"/>
  <c r="E2730" i="2"/>
  <c r="E2728" i="2"/>
  <c r="E2727" i="2"/>
  <c r="F2727" i="2" s="1"/>
  <c r="E2726" i="2"/>
  <c r="G2726" i="2" s="1"/>
  <c r="F2725" i="2"/>
  <c r="J2725" i="2" s="1"/>
  <c r="H2725" i="2" s="1"/>
  <c r="E2724" i="2"/>
  <c r="G2723" i="2"/>
  <c r="F2723" i="2"/>
  <c r="E2723" i="2"/>
  <c r="E2722" i="2"/>
  <c r="F2721" i="2"/>
  <c r="K2721" i="2" s="1"/>
  <c r="E2721" i="2"/>
  <c r="G2720" i="2"/>
  <c r="E2720" i="2"/>
  <c r="F2720" i="2" s="1"/>
  <c r="K2720" i="2" s="1"/>
  <c r="G2719" i="2"/>
  <c r="F2719" i="2"/>
  <c r="I2719" i="2" s="1"/>
  <c r="E2719" i="2"/>
  <c r="E2718" i="2"/>
  <c r="E2717" i="2"/>
  <c r="E2716" i="2"/>
  <c r="E2715" i="2"/>
  <c r="G2714" i="2"/>
  <c r="F2714" i="2"/>
  <c r="E2714" i="2"/>
  <c r="G2713" i="2"/>
  <c r="F2713" i="2"/>
  <c r="K2713" i="2" s="1"/>
  <c r="E2713" i="2"/>
  <c r="E2712" i="2"/>
  <c r="G2712" i="2" s="1"/>
  <c r="E2711" i="2"/>
  <c r="G2711" i="2" s="1"/>
  <c r="G2710" i="2"/>
  <c r="E2710" i="2"/>
  <c r="E2709" i="2"/>
  <c r="G2708" i="2"/>
  <c r="E2708" i="2"/>
  <c r="G2705" i="2"/>
  <c r="F2705" i="2"/>
  <c r="E2705" i="2"/>
  <c r="G2704" i="2"/>
  <c r="G2703" i="2"/>
  <c r="F2703" i="2"/>
  <c r="I2703" i="2" s="1"/>
  <c r="E2703" i="2"/>
  <c r="E2702" i="2"/>
  <c r="K2700" i="2"/>
  <c r="E2699" i="2"/>
  <c r="E2698" i="2"/>
  <c r="G2698" i="2" s="1"/>
  <c r="E2697" i="2"/>
  <c r="F2697" i="2" s="1"/>
  <c r="F2696" i="2"/>
  <c r="E2696" i="2"/>
  <c r="E2695" i="2"/>
  <c r="E2694" i="2"/>
  <c r="E2693" i="2"/>
  <c r="G2693" i="2" s="1"/>
  <c r="F2692" i="2"/>
  <c r="E2690" i="2"/>
  <c r="F2690" i="2" s="1"/>
  <c r="K2690" i="2" s="1"/>
  <c r="E2689" i="2"/>
  <c r="E2688" i="2"/>
  <c r="F2688" i="2" s="1"/>
  <c r="E2687" i="2"/>
  <c r="F2686" i="2"/>
  <c r="E2686" i="2"/>
  <c r="G2686" i="2" s="1"/>
  <c r="E2685" i="2"/>
  <c r="E2684" i="2"/>
  <c r="G2683" i="2"/>
  <c r="E2683" i="2"/>
  <c r="F2683" i="2" s="1"/>
  <c r="K2683" i="2" s="1"/>
  <c r="E2682" i="2"/>
  <c r="G2682" i="2" s="1"/>
  <c r="E2681" i="2"/>
  <c r="G2681" i="2" s="1"/>
  <c r="E2678" i="2"/>
  <c r="G2678" i="2" s="1"/>
  <c r="F2677" i="2"/>
  <c r="J2677" i="2" s="1"/>
  <c r="H2677" i="2" s="1"/>
  <c r="E2676" i="2"/>
  <c r="E2675" i="2"/>
  <c r="F2674" i="2"/>
  <c r="F2673" i="2"/>
  <c r="I2673" i="2" s="1"/>
  <c r="E2673" i="2"/>
  <c r="G2673" i="2" s="1"/>
  <c r="E2672" i="2"/>
  <c r="G2671" i="2"/>
  <c r="E2671" i="2"/>
  <c r="F2671" i="2" s="1"/>
  <c r="G2670" i="2"/>
  <c r="F2670" i="2"/>
  <c r="I2670" i="2" s="1"/>
  <c r="E2670" i="2"/>
  <c r="F2669" i="2"/>
  <c r="E2668" i="2"/>
  <c r="G2668" i="2" s="1"/>
  <c r="E2665" i="2"/>
  <c r="F2665" i="2" s="1"/>
  <c r="E2664" i="2"/>
  <c r="E2662" i="2"/>
  <c r="F2662" i="2" s="1"/>
  <c r="J2662" i="2" s="1"/>
  <c r="H2662" i="2" s="1"/>
  <c r="F2661" i="2"/>
  <c r="I2661" i="2" s="1"/>
  <c r="E2661" i="2"/>
  <c r="G2661" i="2" s="1"/>
  <c r="F2660" i="2"/>
  <c r="J2660" i="2" s="1"/>
  <c r="H2660" i="2" s="1"/>
  <c r="E2660" i="2"/>
  <c r="G2659" i="2"/>
  <c r="E2659" i="2"/>
  <c r="F2659" i="2" s="1"/>
  <c r="F2658" i="2"/>
  <c r="J2658" i="2" s="1"/>
  <c r="H2658" i="2" s="1"/>
  <c r="E2657" i="2"/>
  <c r="E2656" i="2"/>
  <c r="G2656" i="2" s="1"/>
  <c r="E2655" i="2"/>
  <c r="E2654" i="2"/>
  <c r="F2652" i="2"/>
  <c r="J2652" i="2" s="1"/>
  <c r="H2652" i="2" s="1"/>
  <c r="E2652" i="2"/>
  <c r="G2652" i="2" s="1"/>
  <c r="E2651" i="2"/>
  <c r="F2650" i="2"/>
  <c r="E2648" i="2"/>
  <c r="G2648" i="2" s="1"/>
  <c r="E2646" i="2"/>
  <c r="G2646" i="2" s="1"/>
  <c r="E2645" i="2"/>
  <c r="F2645" i="2" s="1"/>
  <c r="F2642" i="2"/>
  <c r="E2642" i="2"/>
  <c r="G2642" i="2" s="1"/>
  <c r="E2641" i="2"/>
  <c r="G2640" i="2"/>
  <c r="F2640" i="2"/>
  <c r="K2640" i="2" s="1"/>
  <c r="E2640" i="2"/>
  <c r="G2639" i="2"/>
  <c r="E2639" i="2"/>
  <c r="F2639" i="2" s="1"/>
  <c r="F2638" i="2"/>
  <c r="J2638" i="2" s="1"/>
  <c r="H2638" i="2" s="1"/>
  <c r="E2638" i="2"/>
  <c r="G2637" i="2"/>
  <c r="E2637" i="2"/>
  <c r="F2637" i="2" s="1"/>
  <c r="E2636" i="2"/>
  <c r="E2634" i="2"/>
  <c r="G2634" i="2" s="1"/>
  <c r="F2633" i="2"/>
  <c r="J2633" i="2" s="1"/>
  <c r="H2633" i="2" s="1"/>
  <c r="E2633" i="2"/>
  <c r="G2633" i="2" s="1"/>
  <c r="E2632" i="2"/>
  <c r="E2631" i="2"/>
  <c r="E2630" i="2"/>
  <c r="G2629" i="2"/>
  <c r="F2629" i="2"/>
  <c r="I2629" i="2" s="1"/>
  <c r="E2629" i="2"/>
  <c r="G2627" i="2"/>
  <c r="E2627" i="2"/>
  <c r="F2627" i="2" s="1"/>
  <c r="J2627" i="2" s="1"/>
  <c r="H2627" i="2" s="1"/>
  <c r="E2626" i="2"/>
  <c r="E2624" i="2"/>
  <c r="G2624" i="2" s="1"/>
  <c r="E2623" i="2"/>
  <c r="F2623" i="2" s="1"/>
  <c r="I2623" i="2" s="1"/>
  <c r="E2622" i="2"/>
  <c r="E2621" i="2"/>
  <c r="G2620" i="2"/>
  <c r="E2620" i="2"/>
  <c r="F2620" i="2" s="1"/>
  <c r="F2619" i="2"/>
  <c r="I2619" i="2" s="1"/>
  <c r="E2619" i="2"/>
  <c r="G2619" i="2" s="1"/>
  <c r="G2615" i="2"/>
  <c r="E2615" i="2"/>
  <c r="F2615" i="2" s="1"/>
  <c r="K2615" i="2" s="1"/>
  <c r="F2614" i="2"/>
  <c r="E2613" i="2"/>
  <c r="E2612" i="2"/>
  <c r="G2612" i="2" s="1"/>
  <c r="E2611" i="2"/>
  <c r="G2611" i="2" s="1"/>
  <c r="G2610" i="2"/>
  <c r="E2610" i="2"/>
  <c r="F2610" i="2" s="1"/>
  <c r="E2609" i="2"/>
  <c r="F2608" i="2"/>
  <c r="I2608" i="2" s="1"/>
  <c r="E2607" i="2"/>
  <c r="F2606" i="2"/>
  <c r="E2606" i="2"/>
  <c r="G2605" i="2"/>
  <c r="E2605" i="2"/>
  <c r="F2605" i="2" s="1"/>
  <c r="G2604" i="2"/>
  <c r="F2604" i="2"/>
  <c r="J2604" i="2" s="1"/>
  <c r="H2604" i="2" s="1"/>
  <c r="E2604" i="2"/>
  <c r="E2602" i="2"/>
  <c r="G2602" i="2" s="1"/>
  <c r="E2601" i="2"/>
  <c r="F2601" i="2" s="1"/>
  <c r="J2601" i="2" s="1"/>
  <c r="H2601" i="2" s="1"/>
  <c r="F2600" i="2"/>
  <c r="E2600" i="2"/>
  <c r="G2600" i="2" s="1"/>
  <c r="E2599" i="2"/>
  <c r="G2598" i="2"/>
  <c r="F2598" i="2"/>
  <c r="E2598" i="2"/>
  <c r="E2597" i="2"/>
  <c r="E2596" i="2"/>
  <c r="F2596" i="2" s="1"/>
  <c r="F2594" i="2"/>
  <c r="I2594" i="2" s="1"/>
  <c r="E2594" i="2"/>
  <c r="G2594" i="2" s="1"/>
  <c r="F2593" i="2"/>
  <c r="E2593" i="2"/>
  <c r="E2592" i="2"/>
  <c r="G2592" i="2" s="1"/>
  <c r="E2591" i="2"/>
  <c r="E2590" i="2"/>
  <c r="E2589" i="2"/>
  <c r="E2588" i="2"/>
  <c r="G2588" i="2" s="1"/>
  <c r="F2587" i="2"/>
  <c r="E2587" i="2"/>
  <c r="E2586" i="2"/>
  <c r="F2586" i="2" s="1"/>
  <c r="J2586" i="2" s="1"/>
  <c r="H2586" i="2" s="1"/>
  <c r="E2585" i="2"/>
  <c r="E2584" i="2"/>
  <c r="E2582" i="2"/>
  <c r="G2582" i="2" s="1"/>
  <c r="E2581" i="2"/>
  <c r="G2581" i="2" s="1"/>
  <c r="E2579" i="2"/>
  <c r="F2578" i="2"/>
  <c r="J2578" i="2" s="1"/>
  <c r="H2578" i="2" s="1"/>
  <c r="E2578" i="2"/>
  <c r="G2578" i="2" s="1"/>
  <c r="E2576" i="2"/>
  <c r="E2574" i="2"/>
  <c r="F2573" i="2"/>
  <c r="J2573" i="2" s="1"/>
  <c r="H2573" i="2" s="1"/>
  <c r="E2571" i="2"/>
  <c r="G2571" i="2" s="1"/>
  <c r="E2569" i="2"/>
  <c r="G2569" i="2" s="1"/>
  <c r="E2568" i="2"/>
  <c r="G2566" i="2"/>
  <c r="F2565" i="2"/>
  <c r="E2565" i="2"/>
  <c r="G2565" i="2" s="1"/>
  <c r="E2564" i="2"/>
  <c r="E2563" i="2"/>
  <c r="F2563" i="2" s="1"/>
  <c r="E2562" i="2"/>
  <c r="E2561" i="2"/>
  <c r="K2559" i="2"/>
  <c r="G2559" i="2"/>
  <c r="F2558" i="2"/>
  <c r="E2558" i="2"/>
  <c r="E2557" i="2"/>
  <c r="G2557" i="2" s="1"/>
  <c r="E2556" i="2"/>
  <c r="G2556" i="2" s="1"/>
  <c r="E2555" i="2"/>
  <c r="F2554" i="2"/>
  <c r="K2554" i="2" s="1"/>
  <c r="E2554" i="2"/>
  <c r="G2554" i="2" s="1"/>
  <c r="G2553" i="2"/>
  <c r="E2553" i="2"/>
  <c r="F2553" i="2" s="1"/>
  <c r="G2550" i="2"/>
  <c r="E2550" i="2"/>
  <c r="F2550" i="2" s="1"/>
  <c r="E2549" i="2"/>
  <c r="E2546" i="2"/>
  <c r="G2545" i="2"/>
  <c r="E2545" i="2"/>
  <c r="F2545" i="2" s="1"/>
  <c r="E2544" i="2"/>
  <c r="F2543" i="2"/>
  <c r="K2543" i="2" s="1"/>
  <c r="E2543" i="2"/>
  <c r="G2543" i="2" s="1"/>
  <c r="G2542" i="2"/>
  <c r="E2542" i="2"/>
  <c r="F2542" i="2" s="1"/>
  <c r="K2542" i="2" s="1"/>
  <c r="F2540" i="2"/>
  <c r="J2540" i="2" s="1"/>
  <c r="H2540" i="2" s="1"/>
  <c r="E2539" i="2"/>
  <c r="E2538" i="2"/>
  <c r="F2538" i="2" s="1"/>
  <c r="I2538" i="2" s="1"/>
  <c r="E2536" i="2"/>
  <c r="E2534" i="2"/>
  <c r="G2533" i="2"/>
  <c r="E2533" i="2"/>
  <c r="G2532" i="2"/>
  <c r="E2532" i="2"/>
  <c r="E2531" i="2"/>
  <c r="E2530" i="2"/>
  <c r="E2529" i="2"/>
  <c r="G2529" i="2" s="1"/>
  <c r="E2528" i="2"/>
  <c r="F2527" i="2"/>
  <c r="I2527" i="2" s="1"/>
  <c r="G2525" i="2"/>
  <c r="F2525" i="2"/>
  <c r="J2525" i="2" s="1"/>
  <c r="H2525" i="2" s="1"/>
  <c r="E2525" i="2"/>
  <c r="E2523" i="2"/>
  <c r="E2521" i="2"/>
  <c r="E2520" i="2"/>
  <c r="G2518" i="2"/>
  <c r="F2518" i="2"/>
  <c r="E2518" i="2"/>
  <c r="E2516" i="2"/>
  <c r="E2515" i="2"/>
  <c r="E2514" i="2"/>
  <c r="G2514" i="2" s="1"/>
  <c r="E2510" i="2"/>
  <c r="G2509" i="2"/>
  <c r="E2509" i="2"/>
  <c r="F2509" i="2" s="1"/>
  <c r="G2508" i="2"/>
  <c r="E2508" i="2"/>
  <c r="E2507" i="2"/>
  <c r="E2506" i="2"/>
  <c r="E2504" i="2"/>
  <c r="E2503" i="2"/>
  <c r="E2502" i="2"/>
  <c r="E2501" i="2"/>
  <c r="E2498" i="2"/>
  <c r="E2496" i="2"/>
  <c r="G2496" i="2" s="1"/>
  <c r="E2495" i="2"/>
  <c r="F2494" i="2"/>
  <c r="J2494" i="2" s="1"/>
  <c r="H2494" i="2" s="1"/>
  <c r="G2493" i="2"/>
  <c r="E2493" i="2"/>
  <c r="F2493" i="2" s="1"/>
  <c r="K2493" i="2" s="1"/>
  <c r="E2492" i="2"/>
  <c r="F2490" i="2"/>
  <c r="E2490" i="2"/>
  <c r="G2490" i="2" s="1"/>
  <c r="E2488" i="2"/>
  <c r="G2488" i="2" s="1"/>
  <c r="F2487" i="2"/>
  <c r="E2484" i="2"/>
  <c r="F2483" i="2"/>
  <c r="I2483" i="2" s="1"/>
  <c r="E2482" i="2"/>
  <c r="G2481" i="2"/>
  <c r="E2481" i="2"/>
  <c r="G2480" i="2"/>
  <c r="E2480" i="2"/>
  <c r="E2479" i="2"/>
  <c r="G2479" i="2" s="1"/>
  <c r="E2478" i="2"/>
  <c r="E2477" i="2"/>
  <c r="F2477" i="2" s="1"/>
  <c r="J2477" i="2" s="1"/>
  <c r="H2477" i="2" s="1"/>
  <c r="G2476" i="2"/>
  <c r="E2475" i="2"/>
  <c r="E2474" i="2"/>
  <c r="G2474" i="2" s="1"/>
  <c r="E2473" i="2"/>
  <c r="G2473" i="2" s="1"/>
  <c r="E2472" i="2"/>
  <c r="E2471" i="2"/>
  <c r="G2470" i="2"/>
  <c r="F2470" i="2"/>
  <c r="K2470" i="2" s="1"/>
  <c r="E2470" i="2"/>
  <c r="F2469" i="2"/>
  <c r="I2469" i="2" s="1"/>
  <c r="E2466" i="2"/>
  <c r="G2465" i="2"/>
  <c r="E2465" i="2"/>
  <c r="F2465" i="2" s="1"/>
  <c r="I2465" i="2" s="1"/>
  <c r="E2464" i="2"/>
  <c r="G2463" i="2"/>
  <c r="E2463" i="2"/>
  <c r="F2463" i="2" s="1"/>
  <c r="K2463" i="2" s="1"/>
  <c r="E2462" i="2"/>
  <c r="G2462" i="2" s="1"/>
  <c r="E2461" i="2"/>
  <c r="F2461" i="2" s="1"/>
  <c r="F2460" i="2"/>
  <c r="E2460" i="2"/>
  <c r="G2460" i="2" s="1"/>
  <c r="E2459" i="2"/>
  <c r="F2458" i="2"/>
  <c r="G2457" i="2"/>
  <c r="E2457" i="2"/>
  <c r="E2455" i="2"/>
  <c r="G2454" i="2"/>
  <c r="E2454" i="2"/>
  <c r="E2452" i="2"/>
  <c r="G2452" i="2" s="1"/>
  <c r="E2451" i="2"/>
  <c r="E2449" i="2"/>
  <c r="E2447" i="2"/>
  <c r="E2446" i="2"/>
  <c r="G2445" i="2"/>
  <c r="E2445" i="2"/>
  <c r="F2445" i="2" s="1"/>
  <c r="F2442" i="2"/>
  <c r="J2442" i="2" s="1"/>
  <c r="H2442" i="2" s="1"/>
  <c r="E2442" i="2"/>
  <c r="G2442" i="2" s="1"/>
  <c r="E2440" i="2"/>
  <c r="G2440" i="2" s="1"/>
  <c r="F2439" i="2"/>
  <c r="E2439" i="2"/>
  <c r="G2439" i="2" s="1"/>
  <c r="G2438" i="2"/>
  <c r="F2438" i="2"/>
  <c r="E2438" i="2"/>
  <c r="E2437" i="2"/>
  <c r="E2433" i="2"/>
  <c r="G2433" i="2" s="1"/>
  <c r="E2432" i="2"/>
  <c r="F2432" i="2" s="1"/>
  <c r="G2431" i="2"/>
  <c r="E2431" i="2"/>
  <c r="F2431" i="2" s="1"/>
  <c r="G2430" i="2"/>
  <c r="E2430" i="2"/>
  <c r="F2429" i="2"/>
  <c r="E2429" i="2"/>
  <c r="G2429" i="2" s="1"/>
  <c r="E2428" i="2"/>
  <c r="G2428" i="2" s="1"/>
  <c r="E2427" i="2"/>
  <c r="G2427" i="2" s="1"/>
  <c r="G2426" i="2"/>
  <c r="E2426" i="2"/>
  <c r="E2425" i="2"/>
  <c r="F2424" i="2"/>
  <c r="E2421" i="2"/>
  <c r="E2420" i="2"/>
  <c r="F2419" i="2"/>
  <c r="E2418" i="2"/>
  <c r="F2417" i="2"/>
  <c r="K2417" i="2" s="1"/>
  <c r="E2417" i="2"/>
  <c r="G2417" i="2" s="1"/>
  <c r="E2416" i="2"/>
  <c r="G2416" i="2" s="1"/>
  <c r="F2415" i="2"/>
  <c r="J2415" i="2" s="1"/>
  <c r="H2415" i="2" s="1"/>
  <c r="E2414" i="2"/>
  <c r="E2413" i="2"/>
  <c r="F2412" i="2"/>
  <c r="E2411" i="2"/>
  <c r="G2411" i="2" s="1"/>
  <c r="E2410" i="2"/>
  <c r="G2409" i="2"/>
  <c r="E2409" i="2"/>
  <c r="F2409" i="2" s="1"/>
  <c r="J2409" i="2" s="1"/>
  <c r="H2409" i="2" s="1"/>
  <c r="G2407" i="2"/>
  <c r="E2407" i="2"/>
  <c r="F2407" i="2" s="1"/>
  <c r="K2407" i="2" s="1"/>
  <c r="E2406" i="2"/>
  <c r="G2406" i="2" s="1"/>
  <c r="G2405" i="2"/>
  <c r="E2405" i="2"/>
  <c r="F2405" i="2" s="1"/>
  <c r="G2404" i="2"/>
  <c r="F2404" i="2"/>
  <c r="E2404" i="2"/>
  <c r="E2403" i="2"/>
  <c r="G2402" i="2"/>
  <c r="E2402" i="2"/>
  <c r="F2402" i="2" s="1"/>
  <c r="E2400" i="2"/>
  <c r="G2399" i="2"/>
  <c r="E2399" i="2"/>
  <c r="F2399" i="2" s="1"/>
  <c r="E2398" i="2"/>
  <c r="G2397" i="2"/>
  <c r="E2397" i="2"/>
  <c r="E2396" i="2"/>
  <c r="G2396" i="2" s="1"/>
  <c r="E2395" i="2"/>
  <c r="E2393" i="2"/>
  <c r="G2392" i="2"/>
  <c r="E2391" i="2"/>
  <c r="F2390" i="2"/>
  <c r="J2390" i="2" s="1"/>
  <c r="H2390" i="2" s="1"/>
  <c r="G2389" i="2"/>
  <c r="E2389" i="2"/>
  <c r="F2389" i="2" s="1"/>
  <c r="E2388" i="2"/>
  <c r="G2388" i="2" s="1"/>
  <c r="E2387" i="2"/>
  <c r="E2386" i="2"/>
  <c r="F2385" i="2"/>
  <c r="E2382" i="2"/>
  <c r="E2381" i="2"/>
  <c r="F2380" i="2"/>
  <c r="I2380" i="2" s="1"/>
  <c r="E2380" i="2"/>
  <c r="G2380" i="2" s="1"/>
  <c r="G2379" i="2"/>
  <c r="F2379" i="2"/>
  <c r="E2379" i="2"/>
  <c r="E2377" i="2"/>
  <c r="E2376" i="2"/>
  <c r="E2374" i="2"/>
  <c r="F2372" i="2"/>
  <c r="E2372" i="2"/>
  <c r="E2371" i="2"/>
  <c r="F2370" i="2"/>
  <c r="E2370" i="2"/>
  <c r="G2370" i="2" s="1"/>
  <c r="F2369" i="2"/>
  <c r="E2369" i="2"/>
  <c r="G2369" i="2" s="1"/>
  <c r="G2368" i="2"/>
  <c r="E2368" i="2"/>
  <c r="F2367" i="2"/>
  <c r="I2367" i="2" s="1"/>
  <c r="E2365" i="2"/>
  <c r="G2363" i="2"/>
  <c r="F2363" i="2"/>
  <c r="K2363" i="2" s="1"/>
  <c r="E2363" i="2"/>
  <c r="E2362" i="2"/>
  <c r="G2361" i="2"/>
  <c r="E2361" i="2"/>
  <c r="F2361" i="2" s="1"/>
  <c r="G2360" i="2"/>
  <c r="E2360" i="2"/>
  <c r="F2360" i="2" s="1"/>
  <c r="E2359" i="2"/>
  <c r="G2359" i="2" s="1"/>
  <c r="E2358" i="2"/>
  <c r="G2358" i="2" s="1"/>
  <c r="E2357" i="2"/>
  <c r="G2356" i="2"/>
  <c r="F2356" i="2"/>
  <c r="K2356" i="2" s="1"/>
  <c r="E2356" i="2"/>
  <c r="F2355" i="2"/>
  <c r="E2354" i="2"/>
  <c r="G2354" i="2" s="1"/>
  <c r="F2353" i="2"/>
  <c r="E2352" i="2"/>
  <c r="G2351" i="2"/>
  <c r="F2351" i="2"/>
  <c r="K2351" i="2" s="1"/>
  <c r="E2351" i="2"/>
  <c r="F2350" i="2"/>
  <c r="F2347" i="2"/>
  <c r="I2347" i="2" s="1"/>
  <c r="E2347" i="2"/>
  <c r="G2347" i="2" s="1"/>
  <c r="E2346" i="2"/>
  <c r="G2346" i="2" s="1"/>
  <c r="E2344" i="2"/>
  <c r="E2343" i="2"/>
  <c r="F2342" i="2"/>
  <c r="E2341" i="2"/>
  <c r="E2339" i="2"/>
  <c r="G2339" i="2" s="1"/>
  <c r="E2337" i="2"/>
  <c r="E2335" i="2"/>
  <c r="G2334" i="2"/>
  <c r="F2334" i="2"/>
  <c r="K2334" i="2" s="1"/>
  <c r="E2334" i="2"/>
  <c r="E2333" i="2"/>
  <c r="E2332" i="2"/>
  <c r="E2331" i="2"/>
  <c r="F2331" i="2" s="1"/>
  <c r="J2331" i="2" s="1"/>
  <c r="H2331" i="2" s="1"/>
  <c r="E2330" i="2"/>
  <c r="G2329" i="2"/>
  <c r="E2329" i="2"/>
  <c r="G2327" i="2"/>
  <c r="E2327" i="2"/>
  <c r="F2327" i="2" s="1"/>
  <c r="E2326" i="2"/>
  <c r="G2326" i="2" s="1"/>
  <c r="E2325" i="2"/>
  <c r="E2324" i="2"/>
  <c r="G2324" i="2" s="1"/>
  <c r="F2322" i="2"/>
  <c r="K2322" i="2" s="1"/>
  <c r="E2322" i="2"/>
  <c r="E2321" i="2"/>
  <c r="F2321" i="2" s="1"/>
  <c r="F2320" i="2"/>
  <c r="E2320" i="2"/>
  <c r="G2320" i="2" s="1"/>
  <c r="G2319" i="2"/>
  <c r="F2319" i="2"/>
  <c r="E2319" i="2"/>
  <c r="E2318" i="2"/>
  <c r="G2318" i="2" s="1"/>
  <c r="G2316" i="2"/>
  <c r="F2316" i="2"/>
  <c r="E2316" i="2"/>
  <c r="E2315" i="2"/>
  <c r="F2314" i="2"/>
  <c r="E2313" i="2"/>
  <c r="G2313" i="2" s="1"/>
  <c r="E2312" i="2"/>
  <c r="G2311" i="2"/>
  <c r="E2311" i="2"/>
  <c r="F2311" i="2" s="1"/>
  <c r="K2311" i="2" s="1"/>
  <c r="G2308" i="2"/>
  <c r="E2308" i="2"/>
  <c r="F2308" i="2" s="1"/>
  <c r="E2306" i="2"/>
  <c r="G2306" i="2" s="1"/>
  <c r="F2305" i="2"/>
  <c r="E2304" i="2"/>
  <c r="E2303" i="2"/>
  <c r="F2302" i="2"/>
  <c r="E2301" i="2"/>
  <c r="F2300" i="2"/>
  <c r="K2300" i="2" s="1"/>
  <c r="E2300" i="2"/>
  <c r="E2299" i="2"/>
  <c r="F2299" i="2" s="1"/>
  <c r="E2298" i="2"/>
  <c r="F2297" i="2"/>
  <c r="E2296" i="2"/>
  <c r="G2296" i="2" s="1"/>
  <c r="F2295" i="2"/>
  <c r="I2295" i="2" s="1"/>
  <c r="E2295" i="2"/>
  <c r="G2295" i="2" s="1"/>
  <c r="G2294" i="2"/>
  <c r="F2294" i="2"/>
  <c r="E2294" i="2"/>
  <c r="E2293" i="2"/>
  <c r="G2292" i="2"/>
  <c r="E2292" i="2"/>
  <c r="F2292" i="2" s="1"/>
  <c r="I2292" i="2" s="1"/>
  <c r="E2291" i="2"/>
  <c r="G2291" i="2" s="1"/>
  <c r="E2290" i="2"/>
  <c r="G2287" i="2"/>
  <c r="F2287" i="2"/>
  <c r="I2287" i="2" s="1"/>
  <c r="E2287" i="2"/>
  <c r="E2285" i="2"/>
  <c r="E2284" i="2"/>
  <c r="G2284" i="2" s="1"/>
  <c r="E2283" i="2"/>
  <c r="G2283" i="2" s="1"/>
  <c r="E2280" i="2"/>
  <c r="G2280" i="2" s="1"/>
  <c r="E2279" i="2"/>
  <c r="G2278" i="2"/>
  <c r="E2278" i="2"/>
  <c r="F2278" i="2" s="1"/>
  <c r="J2278" i="2" s="1"/>
  <c r="H2278" i="2" s="1"/>
  <c r="E2277" i="2"/>
  <c r="F2277" i="2" s="1"/>
  <c r="E2275" i="2"/>
  <c r="F2275" i="2" s="1"/>
  <c r="J2275" i="2" s="1"/>
  <c r="H2275" i="2" s="1"/>
  <c r="E2274" i="2"/>
  <c r="E2273" i="2"/>
  <c r="G2273" i="2" s="1"/>
  <c r="E2272" i="2"/>
  <c r="G2272" i="2" s="1"/>
  <c r="E2271" i="2"/>
  <c r="F2271" i="2" s="1"/>
  <c r="E2270" i="2"/>
  <c r="E2269" i="2"/>
  <c r="G2267" i="2"/>
  <c r="E2267" i="2"/>
  <c r="E2266" i="2"/>
  <c r="E2265" i="2"/>
  <c r="E2261" i="2"/>
  <c r="G2261" i="2" s="1"/>
  <c r="E2260" i="2"/>
  <c r="G2260" i="2" s="1"/>
  <c r="E2259" i="2"/>
  <c r="F2259" i="2" s="1"/>
  <c r="E2258" i="2"/>
  <c r="E2257" i="2"/>
  <c r="F2256" i="2"/>
  <c r="E2255" i="2"/>
  <c r="G2255" i="2" s="1"/>
  <c r="E2254" i="2"/>
  <c r="G2253" i="2"/>
  <c r="E2253" i="2"/>
  <c r="F2253" i="2" s="1"/>
  <c r="G2252" i="2"/>
  <c r="E2252" i="2"/>
  <c r="E2249" i="2"/>
  <c r="E2247" i="2"/>
  <c r="F2247" i="2" s="1"/>
  <c r="I2247" i="2" s="1"/>
  <c r="E2246" i="2"/>
  <c r="E2245" i="2"/>
  <c r="E2244" i="2"/>
  <c r="F2244" i="2" s="1"/>
  <c r="F2243" i="2"/>
  <c r="I2243" i="2" s="1"/>
  <c r="E2243" i="2"/>
  <c r="G2243" i="2" s="1"/>
  <c r="F2242" i="2"/>
  <c r="E2241" i="2"/>
  <c r="E2240" i="2"/>
  <c r="G2239" i="2"/>
  <c r="E2239" i="2"/>
  <c r="E2236" i="2"/>
  <c r="G2236" i="2" s="1"/>
  <c r="G2235" i="2"/>
  <c r="F2235" i="2"/>
  <c r="I2235" i="2" s="1"/>
  <c r="E2235" i="2"/>
  <c r="G2234" i="2"/>
  <c r="E2234" i="2"/>
  <c r="F2234" i="2" s="1"/>
  <c r="E2233" i="2"/>
  <c r="G2232" i="2"/>
  <c r="F2232" i="2"/>
  <c r="I2232" i="2" s="1"/>
  <c r="E2232" i="2"/>
  <c r="E2231" i="2"/>
  <c r="E2229" i="2"/>
  <c r="F2228" i="2"/>
  <c r="I2228" i="2" s="1"/>
  <c r="E2228" i="2"/>
  <c r="G2228" i="2" s="1"/>
  <c r="E2227" i="2"/>
  <c r="E2226" i="2"/>
  <c r="G2226" i="2" s="1"/>
  <c r="G2225" i="2"/>
  <c r="F2225" i="2"/>
  <c r="E2225" i="2"/>
  <c r="E2224" i="2"/>
  <c r="E2223" i="2"/>
  <c r="E2222" i="2"/>
  <c r="E2221" i="2"/>
  <c r="F2220" i="2"/>
  <c r="K2220" i="2" s="1"/>
  <c r="E2220" i="2"/>
  <c r="G2219" i="2"/>
  <c r="E2219" i="2"/>
  <c r="F2219" i="2" s="1"/>
  <c r="E2215" i="2"/>
  <c r="G2215" i="2" s="1"/>
  <c r="G2214" i="2"/>
  <c r="E2213" i="2"/>
  <c r="G2213" i="2" s="1"/>
  <c r="E2212" i="2"/>
  <c r="E2211" i="2"/>
  <c r="F2210" i="2"/>
  <c r="G2209" i="2"/>
  <c r="E2209" i="2"/>
  <c r="E2208" i="2"/>
  <c r="E2207" i="2"/>
  <c r="G2206" i="2"/>
  <c r="F2206" i="2"/>
  <c r="I2206" i="2" s="1"/>
  <c r="E2206" i="2"/>
  <c r="F2205" i="2"/>
  <c r="E2204" i="2"/>
  <c r="G2204" i="2" s="1"/>
  <c r="F2203" i="2"/>
  <c r="E2202" i="2"/>
  <c r="E2201" i="2"/>
  <c r="G2200" i="2"/>
  <c r="G2199" i="2"/>
  <c r="F2199" i="2"/>
  <c r="I2199" i="2" s="1"/>
  <c r="E2199" i="2"/>
  <c r="E2198" i="2"/>
  <c r="G2197" i="2"/>
  <c r="E2197" i="2"/>
  <c r="F2197" i="2" s="1"/>
  <c r="E2196" i="2"/>
  <c r="F2196" i="2" s="1"/>
  <c r="E2195" i="2"/>
  <c r="G2195" i="2" s="1"/>
  <c r="E2192" i="2"/>
  <c r="G2192" i="2" s="1"/>
  <c r="G2191" i="2"/>
  <c r="F2191" i="2"/>
  <c r="E2191" i="2"/>
  <c r="E2190" i="2"/>
  <c r="E2189" i="2"/>
  <c r="E2188" i="2"/>
  <c r="F2188" i="2" s="1"/>
  <c r="I2188" i="2" s="1"/>
  <c r="E2187" i="2"/>
  <c r="G2187" i="2" s="1"/>
  <c r="F2186" i="2"/>
  <c r="K2186" i="2" s="1"/>
  <c r="E2186" i="2"/>
  <c r="G2185" i="2"/>
  <c r="E2185" i="2"/>
  <c r="F2185" i="2" s="1"/>
  <c r="J2185" i="2" s="1"/>
  <c r="H2185" i="2" s="1"/>
  <c r="E2184" i="2"/>
  <c r="E2183" i="2"/>
  <c r="G2183" i="2" s="1"/>
  <c r="E2180" i="2"/>
  <c r="G2180" i="2" s="1"/>
  <c r="G2178" i="2"/>
  <c r="F2178" i="2"/>
  <c r="E2177" i="2"/>
  <c r="F2176" i="2"/>
  <c r="K2176" i="2" s="1"/>
  <c r="E2175" i="2"/>
  <c r="G2175" i="2" s="1"/>
  <c r="E2174" i="2"/>
  <c r="F2173" i="2"/>
  <c r="F2172" i="2"/>
  <c r="J2172" i="2" s="1"/>
  <c r="H2172" i="2" s="1"/>
  <c r="G2172" i="2"/>
  <c r="E2171" i="2"/>
  <c r="E2170" i="2"/>
  <c r="G2170" i="2" s="1"/>
  <c r="E2169" i="2"/>
  <c r="G2169" i="2" s="1"/>
  <c r="E2168" i="2"/>
  <c r="E2167" i="2"/>
  <c r="F2166" i="2"/>
  <c r="K2166" i="2" s="1"/>
  <c r="E2166" i="2"/>
  <c r="G2166" i="2" s="1"/>
  <c r="E2163" i="2"/>
  <c r="F2163" i="2" s="1"/>
  <c r="J2163" i="2" s="1"/>
  <c r="H2163" i="2" s="1"/>
  <c r="E2162" i="2"/>
  <c r="E2161" i="2"/>
  <c r="G2161" i="2" s="1"/>
  <c r="E2160" i="2"/>
  <c r="G2160" i="2" s="1"/>
  <c r="F2159" i="2"/>
  <c r="K2159" i="2" s="1"/>
  <c r="E2159" i="2"/>
  <c r="G2159" i="2" s="1"/>
  <c r="E2158" i="2"/>
  <c r="G2158" i="2" s="1"/>
  <c r="E2157" i="2"/>
  <c r="E2156" i="2"/>
  <c r="G2156" i="2" s="1"/>
  <c r="E2154" i="2"/>
  <c r="F2154" i="2" s="1"/>
  <c r="K2154" i="2" s="1"/>
  <c r="E2153" i="2"/>
  <c r="F2153" i="2" s="1"/>
  <c r="K2153" i="2" s="1"/>
  <c r="E2152" i="2"/>
  <c r="G2152" i="2" s="1"/>
  <c r="G2151" i="2"/>
  <c r="F2151" i="2"/>
  <c r="E2151" i="2"/>
  <c r="E2148" i="2"/>
  <c r="G2148" i="2" s="1"/>
  <c r="E2147" i="2"/>
  <c r="F2147" i="2" s="1"/>
  <c r="E2145" i="2"/>
  <c r="E2144" i="2"/>
  <c r="G2144" i="2" s="1"/>
  <c r="G2143" i="2"/>
  <c r="F2143" i="2"/>
  <c r="I2143" i="2" s="1"/>
  <c r="E2143" i="2"/>
  <c r="E2142" i="2"/>
  <c r="E2140" i="2"/>
  <c r="G2139" i="2"/>
  <c r="F2139" i="2"/>
  <c r="E2138" i="2"/>
  <c r="G2138" i="2" s="1"/>
  <c r="E2137" i="2"/>
  <c r="F2137" i="2" s="1"/>
  <c r="K2137" i="2" s="1"/>
  <c r="E2135" i="2"/>
  <c r="E2133" i="2"/>
  <c r="F2131" i="2"/>
  <c r="I2131" i="2" s="1"/>
  <c r="E2131" i="2"/>
  <c r="G2131" i="2" s="1"/>
  <c r="F2130" i="2"/>
  <c r="K2130" i="2" s="1"/>
  <c r="E2130" i="2"/>
  <c r="E2128" i="2"/>
  <c r="E2125" i="2"/>
  <c r="E2123" i="2"/>
  <c r="F2123" i="2" s="1"/>
  <c r="I2123" i="2" s="1"/>
  <c r="E2122" i="2"/>
  <c r="G2122" i="2" s="1"/>
  <c r="E2120" i="2"/>
  <c r="F2120" i="2" s="1"/>
  <c r="K2120" i="2" s="1"/>
  <c r="G2117" i="2"/>
  <c r="F2117" i="2"/>
  <c r="E2117" i="2"/>
  <c r="E2116" i="2"/>
  <c r="F2116" i="2" s="1"/>
  <c r="K2116" i="2" s="1"/>
  <c r="E2115" i="2"/>
  <c r="G2114" i="2"/>
  <c r="E2114" i="2"/>
  <c r="E2113" i="2"/>
  <c r="G2109" i="2"/>
  <c r="F2109" i="2"/>
  <c r="I2109" i="2" s="1"/>
  <c r="E2109" i="2"/>
  <c r="E2108" i="2"/>
  <c r="G2108" i="2" s="1"/>
  <c r="E2107" i="2"/>
  <c r="G2106" i="2"/>
  <c r="F2106" i="2"/>
  <c r="K2106" i="2" s="1"/>
  <c r="E2106" i="2"/>
  <c r="G2105" i="2"/>
  <c r="F2105" i="2"/>
  <c r="I2105" i="2" s="1"/>
  <c r="E2105" i="2"/>
  <c r="E2104" i="2"/>
  <c r="E2102" i="2"/>
  <c r="F2100" i="2"/>
  <c r="K2100" i="2" s="1"/>
  <c r="E2100" i="2"/>
  <c r="G2100" i="2" s="1"/>
  <c r="E2098" i="2"/>
  <c r="G2098" i="2" s="1"/>
  <c r="E2097" i="2"/>
  <c r="G2097" i="2" s="1"/>
  <c r="E2093" i="2"/>
  <c r="F2092" i="2"/>
  <c r="E2092" i="2"/>
  <c r="G2092" i="2" s="1"/>
  <c r="G2091" i="2"/>
  <c r="F2091" i="2"/>
  <c r="I2091" i="2" s="1"/>
  <c r="E2091" i="2"/>
  <c r="G2088" i="2"/>
  <c r="E2088" i="2"/>
  <c r="E2084" i="2"/>
  <c r="G2084" i="2" s="1"/>
  <c r="G2083" i="2"/>
  <c r="E2083" i="2"/>
  <c r="F2083" i="2" s="1"/>
  <c r="I2083" i="2" s="1"/>
  <c r="E2082" i="2"/>
  <c r="E2081" i="2"/>
  <c r="E2080" i="2"/>
  <c r="G2080" i="2" s="1"/>
  <c r="G2079" i="2"/>
  <c r="E2079" i="2"/>
  <c r="E2078" i="2"/>
  <c r="G2077" i="2"/>
  <c r="I2077" i="2"/>
  <c r="G2076" i="2"/>
  <c r="E2075" i="2"/>
  <c r="G2075" i="2" s="1"/>
  <c r="E2074" i="2"/>
  <c r="G2074" i="2" s="1"/>
  <c r="E2073" i="2"/>
  <c r="G2072" i="2"/>
  <c r="F2072" i="2"/>
  <c r="E2072" i="2"/>
  <c r="E2071" i="2"/>
  <c r="E2070" i="2"/>
  <c r="G2070" i="2" s="1"/>
  <c r="E2069" i="2"/>
  <c r="F2069" i="2" s="1"/>
  <c r="E2068" i="2"/>
  <c r="F2068" i="2" s="1"/>
  <c r="J2068" i="2" s="1"/>
  <c r="H2068" i="2" s="1"/>
  <c r="G2067" i="2"/>
  <c r="E2067" i="2"/>
  <c r="F2067" i="2" s="1"/>
  <c r="E2066" i="2"/>
  <c r="E2064" i="2"/>
  <c r="G2064" i="2" s="1"/>
  <c r="E2063" i="2"/>
  <c r="G2063" i="2" s="1"/>
  <c r="G2062" i="2"/>
  <c r="F2062" i="2"/>
  <c r="E2062" i="2"/>
  <c r="F2059" i="2"/>
  <c r="J2059" i="2" s="1"/>
  <c r="H2059" i="2" s="1"/>
  <c r="E2059" i="2"/>
  <c r="G2059" i="2" s="1"/>
  <c r="E2057" i="2"/>
  <c r="E2056" i="2"/>
  <c r="F2056" i="2" s="1"/>
  <c r="G2054" i="2"/>
  <c r="E2054" i="2"/>
  <c r="E2052" i="2"/>
  <c r="G2052" i="2" s="1"/>
  <c r="G2050" i="2"/>
  <c r="E2050" i="2"/>
  <c r="E2049" i="2"/>
  <c r="E2048" i="2"/>
  <c r="G2048" i="2" s="1"/>
  <c r="G2047" i="2"/>
  <c r="F2047" i="2"/>
  <c r="I2047" i="2" s="1"/>
  <c r="E2047" i="2"/>
  <c r="E2046" i="2"/>
  <c r="G2045" i="2"/>
  <c r="E2045" i="2"/>
  <c r="F2045" i="2" s="1"/>
  <c r="I2045" i="2" s="1"/>
  <c r="F2044" i="2"/>
  <c r="J2044" i="2" s="1"/>
  <c r="H2044" i="2" s="1"/>
  <c r="E2044" i="2"/>
  <c r="G2043" i="2"/>
  <c r="F2043" i="2"/>
  <c r="K2043" i="2" s="1"/>
  <c r="E2043" i="2"/>
  <c r="E2042" i="2"/>
  <c r="G2042" i="2" s="1"/>
  <c r="E2041" i="2"/>
  <c r="F2041" i="2" s="1"/>
  <c r="J2041" i="2" s="1"/>
  <c r="H2041" i="2" s="1"/>
  <c r="E2040" i="2"/>
  <c r="F2040" i="2" s="1"/>
  <c r="E2039" i="2"/>
  <c r="F2038" i="2"/>
  <c r="E2038" i="2"/>
  <c r="G2038" i="2" s="1"/>
  <c r="G2037" i="2"/>
  <c r="F2037" i="2"/>
  <c r="I2037" i="2" s="1"/>
  <c r="E2037" i="2"/>
  <c r="F2036" i="2"/>
  <c r="E2036" i="2"/>
  <c r="E2033" i="2"/>
  <c r="F2031" i="2"/>
  <c r="K2031" i="2" s="1"/>
  <c r="E2031" i="2"/>
  <c r="G2031" i="2" s="1"/>
  <c r="E2030" i="2"/>
  <c r="G2030" i="2" s="1"/>
  <c r="G2029" i="2"/>
  <c r="E2029" i="2"/>
  <c r="F2029" i="2" s="1"/>
  <c r="E2028" i="2"/>
  <c r="E2027" i="2"/>
  <c r="G2027" i="2" s="1"/>
  <c r="E2026" i="2"/>
  <c r="G2026" i="2" s="1"/>
  <c r="G2025" i="2"/>
  <c r="E2025" i="2"/>
  <c r="F2025" i="2" s="1"/>
  <c r="E2023" i="2"/>
  <c r="F2023" i="2" s="1"/>
  <c r="E2022" i="2"/>
  <c r="G2021" i="2"/>
  <c r="E2021" i="2"/>
  <c r="F2021" i="2" s="1"/>
  <c r="K2021" i="2" s="1"/>
  <c r="E2020" i="2"/>
  <c r="E2018" i="2"/>
  <c r="F2017" i="2"/>
  <c r="E2017" i="2"/>
  <c r="G2017" i="2" s="1"/>
  <c r="E2016" i="2"/>
  <c r="E2015" i="2"/>
  <c r="G2014" i="2"/>
  <c r="E2014" i="2"/>
  <c r="F2014" i="2" s="1"/>
  <c r="K2014" i="2" s="1"/>
  <c r="G2013" i="2"/>
  <c r="E2013" i="2"/>
  <c r="F2013" i="2" s="1"/>
  <c r="F2010" i="2"/>
  <c r="E2010" i="2"/>
  <c r="G2010" i="2" s="1"/>
  <c r="E2009" i="2"/>
  <c r="E2008" i="2"/>
  <c r="G2007" i="2"/>
  <c r="F2007" i="2"/>
  <c r="I2007" i="2" s="1"/>
  <c r="E2007" i="2"/>
  <c r="E2006" i="2"/>
  <c r="F2005" i="2"/>
  <c r="E2005" i="2"/>
  <c r="G2005" i="2" s="1"/>
  <c r="E2002" i="2"/>
  <c r="G2001" i="2"/>
  <c r="F2001" i="2"/>
  <c r="K2001" i="2" s="1"/>
  <c r="G2000" i="2"/>
  <c r="E2000" i="2"/>
  <c r="F1999" i="2"/>
  <c r="E1999" i="2"/>
  <c r="E1997" i="2"/>
  <c r="G1997" i="2" s="1"/>
  <c r="E1995" i="2"/>
  <c r="G1995" i="2" s="1"/>
  <c r="E1993" i="2"/>
  <c r="E1992" i="2"/>
  <c r="G1992" i="2" s="1"/>
  <c r="E1990" i="2"/>
  <c r="E1989" i="2"/>
  <c r="F1989" i="2" s="1"/>
  <c r="J1989" i="2" s="1"/>
  <c r="H1989" i="2" s="1"/>
  <c r="E1988" i="2"/>
  <c r="G1987" i="2"/>
  <c r="E1987" i="2"/>
  <c r="E1985" i="2"/>
  <c r="E1983" i="2"/>
  <c r="E1982" i="2"/>
  <c r="E1979" i="2"/>
  <c r="E1978" i="2"/>
  <c r="G1978" i="2" s="1"/>
  <c r="E1976" i="2"/>
  <c r="E1975" i="2"/>
  <c r="G1975" i="2" s="1"/>
  <c r="E1974" i="2"/>
  <c r="E1972" i="2"/>
  <c r="E1971" i="2"/>
  <c r="G1971" i="2" s="1"/>
  <c r="F1970" i="2"/>
  <c r="J1970" i="2" s="1"/>
  <c r="H1970" i="2" s="1"/>
  <c r="E1970" i="2"/>
  <c r="G1970" i="2" s="1"/>
  <c r="F1967" i="2"/>
  <c r="J1967" i="2" s="1"/>
  <c r="H1967" i="2" s="1"/>
  <c r="E1967" i="2"/>
  <c r="G1967" i="2" s="1"/>
  <c r="G1965" i="2"/>
  <c r="E1965" i="2"/>
  <c r="F1965" i="2" s="1"/>
  <c r="E1964" i="2"/>
  <c r="E1963" i="2"/>
  <c r="F1963" i="2" s="1"/>
  <c r="K1963" i="2" s="1"/>
  <c r="E1962" i="2"/>
  <c r="E1958" i="2"/>
  <c r="F1957" i="2"/>
  <c r="I1957" i="2" s="1"/>
  <c r="G1957" i="2"/>
  <c r="G1954" i="2"/>
  <c r="F1954" i="2"/>
  <c r="I1954" i="2" s="1"/>
  <c r="E1954" i="2"/>
  <c r="E1953" i="2"/>
  <c r="E1952" i="2"/>
  <c r="E1951" i="2"/>
  <c r="F1951" i="2" s="1"/>
  <c r="E1948" i="2"/>
  <c r="E1946" i="2"/>
  <c r="E1945" i="2"/>
  <c r="F1945" i="2" s="1"/>
  <c r="J1945" i="2" s="1"/>
  <c r="H1945" i="2" s="1"/>
  <c r="E1944" i="2"/>
  <c r="E1941" i="2"/>
  <c r="E1940" i="2"/>
  <c r="E1939" i="2"/>
  <c r="G1937" i="2"/>
  <c r="E1937" i="2"/>
  <c r="F1937" i="2" s="1"/>
  <c r="I1937" i="2" s="1"/>
  <c r="E1935" i="2"/>
  <c r="F1935" i="2" s="1"/>
  <c r="E1934" i="2"/>
  <c r="F1934" i="2" s="1"/>
  <c r="K1934" i="2" s="1"/>
  <c r="G1932" i="2"/>
  <c r="E1932" i="2"/>
  <c r="E1931" i="2"/>
  <c r="F1930" i="2"/>
  <c r="E1929" i="2"/>
  <c r="E1927" i="2"/>
  <c r="E1925" i="2"/>
  <c r="E1923" i="2"/>
  <c r="G1923" i="2" s="1"/>
  <c r="E1922" i="2"/>
  <c r="G1922" i="2" s="1"/>
  <c r="G1921" i="2"/>
  <c r="F1921" i="2"/>
  <c r="K1921" i="2" s="1"/>
  <c r="E1921" i="2"/>
  <c r="G1920" i="2"/>
  <c r="J1920" i="2"/>
  <c r="H1920" i="2" s="1"/>
  <c r="G1919" i="2"/>
  <c r="E1919" i="2"/>
  <c r="F1919" i="2" s="1"/>
  <c r="I1919" i="2" s="1"/>
  <c r="E1918" i="2"/>
  <c r="G1918" i="2" s="1"/>
  <c r="E1917" i="2"/>
  <c r="F1917" i="2" s="1"/>
  <c r="K1917" i="2" s="1"/>
  <c r="E1916" i="2"/>
  <c r="E1915" i="2"/>
  <c r="E1914" i="2"/>
  <c r="E1913" i="2"/>
  <c r="G1913" i="2" s="1"/>
  <c r="E1912" i="2"/>
  <c r="F1911" i="2"/>
  <c r="K1911" i="2" s="1"/>
  <c r="E1911" i="2"/>
  <c r="G1911" i="2" s="1"/>
  <c r="E1909" i="2"/>
  <c r="F1908" i="2"/>
  <c r="J1908" i="2" s="1"/>
  <c r="H1908" i="2" s="1"/>
  <c r="E1908" i="2"/>
  <c r="G1908" i="2" s="1"/>
  <c r="G1907" i="2"/>
  <c r="F1907" i="2"/>
  <c r="I1907" i="2" s="1"/>
  <c r="E1907" i="2"/>
  <c r="F1906" i="2"/>
  <c r="K1906" i="2" s="1"/>
  <c r="E1906" i="2"/>
  <c r="G1906" i="2" s="1"/>
  <c r="G1905" i="2"/>
  <c r="E1905" i="2"/>
  <c r="F1905" i="2" s="1"/>
  <c r="E1904" i="2"/>
  <c r="E1902" i="2"/>
  <c r="E1901" i="2"/>
  <c r="G1901" i="2" s="1"/>
  <c r="E1900" i="2"/>
  <c r="E1899" i="2"/>
  <c r="F1899" i="2" s="1"/>
  <c r="J1899" i="2" s="1"/>
  <c r="H1899" i="2" s="1"/>
  <c r="F1898" i="2"/>
  <c r="E1898" i="2"/>
  <c r="G1898" i="2" s="1"/>
  <c r="E1896" i="2"/>
  <c r="G1895" i="2"/>
  <c r="E1895" i="2"/>
  <c r="F1895" i="2" s="1"/>
  <c r="I1895" i="2" s="1"/>
  <c r="G1893" i="2"/>
  <c r="E1893" i="2"/>
  <c r="E1890" i="2"/>
  <c r="E1889" i="2"/>
  <c r="G1889" i="2" s="1"/>
  <c r="E1888" i="2"/>
  <c r="E1887" i="2"/>
  <c r="F1887" i="2" s="1"/>
  <c r="J1887" i="2" s="1"/>
  <c r="H1887" i="2" s="1"/>
  <c r="E1886" i="2"/>
  <c r="F1886" i="2" s="1"/>
  <c r="K1886" i="2" s="1"/>
  <c r="F1885" i="2"/>
  <c r="E1885" i="2"/>
  <c r="G1885" i="2" s="1"/>
  <c r="E1884" i="2"/>
  <c r="G1883" i="2"/>
  <c r="E1883" i="2"/>
  <c r="F1883" i="2" s="1"/>
  <c r="G1882" i="2"/>
  <c r="E1882" i="2"/>
  <c r="E1881" i="2"/>
  <c r="G1881" i="2" s="1"/>
  <c r="E1880" i="2"/>
  <c r="E1879" i="2"/>
  <c r="G1879" i="2" s="1"/>
  <c r="E1877" i="2"/>
  <c r="G1875" i="2"/>
  <c r="F1875" i="2"/>
  <c r="I1875" i="2" s="1"/>
  <c r="E1875" i="2"/>
  <c r="E1874" i="2"/>
  <c r="G1871" i="2"/>
  <c r="E1871" i="2"/>
  <c r="F1871" i="2" s="1"/>
  <c r="I1871" i="2" s="1"/>
  <c r="E1870" i="2"/>
  <c r="E1868" i="2"/>
  <c r="G1866" i="2"/>
  <c r="E1866" i="2"/>
  <c r="F1865" i="2"/>
  <c r="E1865" i="2"/>
  <c r="G1864" i="2"/>
  <c r="F1864" i="2"/>
  <c r="E1864" i="2"/>
  <c r="E1863" i="2"/>
  <c r="G1863" i="2" s="1"/>
  <c r="E1862" i="2"/>
  <c r="G1861" i="2"/>
  <c r="E1861" i="2"/>
  <c r="F1861" i="2" s="1"/>
  <c r="I1861" i="2" s="1"/>
  <c r="G1860" i="2"/>
  <c r="E1860" i="2"/>
  <c r="E1858" i="2"/>
  <c r="E1857" i="2"/>
  <c r="G1857" i="2" s="1"/>
  <c r="E1856" i="2"/>
  <c r="G1856" i="2" s="1"/>
  <c r="E1855" i="2"/>
  <c r="G1855" i="2" s="1"/>
  <c r="F1854" i="2"/>
  <c r="K1854" i="2" s="1"/>
  <c r="E1854" i="2"/>
  <c r="G1854" i="2" s="1"/>
  <c r="G1853" i="2"/>
  <c r="E1853" i="2"/>
  <c r="F1853" i="2" s="1"/>
  <c r="E1852" i="2"/>
  <c r="G1852" i="2" s="1"/>
  <c r="G1851" i="2"/>
  <c r="E1851" i="2"/>
  <c r="F1851" i="2" s="1"/>
  <c r="I1851" i="2" s="1"/>
  <c r="E1850" i="2"/>
  <c r="E1849" i="2"/>
  <c r="E1848" i="2"/>
  <c r="E1847" i="2"/>
  <c r="G1847" i="2" s="1"/>
  <c r="E1846" i="2"/>
  <c r="E1845" i="2"/>
  <c r="G1845" i="2" s="1"/>
  <c r="F1844" i="2"/>
  <c r="E1844" i="2"/>
  <c r="G1844" i="2" s="1"/>
  <c r="F1842" i="2"/>
  <c r="E1842" i="2"/>
  <c r="G1842" i="2" s="1"/>
  <c r="G1840" i="2"/>
  <c r="E1840" i="2"/>
  <c r="F1840" i="2" s="1"/>
  <c r="K1840" i="2" s="1"/>
  <c r="E1838" i="2"/>
  <c r="E1837" i="2"/>
  <c r="G1837" i="2" s="1"/>
  <c r="F1835" i="2"/>
  <c r="J1835" i="2" s="1"/>
  <c r="H1835" i="2" s="1"/>
  <c r="E1835" i="2"/>
  <c r="G1835" i="2" s="1"/>
  <c r="G1833" i="2"/>
  <c r="E1833" i="2"/>
  <c r="E1832" i="2"/>
  <c r="G1831" i="2"/>
  <c r="E1831" i="2"/>
  <c r="F1831" i="2" s="1"/>
  <c r="K1831" i="2" s="1"/>
  <c r="E1830" i="2"/>
  <c r="E1828" i="2"/>
  <c r="E1826" i="2"/>
  <c r="G1826" i="2" s="1"/>
  <c r="E1825" i="2"/>
  <c r="E1823" i="2"/>
  <c r="F1823" i="2" s="1"/>
  <c r="E1821" i="2"/>
  <c r="E1818" i="2"/>
  <c r="E1817" i="2"/>
  <c r="E1816" i="2"/>
  <c r="E1815" i="2"/>
  <c r="E1813" i="2"/>
  <c r="G1812" i="2"/>
  <c r="F1812" i="2"/>
  <c r="E1812" i="2"/>
  <c r="E1811" i="2"/>
  <c r="E1810" i="2"/>
  <c r="E1807" i="2"/>
  <c r="F1807" i="2" s="1"/>
  <c r="K1807" i="2" s="1"/>
  <c r="E1806" i="2"/>
  <c r="G1805" i="2"/>
  <c r="F1805" i="2"/>
  <c r="K1805" i="2" s="1"/>
  <c r="E1805" i="2"/>
  <c r="E1804" i="2"/>
  <c r="E1803" i="2"/>
  <c r="G1803" i="2" s="1"/>
  <c r="E1800" i="2"/>
  <c r="E1799" i="2"/>
  <c r="G1799" i="2" s="1"/>
  <c r="E1798" i="2"/>
  <c r="G1798" i="2" s="1"/>
  <c r="F1797" i="2"/>
  <c r="E1797" i="2"/>
  <c r="G1796" i="2"/>
  <c r="F1796" i="2"/>
  <c r="E1796" i="2"/>
  <c r="G1795" i="2"/>
  <c r="E1795" i="2"/>
  <c r="F1795" i="2" s="1"/>
  <c r="E1793" i="2"/>
  <c r="G1793" i="2" s="1"/>
  <c r="E1792" i="2"/>
  <c r="G1791" i="2"/>
  <c r="F1791" i="2"/>
  <c r="K1791" i="2" s="1"/>
  <c r="E1791" i="2"/>
  <c r="E1790" i="2"/>
  <c r="F1788" i="2"/>
  <c r="I1788" i="2" s="1"/>
  <c r="E1788" i="2"/>
  <c r="G1788" i="2" s="1"/>
  <c r="E1785" i="2"/>
  <c r="E1783" i="2"/>
  <c r="F1783" i="2" s="1"/>
  <c r="G1782" i="2"/>
  <c r="E1782" i="2"/>
  <c r="F1782" i="2" s="1"/>
  <c r="G1781" i="2"/>
  <c r="E1781" i="2"/>
  <c r="E1780" i="2"/>
  <c r="E1778" i="2"/>
  <c r="G1776" i="2"/>
  <c r="F1776" i="2"/>
  <c r="K1776" i="2" s="1"/>
  <c r="E1776" i="2"/>
  <c r="E1775" i="2"/>
  <c r="G1775" i="2" s="1"/>
  <c r="E1773" i="2"/>
  <c r="E1772" i="2"/>
  <c r="F1772" i="2" s="1"/>
  <c r="E1770" i="2"/>
  <c r="G1769" i="2"/>
  <c r="F1769" i="2"/>
  <c r="E1769" i="2"/>
  <c r="E1766" i="2"/>
  <c r="G1766" i="2" s="1"/>
  <c r="F1764" i="2"/>
  <c r="E1764" i="2"/>
  <c r="G1764" i="2" s="1"/>
  <c r="G1763" i="2"/>
  <c r="E1763" i="2"/>
  <c r="F1762" i="2"/>
  <c r="E1762" i="2"/>
  <c r="G1761" i="2"/>
  <c r="E1761" i="2"/>
  <c r="F1761" i="2" s="1"/>
  <c r="K1761" i="2" s="1"/>
  <c r="E1760" i="2"/>
  <c r="E1758" i="2"/>
  <c r="F1757" i="2"/>
  <c r="J1757" i="2" s="1"/>
  <c r="H1757" i="2" s="1"/>
  <c r="E1757" i="2"/>
  <c r="G1756" i="2"/>
  <c r="E1756" i="2"/>
  <c r="F1754" i="2"/>
  <c r="K1754" i="2" s="1"/>
  <c r="E1754" i="2"/>
  <c r="G1754" i="2" s="1"/>
  <c r="E1753" i="2"/>
  <c r="G1751" i="2"/>
  <c r="E1751" i="2"/>
  <c r="F1751" i="2" s="1"/>
  <c r="J1751" i="2" s="1"/>
  <c r="H1751" i="2" s="1"/>
  <c r="E1750" i="2"/>
  <c r="G1749" i="2"/>
  <c r="F1749" i="2"/>
  <c r="K1749" i="2" s="1"/>
  <c r="E1749" i="2"/>
  <c r="E1748" i="2"/>
  <c r="E1745" i="2"/>
  <c r="G1745" i="2" s="1"/>
  <c r="E1744" i="2"/>
  <c r="G1744" i="2" s="1"/>
  <c r="E1743" i="2"/>
  <c r="G1743" i="2" s="1"/>
  <c r="G1742" i="2"/>
  <c r="F1742" i="2"/>
  <c r="E1742" i="2"/>
  <c r="E1740" i="2"/>
  <c r="E1739" i="2"/>
  <c r="G1739" i="2" s="1"/>
  <c r="E1736" i="2"/>
  <c r="G1735" i="2"/>
  <c r="F1735" i="2"/>
  <c r="J1735" i="2" s="1"/>
  <c r="H1735" i="2" s="1"/>
  <c r="E1735" i="2"/>
  <c r="E1733" i="2"/>
  <c r="G1733" i="2" s="1"/>
  <c r="F1732" i="2"/>
  <c r="E1732" i="2"/>
  <c r="G1732" i="2" s="1"/>
  <c r="E1731" i="2"/>
  <c r="E1730" i="2"/>
  <c r="G1730" i="2" s="1"/>
  <c r="G1729" i="2"/>
  <c r="E1729" i="2"/>
  <c r="F1729" i="2" s="1"/>
  <c r="G1727" i="2"/>
  <c r="E1727" i="2"/>
  <c r="F1727" i="2" s="1"/>
  <c r="K1727" i="2" s="1"/>
  <c r="G1725" i="2"/>
  <c r="E1725" i="2"/>
  <c r="F1725" i="2" s="1"/>
  <c r="E1724" i="2"/>
  <c r="F1721" i="2"/>
  <c r="K1721" i="2" s="1"/>
  <c r="E1721" i="2"/>
  <c r="G1721" i="2" s="1"/>
  <c r="F1720" i="2"/>
  <c r="E1720" i="2"/>
  <c r="G1720" i="2" s="1"/>
  <c r="E1719" i="2"/>
  <c r="G1719" i="2" s="1"/>
  <c r="E1716" i="2"/>
  <c r="G1715" i="2"/>
  <c r="E1715" i="2"/>
  <c r="F1715" i="2" s="1"/>
  <c r="K1715" i="2" s="1"/>
  <c r="G1714" i="2"/>
  <c r="E1714" i="2"/>
  <c r="E1710" i="2"/>
  <c r="G1708" i="2"/>
  <c r="E1708" i="2"/>
  <c r="E1707" i="2"/>
  <c r="E1705" i="2"/>
  <c r="E1704" i="2"/>
  <c r="E1702" i="2"/>
  <c r="E1701" i="2"/>
  <c r="E1700" i="2"/>
  <c r="F1699" i="2"/>
  <c r="E1699" i="2"/>
  <c r="E1698" i="2"/>
  <c r="G1698" i="2" s="1"/>
  <c r="E1696" i="2"/>
  <c r="G1696" i="2" s="1"/>
  <c r="G1694" i="2"/>
  <c r="E1694" i="2"/>
  <c r="E1692" i="2"/>
  <c r="E1690" i="2"/>
  <c r="F1689" i="2"/>
  <c r="K1689" i="2" s="1"/>
  <c r="E1689" i="2"/>
  <c r="G1689" i="2" s="1"/>
  <c r="E1688" i="2"/>
  <c r="G1684" i="2"/>
  <c r="F1684" i="2"/>
  <c r="I1684" i="2" s="1"/>
  <c r="E1684" i="2"/>
  <c r="E1683" i="2"/>
  <c r="G1683" i="2" s="1"/>
  <c r="F1682" i="2"/>
  <c r="K1682" i="2" s="1"/>
  <c r="E1682" i="2"/>
  <c r="G1682" i="2" s="1"/>
  <c r="E1681" i="2"/>
  <c r="G1680" i="2"/>
  <c r="E1680" i="2"/>
  <c r="F1680" i="2" s="1"/>
  <c r="K1680" i="2" s="1"/>
  <c r="F1677" i="2"/>
  <c r="I1677" i="2" s="1"/>
  <c r="E1677" i="2"/>
  <c r="G1677" i="2" s="1"/>
  <c r="F1676" i="2"/>
  <c r="E1676" i="2"/>
  <c r="E1675" i="2"/>
  <c r="G1673" i="2"/>
  <c r="F1673" i="2"/>
  <c r="I1673" i="2" s="1"/>
  <c r="E1673" i="2"/>
  <c r="E1672" i="2"/>
  <c r="F1672" i="2" s="1"/>
  <c r="E1671" i="2"/>
  <c r="G1671" i="2" s="1"/>
  <c r="F1668" i="2"/>
  <c r="E1668" i="2"/>
  <c r="G1668" i="2" s="1"/>
  <c r="E1666" i="2"/>
  <c r="E1664" i="2"/>
  <c r="E1662" i="2"/>
  <c r="F1662" i="2" s="1"/>
  <c r="E1659" i="2"/>
  <c r="G1659" i="2" s="1"/>
  <c r="E1658" i="2"/>
  <c r="G1658" i="2" s="1"/>
  <c r="E1656" i="2"/>
  <c r="F1656" i="2" s="1"/>
  <c r="K1656" i="2" s="1"/>
  <c r="E1655" i="2"/>
  <c r="E1653" i="2"/>
  <c r="F1653" i="2" s="1"/>
  <c r="F1652" i="2"/>
  <c r="I1652" i="2" s="1"/>
  <c r="E1652" i="2"/>
  <c r="G1652" i="2" s="1"/>
  <c r="E1651" i="2"/>
  <c r="G1649" i="2"/>
  <c r="F1649" i="2"/>
  <c r="E1649" i="2"/>
  <c r="F1648" i="2"/>
  <c r="K1648" i="2" s="1"/>
  <c r="E1648" i="2"/>
  <c r="G1648" i="2" s="1"/>
  <c r="E1647" i="2"/>
  <c r="G1647" i="2" s="1"/>
  <c r="G1646" i="2"/>
  <c r="E1646" i="2"/>
  <c r="F1646" i="2" s="1"/>
  <c r="K1646" i="2" s="1"/>
  <c r="E1645" i="2"/>
  <c r="E1642" i="2"/>
  <c r="F1639" i="2"/>
  <c r="J1639" i="2" s="1"/>
  <c r="H1639" i="2" s="1"/>
  <c r="E1639" i="2"/>
  <c r="G1638" i="2"/>
  <c r="E1638" i="2"/>
  <c r="F1638" i="2" s="1"/>
  <c r="G1637" i="2"/>
  <c r="F1637" i="2"/>
  <c r="I1637" i="2" s="1"/>
  <c r="E1637" i="2"/>
  <c r="G1636" i="2"/>
  <c r="E1636" i="2"/>
  <c r="E1634" i="2"/>
  <c r="G1633" i="2"/>
  <c r="E1633" i="2"/>
  <c r="E1632" i="2"/>
  <c r="E1631" i="2"/>
  <c r="E1627" i="2"/>
  <c r="E1626" i="2"/>
  <c r="G1625" i="2"/>
  <c r="F1625" i="2"/>
  <c r="E1625" i="2"/>
  <c r="E1623" i="2"/>
  <c r="G1623" i="2" s="1"/>
  <c r="E1622" i="2"/>
  <c r="F1622" i="2" s="1"/>
  <c r="E1621" i="2"/>
  <c r="E1620" i="2"/>
  <c r="E1619" i="2"/>
  <c r="F1619" i="2" s="1"/>
  <c r="G1618" i="2"/>
  <c r="E1618" i="2"/>
  <c r="E1617" i="2"/>
  <c r="F1617" i="2" s="1"/>
  <c r="G1616" i="2"/>
  <c r="E1615" i="2"/>
  <c r="E1614" i="2"/>
  <c r="E1613" i="2"/>
  <c r="G1613" i="2" s="1"/>
  <c r="E1612" i="2"/>
  <c r="E1610" i="2"/>
  <c r="F1609" i="2"/>
  <c r="I1609" i="2" s="1"/>
  <c r="E1609" i="2"/>
  <c r="G1609" i="2" s="1"/>
  <c r="E1607" i="2"/>
  <c r="E1606" i="2"/>
  <c r="G1605" i="2"/>
  <c r="F1605" i="2"/>
  <c r="E1605" i="2"/>
  <c r="E1604" i="2"/>
  <c r="E1601" i="2"/>
  <c r="G1601" i="2" s="1"/>
  <c r="E1600" i="2"/>
  <c r="F1599" i="2"/>
  <c r="E1599" i="2"/>
  <c r="G1599" i="2" s="1"/>
  <c r="E1598" i="2"/>
  <c r="G1597" i="2"/>
  <c r="F1597" i="2"/>
  <c r="K1597" i="2" s="1"/>
  <c r="E1597" i="2"/>
  <c r="E1596" i="2"/>
  <c r="F1596" i="2" s="1"/>
  <c r="E1595" i="2"/>
  <c r="F1595" i="2" s="1"/>
  <c r="J1595" i="2" s="1"/>
  <c r="H1595" i="2" s="1"/>
  <c r="E1594" i="2"/>
  <c r="F1594" i="2" s="1"/>
  <c r="K1594" i="2" s="1"/>
  <c r="E1593" i="2"/>
  <c r="E1592" i="2"/>
  <c r="E1591" i="2"/>
  <c r="G1591" i="2" s="1"/>
  <c r="E1590" i="2"/>
  <c r="E1589" i="2"/>
  <c r="F1589" i="2" s="1"/>
  <c r="E1588" i="2"/>
  <c r="E1587" i="2"/>
  <c r="G1587" i="2" s="1"/>
  <c r="E1586" i="2"/>
  <c r="E1585" i="2"/>
  <c r="E1583" i="2"/>
  <c r="F1582" i="2"/>
  <c r="K1582" i="2" s="1"/>
  <c r="E1582" i="2"/>
  <c r="G1582" i="2" s="1"/>
  <c r="E1579" i="2"/>
  <c r="G1579" i="2" s="1"/>
  <c r="G1578" i="2"/>
  <c r="E1578" i="2"/>
  <c r="F1578" i="2" s="1"/>
  <c r="E1577" i="2"/>
  <c r="E1576" i="2"/>
  <c r="E1575" i="2"/>
  <c r="G1575" i="2" s="1"/>
  <c r="E1574" i="2"/>
  <c r="E1573" i="2"/>
  <c r="G1570" i="2"/>
  <c r="F1570" i="2"/>
  <c r="J1570" i="2" s="1"/>
  <c r="H1570" i="2" s="1"/>
  <c r="E1570" i="2"/>
  <c r="E1568" i="2"/>
  <c r="E1567" i="2"/>
  <c r="G1567" i="2" s="1"/>
  <c r="E1566" i="2"/>
  <c r="G1565" i="2"/>
  <c r="E1564" i="2"/>
  <c r="G1563" i="2"/>
  <c r="F1563" i="2"/>
  <c r="J1563" i="2" s="1"/>
  <c r="H1563" i="2" s="1"/>
  <c r="E1563" i="2"/>
  <c r="E1562" i="2"/>
  <c r="F1562" i="2" s="1"/>
  <c r="E1558" i="2"/>
  <c r="E1557" i="2"/>
  <c r="F1556" i="2"/>
  <c r="E1556" i="2"/>
  <c r="E1555" i="2"/>
  <c r="G1555" i="2" s="1"/>
  <c r="E1554" i="2"/>
  <c r="E1551" i="2"/>
  <c r="E1549" i="2"/>
  <c r="G1549" i="2" s="1"/>
  <c r="E1548" i="2"/>
  <c r="E1547" i="2"/>
  <c r="G1546" i="2"/>
  <c r="E1546" i="2"/>
  <c r="F1546" i="2" s="1"/>
  <c r="K1546" i="2" s="1"/>
  <c r="F1545" i="2"/>
  <c r="E1545" i="2"/>
  <c r="G1545" i="2" s="1"/>
  <c r="G1544" i="2"/>
  <c r="E1544" i="2"/>
  <c r="E1543" i="2"/>
  <c r="G1543" i="2" s="1"/>
  <c r="E1541" i="2"/>
  <c r="G1541" i="2" s="1"/>
  <c r="E1539" i="2"/>
  <c r="F1539" i="2" s="1"/>
  <c r="E1535" i="2"/>
  <c r="G1533" i="2"/>
  <c r="F1533" i="2"/>
  <c r="E1533" i="2"/>
  <c r="E1531" i="2"/>
  <c r="G1531" i="2" s="1"/>
  <c r="E1530" i="2"/>
  <c r="F1530" i="2" s="1"/>
  <c r="I1530" i="2" s="1"/>
  <c r="E1529" i="2"/>
  <c r="E1528" i="2"/>
  <c r="F1525" i="2"/>
  <c r="J1525" i="2" s="1"/>
  <c r="H1525" i="2" s="1"/>
  <c r="E1525" i="2"/>
  <c r="E1523" i="2"/>
  <c r="F1523" i="2" s="1"/>
  <c r="E1522" i="2"/>
  <c r="G1522" i="2" s="1"/>
  <c r="E1521" i="2"/>
  <c r="G1521" i="2" s="1"/>
  <c r="E1519" i="2"/>
  <c r="G1519" i="2" s="1"/>
  <c r="E1518" i="2"/>
  <c r="G1517" i="2"/>
  <c r="F1517" i="2"/>
  <c r="I1517" i="2" s="1"/>
  <c r="E1517" i="2"/>
  <c r="E1513" i="2"/>
  <c r="F1511" i="2"/>
  <c r="E1511" i="2"/>
  <c r="G1511" i="2" s="1"/>
  <c r="E1510" i="2"/>
  <c r="E1509" i="2"/>
  <c r="G1509" i="2" s="1"/>
  <c r="E1507" i="2"/>
  <c r="E1506" i="2"/>
  <c r="E1505" i="2"/>
  <c r="E1504" i="2"/>
  <c r="G1504" i="2" s="1"/>
  <c r="F1503" i="2"/>
  <c r="E1503" i="2"/>
  <c r="G1502" i="2"/>
  <c r="E1502" i="2"/>
  <c r="F1502" i="2" s="1"/>
  <c r="K1502" i="2" s="1"/>
  <c r="E1500" i="2"/>
  <c r="E1499" i="2"/>
  <c r="G1499" i="2" s="1"/>
  <c r="E1497" i="2"/>
  <c r="E1494" i="2"/>
  <c r="E1493" i="2"/>
  <c r="G1493" i="2" s="1"/>
  <c r="G1492" i="2"/>
  <c r="F1492" i="2"/>
  <c r="I1492" i="2" s="1"/>
  <c r="E1492" i="2"/>
  <c r="G1490" i="2"/>
  <c r="E1490" i="2"/>
  <c r="F1490" i="2" s="1"/>
  <c r="J1490" i="2" s="1"/>
  <c r="H1490" i="2" s="1"/>
  <c r="G1489" i="2"/>
  <c r="F1489" i="2"/>
  <c r="J1489" i="2" s="1"/>
  <c r="H1489" i="2" s="1"/>
  <c r="E1489" i="2"/>
  <c r="E1488" i="2"/>
  <c r="E1487" i="2"/>
  <c r="G1487" i="2" s="1"/>
  <c r="G1485" i="2"/>
  <c r="F1485" i="2"/>
  <c r="E1485" i="2"/>
  <c r="E1484" i="2"/>
  <c r="F1481" i="2"/>
  <c r="K1481" i="2" s="1"/>
  <c r="E1481" i="2"/>
  <c r="G1481" i="2" s="1"/>
  <c r="E1479" i="2"/>
  <c r="E1478" i="2"/>
  <c r="G1477" i="2"/>
  <c r="E1477" i="2"/>
  <c r="G1476" i="2"/>
  <c r="E1476" i="2"/>
  <c r="E1475" i="2"/>
  <c r="G1475" i="2" s="1"/>
  <c r="G1474" i="2"/>
  <c r="F1474" i="2"/>
  <c r="I1474" i="2" s="1"/>
  <c r="E1474" i="2"/>
  <c r="E1473" i="2"/>
  <c r="G1473" i="2" s="1"/>
  <c r="E1472" i="2"/>
  <c r="E1470" i="2"/>
  <c r="E1469" i="2"/>
  <c r="E1466" i="2"/>
  <c r="E1465" i="2"/>
  <c r="E1464" i="2"/>
  <c r="G1464" i="2" s="1"/>
  <c r="E1463" i="2"/>
  <c r="G1463" i="2" s="1"/>
  <c r="E1462" i="2"/>
  <c r="F1462" i="2" s="1"/>
  <c r="K1462" i="2" s="1"/>
  <c r="E1461" i="2"/>
  <c r="E1460" i="2"/>
  <c r="E1458" i="2"/>
  <c r="E1457" i="2"/>
  <c r="E1454" i="2"/>
  <c r="E1453" i="2"/>
  <c r="G1453" i="2" s="1"/>
  <c r="E1452" i="2"/>
  <c r="F1452" i="2" s="1"/>
  <c r="K1452" i="2" s="1"/>
  <c r="E1451" i="2"/>
  <c r="E1450" i="2"/>
  <c r="G1449" i="2"/>
  <c r="E1449" i="2"/>
  <c r="F1449" i="2" s="1"/>
  <c r="E1448" i="2"/>
  <c r="G1448" i="2" s="1"/>
  <c r="E1447" i="2"/>
  <c r="E1446" i="2"/>
  <c r="F1446" i="2" s="1"/>
  <c r="I1446" i="2" s="1"/>
  <c r="G1444" i="2"/>
  <c r="E1444" i="2"/>
  <c r="E1443" i="2"/>
  <c r="G1443" i="2" s="1"/>
  <c r="G1441" i="2"/>
  <c r="E1441" i="2"/>
  <c r="E1440" i="2"/>
  <c r="E1439" i="2"/>
  <c r="F1439" i="2" s="1"/>
  <c r="K1439" i="2" s="1"/>
  <c r="E1438" i="2"/>
  <c r="E1436" i="2"/>
  <c r="F1436" i="2" s="1"/>
  <c r="J1436" i="2" s="1"/>
  <c r="H1436" i="2" s="1"/>
  <c r="E1433" i="2"/>
  <c r="E1432" i="2"/>
  <c r="E1429" i="2"/>
  <c r="G1429" i="2" s="1"/>
  <c r="G1427" i="2"/>
  <c r="E1426" i="2"/>
  <c r="E1425" i="2"/>
  <c r="E1424" i="2"/>
  <c r="G1422" i="2"/>
  <c r="G1421" i="2"/>
  <c r="E1421" i="2"/>
  <c r="E1420" i="2"/>
  <c r="F1420" i="2" s="1"/>
  <c r="E1419" i="2"/>
  <c r="G1419" i="2" s="1"/>
  <c r="E1418" i="2"/>
  <c r="G1417" i="2"/>
  <c r="E1417" i="2"/>
  <c r="E1416" i="2"/>
  <c r="G1415" i="2"/>
  <c r="F1415" i="2"/>
  <c r="E1415" i="2"/>
  <c r="E1414" i="2"/>
  <c r="G1414" i="2" s="1"/>
  <c r="E1410" i="2"/>
  <c r="G1408" i="2"/>
  <c r="E1408" i="2"/>
  <c r="E1407" i="2"/>
  <c r="G1407" i="2" s="1"/>
  <c r="E1406" i="2"/>
  <c r="E1405" i="2"/>
  <c r="E1403" i="2"/>
  <c r="F1403" i="2" s="1"/>
  <c r="J1403" i="2" s="1"/>
  <c r="H1403" i="2" s="1"/>
  <c r="E1399" i="2"/>
  <c r="E1397" i="2"/>
  <c r="G1397" i="2" s="1"/>
  <c r="E1396" i="2"/>
  <c r="E1395" i="2"/>
  <c r="G1395" i="2" s="1"/>
  <c r="G1394" i="2"/>
  <c r="E1394" i="2"/>
  <c r="F1394" i="2" s="1"/>
  <c r="I1394" i="2" s="1"/>
  <c r="E1393" i="2"/>
  <c r="E1392" i="2"/>
  <c r="G1391" i="2"/>
  <c r="F1391" i="2"/>
  <c r="E1391" i="2"/>
  <c r="G1390" i="2"/>
  <c r="E1390" i="2"/>
  <c r="E1389" i="2"/>
  <c r="F1387" i="2"/>
  <c r="E1387" i="2"/>
  <c r="G1387" i="2" s="1"/>
  <c r="E1386" i="2"/>
  <c r="E1385" i="2"/>
  <c r="E1384" i="2"/>
  <c r="E1383" i="2"/>
  <c r="F1383" i="2" s="1"/>
  <c r="I1383" i="2" s="1"/>
  <c r="F1382" i="2"/>
  <c r="I1382" i="2" s="1"/>
  <c r="E1382" i="2"/>
  <c r="E1381" i="2"/>
  <c r="E1380" i="2"/>
  <c r="G1380" i="2" s="1"/>
  <c r="E1379" i="2"/>
  <c r="G1378" i="2"/>
  <c r="E1378" i="2"/>
  <c r="F1378" i="2" s="1"/>
  <c r="E1377" i="2"/>
  <c r="G1376" i="2"/>
  <c r="E1376" i="2"/>
  <c r="E1375" i="2"/>
  <c r="E1374" i="2"/>
  <c r="E1370" i="2"/>
  <c r="G1368" i="2"/>
  <c r="F1368" i="2"/>
  <c r="E1368" i="2"/>
  <c r="G1367" i="2"/>
  <c r="E1366" i="2"/>
  <c r="E1365" i="2"/>
  <c r="E1364" i="2"/>
  <c r="E1362" i="2"/>
  <c r="F1362" i="2" s="1"/>
  <c r="I1362" i="2" s="1"/>
  <c r="G1361" i="2"/>
  <c r="E1361" i="2"/>
  <c r="F1357" i="2"/>
  <c r="E1357" i="2"/>
  <c r="G1357" i="2" s="1"/>
  <c r="E1356" i="2"/>
  <c r="F1356" i="2" s="1"/>
  <c r="J1356" i="2" s="1"/>
  <c r="H1356" i="2" s="1"/>
  <c r="E1355" i="2"/>
  <c r="E1353" i="2"/>
  <c r="G1353" i="2" s="1"/>
  <c r="F1350" i="2"/>
  <c r="E1350" i="2"/>
  <c r="E1348" i="2"/>
  <c r="F1348" i="2" s="1"/>
  <c r="K1348" i="2" s="1"/>
  <c r="E1347" i="2"/>
  <c r="E1346" i="2"/>
  <c r="F1345" i="2"/>
  <c r="E1345" i="2"/>
  <c r="G1345" i="2" s="1"/>
  <c r="E1343" i="2"/>
  <c r="G1343" i="2" s="1"/>
  <c r="G1342" i="2"/>
  <c r="E1342" i="2"/>
  <c r="F1342" i="2" s="1"/>
  <c r="E1340" i="2"/>
  <c r="E1338" i="2"/>
  <c r="E1337" i="2"/>
  <c r="G1336" i="2"/>
  <c r="E1336" i="2"/>
  <c r="F1336" i="2" s="1"/>
  <c r="J1336" i="2" s="1"/>
  <c r="H1336" i="2" s="1"/>
  <c r="G1335" i="2"/>
  <c r="F1335" i="2"/>
  <c r="E1335" i="2"/>
  <c r="F1334" i="2"/>
  <c r="K1334" i="2" s="1"/>
  <c r="E1334" i="2"/>
  <c r="G1334" i="2" s="1"/>
  <c r="E1333" i="2"/>
  <c r="G1333" i="2" s="1"/>
  <c r="G1332" i="2"/>
  <c r="E1332" i="2"/>
  <c r="F1332" i="2" s="1"/>
  <c r="K1332" i="2" s="1"/>
  <c r="E1331" i="2"/>
  <c r="E1330" i="2"/>
  <c r="G1329" i="2"/>
  <c r="F1329" i="2"/>
  <c r="J1329" i="2" s="1"/>
  <c r="H1329" i="2" s="1"/>
  <c r="E1329" i="2"/>
  <c r="E1328" i="2"/>
  <c r="E1327" i="2"/>
  <c r="G1326" i="2"/>
  <c r="E1326" i="2"/>
  <c r="F1326" i="2" s="1"/>
  <c r="F1325" i="2"/>
  <c r="E1325" i="2"/>
  <c r="G1325" i="2" s="1"/>
  <c r="G1324" i="2"/>
  <c r="F1324" i="2"/>
  <c r="K1324" i="2" s="1"/>
  <c r="E1324" i="2"/>
  <c r="E1323" i="2"/>
  <c r="G1323" i="2" s="1"/>
  <c r="E1322" i="2"/>
  <c r="E1321" i="2"/>
  <c r="G1321" i="2" s="1"/>
  <c r="E1320" i="2"/>
  <c r="E1316" i="2"/>
  <c r="G1316" i="2" s="1"/>
  <c r="G1314" i="2"/>
  <c r="E1314" i="2"/>
  <c r="F1314" i="2" s="1"/>
  <c r="E1313" i="2"/>
  <c r="E1309" i="2"/>
  <c r="G1309" i="2" s="1"/>
  <c r="G1308" i="2"/>
  <c r="E1308" i="2"/>
  <c r="G1307" i="2"/>
  <c r="F1307" i="2"/>
  <c r="E1307" i="2"/>
  <c r="E1306" i="2"/>
  <c r="E1305" i="2"/>
  <c r="E1304" i="2"/>
  <c r="E1302" i="2"/>
  <c r="F1302" i="2" s="1"/>
  <c r="G1301" i="2"/>
  <c r="F1301" i="2"/>
  <c r="J1301" i="2" s="1"/>
  <c r="H1301" i="2" s="1"/>
  <c r="E1301" i="2"/>
  <c r="E1299" i="2"/>
  <c r="G1299" i="2" s="1"/>
  <c r="E1298" i="2"/>
  <c r="F1298" i="2" s="1"/>
  <c r="J1298" i="2" s="1"/>
  <c r="H1298" i="2" s="1"/>
  <c r="F1297" i="2"/>
  <c r="E1297" i="2"/>
  <c r="G1297" i="2" s="1"/>
  <c r="E1296" i="2"/>
  <c r="G1295" i="2"/>
  <c r="F1295" i="2"/>
  <c r="E1295" i="2"/>
  <c r="E1294" i="2"/>
  <c r="F1294" i="2" s="1"/>
  <c r="I1294" i="2" s="1"/>
  <c r="E1291" i="2"/>
  <c r="G1290" i="2"/>
  <c r="G1289" i="2"/>
  <c r="F1289" i="2"/>
  <c r="I1289" i="2" s="1"/>
  <c r="E1289" i="2"/>
  <c r="G1288" i="2"/>
  <c r="F1288" i="2"/>
  <c r="K1288" i="2" s="1"/>
  <c r="E1288" i="2"/>
  <c r="E1287" i="2"/>
  <c r="G1287" i="2" s="1"/>
  <c r="E1283" i="2"/>
  <c r="E1282" i="2"/>
  <c r="G1281" i="2"/>
  <c r="E1281" i="2"/>
  <c r="F1281" i="2" s="1"/>
  <c r="J1281" i="2" s="1"/>
  <c r="H1281" i="2" s="1"/>
  <c r="E1279" i="2"/>
  <c r="F1279" i="2" s="1"/>
  <c r="J1279" i="2" s="1"/>
  <c r="H1279" i="2" s="1"/>
  <c r="G1278" i="2"/>
  <c r="E1278" i="2"/>
  <c r="F1278" i="2" s="1"/>
  <c r="E1274" i="2"/>
  <c r="E1273" i="2"/>
  <c r="G1273" i="2" s="1"/>
  <c r="E1271" i="2"/>
  <c r="E1270" i="2"/>
  <c r="G1267" i="2"/>
  <c r="F1267" i="2"/>
  <c r="K1267" i="2" s="1"/>
  <c r="E1267" i="2"/>
  <c r="F1265" i="2"/>
  <c r="J1265" i="2" s="1"/>
  <c r="H1265" i="2" s="1"/>
  <c r="E1265" i="2"/>
  <c r="G1264" i="2"/>
  <c r="E1264" i="2"/>
  <c r="F1264" i="2" s="1"/>
  <c r="G1263" i="2"/>
  <c r="E1263" i="2"/>
  <c r="F1263" i="2" s="1"/>
  <c r="E1262" i="2"/>
  <c r="E1261" i="2"/>
  <c r="G1261" i="2" s="1"/>
  <c r="E1260" i="2"/>
  <c r="F1260" i="2" s="1"/>
  <c r="K1260" i="2" s="1"/>
  <c r="F1259" i="2"/>
  <c r="E1258" i="2"/>
  <c r="E1257" i="2"/>
  <c r="G1257" i="2" s="1"/>
  <c r="E1256" i="2"/>
  <c r="G1256" i="2" s="1"/>
  <c r="E1255" i="2"/>
  <c r="G1254" i="2"/>
  <c r="E1254" i="2"/>
  <c r="F1254" i="2" s="1"/>
  <c r="E1253" i="2"/>
  <c r="E1252" i="2"/>
  <c r="E1249" i="2"/>
  <c r="G1249" i="2" s="1"/>
  <c r="E1248" i="2"/>
  <c r="E1247" i="2"/>
  <c r="E1246" i="2"/>
  <c r="E1245" i="2"/>
  <c r="F1245" i="2" s="1"/>
  <c r="E1244" i="2"/>
  <c r="G1244" i="2" s="1"/>
  <c r="E1243" i="2"/>
  <c r="G1241" i="2"/>
  <c r="F1241" i="2"/>
  <c r="J1241" i="2" s="1"/>
  <c r="H1241" i="2" s="1"/>
  <c r="E1241" i="2"/>
  <c r="F1240" i="2"/>
  <c r="K1240" i="2" s="1"/>
  <c r="E1240" i="2"/>
  <c r="G1240" i="2" s="1"/>
  <c r="E1239" i="2"/>
  <c r="G1239" i="2" s="1"/>
  <c r="E1238" i="2"/>
  <c r="G1238" i="2" s="1"/>
  <c r="E1237" i="2"/>
  <c r="E1235" i="2"/>
  <c r="F1235" i="2" s="1"/>
  <c r="K1235" i="2" s="1"/>
  <c r="E1234" i="2"/>
  <c r="G1234" i="2" s="1"/>
  <c r="F1233" i="2"/>
  <c r="J1233" i="2" s="1"/>
  <c r="H1233" i="2" s="1"/>
  <c r="E1233" i="2"/>
  <c r="G1232" i="2"/>
  <c r="E1232" i="2"/>
  <c r="F1232" i="2" s="1"/>
  <c r="G1231" i="2"/>
  <c r="F1231" i="2"/>
  <c r="E1231" i="2"/>
  <c r="E1230" i="2"/>
  <c r="E1226" i="2"/>
  <c r="E1225" i="2"/>
  <c r="E1224" i="2"/>
  <c r="F1223" i="2"/>
  <c r="I1223" i="2" s="1"/>
  <c r="E1223" i="2"/>
  <c r="G1223" i="2" s="1"/>
  <c r="E1221" i="2"/>
  <c r="G1220" i="2"/>
  <c r="E1220" i="2"/>
  <c r="F1220" i="2" s="1"/>
  <c r="J1220" i="2" s="1"/>
  <c r="H1220" i="2" s="1"/>
  <c r="E1219" i="2"/>
  <c r="G1216" i="2"/>
  <c r="F1216" i="2"/>
  <c r="K1216" i="2" s="1"/>
  <c r="E1216" i="2"/>
  <c r="E1215" i="2"/>
  <c r="G1215" i="2" s="1"/>
  <c r="G1214" i="2"/>
  <c r="E1214" i="2"/>
  <c r="F1214" i="2" s="1"/>
  <c r="E1213" i="2"/>
  <c r="E1212" i="2"/>
  <c r="E1210" i="2"/>
  <c r="G1210" i="2" s="1"/>
  <c r="E1209" i="2"/>
  <c r="G1208" i="2"/>
  <c r="E1208" i="2"/>
  <c r="F1208" i="2" s="1"/>
  <c r="I1208" i="2" s="1"/>
  <c r="E1206" i="2"/>
  <c r="E1205" i="2"/>
  <c r="G1205" i="2" s="1"/>
  <c r="E1202" i="2"/>
  <c r="E1200" i="2"/>
  <c r="E1199" i="2"/>
  <c r="G1199" i="2" s="1"/>
  <c r="E1198" i="2"/>
  <c r="E1197" i="2"/>
  <c r="E1195" i="2"/>
  <c r="F1195" i="2" s="1"/>
  <c r="E1194" i="2"/>
  <c r="E1193" i="2"/>
  <c r="G1193" i="2" s="1"/>
  <c r="E1192" i="2"/>
  <c r="E1190" i="2"/>
  <c r="G1189" i="2"/>
  <c r="F1189" i="2"/>
  <c r="E1189" i="2"/>
  <c r="E1187" i="2"/>
  <c r="G1185" i="2"/>
  <c r="F1185" i="2"/>
  <c r="J1185" i="2" s="1"/>
  <c r="H1185" i="2" s="1"/>
  <c r="E1185" i="2"/>
  <c r="E1184" i="2"/>
  <c r="G1184" i="2" s="1"/>
  <c r="E1183" i="2"/>
  <c r="G1183" i="2" s="1"/>
  <c r="E1179" i="2"/>
  <c r="F1179" i="2" s="1"/>
  <c r="F1177" i="2"/>
  <c r="K1177" i="2" s="1"/>
  <c r="E1177" i="2"/>
  <c r="G1177" i="2" s="1"/>
  <c r="G1176" i="2"/>
  <c r="E1176" i="2"/>
  <c r="F1176" i="2" s="1"/>
  <c r="I1176" i="2" s="1"/>
  <c r="E1175" i="2"/>
  <c r="F1173" i="2"/>
  <c r="I1173" i="2" s="1"/>
  <c r="E1173" i="2"/>
  <c r="G1173" i="2" s="1"/>
  <c r="E1169" i="2"/>
  <c r="G1169" i="2" s="1"/>
  <c r="G1168" i="2"/>
  <c r="E1168" i="2"/>
  <c r="F1168" i="2" s="1"/>
  <c r="K1168" i="2" s="1"/>
  <c r="E1167" i="2"/>
  <c r="E1166" i="2"/>
  <c r="E1165" i="2"/>
  <c r="F1165" i="2" s="1"/>
  <c r="K1165" i="2" s="1"/>
  <c r="E1164" i="2"/>
  <c r="F1163" i="2"/>
  <c r="J1163" i="2" s="1"/>
  <c r="H1163" i="2" s="1"/>
  <c r="E1162" i="2"/>
  <c r="F1162" i="2" s="1"/>
  <c r="I1162" i="2" s="1"/>
  <c r="G1161" i="2"/>
  <c r="F1161" i="2"/>
  <c r="J1161" i="2" s="1"/>
  <c r="H1161" i="2" s="1"/>
  <c r="E1161" i="2"/>
  <c r="E1157" i="2"/>
  <c r="G1157" i="2" s="1"/>
  <c r="E1155" i="2"/>
  <c r="E1154" i="2"/>
  <c r="G1152" i="2"/>
  <c r="E1152" i="2"/>
  <c r="F1151" i="2"/>
  <c r="E1151" i="2"/>
  <c r="E1150" i="2"/>
  <c r="F1150" i="2" s="1"/>
  <c r="I1150" i="2" s="1"/>
  <c r="E1148" i="2"/>
  <c r="F1148" i="2" s="1"/>
  <c r="E1147" i="2"/>
  <c r="G1147" i="2" s="1"/>
  <c r="E1145" i="2"/>
  <c r="E1144" i="2"/>
  <c r="G1141" i="2"/>
  <c r="F1141" i="2"/>
  <c r="K1141" i="2" s="1"/>
  <c r="E1141" i="2"/>
  <c r="E1139" i="2"/>
  <c r="E1138" i="2"/>
  <c r="E1137" i="2"/>
  <c r="F1137" i="2" s="1"/>
  <c r="E1135" i="2"/>
  <c r="G1135" i="2" s="1"/>
  <c r="E1134" i="2"/>
  <c r="F1134" i="2" s="1"/>
  <c r="E1133" i="2"/>
  <c r="G1129" i="2"/>
  <c r="F1129" i="2"/>
  <c r="E1129" i="2"/>
  <c r="E1127" i="2"/>
  <c r="G1125" i="2"/>
  <c r="E1125" i="2"/>
  <c r="E1124" i="2"/>
  <c r="E1123" i="2"/>
  <c r="G1123" i="2" s="1"/>
  <c r="E1122" i="2"/>
  <c r="G1122" i="2" s="1"/>
  <c r="E1121" i="2"/>
  <c r="E1120" i="2"/>
  <c r="G1119" i="2"/>
  <c r="F1119" i="2"/>
  <c r="E1119" i="2"/>
  <c r="F1115" i="2"/>
  <c r="J1115" i="2" s="1"/>
  <c r="H1115" i="2" s="1"/>
  <c r="E1115" i="2"/>
  <c r="F1113" i="2"/>
  <c r="J1113" i="2" s="1"/>
  <c r="H1113" i="2" s="1"/>
  <c r="E1113" i="2"/>
  <c r="G1113" i="2" s="1"/>
  <c r="E1112" i="2"/>
  <c r="E1111" i="2"/>
  <c r="G1111" i="2" s="1"/>
  <c r="E1110" i="2"/>
  <c r="F1109" i="2"/>
  <c r="E1109" i="2"/>
  <c r="G1109" i="2" s="1"/>
  <c r="E1108" i="2"/>
  <c r="E1104" i="2"/>
  <c r="F1104" i="2" s="1"/>
  <c r="G1102" i="2"/>
  <c r="E1102" i="2"/>
  <c r="F1102" i="2" s="1"/>
  <c r="E1100" i="2"/>
  <c r="F1098" i="2"/>
  <c r="E1098" i="2"/>
  <c r="G1098" i="2" s="1"/>
  <c r="E1096" i="2"/>
  <c r="G1095" i="2"/>
  <c r="F1095" i="2"/>
  <c r="E1095" i="2"/>
  <c r="E1094" i="2"/>
  <c r="F1093" i="2"/>
  <c r="J1093" i="2" s="1"/>
  <c r="H1093" i="2" s="1"/>
  <c r="E1093" i="2"/>
  <c r="G1092" i="2"/>
  <c r="E1092" i="2"/>
  <c r="F1092" i="2" s="1"/>
  <c r="I1092" i="2" s="1"/>
  <c r="E1091" i="2"/>
  <c r="E1090" i="2"/>
  <c r="G1090" i="2" s="1"/>
  <c r="E1089" i="2"/>
  <c r="G1089" i="2" s="1"/>
  <c r="F1088" i="2"/>
  <c r="J1088" i="2" s="1"/>
  <c r="H1088" i="2" s="1"/>
  <c r="E1088" i="2"/>
  <c r="G1088" i="2" s="1"/>
  <c r="E1086" i="2"/>
  <c r="E1085" i="2"/>
  <c r="G1085" i="2" s="1"/>
  <c r="E1083" i="2"/>
  <c r="G1082" i="2"/>
  <c r="E1082" i="2"/>
  <c r="F1082" i="2" s="1"/>
  <c r="J1082" i="2" s="1"/>
  <c r="H1082" i="2" s="1"/>
  <c r="F1081" i="2"/>
  <c r="E1081" i="2"/>
  <c r="G1080" i="2"/>
  <c r="F1080" i="2"/>
  <c r="K1080" i="2" s="1"/>
  <c r="E1080" i="2"/>
  <c r="F1078" i="2"/>
  <c r="K1078" i="2" s="1"/>
  <c r="E1078" i="2"/>
  <c r="G1078" i="2" s="1"/>
  <c r="E1077" i="2"/>
  <c r="E1076" i="2"/>
  <c r="E1073" i="2"/>
  <c r="G1071" i="2"/>
  <c r="E1071" i="2"/>
  <c r="E1068" i="2"/>
  <c r="E1067" i="2"/>
  <c r="G1066" i="2"/>
  <c r="E1066" i="2"/>
  <c r="F1066" i="2" s="1"/>
  <c r="K1066" i="2" s="1"/>
  <c r="E1064" i="2"/>
  <c r="G1062" i="2"/>
  <c r="F1062" i="2"/>
  <c r="J1062" i="2" s="1"/>
  <c r="H1062" i="2" s="1"/>
  <c r="E1062" i="2"/>
  <c r="E1059" i="2"/>
  <c r="E1058" i="2"/>
  <c r="F1058" i="2" s="1"/>
  <c r="K1058" i="2" s="1"/>
  <c r="E1056" i="2"/>
  <c r="E1055" i="2"/>
  <c r="E1054" i="2"/>
  <c r="G1053" i="2"/>
  <c r="E1053" i="2"/>
  <c r="E1052" i="2"/>
  <c r="E1048" i="2"/>
  <c r="E1047" i="2"/>
  <c r="E1046" i="2"/>
  <c r="F1046" i="2" s="1"/>
  <c r="E1045" i="2"/>
  <c r="E1043" i="2"/>
  <c r="E1042" i="2"/>
  <c r="G1042" i="2" s="1"/>
  <c r="E1041" i="2"/>
  <c r="F1040" i="2"/>
  <c r="K1040" i="2" s="1"/>
  <c r="E1040" i="2"/>
  <c r="G1040" i="2" s="1"/>
  <c r="E1039" i="2"/>
  <c r="E1038" i="2"/>
  <c r="G1037" i="2"/>
  <c r="E1037" i="2"/>
  <c r="F1037" i="2" s="1"/>
  <c r="G1036" i="2"/>
  <c r="F1036" i="2"/>
  <c r="E1036" i="2"/>
  <c r="E1033" i="2"/>
  <c r="G1033" i="2" s="1"/>
  <c r="E1032" i="2"/>
  <c r="G1032" i="2" s="1"/>
  <c r="E1031" i="2"/>
  <c r="F1031" i="2" s="1"/>
  <c r="J1031" i="2" s="1"/>
  <c r="H1031" i="2" s="1"/>
  <c r="E1030" i="2"/>
  <c r="G1028" i="2"/>
  <c r="F1028" i="2"/>
  <c r="E1028" i="2"/>
  <c r="G1027" i="2"/>
  <c r="F1027" i="2"/>
  <c r="I1027" i="2" s="1"/>
  <c r="E1027" i="2"/>
  <c r="E1024" i="2"/>
  <c r="G1023" i="2"/>
  <c r="E1023" i="2"/>
  <c r="F1023" i="2" s="1"/>
  <c r="K1023" i="2" s="1"/>
  <c r="E1022" i="2"/>
  <c r="G1022" i="2" s="1"/>
  <c r="E1021" i="2"/>
  <c r="E1018" i="2"/>
  <c r="G1018" i="2" s="1"/>
  <c r="E1016" i="2"/>
  <c r="E1015" i="2"/>
  <c r="E1013" i="2"/>
  <c r="G1013" i="2" s="1"/>
  <c r="E1010" i="2"/>
  <c r="F1010" i="2" s="1"/>
  <c r="J1010" i="2" s="1"/>
  <c r="H1010" i="2" s="1"/>
  <c r="E1009" i="2"/>
  <c r="E1008" i="2"/>
  <c r="F1008" i="2" s="1"/>
  <c r="J1008" i="2" s="1"/>
  <c r="H1008" i="2" s="1"/>
  <c r="E1007" i="2"/>
  <c r="E1006" i="2"/>
  <c r="G1006" i="2" s="1"/>
  <c r="E1005" i="2"/>
  <c r="E1004" i="2"/>
  <c r="G1004" i="2" s="1"/>
  <c r="E1003" i="2"/>
  <c r="G1002" i="2"/>
  <c r="E1002" i="2"/>
  <c r="F1002" i="2" s="1"/>
  <c r="K1002" i="2" s="1"/>
  <c r="E1000" i="2"/>
  <c r="E999" i="2"/>
  <c r="F999" i="2" s="1"/>
  <c r="G998" i="2"/>
  <c r="E998" i="2"/>
  <c r="F998" i="2" s="1"/>
  <c r="J998" i="2" s="1"/>
  <c r="H998" i="2" s="1"/>
  <c r="E994" i="2"/>
  <c r="G994" i="2" s="1"/>
  <c r="E993" i="2"/>
  <c r="F993" i="2" s="1"/>
  <c r="I993" i="2" s="1"/>
  <c r="E991" i="2"/>
  <c r="E990" i="2"/>
  <c r="G990" i="2" s="1"/>
  <c r="E989" i="2"/>
  <c r="G989" i="2" s="1"/>
  <c r="G985" i="2"/>
  <c r="E985" i="2"/>
  <c r="F985" i="2" s="1"/>
  <c r="K985" i="2" s="1"/>
  <c r="F984" i="2"/>
  <c r="E984" i="2"/>
  <c r="G984" i="2" s="1"/>
  <c r="G983" i="2"/>
  <c r="F983" i="2"/>
  <c r="K983" i="2" s="1"/>
  <c r="E983" i="2"/>
  <c r="E982" i="2"/>
  <c r="G982" i="2" s="1"/>
  <c r="E981" i="2"/>
  <c r="F981" i="2" s="1"/>
  <c r="K981" i="2" s="1"/>
  <c r="E979" i="2"/>
  <c r="F978" i="2"/>
  <c r="K978" i="2" s="1"/>
  <c r="E978" i="2"/>
  <c r="G978" i="2" s="1"/>
  <c r="E977" i="2"/>
  <c r="E976" i="2"/>
  <c r="G975" i="2"/>
  <c r="E975" i="2"/>
  <c r="F975" i="2" s="1"/>
  <c r="K975" i="2" s="1"/>
  <c r="E973" i="2"/>
  <c r="G973" i="2" s="1"/>
  <c r="E972" i="2"/>
  <c r="G972" i="2" s="1"/>
  <c r="E969" i="2"/>
  <c r="E967" i="2"/>
  <c r="E966" i="2"/>
  <c r="E964" i="2"/>
  <c r="G963" i="2"/>
  <c r="E963" i="2"/>
  <c r="F963" i="2" s="1"/>
  <c r="E961" i="2"/>
  <c r="E960" i="2"/>
  <c r="G960" i="2" s="1"/>
  <c r="F956" i="2"/>
  <c r="E956" i="2"/>
  <c r="G954" i="2"/>
  <c r="F954" i="2"/>
  <c r="I954" i="2" s="1"/>
  <c r="E954" i="2"/>
  <c r="E953" i="2"/>
  <c r="E951" i="2"/>
  <c r="E948" i="2"/>
  <c r="G948" i="2" s="1"/>
  <c r="G947" i="2"/>
  <c r="E947" i="2"/>
  <c r="F947" i="2" s="1"/>
  <c r="F946" i="2"/>
  <c r="E946" i="2"/>
  <c r="E944" i="2"/>
  <c r="F944" i="2" s="1"/>
  <c r="K944" i="2" s="1"/>
  <c r="G943" i="2"/>
  <c r="E943" i="2"/>
  <c r="F943" i="2" s="1"/>
  <c r="I943" i="2" s="1"/>
  <c r="E942" i="2"/>
  <c r="E940" i="2"/>
  <c r="F940" i="2" s="1"/>
  <c r="J940" i="2" s="1"/>
  <c r="H940" i="2" s="1"/>
  <c r="E939" i="2"/>
  <c r="E937" i="2"/>
  <c r="G936" i="2"/>
  <c r="E936" i="2"/>
  <c r="E935" i="2"/>
  <c r="G931" i="2"/>
  <c r="F931" i="2"/>
  <c r="E931" i="2"/>
  <c r="J930" i="2"/>
  <c r="H930" i="2" s="1"/>
  <c r="E929" i="2"/>
  <c r="F929" i="2" s="1"/>
  <c r="E928" i="2"/>
  <c r="F928" i="2" s="1"/>
  <c r="E927" i="2"/>
  <c r="E926" i="2"/>
  <c r="G926" i="2" s="1"/>
  <c r="E925" i="2"/>
  <c r="G925" i="2" s="1"/>
  <c r="E924" i="2"/>
  <c r="G924" i="2" s="1"/>
  <c r="G922" i="2"/>
  <c r="F922" i="2"/>
  <c r="K922" i="2" s="1"/>
  <c r="E922" i="2"/>
  <c r="E920" i="2"/>
  <c r="E919" i="2"/>
  <c r="E916" i="2"/>
  <c r="F916" i="2" s="1"/>
  <c r="J916" i="2" s="1"/>
  <c r="H916" i="2" s="1"/>
  <c r="E915" i="2"/>
  <c r="G915" i="2" s="1"/>
  <c r="E914" i="2"/>
  <c r="G914" i="2" s="1"/>
  <c r="E913" i="2"/>
  <c r="F913" i="2" s="1"/>
  <c r="I913" i="2" s="1"/>
  <c r="E911" i="2"/>
  <c r="G910" i="2"/>
  <c r="F910" i="2"/>
  <c r="E910" i="2"/>
  <c r="E908" i="2"/>
  <c r="E907" i="2"/>
  <c r="E906" i="2"/>
  <c r="G906" i="2" s="1"/>
  <c r="E904" i="2"/>
  <c r="G904" i="2" s="1"/>
  <c r="E903" i="2"/>
  <c r="F903" i="2" s="1"/>
  <c r="J903" i="2" s="1"/>
  <c r="H903" i="2" s="1"/>
  <c r="E901" i="2"/>
  <c r="F900" i="2"/>
  <c r="J900" i="2" s="1"/>
  <c r="H900" i="2" s="1"/>
  <c r="E900" i="2"/>
  <c r="G900" i="2" s="1"/>
  <c r="F898" i="2"/>
  <c r="J898" i="2" s="1"/>
  <c r="H898" i="2" s="1"/>
  <c r="E898" i="2"/>
  <c r="G897" i="2"/>
  <c r="E897" i="2"/>
  <c r="F897" i="2" s="1"/>
  <c r="I897" i="2" s="1"/>
  <c r="E896" i="2"/>
  <c r="G896" i="2" s="1"/>
  <c r="E895" i="2"/>
  <c r="E894" i="2"/>
  <c r="G894" i="2" s="1"/>
  <c r="E893" i="2"/>
  <c r="G893" i="2" s="1"/>
  <c r="G892" i="2"/>
  <c r="E892" i="2"/>
  <c r="F892" i="2" s="1"/>
  <c r="E890" i="2"/>
  <c r="E889" i="2"/>
  <c r="F889" i="2" s="1"/>
  <c r="E886" i="2"/>
  <c r="G885" i="2"/>
  <c r="E885" i="2"/>
  <c r="F885" i="2" s="1"/>
  <c r="G884" i="2"/>
  <c r="E884" i="2"/>
  <c r="F884" i="2" s="1"/>
  <c r="I884" i="2" s="1"/>
  <c r="E880" i="2"/>
  <c r="G880" i="2" s="1"/>
  <c r="E879" i="2"/>
  <c r="F879" i="2" s="1"/>
  <c r="I879" i="2" s="1"/>
  <c r="E878" i="2"/>
  <c r="F878" i="2" s="1"/>
  <c r="E877" i="2"/>
  <c r="G876" i="2"/>
  <c r="F876" i="2"/>
  <c r="E876" i="2"/>
  <c r="G875" i="2"/>
  <c r="E875" i="2"/>
  <c r="E874" i="2"/>
  <c r="G873" i="2"/>
  <c r="E873" i="2"/>
  <c r="F873" i="2" s="1"/>
  <c r="J873" i="2" s="1"/>
  <c r="H873" i="2" s="1"/>
  <c r="G872" i="2"/>
  <c r="E872" i="2"/>
  <c r="F872" i="2" s="1"/>
  <c r="G871" i="2"/>
  <c r="F871" i="2"/>
  <c r="K871" i="2" s="1"/>
  <c r="E871" i="2"/>
  <c r="E870" i="2"/>
  <c r="G870" i="2" s="1"/>
  <c r="E869" i="2"/>
  <c r="F869" i="2" s="1"/>
  <c r="K869" i="2" s="1"/>
  <c r="E867" i="2"/>
  <c r="E866" i="2"/>
  <c r="E865" i="2"/>
  <c r="E864" i="2"/>
  <c r="G861" i="2"/>
  <c r="E861" i="2"/>
  <c r="F861" i="2" s="1"/>
  <c r="K861" i="2" s="1"/>
  <c r="G859" i="2"/>
  <c r="E859" i="2"/>
  <c r="E858" i="2"/>
  <c r="G858" i="2" s="1"/>
  <c r="E857" i="2"/>
  <c r="G857" i="2" s="1"/>
  <c r="G856" i="2"/>
  <c r="F856" i="2"/>
  <c r="E856" i="2"/>
  <c r="E855" i="2"/>
  <c r="G854" i="2"/>
  <c r="F854" i="2"/>
  <c r="E854" i="2"/>
  <c r="E850" i="2"/>
  <c r="G849" i="2"/>
  <c r="E849" i="2"/>
  <c r="F849" i="2" s="1"/>
  <c r="E847" i="2"/>
  <c r="E846" i="2"/>
  <c r="G846" i="2" s="1"/>
  <c r="E845" i="2"/>
  <c r="G844" i="2"/>
  <c r="F844" i="2"/>
  <c r="E844" i="2"/>
  <c r="E843" i="2"/>
  <c r="E842" i="2"/>
  <c r="F842" i="2" s="1"/>
  <c r="E841" i="2"/>
  <c r="E840" i="2"/>
  <c r="G839" i="2"/>
  <c r="E839" i="2"/>
  <c r="F839" i="2" s="1"/>
  <c r="K839" i="2" s="1"/>
  <c r="G838" i="2"/>
  <c r="F838" i="2"/>
  <c r="E838" i="2"/>
  <c r="E837" i="2"/>
  <c r="G837" i="2" s="1"/>
  <c r="E835" i="2"/>
  <c r="F835" i="2" s="1"/>
  <c r="E834" i="2"/>
  <c r="F834" i="2" s="1"/>
  <c r="G832" i="2"/>
  <c r="F832" i="2"/>
  <c r="K832" i="2" s="1"/>
  <c r="E832" i="2"/>
  <c r="E831" i="2"/>
  <c r="G831" i="2" s="1"/>
  <c r="E829" i="2"/>
  <c r="F829" i="2" s="1"/>
  <c r="J829" i="2" s="1"/>
  <c r="H829" i="2" s="1"/>
  <c r="E828" i="2"/>
  <c r="F828" i="2" s="1"/>
  <c r="J828" i="2" s="1"/>
  <c r="H828" i="2" s="1"/>
  <c r="E827" i="2"/>
  <c r="E826" i="2"/>
  <c r="G826" i="2" s="1"/>
  <c r="E824" i="2"/>
  <c r="G824" i="2" s="1"/>
  <c r="E822" i="2"/>
  <c r="G822" i="2" s="1"/>
  <c r="E821" i="2"/>
  <c r="E820" i="2"/>
  <c r="F820" i="2" s="1"/>
  <c r="E819" i="2"/>
  <c r="F819" i="2" s="1"/>
  <c r="F818" i="2"/>
  <c r="J818" i="2" s="1"/>
  <c r="H818" i="2" s="1"/>
  <c r="E818" i="2"/>
  <c r="E817" i="2"/>
  <c r="G816" i="2"/>
  <c r="E816" i="2"/>
  <c r="F816" i="2" s="1"/>
  <c r="J816" i="2" s="1"/>
  <c r="H816" i="2" s="1"/>
  <c r="E815" i="2"/>
  <c r="E814" i="2"/>
  <c r="G814" i="2" s="1"/>
  <c r="E813" i="2"/>
  <c r="G812" i="2"/>
  <c r="E812" i="2"/>
  <c r="E810" i="2"/>
  <c r="G810" i="2" s="1"/>
  <c r="E809" i="2"/>
  <c r="F808" i="2"/>
  <c r="J808" i="2" s="1"/>
  <c r="H808" i="2" s="1"/>
  <c r="E808" i="2"/>
  <c r="G805" i="2"/>
  <c r="E805" i="2"/>
  <c r="F805" i="2" s="1"/>
  <c r="E803" i="2"/>
  <c r="G803" i="2" s="1"/>
  <c r="E802" i="2"/>
  <c r="G802" i="2" s="1"/>
  <c r="E800" i="2"/>
  <c r="E799" i="2"/>
  <c r="E798" i="2"/>
  <c r="G797" i="2"/>
  <c r="F797" i="2"/>
  <c r="I797" i="2" s="1"/>
  <c r="E797" i="2"/>
  <c r="E796" i="2"/>
  <c r="E795" i="2"/>
  <c r="F795" i="2" s="1"/>
  <c r="K795" i="2" s="1"/>
  <c r="E793" i="2"/>
  <c r="G793" i="2" s="1"/>
  <c r="E792" i="2"/>
  <c r="G792" i="2" s="1"/>
  <c r="E791" i="2"/>
  <c r="F791" i="2" s="1"/>
  <c r="K791" i="2" s="1"/>
  <c r="E789" i="2"/>
  <c r="E787" i="2"/>
  <c r="E786" i="2"/>
  <c r="G785" i="2"/>
  <c r="E785" i="2"/>
  <c r="F784" i="2"/>
  <c r="J784" i="2" s="1"/>
  <c r="H784" i="2" s="1"/>
  <c r="E784" i="2"/>
  <c r="G783" i="2"/>
  <c r="E783" i="2"/>
  <c r="F783" i="2" s="1"/>
  <c r="G782" i="2"/>
  <c r="J782" i="2"/>
  <c r="H782" i="2" s="1"/>
  <c r="E781" i="2"/>
  <c r="G781" i="2" s="1"/>
  <c r="E780" i="2"/>
  <c r="G780" i="2" s="1"/>
  <c r="G777" i="2"/>
  <c r="E777" i="2"/>
  <c r="E776" i="2"/>
  <c r="F776" i="2" s="1"/>
  <c r="E775" i="2"/>
  <c r="E774" i="2"/>
  <c r="G774" i="2" s="1"/>
  <c r="G771" i="2"/>
  <c r="E771" i="2"/>
  <c r="F771" i="2" s="1"/>
  <c r="I771" i="2" s="1"/>
  <c r="E769" i="2"/>
  <c r="E768" i="2"/>
  <c r="G768" i="2" s="1"/>
  <c r="E767" i="2"/>
  <c r="F767" i="2" s="1"/>
  <c r="K767" i="2" s="1"/>
  <c r="E766" i="2"/>
  <c r="G766" i="2" s="1"/>
  <c r="G763" i="2"/>
  <c r="F763" i="2"/>
  <c r="E763" i="2"/>
  <c r="G761" i="2"/>
  <c r="E761" i="2"/>
  <c r="E760" i="2"/>
  <c r="F760" i="2" s="1"/>
  <c r="E758" i="2"/>
  <c r="G758" i="2" s="1"/>
  <c r="G757" i="2"/>
  <c r="F757" i="2"/>
  <c r="K757" i="2" s="1"/>
  <c r="E757" i="2"/>
  <c r="E756" i="2"/>
  <c r="G756" i="2" s="1"/>
  <c r="E755" i="2"/>
  <c r="E754" i="2"/>
  <c r="E753" i="2"/>
  <c r="E752" i="2"/>
  <c r="E751" i="2"/>
  <c r="E750" i="2"/>
  <c r="G749" i="2"/>
  <c r="E749" i="2"/>
  <c r="F749" i="2" s="1"/>
  <c r="K749" i="2" s="1"/>
  <c r="G748" i="2"/>
  <c r="E748" i="2"/>
  <c r="F748" i="2" s="1"/>
  <c r="E747" i="2"/>
  <c r="G747" i="2" s="1"/>
  <c r="E746" i="2"/>
  <c r="G746" i="2" s="1"/>
  <c r="E745" i="2"/>
  <c r="E744" i="2"/>
  <c r="G744" i="2" s="1"/>
  <c r="E743" i="2"/>
  <c r="G742" i="2"/>
  <c r="E742" i="2"/>
  <c r="F742" i="2" s="1"/>
  <c r="J742" i="2" s="1"/>
  <c r="H742" i="2" s="1"/>
  <c r="E741" i="2"/>
  <c r="G741" i="2" s="1"/>
  <c r="E738" i="2"/>
  <c r="F736" i="2"/>
  <c r="I736" i="2" s="1"/>
  <c r="E736" i="2"/>
  <c r="G736" i="2" s="1"/>
  <c r="E735" i="2"/>
  <c r="E734" i="2"/>
  <c r="G734" i="2" s="1"/>
  <c r="E733" i="2"/>
  <c r="E732" i="2"/>
  <c r="F732" i="2" s="1"/>
  <c r="E731" i="2"/>
  <c r="E730" i="2"/>
  <c r="E727" i="2"/>
  <c r="E725" i="2"/>
  <c r="F725" i="2" s="1"/>
  <c r="I725" i="2" s="1"/>
  <c r="G724" i="2"/>
  <c r="F724" i="2"/>
  <c r="E724" i="2"/>
  <c r="G723" i="2"/>
  <c r="F723" i="2"/>
  <c r="K723" i="2" s="1"/>
  <c r="E723" i="2"/>
  <c r="E722" i="2"/>
  <c r="G722" i="2" s="1"/>
  <c r="E720" i="2"/>
  <c r="F720" i="2" s="1"/>
  <c r="E719" i="2"/>
  <c r="G718" i="2"/>
  <c r="E718" i="2"/>
  <c r="F718" i="2" s="1"/>
  <c r="E717" i="2"/>
  <c r="F717" i="2" s="1"/>
  <c r="I717" i="2" s="1"/>
  <c r="E716" i="2"/>
  <c r="E715" i="2"/>
  <c r="F715" i="2" s="1"/>
  <c r="J715" i="2" s="1"/>
  <c r="H715" i="2" s="1"/>
  <c r="E714" i="2"/>
  <c r="F714" i="2" s="1"/>
  <c r="I714" i="2" s="1"/>
  <c r="E713" i="2"/>
  <c r="F713" i="2" s="1"/>
  <c r="K713" i="2" s="1"/>
  <c r="E712" i="2"/>
  <c r="G712" i="2" s="1"/>
  <c r="E711" i="2"/>
  <c r="E709" i="2"/>
  <c r="E708" i="2"/>
  <c r="G708" i="2" s="1"/>
  <c r="G705" i="2"/>
  <c r="F705" i="2"/>
  <c r="E705" i="2"/>
  <c r="F704" i="2"/>
  <c r="J704" i="2" s="1"/>
  <c r="H704" i="2" s="1"/>
  <c r="E704" i="2"/>
  <c r="E703" i="2"/>
  <c r="E702" i="2"/>
  <c r="G702" i="2" s="1"/>
  <c r="E701" i="2"/>
  <c r="F701" i="2" s="1"/>
  <c r="E700" i="2"/>
  <c r="G700" i="2" s="1"/>
  <c r="E699" i="2"/>
  <c r="G699" i="2" s="1"/>
  <c r="E698" i="2"/>
  <c r="G698" i="2" s="1"/>
  <c r="E697" i="2"/>
  <c r="G696" i="2"/>
  <c r="E696" i="2"/>
  <c r="F696" i="2" s="1"/>
  <c r="K696" i="2" s="1"/>
  <c r="E695" i="2"/>
  <c r="E694" i="2"/>
  <c r="G692" i="2"/>
  <c r="F692" i="2"/>
  <c r="J692" i="2" s="1"/>
  <c r="H692" i="2" s="1"/>
  <c r="E692" i="2"/>
  <c r="E691" i="2"/>
  <c r="G691" i="2" s="1"/>
  <c r="E689" i="2"/>
  <c r="F689" i="2" s="1"/>
  <c r="K689" i="2" s="1"/>
  <c r="E687" i="2"/>
  <c r="E685" i="2"/>
  <c r="G684" i="2"/>
  <c r="F684" i="2"/>
  <c r="E684" i="2"/>
  <c r="E681" i="2"/>
  <c r="E679" i="2"/>
  <c r="G679" i="2" s="1"/>
  <c r="E676" i="2"/>
  <c r="G676" i="2" s="1"/>
  <c r="E674" i="2"/>
  <c r="E673" i="2"/>
  <c r="E672" i="2"/>
  <c r="F672" i="2" s="1"/>
  <c r="J672" i="2" s="1"/>
  <c r="H672" i="2" s="1"/>
  <c r="E670" i="2"/>
  <c r="F670" i="2" s="1"/>
  <c r="J670" i="2" s="1"/>
  <c r="H670" i="2" s="1"/>
  <c r="E669" i="2"/>
  <c r="F669" i="2" s="1"/>
  <c r="I669" i="2" s="1"/>
  <c r="G668" i="2"/>
  <c r="F668" i="2"/>
  <c r="J668" i="2" s="1"/>
  <c r="H668" i="2" s="1"/>
  <c r="E668" i="2"/>
  <c r="E666" i="2"/>
  <c r="G666" i="2" s="1"/>
  <c r="G665" i="2"/>
  <c r="E665" i="2"/>
  <c r="E664" i="2"/>
  <c r="G664" i="2" s="1"/>
  <c r="E663" i="2"/>
  <c r="E662" i="2"/>
  <c r="F662" i="2" s="1"/>
  <c r="E661" i="2"/>
  <c r="F661" i="2" s="1"/>
  <c r="G659" i="2"/>
  <c r="E659" i="2"/>
  <c r="F659" i="2" s="1"/>
  <c r="I659" i="2" s="1"/>
  <c r="E658" i="2"/>
  <c r="G658" i="2" s="1"/>
  <c r="E657" i="2"/>
  <c r="E656" i="2"/>
  <c r="G656" i="2" s="1"/>
  <c r="E655" i="2"/>
  <c r="F655" i="2" s="1"/>
  <c r="E653" i="2"/>
  <c r="G652" i="2"/>
  <c r="F652" i="2"/>
  <c r="E652" i="2"/>
  <c r="E651" i="2"/>
  <c r="G651" i="2" s="1"/>
  <c r="E650" i="2"/>
  <c r="F650" i="2" s="1"/>
  <c r="E649" i="2"/>
  <c r="F649" i="2" s="1"/>
  <c r="E648" i="2"/>
  <c r="E646" i="2"/>
  <c r="G646" i="2" s="1"/>
  <c r="E645" i="2"/>
  <c r="F645" i="2" s="1"/>
  <c r="I645" i="2" s="1"/>
  <c r="E644" i="2"/>
  <c r="G642" i="2"/>
  <c r="F642" i="2"/>
  <c r="K642" i="2" s="1"/>
  <c r="E642" i="2"/>
  <c r="E641" i="2"/>
  <c r="E638" i="2"/>
  <c r="E637" i="2"/>
  <c r="F637" i="2" s="1"/>
  <c r="E636" i="2"/>
  <c r="E635" i="2"/>
  <c r="E631" i="2"/>
  <c r="G631" i="2" s="1"/>
  <c r="G630" i="2"/>
  <c r="E630" i="2"/>
  <c r="F630" i="2" s="1"/>
  <c r="E629" i="2"/>
  <c r="F628" i="2"/>
  <c r="K628" i="2" s="1"/>
  <c r="E628" i="2"/>
  <c r="E626" i="2"/>
  <c r="G622" i="2"/>
  <c r="F622" i="2"/>
  <c r="J622" i="2" s="1"/>
  <c r="H622" i="2" s="1"/>
  <c r="E622" i="2"/>
  <c r="E621" i="2"/>
  <c r="E620" i="2"/>
  <c r="G620" i="2" s="1"/>
  <c r="E619" i="2"/>
  <c r="E618" i="2"/>
  <c r="G618" i="2" s="1"/>
  <c r="E617" i="2"/>
  <c r="G616" i="2"/>
  <c r="F616" i="2"/>
  <c r="E616" i="2"/>
  <c r="E615" i="2"/>
  <c r="E614" i="2"/>
  <c r="E613" i="2"/>
  <c r="F613" i="2" s="1"/>
  <c r="K613" i="2" s="1"/>
  <c r="F611" i="2"/>
  <c r="K611" i="2" s="1"/>
  <c r="E611" i="2"/>
  <c r="G611" i="2" s="1"/>
  <c r="E610" i="2"/>
  <c r="G610" i="2" s="1"/>
  <c r="E609" i="2"/>
  <c r="E606" i="2"/>
  <c r="G604" i="2"/>
  <c r="F604" i="2"/>
  <c r="K604" i="2" s="1"/>
  <c r="E604" i="2"/>
  <c r="E602" i="2"/>
  <c r="F600" i="2"/>
  <c r="J600" i="2" s="1"/>
  <c r="H600" i="2" s="1"/>
  <c r="E600" i="2"/>
  <c r="G600" i="2" s="1"/>
  <c r="E598" i="2"/>
  <c r="G598" i="2" s="1"/>
  <c r="G597" i="2"/>
  <c r="E597" i="2"/>
  <c r="G596" i="2"/>
  <c r="E596" i="2"/>
  <c r="E595" i="2"/>
  <c r="E593" i="2"/>
  <c r="F592" i="2"/>
  <c r="J592" i="2" s="1"/>
  <c r="H592" i="2" s="1"/>
  <c r="E592" i="2"/>
  <c r="E591" i="2"/>
  <c r="G588" i="2"/>
  <c r="F588" i="2"/>
  <c r="E588" i="2"/>
  <c r="E587" i="2"/>
  <c r="E586" i="2"/>
  <c r="G586" i="2" s="1"/>
  <c r="E585" i="2"/>
  <c r="G584" i="2"/>
  <c r="E584" i="2"/>
  <c r="G582" i="2"/>
  <c r="F582" i="2"/>
  <c r="E582" i="2"/>
  <c r="E581" i="2"/>
  <c r="E580" i="2"/>
  <c r="F580" i="2" s="1"/>
  <c r="J580" i="2" s="1"/>
  <c r="H580" i="2" s="1"/>
  <c r="G579" i="2"/>
  <c r="E579" i="2"/>
  <c r="F579" i="2" s="1"/>
  <c r="K579" i="2" s="1"/>
  <c r="E577" i="2"/>
  <c r="E576" i="2"/>
  <c r="G576" i="2" s="1"/>
  <c r="F575" i="2"/>
  <c r="K575" i="2" s="1"/>
  <c r="E575" i="2"/>
  <c r="E574" i="2"/>
  <c r="F574" i="2" s="1"/>
  <c r="E573" i="2"/>
  <c r="G572" i="2"/>
  <c r="F572" i="2"/>
  <c r="I572" i="2" s="1"/>
  <c r="E572" i="2"/>
  <c r="E570" i="2"/>
  <c r="G568" i="2"/>
  <c r="E568" i="2"/>
  <c r="F568" i="2" s="1"/>
  <c r="J568" i="2" s="1"/>
  <c r="H568" i="2" s="1"/>
  <c r="E567" i="2"/>
  <c r="E564" i="2"/>
  <c r="G564" i="2" s="1"/>
  <c r="E562" i="2"/>
  <c r="G562" i="2" s="1"/>
  <c r="E561" i="2"/>
  <c r="G560" i="2"/>
  <c r="F560" i="2"/>
  <c r="K560" i="2" s="1"/>
  <c r="E560" i="2"/>
  <c r="E557" i="2"/>
  <c r="G557" i="2" s="1"/>
  <c r="E556" i="2"/>
  <c r="F556" i="2" s="1"/>
  <c r="J556" i="2" s="1"/>
  <c r="H556" i="2" s="1"/>
  <c r="E554" i="2"/>
  <c r="E553" i="2"/>
  <c r="G553" i="2" s="1"/>
  <c r="E552" i="2"/>
  <c r="G552" i="2" s="1"/>
  <c r="E551" i="2"/>
  <c r="F551" i="2" s="1"/>
  <c r="E549" i="2"/>
  <c r="E547" i="2"/>
  <c r="G546" i="2"/>
  <c r="F546" i="2"/>
  <c r="E546" i="2"/>
  <c r="E544" i="2"/>
  <c r="E543" i="2"/>
  <c r="F543" i="2" s="1"/>
  <c r="K543" i="2" s="1"/>
  <c r="E542" i="2"/>
  <c r="E541" i="2"/>
  <c r="F541" i="2" s="1"/>
  <c r="E540" i="2"/>
  <c r="G540" i="2" s="1"/>
  <c r="G538" i="2"/>
  <c r="F538" i="2"/>
  <c r="J538" i="2" s="1"/>
  <c r="H538" i="2" s="1"/>
  <c r="E538" i="2"/>
  <c r="E536" i="2"/>
  <c r="E535" i="2"/>
  <c r="E534" i="2"/>
  <c r="G534" i="2" s="1"/>
  <c r="F532" i="2"/>
  <c r="E532" i="2"/>
  <c r="G531" i="2"/>
  <c r="E531" i="2"/>
  <c r="F531" i="2" s="1"/>
  <c r="E529" i="2"/>
  <c r="E527" i="2"/>
  <c r="G527" i="2" s="1"/>
  <c r="E526" i="2"/>
  <c r="G526" i="2" s="1"/>
  <c r="E525" i="2"/>
  <c r="G525" i="2" s="1"/>
  <c r="E524" i="2"/>
  <c r="F524" i="2" s="1"/>
  <c r="E522" i="2"/>
  <c r="F520" i="2"/>
  <c r="I520" i="2" s="1"/>
  <c r="E520" i="2"/>
  <c r="G520" i="2" s="1"/>
  <c r="E519" i="2"/>
  <c r="F518" i="2"/>
  <c r="J518" i="2" s="1"/>
  <c r="H518" i="2" s="1"/>
  <c r="E518" i="2"/>
  <c r="G517" i="2"/>
  <c r="E517" i="2"/>
  <c r="F517" i="2" s="1"/>
  <c r="K517" i="2" s="1"/>
  <c r="G516" i="2"/>
  <c r="E516" i="2"/>
  <c r="F516" i="2" s="1"/>
  <c r="J516" i="2" s="1"/>
  <c r="H516" i="2" s="1"/>
  <c r="E515" i="2"/>
  <c r="E514" i="2"/>
  <c r="G514" i="2" s="1"/>
  <c r="E512" i="2"/>
  <c r="E511" i="2"/>
  <c r="G510" i="2"/>
  <c r="F510" i="2"/>
  <c r="J510" i="2" s="1"/>
  <c r="H510" i="2" s="1"/>
  <c r="E510" i="2"/>
  <c r="E509" i="2"/>
  <c r="F509" i="2" s="1"/>
  <c r="E507" i="2"/>
  <c r="F507" i="2" s="1"/>
  <c r="K507" i="2" s="1"/>
  <c r="E505" i="2"/>
  <c r="F505" i="2" s="1"/>
  <c r="G504" i="2"/>
  <c r="F504" i="2"/>
  <c r="E504" i="2"/>
  <c r="E502" i="2"/>
  <c r="G502" i="2" s="1"/>
  <c r="E501" i="2"/>
  <c r="F501" i="2" s="1"/>
  <c r="E500" i="2"/>
  <c r="E499" i="2"/>
  <c r="G498" i="2"/>
  <c r="F498" i="2"/>
  <c r="E498" i="2"/>
  <c r="E496" i="2"/>
  <c r="F496" i="2" s="1"/>
  <c r="E494" i="2"/>
  <c r="F494" i="2" s="1"/>
  <c r="K494" i="2" s="1"/>
  <c r="E492" i="2"/>
  <c r="E491" i="2"/>
  <c r="G491" i="2" s="1"/>
  <c r="E490" i="2"/>
  <c r="G490" i="2" s="1"/>
  <c r="F487" i="2"/>
  <c r="E487" i="2"/>
  <c r="E486" i="2"/>
  <c r="E485" i="2"/>
  <c r="E484" i="2"/>
  <c r="G484" i="2" s="1"/>
  <c r="E483" i="2"/>
  <c r="E482" i="2"/>
  <c r="E481" i="2"/>
  <c r="F481" i="2" s="1"/>
  <c r="K481" i="2" s="1"/>
  <c r="F479" i="2"/>
  <c r="E479" i="2"/>
  <c r="E478" i="2"/>
  <c r="G478" i="2" s="1"/>
  <c r="E477" i="2"/>
  <c r="G477" i="2" s="1"/>
  <c r="E475" i="2"/>
  <c r="F474" i="2"/>
  <c r="E474" i="2"/>
  <c r="G474" i="2" s="1"/>
  <c r="E472" i="2"/>
  <c r="E470" i="2"/>
  <c r="F470" i="2" s="1"/>
  <c r="E469" i="2"/>
  <c r="F469" i="2" s="1"/>
  <c r="J469" i="2" s="1"/>
  <c r="H469" i="2" s="1"/>
  <c r="E468" i="2"/>
  <c r="G468" i="2" s="1"/>
  <c r="G467" i="2"/>
  <c r="E467" i="2"/>
  <c r="F467" i="2" s="1"/>
  <c r="K467" i="2" s="1"/>
  <c r="E466" i="2"/>
  <c r="G466" i="2" s="1"/>
  <c r="E465" i="2"/>
  <c r="G465" i="2" s="1"/>
  <c r="E464" i="2"/>
  <c r="E461" i="2"/>
  <c r="E459" i="2"/>
  <c r="F459" i="2" s="1"/>
  <c r="E458" i="2"/>
  <c r="G458" i="2" s="1"/>
  <c r="E457" i="2"/>
  <c r="E456" i="2"/>
  <c r="G456" i="2" s="1"/>
  <c r="E455" i="2"/>
  <c r="E454" i="2"/>
  <c r="F454" i="2" s="1"/>
  <c r="E452" i="2"/>
  <c r="F450" i="2"/>
  <c r="E450" i="2"/>
  <c r="E448" i="2"/>
  <c r="E447" i="2"/>
  <c r="E445" i="2"/>
  <c r="E444" i="2"/>
  <c r="G444" i="2" s="1"/>
  <c r="E443" i="2"/>
  <c r="G443" i="2" s="1"/>
  <c r="G442" i="2"/>
  <c r="E442" i="2"/>
  <c r="F442" i="2" s="1"/>
  <c r="E440" i="2"/>
  <c r="F440" i="2" s="1"/>
  <c r="I440" i="2" s="1"/>
  <c r="E438" i="2"/>
  <c r="F438" i="2" s="1"/>
  <c r="F436" i="2"/>
  <c r="J436" i="2" s="1"/>
  <c r="H436" i="2" s="1"/>
  <c r="E436" i="2"/>
  <c r="E435" i="2"/>
  <c r="E434" i="2"/>
  <c r="E433" i="2"/>
  <c r="E432" i="2"/>
  <c r="G432" i="2" s="1"/>
  <c r="E430" i="2"/>
  <c r="E429" i="2"/>
  <c r="G428" i="2"/>
  <c r="F428" i="2"/>
  <c r="E428" i="2"/>
  <c r="E427" i="2"/>
  <c r="G427" i="2" s="1"/>
  <c r="E426" i="2"/>
  <c r="G425" i="2"/>
  <c r="E425" i="2"/>
  <c r="F425" i="2" s="1"/>
  <c r="E424" i="2"/>
  <c r="E423" i="2"/>
  <c r="E422" i="2"/>
  <c r="G422" i="2" s="1"/>
  <c r="E421" i="2"/>
  <c r="G421" i="2" s="1"/>
  <c r="F420" i="2"/>
  <c r="E420" i="2"/>
  <c r="G418" i="2"/>
  <c r="F418" i="2"/>
  <c r="E418" i="2"/>
  <c r="G417" i="2"/>
  <c r="E417" i="2"/>
  <c r="F417" i="2" s="1"/>
  <c r="I417" i="2" s="1"/>
  <c r="E415" i="2"/>
  <c r="F415" i="2" s="1"/>
  <c r="K415" i="2" s="1"/>
  <c r="E414" i="2"/>
  <c r="E413" i="2"/>
  <c r="G413" i="2" s="1"/>
  <c r="E412" i="2"/>
  <c r="G412" i="2" s="1"/>
  <c r="E411" i="2"/>
  <c r="G411" i="2" s="1"/>
  <c r="G410" i="2"/>
  <c r="E410" i="2"/>
  <c r="F410" i="2" s="1"/>
  <c r="E409" i="2"/>
  <c r="E407" i="2"/>
  <c r="E406" i="2"/>
  <c r="E404" i="2"/>
  <c r="E403" i="2"/>
  <c r="E400" i="2"/>
  <c r="G400" i="2" s="1"/>
  <c r="G398" i="2"/>
  <c r="F398" i="2"/>
  <c r="E398" i="2"/>
  <c r="E396" i="2"/>
  <c r="F396" i="2" s="1"/>
  <c r="E394" i="2"/>
  <c r="G392" i="2"/>
  <c r="F392" i="2"/>
  <c r="E392" i="2"/>
  <c r="E391" i="2"/>
  <c r="G391" i="2" s="1"/>
  <c r="E390" i="2"/>
  <c r="G390" i="2" s="1"/>
  <c r="G389" i="2"/>
  <c r="E389" i="2"/>
  <c r="F389" i="2" s="1"/>
  <c r="I389" i="2" s="1"/>
  <c r="E387" i="2"/>
  <c r="G386" i="2"/>
  <c r="F386" i="2"/>
  <c r="E386" i="2"/>
  <c r="E384" i="2"/>
  <c r="F384" i="2" s="1"/>
  <c r="K384" i="2" s="1"/>
  <c r="E382" i="2"/>
  <c r="E381" i="2"/>
  <c r="G379" i="2"/>
  <c r="F379" i="2"/>
  <c r="E379" i="2"/>
  <c r="E376" i="2"/>
  <c r="E374" i="2"/>
  <c r="F374" i="2" s="1"/>
  <c r="K374" i="2" s="1"/>
  <c r="E373" i="2"/>
  <c r="E372" i="2"/>
  <c r="G368" i="2"/>
  <c r="E368" i="2"/>
  <c r="F368" i="2" s="1"/>
  <c r="G367" i="2"/>
  <c r="F367" i="2"/>
  <c r="K367" i="2" s="1"/>
  <c r="E367" i="2"/>
  <c r="E365" i="2"/>
  <c r="G365" i="2" s="1"/>
  <c r="E364" i="2"/>
  <c r="F364" i="2" s="1"/>
  <c r="E363" i="2"/>
  <c r="G361" i="2"/>
  <c r="E361" i="2"/>
  <c r="F361" i="2" s="1"/>
  <c r="I361" i="2" s="1"/>
  <c r="E360" i="2"/>
  <c r="F360" i="2" s="1"/>
  <c r="J360" i="2" s="1"/>
  <c r="H360" i="2" s="1"/>
  <c r="E359" i="2"/>
  <c r="G358" i="2"/>
  <c r="E358" i="2"/>
  <c r="E357" i="2"/>
  <c r="F357" i="2" s="1"/>
  <c r="K357" i="2" s="1"/>
  <c r="E356" i="2"/>
  <c r="G356" i="2" s="1"/>
  <c r="E355" i="2"/>
  <c r="E352" i="2"/>
  <c r="E351" i="2"/>
  <c r="G350" i="2"/>
  <c r="F350" i="2"/>
  <c r="E350" i="2"/>
  <c r="E349" i="2"/>
  <c r="F348" i="2"/>
  <c r="E348" i="2"/>
  <c r="E347" i="2"/>
  <c r="F347" i="2" s="1"/>
  <c r="E346" i="2"/>
  <c r="E342" i="2"/>
  <c r="G341" i="2"/>
  <c r="E341" i="2"/>
  <c r="F341" i="2" s="1"/>
  <c r="I341" i="2" s="1"/>
  <c r="G340" i="2"/>
  <c r="E340" i="2"/>
  <c r="E339" i="2"/>
  <c r="G339" i="2" s="1"/>
  <c r="E336" i="2"/>
  <c r="G336" i="2" s="1"/>
  <c r="G335" i="2"/>
  <c r="E335" i="2"/>
  <c r="E334" i="2"/>
  <c r="G333" i="2"/>
  <c r="E333" i="2"/>
  <c r="F333" i="2" s="1"/>
  <c r="K333" i="2" s="1"/>
  <c r="E332" i="2"/>
  <c r="E331" i="2"/>
  <c r="E329" i="2"/>
  <c r="F329" i="2" s="1"/>
  <c r="J329" i="2" s="1"/>
  <c r="H329" i="2" s="1"/>
  <c r="E328" i="2"/>
  <c r="E327" i="2"/>
  <c r="F327" i="2" s="1"/>
  <c r="I327" i="2" s="1"/>
  <c r="E326" i="2"/>
  <c r="F326" i="2" s="1"/>
  <c r="J326" i="2" s="1"/>
  <c r="H326" i="2" s="1"/>
  <c r="E325" i="2"/>
  <c r="E324" i="2"/>
  <c r="E323" i="2"/>
  <c r="F323" i="2" s="1"/>
  <c r="K323" i="2" s="1"/>
  <c r="E322" i="2"/>
  <c r="G321" i="2"/>
  <c r="E321" i="2"/>
  <c r="F321" i="2" s="1"/>
  <c r="K321" i="2" s="1"/>
  <c r="E320" i="2"/>
  <c r="E316" i="2"/>
  <c r="G316" i="2" s="1"/>
  <c r="E315" i="2"/>
  <c r="F314" i="2"/>
  <c r="K314" i="2" s="1"/>
  <c r="E314" i="2"/>
  <c r="G314" i="2" s="1"/>
  <c r="E313" i="2"/>
  <c r="E312" i="2"/>
  <c r="E311" i="2"/>
  <c r="F311" i="2" s="1"/>
  <c r="I311" i="2" s="1"/>
  <c r="E310" i="2"/>
  <c r="G310" i="2" s="1"/>
  <c r="E309" i="2"/>
  <c r="G309" i="2" s="1"/>
  <c r="E308" i="2"/>
  <c r="G307" i="2"/>
  <c r="E307" i="2"/>
  <c r="F307" i="2" s="1"/>
  <c r="G306" i="2"/>
  <c r="E306" i="2"/>
  <c r="E302" i="2"/>
  <c r="E301" i="2"/>
  <c r="F301" i="2" s="1"/>
  <c r="I301" i="2" s="1"/>
  <c r="E300" i="2"/>
  <c r="G300" i="2" s="1"/>
  <c r="E299" i="2"/>
  <c r="E298" i="2"/>
  <c r="F298" i="2" s="1"/>
  <c r="K298" i="2" s="1"/>
  <c r="E297" i="2"/>
  <c r="E296" i="2"/>
  <c r="E293" i="2"/>
  <c r="G293" i="2" s="1"/>
  <c r="F292" i="2"/>
  <c r="I292" i="2" s="1"/>
  <c r="E292" i="2"/>
  <c r="E291" i="2"/>
  <c r="F291" i="2" s="1"/>
  <c r="G289" i="2"/>
  <c r="E289" i="2"/>
  <c r="G288" i="2"/>
  <c r="F288" i="2"/>
  <c r="K288" i="2" s="1"/>
  <c r="E288" i="2"/>
  <c r="G287" i="2"/>
  <c r="E287" i="2"/>
  <c r="F287" i="2" s="1"/>
  <c r="E286" i="2"/>
  <c r="G286" i="2" s="1"/>
  <c r="E284" i="2"/>
  <c r="E282" i="2"/>
  <c r="G282" i="2" s="1"/>
  <c r="E281" i="2"/>
  <c r="F280" i="2"/>
  <c r="J280" i="2" s="1"/>
  <c r="H280" i="2" s="1"/>
  <c r="E280" i="2"/>
  <c r="G280" i="2" s="1"/>
  <c r="E279" i="2"/>
  <c r="G279" i="2" s="1"/>
  <c r="G278" i="2"/>
  <c r="F278" i="2"/>
  <c r="E278" i="2"/>
  <c r="E276" i="2"/>
  <c r="G276" i="2" s="1"/>
  <c r="E274" i="2"/>
  <c r="E273" i="2"/>
  <c r="G272" i="2"/>
  <c r="E272" i="2"/>
  <c r="F272" i="2" s="1"/>
  <c r="I272" i="2" s="1"/>
  <c r="E269" i="2"/>
  <c r="E266" i="2"/>
  <c r="E264" i="2"/>
  <c r="G264" i="2" s="1"/>
  <c r="G263" i="2"/>
  <c r="F263" i="2"/>
  <c r="K263" i="2" s="1"/>
  <c r="E263" i="2"/>
  <c r="E262" i="2"/>
  <c r="E261" i="2"/>
  <c r="G260" i="2"/>
  <c r="F260" i="2"/>
  <c r="I260" i="2" s="1"/>
  <c r="E260" i="2"/>
  <c r="E259" i="2"/>
  <c r="F258" i="2"/>
  <c r="E257" i="2"/>
  <c r="F256" i="2"/>
  <c r="F255" i="2"/>
  <c r="E254" i="2"/>
  <c r="G254" i="2" s="1"/>
  <c r="E253" i="2"/>
  <c r="G253" i="2" s="1"/>
  <c r="E252" i="2"/>
  <c r="G251" i="2"/>
  <c r="E251" i="2"/>
  <c r="F251" i="2" s="1"/>
  <c r="E250" i="2"/>
  <c r="E249" i="2"/>
  <c r="E248" i="2"/>
  <c r="G248" i="2" s="1"/>
  <c r="E247" i="2"/>
  <c r="F247" i="2" s="1"/>
  <c r="J247" i="2" s="1"/>
  <c r="H247" i="2" s="1"/>
  <c r="E244" i="2"/>
  <c r="F244" i="2" s="1"/>
  <c r="E243" i="2"/>
  <c r="E241" i="2"/>
  <c r="G241" i="2" s="1"/>
  <c r="E240" i="2"/>
  <c r="E239" i="2"/>
  <c r="G239" i="2" s="1"/>
  <c r="G236" i="2"/>
  <c r="E236" i="2"/>
  <c r="F236" i="2" s="1"/>
  <c r="E235" i="2"/>
  <c r="G235" i="2" s="1"/>
  <c r="E234" i="2"/>
  <c r="G234" i="2" s="1"/>
  <c r="E232" i="2"/>
  <c r="E231" i="2"/>
  <c r="F231" i="2" s="1"/>
  <c r="I231" i="2" s="1"/>
  <c r="G230" i="2"/>
  <c r="E230" i="2"/>
  <c r="F230" i="2" s="1"/>
  <c r="E228" i="2"/>
  <c r="E227" i="2"/>
  <c r="E225" i="2"/>
  <c r="E224" i="2"/>
  <c r="G224" i="2" s="1"/>
  <c r="E222" i="2"/>
  <c r="E221" i="2"/>
  <c r="G220" i="2"/>
  <c r="F220" i="2"/>
  <c r="I220" i="2" s="1"/>
  <c r="E220" i="2"/>
  <c r="E217" i="2"/>
  <c r="G217" i="2" s="1"/>
  <c r="E216" i="2"/>
  <c r="E214" i="2"/>
  <c r="F214" i="2" s="1"/>
  <c r="K214" i="2" s="1"/>
  <c r="E213" i="2"/>
  <c r="F213" i="2" s="1"/>
  <c r="G212" i="2"/>
  <c r="E212" i="2"/>
  <c r="G211" i="2"/>
  <c r="E211" i="2"/>
  <c r="E208" i="2"/>
  <c r="E206" i="2"/>
  <c r="F206" i="2" s="1"/>
  <c r="G205" i="2"/>
  <c r="E205" i="2"/>
  <c r="G204" i="2"/>
  <c r="E204" i="2"/>
  <c r="E203" i="2"/>
  <c r="E202" i="2"/>
  <c r="E201" i="2"/>
  <c r="F201" i="2" s="1"/>
  <c r="E198" i="2"/>
  <c r="G198" i="2" s="1"/>
  <c r="E196" i="2"/>
  <c r="G195" i="2"/>
  <c r="F195" i="2"/>
  <c r="K195" i="2" s="1"/>
  <c r="E195" i="2"/>
  <c r="F194" i="2"/>
  <c r="K194" i="2" s="1"/>
  <c r="E194" i="2"/>
  <c r="G194" i="2" s="1"/>
  <c r="E192" i="2"/>
  <c r="F192" i="2" s="1"/>
  <c r="I192" i="2" s="1"/>
  <c r="E190" i="2"/>
  <c r="F189" i="2"/>
  <c r="K189" i="2" s="1"/>
  <c r="E189" i="2"/>
  <c r="G189" i="2" s="1"/>
  <c r="F188" i="2"/>
  <c r="E188" i="2"/>
  <c r="E187" i="2"/>
  <c r="G185" i="2"/>
  <c r="E185" i="2"/>
  <c r="F185" i="2" s="1"/>
  <c r="G183" i="2"/>
  <c r="E183" i="2"/>
  <c r="F183" i="2" s="1"/>
  <c r="K183" i="2" s="1"/>
  <c r="E182" i="2"/>
  <c r="E181" i="2"/>
  <c r="G181" i="2" s="1"/>
  <c r="G180" i="2"/>
  <c r="F180" i="2"/>
  <c r="I180" i="2" s="1"/>
  <c r="E180" i="2"/>
  <c r="E177" i="2"/>
  <c r="E174" i="2"/>
  <c r="G173" i="2"/>
  <c r="F173" i="2"/>
  <c r="K173" i="2" s="1"/>
  <c r="E173" i="2"/>
  <c r="E172" i="2"/>
  <c r="G172" i="2" s="1"/>
  <c r="E170" i="2"/>
  <c r="F170" i="2" s="1"/>
  <c r="J170" i="2" s="1"/>
  <c r="H170" i="2" s="1"/>
  <c r="E169" i="2"/>
  <c r="E166" i="2"/>
  <c r="G163" i="2"/>
  <c r="E163" i="2"/>
  <c r="E161" i="2"/>
  <c r="G161" i="2" s="1"/>
  <c r="E159" i="2"/>
  <c r="E158" i="2"/>
  <c r="F158" i="2" s="1"/>
  <c r="K158" i="2" s="1"/>
  <c r="G157" i="2"/>
  <c r="F157" i="2"/>
  <c r="K157" i="2" s="1"/>
  <c r="E157" i="2"/>
  <c r="E156" i="2"/>
  <c r="G156" i="2" s="1"/>
  <c r="E155" i="2"/>
  <c r="G155" i="2" s="1"/>
  <c r="E154" i="2"/>
  <c r="F154" i="2" s="1"/>
  <c r="K154" i="2" s="1"/>
  <c r="E152" i="2"/>
  <c r="F152" i="2" s="1"/>
  <c r="J152" i="2" s="1"/>
  <c r="H152" i="2" s="1"/>
  <c r="E151" i="2"/>
  <c r="G147" i="2"/>
  <c r="E147" i="2"/>
  <c r="E146" i="2"/>
  <c r="G144" i="2"/>
  <c r="F144" i="2"/>
  <c r="K144" i="2" s="1"/>
  <c r="E144" i="2"/>
  <c r="E143" i="2"/>
  <c r="F143" i="2" s="1"/>
  <c r="E142" i="2"/>
  <c r="G142" i="2" s="1"/>
  <c r="G141" i="2"/>
  <c r="F141" i="2"/>
  <c r="J141" i="2" s="1"/>
  <c r="H141" i="2" s="1"/>
  <c r="E141" i="2"/>
  <c r="F139" i="2"/>
  <c r="E139" i="2"/>
  <c r="E137" i="2"/>
  <c r="G137" i="2" s="1"/>
  <c r="E135" i="2"/>
  <c r="E133" i="2"/>
  <c r="G133" i="2" s="1"/>
  <c r="E132" i="2"/>
  <c r="F131" i="2"/>
  <c r="K131" i="2" s="1"/>
  <c r="E131" i="2"/>
  <c r="G131" i="2" s="1"/>
  <c r="E130" i="2"/>
  <c r="E129" i="2"/>
  <c r="G129" i="2" s="1"/>
  <c r="E128" i="2"/>
  <c r="G128" i="2" s="1"/>
  <c r="G127" i="2"/>
  <c r="F127" i="2"/>
  <c r="E127" i="2"/>
  <c r="G125" i="2"/>
  <c r="E125" i="2"/>
  <c r="F125" i="2" s="1"/>
  <c r="K125" i="2" s="1"/>
  <c r="E124" i="2"/>
  <c r="G124" i="2" s="1"/>
  <c r="E123" i="2"/>
  <c r="G123" i="2" s="1"/>
  <c r="E122" i="2"/>
  <c r="F122" i="2" s="1"/>
  <c r="G120" i="2"/>
  <c r="E120" i="2"/>
  <c r="F120" i="2" s="1"/>
  <c r="I120" i="2" s="1"/>
  <c r="G119" i="2"/>
  <c r="E119" i="2"/>
  <c r="F119" i="2" s="1"/>
  <c r="E117" i="2"/>
  <c r="E116" i="2"/>
  <c r="G116" i="2" s="1"/>
  <c r="E115" i="2"/>
  <c r="G115" i="2" s="1"/>
  <c r="G114" i="2"/>
  <c r="E114" i="2"/>
  <c r="F114" i="2" s="1"/>
  <c r="J114" i="2" s="1"/>
  <c r="H114" i="2" s="1"/>
  <c r="E111" i="2"/>
  <c r="G111" i="2" s="1"/>
  <c r="E110" i="2"/>
  <c r="E109" i="2"/>
  <c r="F108" i="2"/>
  <c r="E108" i="2"/>
  <c r="G106" i="2"/>
  <c r="F106" i="2"/>
  <c r="E106" i="2"/>
  <c r="E105" i="2"/>
  <c r="G105" i="2" s="1"/>
  <c r="E104" i="2"/>
  <c r="F104" i="2" s="1"/>
  <c r="I104" i="2" s="1"/>
  <c r="E103" i="2"/>
  <c r="G103" i="2" s="1"/>
  <c r="E102" i="2"/>
  <c r="F102" i="2" s="1"/>
  <c r="K102" i="2" s="1"/>
  <c r="G101" i="2"/>
  <c r="F101" i="2"/>
  <c r="I101" i="2" s="1"/>
  <c r="E101" i="2"/>
  <c r="E97" i="2"/>
  <c r="G97" i="2" s="1"/>
  <c r="E95" i="2"/>
  <c r="F95" i="2" s="1"/>
  <c r="E94" i="2"/>
  <c r="F94" i="2" s="1"/>
  <c r="I94" i="2" s="1"/>
  <c r="G93" i="2"/>
  <c r="F93" i="2"/>
  <c r="E93" i="2"/>
  <c r="E92" i="2"/>
  <c r="E91" i="2"/>
  <c r="G91" i="2" s="1"/>
  <c r="E89" i="2"/>
  <c r="E86" i="2"/>
  <c r="G86" i="2" s="1"/>
  <c r="E85" i="2"/>
  <c r="E84" i="2"/>
  <c r="G84" i="2" s="1"/>
  <c r="F82" i="2"/>
  <c r="E82" i="2"/>
  <c r="E81" i="2"/>
  <c r="G81" i="2" s="1"/>
  <c r="G80" i="2"/>
  <c r="F80" i="2"/>
  <c r="K80" i="2" s="1"/>
  <c r="E80" i="2"/>
  <c r="E79" i="2"/>
  <c r="E78" i="2"/>
  <c r="F78" i="2" s="1"/>
  <c r="K78" i="2" s="1"/>
  <c r="E77" i="2"/>
  <c r="F77" i="2" s="1"/>
  <c r="I77" i="2" s="1"/>
  <c r="E76" i="2"/>
  <c r="E75" i="2"/>
  <c r="E73" i="2"/>
  <c r="G72" i="2"/>
  <c r="F72" i="2"/>
  <c r="K72" i="2" s="1"/>
  <c r="E72" i="2"/>
  <c r="G71" i="2"/>
  <c r="E71" i="2"/>
  <c r="F71" i="2" s="1"/>
  <c r="E68" i="2"/>
  <c r="G68" i="2" s="1"/>
  <c r="E67" i="2"/>
  <c r="F67" i="2" s="1"/>
  <c r="J67" i="2" s="1"/>
  <c r="H67" i="2" s="1"/>
  <c r="E66" i="2"/>
  <c r="E63" i="2"/>
  <c r="G63" i="2" s="1"/>
  <c r="E62" i="2"/>
  <c r="E61" i="2"/>
  <c r="G60" i="2"/>
  <c r="E60" i="2"/>
  <c r="F60" i="2" s="1"/>
  <c r="K60" i="2" s="1"/>
  <c r="E57" i="2"/>
  <c r="E55" i="2"/>
  <c r="E54" i="2"/>
  <c r="E53" i="2"/>
  <c r="G52" i="2"/>
  <c r="E52" i="2"/>
  <c r="F52" i="2" s="1"/>
  <c r="I52" i="2" s="1"/>
  <c r="G51" i="2"/>
  <c r="E51" i="2"/>
  <c r="F51" i="2" s="1"/>
  <c r="E50" i="2"/>
  <c r="E49" i="2"/>
  <c r="E48" i="2"/>
  <c r="F48" i="2" s="1"/>
  <c r="E47" i="2"/>
  <c r="G47" i="2" s="1"/>
  <c r="E46" i="2"/>
  <c r="G45" i="2"/>
  <c r="E45" i="2"/>
  <c r="F45" i="2" s="1"/>
  <c r="I45" i="2" s="1"/>
  <c r="E44" i="2"/>
  <c r="E43" i="2"/>
  <c r="F43" i="2" s="1"/>
  <c r="E42" i="2"/>
  <c r="F42" i="2" s="1"/>
  <c r="K42" i="2" s="1"/>
  <c r="G41" i="2"/>
  <c r="F41" i="2"/>
  <c r="I41" i="2" s="1"/>
  <c r="E41" i="2"/>
  <c r="F40" i="2"/>
  <c r="E37" i="2"/>
  <c r="G37" i="2" s="1"/>
  <c r="E36" i="2"/>
  <c r="E35" i="2"/>
  <c r="E34" i="2"/>
  <c r="F34" i="2" s="1"/>
  <c r="J34" i="2" s="1"/>
  <c r="H34" i="2" s="1"/>
  <c r="E33" i="2"/>
  <c r="F33" i="2" s="1"/>
  <c r="I33" i="2" s="1"/>
  <c r="E32" i="2"/>
  <c r="G31" i="2"/>
  <c r="E31" i="2"/>
  <c r="E29" i="2"/>
  <c r="E28" i="2"/>
  <c r="G28" i="2" s="1"/>
  <c r="E27" i="2"/>
  <c r="E26" i="2"/>
  <c r="G26" i="2" s="1"/>
  <c r="G23" i="2"/>
  <c r="E23" i="2"/>
  <c r="F23" i="2" s="1"/>
  <c r="I23" i="2" s="1"/>
  <c r="E22" i="2"/>
  <c r="G21" i="2"/>
  <c r="F21" i="2"/>
  <c r="J21" i="2" s="1"/>
  <c r="H21" i="2" s="1"/>
  <c r="E21" i="2"/>
  <c r="G20" i="2"/>
  <c r="F20" i="2"/>
  <c r="K20" i="2" s="1"/>
  <c r="E20" i="2"/>
  <c r="E19" i="2"/>
  <c r="F19" i="2" s="1"/>
  <c r="G15" i="2"/>
  <c r="F15" i="2"/>
  <c r="K15" i="2" s="1"/>
  <c r="E15" i="2"/>
  <c r="G12" i="2"/>
  <c r="F12" i="2"/>
  <c r="K12" i="2" s="1"/>
  <c r="E12" i="2"/>
  <c r="G11" i="2"/>
  <c r="F11" i="2"/>
  <c r="E11" i="2"/>
  <c r="E10" i="2"/>
  <c r="E9" i="2"/>
  <c r="F9" i="2" s="1"/>
  <c r="K9" i="2" s="1"/>
  <c r="E8" i="2"/>
  <c r="G8" i="2" s="1"/>
  <c r="E7" i="2"/>
  <c r="E6" i="2"/>
  <c r="G6" i="2" s="1"/>
  <c r="G4" i="2"/>
  <c r="E4" i="2"/>
  <c r="E3" i="2"/>
  <c r="F860" i="2" s="1"/>
  <c r="J860" i="2" s="1"/>
  <c r="H860" i="2" s="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K3152" i="2" l="1"/>
  <c r="K2412" i="2"/>
  <c r="J186" i="2"/>
  <c r="H186" i="2" s="1"/>
  <c r="G55" i="2"/>
  <c r="F55" i="2"/>
  <c r="J55" i="2" s="1"/>
  <c r="H55" i="2" s="1"/>
  <c r="G662" i="2"/>
  <c r="F500" i="2"/>
  <c r="I500" i="2" s="1"/>
  <c r="G500" i="2"/>
  <c r="F161" i="2"/>
  <c r="I161" i="2" s="1"/>
  <c r="G247" i="2"/>
  <c r="F253" i="2"/>
  <c r="F562" i="2"/>
  <c r="F1199" i="2"/>
  <c r="K1199" i="2" s="1"/>
  <c r="F264" i="2"/>
  <c r="K264" i="2" s="1"/>
  <c r="F405" i="2"/>
  <c r="F563" i="2"/>
  <c r="G820" i="2"/>
  <c r="F896" i="2"/>
  <c r="J896" i="2" s="1"/>
  <c r="H896" i="2" s="1"/>
  <c r="F1114" i="2"/>
  <c r="K1114" i="2" s="1"/>
  <c r="G75" i="2"/>
  <c r="F75" i="2"/>
  <c r="K75" i="2" s="1"/>
  <c r="F117" i="2"/>
  <c r="I117" i="2" s="1"/>
  <c r="G117" i="2"/>
  <c r="F513" i="2"/>
  <c r="G798" i="2"/>
  <c r="F798" i="2"/>
  <c r="K798" i="2" s="1"/>
  <c r="F1128" i="2"/>
  <c r="I1128" i="2" s="1"/>
  <c r="G1383" i="2"/>
  <c r="F1398" i="2"/>
  <c r="K1398" i="2" s="1"/>
  <c r="G1583" i="2"/>
  <c r="F1583" i="2"/>
  <c r="F1773" i="2"/>
  <c r="J1773" i="2" s="1"/>
  <c r="H1773" i="2" s="1"/>
  <c r="G1773" i="2"/>
  <c r="F755" i="2"/>
  <c r="J755" i="2" s="1"/>
  <c r="H755" i="2" s="1"/>
  <c r="G755" i="2"/>
  <c r="F817" i="2"/>
  <c r="I817" i="2" s="1"/>
  <c r="G817" i="2"/>
  <c r="G1237" i="2"/>
  <c r="F1237" i="2"/>
  <c r="F1478" i="2"/>
  <c r="G1478" i="2"/>
  <c r="F1706" i="2"/>
  <c r="I371" i="2"/>
  <c r="F738" i="2"/>
  <c r="G738" i="2"/>
  <c r="F810" i="2"/>
  <c r="K810" i="2" s="1"/>
  <c r="F848" i="2"/>
  <c r="I848" i="2" s="1"/>
  <c r="F866" i="2"/>
  <c r="K866" i="2" s="1"/>
  <c r="G866" i="2"/>
  <c r="G981" i="2"/>
  <c r="G1046" i="2"/>
  <c r="G1058" i="2"/>
  <c r="G1219" i="2"/>
  <c r="F1219" i="2"/>
  <c r="J1219" i="2" s="1"/>
  <c r="H1219" i="2" s="1"/>
  <c r="G1302" i="2"/>
  <c r="G1313" i="2"/>
  <c r="F1313" i="2"/>
  <c r="J1313" i="2" s="1"/>
  <c r="H1313" i="2" s="1"/>
  <c r="F1575" i="2"/>
  <c r="I1575" i="2" s="1"/>
  <c r="F721" i="2"/>
  <c r="I721" i="2" s="1"/>
  <c r="F801" i="2"/>
  <c r="F951" i="2"/>
  <c r="K951" i="2" s="1"/>
  <c r="G951" i="2"/>
  <c r="F974" i="2"/>
  <c r="F1009" i="2"/>
  <c r="K1009" i="2" s="1"/>
  <c r="G1009" i="2"/>
  <c r="F1022" i="2"/>
  <c r="J1022" i="2" s="1"/>
  <c r="H1022" i="2" s="1"/>
  <c r="J1069" i="2"/>
  <c r="H1069" i="2" s="1"/>
  <c r="F1103" i="2"/>
  <c r="J1103" i="2" s="1"/>
  <c r="H1103" i="2" s="1"/>
  <c r="F1257" i="2"/>
  <c r="G1615" i="2"/>
  <c r="F1615" i="2"/>
  <c r="G1914" i="2"/>
  <c r="F1914" i="2"/>
  <c r="J1914" i="2" s="1"/>
  <c r="H1914" i="2" s="1"/>
  <c r="G828" i="2"/>
  <c r="F1369" i="2"/>
  <c r="G1849" i="2"/>
  <c r="F1849" i="2"/>
  <c r="K1849" i="2" s="1"/>
  <c r="F534" i="2"/>
  <c r="G1557" i="2"/>
  <c r="F1557" i="2"/>
  <c r="J1557" i="2" s="1"/>
  <c r="H1557" i="2" s="1"/>
  <c r="F1606" i="2"/>
  <c r="G1606" i="2"/>
  <c r="F1534" i="2"/>
  <c r="I578" i="2"/>
  <c r="F794" i="2"/>
  <c r="G104" i="2"/>
  <c r="F336" i="2"/>
  <c r="K336" i="2" s="1"/>
  <c r="G33" i="2"/>
  <c r="F86" i="2"/>
  <c r="I86" i="2" s="1"/>
  <c r="F312" i="2"/>
  <c r="K312" i="2" s="1"/>
  <c r="G312" i="2"/>
  <c r="G329" i="2"/>
  <c r="F625" i="2"/>
  <c r="G715" i="2"/>
  <c r="G835" i="2"/>
  <c r="F934" i="2"/>
  <c r="I934" i="2" s="1"/>
  <c r="G214" i="2"/>
  <c r="F393" i="2"/>
  <c r="G452" i="2"/>
  <c r="F452" i="2"/>
  <c r="G481" i="2"/>
  <c r="F491" i="2"/>
  <c r="K491" i="2" s="1"/>
  <c r="F708" i="2"/>
  <c r="K708" i="2" s="1"/>
  <c r="G829" i="2"/>
  <c r="F1073" i="2"/>
  <c r="J1073" i="2" s="1"/>
  <c r="H1073" i="2" s="1"/>
  <c r="G1073" i="2"/>
  <c r="F1090" i="2"/>
  <c r="K1090" i="2" s="1"/>
  <c r="G34" i="2"/>
  <c r="F156" i="2"/>
  <c r="F207" i="2"/>
  <c r="K207" i="2" s="1"/>
  <c r="F215" i="2"/>
  <c r="F248" i="2"/>
  <c r="G323" i="2"/>
  <c r="F503" i="2"/>
  <c r="J503" i="2" s="1"/>
  <c r="H503" i="2" s="1"/>
  <c r="F527" i="2"/>
  <c r="K527" i="2" s="1"/>
  <c r="F609" i="2"/>
  <c r="K609" i="2" s="1"/>
  <c r="G609" i="2"/>
  <c r="G649" i="2"/>
  <c r="F702" i="2"/>
  <c r="J702" i="2" s="1"/>
  <c r="H702" i="2" s="1"/>
  <c r="F770" i="2"/>
  <c r="G786" i="2"/>
  <c r="F786" i="2"/>
  <c r="F919" i="2"/>
  <c r="J919" i="2" s="1"/>
  <c r="H919" i="2" s="1"/>
  <c r="G919" i="2"/>
  <c r="G928" i="2"/>
  <c r="F1004" i="2"/>
  <c r="K1004" i="2" s="1"/>
  <c r="F1013" i="2"/>
  <c r="I1013" i="2" s="1"/>
  <c r="F1626" i="2"/>
  <c r="I1626" i="2" s="1"/>
  <c r="G1626" i="2"/>
  <c r="F151" i="2"/>
  <c r="I151" i="2" s="1"/>
  <c r="G151" i="2"/>
  <c r="F299" i="2"/>
  <c r="G299" i="2"/>
  <c r="F435" i="2"/>
  <c r="J435" i="2" s="1"/>
  <c r="H435" i="2" s="1"/>
  <c r="G435" i="2"/>
  <c r="F134" i="2"/>
  <c r="K134" i="2" s="1"/>
  <c r="F309" i="2"/>
  <c r="K309" i="2" s="1"/>
  <c r="F383" i="2"/>
  <c r="F447" i="2"/>
  <c r="G447" i="2"/>
  <c r="F468" i="2"/>
  <c r="G505" i="2"/>
  <c r="G725" i="2"/>
  <c r="F160" i="2"/>
  <c r="F136" i="2"/>
  <c r="K136" i="2" s="1"/>
  <c r="F172" i="2"/>
  <c r="F460" i="2"/>
  <c r="J460" i="2" s="1"/>
  <c r="H460" i="2" s="1"/>
  <c r="F730" i="2"/>
  <c r="I730" i="2" s="1"/>
  <c r="G730" i="2"/>
  <c r="F128" i="2"/>
  <c r="I128" i="2" s="1"/>
  <c r="F413" i="2"/>
  <c r="K413" i="2" s="1"/>
  <c r="F636" i="2"/>
  <c r="J636" i="2" s="1"/>
  <c r="H636" i="2" s="1"/>
  <c r="G636" i="2"/>
  <c r="F648" i="2"/>
  <c r="G648" i="2"/>
  <c r="G669" i="2"/>
  <c r="J992" i="2"/>
  <c r="F224" i="2"/>
  <c r="I224" i="2" s="1"/>
  <c r="G440" i="2"/>
  <c r="G543" i="2"/>
  <c r="F664" i="2"/>
  <c r="F1107" i="2"/>
  <c r="I1107" i="2" s="1"/>
  <c r="G1124" i="2"/>
  <c r="F1124" i="2"/>
  <c r="K1124" i="2" s="1"/>
  <c r="F1319" i="2"/>
  <c r="I1319" i="2" s="1"/>
  <c r="G3" i="2"/>
  <c r="F2129" i="2"/>
  <c r="J2129" i="2" s="1"/>
  <c r="H2129" i="2" s="1"/>
  <c r="F2141" i="2"/>
  <c r="J2141" i="2" s="1"/>
  <c r="F2103" i="2"/>
  <c r="J2103" i="2" s="1"/>
  <c r="F2051" i="2"/>
  <c r="J2051" i="2" s="1"/>
  <c r="H2051" i="2" s="1"/>
  <c r="F1584" i="2"/>
  <c r="J1584" i="2" s="1"/>
  <c r="F1501" i="2"/>
  <c r="F1471" i="2"/>
  <c r="I1471" i="2" s="1"/>
  <c r="J1101" i="2"/>
  <c r="H1101" i="2" s="1"/>
  <c r="I1051" i="2"/>
  <c r="F909" i="2"/>
  <c r="I909" i="2" s="1"/>
  <c r="J807" i="2"/>
  <c r="I555" i="2"/>
  <c r="F2132" i="2"/>
  <c r="J2132" i="2" s="1"/>
  <c r="F2004" i="2"/>
  <c r="J2004" i="2" s="1"/>
  <c r="F1789" i="2"/>
  <c r="I1789" i="2" s="1"/>
  <c r="F1741" i="2"/>
  <c r="I1741" i="2" s="1"/>
  <c r="F1553" i="2"/>
  <c r="F1341" i="2"/>
  <c r="J1341" i="2" s="1"/>
  <c r="F1286" i="2"/>
  <c r="I1286" i="2" s="1"/>
  <c r="F1277" i="2"/>
  <c r="I1277" i="2" s="1"/>
  <c r="F1140" i="2"/>
  <c r="I1140" i="2" s="1"/>
  <c r="J2003" i="2"/>
  <c r="F1977" i="2"/>
  <c r="I1977" i="2" s="1"/>
  <c r="F1691" i="2"/>
  <c r="I1691" i="2" s="1"/>
  <c r="I1538" i="2"/>
  <c r="F1512" i="2"/>
  <c r="I1512" i="2" s="1"/>
  <c r="I1445" i="2"/>
  <c r="F1211" i="2"/>
  <c r="F1186" i="2"/>
  <c r="K1186" i="2" s="1"/>
  <c r="F1001" i="2"/>
  <c r="K1001" i="2" s="1"/>
  <c r="F2087" i="2"/>
  <c r="J2087" i="2" s="1"/>
  <c r="F2024" i="2"/>
  <c r="J2024" i="2" s="1"/>
  <c r="H2024" i="2" s="1"/>
  <c r="F1755" i="2"/>
  <c r="J1755" i="2" s="1"/>
  <c r="H1755" i="2" s="1"/>
  <c r="F1679" i="2"/>
  <c r="I1679" i="2" s="1"/>
  <c r="J1663" i="2"/>
  <c r="H1663" i="2" s="1"/>
  <c r="F1388" i="2"/>
  <c r="I1388" i="2" s="1"/>
  <c r="F1182" i="2"/>
  <c r="F1174" i="2"/>
  <c r="J1174" i="2" s="1"/>
  <c r="F1933" i="2"/>
  <c r="J1933" i="2" s="1"/>
  <c r="J1859" i="2"/>
  <c r="F1697" i="2"/>
  <c r="J1697" i="2" s="1"/>
  <c r="H1697" i="2" s="1"/>
  <c r="F1650" i="2"/>
  <c r="I1650" i="2" s="1"/>
  <c r="I1643" i="2"/>
  <c r="F1572" i="2"/>
  <c r="J1572" i="2" s="1"/>
  <c r="F1072" i="2"/>
  <c r="I1072" i="2" s="1"/>
  <c r="F1017" i="2"/>
  <c r="F759" i="2"/>
  <c r="J759" i="2" s="1"/>
  <c r="F647" i="2"/>
  <c r="J647" i="2" s="1"/>
  <c r="F446" i="2"/>
  <c r="J446" i="2" s="1"/>
  <c r="H446" i="2" s="1"/>
  <c r="F290" i="2"/>
  <c r="F165" i="2"/>
  <c r="J165" i="2" s="1"/>
  <c r="H165" i="2" s="1"/>
  <c r="F83" i="2"/>
  <c r="J83" i="2" s="1"/>
  <c r="H83" i="2" s="1"/>
  <c r="F1191" i="2"/>
  <c r="J1191" i="2" s="1"/>
  <c r="F1014" i="2"/>
  <c r="I1014" i="2" s="1"/>
  <c r="F603" i="2"/>
  <c r="I603" i="2" s="1"/>
  <c r="I385" i="2"/>
  <c r="F2035" i="2"/>
  <c r="J2035" i="2" s="1"/>
  <c r="F1841" i="2"/>
  <c r="F1480" i="2"/>
  <c r="I1480" i="2" s="1"/>
  <c r="F1456" i="2"/>
  <c r="K1456" i="2" s="1"/>
  <c r="F1354" i="2"/>
  <c r="J1354" i="2" s="1"/>
  <c r="K1369" i="2" s="1"/>
  <c r="F1146" i="2"/>
  <c r="I1146" i="2" s="1"/>
  <c r="F1126" i="2"/>
  <c r="K1126" i="2" s="1"/>
  <c r="I1063" i="2"/>
  <c r="F941" i="2"/>
  <c r="J941" i="2" s="1"/>
  <c r="F683" i="2"/>
  <c r="I683" i="2" s="1"/>
  <c r="F493" i="2"/>
  <c r="I493" i="2" s="1"/>
  <c r="F305" i="2"/>
  <c r="F277" i="2"/>
  <c r="J277" i="2" s="1"/>
  <c r="F268" i="2"/>
  <c r="I268" i="2" s="1"/>
  <c r="I219" i="2"/>
  <c r="F1070" i="2"/>
  <c r="K1070" i="2" s="1"/>
  <c r="F265" i="2"/>
  <c r="F96" i="2"/>
  <c r="F1779" i="2"/>
  <c r="J1779" i="2" s="1"/>
  <c r="H1779" i="2" s="1"/>
  <c r="F1703" i="2"/>
  <c r="I1703" i="2" s="1"/>
  <c r="F1524" i="2"/>
  <c r="I1524" i="2" s="1"/>
  <c r="F1373" i="2"/>
  <c r="I1373" i="2" s="1"/>
  <c r="F1136" i="2"/>
  <c r="K1136" i="2" s="1"/>
  <c r="I612" i="2"/>
  <c r="I462" i="2"/>
  <c r="I2089" i="2"/>
  <c r="F2019" i="2"/>
  <c r="I2019" i="2" s="1"/>
  <c r="F1973" i="2"/>
  <c r="I1973" i="2" s="1"/>
  <c r="F1876" i="2"/>
  <c r="J1876" i="2" s="1"/>
  <c r="H1876" i="2" s="1"/>
  <c r="F1723" i="2"/>
  <c r="I1723" i="2" s="1"/>
  <c r="I1608" i="2"/>
  <c r="F1532" i="2"/>
  <c r="K1532" i="2" s="1"/>
  <c r="F1242" i="2"/>
  <c r="J1242" i="2" s="1"/>
  <c r="F1153" i="2"/>
  <c r="K1153" i="2" s="1"/>
  <c r="F1097" i="2"/>
  <c r="J1097" i="2" s="1"/>
  <c r="I408" i="2"/>
  <c r="F162" i="2"/>
  <c r="I162" i="2" s="1"/>
  <c r="F1784" i="2"/>
  <c r="J1784" i="2" s="1"/>
  <c r="F1777" i="2"/>
  <c r="I1777" i="2" s="1"/>
  <c r="F1542" i="2"/>
  <c r="J1542" i="2" s="1"/>
  <c r="F1867" i="2"/>
  <c r="J1867" i="2" s="1"/>
  <c r="J1980" i="2"/>
  <c r="J1961" i="2"/>
  <c r="F1897" i="2"/>
  <c r="I1897" i="2" s="1"/>
  <c r="F1950" i="2"/>
  <c r="J1950" i="2" s="1"/>
  <c r="F1674" i="2"/>
  <c r="J1674" i="2" s="1"/>
  <c r="F1665" i="2"/>
  <c r="I1665" i="2" s="1"/>
  <c r="F2055" i="2"/>
  <c r="I2055" i="2" s="1"/>
  <c r="J1969" i="2"/>
  <c r="F1527" i="2"/>
  <c r="K1527" i="2" s="1"/>
  <c r="F1508" i="2"/>
  <c r="I1508" i="2" s="1"/>
  <c r="F1459" i="2"/>
  <c r="J1459" i="2" s="1"/>
  <c r="H1459" i="2" s="1"/>
  <c r="F1207" i="2"/>
  <c r="J1207" i="2" s="1"/>
  <c r="H1207" i="2" s="1"/>
  <c r="F1196" i="2"/>
  <c r="J1196" i="2" s="1"/>
  <c r="F962" i="2"/>
  <c r="I962" i="2" s="1"/>
  <c r="F950" i="2"/>
  <c r="I950" i="2" s="1"/>
  <c r="I608" i="2"/>
  <c r="F569" i="2"/>
  <c r="K569" i="2" s="1"/>
  <c r="F533" i="2"/>
  <c r="I533" i="2" s="1"/>
  <c r="F388" i="2"/>
  <c r="K388" i="2" s="1"/>
  <c r="F362" i="2"/>
  <c r="K362" i="2" s="1"/>
  <c r="J197" i="2"/>
  <c r="H197" i="2" s="1"/>
  <c r="F176" i="2"/>
  <c r="J176" i="2" s="1"/>
  <c r="H176" i="2" s="1"/>
  <c r="F116" i="2"/>
  <c r="F591" i="2"/>
  <c r="G591" i="2"/>
  <c r="F658" i="2"/>
  <c r="I658" i="2" s="1"/>
  <c r="F744" i="2"/>
  <c r="F752" i="2"/>
  <c r="K752" i="2" s="1"/>
  <c r="G752" i="2"/>
  <c r="F968" i="2"/>
  <c r="K968" i="2" s="1"/>
  <c r="F1065" i="2"/>
  <c r="I1065" i="2" s="1"/>
  <c r="F1138" i="2"/>
  <c r="J1138" i="2" s="1"/>
  <c r="H1138" i="2" s="1"/>
  <c r="G1138" i="2"/>
  <c r="F1172" i="2"/>
  <c r="I1172" i="2" s="1"/>
  <c r="F1410" i="2"/>
  <c r="J1410" i="2" s="1"/>
  <c r="H1410" i="2" s="1"/>
  <c r="G1410" i="2"/>
  <c r="F1466" i="2"/>
  <c r="G1466" i="2"/>
  <c r="I1526" i="2"/>
  <c r="J601" i="2"/>
  <c r="H601" i="2" s="1"/>
  <c r="G67" i="2"/>
  <c r="G170" i="2"/>
  <c r="F345" i="2"/>
  <c r="F352" i="2"/>
  <c r="J352" i="2" s="1"/>
  <c r="H352" i="2" s="1"/>
  <c r="G352" i="2"/>
  <c r="F594" i="2"/>
  <c r="J594" i="2" s="1"/>
  <c r="G231" i="2"/>
  <c r="F401" i="2"/>
  <c r="I401" i="2" s="1"/>
  <c r="G459" i="2"/>
  <c r="G714" i="2"/>
  <c r="G94" i="2"/>
  <c r="G154" i="2"/>
  <c r="G776" i="2"/>
  <c r="F285" i="2"/>
  <c r="I285" i="2" s="1"/>
  <c r="F302" i="2"/>
  <c r="K302" i="2" s="1"/>
  <c r="G302" i="2"/>
  <c r="G795" i="2"/>
  <c r="G357" i="2"/>
  <c r="F365" i="2"/>
  <c r="K365" i="2" s="1"/>
  <c r="F472" i="2"/>
  <c r="I472" i="2" s="1"/>
  <c r="G472" i="2"/>
  <c r="G944" i="2"/>
  <c r="F44" i="2"/>
  <c r="K44" i="2" s="1"/>
  <c r="G44" i="2"/>
  <c r="F28" i="2"/>
  <c r="K28" i="2" s="1"/>
  <c r="G36" i="2"/>
  <c r="F36" i="2"/>
  <c r="K36" i="2" s="1"/>
  <c r="F81" i="2"/>
  <c r="J81" i="2" s="1"/>
  <c r="H81" i="2" s="1"/>
  <c r="F202" i="2"/>
  <c r="K202" i="2" s="1"/>
  <c r="G202" i="2"/>
  <c r="F297" i="2"/>
  <c r="I297" i="2" s="1"/>
  <c r="G297" i="2"/>
  <c r="F325" i="2"/>
  <c r="I325" i="2" s="1"/>
  <c r="G325" i="2"/>
  <c r="F359" i="2"/>
  <c r="I359" i="2" s="1"/>
  <c r="G359" i="2"/>
  <c r="G529" i="2"/>
  <c r="F529" i="2"/>
  <c r="I529" i="2" s="1"/>
  <c r="F703" i="2"/>
  <c r="I703" i="2" s="1"/>
  <c r="G703" i="2"/>
  <c r="F890" i="2"/>
  <c r="K890" i="2" s="1"/>
  <c r="G890" i="2"/>
  <c r="G929" i="2"/>
  <c r="F1084" i="2"/>
  <c r="I1084" i="2" s="1"/>
  <c r="G1162" i="2"/>
  <c r="F1366" i="2"/>
  <c r="K1366" i="2" s="1"/>
  <c r="G1366" i="2"/>
  <c r="F1397" i="2"/>
  <c r="K1397" i="2" s="1"/>
  <c r="G1593" i="2"/>
  <c r="F1593" i="2"/>
  <c r="K1593" i="2" s="1"/>
  <c r="G1619" i="2"/>
  <c r="G1631" i="2"/>
  <c r="F1631" i="2"/>
  <c r="I1631" i="2" s="1"/>
  <c r="F1834" i="2"/>
  <c r="J1834" i="2" s="1"/>
  <c r="G1896" i="2"/>
  <c r="F1896" i="2"/>
  <c r="K1896" i="2" s="1"/>
  <c r="F2241" i="2"/>
  <c r="K2241" i="2" s="1"/>
  <c r="G2241" i="2"/>
  <c r="G2249" i="2"/>
  <c r="F2249" i="2"/>
  <c r="J2249" i="2" s="1"/>
  <c r="H2249" i="2" s="1"/>
  <c r="G2301" i="2"/>
  <c r="F2301" i="2"/>
  <c r="I2301" i="2" s="1"/>
  <c r="F2561" i="2"/>
  <c r="K2561" i="2" s="1"/>
  <c r="G2561" i="2"/>
  <c r="F2070" i="2"/>
  <c r="I2070" i="2" s="1"/>
  <c r="G2120" i="2"/>
  <c r="G2321" i="2"/>
  <c r="F2326" i="2"/>
  <c r="J2326" i="2" s="1"/>
  <c r="H2326" i="2" s="1"/>
  <c r="G2482" i="2"/>
  <c r="F2482" i="2"/>
  <c r="I2482" i="2" s="1"/>
  <c r="F2648" i="2"/>
  <c r="I2648" i="2" s="1"/>
  <c r="F2709" i="2"/>
  <c r="J2709" i="2" s="1"/>
  <c r="H2709" i="2" s="1"/>
  <c r="G2709" i="2"/>
  <c r="G2733" i="2"/>
  <c r="F2733" i="2"/>
  <c r="J2733" i="2" s="1"/>
  <c r="H2733" i="2" s="1"/>
  <c r="K2828" i="2"/>
  <c r="G2828" i="2"/>
  <c r="G2907" i="2"/>
  <c r="F2907" i="2"/>
  <c r="I2907" i="2" s="1"/>
  <c r="G2016" i="2"/>
  <c r="F2016" i="2"/>
  <c r="I2016" i="2" s="1"/>
  <c r="F2317" i="2"/>
  <c r="G2813" i="2"/>
  <c r="K2813" i="2"/>
  <c r="F1992" i="2"/>
  <c r="I1992" i="2" s="1"/>
  <c r="F2048" i="2"/>
  <c r="K2048" i="2" s="1"/>
  <c r="G2066" i="2"/>
  <c r="F2066" i="2"/>
  <c r="I2066" i="2" s="1"/>
  <c r="F2122" i="2"/>
  <c r="K2122" i="2" s="1"/>
  <c r="F2152" i="2"/>
  <c r="I2152" i="2" s="1"/>
  <c r="F2179" i="2"/>
  <c r="K2179" i="2" s="1"/>
  <c r="F2283" i="2"/>
  <c r="I2283" i="2" s="1"/>
  <c r="F2455" i="2"/>
  <c r="K2455" i="2" s="1"/>
  <c r="G2455" i="2"/>
  <c r="F2539" i="2"/>
  <c r="K2539" i="2" s="1"/>
  <c r="G2539" i="2"/>
  <c r="G2613" i="2"/>
  <c r="F2613" i="2"/>
  <c r="K2613" i="2" s="1"/>
  <c r="K2649" i="2"/>
  <c r="G2649" i="2"/>
  <c r="F2743" i="2"/>
  <c r="J2743" i="2" s="1"/>
  <c r="H2743" i="2" s="1"/>
  <c r="G3019" i="2"/>
  <c r="F3019" i="2"/>
  <c r="K3019" i="2" s="1"/>
  <c r="G3377" i="2"/>
  <c r="F3377" i="2"/>
  <c r="I3377" i="2" s="1"/>
  <c r="F1743" i="2"/>
  <c r="K1743" i="2" s="1"/>
  <c r="G1760" i="2"/>
  <c r="F1760" i="2"/>
  <c r="I1760" i="2" s="1"/>
  <c r="G1783" i="2"/>
  <c r="F1837" i="2"/>
  <c r="K1837" i="2" s="1"/>
  <c r="F1889" i="2"/>
  <c r="I1889" i="2" s="1"/>
  <c r="G1951" i="2"/>
  <c r="F2097" i="2"/>
  <c r="J2097" i="2" s="1"/>
  <c r="H2097" i="2" s="1"/>
  <c r="G2137" i="2"/>
  <c r="F2144" i="2"/>
  <c r="I2144" i="2" s="1"/>
  <c r="F2187" i="2"/>
  <c r="I2187" i="2" s="1"/>
  <c r="G2222" i="2"/>
  <c r="F2222" i="2"/>
  <c r="K2222" i="2" s="1"/>
  <c r="G2259" i="2"/>
  <c r="F2268" i="2"/>
  <c r="I2268" i="2" s="1"/>
  <c r="G2275" i="2"/>
  <c r="F2291" i="2"/>
  <c r="K2291" i="2" s="1"/>
  <c r="F2448" i="2"/>
  <c r="G2530" i="2"/>
  <c r="F2530" i="2"/>
  <c r="J2530" i="2" s="1"/>
  <c r="H2530" i="2" s="1"/>
  <c r="F2581" i="2"/>
  <c r="J2581" i="2" s="1"/>
  <c r="H2581" i="2" s="1"/>
  <c r="F2588" i="2"/>
  <c r="K2588" i="2" s="1"/>
  <c r="G2722" i="2"/>
  <c r="F2722" i="2"/>
  <c r="I2722" i="2" s="1"/>
  <c r="F2887" i="2"/>
  <c r="J2887" i="2" s="1"/>
  <c r="F2915" i="2"/>
  <c r="K2915" i="2" s="1"/>
  <c r="G2915" i="2"/>
  <c r="G3081" i="2"/>
  <c r="F3089" i="2"/>
  <c r="G3174" i="2"/>
  <c r="F3174" i="2"/>
  <c r="I3174" i="2" s="1"/>
  <c r="F1793" i="2"/>
  <c r="K1793" i="2" s="1"/>
  <c r="F1798" i="2"/>
  <c r="K1798" i="2" s="1"/>
  <c r="F1856" i="2"/>
  <c r="I1856" i="2" s="1"/>
  <c r="G1952" i="2"/>
  <c r="F1952" i="2"/>
  <c r="K1952" i="2" s="1"/>
  <c r="F2115" i="2"/>
  <c r="K2115" i="2" s="1"/>
  <c r="G2115" i="2"/>
  <c r="F2195" i="2"/>
  <c r="J2195" i="2" s="1"/>
  <c r="H2195" i="2" s="1"/>
  <c r="F2213" i="2"/>
  <c r="I2213" i="2" s="1"/>
  <c r="F2411" i="2"/>
  <c r="I2411" i="2" s="1"/>
  <c r="F2513" i="2"/>
  <c r="I2513" i="2" s="1"/>
  <c r="F2595" i="2"/>
  <c r="I2595" i="2" s="1"/>
  <c r="F2711" i="2"/>
  <c r="K2711" i="2" s="1"/>
  <c r="F3069" i="2"/>
  <c r="K3069" i="2" s="1"/>
  <c r="F2392" i="2"/>
  <c r="K2392" i="2" s="1"/>
  <c r="F2427" i="2"/>
  <c r="I2427" i="2" s="1"/>
  <c r="G249" i="2"/>
  <c r="F249" i="2"/>
  <c r="K249" i="2" s="1"/>
  <c r="G1253" i="2"/>
  <c r="F1253" i="2"/>
  <c r="J1253" i="2" s="1"/>
  <c r="H1253" i="2" s="1"/>
  <c r="F1493" i="2"/>
  <c r="I1493" i="2" s="1"/>
  <c r="F1549" i="2"/>
  <c r="K1549" i="2" s="1"/>
  <c r="F1558" i="2"/>
  <c r="J1558" i="2" s="1"/>
  <c r="H1558" i="2" s="1"/>
  <c r="G1558" i="2"/>
  <c r="F1587" i="2"/>
  <c r="I1587" i="2" s="1"/>
  <c r="F1730" i="2"/>
  <c r="J1730" i="2" s="1"/>
  <c r="H1730" i="2" s="1"/>
  <c r="G1807" i="2"/>
  <c r="F1852" i="2"/>
  <c r="K1852" i="2" s="1"/>
  <c r="F1918" i="2"/>
  <c r="J1918" i="2" s="1"/>
  <c r="H1918" i="2" s="1"/>
  <c r="F2169" i="2"/>
  <c r="K2169" i="2" s="1"/>
  <c r="F2207" i="2"/>
  <c r="K2207" i="2" s="1"/>
  <c r="G2207" i="2"/>
  <c r="F105" i="2"/>
  <c r="I105" i="2" s="1"/>
  <c r="F111" i="2"/>
  <c r="J111" i="2" s="1"/>
  <c r="H111" i="2" s="1"/>
  <c r="F137" i="2"/>
  <c r="J137" i="2" s="1"/>
  <c r="H137" i="2" s="1"/>
  <c r="F234" i="2"/>
  <c r="K234" i="2" s="1"/>
  <c r="F243" i="2"/>
  <c r="J243" i="2" s="1"/>
  <c r="H243" i="2" s="1"/>
  <c r="G243" i="2"/>
  <c r="F339" i="2"/>
  <c r="J339" i="2" s="1"/>
  <c r="H339" i="2" s="1"/>
  <c r="G347" i="2"/>
  <c r="G374" i="2"/>
  <c r="F391" i="2"/>
  <c r="G415" i="2"/>
  <c r="F421" i="2"/>
  <c r="K421" i="2" s="1"/>
  <c r="G469" i="2"/>
  <c r="F477" i="2"/>
  <c r="K477" i="2" s="1"/>
  <c r="F484" i="2"/>
  <c r="I484" i="2" s="1"/>
  <c r="F618" i="2"/>
  <c r="G645" i="2"/>
  <c r="F681" i="2"/>
  <c r="K681" i="2" s="1"/>
  <c r="G681" i="2"/>
  <c r="G717" i="2"/>
  <c r="F758" i="2"/>
  <c r="K758" i="2" s="1"/>
  <c r="F766" i="2"/>
  <c r="I766" i="2" s="1"/>
  <c r="F774" i="2"/>
  <c r="K774" i="2" s="1"/>
  <c r="F831" i="2"/>
  <c r="I831" i="2" s="1"/>
  <c r="F837" i="2"/>
  <c r="K837" i="2" s="1"/>
  <c r="G842" i="2"/>
  <c r="F906" i="2"/>
  <c r="J906" i="2" s="1"/>
  <c r="H906" i="2" s="1"/>
  <c r="G940" i="2"/>
  <c r="F966" i="2"/>
  <c r="K966" i="2" s="1"/>
  <c r="F990" i="2"/>
  <c r="I990" i="2" s="1"/>
  <c r="G999" i="2"/>
  <c r="F1085" i="2"/>
  <c r="J1085" i="2" s="1"/>
  <c r="H1085" i="2" s="1"/>
  <c r="G1305" i="2"/>
  <c r="F1305" i="2"/>
  <c r="K1305" i="2" s="1"/>
  <c r="F1343" i="2"/>
  <c r="J1343" i="2" s="1"/>
  <c r="H1343" i="2" s="1"/>
  <c r="G1362" i="2"/>
  <c r="F1380" i="2"/>
  <c r="J1380" i="2" s="1"/>
  <c r="H1380" i="2" s="1"/>
  <c r="G1436" i="2"/>
  <c r="F1464" i="2"/>
  <c r="K1464" i="2" s="1"/>
  <c r="G1594" i="2"/>
  <c r="F1696" i="2"/>
  <c r="J1696" i="2" s="1"/>
  <c r="H1696" i="2" s="1"/>
  <c r="F1739" i="2"/>
  <c r="K1739" i="2" s="1"/>
  <c r="F1744" i="2"/>
  <c r="K1744" i="2" s="1"/>
  <c r="F1847" i="2"/>
  <c r="K1847" i="2" s="1"/>
  <c r="F1869" i="2"/>
  <c r="K1869" i="2" s="1"/>
  <c r="F1922" i="2"/>
  <c r="K1922" i="2" s="1"/>
  <c r="F1995" i="2"/>
  <c r="I1995" i="2" s="1"/>
  <c r="F2026" i="2"/>
  <c r="I2026" i="2" s="1"/>
  <c r="F2080" i="2"/>
  <c r="J2080" i="2" s="1"/>
  <c r="H2080" i="2" s="1"/>
  <c r="F2156" i="2"/>
  <c r="J2156" i="2" s="1"/>
  <c r="H2156" i="2" s="1"/>
  <c r="F2183" i="2"/>
  <c r="J2183" i="2" s="1"/>
  <c r="H2183" i="2" s="1"/>
  <c r="G2188" i="2"/>
  <c r="G2196" i="2"/>
  <c r="F2255" i="2"/>
  <c r="I2255" i="2" s="1"/>
  <c r="F2261" i="2"/>
  <c r="J2261" i="2" s="1"/>
  <c r="H2261" i="2" s="1"/>
  <c r="F2324" i="2"/>
  <c r="I2324" i="2" s="1"/>
  <c r="F2358" i="2"/>
  <c r="K2358" i="2" s="1"/>
  <c r="K2566" i="2"/>
  <c r="F2795" i="2"/>
  <c r="J2795" i="2" s="1"/>
  <c r="H2795" i="2" s="1"/>
  <c r="G3064" i="2"/>
  <c r="F3064" i="2"/>
  <c r="K3064" i="2" s="1"/>
  <c r="F3238" i="2"/>
  <c r="J3238" i="2" s="1"/>
  <c r="H3238" i="2" s="1"/>
  <c r="G3238" i="2"/>
  <c r="G1155" i="2"/>
  <c r="F1155" i="2"/>
  <c r="K1155" i="2" s="1"/>
  <c r="G1505" i="2"/>
  <c r="F1505" i="2"/>
  <c r="K1505" i="2" s="1"/>
  <c r="G2140" i="2"/>
  <c r="F2140" i="2"/>
  <c r="K2140" i="2" s="1"/>
  <c r="G2247" i="2"/>
  <c r="F2339" i="2"/>
  <c r="J2339" i="2" s="1"/>
  <c r="H2339" i="2" s="1"/>
  <c r="F2346" i="2"/>
  <c r="K2346" i="2" s="1"/>
  <c r="F2473" i="2"/>
  <c r="I2473" i="2" s="1"/>
  <c r="G2576" i="2"/>
  <c r="F2576" i="2"/>
  <c r="I2576" i="2" s="1"/>
  <c r="F2764" i="2"/>
  <c r="J2764" i="2" s="1"/>
  <c r="H2764" i="2" s="1"/>
  <c r="G2825" i="2"/>
  <c r="G2876" i="2"/>
  <c r="F2876" i="2"/>
  <c r="J2876" i="2" s="1"/>
  <c r="H2876" i="2" s="1"/>
  <c r="G2990" i="2"/>
  <c r="F2990" i="2"/>
  <c r="K2990" i="2" s="1"/>
  <c r="G3000" i="2"/>
  <c r="F3000" i="2"/>
  <c r="J3000" i="2" s="1"/>
  <c r="H3000" i="2" s="1"/>
  <c r="G3346" i="2"/>
  <c r="F3346" i="2"/>
  <c r="K3346" i="2" s="1"/>
  <c r="G9" i="2"/>
  <c r="G152" i="2"/>
  <c r="G298" i="2"/>
  <c r="G311" i="2"/>
  <c r="G326" i="2"/>
  <c r="G613" i="2"/>
  <c r="G637" i="2"/>
  <c r="G672" i="2"/>
  <c r="G869" i="2"/>
  <c r="F907" i="2"/>
  <c r="I907" i="2" s="1"/>
  <c r="G907" i="2"/>
  <c r="G916" i="2"/>
  <c r="G1008" i="2"/>
  <c r="F1244" i="2"/>
  <c r="I1244" i="2" s="1"/>
  <c r="G1381" i="2"/>
  <c r="F1381" i="2"/>
  <c r="J1381" i="2" s="1"/>
  <c r="H1381" i="2" s="1"/>
  <c r="G1425" i="2"/>
  <c r="F1425" i="2"/>
  <c r="J1425" i="2" s="1"/>
  <c r="H1425" i="2" s="1"/>
  <c r="F1659" i="2"/>
  <c r="J1659" i="2" s="1"/>
  <c r="H1659" i="2" s="1"/>
  <c r="G1772" i="2"/>
  <c r="F1879" i="2"/>
  <c r="K1879" i="2" s="1"/>
  <c r="F1901" i="2"/>
  <c r="I1901" i="2" s="1"/>
  <c r="F1975" i="2"/>
  <c r="K1975" i="2" s="1"/>
  <c r="G2163" i="2"/>
  <c r="G2331" i="2"/>
  <c r="F2388" i="2"/>
  <c r="J2388" i="2" s="1"/>
  <c r="H2388" i="2" s="1"/>
  <c r="F2845" i="2"/>
  <c r="J2845" i="2" s="1"/>
  <c r="H2845" i="2" s="1"/>
  <c r="G1134" i="2"/>
  <c r="G1165" i="2"/>
  <c r="G1195" i="2"/>
  <c r="G1235" i="2"/>
  <c r="G1245" i="2"/>
  <c r="G1294" i="2"/>
  <c r="G1403" i="2"/>
  <c r="G1420" i="2"/>
  <c r="G1439" i="2"/>
  <c r="G1523" i="2"/>
  <c r="G1539" i="2"/>
  <c r="G1562" i="2"/>
  <c r="G1653" i="2"/>
  <c r="G1823" i="2"/>
  <c r="G1886" i="2"/>
  <c r="G1917" i="2"/>
  <c r="G1935" i="2"/>
  <c r="G1945" i="2"/>
  <c r="G1963" i="2"/>
  <c r="G2041" i="2"/>
  <c r="G2123" i="2"/>
  <c r="G2147" i="2"/>
  <c r="G2244" i="2"/>
  <c r="F2377" i="2"/>
  <c r="K2377" i="2" s="1"/>
  <c r="G2377" i="2"/>
  <c r="G2498" i="2"/>
  <c r="F2498" i="2"/>
  <c r="K2498" i="2" s="1"/>
  <c r="G2564" i="2"/>
  <c r="F2564" i="2"/>
  <c r="K2564" i="2" s="1"/>
  <c r="F2997" i="2"/>
  <c r="K2997" i="2" s="1"/>
  <c r="G2997" i="2"/>
  <c r="G3182" i="2"/>
  <c r="F3182" i="2"/>
  <c r="K3182" i="2" s="1"/>
  <c r="F3105" i="2"/>
  <c r="K3105" i="2" s="1"/>
  <c r="G3105" i="2"/>
  <c r="F3353" i="2"/>
  <c r="I3353" i="2" s="1"/>
  <c r="F3408" i="2"/>
  <c r="I3408" i="2" s="1"/>
  <c r="G3175" i="2"/>
  <c r="F3175" i="2"/>
  <c r="I3175" i="2" s="1"/>
  <c r="G3255" i="2"/>
  <c r="F3255" i="2"/>
  <c r="K3255" i="2" s="1"/>
  <c r="F3071" i="2"/>
  <c r="K3071" i="2" s="1"/>
  <c r="G3071" i="2"/>
  <c r="G3098" i="2"/>
  <c r="F3098" i="2"/>
  <c r="I3098" i="2" s="1"/>
  <c r="F3122" i="2"/>
  <c r="I3122" i="2" s="1"/>
  <c r="F3230" i="2"/>
  <c r="J3230" i="2" s="1"/>
  <c r="H3230" i="2" s="1"/>
  <c r="G3246" i="2"/>
  <c r="G3265" i="2"/>
  <c r="F3265" i="2"/>
  <c r="K3265" i="2" s="1"/>
  <c r="F3308" i="2"/>
  <c r="K3308" i="2" s="1"/>
  <c r="G3314" i="2"/>
  <c r="F3314" i="2"/>
  <c r="J3314" i="2" s="1"/>
  <c r="H3314" i="2" s="1"/>
  <c r="F3409" i="2"/>
  <c r="J3409" i="2" s="1"/>
  <c r="H3409" i="2" s="1"/>
  <c r="F2590" i="2"/>
  <c r="I2590" i="2" s="1"/>
  <c r="G2590" i="2"/>
  <c r="G2754" i="2"/>
  <c r="F2754" i="2"/>
  <c r="K2754" i="2" s="1"/>
  <c r="G2840" i="2"/>
  <c r="F2840" i="2"/>
  <c r="K2840" i="2" s="1"/>
  <c r="F2947" i="2"/>
  <c r="I2947" i="2" s="1"/>
  <c r="G2947" i="2"/>
  <c r="G2968" i="2"/>
  <c r="F2968" i="2"/>
  <c r="K2968" i="2" s="1"/>
  <c r="F3046" i="2"/>
  <c r="K3046" i="2" s="1"/>
  <c r="F3223" i="2"/>
  <c r="G3431" i="2"/>
  <c r="F3431" i="2"/>
  <c r="K3431" i="2" s="1"/>
  <c r="F2229" i="2"/>
  <c r="K2229" i="2" s="1"/>
  <c r="G2229" i="2"/>
  <c r="F2522" i="2"/>
  <c r="K2522" i="2" s="1"/>
  <c r="F2556" i="2"/>
  <c r="I2556" i="2" s="1"/>
  <c r="G2623" i="2"/>
  <c r="G2630" i="2"/>
  <c r="F2630" i="2"/>
  <c r="J2630" i="2" s="1"/>
  <c r="H2630" i="2" s="1"/>
  <c r="G2665" i="2"/>
  <c r="F2693" i="2"/>
  <c r="I2693" i="2" s="1"/>
  <c r="G2700" i="2"/>
  <c r="G2706" i="2"/>
  <c r="J2706" i="2"/>
  <c r="H2706" i="2" s="1"/>
  <c r="F2738" i="2"/>
  <c r="J2738" i="2" s="1"/>
  <c r="H2738" i="2" s="1"/>
  <c r="G2822" i="2"/>
  <c r="F2822" i="2"/>
  <c r="I2822" i="2" s="1"/>
  <c r="G2883" i="2"/>
  <c r="G2889" i="2"/>
  <c r="F2889" i="2"/>
  <c r="K2889" i="2" s="1"/>
  <c r="F2938" i="2"/>
  <c r="I2938" i="2" s="1"/>
  <c r="G3117" i="2"/>
  <c r="G3155" i="2"/>
  <c r="F3155" i="2"/>
  <c r="K3155" i="2" s="1"/>
  <c r="F3309" i="2"/>
  <c r="J3309" i="2" s="1"/>
  <c r="H3309" i="2" s="1"/>
  <c r="G3309" i="2"/>
  <c r="G3387" i="2"/>
  <c r="F3387" i="2"/>
  <c r="I3387" i="2" s="1"/>
  <c r="F2506" i="2"/>
  <c r="K2506" i="2" s="1"/>
  <c r="G2506" i="2"/>
  <c r="G2744" i="2"/>
  <c r="F2744" i="2"/>
  <c r="J2744" i="2" s="1"/>
  <c r="H2744" i="2" s="1"/>
  <c r="F2898" i="2"/>
  <c r="I2898" i="2" s="1"/>
  <c r="F2996" i="2"/>
  <c r="J2996" i="2" s="1"/>
  <c r="H2996" i="2" s="1"/>
  <c r="F3196" i="2"/>
  <c r="K3196" i="2" s="1"/>
  <c r="G3196" i="2"/>
  <c r="F3295" i="2"/>
  <c r="J3295" i="2" s="1"/>
  <c r="H3295" i="2" s="1"/>
  <c r="G3303" i="2"/>
  <c r="F3303" i="2"/>
  <c r="K3303" i="2" s="1"/>
  <c r="G1150" i="2"/>
  <c r="G1446" i="2"/>
  <c r="G1452" i="2"/>
  <c r="G1462" i="2"/>
  <c r="G1530" i="2"/>
  <c r="G1662" i="2"/>
  <c r="F1733" i="2"/>
  <c r="I1733" i="2" s="1"/>
  <c r="F1845" i="2"/>
  <c r="I1845" i="2" s="1"/>
  <c r="G1989" i="2"/>
  <c r="G2023" i="2"/>
  <c r="G2153" i="2"/>
  <c r="F2265" i="2"/>
  <c r="K2265" i="2" s="1"/>
  <c r="G2265" i="2"/>
  <c r="G2271" i="2"/>
  <c r="G2299" i="2"/>
  <c r="F2313" i="2"/>
  <c r="I2313" i="2" s="1"/>
  <c r="G2382" i="2"/>
  <c r="F2382" i="2"/>
  <c r="I2382" i="2" s="1"/>
  <c r="F2436" i="2"/>
  <c r="K2436" i="2" s="1"/>
  <c r="G2477" i="2"/>
  <c r="F2557" i="2"/>
  <c r="I2557" i="2" s="1"/>
  <c r="G2563" i="2"/>
  <c r="F2625" i="2"/>
  <c r="F2682" i="2"/>
  <c r="J2682" i="2" s="1"/>
  <c r="H2682" i="2" s="1"/>
  <c r="G2688" i="2"/>
  <c r="G2695" i="2"/>
  <c r="F2695" i="2"/>
  <c r="J2695" i="2" s="1"/>
  <c r="H2695" i="2" s="1"/>
  <c r="F2796" i="2"/>
  <c r="K2796" i="2" s="1"/>
  <c r="F2871" i="2"/>
  <c r="J2871" i="2" s="1"/>
  <c r="H2871" i="2" s="1"/>
  <c r="F2924" i="2"/>
  <c r="I2924" i="2" s="1"/>
  <c r="F3217" i="2"/>
  <c r="K3217" i="2" s="1"/>
  <c r="F3214" i="2"/>
  <c r="K3214" i="2" s="1"/>
  <c r="G3214" i="2"/>
  <c r="G3459" i="2"/>
  <c r="F3459" i="2"/>
  <c r="I3459" i="2" s="1"/>
  <c r="F3449" i="2"/>
  <c r="I3449" i="2" s="1"/>
  <c r="G3455" i="2"/>
  <c r="F3455" i="2"/>
  <c r="K3455" i="2" s="1"/>
  <c r="F3445" i="2"/>
  <c r="I3445" i="2" s="1"/>
  <c r="F3437" i="2"/>
  <c r="J3437" i="2" s="1"/>
  <c r="H3437" i="2" s="1"/>
  <c r="F3433" i="2"/>
  <c r="J3433" i="2" s="1"/>
  <c r="H3433" i="2" s="1"/>
  <c r="F3471" i="2"/>
  <c r="K3471" i="2" s="1"/>
  <c r="F2585" i="2"/>
  <c r="I2585" i="2" s="1"/>
  <c r="G2585" i="2"/>
  <c r="G3232" i="2"/>
  <c r="F3232" i="2"/>
  <c r="K3232" i="2" s="1"/>
  <c r="F3464" i="2"/>
  <c r="K3464" i="2" s="1"/>
  <c r="G2872" i="2"/>
  <c r="F2872" i="2"/>
  <c r="K2872" i="2" s="1"/>
  <c r="F2921" i="2"/>
  <c r="K2921" i="2" s="1"/>
  <c r="G2935" i="2"/>
  <c r="K2943" i="2"/>
  <c r="F2952" i="2"/>
  <c r="K2952" i="2" s="1"/>
  <c r="F3032" i="2"/>
  <c r="K3032" i="2" s="1"/>
  <c r="G3039" i="2"/>
  <c r="G3224" i="2"/>
  <c r="F3274" i="2"/>
  <c r="I3274" i="2" s="1"/>
  <c r="F3290" i="2"/>
  <c r="F3296" i="2"/>
  <c r="G3334" i="2"/>
  <c r="F3390" i="2"/>
  <c r="K3390" i="2" s="1"/>
  <c r="F3405" i="2"/>
  <c r="K3405" i="2" s="1"/>
  <c r="F3423" i="2"/>
  <c r="K3423" i="2" s="1"/>
  <c r="F3458" i="2"/>
  <c r="I3458" i="2" s="1"/>
  <c r="F2450" i="2"/>
  <c r="J2450" i="2" s="1"/>
  <c r="K2458" i="2" s="1"/>
  <c r="G2461" i="2"/>
  <c r="F2500" i="2"/>
  <c r="K2500" i="2" s="1"/>
  <c r="F2571" i="2"/>
  <c r="K2571" i="2" s="1"/>
  <c r="G2662" i="2"/>
  <c r="G2782" i="2"/>
  <c r="F2852" i="2"/>
  <c r="J2852" i="2" s="1"/>
  <c r="H2852" i="2" s="1"/>
  <c r="G2983" i="2"/>
  <c r="F3165" i="2"/>
  <c r="I3165" i="2" s="1"/>
  <c r="F3218" i="2"/>
  <c r="K3218" i="2" s="1"/>
  <c r="G3227" i="2"/>
  <c r="F3227" i="2"/>
  <c r="K3227" i="2" s="1"/>
  <c r="F3282" i="2"/>
  <c r="J3282" i="2" s="1"/>
  <c r="H3282" i="2" s="1"/>
  <c r="F3397" i="2"/>
  <c r="J3397" i="2" s="1"/>
  <c r="H3397" i="2" s="1"/>
  <c r="F3434" i="2"/>
  <c r="K3434" i="2" s="1"/>
  <c r="F3465" i="2"/>
  <c r="J3465" i="2" s="1"/>
  <c r="H3465" i="2" s="1"/>
  <c r="G2934" i="2"/>
  <c r="G3137" i="2"/>
  <c r="G3452" i="2"/>
  <c r="K5" i="2"/>
  <c r="K828" i="2"/>
  <c r="K1115" i="2"/>
  <c r="K440" i="2"/>
  <c r="J1446" i="2"/>
  <c r="H1446" i="2" s="1"/>
  <c r="K998" i="2"/>
  <c r="J1546" i="2"/>
  <c r="H1546" i="2" s="1"/>
  <c r="J1394" i="2"/>
  <c r="H1394" i="2" s="1"/>
  <c r="I1489" i="2"/>
  <c r="K1677" i="2"/>
  <c r="K1871" i="2"/>
  <c r="K329" i="2"/>
  <c r="I1546" i="2"/>
  <c r="K538" i="2"/>
  <c r="J795" i="2"/>
  <c r="H795" i="2" s="1"/>
  <c r="K1446" i="2"/>
  <c r="K2538" i="2"/>
  <c r="K692" i="2"/>
  <c r="I1452" i="2"/>
  <c r="I2861" i="2"/>
  <c r="J2538" i="2"/>
  <c r="H2538" i="2" s="1"/>
  <c r="J1597" i="2"/>
  <c r="H1597" i="2" s="1"/>
  <c r="J1609" i="2"/>
  <c r="H1609" i="2" s="1"/>
  <c r="J1819" i="2"/>
  <c r="K1989" i="2"/>
  <c r="I2001" i="2"/>
  <c r="J2287" i="2"/>
  <c r="H2287" i="2" s="1"/>
  <c r="I1002" i="2"/>
  <c r="I1058" i="2"/>
  <c r="J2001" i="2"/>
  <c r="H2001" i="2" s="1"/>
  <c r="I2739" i="2"/>
  <c r="I3061" i="2"/>
  <c r="J884" i="2"/>
  <c r="H884" i="2" s="1"/>
  <c r="J2483" i="2"/>
  <c r="K2756" i="2" s="1"/>
  <c r="I2662" i="2"/>
  <c r="J2739" i="2"/>
  <c r="H2739" i="2" s="1"/>
  <c r="J3061" i="2"/>
  <c r="H3061" i="2" s="1"/>
  <c r="K469" i="2"/>
  <c r="I672" i="2"/>
  <c r="K1563" i="2"/>
  <c r="I1570" i="2"/>
  <c r="K1773" i="2"/>
  <c r="K2662" i="2"/>
  <c r="I247" i="2"/>
  <c r="K672" i="2"/>
  <c r="I2311" i="2"/>
  <c r="J3440" i="2"/>
  <c r="H3440" i="2" s="1"/>
  <c r="K714" i="2"/>
  <c r="K1751" i="2"/>
  <c r="J2166" i="2"/>
  <c r="H2166" i="2" s="1"/>
  <c r="K86" i="2"/>
  <c r="J440" i="2"/>
  <c r="H440" i="2" s="1"/>
  <c r="I469" i="2"/>
  <c r="I600" i="2"/>
  <c r="I816" i="2"/>
  <c r="K900" i="2"/>
  <c r="I998" i="2"/>
  <c r="J1002" i="2"/>
  <c r="H1002" i="2" s="1"/>
  <c r="J1677" i="2"/>
  <c r="H1677" i="2" s="1"/>
  <c r="I1751" i="2"/>
  <c r="I1819" i="2"/>
  <c r="K2059" i="2"/>
  <c r="K2380" i="2"/>
  <c r="K2409" i="2"/>
  <c r="I2786" i="2"/>
  <c r="I2809" i="2"/>
  <c r="K2843" i="2"/>
  <c r="K782" i="2"/>
  <c r="I326" i="2"/>
  <c r="I516" i="2"/>
  <c r="K556" i="2"/>
  <c r="K725" i="2"/>
  <c r="I981" i="2"/>
  <c r="I1168" i="2"/>
  <c r="J1173" i="2"/>
  <c r="H1173" i="2" s="1"/>
  <c r="J1530" i="2"/>
  <c r="H1530" i="2" s="1"/>
  <c r="K326" i="2"/>
  <c r="J578" i="2"/>
  <c r="K601" i="2" s="1"/>
  <c r="J981" i="2"/>
  <c r="H981" i="2" s="1"/>
  <c r="I1023" i="2"/>
  <c r="J1107" i="2"/>
  <c r="J1168" i="2"/>
  <c r="H1168" i="2" s="1"/>
  <c r="I1260" i="2"/>
  <c r="K1336" i="2"/>
  <c r="K1530" i="2"/>
  <c r="J2109" i="2"/>
  <c r="H2109" i="2" s="1"/>
  <c r="J2228" i="2"/>
  <c r="H2228" i="2" s="1"/>
  <c r="J2527" i="2"/>
  <c r="H2527" i="2" s="1"/>
  <c r="K2578" i="2"/>
  <c r="K2806" i="2"/>
  <c r="K3010" i="2"/>
  <c r="I3145" i="2"/>
  <c r="K3343" i="2"/>
  <c r="I3421" i="2"/>
  <c r="I782" i="2"/>
  <c r="I3050" i="2"/>
  <c r="I3099" i="2"/>
  <c r="K3145" i="2"/>
  <c r="I3149" i="2"/>
  <c r="I3380" i="2"/>
  <c r="K3421" i="2"/>
  <c r="J2137" i="2"/>
  <c r="H2137" i="2" s="1"/>
  <c r="I3007" i="2"/>
  <c r="J3149" i="2"/>
  <c r="H3149" i="2" s="1"/>
  <c r="J117" i="2"/>
  <c r="H117" i="2" s="1"/>
  <c r="K280" i="2"/>
  <c r="I517" i="2"/>
  <c r="J645" i="2"/>
  <c r="H645" i="2" s="1"/>
  <c r="I696" i="2"/>
  <c r="I1220" i="2"/>
  <c r="K1394" i="2"/>
  <c r="J1439" i="2"/>
  <c r="H1439" i="2" s="1"/>
  <c r="I1754" i="2"/>
  <c r="I1917" i="2"/>
  <c r="I1945" i="2"/>
  <c r="I2106" i="2"/>
  <c r="J2964" i="2"/>
  <c r="K3025" i="2" s="1"/>
  <c r="K3140" i="2"/>
  <c r="K3440" i="2"/>
  <c r="J52" i="2"/>
  <c r="H52" i="2" s="1"/>
  <c r="J215" i="2"/>
  <c r="H215" i="2" s="1"/>
  <c r="K268" i="2"/>
  <c r="K838" i="2"/>
  <c r="J861" i="2"/>
  <c r="H861" i="2" s="1"/>
  <c r="I978" i="2"/>
  <c r="K1220" i="2"/>
  <c r="I1267" i="2"/>
  <c r="I1462" i="2"/>
  <c r="J1754" i="2"/>
  <c r="H1754" i="2" s="1"/>
  <c r="I1831" i="2"/>
  <c r="I1854" i="2"/>
  <c r="J1907" i="2"/>
  <c r="H1907" i="2" s="1"/>
  <c r="J1917" i="2"/>
  <c r="H1917" i="2" s="1"/>
  <c r="I2442" i="2"/>
  <c r="K2623" i="2"/>
  <c r="K2964" i="2"/>
  <c r="I3120" i="2"/>
  <c r="J44" i="2"/>
  <c r="H44" i="2" s="1"/>
  <c r="J714" i="2"/>
  <c r="H714" i="2" s="1"/>
  <c r="I755" i="2"/>
  <c r="I1281" i="2"/>
  <c r="K1335" i="2"/>
  <c r="J1462" i="2"/>
  <c r="H1462" i="2" s="1"/>
  <c r="J1680" i="2"/>
  <c r="H1680" i="2" s="1"/>
  <c r="K2278" i="2"/>
  <c r="J2380" i="2"/>
  <c r="H2380" i="2" s="1"/>
  <c r="J2554" i="2"/>
  <c r="H2554" i="2" s="1"/>
  <c r="I2720" i="2"/>
  <c r="I2843" i="2"/>
  <c r="J2848" i="2"/>
  <c r="H2848" i="2" s="1"/>
  <c r="I3130" i="2"/>
  <c r="K655" i="2"/>
  <c r="J655" i="2"/>
  <c r="H655" i="2" s="1"/>
  <c r="K2908" i="2"/>
  <c r="J2908" i="2"/>
  <c r="H2908" i="2" s="1"/>
  <c r="J3188" i="2"/>
  <c r="H3188" i="2" s="1"/>
  <c r="K3188" i="2"/>
  <c r="I3204" i="2"/>
  <c r="K3204" i="2"/>
  <c r="J3204" i="2"/>
  <c r="H3204" i="2" s="1"/>
  <c r="K3096" i="2"/>
  <c r="I3096" i="2"/>
  <c r="J2770" i="2"/>
  <c r="K3443" i="2" s="1"/>
  <c r="I3389" i="2"/>
  <c r="J3389" i="2"/>
  <c r="H3389" i="2" s="1"/>
  <c r="K3424" i="2"/>
  <c r="J3424" i="2"/>
  <c r="H3424" i="2" s="1"/>
  <c r="I3424" i="2"/>
  <c r="K41" i="2"/>
  <c r="J101" i="2"/>
  <c r="H101" i="2" s="1"/>
  <c r="I141" i="2"/>
  <c r="I157" i="2"/>
  <c r="I498" i="2"/>
  <c r="K498" i="2"/>
  <c r="J498" i="2"/>
  <c r="H498" i="2" s="1"/>
  <c r="K873" i="2"/>
  <c r="K1254" i="2"/>
  <c r="J1254" i="2"/>
  <c r="H1254" i="2" s="1"/>
  <c r="J1511" i="2"/>
  <c r="H1511" i="2" s="1"/>
  <c r="I1511" i="2"/>
  <c r="J1517" i="2"/>
  <c r="H1517" i="2" s="1"/>
  <c r="I2041" i="2"/>
  <c r="I2351" i="2"/>
  <c r="K2461" i="2"/>
  <c r="J2461" i="2"/>
  <c r="H2461" i="2" s="1"/>
  <c r="I2461" i="2"/>
  <c r="J2665" i="2"/>
  <c r="H2665" i="2" s="1"/>
  <c r="K2665" i="2"/>
  <c r="J2703" i="2"/>
  <c r="H2703" i="2" s="1"/>
  <c r="J748" i="2"/>
  <c r="H748" i="2" s="1"/>
  <c r="I748" i="2"/>
  <c r="J2210" i="2"/>
  <c r="I2210" i="2"/>
  <c r="I1037" i="2"/>
  <c r="K1037" i="2"/>
  <c r="J1037" i="2"/>
  <c r="H1037" i="2" s="1"/>
  <c r="J2076" i="2"/>
  <c r="H2076" i="2" s="1"/>
  <c r="I2076" i="2"/>
  <c r="K2271" i="2"/>
  <c r="J2271" i="2"/>
  <c r="H2271" i="2" s="1"/>
  <c r="I2271" i="2"/>
  <c r="K67" i="2"/>
  <c r="K101" i="2"/>
  <c r="J157" i="2"/>
  <c r="H157" i="2" s="1"/>
  <c r="I1325" i="2"/>
  <c r="J1325" i="2"/>
  <c r="H1325" i="2" s="1"/>
  <c r="J1471" i="2"/>
  <c r="K1517" i="2"/>
  <c r="I1646" i="2"/>
  <c r="J2010" i="2"/>
  <c r="H2010" i="2" s="1"/>
  <c r="I2010" i="2"/>
  <c r="K2041" i="2"/>
  <c r="I2203" i="2"/>
  <c r="I2314" i="2"/>
  <c r="J2351" i="2"/>
  <c r="H2351" i="2" s="1"/>
  <c r="I2559" i="2"/>
  <c r="I2690" i="2"/>
  <c r="K2703" i="2"/>
  <c r="K3029" i="2"/>
  <c r="J3029" i="2"/>
  <c r="H3029" i="2" s="1"/>
  <c r="I3029" i="2"/>
  <c r="K3093" i="2"/>
  <c r="I3093" i="2"/>
  <c r="J3169" i="2"/>
  <c r="H3169" i="2" s="1"/>
  <c r="K3169" i="2"/>
  <c r="K3358" i="2"/>
  <c r="I3358" i="2"/>
  <c r="I3400" i="2"/>
  <c r="J3400" i="2"/>
  <c r="H3400" i="2" s="1"/>
  <c r="K2191" i="2"/>
  <c r="J2191" i="2"/>
  <c r="H2191" i="2" s="1"/>
  <c r="I2191" i="2"/>
  <c r="K230" i="2"/>
  <c r="J230" i="2"/>
  <c r="H230" i="2" s="1"/>
  <c r="J256" i="2"/>
  <c r="I398" i="2"/>
  <c r="K398" i="2"/>
  <c r="J398" i="2"/>
  <c r="H398" i="2" s="1"/>
  <c r="J693" i="2"/>
  <c r="J1646" i="2"/>
  <c r="H1646" i="2" s="1"/>
  <c r="J2203" i="2"/>
  <c r="K2205" i="2" s="1"/>
  <c r="J2314" i="2"/>
  <c r="J2559" i="2"/>
  <c r="H2559" i="2" s="1"/>
  <c r="J2302" i="2"/>
  <c r="I2302" i="2"/>
  <c r="K637" i="2"/>
  <c r="J637" i="2"/>
  <c r="H637" i="2" s="1"/>
  <c r="K34" i="2"/>
  <c r="K2509" i="2"/>
  <c r="J2509" i="2"/>
  <c r="H2509" i="2" s="1"/>
  <c r="K2671" i="2"/>
  <c r="J2671" i="2"/>
  <c r="H2671" i="2" s="1"/>
  <c r="I2671" i="2"/>
  <c r="K52" i="2"/>
  <c r="I75" i="2"/>
  <c r="K117" i="2"/>
  <c r="I134" i="2"/>
  <c r="I613" i="2"/>
  <c r="K947" i="2"/>
  <c r="J947" i="2"/>
  <c r="H947" i="2" s="1"/>
  <c r="I947" i="2"/>
  <c r="I1113" i="2"/>
  <c r="I1533" i="2"/>
  <c r="J1533" i="2"/>
  <c r="H1533" i="2" s="1"/>
  <c r="I1605" i="2"/>
  <c r="J1605" i="2"/>
  <c r="H1605" i="2" s="1"/>
  <c r="K1907" i="2"/>
  <c r="J1919" i="2"/>
  <c r="H1919" i="2" s="1"/>
  <c r="J2005" i="2"/>
  <c r="H2005" i="2" s="1"/>
  <c r="K2005" i="2"/>
  <c r="K2010" i="2"/>
  <c r="I2305" i="2"/>
  <c r="J2311" i="2"/>
  <c r="H2311" i="2" s="1"/>
  <c r="K2390" i="2"/>
  <c r="J3025" i="2"/>
  <c r="K3027" i="2" s="1"/>
  <c r="I3025" i="2"/>
  <c r="K3400" i="2"/>
  <c r="K2605" i="2"/>
  <c r="J2605" i="2"/>
  <c r="H2605" i="2" s="1"/>
  <c r="I2605" i="2"/>
  <c r="K1095" i="2"/>
  <c r="J1095" i="2"/>
  <c r="H1095" i="2" s="1"/>
  <c r="I1095" i="2"/>
  <c r="K2045" i="2"/>
  <c r="J2045" i="2"/>
  <c r="H2045" i="2" s="1"/>
  <c r="K3108" i="2"/>
  <c r="I3108" i="2"/>
  <c r="J3116" i="2"/>
  <c r="H3116" i="2" s="1"/>
  <c r="I3116" i="2"/>
  <c r="J41" i="2"/>
  <c r="H41" i="2" s="1"/>
  <c r="K2321" i="2"/>
  <c r="J2321" i="2"/>
  <c r="H2321" i="2" s="1"/>
  <c r="I2321" i="2"/>
  <c r="J2882" i="2"/>
  <c r="H2882" i="2" s="1"/>
  <c r="J20" i="2"/>
  <c r="H20" i="2" s="1"/>
  <c r="J75" i="2"/>
  <c r="H75" i="2" s="1"/>
  <c r="K114" i="2"/>
  <c r="J134" i="2"/>
  <c r="H134" i="2" s="1"/>
  <c r="J347" i="2"/>
  <c r="H347" i="2" s="1"/>
  <c r="K347" i="2"/>
  <c r="I347" i="2"/>
  <c r="J613" i="2"/>
  <c r="H613" i="2" s="1"/>
  <c r="I1298" i="2"/>
  <c r="K1298" i="2"/>
  <c r="K1378" i="2"/>
  <c r="J1378" i="2"/>
  <c r="H1378" i="2" s="1"/>
  <c r="I1378" i="2"/>
  <c r="K1490" i="2"/>
  <c r="I1490" i="2"/>
  <c r="J1864" i="2"/>
  <c r="H1864" i="2" s="1"/>
  <c r="K1864" i="2"/>
  <c r="K1970" i="2"/>
  <c r="I1970" i="2"/>
  <c r="K2200" i="2"/>
  <c r="J2200" i="2"/>
  <c r="H2200" i="2" s="1"/>
  <c r="I2200" i="2"/>
  <c r="J2305" i="2"/>
  <c r="K2314" i="2" s="1"/>
  <c r="J2723" i="2"/>
  <c r="H2723" i="2" s="1"/>
  <c r="K2723" i="2"/>
  <c r="K2934" i="2"/>
  <c r="J2934" i="2"/>
  <c r="H2934" i="2" s="1"/>
  <c r="J3043" i="2"/>
  <c r="H3043" i="2" s="1"/>
  <c r="K3043" i="2"/>
  <c r="K3133" i="2"/>
  <c r="J3133" i="2"/>
  <c r="H3133" i="2" s="1"/>
  <c r="J2399" i="2"/>
  <c r="H2399" i="2" s="1"/>
  <c r="K2399" i="2"/>
  <c r="I655" i="2"/>
  <c r="I985" i="2"/>
  <c r="J985" i="2"/>
  <c r="H985" i="2" s="1"/>
  <c r="K55" i="2"/>
  <c r="I1264" i="2"/>
  <c r="J1264" i="2"/>
  <c r="H1264" i="2" s="1"/>
  <c r="I1584" i="2"/>
  <c r="J1703" i="2"/>
  <c r="J2864" i="2"/>
  <c r="H2864" i="2" s="1"/>
  <c r="I44" i="2"/>
  <c r="K531" i="2"/>
  <c r="J531" i="2"/>
  <c r="H531" i="2" s="1"/>
  <c r="I531" i="2"/>
  <c r="K742" i="2"/>
  <c r="I742" i="2"/>
  <c r="J974" i="2"/>
  <c r="I974" i="2"/>
  <c r="J1182" i="2"/>
  <c r="H1182" i="2" s="1"/>
  <c r="K1534" i="2"/>
  <c r="J1534" i="2"/>
  <c r="I1534" i="2"/>
  <c r="K1609" i="2"/>
  <c r="K1622" i="2"/>
  <c r="I1622" i="2"/>
  <c r="K1764" i="2"/>
  <c r="J1764" i="2"/>
  <c r="H1764" i="2" s="1"/>
  <c r="I1764" i="2"/>
  <c r="J3018" i="2"/>
  <c r="H3018" i="2" s="1"/>
  <c r="K3018" i="2"/>
  <c r="I3166" i="2"/>
  <c r="K3166" i="2"/>
  <c r="J3166" i="2"/>
  <c r="H3166" i="2" s="1"/>
  <c r="I3319" i="2"/>
  <c r="K3319" i="2"/>
  <c r="J3456" i="2"/>
  <c r="H3456" i="2" s="1"/>
  <c r="K3456" i="2"/>
  <c r="J224" i="2"/>
  <c r="H224" i="2" s="1"/>
  <c r="K645" i="2"/>
  <c r="J978" i="2"/>
  <c r="H978" i="2" s="1"/>
  <c r="J1023" i="2"/>
  <c r="H1023" i="2" s="1"/>
  <c r="K1489" i="2"/>
  <c r="J2106" i="2"/>
  <c r="H2106" i="2" s="1"/>
  <c r="I2700" i="2"/>
  <c r="J2786" i="2"/>
  <c r="H2786" i="2" s="1"/>
  <c r="K2861" i="2"/>
  <c r="K224" i="2"/>
  <c r="K518" i="2"/>
  <c r="I689" i="2"/>
  <c r="K1281" i="2"/>
  <c r="J2700" i="2"/>
  <c r="H2700" i="2" s="1"/>
  <c r="I258" i="2"/>
  <c r="I405" i="2"/>
  <c r="J572" i="2"/>
  <c r="H572" i="2" s="1"/>
  <c r="I922" i="2"/>
  <c r="I1031" i="2"/>
  <c r="I1161" i="2"/>
  <c r="J1362" i="2"/>
  <c r="H1362" i="2" s="1"/>
  <c r="I1656" i="2"/>
  <c r="I1727" i="2"/>
  <c r="I1761" i="2"/>
  <c r="I1807" i="2"/>
  <c r="J1861" i="2"/>
  <c r="H1861" i="2" s="1"/>
  <c r="I1908" i="2"/>
  <c r="K1945" i="2"/>
  <c r="I2166" i="2"/>
  <c r="J2232" i="2"/>
  <c r="H2232" i="2" s="1"/>
  <c r="K2347" i="2"/>
  <c r="I2409" i="2"/>
  <c r="I2525" i="2"/>
  <c r="I2725" i="2"/>
  <c r="I2798" i="2"/>
  <c r="J3077" i="2"/>
  <c r="H3077" i="2" s="1"/>
  <c r="J231" i="2"/>
  <c r="H231" i="2" s="1"/>
  <c r="J405" i="2"/>
  <c r="I415" i="2"/>
  <c r="K510" i="2"/>
  <c r="I568" i="2"/>
  <c r="K572" i="2"/>
  <c r="I636" i="2"/>
  <c r="I642" i="2"/>
  <c r="I940" i="2"/>
  <c r="I951" i="2"/>
  <c r="K1008" i="2"/>
  <c r="K1031" i="2"/>
  <c r="J1058" i="2"/>
  <c r="H1058" i="2" s="1"/>
  <c r="K1082" i="2"/>
  <c r="K1173" i="2"/>
  <c r="J1199" i="2"/>
  <c r="H1199" i="2" s="1"/>
  <c r="J1332" i="2"/>
  <c r="H1332" i="2" s="1"/>
  <c r="K1362" i="2"/>
  <c r="J1656" i="2"/>
  <c r="H1656" i="2" s="1"/>
  <c r="I1715" i="2"/>
  <c r="J1727" i="2"/>
  <c r="H1727" i="2" s="1"/>
  <c r="J1761" i="2"/>
  <c r="H1761" i="2" s="1"/>
  <c r="J1807" i="2"/>
  <c r="H1807" i="2" s="1"/>
  <c r="K1861" i="2"/>
  <c r="K1908" i="2"/>
  <c r="J1937" i="2"/>
  <c r="H1937" i="2" s="1"/>
  <c r="K2232" i="2"/>
  <c r="J2615" i="2"/>
  <c r="H2615" i="2" s="1"/>
  <c r="I2677" i="2"/>
  <c r="I3010" i="2"/>
  <c r="K3077" i="2"/>
  <c r="I3152" i="2"/>
  <c r="I3216" i="2"/>
  <c r="J3383" i="2"/>
  <c r="H3383" i="2" s="1"/>
  <c r="I3412" i="2"/>
  <c r="K231" i="2"/>
  <c r="J415" i="2"/>
  <c r="H415" i="2" s="1"/>
  <c r="J642" i="2"/>
  <c r="H642" i="2" s="1"/>
  <c r="J725" i="2"/>
  <c r="H725" i="2" s="1"/>
  <c r="I795" i="2"/>
  <c r="J951" i="2"/>
  <c r="H951" i="2" s="1"/>
  <c r="K1088" i="2"/>
  <c r="K1301" i="2"/>
  <c r="J1348" i="2"/>
  <c r="H1348" i="2" s="1"/>
  <c r="K1533" i="2"/>
  <c r="J1637" i="2"/>
  <c r="H1637" i="2" s="1"/>
  <c r="I1682" i="2"/>
  <c r="J1871" i="2"/>
  <c r="H1871" i="2" s="1"/>
  <c r="J1886" i="2"/>
  <c r="H1886" i="2" s="1"/>
  <c r="I2137" i="2"/>
  <c r="K2627" i="2"/>
  <c r="K2652" i="2"/>
  <c r="I2683" i="2"/>
  <c r="I2741" i="2"/>
  <c r="I2757" i="2"/>
  <c r="J3152" i="2"/>
  <c r="K3277" i="2"/>
  <c r="K3383" i="2"/>
  <c r="K3412" i="2"/>
  <c r="J708" i="2"/>
  <c r="H708" i="2" s="1"/>
  <c r="K748" i="2"/>
  <c r="K2483" i="2"/>
  <c r="K3380" i="2"/>
  <c r="K1290" i="2"/>
  <c r="J1290" i="2"/>
  <c r="H1290" i="2" s="1"/>
  <c r="I1290" i="2"/>
  <c r="I1782" i="2"/>
  <c r="K1782" i="2"/>
  <c r="J1782" i="2"/>
  <c r="H1782" i="2" s="1"/>
  <c r="K1914" i="2"/>
  <c r="I1914" i="2"/>
  <c r="I15" i="2"/>
  <c r="I72" i="2"/>
  <c r="K152" i="2"/>
  <c r="J192" i="2"/>
  <c r="H192" i="2" s="1"/>
  <c r="I314" i="2"/>
  <c r="J494" i="2"/>
  <c r="H494" i="2" s="1"/>
  <c r="K835" i="2"/>
  <c r="J835" i="2"/>
  <c r="H835" i="2" s="1"/>
  <c r="I835" i="2"/>
  <c r="J928" i="2"/>
  <c r="H928" i="2" s="1"/>
  <c r="I928" i="2"/>
  <c r="J1051" i="2"/>
  <c r="K1101" i="2" s="1"/>
  <c r="K1415" i="2"/>
  <c r="J1415" i="2"/>
  <c r="H1415" i="2" s="1"/>
  <c r="I1415" i="2"/>
  <c r="K1823" i="2"/>
  <c r="J1823" i="2"/>
  <c r="H1823" i="2" s="1"/>
  <c r="I1823" i="2"/>
  <c r="K3370" i="2"/>
  <c r="J3370" i="2"/>
  <c r="H3370" i="2" s="1"/>
  <c r="I3370" i="2"/>
  <c r="J15" i="2"/>
  <c r="H15" i="2" s="1"/>
  <c r="I21" i="2"/>
  <c r="J72" i="2"/>
  <c r="H72" i="2" s="1"/>
  <c r="I80" i="2"/>
  <c r="I106" i="2"/>
  <c r="I131" i="2"/>
  <c r="I160" i="2"/>
  <c r="I170" i="2"/>
  <c r="K192" i="2"/>
  <c r="I195" i="2"/>
  <c r="K220" i="2"/>
  <c r="J288" i="2"/>
  <c r="H288" i="2" s="1"/>
  <c r="I298" i="2"/>
  <c r="J314" i="2"/>
  <c r="H314" i="2" s="1"/>
  <c r="K386" i="2"/>
  <c r="J386" i="2"/>
  <c r="H386" i="2" s="1"/>
  <c r="I386" i="2"/>
  <c r="K428" i="2"/>
  <c r="J428" i="2"/>
  <c r="H428" i="2" s="1"/>
  <c r="I428" i="2"/>
  <c r="K1302" i="2"/>
  <c r="J1302" i="2"/>
  <c r="H1302" i="2" s="1"/>
  <c r="I1302" i="2"/>
  <c r="J1930" i="2"/>
  <c r="I1930" i="2"/>
  <c r="K2370" i="2"/>
  <c r="J2370" i="2"/>
  <c r="H2370" i="2" s="1"/>
  <c r="I2370" i="2"/>
  <c r="I1557" i="2"/>
  <c r="I12" i="2"/>
  <c r="J160" i="2"/>
  <c r="J195" i="2"/>
  <c r="H195" i="2" s="1"/>
  <c r="J801" i="2"/>
  <c r="H801" i="2" s="1"/>
  <c r="I896" i="2"/>
  <c r="J1231" i="2"/>
  <c r="H1231" i="2" s="1"/>
  <c r="I1231" i="2"/>
  <c r="J1523" i="2"/>
  <c r="H1523" i="2" s="1"/>
  <c r="I1523" i="2"/>
  <c r="K1606" i="2"/>
  <c r="J1606" i="2"/>
  <c r="H1606" i="2" s="1"/>
  <c r="J131" i="2"/>
  <c r="H131" i="2" s="1"/>
  <c r="I173" i="2"/>
  <c r="J298" i="2"/>
  <c r="H298" i="2" s="1"/>
  <c r="K759" i="2"/>
  <c r="J12" i="2"/>
  <c r="H12" i="2" s="1"/>
  <c r="I28" i="2"/>
  <c r="K45" i="2"/>
  <c r="I60" i="2"/>
  <c r="I78" i="2"/>
  <c r="K170" i="2"/>
  <c r="J173" i="2"/>
  <c r="H173" i="2" s="1"/>
  <c r="I189" i="2"/>
  <c r="K383" i="2"/>
  <c r="J383" i="2"/>
  <c r="J507" i="2"/>
  <c r="H507" i="2" s="1"/>
  <c r="I801" i="2"/>
  <c r="K854" i="2"/>
  <c r="J854" i="2"/>
  <c r="H854" i="2" s="1"/>
  <c r="I854" i="2"/>
  <c r="K1245" i="2"/>
  <c r="J1245" i="2"/>
  <c r="H1245" i="2" s="1"/>
  <c r="I1245" i="2"/>
  <c r="K1578" i="2"/>
  <c r="J1578" i="2"/>
  <c r="H1578" i="2" s="1"/>
  <c r="I1578" i="2"/>
  <c r="J1742" i="2"/>
  <c r="H1742" i="2" s="1"/>
  <c r="K1742" i="2"/>
  <c r="K1812" i="2"/>
  <c r="J1812" i="2"/>
  <c r="H1812" i="2" s="1"/>
  <c r="I1812" i="2"/>
  <c r="K1898" i="2"/>
  <c r="J1898" i="2"/>
  <c r="H1898" i="2" s="1"/>
  <c r="I1898" i="2"/>
  <c r="J588" i="2"/>
  <c r="H588" i="2" s="1"/>
  <c r="I588" i="2"/>
  <c r="K1214" i="2"/>
  <c r="J1214" i="2"/>
  <c r="H1214" i="2" s="1"/>
  <c r="I1214" i="2"/>
  <c r="K546" i="2"/>
  <c r="J546" i="2"/>
  <c r="H546" i="2" s="1"/>
  <c r="I546" i="2"/>
  <c r="J60" i="2"/>
  <c r="H60" i="2" s="1"/>
  <c r="J78" i="2"/>
  <c r="H78" i="2" s="1"/>
  <c r="J94" i="2"/>
  <c r="H94" i="2" s="1"/>
  <c r="J128" i="2"/>
  <c r="H128" i="2" s="1"/>
  <c r="I136" i="2"/>
  <c r="J189" i="2"/>
  <c r="H189" i="2" s="1"/>
  <c r="J312" i="2"/>
  <c r="H312" i="2" s="1"/>
  <c r="K484" i="2"/>
  <c r="K919" i="2"/>
  <c r="I919" i="2"/>
  <c r="J2789" i="2"/>
  <c r="I2789" i="2"/>
  <c r="K786" i="2"/>
  <c r="J786" i="2"/>
  <c r="H786" i="2" s="1"/>
  <c r="I786" i="2"/>
  <c r="I9" i="2"/>
  <c r="J9" i="2"/>
  <c r="H9" i="2" s="1"/>
  <c r="K21" i="2"/>
  <c r="K94" i="2"/>
  <c r="K128" i="2"/>
  <c r="J136" i="2"/>
  <c r="I323" i="2"/>
  <c r="I333" i="2"/>
  <c r="K425" i="2"/>
  <c r="J425" i="2"/>
  <c r="H425" i="2" s="1"/>
  <c r="I425" i="2"/>
  <c r="K649" i="2"/>
  <c r="J649" i="2"/>
  <c r="H649" i="2" s="1"/>
  <c r="I649" i="2"/>
  <c r="I885" i="2"/>
  <c r="K885" i="2"/>
  <c r="J885" i="2"/>
  <c r="H885" i="2" s="1"/>
  <c r="K1046" i="2"/>
  <c r="J1046" i="2"/>
  <c r="H1046" i="2" s="1"/>
  <c r="I1046" i="2"/>
  <c r="K1326" i="2"/>
  <c r="J1326" i="2"/>
  <c r="H1326" i="2" s="1"/>
  <c r="I1326" i="2"/>
  <c r="K1706" i="2"/>
  <c r="J1706" i="2"/>
  <c r="I1706" i="2"/>
  <c r="J1885" i="2"/>
  <c r="H1885" i="2" s="1"/>
  <c r="I1885" i="2"/>
  <c r="K2714" i="2"/>
  <c r="J2714" i="2"/>
  <c r="H2714" i="2" s="1"/>
  <c r="I2714" i="2"/>
  <c r="I83" i="2"/>
  <c r="J104" i="2"/>
  <c r="H104" i="2" s="1"/>
  <c r="I34" i="2"/>
  <c r="I55" i="2"/>
  <c r="I81" i="2"/>
  <c r="K104" i="2"/>
  <c r="I114" i="2"/>
  <c r="J120" i="2"/>
  <c r="H120" i="2" s="1"/>
  <c r="I144" i="2"/>
  <c r="I207" i="2"/>
  <c r="J214" i="2"/>
  <c r="H214" i="2" s="1"/>
  <c r="J258" i="2"/>
  <c r="H258" i="2" s="1"/>
  <c r="I280" i="2"/>
  <c r="J323" i="2"/>
  <c r="H323" i="2" s="1"/>
  <c r="J333" i="2"/>
  <c r="H333" i="2" s="1"/>
  <c r="K820" i="2"/>
  <c r="J820" i="2"/>
  <c r="H820" i="2" s="1"/>
  <c r="I820" i="2"/>
  <c r="K913" i="2"/>
  <c r="J913" i="2"/>
  <c r="H913" i="2" s="1"/>
  <c r="I999" i="2"/>
  <c r="K999" i="2"/>
  <c r="J999" i="2"/>
  <c r="H999" i="2" s="1"/>
  <c r="J1387" i="2"/>
  <c r="H1387" i="2" s="1"/>
  <c r="I1387" i="2"/>
  <c r="K1662" i="2"/>
  <c r="J1662" i="2"/>
  <c r="H1662" i="2" s="1"/>
  <c r="I1662" i="2"/>
  <c r="K1772" i="2"/>
  <c r="J1772" i="2"/>
  <c r="H1772" i="2" s="1"/>
  <c r="I1772" i="2"/>
  <c r="K2259" i="2"/>
  <c r="J2259" i="2"/>
  <c r="H2259" i="2" s="1"/>
  <c r="I2259" i="2"/>
  <c r="K2686" i="2"/>
  <c r="J2686" i="2"/>
  <c r="H2686" i="2" s="1"/>
  <c r="I2686" i="2"/>
  <c r="J1036" i="2"/>
  <c r="H1036" i="2" s="1"/>
  <c r="I1036" i="2"/>
  <c r="J1625" i="2"/>
  <c r="H1625" i="2" s="1"/>
  <c r="I1625" i="2"/>
  <c r="J80" i="2"/>
  <c r="H80" i="2" s="1"/>
  <c r="K120" i="2"/>
  <c r="K161" i="2"/>
  <c r="K186" i="2"/>
  <c r="J194" i="2"/>
  <c r="H194" i="2" s="1"/>
  <c r="J371" i="2"/>
  <c r="K385" i="2" s="1"/>
  <c r="K459" i="2"/>
  <c r="J459" i="2"/>
  <c r="H459" i="2" s="1"/>
  <c r="I459" i="2"/>
  <c r="J504" i="2"/>
  <c r="H504" i="2" s="1"/>
  <c r="I504" i="2"/>
  <c r="K879" i="2"/>
  <c r="J879" i="2"/>
  <c r="H879" i="2" s="1"/>
  <c r="K1036" i="2"/>
  <c r="K1796" i="2"/>
  <c r="J1796" i="2"/>
  <c r="H1796" i="2" s="1"/>
  <c r="J2979" i="2"/>
  <c r="H2979" i="2" s="1"/>
  <c r="K2979" i="2"/>
  <c r="J721" i="2"/>
  <c r="J922" i="2"/>
  <c r="H922" i="2" s="1"/>
  <c r="J1063" i="2"/>
  <c r="I1165" i="2"/>
  <c r="K1649" i="2"/>
  <c r="J1854" i="2"/>
  <c r="H1854" i="2" s="1"/>
  <c r="K1937" i="2"/>
  <c r="K2188" i="2"/>
  <c r="J2188" i="2"/>
  <c r="H2188" i="2" s="1"/>
  <c r="K2650" i="2"/>
  <c r="J2650" i="2"/>
  <c r="H2650" i="2" s="1"/>
  <c r="K872" i="2"/>
  <c r="J993" i="2"/>
  <c r="H993" i="2" s="1"/>
  <c r="J1165" i="2"/>
  <c r="H1165" i="2" s="1"/>
  <c r="K1637" i="2"/>
  <c r="K2147" i="2"/>
  <c r="J2147" i="2"/>
  <c r="H2147" i="2" s="1"/>
  <c r="I2147" i="2"/>
  <c r="K2244" i="2"/>
  <c r="J2244" i="2"/>
  <c r="H2244" i="2" s="1"/>
  <c r="I2244" i="2"/>
  <c r="K2850" i="2"/>
  <c r="J2850" i="2"/>
  <c r="H2850" i="2" s="1"/>
  <c r="I637" i="2"/>
  <c r="K668" i="2"/>
  <c r="J975" i="2"/>
  <c r="H975" i="2" s="1"/>
  <c r="K984" i="2"/>
  <c r="K993" i="2"/>
  <c r="I1040" i="2"/>
  <c r="I1088" i="2"/>
  <c r="I1101" i="2"/>
  <c r="I1141" i="2"/>
  <c r="K1185" i="2"/>
  <c r="K1241" i="2"/>
  <c r="I1348" i="2"/>
  <c r="K1570" i="2"/>
  <c r="K2327" i="2"/>
  <c r="J2327" i="2"/>
  <c r="H2327" i="2" s="1"/>
  <c r="K2490" i="2"/>
  <c r="J2490" i="2"/>
  <c r="H2490" i="2" s="1"/>
  <c r="I2490" i="2"/>
  <c r="K436" i="2"/>
  <c r="I481" i="2"/>
  <c r="J517" i="2"/>
  <c r="H517" i="2" s="1"/>
  <c r="I543" i="2"/>
  <c r="I560" i="2"/>
  <c r="I579" i="2"/>
  <c r="I869" i="2"/>
  <c r="I900" i="2"/>
  <c r="K906" i="2"/>
  <c r="K940" i="2"/>
  <c r="I1008" i="2"/>
  <c r="I1062" i="2"/>
  <c r="J1141" i="2"/>
  <c r="H1141" i="2" s="1"/>
  <c r="I1563" i="2"/>
  <c r="J1622" i="2"/>
  <c r="H1622" i="2" s="1"/>
  <c r="I1920" i="2"/>
  <c r="J2256" i="2"/>
  <c r="I2256" i="2"/>
  <c r="J2545" i="2"/>
  <c r="H2545" i="2" s="1"/>
  <c r="I2545" i="2"/>
  <c r="K3246" i="2"/>
  <c r="J3246" i="2"/>
  <c r="H3246" i="2" s="1"/>
  <c r="I3246" i="2"/>
  <c r="J481" i="2"/>
  <c r="H481" i="2" s="1"/>
  <c r="J543" i="2"/>
  <c r="H543" i="2" s="1"/>
  <c r="J560" i="2"/>
  <c r="H560" i="2" s="1"/>
  <c r="J579" i="2"/>
  <c r="H579" i="2" s="1"/>
  <c r="K600" i="2"/>
  <c r="J659" i="2"/>
  <c r="H659" i="2" s="1"/>
  <c r="J689" i="2"/>
  <c r="H689" i="2" s="1"/>
  <c r="I693" i="2"/>
  <c r="J696" i="2"/>
  <c r="H696" i="2" s="1"/>
  <c r="I828" i="2"/>
  <c r="I839" i="2"/>
  <c r="J869" i="2"/>
  <c r="H869" i="2" s="1"/>
  <c r="K884" i="2"/>
  <c r="K1022" i="2"/>
  <c r="I1082" i="2"/>
  <c r="I1199" i="2"/>
  <c r="K1289" i="2"/>
  <c r="K1325" i="2"/>
  <c r="I1332" i="2"/>
  <c r="I1597" i="2"/>
  <c r="K1605" i="2"/>
  <c r="J2007" i="2"/>
  <c r="H2007" i="2" s="1"/>
  <c r="I2035" i="2"/>
  <c r="I2327" i="2"/>
  <c r="K2361" i="2"/>
  <c r="J2361" i="2"/>
  <c r="H2361" i="2" s="1"/>
  <c r="I2361" i="2"/>
  <c r="I510" i="2"/>
  <c r="I538" i="2"/>
  <c r="I622" i="2"/>
  <c r="I628" i="2"/>
  <c r="K636" i="2"/>
  <c r="K659" i="2"/>
  <c r="I702" i="2"/>
  <c r="I767" i="2"/>
  <c r="J771" i="2"/>
  <c r="H771" i="2" s="1"/>
  <c r="J839" i="2"/>
  <c r="H839" i="2" s="1"/>
  <c r="I860" i="2"/>
  <c r="K916" i="2"/>
  <c r="K974" i="2"/>
  <c r="K1161" i="2"/>
  <c r="J1715" i="2"/>
  <c r="H1715" i="2" s="1"/>
  <c r="I1721" i="2"/>
  <c r="J1831" i="2"/>
  <c r="H1831" i="2" s="1"/>
  <c r="K1835" i="2"/>
  <c r="I1886" i="2"/>
  <c r="J1895" i="2"/>
  <c r="H1895" i="2" s="1"/>
  <c r="K2253" i="2"/>
  <c r="J2253" i="2"/>
  <c r="H2253" i="2" s="1"/>
  <c r="I2253" i="2"/>
  <c r="J2356" i="2"/>
  <c r="H2356" i="2" s="1"/>
  <c r="J2424" i="2"/>
  <c r="K2598" i="2"/>
  <c r="J2598" i="2"/>
  <c r="H2598" i="2" s="1"/>
  <c r="K2925" i="2"/>
  <c r="J2925" i="2"/>
  <c r="H2925" i="2" s="1"/>
  <c r="I2925" i="2"/>
  <c r="J628" i="2"/>
  <c r="H628" i="2" s="1"/>
  <c r="I668" i="2"/>
  <c r="J749" i="2"/>
  <c r="H749" i="2" s="1"/>
  <c r="J767" i="2"/>
  <c r="H767" i="2" s="1"/>
  <c r="K771" i="2"/>
  <c r="J866" i="2"/>
  <c r="H866" i="2" s="1"/>
  <c r="I873" i="2"/>
  <c r="I1182" i="2"/>
  <c r="I1185" i="2"/>
  <c r="I1241" i="2"/>
  <c r="J1260" i="2"/>
  <c r="H1260" i="2" s="1"/>
  <c r="K1264" i="2"/>
  <c r="J1267" i="2"/>
  <c r="H1267" i="2" s="1"/>
  <c r="I1336" i="2"/>
  <c r="I1341" i="2"/>
  <c r="J1452" i="2"/>
  <c r="H1452" i="2" s="1"/>
  <c r="J1643" i="2"/>
  <c r="J1682" i="2"/>
  <c r="H1682" i="2" s="1"/>
  <c r="J1721" i="2"/>
  <c r="H1721" i="2" s="1"/>
  <c r="I1773" i="2"/>
  <c r="I1864" i="2"/>
  <c r="K1895" i="2"/>
  <c r="K2077" i="2"/>
  <c r="J2077" i="2"/>
  <c r="H2077" i="2" s="1"/>
  <c r="K2247" i="2"/>
  <c r="J2247" i="2"/>
  <c r="H2247" i="2" s="1"/>
  <c r="K2342" i="2"/>
  <c r="J2342" i="2"/>
  <c r="I2342" i="2"/>
  <c r="J2379" i="2"/>
  <c r="H2379" i="2" s="1"/>
  <c r="I2379" i="2"/>
  <c r="K724" i="2"/>
  <c r="K896" i="2"/>
  <c r="K1231" i="2"/>
  <c r="J1289" i="2"/>
  <c r="H1289" i="2" s="1"/>
  <c r="I1301" i="2"/>
  <c r="I1439" i="2"/>
  <c r="K1523" i="2"/>
  <c r="K1615" i="2"/>
  <c r="I2029" i="2"/>
  <c r="K2029" i="2"/>
  <c r="J2029" i="2"/>
  <c r="H2029" i="2" s="1"/>
  <c r="K2292" i="2"/>
  <c r="J2292" i="2"/>
  <c r="H2292" i="2" s="1"/>
  <c r="I2424" i="2"/>
  <c r="K2465" i="2"/>
  <c r="J2465" i="2"/>
  <c r="H2465" i="2" s="1"/>
  <c r="I2598" i="2"/>
  <c r="K2545" i="2"/>
  <c r="J2741" i="2"/>
  <c r="H2741" i="2" s="1"/>
  <c r="J3093" i="2"/>
  <c r="J3096" i="2"/>
  <c r="H3096" i="2" s="1"/>
  <c r="J3099" i="2"/>
  <c r="J3108" i="2"/>
  <c r="J3130" i="2"/>
  <c r="H3130" i="2" s="1"/>
  <c r="J3319" i="2"/>
  <c r="H3319" i="2" s="1"/>
  <c r="I3328" i="2"/>
  <c r="I3462" i="2"/>
  <c r="K2525" i="2"/>
  <c r="J2594" i="2"/>
  <c r="H2594" i="2" s="1"/>
  <c r="I2640" i="2"/>
  <c r="J2690" i="2"/>
  <c r="H2690" i="2" s="1"/>
  <c r="I2734" i="2"/>
  <c r="I2771" i="2"/>
  <c r="J2782" i="2"/>
  <c r="H2782" i="2" s="1"/>
  <c r="I3084" i="2"/>
  <c r="I3193" i="2"/>
  <c r="J3328" i="2"/>
  <c r="H3328" i="2" s="1"/>
  <c r="J3462" i="2"/>
  <c r="H3462" i="2" s="1"/>
  <c r="K2109" i="2"/>
  <c r="K2633" i="2"/>
  <c r="J2640" i="2"/>
  <c r="H2640" i="2" s="1"/>
  <c r="J2734" i="2"/>
  <c r="H2734" i="2" s="1"/>
  <c r="J2771" i="2"/>
  <c r="H2771" i="2" s="1"/>
  <c r="I2774" i="2"/>
  <c r="I2835" i="2"/>
  <c r="J2911" i="2"/>
  <c r="H2911" i="2" s="1"/>
  <c r="I2976" i="2"/>
  <c r="J3084" i="2"/>
  <c r="H3084" i="2" s="1"/>
  <c r="J3193" i="2"/>
  <c r="H3193" i="2" s="1"/>
  <c r="I3367" i="2"/>
  <c r="I3452" i="2"/>
  <c r="I2005" i="2"/>
  <c r="J2083" i="2"/>
  <c r="H2083" i="2" s="1"/>
  <c r="I2120" i="2"/>
  <c r="I2153" i="2"/>
  <c r="I2159" i="2"/>
  <c r="I2172" i="2"/>
  <c r="I2176" i="2"/>
  <c r="I2615" i="2"/>
  <c r="J2757" i="2"/>
  <c r="H2757" i="2" s="1"/>
  <c r="J2774" i="2"/>
  <c r="H2774" i="2" s="1"/>
  <c r="I2787" i="2"/>
  <c r="I2825" i="2"/>
  <c r="I2848" i="2"/>
  <c r="I2918" i="2"/>
  <c r="J2976" i="2"/>
  <c r="H2976" i="2" s="1"/>
  <c r="I3172" i="2"/>
  <c r="I3243" i="2"/>
  <c r="J3367" i="2"/>
  <c r="H3367" i="2" s="1"/>
  <c r="J3452" i="2"/>
  <c r="H3452" i="2" s="1"/>
  <c r="I1989" i="2"/>
  <c r="J2014" i="2"/>
  <c r="H2014" i="2" s="1"/>
  <c r="I2059" i="2"/>
  <c r="K2068" i="2"/>
  <c r="J2116" i="2"/>
  <c r="H2116" i="2" s="1"/>
  <c r="J2120" i="2"/>
  <c r="H2120" i="2" s="1"/>
  <c r="J2153" i="2"/>
  <c r="H2153" i="2" s="1"/>
  <c r="J2159" i="2"/>
  <c r="H2159" i="2" s="1"/>
  <c r="J2176" i="2"/>
  <c r="K2742" i="2"/>
  <c r="J2787" i="2"/>
  <c r="H2787" i="2" s="1"/>
  <c r="J2825" i="2"/>
  <c r="H2825" i="2" s="1"/>
  <c r="I2905" i="2"/>
  <c r="J2918" i="2"/>
  <c r="H2918" i="2" s="1"/>
  <c r="I3043" i="2"/>
  <c r="J3172" i="2"/>
  <c r="H3172" i="2" s="1"/>
  <c r="I3179" i="2"/>
  <c r="J3190" i="2"/>
  <c r="H3190" i="2" s="1"/>
  <c r="J3243" i="2"/>
  <c r="H3243" i="2" s="1"/>
  <c r="I3430" i="2"/>
  <c r="I2278" i="2"/>
  <c r="I2334" i="2"/>
  <c r="I2399" i="2"/>
  <c r="I2415" i="2"/>
  <c r="I2573" i="2"/>
  <c r="I2578" i="2"/>
  <c r="I2604" i="2"/>
  <c r="I2633" i="2"/>
  <c r="I2652" i="2"/>
  <c r="I2665" i="2"/>
  <c r="J2670" i="2"/>
  <c r="H2670" i="2" s="1"/>
  <c r="J2683" i="2"/>
  <c r="H2683" i="2" s="1"/>
  <c r="J2720" i="2"/>
  <c r="H2720" i="2" s="1"/>
  <c r="J2809" i="2"/>
  <c r="H2809" i="2" s="1"/>
  <c r="I2864" i="2"/>
  <c r="J2905" i="2"/>
  <c r="H2905" i="2" s="1"/>
  <c r="I2908" i="2"/>
  <c r="I2983" i="2"/>
  <c r="K3007" i="2"/>
  <c r="I3137" i="2"/>
  <c r="K3190" i="2"/>
  <c r="I3207" i="2"/>
  <c r="I3269" i="2"/>
  <c r="I3293" i="2"/>
  <c r="J3371" i="2"/>
  <c r="H3371" i="2" s="1"/>
  <c r="J3430" i="2"/>
  <c r="H3430" i="2" s="1"/>
  <c r="I3443" i="2"/>
  <c r="I3466" i="2"/>
  <c r="J2334" i="2"/>
  <c r="H2334" i="2" s="1"/>
  <c r="K2477" i="2"/>
  <c r="I2627" i="2"/>
  <c r="I2658" i="2"/>
  <c r="I2723" i="2"/>
  <c r="I2806" i="2"/>
  <c r="I2857" i="2"/>
  <c r="J2983" i="2"/>
  <c r="H2983" i="2" s="1"/>
  <c r="J3137" i="2"/>
  <c r="H3137" i="2" s="1"/>
  <c r="I3140" i="2"/>
  <c r="I3169" i="2"/>
  <c r="I3188" i="2"/>
  <c r="J3207" i="2"/>
  <c r="H3207" i="2" s="1"/>
  <c r="J3239" i="2"/>
  <c r="H3239" i="2" s="1"/>
  <c r="J3269" i="2"/>
  <c r="H3269" i="2" s="1"/>
  <c r="J3293" i="2"/>
  <c r="H3293" i="2" s="1"/>
  <c r="I3343" i="2"/>
  <c r="J3443" i="2"/>
  <c r="I3456" i="2"/>
  <c r="J3466" i="2"/>
  <c r="H3466" i="2" s="1"/>
  <c r="K2007" i="2"/>
  <c r="I3133" i="2"/>
  <c r="G92" i="2"/>
  <c r="G109" i="2"/>
  <c r="G283" i="2"/>
  <c r="G394" i="2"/>
  <c r="K435" i="2"/>
  <c r="I435" i="2"/>
  <c r="G464" i="2"/>
  <c r="G593" i="2"/>
  <c r="G687" i="2"/>
  <c r="I718" i="2"/>
  <c r="J718" i="2"/>
  <c r="H718" i="2" s="1"/>
  <c r="F593" i="2"/>
  <c r="K593" i="2" s="1"/>
  <c r="K662" i="2"/>
  <c r="J662" i="2"/>
  <c r="H662" i="2" s="1"/>
  <c r="I662" i="2"/>
  <c r="F687" i="2"/>
  <c r="K763" i="2"/>
  <c r="J763" i="2"/>
  <c r="H763" i="2" s="1"/>
  <c r="I763" i="2"/>
  <c r="F937" i="2"/>
  <c r="K937" i="2" s="1"/>
  <c r="G937" i="2"/>
  <c r="G22" i="2"/>
  <c r="F29" i="2"/>
  <c r="I29" i="2" s="1"/>
  <c r="G29" i="2"/>
  <c r="G85" i="2"/>
  <c r="F146" i="2"/>
  <c r="J146" i="2" s="1"/>
  <c r="H146" i="2" s="1"/>
  <c r="F22" i="2"/>
  <c r="K22" i="2" s="1"/>
  <c r="G27" i="2"/>
  <c r="G32" i="2"/>
  <c r="F46" i="2"/>
  <c r="I46" i="2" s="1"/>
  <c r="G49" i="2"/>
  <c r="F54" i="2"/>
  <c r="K54" i="2" s="1"/>
  <c r="F85" i="2"/>
  <c r="K85" i="2" s="1"/>
  <c r="F90" i="2"/>
  <c r="I90" i="2" s="1"/>
  <c r="F92" i="2"/>
  <c r="J92" i="2" s="1"/>
  <c r="H92" i="2" s="1"/>
  <c r="F109" i="2"/>
  <c r="G146" i="2"/>
  <c r="G177" i="2"/>
  <c r="F177" i="2"/>
  <c r="J177" i="2" s="1"/>
  <c r="H177" i="2" s="1"/>
  <c r="F182" i="2"/>
  <c r="K182" i="2" s="1"/>
  <c r="F242" i="2"/>
  <c r="I249" i="2"/>
  <c r="F267" i="2"/>
  <c r="F275" i="2"/>
  <c r="K275" i="2" s="1"/>
  <c r="F283" i="2"/>
  <c r="J305" i="2"/>
  <c r="K345" i="2" s="1"/>
  <c r="F319" i="2"/>
  <c r="J336" i="2"/>
  <c r="H336" i="2" s="1"/>
  <c r="F346" i="2"/>
  <c r="K346" i="2" s="1"/>
  <c r="G363" i="2"/>
  <c r="F363" i="2"/>
  <c r="F394" i="2"/>
  <c r="I394" i="2" s="1"/>
  <c r="G406" i="2"/>
  <c r="F406" i="2"/>
  <c r="I406" i="2" s="1"/>
  <c r="F431" i="2"/>
  <c r="I431" i="2" s="1"/>
  <c r="F464" i="2"/>
  <c r="I464" i="2" s="1"/>
  <c r="G567" i="2"/>
  <c r="G570" i="2"/>
  <c r="F745" i="2"/>
  <c r="F4" i="2"/>
  <c r="K4" i="2" s="1"/>
  <c r="I20" i="2"/>
  <c r="F27" i="2"/>
  <c r="I27" i="2" s="1"/>
  <c r="F30" i="2"/>
  <c r="I30" i="2" s="1"/>
  <c r="F32" i="2"/>
  <c r="J32" i="2" s="1"/>
  <c r="H32" i="2" s="1"/>
  <c r="G46" i="2"/>
  <c r="F49" i="2"/>
  <c r="K49" i="2" s="1"/>
  <c r="G54" i="2"/>
  <c r="K95" i="2"/>
  <c r="J95" i="2"/>
  <c r="H95" i="2" s="1"/>
  <c r="I95" i="2"/>
  <c r="G95" i="2"/>
  <c r="K119" i="2"/>
  <c r="J119" i="2"/>
  <c r="H119" i="2" s="1"/>
  <c r="I119" i="2"/>
  <c r="F121" i="2"/>
  <c r="K121" i="2" s="1"/>
  <c r="F124" i="2"/>
  <c r="K124" i="2" s="1"/>
  <c r="J151" i="2"/>
  <c r="H151" i="2" s="1"/>
  <c r="K151" i="2"/>
  <c r="F153" i="2"/>
  <c r="I153" i="2" s="1"/>
  <c r="J156" i="2"/>
  <c r="H156" i="2" s="1"/>
  <c r="K156" i="2"/>
  <c r="I156" i="2"/>
  <c r="F175" i="2"/>
  <c r="J175" i="2" s="1"/>
  <c r="J180" i="2"/>
  <c r="H180" i="2" s="1"/>
  <c r="K180" i="2"/>
  <c r="G182" i="2"/>
  <c r="I214" i="2"/>
  <c r="J234" i="2"/>
  <c r="H234" i="2" s="1"/>
  <c r="I234" i="2"/>
  <c r="J253" i="2"/>
  <c r="H253" i="2" s="1"/>
  <c r="I253" i="2"/>
  <c r="K253" i="2"/>
  <c r="G261" i="2"/>
  <c r="F261" i="2"/>
  <c r="J261" i="2" s="1"/>
  <c r="H261" i="2" s="1"/>
  <c r="I287" i="2"/>
  <c r="K287" i="2"/>
  <c r="J287" i="2"/>
  <c r="H287" i="2" s="1"/>
  <c r="F293" i="2"/>
  <c r="K293" i="2" s="1"/>
  <c r="K301" i="2"/>
  <c r="G301" i="2"/>
  <c r="J301" i="2"/>
  <c r="H301" i="2" s="1"/>
  <c r="I305" i="2"/>
  <c r="J309" i="2"/>
  <c r="H309" i="2" s="1"/>
  <c r="I309" i="2"/>
  <c r="F322" i="2"/>
  <c r="J322" i="2" s="1"/>
  <c r="H322" i="2" s="1"/>
  <c r="G322" i="2"/>
  <c r="G327" i="2"/>
  <c r="K327" i="2"/>
  <c r="J327" i="2"/>
  <c r="H327" i="2" s="1"/>
  <c r="G346" i="2"/>
  <c r="G355" i="2"/>
  <c r="F355" i="2"/>
  <c r="K355" i="2" s="1"/>
  <c r="I374" i="2"/>
  <c r="I383" i="2"/>
  <c r="G403" i="2"/>
  <c r="F403" i="2"/>
  <c r="J452" i="2"/>
  <c r="H452" i="2" s="1"/>
  <c r="I452" i="2"/>
  <c r="K452" i="2"/>
  <c r="F553" i="2"/>
  <c r="K553" i="2" s="1"/>
  <c r="F567" i="2"/>
  <c r="J567" i="2" s="1"/>
  <c r="H567" i="2" s="1"/>
  <c r="F570" i="2"/>
  <c r="I570" i="2" s="1"/>
  <c r="F584" i="2"/>
  <c r="K584" i="2" s="1"/>
  <c r="F619" i="2"/>
  <c r="K619" i="2" s="1"/>
  <c r="G619" i="2"/>
  <c r="J667" i="2"/>
  <c r="K693" i="2" s="1"/>
  <c r="I667" i="2"/>
  <c r="J713" i="2"/>
  <c r="H713" i="2" s="1"/>
  <c r="I713" i="2"/>
  <c r="G713" i="2"/>
  <c r="I715" i="2"/>
  <c r="K718" i="2"/>
  <c r="G745" i="2"/>
  <c r="G35" i="2"/>
  <c r="G61" i="2"/>
  <c r="F61" i="2"/>
  <c r="J61" i="2" s="1"/>
  <c r="H61" i="2" s="1"/>
  <c r="F66" i="2"/>
  <c r="I66" i="2" s="1"/>
  <c r="J93" i="2"/>
  <c r="H93" i="2" s="1"/>
  <c r="K93" i="2"/>
  <c r="J100" i="2"/>
  <c r="H100" i="2" s="1"/>
  <c r="I100" i="2"/>
  <c r="J122" i="2"/>
  <c r="H122" i="2" s="1"/>
  <c r="K122" i="2"/>
  <c r="K185" i="2"/>
  <c r="J185" i="2"/>
  <c r="H185" i="2" s="1"/>
  <c r="I185" i="2"/>
  <c r="K188" i="2"/>
  <c r="J188" i="2"/>
  <c r="H188" i="2" s="1"/>
  <c r="I188" i="2"/>
  <c r="F190" i="2"/>
  <c r="J190" i="2" s="1"/>
  <c r="H190" i="2" s="1"/>
  <c r="G190" i="2"/>
  <c r="I193" i="2"/>
  <c r="K193" i="2"/>
  <c r="J193" i="2"/>
  <c r="H193" i="2" s="1"/>
  <c r="F225" i="2"/>
  <c r="I225" i="2" s="1"/>
  <c r="G225" i="2"/>
  <c r="G262" i="2"/>
  <c r="F262" i="2"/>
  <c r="K262" i="2" s="1"/>
  <c r="K350" i="2"/>
  <c r="J350" i="2"/>
  <c r="H350" i="2" s="1"/>
  <c r="J374" i="2"/>
  <c r="H374" i="2" s="1"/>
  <c r="J479" i="2"/>
  <c r="H479" i="2" s="1"/>
  <c r="I479" i="2"/>
  <c r="K479" i="2"/>
  <c r="K487" i="2"/>
  <c r="I487" i="2"/>
  <c r="J487" i="2"/>
  <c r="H487" i="2" s="1"/>
  <c r="K501" i="2"/>
  <c r="J501" i="2"/>
  <c r="H501" i="2" s="1"/>
  <c r="I501" i="2"/>
  <c r="K524" i="2"/>
  <c r="J524" i="2"/>
  <c r="H524" i="2" s="1"/>
  <c r="I524" i="2"/>
  <c r="G524" i="2"/>
  <c r="K715" i="2"/>
  <c r="F785" i="2"/>
  <c r="I785" i="2" s="1"/>
  <c r="G920" i="2"/>
  <c r="F920" i="2"/>
  <c r="G66" i="2"/>
  <c r="K127" i="2"/>
  <c r="J127" i="2"/>
  <c r="H127" i="2" s="1"/>
  <c r="I127" i="2"/>
  <c r="F132" i="2"/>
  <c r="J132" i="2" s="1"/>
  <c r="H132" i="2" s="1"/>
  <c r="G132" i="2"/>
  <c r="G135" i="2"/>
  <c r="F223" i="2"/>
  <c r="I223" i="2" s="1"/>
  <c r="F226" i="2"/>
  <c r="F334" i="2"/>
  <c r="I334" i="2" s="1"/>
  <c r="G334" i="2"/>
  <c r="I392" i="2"/>
  <c r="J392" i="2"/>
  <c r="H392" i="2" s="1"/>
  <c r="G404" i="2"/>
  <c r="J418" i="2"/>
  <c r="H418" i="2" s="1"/>
  <c r="I418" i="2"/>
  <c r="K418" i="2"/>
  <c r="K616" i="2"/>
  <c r="J616" i="2"/>
  <c r="H616" i="2" s="1"/>
  <c r="I616" i="2"/>
  <c r="F773" i="2"/>
  <c r="I773" i="2" s="1"/>
  <c r="K71" i="2"/>
  <c r="J71" i="2"/>
  <c r="H71" i="2" s="1"/>
  <c r="I71" i="2"/>
  <c r="G188" i="2"/>
  <c r="F191" i="2"/>
  <c r="J191" i="2" s="1"/>
  <c r="H191" i="2" s="1"/>
  <c r="G240" i="2"/>
  <c r="F240" i="2"/>
  <c r="I240" i="2" s="1"/>
  <c r="J265" i="2"/>
  <c r="I265" i="2"/>
  <c r="K265" i="2"/>
  <c r="G273" i="2"/>
  <c r="F273" i="2"/>
  <c r="G281" i="2"/>
  <c r="F281" i="2"/>
  <c r="I281" i="2" s="1"/>
  <c r="F328" i="2"/>
  <c r="K328" i="2" s="1"/>
  <c r="G328" i="2"/>
  <c r="I339" i="2"/>
  <c r="G342" i="2"/>
  <c r="F342" i="2"/>
  <c r="I342" i="2" s="1"/>
  <c r="F404" i="2"/>
  <c r="J404" i="2" s="1"/>
  <c r="H404" i="2" s="1"/>
  <c r="J408" i="2"/>
  <c r="J447" i="2"/>
  <c r="H447" i="2" s="1"/>
  <c r="I447" i="2"/>
  <c r="K447" i="2"/>
  <c r="F476" i="2"/>
  <c r="G479" i="2"/>
  <c r="G487" i="2"/>
  <c r="G501" i="2"/>
  <c r="F585" i="2"/>
  <c r="J585" i="2" s="1"/>
  <c r="H585" i="2" s="1"/>
  <c r="G585" i="2"/>
  <c r="G606" i="2"/>
  <c r="F606" i="2"/>
  <c r="J606" i="2" s="1"/>
  <c r="H606" i="2" s="1"/>
  <c r="G629" i="2"/>
  <c r="F629" i="2"/>
  <c r="J629" i="2" s="1"/>
  <c r="H629" i="2" s="1"/>
  <c r="F635" i="2"/>
  <c r="G727" i="2"/>
  <c r="J738" i="2"/>
  <c r="H738" i="2" s="1"/>
  <c r="I738" i="2"/>
  <c r="K738" i="2"/>
  <c r="I770" i="2"/>
  <c r="J770" i="2"/>
  <c r="F813" i="2"/>
  <c r="J813" i="2" s="1"/>
  <c r="H813" i="2" s="1"/>
  <c r="G813" i="2"/>
  <c r="G635" i="2"/>
  <c r="F675" i="2"/>
  <c r="K675" i="2" s="1"/>
  <c r="F727" i="2"/>
  <c r="G753" i="2"/>
  <c r="F753" i="2"/>
  <c r="I753" i="2" s="1"/>
  <c r="K907" i="2"/>
  <c r="F8" i="2"/>
  <c r="F10" i="2"/>
  <c r="G10" i="2"/>
  <c r="J23" i="2"/>
  <c r="H23" i="2" s="1"/>
  <c r="I122" i="2"/>
  <c r="I154" i="2"/>
  <c r="J183" i="2"/>
  <c r="H183" i="2" s="1"/>
  <c r="G196" i="2"/>
  <c r="F203" i="2"/>
  <c r="I203" i="2" s="1"/>
  <c r="G203" i="2"/>
  <c r="F221" i="2"/>
  <c r="J221" i="2" s="1"/>
  <c r="H221" i="2" s="1"/>
  <c r="G232" i="2"/>
  <c r="J248" i="2"/>
  <c r="H248" i="2" s="1"/>
  <c r="I248" i="2"/>
  <c r="K248" i="2"/>
  <c r="G257" i="2"/>
  <c r="G266" i="2"/>
  <c r="F266" i="2"/>
  <c r="F279" i="2"/>
  <c r="K279" i="2" s="1"/>
  <c r="I307" i="2"/>
  <c r="K307" i="2"/>
  <c r="J307" i="2"/>
  <c r="H307" i="2" s="1"/>
  <c r="G315" i="2"/>
  <c r="F315" i="2"/>
  <c r="I315" i="2" s="1"/>
  <c r="G332" i="2"/>
  <c r="K339" i="2"/>
  <c r="G381" i="2"/>
  <c r="G387" i="2"/>
  <c r="F387" i="2"/>
  <c r="G423" i="2"/>
  <c r="G536" i="2"/>
  <c r="G587" i="2"/>
  <c r="F740" i="2"/>
  <c r="I740" i="2" s="1"/>
  <c r="G751" i="2"/>
  <c r="G821" i="2"/>
  <c r="F821" i="2"/>
  <c r="J821" i="2" s="1"/>
  <c r="H821" i="2" s="1"/>
  <c r="G7" i="2"/>
  <c r="F7" i="2"/>
  <c r="J7" i="2" s="1"/>
  <c r="H7" i="2" s="1"/>
  <c r="F62" i="2"/>
  <c r="G76" i="2"/>
  <c r="F76" i="2"/>
  <c r="J76" i="2" s="1"/>
  <c r="H76" i="2" s="1"/>
  <c r="G79" i="2"/>
  <c r="G122" i="2"/>
  <c r="F130" i="2"/>
  <c r="K130" i="2" s="1"/>
  <c r="F135" i="2"/>
  <c r="I135" i="2" s="1"/>
  <c r="F159" i="2"/>
  <c r="I159" i="2" s="1"/>
  <c r="I19" i="2"/>
  <c r="K19" i="2"/>
  <c r="J19" i="2"/>
  <c r="H19" i="2" s="1"/>
  <c r="G19" i="2"/>
  <c r="I43" i="2"/>
  <c r="J43" i="2"/>
  <c r="H43" i="2" s="1"/>
  <c r="K43" i="2"/>
  <c r="G62" i="2"/>
  <c r="F74" i="2"/>
  <c r="J77" i="2"/>
  <c r="H77" i="2" s="1"/>
  <c r="K77" i="2"/>
  <c r="F79" i="2"/>
  <c r="K79" i="2" s="1"/>
  <c r="F103" i="2"/>
  <c r="I103" i="2" s="1"/>
  <c r="G130" i="2"/>
  <c r="G159" i="2"/>
  <c r="J213" i="2"/>
  <c r="H213" i="2" s="1"/>
  <c r="K213" i="2"/>
  <c r="I213" i="2"/>
  <c r="G213" i="2"/>
  <c r="F218" i="2"/>
  <c r="F232" i="2"/>
  <c r="I232" i="2" s="1"/>
  <c r="J251" i="2"/>
  <c r="H251" i="2" s="1"/>
  <c r="K251" i="2"/>
  <c r="J299" i="2"/>
  <c r="H299" i="2" s="1"/>
  <c r="I299" i="2"/>
  <c r="K299" i="2"/>
  <c r="F332" i="2"/>
  <c r="K332" i="2" s="1"/>
  <c r="I350" i="2"/>
  <c r="G372" i="2"/>
  <c r="F372" i="2"/>
  <c r="F381" i="2"/>
  <c r="J381" i="2" s="1"/>
  <c r="H381" i="2" s="1"/>
  <c r="F423" i="2"/>
  <c r="J423" i="2" s="1"/>
  <c r="H423" i="2" s="1"/>
  <c r="G433" i="2"/>
  <c r="F433" i="2"/>
  <c r="J433" i="2" s="1"/>
  <c r="H433" i="2" s="1"/>
  <c r="K438" i="2"/>
  <c r="J438" i="2"/>
  <c r="H438" i="2" s="1"/>
  <c r="I438" i="2"/>
  <c r="K454" i="2"/>
  <c r="J454" i="2"/>
  <c r="H454" i="2" s="1"/>
  <c r="I454" i="2"/>
  <c r="J541" i="2"/>
  <c r="H541" i="2" s="1"/>
  <c r="I541" i="2"/>
  <c r="K541" i="2"/>
  <c r="K551" i="2"/>
  <c r="I551" i="2"/>
  <c r="J551" i="2"/>
  <c r="H551" i="2" s="1"/>
  <c r="K563" i="2"/>
  <c r="J563" i="2"/>
  <c r="H563" i="2" s="1"/>
  <c r="I563" i="2"/>
  <c r="G581" i="2"/>
  <c r="F581" i="2"/>
  <c r="K581" i="2" s="1"/>
  <c r="F627" i="2"/>
  <c r="I650" i="2"/>
  <c r="G650" i="2"/>
  <c r="K650" i="2"/>
  <c r="J650" i="2"/>
  <c r="H650" i="2" s="1"/>
  <c r="I680" i="2"/>
  <c r="J680" i="2"/>
  <c r="K1063" i="2" s="1"/>
  <c r="I5" i="2"/>
  <c r="G43" i="2"/>
  <c r="G77" i="2"/>
  <c r="I96" i="2"/>
  <c r="J108" i="2"/>
  <c r="H108" i="2" s="1"/>
  <c r="I108" i="2"/>
  <c r="G108" i="2"/>
  <c r="K108" i="2"/>
  <c r="K111" i="2"/>
  <c r="I111" i="2"/>
  <c r="J125" i="2"/>
  <c r="H125" i="2" s="1"/>
  <c r="K139" i="2"/>
  <c r="J139" i="2"/>
  <c r="H139" i="2" s="1"/>
  <c r="I139" i="2"/>
  <c r="G139" i="2"/>
  <c r="I152" i="2"/>
  <c r="J154" i="2"/>
  <c r="H154" i="2" s="1"/>
  <c r="J162" i="2"/>
  <c r="F164" i="2"/>
  <c r="K164" i="2" s="1"/>
  <c r="F169" i="2"/>
  <c r="K169" i="2" s="1"/>
  <c r="K172" i="2"/>
  <c r="J172" i="2"/>
  <c r="H172" i="2" s="1"/>
  <c r="I172" i="2"/>
  <c r="I176" i="2"/>
  <c r="I186" i="2"/>
  <c r="F196" i="2"/>
  <c r="K196" i="2" s="1"/>
  <c r="G201" i="2"/>
  <c r="K201" i="2"/>
  <c r="J201" i="2"/>
  <c r="H201" i="2" s="1"/>
  <c r="I201" i="2"/>
  <c r="J206" i="2"/>
  <c r="H206" i="2" s="1"/>
  <c r="I206" i="2"/>
  <c r="G206" i="2"/>
  <c r="K206" i="2"/>
  <c r="F211" i="2"/>
  <c r="F216" i="2"/>
  <c r="I216" i="2" s="1"/>
  <c r="G221" i="2"/>
  <c r="F227" i="2"/>
  <c r="I227" i="2" s="1"/>
  <c r="G227" i="2"/>
  <c r="K236" i="2"/>
  <c r="J236" i="2"/>
  <c r="H236" i="2" s="1"/>
  <c r="I236" i="2"/>
  <c r="F257" i="2"/>
  <c r="K311" i="2"/>
  <c r="J311" i="2"/>
  <c r="H311" i="2" s="1"/>
  <c r="F313" i="2"/>
  <c r="K352" i="2"/>
  <c r="K368" i="2"/>
  <c r="I368" i="2"/>
  <c r="J368" i="2"/>
  <c r="H368" i="2" s="1"/>
  <c r="F373" i="2"/>
  <c r="G373" i="2"/>
  <c r="K379" i="2"/>
  <c r="J379" i="2"/>
  <c r="H379" i="2" s="1"/>
  <c r="I379" i="2"/>
  <c r="K420" i="2"/>
  <c r="J420" i="2"/>
  <c r="H420" i="2" s="1"/>
  <c r="I420" i="2"/>
  <c r="G420" i="2"/>
  <c r="G438" i="2"/>
  <c r="G454" i="2"/>
  <c r="J491" i="2"/>
  <c r="H491" i="2" s="1"/>
  <c r="I491" i="2"/>
  <c r="I507" i="2"/>
  <c r="G507" i="2"/>
  <c r="F536" i="2"/>
  <c r="G541" i="2"/>
  <c r="G551" i="2"/>
  <c r="K582" i="2"/>
  <c r="J582" i="2"/>
  <c r="H582" i="2" s="1"/>
  <c r="I582" i="2"/>
  <c r="F587" i="2"/>
  <c r="K587" i="2" s="1"/>
  <c r="J608" i="2"/>
  <c r="H608" i="2" s="1"/>
  <c r="K648" i="2"/>
  <c r="F654" i="2"/>
  <c r="I654" i="2" s="1"/>
  <c r="G694" i="2"/>
  <c r="F694" i="2"/>
  <c r="I694" i="2" s="1"/>
  <c r="F751" i="2"/>
  <c r="K783" i="2"/>
  <c r="J783" i="2"/>
  <c r="H783" i="2" s="1"/>
  <c r="I783" i="2"/>
  <c r="F793" i="2"/>
  <c r="J793" i="2" s="1"/>
  <c r="H793" i="2" s="1"/>
  <c r="G796" i="2"/>
  <c r="F796" i="2"/>
  <c r="K796" i="2" s="1"/>
  <c r="J805" i="2"/>
  <c r="H805" i="2" s="1"/>
  <c r="I805" i="2"/>
  <c r="G809" i="2"/>
  <c r="F809" i="2"/>
  <c r="I809" i="2" s="1"/>
  <c r="K33" i="2"/>
  <c r="J33" i="2"/>
  <c r="H33" i="2" s="1"/>
  <c r="F35" i="2"/>
  <c r="K35" i="2" s="1"/>
  <c r="J40" i="2"/>
  <c r="H40" i="2" s="1"/>
  <c r="K40" i="2"/>
  <c r="I40" i="2"/>
  <c r="F57" i="2"/>
  <c r="K57" i="2" s="1"/>
  <c r="G57" i="2"/>
  <c r="I93" i="2"/>
  <c r="F133" i="2"/>
  <c r="J133" i="2" s="1"/>
  <c r="H133" i="2" s="1"/>
  <c r="G291" i="2"/>
  <c r="I291" i="2"/>
  <c r="K291" i="2"/>
  <c r="J291" i="2"/>
  <c r="H291" i="2" s="1"/>
  <c r="I441" i="2"/>
  <c r="G644" i="2"/>
  <c r="F644" i="2"/>
  <c r="I644" i="2" s="1"/>
  <c r="J5" i="2"/>
  <c r="K11" i="2"/>
  <c r="J11" i="2"/>
  <c r="H11" i="2" s="1"/>
  <c r="I11" i="2"/>
  <c r="I36" i="2"/>
  <c r="J48" i="2"/>
  <c r="H48" i="2" s="1"/>
  <c r="I48" i="2"/>
  <c r="G48" i="2"/>
  <c r="K48" i="2"/>
  <c r="K51" i="2"/>
  <c r="J51" i="2"/>
  <c r="H51" i="2" s="1"/>
  <c r="I51" i="2"/>
  <c r="K82" i="2"/>
  <c r="J82" i="2"/>
  <c r="H82" i="2" s="1"/>
  <c r="G82" i="2"/>
  <c r="I82" i="2"/>
  <c r="G89" i="2"/>
  <c r="F89" i="2"/>
  <c r="K89" i="2" s="1"/>
  <c r="J96" i="2"/>
  <c r="J106" i="2"/>
  <c r="H106" i="2" s="1"/>
  <c r="K106" i="2"/>
  <c r="K116" i="2"/>
  <c r="I116" i="2"/>
  <c r="J116" i="2"/>
  <c r="H116" i="2" s="1"/>
  <c r="G143" i="2"/>
  <c r="K143" i="2"/>
  <c r="I143" i="2"/>
  <c r="J143" i="2"/>
  <c r="H143" i="2" s="1"/>
  <c r="J150" i="2"/>
  <c r="H150" i="2" s="1"/>
  <c r="I150" i="2"/>
  <c r="G150" i="2"/>
  <c r="K150" i="2"/>
  <c r="G169" i="2"/>
  <c r="I194" i="2"/>
  <c r="F204" i="2"/>
  <c r="I204" i="2" s="1"/>
  <c r="G216" i="2"/>
  <c r="G228" i="2"/>
  <c r="F228" i="2"/>
  <c r="I230" i="2"/>
  <c r="I244" i="2"/>
  <c r="K244" i="2"/>
  <c r="G244" i="2"/>
  <c r="J244" i="2"/>
  <c r="H244" i="2" s="1"/>
  <c r="I251" i="2"/>
  <c r="K255" i="2"/>
  <c r="J255" i="2"/>
  <c r="K256" i="2" s="1"/>
  <c r="I255" i="2"/>
  <c r="G313" i="2"/>
  <c r="I348" i="2"/>
  <c r="G348" i="2"/>
  <c r="J348" i="2"/>
  <c r="H348" i="2" s="1"/>
  <c r="K348" i="2"/>
  <c r="K410" i="2"/>
  <c r="J410" i="2"/>
  <c r="H410" i="2" s="1"/>
  <c r="I410" i="2"/>
  <c r="K450" i="2"/>
  <c r="J450" i="2"/>
  <c r="H450" i="2" s="1"/>
  <c r="I450" i="2"/>
  <c r="G450" i="2"/>
  <c r="G595" i="2"/>
  <c r="F595" i="2"/>
  <c r="J595" i="2" s="1"/>
  <c r="H595" i="2" s="1"/>
  <c r="J648" i="2"/>
  <c r="H648" i="2" s="1"/>
  <c r="I648" i="2"/>
  <c r="F665" i="2"/>
  <c r="I665" i="2" s="1"/>
  <c r="F711" i="2"/>
  <c r="I711" i="2" s="1"/>
  <c r="G711" i="2"/>
  <c r="K23" i="2"/>
  <c r="J42" i="2"/>
  <c r="H42" i="2" s="1"/>
  <c r="J45" i="2"/>
  <c r="H45" i="2" s="1"/>
  <c r="I67" i="2"/>
  <c r="K83" i="2"/>
  <c r="J102" i="2"/>
  <c r="H102" i="2" s="1"/>
  <c r="J105" i="2"/>
  <c r="H105" i="2" s="1"/>
  <c r="I125" i="2"/>
  <c r="K141" i="2"/>
  <c r="J158" i="2"/>
  <c r="H158" i="2" s="1"/>
  <c r="J161" i="2"/>
  <c r="H161" i="2" s="1"/>
  <c r="I183" i="2"/>
  <c r="J220" i="2"/>
  <c r="H220" i="2" s="1"/>
  <c r="K260" i="2"/>
  <c r="J260" i="2"/>
  <c r="H260" i="2" s="1"/>
  <c r="J264" i="2"/>
  <c r="H264" i="2" s="1"/>
  <c r="I264" i="2"/>
  <c r="K272" i="2"/>
  <c r="J272" i="2"/>
  <c r="H272" i="2" s="1"/>
  <c r="G274" i="2"/>
  <c r="F274" i="2"/>
  <c r="I278" i="2"/>
  <c r="K278" i="2"/>
  <c r="J278" i="2"/>
  <c r="H278" i="2" s="1"/>
  <c r="J290" i="2"/>
  <c r="I290" i="2"/>
  <c r="I329" i="2"/>
  <c r="G331" i="2"/>
  <c r="F331" i="2"/>
  <c r="G376" i="2"/>
  <c r="F376" i="2"/>
  <c r="K376" i="2" s="1"/>
  <c r="J385" i="2"/>
  <c r="J505" i="2"/>
  <c r="H505" i="2" s="1"/>
  <c r="I505" i="2"/>
  <c r="K505" i="2"/>
  <c r="I513" i="2"/>
  <c r="J513" i="2"/>
  <c r="H513" i="2" s="1"/>
  <c r="I518" i="2"/>
  <c r="G518" i="2"/>
  <c r="I575" i="2"/>
  <c r="G575" i="2"/>
  <c r="J575" i="2"/>
  <c r="H575" i="2" s="1"/>
  <c r="I580" i="2"/>
  <c r="G580" i="2"/>
  <c r="K580" i="2"/>
  <c r="F597" i="2"/>
  <c r="K597" i="2" s="1"/>
  <c r="K661" i="2"/>
  <c r="J661" i="2"/>
  <c r="H661" i="2" s="1"/>
  <c r="I661" i="2"/>
  <c r="G661" i="2"/>
  <c r="K669" i="2"/>
  <c r="J669" i="2"/>
  <c r="H669" i="2" s="1"/>
  <c r="J682" i="2"/>
  <c r="H682" i="2" s="1"/>
  <c r="F699" i="2"/>
  <c r="J699" i="2" s="1"/>
  <c r="H699" i="2" s="1"/>
  <c r="G709" i="2"/>
  <c r="F709" i="2"/>
  <c r="I709" i="2" s="1"/>
  <c r="J736" i="2"/>
  <c r="H736" i="2" s="1"/>
  <c r="J791" i="2"/>
  <c r="H791" i="2" s="1"/>
  <c r="K805" i="2"/>
  <c r="I808" i="2"/>
  <c r="G808" i="2"/>
  <c r="K808" i="2"/>
  <c r="F824" i="2"/>
  <c r="K824" i="2" s="1"/>
  <c r="K829" i="2"/>
  <c r="K889" i="2"/>
  <c r="J889" i="2"/>
  <c r="H889" i="2" s="1"/>
  <c r="I889" i="2"/>
  <c r="G889" i="2"/>
  <c r="K897" i="2"/>
  <c r="J897" i="2"/>
  <c r="H897" i="2" s="1"/>
  <c r="G908" i="2"/>
  <c r="F908" i="2"/>
  <c r="I908" i="2" s="1"/>
  <c r="F925" i="2"/>
  <c r="J925" i="2" s="1"/>
  <c r="H925" i="2" s="1"/>
  <c r="G935" i="2"/>
  <c r="F935" i="2"/>
  <c r="I935" i="2" s="1"/>
  <c r="G1039" i="2"/>
  <c r="F1039" i="2"/>
  <c r="K1039" i="2" s="1"/>
  <c r="K1208" i="2"/>
  <c r="J1208" i="2"/>
  <c r="H1208" i="2" s="1"/>
  <c r="G1230" i="2"/>
  <c r="F1230" i="2"/>
  <c r="F1312" i="2"/>
  <c r="J1312" i="2" s="1"/>
  <c r="H1312" i="2" s="1"/>
  <c r="G1330" i="2"/>
  <c r="F1330" i="2"/>
  <c r="J1330" i="2" s="1"/>
  <c r="H1330" i="2" s="1"/>
  <c r="G1382" i="2"/>
  <c r="K1382" i="2"/>
  <c r="J1382" i="2"/>
  <c r="H1382" i="2" s="1"/>
  <c r="I1403" i="2"/>
  <c r="K1403" i="2"/>
  <c r="K1427" i="2"/>
  <c r="J1583" i="2"/>
  <c r="H1583" i="2" s="1"/>
  <c r="I1583" i="2"/>
  <c r="G1598" i="2"/>
  <c r="F1598" i="2"/>
  <c r="J1598" i="2" s="1"/>
  <c r="H1598" i="2" s="1"/>
  <c r="G815" i="2"/>
  <c r="F833" i="2"/>
  <c r="K833" i="2" s="1"/>
  <c r="G855" i="2"/>
  <c r="F855" i="2"/>
  <c r="G874" i="2"/>
  <c r="J963" i="2"/>
  <c r="H963" i="2" s="1"/>
  <c r="I963" i="2"/>
  <c r="K963" i="2"/>
  <c r="F969" i="2"/>
  <c r="K969" i="2" s="1"/>
  <c r="G1000" i="2"/>
  <c r="G1015" i="2"/>
  <c r="F1015" i="2"/>
  <c r="K1015" i="2" s="1"/>
  <c r="J1028" i="2"/>
  <c r="H1028" i="2" s="1"/>
  <c r="I1028" i="2"/>
  <c r="K1028" i="2"/>
  <c r="G1054" i="2"/>
  <c r="F1188" i="2"/>
  <c r="I1188" i="2" s="1"/>
  <c r="F1271" i="2"/>
  <c r="G1271" i="2"/>
  <c r="G1304" i="2"/>
  <c r="F1304" i="2"/>
  <c r="K1304" i="2" s="1"/>
  <c r="G1340" i="2"/>
  <c r="F1340" i="2"/>
  <c r="K1357" i="2"/>
  <c r="J1357" i="2"/>
  <c r="H1357" i="2" s="1"/>
  <c r="I1357" i="2"/>
  <c r="F1500" i="2"/>
  <c r="I1500" i="2" s="1"/>
  <c r="G1500" i="2"/>
  <c r="K770" i="2"/>
  <c r="I772" i="2"/>
  <c r="G787" i="2"/>
  <c r="F787" i="2"/>
  <c r="I798" i="2"/>
  <c r="F812" i="2"/>
  <c r="I812" i="2" s="1"/>
  <c r="F815" i="2"/>
  <c r="J815" i="2" s="1"/>
  <c r="H815" i="2" s="1"/>
  <c r="I853" i="2"/>
  <c r="F874" i="2"/>
  <c r="K874" i="2" s="1"/>
  <c r="F895" i="2"/>
  <c r="J895" i="2" s="1"/>
  <c r="H895" i="2" s="1"/>
  <c r="G903" i="2"/>
  <c r="G969" i="2"/>
  <c r="F1000" i="2"/>
  <c r="I1000" i="2" s="1"/>
  <c r="F1043" i="2"/>
  <c r="K1043" i="2" s="1"/>
  <c r="F1054" i="2"/>
  <c r="G1064" i="2"/>
  <c r="G1133" i="2"/>
  <c r="F1192" i="2"/>
  <c r="K1192" i="2" s="1"/>
  <c r="G1213" i="2"/>
  <c r="G1221" i="2"/>
  <c r="J1263" i="2"/>
  <c r="H1263" i="2" s="1"/>
  <c r="I1263" i="2"/>
  <c r="F1266" i="2"/>
  <c r="I1266" i="2" s="1"/>
  <c r="F1322" i="2"/>
  <c r="I1322" i="2" s="1"/>
  <c r="G1347" i="2"/>
  <c r="F1488" i="2"/>
  <c r="I1488" i="2" s="1"/>
  <c r="K842" i="2"/>
  <c r="J842" i="2"/>
  <c r="H842" i="2" s="1"/>
  <c r="F845" i="2"/>
  <c r="J845" i="2" s="1"/>
  <c r="H845" i="2" s="1"/>
  <c r="G845" i="2"/>
  <c r="G895" i="2"/>
  <c r="I906" i="2"/>
  <c r="F912" i="2"/>
  <c r="F939" i="2"/>
  <c r="J939" i="2" s="1"/>
  <c r="H939" i="2" s="1"/>
  <c r="I944" i="2"/>
  <c r="J944" i="2"/>
  <c r="H944" i="2" s="1"/>
  <c r="I952" i="2"/>
  <c r="G964" i="2"/>
  <c r="F977" i="2"/>
  <c r="K977" i="2" s="1"/>
  <c r="G979" i="2"/>
  <c r="F979" i="2"/>
  <c r="F1021" i="2"/>
  <c r="F1029" i="2"/>
  <c r="G1043" i="2"/>
  <c r="F1064" i="2"/>
  <c r="K1064" i="2" s="1"/>
  <c r="G1086" i="2"/>
  <c r="F1086" i="2"/>
  <c r="I1086" i="2" s="1"/>
  <c r="J1102" i="2"/>
  <c r="H1102" i="2" s="1"/>
  <c r="I1102" i="2"/>
  <c r="K1102" i="2"/>
  <c r="F1121" i="2"/>
  <c r="J1121" i="2" s="1"/>
  <c r="H1121" i="2" s="1"/>
  <c r="F1133" i="2"/>
  <c r="K1133" i="2" s="1"/>
  <c r="J1151" i="2"/>
  <c r="H1151" i="2" s="1"/>
  <c r="K1151" i="2"/>
  <c r="F1160" i="2"/>
  <c r="J1160" i="2" s="1"/>
  <c r="H1160" i="2" s="1"/>
  <c r="G1192" i="2"/>
  <c r="G1197" i="2"/>
  <c r="F1197" i="2"/>
  <c r="J1197" i="2" s="1"/>
  <c r="H1197" i="2" s="1"/>
  <c r="G1206" i="2"/>
  <c r="F1213" i="2"/>
  <c r="J1213" i="2" s="1"/>
  <c r="H1213" i="2" s="1"/>
  <c r="F1221" i="2"/>
  <c r="J1221" i="2" s="1"/>
  <c r="H1221" i="2" s="1"/>
  <c r="G1225" i="2"/>
  <c r="J1295" i="2"/>
  <c r="H1295" i="2" s="1"/>
  <c r="I1295" i="2"/>
  <c r="G1322" i="2"/>
  <c r="F1328" i="2"/>
  <c r="J1328" i="2" s="1"/>
  <c r="H1328" i="2" s="1"/>
  <c r="G1331" i="2"/>
  <c r="F1347" i="2"/>
  <c r="I1347" i="2" s="1"/>
  <c r="G1424" i="2"/>
  <c r="F1428" i="2"/>
  <c r="G1450" i="2"/>
  <c r="F1450" i="2"/>
  <c r="I1450" i="2" s="1"/>
  <c r="G1488" i="2"/>
  <c r="G1528" i="2"/>
  <c r="F1528" i="2"/>
  <c r="K1528" i="2" s="1"/>
  <c r="J1539" i="2"/>
  <c r="H1539" i="2" s="1"/>
  <c r="I1539" i="2"/>
  <c r="K1539" i="2"/>
  <c r="J724" i="2"/>
  <c r="H724" i="2" s="1"/>
  <c r="I724" i="2"/>
  <c r="K732" i="2"/>
  <c r="J732" i="2"/>
  <c r="H732" i="2" s="1"/>
  <c r="I732" i="2"/>
  <c r="G735" i="2"/>
  <c r="F735" i="2"/>
  <c r="I735" i="2" s="1"/>
  <c r="J772" i="2"/>
  <c r="H772" i="2" s="1"/>
  <c r="G799" i="2"/>
  <c r="F799" i="2"/>
  <c r="I799" i="2" s="1"/>
  <c r="K819" i="2"/>
  <c r="J819" i="2"/>
  <c r="H819" i="2" s="1"/>
  <c r="I819" i="2"/>
  <c r="K834" i="2"/>
  <c r="J834" i="2"/>
  <c r="H834" i="2" s="1"/>
  <c r="I834" i="2"/>
  <c r="G834" i="2"/>
  <c r="F859" i="2"/>
  <c r="I859" i="2" s="1"/>
  <c r="I861" i="2"/>
  <c r="J872" i="2"/>
  <c r="H872" i="2" s="1"/>
  <c r="I872" i="2"/>
  <c r="K878" i="2"/>
  <c r="J878" i="2"/>
  <c r="H878" i="2" s="1"/>
  <c r="I878" i="2"/>
  <c r="F893" i="2"/>
  <c r="I893" i="2" s="1"/>
  <c r="I903" i="2"/>
  <c r="K929" i="2"/>
  <c r="J929" i="2"/>
  <c r="H929" i="2" s="1"/>
  <c r="I929" i="2"/>
  <c r="G939" i="2"/>
  <c r="K956" i="2"/>
  <c r="J956" i="2"/>
  <c r="H956" i="2" s="1"/>
  <c r="I956" i="2"/>
  <c r="G961" i="2"/>
  <c r="F961" i="2"/>
  <c r="I961" i="2" s="1"/>
  <c r="F964" i="2"/>
  <c r="K964" i="2" s="1"/>
  <c r="G977" i="2"/>
  <c r="J1001" i="2"/>
  <c r="H1001" i="2" s="1"/>
  <c r="I1001" i="2"/>
  <c r="G1021" i="2"/>
  <c r="G1024" i="2"/>
  <c r="F1024" i="2"/>
  <c r="I1024" i="2" s="1"/>
  <c r="K1081" i="2"/>
  <c r="I1081" i="2"/>
  <c r="G1081" i="2"/>
  <c r="K1093" i="2"/>
  <c r="G1096" i="2"/>
  <c r="F1096" i="2"/>
  <c r="I1096" i="2" s="1"/>
  <c r="G1121" i="2"/>
  <c r="J1148" i="2"/>
  <c r="H1148" i="2" s="1"/>
  <c r="I1148" i="2"/>
  <c r="K1148" i="2"/>
  <c r="K1189" i="2"/>
  <c r="J1189" i="2"/>
  <c r="H1189" i="2" s="1"/>
  <c r="I1189" i="2"/>
  <c r="G1200" i="2"/>
  <c r="F1200" i="2"/>
  <c r="J1200" i="2" s="1"/>
  <c r="H1200" i="2" s="1"/>
  <c r="F1206" i="2"/>
  <c r="F1225" i="2"/>
  <c r="K1225" i="2" s="1"/>
  <c r="F1238" i="2"/>
  <c r="K1238" i="2" s="1"/>
  <c r="G1328" i="2"/>
  <c r="F1331" i="2"/>
  <c r="I1331" i="2" s="1"/>
  <c r="F1424" i="2"/>
  <c r="K1424" i="2" s="1"/>
  <c r="K1478" i="2"/>
  <c r="J1478" i="2"/>
  <c r="H1478" i="2" s="1"/>
  <c r="I1478" i="2"/>
  <c r="J1653" i="2"/>
  <c r="H1653" i="2" s="1"/>
  <c r="I1653" i="2"/>
  <c r="K1653" i="2"/>
  <c r="I1073" i="2"/>
  <c r="J1134" i="2"/>
  <c r="H1134" i="2" s="1"/>
  <c r="I1134" i="2"/>
  <c r="K1134" i="2"/>
  <c r="G1166" i="2"/>
  <c r="F1166" i="2"/>
  <c r="J1166" i="2" s="1"/>
  <c r="H1166" i="2" s="1"/>
  <c r="I1219" i="2"/>
  <c r="K1278" i="2"/>
  <c r="J1278" i="2"/>
  <c r="H1278" i="2" s="1"/>
  <c r="K1295" i="2"/>
  <c r="F1566" i="2"/>
  <c r="K1566" i="2" s="1"/>
  <c r="J1575" i="2"/>
  <c r="H1575" i="2" s="1"/>
  <c r="G878" i="2"/>
  <c r="I890" i="2"/>
  <c r="K903" i="2"/>
  <c r="G927" i="2"/>
  <c r="J945" i="2"/>
  <c r="H945" i="2" s="1"/>
  <c r="G956" i="2"/>
  <c r="G967" i="2"/>
  <c r="F967" i="2"/>
  <c r="I967" i="2" s="1"/>
  <c r="F980" i="2"/>
  <c r="F1007" i="2"/>
  <c r="J1007" i="2" s="1"/>
  <c r="H1007" i="2" s="1"/>
  <c r="I1009" i="2"/>
  <c r="J1040" i="2"/>
  <c r="H1040" i="2" s="1"/>
  <c r="I1078" i="2"/>
  <c r="J1081" i="2"/>
  <c r="H1081" i="2" s="1"/>
  <c r="F1094" i="2"/>
  <c r="K1094" i="2" s="1"/>
  <c r="G1148" i="2"/>
  <c r="F1164" i="2"/>
  <c r="K1164" i="2" s="1"/>
  <c r="G1194" i="2"/>
  <c r="F1198" i="2"/>
  <c r="J1232" i="2"/>
  <c r="H1232" i="2" s="1"/>
  <c r="I1232" i="2"/>
  <c r="K1257" i="2"/>
  <c r="J1257" i="2"/>
  <c r="H1257" i="2" s="1"/>
  <c r="I1257" i="2"/>
  <c r="G1375" i="2"/>
  <c r="F1375" i="2"/>
  <c r="K1375" i="2" s="1"/>
  <c r="K1391" i="2"/>
  <c r="J1391" i="2"/>
  <c r="H1391" i="2" s="1"/>
  <c r="I1391" i="2"/>
  <c r="F1433" i="2"/>
  <c r="J1433" i="2" s="1"/>
  <c r="H1433" i="2" s="1"/>
  <c r="G1433" i="2"/>
  <c r="F1470" i="2"/>
  <c r="K1470" i="2" s="1"/>
  <c r="G1472" i="2"/>
  <c r="F1472" i="2"/>
  <c r="I1472" i="2" s="1"/>
  <c r="F1554" i="2"/>
  <c r="J1554" i="2" s="1"/>
  <c r="H1554" i="2" s="1"/>
  <c r="G1566" i="2"/>
  <c r="K1638" i="2"/>
  <c r="J1638" i="2"/>
  <c r="H1638" i="2" s="1"/>
  <c r="G320" i="2"/>
  <c r="F320" i="2"/>
  <c r="I320" i="2" s="1"/>
  <c r="F375" i="2"/>
  <c r="I375" i="2" s="1"/>
  <c r="J399" i="2"/>
  <c r="H399" i="2" s="1"/>
  <c r="G719" i="2"/>
  <c r="F719" i="2"/>
  <c r="K719" i="2" s="1"/>
  <c r="G743" i="2"/>
  <c r="F743" i="2"/>
  <c r="J743" i="2" s="1"/>
  <c r="H743" i="2" s="1"/>
  <c r="F3" i="2"/>
  <c r="F13" i="2"/>
  <c r="F26" i="2"/>
  <c r="I26" i="2" s="1"/>
  <c r="G42" i="2"/>
  <c r="F53" i="2"/>
  <c r="F56" i="2"/>
  <c r="F68" i="2"/>
  <c r="F73" i="2"/>
  <c r="F84" i="2"/>
  <c r="I84" i="2" s="1"/>
  <c r="G102" i="2"/>
  <c r="F115" i="2"/>
  <c r="K115" i="2" s="1"/>
  <c r="F118" i="2"/>
  <c r="K118" i="2" s="1"/>
  <c r="F129" i="2"/>
  <c r="K129" i="2" s="1"/>
  <c r="F142" i="2"/>
  <c r="G158" i="2"/>
  <c r="F174" i="2"/>
  <c r="F184" i="2"/>
  <c r="F187" i="2"/>
  <c r="J187" i="2" s="1"/>
  <c r="H187" i="2" s="1"/>
  <c r="F198" i="2"/>
  <c r="I198" i="2" s="1"/>
  <c r="F229" i="2"/>
  <c r="I229" i="2" s="1"/>
  <c r="F233" i="2"/>
  <c r="F250" i="2"/>
  <c r="F259" i="2"/>
  <c r="I259" i="2" s="1"/>
  <c r="G269" i="2"/>
  <c r="F316" i="2"/>
  <c r="K316" i="2" s="1"/>
  <c r="G382" i="2"/>
  <c r="F382" i="2"/>
  <c r="J382" i="2" s="1"/>
  <c r="H382" i="2" s="1"/>
  <c r="G424" i="2"/>
  <c r="G445" i="2"/>
  <c r="G455" i="2"/>
  <c r="J462" i="2"/>
  <c r="J474" i="2"/>
  <c r="H474" i="2" s="1"/>
  <c r="I474" i="2"/>
  <c r="K474" i="2"/>
  <c r="F483" i="2"/>
  <c r="K483" i="2" s="1"/>
  <c r="G485" i="2"/>
  <c r="F485" i="2"/>
  <c r="J485" i="2" s="1"/>
  <c r="H485" i="2" s="1"/>
  <c r="G499" i="2"/>
  <c r="F499" i="2"/>
  <c r="J499" i="2" s="1"/>
  <c r="H499" i="2" s="1"/>
  <c r="F512" i="2"/>
  <c r="J512" i="2" s="1"/>
  <c r="H512" i="2" s="1"/>
  <c r="K520" i="2"/>
  <c r="J520" i="2"/>
  <c r="H520" i="2" s="1"/>
  <c r="J534" i="2"/>
  <c r="H534" i="2" s="1"/>
  <c r="I534" i="2"/>
  <c r="K534" i="2"/>
  <c r="G542" i="2"/>
  <c r="F545" i="2"/>
  <c r="I545" i="2" s="1"/>
  <c r="G547" i="2"/>
  <c r="F547" i="2"/>
  <c r="J547" i="2" s="1"/>
  <c r="H547" i="2" s="1"/>
  <c r="F557" i="2"/>
  <c r="I557" i="2" s="1"/>
  <c r="G561" i="2"/>
  <c r="F561" i="2"/>
  <c r="K561" i="2" s="1"/>
  <c r="G614" i="2"/>
  <c r="F671" i="2"/>
  <c r="G673" i="2"/>
  <c r="F673" i="2"/>
  <c r="K673" i="2" s="1"/>
  <c r="J684" i="2"/>
  <c r="H684" i="2" s="1"/>
  <c r="I684" i="2"/>
  <c r="K684" i="2"/>
  <c r="F698" i="2"/>
  <c r="K698" i="2" s="1"/>
  <c r="F741" i="2"/>
  <c r="I741" i="2" s="1"/>
  <c r="F781" i="2"/>
  <c r="J781" i="2" s="1"/>
  <c r="H781" i="2" s="1"/>
  <c r="G791" i="2"/>
  <c r="G840" i="2"/>
  <c r="G886" i="2"/>
  <c r="F899" i="2"/>
  <c r="G901" i="2"/>
  <c r="F901" i="2"/>
  <c r="J910" i="2"/>
  <c r="H910" i="2" s="1"/>
  <c r="I910" i="2"/>
  <c r="K910" i="2"/>
  <c r="F924" i="2"/>
  <c r="K924" i="2" s="1"/>
  <c r="F927" i="2"/>
  <c r="J927" i="2" s="1"/>
  <c r="H927" i="2" s="1"/>
  <c r="F965" i="2"/>
  <c r="J965" i="2" s="1"/>
  <c r="H965" i="2" s="1"/>
  <c r="F988" i="2"/>
  <c r="J988" i="2" s="1"/>
  <c r="H988" i="2" s="1"/>
  <c r="G1007" i="2"/>
  <c r="I1022" i="2"/>
  <c r="F1030" i="2"/>
  <c r="K1030" i="2" s="1"/>
  <c r="G1038" i="2"/>
  <c r="K1073" i="2"/>
  <c r="J1078" i="2"/>
  <c r="H1078" i="2" s="1"/>
  <c r="G1094" i="2"/>
  <c r="K1119" i="2"/>
  <c r="J1119" i="2"/>
  <c r="H1119" i="2" s="1"/>
  <c r="I1119" i="2"/>
  <c r="G1164" i="2"/>
  <c r="G1175" i="2"/>
  <c r="F1175" i="2"/>
  <c r="F1194" i="2"/>
  <c r="I1194" i="2" s="1"/>
  <c r="G1198" i="2"/>
  <c r="I1235" i="2"/>
  <c r="F1248" i="2"/>
  <c r="I1248" i="2" s="1"/>
  <c r="G1248" i="2"/>
  <c r="I1278" i="2"/>
  <c r="G1291" i="2"/>
  <c r="F1291" i="2"/>
  <c r="K1291" i="2" s="1"/>
  <c r="K1314" i="2"/>
  <c r="J1314" i="2"/>
  <c r="H1314" i="2" s="1"/>
  <c r="I1314" i="2"/>
  <c r="J1369" i="2"/>
  <c r="I1369" i="2"/>
  <c r="G1416" i="2"/>
  <c r="F1416" i="2"/>
  <c r="I1416" i="2" s="1"/>
  <c r="G1470" i="2"/>
  <c r="J1545" i="2"/>
  <c r="H1545" i="2" s="1"/>
  <c r="I1545" i="2"/>
  <c r="G1554" i="2"/>
  <c r="F1590" i="2"/>
  <c r="I1590" i="2" s="1"/>
  <c r="G1590" i="2"/>
  <c r="K1616" i="2"/>
  <c r="I1616" i="2"/>
  <c r="G1620" i="2"/>
  <c r="F1620" i="2"/>
  <c r="K1620" i="2" s="1"/>
  <c r="K364" i="2"/>
  <c r="J364" i="2"/>
  <c r="H364" i="2" s="1"/>
  <c r="I364" i="2"/>
  <c r="K396" i="2"/>
  <c r="J396" i="2"/>
  <c r="H396" i="2" s="1"/>
  <c r="I396" i="2"/>
  <c r="K496" i="2"/>
  <c r="J496" i="2"/>
  <c r="H496" i="2" s="1"/>
  <c r="I496" i="2"/>
  <c r="K509" i="2"/>
  <c r="J509" i="2"/>
  <c r="H509" i="2" s="1"/>
  <c r="I509" i="2"/>
  <c r="G509" i="2"/>
  <c r="K574" i="2"/>
  <c r="J574" i="2"/>
  <c r="H574" i="2" s="1"/>
  <c r="I574" i="2"/>
  <c r="J625" i="2"/>
  <c r="I625" i="2"/>
  <c r="F631" i="2"/>
  <c r="G732" i="2"/>
  <c r="F6" i="2"/>
  <c r="F37" i="2"/>
  <c r="F50" i="2"/>
  <c r="G53" i="2"/>
  <c r="F63" i="2"/>
  <c r="G73" i="2"/>
  <c r="F97" i="2"/>
  <c r="F110" i="2"/>
  <c r="F123" i="2"/>
  <c r="F155" i="2"/>
  <c r="F166" i="2"/>
  <c r="J166" i="2" s="1"/>
  <c r="H166" i="2" s="1"/>
  <c r="G174" i="2"/>
  <c r="F181" i="2"/>
  <c r="G187" i="2"/>
  <c r="F208" i="2"/>
  <c r="F217" i="2"/>
  <c r="F222" i="2"/>
  <c r="F239" i="2"/>
  <c r="G250" i="2"/>
  <c r="G252" i="2"/>
  <c r="F252" i="2"/>
  <c r="J252" i="2" s="1"/>
  <c r="H252" i="2" s="1"/>
  <c r="F254" i="2"/>
  <c r="F269" i="2"/>
  <c r="K269" i="2" s="1"/>
  <c r="F286" i="2"/>
  <c r="F310" i="2"/>
  <c r="I310" i="2" s="1"/>
  <c r="G349" i="2"/>
  <c r="F349" i="2"/>
  <c r="G364" i="2"/>
  <c r="J384" i="2"/>
  <c r="H384" i="2" s="1"/>
  <c r="J393" i="2"/>
  <c r="I393" i="2"/>
  <c r="G396" i="2"/>
  <c r="F414" i="2"/>
  <c r="F416" i="2"/>
  <c r="F419" i="2"/>
  <c r="I419" i="2" s="1"/>
  <c r="F424" i="2"/>
  <c r="K424" i="2" s="1"/>
  <c r="F445" i="2"/>
  <c r="G448" i="2"/>
  <c r="F455" i="2"/>
  <c r="K455" i="2" s="1"/>
  <c r="F480" i="2"/>
  <c r="G483" i="2"/>
  <c r="K493" i="2"/>
  <c r="J493" i="2"/>
  <c r="G496" i="2"/>
  <c r="G512" i="2"/>
  <c r="F542" i="2"/>
  <c r="J542" i="2" s="1"/>
  <c r="H542" i="2" s="1"/>
  <c r="J555" i="2"/>
  <c r="K571" i="2" s="1"/>
  <c r="G574" i="2"/>
  <c r="F599" i="2"/>
  <c r="J599" i="2" s="1"/>
  <c r="H599" i="2" s="1"/>
  <c r="I601" i="2"/>
  <c r="I604" i="2"/>
  <c r="J604" i="2"/>
  <c r="H604" i="2" s="1"/>
  <c r="F614" i="2"/>
  <c r="I614" i="2" s="1"/>
  <c r="G626" i="2"/>
  <c r="F641" i="2"/>
  <c r="J641" i="2" s="1"/>
  <c r="H641" i="2" s="1"/>
  <c r="K652" i="2"/>
  <c r="J652" i="2"/>
  <c r="H652" i="2" s="1"/>
  <c r="I652" i="2"/>
  <c r="F660" i="2"/>
  <c r="J660" i="2" s="1"/>
  <c r="H660" i="2" s="1"/>
  <c r="G695" i="2"/>
  <c r="F695" i="2"/>
  <c r="I695" i="2" s="1"/>
  <c r="K730" i="2"/>
  <c r="J730" i="2"/>
  <c r="H730" i="2" s="1"/>
  <c r="F733" i="2"/>
  <c r="J733" i="2" s="1"/>
  <c r="H733" i="2" s="1"/>
  <c r="G733" i="2"/>
  <c r="I794" i="2"/>
  <c r="J794" i="2"/>
  <c r="F800" i="2"/>
  <c r="F827" i="2"/>
  <c r="K827" i="2" s="1"/>
  <c r="I829" i="2"/>
  <c r="I832" i="2"/>
  <c r="J832" i="2"/>
  <c r="H832" i="2" s="1"/>
  <c r="F840" i="2"/>
  <c r="K840" i="2" s="1"/>
  <c r="G850" i="2"/>
  <c r="F865" i="2"/>
  <c r="G867" i="2"/>
  <c r="F867" i="2"/>
  <c r="K876" i="2"/>
  <c r="J876" i="2"/>
  <c r="H876" i="2" s="1"/>
  <c r="I876" i="2"/>
  <c r="F886" i="2"/>
  <c r="I886" i="2" s="1"/>
  <c r="F921" i="2"/>
  <c r="K921" i="2" s="1"/>
  <c r="K954" i="2"/>
  <c r="J954" i="2"/>
  <c r="H954" i="2" s="1"/>
  <c r="I959" i="2"/>
  <c r="F1005" i="2"/>
  <c r="I1017" i="2"/>
  <c r="G1030" i="2"/>
  <c r="F1038" i="2"/>
  <c r="K1038" i="2" s="1"/>
  <c r="G1045" i="2"/>
  <c r="G1059" i="2"/>
  <c r="F1059" i="2"/>
  <c r="K1059" i="2" s="1"/>
  <c r="J1129" i="2"/>
  <c r="H1129" i="2" s="1"/>
  <c r="I1129" i="2"/>
  <c r="K1129" i="2"/>
  <c r="K1150" i="2"/>
  <c r="J1150" i="2"/>
  <c r="H1150" i="2" s="1"/>
  <c r="K1232" i="2"/>
  <c r="J1235" i="2"/>
  <c r="H1235" i="2" s="1"/>
  <c r="G1274" i="2"/>
  <c r="I1342" i="2"/>
  <c r="K1342" i="2"/>
  <c r="J1342" i="2"/>
  <c r="H1342" i="2" s="1"/>
  <c r="G1460" i="2"/>
  <c r="F1460" i="2"/>
  <c r="F1507" i="2"/>
  <c r="K1507" i="2" s="1"/>
  <c r="G1513" i="2"/>
  <c r="F1513" i="2"/>
  <c r="I1513" i="2" s="1"/>
  <c r="G1568" i="2"/>
  <c r="F1568" i="2"/>
  <c r="I1638" i="2"/>
  <c r="G259" i="2"/>
  <c r="G324" i="2"/>
  <c r="F324" i="2"/>
  <c r="J571" i="2"/>
  <c r="H571" i="2" s="1"/>
  <c r="I571" i="2"/>
  <c r="J701" i="2"/>
  <c r="H701" i="2" s="1"/>
  <c r="I701" i="2"/>
  <c r="K701" i="2"/>
  <c r="G701" i="2"/>
  <c r="G754" i="2"/>
  <c r="F754" i="2"/>
  <c r="K754" i="2" s="1"/>
  <c r="I760" i="2"/>
  <c r="G760" i="2"/>
  <c r="K760" i="2"/>
  <c r="J760" i="2"/>
  <c r="H760" i="2" s="1"/>
  <c r="G819" i="2"/>
  <c r="I842" i="2"/>
  <c r="J849" i="2"/>
  <c r="H849" i="2" s="1"/>
  <c r="I849" i="2"/>
  <c r="K849" i="2"/>
  <c r="F857" i="2"/>
  <c r="K857" i="2" s="1"/>
  <c r="J28" i="2"/>
  <c r="H28" i="2" s="1"/>
  <c r="F31" i="2"/>
  <c r="I31" i="2" s="1"/>
  <c r="I42" i="2"/>
  <c r="F47" i="2"/>
  <c r="K47" i="2" s="1"/>
  <c r="G50" i="2"/>
  <c r="G78" i="2"/>
  <c r="J86" i="2"/>
  <c r="H86" i="2" s="1"/>
  <c r="F91" i="2"/>
  <c r="I102" i="2"/>
  <c r="F107" i="2"/>
  <c r="G110" i="2"/>
  <c r="J144" i="2"/>
  <c r="H144" i="2" s="1"/>
  <c r="F147" i="2"/>
  <c r="I147" i="2" s="1"/>
  <c r="I158" i="2"/>
  <c r="F163" i="2"/>
  <c r="G166" i="2"/>
  <c r="G192" i="2"/>
  <c r="F205" i="2"/>
  <c r="I205" i="2" s="1"/>
  <c r="G208" i="2"/>
  <c r="F212" i="2"/>
  <c r="I215" i="2"/>
  <c r="J219" i="2"/>
  <c r="G222" i="2"/>
  <c r="F235" i="2"/>
  <c r="F241" i="2"/>
  <c r="K247" i="2"/>
  <c r="F276" i="2"/>
  <c r="K276" i="2" s="1"/>
  <c r="G284" i="2"/>
  <c r="F284" i="2"/>
  <c r="I288" i="2"/>
  <c r="K292" i="2"/>
  <c r="J292" i="2"/>
  <c r="H292" i="2" s="1"/>
  <c r="G292" i="2"/>
  <c r="F300" i="2"/>
  <c r="F306" i="2"/>
  <c r="K306" i="2" s="1"/>
  <c r="G308" i="2"/>
  <c r="F308" i="2"/>
  <c r="K308" i="2" s="1"/>
  <c r="K325" i="2"/>
  <c r="F335" i="2"/>
  <c r="K341" i="2"/>
  <c r="J341" i="2"/>
  <c r="H341" i="2" s="1"/>
  <c r="J345" i="2"/>
  <c r="I345" i="2"/>
  <c r="F358" i="2"/>
  <c r="I358" i="2" s="1"/>
  <c r="I360" i="2"/>
  <c r="G360" i="2"/>
  <c r="K360" i="2"/>
  <c r="J367" i="2"/>
  <c r="H367" i="2" s="1"/>
  <c r="I367" i="2"/>
  <c r="K389" i="2"/>
  <c r="J389" i="2"/>
  <c r="H389" i="2" s="1"/>
  <c r="J391" i="2"/>
  <c r="H391" i="2" s="1"/>
  <c r="I391" i="2"/>
  <c r="K391" i="2"/>
  <c r="F400" i="2"/>
  <c r="K400" i="2" s="1"/>
  <c r="G414" i="2"/>
  <c r="F427" i="2"/>
  <c r="G429" i="2"/>
  <c r="F429" i="2"/>
  <c r="F443" i="2"/>
  <c r="K443" i="2" s="1"/>
  <c r="F448" i="2"/>
  <c r="I448" i="2" s="1"/>
  <c r="F458" i="2"/>
  <c r="I460" i="2"/>
  <c r="K468" i="2"/>
  <c r="J468" i="2"/>
  <c r="H468" i="2" s="1"/>
  <c r="I468" i="2"/>
  <c r="I470" i="2"/>
  <c r="G470" i="2"/>
  <c r="K470" i="2"/>
  <c r="J470" i="2"/>
  <c r="H470" i="2" s="1"/>
  <c r="G475" i="2"/>
  <c r="F475" i="2"/>
  <c r="K516" i="2"/>
  <c r="K529" i="2"/>
  <c r="J529" i="2"/>
  <c r="H529" i="2" s="1"/>
  <c r="I532" i="2"/>
  <c r="G532" i="2"/>
  <c r="K532" i="2"/>
  <c r="J532" i="2"/>
  <c r="H532" i="2" s="1"/>
  <c r="G535" i="2"/>
  <c r="F535" i="2"/>
  <c r="K591" i="2"/>
  <c r="J591" i="2"/>
  <c r="H591" i="2" s="1"/>
  <c r="I591" i="2"/>
  <c r="K618" i="2"/>
  <c r="J618" i="2"/>
  <c r="H618" i="2" s="1"/>
  <c r="I618" i="2"/>
  <c r="G621" i="2"/>
  <c r="F621" i="2"/>
  <c r="J621" i="2" s="1"/>
  <c r="H621" i="2" s="1"/>
  <c r="F626" i="2"/>
  <c r="G641" i="2"/>
  <c r="F679" i="2"/>
  <c r="G685" i="2"/>
  <c r="F685" i="2"/>
  <c r="I692" i="2"/>
  <c r="K705" i="2"/>
  <c r="J705" i="2"/>
  <c r="H705" i="2" s="1"/>
  <c r="I705" i="2"/>
  <c r="K720" i="2"/>
  <c r="J720" i="2"/>
  <c r="H720" i="2" s="1"/>
  <c r="I720" i="2"/>
  <c r="G720" i="2"/>
  <c r="F747" i="2"/>
  <c r="K747" i="2" s="1"/>
  <c r="I749" i="2"/>
  <c r="I758" i="2"/>
  <c r="F777" i="2"/>
  <c r="I777" i="2" s="1"/>
  <c r="I791" i="2"/>
  <c r="G800" i="2"/>
  <c r="K817" i="2"/>
  <c r="J817" i="2"/>
  <c r="H817" i="2" s="1"/>
  <c r="G827" i="2"/>
  <c r="J838" i="2"/>
  <c r="H838" i="2" s="1"/>
  <c r="I838" i="2"/>
  <c r="K844" i="2"/>
  <c r="J844" i="2"/>
  <c r="H844" i="2" s="1"/>
  <c r="I844" i="2"/>
  <c r="G847" i="2"/>
  <c r="F847" i="2"/>
  <c r="F850" i="2"/>
  <c r="G865" i="2"/>
  <c r="G911" i="2"/>
  <c r="F911" i="2"/>
  <c r="J911" i="2" s="1"/>
  <c r="H911" i="2" s="1"/>
  <c r="I916" i="2"/>
  <c r="K931" i="2"/>
  <c r="J931" i="2"/>
  <c r="H931" i="2" s="1"/>
  <c r="I931" i="2"/>
  <c r="K946" i="2"/>
  <c r="J946" i="2"/>
  <c r="H946" i="2" s="1"/>
  <c r="I946" i="2"/>
  <c r="G946" i="2"/>
  <c r="F973" i="2"/>
  <c r="K973" i="2" s="1"/>
  <c r="I975" i="2"/>
  <c r="J984" i="2"/>
  <c r="H984" i="2" s="1"/>
  <c r="I984" i="2"/>
  <c r="G1005" i="2"/>
  <c r="J1017" i="2"/>
  <c r="H1017" i="2" s="1"/>
  <c r="F1042" i="2"/>
  <c r="F1045" i="2"/>
  <c r="I1045" i="2" s="1"/>
  <c r="F1057" i="2"/>
  <c r="J1057" i="2" s="1"/>
  <c r="F1071" i="2"/>
  <c r="K1104" i="2"/>
  <c r="J1104" i="2"/>
  <c r="H1104" i="2" s="1"/>
  <c r="I1104" i="2"/>
  <c r="G1104" i="2"/>
  <c r="J1146" i="2"/>
  <c r="F1156" i="2"/>
  <c r="J1156" i="2" s="1"/>
  <c r="K1179" i="2"/>
  <c r="J1179" i="2"/>
  <c r="H1179" i="2" s="1"/>
  <c r="I1179" i="2"/>
  <c r="G1179" i="2"/>
  <c r="J1195" i="2"/>
  <c r="H1195" i="2" s="1"/>
  <c r="I1195" i="2"/>
  <c r="I1211" i="2"/>
  <c r="K1211" i="2"/>
  <c r="J1211" i="2"/>
  <c r="I1254" i="2"/>
  <c r="I1265" i="2"/>
  <c r="G1265" i="2"/>
  <c r="K1265" i="2"/>
  <c r="F1274" i="2"/>
  <c r="J1274" i="2" s="1"/>
  <c r="H1274" i="2" s="1"/>
  <c r="F1303" i="2"/>
  <c r="I1303" i="2" s="1"/>
  <c r="F1315" i="2"/>
  <c r="F1408" i="2"/>
  <c r="F1414" i="2"/>
  <c r="K1414" i="2" s="1"/>
  <c r="G1426" i="2"/>
  <c r="F1426" i="2"/>
  <c r="K1426" i="2" s="1"/>
  <c r="G1461" i="2"/>
  <c r="F1461" i="2"/>
  <c r="G1507" i="2"/>
  <c r="J1616" i="2"/>
  <c r="H1616" i="2" s="1"/>
  <c r="F1636" i="2"/>
  <c r="I592" i="2"/>
  <c r="G592" i="2"/>
  <c r="K592" i="2"/>
  <c r="J603" i="2"/>
  <c r="K612" i="2" s="1"/>
  <c r="K622" i="2"/>
  <c r="I647" i="2"/>
  <c r="G653" i="2"/>
  <c r="F653" i="2"/>
  <c r="K664" i="2"/>
  <c r="J664" i="2"/>
  <c r="H664" i="2" s="1"/>
  <c r="I664" i="2"/>
  <c r="I704" i="2"/>
  <c r="G704" i="2"/>
  <c r="K704" i="2"/>
  <c r="K717" i="2"/>
  <c r="J717" i="2"/>
  <c r="H717" i="2" s="1"/>
  <c r="K736" i="2"/>
  <c r="J757" i="2"/>
  <c r="H757" i="2" s="1"/>
  <c r="I757" i="2"/>
  <c r="J765" i="2"/>
  <c r="H765" i="2" s="1"/>
  <c r="K776" i="2"/>
  <c r="J776" i="2"/>
  <c r="H776" i="2" s="1"/>
  <c r="I776" i="2"/>
  <c r="I818" i="2"/>
  <c r="G818" i="2"/>
  <c r="K818" i="2"/>
  <c r="J871" i="2"/>
  <c r="H871" i="2" s="1"/>
  <c r="I871" i="2"/>
  <c r="G877" i="2"/>
  <c r="F877" i="2"/>
  <c r="J877" i="2" s="1"/>
  <c r="H877" i="2" s="1"/>
  <c r="K892" i="2"/>
  <c r="J892" i="2"/>
  <c r="H892" i="2" s="1"/>
  <c r="I892" i="2"/>
  <c r="I930" i="2"/>
  <c r="K930" i="2"/>
  <c r="K943" i="2"/>
  <c r="J943" i="2"/>
  <c r="H943" i="2" s="1"/>
  <c r="J983" i="2"/>
  <c r="H983" i="2" s="1"/>
  <c r="I983" i="2"/>
  <c r="G991" i="2"/>
  <c r="F991" i="2"/>
  <c r="J991" i="2" s="1"/>
  <c r="H991" i="2" s="1"/>
  <c r="J1004" i="2"/>
  <c r="H1004" i="2" s="1"/>
  <c r="F1053" i="2"/>
  <c r="I1053" i="2" s="1"/>
  <c r="K1098" i="2"/>
  <c r="J1098" i="2"/>
  <c r="H1098" i="2" s="1"/>
  <c r="I1098" i="2"/>
  <c r="F1210" i="2"/>
  <c r="I1210" i="2" s="1"/>
  <c r="J1240" i="2"/>
  <c r="H1240" i="2" s="1"/>
  <c r="I1240" i="2"/>
  <c r="G1247" i="2"/>
  <c r="F1247" i="2"/>
  <c r="I1247" i="2" s="1"/>
  <c r="G1282" i="2"/>
  <c r="F1282" i="2"/>
  <c r="J1282" i="2" s="1"/>
  <c r="H1282" i="2" s="1"/>
  <c r="J1350" i="2"/>
  <c r="H1350" i="2" s="1"/>
  <c r="I1350" i="2"/>
  <c r="K1350" i="2"/>
  <c r="G1350" i="2"/>
  <c r="K1422" i="2"/>
  <c r="J1422" i="2"/>
  <c r="H1422" i="2" s="1"/>
  <c r="I1422" i="2"/>
  <c r="G1432" i="2"/>
  <c r="F1432" i="2"/>
  <c r="I1432" i="2" s="1"/>
  <c r="J1481" i="2"/>
  <c r="H1481" i="2" s="1"/>
  <c r="I1481" i="2"/>
  <c r="F1498" i="2"/>
  <c r="G1506" i="2"/>
  <c r="F1506" i="2"/>
  <c r="K1506" i="2" s="1"/>
  <c r="K1545" i="2"/>
  <c r="F1634" i="2"/>
  <c r="I1634" i="2" s="1"/>
  <c r="G1634" i="2"/>
  <c r="G1664" i="2"/>
  <c r="F1664" i="2"/>
  <c r="I1664" i="2" s="1"/>
  <c r="J1670" i="2"/>
  <c r="H1670" i="2" s="1"/>
  <c r="G1690" i="2"/>
  <c r="F1690" i="2"/>
  <c r="K1690" i="2" s="1"/>
  <c r="K1777" i="2"/>
  <c r="J1777" i="2"/>
  <c r="G1675" i="2"/>
  <c r="F1675" i="2"/>
  <c r="K1675" i="2" s="1"/>
  <c r="F1734" i="2"/>
  <c r="J1734" i="2" s="1"/>
  <c r="H1734" i="2" s="1"/>
  <c r="F1709" i="2"/>
  <c r="J1709" i="2" s="1"/>
  <c r="H1709" i="2" s="1"/>
  <c r="G1592" i="2"/>
  <c r="F1592" i="2"/>
  <c r="I1592" i="2" s="1"/>
  <c r="J1672" i="2"/>
  <c r="H1672" i="2" s="1"/>
  <c r="I1672" i="2"/>
  <c r="K1672" i="2"/>
  <c r="G1672" i="2"/>
  <c r="K1676" i="2"/>
  <c r="J1676" i="2"/>
  <c r="H1676" i="2" s="1"/>
  <c r="I1676" i="2"/>
  <c r="G1676" i="2"/>
  <c r="G1702" i="2"/>
  <c r="F1702" i="2"/>
  <c r="K1702" i="2" s="1"/>
  <c r="F1363" i="2"/>
  <c r="G1392" i="2"/>
  <c r="F1392" i="2"/>
  <c r="K1392" i="2" s="1"/>
  <c r="F1409" i="2"/>
  <c r="G1447" i="2"/>
  <c r="F1454" i="2"/>
  <c r="J1454" i="2" s="1"/>
  <c r="H1454" i="2" s="1"/>
  <c r="G1465" i="2"/>
  <c r="F1465" i="2"/>
  <c r="J1465" i="2" s="1"/>
  <c r="H1465" i="2" s="1"/>
  <c r="F1520" i="2"/>
  <c r="G1576" i="2"/>
  <c r="F1576" i="2"/>
  <c r="J1576" i="2" s="1"/>
  <c r="H1576" i="2" s="1"/>
  <c r="F1614" i="2"/>
  <c r="J1614" i="2" s="1"/>
  <c r="H1614" i="2" s="1"/>
  <c r="G1627" i="2"/>
  <c r="F1627" i="2"/>
  <c r="K1627" i="2" s="1"/>
  <c r="G1642" i="2"/>
  <c r="G1651" i="2"/>
  <c r="F1651" i="2"/>
  <c r="G426" i="2"/>
  <c r="G482" i="2"/>
  <c r="G511" i="2"/>
  <c r="F511" i="2"/>
  <c r="J511" i="2" s="1"/>
  <c r="H511" i="2" s="1"/>
  <c r="G544" i="2"/>
  <c r="G573" i="2"/>
  <c r="F573" i="2"/>
  <c r="K573" i="2" s="1"/>
  <c r="G602" i="2"/>
  <c r="G663" i="2"/>
  <c r="F663" i="2"/>
  <c r="G716" i="2"/>
  <c r="G775" i="2"/>
  <c r="F775" i="2"/>
  <c r="J775" i="2" s="1"/>
  <c r="H775" i="2" s="1"/>
  <c r="I891" i="2"/>
  <c r="G942" i="2"/>
  <c r="G1003" i="2"/>
  <c r="F1003" i="2"/>
  <c r="I1003" i="2" s="1"/>
  <c r="G1055" i="2"/>
  <c r="F1055" i="2"/>
  <c r="I1055" i="2" s="1"/>
  <c r="K1092" i="2"/>
  <c r="J1092" i="2"/>
  <c r="H1092" i="2" s="1"/>
  <c r="G1127" i="2"/>
  <c r="K1137" i="2"/>
  <c r="I1137" i="2"/>
  <c r="G1137" i="2"/>
  <c r="G1246" i="2"/>
  <c r="F1246" i="2"/>
  <c r="J1246" i="2" s="1"/>
  <c r="H1246" i="2" s="1"/>
  <c r="F1252" i="2"/>
  <c r="K1252" i="2" s="1"/>
  <c r="G1258" i="2"/>
  <c r="F1258" i="2"/>
  <c r="I1258" i="2" s="1"/>
  <c r="G1337" i="2"/>
  <c r="G1389" i="2"/>
  <c r="F1396" i="2"/>
  <c r="I1396" i="2" s="1"/>
  <c r="G1396" i="2"/>
  <c r="F1406" i="2"/>
  <c r="K1406" i="2" s="1"/>
  <c r="F1418" i="2"/>
  <c r="I1418" i="2" s="1"/>
  <c r="J1437" i="2"/>
  <c r="H1437" i="2" s="1"/>
  <c r="F1447" i="2"/>
  <c r="G1451" i="2"/>
  <c r="G1454" i="2"/>
  <c r="G1494" i="2"/>
  <c r="F1494" i="2"/>
  <c r="I1494" i="2" s="1"/>
  <c r="J1501" i="2"/>
  <c r="I1501" i="2"/>
  <c r="K1589" i="2"/>
  <c r="J1589" i="2"/>
  <c r="H1589" i="2" s="1"/>
  <c r="I1589" i="2"/>
  <c r="K1596" i="2"/>
  <c r="J1596" i="2"/>
  <c r="H1596" i="2" s="1"/>
  <c r="I1596" i="2"/>
  <c r="G1596" i="2"/>
  <c r="G1614" i="2"/>
  <c r="I1617" i="2"/>
  <c r="G1617" i="2"/>
  <c r="K1617" i="2"/>
  <c r="J1617" i="2"/>
  <c r="H1617" i="2" s="1"/>
  <c r="G1621" i="2"/>
  <c r="F1621" i="2"/>
  <c r="K1621" i="2" s="1"/>
  <c r="F1633" i="2"/>
  <c r="K1633" i="2" s="1"/>
  <c r="F1642" i="2"/>
  <c r="G1655" i="2"/>
  <c r="F1655" i="2"/>
  <c r="I1655" i="2" s="1"/>
  <c r="G296" i="2"/>
  <c r="F296" i="2"/>
  <c r="F407" i="2"/>
  <c r="I407" i="2" s="1"/>
  <c r="F411" i="2"/>
  <c r="F426" i="2"/>
  <c r="K426" i="2" s="1"/>
  <c r="F430" i="2"/>
  <c r="K430" i="2" s="1"/>
  <c r="F434" i="2"/>
  <c r="K434" i="2" s="1"/>
  <c r="F457" i="2"/>
  <c r="F461" i="2"/>
  <c r="J461" i="2" s="1"/>
  <c r="H461" i="2" s="1"/>
  <c r="F465" i="2"/>
  <c r="F482" i="2"/>
  <c r="F486" i="2"/>
  <c r="K486" i="2" s="1"/>
  <c r="F492" i="2"/>
  <c r="K492" i="2" s="1"/>
  <c r="F515" i="2"/>
  <c r="I515" i="2" s="1"/>
  <c r="F519" i="2"/>
  <c r="J519" i="2" s="1"/>
  <c r="H519" i="2" s="1"/>
  <c r="F525" i="2"/>
  <c r="F544" i="2"/>
  <c r="K544" i="2" s="1"/>
  <c r="F549" i="2"/>
  <c r="I549" i="2" s="1"/>
  <c r="F554" i="2"/>
  <c r="F577" i="2"/>
  <c r="K577" i="2" s="1"/>
  <c r="G583" i="2"/>
  <c r="K583" i="2"/>
  <c r="F602" i="2"/>
  <c r="J602" i="2" s="1"/>
  <c r="H602" i="2" s="1"/>
  <c r="F615" i="2"/>
  <c r="G638" i="2"/>
  <c r="G655" i="2"/>
  <c r="F657" i="2"/>
  <c r="F674" i="2"/>
  <c r="K674" i="2" s="1"/>
  <c r="G697" i="2"/>
  <c r="F697" i="2"/>
  <c r="K697" i="2" s="1"/>
  <c r="F716" i="2"/>
  <c r="J729" i="2"/>
  <c r="H729" i="2" s="1"/>
  <c r="G750" i="2"/>
  <c r="G767" i="2"/>
  <c r="F769" i="2"/>
  <c r="F789" i="2"/>
  <c r="K789" i="2" s="1"/>
  <c r="F811" i="2"/>
  <c r="J811" i="2" s="1"/>
  <c r="H811" i="2" s="1"/>
  <c r="F830" i="2"/>
  <c r="F841" i="2"/>
  <c r="I841" i="2" s="1"/>
  <c r="G864" i="2"/>
  <c r="G879" i="2"/>
  <c r="F923" i="2"/>
  <c r="I923" i="2" s="1"/>
  <c r="F942" i="2"/>
  <c r="J942" i="2" s="1"/>
  <c r="H942" i="2" s="1"/>
  <c r="F953" i="2"/>
  <c r="I953" i="2" s="1"/>
  <c r="G976" i="2"/>
  <c r="G993" i="2"/>
  <c r="F997" i="2"/>
  <c r="F1016" i="2"/>
  <c r="K1016" i="2" s="1"/>
  <c r="G1041" i="2"/>
  <c r="F1041" i="2"/>
  <c r="K1041" i="2" s="1"/>
  <c r="F1048" i="2"/>
  <c r="I1048" i="2" s="1"/>
  <c r="G1052" i="2"/>
  <c r="G1068" i="2"/>
  <c r="F1068" i="2"/>
  <c r="J1068" i="2" s="1"/>
  <c r="H1068" i="2" s="1"/>
  <c r="G1077" i="2"/>
  <c r="G1100" i="2"/>
  <c r="G1110" i="2"/>
  <c r="F1127" i="2"/>
  <c r="I1127" i="2" s="1"/>
  <c r="G1154" i="2"/>
  <c r="F1154" i="2"/>
  <c r="J1154" i="2" s="1"/>
  <c r="H1154" i="2" s="1"/>
  <c r="G1187" i="2"/>
  <c r="F1202" i="2"/>
  <c r="K1202" i="2" s="1"/>
  <c r="G1212" i="2"/>
  <c r="F1212" i="2"/>
  <c r="K1212" i="2" s="1"/>
  <c r="F1236" i="2"/>
  <c r="J1236" i="2" s="1"/>
  <c r="H1236" i="2" s="1"/>
  <c r="G1252" i="2"/>
  <c r="G1255" i="2"/>
  <c r="G1320" i="2"/>
  <c r="F1320" i="2"/>
  <c r="J1320" i="2" s="1"/>
  <c r="H1320" i="2" s="1"/>
  <c r="F1337" i="2"/>
  <c r="I1337" i="2" s="1"/>
  <c r="F1364" i="2"/>
  <c r="K1364" i="2" s="1"/>
  <c r="G1370" i="2"/>
  <c r="F1370" i="2"/>
  <c r="I1370" i="2" s="1"/>
  <c r="F1384" i="2"/>
  <c r="K1384" i="2" s="1"/>
  <c r="F1389" i="2"/>
  <c r="I1389" i="2" s="1"/>
  <c r="G1406" i="2"/>
  <c r="G1418" i="2"/>
  <c r="F1451" i="2"/>
  <c r="K1466" i="2"/>
  <c r="J1466" i="2"/>
  <c r="H1466" i="2" s="1"/>
  <c r="I1466" i="2"/>
  <c r="F1486" i="2"/>
  <c r="J1486" i="2" s="1"/>
  <c r="H1486" i="2" s="1"/>
  <c r="G1547" i="2"/>
  <c r="G1610" i="2"/>
  <c r="F1610" i="2"/>
  <c r="K1610" i="2" s="1"/>
  <c r="F1753" i="2"/>
  <c r="K1753" i="2" s="1"/>
  <c r="J207" i="2"/>
  <c r="I256" i="2"/>
  <c r="J263" i="2"/>
  <c r="H263" i="2" s="1"/>
  <c r="I263" i="2"/>
  <c r="F282" i="2"/>
  <c r="F289" i="2"/>
  <c r="K289" i="2" s="1"/>
  <c r="I312" i="2"/>
  <c r="J321" i="2"/>
  <c r="H321" i="2" s="1"/>
  <c r="I321" i="2"/>
  <c r="F340" i="2"/>
  <c r="I340" i="2" s="1"/>
  <c r="G351" i="2"/>
  <c r="F351" i="2"/>
  <c r="J357" i="2"/>
  <c r="H357" i="2" s="1"/>
  <c r="I357" i="2"/>
  <c r="K361" i="2"/>
  <c r="J361" i="2"/>
  <c r="H361" i="2" s="1"/>
  <c r="I384" i="2"/>
  <c r="G384" i="2"/>
  <c r="J388" i="2"/>
  <c r="K401" i="2" s="1"/>
  <c r="I388" i="2"/>
  <c r="K392" i="2"/>
  <c r="G407" i="2"/>
  <c r="G409" i="2"/>
  <c r="F409" i="2"/>
  <c r="J413" i="2"/>
  <c r="H413" i="2" s="1"/>
  <c r="I413" i="2"/>
  <c r="K417" i="2"/>
  <c r="J417" i="2"/>
  <c r="H417" i="2" s="1"/>
  <c r="G430" i="2"/>
  <c r="G434" i="2"/>
  <c r="I436" i="2"/>
  <c r="G436" i="2"/>
  <c r="K442" i="2"/>
  <c r="J442" i="2"/>
  <c r="H442" i="2" s="1"/>
  <c r="I442" i="2"/>
  <c r="G457" i="2"/>
  <c r="G461" i="2"/>
  <c r="F463" i="2"/>
  <c r="J467" i="2"/>
  <c r="H467" i="2" s="1"/>
  <c r="I467" i="2"/>
  <c r="G486" i="2"/>
  <c r="G492" i="2"/>
  <c r="I494" i="2"/>
  <c r="G494" i="2"/>
  <c r="K500" i="2"/>
  <c r="J500" i="2"/>
  <c r="H500" i="2" s="1"/>
  <c r="K504" i="2"/>
  <c r="G515" i="2"/>
  <c r="G519" i="2"/>
  <c r="G522" i="2"/>
  <c r="F522" i="2"/>
  <c r="J527" i="2"/>
  <c r="H527" i="2" s="1"/>
  <c r="I527" i="2"/>
  <c r="G549" i="2"/>
  <c r="G554" i="2"/>
  <c r="I556" i="2"/>
  <c r="G556" i="2"/>
  <c r="K562" i="2"/>
  <c r="J562" i="2"/>
  <c r="H562" i="2" s="1"/>
  <c r="I562" i="2"/>
  <c r="K568" i="2"/>
  <c r="G577" i="2"/>
  <c r="K588" i="2"/>
  <c r="F596" i="2"/>
  <c r="K596" i="2" s="1"/>
  <c r="J611" i="2"/>
  <c r="H611" i="2" s="1"/>
  <c r="I611" i="2"/>
  <c r="G615" i="2"/>
  <c r="G617" i="2"/>
  <c r="F617" i="2"/>
  <c r="J617" i="2" s="1"/>
  <c r="H617" i="2" s="1"/>
  <c r="K630" i="2"/>
  <c r="J630" i="2"/>
  <c r="H630" i="2" s="1"/>
  <c r="I630" i="2"/>
  <c r="F638" i="2"/>
  <c r="J638" i="2" s="1"/>
  <c r="H638" i="2" s="1"/>
  <c r="F651" i="2"/>
  <c r="I651" i="2" s="1"/>
  <c r="G657" i="2"/>
  <c r="I670" i="2"/>
  <c r="G670" i="2"/>
  <c r="K670" i="2"/>
  <c r="G674" i="2"/>
  <c r="J683" i="2"/>
  <c r="G689" i="2"/>
  <c r="F691" i="2"/>
  <c r="K702" i="2"/>
  <c r="F710" i="2"/>
  <c r="J723" i="2"/>
  <c r="H723" i="2" s="1"/>
  <c r="I723" i="2"/>
  <c r="G731" i="2"/>
  <c r="F731" i="2"/>
  <c r="J731" i="2" s="1"/>
  <c r="H731" i="2" s="1"/>
  <c r="K744" i="2"/>
  <c r="J744" i="2"/>
  <c r="H744" i="2" s="1"/>
  <c r="I744" i="2"/>
  <c r="F750" i="2"/>
  <c r="F761" i="2"/>
  <c r="G769" i="2"/>
  <c r="I784" i="2"/>
  <c r="G784" i="2"/>
  <c r="K784" i="2"/>
  <c r="G789" i="2"/>
  <c r="K797" i="2"/>
  <c r="J797" i="2"/>
  <c r="H797" i="2" s="1"/>
  <c r="F803" i="2"/>
  <c r="K803" i="2" s="1"/>
  <c r="K816" i="2"/>
  <c r="F822" i="2"/>
  <c r="K822" i="2" s="1"/>
  <c r="J837" i="2"/>
  <c r="H837" i="2" s="1"/>
  <c r="I837" i="2"/>
  <c r="G841" i="2"/>
  <c r="G843" i="2"/>
  <c r="F843" i="2"/>
  <c r="J843" i="2" s="1"/>
  <c r="H843" i="2" s="1"/>
  <c r="K856" i="2"/>
  <c r="J856" i="2"/>
  <c r="H856" i="2" s="1"/>
  <c r="I856" i="2"/>
  <c r="F864" i="2"/>
  <c r="F875" i="2"/>
  <c r="I898" i="2"/>
  <c r="G898" i="2"/>
  <c r="K898" i="2"/>
  <c r="J909" i="2"/>
  <c r="G913" i="2"/>
  <c r="F915" i="2"/>
  <c r="K915" i="2" s="1"/>
  <c r="K928" i="2"/>
  <c r="F936" i="2"/>
  <c r="J949" i="2"/>
  <c r="I949" i="2"/>
  <c r="G953" i="2"/>
  <c r="F955" i="2"/>
  <c r="J955" i="2" s="1"/>
  <c r="H955" i="2" s="1"/>
  <c r="F976" i="2"/>
  <c r="J976" i="2" s="1"/>
  <c r="H976" i="2" s="1"/>
  <c r="F989" i="2"/>
  <c r="I1010" i="2"/>
  <c r="G1010" i="2"/>
  <c r="K1010" i="2"/>
  <c r="G1016" i="2"/>
  <c r="K1027" i="2"/>
  <c r="J1027" i="2"/>
  <c r="H1027" i="2" s="1"/>
  <c r="G1031" i="2"/>
  <c r="F1033" i="2"/>
  <c r="K1033" i="2" s="1"/>
  <c r="G1048" i="2"/>
  <c r="F1052" i="2"/>
  <c r="K1052" i="2" s="1"/>
  <c r="J1066" i="2"/>
  <c r="H1066" i="2" s="1"/>
  <c r="I1066" i="2"/>
  <c r="F1077" i="2"/>
  <c r="F1100" i="2"/>
  <c r="J1100" i="2" s="1"/>
  <c r="H1100" i="2" s="1"/>
  <c r="F1110" i="2"/>
  <c r="I1110" i="2" s="1"/>
  <c r="I1115" i="2"/>
  <c r="G1115" i="2"/>
  <c r="F1125" i="2"/>
  <c r="I1125" i="2" s="1"/>
  <c r="J1137" i="2"/>
  <c r="H1137" i="2" s="1"/>
  <c r="G1144" i="2"/>
  <c r="F1144" i="2"/>
  <c r="F1152" i="2"/>
  <c r="K1162" i="2"/>
  <c r="J1162" i="2"/>
  <c r="H1162" i="2" s="1"/>
  <c r="J1177" i="2"/>
  <c r="H1177" i="2" s="1"/>
  <c r="I1177" i="2"/>
  <c r="F1187" i="2"/>
  <c r="K1187" i="2" s="1"/>
  <c r="G1202" i="2"/>
  <c r="K1223" i="2"/>
  <c r="J1223" i="2"/>
  <c r="H1223" i="2" s="1"/>
  <c r="F1226" i="2"/>
  <c r="G1226" i="2"/>
  <c r="F1234" i="2"/>
  <c r="K1234" i="2" s="1"/>
  <c r="F1255" i="2"/>
  <c r="K1255" i="2" s="1"/>
  <c r="K1259" i="2"/>
  <c r="J1259" i="2"/>
  <c r="H1259" i="2" s="1"/>
  <c r="I1259" i="2"/>
  <c r="F1272" i="2"/>
  <c r="F1280" i="2"/>
  <c r="I1280" i="2" s="1"/>
  <c r="K1297" i="2"/>
  <c r="J1297" i="2"/>
  <c r="H1297" i="2" s="1"/>
  <c r="I1297" i="2"/>
  <c r="F1308" i="2"/>
  <c r="K1308" i="2" s="1"/>
  <c r="F1316" i="2"/>
  <c r="K1316" i="2" s="1"/>
  <c r="J1324" i="2"/>
  <c r="H1324" i="2" s="1"/>
  <c r="I1324" i="2"/>
  <c r="I1329" i="2"/>
  <c r="K1329" i="2"/>
  <c r="J1335" i="2"/>
  <c r="H1335" i="2" s="1"/>
  <c r="I1335" i="2"/>
  <c r="F1361" i="2"/>
  <c r="K1361" i="2" s="1"/>
  <c r="G1364" i="2"/>
  <c r="G1384" i="2"/>
  <c r="G1393" i="2"/>
  <c r="F1393" i="2"/>
  <c r="J1393" i="2" s="1"/>
  <c r="H1393" i="2" s="1"/>
  <c r="F1442" i="2"/>
  <c r="J1442" i="2" s="1"/>
  <c r="H1442" i="2" s="1"/>
  <c r="G1497" i="2"/>
  <c r="F1497" i="2"/>
  <c r="J1502" i="2"/>
  <c r="H1502" i="2" s="1"/>
  <c r="I1502" i="2"/>
  <c r="F1541" i="2"/>
  <c r="F1547" i="2"/>
  <c r="I1547" i="2" s="1"/>
  <c r="G1585" i="2"/>
  <c r="F1585" i="2"/>
  <c r="J1585" i="2" s="1"/>
  <c r="H1585" i="2" s="1"/>
  <c r="G1589" i="2"/>
  <c r="F1600" i="2"/>
  <c r="I1600" i="2" s="1"/>
  <c r="G1600" i="2"/>
  <c r="F1630" i="2"/>
  <c r="I1630" i="2" s="1"/>
  <c r="I1649" i="2"/>
  <c r="J1649" i="2"/>
  <c r="H1649" i="2" s="1"/>
  <c r="J1673" i="2"/>
  <c r="H1673" i="2" s="1"/>
  <c r="F1750" i="2"/>
  <c r="G1750" i="2"/>
  <c r="G1753" i="2"/>
  <c r="G1790" i="2"/>
  <c r="F1790" i="2"/>
  <c r="K1790" i="2" s="1"/>
  <c r="J1840" i="2"/>
  <c r="H1840" i="2" s="1"/>
  <c r="I1840" i="2"/>
  <c r="G2002" i="2"/>
  <c r="J2013" i="2"/>
  <c r="H2013" i="2" s="1"/>
  <c r="I2013" i="2"/>
  <c r="K2013" i="2"/>
  <c r="F2162" i="2"/>
  <c r="J2162" i="2" s="1"/>
  <c r="H2162" i="2" s="1"/>
  <c r="G2162" i="2"/>
  <c r="K2197" i="2"/>
  <c r="J2197" i="2"/>
  <c r="H2197" i="2" s="1"/>
  <c r="I2197" i="2"/>
  <c r="G2362" i="2"/>
  <c r="F2362" i="2"/>
  <c r="J2362" i="2" s="1"/>
  <c r="H2362" i="2" s="1"/>
  <c r="K2431" i="2"/>
  <c r="J2431" i="2"/>
  <c r="H2431" i="2" s="1"/>
  <c r="I2431" i="2"/>
  <c r="K1062" i="2"/>
  <c r="G1067" i="2"/>
  <c r="F1067" i="2"/>
  <c r="G1076" i="2"/>
  <c r="F1076" i="2"/>
  <c r="J1080" i="2"/>
  <c r="H1080" i="2" s="1"/>
  <c r="I1080" i="2"/>
  <c r="I1103" i="2"/>
  <c r="K1109" i="2"/>
  <c r="J1109" i="2"/>
  <c r="H1109" i="2" s="1"/>
  <c r="I1109" i="2"/>
  <c r="K1113" i="2"/>
  <c r="F1132" i="2"/>
  <c r="J1172" i="2"/>
  <c r="K1182" i="2" s="1"/>
  <c r="F1178" i="2"/>
  <c r="I1191" i="2"/>
  <c r="I1233" i="2"/>
  <c r="G1233" i="2"/>
  <c r="K1233" i="2"/>
  <c r="K1263" i="2"/>
  <c r="J1288" i="2"/>
  <c r="H1288" i="2" s="1"/>
  <c r="I1288" i="2"/>
  <c r="G1296" i="2"/>
  <c r="F1296" i="2"/>
  <c r="J1296" i="2" s="1"/>
  <c r="H1296" i="2" s="1"/>
  <c r="K1307" i="2"/>
  <c r="J1307" i="2"/>
  <c r="H1307" i="2" s="1"/>
  <c r="I1307" i="2"/>
  <c r="G1346" i="2"/>
  <c r="F1346" i="2"/>
  <c r="K1356" i="2"/>
  <c r="I1356" i="2"/>
  <c r="G1356" i="2"/>
  <c r="K1387" i="2"/>
  <c r="G1405" i="2"/>
  <c r="F1405" i="2"/>
  <c r="K1405" i="2" s="1"/>
  <c r="I1436" i="2"/>
  <c r="K1436" i="2"/>
  <c r="J1445" i="2"/>
  <c r="G1484" i="2"/>
  <c r="F1484" i="2"/>
  <c r="J1484" i="2" s="1"/>
  <c r="H1484" i="2" s="1"/>
  <c r="I1503" i="2"/>
  <c r="G1503" i="2"/>
  <c r="K1503" i="2"/>
  <c r="J1503" i="2"/>
  <c r="H1503" i="2" s="1"/>
  <c r="K1562" i="2"/>
  <c r="J1562" i="2"/>
  <c r="H1562" i="2" s="1"/>
  <c r="I1562" i="2"/>
  <c r="G1564" i="2"/>
  <c r="F1564" i="2"/>
  <c r="I1564" i="2" s="1"/>
  <c r="K1583" i="2"/>
  <c r="K1619" i="2"/>
  <c r="J1619" i="2"/>
  <c r="H1619" i="2" s="1"/>
  <c r="I1619" i="2"/>
  <c r="G1736" i="2"/>
  <c r="F1736" i="2"/>
  <c r="I1755" i="2"/>
  <c r="F1774" i="2"/>
  <c r="J1774" i="2" s="1"/>
  <c r="G1816" i="2"/>
  <c r="F1816" i="2"/>
  <c r="K1816" i="2" s="1"/>
  <c r="K1851" i="2"/>
  <c r="J1851" i="2"/>
  <c r="H1851" i="2" s="1"/>
  <c r="F1863" i="2"/>
  <c r="I1863" i="2" s="1"/>
  <c r="F1882" i="2"/>
  <c r="K1882" i="2" s="1"/>
  <c r="F1939" i="2"/>
  <c r="I1939" i="2" s="1"/>
  <c r="G1939" i="2"/>
  <c r="K1965" i="2"/>
  <c r="J1965" i="2"/>
  <c r="H1965" i="2" s="1"/>
  <c r="I1965" i="2"/>
  <c r="J1999" i="2"/>
  <c r="H1999" i="2" s="1"/>
  <c r="I1999" i="2"/>
  <c r="K1999" i="2"/>
  <c r="G1999" i="2"/>
  <c r="F2002" i="2"/>
  <c r="I2002" i="2" s="1"/>
  <c r="G2212" i="2"/>
  <c r="F2212" i="2"/>
  <c r="G2285" i="2"/>
  <c r="F2285" i="2"/>
  <c r="K2285" i="2" s="1"/>
  <c r="J2297" i="2"/>
  <c r="H2297" i="2" s="1"/>
  <c r="I2297" i="2"/>
  <c r="K2297" i="2"/>
  <c r="G2304" i="2"/>
  <c r="F2304" i="2"/>
  <c r="J2304" i="2" s="1"/>
  <c r="H2304" i="2" s="1"/>
  <c r="K2369" i="2"/>
  <c r="J2369" i="2"/>
  <c r="H2369" i="2" s="1"/>
  <c r="I2369" i="2"/>
  <c r="K2372" i="2"/>
  <c r="J2372" i="2"/>
  <c r="H2372" i="2" s="1"/>
  <c r="I2372" i="2"/>
  <c r="G2372" i="2"/>
  <c r="G2475" i="2"/>
  <c r="F2475" i="2"/>
  <c r="J2475" i="2" s="1"/>
  <c r="H2475" i="2" s="1"/>
  <c r="G2531" i="2"/>
  <c r="F2531" i="2"/>
  <c r="I2531" i="2" s="1"/>
  <c r="K1844" i="2"/>
  <c r="J1844" i="2"/>
  <c r="H1844" i="2" s="1"/>
  <c r="G1878" i="2"/>
  <c r="I1878" i="2"/>
  <c r="I1905" i="2"/>
  <c r="J1905" i="2"/>
  <c r="H1905" i="2" s="1"/>
  <c r="K1905" i="2"/>
  <c r="G1948" i="2"/>
  <c r="F1948" i="2"/>
  <c r="J1948" i="2" s="1"/>
  <c r="H1948" i="2" s="1"/>
  <c r="G1962" i="2"/>
  <c r="F1962" i="2"/>
  <c r="J1962" i="2" s="1"/>
  <c r="H1962" i="2" s="1"/>
  <c r="G1990" i="2"/>
  <c r="G1993" i="2"/>
  <c r="F1993" i="2"/>
  <c r="I1993" i="2" s="1"/>
  <c r="J2067" i="2"/>
  <c r="H2067" i="2" s="1"/>
  <c r="I2067" i="2"/>
  <c r="G2073" i="2"/>
  <c r="F2073" i="2"/>
  <c r="I2073" i="2" s="1"/>
  <c r="I1699" i="2"/>
  <c r="G1699" i="2"/>
  <c r="K1699" i="2"/>
  <c r="J1699" i="2"/>
  <c r="H1699" i="2" s="1"/>
  <c r="J1720" i="2"/>
  <c r="H1720" i="2" s="1"/>
  <c r="I1720" i="2"/>
  <c r="K1720" i="2"/>
  <c r="F1756" i="2"/>
  <c r="J1756" i="2" s="1"/>
  <c r="H1756" i="2" s="1"/>
  <c r="F1794" i="2"/>
  <c r="K1797" i="2"/>
  <c r="J1797" i="2"/>
  <c r="H1797" i="2" s="1"/>
  <c r="I1797" i="2"/>
  <c r="G1797" i="2"/>
  <c r="F1870" i="2"/>
  <c r="I1870" i="2" s="1"/>
  <c r="G1870" i="2"/>
  <c r="F1932" i="2"/>
  <c r="K1932" i="2" s="1"/>
  <c r="J1957" i="2"/>
  <c r="H1957" i="2" s="1"/>
  <c r="F1990" i="2"/>
  <c r="I1990" i="2" s="1"/>
  <c r="F2000" i="2"/>
  <c r="K2000" i="2" s="1"/>
  <c r="J2017" i="2"/>
  <c r="H2017" i="2" s="1"/>
  <c r="K2017" i="2"/>
  <c r="G2198" i="2"/>
  <c r="F2198" i="2"/>
  <c r="J2198" i="2" s="1"/>
  <c r="H2198" i="2" s="1"/>
  <c r="G2233" i="2"/>
  <c r="F2233" i="2"/>
  <c r="I2233" i="2" s="1"/>
  <c r="I2476" i="2"/>
  <c r="J2476" i="2"/>
  <c r="H2476" i="2" s="1"/>
  <c r="G1748" i="2"/>
  <c r="F1748" i="2"/>
  <c r="J1748" i="2" s="1"/>
  <c r="H1748" i="2" s="1"/>
  <c r="G1825" i="2"/>
  <c r="F1825" i="2"/>
  <c r="J1825" i="2" s="1"/>
  <c r="H1825" i="2" s="1"/>
  <c r="G1848" i="2"/>
  <c r="F1848" i="2"/>
  <c r="J1848" i="2" s="1"/>
  <c r="H1848" i="2" s="1"/>
  <c r="J1875" i="2"/>
  <c r="H1875" i="2" s="1"/>
  <c r="I1883" i="2"/>
  <c r="K1883" i="2"/>
  <c r="J1883" i="2"/>
  <c r="H1883" i="2" s="1"/>
  <c r="F1928" i="2"/>
  <c r="J1928" i="2" s="1"/>
  <c r="H1928" i="2" s="1"/>
  <c r="K1957" i="2"/>
  <c r="F1991" i="2"/>
  <c r="G2028" i="2"/>
  <c r="K2067" i="2"/>
  <c r="G2107" i="2"/>
  <c r="F2107" i="2"/>
  <c r="I2107" i="2" s="1"/>
  <c r="G2164" i="2"/>
  <c r="G2189" i="2"/>
  <c r="F2189" i="2"/>
  <c r="I2189" i="2" s="1"/>
  <c r="G2245" i="2"/>
  <c r="F2245" i="2"/>
  <c r="I2245" i="2" s="1"/>
  <c r="K2299" i="2"/>
  <c r="J2299" i="2"/>
  <c r="H2299" i="2" s="1"/>
  <c r="I2299" i="2"/>
  <c r="G2332" i="2"/>
  <c r="G2357" i="2"/>
  <c r="G2365" i="2"/>
  <c r="F2365" i="2"/>
  <c r="J2365" i="2" s="1"/>
  <c r="H2365" i="2" s="1"/>
  <c r="G2374" i="2"/>
  <c r="F2374" i="2"/>
  <c r="I2374" i="2" s="1"/>
  <c r="G2425" i="2"/>
  <c r="F2425" i="2"/>
  <c r="I2425" i="2" s="1"/>
  <c r="J1723" i="2"/>
  <c r="I1791" i="2"/>
  <c r="F1820" i="2"/>
  <c r="I1820" i="2" s="1"/>
  <c r="I1844" i="2"/>
  <c r="G1958" i="2"/>
  <c r="F1958" i="2"/>
  <c r="K1958" i="2" s="1"/>
  <c r="G1972" i="2"/>
  <c r="F1972" i="2"/>
  <c r="F1981" i="2"/>
  <c r="F1988" i="2"/>
  <c r="J1988" i="2" s="1"/>
  <c r="H1988" i="2" s="1"/>
  <c r="F2018" i="2"/>
  <c r="K2018" i="2" s="1"/>
  <c r="F2028" i="2"/>
  <c r="J2028" i="2" s="1"/>
  <c r="H2028" i="2" s="1"/>
  <c r="K2055" i="2"/>
  <c r="J2055" i="2"/>
  <c r="F2164" i="2"/>
  <c r="F2230" i="2"/>
  <c r="I2230" i="2" s="1"/>
  <c r="F2276" i="2"/>
  <c r="F2332" i="2"/>
  <c r="K2332" i="2" s="1"/>
  <c r="F2337" i="2"/>
  <c r="K2337" i="2" s="1"/>
  <c r="G2337" i="2"/>
  <c r="F2357" i="2"/>
  <c r="J2357" i="2" s="1"/>
  <c r="H2357" i="2" s="1"/>
  <c r="F2464" i="2"/>
  <c r="J2464" i="2" s="1"/>
  <c r="H2464" i="2" s="1"/>
  <c r="G1770" i="2"/>
  <c r="F1770" i="2"/>
  <c r="K1770" i="2" s="1"/>
  <c r="J1791" i="2"/>
  <c r="H1791" i="2" s="1"/>
  <c r="K1795" i="2"/>
  <c r="J1795" i="2"/>
  <c r="H1795" i="2" s="1"/>
  <c r="I1795" i="2"/>
  <c r="F1806" i="2"/>
  <c r="K1806" i="2" s="1"/>
  <c r="G1811" i="2"/>
  <c r="F1811" i="2"/>
  <c r="I1811" i="2" s="1"/>
  <c r="F1818" i="2"/>
  <c r="K1818" i="2" s="1"/>
  <c r="F1821" i="2"/>
  <c r="J1821" i="2" s="1"/>
  <c r="H1821" i="2" s="1"/>
  <c r="F1830" i="2"/>
  <c r="F1832" i="2"/>
  <c r="I1832" i="2" s="1"/>
  <c r="G1858" i="2"/>
  <c r="F1858" i="2"/>
  <c r="I1858" i="2" s="1"/>
  <c r="G1884" i="2"/>
  <c r="F1884" i="2"/>
  <c r="J1884" i="2" s="1"/>
  <c r="H1884" i="2" s="1"/>
  <c r="F1903" i="2"/>
  <c r="K1903" i="2" s="1"/>
  <c r="F1915" i="2"/>
  <c r="G1915" i="2"/>
  <c r="G1929" i="2"/>
  <c r="F1929" i="2"/>
  <c r="K1929" i="2" s="1"/>
  <c r="G1953" i="2"/>
  <c r="F1953" i="2"/>
  <c r="I1953" i="2" s="1"/>
  <c r="F1976" i="2"/>
  <c r="G1988" i="2"/>
  <c r="G2018" i="2"/>
  <c r="K2023" i="2"/>
  <c r="J2023" i="2"/>
  <c r="H2023" i="2" s="1"/>
  <c r="I2023" i="2"/>
  <c r="F2096" i="2"/>
  <c r="G2174" i="2"/>
  <c r="F2174" i="2"/>
  <c r="I2174" i="2" s="1"/>
  <c r="I2219" i="2"/>
  <c r="K2219" i="2"/>
  <c r="J2219" i="2"/>
  <c r="H2219" i="2" s="1"/>
  <c r="G2227" i="2"/>
  <c r="F2227" i="2"/>
  <c r="K2227" i="2" s="1"/>
  <c r="G2246" i="2"/>
  <c r="F2246" i="2"/>
  <c r="K2246" i="2" s="1"/>
  <c r="G2421" i="2"/>
  <c r="G2464" i="2"/>
  <c r="G1083" i="2"/>
  <c r="G1108" i="2"/>
  <c r="F1108" i="2"/>
  <c r="K1108" i="2" s="1"/>
  <c r="G1139" i="2"/>
  <c r="G1209" i="2"/>
  <c r="G1270" i="2"/>
  <c r="F1270" i="2"/>
  <c r="I1270" i="2" s="1"/>
  <c r="G1327" i="2"/>
  <c r="F1355" i="2"/>
  <c r="K1355" i="2" s="1"/>
  <c r="G1374" i="2"/>
  <c r="F1374" i="2"/>
  <c r="G1379" i="2"/>
  <c r="F1379" i="2"/>
  <c r="K1379" i="2" s="1"/>
  <c r="F1404" i="2"/>
  <c r="G1457" i="2"/>
  <c r="F1457" i="2"/>
  <c r="F1574" i="2"/>
  <c r="I1574" i="2" s="1"/>
  <c r="F1611" i="2"/>
  <c r="I1611" i="2" s="1"/>
  <c r="F1644" i="2"/>
  <c r="J1644" i="2" s="1"/>
  <c r="H1644" i="2" s="1"/>
  <c r="G1704" i="2"/>
  <c r="G1716" i="2"/>
  <c r="F1716" i="2"/>
  <c r="I1716" i="2" s="1"/>
  <c r="J1729" i="2"/>
  <c r="H1729" i="2" s="1"/>
  <c r="I1729" i="2"/>
  <c r="K1732" i="2"/>
  <c r="J1732" i="2"/>
  <c r="H1732" i="2" s="1"/>
  <c r="I1732" i="2"/>
  <c r="G1758" i="2"/>
  <c r="F1758" i="2"/>
  <c r="I1758" i="2" s="1"/>
  <c r="F1765" i="2"/>
  <c r="K1765" i="2" s="1"/>
  <c r="G1806" i="2"/>
  <c r="G1818" i="2"/>
  <c r="G1821" i="2"/>
  <c r="G1830" i="2"/>
  <c r="G1832" i="2"/>
  <c r="J1839" i="2"/>
  <c r="H1839" i="2" s="1"/>
  <c r="K1842" i="2"/>
  <c r="J1842" i="2"/>
  <c r="H1842" i="2" s="1"/>
  <c r="G1890" i="2"/>
  <c r="F1890" i="2"/>
  <c r="I1890" i="2" s="1"/>
  <c r="G1976" i="2"/>
  <c r="G1979" i="2"/>
  <c r="G2015" i="2"/>
  <c r="F2015" i="2"/>
  <c r="J2015" i="2" s="1"/>
  <c r="H2015" i="2" s="1"/>
  <c r="F2033" i="2"/>
  <c r="G2033" i="2"/>
  <c r="F2168" i="2"/>
  <c r="I2168" i="2" s="1"/>
  <c r="G2171" i="2"/>
  <c r="F2171" i="2"/>
  <c r="J2171" i="2" s="1"/>
  <c r="H2171" i="2" s="1"/>
  <c r="G2208" i="2"/>
  <c r="F2208" i="2"/>
  <c r="J2208" i="2" s="1"/>
  <c r="H2208" i="2" s="1"/>
  <c r="G2258" i="2"/>
  <c r="F2258" i="2"/>
  <c r="F2270" i="2"/>
  <c r="J2270" i="2" s="1"/>
  <c r="H2270" i="2" s="1"/>
  <c r="G2333" i="2"/>
  <c r="F2333" i="2"/>
  <c r="K2333" i="2" s="1"/>
  <c r="G2400" i="2"/>
  <c r="F2400" i="2"/>
  <c r="J2400" i="2" s="1"/>
  <c r="H2400" i="2" s="1"/>
  <c r="F2421" i="2"/>
  <c r="F356" i="2"/>
  <c r="F366" i="2"/>
  <c r="F380" i="2"/>
  <c r="F390" i="2"/>
  <c r="F402" i="2"/>
  <c r="F412" i="2"/>
  <c r="F422" i="2"/>
  <c r="F432" i="2"/>
  <c r="F444" i="2"/>
  <c r="F456" i="2"/>
  <c r="F466" i="2"/>
  <c r="F478" i="2"/>
  <c r="F490" i="2"/>
  <c r="F502" i="2"/>
  <c r="F514" i="2"/>
  <c r="F526" i="2"/>
  <c r="F540" i="2"/>
  <c r="F552" i="2"/>
  <c r="F564" i="2"/>
  <c r="F576" i="2"/>
  <c r="F586" i="2"/>
  <c r="F598" i="2"/>
  <c r="F610" i="2"/>
  <c r="F620" i="2"/>
  <c r="F634" i="2"/>
  <c r="F646" i="2"/>
  <c r="F656" i="2"/>
  <c r="F666" i="2"/>
  <c r="F676" i="2"/>
  <c r="F700" i="2"/>
  <c r="F712" i="2"/>
  <c r="F722" i="2"/>
  <c r="F734" i="2"/>
  <c r="F746" i="2"/>
  <c r="F756" i="2"/>
  <c r="F768" i="2"/>
  <c r="F780" i="2"/>
  <c r="F792" i="2"/>
  <c r="F802" i="2"/>
  <c r="F814" i="2"/>
  <c r="F826" i="2"/>
  <c r="F836" i="2"/>
  <c r="F846" i="2"/>
  <c r="F858" i="2"/>
  <c r="F870" i="2"/>
  <c r="F880" i="2"/>
  <c r="F894" i="2"/>
  <c r="F904" i="2"/>
  <c r="F914" i="2"/>
  <c r="F926" i="2"/>
  <c r="F938" i="2"/>
  <c r="F948" i="2"/>
  <c r="F960" i="2"/>
  <c r="F972" i="2"/>
  <c r="F982" i="2"/>
  <c r="F994" i="2"/>
  <c r="F1006" i="2"/>
  <c r="F1018" i="2"/>
  <c r="F1032" i="2"/>
  <c r="F1044" i="2"/>
  <c r="F1047" i="2"/>
  <c r="I1047" i="2" s="1"/>
  <c r="F1056" i="2"/>
  <c r="K1056" i="2" s="1"/>
  <c r="F1083" i="2"/>
  <c r="K1083" i="2" s="1"/>
  <c r="F1087" i="2"/>
  <c r="F1091" i="2"/>
  <c r="F1112" i="2"/>
  <c r="K1112" i="2" s="1"/>
  <c r="F1118" i="2"/>
  <c r="I1118" i="2" s="1"/>
  <c r="F1122" i="2"/>
  <c r="F1139" i="2"/>
  <c r="K1139" i="2" s="1"/>
  <c r="F1145" i="2"/>
  <c r="K1145" i="2" s="1"/>
  <c r="F1149" i="2"/>
  <c r="F1167" i="2"/>
  <c r="K1167" i="2" s="1"/>
  <c r="G1190" i="2"/>
  <c r="F1190" i="2"/>
  <c r="K1190" i="2" s="1"/>
  <c r="F1209" i="2"/>
  <c r="I1209" i="2" s="1"/>
  <c r="F1222" i="2"/>
  <c r="I1222" i="2" s="1"/>
  <c r="G1243" i="2"/>
  <c r="G1260" i="2"/>
  <c r="F1262" i="2"/>
  <c r="K1262" i="2" s="1"/>
  <c r="F1283" i="2"/>
  <c r="K1283" i="2" s="1"/>
  <c r="G1306" i="2"/>
  <c r="F1306" i="2"/>
  <c r="K1306" i="2" s="1"/>
  <c r="F1327" i="2"/>
  <c r="I1327" i="2" s="1"/>
  <c r="F1338" i="2"/>
  <c r="I1338" i="2" s="1"/>
  <c r="K1345" i="2"/>
  <c r="J1345" i="2"/>
  <c r="H1345" i="2" s="1"/>
  <c r="I1345" i="2"/>
  <c r="G1348" i="2"/>
  <c r="G1355" i="2"/>
  <c r="G1365" i="2"/>
  <c r="F1377" i="2"/>
  <c r="K1377" i="2" s="1"/>
  <c r="G1399" i="2"/>
  <c r="F1399" i="2"/>
  <c r="J1399" i="2" s="1"/>
  <c r="H1399" i="2" s="1"/>
  <c r="G1438" i="2"/>
  <c r="F1438" i="2"/>
  <c r="K1438" i="2" s="1"/>
  <c r="F1458" i="2"/>
  <c r="I1458" i="2" s="1"/>
  <c r="G1479" i="2"/>
  <c r="F1479" i="2"/>
  <c r="K1479" i="2" s="1"/>
  <c r="G1548" i="2"/>
  <c r="F1548" i="2"/>
  <c r="G1574" i="2"/>
  <c r="G1577" i="2"/>
  <c r="F1604" i="2"/>
  <c r="K1604" i="2" s="1"/>
  <c r="F1612" i="2"/>
  <c r="G1612" i="2"/>
  <c r="J1615" i="2"/>
  <c r="H1615" i="2" s="1"/>
  <c r="I1615" i="2"/>
  <c r="F1704" i="2"/>
  <c r="I1704" i="2" s="1"/>
  <c r="J1713" i="2"/>
  <c r="H1713" i="2" s="1"/>
  <c r="I1735" i="2"/>
  <c r="K1735" i="2"/>
  <c r="J1741" i="2"/>
  <c r="J1789" i="2"/>
  <c r="G1792" i="2"/>
  <c r="F1792" i="2"/>
  <c r="J1792" i="2" s="1"/>
  <c r="H1792" i="2" s="1"/>
  <c r="G1815" i="2"/>
  <c r="F1846" i="2"/>
  <c r="G1916" i="2"/>
  <c r="F1916" i="2"/>
  <c r="I1916" i="2" s="1"/>
  <c r="F1979" i="2"/>
  <c r="K1979" i="2" s="1"/>
  <c r="G1983" i="2"/>
  <c r="F1983" i="2"/>
  <c r="I1983" i="2" s="1"/>
  <c r="J2056" i="2"/>
  <c r="H2056" i="2" s="1"/>
  <c r="K2056" i="2"/>
  <c r="F2082" i="2"/>
  <c r="I2082" i="2" s="1"/>
  <c r="F2125" i="2"/>
  <c r="J2125" i="2" s="1"/>
  <c r="H2125" i="2" s="1"/>
  <c r="F2165" i="2"/>
  <c r="G2168" i="2"/>
  <c r="G2184" i="2"/>
  <c r="F2184" i="2"/>
  <c r="K2184" i="2" s="1"/>
  <c r="G2270" i="2"/>
  <c r="F2376" i="2"/>
  <c r="K2376" i="2" s="1"/>
  <c r="G2376" i="2"/>
  <c r="G1047" i="2"/>
  <c r="G1056" i="2"/>
  <c r="J1072" i="2"/>
  <c r="G1091" i="2"/>
  <c r="I1093" i="2"/>
  <c r="G1093" i="2"/>
  <c r="K1097" i="2"/>
  <c r="I1097" i="2"/>
  <c r="G1112" i="2"/>
  <c r="G1120" i="2"/>
  <c r="F1120" i="2"/>
  <c r="J1124" i="2"/>
  <c r="H1124" i="2" s="1"/>
  <c r="I1124" i="2"/>
  <c r="G1145" i="2"/>
  <c r="I1151" i="2"/>
  <c r="G1151" i="2"/>
  <c r="I1155" i="2"/>
  <c r="I1163" i="2"/>
  <c r="K1163" i="2"/>
  <c r="G1163" i="2" s="1"/>
  <c r="G1167" i="2"/>
  <c r="K1176" i="2"/>
  <c r="J1176" i="2"/>
  <c r="H1176" i="2" s="1"/>
  <c r="F1184" i="2"/>
  <c r="K1184" i="2" s="1"/>
  <c r="K1195" i="2"/>
  <c r="F1201" i="2"/>
  <c r="J1216" i="2"/>
  <c r="H1216" i="2" s="1"/>
  <c r="I1216" i="2"/>
  <c r="G1224" i="2"/>
  <c r="F1224" i="2"/>
  <c r="J1224" i="2" s="1"/>
  <c r="H1224" i="2" s="1"/>
  <c r="K1237" i="2"/>
  <c r="J1237" i="2"/>
  <c r="H1237" i="2" s="1"/>
  <c r="I1237" i="2"/>
  <c r="F1243" i="2"/>
  <c r="J1243" i="2" s="1"/>
  <c r="H1243" i="2" s="1"/>
  <c r="F1256" i="2"/>
  <c r="G1262" i="2"/>
  <c r="I1279" i="2"/>
  <c r="G1279" i="2"/>
  <c r="K1279" i="2"/>
  <c r="G1283" i="2"/>
  <c r="K1294" i="2"/>
  <c r="J1294" i="2"/>
  <c r="H1294" i="2" s="1"/>
  <c r="G1298" i="2"/>
  <c r="F1300" i="2"/>
  <c r="F1321" i="2"/>
  <c r="J1321" i="2" s="1"/>
  <c r="H1321" i="2" s="1"/>
  <c r="J1334" i="2"/>
  <c r="H1334" i="2" s="1"/>
  <c r="I1334" i="2"/>
  <c r="G1338" i="2"/>
  <c r="I1343" i="2"/>
  <c r="F1365" i="2"/>
  <c r="J1365" i="2" s="1"/>
  <c r="H1365" i="2" s="1"/>
  <c r="K1368" i="2"/>
  <c r="J1368" i="2"/>
  <c r="H1368" i="2" s="1"/>
  <c r="I1368" i="2"/>
  <c r="G1377" i="2"/>
  <c r="G1386" i="2"/>
  <c r="F1386" i="2"/>
  <c r="K1386" i="2" s="1"/>
  <c r="J1397" i="2"/>
  <c r="H1397" i="2" s="1"/>
  <c r="I1397" i="2"/>
  <c r="I1402" i="2"/>
  <c r="J1420" i="2"/>
  <c r="H1420" i="2" s="1"/>
  <c r="I1420" i="2"/>
  <c r="K1420" i="2"/>
  <c r="F1423" i="2"/>
  <c r="F1441" i="2"/>
  <c r="K1441" i="2" s="1"/>
  <c r="K1449" i="2"/>
  <c r="J1449" i="2"/>
  <c r="H1449" i="2" s="1"/>
  <c r="I1449" i="2"/>
  <c r="I1455" i="2"/>
  <c r="G1458" i="2"/>
  <c r="I1464" i="2"/>
  <c r="K1474" i="2"/>
  <c r="J1474" i="2"/>
  <c r="H1474" i="2" s="1"/>
  <c r="F1476" i="2"/>
  <c r="J1476" i="2" s="1"/>
  <c r="H1476" i="2" s="1"/>
  <c r="K1516" i="2"/>
  <c r="J1516" i="2"/>
  <c r="H1516" i="2" s="1"/>
  <c r="I1516" i="2"/>
  <c r="G1516" i="2"/>
  <c r="F1519" i="2"/>
  <c r="K1519" i="2" s="1"/>
  <c r="F1522" i="2"/>
  <c r="J1522" i="2" s="1"/>
  <c r="H1522" i="2" s="1"/>
  <c r="G1535" i="2"/>
  <c r="F1535" i="2"/>
  <c r="I1535" i="2" s="1"/>
  <c r="J1556" i="2"/>
  <c r="H1556" i="2" s="1"/>
  <c r="I1556" i="2"/>
  <c r="K1556" i="2"/>
  <c r="G1556" i="2"/>
  <c r="F1561" i="2"/>
  <c r="J1561" i="2" s="1"/>
  <c r="H1561" i="2" s="1"/>
  <c r="F1577" i="2"/>
  <c r="I1577" i="2" s="1"/>
  <c r="J1594" i="2"/>
  <c r="H1594" i="2" s="1"/>
  <c r="I1594" i="2"/>
  <c r="G1604" i="2"/>
  <c r="I1606" i="2"/>
  <c r="K1659" i="2"/>
  <c r="I1663" i="2"/>
  <c r="F1714" i="2"/>
  <c r="K1714" i="2" s="1"/>
  <c r="J1725" i="2"/>
  <c r="H1725" i="2" s="1"/>
  <c r="I1725" i="2"/>
  <c r="K1725" i="2"/>
  <c r="K1729" i="2"/>
  <c r="G1785" i="2"/>
  <c r="F1785" i="2"/>
  <c r="I1785" i="2" s="1"/>
  <c r="G1804" i="2"/>
  <c r="F1804" i="2"/>
  <c r="F1815" i="2"/>
  <c r="F1827" i="2"/>
  <c r="I1827" i="2" s="1"/>
  <c r="G1846" i="2"/>
  <c r="F1910" i="2"/>
  <c r="I1910" i="2" s="1"/>
  <c r="F1913" i="2"/>
  <c r="I1913" i="2" s="1"/>
  <c r="J1973" i="2"/>
  <c r="G2082" i="2"/>
  <c r="G2125" i="2"/>
  <c r="F2264" i="2"/>
  <c r="I2264" i="2" s="1"/>
  <c r="G2312" i="2"/>
  <c r="F2312" i="2"/>
  <c r="I2312" i="2" s="1"/>
  <c r="G2391" i="2"/>
  <c r="F2391" i="2"/>
  <c r="I2391" i="2" s="1"/>
  <c r="I2445" i="2"/>
  <c r="J2445" i="2"/>
  <c r="H2445" i="2" s="1"/>
  <c r="K2445" i="2"/>
  <c r="J1373" i="2"/>
  <c r="K1388" i="2" s="1"/>
  <c r="G1385" i="2"/>
  <c r="F1385" i="2"/>
  <c r="K1492" i="2"/>
  <c r="J1492" i="2"/>
  <c r="H1492" i="2" s="1"/>
  <c r="K1511" i="2"/>
  <c r="I1532" i="2"/>
  <c r="F1540" i="2"/>
  <c r="J1540" i="2" s="1"/>
  <c r="H1540" i="2" s="1"/>
  <c r="J1553" i="2"/>
  <c r="I1553" i="2"/>
  <c r="I1595" i="2"/>
  <c r="G1595" i="2"/>
  <c r="K1595" i="2"/>
  <c r="K1625" i="2"/>
  <c r="J1648" i="2"/>
  <c r="H1648" i="2" s="1"/>
  <c r="I1648" i="2"/>
  <c r="J1654" i="2"/>
  <c r="H1654" i="2" s="1"/>
  <c r="K1668" i="2"/>
  <c r="J1668" i="2"/>
  <c r="H1668" i="2" s="1"/>
  <c r="I1668" i="2"/>
  <c r="F1698" i="2"/>
  <c r="I1698" i="2" s="1"/>
  <c r="G1731" i="2"/>
  <c r="F1731" i="2"/>
  <c r="I1731" i="2" s="1"/>
  <c r="J1743" i="2"/>
  <c r="H1743" i="2" s="1"/>
  <c r="I1743" i="2"/>
  <c r="F1763" i="2"/>
  <c r="K1763" i="2" s="1"/>
  <c r="J1829" i="2"/>
  <c r="H1829" i="2" s="1"/>
  <c r="I1829" i="2"/>
  <c r="F1836" i="2"/>
  <c r="I1836" i="2" s="1"/>
  <c r="J1841" i="2"/>
  <c r="K1867" i="2" s="1"/>
  <c r="I1841" i="2"/>
  <c r="I1865" i="2"/>
  <c r="G1865" i="2"/>
  <c r="K1865" i="2"/>
  <c r="J1865" i="2"/>
  <c r="H1865" i="2" s="1"/>
  <c r="F1904" i="2"/>
  <c r="G1904" i="2"/>
  <c r="G1941" i="2"/>
  <c r="F1941" i="2"/>
  <c r="J1941" i="2" s="1"/>
  <c r="H1941" i="2" s="1"/>
  <c r="G1944" i="2"/>
  <c r="F1944" i="2"/>
  <c r="I1944" i="2" s="1"/>
  <c r="G1964" i="2"/>
  <c r="F1964" i="2"/>
  <c r="J1964" i="2" s="1"/>
  <c r="H1964" i="2" s="1"/>
  <c r="K2040" i="2"/>
  <c r="J2040" i="2"/>
  <c r="H2040" i="2" s="1"/>
  <c r="I2040" i="2"/>
  <c r="G2040" i="2"/>
  <c r="I2154" i="2"/>
  <c r="G2154" i="2"/>
  <c r="J2154" i="2"/>
  <c r="H2154" i="2" s="1"/>
  <c r="J2173" i="2"/>
  <c r="I2173" i="2"/>
  <c r="J2225" i="2"/>
  <c r="H2225" i="2" s="1"/>
  <c r="I2225" i="2"/>
  <c r="K2225" i="2"/>
  <c r="G2371" i="2"/>
  <c r="F2371" i="2"/>
  <c r="J2371" i="2" s="1"/>
  <c r="H2371" i="2" s="1"/>
  <c r="G2472" i="2"/>
  <c r="F2472" i="2"/>
  <c r="J2472" i="2" s="1"/>
  <c r="H2472" i="2" s="1"/>
  <c r="J2692" i="2"/>
  <c r="K2725" i="2" s="1"/>
  <c r="I2692" i="2"/>
  <c r="G2699" i="2"/>
  <c r="F2699" i="2"/>
  <c r="G2737" i="2"/>
  <c r="F2737" i="2"/>
  <c r="I2737" i="2" s="1"/>
  <c r="G2413" i="2"/>
  <c r="F2413" i="2"/>
  <c r="J2413" i="2" s="1"/>
  <c r="H2413" i="2" s="1"/>
  <c r="G2447" i="2"/>
  <c r="F2447" i="2"/>
  <c r="K2447" i="2" s="1"/>
  <c r="F2689" i="2"/>
  <c r="K2689" i="2" s="1"/>
  <c r="G2689" i="2"/>
  <c r="F1349" i="2"/>
  <c r="I1349" i="2" s="1"/>
  <c r="G1518" i="2"/>
  <c r="F1518" i="2"/>
  <c r="I1518" i="2" s="1"/>
  <c r="G1573" i="2"/>
  <c r="G1632" i="2"/>
  <c r="F1632" i="2"/>
  <c r="J1632" i="2" s="1"/>
  <c r="H1632" i="2" s="1"/>
  <c r="F1705" i="2"/>
  <c r="K1705" i="2" s="1"/>
  <c r="G1778" i="2"/>
  <c r="F1778" i="2"/>
  <c r="I1778" i="2" s="1"/>
  <c r="J1783" i="2"/>
  <c r="H1783" i="2" s="1"/>
  <c r="I1783" i="2"/>
  <c r="G1813" i="2"/>
  <c r="G1828" i="2"/>
  <c r="F1828" i="2"/>
  <c r="K1828" i="2" s="1"/>
  <c r="G1850" i="2"/>
  <c r="F1850" i="2"/>
  <c r="K1850" i="2" s="1"/>
  <c r="G1877" i="2"/>
  <c r="G1902" i="2"/>
  <c r="F1902" i="2"/>
  <c r="J1902" i="2" s="1"/>
  <c r="H1902" i="2" s="1"/>
  <c r="F1943" i="2"/>
  <c r="K1943" i="2" s="1"/>
  <c r="G1974" i="2"/>
  <c r="F1974" i="2"/>
  <c r="I1974" i="2" s="1"/>
  <c r="J2061" i="2"/>
  <c r="H2061" i="2" s="1"/>
  <c r="G2142" i="2"/>
  <c r="F2142" i="2"/>
  <c r="I2142" i="2" s="1"/>
  <c r="G2221" i="2"/>
  <c r="F2224" i="2"/>
  <c r="K2224" i="2" s="1"/>
  <c r="F2330" i="2"/>
  <c r="I2330" i="2" s="1"/>
  <c r="J2355" i="2"/>
  <c r="H2355" i="2" s="1"/>
  <c r="I2355" i="2"/>
  <c r="F2378" i="2"/>
  <c r="I2378" i="2" s="1"/>
  <c r="G2410" i="2"/>
  <c r="F2410" i="2"/>
  <c r="J2410" i="2" s="1"/>
  <c r="H2410" i="2" s="1"/>
  <c r="J2432" i="2"/>
  <c r="H2432" i="2" s="1"/>
  <c r="K2432" i="2"/>
  <c r="F1079" i="2"/>
  <c r="F1089" i="2"/>
  <c r="F1099" i="2"/>
  <c r="F1111" i="2"/>
  <c r="F1123" i="2"/>
  <c r="F1135" i="2"/>
  <c r="F1147" i="2"/>
  <c r="F1157" i="2"/>
  <c r="F1169" i="2"/>
  <c r="F1183" i="2"/>
  <c r="F1193" i="2"/>
  <c r="F1205" i="2"/>
  <c r="F1215" i="2"/>
  <c r="F1229" i="2"/>
  <c r="F1239" i="2"/>
  <c r="F1249" i="2"/>
  <c r="F1261" i="2"/>
  <c r="F1273" i="2"/>
  <c r="F1287" i="2"/>
  <c r="F1299" i="2"/>
  <c r="F1309" i="2"/>
  <c r="F1323" i="2"/>
  <c r="F1333" i="2"/>
  <c r="F1344" i="2"/>
  <c r="F1353" i="2"/>
  <c r="G1440" i="2"/>
  <c r="F1440" i="2"/>
  <c r="I1440" i="2" s="1"/>
  <c r="G1469" i="2"/>
  <c r="F1510" i="2"/>
  <c r="K1510" i="2" s="1"/>
  <c r="F1529" i="2"/>
  <c r="J1529" i="2" s="1"/>
  <c r="H1529" i="2" s="1"/>
  <c r="G1551" i="2"/>
  <c r="F1551" i="2"/>
  <c r="F1573" i="2"/>
  <c r="I1573" i="2" s="1"/>
  <c r="F1586" i="2"/>
  <c r="I1586" i="2" s="1"/>
  <c r="G1607" i="2"/>
  <c r="G1622" i="2"/>
  <c r="K1624" i="2"/>
  <c r="F1645" i="2"/>
  <c r="G1666" i="2"/>
  <c r="F1666" i="2"/>
  <c r="K1666" i="2" s="1"/>
  <c r="J1679" i="2"/>
  <c r="F1681" i="2"/>
  <c r="K1681" i="2" s="1"/>
  <c r="G1688" i="2"/>
  <c r="F1688" i="2"/>
  <c r="I1688" i="2" s="1"/>
  <c r="G1700" i="2"/>
  <c r="F1700" i="2"/>
  <c r="G1705" i="2"/>
  <c r="G1707" i="2"/>
  <c r="F1771" i="2"/>
  <c r="J1771" i="2" s="1"/>
  <c r="H1771" i="2" s="1"/>
  <c r="K1788" i="2"/>
  <c r="J1788" i="2"/>
  <c r="H1788" i="2" s="1"/>
  <c r="F1800" i="2"/>
  <c r="I1800" i="2" s="1"/>
  <c r="F1813" i="2"/>
  <c r="K1813" i="2" s="1"/>
  <c r="I1835" i="2"/>
  <c r="F1877" i="2"/>
  <c r="J1877" i="2" s="1"/>
  <c r="H1877" i="2" s="1"/>
  <c r="F1888" i="2"/>
  <c r="K1888" i="2" s="1"/>
  <c r="F1900" i="2"/>
  <c r="I1900" i="2" s="1"/>
  <c r="G1925" i="2"/>
  <c r="K1967" i="2"/>
  <c r="G2006" i="2"/>
  <c r="F2006" i="2"/>
  <c r="I2006" i="2" s="1"/>
  <c r="F2009" i="2"/>
  <c r="G2020" i="2"/>
  <c r="F2020" i="2"/>
  <c r="K2020" i="2" s="1"/>
  <c r="F2057" i="2"/>
  <c r="K2057" i="2" s="1"/>
  <c r="K2185" i="2"/>
  <c r="I2185" i="2"/>
  <c r="G2202" i="2"/>
  <c r="F2221" i="2"/>
  <c r="J2221" i="2" s="1"/>
  <c r="H2221" i="2" s="1"/>
  <c r="G2224" i="2"/>
  <c r="G2231" i="2"/>
  <c r="G2290" i="2"/>
  <c r="F2290" i="2"/>
  <c r="J2290" i="2" s="1"/>
  <c r="H2290" i="2" s="1"/>
  <c r="F2310" i="2"/>
  <c r="I2310" i="2" s="1"/>
  <c r="G2330" i="2"/>
  <c r="G2507" i="2"/>
  <c r="F2507" i="2"/>
  <c r="I2507" i="2" s="1"/>
  <c r="K2606" i="2"/>
  <c r="J2606" i="2"/>
  <c r="H2606" i="2" s="1"/>
  <c r="F1339" i="2"/>
  <c r="I1367" i="2"/>
  <c r="F1376" i="2"/>
  <c r="K1376" i="2" s="1"/>
  <c r="K1383" i="2"/>
  <c r="J1383" i="2"/>
  <c r="H1383" i="2" s="1"/>
  <c r="F1390" i="2"/>
  <c r="I1390" i="2" s="1"/>
  <c r="F1413" i="2"/>
  <c r="I1413" i="2" s="1"/>
  <c r="F1417" i="2"/>
  <c r="K1417" i="2" s="1"/>
  <c r="F1421" i="2"/>
  <c r="K1421" i="2" s="1"/>
  <c r="F1444" i="2"/>
  <c r="K1444" i="2" s="1"/>
  <c r="F1448" i="2"/>
  <c r="I1448" i="2" s="1"/>
  <c r="F1469" i="2"/>
  <c r="F1473" i="2"/>
  <c r="F1477" i="2"/>
  <c r="K1477" i="2" s="1"/>
  <c r="K1485" i="2"/>
  <c r="J1485" i="2"/>
  <c r="H1485" i="2" s="1"/>
  <c r="I1485" i="2"/>
  <c r="F1491" i="2"/>
  <c r="J1491" i="2" s="1"/>
  <c r="H1491" i="2" s="1"/>
  <c r="F1504" i="2"/>
  <c r="I1504" i="2" s="1"/>
  <c r="G1510" i="2"/>
  <c r="I1525" i="2"/>
  <c r="G1525" i="2"/>
  <c r="K1525" i="2"/>
  <c r="G1529" i="2"/>
  <c r="J1538" i="2"/>
  <c r="K1608" i="2" s="1"/>
  <c r="F1544" i="2"/>
  <c r="K1544" i="2" s="1"/>
  <c r="K1557" i="2"/>
  <c r="K1565" i="2"/>
  <c r="J1582" i="2"/>
  <c r="H1582" i="2" s="1"/>
  <c r="I1582" i="2"/>
  <c r="G1586" i="2"/>
  <c r="G1588" i="2"/>
  <c r="F1588" i="2"/>
  <c r="J1588" i="2" s="1"/>
  <c r="H1588" i="2" s="1"/>
  <c r="K1599" i="2"/>
  <c r="J1599" i="2"/>
  <c r="H1599" i="2" s="1"/>
  <c r="I1599" i="2"/>
  <c r="F1607" i="2"/>
  <c r="J1607" i="2" s="1"/>
  <c r="H1607" i="2" s="1"/>
  <c r="F1618" i="2"/>
  <c r="G1624" i="2"/>
  <c r="I1639" i="2"/>
  <c r="G1639" i="2"/>
  <c r="K1639" i="2"/>
  <c r="G1645" i="2"/>
  <c r="K1652" i="2"/>
  <c r="J1652" i="2"/>
  <c r="H1652" i="2" s="1"/>
  <c r="G1656" i="2"/>
  <c r="F1658" i="2"/>
  <c r="K1658" i="2" s="1"/>
  <c r="K1673" i="2"/>
  <c r="G1681" i="2"/>
  <c r="K1684" i="2"/>
  <c r="J1684" i="2"/>
  <c r="H1684" i="2" s="1"/>
  <c r="F1694" i="2"/>
  <c r="I1694" i="2" s="1"/>
  <c r="F1707" i="2"/>
  <c r="K1707" i="2" s="1"/>
  <c r="G1710" i="2"/>
  <c r="F1710" i="2"/>
  <c r="G1740" i="2"/>
  <c r="F1740" i="2"/>
  <c r="J1740" i="2" s="1"/>
  <c r="H1740" i="2" s="1"/>
  <c r="I1757" i="2"/>
  <c r="G1757" i="2"/>
  <c r="K1757" i="2"/>
  <c r="K1760" i="2"/>
  <c r="I1762" i="2"/>
  <c r="K1762" i="2"/>
  <c r="J1762" i="2"/>
  <c r="H1762" i="2" s="1"/>
  <c r="G1762" i="2"/>
  <c r="K1769" i="2"/>
  <c r="J1769" i="2"/>
  <c r="H1769" i="2" s="1"/>
  <c r="I1769" i="2"/>
  <c r="J1776" i="2"/>
  <c r="H1776" i="2" s="1"/>
  <c r="I1776" i="2"/>
  <c r="K1779" i="2"/>
  <c r="F1781" i="2"/>
  <c r="K1783" i="2"/>
  <c r="G1800" i="2"/>
  <c r="F1814" i="2"/>
  <c r="I1814" i="2" s="1"/>
  <c r="I1843" i="2"/>
  <c r="K1853" i="2"/>
  <c r="J1853" i="2"/>
  <c r="H1853" i="2" s="1"/>
  <c r="I1853" i="2"/>
  <c r="F1860" i="2"/>
  <c r="K1860" i="2" s="1"/>
  <c r="I1867" i="2"/>
  <c r="F1881" i="2"/>
  <c r="I1881" i="2" s="1"/>
  <c r="G1888" i="2"/>
  <c r="F1894" i="2"/>
  <c r="J1896" i="2"/>
  <c r="H1896" i="2" s="1"/>
  <c r="I1896" i="2"/>
  <c r="G1900" i="2"/>
  <c r="J1911" i="2"/>
  <c r="H1911" i="2" s="1"/>
  <c r="I1911" i="2"/>
  <c r="F1925" i="2"/>
  <c r="I1925" i="2" s="1"/>
  <c r="K1935" i="2"/>
  <c r="I1935" i="2"/>
  <c r="J1951" i="2"/>
  <c r="H1951" i="2" s="1"/>
  <c r="I1951" i="2"/>
  <c r="K1951" i="2"/>
  <c r="G1985" i="2"/>
  <c r="F1985" i="2"/>
  <c r="K1985" i="2" s="1"/>
  <c r="F1997" i="2"/>
  <c r="K1997" i="2" s="1"/>
  <c r="G2009" i="2"/>
  <c r="G2057" i="2"/>
  <c r="J2092" i="2"/>
  <c r="H2092" i="2" s="1"/>
  <c r="I2092" i="2"/>
  <c r="K2092" i="2"/>
  <c r="G2113" i="2"/>
  <c r="F2113" i="2"/>
  <c r="J2113" i="2" s="1"/>
  <c r="H2113" i="2" s="1"/>
  <c r="F2202" i="2"/>
  <c r="I2202" i="2" s="1"/>
  <c r="F2231" i="2"/>
  <c r="J2231" i="2" s="1"/>
  <c r="H2231" i="2" s="1"/>
  <c r="I2275" i="2"/>
  <c r="K2275" i="2"/>
  <c r="G2293" i="2"/>
  <c r="F2293" i="2"/>
  <c r="K2320" i="2"/>
  <c r="J2320" i="2"/>
  <c r="H2320" i="2" s="1"/>
  <c r="I2320" i="2"/>
  <c r="I2322" i="2"/>
  <c r="G2322" i="2"/>
  <c r="J2322" i="2"/>
  <c r="H2322" i="2" s="1"/>
  <c r="I2331" i="2"/>
  <c r="K2331" i="2"/>
  <c r="G2395" i="2"/>
  <c r="F2395" i="2"/>
  <c r="K2395" i="2" s="1"/>
  <c r="J2493" i="2"/>
  <c r="H2493" i="2" s="1"/>
  <c r="I2493" i="2"/>
  <c r="G2591" i="2"/>
  <c r="F2591" i="2"/>
  <c r="K2591" i="2" s="1"/>
  <c r="I1784" i="2"/>
  <c r="J1793" i="2"/>
  <c r="H1793" i="2" s="1"/>
  <c r="I1793" i="2"/>
  <c r="I1842" i="2"/>
  <c r="K1875" i="2"/>
  <c r="I1887" i="2"/>
  <c r="G1887" i="2"/>
  <c r="K1887" i="2"/>
  <c r="J1906" i="2"/>
  <c r="H1906" i="2" s="1"/>
  <c r="I1906" i="2"/>
  <c r="G1912" i="2"/>
  <c r="F1912" i="2"/>
  <c r="J1912" i="2" s="1"/>
  <c r="H1912" i="2" s="1"/>
  <c r="K1919" i="2"/>
  <c r="J1921" i="2"/>
  <c r="H1921" i="2" s="1"/>
  <c r="I1921" i="2"/>
  <c r="G1934" i="2"/>
  <c r="J1934" i="2"/>
  <c r="H1934" i="2" s="1"/>
  <c r="I1934" i="2"/>
  <c r="K2025" i="2"/>
  <c r="J2025" i="2"/>
  <c r="H2025" i="2" s="1"/>
  <c r="I2025" i="2"/>
  <c r="G2049" i="2"/>
  <c r="F2049" i="2"/>
  <c r="K2069" i="2"/>
  <c r="J2069" i="2"/>
  <c r="H2069" i="2" s="1"/>
  <c r="I2069" i="2"/>
  <c r="G2069" i="2"/>
  <c r="K2083" i="2"/>
  <c r="K2117" i="2"/>
  <c r="J2117" i="2"/>
  <c r="H2117" i="2" s="1"/>
  <c r="I2117" i="2"/>
  <c r="F2121" i="2"/>
  <c r="J2121" i="2" s="1"/>
  <c r="H2121" i="2" s="1"/>
  <c r="G2135" i="2"/>
  <c r="F2135" i="2"/>
  <c r="K2135" i="2" s="1"/>
  <c r="K2183" i="2"/>
  <c r="K2196" i="2"/>
  <c r="J2196" i="2"/>
  <c r="H2196" i="2" s="1"/>
  <c r="I2196" i="2"/>
  <c r="F2218" i="2"/>
  <c r="K2235" i="2"/>
  <c r="J2235" i="2"/>
  <c r="H2235" i="2" s="1"/>
  <c r="G2240" i="2"/>
  <c r="F2240" i="2"/>
  <c r="I2240" i="2" s="1"/>
  <c r="J2350" i="2"/>
  <c r="H2350" i="2" s="1"/>
  <c r="I2350" i="2"/>
  <c r="J2353" i="2"/>
  <c r="H2353" i="2" s="1"/>
  <c r="I2353" i="2"/>
  <c r="K2360" i="2"/>
  <c r="J2360" i="2"/>
  <c r="H2360" i="2" s="1"/>
  <c r="I2360" i="2"/>
  <c r="K2402" i="2"/>
  <c r="J2402" i="2"/>
  <c r="H2402" i="2" s="1"/>
  <c r="I2402" i="2"/>
  <c r="G2451" i="2"/>
  <c r="F2451" i="2"/>
  <c r="I2451" i="2" s="1"/>
  <c r="G2466" i="2"/>
  <c r="F2466" i="2"/>
  <c r="J2466" i="2" s="1"/>
  <c r="H2466" i="2" s="1"/>
  <c r="G2478" i="2"/>
  <c r="F2478" i="2"/>
  <c r="I2478" i="2" s="1"/>
  <c r="G1880" i="2"/>
  <c r="F1880" i="2"/>
  <c r="J1880" i="2" s="1"/>
  <c r="H1880" i="2" s="1"/>
  <c r="G1909" i="2"/>
  <c r="J1942" i="2"/>
  <c r="I1942" i="2"/>
  <c r="K1954" i="2"/>
  <c r="J1954" i="2"/>
  <c r="H1954" i="2" s="1"/>
  <c r="J2038" i="2"/>
  <c r="H2038" i="2" s="1"/>
  <c r="I2038" i="2"/>
  <c r="G2102" i="2"/>
  <c r="K2123" i="2"/>
  <c r="J2123" i="2"/>
  <c r="H2123" i="2" s="1"/>
  <c r="G2128" i="2"/>
  <c r="F2128" i="2"/>
  <c r="K2128" i="2" s="1"/>
  <c r="G2254" i="2"/>
  <c r="F2254" i="2"/>
  <c r="K2254" i="2" s="1"/>
  <c r="G2266" i="2"/>
  <c r="J2289" i="2"/>
  <c r="H2289" i="2" s="1"/>
  <c r="I2289" i="2"/>
  <c r="F2343" i="2"/>
  <c r="J2343" i="2" s="1"/>
  <c r="H2343" i="2" s="1"/>
  <c r="J2367" i="2"/>
  <c r="H2367" i="2" s="1"/>
  <c r="F2408" i="2"/>
  <c r="G2418" i="2"/>
  <c r="F2418" i="2"/>
  <c r="J2418" i="2" s="1"/>
  <c r="H2418" i="2" s="1"/>
  <c r="G2437" i="2"/>
  <c r="F2437" i="2"/>
  <c r="J2437" i="2" s="1"/>
  <c r="H2437" i="2" s="1"/>
  <c r="G2484" i="2"/>
  <c r="F2484" i="2"/>
  <c r="K2484" i="2" s="1"/>
  <c r="F2583" i="2"/>
  <c r="I2583" i="2" s="1"/>
  <c r="K2596" i="2"/>
  <c r="J2596" i="2"/>
  <c r="H2596" i="2" s="1"/>
  <c r="F2655" i="2"/>
  <c r="J2655" i="2" s="1"/>
  <c r="H2655" i="2" s="1"/>
  <c r="G2655" i="2"/>
  <c r="G2676" i="2"/>
  <c r="F2676" i="2"/>
  <c r="K2676" i="2" s="1"/>
  <c r="I2759" i="2"/>
  <c r="K2759" i="2"/>
  <c r="F1395" i="2"/>
  <c r="F1407" i="2"/>
  <c r="F1419" i="2"/>
  <c r="F1429" i="2"/>
  <c r="F1443" i="2"/>
  <c r="F1453" i="2"/>
  <c r="F1463" i="2"/>
  <c r="F1475" i="2"/>
  <c r="F1487" i="2"/>
  <c r="F1499" i="2"/>
  <c r="F1509" i="2"/>
  <c r="F1521" i="2"/>
  <c r="F1531" i="2"/>
  <c r="F1543" i="2"/>
  <c r="F1555" i="2"/>
  <c r="F1567" i="2"/>
  <c r="F1579" i="2"/>
  <c r="F1591" i="2"/>
  <c r="F1601" i="2"/>
  <c r="F1613" i="2"/>
  <c r="F1623" i="2"/>
  <c r="F1647" i="2"/>
  <c r="F1657" i="2"/>
  <c r="F1671" i="2"/>
  <c r="F1683" i="2"/>
  <c r="F1687" i="2"/>
  <c r="F1692" i="2"/>
  <c r="I1692" i="2" s="1"/>
  <c r="F1701" i="2"/>
  <c r="G1724" i="2"/>
  <c r="F1724" i="2"/>
  <c r="F1745" i="2"/>
  <c r="I1745" i="2" s="1"/>
  <c r="F1759" i="2"/>
  <c r="G1780" i="2"/>
  <c r="F1780" i="2"/>
  <c r="F1799" i="2"/>
  <c r="I1799" i="2" s="1"/>
  <c r="F1803" i="2"/>
  <c r="F1810" i="2"/>
  <c r="F1817" i="2"/>
  <c r="G1838" i="2"/>
  <c r="F1838" i="2"/>
  <c r="F1855" i="2"/>
  <c r="I1855" i="2" s="1"/>
  <c r="F1857" i="2"/>
  <c r="F1862" i="2"/>
  <c r="F1874" i="2"/>
  <c r="K1874" i="2" s="1"/>
  <c r="F1909" i="2"/>
  <c r="I1909" i="2" s="1"/>
  <c r="G1931" i="2"/>
  <c r="F1931" i="2"/>
  <c r="F1940" i="2"/>
  <c r="I1940" i="2" s="1"/>
  <c r="F1982" i="2"/>
  <c r="I1982" i="2" s="1"/>
  <c r="F1998" i="2"/>
  <c r="I1998" i="2" s="1"/>
  <c r="F2053" i="2"/>
  <c r="G2078" i="2"/>
  <c r="F2090" i="2"/>
  <c r="I2090" i="2" s="1"/>
  <c r="F2102" i="2"/>
  <c r="G2133" i="2"/>
  <c r="F2133" i="2"/>
  <c r="K2133" i="2" s="1"/>
  <c r="G2177" i="2"/>
  <c r="F2177" i="2"/>
  <c r="I2177" i="2" s="1"/>
  <c r="G2190" i="2"/>
  <c r="F2190" i="2"/>
  <c r="J2190" i="2" s="1"/>
  <c r="H2190" i="2" s="1"/>
  <c r="F2266" i="2"/>
  <c r="I2266" i="2" s="1"/>
  <c r="F2274" i="2"/>
  <c r="K2274" i="2" s="1"/>
  <c r="K2295" i="2"/>
  <c r="J2295" i="2"/>
  <c r="H2295" i="2" s="1"/>
  <c r="G2298" i="2"/>
  <c r="F2298" i="2"/>
  <c r="F2341" i="2"/>
  <c r="I2341" i="2" s="1"/>
  <c r="G2343" i="2"/>
  <c r="G2381" i="2"/>
  <c r="G2386" i="2"/>
  <c r="F2386" i="2"/>
  <c r="I2389" i="2"/>
  <c r="J2389" i="2"/>
  <c r="H2389" i="2" s="1"/>
  <c r="K2389" i="2"/>
  <c r="F2456" i="2"/>
  <c r="I1680" i="2"/>
  <c r="J1689" i="2"/>
  <c r="H1689" i="2" s="1"/>
  <c r="I1689" i="2"/>
  <c r="G1692" i="2"/>
  <c r="G1701" i="2"/>
  <c r="F1708" i="2"/>
  <c r="I1708" i="2" s="1"/>
  <c r="F1719" i="2"/>
  <c r="I1742" i="2"/>
  <c r="J1749" i="2"/>
  <c r="H1749" i="2" s="1"/>
  <c r="I1749" i="2"/>
  <c r="F1766" i="2"/>
  <c r="I1766" i="2" s="1"/>
  <c r="F1775" i="2"/>
  <c r="I1796" i="2"/>
  <c r="J1805" i="2"/>
  <c r="H1805" i="2" s="1"/>
  <c r="I1805" i="2"/>
  <c r="G1810" i="2"/>
  <c r="G1817" i="2"/>
  <c r="F1826" i="2"/>
  <c r="I1826" i="2" s="1"/>
  <c r="F1833" i="2"/>
  <c r="K1833" i="2" s="1"/>
  <c r="G1862" i="2"/>
  <c r="F1866" i="2"/>
  <c r="J1866" i="2" s="1"/>
  <c r="H1866" i="2" s="1"/>
  <c r="G1868" i="2"/>
  <c r="F1868" i="2"/>
  <c r="J1868" i="2" s="1"/>
  <c r="H1868" i="2" s="1"/>
  <c r="G1874" i="2"/>
  <c r="K1885" i="2"/>
  <c r="F1893" i="2"/>
  <c r="K1893" i="2" s="1"/>
  <c r="I1899" i="2"/>
  <c r="G1899" i="2"/>
  <c r="K1899" i="2"/>
  <c r="F1927" i="2"/>
  <c r="G1927" i="2"/>
  <c r="G1940" i="2"/>
  <c r="G1982" i="2"/>
  <c r="G2022" i="2"/>
  <c r="F2022" i="2"/>
  <c r="J2022" i="2" s="1"/>
  <c r="H2022" i="2" s="1"/>
  <c r="I2036" i="2"/>
  <c r="G2036" i="2"/>
  <c r="K2036" i="2"/>
  <c r="J2036" i="2"/>
  <c r="H2036" i="2" s="1"/>
  <c r="K2038" i="2"/>
  <c r="K2044" i="2"/>
  <c r="I2044" i="2"/>
  <c r="G2044" i="2"/>
  <c r="G2053" i="2"/>
  <c r="F2063" i="2"/>
  <c r="F2078" i="2"/>
  <c r="F2088" i="2"/>
  <c r="K2088" i="2" s="1"/>
  <c r="F2146" i="2"/>
  <c r="I2146" i="2" s="1"/>
  <c r="F2158" i="2"/>
  <c r="K2158" i="2" s="1"/>
  <c r="I2163" i="2"/>
  <c r="K2163" i="2"/>
  <c r="F2175" i="2"/>
  <c r="J2175" i="2" s="1"/>
  <c r="H2175" i="2" s="1"/>
  <c r="K2206" i="2"/>
  <c r="J2206" i="2"/>
  <c r="H2206" i="2" s="1"/>
  <c r="I2220" i="2"/>
  <c r="G2220" i="2"/>
  <c r="J2220" i="2"/>
  <c r="H2220" i="2" s="1"/>
  <c r="F2239" i="2"/>
  <c r="K2239" i="2" s="1"/>
  <c r="F2252" i="2"/>
  <c r="J2252" i="2" s="1"/>
  <c r="H2252" i="2" s="1"/>
  <c r="G2274" i="2"/>
  <c r="K2277" i="2"/>
  <c r="J2277" i="2"/>
  <c r="H2277" i="2" s="1"/>
  <c r="I2277" i="2"/>
  <c r="G2277" i="2"/>
  <c r="F2280" i="2"/>
  <c r="K2280" i="2" s="1"/>
  <c r="G2303" i="2"/>
  <c r="F2303" i="2"/>
  <c r="I2303" i="2" s="1"/>
  <c r="K2316" i="2"/>
  <c r="J2316" i="2"/>
  <c r="H2316" i="2" s="1"/>
  <c r="I2316" i="2"/>
  <c r="G2341" i="2"/>
  <c r="G2344" i="2"/>
  <c r="F2344" i="2"/>
  <c r="J2344" i="2" s="1"/>
  <c r="H2344" i="2" s="1"/>
  <c r="J2347" i="2"/>
  <c r="H2347" i="2" s="1"/>
  <c r="F2381" i="2"/>
  <c r="I2381" i="2" s="1"/>
  <c r="F2394" i="2"/>
  <c r="I2394" i="2" s="1"/>
  <c r="G2398" i="2"/>
  <c r="F2398" i="2"/>
  <c r="I2398" i="2" s="1"/>
  <c r="K2405" i="2"/>
  <c r="J2405" i="2"/>
  <c r="H2405" i="2" s="1"/>
  <c r="I2405" i="2"/>
  <c r="I2412" i="2"/>
  <c r="J2412" i="2"/>
  <c r="K2419" i="2" s="1"/>
  <c r="J2419" i="2"/>
  <c r="H2419" i="2" s="1"/>
  <c r="I2419" i="2"/>
  <c r="F2433" i="2"/>
  <c r="F2441" i="2"/>
  <c r="I2441" i="2" s="1"/>
  <c r="G2446" i="2"/>
  <c r="F2446" i="2"/>
  <c r="F2454" i="2"/>
  <c r="K2454" i="2" s="1"/>
  <c r="G2471" i="2"/>
  <c r="F2471" i="2"/>
  <c r="I2477" i="2"/>
  <c r="K2550" i="2"/>
  <c r="J2550" i="2"/>
  <c r="H2550" i="2" s="1"/>
  <c r="I2550" i="2"/>
  <c r="J1935" i="2"/>
  <c r="H1935" i="2" s="1"/>
  <c r="J1963" i="2"/>
  <c r="H1963" i="2" s="1"/>
  <c r="I1963" i="2"/>
  <c r="I2014" i="2"/>
  <c r="I2017" i="2"/>
  <c r="J2021" i="2"/>
  <c r="H2021" i="2" s="1"/>
  <c r="I2021" i="2"/>
  <c r="G2039" i="2"/>
  <c r="F2039" i="2"/>
  <c r="J2043" i="2"/>
  <c r="H2043" i="2" s="1"/>
  <c r="I2043" i="2"/>
  <c r="K2047" i="2"/>
  <c r="J2047" i="2"/>
  <c r="H2047" i="2" s="1"/>
  <c r="I2068" i="2"/>
  <c r="G2068" i="2"/>
  <c r="K2072" i="2"/>
  <c r="J2072" i="2"/>
  <c r="H2072" i="2" s="1"/>
  <c r="I2072" i="2"/>
  <c r="K2076" i="2"/>
  <c r="G2093" i="2"/>
  <c r="F2093" i="2"/>
  <c r="J2100" i="2"/>
  <c r="H2100" i="2" s="1"/>
  <c r="I2100" i="2"/>
  <c r="K2105" i="2"/>
  <c r="J2105" i="2"/>
  <c r="H2105" i="2" s="1"/>
  <c r="K2131" i="2"/>
  <c r="J2131" i="2"/>
  <c r="H2131" i="2" s="1"/>
  <c r="J2139" i="2"/>
  <c r="H2139" i="2" s="1"/>
  <c r="I2139" i="2"/>
  <c r="K2139" i="2"/>
  <c r="G2145" i="2"/>
  <c r="F2145" i="2"/>
  <c r="G2201" i="2"/>
  <c r="F2201" i="2"/>
  <c r="I2201" i="2" s="1"/>
  <c r="K2243" i="2"/>
  <c r="J2243" i="2"/>
  <c r="H2243" i="2" s="1"/>
  <c r="G2257" i="2"/>
  <c r="F2257" i="2"/>
  <c r="I2257" i="2" s="1"/>
  <c r="J2301" i="2"/>
  <c r="H2301" i="2" s="1"/>
  <c r="J2308" i="2"/>
  <c r="H2308" i="2" s="1"/>
  <c r="I2308" i="2"/>
  <c r="K2308" i="2"/>
  <c r="G2315" i="2"/>
  <c r="F2315" i="2"/>
  <c r="I2315" i="2" s="1"/>
  <c r="F2340" i="2"/>
  <c r="K2379" i="2"/>
  <c r="J2385" i="2"/>
  <c r="I2385" i="2"/>
  <c r="K2404" i="2"/>
  <c r="J2404" i="2"/>
  <c r="H2404" i="2" s="1"/>
  <c r="I2404" i="2"/>
  <c r="J2458" i="2"/>
  <c r="K2469" i="2" s="1"/>
  <c r="I2458" i="2"/>
  <c r="G2495" i="2"/>
  <c r="F2495" i="2"/>
  <c r="J2495" i="2" s="1"/>
  <c r="H2495" i="2" s="1"/>
  <c r="G2860" i="2"/>
  <c r="F2860" i="2"/>
  <c r="G2046" i="2"/>
  <c r="G2071" i="2"/>
  <c r="F2071" i="2"/>
  <c r="I2071" i="2" s="1"/>
  <c r="G2104" i="2"/>
  <c r="G2167" i="2"/>
  <c r="F2167" i="2"/>
  <c r="K2167" i="2" s="1"/>
  <c r="G2223" i="2"/>
  <c r="F2223" i="2"/>
  <c r="I2223" i="2" s="1"/>
  <c r="G2279" i="2"/>
  <c r="F2279" i="2"/>
  <c r="K2279" i="2" s="1"/>
  <c r="G2335" i="2"/>
  <c r="F2335" i="2"/>
  <c r="J2519" i="2"/>
  <c r="H2519" i="2" s="1"/>
  <c r="G2519" i="2"/>
  <c r="K1920" i="2"/>
  <c r="F1923" i="2"/>
  <c r="G1946" i="2"/>
  <c r="F1946" i="2"/>
  <c r="F1971" i="2"/>
  <c r="F1978" i="2"/>
  <c r="F1987" i="2"/>
  <c r="K1987" i="2" s="1"/>
  <c r="G2008" i="2"/>
  <c r="F2008" i="2"/>
  <c r="F2027" i="2"/>
  <c r="F2046" i="2"/>
  <c r="I2046" i="2" s="1"/>
  <c r="F2050" i="2"/>
  <c r="K2050" i="2" s="1"/>
  <c r="F2054" i="2"/>
  <c r="K2054" i="2" s="1"/>
  <c r="F2075" i="2"/>
  <c r="K2075" i="2" s="1"/>
  <c r="F2079" i="2"/>
  <c r="I2079" i="2" s="1"/>
  <c r="F2104" i="2"/>
  <c r="F2108" i="2"/>
  <c r="F2114" i="2"/>
  <c r="I2130" i="2"/>
  <c r="G2130" i="2"/>
  <c r="J2130" i="2"/>
  <c r="H2130" i="2" s="1"/>
  <c r="F2155" i="2"/>
  <c r="I2155" i="2" s="1"/>
  <c r="F2161" i="2"/>
  <c r="I2161" i="2" s="1"/>
  <c r="K2172" i="2"/>
  <c r="K2178" i="2"/>
  <c r="J2178" i="2"/>
  <c r="H2178" i="2" s="1"/>
  <c r="I2178" i="2"/>
  <c r="I2186" i="2"/>
  <c r="G2186" i="2"/>
  <c r="J2186" i="2"/>
  <c r="H2186" i="2" s="1"/>
  <c r="F2209" i="2"/>
  <c r="I2209" i="2" s="1"/>
  <c r="F2215" i="2"/>
  <c r="J2215" i="2" s="1"/>
  <c r="H2215" i="2" s="1"/>
  <c r="K2228" i="2"/>
  <c r="K2234" i="2"/>
  <c r="J2234" i="2"/>
  <c r="H2234" i="2" s="1"/>
  <c r="I2234" i="2"/>
  <c r="I2242" i="2"/>
  <c r="J2242" i="2"/>
  <c r="H2242" i="2" s="1"/>
  <c r="F2267" i="2"/>
  <c r="I2267" i="2" s="1"/>
  <c r="F2273" i="2"/>
  <c r="I2273" i="2" s="1"/>
  <c r="K2287" i="2"/>
  <c r="K2294" i="2"/>
  <c r="J2294" i="2"/>
  <c r="H2294" i="2" s="1"/>
  <c r="I2294" i="2"/>
  <c r="I2300" i="2"/>
  <c r="G2300" i="2"/>
  <c r="J2300" i="2"/>
  <c r="H2300" i="2" s="1"/>
  <c r="F2323" i="2"/>
  <c r="I2323" i="2" s="1"/>
  <c r="F2329" i="2"/>
  <c r="J2429" i="2"/>
  <c r="H2429" i="2" s="1"/>
  <c r="I2429" i="2"/>
  <c r="K2429" i="2"/>
  <c r="J2439" i="2"/>
  <c r="H2439" i="2" s="1"/>
  <c r="I2439" i="2"/>
  <c r="K2439" i="2"/>
  <c r="K2460" i="2"/>
  <c r="J2460" i="2"/>
  <c r="H2460" i="2" s="1"/>
  <c r="I2460" i="2"/>
  <c r="G2520" i="2"/>
  <c r="F2520" i="2"/>
  <c r="K2520" i="2" s="1"/>
  <c r="G2879" i="2"/>
  <c r="F2879" i="2"/>
  <c r="K2879" i="2" s="1"/>
  <c r="I1967" i="2"/>
  <c r="J2031" i="2"/>
  <c r="H2031" i="2" s="1"/>
  <c r="I2031" i="2"/>
  <c r="K2037" i="2"/>
  <c r="J2037" i="2"/>
  <c r="H2037" i="2" s="1"/>
  <c r="I2056" i="2"/>
  <c r="G2056" i="2"/>
  <c r="K2062" i="2"/>
  <c r="J2062" i="2"/>
  <c r="H2062" i="2" s="1"/>
  <c r="I2062" i="2"/>
  <c r="G2081" i="2"/>
  <c r="F2081" i="2"/>
  <c r="K2091" i="2"/>
  <c r="J2091" i="2"/>
  <c r="H2091" i="2" s="1"/>
  <c r="I2116" i="2"/>
  <c r="G2116" i="2"/>
  <c r="K2143" i="2"/>
  <c r="J2143" i="2"/>
  <c r="H2143" i="2" s="1"/>
  <c r="J2151" i="2"/>
  <c r="H2151" i="2" s="1"/>
  <c r="I2151" i="2"/>
  <c r="K2151" i="2"/>
  <c r="G2157" i="2"/>
  <c r="F2157" i="2"/>
  <c r="I2157" i="2" s="1"/>
  <c r="K2199" i="2"/>
  <c r="J2199" i="2"/>
  <c r="H2199" i="2" s="1"/>
  <c r="J2205" i="2"/>
  <c r="I2205" i="2"/>
  <c r="G2211" i="2"/>
  <c r="F2211" i="2"/>
  <c r="I2211" i="2" s="1"/>
  <c r="G2269" i="2"/>
  <c r="F2269" i="2"/>
  <c r="I2269" i="2" s="1"/>
  <c r="J2319" i="2"/>
  <c r="H2319" i="2" s="1"/>
  <c r="I2319" i="2"/>
  <c r="K2319" i="2"/>
  <c r="G2325" i="2"/>
  <c r="F2325" i="2"/>
  <c r="I2325" i="2" s="1"/>
  <c r="F2373" i="2"/>
  <c r="I2373" i="2" s="1"/>
  <c r="G2387" i="2"/>
  <c r="F2387" i="2"/>
  <c r="J2387" i="2" s="1"/>
  <c r="H2387" i="2" s="1"/>
  <c r="I2390" i="2"/>
  <c r="G2414" i="2"/>
  <c r="F2414" i="2"/>
  <c r="J2414" i="2" s="1"/>
  <c r="H2414" i="2" s="1"/>
  <c r="J2417" i="2"/>
  <c r="H2417" i="2" s="1"/>
  <c r="I2417" i="2"/>
  <c r="I2470" i="2"/>
  <c r="J2470" i="2"/>
  <c r="H2470" i="2" s="1"/>
  <c r="K2476" i="2"/>
  <c r="F2515" i="2"/>
  <c r="K2515" i="2" s="1"/>
  <c r="G2515" i="2"/>
  <c r="G2909" i="2"/>
  <c r="F2909" i="2"/>
  <c r="I2356" i="2"/>
  <c r="J2363" i="2"/>
  <c r="H2363" i="2" s="1"/>
  <c r="I2363" i="2"/>
  <c r="G2403" i="2"/>
  <c r="F2403" i="2"/>
  <c r="J2407" i="2"/>
  <c r="H2407" i="2" s="1"/>
  <c r="I2407" i="2"/>
  <c r="I2432" i="2"/>
  <c r="G2432" i="2"/>
  <c r="K2438" i="2"/>
  <c r="J2438" i="2"/>
  <c r="H2438" i="2" s="1"/>
  <c r="I2438" i="2"/>
  <c r="K2442" i="2"/>
  <c r="G2459" i="2"/>
  <c r="F2459" i="2"/>
  <c r="J2463" i="2"/>
  <c r="H2463" i="2" s="1"/>
  <c r="I2463" i="2"/>
  <c r="J2469" i="2"/>
  <c r="H2469" i="2" s="1"/>
  <c r="J2498" i="2"/>
  <c r="H2498" i="2" s="1"/>
  <c r="F2529" i="2"/>
  <c r="I2606" i="2"/>
  <c r="G2606" i="2"/>
  <c r="J2623" i="2"/>
  <c r="H2623" i="2" s="1"/>
  <c r="G2631" i="2"/>
  <c r="F2631" i="2"/>
  <c r="K2661" i="2"/>
  <c r="J2661" i="2"/>
  <c r="H2661" i="2" s="1"/>
  <c r="K2779" i="2"/>
  <c r="I2779" i="2"/>
  <c r="F2875" i="2"/>
  <c r="J2875" i="2" s="1"/>
  <c r="H2875" i="2" s="1"/>
  <c r="F3406" i="2"/>
  <c r="J3406" i="2" s="1"/>
  <c r="H3406" i="2" s="1"/>
  <c r="G2504" i="2"/>
  <c r="F2504" i="2"/>
  <c r="I2504" i="2" s="1"/>
  <c r="G2534" i="2"/>
  <c r="F2534" i="2"/>
  <c r="J2534" i="2" s="1"/>
  <c r="H2534" i="2" s="1"/>
  <c r="G2562" i="2"/>
  <c r="F2562" i="2"/>
  <c r="I2562" i="2" s="1"/>
  <c r="K2637" i="2"/>
  <c r="J2637" i="2"/>
  <c r="H2637" i="2" s="1"/>
  <c r="F2663" i="2"/>
  <c r="I2663" i="2" s="1"/>
  <c r="I2696" i="2"/>
  <c r="G2696" i="2"/>
  <c r="K2696" i="2"/>
  <c r="F2707" i="2"/>
  <c r="J2707" i="2" s="1"/>
  <c r="H2707" i="2" s="1"/>
  <c r="F2710" i="2"/>
  <c r="K2710" i="2" s="1"/>
  <c r="F2849" i="2"/>
  <c r="G2849" i="2"/>
  <c r="J2883" i="2"/>
  <c r="H2883" i="2" s="1"/>
  <c r="I2883" i="2"/>
  <c r="G2969" i="2"/>
  <c r="K2518" i="2"/>
  <c r="J2518" i="2"/>
  <c r="H2518" i="2" s="1"/>
  <c r="I2518" i="2"/>
  <c r="G2523" i="2"/>
  <c r="I2543" i="2"/>
  <c r="G2622" i="2"/>
  <c r="F2730" i="2"/>
  <c r="G2730" i="2"/>
  <c r="I2768" i="2"/>
  <c r="G2910" i="2"/>
  <c r="F2910" i="2"/>
  <c r="K2910" i="2" s="1"/>
  <c r="F2969" i="2"/>
  <c r="K2969" i="2" s="1"/>
  <c r="J3117" i="2"/>
  <c r="H3117" i="2" s="1"/>
  <c r="I3117" i="2"/>
  <c r="K3117" i="2"/>
  <c r="F2502" i="2"/>
  <c r="J2502" i="2" s="1"/>
  <c r="H2502" i="2" s="1"/>
  <c r="F2516" i="2"/>
  <c r="I2516" i="2" s="1"/>
  <c r="F2521" i="2"/>
  <c r="K2521" i="2" s="1"/>
  <c r="F2523" i="2"/>
  <c r="K2523" i="2" s="1"/>
  <c r="J2543" i="2"/>
  <c r="H2543" i="2" s="1"/>
  <c r="G2555" i="2"/>
  <c r="F2555" i="2"/>
  <c r="I2555" i="2" s="1"/>
  <c r="K2565" i="2"/>
  <c r="J2565" i="2"/>
  <c r="H2565" i="2" s="1"/>
  <c r="I2565" i="2"/>
  <c r="K2586" i="2"/>
  <c r="G2597" i="2"/>
  <c r="K2610" i="2"/>
  <c r="J2610" i="2"/>
  <c r="H2610" i="2" s="1"/>
  <c r="I2610" i="2"/>
  <c r="F2622" i="2"/>
  <c r="F2647" i="2"/>
  <c r="G2684" i="2"/>
  <c r="F2694" i="2"/>
  <c r="I2694" i="2" s="1"/>
  <c r="J2696" i="2"/>
  <c r="H2696" i="2" s="1"/>
  <c r="F2748" i="2"/>
  <c r="K2748" i="2" s="1"/>
  <c r="F2765" i="2"/>
  <c r="J2765" i="2" s="1"/>
  <c r="H2765" i="2" s="1"/>
  <c r="J2768" i="2"/>
  <c r="H2768" i="2" s="1"/>
  <c r="F2819" i="2"/>
  <c r="K2819" i="2" s="1"/>
  <c r="G2819" i="2"/>
  <c r="G2823" i="2"/>
  <c r="K2883" i="2"/>
  <c r="G3014" i="2"/>
  <c r="F3014" i="2"/>
  <c r="I3014" i="2" s="1"/>
  <c r="F2489" i="2"/>
  <c r="J2489" i="2" s="1"/>
  <c r="F2491" i="2"/>
  <c r="J2491" i="2" s="1"/>
  <c r="H2491" i="2" s="1"/>
  <c r="G2502" i="2"/>
  <c r="F2505" i="2"/>
  <c r="I2509" i="2"/>
  <c r="G2516" i="2"/>
  <c r="G2521" i="2"/>
  <c r="K2558" i="2"/>
  <c r="J2558" i="2"/>
  <c r="H2558" i="2" s="1"/>
  <c r="I2558" i="2"/>
  <c r="F2560" i="2"/>
  <c r="K2563" i="2"/>
  <c r="J2563" i="2"/>
  <c r="H2563" i="2" s="1"/>
  <c r="F2570" i="2"/>
  <c r="J2570" i="2" s="1"/>
  <c r="H2570" i="2" s="1"/>
  <c r="G2572" i="2"/>
  <c r="K2587" i="2"/>
  <c r="J2587" i="2"/>
  <c r="H2587" i="2" s="1"/>
  <c r="I2587" i="2"/>
  <c r="G2589" i="2"/>
  <c r="F2589" i="2"/>
  <c r="I2589" i="2" s="1"/>
  <c r="F2597" i="2"/>
  <c r="K2597" i="2" s="1"/>
  <c r="J2635" i="2"/>
  <c r="H2635" i="2" s="1"/>
  <c r="I2635" i="2"/>
  <c r="I2637" i="2"/>
  <c r="K2645" i="2"/>
  <c r="J2645" i="2"/>
  <c r="H2645" i="2" s="1"/>
  <c r="I2645" i="2"/>
  <c r="K2659" i="2"/>
  <c r="J2659" i="2"/>
  <c r="H2659" i="2" s="1"/>
  <c r="J2674" i="2"/>
  <c r="K2789" i="2" s="1"/>
  <c r="I2674" i="2"/>
  <c r="F2684" i="2"/>
  <c r="J2684" i="2" s="1"/>
  <c r="H2684" i="2" s="1"/>
  <c r="G2694" i="2"/>
  <c r="G2697" i="2"/>
  <c r="K2697" i="2"/>
  <c r="J2697" i="2"/>
  <c r="H2697" i="2" s="1"/>
  <c r="I2697" i="2"/>
  <c r="F2708" i="2"/>
  <c r="J2708" i="2" s="1"/>
  <c r="H2708" i="2" s="1"/>
  <c r="F2749" i="2"/>
  <c r="I2749" i="2" s="1"/>
  <c r="G2749" i="2"/>
  <c r="F2761" i="2"/>
  <c r="I2761" i="2" s="1"/>
  <c r="F2791" i="2"/>
  <c r="J2791" i="2" s="1"/>
  <c r="H2791" i="2" s="1"/>
  <c r="F2803" i="2"/>
  <c r="I2803" i="2" s="1"/>
  <c r="G2803" i="2"/>
  <c r="G2820" i="2"/>
  <c r="F2820" i="2"/>
  <c r="K2820" i="2" s="1"/>
  <c r="F2823" i="2"/>
  <c r="I2823" i="2" s="1"/>
  <c r="F2830" i="2"/>
  <c r="J2830" i="2" s="1"/>
  <c r="H2830" i="2" s="1"/>
  <c r="G2830" i="2"/>
  <c r="G3181" i="2"/>
  <c r="F3181" i="2"/>
  <c r="G2536" i="2"/>
  <c r="G2544" i="2"/>
  <c r="F2544" i="2"/>
  <c r="K2544" i="2" s="1"/>
  <c r="J2553" i="2"/>
  <c r="H2553" i="2" s="1"/>
  <c r="I2553" i="2"/>
  <c r="G2579" i="2"/>
  <c r="F2579" i="2"/>
  <c r="J2579" i="2" s="1"/>
  <c r="H2579" i="2" s="1"/>
  <c r="J2620" i="2"/>
  <c r="H2620" i="2" s="1"/>
  <c r="I2620" i="2"/>
  <c r="F2716" i="2"/>
  <c r="G2724" i="2"/>
  <c r="F2724" i="2"/>
  <c r="K2724" i="2" s="1"/>
  <c r="F2816" i="2"/>
  <c r="K2816" i="2" s="1"/>
  <c r="G2816" i="2"/>
  <c r="F2827" i="2"/>
  <c r="I2827" i="2" s="1"/>
  <c r="G2827" i="2"/>
  <c r="G2836" i="2"/>
  <c r="K3003" i="2"/>
  <c r="J3003" i="2"/>
  <c r="H3003" i="2" s="1"/>
  <c r="I3003" i="2"/>
  <c r="G2352" i="2"/>
  <c r="F2352" i="2"/>
  <c r="I2352" i="2" s="1"/>
  <c r="F2503" i="2"/>
  <c r="I2503" i="2" s="1"/>
  <c r="G2503" i="2"/>
  <c r="F2536" i="2"/>
  <c r="K2536" i="2" s="1"/>
  <c r="G2558" i="2"/>
  <c r="F2568" i="2"/>
  <c r="I2568" i="2" s="1"/>
  <c r="G2587" i="2"/>
  <c r="J2608" i="2"/>
  <c r="G2635" i="2"/>
  <c r="G2645" i="2"/>
  <c r="I2659" i="2"/>
  <c r="G2685" i="2"/>
  <c r="F2685" i="2"/>
  <c r="K2685" i="2" s="1"/>
  <c r="G2716" i="2"/>
  <c r="F2728" i="2"/>
  <c r="J2731" i="2"/>
  <c r="K2758" i="2" s="1"/>
  <c r="F2745" i="2"/>
  <c r="K2800" i="2"/>
  <c r="J2800" i="2"/>
  <c r="H2800" i="2" s="1"/>
  <c r="I2800" i="2"/>
  <c r="F2821" i="2"/>
  <c r="I2821" i="2" s="1"/>
  <c r="K2824" i="2"/>
  <c r="F2836" i="2"/>
  <c r="I2836" i="2" s="1"/>
  <c r="K2873" i="2"/>
  <c r="J2873" i="2"/>
  <c r="H2873" i="2" s="1"/>
  <c r="I2873" i="2"/>
  <c r="F2926" i="2"/>
  <c r="J2926" i="2" s="1"/>
  <c r="H2926" i="2" s="1"/>
  <c r="K2962" i="2"/>
  <c r="J2962" i="2"/>
  <c r="H2962" i="2" s="1"/>
  <c r="J2972" i="2"/>
  <c r="I2972" i="2"/>
  <c r="G3033" i="2"/>
  <c r="F3033" i="2"/>
  <c r="K3033" i="2" s="1"/>
  <c r="G3080" i="2"/>
  <c r="F3080" i="2"/>
  <c r="F2030" i="2"/>
  <c r="F2042" i="2"/>
  <c r="F2052" i="2"/>
  <c r="F2064" i="2"/>
  <c r="F2074" i="2"/>
  <c r="F2084" i="2"/>
  <c r="F2098" i="2"/>
  <c r="F2112" i="2"/>
  <c r="F2124" i="2"/>
  <c r="F2138" i="2"/>
  <c r="F2148" i="2"/>
  <c r="F2160" i="2"/>
  <c r="F2170" i="2"/>
  <c r="F2180" i="2"/>
  <c r="F2192" i="2"/>
  <c r="F2204" i="2"/>
  <c r="F2226" i="2"/>
  <c r="F2236" i="2"/>
  <c r="F2248" i="2"/>
  <c r="F2260" i="2"/>
  <c r="F2272" i="2"/>
  <c r="F2284" i="2"/>
  <c r="F2296" i="2"/>
  <c r="F2306" i="2"/>
  <c r="F2318" i="2"/>
  <c r="F2328" i="2"/>
  <c r="F2345" i="2"/>
  <c r="K2345" i="2" s="1"/>
  <c r="F2354" i="2"/>
  <c r="G2393" i="2"/>
  <c r="F2393" i="2"/>
  <c r="I2393" i="2" s="1"/>
  <c r="G2420" i="2"/>
  <c r="G2449" i="2"/>
  <c r="F2449" i="2"/>
  <c r="I2487" i="2"/>
  <c r="F2492" i="2"/>
  <c r="J2492" i="2" s="1"/>
  <c r="H2492" i="2" s="1"/>
  <c r="I2494" i="2"/>
  <c r="G2510" i="2"/>
  <c r="F2528" i="2"/>
  <c r="I2528" i="2" s="1"/>
  <c r="J2542" i="2"/>
  <c r="H2542" i="2" s="1"/>
  <c r="I2542" i="2"/>
  <c r="F2549" i="2"/>
  <c r="K2553" i="2"/>
  <c r="I2563" i="2"/>
  <c r="G2568" i="2"/>
  <c r="K2620" i="2"/>
  <c r="G2626" i="2"/>
  <c r="K2635" i="2"/>
  <c r="K2638" i="2"/>
  <c r="G2651" i="2"/>
  <c r="F2654" i="2"/>
  <c r="I2654" i="2" s="1"/>
  <c r="F2657" i="2"/>
  <c r="J2657" i="2" s="1"/>
  <c r="H2657" i="2" s="1"/>
  <c r="G2672" i="2"/>
  <c r="F2672" i="2"/>
  <c r="G2691" i="2"/>
  <c r="G2728" i="2"/>
  <c r="G2745" i="2"/>
  <c r="G2807" i="2"/>
  <c r="F2807" i="2"/>
  <c r="K2807" i="2" s="1"/>
  <c r="G2821" i="2"/>
  <c r="I2824" i="2"/>
  <c r="J2824" i="2"/>
  <c r="H2824" i="2" s="1"/>
  <c r="K2842" i="2"/>
  <c r="I2842" i="2"/>
  <c r="G2926" i="2"/>
  <c r="G3023" i="2"/>
  <c r="F3023" i="2"/>
  <c r="J3023" i="2" s="1"/>
  <c r="H3023" i="2" s="1"/>
  <c r="F2359" i="2"/>
  <c r="F2368" i="2"/>
  <c r="I2368" i="2" s="1"/>
  <c r="F2375" i="2"/>
  <c r="F2397" i="2"/>
  <c r="F2401" i="2"/>
  <c r="F2420" i="2"/>
  <c r="F2426" i="2"/>
  <c r="I2426" i="2" s="1"/>
  <c r="F2430" i="2"/>
  <c r="F2453" i="2"/>
  <c r="F2457" i="2"/>
  <c r="I2457" i="2" s="1"/>
  <c r="F2479" i="2"/>
  <c r="K2479" i="2" s="1"/>
  <c r="F2481" i="2"/>
  <c r="K2481" i="2" s="1"/>
  <c r="J2487" i="2"/>
  <c r="G2492" i="2"/>
  <c r="F2508" i="2"/>
  <c r="I2508" i="2" s="1"/>
  <c r="F2510" i="2"/>
  <c r="K2510" i="2" s="1"/>
  <c r="F2517" i="2"/>
  <c r="J2517" i="2" s="1"/>
  <c r="H2517" i="2" s="1"/>
  <c r="G2528" i="2"/>
  <c r="F2533" i="2"/>
  <c r="G2538" i="2"/>
  <c r="I2540" i="2"/>
  <c r="K2540" i="2"/>
  <c r="G2540" i="2" s="1"/>
  <c r="G2549" i="2"/>
  <c r="J2593" i="2"/>
  <c r="H2593" i="2" s="1"/>
  <c r="I2593" i="2"/>
  <c r="K2593" i="2"/>
  <c r="G2593" i="2"/>
  <c r="I2601" i="2"/>
  <c r="G2601" i="2"/>
  <c r="K2601" i="2"/>
  <c r="J2614" i="2"/>
  <c r="I2614" i="2"/>
  <c r="F2618" i="2"/>
  <c r="I2618" i="2" s="1"/>
  <c r="F2626" i="2"/>
  <c r="J2626" i="2" s="1"/>
  <c r="H2626" i="2" s="1"/>
  <c r="K2639" i="2"/>
  <c r="J2639" i="2"/>
  <c r="H2639" i="2" s="1"/>
  <c r="I2639" i="2"/>
  <c r="G2641" i="2"/>
  <c r="F2641" i="2"/>
  <c r="F2651" i="2"/>
  <c r="K2651" i="2" s="1"/>
  <c r="G2654" i="2"/>
  <c r="G2657" i="2"/>
  <c r="K2670" i="2"/>
  <c r="G2717" i="2"/>
  <c r="F2717" i="2"/>
  <c r="I2717" i="2" s="1"/>
  <c r="G2732" i="2"/>
  <c r="F2732" i="2"/>
  <c r="I2743" i="2"/>
  <c r="J2792" i="2"/>
  <c r="H2792" i="2" s="1"/>
  <c r="I2792" i="2"/>
  <c r="K2792" i="2"/>
  <c r="G2808" i="2"/>
  <c r="F2808" i="2"/>
  <c r="I2808" i="2" s="1"/>
  <c r="G2832" i="2"/>
  <c r="K2832" i="2"/>
  <c r="J2832" i="2"/>
  <c r="H2832" i="2" s="1"/>
  <c r="I2832" i="2"/>
  <c r="G2851" i="2"/>
  <c r="J2851" i="2"/>
  <c r="H2851" i="2" s="1"/>
  <c r="I2851" i="2"/>
  <c r="K2851" i="2"/>
  <c r="F2874" i="2"/>
  <c r="I2874" i="2" s="1"/>
  <c r="G2874" i="2"/>
  <c r="I2554" i="2"/>
  <c r="I2596" i="2"/>
  <c r="G2596" i="2"/>
  <c r="K2600" i="2"/>
  <c r="J2600" i="2"/>
  <c r="H2600" i="2" s="1"/>
  <c r="I2600" i="2"/>
  <c r="K2604" i="2"/>
  <c r="G2621" i="2"/>
  <c r="F2621" i="2"/>
  <c r="K2629" i="2"/>
  <c r="J2629" i="2"/>
  <c r="H2629" i="2" s="1"/>
  <c r="I2650" i="2"/>
  <c r="J2669" i="2"/>
  <c r="K2674" i="2" s="1"/>
  <c r="I2669" i="2"/>
  <c r="G2675" i="2"/>
  <c r="F2675" i="2"/>
  <c r="J2675" i="2" s="1"/>
  <c r="H2675" i="2" s="1"/>
  <c r="K2688" i="2"/>
  <c r="J2688" i="2"/>
  <c r="H2688" i="2" s="1"/>
  <c r="I2688" i="2"/>
  <c r="K2705" i="2"/>
  <c r="J2705" i="2"/>
  <c r="H2705" i="2" s="1"/>
  <c r="I2705" i="2"/>
  <c r="K2719" i="2"/>
  <c r="J2719" i="2"/>
  <c r="H2719" i="2" s="1"/>
  <c r="I2721" i="2"/>
  <c r="J2721" i="2"/>
  <c r="H2721" i="2" s="1"/>
  <c r="G2721" i="2"/>
  <c r="J2758" i="2"/>
  <c r="H2758" i="2" s="1"/>
  <c r="I2758" i="2"/>
  <c r="F2773" i="2"/>
  <c r="K2773" i="2" s="1"/>
  <c r="I2794" i="2"/>
  <c r="K2794" i="2"/>
  <c r="J2794" i="2"/>
  <c r="H2794" i="2" s="1"/>
  <c r="G2858" i="2"/>
  <c r="F2858" i="2"/>
  <c r="I2858" i="2" s="1"/>
  <c r="G2929" i="2"/>
  <c r="F2929" i="2"/>
  <c r="J3009" i="2"/>
  <c r="H3009" i="2" s="1"/>
  <c r="I3009" i="2"/>
  <c r="G2574" i="2"/>
  <c r="G2599" i="2"/>
  <c r="F2599" i="2"/>
  <c r="K2599" i="2" s="1"/>
  <c r="G2628" i="2"/>
  <c r="F2653" i="2"/>
  <c r="J2653" i="2" s="1"/>
  <c r="H2653" i="2" s="1"/>
  <c r="J2729" i="2"/>
  <c r="H2729" i="2" s="1"/>
  <c r="G2763" i="2"/>
  <c r="F2763" i="2"/>
  <c r="J2763" i="2" s="1"/>
  <c r="H2763" i="2" s="1"/>
  <c r="G2766" i="2"/>
  <c r="F2766" i="2"/>
  <c r="I2766" i="2" s="1"/>
  <c r="G2804" i="2"/>
  <c r="F2804" i="2"/>
  <c r="I2804" i="2" s="1"/>
  <c r="K2818" i="2"/>
  <c r="J2818" i="2"/>
  <c r="H2818" i="2" s="1"/>
  <c r="I2818" i="2"/>
  <c r="I2863" i="2"/>
  <c r="G2877" i="2"/>
  <c r="F2877" i="2"/>
  <c r="I2877" i="2" s="1"/>
  <c r="F2881" i="2"/>
  <c r="J2881" i="2" s="1"/>
  <c r="H2881" i="2" s="1"/>
  <c r="K2895" i="2"/>
  <c r="J2895" i="2"/>
  <c r="H2895" i="2" s="1"/>
  <c r="G2974" i="2"/>
  <c r="F2974" i="2"/>
  <c r="I2974" i="2" s="1"/>
  <c r="G3037" i="2"/>
  <c r="F3037" i="2"/>
  <c r="K3037" i="2" s="1"/>
  <c r="G3150" i="2"/>
  <c r="F3150" i="2"/>
  <c r="K3150" i="2" s="1"/>
  <c r="F2396" i="2"/>
  <c r="F2406" i="2"/>
  <c r="F2416" i="2"/>
  <c r="F2428" i="2"/>
  <c r="F2440" i="2"/>
  <c r="F2452" i="2"/>
  <c r="F2462" i="2"/>
  <c r="F2474" i="2"/>
  <c r="F2488" i="2"/>
  <c r="F2501" i="2"/>
  <c r="F2514" i="2"/>
  <c r="G2546" i="2"/>
  <c r="F2546" i="2"/>
  <c r="F2567" i="2"/>
  <c r="F2569" i="2"/>
  <c r="F2574" i="2"/>
  <c r="J2574" i="2" s="1"/>
  <c r="H2574" i="2" s="1"/>
  <c r="F2580" i="2"/>
  <c r="F2584" i="2"/>
  <c r="K2584" i="2" s="1"/>
  <c r="F2603" i="2"/>
  <c r="F2607" i="2"/>
  <c r="I2607" i="2" s="1"/>
  <c r="F2611" i="2"/>
  <c r="K2628" i="2"/>
  <c r="F2632" i="2"/>
  <c r="I2632" i="2" s="1"/>
  <c r="F2636" i="2"/>
  <c r="F2664" i="2"/>
  <c r="K2664" i="2" s="1"/>
  <c r="G2687" i="2"/>
  <c r="F2687" i="2"/>
  <c r="K2687" i="2" s="1"/>
  <c r="F2702" i="2"/>
  <c r="I2702" i="2" s="1"/>
  <c r="J2713" i="2"/>
  <c r="H2713" i="2" s="1"/>
  <c r="I2713" i="2"/>
  <c r="F2740" i="2"/>
  <c r="J2740" i="2" s="1"/>
  <c r="H2740" i="2" s="1"/>
  <c r="G2777" i="2"/>
  <c r="F2777" i="2"/>
  <c r="I2777" i="2" s="1"/>
  <c r="F2781" i="2"/>
  <c r="F2815" i="2"/>
  <c r="I2815" i="2" s="1"/>
  <c r="G2815" i="2"/>
  <c r="F2829" i="2"/>
  <c r="J2829" i="2" s="1"/>
  <c r="H2829" i="2" s="1"/>
  <c r="F2844" i="2"/>
  <c r="K2844" i="2" s="1"/>
  <c r="G2847" i="2"/>
  <c r="F2936" i="2"/>
  <c r="K2936" i="2" s="1"/>
  <c r="J2941" i="2"/>
  <c r="H2941" i="2" s="1"/>
  <c r="K2941" i="2"/>
  <c r="I2941" i="2"/>
  <c r="F2480" i="2"/>
  <c r="I2480" i="2" s="1"/>
  <c r="F2496" i="2"/>
  <c r="K2496" i="2" s="1"/>
  <c r="G2501" i="2"/>
  <c r="F2532" i="2"/>
  <c r="I2532" i="2" s="1"/>
  <c r="F2541" i="2"/>
  <c r="G2584" i="2"/>
  <c r="I2586" i="2"/>
  <c r="G2586" i="2"/>
  <c r="K2594" i="2"/>
  <c r="G2607" i="2"/>
  <c r="G2609" i="2"/>
  <c r="F2609" i="2"/>
  <c r="K2619" i="2"/>
  <c r="J2619" i="2"/>
  <c r="H2619" i="2" s="1"/>
  <c r="G2632" i="2"/>
  <c r="G2636" i="2"/>
  <c r="I2638" i="2"/>
  <c r="G2638" i="2"/>
  <c r="K2642" i="2"/>
  <c r="J2642" i="2"/>
  <c r="H2642" i="2" s="1"/>
  <c r="I2642" i="2"/>
  <c r="I2660" i="2"/>
  <c r="G2660" i="2"/>
  <c r="K2660" i="2"/>
  <c r="G2664" i="2"/>
  <c r="K2673" i="2"/>
  <c r="J2673" i="2"/>
  <c r="H2673" i="2" s="1"/>
  <c r="F2681" i="2"/>
  <c r="K2681" i="2" s="1"/>
  <c r="G2702" i="2"/>
  <c r="G2718" i="2"/>
  <c r="F2718" i="2"/>
  <c r="I2718" i="2" s="1"/>
  <c r="G2727" i="2"/>
  <c r="K2727" i="2"/>
  <c r="J2727" i="2"/>
  <c r="H2727" i="2" s="1"/>
  <c r="I2727" i="2"/>
  <c r="G2752" i="2"/>
  <c r="F2752" i="2"/>
  <c r="J2752" i="2" s="1"/>
  <c r="H2752" i="2" s="1"/>
  <c r="F2772" i="2"/>
  <c r="I2772" i="2" s="1"/>
  <c r="G2781" i="2"/>
  <c r="F2783" i="2"/>
  <c r="K2783" i="2" s="1"/>
  <c r="F2805" i="2"/>
  <c r="I2805" i="2" s="1"/>
  <c r="G2829" i="2"/>
  <c r="G2844" i="2"/>
  <c r="F2847" i="2"/>
  <c r="J2869" i="2"/>
  <c r="I2869" i="2"/>
  <c r="G2902" i="2"/>
  <c r="F2902" i="2"/>
  <c r="K2902" i="2" s="1"/>
  <c r="I3062" i="2"/>
  <c r="G3062" i="2"/>
  <c r="K3062" i="2"/>
  <c r="J3062" i="2"/>
  <c r="H3062" i="2" s="1"/>
  <c r="I3074" i="2"/>
  <c r="J3074" i="2"/>
  <c r="H3074" i="2" s="1"/>
  <c r="K3074" i="2"/>
  <c r="I2711" i="2"/>
  <c r="J2756" i="2"/>
  <c r="F2776" i="2"/>
  <c r="K2776" i="2" s="1"/>
  <c r="F2793" i="2"/>
  <c r="J2793" i="2" s="1"/>
  <c r="H2793" i="2" s="1"/>
  <c r="G2793" i="2"/>
  <c r="K2802" i="2"/>
  <c r="J2802" i="2"/>
  <c r="H2802" i="2" s="1"/>
  <c r="I2802" i="2"/>
  <c r="G2831" i="2"/>
  <c r="F2831" i="2"/>
  <c r="J2831" i="2" s="1"/>
  <c r="H2831" i="2" s="1"/>
  <c r="K2886" i="2"/>
  <c r="J2886" i="2"/>
  <c r="H2886" i="2" s="1"/>
  <c r="I2886" i="2"/>
  <c r="K2917" i="2"/>
  <c r="G2917" i="2"/>
  <c r="J2917" i="2"/>
  <c r="H2917" i="2" s="1"/>
  <c r="I2917" i="2"/>
  <c r="F2955" i="2"/>
  <c r="J2955" i="2" s="1"/>
  <c r="H2955" i="2" s="1"/>
  <c r="G2955" i="2"/>
  <c r="K3006" i="2"/>
  <c r="I3006" i="2"/>
  <c r="G3006" i="2"/>
  <c r="J3022" i="2"/>
  <c r="H3022" i="2" s="1"/>
  <c r="I3022" i="2"/>
  <c r="K3022" i="2"/>
  <c r="K3066" i="2"/>
  <c r="J3066" i="2"/>
  <c r="H3066" i="2" s="1"/>
  <c r="I3066" i="2"/>
  <c r="G3066" i="2"/>
  <c r="F3110" i="2"/>
  <c r="K3110" i="2" s="1"/>
  <c r="G3110" i="2"/>
  <c r="I3224" i="2"/>
  <c r="J3224" i="2"/>
  <c r="H3224" i="2" s="1"/>
  <c r="K3224" i="2"/>
  <c r="G3047" i="2"/>
  <c r="G3085" i="2"/>
  <c r="F3085" i="2"/>
  <c r="I3085" i="2" s="1"/>
  <c r="G2769" i="2"/>
  <c r="G2812" i="2"/>
  <c r="F2837" i="2"/>
  <c r="K2837" i="2" s="1"/>
  <c r="G2856" i="2"/>
  <c r="G2865" i="2"/>
  <c r="F2884" i="2"/>
  <c r="I2884" i="2" s="1"/>
  <c r="G2884" i="2"/>
  <c r="F2892" i="2"/>
  <c r="K2892" i="2" s="1"/>
  <c r="J2896" i="2"/>
  <c r="H2896" i="2" s="1"/>
  <c r="K2896" i="2"/>
  <c r="G2937" i="2"/>
  <c r="F2937" i="2"/>
  <c r="I2937" i="2" s="1"/>
  <c r="G2971" i="2"/>
  <c r="F3047" i="2"/>
  <c r="K3047" i="2" s="1"/>
  <c r="I3051" i="2"/>
  <c r="J3051" i="2"/>
  <c r="H3051" i="2" s="1"/>
  <c r="K3051" i="2"/>
  <c r="F3056" i="2"/>
  <c r="I3056" i="2" s="1"/>
  <c r="G3056" i="2"/>
  <c r="G3075" i="2"/>
  <c r="F3075" i="2"/>
  <c r="K3075" i="2" s="1"/>
  <c r="F2582" i="2"/>
  <c r="F2592" i="2"/>
  <c r="F2602" i="2"/>
  <c r="F2612" i="2"/>
  <c r="F2624" i="2"/>
  <c r="F2634" i="2"/>
  <c r="F2646" i="2"/>
  <c r="F2656" i="2"/>
  <c r="F2668" i="2"/>
  <c r="F2678" i="2"/>
  <c r="G2690" i="2"/>
  <c r="F2701" i="2"/>
  <c r="F2704" i="2"/>
  <c r="F2712" i="2"/>
  <c r="F2715" i="2"/>
  <c r="K2715" i="2" s="1"/>
  <c r="F2726" i="2"/>
  <c r="F2746" i="2"/>
  <c r="F2753" i="2"/>
  <c r="I2753" i="2" s="1"/>
  <c r="F2767" i="2"/>
  <c r="F2769" i="2"/>
  <c r="K2769" i="2" s="1"/>
  <c r="F2812" i="2"/>
  <c r="G2817" i="2"/>
  <c r="F2817" i="2"/>
  <c r="F2826" i="2"/>
  <c r="K2826" i="2" s="1"/>
  <c r="G2837" i="2"/>
  <c r="F2841" i="2"/>
  <c r="K2841" i="2" s="1"/>
  <c r="F2856" i="2"/>
  <c r="I2856" i="2" s="1"/>
  <c r="F2865" i="2"/>
  <c r="J2865" i="2" s="1"/>
  <c r="H2865" i="2" s="1"/>
  <c r="G2885" i="2"/>
  <c r="F2885" i="2"/>
  <c r="J2885" i="2" s="1"/>
  <c r="H2885" i="2" s="1"/>
  <c r="G2892" i="2"/>
  <c r="G2931" i="2"/>
  <c r="F2971" i="2"/>
  <c r="K2971" i="2" s="1"/>
  <c r="G2975" i="2"/>
  <c r="F2982" i="2"/>
  <c r="K2986" i="2"/>
  <c r="G3011" i="2"/>
  <c r="F3011" i="2"/>
  <c r="J3011" i="2" s="1"/>
  <c r="H3011" i="2" s="1"/>
  <c r="G3086" i="2"/>
  <c r="G3115" i="2"/>
  <c r="J3115" i="2"/>
  <c r="H3115" i="2" s="1"/>
  <c r="F3162" i="2"/>
  <c r="K3162" i="2" s="1"/>
  <c r="G3162" i="2"/>
  <c r="F2698" i="2"/>
  <c r="J2698" i="2" s="1"/>
  <c r="H2698" i="2" s="1"/>
  <c r="G2715" i="2"/>
  <c r="I2731" i="2"/>
  <c r="G2739" i="2"/>
  <c r="J2742" i="2"/>
  <c r="H2742" i="2" s="1"/>
  <c r="G2753" i="2"/>
  <c r="G2755" i="2"/>
  <c r="F2755" i="2"/>
  <c r="K2755" i="2" s="1"/>
  <c r="G2767" i="2"/>
  <c r="F2775" i="2"/>
  <c r="I2775" i="2" s="1"/>
  <c r="G2778" i="2"/>
  <c r="K2778" i="2"/>
  <c r="J2778" i="2"/>
  <c r="H2778" i="2" s="1"/>
  <c r="I2780" i="2"/>
  <c r="G2780" i="2"/>
  <c r="K2780" i="2"/>
  <c r="F2788" i="2"/>
  <c r="F2797" i="2"/>
  <c r="K2797" i="2" s="1"/>
  <c r="F2799" i="2"/>
  <c r="K2799" i="2" s="1"/>
  <c r="G2826" i="2"/>
  <c r="G2841" i="2"/>
  <c r="F2859" i="2"/>
  <c r="F2888" i="2"/>
  <c r="J2888" i="2" s="1"/>
  <c r="H2888" i="2" s="1"/>
  <c r="I2916" i="2"/>
  <c r="K2916" i="2"/>
  <c r="J2916" i="2"/>
  <c r="H2916" i="2" s="1"/>
  <c r="G2916" i="2"/>
  <c r="G2919" i="2"/>
  <c r="K2919" i="2"/>
  <c r="J2919" i="2"/>
  <c r="H2919" i="2" s="1"/>
  <c r="G2922" i="2"/>
  <c r="F2922" i="2"/>
  <c r="G2942" i="2"/>
  <c r="F2942" i="2"/>
  <c r="I2942" i="2" s="1"/>
  <c r="G2946" i="2"/>
  <c r="F2946" i="2"/>
  <c r="J2946" i="2" s="1"/>
  <c r="H2946" i="2" s="1"/>
  <c r="F2975" i="2"/>
  <c r="J2975" i="2" s="1"/>
  <c r="H2975" i="2" s="1"/>
  <c r="F2978" i="2"/>
  <c r="I2978" i="2" s="1"/>
  <c r="G2978" i="2"/>
  <c r="F3072" i="2"/>
  <c r="F3086" i="2"/>
  <c r="J2759" i="2"/>
  <c r="H2759" i="2" s="1"/>
  <c r="K2878" i="2"/>
  <c r="J2878" i="2"/>
  <c r="H2878" i="2" s="1"/>
  <c r="G2890" i="2"/>
  <c r="F2890" i="2"/>
  <c r="K2890" i="2" s="1"/>
  <c r="K2914" i="2"/>
  <c r="J2928" i="2"/>
  <c r="H2928" i="2" s="1"/>
  <c r="I2928" i="2"/>
  <c r="F2949" i="2"/>
  <c r="K2961" i="2"/>
  <c r="J2961" i="2"/>
  <c r="H2961" i="2" s="1"/>
  <c r="K3002" i="2"/>
  <c r="J3002" i="2"/>
  <c r="H3002" i="2" s="1"/>
  <c r="I3002" i="2"/>
  <c r="G3002" i="2"/>
  <c r="F3005" i="2"/>
  <c r="I3020" i="2"/>
  <c r="J3020" i="2"/>
  <c r="K3422" i="2" s="1"/>
  <c r="F3035" i="2"/>
  <c r="I3035" i="2" s="1"/>
  <c r="K3054" i="2"/>
  <c r="J3054" i="2"/>
  <c r="H3054" i="2" s="1"/>
  <c r="I3054" i="2"/>
  <c r="K3148" i="2"/>
  <c r="J3148" i="2"/>
  <c r="H3148" i="2" s="1"/>
  <c r="I3148" i="2"/>
  <c r="J3200" i="2"/>
  <c r="H3200" i="2" s="1"/>
  <c r="I3200" i="2"/>
  <c r="K3200" i="2"/>
  <c r="K3163" i="2"/>
  <c r="J3163" i="2"/>
  <c r="H3163" i="2" s="1"/>
  <c r="I3197" i="2"/>
  <c r="J3197" i="2"/>
  <c r="H3197" i="2" s="1"/>
  <c r="K3250" i="2"/>
  <c r="J3250" i="2"/>
  <c r="H3250" i="2" s="1"/>
  <c r="I3250" i="2"/>
  <c r="G3283" i="2"/>
  <c r="F3283" i="2"/>
  <c r="I3283" i="2" s="1"/>
  <c r="G3121" i="2"/>
  <c r="F3121" i="2"/>
  <c r="K3121" i="2" s="1"/>
  <c r="G3205" i="2"/>
  <c r="F3205" i="2"/>
  <c r="I3205" i="2" s="1"/>
  <c r="K3119" i="2"/>
  <c r="J3119" i="2"/>
  <c r="H3119" i="2" s="1"/>
  <c r="I3119" i="2"/>
  <c r="G3119" i="2"/>
  <c r="F3129" i="2"/>
  <c r="K3189" i="2"/>
  <c r="J3189" i="2"/>
  <c r="H3189" i="2" s="1"/>
  <c r="I3189" i="2"/>
  <c r="K3197" i="2"/>
  <c r="G3222" i="2"/>
  <c r="F3222" i="2"/>
  <c r="J3222" i="2" s="1"/>
  <c r="H3222" i="2" s="1"/>
  <c r="G3258" i="2"/>
  <c r="F3258" i="2"/>
  <c r="I3258" i="2" s="1"/>
  <c r="G3338" i="2"/>
  <c r="F3338" i="2"/>
  <c r="J3338" i="2" s="1"/>
  <c r="H3338" i="2" s="1"/>
  <c r="G3167" i="2"/>
  <c r="F3167" i="2"/>
  <c r="K3167" i="2" s="1"/>
  <c r="G3170" i="2"/>
  <c r="F3170" i="2"/>
  <c r="K3170" i="2" s="1"/>
  <c r="G3192" i="2"/>
  <c r="F3192" i="2"/>
  <c r="J3192" i="2" s="1"/>
  <c r="H3192" i="2" s="1"/>
  <c r="G3198" i="2"/>
  <c r="F3198" i="2"/>
  <c r="K3198" i="2" s="1"/>
  <c r="G3212" i="2"/>
  <c r="F3212" i="2"/>
  <c r="J3212" i="2" s="1"/>
  <c r="H3212" i="2" s="1"/>
  <c r="G3297" i="2"/>
  <c r="F3297" i="2"/>
  <c r="J3297" i="2" s="1"/>
  <c r="H3297" i="2" s="1"/>
  <c r="K3331" i="2"/>
  <c r="J3331" i="2"/>
  <c r="H3331" i="2" s="1"/>
  <c r="I3331" i="2"/>
  <c r="G2894" i="2"/>
  <c r="F2894" i="2"/>
  <c r="K2894" i="2" s="1"/>
  <c r="J2935" i="2"/>
  <c r="H2935" i="2" s="1"/>
  <c r="I2935" i="2"/>
  <c r="F2945" i="2"/>
  <c r="K2945" i="2" s="1"/>
  <c r="K2988" i="2"/>
  <c r="J2988" i="2"/>
  <c r="G3028" i="2"/>
  <c r="G3060" i="2"/>
  <c r="K3067" i="2"/>
  <c r="J3067" i="2"/>
  <c r="H3067" i="2" s="1"/>
  <c r="G3070" i="2"/>
  <c r="K3081" i="2"/>
  <c r="J3081" i="2"/>
  <c r="H3081" i="2" s="1"/>
  <c r="F3135" i="2"/>
  <c r="K3135" i="2" s="1"/>
  <c r="I3160" i="2"/>
  <c r="G3189" i="2"/>
  <c r="G3203" i="2"/>
  <c r="F3203" i="2"/>
  <c r="K3203" i="2" s="1"/>
  <c r="G3213" i="2"/>
  <c r="F3213" i="2"/>
  <c r="K3213" i="2" s="1"/>
  <c r="F3231" i="2"/>
  <c r="J3231" i="2" s="1"/>
  <c r="H3231" i="2" s="1"/>
  <c r="G3254" i="2"/>
  <c r="F2747" i="2"/>
  <c r="F2760" i="2"/>
  <c r="I2782" i="2"/>
  <c r="F2790" i="2"/>
  <c r="K2798" i="2"/>
  <c r="J2801" i="2"/>
  <c r="H2801" i="2" s="1"/>
  <c r="F2814" i="2"/>
  <c r="F2846" i="2"/>
  <c r="I2846" i="2" s="1"/>
  <c r="K2857" i="2"/>
  <c r="I2862" i="2"/>
  <c r="K2862" i="2"/>
  <c r="K2897" i="2"/>
  <c r="J2897" i="2"/>
  <c r="H2897" i="2" s="1"/>
  <c r="I2897" i="2"/>
  <c r="F2904" i="2"/>
  <c r="K2904" i="2" s="1"/>
  <c r="I2911" i="2"/>
  <c r="G2911" i="2"/>
  <c r="G2930" i="2"/>
  <c r="F2930" i="2"/>
  <c r="I2930" i="2" s="1"/>
  <c r="J2933" i="2"/>
  <c r="H2933" i="2" s="1"/>
  <c r="I2933" i="2"/>
  <c r="K2933" i="2"/>
  <c r="G2945" i="2"/>
  <c r="K2963" i="2"/>
  <c r="J2963" i="2"/>
  <c r="H2963" i="2" s="1"/>
  <c r="I2963" i="2"/>
  <c r="I2998" i="2"/>
  <c r="G2998" i="2"/>
  <c r="K2998" i="2"/>
  <c r="J2998" i="2"/>
  <c r="H2998" i="2" s="1"/>
  <c r="G3001" i="2"/>
  <c r="F3001" i="2"/>
  <c r="F3028" i="2"/>
  <c r="K3028" i="2" s="1"/>
  <c r="F3031" i="2"/>
  <c r="J3031" i="2" s="1"/>
  <c r="H3031" i="2" s="1"/>
  <c r="G3045" i="2"/>
  <c r="F3045" i="2"/>
  <c r="K3045" i="2" s="1"/>
  <c r="F3060" i="2"/>
  <c r="I3060" i="2" s="1"/>
  <c r="F3070" i="2"/>
  <c r="I3070" i="2" s="1"/>
  <c r="I3111" i="2"/>
  <c r="J3111" i="2"/>
  <c r="H3111" i="2" s="1"/>
  <c r="K3111" i="2"/>
  <c r="G3135" i="2"/>
  <c r="K3142" i="2"/>
  <c r="J3142" i="2"/>
  <c r="H3142" i="2" s="1"/>
  <c r="I3142" i="2"/>
  <c r="G3142" i="2"/>
  <c r="G3160" i="2"/>
  <c r="K3187" i="2"/>
  <c r="J3187" i="2"/>
  <c r="H3187" i="2" s="1"/>
  <c r="I3187" i="2"/>
  <c r="K3245" i="2"/>
  <c r="J3245" i="2"/>
  <c r="H3245" i="2" s="1"/>
  <c r="I3245" i="2"/>
  <c r="G3245" i="2"/>
  <c r="F3254" i="2"/>
  <c r="K3254" i="2" s="1"/>
  <c r="F3315" i="2"/>
  <c r="J3315" i="2" s="1"/>
  <c r="H3315" i="2" s="1"/>
  <c r="G3315" i="2"/>
  <c r="G2747" i="2"/>
  <c r="J2779" i="2"/>
  <c r="H2779" i="2" s="1"/>
  <c r="G2801" i="2"/>
  <c r="J2835" i="2"/>
  <c r="H2835" i="2" s="1"/>
  <c r="I2850" i="2"/>
  <c r="F2866" i="2"/>
  <c r="I2866" i="2" s="1"/>
  <c r="G2870" i="2"/>
  <c r="F2870" i="2"/>
  <c r="G2904" i="2"/>
  <c r="J2923" i="2"/>
  <c r="H2923" i="2" s="1"/>
  <c r="I2923" i="2"/>
  <c r="K2923" i="2"/>
  <c r="K2935" i="2"/>
  <c r="G2965" i="2"/>
  <c r="F2965" i="2"/>
  <c r="I2965" i="2" s="1"/>
  <c r="J2973" i="2"/>
  <c r="H2973" i="2" s="1"/>
  <c r="I2973" i="2"/>
  <c r="I2979" i="2"/>
  <c r="G2979" i="2"/>
  <c r="I2986" i="2"/>
  <c r="G2986" i="2"/>
  <c r="G3031" i="2"/>
  <c r="K3041" i="2"/>
  <c r="J3041" i="2"/>
  <c r="H3041" i="2" s="1"/>
  <c r="I3041" i="2"/>
  <c r="G3041" i="2"/>
  <c r="G3057" i="2"/>
  <c r="F3057" i="2"/>
  <c r="J3057" i="2" s="1"/>
  <c r="H3057" i="2" s="1"/>
  <c r="K3123" i="2"/>
  <c r="J3123" i="2"/>
  <c r="H3123" i="2" s="1"/>
  <c r="I3123" i="2"/>
  <c r="K3127" i="2"/>
  <c r="J3127" i="2"/>
  <c r="H3127" i="2" s="1"/>
  <c r="I3127" i="2"/>
  <c r="K3176" i="2"/>
  <c r="J3176" i="2"/>
  <c r="H3176" i="2" s="1"/>
  <c r="I3176" i="2"/>
  <c r="K3240" i="2"/>
  <c r="I3240" i="2"/>
  <c r="G3240" i="2"/>
  <c r="J3240" i="2"/>
  <c r="H3240" i="2" s="1"/>
  <c r="G3287" i="2"/>
  <c r="F3287" i="2"/>
  <c r="J3287" i="2" s="1"/>
  <c r="H3287" i="2" s="1"/>
  <c r="F3333" i="2"/>
  <c r="K3333" i="2" s="1"/>
  <c r="I2882" i="2"/>
  <c r="K2900" i="2"/>
  <c r="J2900" i="2"/>
  <c r="H2900" i="2" s="1"/>
  <c r="G2912" i="2"/>
  <c r="F2912" i="2"/>
  <c r="I2934" i="2"/>
  <c r="G3053" i="2"/>
  <c r="F3053" i="2"/>
  <c r="I3053" i="2" s="1"/>
  <c r="G3107" i="2"/>
  <c r="F3107" i="2"/>
  <c r="K3107" i="2" s="1"/>
  <c r="I3118" i="2"/>
  <c r="J3118" i="2"/>
  <c r="H3118" i="2" s="1"/>
  <c r="G3131" i="2"/>
  <c r="F3131" i="2"/>
  <c r="I3131" i="2" s="1"/>
  <c r="K3168" i="2"/>
  <c r="J3168" i="2"/>
  <c r="H3168" i="2" s="1"/>
  <c r="I3168" i="2"/>
  <c r="G3168" i="2"/>
  <c r="G3180" i="2"/>
  <c r="F3180" i="2"/>
  <c r="I3180" i="2" s="1"/>
  <c r="G3183" i="2"/>
  <c r="F3183" i="2"/>
  <c r="J3183" i="2" s="1"/>
  <c r="H3183" i="2" s="1"/>
  <c r="G3247" i="2"/>
  <c r="F3247" i="2"/>
  <c r="K3247" i="2" s="1"/>
  <c r="G3266" i="2"/>
  <c r="K3266" i="2"/>
  <c r="J3266" i="2"/>
  <c r="H3266" i="2" s="1"/>
  <c r="G3357" i="2"/>
  <c r="F3357" i="2"/>
  <c r="J2913" i="2"/>
  <c r="H2913" i="2" s="1"/>
  <c r="I2913" i="2"/>
  <c r="J2914" i="2"/>
  <c r="H2914" i="2" s="1"/>
  <c r="G2977" i="2"/>
  <c r="F2977" i="2"/>
  <c r="K2977" i="2" s="1"/>
  <c r="G3008" i="2"/>
  <c r="G3094" i="2"/>
  <c r="G3136" i="2"/>
  <c r="G3141" i="2"/>
  <c r="F3141" i="2"/>
  <c r="I3141" i="2" s="1"/>
  <c r="G3292" i="2"/>
  <c r="F3292" i="2"/>
  <c r="J3292" i="2" s="1"/>
  <c r="H3292" i="2" s="1"/>
  <c r="G3342" i="2"/>
  <c r="F3342" i="2"/>
  <c r="G2880" i="2"/>
  <c r="F2880" i="2"/>
  <c r="K2880" i="2" s="1"/>
  <c r="F2899" i="2"/>
  <c r="I2899" i="2" s="1"/>
  <c r="F2901" i="2"/>
  <c r="F2906" i="2"/>
  <c r="I2906" i="2" s="1"/>
  <c r="G2932" i="2"/>
  <c r="F2932" i="2"/>
  <c r="F2948" i="2"/>
  <c r="J2948" i="2" s="1"/>
  <c r="H2948" i="2" s="1"/>
  <c r="F2954" i="2"/>
  <c r="I2954" i="2" s="1"/>
  <c r="F2960" i="2"/>
  <c r="I2960" i="2" s="1"/>
  <c r="F2981" i="2"/>
  <c r="K2981" i="2" s="1"/>
  <c r="F2987" i="2"/>
  <c r="I2987" i="2" s="1"/>
  <c r="F2991" i="2"/>
  <c r="F3008" i="2"/>
  <c r="K3008" i="2" s="1"/>
  <c r="G3015" i="2"/>
  <c r="K3039" i="2"/>
  <c r="J3039" i="2"/>
  <c r="H3039" i="2" s="1"/>
  <c r="I3039" i="2"/>
  <c r="G3049" i="2"/>
  <c r="F3049" i="2"/>
  <c r="K3049" i="2" s="1"/>
  <c r="G3052" i="2"/>
  <c r="G3076" i="2"/>
  <c r="F3076" i="2"/>
  <c r="K3076" i="2" s="1"/>
  <c r="F3092" i="2"/>
  <c r="F3094" i="2"/>
  <c r="I3094" i="2" s="1"/>
  <c r="F3136" i="2"/>
  <c r="J3136" i="2" s="1"/>
  <c r="H3136" i="2" s="1"/>
  <c r="G3249" i="2"/>
  <c r="I2896" i="2"/>
  <c r="J2903" i="2"/>
  <c r="H2903" i="2" s="1"/>
  <c r="I2903" i="2"/>
  <c r="G2913" i="2"/>
  <c r="F2920" i="2"/>
  <c r="I2920" i="2" s="1"/>
  <c r="F2927" i="2"/>
  <c r="G2954" i="2"/>
  <c r="G2960" i="2"/>
  <c r="I2962" i="2"/>
  <c r="G2962" i="2"/>
  <c r="G2981" i="2"/>
  <c r="G2987" i="2"/>
  <c r="G2989" i="2"/>
  <c r="F2989" i="2"/>
  <c r="J2993" i="2"/>
  <c r="H2993" i="2" s="1"/>
  <c r="I2993" i="2"/>
  <c r="K2999" i="2"/>
  <c r="J2999" i="2"/>
  <c r="K3009" i="2"/>
  <c r="K3013" i="2"/>
  <c r="J3013" i="2"/>
  <c r="H3013" i="2" s="1"/>
  <c r="I3013" i="2"/>
  <c r="F3015" i="2"/>
  <c r="K3015" i="2" s="1"/>
  <c r="K3024" i="2"/>
  <c r="J3024" i="2"/>
  <c r="H3024" i="2" s="1"/>
  <c r="I3024" i="2"/>
  <c r="G3024" i="2"/>
  <c r="J3027" i="2"/>
  <c r="I3027" i="2"/>
  <c r="F3052" i="2"/>
  <c r="I3052" i="2" s="1"/>
  <c r="F3079" i="2"/>
  <c r="J3079" i="2" s="1"/>
  <c r="H3079" i="2" s="1"/>
  <c r="G3092" i="2"/>
  <c r="F3104" i="2"/>
  <c r="I3106" i="2"/>
  <c r="G3106" i="2"/>
  <c r="J3106" i="2"/>
  <c r="H3106" i="2" s="1"/>
  <c r="F3125" i="2"/>
  <c r="J3125" i="2" s="1"/>
  <c r="H3125" i="2" s="1"/>
  <c r="K3154" i="2"/>
  <c r="J3154" i="2"/>
  <c r="H3154" i="2" s="1"/>
  <c r="I3154" i="2"/>
  <c r="F3249" i="2"/>
  <c r="K3249" i="2" s="1"/>
  <c r="J3359" i="2"/>
  <c r="H3359" i="2" s="1"/>
  <c r="I3359" i="2"/>
  <c r="I3040" i="2"/>
  <c r="K3050" i="2"/>
  <c r="G3065" i="2"/>
  <c r="F3065" i="2"/>
  <c r="I3069" i="2"/>
  <c r="K3073" i="2"/>
  <c r="J3073" i="2"/>
  <c r="H3073" i="2" s="1"/>
  <c r="K3083" i="2"/>
  <c r="J3083" i="2"/>
  <c r="J3091" i="2"/>
  <c r="H3091" i="2" s="1"/>
  <c r="I3091" i="2"/>
  <c r="K3091" i="2"/>
  <c r="G3097" i="2"/>
  <c r="F3097" i="2"/>
  <c r="I3097" i="2" s="1"/>
  <c r="K3139" i="2"/>
  <c r="J3139" i="2"/>
  <c r="H3139" i="2" s="1"/>
  <c r="J3147" i="2"/>
  <c r="H3147" i="2" s="1"/>
  <c r="I3147" i="2"/>
  <c r="K3147" i="2"/>
  <c r="G3153" i="2"/>
  <c r="F3153" i="2"/>
  <c r="I3153" i="2" s="1"/>
  <c r="G3164" i="2"/>
  <c r="F3164" i="2"/>
  <c r="I3164" i="2" s="1"/>
  <c r="G3211" i="2"/>
  <c r="F3211" i="2"/>
  <c r="K3268" i="2"/>
  <c r="J3268" i="2"/>
  <c r="H3268" i="2" s="1"/>
  <c r="I3268" i="2"/>
  <c r="J3291" i="2"/>
  <c r="H3291" i="2" s="1"/>
  <c r="I3291" i="2"/>
  <c r="G3291" i="2"/>
  <c r="K3291" i="2"/>
  <c r="J3302" i="2"/>
  <c r="H3302" i="2" s="1"/>
  <c r="I3302" i="2"/>
  <c r="K3311" i="2"/>
  <c r="J3311" i="2"/>
  <c r="H3311" i="2" s="1"/>
  <c r="I3311" i="2"/>
  <c r="K3375" i="2"/>
  <c r="J3375" i="2"/>
  <c r="H3375" i="2" s="1"/>
  <c r="I3375" i="2"/>
  <c r="G3375" i="2"/>
  <c r="J3411" i="2"/>
  <c r="H3411" i="2" s="1"/>
  <c r="I3411" i="2"/>
  <c r="J3378" i="2"/>
  <c r="H3378" i="2" s="1"/>
  <c r="I3378" i="2"/>
  <c r="K3378" i="2"/>
  <c r="G3378" i="2"/>
  <c r="K3395" i="2"/>
  <c r="J3395" i="2"/>
  <c r="H3395" i="2" s="1"/>
  <c r="I3395" i="2"/>
  <c r="G3438" i="2"/>
  <c r="F3438" i="2"/>
  <c r="J3438" i="2" s="1"/>
  <c r="H3438" i="2" s="1"/>
  <c r="G3278" i="2"/>
  <c r="J3298" i="2"/>
  <c r="H3298" i="2" s="1"/>
  <c r="I3298" i="2"/>
  <c r="G3325" i="2"/>
  <c r="F3325" i="2"/>
  <c r="K3325" i="2" s="1"/>
  <c r="G3350" i="2"/>
  <c r="F3350" i="2"/>
  <c r="K3350" i="2" s="1"/>
  <c r="G3395" i="2"/>
  <c r="I3463" i="2"/>
  <c r="K3463" i="2"/>
  <c r="J3463" i="2"/>
  <c r="H3463" i="2" s="1"/>
  <c r="F3278" i="2"/>
  <c r="K3278" i="2" s="1"/>
  <c r="F3313" i="2"/>
  <c r="J3313" i="2" s="1"/>
  <c r="H3313" i="2" s="1"/>
  <c r="G3399" i="2"/>
  <c r="G3439" i="2"/>
  <c r="G3082" i="2"/>
  <c r="G3138" i="2"/>
  <c r="F3194" i="2"/>
  <c r="I3194" i="2" s="1"/>
  <c r="G3194" i="2"/>
  <c r="G3270" i="2"/>
  <c r="F3270" i="2"/>
  <c r="J3270" i="2" s="1"/>
  <c r="H3270" i="2" s="1"/>
  <c r="F3285" i="2"/>
  <c r="I3285" i="2" s="1"/>
  <c r="G3294" i="2"/>
  <c r="F3294" i="2"/>
  <c r="I3294" i="2" s="1"/>
  <c r="F3399" i="2"/>
  <c r="K3399" i="2" s="1"/>
  <c r="G3402" i="2"/>
  <c r="F3402" i="2"/>
  <c r="I3402" i="2" s="1"/>
  <c r="F3439" i="2"/>
  <c r="J3439" i="2" s="1"/>
  <c r="H3439" i="2" s="1"/>
  <c r="F2944" i="2"/>
  <c r="F2956" i="2"/>
  <c r="F2970" i="2"/>
  <c r="F2980" i="2"/>
  <c r="F2992" i="2"/>
  <c r="F3004" i="2"/>
  <c r="G3030" i="2"/>
  <c r="G3055" i="2"/>
  <c r="F3055" i="2"/>
  <c r="F3082" i="2"/>
  <c r="I3082" i="2" s="1"/>
  <c r="G3109" i="2"/>
  <c r="F3109" i="2"/>
  <c r="F3126" i="2"/>
  <c r="K3126" i="2" s="1"/>
  <c r="F3132" i="2"/>
  <c r="K3132" i="2" s="1"/>
  <c r="F3138" i="2"/>
  <c r="J3138" i="2" s="1"/>
  <c r="H3138" i="2" s="1"/>
  <c r="F3201" i="2"/>
  <c r="I3201" i="2" s="1"/>
  <c r="F3206" i="2"/>
  <c r="K3206" i="2" s="1"/>
  <c r="F3210" i="2"/>
  <c r="J3210" i="2" s="1"/>
  <c r="H3210" i="2" s="1"/>
  <c r="F3215" i="2"/>
  <c r="F3220" i="2"/>
  <c r="J3220" i="2" s="1"/>
  <c r="H3220" i="2" s="1"/>
  <c r="K3229" i="2"/>
  <c r="J3229" i="2"/>
  <c r="H3229" i="2" s="1"/>
  <c r="I3229" i="2"/>
  <c r="K3236" i="2"/>
  <c r="F3276" i="2"/>
  <c r="G3279" i="2"/>
  <c r="F3279" i="2"/>
  <c r="J3279" i="2" s="1"/>
  <c r="H3279" i="2" s="1"/>
  <c r="G3285" i="2"/>
  <c r="G3304" i="2"/>
  <c r="G3362" i="2"/>
  <c r="F3362" i="2"/>
  <c r="J3362" i="2" s="1"/>
  <c r="H3362" i="2" s="1"/>
  <c r="F3012" i="2"/>
  <c r="I3012" i="2" s="1"/>
  <c r="K3021" i="2"/>
  <c r="J3021" i="2"/>
  <c r="H3021" i="2" s="1"/>
  <c r="F3030" i="2"/>
  <c r="I3030" i="2" s="1"/>
  <c r="F3034" i="2"/>
  <c r="K3034" i="2" s="1"/>
  <c r="F3038" i="2"/>
  <c r="K3038" i="2" s="1"/>
  <c r="F3059" i="2"/>
  <c r="K3059" i="2" s="1"/>
  <c r="F3063" i="2"/>
  <c r="F3095" i="2"/>
  <c r="F3103" i="2"/>
  <c r="J3103" i="2" s="1"/>
  <c r="K3118" i="2" s="1"/>
  <c r="K3116" i="2"/>
  <c r="G3126" i="2"/>
  <c r="I3128" i="2"/>
  <c r="G3128" i="2"/>
  <c r="J3128" i="2"/>
  <c r="H3128" i="2" s="1"/>
  <c r="G3132" i="2"/>
  <c r="F3151" i="2"/>
  <c r="I3151" i="2" s="1"/>
  <c r="F3159" i="2"/>
  <c r="J3159" i="2" s="1"/>
  <c r="H3159" i="2" s="1"/>
  <c r="F3171" i="2"/>
  <c r="K3171" i="2" s="1"/>
  <c r="F3173" i="2"/>
  <c r="K3173" i="2" s="1"/>
  <c r="F3184" i="2"/>
  <c r="K3184" i="2" s="1"/>
  <c r="J3186" i="2"/>
  <c r="I3186" i="2"/>
  <c r="K3186" i="2"/>
  <c r="I3195" i="2"/>
  <c r="K3195" i="2"/>
  <c r="G3206" i="2"/>
  <c r="G3208" i="2"/>
  <c r="K3208" i="2"/>
  <c r="J3208" i="2"/>
  <c r="H3208" i="2" s="1"/>
  <c r="G3210" i="2"/>
  <c r="G3215" i="2"/>
  <c r="G3220" i="2"/>
  <c r="G3236" i="2"/>
  <c r="K3260" i="2"/>
  <c r="J3260" i="2"/>
  <c r="H3260" i="2" s="1"/>
  <c r="F3262" i="2"/>
  <c r="I3262" i="2" s="1"/>
  <c r="G3276" i="2"/>
  <c r="F3304" i="2"/>
  <c r="J3304" i="2" s="1"/>
  <c r="H3304" i="2" s="1"/>
  <c r="G3320" i="2"/>
  <c r="F3320" i="2"/>
  <c r="J3320" i="2" s="1"/>
  <c r="H3320" i="2" s="1"/>
  <c r="F3327" i="2"/>
  <c r="I3327" i="2" s="1"/>
  <c r="G3330" i="2"/>
  <c r="F3330" i="2"/>
  <c r="K3330" i="2" s="1"/>
  <c r="G3410" i="2"/>
  <c r="F3410" i="2"/>
  <c r="K3410" i="2" s="1"/>
  <c r="I3413" i="2"/>
  <c r="G3413" i="2"/>
  <c r="K3413" i="2"/>
  <c r="J3413" i="2"/>
  <c r="H3413" i="2" s="1"/>
  <c r="I3163" i="2"/>
  <c r="K3179" i="2"/>
  <c r="I3239" i="2"/>
  <c r="J3248" i="2"/>
  <c r="H3248" i="2" s="1"/>
  <c r="I3248" i="2"/>
  <c r="J3277" i="2"/>
  <c r="H3277" i="2" s="1"/>
  <c r="K3284" i="2"/>
  <c r="J3284" i="2"/>
  <c r="H3284" i="2" s="1"/>
  <c r="I3284" i="2"/>
  <c r="G3299" i="2"/>
  <c r="F3299" i="2"/>
  <c r="I3299" i="2" s="1"/>
  <c r="K3310" i="2"/>
  <c r="J3310" i="2"/>
  <c r="H3310" i="2" s="1"/>
  <c r="I3310" i="2"/>
  <c r="G3329" i="2"/>
  <c r="F3329" i="2"/>
  <c r="G3388" i="2"/>
  <c r="F3388" i="2"/>
  <c r="I3388" i="2" s="1"/>
  <c r="G3451" i="2"/>
  <c r="F3451" i="2"/>
  <c r="F3281" i="2"/>
  <c r="F3305" i="2"/>
  <c r="I3305" i="2" s="1"/>
  <c r="F3318" i="2"/>
  <c r="I3334" i="2"/>
  <c r="J3334" i="2"/>
  <c r="H3334" i="2" s="1"/>
  <c r="G3368" i="2"/>
  <c r="F3368" i="2"/>
  <c r="K3368" i="2" s="1"/>
  <c r="G3235" i="2"/>
  <c r="F3235" i="2"/>
  <c r="I3235" i="2" s="1"/>
  <c r="F3273" i="2"/>
  <c r="I3273" i="2" s="1"/>
  <c r="G3281" i="2"/>
  <c r="G3305" i="2"/>
  <c r="F3307" i="2"/>
  <c r="J3307" i="2" s="1"/>
  <c r="H3307" i="2" s="1"/>
  <c r="F3316" i="2"/>
  <c r="J3316" i="2" s="1"/>
  <c r="H3316" i="2" s="1"/>
  <c r="G3318" i="2"/>
  <c r="F3321" i="2"/>
  <c r="K3321" i="2" s="1"/>
  <c r="F3364" i="2"/>
  <c r="K3364" i="2" s="1"/>
  <c r="K3393" i="2"/>
  <c r="J3393" i="2"/>
  <c r="H3393" i="2" s="1"/>
  <c r="I3393" i="2"/>
  <c r="F3450" i="2"/>
  <c r="K3450" i="2" s="1"/>
  <c r="I3453" i="2"/>
  <c r="K3453" i="2"/>
  <c r="J3453" i="2"/>
  <c r="H3453" i="2" s="1"/>
  <c r="F3026" i="2"/>
  <c r="F3036" i="2"/>
  <c r="F3048" i="2"/>
  <c r="F3058" i="2"/>
  <c r="F3068" i="2"/>
  <c r="F3078" i="2"/>
  <c r="F3090" i="2"/>
  <c r="F3100" i="2"/>
  <c r="F3112" i="2"/>
  <c r="F3124" i="2"/>
  <c r="F3134" i="2"/>
  <c r="F3146" i="2"/>
  <c r="F3156" i="2"/>
  <c r="F3161" i="2"/>
  <c r="F3191" i="2"/>
  <c r="F3202" i="2"/>
  <c r="F3219" i="2"/>
  <c r="I3219" i="2" s="1"/>
  <c r="F3228" i="2"/>
  <c r="K3228" i="2" s="1"/>
  <c r="F3237" i="2"/>
  <c r="G3253" i="2"/>
  <c r="G3269" i="2"/>
  <c r="G3273" i="2"/>
  <c r="F3275" i="2"/>
  <c r="K3275" i="2" s="1"/>
  <c r="G3307" i="2"/>
  <c r="G3316" i="2"/>
  <c r="G3321" i="2"/>
  <c r="K3334" i="2"/>
  <c r="F3348" i="2"/>
  <c r="I3348" i="2" s="1"/>
  <c r="G3361" i="2"/>
  <c r="G3364" i="2"/>
  <c r="G3379" i="2"/>
  <c r="G3382" i="2"/>
  <c r="F3382" i="2"/>
  <c r="I3382" i="2" s="1"/>
  <c r="G3429" i="2"/>
  <c r="F3429" i="2"/>
  <c r="G3172" i="2"/>
  <c r="F3185" i="2"/>
  <c r="F3199" i="2"/>
  <c r="K3199" i="2" s="1"/>
  <c r="G3202" i="2"/>
  <c r="K3209" i="2"/>
  <c r="J3209" i="2"/>
  <c r="H3209" i="2" s="1"/>
  <c r="K3216" i="2"/>
  <c r="G3219" i="2"/>
  <c r="G3221" i="2"/>
  <c r="F3221" i="2"/>
  <c r="G3228" i="2"/>
  <c r="F3244" i="2"/>
  <c r="F3253" i="2"/>
  <c r="I3253" i="2" s="1"/>
  <c r="F3259" i="2"/>
  <c r="K3259" i="2" s="1"/>
  <c r="F3263" i="2"/>
  <c r="K3263" i="2" s="1"/>
  <c r="F3286" i="2"/>
  <c r="K3286" i="2" s="1"/>
  <c r="J3337" i="2"/>
  <c r="H3337" i="2" s="1"/>
  <c r="I3337" i="2"/>
  <c r="F3340" i="2"/>
  <c r="G3348" i="2"/>
  <c r="F3361" i="2"/>
  <c r="I3361" i="2" s="1"/>
  <c r="F3379" i="2"/>
  <c r="K3379" i="2" s="1"/>
  <c r="K3386" i="2"/>
  <c r="J3386" i="2"/>
  <c r="H3386" i="2" s="1"/>
  <c r="I3386" i="2"/>
  <c r="K3415" i="2"/>
  <c r="J3415" i="2"/>
  <c r="H3415" i="2" s="1"/>
  <c r="G3425" i="2"/>
  <c r="F3425" i="2"/>
  <c r="J3425" i="2" s="1"/>
  <c r="H3425" i="2" s="1"/>
  <c r="G3460" i="2"/>
  <c r="F3460" i="2"/>
  <c r="I3460" i="2" s="1"/>
  <c r="K3298" i="2"/>
  <c r="G3347" i="2"/>
  <c r="F3347" i="2"/>
  <c r="K3347" i="2" s="1"/>
  <c r="K3427" i="2"/>
  <c r="J3427" i="2"/>
  <c r="H3427" i="2" s="1"/>
  <c r="I3427" i="2"/>
  <c r="G3349" i="2"/>
  <c r="F3349" i="2"/>
  <c r="K3349" i="2" s="1"/>
  <c r="K3373" i="2"/>
  <c r="J3373" i="2"/>
  <c r="H3373" i="2" s="1"/>
  <c r="G3384" i="2"/>
  <c r="F3384" i="2"/>
  <c r="K3384" i="2" s="1"/>
  <c r="F3261" i="2"/>
  <c r="F3267" i="2"/>
  <c r="F3280" i="2"/>
  <c r="F3312" i="2"/>
  <c r="F3322" i="2"/>
  <c r="G3328" i="2"/>
  <c r="G3332" i="2"/>
  <c r="F3332" i="2"/>
  <c r="K3332" i="2" s="1"/>
  <c r="F3360" i="2"/>
  <c r="J3360" i="2" s="1"/>
  <c r="H3360" i="2" s="1"/>
  <c r="F3369" i="2"/>
  <c r="K3369" i="2" s="1"/>
  <c r="G3391" i="2"/>
  <c r="F3398" i="2"/>
  <c r="K3398" i="2" s="1"/>
  <c r="F3444" i="2"/>
  <c r="G3461" i="2"/>
  <c r="F3264" i="2"/>
  <c r="G3267" i="2"/>
  <c r="G3293" i="2"/>
  <c r="F3306" i="2"/>
  <c r="I3317" i="2"/>
  <c r="G3322" i="2"/>
  <c r="G3326" i="2"/>
  <c r="F3326" i="2"/>
  <c r="K3345" i="2"/>
  <c r="J3345" i="2"/>
  <c r="H3345" i="2" s="1"/>
  <c r="I3345" i="2"/>
  <c r="K3352" i="2"/>
  <c r="J3352" i="2"/>
  <c r="H3352" i="2" s="1"/>
  <c r="I3352" i="2"/>
  <c r="G3360" i="2"/>
  <c r="G3369" i="2"/>
  <c r="I3371" i="2"/>
  <c r="G3371" i="2"/>
  <c r="F3391" i="2"/>
  <c r="G3398" i="2"/>
  <c r="F3417" i="2"/>
  <c r="K3417" i="2" s="1"/>
  <c r="G3444" i="2"/>
  <c r="F3461" i="2"/>
  <c r="K3389" i="2"/>
  <c r="K3411" i="2"/>
  <c r="J3420" i="2"/>
  <c r="H3420" i="2" s="1"/>
  <c r="G3428" i="2"/>
  <c r="F3428" i="2"/>
  <c r="J3428" i="2" s="1"/>
  <c r="H3428" i="2" s="1"/>
  <c r="J3432" i="2"/>
  <c r="H3432" i="2" s="1"/>
  <c r="I3432" i="2"/>
  <c r="K3448" i="2"/>
  <c r="J3448" i="2"/>
  <c r="H3448" i="2" s="1"/>
  <c r="J3454" i="2"/>
  <c r="I3454" i="2"/>
  <c r="G3435" i="2"/>
  <c r="K3414" i="2"/>
  <c r="J3414" i="2"/>
  <c r="H3414" i="2" s="1"/>
  <c r="G3420" i="2"/>
  <c r="F3435" i="2"/>
  <c r="J3435" i="2" s="1"/>
  <c r="H3435" i="2" s="1"/>
  <c r="I3447" i="2"/>
  <c r="G3447" i="2"/>
  <c r="K3447" i="2"/>
  <c r="F3457" i="2"/>
  <c r="J3457" i="2" s="1"/>
  <c r="H3457" i="2" s="1"/>
  <c r="F3468" i="2"/>
  <c r="K3468" i="2" s="1"/>
  <c r="F3339" i="2"/>
  <c r="F3354" i="2"/>
  <c r="F3363" i="2"/>
  <c r="F3372" i="2"/>
  <c r="I3372" i="2" s="1"/>
  <c r="F3376" i="2"/>
  <c r="G3381" i="2"/>
  <c r="F3392" i="2"/>
  <c r="I3392" i="2" s="1"/>
  <c r="F3396" i="2"/>
  <c r="G3401" i="2"/>
  <c r="G3468" i="2"/>
  <c r="G3473" i="2"/>
  <c r="J3341" i="2"/>
  <c r="H3341" i="2" s="1"/>
  <c r="I3341" i="2"/>
  <c r="F3344" i="2"/>
  <c r="I3344" i="2" s="1"/>
  <c r="F3351" i="2"/>
  <c r="K3351" i="2" s="1"/>
  <c r="G3354" i="2"/>
  <c r="G3372" i="2"/>
  <c r="G3374" i="2"/>
  <c r="F3374" i="2"/>
  <c r="F3381" i="2"/>
  <c r="I3381" i="2" s="1"/>
  <c r="F3385" i="2"/>
  <c r="I3385" i="2" s="1"/>
  <c r="G3392" i="2"/>
  <c r="G3394" i="2"/>
  <c r="F3394" i="2"/>
  <c r="F3401" i="2"/>
  <c r="I3401" i="2" s="1"/>
  <c r="F3407" i="2"/>
  <c r="K3407" i="2" s="1"/>
  <c r="G3414" i="2"/>
  <c r="G3416" i="2"/>
  <c r="F3416" i="2"/>
  <c r="J3416" i="2" s="1"/>
  <c r="H3416" i="2" s="1"/>
  <c r="I3420" i="2"/>
  <c r="J3422" i="2"/>
  <c r="K3436" i="2" s="1"/>
  <c r="I3422" i="2"/>
  <c r="F3426" i="2"/>
  <c r="I3426" i="2" s="1"/>
  <c r="J3436" i="2"/>
  <c r="G3440" i="2"/>
  <c r="J3447" i="2"/>
  <c r="H3447" i="2" s="1"/>
  <c r="F3473" i="2"/>
  <c r="K3473" i="2" s="1"/>
  <c r="F3467" i="2"/>
  <c r="J3467" i="2" s="1"/>
  <c r="H3467" i="2" s="1"/>
  <c r="G3467" i="2"/>
  <c r="F3472" i="2"/>
  <c r="K2080" i="2" l="1"/>
  <c r="I2004" i="2"/>
  <c r="J2140" i="2"/>
  <c r="H2140" i="2" s="1"/>
  <c r="I1975" i="2"/>
  <c r="I2051" i="2"/>
  <c r="K2051" i="2"/>
  <c r="K1691" i="2"/>
  <c r="J1155" i="2"/>
  <c r="H1155" i="2" s="1"/>
  <c r="J1070" i="2"/>
  <c r="H1070" i="2" s="1"/>
  <c r="J1691" i="2"/>
  <c r="K1703" i="2" s="1"/>
  <c r="I1674" i="2"/>
  <c r="I1196" i="2"/>
  <c r="J1128" i="2"/>
  <c r="H1128" i="2" s="1"/>
  <c r="K2350" i="2"/>
  <c r="I1572" i="2"/>
  <c r="J831" i="2"/>
  <c r="H831" i="2" s="1"/>
  <c r="K1380" i="2"/>
  <c r="K831" i="2"/>
  <c r="K2019" i="2"/>
  <c r="I1410" i="2"/>
  <c r="J1852" i="2"/>
  <c r="H1852" i="2" s="1"/>
  <c r="K1410" i="2"/>
  <c r="J950" i="2"/>
  <c r="H950" i="2" s="1"/>
  <c r="J1879" i="2"/>
  <c r="H1879" i="2" s="1"/>
  <c r="H3443" i="2"/>
  <c r="I2103" i="2"/>
  <c r="K2097" i="2"/>
  <c r="K2648" i="2"/>
  <c r="I2561" i="2"/>
  <c r="K1845" i="2"/>
  <c r="I1869" i="2"/>
  <c r="I2097" i="2"/>
  <c r="I1847" i="2"/>
  <c r="J2561" i="2"/>
  <c r="H2561" i="2" s="1"/>
  <c r="I1859" i="2"/>
  <c r="J2179" i="2"/>
  <c r="K2573" i="2" s="1"/>
  <c r="J2016" i="2"/>
  <c r="H2016" i="2" s="1"/>
  <c r="K2283" i="2"/>
  <c r="J1847" i="2"/>
  <c r="H1847" i="2" s="1"/>
  <c r="K1834" i="2"/>
  <c r="J1977" i="2"/>
  <c r="H1977" i="2" s="1"/>
  <c r="I2132" i="2"/>
  <c r="I2291" i="2"/>
  <c r="J2283" i="2"/>
  <c r="H2283" i="2" s="1"/>
  <c r="I1834" i="2"/>
  <c r="J2648" i="2"/>
  <c r="H2648" i="2" s="1"/>
  <c r="I1852" i="2"/>
  <c r="J2291" i="2"/>
  <c r="H2291" i="2" s="1"/>
  <c r="I2115" i="2"/>
  <c r="K2301" i="2"/>
  <c r="I1879" i="2"/>
  <c r="J2115" i="2"/>
  <c r="H2115" i="2" s="1"/>
  <c r="K2132" i="2"/>
  <c r="J1975" i="2"/>
  <c r="H1975" i="2" s="1"/>
  <c r="J1608" i="2"/>
  <c r="H1608" i="2" s="1"/>
  <c r="K1272" i="2"/>
  <c r="J1480" i="2"/>
  <c r="H1480" i="2" s="1"/>
  <c r="K1933" i="2"/>
  <c r="I1730" i="2"/>
  <c r="J1845" i="2"/>
  <c r="H1845" i="2" s="1"/>
  <c r="J1869" i="2"/>
  <c r="K1930" i="2" s="1"/>
  <c r="I2183" i="2"/>
  <c r="K1480" i="2"/>
  <c r="I1969" i="2"/>
  <c r="J1526" i="2"/>
  <c r="H1526" i="2" s="1"/>
  <c r="J2089" i="2"/>
  <c r="H2089" i="2" s="1"/>
  <c r="K2016" i="2"/>
  <c r="J1626" i="2"/>
  <c r="H1626" i="2" s="1"/>
  <c r="J1114" i="2"/>
  <c r="H1114" i="2" s="1"/>
  <c r="I1739" i="2"/>
  <c r="J1065" i="2"/>
  <c r="K1069" i="2" s="1"/>
  <c r="H974" i="2"/>
  <c r="I1952" i="2"/>
  <c r="I2179" i="2"/>
  <c r="I1697" i="2"/>
  <c r="K2152" i="2"/>
  <c r="K1313" i="2"/>
  <c r="I1425" i="2"/>
  <c r="I1849" i="2"/>
  <c r="J1849" i="2"/>
  <c r="H1849" i="2" s="1"/>
  <c r="K1587" i="2"/>
  <c r="I1922" i="2"/>
  <c r="I1069" i="2"/>
  <c r="K1856" i="2"/>
  <c r="I1837" i="2"/>
  <c r="J1524" i="2"/>
  <c r="H1524" i="2" s="1"/>
  <c r="I1313" i="2"/>
  <c r="K934" i="2"/>
  <c r="I1527" i="2"/>
  <c r="J1456" i="2"/>
  <c r="H1456" i="2" s="1"/>
  <c r="I1933" i="2"/>
  <c r="I1186" i="2"/>
  <c r="J1665" i="2"/>
  <c r="K1674" i="2" s="1"/>
  <c r="J1952" i="2"/>
  <c r="H1952" i="2" s="1"/>
  <c r="K1065" i="2"/>
  <c r="K1584" i="2"/>
  <c r="J681" i="2"/>
  <c r="H681" i="2" s="1"/>
  <c r="I1207" i="2"/>
  <c r="J658" i="2"/>
  <c r="H658" i="2" s="1"/>
  <c r="K1977" i="2"/>
  <c r="I708" i="2"/>
  <c r="I2080" i="2"/>
  <c r="J1837" i="2"/>
  <c r="H1837" i="2" s="1"/>
  <c r="K909" i="2"/>
  <c r="I1004" i="2"/>
  <c r="J1319" i="2"/>
  <c r="H1319" i="2" s="1"/>
  <c r="I277" i="2"/>
  <c r="J3069" i="2"/>
  <c r="H3069" i="2" s="1"/>
  <c r="I2498" i="2"/>
  <c r="I2140" i="2"/>
  <c r="J1532" i="2"/>
  <c r="H1532" i="2" s="1"/>
  <c r="J1464" i="2"/>
  <c r="H1464" i="2" s="1"/>
  <c r="K1219" i="2"/>
  <c r="J1009" i="2"/>
  <c r="H1009" i="2" s="1"/>
  <c r="J990" i="2"/>
  <c r="H990" i="2" s="1"/>
  <c r="J798" i="2"/>
  <c r="H798" i="2" s="1"/>
  <c r="I569" i="2"/>
  <c r="I503" i="2"/>
  <c r="I810" i="2"/>
  <c r="I1114" i="2"/>
  <c r="K460" i="2"/>
  <c r="K1558" i="2"/>
  <c r="K990" i="2"/>
  <c r="J569" i="2"/>
  <c r="H569" i="2" s="1"/>
  <c r="I336" i="2"/>
  <c r="J810" i="2"/>
  <c r="H810" i="2" s="1"/>
  <c r="K258" i="2"/>
  <c r="J1760" i="2"/>
  <c r="H1760" i="2" s="1"/>
  <c r="J1856" i="2"/>
  <c r="H1856" i="2" s="1"/>
  <c r="J533" i="2"/>
  <c r="K654" i="2" s="1"/>
  <c r="K1524" i="2"/>
  <c r="K1207" i="2"/>
  <c r="J848" i="2"/>
  <c r="H848" i="2" s="1"/>
  <c r="K1425" i="2"/>
  <c r="J612" i="2"/>
  <c r="K625" i="2" s="1"/>
  <c r="J297" i="2"/>
  <c r="H297" i="2" s="1"/>
  <c r="J285" i="2"/>
  <c r="H285" i="2" s="1"/>
  <c r="J2144" i="2"/>
  <c r="H2144" i="2" s="1"/>
  <c r="K1138" i="2"/>
  <c r="I1126" i="2"/>
  <c r="K2089" i="2"/>
  <c r="J1084" i="2"/>
  <c r="K1650" i="2" s="1"/>
  <c r="I1459" i="2"/>
  <c r="J890" i="2"/>
  <c r="H890" i="2" s="1"/>
  <c r="K297" i="2"/>
  <c r="K555" i="2"/>
  <c r="I1138" i="2"/>
  <c r="H256" i="2"/>
  <c r="G256" i="2"/>
  <c r="K848" i="2"/>
  <c r="I681" i="2"/>
  <c r="K2144" i="2"/>
  <c r="I866" i="2"/>
  <c r="J609" i="2"/>
  <c r="H609" i="2" s="1"/>
  <c r="I609" i="2"/>
  <c r="J1186" i="2"/>
  <c r="K1723" i="2"/>
  <c r="K277" i="2"/>
  <c r="J1277" i="2"/>
  <c r="K1286" i="2" s="1"/>
  <c r="K1244" i="2"/>
  <c r="I594" i="2"/>
  <c r="K1174" i="2"/>
  <c r="J268" i="2"/>
  <c r="K2795" i="2" s="1"/>
  <c r="K446" i="2"/>
  <c r="J934" i="2"/>
  <c r="H934" i="2" s="1"/>
  <c r="K1014" i="2"/>
  <c r="H255" i="2"/>
  <c r="I774" i="2"/>
  <c r="I1549" i="2"/>
  <c r="K359" i="2"/>
  <c r="J1587" i="2"/>
  <c r="H1587" i="2" s="1"/>
  <c r="J1549" i="2"/>
  <c r="H1549" i="2" s="1"/>
  <c r="J1126" i="2"/>
  <c r="J1744" i="2"/>
  <c r="H1744" i="2" s="1"/>
  <c r="K658" i="2"/>
  <c r="I1174" i="2"/>
  <c r="J1527" i="2"/>
  <c r="I759" i="2"/>
  <c r="J1366" i="2"/>
  <c r="H1366" i="2" s="1"/>
  <c r="I2156" i="2"/>
  <c r="J1305" i="2"/>
  <c r="H1305" i="2" s="1"/>
  <c r="I1380" i="2"/>
  <c r="I446" i="2"/>
  <c r="K2070" i="2"/>
  <c r="I1744" i="2"/>
  <c r="I941" i="2"/>
  <c r="J962" i="2"/>
  <c r="H962" i="2" s="1"/>
  <c r="I352" i="2"/>
  <c r="J2070" i="2"/>
  <c r="H2070" i="2" s="1"/>
  <c r="I1305" i="2"/>
  <c r="J1739" i="2"/>
  <c r="H1739" i="2" s="1"/>
  <c r="J2152" i="2"/>
  <c r="H2152" i="2" s="1"/>
  <c r="J401" i="2"/>
  <c r="H401" i="2" s="1"/>
  <c r="I197" i="2"/>
  <c r="J359" i="2"/>
  <c r="H359" i="2" s="1"/>
  <c r="I1876" i="2"/>
  <c r="K1897" i="2"/>
  <c r="J1286" i="2"/>
  <c r="K1300" i="2" s="1"/>
  <c r="I365" i="2"/>
  <c r="J1244" i="2"/>
  <c r="H1244" i="2" s="1"/>
  <c r="J907" i="2"/>
  <c r="H907" i="2" s="1"/>
  <c r="J1631" i="2"/>
  <c r="H1631" i="2" s="1"/>
  <c r="I1659" i="2"/>
  <c r="I2436" i="2"/>
  <c r="J1733" i="2"/>
  <c r="H1733" i="2" s="1"/>
  <c r="I1558" i="2"/>
  <c r="K1631" i="2"/>
  <c r="J2455" i="2"/>
  <c r="H2455" i="2" s="1"/>
  <c r="I807" i="2"/>
  <c r="J325" i="2"/>
  <c r="H325" i="2" s="1"/>
  <c r="K703" i="2"/>
  <c r="J421" i="2"/>
  <c r="H421" i="2" s="1"/>
  <c r="I2455" i="2"/>
  <c r="K1343" i="2"/>
  <c r="J2019" i="2"/>
  <c r="K2024" i="2" s="1"/>
  <c r="I1070" i="2"/>
  <c r="K1665" i="2"/>
  <c r="J752" i="2"/>
  <c r="H752" i="2" s="1"/>
  <c r="K243" i="2"/>
  <c r="J766" i="2"/>
  <c r="H766" i="2" s="1"/>
  <c r="J774" i="2"/>
  <c r="H774" i="2" s="1"/>
  <c r="I1950" i="2"/>
  <c r="J302" i="2"/>
  <c r="H302" i="2" s="1"/>
  <c r="K105" i="2"/>
  <c r="I362" i="2"/>
  <c r="I1085" i="2"/>
  <c r="I302" i="2"/>
  <c r="K472" i="2"/>
  <c r="J703" i="2"/>
  <c r="H703" i="2" s="1"/>
  <c r="K2733" i="2"/>
  <c r="K1512" i="2"/>
  <c r="K766" i="2"/>
  <c r="I421" i="2"/>
  <c r="K1146" i="2"/>
  <c r="K1626" i="2"/>
  <c r="J1512" i="2"/>
  <c r="H1512" i="2" s="1"/>
  <c r="J1014" i="2"/>
  <c r="H1014" i="2" s="1"/>
  <c r="K285" i="2"/>
  <c r="K408" i="2"/>
  <c r="K197" i="2"/>
  <c r="I1381" i="2"/>
  <c r="J1388" i="2"/>
  <c r="H1388" i="2" s="1"/>
  <c r="I1980" i="2"/>
  <c r="I243" i="2"/>
  <c r="K1381" i="2"/>
  <c r="K1085" i="2"/>
  <c r="I165" i="2"/>
  <c r="K755" i="2"/>
  <c r="J472" i="2"/>
  <c r="H472" i="2" s="1"/>
  <c r="J202" i="2"/>
  <c r="H202" i="2" s="1"/>
  <c r="J484" i="2"/>
  <c r="H484" i="2" s="1"/>
  <c r="I1779" i="2"/>
  <c r="K1973" i="2"/>
  <c r="I752" i="2"/>
  <c r="I202" i="2"/>
  <c r="J1153" i="2"/>
  <c r="H1153" i="2" s="1"/>
  <c r="K3462" i="2"/>
  <c r="H3454" i="2"/>
  <c r="K3446" i="2"/>
  <c r="H3436" i="2"/>
  <c r="K3430" i="2"/>
  <c r="H3422" i="2"/>
  <c r="K3363" i="2"/>
  <c r="K3340" i="2"/>
  <c r="K3223" i="2"/>
  <c r="H3186" i="2"/>
  <c r="H3152" i="2"/>
  <c r="K3120" i="2"/>
  <c r="H3108" i="2"/>
  <c r="H3103" i="2"/>
  <c r="H3099" i="2"/>
  <c r="H3093" i="2"/>
  <c r="K3089" i="2"/>
  <c r="H3083" i="2"/>
  <c r="H3027" i="2"/>
  <c r="H3025" i="2"/>
  <c r="H3020" i="2"/>
  <c r="H2999" i="2"/>
  <c r="H2988" i="2"/>
  <c r="H2972" i="2"/>
  <c r="H2964" i="2"/>
  <c r="H2887" i="2"/>
  <c r="H2869" i="2"/>
  <c r="I2990" i="2"/>
  <c r="H2789" i="2"/>
  <c r="H2770" i="2"/>
  <c r="K2770" i="2"/>
  <c r="H2756" i="2"/>
  <c r="J3408" i="2"/>
  <c r="H3408" i="2" s="1"/>
  <c r="K3408" i="2"/>
  <c r="I3230" i="2"/>
  <c r="K2743" i="2"/>
  <c r="H2731" i="2"/>
  <c r="I2506" i="2"/>
  <c r="J2382" i="2"/>
  <c r="H2382" i="2" s="1"/>
  <c r="J2590" i="2"/>
  <c r="H2590" i="2" s="1"/>
  <c r="K2382" i="2"/>
  <c r="J2506" i="2"/>
  <c r="H2506" i="2" s="1"/>
  <c r="K2590" i="2"/>
  <c r="J2436" i="2"/>
  <c r="H2436" i="2" s="1"/>
  <c r="H2692" i="2"/>
  <c r="H2674" i="2"/>
  <c r="H2669" i="2"/>
  <c r="K2669" i="2"/>
  <c r="K2580" i="2"/>
  <c r="H2614" i="2"/>
  <c r="J3122" i="2"/>
  <c r="H3122" i="2" s="1"/>
  <c r="J2796" i="2"/>
  <c r="H2796" i="2" s="1"/>
  <c r="I3046" i="2"/>
  <c r="H2608" i="2"/>
  <c r="I2796" i="2"/>
  <c r="J3046" i="2"/>
  <c r="H3046" i="2" s="1"/>
  <c r="J3223" i="2"/>
  <c r="I3464" i="2"/>
  <c r="K3122" i="2"/>
  <c r="K3274" i="2"/>
  <c r="I3455" i="2"/>
  <c r="J3274" i="2"/>
  <c r="H3274" i="2" s="1"/>
  <c r="K3230" i="2"/>
  <c r="J3464" i="2"/>
  <c r="H3464" i="2" s="1"/>
  <c r="J3455" i="2"/>
  <c r="H3455" i="2" s="1"/>
  <c r="I3223" i="2"/>
  <c r="J2711" i="2"/>
  <c r="H2711" i="2" s="1"/>
  <c r="K2695" i="2"/>
  <c r="J3098" i="2"/>
  <c r="H3098" i="2" s="1"/>
  <c r="K3098" i="2"/>
  <c r="J3353" i="2"/>
  <c r="H3353" i="2" s="1"/>
  <c r="K3387" i="2"/>
  <c r="K2494" i="2"/>
  <c r="J3449" i="2"/>
  <c r="H3449" i="2" s="1"/>
  <c r="I3446" i="2"/>
  <c r="I2733" i="2"/>
  <c r="H2489" i="2"/>
  <c r="H2487" i="2"/>
  <c r="I3218" i="2"/>
  <c r="H2483" i="2"/>
  <c r="K2453" i="2"/>
  <c r="H2458" i="2"/>
  <c r="I2887" i="2"/>
  <c r="I2876" i="2"/>
  <c r="J1398" i="2"/>
  <c r="H1398" i="2" s="1"/>
  <c r="I2207" i="2"/>
  <c r="I1542" i="2"/>
  <c r="J2207" i="2"/>
  <c r="H2207" i="2" s="1"/>
  <c r="J1508" i="2"/>
  <c r="H1508" i="2" s="1"/>
  <c r="J1493" i="2"/>
  <c r="H1493" i="2" s="1"/>
  <c r="I1798" i="2"/>
  <c r="J2313" i="2"/>
  <c r="H2313" i="2" s="1"/>
  <c r="K1253" i="2"/>
  <c r="I1398" i="2"/>
  <c r="K2026" i="2"/>
  <c r="I2122" i="2"/>
  <c r="I2169" i="2"/>
  <c r="J1140" i="2"/>
  <c r="I1090" i="2"/>
  <c r="I992" i="2"/>
  <c r="I1354" i="2"/>
  <c r="J2026" i="2"/>
  <c r="H2026" i="2" s="1"/>
  <c r="I2087" i="2"/>
  <c r="J2122" i="2"/>
  <c r="H2122" i="2" s="1"/>
  <c r="J2169" i="2"/>
  <c r="H2169" i="2" s="1"/>
  <c r="K1140" i="2"/>
  <c r="J1090" i="2"/>
  <c r="H1090" i="2" s="1"/>
  <c r="I1253" i="2"/>
  <c r="I2222" i="2"/>
  <c r="J1650" i="2"/>
  <c r="K1679" i="2" s="1"/>
  <c r="I1961" i="2"/>
  <c r="I1505" i="2"/>
  <c r="I1136" i="2"/>
  <c r="I968" i="2"/>
  <c r="I1153" i="2"/>
  <c r="I1593" i="2"/>
  <c r="J966" i="2"/>
  <c r="H966" i="2" s="1"/>
  <c r="J1798" i="2"/>
  <c r="H1798" i="2" s="1"/>
  <c r="K1493" i="2"/>
  <c r="K2313" i="2"/>
  <c r="J1505" i="2"/>
  <c r="H1505" i="2" s="1"/>
  <c r="J1136" i="2"/>
  <c r="J968" i="2"/>
  <c r="K1128" i="2" s="1"/>
  <c r="K1575" i="2"/>
  <c r="J1013" i="2"/>
  <c r="H1013" i="2" s="1"/>
  <c r="J1593" i="2"/>
  <c r="H1593" i="2" s="1"/>
  <c r="I966" i="2"/>
  <c r="J1901" i="2"/>
  <c r="H1901" i="2" s="1"/>
  <c r="K1013" i="2"/>
  <c r="I1242" i="2"/>
  <c r="I2968" i="2"/>
  <c r="J3218" i="2"/>
  <c r="H3218" i="2" s="1"/>
  <c r="J2968" i="2"/>
  <c r="H2968" i="2" s="1"/>
  <c r="I2450" i="2"/>
  <c r="H2450" i="2"/>
  <c r="K2822" i="2"/>
  <c r="K2424" i="2"/>
  <c r="J3232" i="2"/>
  <c r="H3232" i="2" s="1"/>
  <c r="K2385" i="2"/>
  <c r="J2822" i="2"/>
  <c r="H2822" i="2" s="1"/>
  <c r="K3449" i="2"/>
  <c r="H2424" i="2"/>
  <c r="H2412" i="2"/>
  <c r="H2385" i="2"/>
  <c r="K2375" i="2"/>
  <c r="K3165" i="2"/>
  <c r="I2630" i="2"/>
  <c r="J3165" i="2"/>
  <c r="H3165" i="2" s="1"/>
  <c r="K2355" i="2"/>
  <c r="K2367" i="2"/>
  <c r="J2377" i="2"/>
  <c r="H2377" i="2" s="1"/>
  <c r="H2342" i="2"/>
  <c r="J3459" i="2"/>
  <c r="H3459" i="2" s="1"/>
  <c r="J3105" i="2"/>
  <c r="H3105" i="2" s="1"/>
  <c r="K2630" i="2"/>
  <c r="I2566" i="2"/>
  <c r="K2302" i="2"/>
  <c r="I3196" i="2"/>
  <c r="J2722" i="2"/>
  <c r="H2722" i="2" s="1"/>
  <c r="K2852" i="2"/>
  <c r="I3032" i="2"/>
  <c r="K2722" i="2"/>
  <c r="I2377" i="2"/>
  <c r="J2556" i="2"/>
  <c r="H2556" i="2" s="1"/>
  <c r="J3458" i="2"/>
  <c r="H3458" i="2" s="1"/>
  <c r="K2556" i="2"/>
  <c r="K3458" i="2"/>
  <c r="J2595" i="2"/>
  <c r="K3359" i="2" s="1"/>
  <c r="J3196" i="2"/>
  <c r="H3196" i="2" s="1"/>
  <c r="K3459" i="2"/>
  <c r="I3232" i="2"/>
  <c r="J3032" i="2"/>
  <c r="H3032" i="2" s="1"/>
  <c r="I3105" i="2"/>
  <c r="J2566" i="2"/>
  <c r="H2566" i="2" s="1"/>
  <c r="H2314" i="2"/>
  <c r="H2305" i="2"/>
  <c r="H2302" i="2"/>
  <c r="K2996" i="2"/>
  <c r="I2649" i="2"/>
  <c r="K3465" i="2"/>
  <c r="J3182" i="2"/>
  <c r="H3182" i="2" s="1"/>
  <c r="J2482" i="2"/>
  <c r="H2482" i="2" s="1"/>
  <c r="I2952" i="2"/>
  <c r="I3465" i="2"/>
  <c r="K2482" i="2"/>
  <c r="J2952" i="2"/>
  <c r="H2952" i="2" s="1"/>
  <c r="I3314" i="2"/>
  <c r="I3309" i="2"/>
  <c r="J2513" i="2"/>
  <c r="K2527" i="2" s="1"/>
  <c r="J2649" i="2"/>
  <c r="H2649" i="2" s="1"/>
  <c r="I3182" i="2"/>
  <c r="K3314" i="2"/>
  <c r="K3309" i="2"/>
  <c r="I2764" i="2"/>
  <c r="K2738" i="2"/>
  <c r="I2682" i="2"/>
  <c r="I3423" i="2"/>
  <c r="I2996" i="2"/>
  <c r="K2764" i="2"/>
  <c r="J3423" i="2"/>
  <c r="H3423" i="2" s="1"/>
  <c r="K2682" i="2"/>
  <c r="K2289" i="2"/>
  <c r="H2256" i="2"/>
  <c r="K2256" i="2"/>
  <c r="I3064" i="2"/>
  <c r="J2990" i="2"/>
  <c r="H2990" i="2" s="1"/>
  <c r="J3064" i="2"/>
  <c r="H3064" i="2" s="1"/>
  <c r="K2871" i="2"/>
  <c r="K2218" i="2"/>
  <c r="I2813" i="2"/>
  <c r="J3445" i="2"/>
  <c r="H3445" i="2" s="1"/>
  <c r="J3303" i="2"/>
  <c r="H3303" i="2" s="1"/>
  <c r="I2871" i="2"/>
  <c r="H2210" i="2"/>
  <c r="K2887" i="2"/>
  <c r="H2205" i="2"/>
  <c r="I2392" i="2"/>
  <c r="J2813" i="2"/>
  <c r="H2813" i="2" s="1"/>
  <c r="J2392" i="2"/>
  <c r="H2392" i="2" s="1"/>
  <c r="I2889" i="2"/>
  <c r="K2388" i="2"/>
  <c r="J2889" i="2"/>
  <c r="H2889" i="2" s="1"/>
  <c r="J2522" i="2"/>
  <c r="J2222" i="2"/>
  <c r="H2222" i="2" s="1"/>
  <c r="H2203" i="2"/>
  <c r="K2203" i="2"/>
  <c r="K2173" i="2"/>
  <c r="J2268" i="2"/>
  <c r="K2317" i="2" s="1"/>
  <c r="H2176" i="2"/>
  <c r="G2176" i="2"/>
  <c r="H1930" i="2"/>
  <c r="J1922" i="2"/>
  <c r="H1922" i="2" s="1"/>
  <c r="K2066" i="2"/>
  <c r="I2024" i="2"/>
  <c r="K1961" i="2"/>
  <c r="I3409" i="2"/>
  <c r="K1918" i="2"/>
  <c r="K2156" i="2"/>
  <c r="I2129" i="2"/>
  <c r="I2852" i="2"/>
  <c r="K1901" i="2"/>
  <c r="I1918" i="2"/>
  <c r="J1992" i="2"/>
  <c r="H1992" i="2" s="1"/>
  <c r="I2141" i="2"/>
  <c r="I2003" i="2"/>
  <c r="J2066" i="2"/>
  <c r="H2066" i="2" s="1"/>
  <c r="J1897" i="2"/>
  <c r="H1897" i="2" s="1"/>
  <c r="J1995" i="2"/>
  <c r="H1995" i="2" s="1"/>
  <c r="K1992" i="2"/>
  <c r="I2048" i="2"/>
  <c r="J2048" i="2"/>
  <c r="H2048" i="2" s="1"/>
  <c r="K1995" i="2"/>
  <c r="H2173" i="2"/>
  <c r="J2557" i="2"/>
  <c r="H2557" i="2" s="1"/>
  <c r="J3290" i="2"/>
  <c r="K3296" i="2" s="1"/>
  <c r="I2522" i="2"/>
  <c r="I2241" i="2"/>
  <c r="I3431" i="2"/>
  <c r="K3238" i="2"/>
  <c r="J2924" i="2"/>
  <c r="H2924" i="2" s="1"/>
  <c r="K2195" i="2"/>
  <c r="J2693" i="2"/>
  <c r="H2693" i="2" s="1"/>
  <c r="J3431" i="2"/>
  <c r="H3431" i="2" s="1"/>
  <c r="K2411" i="2"/>
  <c r="K2924" i="2"/>
  <c r="K2581" i="2"/>
  <c r="I2195" i="2"/>
  <c r="K2693" i="2"/>
  <c r="K3437" i="2"/>
  <c r="I3217" i="2"/>
  <c r="I3437" i="2"/>
  <c r="I3290" i="2"/>
  <c r="J2576" i="2"/>
  <c r="H2576" i="2" s="1"/>
  <c r="I2845" i="2"/>
  <c r="K3433" i="2"/>
  <c r="I2625" i="2"/>
  <c r="I3433" i="2"/>
  <c r="I3238" i="2"/>
  <c r="I2229" i="2"/>
  <c r="I3227" i="2"/>
  <c r="J3217" i="2"/>
  <c r="H3217" i="2" s="1"/>
  <c r="J2229" i="2"/>
  <c r="H2229" i="2" s="1"/>
  <c r="K476" i="2"/>
  <c r="I3019" i="2"/>
  <c r="K3175" i="2"/>
  <c r="K2845" i="2"/>
  <c r="J2828" i="2"/>
  <c r="H2828" i="2" s="1"/>
  <c r="I3397" i="2"/>
  <c r="I2539" i="2"/>
  <c r="J3471" i="2"/>
  <c r="H3471" i="2" s="1"/>
  <c r="K2744" i="2"/>
  <c r="I2581" i="2"/>
  <c r="K2576" i="2"/>
  <c r="I2840" i="2"/>
  <c r="K2947" i="2"/>
  <c r="K3000" i="2"/>
  <c r="J2571" i="2"/>
  <c r="H2571" i="2" s="1"/>
  <c r="K2249" i="2"/>
  <c r="J2187" i="2"/>
  <c r="H2187" i="2" s="1"/>
  <c r="J2907" i="2"/>
  <c r="H2907" i="2" s="1"/>
  <c r="I2921" i="2"/>
  <c r="I3000" i="2"/>
  <c r="I2564" i="2"/>
  <c r="K2557" i="2"/>
  <c r="I2754" i="2"/>
  <c r="J2427" i="2"/>
  <c r="H2427" i="2" s="1"/>
  <c r="I2249" i="2"/>
  <c r="K2187" i="2"/>
  <c r="I2346" i="2"/>
  <c r="J3434" i="2"/>
  <c r="H3434" i="2" s="1"/>
  <c r="K1471" i="2"/>
  <c r="I2588" i="2"/>
  <c r="I3303" i="2"/>
  <c r="I2388" i="2"/>
  <c r="J2448" i="2"/>
  <c r="K2487" i="2" s="1"/>
  <c r="J2625" i="2"/>
  <c r="K2647" i="2" s="1"/>
  <c r="J2938" i="2"/>
  <c r="H2938" i="2" s="1"/>
  <c r="J2921" i="2"/>
  <c r="H2921" i="2" s="1"/>
  <c r="J2754" i="2"/>
  <c r="H2754" i="2" s="1"/>
  <c r="K2427" i="2"/>
  <c r="K2261" i="2"/>
  <c r="I2358" i="2"/>
  <c r="J2346" i="2"/>
  <c r="H2346" i="2" s="1"/>
  <c r="K2938" i="2"/>
  <c r="J2898" i="2"/>
  <c r="K3454" i="2" s="1"/>
  <c r="K2706" i="2"/>
  <c r="J2585" i="2"/>
  <c r="H2585" i="2" s="1"/>
  <c r="J2500" i="2"/>
  <c r="K2583" i="2" s="1"/>
  <c r="I2500" i="2"/>
  <c r="I2261" i="2"/>
  <c r="I2326" i="2"/>
  <c r="J2358" i="2"/>
  <c r="H2358" i="2" s="1"/>
  <c r="K608" i="2"/>
  <c r="I3405" i="2"/>
  <c r="I2943" i="2"/>
  <c r="I2872" i="2"/>
  <c r="K2035" i="2"/>
  <c r="K2213" i="2"/>
  <c r="K2339" i="2"/>
  <c r="J2564" i="2"/>
  <c r="H2564" i="2" s="1"/>
  <c r="J2943" i="2"/>
  <c r="H2943" i="2" s="1"/>
  <c r="K2324" i="2"/>
  <c r="K3397" i="2"/>
  <c r="I2828" i="2"/>
  <c r="J3089" i="2"/>
  <c r="K3095" i="2" s="1"/>
  <c r="K3282" i="2"/>
  <c r="J3255" i="2"/>
  <c r="H3255" i="2" s="1"/>
  <c r="I3296" i="2"/>
  <c r="K2907" i="2"/>
  <c r="J2947" i="2"/>
  <c r="H2947" i="2" s="1"/>
  <c r="I3255" i="2"/>
  <c r="I3282" i="2"/>
  <c r="I3346" i="2"/>
  <c r="J3346" i="2"/>
  <c r="H3346" i="2" s="1"/>
  <c r="K3174" i="2"/>
  <c r="K2326" i="2"/>
  <c r="J2241" i="2"/>
  <c r="H2241" i="2" s="1"/>
  <c r="J3405" i="2"/>
  <c r="H3405" i="2" s="1"/>
  <c r="J3071" i="2"/>
  <c r="H3071" i="2" s="1"/>
  <c r="I3155" i="2"/>
  <c r="J3019" i="2"/>
  <c r="H3019" i="2" s="1"/>
  <c r="I2738" i="2"/>
  <c r="I2571" i="2"/>
  <c r="J3155" i="2"/>
  <c r="H3155" i="2" s="1"/>
  <c r="J3174" i="2"/>
  <c r="H3174" i="2" s="1"/>
  <c r="I2706" i="2"/>
  <c r="K2585" i="2"/>
  <c r="I3265" i="2"/>
  <c r="I2613" i="2"/>
  <c r="J2255" i="2"/>
  <c r="H2255" i="2" s="1"/>
  <c r="J3265" i="2"/>
  <c r="H3265" i="2" s="1"/>
  <c r="J2613" i="2"/>
  <c r="H2613" i="2" s="1"/>
  <c r="J2411" i="2"/>
  <c r="H2411" i="2" s="1"/>
  <c r="K2255" i="2"/>
  <c r="I3434" i="2"/>
  <c r="J2872" i="2"/>
  <c r="H2872" i="2" s="1"/>
  <c r="J2997" i="2"/>
  <c r="H2997" i="2" s="1"/>
  <c r="I2265" i="2"/>
  <c r="I2530" i="2"/>
  <c r="I3089" i="2"/>
  <c r="J2539" i="2"/>
  <c r="H2539" i="2" s="1"/>
  <c r="J2213" i="2"/>
  <c r="H2213" i="2" s="1"/>
  <c r="I3071" i="2"/>
  <c r="K3445" i="2"/>
  <c r="J2588" i="2"/>
  <c r="H2588" i="2" s="1"/>
  <c r="H1542" i="2"/>
  <c r="K1553" i="2"/>
  <c r="J758" i="2"/>
  <c r="H758" i="2" s="1"/>
  <c r="I3471" i="2"/>
  <c r="J2915" i="2"/>
  <c r="H2915" i="2" s="1"/>
  <c r="J3175" i="2"/>
  <c r="H3175" i="2" s="1"/>
  <c r="I2339" i="2"/>
  <c r="K1889" i="2"/>
  <c r="J2324" i="2"/>
  <c r="H2324" i="2" s="1"/>
  <c r="K81" i="2"/>
  <c r="I2448" i="2"/>
  <c r="J3296" i="2"/>
  <c r="K3302" i="2" s="1"/>
  <c r="K2473" i="2"/>
  <c r="J2317" i="2"/>
  <c r="K2328" i="2" s="1"/>
  <c r="J1889" i="2"/>
  <c r="H1889" i="2" s="1"/>
  <c r="K3353" i="2"/>
  <c r="K1696" i="2"/>
  <c r="I1696" i="2"/>
  <c r="I3390" i="2"/>
  <c r="I2695" i="2"/>
  <c r="I2744" i="2"/>
  <c r="I2317" i="2"/>
  <c r="K3409" i="2"/>
  <c r="J2473" i="2"/>
  <c r="H2473" i="2" s="1"/>
  <c r="K2530" i="2"/>
  <c r="G197" i="2"/>
  <c r="J3446" i="2"/>
  <c r="I2915" i="2"/>
  <c r="I2997" i="2"/>
  <c r="J3390" i="2"/>
  <c r="H3390" i="2" s="1"/>
  <c r="J2840" i="2"/>
  <c r="H2840" i="2" s="1"/>
  <c r="J362" i="2"/>
  <c r="K375" i="2" s="1"/>
  <c r="K2876" i="2"/>
  <c r="J3214" i="2"/>
  <c r="H3214" i="2" s="1"/>
  <c r="J3227" i="2"/>
  <c r="H3227" i="2" s="1"/>
  <c r="J2265" i="2"/>
  <c r="H2265" i="2" s="1"/>
  <c r="J3308" i="2"/>
  <c r="H3308" i="2" s="1"/>
  <c r="I2709" i="2"/>
  <c r="I1456" i="2"/>
  <c r="I1366" i="2"/>
  <c r="K1969" i="2"/>
  <c r="I2795" i="2"/>
  <c r="I137" i="2"/>
  <c r="J3377" i="2"/>
  <c r="H3377" i="2" s="1"/>
  <c r="K1341" i="2"/>
  <c r="J3387" i="2"/>
  <c r="H3387" i="2" s="1"/>
  <c r="K2709" i="2"/>
  <c r="K1876" i="2"/>
  <c r="K1733" i="2"/>
  <c r="J249" i="2"/>
  <c r="H249" i="2" s="1"/>
  <c r="I3214" i="2"/>
  <c r="K1730" i="2"/>
  <c r="J477" i="2"/>
  <c r="H477" i="2" s="1"/>
  <c r="I477" i="2"/>
  <c r="J36" i="2"/>
  <c r="H36" i="2" s="1"/>
  <c r="I3295" i="2"/>
  <c r="I3308" i="2"/>
  <c r="K137" i="2"/>
  <c r="K3377" i="2"/>
  <c r="K3295" i="2"/>
  <c r="J365" i="2"/>
  <c r="H365" i="2" s="1"/>
  <c r="H2141" i="2"/>
  <c r="H2132" i="2"/>
  <c r="H2103" i="2"/>
  <c r="H2087" i="2"/>
  <c r="H2055" i="2"/>
  <c r="H2035" i="2"/>
  <c r="K1991" i="2"/>
  <c r="H2004" i="2"/>
  <c r="H2003" i="2"/>
  <c r="K1981" i="2"/>
  <c r="H1980" i="2"/>
  <c r="H1973" i="2"/>
  <c r="H1969" i="2"/>
  <c r="H1961" i="2"/>
  <c r="H1950" i="2"/>
  <c r="K1894" i="2"/>
  <c r="H1942" i="2"/>
  <c r="H1933" i="2"/>
  <c r="H1867" i="2"/>
  <c r="H1859" i="2"/>
  <c r="H1841" i="2"/>
  <c r="H1834" i="2"/>
  <c r="H1819" i="2"/>
  <c r="H1789" i="2"/>
  <c r="H1784" i="2"/>
  <c r="H1777" i="2"/>
  <c r="H1774" i="2"/>
  <c r="K1759" i="2"/>
  <c r="K1746" i="2"/>
  <c r="H1741" i="2"/>
  <c r="H1723" i="2"/>
  <c r="H1706" i="2"/>
  <c r="H1703" i="2"/>
  <c r="K1697" i="2"/>
  <c r="H1691" i="2"/>
  <c r="H1679" i="2"/>
  <c r="H1674" i="2"/>
  <c r="K1663" i="2"/>
  <c r="H1643" i="2"/>
  <c r="H1584" i="2"/>
  <c r="H1572" i="2"/>
  <c r="K1572" i="2"/>
  <c r="H1553" i="2"/>
  <c r="K1542" i="2"/>
  <c r="H1538" i="2"/>
  <c r="H1534" i="2"/>
  <c r="K1508" i="2"/>
  <c r="H1501" i="2"/>
  <c r="H1471" i="2"/>
  <c r="H1445" i="2"/>
  <c r="K1404" i="2"/>
  <c r="K1409" i="2"/>
  <c r="H1373" i="2"/>
  <c r="H1369" i="2"/>
  <c r="H1354" i="2"/>
  <c r="H1341" i="2"/>
  <c r="K1319" i="2"/>
  <c r="K1191" i="2"/>
  <c r="H1242" i="2"/>
  <c r="H1211" i="2"/>
  <c r="H1196" i="2"/>
  <c r="H1191" i="2"/>
  <c r="H1174" i="2"/>
  <c r="H1172" i="2"/>
  <c r="K1172" i="2"/>
  <c r="H1156" i="2"/>
  <c r="H1146" i="2"/>
  <c r="K1107" i="2"/>
  <c r="H1107" i="2"/>
  <c r="H1097" i="2"/>
  <c r="H1072" i="2"/>
  <c r="H1063" i="2"/>
  <c r="K992" i="2"/>
  <c r="H1057" i="2"/>
  <c r="H1051" i="2"/>
  <c r="H992" i="2"/>
  <c r="K962" i="2"/>
  <c r="H949" i="2"/>
  <c r="K949" i="2"/>
  <c r="G949" i="2" s="1"/>
  <c r="H941" i="2"/>
  <c r="H909" i="2"/>
  <c r="H807" i="2"/>
  <c r="K807" i="2"/>
  <c r="H794" i="2"/>
  <c r="H759" i="2"/>
  <c r="K683" i="2"/>
  <c r="H770" i="2"/>
  <c r="H721" i="2"/>
  <c r="H693" i="2"/>
  <c r="H683" i="2"/>
  <c r="K680" i="2"/>
  <c r="H680" i="2"/>
  <c r="K643" i="2"/>
  <c r="K671" i="2"/>
  <c r="K667" i="2"/>
  <c r="H667" i="2"/>
  <c r="H647" i="2"/>
  <c r="K647" i="2"/>
  <c r="K627" i="2"/>
  <c r="H625" i="2"/>
  <c r="H603" i="2"/>
  <c r="H383" i="2"/>
  <c r="H594" i="2"/>
  <c r="K578" i="2"/>
  <c r="H578" i="2"/>
  <c r="H555" i="2"/>
  <c r="H493" i="2"/>
  <c r="H462" i="2"/>
  <c r="H408" i="2"/>
  <c r="H405" i="2"/>
  <c r="H388" i="2"/>
  <c r="H393" i="2"/>
  <c r="H385" i="2"/>
  <c r="H371" i="2"/>
  <c r="H345" i="2"/>
  <c r="H305" i="2"/>
  <c r="H290" i="2"/>
  <c r="H277" i="2"/>
  <c r="K267" i="2"/>
  <c r="H265" i="2"/>
  <c r="G265" i="2"/>
  <c r="H219" i="2"/>
  <c r="K219" i="2"/>
  <c r="G219" i="2" s="1"/>
  <c r="H207" i="2"/>
  <c r="G193" i="2"/>
  <c r="K162" i="2"/>
  <c r="H160" i="2"/>
  <c r="G186" i="2"/>
  <c r="K160" i="2"/>
  <c r="G160" i="2" s="1"/>
  <c r="H175" i="2"/>
  <c r="H162" i="2"/>
  <c r="H136" i="2"/>
  <c r="K74" i="2"/>
  <c r="H96" i="2"/>
  <c r="I22" i="2"/>
  <c r="H5" i="2"/>
  <c r="J1627" i="2"/>
  <c r="H1627" i="2" s="1"/>
  <c r="K1488" i="2"/>
  <c r="J840" i="2"/>
  <c r="H840" i="2" s="1"/>
  <c r="I3350" i="2"/>
  <c r="J262" i="2"/>
  <c r="H262" i="2" s="1"/>
  <c r="I1064" i="2"/>
  <c r="I698" i="2"/>
  <c r="K1962" i="2"/>
  <c r="K2827" i="2"/>
  <c r="J1770" i="2"/>
  <c r="H1770" i="2" s="1"/>
  <c r="I1770" i="2"/>
  <c r="K3212" i="2"/>
  <c r="J1890" i="2"/>
  <c r="H1890" i="2" s="1"/>
  <c r="I1792" i="2"/>
  <c r="I585" i="2"/>
  <c r="K132" i="2"/>
  <c r="I1154" i="2"/>
  <c r="J66" i="2"/>
  <c r="H66" i="2" s="1"/>
  <c r="K2829" i="2"/>
  <c r="K1236" i="2"/>
  <c r="I2570" i="2"/>
  <c r="I1238" i="2"/>
  <c r="J2717" i="2"/>
  <c r="H2717" i="2" s="1"/>
  <c r="J1096" i="2"/>
  <c r="H1096" i="2" s="1"/>
  <c r="I1880" i="2"/>
  <c r="I182" i="2"/>
  <c r="I2653" i="2"/>
  <c r="I2190" i="2"/>
  <c r="K2190" i="2"/>
  <c r="J204" i="2"/>
  <c r="H204" i="2" s="1"/>
  <c r="I2418" i="2"/>
  <c r="I499" i="2"/>
  <c r="K1086" i="2"/>
  <c r="K3382" i="2"/>
  <c r="I857" i="2"/>
  <c r="K1121" i="2"/>
  <c r="K925" i="2"/>
  <c r="K699" i="2"/>
  <c r="I2000" i="2"/>
  <c r="J455" i="2"/>
  <c r="H455" i="2" s="1"/>
  <c r="I699" i="2"/>
  <c r="K2884" i="2"/>
  <c r="J2827" i="2"/>
  <c r="H2827" i="2" s="1"/>
  <c r="K2231" i="2"/>
  <c r="J1327" i="2"/>
  <c r="H1327" i="2" s="1"/>
  <c r="K2082" i="2"/>
  <c r="K1670" i="2"/>
  <c r="K30" i="2"/>
  <c r="I3213" i="2"/>
  <c r="J1409" i="2"/>
  <c r="K1413" i="2" s="1"/>
  <c r="J711" i="2"/>
  <c r="H711" i="2" s="1"/>
  <c r="K1576" i="2"/>
  <c r="J308" i="2"/>
  <c r="H308" i="2" s="1"/>
  <c r="J857" i="2"/>
  <c r="H857" i="2" s="1"/>
  <c r="J1238" i="2"/>
  <c r="H1238" i="2" s="1"/>
  <c r="J753" i="2"/>
  <c r="H753" i="2" s="1"/>
  <c r="I2875" i="2"/>
  <c r="J1688" i="2"/>
  <c r="H1688" i="2" s="1"/>
  <c r="K1858" i="2"/>
  <c r="I1192" i="2"/>
  <c r="K585" i="2"/>
  <c r="I2246" i="2"/>
  <c r="I124" i="2"/>
  <c r="K1634" i="2"/>
  <c r="J1874" i="2"/>
  <c r="H1874" i="2" s="1"/>
  <c r="J229" i="2"/>
  <c r="K927" i="2"/>
  <c r="I2290" i="2"/>
  <c r="I2015" i="2"/>
  <c r="I1212" i="2"/>
  <c r="I1690" i="2"/>
  <c r="I115" i="2"/>
  <c r="J2687" i="2"/>
  <c r="H2687" i="2" s="1"/>
  <c r="K2874" i="2"/>
  <c r="J2819" i="2"/>
  <c r="H2819" i="2" s="1"/>
  <c r="K2502" i="2"/>
  <c r="J2167" i="2"/>
  <c r="H2167" i="2" s="1"/>
  <c r="J891" i="2"/>
  <c r="K902" i="2" s="1"/>
  <c r="J1634" i="2"/>
  <c r="H1634" i="2" s="1"/>
  <c r="J719" i="2"/>
  <c r="H719" i="2" s="1"/>
  <c r="K261" i="2"/>
  <c r="K1632" i="2"/>
  <c r="I697" i="2"/>
  <c r="J651" i="2"/>
  <c r="H651" i="2" s="1"/>
  <c r="J3368" i="2"/>
  <c r="H3368" i="2" s="1"/>
  <c r="J2874" i="2"/>
  <c r="H2874" i="2" s="1"/>
  <c r="I2489" i="2"/>
  <c r="J2879" i="2"/>
  <c r="H2879" i="2" s="1"/>
  <c r="I2167" i="2"/>
  <c r="J2128" i="2"/>
  <c r="H2128" i="2" s="1"/>
  <c r="I1632" i="2"/>
  <c r="J1518" i="2"/>
  <c r="H1518" i="2" s="1"/>
  <c r="K2208" i="2"/>
  <c r="K1365" i="2"/>
  <c r="J1258" i="2"/>
  <c r="H1258" i="2" s="1"/>
  <c r="I1620" i="2"/>
  <c r="K1096" i="2"/>
  <c r="I1225" i="2"/>
  <c r="K240" i="2"/>
  <c r="K2343" i="2"/>
  <c r="I1828" i="2"/>
  <c r="I583" i="2"/>
  <c r="I638" i="2"/>
  <c r="J1690" i="2"/>
  <c r="H1690" i="2" s="1"/>
  <c r="J443" i="2"/>
  <c r="H443" i="2" s="1"/>
  <c r="J375" i="2"/>
  <c r="K393" i="2" s="1"/>
  <c r="K1322" i="2"/>
  <c r="J935" i="2"/>
  <c r="H935" i="2" s="1"/>
  <c r="J118" i="2"/>
  <c r="K66" i="2"/>
  <c r="J124" i="2"/>
  <c r="H124" i="2" s="1"/>
  <c r="I92" i="2"/>
  <c r="J3450" i="2"/>
  <c r="I2826" i="2"/>
  <c r="J2844" i="2"/>
  <c r="H2844" i="2" s="1"/>
  <c r="I2343" i="2"/>
  <c r="I1888" i="2"/>
  <c r="I1644" i="2"/>
  <c r="I1365" i="2"/>
  <c r="I1246" i="2"/>
  <c r="I1133" i="2"/>
  <c r="K665" i="2"/>
  <c r="J3379" i="2"/>
  <c r="H3379" i="2" s="1"/>
  <c r="I1604" i="2"/>
  <c r="I2018" i="2"/>
  <c r="I3249" i="2"/>
  <c r="I2510" i="2"/>
  <c r="I2657" i="2"/>
  <c r="J1604" i="2"/>
  <c r="H1604" i="2" s="1"/>
  <c r="J2246" i="2"/>
  <c r="H2246" i="2" s="1"/>
  <c r="I1164" i="2"/>
  <c r="J1000" i="2"/>
  <c r="H1000" i="2" s="1"/>
  <c r="K3205" i="2"/>
  <c r="K3023" i="2"/>
  <c r="K2504" i="2"/>
  <c r="I2279" i="2"/>
  <c r="J1943" i="2"/>
  <c r="K2141" i="2" s="1"/>
  <c r="I2231" i="2"/>
  <c r="J2310" i="2"/>
  <c r="K2353" i="2" s="1"/>
  <c r="K1974" i="2"/>
  <c r="K1870" i="2"/>
  <c r="J2836" i="2"/>
  <c r="H2836" i="2" s="1"/>
  <c r="J2981" i="2"/>
  <c r="H2981" i="2" s="1"/>
  <c r="J2718" i="2"/>
  <c r="H2718" i="2" s="1"/>
  <c r="J2375" i="2"/>
  <c r="I2819" i="2"/>
  <c r="I2088" i="2"/>
  <c r="J1828" i="2"/>
  <c r="H1828" i="2" s="1"/>
  <c r="K2507" i="2"/>
  <c r="J953" i="2"/>
  <c r="H953" i="2" s="1"/>
  <c r="I921" i="2"/>
  <c r="K223" i="2"/>
  <c r="J431" i="2"/>
  <c r="K453" i="2" s="1"/>
  <c r="I937" i="2"/>
  <c r="J2775" i="2"/>
  <c r="I1825" i="2"/>
  <c r="I1614" i="2"/>
  <c r="K3085" i="2"/>
  <c r="I423" i="2"/>
  <c r="K32" i="2"/>
  <c r="J2654" i="2"/>
  <c r="H2654" i="2" s="1"/>
  <c r="I1902" i="2"/>
  <c r="I2410" i="2"/>
  <c r="K2270" i="2"/>
  <c r="K1494" i="2"/>
  <c r="I1100" i="2"/>
  <c r="I1059" i="2"/>
  <c r="J27" i="2"/>
  <c r="H27" i="2" s="1"/>
  <c r="I1454" i="2"/>
  <c r="I2270" i="2"/>
  <c r="J1633" i="2"/>
  <c r="H1633" i="2" s="1"/>
  <c r="K3138" i="2"/>
  <c r="I3473" i="2"/>
  <c r="J3132" i="2"/>
  <c r="H3132" i="2" s="1"/>
  <c r="K2975" i="2"/>
  <c r="J2910" i="2"/>
  <c r="H2910" i="2" s="1"/>
  <c r="K1944" i="2"/>
  <c r="J407" i="2"/>
  <c r="H407" i="2" s="1"/>
  <c r="K945" i="2"/>
  <c r="I945" i="2"/>
  <c r="K227" i="2"/>
  <c r="K27" i="2"/>
  <c r="K1698" i="2"/>
  <c r="I3347" i="2"/>
  <c r="I3259" i="2"/>
  <c r="J3473" i="2"/>
  <c r="H3473" i="2" s="1"/>
  <c r="J3249" i="2"/>
  <c r="H3249" i="2" s="1"/>
  <c r="J2663" i="2"/>
  <c r="K2677" i="2" s="1"/>
  <c r="K1902" i="2"/>
  <c r="J1785" i="2"/>
  <c r="H1785" i="2" s="1"/>
  <c r="I1479" i="2"/>
  <c r="J2018" i="2"/>
  <c r="H2018" i="2" s="1"/>
  <c r="K1993" i="2"/>
  <c r="I1320" i="2"/>
  <c r="K1280" i="2"/>
  <c r="J1621" i="2"/>
  <c r="H1621" i="2" s="1"/>
  <c r="J747" i="2"/>
  <c r="H747" i="2" s="1"/>
  <c r="I927" i="2"/>
  <c r="J1225" i="2"/>
  <c r="H1225" i="2" s="1"/>
  <c r="J103" i="2"/>
  <c r="H103" i="2" s="1"/>
  <c r="I629" i="2"/>
  <c r="I146" i="2"/>
  <c r="K90" i="2"/>
  <c r="K1337" i="2"/>
  <c r="I3011" i="2"/>
  <c r="I2502" i="2"/>
  <c r="J1573" i="2"/>
  <c r="H1573" i="2" s="1"/>
  <c r="K1913" i="2"/>
  <c r="I1765" i="2"/>
  <c r="K2189" i="2"/>
  <c r="K1614" i="2"/>
  <c r="J1247" i="2"/>
  <c r="H1247" i="2" s="1"/>
  <c r="I840" i="2"/>
  <c r="I455" i="2"/>
  <c r="J1424" i="2"/>
  <c r="H1424" i="2" s="1"/>
  <c r="K1500" i="2"/>
  <c r="I595" i="2"/>
  <c r="K809" i="2"/>
  <c r="J740" i="2"/>
  <c r="K801" i="2" s="1"/>
  <c r="K629" i="2"/>
  <c r="J476" i="2"/>
  <c r="K503" i="2" s="1"/>
  <c r="J223" i="2"/>
  <c r="K305" i="2" s="1"/>
  <c r="K190" i="2"/>
  <c r="I121" i="2"/>
  <c r="I2464" i="2"/>
  <c r="I1386" i="2"/>
  <c r="K2107" i="2"/>
  <c r="K3435" i="2"/>
  <c r="J2599" i="2"/>
  <c r="H2599" i="2" s="1"/>
  <c r="J2815" i="2"/>
  <c r="H2815" i="2" s="1"/>
  <c r="I3023" i="2"/>
  <c r="J1731" i="2"/>
  <c r="H1731" i="2" s="1"/>
  <c r="J1913" i="2"/>
  <c r="H1913" i="2" s="1"/>
  <c r="K2362" i="2"/>
  <c r="K1246" i="2"/>
  <c r="I1255" i="2"/>
  <c r="I573" i="2"/>
  <c r="K1247" i="2"/>
  <c r="I1470" i="2"/>
  <c r="I827" i="2"/>
  <c r="J1322" i="2"/>
  <c r="H1322" i="2" s="1"/>
  <c r="K967" i="2"/>
  <c r="J799" i="2"/>
  <c r="H799" i="2" s="1"/>
  <c r="J1528" i="2"/>
  <c r="H1528" i="2" s="1"/>
  <c r="K2464" i="2"/>
  <c r="I2198" i="2"/>
  <c r="K859" i="2"/>
  <c r="I1197" i="2"/>
  <c r="I3368" i="2"/>
  <c r="I3315" i="2"/>
  <c r="K3011" i="2"/>
  <c r="J2884" i="2"/>
  <c r="H2884" i="2" s="1"/>
  <c r="K2793" i="2"/>
  <c r="J2628" i="2"/>
  <c r="H2628" i="2" s="1"/>
  <c r="K2815" i="2"/>
  <c r="I2599" i="2"/>
  <c r="K2562" i="2"/>
  <c r="K2267" i="2"/>
  <c r="I1874" i="2"/>
  <c r="K1573" i="2"/>
  <c r="K1644" i="2"/>
  <c r="J1479" i="2"/>
  <c r="H1479" i="2" s="1"/>
  <c r="K1611" i="2"/>
  <c r="I2365" i="2"/>
  <c r="J1816" i="2"/>
  <c r="H1816" i="2" s="1"/>
  <c r="J1337" i="2"/>
  <c r="H1337" i="2" s="1"/>
  <c r="K1370" i="2"/>
  <c r="K1454" i="2"/>
  <c r="K1007" i="2"/>
  <c r="I133" i="2"/>
  <c r="I2651" i="2"/>
  <c r="J1910" i="2"/>
  <c r="K1942" i="2" s="1"/>
  <c r="J1592" i="2"/>
  <c r="H1592" i="2" s="1"/>
  <c r="K3262" i="2"/>
  <c r="K3438" i="2"/>
  <c r="J2724" i="2"/>
  <c r="H2724" i="2" s="1"/>
  <c r="I1262" i="2"/>
  <c r="J644" i="2"/>
  <c r="H644" i="2" s="1"/>
  <c r="J3349" i="2"/>
  <c r="H3349" i="2" s="1"/>
  <c r="I3340" i="2"/>
  <c r="K3159" i="2"/>
  <c r="J2977" i="2"/>
  <c r="H2977" i="2" s="1"/>
  <c r="J3141" i="2"/>
  <c r="H3141" i="2" s="1"/>
  <c r="J2960" i="2"/>
  <c r="H2960" i="2" s="1"/>
  <c r="K2930" i="2"/>
  <c r="I3135" i="2"/>
  <c r="J2936" i="2"/>
  <c r="K2948" i="2" s="1"/>
  <c r="I2881" i="2"/>
  <c r="J2664" i="2"/>
  <c r="H2664" i="2" s="1"/>
  <c r="J2807" i="2"/>
  <c r="H2807" i="2" s="1"/>
  <c r="K2708" i="2"/>
  <c r="I2710" i="2"/>
  <c r="K1925" i="2"/>
  <c r="J1404" i="2"/>
  <c r="K1498" i="2" s="1"/>
  <c r="J1983" i="2"/>
  <c r="H1983" i="2" s="1"/>
  <c r="K1827" i="2"/>
  <c r="J1262" i="2"/>
  <c r="H1262" i="2" s="1"/>
  <c r="K2357" i="2"/>
  <c r="J1370" i="2"/>
  <c r="H1370" i="2" s="1"/>
  <c r="J697" i="2"/>
  <c r="H697" i="2" s="1"/>
  <c r="I1409" i="2"/>
  <c r="I486" i="2"/>
  <c r="I1670" i="2"/>
  <c r="J1210" i="2"/>
  <c r="H1210" i="2" s="1"/>
  <c r="J557" i="2"/>
  <c r="H557" i="2" s="1"/>
  <c r="J358" i="2"/>
  <c r="H358" i="2" s="1"/>
  <c r="I719" i="2"/>
  <c r="I660" i="2"/>
  <c r="K542" i="2"/>
  <c r="K545" i="2"/>
  <c r="I1528" i="2"/>
  <c r="J1266" i="2"/>
  <c r="K1354" i="2" s="1"/>
  <c r="J115" i="2"/>
  <c r="H115" i="2" s="1"/>
  <c r="K644" i="2"/>
  <c r="J2971" i="2"/>
  <c r="H2971" i="2" s="1"/>
  <c r="K2531" i="2"/>
  <c r="I3407" i="2"/>
  <c r="I3349" i="2"/>
  <c r="J3340" i="2"/>
  <c r="K3307" i="2"/>
  <c r="J3327" i="2"/>
  <c r="H3327" i="2" s="1"/>
  <c r="J3151" i="2"/>
  <c r="H3151" i="2" s="1"/>
  <c r="I3439" i="2"/>
  <c r="I3136" i="2"/>
  <c r="I3045" i="2"/>
  <c r="J3198" i="2"/>
  <c r="H3198" i="2" s="1"/>
  <c r="J3135" i="2"/>
  <c r="H3135" i="2" s="1"/>
  <c r="I3121" i="2"/>
  <c r="I2841" i="2"/>
  <c r="I2902" i="2"/>
  <c r="J2618" i="2"/>
  <c r="K2625" i="2" s="1"/>
  <c r="I2910" i="2"/>
  <c r="I2175" i="2"/>
  <c r="I2676" i="2"/>
  <c r="J2341" i="2"/>
  <c r="H2341" i="2" s="1"/>
  <c r="J2020" i="2"/>
  <c r="H2020" i="2" s="1"/>
  <c r="J2737" i="2"/>
  <c r="H2737" i="2" s="1"/>
  <c r="J1765" i="2"/>
  <c r="K1983" i="2"/>
  <c r="K1243" i="2"/>
  <c r="J1379" i="2"/>
  <c r="H1379" i="2" s="1"/>
  <c r="I1958" i="2"/>
  <c r="J883" i="2"/>
  <c r="K891" i="2" s="1"/>
  <c r="J424" i="2"/>
  <c r="H424" i="2" s="1"/>
  <c r="K557" i="2"/>
  <c r="K512" i="2"/>
  <c r="I1030" i="2"/>
  <c r="I1094" i="2"/>
  <c r="I1328" i="2"/>
  <c r="K1266" i="2"/>
  <c r="J441" i="2"/>
  <c r="J315" i="2"/>
  <c r="H315" i="2" s="1"/>
  <c r="I190" i="2"/>
  <c r="J182" i="2"/>
  <c r="H182" i="2" s="1"/>
  <c r="K146" i="2"/>
  <c r="J3388" i="2"/>
  <c r="H3388" i="2" s="1"/>
  <c r="J3294" i="2"/>
  <c r="H3294" i="2" s="1"/>
  <c r="K1910" i="2"/>
  <c r="I3450" i="2"/>
  <c r="I1576" i="2"/>
  <c r="I261" i="2"/>
  <c r="J3407" i="2"/>
  <c r="H3407" i="2" s="1"/>
  <c r="J3351" i="2"/>
  <c r="H3351" i="2" s="1"/>
  <c r="K3327" i="2"/>
  <c r="K3141" i="2"/>
  <c r="J3045" i="2"/>
  <c r="H3045" i="2" s="1"/>
  <c r="I3203" i="2"/>
  <c r="K3056" i="2"/>
  <c r="J3085" i="2"/>
  <c r="H3085" i="2" s="1"/>
  <c r="J2902" i="2"/>
  <c r="H2902" i="2" s="1"/>
  <c r="J2772" i="2"/>
  <c r="H2772" i="2" s="1"/>
  <c r="K2618" i="2"/>
  <c r="K2761" i="2"/>
  <c r="I2534" i="2"/>
  <c r="J2515" i="2"/>
  <c r="H2515" i="2" s="1"/>
  <c r="I2520" i="2"/>
  <c r="J2676" i="2"/>
  <c r="H2676" i="2" s="1"/>
  <c r="I1985" i="2"/>
  <c r="K1518" i="2"/>
  <c r="I1417" i="2"/>
  <c r="I1379" i="2"/>
  <c r="J1167" i="2"/>
  <c r="H1167" i="2" s="1"/>
  <c r="J340" i="2"/>
  <c r="H340" i="2" s="1"/>
  <c r="J841" i="2"/>
  <c r="H841" i="2" s="1"/>
  <c r="I577" i="2"/>
  <c r="K1554" i="2"/>
  <c r="J959" i="2"/>
  <c r="K1051" i="2" s="1"/>
  <c r="I424" i="2"/>
  <c r="J1030" i="2"/>
  <c r="H1030" i="2" s="1"/>
  <c r="I1166" i="2"/>
  <c r="J1094" i="2"/>
  <c r="H1094" i="2" s="1"/>
  <c r="J859" i="2"/>
  <c r="H859" i="2" s="1"/>
  <c r="K1000" i="2"/>
  <c r="J665" i="2"/>
  <c r="H665" i="2" s="1"/>
  <c r="K441" i="2"/>
  <c r="J227" i="2"/>
  <c r="H227" i="2" s="1"/>
  <c r="J74" i="2"/>
  <c r="K96" i="2" s="1"/>
  <c r="J225" i="2"/>
  <c r="H225" i="2" s="1"/>
  <c r="I293" i="2"/>
  <c r="I1056" i="2"/>
  <c r="J1472" i="2"/>
  <c r="H1472" i="2" s="1"/>
  <c r="I969" i="2"/>
  <c r="I2971" i="2"/>
  <c r="I1405" i="2"/>
  <c r="I316" i="2"/>
  <c r="K2881" i="2"/>
  <c r="I2708" i="2"/>
  <c r="K2875" i="2"/>
  <c r="I2357" i="2"/>
  <c r="K1655" i="2"/>
  <c r="K3219" i="2"/>
  <c r="K3362" i="2"/>
  <c r="J3070" i="2"/>
  <c r="H3070" i="2" s="1"/>
  <c r="I3297" i="2"/>
  <c r="I2888" i="2"/>
  <c r="J2826" i="2"/>
  <c r="H2826" i="2" s="1"/>
  <c r="K2772" i="2"/>
  <c r="J2426" i="2"/>
  <c r="H2426" i="2" s="1"/>
  <c r="J2279" i="2"/>
  <c r="H2279" i="2" s="1"/>
  <c r="K2252" i="2"/>
  <c r="I2466" i="2"/>
  <c r="J1985" i="2"/>
  <c r="H1985" i="2" s="1"/>
  <c r="J1666" i="2"/>
  <c r="H1666" i="2" s="1"/>
  <c r="J1417" i="2"/>
  <c r="H1417" i="2" s="1"/>
  <c r="I2689" i="2"/>
  <c r="J1355" i="2"/>
  <c r="H1355" i="2" s="1"/>
  <c r="I2208" i="2"/>
  <c r="J2230" i="2"/>
  <c r="I1928" i="2"/>
  <c r="K2198" i="2"/>
  <c r="I1932" i="2"/>
  <c r="K1878" i="2"/>
  <c r="K2475" i="2"/>
  <c r="K340" i="2"/>
  <c r="K1048" i="2"/>
  <c r="K841" i="2"/>
  <c r="I1627" i="2"/>
  <c r="J777" i="2"/>
  <c r="H777" i="2" s="1"/>
  <c r="J614" i="2"/>
  <c r="H614" i="2" s="1"/>
  <c r="I1554" i="2"/>
  <c r="K1166" i="2"/>
  <c r="J1043" i="2"/>
  <c r="H1043" i="2" s="1"/>
  <c r="J342" i="2"/>
  <c r="H342" i="2" s="1"/>
  <c r="J14" i="2"/>
  <c r="K18" i="2" s="1"/>
  <c r="I330" i="2"/>
  <c r="J293" i="2"/>
  <c r="H293" i="2" s="1"/>
  <c r="J2702" i="2"/>
  <c r="H2702" i="2" s="1"/>
  <c r="I2544" i="2"/>
  <c r="I89" i="2"/>
  <c r="J3392" i="2"/>
  <c r="H3392" i="2" s="1"/>
  <c r="J3382" i="2"/>
  <c r="H3382" i="2" s="1"/>
  <c r="K3082" i="2"/>
  <c r="I3362" i="2"/>
  <c r="J3194" i="2"/>
  <c r="H3194" i="2" s="1"/>
  <c r="K3285" i="2"/>
  <c r="I3079" i="2"/>
  <c r="I3008" i="2"/>
  <c r="J3167" i="2"/>
  <c r="H3167" i="2" s="1"/>
  <c r="K3070" i="2"/>
  <c r="K3297" i="2"/>
  <c r="K3258" i="2"/>
  <c r="J3283" i="2"/>
  <c r="H3283" i="2" s="1"/>
  <c r="I2799" i="2"/>
  <c r="I2628" i="2"/>
  <c r="K2654" i="2"/>
  <c r="J2510" i="2"/>
  <c r="H2510" i="2" s="1"/>
  <c r="K2426" i="2"/>
  <c r="I2492" i="2"/>
  <c r="I2830" i="2"/>
  <c r="J2589" i="2"/>
  <c r="H2589" i="2" s="1"/>
  <c r="J2398" i="2"/>
  <c r="H2398" i="2" s="1"/>
  <c r="I2437" i="2"/>
  <c r="K2410" i="2"/>
  <c r="J1586" i="2"/>
  <c r="H1586" i="2" s="1"/>
  <c r="J2689" i="2"/>
  <c r="H2689" i="2" s="1"/>
  <c r="I1438" i="2"/>
  <c r="I2475" i="2"/>
  <c r="J2285" i="2"/>
  <c r="H2285" i="2" s="1"/>
  <c r="K1320" i="2"/>
  <c r="I775" i="2"/>
  <c r="J1396" i="2"/>
  <c r="H1396" i="2" s="1"/>
  <c r="I430" i="2"/>
  <c r="K1664" i="2"/>
  <c r="K777" i="2"/>
  <c r="K799" i="2"/>
  <c r="J316" i="2"/>
  <c r="H316" i="2" s="1"/>
  <c r="J1513" i="2"/>
  <c r="H1513" i="2" s="1"/>
  <c r="I1375" i="2"/>
  <c r="J969" i="2"/>
  <c r="H969" i="2" s="1"/>
  <c r="I1312" i="2"/>
  <c r="J809" i="2"/>
  <c r="H809" i="2" s="1"/>
  <c r="K133" i="2"/>
  <c r="J654" i="2"/>
  <c r="K772" i="2" s="1"/>
  <c r="K342" i="2"/>
  <c r="I476" i="2"/>
  <c r="K394" i="2"/>
  <c r="J394" i="2"/>
  <c r="H394" i="2" s="1"/>
  <c r="J330" i="2"/>
  <c r="K2972" i="2" s="1"/>
  <c r="G2972" i="2" s="1"/>
  <c r="J29" i="2"/>
  <c r="H29" i="2" s="1"/>
  <c r="J3160" i="2"/>
  <c r="H3160" i="2" s="1"/>
  <c r="I2865" i="2"/>
  <c r="I2254" i="2"/>
  <c r="J2930" i="2"/>
  <c r="H2930" i="2" s="1"/>
  <c r="I2752" i="2"/>
  <c r="K3372" i="2"/>
  <c r="J2987" i="2"/>
  <c r="H2987" i="2" s="1"/>
  <c r="K3057" i="2"/>
  <c r="K3315" i="2"/>
  <c r="K3283" i="2"/>
  <c r="K2589" i="2"/>
  <c r="K2437" i="2"/>
  <c r="J1390" i="2"/>
  <c r="H1390" i="2" s="1"/>
  <c r="J2330" i="2"/>
  <c r="H2330" i="2" s="1"/>
  <c r="J1306" i="2"/>
  <c r="H1306" i="2" s="1"/>
  <c r="K1890" i="2"/>
  <c r="J1858" i="2"/>
  <c r="H1858" i="2" s="1"/>
  <c r="J2189" i="2"/>
  <c r="H2189" i="2" s="1"/>
  <c r="J1870" i="2"/>
  <c r="H1870" i="2" s="1"/>
  <c r="K1068" i="2"/>
  <c r="K775" i="2"/>
  <c r="J430" i="2"/>
  <c r="H430" i="2" s="1"/>
  <c r="J1315" i="2"/>
  <c r="I308" i="2"/>
  <c r="J1086" i="2"/>
  <c r="H1086" i="2" s="1"/>
  <c r="I845" i="2"/>
  <c r="K935" i="2"/>
  <c r="K204" i="2"/>
  <c r="K92" i="2"/>
  <c r="I3236" i="2"/>
  <c r="J3015" i="2"/>
  <c r="H3015" i="2" s="1"/>
  <c r="K3292" i="2"/>
  <c r="K3053" i="2"/>
  <c r="J2945" i="2"/>
  <c r="H2945" i="2" s="1"/>
  <c r="I3170" i="2"/>
  <c r="J3205" i="2"/>
  <c r="H3205" i="2" s="1"/>
  <c r="K3115" i="2"/>
  <c r="J2681" i="2"/>
  <c r="H2681" i="2" s="1"/>
  <c r="J2863" i="2"/>
  <c r="K2869" i="2" s="1"/>
  <c r="K2607" i="2"/>
  <c r="I2685" i="2"/>
  <c r="J2528" i="2"/>
  <c r="H2528" i="2" s="1"/>
  <c r="K2821" i="2"/>
  <c r="K2489" i="2"/>
  <c r="J2849" i="2"/>
  <c r="H2849" i="2" s="1"/>
  <c r="K2849" i="2"/>
  <c r="I2849" i="2"/>
  <c r="I2387" i="2"/>
  <c r="J2146" i="2"/>
  <c r="K2653" i="2" s="1"/>
  <c r="I2454" i="2"/>
  <c r="J1997" i="2"/>
  <c r="H1997" i="2" s="1"/>
  <c r="I1997" i="2"/>
  <c r="I1618" i="2"/>
  <c r="K1618" i="2"/>
  <c r="J1618" i="2"/>
  <c r="H1618" i="2" s="1"/>
  <c r="K2330" i="2"/>
  <c r="K1586" i="2"/>
  <c r="K2264" i="2"/>
  <c r="I1243" i="2"/>
  <c r="I1272" i="2"/>
  <c r="J1272" i="2"/>
  <c r="K1277" i="2" s="1"/>
  <c r="J1364" i="2"/>
  <c r="H1364" i="2" s="1"/>
  <c r="J822" i="2"/>
  <c r="H822" i="2" s="1"/>
  <c r="K716" i="2"/>
  <c r="J716" i="2"/>
  <c r="H716" i="2" s="1"/>
  <c r="J1651" i="2"/>
  <c r="H1651" i="2" s="1"/>
  <c r="I1651" i="2"/>
  <c r="K695" i="2"/>
  <c r="J673" i="2"/>
  <c r="H673" i="2" s="1"/>
  <c r="I673" i="2"/>
  <c r="K751" i="2"/>
  <c r="J751" i="2"/>
  <c r="H751" i="2" s="1"/>
  <c r="J135" i="2"/>
  <c r="H135" i="2" s="1"/>
  <c r="J1863" i="2"/>
  <c r="H1863" i="2" s="1"/>
  <c r="K2162" i="2"/>
  <c r="I266" i="2"/>
  <c r="J266" i="2"/>
  <c r="H266" i="2" s="1"/>
  <c r="K3273" i="2"/>
  <c r="I3270" i="2"/>
  <c r="I3015" i="2"/>
  <c r="I2687" i="2"/>
  <c r="J2536" i="2"/>
  <c r="H2536" i="2" s="1"/>
  <c r="I2536" i="2"/>
  <c r="K3406" i="2"/>
  <c r="I3406" i="2"/>
  <c r="K2387" i="2"/>
  <c r="K2699" i="2"/>
  <c r="J2699" i="2"/>
  <c r="H2699" i="2" s="1"/>
  <c r="I2699" i="2"/>
  <c r="J2264" i="2"/>
  <c r="K2268" i="2" s="1"/>
  <c r="J695" i="2"/>
  <c r="H695" i="2" s="1"/>
  <c r="I399" i="2"/>
  <c r="K399" i="2"/>
  <c r="J1566" i="2"/>
  <c r="H1566" i="2" s="1"/>
  <c r="I1566" i="2"/>
  <c r="K1450" i="2"/>
  <c r="J1450" i="2"/>
  <c r="H1450" i="2" s="1"/>
  <c r="K62" i="2"/>
  <c r="I62" i="2"/>
  <c r="J62" i="2"/>
  <c r="H62" i="2" s="1"/>
  <c r="K687" i="2"/>
  <c r="I687" i="2"/>
  <c r="I3417" i="2"/>
  <c r="I3425" i="2"/>
  <c r="I3410" i="2"/>
  <c r="K3392" i="2"/>
  <c r="J3417" i="2"/>
  <c r="H3417" i="2" s="1"/>
  <c r="J3275" i="2"/>
  <c r="K3316" i="2"/>
  <c r="J3410" i="2"/>
  <c r="H3410" i="2" s="1"/>
  <c r="I3159" i="2"/>
  <c r="J3236" i="2"/>
  <c r="H3236" i="2" s="1"/>
  <c r="I3138" i="2"/>
  <c r="K3439" i="2"/>
  <c r="K3094" i="2"/>
  <c r="J2965" i="2"/>
  <c r="H2965" i="2" s="1"/>
  <c r="J2894" i="2"/>
  <c r="H2894" i="2" s="1"/>
  <c r="I3254" i="2"/>
  <c r="J3170" i="2"/>
  <c r="H3170" i="2" s="1"/>
  <c r="J3121" i="2"/>
  <c r="H3121" i="2" s="1"/>
  <c r="I2890" i="2"/>
  <c r="J3075" i="2"/>
  <c r="H3075" i="2" s="1"/>
  <c r="I3115" i="2"/>
  <c r="J2799" i="2"/>
  <c r="H2799" i="2" s="1"/>
  <c r="I2793" i="2"/>
  <c r="K2702" i="2"/>
  <c r="J2651" i="2"/>
  <c r="H2651" i="2" s="1"/>
  <c r="J2457" i="2"/>
  <c r="H2457" i="2" s="1"/>
  <c r="K2528" i="2"/>
  <c r="J2454" i="2"/>
  <c r="H2454" i="2" s="1"/>
  <c r="K1607" i="2"/>
  <c r="I2033" i="2"/>
  <c r="K2033" i="2"/>
  <c r="K1915" i="2"/>
  <c r="I1915" i="2"/>
  <c r="J1915" i="2"/>
  <c r="H1915" i="2" s="1"/>
  <c r="I2164" i="2"/>
  <c r="J2164" i="2"/>
  <c r="H2164" i="2" s="1"/>
  <c r="K2164" i="2"/>
  <c r="I2304" i="2"/>
  <c r="K2304" i="2"/>
  <c r="I2212" i="2"/>
  <c r="K2212" i="2"/>
  <c r="J2212" i="2"/>
  <c r="H2212" i="2" s="1"/>
  <c r="I915" i="2"/>
  <c r="J663" i="2"/>
  <c r="H663" i="2" s="1"/>
  <c r="K663" i="2"/>
  <c r="I663" i="2"/>
  <c r="I643" i="2"/>
  <c r="I973" i="2"/>
  <c r="I865" i="2"/>
  <c r="K865" i="2"/>
  <c r="K743" i="2"/>
  <c r="I743" i="2"/>
  <c r="J1428" i="2"/>
  <c r="I1428" i="2"/>
  <c r="K1428" i="2"/>
  <c r="J1054" i="2"/>
  <c r="H1054" i="2" s="1"/>
  <c r="I1054" i="2"/>
  <c r="I833" i="2"/>
  <c r="I1015" i="2"/>
  <c r="J1015" i="2"/>
  <c r="H1015" i="2" s="1"/>
  <c r="K1598" i="2"/>
  <c r="I1598" i="2"/>
  <c r="I2953" i="2"/>
  <c r="J2953" i="2"/>
  <c r="K2959" i="2" s="1"/>
  <c r="J2065" i="2"/>
  <c r="I1457" i="2"/>
  <c r="K1457" i="2"/>
  <c r="J1722" i="2"/>
  <c r="K2061" i="2"/>
  <c r="I2061" i="2"/>
  <c r="K2421" i="2"/>
  <c r="J2421" i="2"/>
  <c r="H2421" i="2" s="1"/>
  <c r="I2421" i="2"/>
  <c r="I561" i="2"/>
  <c r="J561" i="2"/>
  <c r="H561" i="2" s="1"/>
  <c r="J3053" i="2"/>
  <c r="H3053" i="2" s="1"/>
  <c r="I3332" i="2"/>
  <c r="K3136" i="2"/>
  <c r="J3213" i="2"/>
  <c r="H3213" i="2" s="1"/>
  <c r="J3372" i="2"/>
  <c r="H3372" i="2" s="1"/>
  <c r="J3219" i="2"/>
  <c r="H3219" i="2" s="1"/>
  <c r="I3316" i="2"/>
  <c r="I3330" i="2"/>
  <c r="K3270" i="2"/>
  <c r="K3279" i="2"/>
  <c r="I3132" i="2"/>
  <c r="J3399" i="2"/>
  <c r="H3399" i="2" s="1"/>
  <c r="J3094" i="2"/>
  <c r="H3094" i="2" s="1"/>
  <c r="K2960" i="2"/>
  <c r="K2965" i="2"/>
  <c r="I3031" i="2"/>
  <c r="I3198" i="2"/>
  <c r="I3167" i="2"/>
  <c r="J3258" i="2"/>
  <c r="H3258" i="2" s="1"/>
  <c r="J2890" i="2"/>
  <c r="H2890" i="2" s="1"/>
  <c r="I2975" i="2"/>
  <c r="J3056" i="2"/>
  <c r="H3056" i="2" s="1"/>
  <c r="K2856" i="2"/>
  <c r="K2877" i="2"/>
  <c r="J2805" i="2"/>
  <c r="H2805" i="2" s="1"/>
  <c r="I2844" i="2"/>
  <c r="I2664" i="2"/>
  <c r="K2457" i="2"/>
  <c r="I2375" i="2"/>
  <c r="K2657" i="2"/>
  <c r="I2579" i="2"/>
  <c r="J2340" i="2"/>
  <c r="K2373" i="2" s="1"/>
  <c r="K2298" i="2"/>
  <c r="I2298" i="2"/>
  <c r="J2298" i="2"/>
  <c r="H2298" i="2" s="1"/>
  <c r="K1931" i="2"/>
  <c r="I1931" i="2"/>
  <c r="I1256" i="2"/>
  <c r="K1256" i="2"/>
  <c r="J1256" i="2"/>
  <c r="H1256" i="2" s="1"/>
  <c r="K1846" i="2"/>
  <c r="J1846" i="2"/>
  <c r="H1846" i="2" s="1"/>
  <c r="J2033" i="2"/>
  <c r="H2033" i="2" s="1"/>
  <c r="K1972" i="2"/>
  <c r="J1972" i="2"/>
  <c r="H1972" i="2" s="1"/>
  <c r="I1972" i="2"/>
  <c r="K1748" i="2"/>
  <c r="I1748" i="2"/>
  <c r="K1541" i="2"/>
  <c r="J1541" i="2"/>
  <c r="H1541" i="2" s="1"/>
  <c r="J1610" i="2"/>
  <c r="H1610" i="2" s="1"/>
  <c r="K811" i="2"/>
  <c r="I811" i="2"/>
  <c r="J973" i="2"/>
  <c r="H973" i="2" s="1"/>
  <c r="K171" i="2"/>
  <c r="I171" i="2"/>
  <c r="J868" i="2"/>
  <c r="K883" i="2" s="1"/>
  <c r="I868" i="2"/>
  <c r="I279" i="2"/>
  <c r="I381" i="2"/>
  <c r="K381" i="2"/>
  <c r="K135" i="2"/>
  <c r="J355" i="2"/>
  <c r="H355" i="2" s="1"/>
  <c r="I355" i="2"/>
  <c r="I2386" i="2"/>
  <c r="K2386" i="2"/>
  <c r="J2293" i="2"/>
  <c r="H2293" i="2" s="1"/>
  <c r="I2293" i="2"/>
  <c r="K2293" i="2"/>
  <c r="K1645" i="2"/>
  <c r="J1645" i="2"/>
  <c r="H1645" i="2" s="1"/>
  <c r="I1645" i="2"/>
  <c r="K745" i="2"/>
  <c r="J745" i="2"/>
  <c r="H745" i="2" s="1"/>
  <c r="I745" i="2"/>
  <c r="I282" i="2"/>
  <c r="K282" i="2"/>
  <c r="J282" i="2"/>
  <c r="H282" i="2" s="1"/>
  <c r="K1465" i="2"/>
  <c r="I1465" i="2"/>
  <c r="J850" i="2"/>
  <c r="H850" i="2" s="1"/>
  <c r="I850" i="2"/>
  <c r="J631" i="2"/>
  <c r="H631" i="2" s="1"/>
  <c r="I631" i="2"/>
  <c r="I781" i="2"/>
  <c r="K781" i="2"/>
  <c r="J279" i="2"/>
  <c r="H279" i="2" s="1"/>
  <c r="K372" i="2"/>
  <c r="I372" i="2"/>
  <c r="J372" i="2"/>
  <c r="H372" i="2" s="1"/>
  <c r="I483" i="2"/>
  <c r="I242" i="2"/>
  <c r="J242" i="2"/>
  <c r="J3273" i="2"/>
  <c r="H3273" i="2" s="1"/>
  <c r="K1821" i="2"/>
  <c r="J1226" i="2"/>
  <c r="H1226" i="2" s="1"/>
  <c r="I1226" i="2"/>
  <c r="I1498" i="2"/>
  <c r="J1498" i="2"/>
  <c r="K1501" i="2" s="1"/>
  <c r="K1042" i="2"/>
  <c r="J1042" i="2"/>
  <c r="H1042" i="2" s="1"/>
  <c r="I1042" i="2"/>
  <c r="K283" i="2"/>
  <c r="J283" i="2"/>
  <c r="H283" i="2" s="1"/>
  <c r="I283" i="2"/>
  <c r="J2607" i="2"/>
  <c r="H2607" i="2" s="1"/>
  <c r="I2065" i="2"/>
  <c r="I2453" i="2"/>
  <c r="I2745" i="2"/>
  <c r="J2745" i="2"/>
  <c r="H2745" i="2" s="1"/>
  <c r="K2745" i="2"/>
  <c r="I2909" i="2"/>
  <c r="K2909" i="2"/>
  <c r="K2391" i="2"/>
  <c r="J2391" i="2"/>
  <c r="H2391" i="2" s="1"/>
  <c r="J1300" i="2"/>
  <c r="K1312" i="2" s="1"/>
  <c r="J3426" i="2"/>
  <c r="H3426" i="2" s="1"/>
  <c r="I3363" i="2"/>
  <c r="J3384" i="2"/>
  <c r="H3384" i="2" s="1"/>
  <c r="J3259" i="2"/>
  <c r="H3259" i="2" s="1"/>
  <c r="I3307" i="2"/>
  <c r="K3388" i="2"/>
  <c r="K3151" i="2"/>
  <c r="I3034" i="2"/>
  <c r="K3294" i="2"/>
  <c r="I3399" i="2"/>
  <c r="J3350" i="2"/>
  <c r="H3350" i="2" s="1"/>
  <c r="I3438" i="2"/>
  <c r="J2954" i="2"/>
  <c r="H2954" i="2" s="1"/>
  <c r="I3107" i="2"/>
  <c r="I3231" i="2"/>
  <c r="J3203" i="2"/>
  <c r="H3203" i="2" s="1"/>
  <c r="K3031" i="2"/>
  <c r="K2946" i="2"/>
  <c r="I3075" i="2"/>
  <c r="J2841" i="2"/>
  <c r="H2841" i="2" s="1"/>
  <c r="I3037" i="2"/>
  <c r="I2580" i="2"/>
  <c r="I2807" i="2"/>
  <c r="J2508" i="2"/>
  <c r="H2508" i="2" s="1"/>
  <c r="I2926" i="2"/>
  <c r="J2749" i="2"/>
  <c r="H2749" i="2" s="1"/>
  <c r="K3014" i="2"/>
  <c r="J2329" i="2"/>
  <c r="H2329" i="2" s="1"/>
  <c r="I2329" i="2"/>
  <c r="I2050" i="2"/>
  <c r="K2398" i="2"/>
  <c r="J2088" i="2"/>
  <c r="H2088" i="2" s="1"/>
  <c r="K2655" i="2"/>
  <c r="I2655" i="2"/>
  <c r="J2009" i="2"/>
  <c r="H2009" i="2" s="1"/>
  <c r="K2009" i="2"/>
  <c r="J1850" i="2"/>
  <c r="H1850" i="2" s="1"/>
  <c r="I1850" i="2"/>
  <c r="J1815" i="2"/>
  <c r="H1815" i="2" s="1"/>
  <c r="I1815" i="2"/>
  <c r="K1815" i="2"/>
  <c r="I2376" i="2"/>
  <c r="I1300" i="2"/>
  <c r="J1976" i="2"/>
  <c r="H1976" i="2" s="1"/>
  <c r="K1976" i="2"/>
  <c r="I1903" i="2"/>
  <c r="I1610" i="2"/>
  <c r="J847" i="2"/>
  <c r="H847" i="2" s="1"/>
  <c r="I847" i="2"/>
  <c r="K847" i="2"/>
  <c r="I901" i="2"/>
  <c r="J901" i="2"/>
  <c r="H901" i="2" s="1"/>
  <c r="K901" i="2"/>
  <c r="K56" i="2"/>
  <c r="I56" i="2"/>
  <c r="I1200" i="2"/>
  <c r="K1200" i="2"/>
  <c r="J1192" i="2"/>
  <c r="H1192" i="2" s="1"/>
  <c r="J855" i="2"/>
  <c r="H855" i="2" s="1"/>
  <c r="K855" i="2"/>
  <c r="I855" i="2"/>
  <c r="I211" i="2"/>
  <c r="K211" i="2"/>
  <c r="J211" i="2"/>
  <c r="H211" i="2" s="1"/>
  <c r="J480" i="2"/>
  <c r="K533" i="2" s="1"/>
  <c r="K387" i="2"/>
  <c r="I387" i="2"/>
  <c r="J387" i="2"/>
  <c r="H387" i="2" s="1"/>
  <c r="I8" i="2"/>
  <c r="J8" i="2"/>
  <c r="H8" i="2" s="1"/>
  <c r="I1473" i="2"/>
  <c r="K1473" i="2"/>
  <c r="I3467" i="2"/>
  <c r="J3047" i="2"/>
  <c r="H3047" i="2" s="1"/>
  <c r="K2165" i="2"/>
  <c r="J2165" i="2"/>
  <c r="K2560" i="2" s="1"/>
  <c r="I2165" i="2"/>
  <c r="K3426" i="2"/>
  <c r="I3279" i="2"/>
  <c r="K3210" i="2"/>
  <c r="I2977" i="2"/>
  <c r="J3008" i="2"/>
  <c r="H3008" i="2" s="1"/>
  <c r="K2954" i="2"/>
  <c r="I2894" i="2"/>
  <c r="J3028" i="2"/>
  <c r="H3028" i="2" s="1"/>
  <c r="K3160" i="2"/>
  <c r="I3162" i="2"/>
  <c r="J2753" i="2"/>
  <c r="H2753" i="2" s="1"/>
  <c r="K2777" i="2"/>
  <c r="J3037" i="2"/>
  <c r="H3037" i="2" s="1"/>
  <c r="I2829" i="2"/>
  <c r="K2508" i="2"/>
  <c r="I2820" i="2"/>
  <c r="K2749" i="2"/>
  <c r="K2534" i="2"/>
  <c r="I2519" i="2"/>
  <c r="K2223" i="2"/>
  <c r="J2223" i="2"/>
  <c r="H2223" i="2" s="1"/>
  <c r="J2050" i="2"/>
  <c r="H2050" i="2" s="1"/>
  <c r="J2177" i="2"/>
  <c r="H2177" i="2" s="1"/>
  <c r="K2177" i="2"/>
  <c r="K2006" i="2"/>
  <c r="J2006" i="2"/>
  <c r="H2006" i="2" s="1"/>
  <c r="K1551" i="2"/>
  <c r="I1551" i="2"/>
  <c r="K1804" i="2"/>
  <c r="J1804" i="2"/>
  <c r="H1804" i="2" s="1"/>
  <c r="J1535" i="2"/>
  <c r="H1535" i="2" s="1"/>
  <c r="K2171" i="2"/>
  <c r="J1374" i="2"/>
  <c r="H1374" i="2" s="1"/>
  <c r="I1374" i="2"/>
  <c r="K1374" i="2"/>
  <c r="K1830" i="2"/>
  <c r="J1830" i="2"/>
  <c r="H1830" i="2" s="1"/>
  <c r="I1830" i="2"/>
  <c r="J2276" i="2"/>
  <c r="I2276" i="2"/>
  <c r="K2276" i="2"/>
  <c r="K2425" i="2"/>
  <c r="K1736" i="2"/>
  <c r="I1736" i="2"/>
  <c r="I2162" i="2"/>
  <c r="I1497" i="2"/>
  <c r="K1497" i="2"/>
  <c r="J1497" i="2"/>
  <c r="H1497" i="2" s="1"/>
  <c r="K691" i="2"/>
  <c r="J691" i="2"/>
  <c r="H691" i="2" s="1"/>
  <c r="I691" i="2"/>
  <c r="I1016" i="2"/>
  <c r="J1363" i="2"/>
  <c r="I1363" i="2"/>
  <c r="I1071" i="2"/>
  <c r="J1071" i="2"/>
  <c r="H1071" i="2" s="1"/>
  <c r="K1416" i="2"/>
  <c r="J1416" i="2"/>
  <c r="H1416" i="2" s="1"/>
  <c r="K1347" i="2"/>
  <c r="J1347" i="2"/>
  <c r="H1347" i="2" s="1"/>
  <c r="J1488" i="2"/>
  <c r="H1488" i="2" s="1"/>
  <c r="K266" i="2"/>
  <c r="I787" i="2"/>
  <c r="J787" i="2"/>
  <c r="H787" i="2" s="1"/>
  <c r="I3325" i="2"/>
  <c r="K2335" i="2"/>
  <c r="J2335" i="2"/>
  <c r="H2335" i="2" s="1"/>
  <c r="I1548" i="2"/>
  <c r="K1548" i="2"/>
  <c r="J1548" i="2"/>
  <c r="H1548" i="2" s="1"/>
  <c r="K2258" i="2"/>
  <c r="I2258" i="2"/>
  <c r="I1447" i="2"/>
  <c r="K1447" i="2"/>
  <c r="J1447" i="2"/>
  <c r="H1447" i="2" s="1"/>
  <c r="K679" i="2"/>
  <c r="J679" i="2"/>
  <c r="H679" i="2" s="1"/>
  <c r="I679" i="2"/>
  <c r="I328" i="2"/>
  <c r="I3320" i="2"/>
  <c r="J3325" i="2"/>
  <c r="H3325" i="2" s="1"/>
  <c r="I2484" i="2"/>
  <c r="J2484" i="2"/>
  <c r="H2484" i="2" s="1"/>
  <c r="I1781" i="2"/>
  <c r="J1781" i="2"/>
  <c r="H1781" i="2" s="1"/>
  <c r="K1781" i="2"/>
  <c r="I2400" i="2"/>
  <c r="K2400" i="2"/>
  <c r="I1794" i="2"/>
  <c r="K1794" i="2"/>
  <c r="K1152" i="2"/>
  <c r="I1152" i="2"/>
  <c r="J864" i="2"/>
  <c r="H864" i="2" s="1"/>
  <c r="I864" i="2"/>
  <c r="K864" i="2"/>
  <c r="I822" i="2"/>
  <c r="K511" i="2"/>
  <c r="I511" i="2"/>
  <c r="K867" i="2"/>
  <c r="J867" i="2"/>
  <c r="H867" i="2" s="1"/>
  <c r="I867" i="2"/>
  <c r="J2783" i="2"/>
  <c r="H2783" i="2" s="1"/>
  <c r="I2729" i="2"/>
  <c r="I2730" i="2"/>
  <c r="K2730" i="2"/>
  <c r="J2730" i="2"/>
  <c r="H2730" i="2" s="1"/>
  <c r="K2519" i="2"/>
  <c r="J3332" i="2"/>
  <c r="H3332" i="2" s="1"/>
  <c r="K3320" i="2"/>
  <c r="J3082" i="2"/>
  <c r="H3082" i="2" s="1"/>
  <c r="K3079" i="2"/>
  <c r="J3162" i="2"/>
  <c r="H3162" i="2" s="1"/>
  <c r="K2753" i="2"/>
  <c r="J2777" i="2"/>
  <c r="H2777" i="2" s="1"/>
  <c r="K2974" i="2"/>
  <c r="J2773" i="2"/>
  <c r="H2773" i="2" s="1"/>
  <c r="K2626" i="2"/>
  <c r="K2492" i="2"/>
  <c r="I2724" i="2"/>
  <c r="J2820" i="2"/>
  <c r="H2820" i="2" s="1"/>
  <c r="I2969" i="2"/>
  <c r="K2266" i="2"/>
  <c r="K1880" i="2"/>
  <c r="J2386" i="2"/>
  <c r="H2386" i="2" s="1"/>
  <c r="K1701" i="2"/>
  <c r="J1701" i="2"/>
  <c r="H1701" i="2" s="1"/>
  <c r="I1701" i="2"/>
  <c r="I1658" i="2"/>
  <c r="K2371" i="2"/>
  <c r="K1535" i="2"/>
  <c r="K1792" i="2"/>
  <c r="K1577" i="2"/>
  <c r="I1399" i="2"/>
  <c r="K1399" i="2"/>
  <c r="I2171" i="2"/>
  <c r="I1821" i="2"/>
  <c r="I1816" i="2"/>
  <c r="J1600" i="2"/>
  <c r="H1600" i="2" s="1"/>
  <c r="J1003" i="2"/>
  <c r="H1003" i="2" s="1"/>
  <c r="K1003" i="2"/>
  <c r="K1156" i="2"/>
  <c r="J1045" i="2"/>
  <c r="H1045" i="2" s="1"/>
  <c r="J643" i="2"/>
  <c r="K660" i="2" s="1"/>
  <c r="K1331" i="2"/>
  <c r="J1331" i="2"/>
  <c r="H1331" i="2" s="1"/>
  <c r="K1160" i="2"/>
  <c r="J833" i="2"/>
  <c r="I751" i="2"/>
  <c r="J203" i="2"/>
  <c r="H203" i="2" s="1"/>
  <c r="I10" i="2"/>
  <c r="J10" i="2"/>
  <c r="H10" i="2" s="1"/>
  <c r="K10" i="2"/>
  <c r="J675" i="2"/>
  <c r="I675" i="2"/>
  <c r="J240" i="2"/>
  <c r="H240" i="2" s="1"/>
  <c r="K403" i="2"/>
  <c r="J403" i="2"/>
  <c r="H403" i="2" s="1"/>
  <c r="I403" i="2"/>
  <c r="J2710" i="2"/>
  <c r="H2710" i="2" s="1"/>
  <c r="J2520" i="2"/>
  <c r="H2520" i="2" s="1"/>
  <c r="K2394" i="2"/>
  <c r="I2158" i="2"/>
  <c r="I1529" i="2"/>
  <c r="I1108" i="2"/>
  <c r="K1848" i="2"/>
  <c r="J1990" i="2"/>
  <c r="H1990" i="2" s="1"/>
  <c r="I1236" i="2"/>
  <c r="K1154" i="2"/>
  <c r="K942" i="2"/>
  <c r="J577" i="2"/>
  <c r="H577" i="2" s="1"/>
  <c r="J486" i="2"/>
  <c r="H486" i="2" s="1"/>
  <c r="J698" i="2"/>
  <c r="H698" i="2" s="1"/>
  <c r="J1620" i="2"/>
  <c r="H1620" i="2" s="1"/>
  <c r="K886" i="2"/>
  <c r="J967" i="2"/>
  <c r="H967" i="2" s="1"/>
  <c r="K187" i="2"/>
  <c r="I587" i="2"/>
  <c r="K177" i="2"/>
  <c r="J2158" i="2"/>
  <c r="H2158" i="2" s="1"/>
  <c r="K2310" i="2"/>
  <c r="J2057" i="2"/>
  <c r="H2057" i="2" s="1"/>
  <c r="K1529" i="2"/>
  <c r="I2447" i="2"/>
  <c r="K2168" i="2"/>
  <c r="J1574" i="2"/>
  <c r="H1574" i="2" s="1"/>
  <c r="I1355" i="2"/>
  <c r="I1145" i="2"/>
  <c r="I1806" i="2"/>
  <c r="K1990" i="2"/>
  <c r="I1507" i="2"/>
  <c r="I7" i="2"/>
  <c r="J587" i="2"/>
  <c r="H587" i="2" s="1"/>
  <c r="K1731" i="2"/>
  <c r="K1574" i="2"/>
  <c r="K1327" i="2"/>
  <c r="J1145" i="2"/>
  <c r="H1145" i="2" s="1"/>
  <c r="K1884" i="2"/>
  <c r="K1839" i="2"/>
  <c r="J1806" i="2"/>
  <c r="H1806" i="2" s="1"/>
  <c r="J2000" i="2"/>
  <c r="H2000" i="2" s="1"/>
  <c r="K1585" i="2"/>
  <c r="I1753" i="2"/>
  <c r="J583" i="2"/>
  <c r="H583" i="2" s="1"/>
  <c r="I1621" i="2"/>
  <c r="K1396" i="2"/>
  <c r="I942" i="2"/>
  <c r="I1315" i="2"/>
  <c r="I924" i="2"/>
  <c r="K1513" i="2"/>
  <c r="K614" i="2"/>
  <c r="K499" i="2"/>
  <c r="J545" i="2"/>
  <c r="K603" i="2" s="1"/>
  <c r="K1194" i="2"/>
  <c r="J1164" i="2"/>
  <c r="H1164" i="2" s="1"/>
  <c r="I1007" i="2"/>
  <c r="I1221" i="2"/>
  <c r="J1133" i="2"/>
  <c r="H1133" i="2" s="1"/>
  <c r="K815" i="2"/>
  <c r="I1427" i="2"/>
  <c r="K682" i="2"/>
  <c r="I821" i="2"/>
  <c r="I332" i="2"/>
  <c r="I218" i="2"/>
  <c r="I177" i="2"/>
  <c r="K2491" i="2"/>
  <c r="I2020" i="2"/>
  <c r="I2224" i="2"/>
  <c r="K2312" i="2"/>
  <c r="J1386" i="2"/>
  <c r="H1386" i="2" s="1"/>
  <c r="I1884" i="2"/>
  <c r="J1811" i="2"/>
  <c r="H1811" i="2" s="1"/>
  <c r="K2245" i="2"/>
  <c r="I1962" i="2"/>
  <c r="J1753" i="2"/>
  <c r="H1753" i="2" s="1"/>
  <c r="I1520" i="2"/>
  <c r="K1592" i="2"/>
  <c r="J886" i="2"/>
  <c r="H886" i="2" s="1"/>
  <c r="I269" i="2"/>
  <c r="J924" i="2"/>
  <c r="H924" i="2" s="1"/>
  <c r="J754" i="2"/>
  <c r="H754" i="2" s="1"/>
  <c r="J1194" i="2"/>
  <c r="H1194" i="2" s="1"/>
  <c r="J893" i="2"/>
  <c r="H893" i="2" s="1"/>
  <c r="K845" i="2"/>
  <c r="K812" i="2"/>
  <c r="J1427" i="2"/>
  <c r="H1427" i="2" s="1"/>
  <c r="J1039" i="2"/>
  <c r="H1039" i="2" s="1"/>
  <c r="I925" i="2"/>
  <c r="K709" i="2"/>
  <c r="J89" i="2"/>
  <c r="H89" i="2" s="1"/>
  <c r="I796" i="2"/>
  <c r="I79" i="2"/>
  <c r="K821" i="2"/>
  <c r="J332" i="2"/>
  <c r="H332" i="2" s="1"/>
  <c r="J218" i="2"/>
  <c r="K233" i="2" s="1"/>
  <c r="J159" i="2"/>
  <c r="H159" i="2" s="1"/>
  <c r="I132" i="2"/>
  <c r="K225" i="2"/>
  <c r="I85" i="2"/>
  <c r="J937" i="2"/>
  <c r="H937" i="2" s="1"/>
  <c r="I175" i="2"/>
  <c r="J2227" i="2"/>
  <c r="H2227" i="2" s="1"/>
  <c r="K1811" i="2"/>
  <c r="J2245" i="2"/>
  <c r="H2245" i="2" s="1"/>
  <c r="J1878" i="2"/>
  <c r="H1878" i="2" s="1"/>
  <c r="K1939" i="2"/>
  <c r="J2002" i="2"/>
  <c r="H2002" i="2" s="1"/>
  <c r="I1585" i="2"/>
  <c r="J1212" i="2"/>
  <c r="H1212" i="2" s="1"/>
  <c r="J1041" i="2"/>
  <c r="H1041" i="2" s="1"/>
  <c r="J1655" i="2"/>
  <c r="H1655" i="2" s="1"/>
  <c r="J1048" i="2"/>
  <c r="H1048" i="2" s="1"/>
  <c r="J1520" i="2"/>
  <c r="K1526" i="2" s="1"/>
  <c r="J1664" i="2"/>
  <c r="H1664" i="2" s="1"/>
  <c r="I443" i="2"/>
  <c r="I542" i="2"/>
  <c r="I512" i="2"/>
  <c r="K229" i="2"/>
  <c r="K893" i="2"/>
  <c r="I1304" i="2"/>
  <c r="K1213" i="2"/>
  <c r="I1121" i="2"/>
  <c r="J1500" i="2"/>
  <c r="H1500" i="2" s="1"/>
  <c r="J1304" i="2"/>
  <c r="H1304" i="2" s="1"/>
  <c r="J709" i="2"/>
  <c r="H709" i="2" s="1"/>
  <c r="I682" i="2"/>
  <c r="I581" i="2"/>
  <c r="K221" i="2"/>
  <c r="K159" i="2"/>
  <c r="J85" i="2"/>
  <c r="H85" i="2" s="1"/>
  <c r="J464" i="2"/>
  <c r="H464" i="2" s="1"/>
  <c r="J2267" i="2"/>
  <c r="H2267" i="2" s="1"/>
  <c r="I2221" i="2"/>
  <c r="I1624" i="2"/>
  <c r="I1424" i="2"/>
  <c r="K1197" i="2"/>
  <c r="I262" i="2"/>
  <c r="K464" i="2"/>
  <c r="J3391" i="2"/>
  <c r="H3391" i="2" s="1"/>
  <c r="K3391" i="2"/>
  <c r="I3391" i="2"/>
  <c r="K3185" i="2"/>
  <c r="J3185" i="2"/>
  <c r="H3185" i="2" s="1"/>
  <c r="I3063" i="2"/>
  <c r="J3063" i="2"/>
  <c r="H3063" i="2" s="1"/>
  <c r="K3063" i="2"/>
  <c r="I3103" i="2"/>
  <c r="J3374" i="2"/>
  <c r="H3374" i="2" s="1"/>
  <c r="I3374" i="2"/>
  <c r="K3374" i="2"/>
  <c r="J3264" i="2"/>
  <c r="H3264" i="2" s="1"/>
  <c r="I3264" i="2"/>
  <c r="I3221" i="2"/>
  <c r="K3221" i="2"/>
  <c r="J3221" i="2"/>
  <c r="H3221" i="2" s="1"/>
  <c r="I3278" i="2"/>
  <c r="K3164" i="2"/>
  <c r="J3164" i="2"/>
  <c r="H3164" i="2" s="1"/>
  <c r="J2920" i="2"/>
  <c r="H2920" i="2" s="1"/>
  <c r="K2920" i="2"/>
  <c r="I2698" i="2"/>
  <c r="K2698" i="2"/>
  <c r="K3385" i="2"/>
  <c r="I3468" i="2"/>
  <c r="J3468" i="2"/>
  <c r="H3468" i="2" s="1"/>
  <c r="K3444" i="2"/>
  <c r="J3444" i="2"/>
  <c r="H3444" i="2" s="1"/>
  <c r="I3444" i="2"/>
  <c r="K3460" i="2"/>
  <c r="I3185" i="2"/>
  <c r="K3068" i="2"/>
  <c r="J3068" i="2"/>
  <c r="H3068" i="2" s="1"/>
  <c r="I3068" i="2"/>
  <c r="I3321" i="2"/>
  <c r="J3321" i="2"/>
  <c r="H3321" i="2" s="1"/>
  <c r="I3281" i="2"/>
  <c r="J3281" i="2"/>
  <c r="H3281" i="2" s="1"/>
  <c r="K3329" i="2"/>
  <c r="J3329" i="2"/>
  <c r="H3329" i="2" s="1"/>
  <c r="I3329" i="2"/>
  <c r="J3092" i="2"/>
  <c r="H3092" i="2" s="1"/>
  <c r="I3092" i="2"/>
  <c r="K3092" i="2"/>
  <c r="K3086" i="2"/>
  <c r="I3086" i="2"/>
  <c r="J3086" i="2"/>
  <c r="H3086" i="2" s="1"/>
  <c r="K2978" i="2"/>
  <c r="J2978" i="2"/>
  <c r="H2978" i="2" s="1"/>
  <c r="J2701" i="2"/>
  <c r="K2701" i="2"/>
  <c r="K2602" i="2"/>
  <c r="J2602" i="2"/>
  <c r="H2602" i="2" s="1"/>
  <c r="I2602" i="2"/>
  <c r="J2769" i="2"/>
  <c r="H2769" i="2" s="1"/>
  <c r="I2955" i="2"/>
  <c r="K2567" i="2"/>
  <c r="J2567" i="2"/>
  <c r="K2570" i="2" s="1"/>
  <c r="I2567" i="2"/>
  <c r="I2773" i="2"/>
  <c r="J2732" i="2"/>
  <c r="H2732" i="2" s="1"/>
  <c r="I2732" i="2"/>
  <c r="K2732" i="2"/>
  <c r="I2272" i="2"/>
  <c r="K2272" i="2"/>
  <c r="J2272" i="2"/>
  <c r="H2272" i="2" s="1"/>
  <c r="I2160" i="2"/>
  <c r="K2160" i="2"/>
  <c r="J2160" i="2"/>
  <c r="H2160" i="2" s="1"/>
  <c r="J2042" i="2"/>
  <c r="H2042" i="2" s="1"/>
  <c r="I2042" i="2"/>
  <c r="K2042" i="2"/>
  <c r="K2803" i="2"/>
  <c r="J3014" i="2"/>
  <c r="H3014" i="2" s="1"/>
  <c r="J2647" i="2"/>
  <c r="K2658" i="2" s="1"/>
  <c r="J2529" i="2"/>
  <c r="H2529" i="2" s="1"/>
  <c r="I2529" i="2"/>
  <c r="K2529" i="2"/>
  <c r="K2108" i="2"/>
  <c r="I2108" i="2"/>
  <c r="J2108" i="2"/>
  <c r="H2108" i="2" s="1"/>
  <c r="I2860" i="2"/>
  <c r="K2860" i="2"/>
  <c r="J2860" i="2"/>
  <c r="H2860" i="2" s="1"/>
  <c r="K2053" i="2"/>
  <c r="I2053" i="2"/>
  <c r="J2053" i="2"/>
  <c r="H2053" i="2" s="1"/>
  <c r="J3460" i="2"/>
  <c r="H3460" i="2" s="1"/>
  <c r="J3161" i="2"/>
  <c r="H3161" i="2" s="1"/>
  <c r="I3161" i="2"/>
  <c r="K3161" i="2"/>
  <c r="K3058" i="2"/>
  <c r="I3058" i="2"/>
  <c r="J3058" i="2"/>
  <c r="H3058" i="2" s="1"/>
  <c r="I3276" i="2"/>
  <c r="K3276" i="2"/>
  <c r="J3276" i="2"/>
  <c r="H3276" i="2" s="1"/>
  <c r="J3357" i="2"/>
  <c r="H3357" i="2" s="1"/>
  <c r="K3357" i="2"/>
  <c r="J3129" i="2"/>
  <c r="H3129" i="2" s="1"/>
  <c r="K3129" i="2"/>
  <c r="I2859" i="2"/>
  <c r="K2859" i="2"/>
  <c r="J2931" i="2"/>
  <c r="H2931" i="2" s="1"/>
  <c r="I2931" i="2"/>
  <c r="K2931" i="2"/>
  <c r="K2592" i="2"/>
  <c r="J2592" i="2"/>
  <c r="H2592" i="2" s="1"/>
  <c r="I2592" i="2"/>
  <c r="I2847" i="2"/>
  <c r="J2847" i="2"/>
  <c r="H2847" i="2" s="1"/>
  <c r="K2847" i="2"/>
  <c r="J2420" i="2"/>
  <c r="H2420" i="2" s="1"/>
  <c r="K2420" i="2"/>
  <c r="I2420" i="2"/>
  <c r="K2260" i="2"/>
  <c r="J2260" i="2"/>
  <c r="H2260" i="2" s="1"/>
  <c r="I2260" i="2"/>
  <c r="K2148" i="2"/>
  <c r="J2148" i="2"/>
  <c r="H2148" i="2" s="1"/>
  <c r="I2148" i="2"/>
  <c r="K2030" i="2"/>
  <c r="J2030" i="2"/>
  <c r="H2030" i="2" s="1"/>
  <c r="I2030" i="2"/>
  <c r="J2622" i="2"/>
  <c r="H2622" i="2" s="1"/>
  <c r="I2622" i="2"/>
  <c r="K2622" i="2"/>
  <c r="I2446" i="2"/>
  <c r="K2446" i="2"/>
  <c r="J2446" i="2"/>
  <c r="H2446" i="2" s="1"/>
  <c r="K1817" i="2"/>
  <c r="J1817" i="2"/>
  <c r="H1817" i="2" s="1"/>
  <c r="I1817" i="2"/>
  <c r="J3318" i="2"/>
  <c r="H3318" i="2" s="1"/>
  <c r="I3318" i="2"/>
  <c r="K3318" i="2"/>
  <c r="I3095" i="2"/>
  <c r="J3095" i="2"/>
  <c r="K3103" i="2" s="1"/>
  <c r="K3109" i="2"/>
  <c r="I3109" i="2"/>
  <c r="J3109" i="2"/>
  <c r="H3109" i="2" s="1"/>
  <c r="I3072" i="2"/>
  <c r="K3072" i="2"/>
  <c r="J2859" i="2"/>
  <c r="H2859" i="2" s="1"/>
  <c r="I2767" i="2"/>
  <c r="K2767" i="2"/>
  <c r="J2767" i="2"/>
  <c r="H2767" i="2" s="1"/>
  <c r="K2955" i="2"/>
  <c r="J2929" i="2"/>
  <c r="H2929" i="2" s="1"/>
  <c r="I2929" i="2"/>
  <c r="K2929" i="2"/>
  <c r="I2641" i="2"/>
  <c r="J2641" i="2"/>
  <c r="H2641" i="2" s="1"/>
  <c r="K2641" i="2"/>
  <c r="I2401" i="2"/>
  <c r="K2401" i="2"/>
  <c r="J2401" i="2"/>
  <c r="K2408" i="2" s="1"/>
  <c r="J2248" i="2"/>
  <c r="K2323" i="2" s="1"/>
  <c r="I2248" i="2"/>
  <c r="K2248" i="2"/>
  <c r="J2138" i="2"/>
  <c r="H2138" i="2" s="1"/>
  <c r="I2138" i="2"/>
  <c r="K2138" i="2"/>
  <c r="J3080" i="2"/>
  <c r="H3080" i="2" s="1"/>
  <c r="K3080" i="2"/>
  <c r="I3080" i="2"/>
  <c r="I2093" i="2"/>
  <c r="K2093" i="2"/>
  <c r="J2093" i="2"/>
  <c r="H2093" i="2" s="1"/>
  <c r="K3451" i="2"/>
  <c r="J3451" i="2"/>
  <c r="H3451" i="2" s="1"/>
  <c r="I3451" i="2"/>
  <c r="I3357" i="2"/>
  <c r="I3333" i="2"/>
  <c r="I2760" i="2"/>
  <c r="K2760" i="2"/>
  <c r="J2760" i="2"/>
  <c r="H2760" i="2" s="1"/>
  <c r="I2949" i="2"/>
  <c r="K2949" i="2"/>
  <c r="J3072" i="2"/>
  <c r="K2817" i="2"/>
  <c r="I2817" i="2"/>
  <c r="J2817" i="2"/>
  <c r="H2817" i="2" s="1"/>
  <c r="K2397" i="2"/>
  <c r="J2397" i="2"/>
  <c r="H2397" i="2" s="1"/>
  <c r="I2397" i="2"/>
  <c r="I2549" i="2"/>
  <c r="K2549" i="2"/>
  <c r="J2549" i="2"/>
  <c r="H2549" i="2" s="1"/>
  <c r="K2716" i="2"/>
  <c r="J2716" i="2"/>
  <c r="H2716" i="2" s="1"/>
  <c r="I2716" i="2"/>
  <c r="K2830" i="2"/>
  <c r="I2560" i="2"/>
  <c r="J2959" i="2"/>
  <c r="K3020" i="2" s="1"/>
  <c r="I2959" i="2"/>
  <c r="J3342" i="2"/>
  <c r="H3342" i="2" s="1"/>
  <c r="I3342" i="2"/>
  <c r="J3333" i="2"/>
  <c r="K3337" i="2" s="1"/>
  <c r="I2747" i="2"/>
  <c r="K2747" i="2"/>
  <c r="J2747" i="2"/>
  <c r="H2747" i="2" s="1"/>
  <c r="J2949" i="2"/>
  <c r="H2949" i="2" s="1"/>
  <c r="I2885" i="2"/>
  <c r="I2501" i="2"/>
  <c r="K2501" i="2"/>
  <c r="J2501" i="2"/>
  <c r="H2501" i="2" s="1"/>
  <c r="K2406" i="2"/>
  <c r="J2406" i="2"/>
  <c r="H2406" i="2" s="1"/>
  <c r="I2406" i="2"/>
  <c r="K2858" i="2"/>
  <c r="J2858" i="2"/>
  <c r="H2858" i="2" s="1"/>
  <c r="K2533" i="2"/>
  <c r="J2533" i="2"/>
  <c r="H2533" i="2" s="1"/>
  <c r="I2533" i="2"/>
  <c r="K2823" i="2"/>
  <c r="J2823" i="2"/>
  <c r="H2823" i="2" s="1"/>
  <c r="J2761" i="2"/>
  <c r="H2761" i="2" s="1"/>
  <c r="J2560" i="2"/>
  <c r="K2692" i="2" s="1"/>
  <c r="K2505" i="2"/>
  <c r="I2505" i="2"/>
  <c r="J2505" i="2"/>
  <c r="K2513" i="2" s="1"/>
  <c r="J2456" i="2"/>
  <c r="I2456" i="2"/>
  <c r="K2456" i="2"/>
  <c r="J2102" i="2"/>
  <c r="H2102" i="2" s="1"/>
  <c r="K2102" i="2"/>
  <c r="I2102" i="2"/>
  <c r="I2948" i="2"/>
  <c r="I3129" i="2"/>
  <c r="J2855" i="2"/>
  <c r="K2863" i="2" s="1"/>
  <c r="K2855" i="2"/>
  <c r="I2855" i="2"/>
  <c r="I2812" i="2"/>
  <c r="K2812" i="2"/>
  <c r="J2812" i="2"/>
  <c r="H2812" i="2" s="1"/>
  <c r="K2396" i="2"/>
  <c r="I2396" i="2"/>
  <c r="J2396" i="2"/>
  <c r="H2396" i="2" s="1"/>
  <c r="I2763" i="2"/>
  <c r="K2763" i="2"/>
  <c r="I3033" i="2"/>
  <c r="J3033" i="2"/>
  <c r="H3033" i="2" s="1"/>
  <c r="I2728" i="2"/>
  <c r="K2728" i="2"/>
  <c r="K2836" i="2"/>
  <c r="J2816" i="2"/>
  <c r="H2816" i="2" s="1"/>
  <c r="I2816" i="2"/>
  <c r="K2433" i="2"/>
  <c r="I2433" i="2"/>
  <c r="J2433" i="2"/>
  <c r="H2433" i="2" s="1"/>
  <c r="I1866" i="2"/>
  <c r="K1866" i="2"/>
  <c r="I1687" i="2"/>
  <c r="J1687" i="2"/>
  <c r="K1741" i="2" s="1"/>
  <c r="I1579" i="2"/>
  <c r="K1579" i="2"/>
  <c r="J1579" i="2"/>
  <c r="H1579" i="2" s="1"/>
  <c r="I1463" i="2"/>
  <c r="K1463" i="2"/>
  <c r="J1463" i="2"/>
  <c r="H1463" i="2" s="1"/>
  <c r="K3304" i="2"/>
  <c r="I3304" i="2"/>
  <c r="J3381" i="2"/>
  <c r="H3381" i="2" s="1"/>
  <c r="K3381" i="2"/>
  <c r="J3012" i="2"/>
  <c r="H3012" i="2" s="1"/>
  <c r="K3180" i="2"/>
  <c r="J3180" i="2"/>
  <c r="H3180" i="2" s="1"/>
  <c r="K3299" i="2"/>
  <c r="J3299" i="2"/>
  <c r="H3299" i="2" s="1"/>
  <c r="K3012" i="2"/>
  <c r="I3457" i="2"/>
  <c r="I3360" i="2"/>
  <c r="K3360" i="2"/>
  <c r="K3267" i="2"/>
  <c r="I3267" i="2"/>
  <c r="J3267" i="2"/>
  <c r="H3267" i="2" s="1"/>
  <c r="K3202" i="2"/>
  <c r="I3202" i="2"/>
  <c r="J3202" i="2"/>
  <c r="H3202" i="2" s="1"/>
  <c r="K3100" i="2"/>
  <c r="I3100" i="2"/>
  <c r="J3100" i="2"/>
  <c r="H3100" i="2" s="1"/>
  <c r="I3364" i="2"/>
  <c r="I3059" i="2"/>
  <c r="J3004" i="2"/>
  <c r="H3004" i="2" s="1"/>
  <c r="I3004" i="2"/>
  <c r="K3004" i="2"/>
  <c r="I3210" i="2"/>
  <c r="J3278" i="2"/>
  <c r="H3278" i="2" s="1"/>
  <c r="K3097" i="2"/>
  <c r="J3097" i="2"/>
  <c r="H3097" i="2" s="1"/>
  <c r="I3247" i="2"/>
  <c r="I2870" i="2"/>
  <c r="J2870" i="2"/>
  <c r="H2870" i="2" s="1"/>
  <c r="K2870" i="2"/>
  <c r="K2788" i="2"/>
  <c r="J2788" i="2"/>
  <c r="H2788" i="2" s="1"/>
  <c r="I2788" i="2"/>
  <c r="K2885" i="2"/>
  <c r="I2701" i="2"/>
  <c r="J2496" i="2"/>
  <c r="H2496" i="2" s="1"/>
  <c r="I2496" i="2"/>
  <c r="J2632" i="2"/>
  <c r="H2632" i="2" s="1"/>
  <c r="J2580" i="2"/>
  <c r="K2731" i="2" s="1"/>
  <c r="K2691" i="2"/>
  <c r="J2691" i="2"/>
  <c r="H2691" i="2" s="1"/>
  <c r="I2691" i="2"/>
  <c r="K2672" i="2"/>
  <c r="I2672" i="2"/>
  <c r="I2481" i="2"/>
  <c r="K2572" i="2"/>
  <c r="J2572" i="2"/>
  <c r="H2572" i="2" s="1"/>
  <c r="I2572" i="2"/>
  <c r="J2063" i="2"/>
  <c r="H2063" i="2" s="1"/>
  <c r="I2063" i="2"/>
  <c r="K2063" i="2"/>
  <c r="K3306" i="2"/>
  <c r="J3306" i="2"/>
  <c r="H3306" i="2" s="1"/>
  <c r="I3306" i="2"/>
  <c r="K3052" i="2"/>
  <c r="J3052" i="2"/>
  <c r="H3052" i="2" s="1"/>
  <c r="J2927" i="2"/>
  <c r="H2927" i="2" s="1"/>
  <c r="I2927" i="2"/>
  <c r="I3416" i="2"/>
  <c r="K3416" i="2"/>
  <c r="K3342" i="2"/>
  <c r="K3005" i="2"/>
  <c r="J3005" i="2"/>
  <c r="H3005" i="2" s="1"/>
  <c r="I3005" i="2"/>
  <c r="J2488" i="2"/>
  <c r="H2488" i="2" s="1"/>
  <c r="K2488" i="2"/>
  <c r="I2488" i="2"/>
  <c r="I3150" i="2"/>
  <c r="J3150" i="2"/>
  <c r="H3150" i="2" s="1"/>
  <c r="J2728" i="2"/>
  <c r="H2728" i="2" s="1"/>
  <c r="K3472" i="2"/>
  <c r="I3472" i="2"/>
  <c r="J3472" i="2"/>
  <c r="K3264" i="2"/>
  <c r="K3429" i="2"/>
  <c r="J3429" i="2"/>
  <c r="H3429" i="2" s="1"/>
  <c r="I3429" i="2"/>
  <c r="K3090" i="2"/>
  <c r="J3090" i="2"/>
  <c r="H3090" i="2" s="1"/>
  <c r="I3090" i="2"/>
  <c r="J3348" i="2"/>
  <c r="H3348" i="2" s="1"/>
  <c r="J3235" i="2"/>
  <c r="H3235" i="2" s="1"/>
  <c r="K3235" i="2"/>
  <c r="J3364" i="2"/>
  <c r="H3364" i="2" s="1"/>
  <c r="J3330" i="2"/>
  <c r="H3330" i="2" s="1"/>
  <c r="I3220" i="2"/>
  <c r="K3220" i="2"/>
  <c r="J3059" i="2"/>
  <c r="H3059" i="2" s="1"/>
  <c r="K2992" i="2"/>
  <c r="J2992" i="2"/>
  <c r="H2992" i="2" s="1"/>
  <c r="I2992" i="2"/>
  <c r="J3049" i="2"/>
  <c r="H3049" i="2" s="1"/>
  <c r="I3049" i="2"/>
  <c r="K2927" i="2"/>
  <c r="J3247" i="2"/>
  <c r="H3247" i="2" s="1"/>
  <c r="J3060" i="2"/>
  <c r="H3060" i="2" s="1"/>
  <c r="I2945" i="2"/>
  <c r="J2755" i="2"/>
  <c r="H2755" i="2" s="1"/>
  <c r="I2755" i="2"/>
  <c r="I2712" i="2"/>
  <c r="K2712" i="2"/>
  <c r="J2712" i="2"/>
  <c r="H2712" i="2" s="1"/>
  <c r="J2624" i="2"/>
  <c r="H2624" i="2" s="1"/>
  <c r="I2624" i="2"/>
  <c r="K2624" i="2"/>
  <c r="J2937" i="2"/>
  <c r="H2937" i="2" s="1"/>
  <c r="K2937" i="2"/>
  <c r="K2752" i="2"/>
  <c r="K2718" i="2"/>
  <c r="K2480" i="2"/>
  <c r="J2480" i="2"/>
  <c r="H2480" i="2" s="1"/>
  <c r="I2740" i="2"/>
  <c r="K2740" i="2"/>
  <c r="K2574" i="2"/>
  <c r="I2574" i="2"/>
  <c r="J2804" i="2"/>
  <c r="H2804" i="2" s="1"/>
  <c r="K2632" i="2"/>
  <c r="J2672" i="2"/>
  <c r="H2672" i="2" s="1"/>
  <c r="J2481" i="2"/>
  <c r="H2481" i="2" s="1"/>
  <c r="J2352" i="2"/>
  <c r="H2352" i="2" s="1"/>
  <c r="K2352" i="2"/>
  <c r="J2568" i="2"/>
  <c r="H2568" i="2" s="1"/>
  <c r="K3181" i="2"/>
  <c r="I3181" i="2"/>
  <c r="J3181" i="2"/>
  <c r="H3181" i="2" s="1"/>
  <c r="J1752" i="2"/>
  <c r="K1789" i="2" s="1"/>
  <c r="I1752" i="2"/>
  <c r="K3376" i="2"/>
  <c r="J3376" i="2"/>
  <c r="H3376" i="2" s="1"/>
  <c r="I3376" i="2"/>
  <c r="K3461" i="2"/>
  <c r="J3461" i="2"/>
  <c r="H3461" i="2" s="1"/>
  <c r="I3461" i="2"/>
  <c r="K3280" i="2"/>
  <c r="J3280" i="2"/>
  <c r="H3280" i="2" s="1"/>
  <c r="I3280" i="2"/>
  <c r="J3184" i="2"/>
  <c r="H3184" i="2" s="1"/>
  <c r="I3184" i="2"/>
  <c r="J3402" i="2"/>
  <c r="H3402" i="2" s="1"/>
  <c r="K3402" i="2"/>
  <c r="J2932" i="2"/>
  <c r="H2932" i="2" s="1"/>
  <c r="I2932" i="2"/>
  <c r="K2932" i="2"/>
  <c r="K2942" i="2"/>
  <c r="J2942" i="2"/>
  <c r="H2942" i="2" s="1"/>
  <c r="J3385" i="2"/>
  <c r="H3385" i="2" s="1"/>
  <c r="K3339" i="2"/>
  <c r="J3339" i="2"/>
  <c r="H3339" i="2" s="1"/>
  <c r="I3339" i="2"/>
  <c r="K3261" i="2"/>
  <c r="J3261" i="2"/>
  <c r="H3261" i="2" s="1"/>
  <c r="I3261" i="2"/>
  <c r="I3191" i="2"/>
  <c r="K3191" i="2"/>
  <c r="J3191" i="2"/>
  <c r="H3191" i="2" s="1"/>
  <c r="I3078" i="2"/>
  <c r="J3078" i="2"/>
  <c r="H3078" i="2" s="1"/>
  <c r="K3078" i="2"/>
  <c r="K3348" i="2"/>
  <c r="K3281" i="2"/>
  <c r="K3215" i="2"/>
  <c r="J3215" i="2"/>
  <c r="H3215" i="2" s="1"/>
  <c r="I3215" i="2"/>
  <c r="J3055" i="2"/>
  <c r="H3055" i="2" s="1"/>
  <c r="K3055" i="2"/>
  <c r="I3055" i="2"/>
  <c r="K3060" i="2"/>
  <c r="K2922" i="2"/>
  <c r="J2922" i="2"/>
  <c r="H2922" i="2" s="1"/>
  <c r="I2922" i="2"/>
  <c r="J2704" i="2"/>
  <c r="H2704" i="2" s="1"/>
  <c r="I2704" i="2"/>
  <c r="K2704" i="2"/>
  <c r="K2612" i="2"/>
  <c r="J2612" i="2"/>
  <c r="H2612" i="2" s="1"/>
  <c r="I2612" i="2"/>
  <c r="I2769" i="2"/>
  <c r="J2974" i="2"/>
  <c r="H2974" i="2" s="1"/>
  <c r="I2636" i="2"/>
  <c r="J2636" i="2"/>
  <c r="H2636" i="2" s="1"/>
  <c r="K2636" i="2"/>
  <c r="I2569" i="2"/>
  <c r="K2569" i="2"/>
  <c r="J2569" i="2"/>
  <c r="H2569" i="2" s="1"/>
  <c r="K2804" i="2"/>
  <c r="K2284" i="2"/>
  <c r="J2284" i="2"/>
  <c r="H2284" i="2" s="1"/>
  <c r="I2284" i="2"/>
  <c r="K2170" i="2"/>
  <c r="J2170" i="2"/>
  <c r="H2170" i="2" s="1"/>
  <c r="I2170" i="2"/>
  <c r="J2052" i="2"/>
  <c r="H2052" i="2" s="1"/>
  <c r="I2052" i="2"/>
  <c r="K2052" i="2"/>
  <c r="K2568" i="2"/>
  <c r="J2803" i="2"/>
  <c r="H2803" i="2" s="1"/>
  <c r="I2647" i="2"/>
  <c r="J2982" i="2"/>
  <c r="K3231" i="2" s="1"/>
  <c r="I2982" i="2"/>
  <c r="J2762" i="2"/>
  <c r="K2953" i="2" s="1"/>
  <c r="K2762" i="2"/>
  <c r="J2521" i="2"/>
  <c r="H2521" i="2" s="1"/>
  <c r="K2211" i="2"/>
  <c r="J2211" i="2"/>
  <c r="H2211" i="2" s="1"/>
  <c r="I3326" i="2"/>
  <c r="K3326" i="2"/>
  <c r="K3048" i="2"/>
  <c r="J3048" i="2"/>
  <c r="H3048" i="2" s="1"/>
  <c r="I3048" i="2"/>
  <c r="K3201" i="2"/>
  <c r="J3201" i="2"/>
  <c r="H3201" i="2" s="1"/>
  <c r="I2611" i="2"/>
  <c r="J2611" i="2"/>
  <c r="H2611" i="2" s="1"/>
  <c r="K2611" i="2"/>
  <c r="J2345" i="2"/>
  <c r="I2345" i="2"/>
  <c r="I2707" i="2"/>
  <c r="I2081" i="2"/>
  <c r="K2081" i="2"/>
  <c r="J2161" i="2"/>
  <c r="H2161" i="2" s="1"/>
  <c r="K2315" i="2"/>
  <c r="J2315" i="2"/>
  <c r="H2315" i="2" s="1"/>
  <c r="I1893" i="2"/>
  <c r="I1521" i="2"/>
  <c r="K1521" i="2"/>
  <c r="J1521" i="2"/>
  <c r="H1521" i="2" s="1"/>
  <c r="J2583" i="2"/>
  <c r="K2595" i="2" s="1"/>
  <c r="I1860" i="2"/>
  <c r="I1444" i="2"/>
  <c r="K3344" i="2"/>
  <c r="J3344" i="2"/>
  <c r="H3344" i="2" s="1"/>
  <c r="J3317" i="2"/>
  <c r="H3317" i="2" s="1"/>
  <c r="K3317" i="2"/>
  <c r="J3369" i="2"/>
  <c r="H3369" i="2" s="1"/>
  <c r="I3369" i="2"/>
  <c r="K3425" i="2"/>
  <c r="I3286" i="2"/>
  <c r="J3286" i="2"/>
  <c r="K3290" i="2" s="1"/>
  <c r="I3244" i="2"/>
  <c r="J3244" i="2"/>
  <c r="H3244" i="2" s="1"/>
  <c r="K3244" i="2"/>
  <c r="I3199" i="2"/>
  <c r="J3199" i="2"/>
  <c r="H3199" i="2" s="1"/>
  <c r="K3112" i="2"/>
  <c r="I3112" i="2"/>
  <c r="J3112" i="2"/>
  <c r="H3112" i="2" s="1"/>
  <c r="I3173" i="2"/>
  <c r="J3285" i="2"/>
  <c r="H3285" i="2" s="1"/>
  <c r="J2880" i="2"/>
  <c r="H2880" i="2" s="1"/>
  <c r="I2880" i="2"/>
  <c r="I3292" i="2"/>
  <c r="I3183" i="2"/>
  <c r="K3287" i="2"/>
  <c r="J3001" i="2"/>
  <c r="H3001" i="2" s="1"/>
  <c r="K3001" i="2"/>
  <c r="J2790" i="2"/>
  <c r="H2790" i="2" s="1"/>
  <c r="K2790" i="2"/>
  <c r="I2790" i="2"/>
  <c r="K3035" i="2"/>
  <c r="I2946" i="2"/>
  <c r="I2797" i="2"/>
  <c r="J2797" i="2"/>
  <c r="H2797" i="2" s="1"/>
  <c r="K2888" i="2"/>
  <c r="I2715" i="2"/>
  <c r="J2715" i="2"/>
  <c r="H2715" i="2" s="1"/>
  <c r="J2634" i="2"/>
  <c r="H2634" i="2" s="1"/>
  <c r="K2634" i="2"/>
  <c r="I2634" i="2"/>
  <c r="J2892" i="2"/>
  <c r="H2892" i="2" s="1"/>
  <c r="I3047" i="2"/>
  <c r="I2781" i="2"/>
  <c r="J2781" i="2"/>
  <c r="H2781" i="2" s="1"/>
  <c r="I2584" i="2"/>
  <c r="J2584" i="2"/>
  <c r="H2584" i="2" s="1"/>
  <c r="I2514" i="2"/>
  <c r="J2514" i="2"/>
  <c r="H2514" i="2" s="1"/>
  <c r="K2514" i="2"/>
  <c r="I2416" i="2"/>
  <c r="J2416" i="2"/>
  <c r="H2416" i="2" s="1"/>
  <c r="K2416" i="2"/>
  <c r="K2766" i="2"/>
  <c r="I2430" i="2"/>
  <c r="J2430" i="2"/>
  <c r="H2430" i="2" s="1"/>
  <c r="I2359" i="2"/>
  <c r="J2359" i="2"/>
  <c r="H2359" i="2" s="1"/>
  <c r="K2359" i="2"/>
  <c r="I2626" i="2"/>
  <c r="K2516" i="2"/>
  <c r="K2430" i="2"/>
  <c r="J2393" i="2"/>
  <c r="H2393" i="2" s="1"/>
  <c r="K2393" i="2"/>
  <c r="J2296" i="2"/>
  <c r="H2296" i="2" s="1"/>
  <c r="K2296" i="2"/>
  <c r="I2296" i="2"/>
  <c r="J2180" i="2"/>
  <c r="H2180" i="2" s="1"/>
  <c r="I2180" i="2"/>
  <c r="K2180" i="2"/>
  <c r="K2064" i="2"/>
  <c r="J2064" i="2"/>
  <c r="H2064" i="2" s="1"/>
  <c r="I2064" i="2"/>
  <c r="K2926" i="2"/>
  <c r="J2821" i="2"/>
  <c r="H2821" i="2" s="1"/>
  <c r="K2663" i="2"/>
  <c r="K2555" i="2"/>
  <c r="J2504" i="2"/>
  <c r="H2504" i="2" s="1"/>
  <c r="K2459" i="2"/>
  <c r="J2459" i="2"/>
  <c r="H2459" i="2" s="1"/>
  <c r="I2459" i="2"/>
  <c r="J2909" i="2"/>
  <c r="H2909" i="2" s="1"/>
  <c r="I2114" i="2"/>
  <c r="J2114" i="2"/>
  <c r="H2114" i="2" s="1"/>
  <c r="J2008" i="2"/>
  <c r="H2008" i="2" s="1"/>
  <c r="K2008" i="2"/>
  <c r="I2008" i="2"/>
  <c r="I1923" i="2"/>
  <c r="K1923" i="2"/>
  <c r="K2329" i="2"/>
  <c r="J2273" i="2"/>
  <c r="H2273" i="2" s="1"/>
  <c r="K2209" i="2"/>
  <c r="J1923" i="2"/>
  <c r="H1923" i="2" s="1"/>
  <c r="K2495" i="2"/>
  <c r="K2145" i="2"/>
  <c r="J2145" i="2"/>
  <c r="H2145" i="2" s="1"/>
  <c r="J2441" i="2"/>
  <c r="K2450" i="2" s="1"/>
  <c r="I2344" i="2"/>
  <c r="K2078" i="2"/>
  <c r="J2078" i="2"/>
  <c r="H2078" i="2" s="1"/>
  <c r="J1909" i="2"/>
  <c r="H1909" i="2" s="1"/>
  <c r="J2394" i="2"/>
  <c r="K2381" i="2"/>
  <c r="I2274" i="2"/>
  <c r="J2274" i="2"/>
  <c r="H2274" i="2" s="1"/>
  <c r="K2175" i="2"/>
  <c r="I2128" i="2"/>
  <c r="K1826" i="2"/>
  <c r="K1692" i="2"/>
  <c r="J1692" i="2"/>
  <c r="H1692" i="2" s="1"/>
  <c r="I1591" i="2"/>
  <c r="K1591" i="2"/>
  <c r="J1591" i="2"/>
  <c r="H1591" i="2" s="1"/>
  <c r="I1475" i="2"/>
  <c r="K1475" i="2"/>
  <c r="J1475" i="2"/>
  <c r="H1475" i="2" s="1"/>
  <c r="K2341" i="2"/>
  <c r="J2254" i="2"/>
  <c r="H2254" i="2" s="1"/>
  <c r="K2466" i="2"/>
  <c r="J2240" i="2"/>
  <c r="H2240" i="2" s="1"/>
  <c r="I2121" i="2"/>
  <c r="I2395" i="2"/>
  <c r="K1843" i="2"/>
  <c r="J2507" i="2"/>
  <c r="H2507" i="2" s="1"/>
  <c r="J2202" i="2"/>
  <c r="H2202" i="2" s="1"/>
  <c r="J1925" i="2"/>
  <c r="H1925" i="2" s="1"/>
  <c r="J1473" i="2"/>
  <c r="H1473" i="2" s="1"/>
  <c r="I1249" i="2"/>
  <c r="K1249" i="2"/>
  <c r="J1249" i="2"/>
  <c r="H1249" i="2" s="1"/>
  <c r="J1135" i="2"/>
  <c r="H1135" i="2" s="1"/>
  <c r="I1135" i="2"/>
  <c r="K1135" i="2"/>
  <c r="K2221" i="2"/>
  <c r="I2057" i="2"/>
  <c r="J1974" i="2"/>
  <c r="H1974" i="2" s="1"/>
  <c r="K1900" i="2"/>
  <c r="J1705" i="2"/>
  <c r="H1705" i="2" s="1"/>
  <c r="I1705" i="2"/>
  <c r="K2413" i="2"/>
  <c r="K2472" i="2"/>
  <c r="J1944" i="2"/>
  <c r="H1944" i="2" s="1"/>
  <c r="K1385" i="2"/>
  <c r="J1385" i="2"/>
  <c r="H1385" i="2" s="1"/>
  <c r="I1385" i="2"/>
  <c r="I1804" i="2"/>
  <c r="J1209" i="2"/>
  <c r="H1209" i="2" s="1"/>
  <c r="J1827" i="2"/>
  <c r="J1577" i="2"/>
  <c r="H1577" i="2" s="1"/>
  <c r="J1455" i="2"/>
  <c r="K1538" i="2" s="1"/>
  <c r="K1321" i="2"/>
  <c r="J1190" i="2"/>
  <c r="H1190" i="2" s="1"/>
  <c r="I1018" i="2"/>
  <c r="J1018" i="2"/>
  <c r="H1018" i="2" s="1"/>
  <c r="K1018" i="2"/>
  <c r="I904" i="2"/>
  <c r="J904" i="2"/>
  <c r="H904" i="2" s="1"/>
  <c r="K904" i="2"/>
  <c r="I792" i="2"/>
  <c r="J792" i="2"/>
  <c r="H792" i="2" s="1"/>
  <c r="K792" i="2"/>
  <c r="I676" i="2"/>
  <c r="J676" i="2"/>
  <c r="H676" i="2" s="1"/>
  <c r="K676" i="2"/>
  <c r="I564" i="2"/>
  <c r="J564" i="2"/>
  <c r="H564" i="2" s="1"/>
  <c r="K564" i="2"/>
  <c r="K444" i="2"/>
  <c r="I444" i="2"/>
  <c r="J444" i="2"/>
  <c r="H444" i="2" s="1"/>
  <c r="J2168" i="2"/>
  <c r="H2168" i="2" s="1"/>
  <c r="J2082" i="2"/>
  <c r="H2082" i="2" s="1"/>
  <c r="K2015" i="2"/>
  <c r="J1611" i="2"/>
  <c r="K1630" i="2" s="1"/>
  <c r="J1270" i="2"/>
  <c r="H1270" i="2" s="1"/>
  <c r="I1167" i="2"/>
  <c r="I1083" i="2"/>
  <c r="I2227" i="2"/>
  <c r="J1953" i="2"/>
  <c r="H1953" i="2" s="1"/>
  <c r="J2107" i="2"/>
  <c r="H2107" i="2" s="1"/>
  <c r="J2425" i="2"/>
  <c r="H2425" i="2" s="1"/>
  <c r="K2028" i="2"/>
  <c r="K1988" i="2"/>
  <c r="K1825" i="2"/>
  <c r="K1756" i="2"/>
  <c r="J1993" i="2"/>
  <c r="H1993" i="2" s="1"/>
  <c r="J2531" i="2"/>
  <c r="H2531" i="2" s="1"/>
  <c r="I2285" i="2"/>
  <c r="J1939" i="2"/>
  <c r="H1939" i="2" s="1"/>
  <c r="J1564" i="2"/>
  <c r="H1564" i="2" s="1"/>
  <c r="I1132" i="2"/>
  <c r="J1132" i="2"/>
  <c r="K1149" i="2" s="1"/>
  <c r="I2362" i="2"/>
  <c r="J1389" i="2"/>
  <c r="H1389" i="2" s="1"/>
  <c r="K1226" i="2"/>
  <c r="I1041" i="2"/>
  <c r="I761" i="2"/>
  <c r="K761" i="2"/>
  <c r="J761" i="2"/>
  <c r="H761" i="2" s="1"/>
  <c r="J573" i="2"/>
  <c r="H573" i="2" s="1"/>
  <c r="J1630" i="2"/>
  <c r="I1541" i="2"/>
  <c r="K1486" i="2"/>
  <c r="J1255" i="2"/>
  <c r="H1255" i="2" s="1"/>
  <c r="K1100" i="2"/>
  <c r="J1052" i="2"/>
  <c r="H1052" i="2" s="1"/>
  <c r="K1418" i="2"/>
  <c r="K1389" i="2"/>
  <c r="J1252" i="2"/>
  <c r="H1252" i="2" s="1"/>
  <c r="I883" i="2"/>
  <c r="K602" i="2"/>
  <c r="I544" i="2"/>
  <c r="K1651" i="2"/>
  <c r="J1506" i="2"/>
  <c r="H1506" i="2" s="1"/>
  <c r="K653" i="2"/>
  <c r="I653" i="2"/>
  <c r="J653" i="2"/>
  <c r="H653" i="2" s="1"/>
  <c r="J1636" i="2"/>
  <c r="H1636" i="2" s="1"/>
  <c r="I1636" i="2"/>
  <c r="K1636" i="2"/>
  <c r="K733" i="2"/>
  <c r="I427" i="2"/>
  <c r="K427" i="2"/>
  <c r="I382" i="2"/>
  <c r="K259" i="2"/>
  <c r="I754" i="2"/>
  <c r="J1414" i="2"/>
  <c r="H1414" i="2" s="1"/>
  <c r="J1059" i="2"/>
  <c r="H1059" i="2" s="1"/>
  <c r="I733" i="2"/>
  <c r="J306" i="2"/>
  <c r="H306" i="2" s="1"/>
  <c r="I1291" i="2"/>
  <c r="K174" i="2"/>
  <c r="I174" i="2"/>
  <c r="K320" i="2"/>
  <c r="J320" i="2"/>
  <c r="H320" i="2" s="1"/>
  <c r="I988" i="2"/>
  <c r="J964" i="2"/>
  <c r="H964" i="2" s="1"/>
  <c r="I964" i="2"/>
  <c r="J735" i="2"/>
  <c r="H735" i="2" s="1"/>
  <c r="K735" i="2"/>
  <c r="K1029" i="2"/>
  <c r="I1029" i="2"/>
  <c r="J977" i="2"/>
  <c r="H977" i="2" s="1"/>
  <c r="I977" i="2"/>
  <c r="I1043" i="2"/>
  <c r="J174" i="2"/>
  <c r="H174" i="2" s="1"/>
  <c r="J216" i="2"/>
  <c r="H216" i="2" s="1"/>
  <c r="J635" i="2"/>
  <c r="H635" i="2" s="1"/>
  <c r="I635" i="2"/>
  <c r="K635" i="2"/>
  <c r="J281" i="2"/>
  <c r="H281" i="2" s="1"/>
  <c r="J2049" i="2"/>
  <c r="H2049" i="2" s="1"/>
  <c r="I2049" i="2"/>
  <c r="K2049" i="2"/>
  <c r="K1469" i="2"/>
  <c r="J1469" i="2"/>
  <c r="H1469" i="2" s="1"/>
  <c r="K2202" i="2"/>
  <c r="I1565" i="2"/>
  <c r="I1353" i="2"/>
  <c r="K1353" i="2"/>
  <c r="J1353" i="2"/>
  <c r="H1353" i="2" s="1"/>
  <c r="I1239" i="2"/>
  <c r="J1239" i="2"/>
  <c r="H1239" i="2" s="1"/>
  <c r="K1239" i="2"/>
  <c r="K1123" i="2"/>
  <c r="J1123" i="2"/>
  <c r="H1123" i="2" s="1"/>
  <c r="I1123" i="2"/>
  <c r="K1455" i="2"/>
  <c r="I1006" i="2"/>
  <c r="K1006" i="2"/>
  <c r="J1006" i="2"/>
  <c r="H1006" i="2" s="1"/>
  <c r="I894" i="2"/>
  <c r="J894" i="2"/>
  <c r="H894" i="2" s="1"/>
  <c r="K894" i="2"/>
  <c r="I780" i="2"/>
  <c r="J780" i="2"/>
  <c r="H780" i="2" s="1"/>
  <c r="K780" i="2"/>
  <c r="I666" i="2"/>
  <c r="J666" i="2"/>
  <c r="H666" i="2" s="1"/>
  <c r="K666" i="2"/>
  <c r="I552" i="2"/>
  <c r="J552" i="2"/>
  <c r="H552" i="2" s="1"/>
  <c r="K552" i="2"/>
  <c r="K432" i="2"/>
  <c r="J432" i="2"/>
  <c r="H432" i="2" s="1"/>
  <c r="I432" i="2"/>
  <c r="J1704" i="2"/>
  <c r="H1704" i="2" s="1"/>
  <c r="I1112" i="2"/>
  <c r="I989" i="2"/>
  <c r="J989" i="2"/>
  <c r="H989" i="2" s="1"/>
  <c r="J750" i="2"/>
  <c r="H750" i="2" s="1"/>
  <c r="K750" i="2"/>
  <c r="I617" i="2"/>
  <c r="K617" i="2"/>
  <c r="J830" i="2"/>
  <c r="I830" i="2"/>
  <c r="K830" i="2"/>
  <c r="K769" i="2"/>
  <c r="J769" i="2"/>
  <c r="H769" i="2" s="1"/>
  <c r="K482" i="2"/>
  <c r="I482" i="2"/>
  <c r="J1678" i="2"/>
  <c r="K1687" i="2" s="1"/>
  <c r="I1678" i="2"/>
  <c r="K1408" i="2"/>
  <c r="I1408" i="2"/>
  <c r="K300" i="2"/>
  <c r="J300" i="2"/>
  <c r="H300" i="2" s="1"/>
  <c r="K91" i="2"/>
  <c r="J91" i="2"/>
  <c r="H91" i="2" s="1"/>
  <c r="I91" i="2"/>
  <c r="I641" i="2"/>
  <c r="K641" i="2"/>
  <c r="I416" i="2"/>
  <c r="K416" i="2"/>
  <c r="I300" i="2"/>
  <c r="J416" i="2"/>
  <c r="K84" i="2"/>
  <c r="J84" i="2"/>
  <c r="H84" i="2" s="1"/>
  <c r="I980" i="2"/>
  <c r="J171" i="2"/>
  <c r="K175" i="2" s="1"/>
  <c r="K228" i="2"/>
  <c r="I228" i="2"/>
  <c r="J228" i="2"/>
  <c r="H228" i="2" s="1"/>
  <c r="J164" i="2"/>
  <c r="K165" i="2" s="1"/>
  <c r="I164" i="2"/>
  <c r="K216" i="2"/>
  <c r="J2403" i="2"/>
  <c r="H2403" i="2" s="1"/>
  <c r="I2403" i="2"/>
  <c r="K2403" i="2"/>
  <c r="J2104" i="2"/>
  <c r="H2104" i="2" s="1"/>
  <c r="K2104" i="2"/>
  <c r="K2201" i="2"/>
  <c r="J2201" i="2"/>
  <c r="H2201" i="2" s="1"/>
  <c r="K2022" i="2"/>
  <c r="I2022" i="2"/>
  <c r="J1998" i="2"/>
  <c r="K2003" i="2" s="1"/>
  <c r="K1810" i="2"/>
  <c r="J1810" i="2"/>
  <c r="H1810" i="2" s="1"/>
  <c r="I1747" i="2"/>
  <c r="K1747" i="2"/>
  <c r="J1747" i="2"/>
  <c r="K1755" i="2" s="1"/>
  <c r="K1683" i="2"/>
  <c r="J1683" i="2"/>
  <c r="H1683" i="2" s="1"/>
  <c r="I1567" i="2"/>
  <c r="K1567" i="2"/>
  <c r="J1567" i="2"/>
  <c r="H1567" i="2" s="1"/>
  <c r="K1453" i="2"/>
  <c r="J1453" i="2"/>
  <c r="H1453" i="2" s="1"/>
  <c r="I1453" i="2"/>
  <c r="J2090" i="2"/>
  <c r="J1367" i="2"/>
  <c r="H1367" i="2" s="1"/>
  <c r="K1367" i="2"/>
  <c r="J1565" i="2"/>
  <c r="H1565" i="2" s="1"/>
  <c r="I1344" i="2"/>
  <c r="J1344" i="2"/>
  <c r="K1722" i="2" s="1"/>
  <c r="I1229" i="2"/>
  <c r="J1229" i="2"/>
  <c r="K1111" i="2"/>
  <c r="J1111" i="2"/>
  <c r="H1111" i="2" s="1"/>
  <c r="I1111" i="2"/>
  <c r="K2142" i="2"/>
  <c r="J1888" i="2"/>
  <c r="H1888" i="2" s="1"/>
  <c r="I1681" i="2"/>
  <c r="J1624" i="2"/>
  <c r="H1624" i="2" s="1"/>
  <c r="K1561" i="2"/>
  <c r="I1441" i="2"/>
  <c r="I994" i="2"/>
  <c r="K994" i="2"/>
  <c r="J994" i="2"/>
  <c r="H994" i="2" s="1"/>
  <c r="I880" i="2"/>
  <c r="J880" i="2"/>
  <c r="H880" i="2" s="1"/>
  <c r="K880" i="2"/>
  <c r="I768" i="2"/>
  <c r="J768" i="2"/>
  <c r="H768" i="2" s="1"/>
  <c r="K768" i="2"/>
  <c r="I656" i="2"/>
  <c r="K656" i="2"/>
  <c r="J656" i="2"/>
  <c r="H656" i="2" s="1"/>
  <c r="J540" i="2"/>
  <c r="H540" i="2" s="1"/>
  <c r="I540" i="2"/>
  <c r="K540" i="2"/>
  <c r="J422" i="2"/>
  <c r="H422" i="2" s="1"/>
  <c r="I422" i="2"/>
  <c r="K422" i="2"/>
  <c r="I1979" i="2"/>
  <c r="K1704" i="2"/>
  <c r="J1338" i="2"/>
  <c r="H1338" i="2" s="1"/>
  <c r="J1112" i="2"/>
  <c r="H1112" i="2" s="1"/>
  <c r="J1056" i="2"/>
  <c r="H1056" i="2" s="1"/>
  <c r="I1839" i="2"/>
  <c r="I2096" i="2"/>
  <c r="I1848" i="2"/>
  <c r="J2233" i="2"/>
  <c r="H2233" i="2" s="1"/>
  <c r="J2073" i="2"/>
  <c r="H2073" i="2" s="1"/>
  <c r="K1774" i="2"/>
  <c r="I1484" i="2"/>
  <c r="K1178" i="2"/>
  <c r="I1178" i="2"/>
  <c r="J1178" i="2"/>
  <c r="K1196" i="2" s="1"/>
  <c r="K1076" i="2"/>
  <c r="I1076" i="2"/>
  <c r="J1076" i="2"/>
  <c r="H1076" i="2" s="1"/>
  <c r="I843" i="2"/>
  <c r="K843" i="2"/>
  <c r="I463" i="2"/>
  <c r="K463" i="2"/>
  <c r="J463" i="2"/>
  <c r="K860" i="2" s="1"/>
  <c r="J351" i="2"/>
  <c r="H351" i="2" s="1"/>
  <c r="I351" i="2"/>
  <c r="K351" i="2"/>
  <c r="J1152" i="2"/>
  <c r="H1152" i="2" s="1"/>
  <c r="K989" i="2"/>
  <c r="J915" i="2"/>
  <c r="H915" i="2" s="1"/>
  <c r="I615" i="2"/>
  <c r="J615" i="2"/>
  <c r="H615" i="2" s="1"/>
  <c r="J554" i="2"/>
  <c r="H554" i="2" s="1"/>
  <c r="I554" i="2"/>
  <c r="K554" i="2"/>
  <c r="I465" i="2"/>
  <c r="J465" i="2"/>
  <c r="H465" i="2" s="1"/>
  <c r="K465" i="2"/>
  <c r="K1642" i="2"/>
  <c r="J1642" i="2"/>
  <c r="H1642" i="2" s="1"/>
  <c r="K953" i="2"/>
  <c r="I716" i="2"/>
  <c r="I602" i="2"/>
  <c r="I1722" i="2"/>
  <c r="K1709" i="2"/>
  <c r="I1709" i="2"/>
  <c r="J1408" i="2"/>
  <c r="H1408" i="2" s="1"/>
  <c r="I535" i="2"/>
  <c r="K535" i="2"/>
  <c r="J535" i="2"/>
  <c r="H535" i="2" s="1"/>
  <c r="K241" i="2"/>
  <c r="I241" i="2"/>
  <c r="I1057" i="2"/>
  <c r="K1005" i="2"/>
  <c r="J1005" i="2"/>
  <c r="H1005" i="2" s="1"/>
  <c r="I1005" i="2"/>
  <c r="J414" i="2"/>
  <c r="H414" i="2" s="1"/>
  <c r="I414" i="2"/>
  <c r="I155" i="2"/>
  <c r="K155" i="2"/>
  <c r="J155" i="2"/>
  <c r="H155" i="2" s="1"/>
  <c r="K50" i="2"/>
  <c r="I50" i="2"/>
  <c r="J50" i="2"/>
  <c r="H50" i="2" s="1"/>
  <c r="K250" i="2"/>
  <c r="J250" i="2"/>
  <c r="H250" i="2" s="1"/>
  <c r="J73" i="2"/>
  <c r="H73" i="2" s="1"/>
  <c r="K73" i="2"/>
  <c r="K1472" i="2"/>
  <c r="J1375" i="2"/>
  <c r="H1375" i="2" s="1"/>
  <c r="K1198" i="2"/>
  <c r="J1198" i="2"/>
  <c r="H1198" i="2" s="1"/>
  <c r="I1198" i="2"/>
  <c r="K1021" i="2"/>
  <c r="I1021" i="2"/>
  <c r="J853" i="2"/>
  <c r="K868" i="2" s="1"/>
  <c r="I73" i="2"/>
  <c r="K711" i="2"/>
  <c r="K595" i="2"/>
  <c r="J257" i="2"/>
  <c r="H257" i="2" s="1"/>
  <c r="I257" i="2"/>
  <c r="K76" i="2"/>
  <c r="I813" i="2"/>
  <c r="K813" i="2"/>
  <c r="K281" i="2"/>
  <c r="I2523" i="2"/>
  <c r="K2157" i="2"/>
  <c r="J2157" i="2"/>
  <c r="H2157" i="2" s="1"/>
  <c r="J2323" i="2"/>
  <c r="K2608" i="2" s="1"/>
  <c r="I2340" i="2"/>
  <c r="I2039" i="2"/>
  <c r="J2039" i="2"/>
  <c r="H2039" i="2" s="1"/>
  <c r="K2039" i="2"/>
  <c r="I2280" i="2"/>
  <c r="J1719" i="2"/>
  <c r="H1719" i="2" s="1"/>
  <c r="I1719" i="2"/>
  <c r="I2252" i="2"/>
  <c r="K1862" i="2"/>
  <c r="J1862" i="2"/>
  <c r="H1862" i="2" s="1"/>
  <c r="I1803" i="2"/>
  <c r="K1803" i="2"/>
  <c r="J1803" i="2"/>
  <c r="H1803" i="2" s="1"/>
  <c r="K1745" i="2"/>
  <c r="J1745" i="2"/>
  <c r="H1745" i="2" s="1"/>
  <c r="I1671" i="2"/>
  <c r="J1671" i="2"/>
  <c r="H1671" i="2" s="1"/>
  <c r="K1671" i="2"/>
  <c r="I1555" i="2"/>
  <c r="K1555" i="2"/>
  <c r="J1555" i="2"/>
  <c r="H1555" i="2" s="1"/>
  <c r="K1443" i="2"/>
  <c r="J1443" i="2"/>
  <c r="H1443" i="2" s="1"/>
  <c r="I1443" i="2"/>
  <c r="K2090" i="2"/>
  <c r="I1862" i="2"/>
  <c r="K2240" i="2"/>
  <c r="I2591" i="2"/>
  <c r="J1894" i="2"/>
  <c r="I1894" i="2"/>
  <c r="J1814" i="2"/>
  <c r="J1360" i="2"/>
  <c r="K1402" i="2" s="1"/>
  <c r="I1360" i="2"/>
  <c r="K1360" i="2"/>
  <c r="J1504" i="2"/>
  <c r="H1504" i="2" s="1"/>
  <c r="I1469" i="2"/>
  <c r="I1333" i="2"/>
  <c r="K1333" i="2"/>
  <c r="J1333" i="2"/>
  <c r="H1333" i="2" s="1"/>
  <c r="I1215" i="2"/>
  <c r="K1215" i="2"/>
  <c r="J1215" i="2"/>
  <c r="H1215" i="2" s="1"/>
  <c r="K1099" i="2"/>
  <c r="J1099" i="2"/>
  <c r="K1363" i="2" s="1"/>
  <c r="I1099" i="2"/>
  <c r="J2142" i="2"/>
  <c r="H2142" i="2" s="1"/>
  <c r="J1681" i="2"/>
  <c r="H1681" i="2" s="1"/>
  <c r="I2371" i="2"/>
  <c r="K1941" i="2"/>
  <c r="I1941" i="2"/>
  <c r="J1763" i="2"/>
  <c r="H1763" i="2" s="1"/>
  <c r="I1763" i="2"/>
  <c r="J1698" i="2"/>
  <c r="H1698" i="2" s="1"/>
  <c r="I1540" i="2"/>
  <c r="I1190" i="2"/>
  <c r="I1746" i="2"/>
  <c r="K1476" i="2"/>
  <c r="J1441" i="2"/>
  <c r="H1441" i="2" s="1"/>
  <c r="I1184" i="2"/>
  <c r="I1091" i="2"/>
  <c r="J1091" i="2"/>
  <c r="H1091" i="2" s="1"/>
  <c r="I982" i="2"/>
  <c r="K982" i="2"/>
  <c r="J982" i="2"/>
  <c r="H982" i="2" s="1"/>
  <c r="I870" i="2"/>
  <c r="K870" i="2"/>
  <c r="J870" i="2"/>
  <c r="H870" i="2" s="1"/>
  <c r="I756" i="2"/>
  <c r="K756" i="2"/>
  <c r="J756" i="2"/>
  <c r="H756" i="2" s="1"/>
  <c r="I646" i="2"/>
  <c r="K646" i="2"/>
  <c r="J646" i="2"/>
  <c r="H646" i="2" s="1"/>
  <c r="K526" i="2"/>
  <c r="J526" i="2"/>
  <c r="H526" i="2" s="1"/>
  <c r="I526" i="2"/>
  <c r="K412" i="2"/>
  <c r="J412" i="2"/>
  <c r="H412" i="2" s="1"/>
  <c r="I412" i="2"/>
  <c r="J1979" i="2"/>
  <c r="H1979" i="2" s="1"/>
  <c r="J1716" i="2"/>
  <c r="H1716" i="2" s="1"/>
  <c r="K1338" i="2"/>
  <c r="K1953" i="2"/>
  <c r="I2337" i="2"/>
  <c r="K2230" i="2"/>
  <c r="J2096" i="2"/>
  <c r="K2305" i="2" s="1"/>
  <c r="I1981" i="2"/>
  <c r="J1832" i="2"/>
  <c r="H1832" i="2" s="1"/>
  <c r="K1928" i="2"/>
  <c r="J1820" i="2"/>
  <c r="K2233" i="2"/>
  <c r="J1932" i="2"/>
  <c r="H1932" i="2" s="1"/>
  <c r="K2073" i="2"/>
  <c r="K1948" i="2"/>
  <c r="I1882" i="2"/>
  <c r="I1774" i="2"/>
  <c r="K1484" i="2"/>
  <c r="I1346" i="2"/>
  <c r="J1346" i="2"/>
  <c r="H1346" i="2" s="1"/>
  <c r="K1346" i="2"/>
  <c r="I1790" i="2"/>
  <c r="I1308" i="2"/>
  <c r="J1077" i="2"/>
  <c r="H1077" i="2" s="1"/>
  <c r="I1077" i="2"/>
  <c r="K936" i="2"/>
  <c r="J936" i="2"/>
  <c r="H936" i="2" s="1"/>
  <c r="K976" i="2"/>
  <c r="I902" i="2"/>
  <c r="I461" i="2"/>
  <c r="K461" i="2"/>
  <c r="I296" i="2"/>
  <c r="J296" i="2"/>
  <c r="H296" i="2" s="1"/>
  <c r="K296" i="2"/>
  <c r="I1406" i="2"/>
  <c r="J1406" i="2"/>
  <c r="H1406" i="2" s="1"/>
  <c r="I674" i="2"/>
  <c r="J1675" i="2"/>
  <c r="H1675" i="2" s="1"/>
  <c r="I1675" i="2"/>
  <c r="K1432" i="2"/>
  <c r="I475" i="2"/>
  <c r="K475" i="2"/>
  <c r="J475" i="2"/>
  <c r="H475" i="2" s="1"/>
  <c r="J335" i="2"/>
  <c r="H335" i="2" s="1"/>
  <c r="I335" i="2"/>
  <c r="I235" i="2"/>
  <c r="J235" i="2"/>
  <c r="H235" i="2" s="1"/>
  <c r="K235" i="2"/>
  <c r="I400" i="2"/>
  <c r="K222" i="2"/>
  <c r="J222" i="2"/>
  <c r="H222" i="2" s="1"/>
  <c r="K414" i="2"/>
  <c r="I233" i="2"/>
  <c r="J233" i="2"/>
  <c r="K242" i="2" s="1"/>
  <c r="K68" i="2"/>
  <c r="J68" i="2"/>
  <c r="H68" i="2" s="1"/>
  <c r="I68" i="2"/>
  <c r="J980" i="2"/>
  <c r="K997" i="2" s="1"/>
  <c r="K961" i="2"/>
  <c r="J1021" i="2"/>
  <c r="H1021" i="2" s="1"/>
  <c r="I874" i="2"/>
  <c r="J874" i="2"/>
  <c r="H874" i="2" s="1"/>
  <c r="K853" i="2"/>
  <c r="K257" i="2"/>
  <c r="J2523" i="2"/>
  <c r="H2523" i="2" s="1"/>
  <c r="K2161" i="2"/>
  <c r="I2104" i="2"/>
  <c r="K2257" i="2"/>
  <c r="J2257" i="2"/>
  <c r="H2257" i="2" s="1"/>
  <c r="J2280" i="2"/>
  <c r="H2280" i="2" s="1"/>
  <c r="I1857" i="2"/>
  <c r="K1857" i="2"/>
  <c r="J1857" i="2"/>
  <c r="H1857" i="2" s="1"/>
  <c r="K1799" i="2"/>
  <c r="J1799" i="2"/>
  <c r="H1799" i="2" s="1"/>
  <c r="J1724" i="2"/>
  <c r="H1724" i="2" s="1"/>
  <c r="K1724" i="2"/>
  <c r="I1724" i="2"/>
  <c r="I1657" i="2"/>
  <c r="K1657" i="2"/>
  <c r="J1657" i="2"/>
  <c r="I1543" i="2"/>
  <c r="K1543" i="2"/>
  <c r="J1543" i="2"/>
  <c r="H1543" i="2" s="1"/>
  <c r="K1429" i="2"/>
  <c r="J1429" i="2"/>
  <c r="H1429" i="2" s="1"/>
  <c r="I1429" i="2"/>
  <c r="K2418" i="2"/>
  <c r="J2478" i="2"/>
  <c r="H2478" i="2" s="1"/>
  <c r="K2451" i="2"/>
  <c r="J2451" i="2"/>
  <c r="H2451" i="2" s="1"/>
  <c r="K1912" i="2"/>
  <c r="I1912" i="2"/>
  <c r="J2591" i="2"/>
  <c r="H2591" i="2" s="1"/>
  <c r="K1814" i="2"/>
  <c r="K1740" i="2"/>
  <c r="I1740" i="2"/>
  <c r="J1700" i="2"/>
  <c r="H1700" i="2" s="1"/>
  <c r="K1700" i="2"/>
  <c r="I1700" i="2"/>
  <c r="J1551" i="2"/>
  <c r="H1551" i="2" s="1"/>
  <c r="K1504" i="2"/>
  <c r="J1448" i="2"/>
  <c r="H1448" i="2" s="1"/>
  <c r="I1323" i="2"/>
  <c r="K1323" i="2"/>
  <c r="J1323" i="2"/>
  <c r="H1323" i="2" s="1"/>
  <c r="I1205" i="2"/>
  <c r="K1205" i="2"/>
  <c r="J1205" i="2"/>
  <c r="H1205" i="2" s="1"/>
  <c r="J1089" i="2"/>
  <c r="H1089" i="2" s="1"/>
  <c r="K1089" i="2"/>
  <c r="I1089" i="2"/>
  <c r="K2378" i="2"/>
  <c r="K1877" i="2"/>
  <c r="I1813" i="2"/>
  <c r="J1778" i="2"/>
  <c r="H1778" i="2" s="1"/>
  <c r="I1510" i="2"/>
  <c r="I1561" i="2"/>
  <c r="J1120" i="2"/>
  <c r="H1120" i="2" s="1"/>
  <c r="K1120" i="2"/>
  <c r="I1120" i="2"/>
  <c r="I2184" i="2"/>
  <c r="J1746" i="2"/>
  <c r="K1829" i="2" s="1"/>
  <c r="I1476" i="2"/>
  <c r="J1184" i="2"/>
  <c r="H1184" i="2" s="1"/>
  <c r="I972" i="2"/>
  <c r="K972" i="2"/>
  <c r="J972" i="2"/>
  <c r="H972" i="2" s="1"/>
  <c r="I858" i="2"/>
  <c r="K858" i="2"/>
  <c r="J858" i="2"/>
  <c r="H858" i="2" s="1"/>
  <c r="I746" i="2"/>
  <c r="K746" i="2"/>
  <c r="J746" i="2"/>
  <c r="H746" i="2" s="1"/>
  <c r="I634" i="2"/>
  <c r="J634" i="2"/>
  <c r="J514" i="2"/>
  <c r="H514" i="2" s="1"/>
  <c r="K514" i="2"/>
  <c r="I514" i="2"/>
  <c r="I402" i="2"/>
  <c r="J402" i="2"/>
  <c r="K402" i="2"/>
  <c r="K1758" i="2"/>
  <c r="J1758" i="2"/>
  <c r="H1758" i="2" s="1"/>
  <c r="K1716" i="2"/>
  <c r="J1457" i="2"/>
  <c r="H1457" i="2" s="1"/>
  <c r="I1377" i="2"/>
  <c r="I1929" i="2"/>
  <c r="J2337" i="2"/>
  <c r="H2337" i="2" s="1"/>
  <c r="J1981" i="2"/>
  <c r="K2004" i="2" s="1"/>
  <c r="K1832" i="2"/>
  <c r="J2374" i="2"/>
  <c r="H2374" i="2" s="1"/>
  <c r="I1991" i="2"/>
  <c r="K1820" i="2"/>
  <c r="J1794" i="2"/>
  <c r="K2146" i="2" s="1"/>
  <c r="I1948" i="2"/>
  <c r="J1882" i="2"/>
  <c r="H1882" i="2" s="1"/>
  <c r="K1067" i="2"/>
  <c r="J1067" i="2"/>
  <c r="H1067" i="2" s="1"/>
  <c r="I1067" i="2"/>
  <c r="J1790" i="2"/>
  <c r="H1790" i="2" s="1"/>
  <c r="I1442" i="2"/>
  <c r="K1442" i="2"/>
  <c r="J1308" i="2"/>
  <c r="H1308" i="2" s="1"/>
  <c r="I1364" i="2"/>
  <c r="I1316" i="2"/>
  <c r="K1077" i="2"/>
  <c r="I750" i="2"/>
  <c r="I596" i="2"/>
  <c r="K457" i="2"/>
  <c r="J457" i="2"/>
  <c r="H457" i="2" s="1"/>
  <c r="I457" i="2"/>
  <c r="I1633" i="2"/>
  <c r="J674" i="2"/>
  <c r="H674" i="2" s="1"/>
  <c r="I1642" i="2"/>
  <c r="I1392" i="2"/>
  <c r="J1432" i="2"/>
  <c r="H1432" i="2" s="1"/>
  <c r="K1461" i="2"/>
  <c r="I1461" i="2"/>
  <c r="I458" i="2"/>
  <c r="J458" i="2"/>
  <c r="H458" i="2" s="1"/>
  <c r="K458" i="2"/>
  <c r="K800" i="2"/>
  <c r="J800" i="2"/>
  <c r="H800" i="2" s="1"/>
  <c r="I445" i="2"/>
  <c r="K445" i="2"/>
  <c r="J400" i="2"/>
  <c r="H400" i="2" s="1"/>
  <c r="I349" i="2"/>
  <c r="K349" i="2"/>
  <c r="J349" i="2"/>
  <c r="H349" i="2" s="1"/>
  <c r="I254" i="2"/>
  <c r="K254" i="2"/>
  <c r="J254" i="2"/>
  <c r="H254" i="2" s="1"/>
  <c r="K217" i="2"/>
  <c r="J217" i="2"/>
  <c r="H217" i="2" s="1"/>
  <c r="I217" i="2"/>
  <c r="I123" i="2"/>
  <c r="K123" i="2"/>
  <c r="J123" i="2"/>
  <c r="H123" i="2" s="1"/>
  <c r="I37" i="2"/>
  <c r="K37" i="2"/>
  <c r="J37" i="2"/>
  <c r="H37" i="2" s="1"/>
  <c r="I800" i="2"/>
  <c r="K485" i="2"/>
  <c r="I485" i="2"/>
  <c r="J1206" i="2"/>
  <c r="H1206" i="2" s="1"/>
  <c r="I1206" i="2"/>
  <c r="K1206" i="2"/>
  <c r="J961" i="2"/>
  <c r="H961" i="2" s="1"/>
  <c r="K1271" i="2"/>
  <c r="J1271" i="2"/>
  <c r="H1271" i="2" s="1"/>
  <c r="I1271" i="2"/>
  <c r="I1230" i="2"/>
  <c r="K1230" i="2"/>
  <c r="J130" i="2"/>
  <c r="H130" i="2" s="1"/>
  <c r="I130" i="2"/>
  <c r="I76" i="2"/>
  <c r="I273" i="2"/>
  <c r="K273" i="2"/>
  <c r="J273" i="2"/>
  <c r="H273" i="2" s="1"/>
  <c r="K3065" i="2"/>
  <c r="J3065" i="2"/>
  <c r="H3065" i="2" s="1"/>
  <c r="I3065" i="2"/>
  <c r="I2474" i="2"/>
  <c r="J2474" i="2"/>
  <c r="H2474" i="2" s="1"/>
  <c r="K2474" i="2"/>
  <c r="I2879" i="2"/>
  <c r="J2079" i="2"/>
  <c r="H2079" i="2" s="1"/>
  <c r="J1775" i="2"/>
  <c r="H1775" i="2" s="1"/>
  <c r="I1775" i="2"/>
  <c r="J1982" i="2"/>
  <c r="H1982" i="2" s="1"/>
  <c r="K1855" i="2"/>
  <c r="J1855" i="2"/>
  <c r="H1855" i="2" s="1"/>
  <c r="J1780" i="2"/>
  <c r="H1780" i="2" s="1"/>
  <c r="K1780" i="2"/>
  <c r="I1780" i="2"/>
  <c r="I1647" i="2"/>
  <c r="J1647" i="2"/>
  <c r="H1647" i="2" s="1"/>
  <c r="K1647" i="2"/>
  <c r="I1531" i="2"/>
  <c r="J1531" i="2"/>
  <c r="H1531" i="2" s="1"/>
  <c r="K1531" i="2"/>
  <c r="I1419" i="2"/>
  <c r="K1419" i="2"/>
  <c r="J1419" i="2"/>
  <c r="H1419" i="2" s="1"/>
  <c r="J2266" i="2"/>
  <c r="H2266" i="2" s="1"/>
  <c r="K1909" i="2"/>
  <c r="K2478" i="2"/>
  <c r="K1588" i="2"/>
  <c r="I1588" i="2"/>
  <c r="J1421" i="2"/>
  <c r="H1421" i="2" s="1"/>
  <c r="I1421" i="2"/>
  <c r="K1491" i="2"/>
  <c r="K1448" i="2"/>
  <c r="I1309" i="2"/>
  <c r="K1309" i="2"/>
  <c r="J1309" i="2"/>
  <c r="H1309" i="2" s="1"/>
  <c r="I1193" i="2"/>
  <c r="J1193" i="2"/>
  <c r="H1193" i="2" s="1"/>
  <c r="K1193" i="2"/>
  <c r="J1079" i="2"/>
  <c r="K1087" i="2" s="1"/>
  <c r="I1079" i="2"/>
  <c r="K1079" i="2"/>
  <c r="J2224" i="2"/>
  <c r="H2224" i="2" s="1"/>
  <c r="J1813" i="2"/>
  <c r="H1813" i="2" s="1"/>
  <c r="K1778" i="2"/>
  <c r="J1510" i="2"/>
  <c r="H1510" i="2" s="1"/>
  <c r="J2312" i="2"/>
  <c r="H2312" i="2" s="1"/>
  <c r="J1402" i="2"/>
  <c r="K1445" i="2" s="1"/>
  <c r="K1224" i="2"/>
  <c r="I1224" i="2"/>
  <c r="J2184" i="2"/>
  <c r="H2184" i="2" s="1"/>
  <c r="I1846" i="2"/>
  <c r="I960" i="2"/>
  <c r="K960" i="2"/>
  <c r="J960" i="2"/>
  <c r="H960" i="2" s="1"/>
  <c r="I846" i="2"/>
  <c r="K846" i="2"/>
  <c r="J846" i="2"/>
  <c r="H846" i="2" s="1"/>
  <c r="I734" i="2"/>
  <c r="J734" i="2"/>
  <c r="H734" i="2" s="1"/>
  <c r="K734" i="2"/>
  <c r="I620" i="2"/>
  <c r="K620" i="2"/>
  <c r="J620" i="2"/>
  <c r="H620" i="2" s="1"/>
  <c r="I502" i="2"/>
  <c r="J502" i="2"/>
  <c r="H502" i="2" s="1"/>
  <c r="K502" i="2"/>
  <c r="K390" i="2"/>
  <c r="J390" i="2"/>
  <c r="H390" i="2" s="1"/>
  <c r="I390" i="2"/>
  <c r="J1377" i="2"/>
  <c r="H1377" i="2" s="1"/>
  <c r="J1222" i="2"/>
  <c r="K1229" i="2" s="1"/>
  <c r="K1091" i="2"/>
  <c r="K2174" i="2"/>
  <c r="K2374" i="2"/>
  <c r="J1991" i="2"/>
  <c r="K2065" i="2" s="1"/>
  <c r="I1144" i="2"/>
  <c r="K1144" i="2"/>
  <c r="J1144" i="2"/>
  <c r="H1144" i="2" s="1"/>
  <c r="K1451" i="2"/>
  <c r="J1451" i="2"/>
  <c r="H1451" i="2" s="1"/>
  <c r="J1316" i="2"/>
  <c r="H1316" i="2" s="1"/>
  <c r="I1202" i="2"/>
  <c r="J1202" i="2"/>
  <c r="H1202" i="2" s="1"/>
  <c r="I976" i="2"/>
  <c r="I729" i="2"/>
  <c r="K729" i="2"/>
  <c r="J596" i="2"/>
  <c r="H596" i="2" s="1"/>
  <c r="I525" i="2"/>
  <c r="J525" i="2"/>
  <c r="H525" i="2" s="1"/>
  <c r="K525" i="2"/>
  <c r="I453" i="2"/>
  <c r="I1451" i="2"/>
  <c r="K905" i="2"/>
  <c r="J905" i="2"/>
  <c r="J1568" i="2"/>
  <c r="H1568" i="2" s="1"/>
  <c r="I1568" i="2"/>
  <c r="I899" i="2"/>
  <c r="K899" i="2"/>
  <c r="J129" i="2"/>
  <c r="H129" i="2" s="1"/>
  <c r="I129" i="2"/>
  <c r="K53" i="2"/>
  <c r="J53" i="2"/>
  <c r="H53" i="2" s="1"/>
  <c r="I53" i="2"/>
  <c r="J597" i="2"/>
  <c r="H597" i="2" s="1"/>
  <c r="I597" i="2"/>
  <c r="K536" i="2"/>
  <c r="J536" i="2"/>
  <c r="H536" i="2" s="1"/>
  <c r="K313" i="2"/>
  <c r="J313" i="2"/>
  <c r="H313" i="2" s="1"/>
  <c r="I313" i="2"/>
  <c r="I671" i="2"/>
  <c r="I404" i="2"/>
  <c r="K404" i="2"/>
  <c r="I250" i="2"/>
  <c r="J1694" i="2"/>
  <c r="H1694" i="2" s="1"/>
  <c r="J1612" i="2"/>
  <c r="H1612" i="2" s="1"/>
  <c r="K1612" i="2"/>
  <c r="I1612" i="2"/>
  <c r="I1149" i="2"/>
  <c r="J1149" i="2"/>
  <c r="K1242" i="2" s="1"/>
  <c r="I948" i="2"/>
  <c r="K948" i="2"/>
  <c r="J948" i="2"/>
  <c r="H948" i="2" s="1"/>
  <c r="I836" i="2"/>
  <c r="K836" i="2"/>
  <c r="J836" i="2"/>
  <c r="I722" i="2"/>
  <c r="K722" i="2"/>
  <c r="J722" i="2"/>
  <c r="H722" i="2" s="1"/>
  <c r="I610" i="2"/>
  <c r="K610" i="2"/>
  <c r="J610" i="2"/>
  <c r="H610" i="2" s="1"/>
  <c r="I490" i="2"/>
  <c r="J490" i="2"/>
  <c r="H490" i="2" s="1"/>
  <c r="K490" i="2"/>
  <c r="I380" i="2"/>
  <c r="K380" i="2"/>
  <c r="J380" i="2"/>
  <c r="K594" i="2" s="1"/>
  <c r="K2125" i="2"/>
  <c r="K1222" i="2"/>
  <c r="I1087" i="2"/>
  <c r="J2332" i="2"/>
  <c r="H2332" i="2" s="1"/>
  <c r="I875" i="2"/>
  <c r="K875" i="2"/>
  <c r="J875" i="2"/>
  <c r="H875" i="2" s="1"/>
  <c r="J453" i="2"/>
  <c r="K462" i="2" s="1"/>
  <c r="J1547" i="2"/>
  <c r="H1547" i="2" s="1"/>
  <c r="I1384" i="2"/>
  <c r="I1361" i="2"/>
  <c r="K1110" i="2"/>
  <c r="I1033" i="2"/>
  <c r="I519" i="2"/>
  <c r="K519" i="2"/>
  <c r="J434" i="2"/>
  <c r="H434" i="2" s="1"/>
  <c r="I434" i="2"/>
  <c r="J902" i="2"/>
  <c r="K959" i="2" s="1"/>
  <c r="J1461" i="2"/>
  <c r="H1461" i="2" s="1"/>
  <c r="J448" i="2"/>
  <c r="H448" i="2" s="1"/>
  <c r="K448" i="2"/>
  <c r="K324" i="2"/>
  <c r="I324" i="2"/>
  <c r="K1460" i="2"/>
  <c r="J1460" i="2"/>
  <c r="H1460" i="2" s="1"/>
  <c r="I1460" i="2"/>
  <c r="J921" i="2"/>
  <c r="K923" i="2" s="1"/>
  <c r="K335" i="2"/>
  <c r="I252" i="2"/>
  <c r="K252" i="2"/>
  <c r="J208" i="2"/>
  <c r="H208" i="2" s="1"/>
  <c r="K208" i="2"/>
  <c r="I208" i="2"/>
  <c r="I110" i="2"/>
  <c r="K110" i="2"/>
  <c r="J18" i="2"/>
  <c r="K100" i="2" s="1"/>
  <c r="I18" i="2"/>
  <c r="I222" i="2"/>
  <c r="J1110" i="2"/>
  <c r="H1110" i="2" s="1"/>
  <c r="I1340" i="2"/>
  <c r="K1340" i="2"/>
  <c r="J1230" i="2"/>
  <c r="H1230" i="2" s="1"/>
  <c r="J908" i="2"/>
  <c r="H908" i="2" s="1"/>
  <c r="J694" i="2"/>
  <c r="H694" i="2" s="1"/>
  <c r="K373" i="2"/>
  <c r="J373" i="2"/>
  <c r="H373" i="2" s="1"/>
  <c r="K433" i="2"/>
  <c r="I536" i="2"/>
  <c r="K727" i="2"/>
  <c r="J727" i="2"/>
  <c r="H727" i="2" s="1"/>
  <c r="I226" i="2"/>
  <c r="K226" i="2"/>
  <c r="J226" i="2"/>
  <c r="I3206" i="2"/>
  <c r="J3206" i="2"/>
  <c r="H3206" i="2" s="1"/>
  <c r="K2980" i="2"/>
  <c r="J2980" i="2"/>
  <c r="H2980" i="2" s="1"/>
  <c r="I2980" i="2"/>
  <c r="J2991" i="2"/>
  <c r="H2991" i="2" s="1"/>
  <c r="K2991" i="2"/>
  <c r="I2991" i="2"/>
  <c r="J2837" i="2"/>
  <c r="H2837" i="2" s="1"/>
  <c r="I2837" i="2"/>
  <c r="J2546" i="2"/>
  <c r="H2546" i="2" s="1"/>
  <c r="K2546" i="2"/>
  <c r="I2546" i="2"/>
  <c r="J2124" i="2"/>
  <c r="K2129" i="2" s="1"/>
  <c r="K2124" i="2"/>
  <c r="I2124" i="2"/>
  <c r="K2684" i="2"/>
  <c r="J2969" i="2"/>
  <c r="H2969" i="2" s="1"/>
  <c r="K2079" i="2"/>
  <c r="I1635" i="2"/>
  <c r="J1635" i="2"/>
  <c r="K1643" i="2" s="1"/>
  <c r="J1710" i="2"/>
  <c r="H1710" i="2" s="1"/>
  <c r="K1710" i="2"/>
  <c r="I1710" i="2"/>
  <c r="I1964" i="2"/>
  <c r="K1964" i="2"/>
  <c r="J3363" i="2"/>
  <c r="I3435" i="2"/>
  <c r="K3428" i="2"/>
  <c r="I3428" i="2"/>
  <c r="K3322" i="2"/>
  <c r="I3322" i="2"/>
  <c r="I3398" i="2"/>
  <c r="I3263" i="2"/>
  <c r="J3263" i="2"/>
  <c r="H3263" i="2" s="1"/>
  <c r="I3379" i="2"/>
  <c r="K3146" i="2"/>
  <c r="J3146" i="2"/>
  <c r="H3146" i="2" s="1"/>
  <c r="I3146" i="2"/>
  <c r="K3036" i="2"/>
  <c r="J3036" i="2"/>
  <c r="H3036" i="2" s="1"/>
  <c r="I3036" i="2"/>
  <c r="K3305" i="2"/>
  <c r="J3171" i="2"/>
  <c r="H3171" i="2" s="1"/>
  <c r="I3171" i="2"/>
  <c r="J3038" i="2"/>
  <c r="H3038" i="2" s="1"/>
  <c r="I3038" i="2"/>
  <c r="J3262" i="2"/>
  <c r="H3262" i="2" s="1"/>
  <c r="K3194" i="2"/>
  <c r="J3034" i="2"/>
  <c r="H3034" i="2" s="1"/>
  <c r="K2956" i="2"/>
  <c r="J2956" i="2"/>
  <c r="H2956" i="2" s="1"/>
  <c r="I2956" i="2"/>
  <c r="I3313" i="2"/>
  <c r="I3125" i="2"/>
  <c r="I3076" i="2"/>
  <c r="K2906" i="2"/>
  <c r="J2906" i="2"/>
  <c r="K3457" i="2" s="1"/>
  <c r="I2981" i="2"/>
  <c r="J3305" i="2"/>
  <c r="H3305" i="2" s="1"/>
  <c r="K3183" i="2"/>
  <c r="J3107" i="2"/>
  <c r="H3107" i="2" s="1"/>
  <c r="I3057" i="2"/>
  <c r="K2866" i="2"/>
  <c r="I2814" i="2"/>
  <c r="K2814" i="2"/>
  <c r="J2814" i="2"/>
  <c r="H2814" i="2" s="1"/>
  <c r="J3254" i="2"/>
  <c r="H3254" i="2" s="1"/>
  <c r="I2904" i="2"/>
  <c r="I3192" i="2"/>
  <c r="K3222" i="2"/>
  <c r="I2668" i="2"/>
  <c r="J2668" i="2"/>
  <c r="H2668" i="2" s="1"/>
  <c r="K2668" i="2"/>
  <c r="K2865" i="2"/>
  <c r="I3110" i="2"/>
  <c r="K2831" i="2"/>
  <c r="I2831" i="2"/>
  <c r="J2541" i="2"/>
  <c r="K2603" i="2" s="1"/>
  <c r="I2541" i="2"/>
  <c r="I2783" i="2"/>
  <c r="K2541" i="2"/>
  <c r="K2452" i="2"/>
  <c r="J2452" i="2"/>
  <c r="H2452" i="2" s="1"/>
  <c r="I2452" i="2"/>
  <c r="J2877" i="2"/>
  <c r="H2877" i="2" s="1"/>
  <c r="J2766" i="2"/>
  <c r="H2766" i="2" s="1"/>
  <c r="I2603" i="2"/>
  <c r="I2517" i="2"/>
  <c r="K2517" i="2"/>
  <c r="J2453" i="2"/>
  <c r="J2328" i="2"/>
  <c r="K2340" i="2" s="1"/>
  <c r="I2328" i="2"/>
  <c r="K2214" i="2"/>
  <c r="J2214" i="2"/>
  <c r="H2214" i="2" s="1"/>
  <c r="I2214" i="2"/>
  <c r="J2098" i="2"/>
  <c r="H2098" i="2" s="1"/>
  <c r="I2098" i="2"/>
  <c r="K2098" i="2"/>
  <c r="J2516" i="2"/>
  <c r="H2516" i="2" s="1"/>
  <c r="K2791" i="2"/>
  <c r="I2491" i="2"/>
  <c r="I2748" i="2"/>
  <c r="I2597" i="2"/>
  <c r="J2555" i="2"/>
  <c r="H2555" i="2" s="1"/>
  <c r="J2694" i="2"/>
  <c r="H2694" i="2" s="1"/>
  <c r="J2562" i="2"/>
  <c r="H2562" i="2" s="1"/>
  <c r="I2515" i="2"/>
  <c r="K2414" i="2"/>
  <c r="K2269" i="2"/>
  <c r="J2269" i="2"/>
  <c r="H2269" i="2" s="1"/>
  <c r="I1971" i="2"/>
  <c r="K1971" i="2"/>
  <c r="J1971" i="2"/>
  <c r="H1971" i="2" s="1"/>
  <c r="I2335" i="2"/>
  <c r="I2215" i="2"/>
  <c r="J2155" i="2"/>
  <c r="I2075" i="2"/>
  <c r="I1987" i="2"/>
  <c r="J2471" i="2"/>
  <c r="H2471" i="2" s="1"/>
  <c r="I2471" i="2"/>
  <c r="K2471" i="2"/>
  <c r="K2344" i="2"/>
  <c r="J2133" i="2"/>
  <c r="H2133" i="2" s="1"/>
  <c r="J1931" i="2"/>
  <c r="H1931" i="2" s="1"/>
  <c r="J1833" i="2"/>
  <c r="H1833" i="2" s="1"/>
  <c r="I1833" i="2"/>
  <c r="I2239" i="2"/>
  <c r="I2133" i="2"/>
  <c r="I2078" i="2"/>
  <c r="J1940" i="2"/>
  <c r="H1940" i="2" s="1"/>
  <c r="K1940" i="2"/>
  <c r="J1893" i="2"/>
  <c r="H1893" i="2" s="1"/>
  <c r="K1775" i="2"/>
  <c r="J1708" i="2"/>
  <c r="H1708" i="2" s="1"/>
  <c r="I1623" i="2"/>
  <c r="K1623" i="2"/>
  <c r="J1623" i="2"/>
  <c r="H1623" i="2" s="1"/>
  <c r="I1509" i="2"/>
  <c r="J1509" i="2"/>
  <c r="H1509" i="2" s="1"/>
  <c r="K1509" i="2"/>
  <c r="K1395" i="2"/>
  <c r="J1395" i="2"/>
  <c r="H1395" i="2" s="1"/>
  <c r="I1395" i="2"/>
  <c r="I2408" i="2"/>
  <c r="I1759" i="2"/>
  <c r="J2135" i="2"/>
  <c r="H2135" i="2" s="1"/>
  <c r="K2113" i="2"/>
  <c r="J1881" i="2"/>
  <c r="H1881" i="2" s="1"/>
  <c r="J1843" i="2"/>
  <c r="K1859" i="2" s="1"/>
  <c r="J1413" i="2"/>
  <c r="K1459" i="2" s="1"/>
  <c r="K2290" i="2"/>
  <c r="I1943" i="2"/>
  <c r="J1860" i="2"/>
  <c r="H1860" i="2" s="1"/>
  <c r="K1694" i="2"/>
  <c r="I1544" i="2"/>
  <c r="I1491" i="2"/>
  <c r="J1444" i="2"/>
  <c r="H1444" i="2" s="1"/>
  <c r="K1390" i="2"/>
  <c r="I1287" i="2"/>
  <c r="J1287" i="2"/>
  <c r="H1287" i="2" s="1"/>
  <c r="K1287" i="2"/>
  <c r="I1169" i="2"/>
  <c r="J1169" i="2"/>
  <c r="H1169" i="2" s="1"/>
  <c r="K1169" i="2"/>
  <c r="J2378" i="2"/>
  <c r="I2009" i="2"/>
  <c r="K1771" i="2"/>
  <c r="J2447" i="2"/>
  <c r="H2447" i="2" s="1"/>
  <c r="K2737" i="2"/>
  <c r="J2081" i="2"/>
  <c r="H2081" i="2" s="1"/>
  <c r="J1836" i="2"/>
  <c r="K1841" i="2" s="1"/>
  <c r="J1916" i="2"/>
  <c r="H1916" i="2" s="1"/>
  <c r="I1519" i="2"/>
  <c r="K1423" i="2"/>
  <c r="J1423" i="2"/>
  <c r="K1270" i="2"/>
  <c r="J1083" i="2"/>
  <c r="H1083" i="2" s="1"/>
  <c r="J2376" i="2"/>
  <c r="H2376" i="2" s="1"/>
  <c r="K1522" i="2"/>
  <c r="J1458" i="2"/>
  <c r="H1458" i="2" s="1"/>
  <c r="J1438" i="2"/>
  <c r="H1438" i="2" s="1"/>
  <c r="I1201" i="2"/>
  <c r="K1047" i="2"/>
  <c r="J1047" i="2"/>
  <c r="H1047" i="2" s="1"/>
  <c r="I938" i="2"/>
  <c r="J938" i="2"/>
  <c r="K941" i="2" s="1"/>
  <c r="K938" i="2"/>
  <c r="I826" i="2"/>
  <c r="J826" i="2"/>
  <c r="H826" i="2" s="1"/>
  <c r="K826" i="2"/>
  <c r="I712" i="2"/>
  <c r="J712" i="2"/>
  <c r="H712" i="2" s="1"/>
  <c r="K712" i="2"/>
  <c r="I598" i="2"/>
  <c r="J598" i="2"/>
  <c r="H598" i="2" s="1"/>
  <c r="K598" i="2"/>
  <c r="J478" i="2"/>
  <c r="H478" i="2" s="1"/>
  <c r="I478" i="2"/>
  <c r="K478" i="2"/>
  <c r="J366" i="2"/>
  <c r="K513" i="2" s="1"/>
  <c r="I366" i="2"/>
  <c r="K366" i="2"/>
  <c r="I2333" i="2"/>
  <c r="J2258" i="2"/>
  <c r="H2258" i="2" s="1"/>
  <c r="I2125" i="2"/>
  <c r="K1713" i="2"/>
  <c r="I1283" i="2"/>
  <c r="K1209" i="2"/>
  <c r="J1087" i="2"/>
  <c r="K1103" i="2" s="1"/>
  <c r="J2174" i="2"/>
  <c r="H2174" i="2" s="1"/>
  <c r="J1929" i="2"/>
  <c r="H1929" i="2" s="1"/>
  <c r="J1903" i="2"/>
  <c r="I1976" i="2"/>
  <c r="J1958" i="2"/>
  <c r="H1958" i="2" s="1"/>
  <c r="I1818" i="2"/>
  <c r="I1756" i="2"/>
  <c r="J1405" i="2"/>
  <c r="H1405" i="2" s="1"/>
  <c r="K2002" i="2"/>
  <c r="K1600" i="2"/>
  <c r="J482" i="2"/>
  <c r="H482" i="2" s="1"/>
  <c r="K1547" i="2"/>
  <c r="J1384" i="2"/>
  <c r="H1384" i="2" s="1"/>
  <c r="J1361" i="2"/>
  <c r="H1361" i="2" s="1"/>
  <c r="J1280" i="2"/>
  <c r="I1068" i="2"/>
  <c r="J1033" i="2"/>
  <c r="H1033" i="2" s="1"/>
  <c r="I803" i="2"/>
  <c r="I710" i="2"/>
  <c r="K657" i="2"/>
  <c r="J657" i="2"/>
  <c r="H657" i="2" s="1"/>
  <c r="I657" i="2"/>
  <c r="K515" i="2"/>
  <c r="J515" i="2"/>
  <c r="H515" i="2" s="1"/>
  <c r="I1437" i="2"/>
  <c r="K1437" i="2"/>
  <c r="J1127" i="2"/>
  <c r="H1127" i="2" s="1"/>
  <c r="J1016" i="2"/>
  <c r="H1016" i="2" s="1"/>
  <c r="J549" i="2"/>
  <c r="H549" i="2" s="1"/>
  <c r="K765" i="2"/>
  <c r="I765" i="2"/>
  <c r="J1303" i="2"/>
  <c r="K1303" i="2"/>
  <c r="J626" i="2"/>
  <c r="H626" i="2" s="1"/>
  <c r="I626" i="2"/>
  <c r="K626" i="2"/>
  <c r="K1568" i="2"/>
  <c r="K1274" i="2"/>
  <c r="I905" i="2"/>
  <c r="K599" i="2"/>
  <c r="I599" i="2"/>
  <c r="J427" i="2"/>
  <c r="H427" i="2" s="1"/>
  <c r="I97" i="2"/>
  <c r="K97" i="2"/>
  <c r="J97" i="2"/>
  <c r="H97" i="2" s="1"/>
  <c r="J1291" i="2"/>
  <c r="H1291" i="2" s="1"/>
  <c r="K741" i="2"/>
  <c r="J741" i="2"/>
  <c r="H741" i="2" s="1"/>
  <c r="J445" i="2"/>
  <c r="H445" i="2" s="1"/>
  <c r="K382" i="2"/>
  <c r="K1433" i="2"/>
  <c r="I1433" i="2"/>
  <c r="J1470" i="2"/>
  <c r="H1470" i="2" s="1"/>
  <c r="K939" i="2"/>
  <c r="I939" i="2"/>
  <c r="K952" i="2"/>
  <c r="J1188" i="2"/>
  <c r="K895" i="2"/>
  <c r="K908" i="2"/>
  <c r="I376" i="2"/>
  <c r="K694" i="2"/>
  <c r="I373" i="2"/>
  <c r="J145" i="2"/>
  <c r="K371" i="2" s="1"/>
  <c r="J581" i="2"/>
  <c r="H581" i="2" s="1"/>
  <c r="I433" i="2"/>
  <c r="J259" i="2"/>
  <c r="H259" i="2" s="1"/>
  <c r="K103" i="2"/>
  <c r="K753" i="2"/>
  <c r="I169" i="2"/>
  <c r="I606" i="2"/>
  <c r="K606" i="2"/>
  <c r="J773" i="2"/>
  <c r="K794" i="2" s="1"/>
  <c r="K2912" i="2"/>
  <c r="I2912" i="2"/>
  <c r="J2912" i="2"/>
  <c r="H2912" i="2" s="1"/>
  <c r="K2846" i="2"/>
  <c r="J2846" i="2"/>
  <c r="K2898" i="2" s="1"/>
  <c r="J2582" i="2"/>
  <c r="H2582" i="2" s="1"/>
  <c r="I2582" i="2"/>
  <c r="K2582" i="2"/>
  <c r="J2236" i="2"/>
  <c r="H2236" i="2" s="1"/>
  <c r="K2236" i="2"/>
  <c r="I2236" i="2"/>
  <c r="K3125" i="2"/>
  <c r="K2987" i="2"/>
  <c r="K3338" i="2"/>
  <c r="K2982" i="2"/>
  <c r="I2678" i="2"/>
  <c r="K2678" i="2"/>
  <c r="J2678" i="2"/>
  <c r="H2678" i="2" s="1"/>
  <c r="K2805" i="2"/>
  <c r="K2462" i="2"/>
  <c r="J2462" i="2"/>
  <c r="H2462" i="2" s="1"/>
  <c r="I2462" i="2"/>
  <c r="J2226" i="2"/>
  <c r="H2226" i="2" s="1"/>
  <c r="K2226" i="2"/>
  <c r="I2226" i="2"/>
  <c r="I2521" i="2"/>
  <c r="I2791" i="2"/>
  <c r="K2631" i="2"/>
  <c r="J2631" i="2"/>
  <c r="H2631" i="2" s="1"/>
  <c r="I2631" i="2"/>
  <c r="J2373" i="2"/>
  <c r="I2054" i="2"/>
  <c r="J2054" i="2"/>
  <c r="H2054" i="2" s="1"/>
  <c r="K2215" i="2"/>
  <c r="I1407" i="2"/>
  <c r="K1407" i="2"/>
  <c r="J1407" i="2"/>
  <c r="H1407" i="2" s="1"/>
  <c r="I2135" i="2"/>
  <c r="I1339" i="2"/>
  <c r="J1339" i="2"/>
  <c r="K1339" i="2"/>
  <c r="I1299" i="2"/>
  <c r="K1299" i="2"/>
  <c r="J1299" i="2"/>
  <c r="H1299" i="2" s="1"/>
  <c r="I1877" i="2"/>
  <c r="K1349" i="2"/>
  <c r="J1349" i="2"/>
  <c r="I1904" i="2"/>
  <c r="K1904" i="2"/>
  <c r="J1904" i="2"/>
  <c r="H1904" i="2" s="1"/>
  <c r="K3467" i="2"/>
  <c r="J3401" i="2"/>
  <c r="H3401" i="2" s="1"/>
  <c r="K3401" i="2"/>
  <c r="J3354" i="2"/>
  <c r="H3354" i="2" s="1"/>
  <c r="K3354" i="2"/>
  <c r="I3354" i="2"/>
  <c r="J3398" i="2"/>
  <c r="H3398" i="2" s="1"/>
  <c r="I3237" i="2"/>
  <c r="K3237" i="2"/>
  <c r="J3237" i="2"/>
  <c r="H3237" i="2" s="1"/>
  <c r="J3026" i="2"/>
  <c r="H3026" i="2" s="1"/>
  <c r="I3026" i="2"/>
  <c r="K3026" i="2"/>
  <c r="J3173" i="2"/>
  <c r="H3173" i="2" s="1"/>
  <c r="K3313" i="2"/>
  <c r="K2989" i="2"/>
  <c r="J2989" i="2"/>
  <c r="H2989" i="2" s="1"/>
  <c r="I2989" i="2"/>
  <c r="J3076" i="2"/>
  <c r="H3076" i="2" s="1"/>
  <c r="J2901" i="2"/>
  <c r="K2901" i="2"/>
  <c r="I2901" i="2"/>
  <c r="I2801" i="2"/>
  <c r="K2801" i="2"/>
  <c r="I3028" i="2"/>
  <c r="J2904" i="2"/>
  <c r="H2904" i="2" s="1"/>
  <c r="I3212" i="2"/>
  <c r="K3192" i="2"/>
  <c r="I3338" i="2"/>
  <c r="I3222" i="2"/>
  <c r="J2746" i="2"/>
  <c r="H2746" i="2" s="1"/>
  <c r="I2746" i="2"/>
  <c r="K2746" i="2"/>
  <c r="I2656" i="2"/>
  <c r="K2656" i="2"/>
  <c r="J2656" i="2"/>
  <c r="H2656" i="2" s="1"/>
  <c r="J3110" i="2"/>
  <c r="H3110" i="2" s="1"/>
  <c r="J2532" i="2"/>
  <c r="H2532" i="2" s="1"/>
  <c r="K2440" i="2"/>
  <c r="J2440" i="2"/>
  <c r="H2440" i="2" s="1"/>
  <c r="I2440" i="2"/>
  <c r="J2603" i="2"/>
  <c r="J2808" i="2"/>
  <c r="H2808" i="2" s="1"/>
  <c r="J2449" i="2"/>
  <c r="H2449" i="2" s="1"/>
  <c r="K2449" i="2"/>
  <c r="K2318" i="2"/>
  <c r="J2318" i="2"/>
  <c r="H2318" i="2" s="1"/>
  <c r="I2318" i="2"/>
  <c r="K2204" i="2"/>
  <c r="J2204" i="2"/>
  <c r="H2204" i="2" s="1"/>
  <c r="I2204" i="2"/>
  <c r="K2084" i="2"/>
  <c r="J2084" i="2"/>
  <c r="H2084" i="2" s="1"/>
  <c r="I2084" i="2"/>
  <c r="J2685" i="2"/>
  <c r="H2685" i="2" s="1"/>
  <c r="J2544" i="2"/>
  <c r="H2544" i="2" s="1"/>
  <c r="J2748" i="2"/>
  <c r="I2684" i="2"/>
  <c r="J2597" i="2"/>
  <c r="H2597" i="2" s="1"/>
  <c r="K2694" i="2"/>
  <c r="J2046" i="2"/>
  <c r="H2046" i="2" s="1"/>
  <c r="K2046" i="2"/>
  <c r="J1946" i="2"/>
  <c r="H1946" i="2" s="1"/>
  <c r="K1946" i="2"/>
  <c r="I1946" i="2"/>
  <c r="K2273" i="2"/>
  <c r="K2155" i="2"/>
  <c r="J2075" i="2"/>
  <c r="H2075" i="2" s="1"/>
  <c r="J1987" i="2"/>
  <c r="H1987" i="2" s="1"/>
  <c r="I2495" i="2"/>
  <c r="K2441" i="2"/>
  <c r="J2239" i="2"/>
  <c r="H2239" i="2" s="1"/>
  <c r="J1766" i="2"/>
  <c r="H1766" i="2" s="1"/>
  <c r="K1708" i="2"/>
  <c r="I1613" i="2"/>
  <c r="K1613" i="2"/>
  <c r="J1613" i="2"/>
  <c r="H1613" i="2" s="1"/>
  <c r="I1499" i="2"/>
  <c r="K1499" i="2"/>
  <c r="J1499" i="2"/>
  <c r="H1499" i="2" s="1"/>
  <c r="J2408" i="2"/>
  <c r="K2415" i="2" s="1"/>
  <c r="J1759" i="2"/>
  <c r="K1784" i="2" s="1"/>
  <c r="J2395" i="2"/>
  <c r="H2395" i="2" s="1"/>
  <c r="I2113" i="2"/>
  <c r="K1881" i="2"/>
  <c r="J1707" i="2"/>
  <c r="H1707" i="2" s="1"/>
  <c r="I1707" i="2"/>
  <c r="I1666" i="2"/>
  <c r="I1607" i="2"/>
  <c r="J1544" i="2"/>
  <c r="H1544" i="2" s="1"/>
  <c r="K1440" i="2"/>
  <c r="J1440" i="2"/>
  <c r="H1440" i="2" s="1"/>
  <c r="I1376" i="2"/>
  <c r="I1273" i="2"/>
  <c r="K1273" i="2"/>
  <c r="J1273" i="2"/>
  <c r="H1273" i="2" s="1"/>
  <c r="I1157" i="2"/>
  <c r="J1157" i="2"/>
  <c r="H1157" i="2" s="1"/>
  <c r="K1157" i="2"/>
  <c r="I2413" i="2"/>
  <c r="J1800" i="2"/>
  <c r="H1800" i="2" s="1"/>
  <c r="I1771" i="2"/>
  <c r="I2472" i="2"/>
  <c r="K1836" i="2"/>
  <c r="I1714" i="2"/>
  <c r="J1519" i="2"/>
  <c r="H1519" i="2" s="1"/>
  <c r="I1306" i="2"/>
  <c r="J1108" i="2"/>
  <c r="H1108" i="2" s="1"/>
  <c r="K1916" i="2"/>
  <c r="I1522" i="2"/>
  <c r="K1458" i="2"/>
  <c r="I1321" i="2"/>
  <c r="J1201" i="2"/>
  <c r="I1044" i="2"/>
  <c r="J1044" i="2"/>
  <c r="K1084" i="2" s="1"/>
  <c r="I926" i="2"/>
  <c r="J926" i="2"/>
  <c r="H926" i="2" s="1"/>
  <c r="K926" i="2"/>
  <c r="I814" i="2"/>
  <c r="J814" i="2"/>
  <c r="H814" i="2" s="1"/>
  <c r="K814" i="2"/>
  <c r="I700" i="2"/>
  <c r="J700" i="2"/>
  <c r="H700" i="2" s="1"/>
  <c r="K700" i="2"/>
  <c r="I586" i="2"/>
  <c r="J586" i="2"/>
  <c r="H586" i="2" s="1"/>
  <c r="K586" i="2"/>
  <c r="K466" i="2"/>
  <c r="J466" i="2"/>
  <c r="H466" i="2" s="1"/>
  <c r="I466" i="2"/>
  <c r="K356" i="2"/>
  <c r="J356" i="2"/>
  <c r="H356" i="2" s="1"/>
  <c r="I356" i="2"/>
  <c r="J2333" i="2"/>
  <c r="H2333" i="2" s="1"/>
  <c r="I1713" i="2"/>
  <c r="J1283" i="2"/>
  <c r="H1283" i="2" s="1"/>
  <c r="I1139" i="2"/>
  <c r="J1818" i="2"/>
  <c r="H1818" i="2" s="1"/>
  <c r="I2332" i="2"/>
  <c r="I2028" i="2"/>
  <c r="I1988" i="2"/>
  <c r="K1750" i="2"/>
  <c r="J1750" i="2"/>
  <c r="H1750" i="2" s="1"/>
  <c r="I1393" i="2"/>
  <c r="J1187" i="2"/>
  <c r="H1187" i="2" s="1"/>
  <c r="I1187" i="2"/>
  <c r="K1125" i="2"/>
  <c r="J1125" i="2"/>
  <c r="H1125" i="2" s="1"/>
  <c r="J289" i="2"/>
  <c r="H289" i="2" s="1"/>
  <c r="I289" i="2"/>
  <c r="I1486" i="2"/>
  <c r="I936" i="2"/>
  <c r="J803" i="2"/>
  <c r="H803" i="2" s="1"/>
  <c r="J710" i="2"/>
  <c r="K721" i="2" s="1"/>
  <c r="K1127" i="2"/>
  <c r="K549" i="2"/>
  <c r="K1734" i="2"/>
  <c r="I1734" i="2"/>
  <c r="J1426" i="2"/>
  <c r="H1426" i="2" s="1"/>
  <c r="I1426" i="2"/>
  <c r="I1274" i="2"/>
  <c r="J310" i="2"/>
  <c r="H310" i="2" s="1"/>
  <c r="K310" i="2"/>
  <c r="I1175" i="2"/>
  <c r="J1175" i="2"/>
  <c r="H1175" i="2" s="1"/>
  <c r="J324" i="2"/>
  <c r="H324" i="2" s="1"/>
  <c r="K13" i="2"/>
  <c r="J13" i="2"/>
  <c r="K14" i="2" s="1"/>
  <c r="J671" i="2"/>
  <c r="K988" i="2"/>
  <c r="I965" i="2"/>
  <c r="K1024" i="2"/>
  <c r="J1024" i="2"/>
  <c r="H1024" i="2" s="1"/>
  <c r="J952" i="2"/>
  <c r="K787" i="2"/>
  <c r="K979" i="2"/>
  <c r="J979" i="2"/>
  <c r="H979" i="2" s="1"/>
  <c r="I979" i="2"/>
  <c r="J912" i="2"/>
  <c r="I912" i="2"/>
  <c r="J1340" i="2"/>
  <c r="H1340" i="2" s="1"/>
  <c r="K1188" i="2"/>
  <c r="I895" i="2"/>
  <c r="J824" i="2"/>
  <c r="H824" i="2" s="1"/>
  <c r="I824" i="2"/>
  <c r="J376" i="2"/>
  <c r="H376" i="2" s="1"/>
  <c r="I13" i="2"/>
  <c r="K793" i="2"/>
  <c r="I145" i="2"/>
  <c r="J169" i="2"/>
  <c r="H169" i="2" s="1"/>
  <c r="K773" i="2"/>
  <c r="I2354" i="2"/>
  <c r="K2354" i="2"/>
  <c r="J2354" i="2"/>
  <c r="H2354" i="2" s="1"/>
  <c r="I2414" i="2"/>
  <c r="K3156" i="2"/>
  <c r="J3156" i="2"/>
  <c r="H3156" i="2" s="1"/>
  <c r="I3156" i="2"/>
  <c r="I2970" i="2"/>
  <c r="K2970" i="2"/>
  <c r="J2970" i="2"/>
  <c r="H2970" i="2" s="1"/>
  <c r="K3153" i="2"/>
  <c r="J3153" i="2"/>
  <c r="H3153" i="2" s="1"/>
  <c r="J2866" i="2"/>
  <c r="H2866" i="2" s="1"/>
  <c r="I2762" i="2"/>
  <c r="J2776" i="2"/>
  <c r="H2776" i="2" s="1"/>
  <c r="I2776" i="2"/>
  <c r="J2479" i="2"/>
  <c r="H2479" i="2" s="1"/>
  <c r="I2479" i="2"/>
  <c r="J2112" i="2"/>
  <c r="K2210" i="2" s="1"/>
  <c r="K2112" i="2"/>
  <c r="I2112" i="2"/>
  <c r="K1978" i="2"/>
  <c r="J1978" i="2"/>
  <c r="H1978" i="2" s="1"/>
  <c r="K1982" i="2"/>
  <c r="J1838" i="2"/>
  <c r="H1838" i="2" s="1"/>
  <c r="K1838" i="2"/>
  <c r="I1838" i="2"/>
  <c r="K1719" i="2"/>
  <c r="I1810" i="2"/>
  <c r="I2218" i="2"/>
  <c r="J2218" i="2"/>
  <c r="K2242" i="2" s="1"/>
  <c r="I1183" i="2"/>
  <c r="K1183" i="2"/>
  <c r="J1183" i="2"/>
  <c r="H1183" i="2" s="1"/>
  <c r="K3396" i="2"/>
  <c r="J3396" i="2"/>
  <c r="H3396" i="2" s="1"/>
  <c r="I3396" i="2"/>
  <c r="J3326" i="2"/>
  <c r="H3326" i="2" s="1"/>
  <c r="I3134" i="2"/>
  <c r="J3134" i="2"/>
  <c r="H3134" i="2" s="1"/>
  <c r="K3134" i="2"/>
  <c r="J2944" i="2"/>
  <c r="H2944" i="2" s="1"/>
  <c r="I2944" i="2"/>
  <c r="K2944" i="2"/>
  <c r="I3287" i="2"/>
  <c r="I3394" i="2"/>
  <c r="J3394" i="2"/>
  <c r="H3394" i="2" s="1"/>
  <c r="K3394" i="2"/>
  <c r="I3351" i="2"/>
  <c r="I3384" i="2"/>
  <c r="I3312" i="2"/>
  <c r="J3312" i="2"/>
  <c r="H3312" i="2" s="1"/>
  <c r="K3312" i="2"/>
  <c r="J3322" i="2"/>
  <c r="H3322" i="2" s="1"/>
  <c r="J3347" i="2"/>
  <c r="H3347" i="2" s="1"/>
  <c r="J3361" i="2"/>
  <c r="H3361" i="2" s="1"/>
  <c r="K3361" i="2"/>
  <c r="J3253" i="2"/>
  <c r="H3253" i="2" s="1"/>
  <c r="K3253" i="2"/>
  <c r="I3275" i="2"/>
  <c r="J3228" i="2"/>
  <c r="H3228" i="2" s="1"/>
  <c r="I3228" i="2"/>
  <c r="K3124" i="2"/>
  <c r="J3124" i="2"/>
  <c r="H3124" i="2" s="1"/>
  <c r="I3124" i="2"/>
  <c r="J3030" i="2"/>
  <c r="H3030" i="2" s="1"/>
  <c r="K3030" i="2"/>
  <c r="I3126" i="2"/>
  <c r="J3126" i="2"/>
  <c r="H3126" i="2" s="1"/>
  <c r="J3211" i="2"/>
  <c r="H3211" i="2" s="1"/>
  <c r="K3211" i="2"/>
  <c r="I3211" i="2"/>
  <c r="I3104" i="2"/>
  <c r="J3104" i="2"/>
  <c r="H3104" i="2" s="1"/>
  <c r="K3104" i="2"/>
  <c r="J2899" i="2"/>
  <c r="H2899" i="2" s="1"/>
  <c r="K2899" i="2"/>
  <c r="K3131" i="2"/>
  <c r="J3131" i="2"/>
  <c r="H3131" i="2" s="1"/>
  <c r="I3001" i="2"/>
  <c r="J3035" i="2"/>
  <c r="I2726" i="2"/>
  <c r="K2726" i="2"/>
  <c r="J2726" i="2"/>
  <c r="H2726" i="2" s="1"/>
  <c r="K2646" i="2"/>
  <c r="I2646" i="2"/>
  <c r="J2646" i="2"/>
  <c r="H2646" i="2" s="1"/>
  <c r="I2892" i="2"/>
  <c r="J2856" i="2"/>
  <c r="H2856" i="2" s="1"/>
  <c r="J2609" i="2"/>
  <c r="H2609" i="2" s="1"/>
  <c r="K2609" i="2"/>
  <c r="I2609" i="2"/>
  <c r="I2936" i="2"/>
  <c r="K2781" i="2"/>
  <c r="I2681" i="2"/>
  <c r="K2532" i="2"/>
  <c r="K2428" i="2"/>
  <c r="J2428" i="2"/>
  <c r="H2428" i="2" s="1"/>
  <c r="I2428" i="2"/>
  <c r="I2675" i="2"/>
  <c r="K2675" i="2"/>
  <c r="K2621" i="2"/>
  <c r="I2621" i="2"/>
  <c r="J2621" i="2"/>
  <c r="H2621" i="2" s="1"/>
  <c r="K2808" i="2"/>
  <c r="K2717" i="2"/>
  <c r="K2579" i="2"/>
  <c r="I2449" i="2"/>
  <c r="K2368" i="2"/>
  <c r="J2368" i="2"/>
  <c r="H2368" i="2" s="1"/>
  <c r="J2306" i="2"/>
  <c r="H2306" i="2" s="1"/>
  <c r="I2306" i="2"/>
  <c r="K2306" i="2"/>
  <c r="J2192" i="2"/>
  <c r="H2192" i="2" s="1"/>
  <c r="I2192" i="2"/>
  <c r="K2192" i="2"/>
  <c r="I2074" i="2"/>
  <c r="K2074" i="2"/>
  <c r="J2074" i="2"/>
  <c r="H2074" i="2" s="1"/>
  <c r="K2765" i="2"/>
  <c r="J2503" i="2"/>
  <c r="H2503" i="2" s="1"/>
  <c r="K2503" i="2"/>
  <c r="I2765" i="2"/>
  <c r="K2325" i="2"/>
  <c r="J2325" i="2"/>
  <c r="H2325" i="2" s="1"/>
  <c r="I2027" i="2"/>
  <c r="K2027" i="2"/>
  <c r="J2027" i="2"/>
  <c r="H2027" i="2" s="1"/>
  <c r="J2209" i="2"/>
  <c r="H2209" i="2" s="1"/>
  <c r="K2114" i="2"/>
  <c r="J2071" i="2"/>
  <c r="H2071" i="2" s="1"/>
  <c r="K2071" i="2"/>
  <c r="I1978" i="2"/>
  <c r="I2145" i="2"/>
  <c r="K2303" i="2"/>
  <c r="J2303" i="2"/>
  <c r="H2303" i="2" s="1"/>
  <c r="I1927" i="2"/>
  <c r="K1927" i="2"/>
  <c r="J1927" i="2"/>
  <c r="H1927" i="2" s="1"/>
  <c r="K1868" i="2"/>
  <c r="I1868" i="2"/>
  <c r="I1683" i="2"/>
  <c r="J2381" i="2"/>
  <c r="H2381" i="2" s="1"/>
  <c r="J1826" i="2"/>
  <c r="H1826" i="2" s="1"/>
  <c r="K1766" i="2"/>
  <c r="I1601" i="2"/>
  <c r="J1601" i="2"/>
  <c r="H1601" i="2" s="1"/>
  <c r="K1601" i="2"/>
  <c r="I1487" i="2"/>
  <c r="J1487" i="2"/>
  <c r="H1487" i="2" s="1"/>
  <c r="K1487" i="2"/>
  <c r="I1477" i="2"/>
  <c r="J1477" i="2"/>
  <c r="H1477" i="2" s="1"/>
  <c r="K1688" i="2"/>
  <c r="J1658" i="2"/>
  <c r="H1658" i="2" s="1"/>
  <c r="J1376" i="2"/>
  <c r="H1376" i="2" s="1"/>
  <c r="I1261" i="2"/>
  <c r="J1261" i="2"/>
  <c r="H1261" i="2" s="1"/>
  <c r="K1261" i="2"/>
  <c r="J1147" i="2"/>
  <c r="H1147" i="2" s="1"/>
  <c r="K1147" i="2"/>
  <c r="I1147" i="2"/>
  <c r="J1900" i="2"/>
  <c r="H1900" i="2" s="1"/>
  <c r="K1800" i="2"/>
  <c r="I1654" i="2"/>
  <c r="K1785" i="2"/>
  <c r="J1714" i="2"/>
  <c r="H1714" i="2" s="1"/>
  <c r="I1423" i="2"/>
  <c r="J1139" i="2"/>
  <c r="H1139" i="2" s="1"/>
  <c r="I1404" i="2"/>
  <c r="I1122" i="2"/>
  <c r="J1122" i="2"/>
  <c r="H1122" i="2" s="1"/>
  <c r="K1122" i="2"/>
  <c r="I1032" i="2"/>
  <c r="K1032" i="2"/>
  <c r="J1032" i="2"/>
  <c r="H1032" i="2" s="1"/>
  <c r="I914" i="2"/>
  <c r="K914" i="2"/>
  <c r="J914" i="2"/>
  <c r="H914" i="2" s="1"/>
  <c r="I802" i="2"/>
  <c r="K802" i="2"/>
  <c r="J802" i="2"/>
  <c r="H802" i="2" s="1"/>
  <c r="I690" i="2"/>
  <c r="K690" i="2"/>
  <c r="J690" i="2"/>
  <c r="K710" i="2" s="1"/>
  <c r="J576" i="2"/>
  <c r="H576" i="2" s="1"/>
  <c r="K576" i="2"/>
  <c r="I576" i="2"/>
  <c r="K456" i="2"/>
  <c r="J456" i="2"/>
  <c r="H456" i="2" s="1"/>
  <c r="I456" i="2"/>
  <c r="J1118" i="2"/>
  <c r="K1132" i="2" s="1"/>
  <c r="K2365" i="2"/>
  <c r="K1863" i="2"/>
  <c r="J1736" i="2"/>
  <c r="H1736" i="2" s="1"/>
  <c r="K1564" i="2"/>
  <c r="K1296" i="2"/>
  <c r="I1296" i="2"/>
  <c r="I1750" i="2"/>
  <c r="K1393" i="2"/>
  <c r="J1234" i="2"/>
  <c r="H1234" i="2" s="1"/>
  <c r="I1234" i="2"/>
  <c r="J544" i="2"/>
  <c r="H544" i="2" s="1"/>
  <c r="J409" i="2"/>
  <c r="H409" i="2" s="1"/>
  <c r="I409" i="2"/>
  <c r="K409" i="2"/>
  <c r="K1258" i="2"/>
  <c r="I1052" i="2"/>
  <c r="J923" i="2"/>
  <c r="K950" i="2" s="1"/>
  <c r="J789" i="2"/>
  <c r="H789" i="2" s="1"/>
  <c r="I789" i="2"/>
  <c r="J1494" i="2"/>
  <c r="H1494" i="2" s="1"/>
  <c r="J1418" i="2"/>
  <c r="H1418" i="2" s="1"/>
  <c r="J1392" i="2"/>
  <c r="H1392" i="2" s="1"/>
  <c r="I1252" i="2"/>
  <c r="I769" i="2"/>
  <c r="K615" i="2"/>
  <c r="I1506" i="2"/>
  <c r="K991" i="2"/>
  <c r="I991" i="2"/>
  <c r="I685" i="2"/>
  <c r="K685" i="2"/>
  <c r="J685" i="2"/>
  <c r="H685" i="2" s="1"/>
  <c r="J205" i="2"/>
  <c r="H205" i="2" s="1"/>
  <c r="K205" i="2"/>
  <c r="I107" i="2"/>
  <c r="J107" i="2"/>
  <c r="K215" i="2" s="1"/>
  <c r="K107" i="2"/>
  <c r="I1414" i="2"/>
  <c r="J1038" i="2"/>
  <c r="H1038" i="2" s="1"/>
  <c r="I1038" i="2"/>
  <c r="I306" i="2"/>
  <c r="J241" i="2"/>
  <c r="H241" i="2" s="1"/>
  <c r="J181" i="2"/>
  <c r="H181" i="2" s="1"/>
  <c r="I181" i="2"/>
  <c r="K181" i="2"/>
  <c r="K631" i="2"/>
  <c r="K1590" i="2"/>
  <c r="J1590" i="2"/>
  <c r="H1590" i="2" s="1"/>
  <c r="K1175" i="2"/>
  <c r="K547" i="2"/>
  <c r="I547" i="2"/>
  <c r="K184" i="2"/>
  <c r="J184" i="2"/>
  <c r="K3040" i="2" s="1"/>
  <c r="I184" i="2"/>
  <c r="J110" i="2"/>
  <c r="H110" i="2" s="1"/>
  <c r="J3" i="2"/>
  <c r="H3" i="2" s="1"/>
  <c r="K3" i="2"/>
  <c r="I3" i="2"/>
  <c r="K965" i="2"/>
  <c r="J899" i="2"/>
  <c r="K912" i="2" s="1"/>
  <c r="K1328" i="2"/>
  <c r="J1029" i="2"/>
  <c r="K1044" i="2" s="1"/>
  <c r="K1221" i="2"/>
  <c r="K1054" i="2"/>
  <c r="J812" i="2"/>
  <c r="H812" i="2" s="1"/>
  <c r="I1039" i="2"/>
  <c r="K331" i="2"/>
  <c r="J331" i="2"/>
  <c r="H331" i="2" s="1"/>
  <c r="I331" i="2"/>
  <c r="K315" i="2"/>
  <c r="I57" i="2"/>
  <c r="J57" i="2"/>
  <c r="H57" i="2" s="1"/>
  <c r="I793" i="2"/>
  <c r="K203" i="2"/>
  <c r="K7" i="2"/>
  <c r="I727" i="2"/>
  <c r="I920" i="2"/>
  <c r="K920" i="2"/>
  <c r="J920" i="2"/>
  <c r="H920" i="2" s="1"/>
  <c r="K363" i="2"/>
  <c r="J363" i="2"/>
  <c r="H363" i="2" s="1"/>
  <c r="I35" i="2"/>
  <c r="K319" i="2"/>
  <c r="J319" i="2"/>
  <c r="I319" i="2"/>
  <c r="J153" i="2"/>
  <c r="I54" i="2"/>
  <c r="K570" i="2"/>
  <c r="J570" i="2"/>
  <c r="H570" i="2" s="1"/>
  <c r="J121" i="2"/>
  <c r="K153" i="2" s="1"/>
  <c r="K567" i="2"/>
  <c r="I275" i="2"/>
  <c r="J54" i="2"/>
  <c r="H54" i="2" s="1"/>
  <c r="J22" i="2"/>
  <c r="H22" i="2" s="1"/>
  <c r="I4" i="2"/>
  <c r="J687" i="2"/>
  <c r="H687" i="2" s="1"/>
  <c r="K61" i="2"/>
  <c r="J35" i="2"/>
  <c r="H35" i="2" s="1"/>
  <c r="I49" i="2"/>
  <c r="J49" i="2"/>
  <c r="H49" i="2" s="1"/>
  <c r="I567" i="2"/>
  <c r="J275" i="2"/>
  <c r="J4" i="2"/>
  <c r="H4" i="2" s="1"/>
  <c r="J109" i="2"/>
  <c r="H109" i="2" s="1"/>
  <c r="I109" i="2"/>
  <c r="J46" i="2"/>
  <c r="H46" i="2" s="1"/>
  <c r="K1282" i="2"/>
  <c r="I1282" i="2"/>
  <c r="J163" i="2"/>
  <c r="H163" i="2" s="1"/>
  <c r="I163" i="2"/>
  <c r="K358" i="2"/>
  <c r="J827" i="2"/>
  <c r="H827" i="2" s="1"/>
  <c r="K142" i="2"/>
  <c r="J142" i="2"/>
  <c r="H142" i="2" s="1"/>
  <c r="I142" i="2"/>
  <c r="J232" i="2"/>
  <c r="H232" i="2" s="1"/>
  <c r="K423" i="2"/>
  <c r="I61" i="2"/>
  <c r="I14" i="2"/>
  <c r="I363" i="2"/>
  <c r="J406" i="2"/>
  <c r="H406" i="2" s="1"/>
  <c r="K46" i="2"/>
  <c r="I593" i="2"/>
  <c r="I267" i="2"/>
  <c r="I196" i="2"/>
  <c r="I584" i="2"/>
  <c r="K406" i="2"/>
  <c r="J593" i="2"/>
  <c r="H593" i="2" s="1"/>
  <c r="J267" i="2"/>
  <c r="K330" i="2" s="1"/>
  <c r="K651" i="2"/>
  <c r="I426" i="2"/>
  <c r="I1702" i="2"/>
  <c r="K1210" i="2"/>
  <c r="K621" i="2"/>
  <c r="K284" i="2"/>
  <c r="J284" i="2"/>
  <c r="H284" i="2" s="1"/>
  <c r="I284" i="2"/>
  <c r="K147" i="2"/>
  <c r="J147" i="2"/>
  <c r="H147" i="2" s="1"/>
  <c r="J47" i="2"/>
  <c r="H47" i="2" s="1"/>
  <c r="I47" i="2"/>
  <c r="K1071" i="2"/>
  <c r="I286" i="2"/>
  <c r="K286" i="2"/>
  <c r="J286" i="2"/>
  <c r="H286" i="2" s="1"/>
  <c r="K239" i="2"/>
  <c r="J239" i="2"/>
  <c r="H239" i="2" s="1"/>
  <c r="I239" i="2"/>
  <c r="K6" i="2"/>
  <c r="J6" i="2"/>
  <c r="H6" i="2" s="1"/>
  <c r="I6" i="2"/>
  <c r="J1507" i="2"/>
  <c r="H1507" i="2" s="1"/>
  <c r="K126" i="2"/>
  <c r="J126" i="2"/>
  <c r="K145" i="2" s="1"/>
  <c r="J483" i="2"/>
  <c r="H483" i="2" s="1"/>
  <c r="I1160" i="2"/>
  <c r="J1064" i="2"/>
  <c r="H1064" i="2" s="1"/>
  <c r="I815" i="2"/>
  <c r="J274" i="2"/>
  <c r="H274" i="2" s="1"/>
  <c r="I274" i="2"/>
  <c r="K274" i="2"/>
  <c r="I191" i="2"/>
  <c r="I74" i="2"/>
  <c r="K740" i="2"/>
  <c r="I221" i="2"/>
  <c r="J196" i="2"/>
  <c r="H196" i="2" s="1"/>
  <c r="I627" i="2"/>
  <c r="J328" i="2"/>
  <c r="H328" i="2" s="1"/>
  <c r="K232" i="2"/>
  <c r="J334" i="2"/>
  <c r="H334" i="2" s="1"/>
  <c r="J785" i="2"/>
  <c r="H785" i="2" s="1"/>
  <c r="J619" i="2"/>
  <c r="H619" i="2" s="1"/>
  <c r="K322" i="2"/>
  <c r="J30" i="2"/>
  <c r="J584" i="2"/>
  <c r="H584" i="2" s="1"/>
  <c r="J90" i="2"/>
  <c r="I32" i="2"/>
  <c r="I553" i="2"/>
  <c r="I346" i="2"/>
  <c r="K29" i="2"/>
  <c r="I522" i="2"/>
  <c r="K522" i="2"/>
  <c r="J522" i="2"/>
  <c r="H522" i="2" s="1"/>
  <c r="K638" i="2"/>
  <c r="I492" i="2"/>
  <c r="J492" i="2"/>
  <c r="H492" i="2" s="1"/>
  <c r="K411" i="2"/>
  <c r="J411" i="2"/>
  <c r="H411" i="2" s="1"/>
  <c r="I411" i="2"/>
  <c r="J1055" i="2"/>
  <c r="H1055" i="2" s="1"/>
  <c r="K1055" i="2"/>
  <c r="I997" i="2"/>
  <c r="J1702" i="2"/>
  <c r="H1702" i="2" s="1"/>
  <c r="J1053" i="2"/>
  <c r="H1053" i="2" s="1"/>
  <c r="K877" i="2"/>
  <c r="I877" i="2"/>
  <c r="I621" i="2"/>
  <c r="I429" i="2"/>
  <c r="K429" i="2"/>
  <c r="J429" i="2"/>
  <c r="H429" i="2" s="1"/>
  <c r="K212" i="2"/>
  <c r="J212" i="2"/>
  <c r="H212" i="2" s="1"/>
  <c r="I1156" i="2"/>
  <c r="K1045" i="2"/>
  <c r="K850" i="2"/>
  <c r="K166" i="2"/>
  <c r="I166" i="2"/>
  <c r="I480" i="2"/>
  <c r="J269" i="2"/>
  <c r="H269" i="2" s="1"/>
  <c r="J198" i="2"/>
  <c r="H198" i="2" s="1"/>
  <c r="K198" i="2"/>
  <c r="I1213" i="2"/>
  <c r="I187" i="2"/>
  <c r="I126" i="2"/>
  <c r="J796" i="2"/>
  <c r="H796" i="2" s="1"/>
  <c r="J79" i="2"/>
  <c r="H79" i="2" s="1"/>
  <c r="J627" i="2"/>
  <c r="K634" i="2" s="1"/>
  <c r="K334" i="2"/>
  <c r="K191" i="2"/>
  <c r="K785" i="2"/>
  <c r="I322" i="2"/>
  <c r="J553" i="2"/>
  <c r="H553" i="2" s="1"/>
  <c r="J346" i="2"/>
  <c r="H346" i="2" s="1"/>
  <c r="I118" i="2"/>
  <c r="I955" i="2"/>
  <c r="I731" i="2"/>
  <c r="K731" i="2"/>
  <c r="J426" i="2"/>
  <c r="H426" i="2" s="1"/>
  <c r="J997" i="2"/>
  <c r="K1017" i="2" s="1"/>
  <c r="K407" i="2"/>
  <c r="K1053" i="2"/>
  <c r="K911" i="2"/>
  <c r="I911" i="2"/>
  <c r="J276" i="2"/>
  <c r="H276" i="2" s="1"/>
  <c r="I276" i="2"/>
  <c r="I212" i="2"/>
  <c r="J31" i="2"/>
  <c r="H31" i="2" s="1"/>
  <c r="K31" i="2"/>
  <c r="I747" i="2"/>
  <c r="J419" i="2"/>
  <c r="K431" i="2" s="1"/>
  <c r="K419" i="2"/>
  <c r="K163" i="2"/>
  <c r="K63" i="2"/>
  <c r="J63" i="2"/>
  <c r="H63" i="2" s="1"/>
  <c r="I63" i="2"/>
  <c r="K1248" i="2"/>
  <c r="J1248" i="2"/>
  <c r="H1248" i="2" s="1"/>
  <c r="J865" i="2"/>
  <c r="H865" i="2" s="1"/>
  <c r="J26" i="2"/>
  <c r="H26" i="2" s="1"/>
  <c r="K26" i="2"/>
  <c r="K1330" i="2"/>
  <c r="I1330" i="2"/>
  <c r="J56" i="2"/>
  <c r="K176" i="2" s="1"/>
  <c r="K8" i="2"/>
  <c r="I619" i="2"/>
  <c r="K109" i="2"/>
  <c r="K2103" i="2" l="1"/>
  <c r="K1998" i="2"/>
  <c r="K1654" i="2"/>
  <c r="K1072" i="2"/>
  <c r="K955" i="2"/>
  <c r="K1678" i="2"/>
  <c r="K480" i="2"/>
  <c r="K2121" i="2"/>
  <c r="K2087" i="2"/>
  <c r="K1635" i="2"/>
  <c r="K1540" i="2"/>
  <c r="H1910" i="2"/>
  <c r="K1950" i="2"/>
  <c r="K1057" i="2"/>
  <c r="K1118" i="2"/>
  <c r="H2179" i="2"/>
  <c r="K2707" i="2"/>
  <c r="K2096" i="2"/>
  <c r="K1752" i="2"/>
  <c r="K1373" i="2"/>
  <c r="H1065" i="2"/>
  <c r="H1869" i="2"/>
  <c r="H1428" i="2"/>
  <c r="H1423" i="2"/>
  <c r="K2729" i="2"/>
  <c r="H1188" i="2"/>
  <c r="K1315" i="2"/>
  <c r="K2614" i="2"/>
  <c r="H1665" i="2"/>
  <c r="K2448" i="2"/>
  <c r="H1527" i="2"/>
  <c r="H1186" i="2"/>
  <c r="H2019" i="2"/>
  <c r="K980" i="2"/>
  <c r="H830" i="2"/>
  <c r="K1344" i="2"/>
  <c r="H533" i="2"/>
  <c r="H675" i="2"/>
  <c r="H1277" i="2"/>
  <c r="H1286" i="2"/>
  <c r="K405" i="2"/>
  <c r="H268" i="2"/>
  <c r="H1126" i="2"/>
  <c r="H1084" i="2"/>
  <c r="H612" i="2"/>
  <c r="K2775" i="2"/>
  <c r="K290" i="2"/>
  <c r="H275" i="2"/>
  <c r="G945" i="2"/>
  <c r="H184" i="2"/>
  <c r="H3472" i="2"/>
  <c r="H3450" i="2"/>
  <c r="H3446" i="2"/>
  <c r="H3363" i="2"/>
  <c r="H3340" i="2"/>
  <c r="H3333" i="2"/>
  <c r="H3296" i="2"/>
  <c r="H3290" i="2"/>
  <c r="H3286" i="2"/>
  <c r="H3275" i="2"/>
  <c r="H3223" i="2"/>
  <c r="H3095" i="2"/>
  <c r="H3089" i="2"/>
  <c r="H3072" i="2"/>
  <c r="H3035" i="2"/>
  <c r="H2982" i="2"/>
  <c r="H2959" i="2"/>
  <c r="H2953" i="2"/>
  <c r="H2936" i="2"/>
  <c r="H2906" i="2"/>
  <c r="H2901" i="2"/>
  <c r="H2898" i="2"/>
  <c r="H2863" i="2"/>
  <c r="H2855" i="2"/>
  <c r="H2846" i="2"/>
  <c r="H2775" i="2"/>
  <c r="H2762" i="2"/>
  <c r="H2748" i="2"/>
  <c r="K1201" i="2"/>
  <c r="H1140" i="2"/>
  <c r="H2701" i="2"/>
  <c r="K1520" i="2"/>
  <c r="H2663" i="2"/>
  <c r="H2647" i="2"/>
  <c r="H2625" i="2"/>
  <c r="H2618" i="2"/>
  <c r="H2603" i="2"/>
  <c r="H2595" i="2"/>
  <c r="H2583" i="2"/>
  <c r="H2580" i="2"/>
  <c r="H968" i="2"/>
  <c r="H1650" i="2"/>
  <c r="H1136" i="2"/>
  <c r="H2567" i="2"/>
  <c r="H2560" i="2"/>
  <c r="H2541" i="2"/>
  <c r="H2522" i="2"/>
  <c r="H2513" i="2"/>
  <c r="H2505" i="2"/>
  <c r="H2500" i="2"/>
  <c r="H2456" i="2"/>
  <c r="H2453" i="2"/>
  <c r="H2448" i="2"/>
  <c r="H2441" i="2"/>
  <c r="H2408" i="2"/>
  <c r="H2401" i="2"/>
  <c r="H2394" i="2"/>
  <c r="H2378" i="2"/>
  <c r="H2375" i="2"/>
  <c r="H2373" i="2"/>
  <c r="H2345" i="2"/>
  <c r="H2340" i="2"/>
  <c r="H2328" i="2"/>
  <c r="H2323" i="2"/>
  <c r="H2317" i="2"/>
  <c r="H2310" i="2"/>
  <c r="H2276" i="2"/>
  <c r="H2268" i="2"/>
  <c r="H2264" i="2"/>
  <c r="H2248" i="2"/>
  <c r="H2230" i="2"/>
  <c r="H2218" i="2"/>
  <c r="H362" i="2"/>
  <c r="H2165" i="2"/>
  <c r="H2155" i="2"/>
  <c r="H2146" i="2"/>
  <c r="H2124" i="2"/>
  <c r="H2112" i="2"/>
  <c r="H2096" i="2"/>
  <c r="H2090" i="2"/>
  <c r="H2065" i="2"/>
  <c r="H1998" i="2"/>
  <c r="H1991" i="2"/>
  <c r="H1981" i="2"/>
  <c r="K1819" i="2"/>
  <c r="G1819" i="2" s="1"/>
  <c r="K1980" i="2"/>
  <c r="H1943" i="2"/>
  <c r="H1903" i="2"/>
  <c r="H1894" i="2"/>
  <c r="H1843" i="2"/>
  <c r="H1836" i="2"/>
  <c r="H1827" i="2"/>
  <c r="H1820" i="2"/>
  <c r="H1814" i="2"/>
  <c r="H1794" i="2"/>
  <c r="H1752" i="2"/>
  <c r="H1765" i="2"/>
  <c r="H1759" i="2"/>
  <c r="H1747" i="2"/>
  <c r="H1746" i="2"/>
  <c r="H1722" i="2"/>
  <c r="H1687" i="2"/>
  <c r="H1678" i="2"/>
  <c r="H1657" i="2"/>
  <c r="H1635" i="2"/>
  <c r="H1630" i="2"/>
  <c r="H1611" i="2"/>
  <c r="H1520" i="2"/>
  <c r="H1498" i="2"/>
  <c r="H1455" i="2"/>
  <c r="H1413" i="2"/>
  <c r="H1409" i="2"/>
  <c r="H1404" i="2"/>
  <c r="H1402" i="2"/>
  <c r="H1363" i="2"/>
  <c r="H1360" i="2"/>
  <c r="H1349" i="2"/>
  <c r="H1344" i="2"/>
  <c r="H1339" i="2"/>
  <c r="H1315" i="2"/>
  <c r="H1303" i="2"/>
  <c r="H1300" i="2"/>
  <c r="H1280" i="2"/>
  <c r="H1272" i="2"/>
  <c r="H1266" i="2"/>
  <c r="H1229" i="2"/>
  <c r="H1222" i="2"/>
  <c r="H1201" i="2"/>
  <c r="H1178" i="2"/>
  <c r="H1149" i="2"/>
  <c r="H1132" i="2"/>
  <c r="H1118" i="2"/>
  <c r="H1099" i="2"/>
  <c r="H1087" i="2"/>
  <c r="H1079" i="2"/>
  <c r="H1044" i="2"/>
  <c r="H1029" i="2"/>
  <c r="H997" i="2"/>
  <c r="H980" i="2"/>
  <c r="H952" i="2"/>
  <c r="G952" i="2"/>
  <c r="H959" i="2"/>
  <c r="H938" i="2"/>
  <c r="H923" i="2"/>
  <c r="H921" i="2"/>
  <c r="H912" i="2"/>
  <c r="H905" i="2"/>
  <c r="G905" i="2"/>
  <c r="H902" i="2"/>
  <c r="H899" i="2"/>
  <c r="H891" i="2"/>
  <c r="H883" i="2"/>
  <c r="H868" i="2"/>
  <c r="H853" i="2"/>
  <c r="H836" i="2"/>
  <c r="H833" i="2"/>
  <c r="H773" i="2"/>
  <c r="H740" i="2"/>
  <c r="H710" i="2"/>
  <c r="H690" i="2"/>
  <c r="H671" i="2"/>
  <c r="H654" i="2"/>
  <c r="H643" i="2"/>
  <c r="H634" i="2"/>
  <c r="H627" i="2"/>
  <c r="H545" i="2"/>
  <c r="H480" i="2"/>
  <c r="H476" i="2"/>
  <c r="H463" i="2"/>
  <c r="H453" i="2"/>
  <c r="H441" i="2"/>
  <c r="H431" i="2"/>
  <c r="H419" i="2"/>
  <c r="H416" i="2"/>
  <c r="H402" i="2"/>
  <c r="G402" i="2"/>
  <c r="H380" i="2"/>
  <c r="H375" i="2"/>
  <c r="H366" i="2"/>
  <c r="H330" i="2"/>
  <c r="G330" i="2"/>
  <c r="H319" i="2"/>
  <c r="H267" i="2"/>
  <c r="G267" i="2"/>
  <c r="H242" i="2"/>
  <c r="H233" i="2"/>
  <c r="K218" i="2"/>
  <c r="H229" i="2"/>
  <c r="H226" i="2"/>
  <c r="H223" i="2"/>
  <c r="H218" i="2"/>
  <c r="H153" i="2"/>
  <c r="G175" i="2"/>
  <c r="H171" i="2"/>
  <c r="H164" i="2"/>
  <c r="G164" i="2"/>
  <c r="H145" i="2"/>
  <c r="H126" i="2"/>
  <c r="H121" i="2"/>
  <c r="H118" i="2"/>
  <c r="G118" i="2"/>
  <c r="H107" i="2"/>
  <c r="H90" i="2"/>
  <c r="H74" i="2"/>
  <c r="H56" i="2"/>
  <c r="H30" i="2"/>
  <c r="H18" i="2"/>
  <c r="H14" i="2"/>
  <c r="H13" i="2"/>
  <c r="G13" i="2"/>
</calcChain>
</file>

<file path=xl/sharedStrings.xml><?xml version="1.0" encoding="utf-8"?>
<sst xmlns="http://schemas.openxmlformats.org/spreadsheetml/2006/main" count="8279" uniqueCount="1833">
  <si>
    <t>ID</t>
  </si>
  <si>
    <t>PRED_ID</t>
  </si>
  <si>
    <t>MARKER_AUTO</t>
  </si>
  <si>
    <t>PREDICATE</t>
  </si>
  <si>
    <t>TEXT</t>
  </si>
  <si>
    <t>SENTENCE</t>
  </si>
  <si>
    <t>MARKER</t>
  </si>
  <si>
    <t>TARGET</t>
  </si>
  <si>
    <t>RELATION</t>
  </si>
  <si>
    <t>COMMENT</t>
  </si>
  <si>
    <t>1</t>
  </si>
  <si>
    <t>5</t>
  </si>
  <si>
    <t>so?</t>
  </si>
  <si>
    <t>know</t>
  </si>
  <si>
    <t>So , I 've known a lot of fish in my life .</t>
  </si>
  <si>
    <t>file://conllu/en/teddy-744.conllu#s1_0</t>
  </si>
  <si>
    <t>_</t>
  </si>
  <si>
    <t>2</t>
  </si>
  <si>
    <t>3</t>
  </si>
  <si>
    <t>love</t>
  </si>
  <si>
    <t>I 've loved only two .</t>
  </si>
  <si>
    <t>file://conllu/en/teddy-744.conllu#s2_0</t>
  </si>
  <si>
    <t>6</t>
  </si>
  <si>
    <t>be (be more)</t>
  </si>
  <si>
    <t>That first one , it was more like a passionate affair .</t>
  </si>
  <si>
    <t>file://conllu/en/teddy-744.conllu#s3_0</t>
  </si>
  <si>
    <t>4</t>
  </si>
  <si>
    <t>be (be fish)</t>
  </si>
  <si>
    <t>It was a beautiful fish : flavorful , textured , meaty , a bestseller on the menu .</t>
  </si>
  <si>
    <t>file://conllu/en/teddy-744.conllu#s4_0</t>
  </si>
  <si>
    <t>fish</t>
  </si>
  <si>
    <t>What a fish .</t>
  </si>
  <si>
    <t>file://conllu/en/teddy-744.conllu#s5_0</t>
  </si>
  <si>
    <t>laughter</t>
  </si>
  <si>
    <t>( Laughter )</t>
  </si>
  <si>
    <t>file://conllu/en/teddy-744.conllu#s6_0</t>
  </si>
  <si>
    <t>7</t>
  </si>
  <si>
    <t>be (be farm)</t>
  </si>
  <si>
    <t>Even better , it was farm raised to the supposed highest standards of sustainability .</t>
  </si>
  <si>
    <t>file://conllu/en/teddy-744.conllu#s7_0</t>
  </si>
  <si>
    <t>8</t>
  </si>
  <si>
    <t>feel</t>
  </si>
  <si>
    <t>So you could feel good about selling it .</t>
  </si>
  <si>
    <t>file://conllu/en/teddy-744.conllu#s8_0</t>
  </si>
  <si>
    <t>9</t>
  </si>
  <si>
    <t>for?</t>
  </si>
  <si>
    <t>be (be relationship)</t>
  </si>
  <si>
    <t>I was in a relationship with this beauty for several months .</t>
  </si>
  <si>
    <t>file://conllu/en/teddy-744.conllu#s9_0</t>
  </si>
  <si>
    <t>10</t>
  </si>
  <si>
    <t>and?</t>
  </si>
  <si>
    <t>call</t>
  </si>
  <si>
    <t>One day , the head of the company called and asked if I 'd speak at an event about the farm 's sustainability .</t>
  </si>
  <si>
    <t>file://conllu/en/teddy-744.conllu#s10_0</t>
  </si>
  <si>
    <t>11</t>
  </si>
  <si>
    <t>say</t>
  </si>
  <si>
    <t>&amp;quot; Absolutely , &amp;quot; I said .</t>
  </si>
  <si>
    <t>file://conllu/en/teddy-744.conllu#s11_0</t>
  </si>
  <si>
    <t>12</t>
  </si>
  <si>
    <t>be (be here)</t>
  </si>
  <si>
    <t>Here was a company trying to solve what 's become this unimaginable problem for us chefs :</t>
  </si>
  <si>
    <t>file://conllu/en/teddy-744.conllu#s12_0</t>
  </si>
  <si>
    <t>13</t>
  </si>
  <si>
    <t>keep</t>
  </si>
  <si>
    <t>How do we keep fish on our menus ?</t>
  </si>
  <si>
    <t>file://conllu/en/teddy-744.conllu#s13_0</t>
  </si>
  <si>
    <t>14</t>
  </si>
  <si>
    <t>For the past 50 years , we 've been fishing the seas like we clear cut forests .</t>
  </si>
  <si>
    <t>file://conllu/en/teddy-744.conllu#s14_0</t>
  </si>
  <si>
    <t>15</t>
  </si>
  <si>
    <t>be (be hard)</t>
  </si>
  <si>
    <t>It 's hard to overstate the destruction .</t>
  </si>
  <si>
    <t>file://conllu/en/teddy-744.conllu#s15_0</t>
  </si>
  <si>
    <t>16</t>
  </si>
  <si>
    <t>tuna</t>
  </si>
  <si>
    <t>Ninety percent of large fish , the ones we love the tunas , the halibuts , the salmons , swordfish they 've collapsed .</t>
  </si>
  <si>
    <t>file://conllu/en/teddy-744.conllu#s16_0</t>
  </si>
  <si>
    <t>17</t>
  </si>
  <si>
    <t>be</t>
  </si>
  <si>
    <t>There 's almost nothing left .</t>
  </si>
  <si>
    <t>file://conllu/en/teddy-744.conllu#s17_0</t>
  </si>
  <si>
    <t>18</t>
  </si>
  <si>
    <t>go</t>
  </si>
  <si>
    <t>So , for better or for worse , aquaculture , fish farming , is going to be a part of our future .</t>
  </si>
  <si>
    <t>file://conllu/en/teddy-744.conllu#s18_0</t>
  </si>
  <si>
    <t>19</t>
  </si>
  <si>
    <t>lot</t>
  </si>
  <si>
    <t>A lot of arguments against it : Fish farms pollute most of them do anyway and they 're inefficient .</t>
  </si>
  <si>
    <t>file://conllu/en/teddy-744.conllu#s19_0</t>
  </si>
  <si>
    <t>20</t>
  </si>
  <si>
    <t>take</t>
  </si>
  <si>
    <t>Take tuna , a major drawback .</t>
  </si>
  <si>
    <t>file://conllu/en/teddy-744.conllu#s20_0</t>
  </si>
  <si>
    <t>21</t>
  </si>
  <si>
    <t>get</t>
  </si>
  <si>
    <t>It 's got a feed conversion ratio of 15 to one .</t>
  </si>
  <si>
    <t>file://conllu/en/teddy-744.conllu#s21_0</t>
  </si>
  <si>
    <t>22</t>
  </si>
  <si>
    <t>mean</t>
  </si>
  <si>
    <t>That means it takes fifteen pounds of wild fish to get you one pound of farm tuna .</t>
  </si>
  <si>
    <t>file://conllu/en/teddy-744.conllu#s22_0</t>
  </si>
  <si>
    <t>23</t>
  </si>
  <si>
    <t>sustainable</t>
  </si>
  <si>
    <t>Not very sustainable .</t>
  </si>
  <si>
    <t>file://conllu/en/teddy-744.conllu#s23_0</t>
  </si>
  <si>
    <t>24</t>
  </si>
  <si>
    <t>taste</t>
  </si>
  <si>
    <t>It does n't taste very good either .</t>
  </si>
  <si>
    <t>file://conllu/en/teddy-744.conllu#s24_0</t>
  </si>
  <si>
    <t>25</t>
  </si>
  <si>
    <t>finally?</t>
  </si>
  <si>
    <t>be (be company)</t>
  </si>
  <si>
    <t>So here , finally , was a company trying to do it right .</t>
  </si>
  <si>
    <t>file://conllu/en/teddy-744.conllu#s25_0</t>
  </si>
  <si>
    <t>26</t>
  </si>
  <si>
    <t>support (support want)</t>
  </si>
  <si>
    <t>I wanted to support them .</t>
  </si>
  <si>
    <t>file://conllu/en/teddy-744.conllu#s26_0</t>
  </si>
  <si>
    <t>27</t>
  </si>
  <si>
    <t>The day before the event , I called the head of P.R. for the company .</t>
  </si>
  <si>
    <t>file://conllu/en/teddy-744.conllu#s27_0</t>
  </si>
  <si>
    <t>28</t>
  </si>
  <si>
    <t>Let 's call him Don . &amp;quot; Don , &amp;quot; I said , &amp;quot; just to get the facts straight , you guys are famous for farming so far out to sea , you do n't pollute . &amp;quot;</t>
  </si>
  <si>
    <t>file://conllu/en/teddy-744.conllu#s28_0</t>
  </si>
  <si>
    <t>29</t>
  </si>
  <si>
    <t>&amp;quot; That 's right , &amp;quot; he said .</t>
  </si>
  <si>
    <t>file://conllu/en/teddy-744.conllu#s29_0</t>
  </si>
  <si>
    <t>30</t>
  </si>
  <si>
    <t>concentrate</t>
  </si>
  <si>
    <t>&amp;quot; We 're so far out , the waste from our fish gets distributed , not concentrated . &amp;quot;</t>
  </si>
  <si>
    <t>file://conllu/en/teddy-744.conllu#s30_0</t>
  </si>
  <si>
    <t>31</t>
  </si>
  <si>
    <t>then?</t>
  </si>
  <si>
    <t>add</t>
  </si>
  <si>
    <t>And then he added , &amp;quot; We 're basically a world unto ourselves .</t>
  </si>
  <si>
    <t>file://conllu/en/teddy-744.conllu#s31_0</t>
  </si>
  <si>
    <t>32</t>
  </si>
  <si>
    <t>ratio</t>
  </si>
  <si>
    <t>That feed conversion ratio ?</t>
  </si>
  <si>
    <t>file://conllu/en/teddy-744.conllu#s32_0</t>
  </si>
  <si>
    <t>33</t>
  </si>
  <si>
    <t>2.5 to one , &amp;quot; he said .</t>
  </si>
  <si>
    <t>file://conllu/en/teddy-744.conllu#s33_0</t>
  </si>
  <si>
    <t>34</t>
  </si>
  <si>
    <t>great.</t>
  </si>
  <si>
    <t>&amp;quot; Best in the business . &amp;quot; 2.5 to one , great.</t>
  </si>
  <si>
    <t>file://conllu/en/teddy-744.conllu#s34_0</t>
  </si>
  <si>
    <t>35</t>
  </si>
  <si>
    <t>what</t>
  </si>
  <si>
    <t>&amp;quot; 2.5 what ?</t>
  </si>
  <si>
    <t>file://conllu/en/teddy-744.conllu#s35_0</t>
  </si>
  <si>
    <t>36</t>
  </si>
  <si>
    <t>feed</t>
  </si>
  <si>
    <t>What are you feeding ? &amp;quot;</t>
  </si>
  <si>
    <t>file://conllu/en/teddy-744.conllu#s36_0</t>
  </si>
  <si>
    <t>37</t>
  </si>
  <si>
    <t>&amp;quot; Sustainable proteins , &amp;quot; he said .</t>
  </si>
  <si>
    <t>file://conllu/en/teddy-744.conllu#s37_0</t>
  </si>
  <si>
    <t>38</t>
  </si>
  <si>
    <t>&amp;quot; Great , &amp;quot; I said .</t>
  </si>
  <si>
    <t>file://conllu/en/teddy-744.conllu#s38_0</t>
  </si>
  <si>
    <t>39</t>
  </si>
  <si>
    <t>Got off the phone .</t>
  </si>
  <si>
    <t>file://conllu/en/teddy-744.conllu#s39_0</t>
  </si>
  <si>
    <t>40</t>
  </si>
  <si>
    <t>lie</t>
  </si>
  <si>
    <t>And that night , I was lying in bed , and I thought : What the hell is a sustainable protein ?</t>
  </si>
  <si>
    <t>file://conllu/en/teddy-744.conllu#s40_0</t>
  </si>
  <si>
    <t>41</t>
  </si>
  <si>
    <t>before?</t>
  </si>
  <si>
    <t>So the next day , just before the event , I called Don .</t>
  </si>
  <si>
    <t>file://conllu/en/teddy-744.conllu#s41_0</t>
  </si>
  <si>
    <t>42</t>
  </si>
  <si>
    <t>I said , &amp;quot; Don , what are some examples of sustainable proteins ? &amp;quot;</t>
  </si>
  <si>
    <t>file://conllu/en/teddy-744.conllu#s42_0</t>
  </si>
  <si>
    <t>43</t>
  </si>
  <si>
    <t>know (know say)</t>
  </si>
  <si>
    <t>He said he did n't know .</t>
  </si>
  <si>
    <t>file://conllu/en/teddy-744.conllu#s43_0</t>
  </si>
  <si>
    <t>44</t>
  </si>
  <si>
    <t>ask</t>
  </si>
  <si>
    <t>He would ask around .</t>
  </si>
  <si>
    <t>file://conllu/en/teddy-744.conllu#s44_0</t>
  </si>
  <si>
    <t>45</t>
  </si>
  <si>
    <t>Well , I got on the phone with a few people in the company ; no one could give me a straight answer until finally , I got on the phone with the head biologist .</t>
  </si>
  <si>
    <t>file://conllu/en/teddy-744.conllu#s45_0</t>
  </si>
  <si>
    <t>46</t>
  </si>
  <si>
    <t>let</t>
  </si>
  <si>
    <t>Let 's call him Don too .</t>
  </si>
  <si>
    <t>file://conllu/en/teddy-744.conllu#s46_0</t>
  </si>
  <si>
    <t>47</t>
  </si>
  <si>
    <t>Don</t>
  </si>
  <si>
    <t>&amp;quot; Don , &amp;quot; I said , &amp;quot; what are some examples of sustainable proteins ? &amp;quot;</t>
  </si>
  <si>
    <t>file://conllu/en/teddy-744.conllu#s47_0</t>
  </si>
  <si>
    <t>48</t>
  </si>
  <si>
    <t>say (say mention)</t>
  </si>
  <si>
    <t>Well , he mentioned some algaes and some fish meals , and then he said chicken pellets .</t>
  </si>
  <si>
    <t>file://conllu/en/teddy-744.conllu#s48_0</t>
  </si>
  <si>
    <t>49</t>
  </si>
  <si>
    <t>I said , &amp;quot; Chicken pellets ? &amp;quot;</t>
  </si>
  <si>
    <t>file://conllu/en/teddy-744.conllu#s49_0</t>
  </si>
  <si>
    <t>50</t>
  </si>
  <si>
    <t>He said , &amp;quot; Yeah , feathers , skin , bone meal , scraps , dried and processed into feed . &amp;quot;</t>
  </si>
  <si>
    <t>file://conllu/en/teddy-744.conllu#s50_0</t>
  </si>
  <si>
    <t>51</t>
  </si>
  <si>
    <t>I said , &amp;quot; What percentage of your feed is chicken ? &amp;quot;</t>
  </si>
  <si>
    <t>file://conllu/en/teddy-744.conllu#s51_0</t>
  </si>
  <si>
    <t>52</t>
  </si>
  <si>
    <t>think (think know)</t>
  </si>
  <si>
    <t>Thinking , you know , two percent .</t>
  </si>
  <si>
    <t>file://conllu/en/teddy-744.conllu#s52_0</t>
  </si>
  <si>
    <t>53</t>
  </si>
  <si>
    <t>&amp;quot; Well , it 's about 30 percent , &amp;quot; he said .</t>
  </si>
  <si>
    <t>file://conllu/en/teddy-744.conllu#s53_0</t>
  </si>
  <si>
    <t>54</t>
  </si>
  <si>
    <t>I said , &amp;quot; Don , what 's sustainable about feeding chicken to fish ? &amp;quot;</t>
  </si>
  <si>
    <t>file://conllu/en/teddy-744.conllu#s54_0</t>
  </si>
  <si>
    <t>55</t>
  </si>
  <si>
    <t>There was a long pause on the line , and he said , &amp;quot; There 's just too much chicken in the world . &amp;quot;</t>
  </si>
  <si>
    <t>file://conllu/en/teddy-744.conllu#s55_0</t>
  </si>
  <si>
    <t>56</t>
  </si>
  <si>
    <t>fall</t>
  </si>
  <si>
    <t>I fell out of love with this fish .</t>
  </si>
  <si>
    <t>file://conllu/en/teddy-744.conllu#s56_0</t>
  </si>
  <si>
    <t>57</t>
  </si>
  <si>
    <t>because?</t>
  </si>
  <si>
    <t>be (be foodie)</t>
  </si>
  <si>
    <t>No , not because I 'm some self righteous , goody two shoes foodie .</t>
  </si>
  <si>
    <t>file://conllu/en/teddy-744.conllu#s57_0</t>
  </si>
  <si>
    <t>58</t>
  </si>
  <si>
    <t>I actually am .</t>
  </si>
  <si>
    <t>file://conllu/en/teddy-744.conllu#s58_0</t>
  </si>
  <si>
    <t>59</t>
  </si>
  <si>
    <t>No , I actually fell out of love with this fish because , I swear to God , after that conversation , the fish tasted like chicken .</t>
  </si>
  <si>
    <t>file://conllu/en/teddy-744.conllu#s59_0</t>
  </si>
  <si>
    <t>60</t>
  </si>
  <si>
    <t>be (be kind)</t>
  </si>
  <si>
    <t>This second fish , it 's a different kind of love story .</t>
  </si>
  <si>
    <t>file://conllu/en/teddy-744.conllu#s60_0</t>
  </si>
  <si>
    <t>61</t>
  </si>
  <si>
    <t>It 's the romantic kind , the kind where the more you get to know your fish , you love the fish .</t>
  </si>
  <si>
    <t>file://conllu/en/teddy-744.conllu#s61_0</t>
  </si>
  <si>
    <t>62</t>
  </si>
  <si>
    <t>eat</t>
  </si>
  <si>
    <t>I first ate it at a restaurant in southern Spain .</t>
  </si>
  <si>
    <t>file://conllu/en/teddy-744.conllu#s62_0</t>
  </si>
  <si>
    <t>63</t>
  </si>
  <si>
    <t>talk</t>
  </si>
  <si>
    <t>A journalist friend had been talking about this fish for a long time .</t>
  </si>
  <si>
    <t>file://conllu/en/teddy-744.conllu#s63_0</t>
  </si>
  <si>
    <t>64</t>
  </si>
  <si>
    <t>set</t>
  </si>
  <si>
    <t>She kind of set us up .</t>
  </si>
  <si>
    <t>file://conllu/en/teddy-744.conllu#s64_0</t>
  </si>
  <si>
    <t>65</t>
  </si>
  <si>
    <t>come</t>
  </si>
  <si>
    <t>It came to the table a bright , almost shimmering , white color .</t>
  </si>
  <si>
    <t>file://conllu/en/teddy-744.conllu#s65_0</t>
  </si>
  <si>
    <t>66</t>
  </si>
  <si>
    <t>overcook</t>
  </si>
  <si>
    <t>The chef had overcooked it .</t>
  </si>
  <si>
    <t>file://conllu/en/teddy-744.conllu#s66_0</t>
  </si>
  <si>
    <t>67</t>
  </si>
  <si>
    <t>over</t>
  </si>
  <si>
    <t>Like twice over .</t>
  </si>
  <si>
    <t>file://conllu/en/teddy-744.conllu#s67_0</t>
  </si>
  <si>
    <t>68</t>
  </si>
  <si>
    <t>still?</t>
  </si>
  <si>
    <t>be (be delicious)</t>
  </si>
  <si>
    <t>Amazingly , it was still delicious .</t>
  </si>
  <si>
    <t>file://conllu/en/teddy-744.conllu#s68_0</t>
  </si>
  <si>
    <t>69</t>
  </si>
  <si>
    <t>after?</t>
  </si>
  <si>
    <t>make</t>
  </si>
  <si>
    <t>Who can make a fish taste good after it 's been overcooked ?</t>
  </si>
  <si>
    <t>file://conllu/en/teddy-744.conllu#s69_0</t>
  </si>
  <si>
    <t>70</t>
  </si>
  <si>
    <t>but?</t>
  </si>
  <si>
    <t>can</t>
  </si>
  <si>
    <t>I ca n't , but this guy can .</t>
  </si>
  <si>
    <t>file://conllu/en/teddy-744.conllu#s70_0</t>
  </si>
  <si>
    <t>71</t>
  </si>
  <si>
    <t>Let 's call him Miguel actually his name is Miguel .</t>
  </si>
  <si>
    <t>file://conllu/en/teddy-744.conllu#s71_0</t>
  </si>
  <si>
    <t>72</t>
  </si>
  <si>
    <t>cake</t>
  </si>
  <si>
    <t>And no , he did n't cook the fish , and he 's not a chef , at least in the way that you and I understand it .</t>
  </si>
  <si>
    <t>file://conllu/en/teddy-744.conllu#s72_0</t>
  </si>
  <si>
    <t>73</t>
  </si>
  <si>
    <t>be (be biologist)</t>
  </si>
  <si>
    <t>He 's a biologist at Veta La Palma .</t>
  </si>
  <si>
    <t>file://conllu/en/teddy-744.conllu#s73_0</t>
  </si>
  <si>
    <t>74</t>
  </si>
  <si>
    <t>It 's a fish farm in the southwestern corner of Spain .</t>
  </si>
  <si>
    <t>file://conllu/en/teddy-744.conllu#s74_0</t>
  </si>
  <si>
    <t>75</t>
  </si>
  <si>
    <t>be (be tip)</t>
  </si>
  <si>
    <t>It 's at the tip of the Guadalquivir river .</t>
  </si>
  <si>
    <t>file://conllu/en/teddy-744.conllu#s75_0</t>
  </si>
  <si>
    <t>76</t>
  </si>
  <si>
    <t>until?</t>
  </si>
  <si>
    <t>be (be hand)</t>
  </si>
  <si>
    <t>Until the 1980s , the farm was in the hands of the Argentinians .</t>
  </si>
  <si>
    <t>file://conllu/en/teddy-744.conllu#s76_0</t>
  </si>
  <si>
    <t>77</t>
  </si>
  <si>
    <t>raise</t>
  </si>
  <si>
    <t>They raised beef cattle on what was essentially wetlands .</t>
  </si>
  <si>
    <t>file://conllu/en/teddy-744.conllu#s77_0</t>
  </si>
  <si>
    <t>78</t>
  </si>
  <si>
    <t>do</t>
  </si>
  <si>
    <t>They did it by draining the land .</t>
  </si>
  <si>
    <t>file://conllu/en/teddy-744.conllu#s78_0</t>
  </si>
  <si>
    <t>79</t>
  </si>
  <si>
    <t>build</t>
  </si>
  <si>
    <t>They built this intricate series of canals , and they pushed water off the land and out into the river .</t>
  </si>
  <si>
    <t>file://conllu/en/teddy-744.conllu#s79_0</t>
  </si>
  <si>
    <t>80</t>
  </si>
  <si>
    <t>Well , they could n't make it work , not economically .</t>
  </si>
  <si>
    <t>file://conllu/en/teddy-744.conllu#s80_0</t>
  </si>
  <si>
    <t>81</t>
  </si>
  <si>
    <t>be (be disaster)</t>
  </si>
  <si>
    <t>And ecologically , it was a disaster .</t>
  </si>
  <si>
    <t>file://conllu/en/teddy-744.conllu#s81_0</t>
  </si>
  <si>
    <t>82</t>
  </si>
  <si>
    <t>kill</t>
  </si>
  <si>
    <t>It killed like 90 percent of the birds , which , for this place , is a lot of birds .</t>
  </si>
  <si>
    <t>file://conllu/en/teddy-744.conllu#s82_0</t>
  </si>
  <si>
    <t>83</t>
  </si>
  <si>
    <t>purchase</t>
  </si>
  <si>
    <t>And so in 1982 , a Spanish company with an environmental conscience purchased the land .</t>
  </si>
  <si>
    <t>file://conllu/en/teddy-744.conllu#s83_0</t>
  </si>
  <si>
    <t>84</t>
  </si>
  <si>
    <t>What did they do ?</t>
  </si>
  <si>
    <t>file://conllu/en/teddy-744.conllu#s84_0</t>
  </si>
  <si>
    <t>85</t>
  </si>
  <si>
    <t>reverse</t>
  </si>
  <si>
    <t>They reversed the flow of water .</t>
  </si>
  <si>
    <t>file://conllu/en/teddy-744.conllu#s85_0</t>
  </si>
  <si>
    <t>86</t>
  </si>
  <si>
    <t>flip</t>
  </si>
  <si>
    <t>They literally flipped the switch .</t>
  </si>
  <si>
    <t>file://conllu/en/teddy-744.conllu#s86_0</t>
  </si>
  <si>
    <t>87</t>
  </si>
  <si>
    <t>instead?</t>
  </si>
  <si>
    <t>use</t>
  </si>
  <si>
    <t>Instead of pushing water out , they used the channels to pull water back in .</t>
  </si>
  <si>
    <t>file://conllu/en/teddy-744.conllu#s87_0</t>
  </si>
  <si>
    <t>88</t>
  </si>
  <si>
    <t>floode</t>
  </si>
  <si>
    <t>They flooded the canals .</t>
  </si>
  <si>
    <t>file://conllu/en/teddy-744.conllu#s88_0</t>
  </si>
  <si>
    <t>89</t>
  </si>
  <si>
    <t>create</t>
  </si>
  <si>
    <t>They created a 27,000 acre fish farm bass , mullet , shrimp , eel and in the process , Miguel and this company completely reversed the ecological destruction .</t>
  </si>
  <si>
    <t>file://conllu/en/teddy-744.conllu#s89_0</t>
  </si>
  <si>
    <t>90</t>
  </si>
  <si>
    <t>incredible</t>
  </si>
  <si>
    <t>The farm 's incredible .</t>
  </si>
  <si>
    <t>file://conllu/en/teddy-744.conllu#s90_0</t>
  </si>
  <si>
    <t>91</t>
  </si>
  <si>
    <t>see</t>
  </si>
  <si>
    <t>I mean , you 've never seen anything like this .</t>
  </si>
  <si>
    <t>file://conllu/en/teddy-744.conllu#s91_0</t>
  </si>
  <si>
    <t>92</t>
  </si>
  <si>
    <t>stare</t>
  </si>
  <si>
    <t>You stare out at a horizon that is a million miles away , and all you see are flooded canals and this thick , rich marshland .</t>
  </si>
  <si>
    <t>file://conllu/en/teddy-744.conllu#s92_0</t>
  </si>
  <si>
    <t>93</t>
  </si>
  <si>
    <t>be (be there)</t>
  </si>
  <si>
    <t>I was there not long ago with Miguel .</t>
  </si>
  <si>
    <t>file://conllu/en/teddy-744.conllu#s93_0</t>
  </si>
  <si>
    <t>94</t>
  </si>
  <si>
    <t>be (be guy)</t>
  </si>
  <si>
    <t>He 's an amazing guy , like three parts Charles Darwin and one part Crocodile Dundee .</t>
  </si>
  <si>
    <t>file://conllu/en/teddy-744.conllu#s94_0</t>
  </si>
  <si>
    <t>95</t>
  </si>
  <si>
    <t>okay</t>
  </si>
  <si>
    <t>Okay ?</t>
  </si>
  <si>
    <t>file://conllu/en/teddy-744.conllu#s95_0</t>
  </si>
  <si>
    <t>96</t>
  </si>
  <si>
    <t>slogge</t>
  </si>
  <si>
    <t>There we are slogging through the wetlands , and I 'm panting and sweating , got mud up to my knees , and Miguel 's calmly conducting a biology lecture .</t>
  </si>
  <si>
    <t>file://conllu/en/teddy-744.conllu#s96_0</t>
  </si>
  <si>
    <t>97</t>
  </si>
  <si>
    <t>out (out point)</t>
  </si>
  <si>
    <t>Here , he 's pointing out a rare Black shouldered Kite .</t>
  </si>
  <si>
    <t>file://conllu/en/teddy-744.conllu#s97_0</t>
  </si>
  <si>
    <t>98</t>
  </si>
  <si>
    <t>mention</t>
  </si>
  <si>
    <t>Now , he 's mentioning the mineral needs of phytoplankton .</t>
  </si>
  <si>
    <t>file://conllu/en/teddy-744.conllu#s98_0</t>
  </si>
  <si>
    <t>99</t>
  </si>
  <si>
    <t>here</t>
  </si>
  <si>
    <t>And here , here he sees a grouping pattern that reminds him of the Tanzanian Giraffe .</t>
  </si>
  <si>
    <t>file://conllu/en/teddy-744.conllu#s99_0</t>
  </si>
  <si>
    <t>100</t>
  </si>
  <si>
    <t>turn</t>
  </si>
  <si>
    <t>It turns out , Miguel spent the better part of his career in the Mikumi National Park in Africa .</t>
  </si>
  <si>
    <t>file://conllu/en/teddy-744.conllu#s100_0</t>
  </si>
  <si>
    <t>101</t>
  </si>
  <si>
    <t>I asked him how he became such an expert on fish .</t>
  </si>
  <si>
    <t>file://conllu/en/teddy-744.conllu#s101_0</t>
  </si>
  <si>
    <t>102</t>
  </si>
  <si>
    <t>He said , &amp;quot; Fish ?</t>
  </si>
  <si>
    <t>file://conllu/en/teddy-744.conllu#s102_0</t>
  </si>
  <si>
    <t>103</t>
  </si>
  <si>
    <t>I did n't know anything about fish .</t>
  </si>
  <si>
    <t>file://conllu/en/teddy-744.conllu#s103_0</t>
  </si>
  <si>
    <t>104</t>
  </si>
  <si>
    <t>be (be expert)</t>
  </si>
  <si>
    <t>I 'm an expert in relationships . &amp;quot;</t>
  </si>
  <si>
    <t>file://conllu/en/teddy-744.conllu#s104_0</t>
  </si>
  <si>
    <t>105</t>
  </si>
  <si>
    <t>be (be off)</t>
  </si>
  <si>
    <t>And then he 's off , launching into more talk about rare birds and algaes and strange aquatic plants .</t>
  </si>
  <si>
    <t>file://conllu/en/teddy-744.conllu#s105_0</t>
  </si>
  <si>
    <t>106</t>
  </si>
  <si>
    <t>And do n't get me wrong , that was really fascinating , you know , the biotic community unplugged , kind of thing .</t>
  </si>
  <si>
    <t>file://conllu/en/teddy-744.conllu#s106_0</t>
  </si>
  <si>
    <t>107</t>
  </si>
  <si>
    <t>be (be great)</t>
  </si>
  <si>
    <t>It 's great , but I was in love .</t>
  </si>
  <si>
    <t>file://conllu/en/teddy-744.conllu#s107_0</t>
  </si>
  <si>
    <t>108</t>
  </si>
  <si>
    <t>swoon</t>
  </si>
  <si>
    <t>And my head was swooning over that overcooked piece of delicious fish I had the night before .</t>
  </si>
  <si>
    <t>file://conllu/en/teddy-744.conllu#s108_0</t>
  </si>
  <si>
    <t>109</t>
  </si>
  <si>
    <t>interrupt</t>
  </si>
  <si>
    <t>So I interrupted him .</t>
  </si>
  <si>
    <t>file://conllu/en/teddy-744.conllu#s109_0</t>
  </si>
  <si>
    <t>110</t>
  </si>
  <si>
    <t>I said , &amp;quot; Miguel , what makes your fish taste so good ? &amp;quot;</t>
  </si>
  <si>
    <t>file://conllu/en/teddy-744.conllu#s110_0</t>
  </si>
  <si>
    <t>111</t>
  </si>
  <si>
    <t>point</t>
  </si>
  <si>
    <t>He pointed at the algae .</t>
  </si>
  <si>
    <t>file://conllu/en/teddy-744.conllu#s111_0</t>
  </si>
  <si>
    <t>112</t>
  </si>
  <si>
    <t>&amp;quot; I know , dude , the algae , the phytoplankton , the relationships :</t>
  </si>
  <si>
    <t>file://conllu/en/teddy-744.conllu#s112_0</t>
  </si>
  <si>
    <t>113</t>
  </si>
  <si>
    <t>be (be amazing)</t>
  </si>
  <si>
    <t>It 's amazing .</t>
  </si>
  <si>
    <t>file://conllu/en/teddy-744.conllu#s113_0</t>
  </si>
  <si>
    <t>114</t>
  </si>
  <si>
    <t>be (be what)</t>
  </si>
  <si>
    <t>But what are your fish eating ?</t>
  </si>
  <si>
    <t>file://conllu/en/teddy-744.conllu#s114_0</t>
  </si>
  <si>
    <t>115</t>
  </si>
  <si>
    <t>What 's the feed conversion ratio ? &amp;quot;</t>
  </si>
  <si>
    <t>file://conllu/en/teddy-744.conllu#s115_0</t>
  </si>
  <si>
    <t>116</t>
  </si>
  <si>
    <t>Well , he goes on to tell me it 's such a rich system that the fish are eating what they 'd be eating in the wild .</t>
  </si>
  <si>
    <t>file://conllu/en/teddy-744.conllu#s116_0</t>
  </si>
  <si>
    <t>117</t>
  </si>
  <si>
    <t>be (be feed)</t>
  </si>
  <si>
    <t>The plant biomass , the phytoplankton , the zooplankton , it 's what feeds the fish .</t>
  </si>
  <si>
    <t>file://conllu/en/teddy-744.conllu#s117_0</t>
  </si>
  <si>
    <t>118</t>
  </si>
  <si>
    <t>be (be healthy)</t>
  </si>
  <si>
    <t>The system is so healthy , it 's totally self renewing .</t>
  </si>
  <si>
    <t>file://conllu/en/teddy-744.conllu#s118_0</t>
  </si>
  <si>
    <t>119</t>
  </si>
  <si>
    <t>There is no feed .</t>
  </si>
  <si>
    <t>file://conllu/en/teddy-744.conllu#s119_0</t>
  </si>
  <si>
    <t>120</t>
  </si>
  <si>
    <t>heard</t>
  </si>
  <si>
    <t>Ever heard of a farm that does n't feed its animals ?</t>
  </si>
  <si>
    <t>file://conllu/en/teddy-744.conllu#s120_0</t>
  </si>
  <si>
    <t>121</t>
  </si>
  <si>
    <t>later?</t>
  </si>
  <si>
    <t>Later that day , I was driving around this property with Miguel , and I asked him , I said , &amp;quot; For a place that seems so natural , unlike like any farm I 'd ever been at , how do you measure success ? &amp;quot;</t>
  </si>
  <si>
    <t>file://conllu/en/teddy-744.conllu#s121_0</t>
  </si>
  <si>
    <t>122</t>
  </si>
  <si>
    <t>as if?</t>
  </si>
  <si>
    <t>At that moment , it was as if a film director called for a set change .</t>
  </si>
  <si>
    <t>file://conllu/en/teddy-744.conllu#s122_0</t>
  </si>
  <si>
    <t>123</t>
  </si>
  <si>
    <t>round</t>
  </si>
  <si>
    <t>And we rounded the corner and saw the most amazing sight : thousands and thousands of pink flamingos , a literal pink carpet for as far as you could see .</t>
  </si>
  <si>
    <t>file://conllu/en/teddy-744.conllu#s123_0</t>
  </si>
  <si>
    <t>124</t>
  </si>
  <si>
    <t>&amp;quot; That 's success , &amp;quot; he said .</t>
  </si>
  <si>
    <t>file://conllu/en/teddy-744.conllu#s124_0</t>
  </si>
  <si>
    <t>125</t>
  </si>
  <si>
    <t>look</t>
  </si>
  <si>
    <t>&amp;quot; Look at their bellies , pink .</t>
  </si>
  <si>
    <t>file://conllu/en/teddy-744.conllu#s125_0</t>
  </si>
  <si>
    <t>126</t>
  </si>
  <si>
    <t>feast</t>
  </si>
  <si>
    <t>They 're feasting . &amp;quot;</t>
  </si>
  <si>
    <t>file://conllu/en/teddy-744.conllu#s126_0</t>
  </si>
  <si>
    <t>127</t>
  </si>
  <si>
    <t>Feasting</t>
  </si>
  <si>
    <t>Feasting ?</t>
  </si>
  <si>
    <t>file://conllu/en/teddy-744.conllu#s127_0</t>
  </si>
  <si>
    <t>128</t>
  </si>
  <si>
    <t>be (be confused)</t>
  </si>
  <si>
    <t>I was totally confused .</t>
  </si>
  <si>
    <t>file://conllu/en/teddy-744.conllu#s128_0</t>
  </si>
  <si>
    <t>129</t>
  </si>
  <si>
    <t>I said , &amp;quot; Miguel , are n't they feasting on your fish ? &amp;quot;</t>
  </si>
  <si>
    <t>file://conllu/en/teddy-744.conllu#s129_0</t>
  </si>
  <si>
    <t>130</t>
  </si>
  <si>
    <t>&amp;quot; Yes , &amp;quot; he said .</t>
  </si>
  <si>
    <t>file://conllu/en/teddy-744.conllu#s130_0</t>
  </si>
  <si>
    <t>131</t>
  </si>
  <si>
    <t>lose</t>
  </si>
  <si>
    <t>&amp;quot; We lose 20 percent of our fish and fish eggs to birds .</t>
  </si>
  <si>
    <t>file://conllu/en/teddy-744.conllu#s131_0</t>
  </si>
  <si>
    <t>132</t>
  </si>
  <si>
    <t>have</t>
  </si>
  <si>
    <t>Well , last year , this property had 600,000 birds on it , more than 250 different species .</t>
  </si>
  <si>
    <t>file://conllu/en/teddy-744.conllu#s132_0</t>
  </si>
  <si>
    <t>133</t>
  </si>
  <si>
    <t>become</t>
  </si>
  <si>
    <t>It 's become , today , the largest and one of the most important private bird sanctuaries in all of Europe . &amp;quot;</t>
  </si>
  <si>
    <t>file://conllu/en/teddy-744.conllu#s133_0</t>
  </si>
  <si>
    <t>134</t>
  </si>
  <si>
    <t>I said , &amp;quot; Miguel , is n't a thriving bird population like the last thing you want on a fish farm ? &amp;quot;</t>
  </si>
  <si>
    <t>file://conllu/en/teddy-744.conllu#s134_0</t>
  </si>
  <si>
    <t>135</t>
  </si>
  <si>
    <t>shook</t>
  </si>
  <si>
    <t>He shook his head , no .</t>
  </si>
  <si>
    <t>file://conllu/en/teddy-744.conllu#s135_0</t>
  </si>
  <si>
    <t>136</t>
  </si>
  <si>
    <t>He said ,</t>
  </si>
  <si>
    <t>file://conllu/en/teddy-744.conllu#s136_0</t>
  </si>
  <si>
    <t>137</t>
  </si>
  <si>
    <t>farm</t>
  </si>
  <si>
    <t>&amp;quot; We farm extensively , not intensively .</t>
  </si>
  <si>
    <t>file://conllu/en/teddy-744.conllu#s137_0</t>
  </si>
  <si>
    <t>138</t>
  </si>
  <si>
    <t>be (be network)</t>
  </si>
  <si>
    <t>This is an ecological network .</t>
  </si>
  <si>
    <t>file://conllu/en/teddy-744.conllu#s138_0</t>
  </si>
  <si>
    <t>139</t>
  </si>
  <si>
    <t>The flamingos eat the shrimp .</t>
  </si>
  <si>
    <t>file://conllu/en/teddy-744.conllu#s139_0</t>
  </si>
  <si>
    <t>140</t>
  </si>
  <si>
    <t>The shrimp eat the phytoplankton .</t>
  </si>
  <si>
    <t>file://conllu/en/teddy-744.conllu#s140_0</t>
  </si>
  <si>
    <t>141</t>
  </si>
  <si>
    <t>so</t>
  </si>
  <si>
    <t>So the pinker the belly , the better the system . &amp;quot;</t>
  </si>
  <si>
    <t>file://conllu/en/teddy-744.conllu#s141_0</t>
  </si>
  <si>
    <t>142</t>
  </si>
  <si>
    <t>Okay , so let 's review : a farm that does n't feed its animals , and a farm that measures its success on the health of its predators .</t>
  </si>
  <si>
    <t>file://conllu/en/teddy-744.conllu#s142_0</t>
  </si>
  <si>
    <t>143</t>
  </si>
  <si>
    <t>also?</t>
  </si>
  <si>
    <t>A fish farm , but also a bird sanctuary .</t>
  </si>
  <si>
    <t>file://conllu/en/teddy-744.conllu#s143_0</t>
  </si>
  <si>
    <t>144</t>
  </si>
  <si>
    <t>Oh , and by the way , those flamingos , they should n't even be there in the first place .</t>
  </si>
  <si>
    <t>file://conllu/en/teddy-744.conllu#s144_0</t>
  </si>
  <si>
    <t>145</t>
  </si>
  <si>
    <t>brand</t>
  </si>
  <si>
    <t>They brood in a town 150 miles away , where the soil conditions are better for building nests .</t>
  </si>
  <si>
    <t>file://conllu/en/teddy-744.conllu#s145_0</t>
  </si>
  <si>
    <t>146</t>
  </si>
  <si>
    <t>fly</t>
  </si>
  <si>
    <t>Every morning , they fly 150 miles into the farm .</t>
  </si>
  <si>
    <t>file://conllu/en/teddy-744.conllu#s146_0</t>
  </si>
  <si>
    <t>147</t>
  </si>
  <si>
    <t>And every evening , they fly 150 miles back .</t>
  </si>
  <si>
    <t>file://conllu/en/teddy-744.conllu#s147_0</t>
  </si>
  <si>
    <t>148</t>
  </si>
  <si>
    <t>They do that because they 're able to follow the broken white line of highway A92 .</t>
  </si>
  <si>
    <t>file://conllu/en/teddy-744.conllu#s148_0</t>
  </si>
  <si>
    <t>149</t>
  </si>
  <si>
    <t>kidding</t>
  </si>
  <si>
    <t>No kidding .</t>
  </si>
  <si>
    <t>file://conllu/en/teddy-744.conllu#s149_0</t>
  </si>
  <si>
    <t>150</t>
  </si>
  <si>
    <t>imagine</t>
  </si>
  <si>
    <t>I was imagining a &amp;quot; March of the Penguins &amp;quot; thing , so I looked at Miguel .</t>
  </si>
  <si>
    <t>file://conllu/en/teddy-744.conllu#s150_0</t>
  </si>
  <si>
    <t>151</t>
  </si>
  <si>
    <t>I said , &amp;quot; Miguel , do they fly 150 miles to the farm , and then do they fly 150 miles back at night ?</t>
  </si>
  <si>
    <t>file://conllu/en/teddy-744.conllu#s151_0</t>
  </si>
  <si>
    <t>152</t>
  </si>
  <si>
    <t>Do they do that for the children ? &amp;quot;</t>
  </si>
  <si>
    <t>file://conllu/en/teddy-744.conllu#s152_0</t>
  </si>
  <si>
    <t>153</t>
  </si>
  <si>
    <t>He looked at me like I had just quoted a Whitney Houston song .</t>
  </si>
  <si>
    <t>file://conllu/en/teddy-744.conllu#s153_0</t>
  </si>
  <si>
    <t>154</t>
  </si>
  <si>
    <t>He said , &amp;quot; No ; they do it because the food 's better . &amp;quot;</t>
  </si>
  <si>
    <t>file://conllu/en/teddy-744.conllu#s154_0</t>
  </si>
  <si>
    <t>155</t>
  </si>
  <si>
    <t>I did n't mention the skin of my beloved fish , which was delicious and I do n't like fish skin ; I do n't like it seared , I do n't like it crispy .</t>
  </si>
  <si>
    <t>file://conllu/en/teddy-744.conllu#s155_0</t>
  </si>
  <si>
    <t>156</t>
  </si>
  <si>
    <t>be (be acrid)</t>
  </si>
  <si>
    <t>It 's that acrid , tar like flavor .</t>
  </si>
  <si>
    <t>file://conllu/en/teddy-744.conllu#s156_0</t>
  </si>
  <si>
    <t>157</t>
  </si>
  <si>
    <t>I almost never cook with it .</t>
  </si>
  <si>
    <t>file://conllu/en/teddy-744.conllu#s157_0</t>
  </si>
  <si>
    <t>158</t>
  </si>
  <si>
    <t>when?</t>
  </si>
  <si>
    <t>Yet , when I tasted it at that restaurant in southern Spain , it tasted not at all like fish skin .</t>
  </si>
  <si>
    <t>file://conllu/en/teddy-744.conllu#s158_0</t>
  </si>
  <si>
    <t>159</t>
  </si>
  <si>
    <t>It tasted sweet and clean , like you were taking a bite of the ocean .</t>
  </si>
  <si>
    <t>file://conllu/en/teddy-744.conllu#s159_0</t>
  </si>
  <si>
    <t>160</t>
  </si>
  <si>
    <t>I mentioned that to Miguel , and he nodded .</t>
  </si>
  <si>
    <t>file://conllu/en/teddy-744.conllu#s160_0</t>
  </si>
  <si>
    <t>161</t>
  </si>
  <si>
    <t>He said , &amp;quot; The skin acts like a sponge .</t>
  </si>
  <si>
    <t>file://conllu/en/teddy-744.conllu#s161_0</t>
  </si>
  <si>
    <t>162</t>
  </si>
  <si>
    <t>be (be defense)</t>
  </si>
  <si>
    <t>It 's the last defense before anything enters the body .</t>
  </si>
  <si>
    <t>file://conllu/en/teddy-744.conllu#s162_0</t>
  </si>
  <si>
    <t>163</t>
  </si>
  <si>
    <t>evolve</t>
  </si>
  <si>
    <t>It evolved to soak up impurities . &amp;quot;</t>
  </si>
  <si>
    <t>file://conllu/en/teddy-744.conllu#s163_0</t>
  </si>
  <si>
    <t>164</t>
  </si>
  <si>
    <t>&amp;quot; But our water has no impurities . &amp;quot;</t>
  </si>
  <si>
    <t>file://conllu/en/teddy-744.conllu#s164_0</t>
  </si>
  <si>
    <t>165</t>
  </si>
  <si>
    <t>ok</t>
  </si>
  <si>
    <t>OK .</t>
  </si>
  <si>
    <t>file://conllu/en/teddy-744.conllu#s165_0</t>
  </si>
  <si>
    <t>166</t>
  </si>
  <si>
    <t>A farm that does n't feed its fish , a farm that measures its success by the success of its predators .</t>
  </si>
  <si>
    <t>file://conllu/en/teddy-744.conllu#s166_0</t>
  </si>
  <si>
    <t>167</t>
  </si>
  <si>
    <t>realize</t>
  </si>
  <si>
    <t>And then I realized when he says , &amp;quot; A farm that has no impurities , &amp;quot; he made a big understatement , because the water that flows through that farm comes in from the Guadalquivir River .</t>
  </si>
  <si>
    <t>file://conllu/en/teddy-744.conllu#s167_0</t>
  </si>
  <si>
    <t>168</t>
  </si>
  <si>
    <t>be (be river)</t>
  </si>
  <si>
    <t>It 's a river that carries with it all the things that rivers tend to carry these days : chemical contaminants , pesticide runoff .</t>
  </si>
  <si>
    <t>file://conllu/en/teddy-744.conllu#s168_0</t>
  </si>
  <si>
    <t>169</t>
  </si>
  <si>
    <t>be (be cleaner)</t>
  </si>
  <si>
    <t>And when it works its way through the system and leaves , the water is cleaner than when it entered .</t>
  </si>
  <si>
    <t>file://conllu/en/teddy-744.conllu#s169_0</t>
  </si>
  <si>
    <t>170</t>
  </si>
  <si>
    <t>The system is so healthy , it purifies the water .</t>
  </si>
  <si>
    <t>file://conllu/en/teddy-744.conllu#s170_0</t>
  </si>
  <si>
    <t>171</t>
  </si>
  <si>
    <t>So , not just a farm that does n't feed its animals , not just a farm that measures its success by the health of its predators , but a farm that 's literally a water purification plant and not just for those fish , but for you and me as well .</t>
  </si>
  <si>
    <t>file://conllu/en/teddy-744.conllu#s171_0</t>
  </si>
  <si>
    <t>172</t>
  </si>
  <si>
    <t>dump</t>
  </si>
  <si>
    <t>Because when that water leaves , it dumps out into the Atlantic .</t>
  </si>
  <si>
    <t>file://conllu/en/teddy-744.conllu#s172_0</t>
  </si>
  <si>
    <t>173</t>
  </si>
  <si>
    <t>drop</t>
  </si>
  <si>
    <t>A drop in the ocean , I know , but I 'll take it , and so should you , because this love story , however romantic , is also instructive .</t>
  </si>
  <si>
    <t>file://conllu/en/teddy-744.conllu#s173_0</t>
  </si>
  <si>
    <t>174</t>
  </si>
  <si>
    <t>You might say it 's a recipe for the future of good food , whether we 're talking about bass or beef cattle .</t>
  </si>
  <si>
    <t>file://conllu/en/teddy-744.conllu#s174_0</t>
  </si>
  <si>
    <t>175</t>
  </si>
  <si>
    <t>be (be conception)</t>
  </si>
  <si>
    <t>What we need now is a radically new conception of agriculture , one in which the food actually tastes good .</t>
  </si>
  <si>
    <t>file://conllu/en/teddy-744.conllu#s175_0</t>
  </si>
  <si>
    <t>176</t>
  </si>
  <si>
    <t>Applause</t>
  </si>
  <si>
    <t>( Applause )</t>
  </si>
  <si>
    <t>file://conllu/en/teddy-744.conllu#s176_0</t>
  </si>
  <si>
    <t>177</t>
  </si>
  <si>
    <t>be (be radical)</t>
  </si>
  <si>
    <t>But for a lot people , that 's a bit too radical .</t>
  </si>
  <si>
    <t>file://conllu/en/teddy-744.conllu#s177_0</t>
  </si>
  <si>
    <t>178</t>
  </si>
  <si>
    <t>realist</t>
  </si>
  <si>
    <t>We 're not realists , us foodies ; we 're lovers .</t>
  </si>
  <si>
    <t>file://conllu/en/teddy-744.conllu#s178_0</t>
  </si>
  <si>
    <t>179</t>
  </si>
  <si>
    <t>We love farmers ' markets , we love small family farms , we talk about local food , we eat organic .</t>
  </si>
  <si>
    <t>file://conllu/en/teddy-744.conllu#s179_0</t>
  </si>
  <si>
    <t>180</t>
  </si>
  <si>
    <t>suggest</t>
  </si>
  <si>
    <t>And when you suggest these are the things that will ensure the future of good food , someone , somewhere stands up and says , &amp;quot; Hey guy , I love pink flamingos , but how are you going to feed the world ? &amp;quot;</t>
  </si>
  <si>
    <t>file://conllu/en/teddy-744.conllu#s180_0</t>
  </si>
  <si>
    <t>181</t>
  </si>
  <si>
    <t>How are you going to feed the world ?</t>
  </si>
  <si>
    <t>file://conllu/en/teddy-744.conllu#s181_0</t>
  </si>
  <si>
    <t>182</t>
  </si>
  <si>
    <t>be (be honest)</t>
  </si>
  <si>
    <t>Can I be honest ?</t>
  </si>
  <si>
    <t>file://conllu/en/teddy-744.conllu#s182_0</t>
  </si>
  <si>
    <t>183</t>
  </si>
  <si>
    <t>I do n't love that question .</t>
  </si>
  <si>
    <t>file://conllu/en/teddy-744.conllu#s183_0</t>
  </si>
  <si>
    <t>184</t>
  </si>
  <si>
    <t>produce</t>
  </si>
  <si>
    <t>No , not because we already produce enough calories to more than feed the world .</t>
  </si>
  <si>
    <t>file://conllu/en/teddy-744.conllu#s184_0</t>
  </si>
  <si>
    <t>185</t>
  </si>
  <si>
    <t>One billion people will go hungry today .</t>
  </si>
  <si>
    <t>file://conllu/en/teddy-744.conllu#s185_0</t>
  </si>
  <si>
    <t>186</t>
  </si>
  <si>
    <t>One billion that 's more than ever before because of gross inequalities in distribution , not tonnage .</t>
  </si>
  <si>
    <t>file://conllu/en/teddy-744.conllu#s186_0</t>
  </si>
  <si>
    <t>187</t>
  </si>
  <si>
    <t>Now , I do n't love this question because it 's determined the logic of our food system for the last 50 years .</t>
  </si>
  <si>
    <t>file://conllu/en/teddy-744.conllu#s187_0</t>
  </si>
  <si>
    <t>188</t>
  </si>
  <si>
    <t>Feed grain to herbivores , pesticides to monocultures , chemicals to soil , chicken to fish , and all along agribusiness has simply asked , &amp;quot; If we 're feeding more people more cheaply , how terrible could that be ? &amp;quot;</t>
  </si>
  <si>
    <t>file://conllu/en/teddy-744.conllu#s188_0</t>
  </si>
  <si>
    <t>189</t>
  </si>
  <si>
    <t>be (be motivation)</t>
  </si>
  <si>
    <t>That 's been the motivation , it 's been the justification :</t>
  </si>
  <si>
    <t>file://conllu/en/teddy-744.conllu#s189_0</t>
  </si>
  <si>
    <t>190</t>
  </si>
  <si>
    <t>be (be plan)</t>
  </si>
  <si>
    <t>it 's been the business plan of American agriculture .</t>
  </si>
  <si>
    <t>file://conllu/en/teddy-744.conllu#s190_0</t>
  </si>
  <si>
    <t>191</t>
  </si>
  <si>
    <t>We should call it what it is : a business in liquidation , a business that 's quickly eroding ecological capital that makes that very production possible .</t>
  </si>
  <si>
    <t>file://conllu/en/teddy-744.conllu#s191_0</t>
  </si>
  <si>
    <t>192</t>
  </si>
  <si>
    <t>be (be business)</t>
  </si>
  <si>
    <t>That 's not a business , and it is n't agriculture .</t>
  </si>
  <si>
    <t>file://conllu/en/teddy-744.conllu#s192_0</t>
  </si>
  <si>
    <t>193</t>
  </si>
  <si>
    <t>threaten</t>
  </si>
  <si>
    <t>Our breadbasket is threatened today , not because of diminishing supply , but because of diminishing resources .</t>
  </si>
  <si>
    <t>file://conllu/en/teddy-744.conllu#s193_0</t>
  </si>
  <si>
    <t>194</t>
  </si>
  <si>
    <t>invention</t>
  </si>
  <si>
    <t>Not by the latest combine and tractor invention , but by fertile land ; not by pumps , but by fresh water ; not by chainsaws , but by forests ; and not by fishing boats and nets , but by fish in the sea .</t>
  </si>
  <si>
    <t>file://conllu/en/teddy-744.conllu#s194_0</t>
  </si>
  <si>
    <t>195</t>
  </si>
  <si>
    <t>want</t>
  </si>
  <si>
    <t>Want to feed the world ?</t>
  </si>
  <si>
    <t>file://conllu/en/teddy-744.conllu#s195_0</t>
  </si>
  <si>
    <t>196</t>
  </si>
  <si>
    <t>Let 's start by asking :</t>
  </si>
  <si>
    <t>file://conllu/en/teddy-744.conllu#s196_0</t>
  </si>
  <si>
    <t>197</t>
  </si>
  <si>
    <t>How are we going to feed ourselves ?</t>
  </si>
  <si>
    <t>file://conllu/en/teddy-744.conllu#s197_0</t>
  </si>
  <si>
    <t>198</t>
  </si>
  <si>
    <t>or?</t>
  </si>
  <si>
    <t>better</t>
  </si>
  <si>
    <t>Or better :</t>
  </si>
  <si>
    <t>file://conllu/en/teddy-744.conllu#s198_0</t>
  </si>
  <si>
    <t>199</t>
  </si>
  <si>
    <t>How can we create conditions that enable every community to feed itself ?</t>
  </si>
  <si>
    <t>file://conllu/en/teddy-744.conllu#s199_0</t>
  </si>
  <si>
    <t>200</t>
  </si>
  <si>
    <t>To do that , do n't look at the agribusiness model for the future .</t>
  </si>
  <si>
    <t>file://conllu/en/teddy-744.conllu#s200_0</t>
  </si>
  <si>
    <t>201</t>
  </si>
  <si>
    <t>be (be old)</t>
  </si>
  <si>
    <t>It 's really old , and it 's tired .</t>
  </si>
  <si>
    <t>file://conllu/en/teddy-744.conllu#s201_0</t>
  </si>
  <si>
    <t>202</t>
  </si>
  <si>
    <t>be (be high)</t>
  </si>
  <si>
    <t>It 's high on capital , chemistry and machines , and it 's never produced anything really good to eat .</t>
  </si>
  <si>
    <t>file://conllu/en/teddy-744.conllu#s202_0</t>
  </si>
  <si>
    <t>203</t>
  </si>
  <si>
    <t>Instead , let 's look to the ecological model .</t>
  </si>
  <si>
    <t>file://conllu/en/teddy-744.conllu#s203_0</t>
  </si>
  <si>
    <t>204</t>
  </si>
  <si>
    <t>be (be one)</t>
  </si>
  <si>
    <t>That 's the one that relies on two billion years of on the job experience .</t>
  </si>
  <si>
    <t>file://conllu/en/teddy-744.conllu#s204_0</t>
  </si>
  <si>
    <t>205</t>
  </si>
  <si>
    <t>Look to Miguel , farmers like Miguel .</t>
  </si>
  <si>
    <t>file://conllu/en/teddy-744.conllu#s205_0</t>
  </si>
  <si>
    <t>206</t>
  </si>
  <si>
    <t>Farms that are n't worlds unto themselves ; farms that restore instead of deplete ; farms that farm extensively instead of just intensively ; farmers that are not just producers , but experts in relationships .</t>
  </si>
  <si>
    <t>file://conllu/en/teddy-744.conllu#s206_0</t>
  </si>
  <si>
    <t>207</t>
  </si>
  <si>
    <t>Because they 're the ones that are experts in flavor , too .</t>
  </si>
  <si>
    <t>file://conllu/en/teddy-744.conllu#s207_0</t>
  </si>
  <si>
    <t>208</t>
  </si>
  <si>
    <t>be (be chef)</t>
  </si>
  <si>
    <t>And if I 'm going to be really honest , they 're a better chef than I 'll ever be .</t>
  </si>
  <si>
    <t>file://conllu/en/teddy-744.conllu#s208_0</t>
  </si>
  <si>
    <t>209</t>
  </si>
  <si>
    <t>You know , I 'm okay with that , because if that 's the future of good food , it 's going to be delicious .</t>
  </si>
  <si>
    <t>file://conllu/en/teddy-744.conllu#s209_0</t>
  </si>
  <si>
    <t>210</t>
  </si>
  <si>
    <t>thank</t>
  </si>
  <si>
    <t>Thank you .</t>
  </si>
  <si>
    <t>file://conllu/en/teddy-744.conllu#s210_0</t>
  </si>
  <si>
    <t>WORD</t>
  </si>
  <si>
    <t>GR</t>
  </si>
  <si>
    <t>NP_TYPE</t>
  </si>
  <si>
    <t>REF_AUTO</t>
  </si>
  <si>
    <t>COREF</t>
  </si>
  <si>
    <t>REF</t>
  </si>
  <si>
    <t>IS</t>
  </si>
  <si>
    <t>CB</t>
  </si>
  <si>
    <t>GR_ANTE</t>
  </si>
  <si>
    <t>REF_DIST</t>
  </si>
  <si>
    <t>REF_DIST_ANTE</t>
  </si>
  <si>
    <t># text = So, I've known a lot of fish in my life.</t>
  </si>
  <si>
    <t>So</t>
  </si>
  <si>
    <t>,</t>
  </si>
  <si>
    <t>I</t>
  </si>
  <si>
    <t>SBJ</t>
  </si>
  <si>
    <t>pron.pper</t>
  </si>
  <si>
    <t>?OLD</t>
  </si>
  <si>
    <t>'ve</t>
  </si>
  <si>
    <t>known</t>
  </si>
  <si>
    <t>a</t>
  </si>
  <si>
    <t>OBJ</t>
  </si>
  <si>
    <t>indef-np.a</t>
  </si>
  <si>
    <t>of</t>
  </si>
  <si>
    <t>other_2</t>
  </si>
  <si>
    <t>indef-np.bare</t>
  </si>
  <si>
    <t>in</t>
  </si>
  <si>
    <t>my</t>
  </si>
  <si>
    <t>pron.ppos</t>
  </si>
  <si>
    <t>life</t>
  </si>
  <si>
    <t>other</t>
  </si>
  <si>
    <t>def-np.poss</t>
  </si>
  <si>
    <t>.</t>
  </si>
  <si>
    <t># text = I've loved only two.</t>
  </si>
  <si>
    <t>loved</t>
  </si>
  <si>
    <t>only</t>
  </si>
  <si>
    <t>two</t>
  </si>
  <si>
    <t># text = That first one, it was more like a passionate affair.</t>
  </si>
  <si>
    <t>That</t>
  </si>
  <si>
    <t>first</t>
  </si>
  <si>
    <t>one</t>
  </si>
  <si>
    <t>it</t>
  </si>
  <si>
    <t>was</t>
  </si>
  <si>
    <t>more</t>
  </si>
  <si>
    <t>like</t>
  </si>
  <si>
    <t>passionate</t>
  </si>
  <si>
    <t>affair</t>
  </si>
  <si>
    <t># text = It was a beautiful fish: flavorful, textured, meaty, a bestseller on the menu.</t>
  </si>
  <si>
    <t>It</t>
  </si>
  <si>
    <t>beautiful</t>
  </si>
  <si>
    <t>:</t>
  </si>
  <si>
    <t>flavorful</t>
  </si>
  <si>
    <t>textured</t>
  </si>
  <si>
    <t>meaty</t>
  </si>
  <si>
    <t>bestseller</t>
  </si>
  <si>
    <t>on</t>
  </si>
  <si>
    <t>the</t>
  </si>
  <si>
    <t>menu</t>
  </si>
  <si>
    <t>def-np.the</t>
  </si>
  <si>
    <t># text = What a fish.</t>
  </si>
  <si>
    <t>What</t>
  </si>
  <si>
    <t>pron.pint</t>
  </si>
  <si>
    <t># text = (Laughter)</t>
  </si>
  <si>
    <t>(</t>
  </si>
  <si>
    <t>Laughter</t>
  </si>
  <si>
    <t>ne</t>
  </si>
  <si>
    <t>)</t>
  </si>
  <si>
    <t># text = Even better, it was farm-raised to the supposed highest standards of sustainability.</t>
  </si>
  <si>
    <t>Even</t>
  </si>
  <si>
    <t>raised</t>
  </si>
  <si>
    <t>to</t>
  </si>
  <si>
    <t>supposed</t>
  </si>
  <si>
    <t>highest</t>
  </si>
  <si>
    <t>standards</t>
  </si>
  <si>
    <t>sustainability</t>
  </si>
  <si>
    <t>other_3</t>
  </si>
  <si>
    <t># text = So you could feel good about selling it.</t>
  </si>
  <si>
    <t>you</t>
  </si>
  <si>
    <t>could</t>
  </si>
  <si>
    <t>good</t>
  </si>
  <si>
    <t>about</t>
  </si>
  <si>
    <t>selling</t>
  </si>
  <si>
    <t>OBJ_3</t>
  </si>
  <si>
    <t># text = I was in a relationship with this beauty for several months.</t>
  </si>
  <si>
    <t>relationship</t>
  </si>
  <si>
    <t>with</t>
  </si>
  <si>
    <t>this</t>
  </si>
  <si>
    <t>beauty</t>
  </si>
  <si>
    <t>def-np.dem</t>
  </si>
  <si>
    <t>for</t>
  </si>
  <si>
    <t>several</t>
  </si>
  <si>
    <t>months</t>
  </si>
  <si>
    <t># text = One day, the head of the company called and asked if I'd speak at an event about the farm's sustainability.</t>
  </si>
  <si>
    <t>One</t>
  </si>
  <si>
    <t>day</t>
  </si>
  <si>
    <t>indef-np.quant</t>
  </si>
  <si>
    <t>head</t>
  </si>
  <si>
    <t>company</t>
  </si>
  <si>
    <t>called</t>
  </si>
  <si>
    <t>and</t>
  </si>
  <si>
    <t>asked</t>
  </si>
  <si>
    <t>if</t>
  </si>
  <si>
    <t>SBJ_3</t>
  </si>
  <si>
    <t>'d</t>
  </si>
  <si>
    <t>speak</t>
  </si>
  <si>
    <t>at</t>
  </si>
  <si>
    <t>an</t>
  </si>
  <si>
    <t>event</t>
  </si>
  <si>
    <t>other_5</t>
  </si>
  <si>
    <t>'s</t>
  </si>
  <si>
    <t>other_4</t>
  </si>
  <si>
    <t>--</t>
  </si>
  <si>
    <t># text = \"Absolutely,\" I said.</t>
  </si>
  <si>
    <t>&amp;quot;</t>
  </si>
  <si>
    <t>Absolutely</t>
  </si>
  <si>
    <t>said</t>
  </si>
  <si>
    <t># text = Here was a company trying to solve what's become this unimaginable problem for us chefs:</t>
  </si>
  <si>
    <t>Here</t>
  </si>
  <si>
    <t>pron.padv</t>
  </si>
  <si>
    <t>trying</t>
  </si>
  <si>
    <t>solve</t>
  </si>
  <si>
    <t>SBJ_5</t>
  </si>
  <si>
    <t>unimaginable</t>
  </si>
  <si>
    <t>problem</t>
  </si>
  <si>
    <t>us</t>
  </si>
  <si>
    <t>other_7</t>
  </si>
  <si>
    <t>chefs</t>
  </si>
  <si>
    <t>other_6</t>
  </si>
  <si>
    <t># text = How do we keep fish on our menus?</t>
  </si>
  <si>
    <t>How</t>
  </si>
  <si>
    <t>we</t>
  </si>
  <si>
    <t>our</t>
  </si>
  <si>
    <t>menus</t>
  </si>
  <si>
    <t>?</t>
  </si>
  <si>
    <t># text = For the past 50 years, we've been fishing the seas like we clear-cut forests.</t>
  </si>
  <si>
    <t>For</t>
  </si>
  <si>
    <t>past</t>
  </si>
  <si>
    <t>years</t>
  </si>
  <si>
    <t>def-np.quant</t>
  </si>
  <si>
    <t>been</t>
  </si>
  <si>
    <t>fishing</t>
  </si>
  <si>
    <t>seas</t>
  </si>
  <si>
    <t>clear</t>
  </si>
  <si>
    <t>cut</t>
  </si>
  <si>
    <t>forests</t>
  </si>
  <si>
    <t># text = It's hard to overstate the destruction.</t>
  </si>
  <si>
    <t>hard</t>
  </si>
  <si>
    <t>overstate</t>
  </si>
  <si>
    <t>destruction</t>
  </si>
  <si>
    <t>OBJ_2</t>
  </si>
  <si>
    <t># text = Ninety percent of large fish, the ones we love -- the tunas, the halibuts, the salmons, swordfish -- they've collapsed.</t>
  </si>
  <si>
    <t>Ninety</t>
  </si>
  <si>
    <t>percent</t>
  </si>
  <si>
    <t>large</t>
  </si>
  <si>
    <t>ones</t>
  </si>
  <si>
    <t>SBJ_4</t>
  </si>
  <si>
    <t>tunas</t>
  </si>
  <si>
    <t>halibuts</t>
  </si>
  <si>
    <t>salmons</t>
  </si>
  <si>
    <t>swordfish</t>
  </si>
  <si>
    <t>they</t>
  </si>
  <si>
    <t>SBJ_2</t>
  </si>
  <si>
    <t>collapsed</t>
  </si>
  <si>
    <t># text = There's almost nothing left.</t>
  </si>
  <si>
    <t>There</t>
  </si>
  <si>
    <t>almost</t>
  </si>
  <si>
    <t>nothing</t>
  </si>
  <si>
    <t>pron</t>
  </si>
  <si>
    <t>left</t>
  </si>
  <si>
    <t># text = So, for better or for worse, aquaculture, fish farming, is going to be a part of our future.</t>
  </si>
  <si>
    <t>or</t>
  </si>
  <si>
    <t>worse</t>
  </si>
  <si>
    <t>aquaculture</t>
  </si>
  <si>
    <t>farming</t>
  </si>
  <si>
    <t>is</t>
  </si>
  <si>
    <t>going</t>
  </si>
  <si>
    <t>part</t>
  </si>
  <si>
    <t>future</t>
  </si>
  <si>
    <t># text = A lot of arguments against it: Fish farms pollute -- most of them do anyway -- and they're inefficient.</t>
  </si>
  <si>
    <t>A</t>
  </si>
  <si>
    <t>arguments</t>
  </si>
  <si>
    <t>against</t>
  </si>
  <si>
    <t>Fish</t>
  </si>
  <si>
    <t>farms</t>
  </si>
  <si>
    <t>pollute</t>
  </si>
  <si>
    <t>most</t>
  </si>
  <si>
    <t>them</t>
  </si>
  <si>
    <t>anyway</t>
  </si>
  <si>
    <t>'re</t>
  </si>
  <si>
    <t>inefficient</t>
  </si>
  <si>
    <t># text = Take tuna, a major drawback.</t>
  </si>
  <si>
    <t>Take</t>
  </si>
  <si>
    <t>major</t>
  </si>
  <si>
    <t>drawback</t>
  </si>
  <si>
    <t># text = It's got a feed conversion ratio of 15 to one.</t>
  </si>
  <si>
    <t>got</t>
  </si>
  <si>
    <t>conversion</t>
  </si>
  <si>
    <t># text = That means it takes fifteen pounds of wild fish to get you one pound of farm tuna.</t>
  </si>
  <si>
    <t>pron.pds</t>
  </si>
  <si>
    <t>means</t>
  </si>
  <si>
    <t>takes</t>
  </si>
  <si>
    <t>fifteen</t>
  </si>
  <si>
    <t>pounds</t>
  </si>
  <si>
    <t>wild</t>
  </si>
  <si>
    <t>pound</t>
  </si>
  <si>
    <t># text = Not very sustainable.</t>
  </si>
  <si>
    <t>Not</t>
  </si>
  <si>
    <t>very</t>
  </si>
  <si>
    <t># text = It doesn't taste very good either.</t>
  </si>
  <si>
    <t>does</t>
  </si>
  <si>
    <t>n't</t>
  </si>
  <si>
    <t>either</t>
  </si>
  <si>
    <t># text = So here, finally, was a company trying to do it right.</t>
  </si>
  <si>
    <t>finally</t>
  </si>
  <si>
    <t>right</t>
  </si>
  <si>
    <t># text = I wanted to support them.</t>
  </si>
  <si>
    <t>wanted</t>
  </si>
  <si>
    <t>support</t>
  </si>
  <si>
    <t># text = The day before the event, I called the head of P.R. for the company.</t>
  </si>
  <si>
    <t>The</t>
  </si>
  <si>
    <t>before</t>
  </si>
  <si>
    <t>P.R.</t>
  </si>
  <si>
    <t># text = Let's call him Don. "Don," I said, "just to get the facts straight, you guys are famous for farming so far out to sea, you don't pollute."</t>
  </si>
  <si>
    <t>Let</t>
  </si>
  <si>
    <t>him</t>
  </si>
  <si>
    <t>just</t>
  </si>
  <si>
    <t>facts</t>
  </si>
  <si>
    <t>straight</t>
  </si>
  <si>
    <t>guys</t>
  </si>
  <si>
    <t>are</t>
  </si>
  <si>
    <t>famous</t>
  </si>
  <si>
    <t>far</t>
  </si>
  <si>
    <t>out</t>
  </si>
  <si>
    <t>sea</t>
  </si>
  <si>
    <t># text = "That's right," he said.</t>
  </si>
  <si>
    <t>he</t>
  </si>
  <si>
    <t># text = \"We're so far out, the waste from our fish gets distributed, not concentrated.\"</t>
  </si>
  <si>
    <t>We</t>
  </si>
  <si>
    <t>waste</t>
  </si>
  <si>
    <t>from</t>
  </si>
  <si>
    <t>gets</t>
  </si>
  <si>
    <t>distributed</t>
  </si>
  <si>
    <t>not</t>
  </si>
  <si>
    <t>concentrated</t>
  </si>
  <si>
    <t># text = And then he added, "We're basically a world unto ourselves.</t>
  </si>
  <si>
    <t>And</t>
  </si>
  <si>
    <t>then</t>
  </si>
  <si>
    <t>added</t>
  </si>
  <si>
    <t>basically</t>
  </si>
  <si>
    <t>world</t>
  </si>
  <si>
    <t>unto</t>
  </si>
  <si>
    <t>ourselves</t>
  </si>
  <si>
    <t># text = That feed conversion ratio?</t>
  </si>
  <si>
    <t># text = 2.5 to one,\" he said.</t>
  </si>
  <si>
    <t>2.5</t>
  </si>
  <si>
    <t># text = \"Best in the business.\" 2.5 to one, great.</t>
  </si>
  <si>
    <t>Best</t>
  </si>
  <si>
    <t>business</t>
  </si>
  <si>
    <t># text = \"2.5 what?</t>
  </si>
  <si>
    <t># text = What are you feeding?\"</t>
  </si>
  <si>
    <t>feeding</t>
  </si>
  <si>
    <t># text = \"Sustainable proteins,\" he said.</t>
  </si>
  <si>
    <t>Sustainable</t>
  </si>
  <si>
    <t>proteins</t>
  </si>
  <si>
    <t># text = "Great," I said.</t>
  </si>
  <si>
    <t>Great</t>
  </si>
  <si>
    <t># text = Got off the phone.</t>
  </si>
  <si>
    <t>Got</t>
  </si>
  <si>
    <t>off</t>
  </si>
  <si>
    <t>phone</t>
  </si>
  <si>
    <t># text = And that night, I was lying in bed, and I thought: What the hell is a sustainable protein?</t>
  </si>
  <si>
    <t>that</t>
  </si>
  <si>
    <t>night</t>
  </si>
  <si>
    <t>lying</t>
  </si>
  <si>
    <t>bed</t>
  </si>
  <si>
    <t>thought</t>
  </si>
  <si>
    <t>hell</t>
  </si>
  <si>
    <t>protein</t>
  </si>
  <si>
    <t># text = So the next day, just before the event, I called Don.</t>
  </si>
  <si>
    <t>next</t>
  </si>
  <si>
    <t># text = I said, "Don, what are some examples of sustainable proteins?"</t>
  </si>
  <si>
    <t>some</t>
  </si>
  <si>
    <t>examples</t>
  </si>
  <si>
    <t># text = He said he didn't know.</t>
  </si>
  <si>
    <t>He</t>
  </si>
  <si>
    <t>did</t>
  </si>
  <si>
    <t># text = He would ask around.</t>
  </si>
  <si>
    <t>would</t>
  </si>
  <si>
    <t>around</t>
  </si>
  <si>
    <t># text = Well, I got on the phone with a few people in the company; no one could give me a straight answer until finally, I got on the phone with the head biologist.</t>
  </si>
  <si>
    <t>Well</t>
  </si>
  <si>
    <t>few</t>
  </si>
  <si>
    <t>people</t>
  </si>
  <si>
    <t>;</t>
  </si>
  <si>
    <t>no</t>
  </si>
  <si>
    <t>give</t>
  </si>
  <si>
    <t>me</t>
  </si>
  <si>
    <t>answer</t>
  </si>
  <si>
    <t>until</t>
  </si>
  <si>
    <t>biologist</t>
  </si>
  <si>
    <t># text = Let's call him Don too.</t>
  </si>
  <si>
    <t>too</t>
  </si>
  <si>
    <t># text = "Don," I said, "what are some examples of sustainable proteins?"</t>
  </si>
  <si>
    <t># text = Well, he mentioned some algaes and some fish meals, and then he said chicken pellets.</t>
  </si>
  <si>
    <t>mentioned</t>
  </si>
  <si>
    <t>algaes</t>
  </si>
  <si>
    <t>meals</t>
  </si>
  <si>
    <t>chicken</t>
  </si>
  <si>
    <t>pellets</t>
  </si>
  <si>
    <t># text = I said, "Chicken pellets?"</t>
  </si>
  <si>
    <t>Chicken</t>
  </si>
  <si>
    <t># text = He said, \"Yeah, feathers, skin, bone meal, scraps, dried and processed into feed.\"</t>
  </si>
  <si>
    <t>Yeah</t>
  </si>
  <si>
    <t>feathers</t>
  </si>
  <si>
    <t>skin</t>
  </si>
  <si>
    <t>bone</t>
  </si>
  <si>
    <t>meal</t>
  </si>
  <si>
    <t>scraps</t>
  </si>
  <si>
    <t>dried</t>
  </si>
  <si>
    <t>processed</t>
  </si>
  <si>
    <t>into</t>
  </si>
  <si>
    <t># text = I said, "What percentage of your feed is chicken?"</t>
  </si>
  <si>
    <t>percentage</t>
  </si>
  <si>
    <t>your</t>
  </si>
  <si>
    <t># text = Thinking, you know, two percent.</t>
  </si>
  <si>
    <t>Thinking</t>
  </si>
  <si>
    <t># text = \"Well, it's about 30 percent,\" he said.</t>
  </si>
  <si>
    <t># text = I said, "Don, what's sustainable about feeding chicken to fish?"</t>
  </si>
  <si>
    <t>OBJ_5</t>
  </si>
  <si>
    <t># text = There was a long pause on the line, and he said, \"There's just too much chicken in the world.\"</t>
  </si>
  <si>
    <t>long</t>
  </si>
  <si>
    <t>pause</t>
  </si>
  <si>
    <t>line</t>
  </si>
  <si>
    <t>much</t>
  </si>
  <si>
    <t># text = I fell out of love with this fish.</t>
  </si>
  <si>
    <t>fell</t>
  </si>
  <si>
    <t># text = No, not because I'm some self-righteous, goody-two shoes foodie.</t>
  </si>
  <si>
    <t>No</t>
  </si>
  <si>
    <t>because</t>
  </si>
  <si>
    <t>'m</t>
  </si>
  <si>
    <t>self</t>
  </si>
  <si>
    <t>righteous</t>
  </si>
  <si>
    <t>goody</t>
  </si>
  <si>
    <t>shoes</t>
  </si>
  <si>
    <t>foodie</t>
  </si>
  <si>
    <t># text = I actually am.</t>
  </si>
  <si>
    <t>actually</t>
  </si>
  <si>
    <t>am</t>
  </si>
  <si>
    <t># text = No, I actually fell out of love with this fish because, I swear to God, after that conversation, the fish tasted like chicken.</t>
  </si>
  <si>
    <t>swear</t>
  </si>
  <si>
    <t>God</t>
  </si>
  <si>
    <t>after</t>
  </si>
  <si>
    <t>conversation</t>
  </si>
  <si>
    <t>tasted</t>
  </si>
  <si>
    <t># text = This second fish, it's a different kind of love story.</t>
  </si>
  <si>
    <t>This</t>
  </si>
  <si>
    <t>second</t>
  </si>
  <si>
    <t>different</t>
  </si>
  <si>
    <t>kind</t>
  </si>
  <si>
    <t>story</t>
  </si>
  <si>
    <t># text = It's the romantic kind, the kind where the more you get to know your fish, you love the fish.</t>
  </si>
  <si>
    <t>romantic</t>
  </si>
  <si>
    <t>where</t>
  </si>
  <si>
    <t>OBJ_6</t>
  </si>
  <si>
    <t># text = I first ate it at a restaurant in southern Spain.</t>
  </si>
  <si>
    <t>ate</t>
  </si>
  <si>
    <t>restaurant</t>
  </si>
  <si>
    <t>southern</t>
  </si>
  <si>
    <t>Spain</t>
  </si>
  <si>
    <t># text = A journalist friend had been talking about this fish for a long time.</t>
  </si>
  <si>
    <t>journalist</t>
  </si>
  <si>
    <t>friend</t>
  </si>
  <si>
    <t>had</t>
  </si>
  <si>
    <t>talking</t>
  </si>
  <si>
    <t>time</t>
  </si>
  <si>
    <t># text = She kind of set us up.</t>
  </si>
  <si>
    <t>She</t>
  </si>
  <si>
    <t>up</t>
  </si>
  <si>
    <t># text = It came to the table a bright, almost shimmering, white color.</t>
  </si>
  <si>
    <t>came</t>
  </si>
  <si>
    <t>table</t>
  </si>
  <si>
    <t>bright</t>
  </si>
  <si>
    <t>shimmering</t>
  </si>
  <si>
    <t>white</t>
  </si>
  <si>
    <t>color</t>
  </si>
  <si>
    <t># text = The chef had overcooked it.</t>
  </si>
  <si>
    <t>chef</t>
  </si>
  <si>
    <t>overcooked</t>
  </si>
  <si>
    <t># text = Like twice over.</t>
  </si>
  <si>
    <t>Like</t>
  </si>
  <si>
    <t>twice</t>
  </si>
  <si>
    <t># text = Amazingly, it was still delicious.</t>
  </si>
  <si>
    <t>Amazingly</t>
  </si>
  <si>
    <t>still</t>
  </si>
  <si>
    <t>delicious</t>
  </si>
  <si>
    <t># text = Who can make a fish taste good after it's been overcooked?</t>
  </si>
  <si>
    <t>Who</t>
  </si>
  <si>
    <t># text = I can't, but this guy can.</t>
  </si>
  <si>
    <t>ca</t>
  </si>
  <si>
    <t>but</t>
  </si>
  <si>
    <t>guy</t>
  </si>
  <si>
    <t># text = Let's call him Miguel -- actually his name is Miguel.</t>
  </si>
  <si>
    <t>Miguel</t>
  </si>
  <si>
    <t>his</t>
  </si>
  <si>
    <t>name</t>
  </si>
  <si>
    <t># text = And no, he didn't cook the fish, and he's not a chef, at least in the way that you and I understand it.</t>
  </si>
  <si>
    <t>cook</t>
  </si>
  <si>
    <t>least</t>
  </si>
  <si>
    <t>way</t>
  </si>
  <si>
    <t>understand</t>
  </si>
  <si>
    <t># text = He's a biologist at Veta La Palma.</t>
  </si>
  <si>
    <t>Veta</t>
  </si>
  <si>
    <t>La</t>
  </si>
  <si>
    <t>Palma</t>
  </si>
  <si>
    <t># text = It's a fish farm in the southwestern corner of Spain.</t>
  </si>
  <si>
    <t>southwestern</t>
  </si>
  <si>
    <t>corner</t>
  </si>
  <si>
    <t># text = It's at the tip of the Guadalquivir river.</t>
  </si>
  <si>
    <t>tip</t>
  </si>
  <si>
    <t>Guadalquivir</t>
  </si>
  <si>
    <t>river</t>
  </si>
  <si>
    <t># text = Until the 1980s, the farm was in the hands of the Argentinians.</t>
  </si>
  <si>
    <t>Until</t>
  </si>
  <si>
    <t>1980s</t>
  </si>
  <si>
    <t>hands</t>
  </si>
  <si>
    <t>Argentinians</t>
  </si>
  <si>
    <t># text = They raised beef cattle on what was essentially wetlands.</t>
  </si>
  <si>
    <t>They</t>
  </si>
  <si>
    <t>beef</t>
  </si>
  <si>
    <t>cattle</t>
  </si>
  <si>
    <t>essentially</t>
  </si>
  <si>
    <t>wetlands</t>
  </si>
  <si>
    <t># text = They did it by draining the land.</t>
  </si>
  <si>
    <t>by</t>
  </si>
  <si>
    <t>draining</t>
  </si>
  <si>
    <t>land</t>
  </si>
  <si>
    <t># text = They built this intricate series of canals, and they pushed water off the land and out into the river.</t>
  </si>
  <si>
    <t>built</t>
  </si>
  <si>
    <t>intricate</t>
  </si>
  <si>
    <t>series</t>
  </si>
  <si>
    <t>canals</t>
  </si>
  <si>
    <t>pushed</t>
  </si>
  <si>
    <t>water</t>
  </si>
  <si>
    <t># text = Well, they couldn't make it work, not economically.</t>
  </si>
  <si>
    <t>work</t>
  </si>
  <si>
    <t>economically</t>
  </si>
  <si>
    <t># text = And ecologically, it was a disaster.</t>
  </si>
  <si>
    <t>ecologically</t>
  </si>
  <si>
    <t>disaster</t>
  </si>
  <si>
    <t># text = It killed like 90 percent of the birds, which, for this place, is a lot of birds.</t>
  </si>
  <si>
    <t>killed</t>
  </si>
  <si>
    <t>birds</t>
  </si>
  <si>
    <t>which</t>
  </si>
  <si>
    <t>place</t>
  </si>
  <si>
    <t># text = And so in 1982, a Spanish company with an environmental conscience purchased the land.</t>
  </si>
  <si>
    <t>1982</t>
  </si>
  <si>
    <t>Spanish</t>
  </si>
  <si>
    <t>environmental</t>
  </si>
  <si>
    <t>conscience</t>
  </si>
  <si>
    <t>purchased</t>
  </si>
  <si>
    <t># text = What did they do?</t>
  </si>
  <si>
    <t># text = They reversed the flow of water.</t>
  </si>
  <si>
    <t>reversed</t>
  </si>
  <si>
    <t>flow</t>
  </si>
  <si>
    <t># text = They literally flipped the switch.</t>
  </si>
  <si>
    <t>literally</t>
  </si>
  <si>
    <t>flipped</t>
  </si>
  <si>
    <t>switch</t>
  </si>
  <si>
    <t># text = Instead of pushing water out, they used the channels to pull water back in.</t>
  </si>
  <si>
    <t>Instead</t>
  </si>
  <si>
    <t>pushing</t>
  </si>
  <si>
    <t>used</t>
  </si>
  <si>
    <t>channels</t>
  </si>
  <si>
    <t>pull</t>
  </si>
  <si>
    <t>back</t>
  </si>
  <si>
    <t># text = They flooded the canals.</t>
  </si>
  <si>
    <t>flooded</t>
  </si>
  <si>
    <t># text = They created a 27,000-acre fish farm -- bass, mullet, shrimp, eel -- and in the process, Miguel and this company completely reversed the ecological destruction.</t>
  </si>
  <si>
    <t>created</t>
  </si>
  <si>
    <t>27,000</t>
  </si>
  <si>
    <t>acre</t>
  </si>
  <si>
    <t>bass</t>
  </si>
  <si>
    <t>mullet</t>
  </si>
  <si>
    <t>shrimp</t>
  </si>
  <si>
    <t>eel</t>
  </si>
  <si>
    <t>process</t>
  </si>
  <si>
    <t>completely</t>
  </si>
  <si>
    <t>ecological</t>
  </si>
  <si>
    <t># text = The farm's incredible.</t>
  </si>
  <si>
    <t># text = I mean, you've never seen anything like this.</t>
  </si>
  <si>
    <t>never</t>
  </si>
  <si>
    <t>seen</t>
  </si>
  <si>
    <t>anything</t>
  </si>
  <si>
    <t># text = You stare out at a horizon that is a million miles away, and all you see are flooded canals and this thick, rich marshland.</t>
  </si>
  <si>
    <t>You</t>
  </si>
  <si>
    <t>horizon</t>
  </si>
  <si>
    <t>million</t>
  </si>
  <si>
    <t>miles</t>
  </si>
  <si>
    <t>away</t>
  </si>
  <si>
    <t>all</t>
  </si>
  <si>
    <t>thick</t>
  </si>
  <si>
    <t>rich</t>
  </si>
  <si>
    <t>marshland</t>
  </si>
  <si>
    <t># text = I was there not long ago with Miguel.</t>
  </si>
  <si>
    <t>there</t>
  </si>
  <si>
    <t>ago</t>
  </si>
  <si>
    <t># text = He's an amazing guy, like three parts Charles Darwin and one part Crocodile Dundee.</t>
  </si>
  <si>
    <t>amazing</t>
  </si>
  <si>
    <t>three</t>
  </si>
  <si>
    <t>parts</t>
  </si>
  <si>
    <t>Charles</t>
  </si>
  <si>
    <t>Darwin</t>
  </si>
  <si>
    <t>Crocodile</t>
  </si>
  <si>
    <t>Dundee</t>
  </si>
  <si>
    <t># text = Okay?</t>
  </si>
  <si>
    <t>Okay</t>
  </si>
  <si>
    <t># text = There we are slogging through the wetlands, and I'm panting and sweating, got mud up to my knees, and Miguel's calmly conducting a biology lecture.</t>
  </si>
  <si>
    <t>slogging</t>
  </si>
  <si>
    <t>through</t>
  </si>
  <si>
    <t>panting</t>
  </si>
  <si>
    <t>sweating</t>
  </si>
  <si>
    <t>mud</t>
  </si>
  <si>
    <t>knees</t>
  </si>
  <si>
    <t>calmly</t>
  </si>
  <si>
    <t>conducting</t>
  </si>
  <si>
    <t>biology</t>
  </si>
  <si>
    <t>lecture</t>
  </si>
  <si>
    <t># text = Here, he's pointing out a rare Black-shouldered Kite.</t>
  </si>
  <si>
    <t>pointing</t>
  </si>
  <si>
    <t>rare</t>
  </si>
  <si>
    <t>Black</t>
  </si>
  <si>
    <t>shouldered</t>
  </si>
  <si>
    <t>Kite</t>
  </si>
  <si>
    <t># text = Now, he's mentioning the mineral needs of phytoplankton.</t>
  </si>
  <si>
    <t>Now</t>
  </si>
  <si>
    <t>mentioning</t>
  </si>
  <si>
    <t>mineral</t>
  </si>
  <si>
    <t>needs</t>
  </si>
  <si>
    <t>phytoplankton</t>
  </si>
  <si>
    <t># text = And here, here he sees a grouping pattern that reminds him of the Tanzanian Giraffe.</t>
  </si>
  <si>
    <t>sees</t>
  </si>
  <si>
    <t>grouping</t>
  </si>
  <si>
    <t>pattern</t>
  </si>
  <si>
    <t>reminds</t>
  </si>
  <si>
    <t>OBJ_4</t>
  </si>
  <si>
    <t>Tanzanian</t>
  </si>
  <si>
    <t>Giraffe</t>
  </si>
  <si>
    <t># text = It turns out, Miguel spent the better part of his career in the Mikumi National Park in Africa.</t>
  </si>
  <si>
    <t>turns</t>
  </si>
  <si>
    <t>spent</t>
  </si>
  <si>
    <t>career</t>
  </si>
  <si>
    <t>Mikumi</t>
  </si>
  <si>
    <t>National</t>
  </si>
  <si>
    <t>Park</t>
  </si>
  <si>
    <t>Africa</t>
  </si>
  <si>
    <t># text = I asked him how he became such an expert on fish.</t>
  </si>
  <si>
    <t>how</t>
  </si>
  <si>
    <t>became</t>
  </si>
  <si>
    <t>such</t>
  </si>
  <si>
    <t>expert</t>
  </si>
  <si>
    <t># text = He said, \"Fish?</t>
  </si>
  <si>
    <t># text = I didn't know anything about fish.</t>
  </si>
  <si>
    <t># text = I'm an expert in relationships.\"</t>
  </si>
  <si>
    <t>relationships</t>
  </si>
  <si>
    <t># text = And then he's off, launching into more talk about rare birds and algaes and strange aquatic plants.</t>
  </si>
  <si>
    <t>launching</t>
  </si>
  <si>
    <t>strange</t>
  </si>
  <si>
    <t>aquatic</t>
  </si>
  <si>
    <t>plants</t>
  </si>
  <si>
    <t># text = And don't get me wrong, that was really fascinating, you know, the biotic community unplugged, kind of thing.</t>
  </si>
  <si>
    <t>wrong</t>
  </si>
  <si>
    <t>really</t>
  </si>
  <si>
    <t>fascinating</t>
  </si>
  <si>
    <t>biotic</t>
  </si>
  <si>
    <t>community</t>
  </si>
  <si>
    <t>unplugged</t>
  </si>
  <si>
    <t>thing</t>
  </si>
  <si>
    <t># text = It's great, but I was in love.</t>
  </si>
  <si>
    <t>great</t>
  </si>
  <si>
    <t># text = And my head was swooning over that overcooked piece of delicious fish I had the night before.</t>
  </si>
  <si>
    <t>swooning</t>
  </si>
  <si>
    <t>piece</t>
  </si>
  <si>
    <t># text = So I interrupted him.</t>
  </si>
  <si>
    <t>interrupted</t>
  </si>
  <si>
    <t># text = I said, "Miguel, what makes your fish taste so good?"</t>
  </si>
  <si>
    <t>makes</t>
  </si>
  <si>
    <t># text = He pointed at the algae.</t>
  </si>
  <si>
    <t>pointed</t>
  </si>
  <si>
    <t>algae</t>
  </si>
  <si>
    <t># text = "I know, dude, the algae, the phytoplankton, the relationships:</t>
  </si>
  <si>
    <t>dude</t>
  </si>
  <si>
    <t># text = It's amazing.</t>
  </si>
  <si>
    <t># text = But what are your fish eating?</t>
  </si>
  <si>
    <t>But</t>
  </si>
  <si>
    <t>eating</t>
  </si>
  <si>
    <t># text = What's the feed conversion ratio?"</t>
  </si>
  <si>
    <t># text = Well, he goes on to tell me it's such a rich system that the fish are eating what they'd be eating in the wild.</t>
  </si>
  <si>
    <t>goes</t>
  </si>
  <si>
    <t>tell</t>
  </si>
  <si>
    <t>system</t>
  </si>
  <si>
    <t># text = The plant biomass, the phytoplankton, the zooplankton, it's what feeds the fish.</t>
  </si>
  <si>
    <t>plant</t>
  </si>
  <si>
    <t>biomass</t>
  </si>
  <si>
    <t>zooplankton</t>
  </si>
  <si>
    <t>feeds</t>
  </si>
  <si>
    <t># text = The system is so healthy, it's totally self-renewing.</t>
  </si>
  <si>
    <t>healthy</t>
  </si>
  <si>
    <t>totally</t>
  </si>
  <si>
    <t>renewing</t>
  </si>
  <si>
    <t># text = There is no feed.</t>
  </si>
  <si>
    <t># text = Ever heard of a farm that doesn't feed its animals?</t>
  </si>
  <si>
    <t>Ever</t>
  </si>
  <si>
    <t>its</t>
  </si>
  <si>
    <t>animals</t>
  </si>
  <si>
    <t># text = Later that day, I was driving around this property with Miguel, and I asked him, I said, \"For a place that seems so natural, unlike like any farm I'd ever been at, how do you measure success?\"</t>
  </si>
  <si>
    <t>Later</t>
  </si>
  <si>
    <t>driving</t>
  </si>
  <si>
    <t>property</t>
  </si>
  <si>
    <t>seems</t>
  </si>
  <si>
    <t>natural</t>
  </si>
  <si>
    <t>unlike</t>
  </si>
  <si>
    <t>any</t>
  </si>
  <si>
    <t>ever</t>
  </si>
  <si>
    <t>measure</t>
  </si>
  <si>
    <t>success</t>
  </si>
  <si>
    <t># text = At that moment, it was as if a film director called for a set change.</t>
  </si>
  <si>
    <t>At</t>
  </si>
  <si>
    <t>moment</t>
  </si>
  <si>
    <t>as</t>
  </si>
  <si>
    <t>film</t>
  </si>
  <si>
    <t>director</t>
  </si>
  <si>
    <t>change</t>
  </si>
  <si>
    <t># text = And we rounded the corner and saw the most amazing sight: thousands and thousands of pink flamingos, a literal pink carpet for as far as you could see.</t>
  </si>
  <si>
    <t>rounded</t>
  </si>
  <si>
    <t>saw</t>
  </si>
  <si>
    <t>sight</t>
  </si>
  <si>
    <t>thousands</t>
  </si>
  <si>
    <t>pink</t>
  </si>
  <si>
    <t>flamingos</t>
  </si>
  <si>
    <t>literal</t>
  </si>
  <si>
    <t>carpet</t>
  </si>
  <si>
    <t># text = "That's success," he said.</t>
  </si>
  <si>
    <t># text = \"Look at their bellies, pink.</t>
  </si>
  <si>
    <t>Look</t>
  </si>
  <si>
    <t>their</t>
  </si>
  <si>
    <t>bellies</t>
  </si>
  <si>
    <t># text = They're feasting."</t>
  </si>
  <si>
    <t>feasting</t>
  </si>
  <si>
    <t># text = Feasting?</t>
  </si>
  <si>
    <t># text = I was totally confused.</t>
  </si>
  <si>
    <t>confused</t>
  </si>
  <si>
    <t># text = I said, "Miguel, aren't they feasting on your fish?"</t>
  </si>
  <si>
    <t># text = "Yes," he said.</t>
  </si>
  <si>
    <t>Yes</t>
  </si>
  <si>
    <t># text = \"We lose 20 percent of our fish and fish eggs to birds.</t>
  </si>
  <si>
    <t>eggs</t>
  </si>
  <si>
    <t># text = Well, last year, this property had 600,000 birds on it, more than 250 different species.</t>
  </si>
  <si>
    <t>last</t>
  </si>
  <si>
    <t>year</t>
  </si>
  <si>
    <t>600,000</t>
  </si>
  <si>
    <t>than</t>
  </si>
  <si>
    <t>250</t>
  </si>
  <si>
    <t>species</t>
  </si>
  <si>
    <t># text = It's become, today, the largest and one of the most important private bird sanctuaries in all of Europe.\"</t>
  </si>
  <si>
    <t>today</t>
  </si>
  <si>
    <t>largest</t>
  </si>
  <si>
    <t>important</t>
  </si>
  <si>
    <t>private</t>
  </si>
  <si>
    <t>bird</t>
  </si>
  <si>
    <t>sanctuaries</t>
  </si>
  <si>
    <t>Europe</t>
  </si>
  <si>
    <t># text = I said, \"Miguel, isn't a thriving bird population like the last thing you want on a fish farm?\"</t>
  </si>
  <si>
    <t>thriving</t>
  </si>
  <si>
    <t>population</t>
  </si>
  <si>
    <t># text = He shook his head, no.</t>
  </si>
  <si>
    <t># text = He said,</t>
  </si>
  <si>
    <t># text = \"We farm extensively, not intensively.</t>
  </si>
  <si>
    <t>extensively</t>
  </si>
  <si>
    <t>intensively</t>
  </si>
  <si>
    <t># text = This is an ecological network.</t>
  </si>
  <si>
    <t>network</t>
  </si>
  <si>
    <t># text = The flamingos eat the shrimp.</t>
  </si>
  <si>
    <t># text = The shrimp eat the phytoplankton.</t>
  </si>
  <si>
    <t># text = So the pinker the belly, the better the system.\"</t>
  </si>
  <si>
    <t>pinker</t>
  </si>
  <si>
    <t>belly</t>
  </si>
  <si>
    <t># text = Okay, so let's review: a farm that doesn't feed its animals, and a farm that measures its success on the health of its predators.</t>
  </si>
  <si>
    <t>review</t>
  </si>
  <si>
    <t>measures</t>
  </si>
  <si>
    <t>health</t>
  </si>
  <si>
    <t>predators</t>
  </si>
  <si>
    <t># text = A fish farm, but also a bird sanctuary.</t>
  </si>
  <si>
    <t>also</t>
  </si>
  <si>
    <t>sanctuary</t>
  </si>
  <si>
    <t># text = Oh, and by the way, those flamingos, they shouldn't even be there in the first place.</t>
  </si>
  <si>
    <t>Oh</t>
  </si>
  <si>
    <t>those</t>
  </si>
  <si>
    <t>should</t>
  </si>
  <si>
    <t>even</t>
  </si>
  <si>
    <t># text = They brood in a town 150 miles away, where the soil conditions are better for building nests.</t>
  </si>
  <si>
    <t>brood</t>
  </si>
  <si>
    <t>town</t>
  </si>
  <si>
    <t>soil</t>
  </si>
  <si>
    <t>conditions</t>
  </si>
  <si>
    <t>building</t>
  </si>
  <si>
    <t>nests</t>
  </si>
  <si>
    <t># text = Every morning, they fly 150 miles into the farm.</t>
  </si>
  <si>
    <t>Every</t>
  </si>
  <si>
    <t>morning</t>
  </si>
  <si>
    <t>indef-np</t>
  </si>
  <si>
    <t># text = And every evening, they fly 150 miles back.</t>
  </si>
  <si>
    <t>every</t>
  </si>
  <si>
    <t>evening</t>
  </si>
  <si>
    <t># text = They do that because they're able to follow the broken white line of highway A92.</t>
  </si>
  <si>
    <t>able</t>
  </si>
  <si>
    <t>follow</t>
  </si>
  <si>
    <t>broken</t>
  </si>
  <si>
    <t>highway</t>
  </si>
  <si>
    <t>A92</t>
  </si>
  <si>
    <t># text = No kidding.</t>
  </si>
  <si>
    <t># text = I was imagining a \"March of the Penguins\" thing, so I looked at Miguel.</t>
  </si>
  <si>
    <t>imagining</t>
  </si>
  <si>
    <t>March</t>
  </si>
  <si>
    <t>Penguins</t>
  </si>
  <si>
    <t>looked</t>
  </si>
  <si>
    <t># text = I said, \"Miguel, do they fly 150 miles to the farm, and then do they fly 150 miles back at night?</t>
  </si>
  <si>
    <t># text = Do they do that for the children?"</t>
  </si>
  <si>
    <t>Do</t>
  </si>
  <si>
    <t>children</t>
  </si>
  <si>
    <t># text = He looked at me like I had just quoted a Whitney Houston song.</t>
  </si>
  <si>
    <t>quoted</t>
  </si>
  <si>
    <t>Whitney</t>
  </si>
  <si>
    <t>Houston</t>
  </si>
  <si>
    <t>song</t>
  </si>
  <si>
    <t># text = He said, "No; they do it because the food's better."</t>
  </si>
  <si>
    <t>food</t>
  </si>
  <si>
    <t># text = I didn't mention the skin of my beloved fish, which was delicious -- and I don't like fish skin; I don't like it seared, I don't like it crispy.</t>
  </si>
  <si>
    <t>beloved</t>
  </si>
  <si>
    <t>seared</t>
  </si>
  <si>
    <t>crispy</t>
  </si>
  <si>
    <t># text = It's that acrid, tar-like flavor.</t>
  </si>
  <si>
    <t>acrid</t>
  </si>
  <si>
    <t>tar</t>
  </si>
  <si>
    <t>flavor</t>
  </si>
  <si>
    <t># text = I almost never cook with it.</t>
  </si>
  <si>
    <t># text = Yet, when I tasted it at that restaurant in southern Spain, it tasted not at all like fish skin.</t>
  </si>
  <si>
    <t>Yet</t>
  </si>
  <si>
    <t>when</t>
  </si>
  <si>
    <t># text = It tasted sweet and clean, like you were taking a bite of the ocean.</t>
  </si>
  <si>
    <t>sweet</t>
  </si>
  <si>
    <t>clean</t>
  </si>
  <si>
    <t>were</t>
  </si>
  <si>
    <t>taking</t>
  </si>
  <si>
    <t>bite</t>
  </si>
  <si>
    <t>ocean</t>
  </si>
  <si>
    <t># text = I mentioned that to Miguel, and he nodded.</t>
  </si>
  <si>
    <t>nodded</t>
  </si>
  <si>
    <t># text = He said, \"The skin acts like a sponge.</t>
  </si>
  <si>
    <t>acts</t>
  </si>
  <si>
    <t>sponge</t>
  </si>
  <si>
    <t># text = It's the last defense before anything enters the body.</t>
  </si>
  <si>
    <t>defense</t>
  </si>
  <si>
    <t>enters</t>
  </si>
  <si>
    <t>body</t>
  </si>
  <si>
    <t># text = It evolved to soak up impurities."</t>
  </si>
  <si>
    <t>evolved</t>
  </si>
  <si>
    <t>soak</t>
  </si>
  <si>
    <t>impurities</t>
  </si>
  <si>
    <t># text = "But our water has no impurities."</t>
  </si>
  <si>
    <t>has</t>
  </si>
  <si>
    <t># text = OK.</t>
  </si>
  <si>
    <t>OK</t>
  </si>
  <si>
    <t># text = A farm that doesn't feed its fish, a farm that measures its success by the success of its predators.</t>
  </si>
  <si>
    <t># text = And then I realized when he says, "A farm that has no impurities," he made a big understatement, because the water that flows through that farm comes in from the Guadalquivir River.</t>
  </si>
  <si>
    <t>realized</t>
  </si>
  <si>
    <t>says</t>
  </si>
  <si>
    <t>made</t>
  </si>
  <si>
    <t>big</t>
  </si>
  <si>
    <t>understatement</t>
  </si>
  <si>
    <t>flows</t>
  </si>
  <si>
    <t>comes</t>
  </si>
  <si>
    <t>River</t>
  </si>
  <si>
    <t># text = It's a river that carries with it all the things that rivers tend to carry these days: chemical contaminants, pesticide runoff.</t>
  </si>
  <si>
    <t>carries</t>
  </si>
  <si>
    <t>things</t>
  </si>
  <si>
    <t>rivers</t>
  </si>
  <si>
    <t>tend</t>
  </si>
  <si>
    <t>carry</t>
  </si>
  <si>
    <t>these</t>
  </si>
  <si>
    <t>days</t>
  </si>
  <si>
    <t>chemical</t>
  </si>
  <si>
    <t>contaminants</t>
  </si>
  <si>
    <t>pesticide</t>
  </si>
  <si>
    <t>runoff</t>
  </si>
  <si>
    <t># text = And when it works its way through the system and leaves, the water is cleaner than when it entered.</t>
  </si>
  <si>
    <t>works</t>
  </si>
  <si>
    <t>leaves</t>
  </si>
  <si>
    <t>cleaner</t>
  </si>
  <si>
    <t>entered</t>
  </si>
  <si>
    <t># text = The system is so healthy, it purifies the water.</t>
  </si>
  <si>
    <t>purifies</t>
  </si>
  <si>
    <t># text = So, not just a farm that doesn't feed its animals, not just a farm that measures its success by the health of its predators, but a farm that's literally a water purification plant -- and not just for those fish, but for you and me as well.</t>
  </si>
  <si>
    <t>purification</t>
  </si>
  <si>
    <t>well</t>
  </si>
  <si>
    <t># text = Because when that water leaves, it dumps out into the Atlantic.</t>
  </si>
  <si>
    <t>Because</t>
  </si>
  <si>
    <t>dumps</t>
  </si>
  <si>
    <t>Atlantic</t>
  </si>
  <si>
    <t># text = A drop in the ocean, I know, but I'll take it, and so should you, because this love story, however romantic, is also instructive.</t>
  </si>
  <si>
    <t>'ll</t>
  </si>
  <si>
    <t>however</t>
  </si>
  <si>
    <t>instructive</t>
  </si>
  <si>
    <t># text = You might say it's a recipe for the future of good food, whether we're talking about bass or beef cattle.</t>
  </si>
  <si>
    <t>might</t>
  </si>
  <si>
    <t>recipe</t>
  </si>
  <si>
    <t>whether</t>
  </si>
  <si>
    <t># text = What we need now is a radically new conception of agriculture, one in which the food actually tastes good.</t>
  </si>
  <si>
    <t>need</t>
  </si>
  <si>
    <t>now</t>
  </si>
  <si>
    <t>radically</t>
  </si>
  <si>
    <t>new</t>
  </si>
  <si>
    <t>conception</t>
  </si>
  <si>
    <t>agriculture</t>
  </si>
  <si>
    <t>tastes</t>
  </si>
  <si>
    <t># text = (Applause)</t>
  </si>
  <si>
    <t># text = But for a lot people, that's a bit too radical.</t>
  </si>
  <si>
    <t>bit</t>
  </si>
  <si>
    <t>radical</t>
  </si>
  <si>
    <t># text = We're not realists, us foodies; we're lovers.</t>
  </si>
  <si>
    <t>realists</t>
  </si>
  <si>
    <t>foodies</t>
  </si>
  <si>
    <t>lovers</t>
  </si>
  <si>
    <t># text = We love farmers' markets, we love small family farms, we talk about local food, we eat organic.</t>
  </si>
  <si>
    <t>farmers</t>
  </si>
  <si>
    <t>'</t>
  </si>
  <si>
    <t>markets</t>
  </si>
  <si>
    <t>small</t>
  </si>
  <si>
    <t>family</t>
  </si>
  <si>
    <t>local</t>
  </si>
  <si>
    <t>organic</t>
  </si>
  <si>
    <t># text = And when you suggest these are the things that will ensure the future of good food, someone, somewhere stands up and says, \"Hey guy, I love pink flamingos, but how are you going to feed the world?\"</t>
  </si>
  <si>
    <t>will</t>
  </si>
  <si>
    <t>ensure</t>
  </si>
  <si>
    <t>someone</t>
  </si>
  <si>
    <t>pron.pind</t>
  </si>
  <si>
    <t>somewhere</t>
  </si>
  <si>
    <t>stands</t>
  </si>
  <si>
    <t>Hey</t>
  </si>
  <si>
    <t>SBJ_6</t>
  </si>
  <si>
    <t>OBJ_7</t>
  </si>
  <si>
    <t># text = How are you going to feed the world?</t>
  </si>
  <si>
    <t># text = Can I be honest?</t>
  </si>
  <si>
    <t>Can</t>
  </si>
  <si>
    <t>honest</t>
  </si>
  <si>
    <t># text = I don't love that question.</t>
  </si>
  <si>
    <t>question</t>
  </si>
  <si>
    <t># text = No, not because we already produce enough calories to more than feed the world.</t>
  </si>
  <si>
    <t>already</t>
  </si>
  <si>
    <t>enough</t>
  </si>
  <si>
    <t>calories</t>
  </si>
  <si>
    <t># text = One billion people will go hungry today.</t>
  </si>
  <si>
    <t>billion</t>
  </si>
  <si>
    <t>hungry</t>
  </si>
  <si>
    <t># text = One billion -- that's more than ever before -- because of gross inequalities in distribution, not tonnage.</t>
  </si>
  <si>
    <t>gross</t>
  </si>
  <si>
    <t>inequalities</t>
  </si>
  <si>
    <t>distribution</t>
  </si>
  <si>
    <t>tonnage</t>
  </si>
  <si>
    <t># text = Now, I don't love this question because it's determined the logic of our food system for the last 50 years.</t>
  </si>
  <si>
    <t>determined</t>
  </si>
  <si>
    <t>logic</t>
  </si>
  <si>
    <t># text = Feed grain to herbivores, pesticides to monocultures, chemicals to soil, chicken to fish, and all along agribusiness has simply asked, \"If we're feeding more people more cheaply, how terrible could that be?\"</t>
  </si>
  <si>
    <t>Feed</t>
  </si>
  <si>
    <t>grain</t>
  </si>
  <si>
    <t>herbivores</t>
  </si>
  <si>
    <t>pesticides</t>
  </si>
  <si>
    <t>monocultures</t>
  </si>
  <si>
    <t>chemicals</t>
  </si>
  <si>
    <t>along</t>
  </si>
  <si>
    <t>agribusiness</t>
  </si>
  <si>
    <t>simply</t>
  </si>
  <si>
    <t>If</t>
  </si>
  <si>
    <t>cheaply</t>
  </si>
  <si>
    <t>terrible</t>
  </si>
  <si>
    <t># text = That's been the motivation, it's been the justification:</t>
  </si>
  <si>
    <t>motivation</t>
  </si>
  <si>
    <t>justification</t>
  </si>
  <si>
    <t># text = it's been the business plan of American agriculture.</t>
  </si>
  <si>
    <t>plan</t>
  </si>
  <si>
    <t>American</t>
  </si>
  <si>
    <t># text = We should call it what it is: a business in liquidation, a business that's quickly eroding ecological capital that makes that very production possible.</t>
  </si>
  <si>
    <t>liquidation</t>
  </si>
  <si>
    <t>quickly</t>
  </si>
  <si>
    <t>eroding</t>
  </si>
  <si>
    <t>capital</t>
  </si>
  <si>
    <t>SBJ_7</t>
  </si>
  <si>
    <t>production</t>
  </si>
  <si>
    <t>possible</t>
  </si>
  <si>
    <t># text = That's not a business, and it isn't agriculture.</t>
  </si>
  <si>
    <t># text = Our breadbasket is threatened today, not because of diminishing supply, but because of diminishing resources.</t>
  </si>
  <si>
    <t>Our</t>
  </si>
  <si>
    <t>breadbasket</t>
  </si>
  <si>
    <t>threatened</t>
  </si>
  <si>
    <t>diminishing</t>
  </si>
  <si>
    <t>supply</t>
  </si>
  <si>
    <t>resources</t>
  </si>
  <si>
    <t># text = Not by the latest combine and tractor invention, but by fertile land; not by pumps, but by fresh water; not by chainsaws, but by forests; and not by fishing boats and nets, but by fish in the sea.</t>
  </si>
  <si>
    <t>latest</t>
  </si>
  <si>
    <t>combine</t>
  </si>
  <si>
    <t>tractor</t>
  </si>
  <si>
    <t>fertile</t>
  </si>
  <si>
    <t>pumps</t>
  </si>
  <si>
    <t>fresh</t>
  </si>
  <si>
    <t>chainsaws</t>
  </si>
  <si>
    <t>boats</t>
  </si>
  <si>
    <t>nets</t>
  </si>
  <si>
    <t># text = Want to feed the world?</t>
  </si>
  <si>
    <t>Want</t>
  </si>
  <si>
    <t># text = Let's start by asking:</t>
  </si>
  <si>
    <t>start</t>
  </si>
  <si>
    <t>asking</t>
  </si>
  <si>
    <t># text = How are we going to feed ourselves?</t>
  </si>
  <si>
    <t># text = Or better:</t>
  </si>
  <si>
    <t>Or</t>
  </si>
  <si>
    <t># text = How can we create conditions that enable every community to feed itself?</t>
  </si>
  <si>
    <t>enable</t>
  </si>
  <si>
    <t>itself</t>
  </si>
  <si>
    <t># text = To do that, don't look at the agribusiness model for the future.</t>
  </si>
  <si>
    <t>To</t>
  </si>
  <si>
    <t>model</t>
  </si>
  <si>
    <t># text = It's really old, and it's tired.</t>
  </si>
  <si>
    <t>old</t>
  </si>
  <si>
    <t>tired</t>
  </si>
  <si>
    <t># text = It's high on capital, chemistry and machines, and it's never produced anything really good to eat.</t>
  </si>
  <si>
    <t>high</t>
  </si>
  <si>
    <t>chemistry</t>
  </si>
  <si>
    <t>machines</t>
  </si>
  <si>
    <t>produced</t>
  </si>
  <si>
    <t># text = Instead, let's look to the ecological model.</t>
  </si>
  <si>
    <t># text = That's the one that relies on two billion years of on-the-job experience.</t>
  </si>
  <si>
    <t>relies</t>
  </si>
  <si>
    <t>job</t>
  </si>
  <si>
    <t>experience</t>
  </si>
  <si>
    <t># text = Look to Miguel, farmers like Miguel.</t>
  </si>
  <si>
    <t># text = Farms that aren't worlds unto themselves; farms that restore instead of deplete; farms that farm extensively instead of just intensively; farmers that are not just producers, but experts in relationships.</t>
  </si>
  <si>
    <t>Farms</t>
  </si>
  <si>
    <t>worlds</t>
  </si>
  <si>
    <t>themselves</t>
  </si>
  <si>
    <t>restore</t>
  </si>
  <si>
    <t>instead</t>
  </si>
  <si>
    <t>deplete</t>
  </si>
  <si>
    <t>producers</t>
  </si>
  <si>
    <t>experts</t>
  </si>
  <si>
    <t># text = Because they're the ones that are experts in flavor, too.</t>
  </si>
  <si>
    <t># text = And if I'm going to be really honest, they're a better chef than I'll ever be.</t>
  </si>
  <si>
    <t># text = You know, I'm okay with that, because if that's the future of good food, it's going to be delicious.</t>
  </si>
  <si>
    <t># text = Thank you.</t>
  </si>
  <si>
    <t>Thank</t>
  </si>
  <si>
    <t>Dan Barber</t>
  </si>
  <si>
    <t>dan barber</t>
  </si>
  <si>
    <t>sellers</t>
  </si>
  <si>
    <t>producer company</t>
  </si>
  <si>
    <t>producer company farm</t>
  </si>
  <si>
    <t>cooks</t>
  </si>
  <si>
    <t>SIT</t>
  </si>
  <si>
    <t>Deixis</t>
  </si>
  <si>
    <t>halibut</t>
  </si>
  <si>
    <t>salmon</t>
  </si>
  <si>
    <t>large fish</t>
  </si>
  <si>
    <t>inefficency</t>
  </si>
  <si>
    <t>right company</t>
  </si>
  <si>
    <t>boss of right company</t>
  </si>
  <si>
    <t>audience</t>
  </si>
  <si>
    <t>no pollution</t>
  </si>
  <si>
    <t>correctly farmed fish</t>
  </si>
  <si>
    <t>IDIOM</t>
  </si>
  <si>
    <t>non referring, idiomatic phrase</t>
  </si>
  <si>
    <t>new day</t>
  </si>
  <si>
    <t xml:space="preserve">head biologist </t>
  </si>
  <si>
    <t>phone call</t>
  </si>
  <si>
    <t>planet earth</t>
  </si>
  <si>
    <t>phone call with biologist</t>
  </si>
  <si>
    <t>fish two</t>
  </si>
  <si>
    <t>love story</t>
  </si>
  <si>
    <t>love kind</t>
  </si>
  <si>
    <t>journalist friend</t>
  </si>
  <si>
    <t>group 1 &gt; Dan Barber, audience</t>
  </si>
  <si>
    <t>Veta La Palma</t>
  </si>
  <si>
    <t>hand</t>
  </si>
  <si>
    <t>raising beef cattle</t>
  </si>
  <si>
    <t>draining wetlands</t>
  </si>
  <si>
    <t>spanish company</t>
  </si>
  <si>
    <t>GEN</t>
  </si>
  <si>
    <t>group3 &gt; Dan Barber, chef</t>
  </si>
  <si>
    <t>bird1</t>
  </si>
  <si>
    <t>giraffe</t>
  </si>
  <si>
    <t>EXPL</t>
  </si>
  <si>
    <t>park</t>
  </si>
  <si>
    <t>talk about rare birds</t>
  </si>
  <si>
    <t>night2</t>
  </si>
  <si>
    <t>group4 &gt; algae, phytoplankton, relationships</t>
  </si>
  <si>
    <t>fish from spanish company</t>
  </si>
  <si>
    <t>group5 &gt; biomass, phytoplankton, zooplankton</t>
  </si>
  <si>
    <t>ecosystem</t>
  </si>
  <si>
    <t>BOUND</t>
  </si>
  <si>
    <t>day at Veta</t>
  </si>
  <si>
    <t>corner2</t>
  </si>
  <si>
    <t>farm system</t>
  </si>
  <si>
    <t>pink flamingos</t>
  </si>
  <si>
    <t>head2</t>
  </si>
  <si>
    <t>penguins</t>
  </si>
  <si>
    <t>flight</t>
  </si>
  <si>
    <t>baby flamingos</t>
  </si>
  <si>
    <t>fish skin</t>
  </si>
  <si>
    <t>water at spanish company</t>
  </si>
  <si>
    <t>direction of river</t>
  </si>
  <si>
    <t>predator health</t>
  </si>
  <si>
    <t>new conception</t>
  </si>
  <si>
    <t>random person</t>
  </si>
  <si>
    <t>hungry people</t>
  </si>
  <si>
    <t>logic of food system</t>
  </si>
  <si>
    <t>feeding more for less</t>
  </si>
  <si>
    <t>business plan</t>
  </si>
  <si>
    <t>tractor invention</t>
  </si>
  <si>
    <t>feed ourselves</t>
  </si>
  <si>
    <t>agribusiness model</t>
  </si>
  <si>
    <t>ecological model</t>
  </si>
  <si>
    <t>farmer not producer</t>
  </si>
  <si>
    <t>being better chef</t>
  </si>
  <si>
    <t>past 50 years</t>
  </si>
  <si>
    <t>OLD</t>
  </si>
  <si>
    <t>UNIQUELY_IDENTIFIABLE</t>
  </si>
  <si>
    <t>life_DanBarber</t>
  </si>
  <si>
    <t>ACTIVATED</t>
  </si>
  <si>
    <t>IN_FOCUS</t>
  </si>
  <si>
    <t>REFERENTIAL</t>
  </si>
  <si>
    <t>FAMILIAR</t>
  </si>
  <si>
    <t>head company</t>
  </si>
  <si>
    <t>TYPE_IDENTIFIABLE</t>
  </si>
  <si>
    <t>head biologist</t>
  </si>
  <si>
    <t>group 2 &gt; Dan Barber, fish two</t>
  </si>
  <si>
    <t>vocative</t>
  </si>
  <si>
    <t>NEW</t>
  </si>
  <si>
    <t>UNiQUELY_IDENTIFIABLE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</si>
</sst>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11">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
      <patternFill patternType="solid">
        <fgColor rgb="FFFFF5CE"/>
        <bgColor rgb="FF000000"/>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xf numFmtId="0" fontId="2" fillId="10" borderId="0" xfId="0" applyFont="1" applyFill="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1"/>
  <sheetViews>
    <sheetView workbookViewId="0">
      <pane xSplit="5" ySplit="1" topLeftCell="G35" activePane="bottomRight" state="frozen"/>
      <selection pane="topRight" activeCell="F1" sqref="F1"/>
      <selection pane="bottomLeft" activeCell="A2" sqref="A2"/>
      <selection pane="bottomRight"/>
    </sheetView>
  </sheetViews>
  <sheetFormatPr baseColWidth="10" defaultColWidth="8.83203125" defaultRowHeight="60" customHeight="1" x14ac:dyDescent="0.2"/>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2">
      <c r="A1" s="1" t="s">
        <v>0</v>
      </c>
      <c r="B1" s="1" t="s">
        <v>1</v>
      </c>
      <c r="C1" s="1" t="s">
        <v>2</v>
      </c>
      <c r="D1" s="1" t="s">
        <v>3</v>
      </c>
      <c r="E1" s="1" t="s">
        <v>4</v>
      </c>
      <c r="F1" s="1" t="s">
        <v>5</v>
      </c>
      <c r="G1" s="2" t="s">
        <v>6</v>
      </c>
      <c r="H1" s="3" t="s">
        <v>7</v>
      </c>
      <c r="I1" s="4" t="s">
        <v>8</v>
      </c>
      <c r="J1" s="5" t="s">
        <v>9</v>
      </c>
    </row>
    <row r="2" spans="1:10" ht="60" customHeight="1" x14ac:dyDescent="0.2">
      <c r="A2" s="6" t="s">
        <v>10</v>
      </c>
      <c r="B2" s="6" t="s">
        <v>11</v>
      </c>
      <c r="C2" s="6" t="s">
        <v>12</v>
      </c>
      <c r="D2" s="7" t="s">
        <v>13</v>
      </c>
      <c r="E2" s="8" t="s">
        <v>14</v>
      </c>
      <c r="F2" s="6" t="s">
        <v>15</v>
      </c>
      <c r="G2" s="9" t="str">
        <f t="shared" ref="G2:G65" si="0">IF(A2=1,"_",IF(C2="_","???",C2))</f>
        <v>so?</v>
      </c>
      <c r="H2" s="10" t="s">
        <v>16</v>
      </c>
      <c r="I2" s="11" t="s">
        <v>16</v>
      </c>
      <c r="J2" s="12"/>
    </row>
    <row r="3" spans="1:10" ht="60" customHeight="1" x14ac:dyDescent="0.2">
      <c r="A3" s="6" t="s">
        <v>17</v>
      </c>
      <c r="B3" s="6" t="s">
        <v>18</v>
      </c>
      <c r="C3" s="6" t="s">
        <v>16</v>
      </c>
      <c r="D3" s="7" t="s">
        <v>19</v>
      </c>
      <c r="E3" s="8" t="s">
        <v>20</v>
      </c>
      <c r="F3" s="6" t="s">
        <v>21</v>
      </c>
      <c r="G3" s="9" t="str">
        <f t="shared" si="0"/>
        <v>???</v>
      </c>
      <c r="H3" s="10" t="s">
        <v>16</v>
      </c>
      <c r="I3" s="11" t="s">
        <v>16</v>
      </c>
      <c r="J3" s="12"/>
    </row>
    <row r="4" spans="1:10" ht="60" customHeight="1" x14ac:dyDescent="0.2">
      <c r="A4" s="6" t="s">
        <v>18</v>
      </c>
      <c r="B4" s="6" t="s">
        <v>22</v>
      </c>
      <c r="C4" s="6" t="s">
        <v>16</v>
      </c>
      <c r="D4" s="7" t="s">
        <v>23</v>
      </c>
      <c r="E4" s="8" t="s">
        <v>24</v>
      </c>
      <c r="F4" s="6" t="s">
        <v>25</v>
      </c>
      <c r="G4" s="9" t="str">
        <f t="shared" si="0"/>
        <v>???</v>
      </c>
      <c r="H4" s="10" t="s">
        <v>16</v>
      </c>
      <c r="I4" s="11" t="s">
        <v>16</v>
      </c>
      <c r="J4" s="12"/>
    </row>
    <row r="5" spans="1:10" ht="60" customHeight="1" x14ac:dyDescent="0.2">
      <c r="A5" s="6" t="s">
        <v>26</v>
      </c>
      <c r="B5" s="6" t="s">
        <v>17</v>
      </c>
      <c r="C5" s="6" t="s">
        <v>16</v>
      </c>
      <c r="D5" s="7" t="s">
        <v>27</v>
      </c>
      <c r="E5" s="8" t="s">
        <v>28</v>
      </c>
      <c r="F5" s="6" t="s">
        <v>29</v>
      </c>
      <c r="G5" s="9" t="str">
        <f t="shared" si="0"/>
        <v>???</v>
      </c>
      <c r="H5" s="10" t="s">
        <v>16</v>
      </c>
      <c r="I5" s="11" t="s">
        <v>16</v>
      </c>
      <c r="J5" s="12"/>
    </row>
    <row r="6" spans="1:10" ht="60" customHeight="1" x14ac:dyDescent="0.2">
      <c r="A6" s="6" t="s">
        <v>11</v>
      </c>
      <c r="B6" s="6" t="s">
        <v>18</v>
      </c>
      <c r="C6" s="6" t="s">
        <v>16</v>
      </c>
      <c r="D6" s="7" t="s">
        <v>30</v>
      </c>
      <c r="E6" s="8" t="s">
        <v>31</v>
      </c>
      <c r="F6" s="6" t="s">
        <v>32</v>
      </c>
      <c r="G6" s="9" t="str">
        <f t="shared" si="0"/>
        <v>???</v>
      </c>
      <c r="H6" s="10" t="s">
        <v>16</v>
      </c>
      <c r="I6" s="11" t="s">
        <v>16</v>
      </c>
      <c r="J6" s="12"/>
    </row>
    <row r="7" spans="1:10" ht="60" customHeight="1" x14ac:dyDescent="0.2">
      <c r="A7" s="6" t="s">
        <v>22</v>
      </c>
      <c r="B7" s="6" t="s">
        <v>17</v>
      </c>
      <c r="C7" s="6" t="s">
        <v>16</v>
      </c>
      <c r="D7" s="7" t="s">
        <v>33</v>
      </c>
      <c r="E7" s="8" t="s">
        <v>34</v>
      </c>
      <c r="F7" s="6" t="s">
        <v>35</v>
      </c>
      <c r="G7" s="9" t="str">
        <f t="shared" si="0"/>
        <v>???</v>
      </c>
      <c r="H7" s="10" t="s">
        <v>16</v>
      </c>
      <c r="I7" s="11" t="s">
        <v>16</v>
      </c>
      <c r="J7" s="12"/>
    </row>
    <row r="8" spans="1:10" ht="60" customHeight="1" x14ac:dyDescent="0.2">
      <c r="A8" s="6" t="s">
        <v>36</v>
      </c>
      <c r="B8" s="6" t="s">
        <v>11</v>
      </c>
      <c r="C8" s="6" t="s">
        <v>16</v>
      </c>
      <c r="D8" s="7" t="s">
        <v>37</v>
      </c>
      <c r="E8" s="8" t="s">
        <v>38</v>
      </c>
      <c r="F8" s="6" t="s">
        <v>39</v>
      </c>
      <c r="G8" s="9" t="str">
        <f t="shared" si="0"/>
        <v>???</v>
      </c>
      <c r="H8" s="10" t="s">
        <v>16</v>
      </c>
      <c r="I8" s="11" t="s">
        <v>16</v>
      </c>
      <c r="J8" s="12"/>
    </row>
    <row r="9" spans="1:10" ht="60" customHeight="1" x14ac:dyDescent="0.2">
      <c r="A9" s="6" t="s">
        <v>40</v>
      </c>
      <c r="B9" s="6" t="s">
        <v>26</v>
      </c>
      <c r="C9" s="6" t="s">
        <v>12</v>
      </c>
      <c r="D9" s="7" t="s">
        <v>41</v>
      </c>
      <c r="E9" s="8" t="s">
        <v>42</v>
      </c>
      <c r="F9" s="6" t="s">
        <v>43</v>
      </c>
      <c r="G9" s="9" t="str">
        <f t="shared" si="0"/>
        <v>so?</v>
      </c>
      <c r="H9" s="10" t="s">
        <v>16</v>
      </c>
      <c r="I9" s="11" t="s">
        <v>16</v>
      </c>
      <c r="J9" s="12"/>
    </row>
    <row r="10" spans="1:10" ht="60" customHeight="1" x14ac:dyDescent="0.2">
      <c r="A10" s="6" t="s">
        <v>44</v>
      </c>
      <c r="B10" s="6" t="s">
        <v>17</v>
      </c>
      <c r="C10" s="6" t="s">
        <v>45</v>
      </c>
      <c r="D10" s="7" t="s">
        <v>46</v>
      </c>
      <c r="E10" s="8" t="s">
        <v>47</v>
      </c>
      <c r="F10" s="6" t="s">
        <v>48</v>
      </c>
      <c r="G10" s="9" t="str">
        <f t="shared" si="0"/>
        <v>for?</v>
      </c>
      <c r="H10" s="10" t="s">
        <v>16</v>
      </c>
      <c r="I10" s="11" t="s">
        <v>16</v>
      </c>
      <c r="J10" s="12"/>
    </row>
    <row r="11" spans="1:10" ht="60" customHeight="1" x14ac:dyDescent="0.2">
      <c r="A11" s="6" t="s">
        <v>49</v>
      </c>
      <c r="B11" s="6" t="s">
        <v>44</v>
      </c>
      <c r="C11" s="6" t="s">
        <v>50</v>
      </c>
      <c r="D11" s="7" t="s">
        <v>51</v>
      </c>
      <c r="E11" s="8" t="s">
        <v>52</v>
      </c>
      <c r="F11" s="6" t="s">
        <v>53</v>
      </c>
      <c r="G11" s="9" t="str">
        <f t="shared" si="0"/>
        <v>and?</v>
      </c>
      <c r="H11" s="10" t="s">
        <v>16</v>
      </c>
      <c r="I11" s="11" t="s">
        <v>16</v>
      </c>
      <c r="J11" s="12"/>
    </row>
    <row r="12" spans="1:10" ht="60" customHeight="1" x14ac:dyDescent="0.2">
      <c r="A12" s="6" t="s">
        <v>54</v>
      </c>
      <c r="B12" s="6" t="s">
        <v>22</v>
      </c>
      <c r="C12" s="6" t="s">
        <v>16</v>
      </c>
      <c r="D12" s="7" t="s">
        <v>55</v>
      </c>
      <c r="E12" s="8" t="s">
        <v>56</v>
      </c>
      <c r="F12" s="6" t="s">
        <v>57</v>
      </c>
      <c r="G12" s="9" t="str">
        <f t="shared" si="0"/>
        <v>???</v>
      </c>
      <c r="H12" s="10" t="s">
        <v>16</v>
      </c>
      <c r="I12" s="11" t="s">
        <v>16</v>
      </c>
      <c r="J12" s="12"/>
    </row>
    <row r="13" spans="1:10" ht="60" customHeight="1" x14ac:dyDescent="0.2">
      <c r="A13" s="6" t="s">
        <v>58</v>
      </c>
      <c r="B13" s="6" t="s">
        <v>17</v>
      </c>
      <c r="C13" s="6" t="s">
        <v>16</v>
      </c>
      <c r="D13" s="7" t="s">
        <v>59</v>
      </c>
      <c r="E13" s="8" t="s">
        <v>60</v>
      </c>
      <c r="F13" s="6" t="s">
        <v>61</v>
      </c>
      <c r="G13" s="9" t="str">
        <f t="shared" si="0"/>
        <v>???</v>
      </c>
      <c r="H13" s="10" t="s">
        <v>16</v>
      </c>
      <c r="I13" s="11" t="s">
        <v>16</v>
      </c>
      <c r="J13" s="12"/>
    </row>
    <row r="14" spans="1:10" ht="60" customHeight="1" x14ac:dyDescent="0.2">
      <c r="A14" s="6" t="s">
        <v>62</v>
      </c>
      <c r="B14" s="6" t="s">
        <v>26</v>
      </c>
      <c r="C14" s="6" t="s">
        <v>16</v>
      </c>
      <c r="D14" s="7" t="s">
        <v>63</v>
      </c>
      <c r="E14" s="8" t="s">
        <v>64</v>
      </c>
      <c r="F14" s="6" t="s">
        <v>65</v>
      </c>
      <c r="G14" s="9" t="str">
        <f t="shared" si="0"/>
        <v>???</v>
      </c>
      <c r="H14" s="10" t="s">
        <v>16</v>
      </c>
      <c r="I14" s="11" t="s">
        <v>16</v>
      </c>
      <c r="J14" s="12"/>
    </row>
    <row r="15" spans="1:10" ht="60" customHeight="1" x14ac:dyDescent="0.2">
      <c r="A15" s="6" t="s">
        <v>66</v>
      </c>
      <c r="B15" s="6" t="s">
        <v>49</v>
      </c>
      <c r="C15" s="6" t="s">
        <v>45</v>
      </c>
      <c r="D15" s="7" t="s">
        <v>30</v>
      </c>
      <c r="E15" s="8" t="s">
        <v>67</v>
      </c>
      <c r="F15" s="6" t="s">
        <v>68</v>
      </c>
      <c r="G15" s="9" t="str">
        <f t="shared" si="0"/>
        <v>for?</v>
      </c>
      <c r="H15" s="10" t="s">
        <v>16</v>
      </c>
      <c r="I15" s="11" t="s">
        <v>16</v>
      </c>
      <c r="J15" s="12"/>
    </row>
    <row r="16" spans="1:10" ht="60" customHeight="1" x14ac:dyDescent="0.2">
      <c r="A16" s="6" t="s">
        <v>69</v>
      </c>
      <c r="B16" s="6" t="s">
        <v>17</v>
      </c>
      <c r="C16" s="6" t="s">
        <v>16</v>
      </c>
      <c r="D16" s="7" t="s">
        <v>70</v>
      </c>
      <c r="E16" s="8" t="s">
        <v>71</v>
      </c>
      <c r="F16" s="6" t="s">
        <v>72</v>
      </c>
      <c r="G16" s="9" t="str">
        <f t="shared" si="0"/>
        <v>???</v>
      </c>
      <c r="H16" s="10" t="s">
        <v>16</v>
      </c>
      <c r="I16" s="11" t="s">
        <v>16</v>
      </c>
      <c r="J16" s="12"/>
    </row>
    <row r="17" spans="1:10" ht="60" customHeight="1" x14ac:dyDescent="0.2">
      <c r="A17" s="6" t="s">
        <v>73</v>
      </c>
      <c r="B17" s="6" t="s">
        <v>62</v>
      </c>
      <c r="C17" s="6" t="s">
        <v>16</v>
      </c>
      <c r="D17" s="7" t="s">
        <v>74</v>
      </c>
      <c r="E17" s="8" t="s">
        <v>75</v>
      </c>
      <c r="F17" s="6" t="s">
        <v>76</v>
      </c>
      <c r="G17" s="9" t="str">
        <f t="shared" si="0"/>
        <v>???</v>
      </c>
      <c r="H17" s="10" t="s">
        <v>16</v>
      </c>
      <c r="I17" s="11" t="s">
        <v>16</v>
      </c>
      <c r="J17" s="12"/>
    </row>
    <row r="18" spans="1:10" ht="60" customHeight="1" x14ac:dyDescent="0.2">
      <c r="A18" s="6" t="s">
        <v>77</v>
      </c>
      <c r="B18" s="6" t="s">
        <v>17</v>
      </c>
      <c r="C18" s="6" t="s">
        <v>16</v>
      </c>
      <c r="D18" s="7" t="s">
        <v>78</v>
      </c>
      <c r="E18" s="8" t="s">
        <v>79</v>
      </c>
      <c r="F18" s="6" t="s">
        <v>80</v>
      </c>
      <c r="G18" s="9" t="str">
        <f t="shared" si="0"/>
        <v>???</v>
      </c>
      <c r="H18" s="10" t="s">
        <v>16</v>
      </c>
      <c r="I18" s="11" t="s">
        <v>16</v>
      </c>
      <c r="J18" s="12"/>
    </row>
    <row r="19" spans="1:10" ht="60" customHeight="1" x14ac:dyDescent="0.2">
      <c r="A19" s="6" t="s">
        <v>81</v>
      </c>
      <c r="B19" s="6" t="s">
        <v>69</v>
      </c>
      <c r="C19" s="6" t="s">
        <v>45</v>
      </c>
      <c r="D19" s="7" t="s">
        <v>82</v>
      </c>
      <c r="E19" s="8" t="s">
        <v>83</v>
      </c>
      <c r="F19" s="6" t="s">
        <v>84</v>
      </c>
      <c r="G19" s="9" t="str">
        <f t="shared" si="0"/>
        <v>for?</v>
      </c>
      <c r="H19" s="10" t="s">
        <v>16</v>
      </c>
      <c r="I19" s="11" t="s">
        <v>16</v>
      </c>
      <c r="J19" s="12"/>
    </row>
    <row r="20" spans="1:10" ht="60" customHeight="1" x14ac:dyDescent="0.2">
      <c r="A20" s="6" t="s">
        <v>85</v>
      </c>
      <c r="B20" s="6" t="s">
        <v>17</v>
      </c>
      <c r="C20" s="6" t="s">
        <v>50</v>
      </c>
      <c r="D20" s="7" t="s">
        <v>86</v>
      </c>
      <c r="E20" s="8" t="s">
        <v>87</v>
      </c>
      <c r="F20" s="6" t="s">
        <v>88</v>
      </c>
      <c r="G20" s="9" t="str">
        <f t="shared" si="0"/>
        <v>and?</v>
      </c>
      <c r="H20" s="10" t="s">
        <v>16</v>
      </c>
      <c r="I20" s="11" t="s">
        <v>16</v>
      </c>
      <c r="J20" s="12"/>
    </row>
    <row r="21" spans="1:10" ht="60" customHeight="1" x14ac:dyDescent="0.2">
      <c r="A21" s="6" t="s">
        <v>89</v>
      </c>
      <c r="B21" s="6" t="s">
        <v>10</v>
      </c>
      <c r="C21" s="6" t="s">
        <v>16</v>
      </c>
      <c r="D21" s="7" t="s">
        <v>90</v>
      </c>
      <c r="E21" s="8" t="s">
        <v>91</v>
      </c>
      <c r="F21" s="6" t="s">
        <v>92</v>
      </c>
      <c r="G21" s="9" t="str">
        <f t="shared" si="0"/>
        <v>???</v>
      </c>
      <c r="H21" s="10" t="s">
        <v>16</v>
      </c>
      <c r="I21" s="11" t="s">
        <v>16</v>
      </c>
      <c r="J21" s="12"/>
    </row>
    <row r="22" spans="1:10" ht="60" customHeight="1" x14ac:dyDescent="0.2">
      <c r="A22" s="6" t="s">
        <v>93</v>
      </c>
      <c r="B22" s="6" t="s">
        <v>18</v>
      </c>
      <c r="C22" s="6" t="s">
        <v>16</v>
      </c>
      <c r="D22" s="7" t="s">
        <v>94</v>
      </c>
      <c r="E22" s="8" t="s">
        <v>95</v>
      </c>
      <c r="F22" s="6" t="s">
        <v>96</v>
      </c>
      <c r="G22" s="9" t="str">
        <f t="shared" si="0"/>
        <v>???</v>
      </c>
      <c r="H22" s="10" t="s">
        <v>16</v>
      </c>
      <c r="I22" s="11" t="s">
        <v>16</v>
      </c>
      <c r="J22" s="12"/>
    </row>
    <row r="23" spans="1:10" ht="60" customHeight="1" x14ac:dyDescent="0.2">
      <c r="A23" s="6" t="s">
        <v>97</v>
      </c>
      <c r="B23" s="6" t="s">
        <v>17</v>
      </c>
      <c r="C23" s="6" t="s">
        <v>16</v>
      </c>
      <c r="D23" s="7" t="s">
        <v>98</v>
      </c>
      <c r="E23" s="8" t="s">
        <v>99</v>
      </c>
      <c r="F23" s="6" t="s">
        <v>100</v>
      </c>
      <c r="G23" s="9" t="str">
        <f t="shared" si="0"/>
        <v>???</v>
      </c>
      <c r="H23" s="10" t="s">
        <v>16</v>
      </c>
      <c r="I23" s="11" t="s">
        <v>16</v>
      </c>
      <c r="J23" s="12"/>
    </row>
    <row r="24" spans="1:10" ht="60" customHeight="1" x14ac:dyDescent="0.2">
      <c r="A24" s="6" t="s">
        <v>101</v>
      </c>
      <c r="B24" s="6" t="s">
        <v>18</v>
      </c>
      <c r="C24" s="6" t="s">
        <v>16</v>
      </c>
      <c r="D24" s="7" t="s">
        <v>102</v>
      </c>
      <c r="E24" s="8" t="s">
        <v>103</v>
      </c>
      <c r="F24" s="6" t="s">
        <v>104</v>
      </c>
      <c r="G24" s="9" t="str">
        <f t="shared" si="0"/>
        <v>???</v>
      </c>
      <c r="H24" s="10" t="s">
        <v>16</v>
      </c>
      <c r="I24" s="11" t="s">
        <v>16</v>
      </c>
      <c r="J24" s="12"/>
    </row>
    <row r="25" spans="1:10" ht="60" customHeight="1" x14ac:dyDescent="0.2">
      <c r="A25" s="6" t="s">
        <v>105</v>
      </c>
      <c r="B25" s="6" t="s">
        <v>26</v>
      </c>
      <c r="C25" s="6" t="s">
        <v>16</v>
      </c>
      <c r="D25" s="7" t="s">
        <v>106</v>
      </c>
      <c r="E25" s="8" t="s">
        <v>107</v>
      </c>
      <c r="F25" s="6" t="s">
        <v>108</v>
      </c>
      <c r="G25" s="9" t="str">
        <f t="shared" si="0"/>
        <v>???</v>
      </c>
      <c r="H25" s="10" t="s">
        <v>16</v>
      </c>
      <c r="I25" s="11" t="s">
        <v>16</v>
      </c>
      <c r="J25" s="12"/>
    </row>
    <row r="26" spans="1:10" ht="60" customHeight="1" x14ac:dyDescent="0.2">
      <c r="A26" s="6" t="s">
        <v>109</v>
      </c>
      <c r="B26" s="6" t="s">
        <v>22</v>
      </c>
      <c r="C26" s="6" t="s">
        <v>110</v>
      </c>
      <c r="D26" s="7" t="s">
        <v>111</v>
      </c>
      <c r="E26" s="8" t="s">
        <v>112</v>
      </c>
      <c r="F26" s="6" t="s">
        <v>113</v>
      </c>
      <c r="G26" s="9" t="str">
        <f t="shared" si="0"/>
        <v>finally?</v>
      </c>
      <c r="H26" s="10" t="s">
        <v>16</v>
      </c>
      <c r="I26" s="11" t="s">
        <v>16</v>
      </c>
      <c r="J26" s="12"/>
    </row>
    <row r="27" spans="1:10" ht="60" customHeight="1" x14ac:dyDescent="0.2">
      <c r="A27" s="6" t="s">
        <v>114</v>
      </c>
      <c r="B27" s="6" t="s">
        <v>26</v>
      </c>
      <c r="C27" s="6" t="s">
        <v>16</v>
      </c>
      <c r="D27" s="7" t="s">
        <v>115</v>
      </c>
      <c r="E27" s="8" t="s">
        <v>116</v>
      </c>
      <c r="F27" s="6" t="s">
        <v>117</v>
      </c>
      <c r="G27" s="9" t="str">
        <f t="shared" si="0"/>
        <v>???</v>
      </c>
      <c r="H27" s="10" t="s">
        <v>16</v>
      </c>
      <c r="I27" s="11" t="s">
        <v>16</v>
      </c>
      <c r="J27" s="12"/>
    </row>
    <row r="28" spans="1:10" ht="60" customHeight="1" x14ac:dyDescent="0.2">
      <c r="A28" s="6" t="s">
        <v>118</v>
      </c>
      <c r="B28" s="6" t="s">
        <v>40</v>
      </c>
      <c r="C28" s="6" t="s">
        <v>45</v>
      </c>
      <c r="D28" s="7" t="s">
        <v>51</v>
      </c>
      <c r="E28" s="8" t="s">
        <v>119</v>
      </c>
      <c r="F28" s="6" t="s">
        <v>120</v>
      </c>
      <c r="G28" s="9" t="str">
        <f t="shared" si="0"/>
        <v>for?</v>
      </c>
      <c r="H28" s="10" t="s">
        <v>16</v>
      </c>
      <c r="I28" s="11" t="s">
        <v>16</v>
      </c>
      <c r="J28" s="12"/>
    </row>
    <row r="29" spans="1:10" ht="60" customHeight="1" x14ac:dyDescent="0.2">
      <c r="A29" s="6" t="s">
        <v>121</v>
      </c>
      <c r="B29" s="6" t="s">
        <v>58</v>
      </c>
      <c r="C29" s="6" t="s">
        <v>16</v>
      </c>
      <c r="D29" s="7" t="s">
        <v>55</v>
      </c>
      <c r="E29" s="8" t="s">
        <v>122</v>
      </c>
      <c r="F29" s="6" t="s">
        <v>123</v>
      </c>
      <c r="G29" s="9" t="str">
        <f t="shared" si="0"/>
        <v>???</v>
      </c>
      <c r="H29" s="10" t="s">
        <v>16</v>
      </c>
      <c r="I29" s="11" t="s">
        <v>16</v>
      </c>
      <c r="J29" s="12"/>
    </row>
    <row r="30" spans="1:10" ht="60" customHeight="1" x14ac:dyDescent="0.2">
      <c r="A30" s="6" t="s">
        <v>124</v>
      </c>
      <c r="B30" s="6" t="s">
        <v>40</v>
      </c>
      <c r="C30" s="6" t="s">
        <v>16</v>
      </c>
      <c r="D30" s="7" t="s">
        <v>55</v>
      </c>
      <c r="E30" s="8" t="s">
        <v>125</v>
      </c>
      <c r="F30" s="6" t="s">
        <v>126</v>
      </c>
      <c r="G30" s="9" t="str">
        <f t="shared" si="0"/>
        <v>???</v>
      </c>
      <c r="H30" s="10" t="s">
        <v>16</v>
      </c>
      <c r="I30" s="11" t="s">
        <v>16</v>
      </c>
      <c r="J30" s="12"/>
    </row>
    <row r="31" spans="1:10" ht="60" customHeight="1" x14ac:dyDescent="0.2">
      <c r="A31" s="6" t="s">
        <v>127</v>
      </c>
      <c r="B31" s="6" t="s">
        <v>77</v>
      </c>
      <c r="C31" s="6" t="s">
        <v>16</v>
      </c>
      <c r="D31" s="7" t="s">
        <v>128</v>
      </c>
      <c r="E31" s="8" t="s">
        <v>129</v>
      </c>
      <c r="F31" s="6" t="s">
        <v>130</v>
      </c>
      <c r="G31" s="9" t="str">
        <f t="shared" si="0"/>
        <v>???</v>
      </c>
      <c r="H31" s="10" t="s">
        <v>16</v>
      </c>
      <c r="I31" s="11" t="s">
        <v>16</v>
      </c>
      <c r="J31" s="12"/>
    </row>
    <row r="32" spans="1:10" ht="60" customHeight="1" x14ac:dyDescent="0.2">
      <c r="A32" s="6" t="s">
        <v>131</v>
      </c>
      <c r="B32" s="6" t="s">
        <v>26</v>
      </c>
      <c r="C32" s="6" t="s">
        <v>132</v>
      </c>
      <c r="D32" s="7" t="s">
        <v>133</v>
      </c>
      <c r="E32" s="8" t="s">
        <v>134</v>
      </c>
      <c r="F32" s="6" t="s">
        <v>135</v>
      </c>
      <c r="G32" s="9" t="str">
        <f t="shared" si="0"/>
        <v>then?</v>
      </c>
      <c r="H32" s="10" t="s">
        <v>16</v>
      </c>
      <c r="I32" s="11" t="s">
        <v>16</v>
      </c>
      <c r="J32" s="12"/>
    </row>
    <row r="33" spans="1:10" ht="60" customHeight="1" x14ac:dyDescent="0.2">
      <c r="A33" s="6" t="s">
        <v>136</v>
      </c>
      <c r="B33" s="6" t="s">
        <v>26</v>
      </c>
      <c r="C33" s="6" t="s">
        <v>16</v>
      </c>
      <c r="D33" s="7" t="s">
        <v>137</v>
      </c>
      <c r="E33" s="8" t="s">
        <v>138</v>
      </c>
      <c r="F33" s="6" t="s">
        <v>139</v>
      </c>
      <c r="G33" s="9" t="str">
        <f t="shared" si="0"/>
        <v>???</v>
      </c>
      <c r="H33" s="10" t="s">
        <v>16</v>
      </c>
      <c r="I33" s="11" t="s">
        <v>16</v>
      </c>
      <c r="J33" s="12"/>
    </row>
    <row r="34" spans="1:10" ht="60" customHeight="1" x14ac:dyDescent="0.2">
      <c r="A34" s="6" t="s">
        <v>140</v>
      </c>
      <c r="B34" s="6" t="s">
        <v>36</v>
      </c>
      <c r="C34" s="6" t="s">
        <v>16</v>
      </c>
      <c r="D34" s="7" t="s">
        <v>55</v>
      </c>
      <c r="E34" s="8" t="s">
        <v>141</v>
      </c>
      <c r="F34" s="6" t="s">
        <v>142</v>
      </c>
      <c r="G34" s="9" t="str">
        <f t="shared" si="0"/>
        <v>???</v>
      </c>
      <c r="H34" s="10" t="s">
        <v>16</v>
      </c>
      <c r="I34" s="11" t="s">
        <v>16</v>
      </c>
      <c r="J34" s="12"/>
    </row>
    <row r="35" spans="1:10" ht="60" customHeight="1" x14ac:dyDescent="0.2">
      <c r="A35" s="6" t="s">
        <v>143</v>
      </c>
      <c r="B35" s="6" t="s">
        <v>58</v>
      </c>
      <c r="C35" s="6" t="s">
        <v>16</v>
      </c>
      <c r="D35" s="7" t="s">
        <v>144</v>
      </c>
      <c r="E35" s="8" t="s">
        <v>145</v>
      </c>
      <c r="F35" s="6" t="s">
        <v>146</v>
      </c>
      <c r="G35" s="9" t="str">
        <f t="shared" si="0"/>
        <v>???</v>
      </c>
      <c r="H35" s="10" t="s">
        <v>16</v>
      </c>
      <c r="I35" s="11" t="s">
        <v>16</v>
      </c>
      <c r="J35" s="12"/>
    </row>
    <row r="36" spans="1:10" ht="60" customHeight="1" x14ac:dyDescent="0.2">
      <c r="A36" s="6" t="s">
        <v>147</v>
      </c>
      <c r="B36" s="6" t="s">
        <v>18</v>
      </c>
      <c r="C36" s="6" t="s">
        <v>16</v>
      </c>
      <c r="D36" s="7" t="s">
        <v>148</v>
      </c>
      <c r="E36" s="8" t="s">
        <v>149</v>
      </c>
      <c r="F36" s="6" t="s">
        <v>150</v>
      </c>
      <c r="G36" s="9" t="str">
        <f t="shared" si="0"/>
        <v>???</v>
      </c>
      <c r="H36" s="10" t="s">
        <v>16</v>
      </c>
      <c r="I36" s="11" t="s">
        <v>16</v>
      </c>
      <c r="J36" s="12"/>
    </row>
    <row r="37" spans="1:10" ht="60" customHeight="1" x14ac:dyDescent="0.2">
      <c r="A37" s="6" t="s">
        <v>151</v>
      </c>
      <c r="B37" s="6" t="s">
        <v>26</v>
      </c>
      <c r="C37" s="6" t="s">
        <v>16</v>
      </c>
      <c r="D37" s="7" t="s">
        <v>152</v>
      </c>
      <c r="E37" s="8" t="s">
        <v>153</v>
      </c>
      <c r="F37" s="6" t="s">
        <v>154</v>
      </c>
      <c r="G37" s="9" t="str">
        <f t="shared" si="0"/>
        <v>???</v>
      </c>
      <c r="H37" s="10" t="s">
        <v>16</v>
      </c>
      <c r="I37" s="11" t="s">
        <v>16</v>
      </c>
      <c r="J37" s="12"/>
    </row>
    <row r="38" spans="1:10" ht="60" customHeight="1" x14ac:dyDescent="0.2">
      <c r="A38" s="6" t="s">
        <v>155</v>
      </c>
      <c r="B38" s="6" t="s">
        <v>36</v>
      </c>
      <c r="C38" s="6" t="s">
        <v>16</v>
      </c>
      <c r="D38" s="7" t="s">
        <v>55</v>
      </c>
      <c r="E38" s="8" t="s">
        <v>156</v>
      </c>
      <c r="F38" s="6" t="s">
        <v>157</v>
      </c>
      <c r="G38" s="9" t="str">
        <f t="shared" si="0"/>
        <v>???</v>
      </c>
      <c r="H38" s="10" t="s">
        <v>16</v>
      </c>
      <c r="I38" s="11" t="s">
        <v>16</v>
      </c>
      <c r="J38" s="12"/>
    </row>
    <row r="39" spans="1:10" ht="60" customHeight="1" x14ac:dyDescent="0.2">
      <c r="A39" s="6" t="s">
        <v>158</v>
      </c>
      <c r="B39" s="6" t="s">
        <v>22</v>
      </c>
      <c r="C39" s="6" t="s">
        <v>16</v>
      </c>
      <c r="D39" s="7" t="s">
        <v>55</v>
      </c>
      <c r="E39" s="8" t="s">
        <v>159</v>
      </c>
      <c r="F39" s="6" t="s">
        <v>160</v>
      </c>
      <c r="G39" s="9" t="str">
        <f t="shared" si="0"/>
        <v>???</v>
      </c>
      <c r="H39" s="10" t="s">
        <v>16</v>
      </c>
      <c r="I39" s="11" t="s">
        <v>16</v>
      </c>
      <c r="J39" s="12"/>
    </row>
    <row r="40" spans="1:10" ht="60" customHeight="1" x14ac:dyDescent="0.2">
      <c r="A40" s="6" t="s">
        <v>161</v>
      </c>
      <c r="B40" s="6" t="s">
        <v>10</v>
      </c>
      <c r="C40" s="6" t="s">
        <v>16</v>
      </c>
      <c r="D40" s="7" t="s">
        <v>94</v>
      </c>
      <c r="E40" s="8" t="s">
        <v>162</v>
      </c>
      <c r="F40" s="6" t="s">
        <v>163</v>
      </c>
      <c r="G40" s="9" t="str">
        <f t="shared" si="0"/>
        <v>???</v>
      </c>
      <c r="H40" s="10" t="s">
        <v>16</v>
      </c>
      <c r="I40" s="11" t="s">
        <v>16</v>
      </c>
      <c r="J40" s="12"/>
    </row>
    <row r="41" spans="1:10" ht="60" customHeight="1" x14ac:dyDescent="0.2">
      <c r="A41" s="6" t="s">
        <v>164</v>
      </c>
      <c r="B41" s="6" t="s">
        <v>36</v>
      </c>
      <c r="C41" s="6" t="s">
        <v>50</v>
      </c>
      <c r="D41" s="7" t="s">
        <v>165</v>
      </c>
      <c r="E41" s="8" t="s">
        <v>166</v>
      </c>
      <c r="F41" s="6" t="s">
        <v>167</v>
      </c>
      <c r="G41" s="9" t="str">
        <f t="shared" si="0"/>
        <v>and?</v>
      </c>
      <c r="H41" s="10" t="s">
        <v>16</v>
      </c>
      <c r="I41" s="11" t="s">
        <v>16</v>
      </c>
      <c r="J41" s="12"/>
    </row>
    <row r="42" spans="1:10" ht="60" customHeight="1" x14ac:dyDescent="0.2">
      <c r="A42" s="6" t="s">
        <v>168</v>
      </c>
      <c r="B42" s="6" t="s">
        <v>58</v>
      </c>
      <c r="C42" s="6" t="s">
        <v>169</v>
      </c>
      <c r="D42" s="7" t="s">
        <v>51</v>
      </c>
      <c r="E42" s="8" t="s">
        <v>170</v>
      </c>
      <c r="F42" s="6" t="s">
        <v>171</v>
      </c>
      <c r="G42" s="9" t="str">
        <f t="shared" si="0"/>
        <v>before?</v>
      </c>
      <c r="H42" s="10" t="s">
        <v>16</v>
      </c>
      <c r="I42" s="11" t="s">
        <v>16</v>
      </c>
      <c r="J42" s="12"/>
    </row>
    <row r="43" spans="1:10" ht="60" customHeight="1" x14ac:dyDescent="0.2">
      <c r="A43" s="6" t="s">
        <v>172</v>
      </c>
      <c r="B43" s="6" t="s">
        <v>17</v>
      </c>
      <c r="C43" s="6" t="s">
        <v>16</v>
      </c>
      <c r="D43" s="7" t="s">
        <v>55</v>
      </c>
      <c r="E43" s="8" t="s">
        <v>173</v>
      </c>
      <c r="F43" s="6" t="s">
        <v>174</v>
      </c>
      <c r="G43" s="9" t="str">
        <f t="shared" si="0"/>
        <v>???</v>
      </c>
      <c r="H43" s="10" t="s">
        <v>16</v>
      </c>
      <c r="I43" s="11" t="s">
        <v>16</v>
      </c>
      <c r="J43" s="12"/>
    </row>
    <row r="44" spans="1:10" ht="60" customHeight="1" x14ac:dyDescent="0.2">
      <c r="A44" s="6" t="s">
        <v>175</v>
      </c>
      <c r="B44" s="6" t="s">
        <v>22</v>
      </c>
      <c r="C44" s="6" t="s">
        <v>16</v>
      </c>
      <c r="D44" s="7" t="s">
        <v>176</v>
      </c>
      <c r="E44" s="8" t="s">
        <v>177</v>
      </c>
      <c r="F44" s="6" t="s">
        <v>178</v>
      </c>
      <c r="G44" s="9" t="str">
        <f t="shared" si="0"/>
        <v>???</v>
      </c>
      <c r="H44" s="10" t="s">
        <v>16</v>
      </c>
      <c r="I44" s="11" t="s">
        <v>16</v>
      </c>
      <c r="J44" s="12"/>
    </row>
    <row r="45" spans="1:10" ht="60" customHeight="1" x14ac:dyDescent="0.2">
      <c r="A45" s="6" t="s">
        <v>179</v>
      </c>
      <c r="B45" s="6" t="s">
        <v>18</v>
      </c>
      <c r="C45" s="6" t="s">
        <v>16</v>
      </c>
      <c r="D45" s="7" t="s">
        <v>180</v>
      </c>
      <c r="E45" s="8" t="s">
        <v>181</v>
      </c>
      <c r="F45" s="6" t="s">
        <v>182</v>
      </c>
      <c r="G45" s="9" t="str">
        <f t="shared" si="0"/>
        <v>???</v>
      </c>
      <c r="H45" s="10" t="s">
        <v>16</v>
      </c>
      <c r="I45" s="11" t="s">
        <v>16</v>
      </c>
      <c r="J45" s="12"/>
    </row>
    <row r="46" spans="1:10" ht="60" customHeight="1" x14ac:dyDescent="0.2">
      <c r="A46" s="6" t="s">
        <v>183</v>
      </c>
      <c r="B46" s="6" t="s">
        <v>26</v>
      </c>
      <c r="C46" s="6" t="s">
        <v>110</v>
      </c>
      <c r="D46" s="7" t="s">
        <v>94</v>
      </c>
      <c r="E46" s="8" t="s">
        <v>184</v>
      </c>
      <c r="F46" s="6" t="s">
        <v>185</v>
      </c>
      <c r="G46" s="9" t="str">
        <f t="shared" si="0"/>
        <v>finally?</v>
      </c>
      <c r="H46" s="10" t="s">
        <v>16</v>
      </c>
      <c r="I46" s="11" t="s">
        <v>16</v>
      </c>
      <c r="J46" s="12"/>
    </row>
    <row r="47" spans="1:10" ht="60" customHeight="1" x14ac:dyDescent="0.2">
      <c r="A47" s="6" t="s">
        <v>186</v>
      </c>
      <c r="B47" s="6" t="s">
        <v>10</v>
      </c>
      <c r="C47" s="6" t="s">
        <v>16</v>
      </c>
      <c r="D47" s="7" t="s">
        <v>187</v>
      </c>
      <c r="E47" s="8" t="s">
        <v>188</v>
      </c>
      <c r="F47" s="6" t="s">
        <v>189</v>
      </c>
      <c r="G47" s="9" t="str">
        <f t="shared" si="0"/>
        <v>???</v>
      </c>
      <c r="H47" s="10" t="s">
        <v>16</v>
      </c>
      <c r="I47" s="11" t="s">
        <v>16</v>
      </c>
      <c r="J47" s="12"/>
    </row>
    <row r="48" spans="1:10" ht="60" customHeight="1" x14ac:dyDescent="0.2">
      <c r="A48" s="6" t="s">
        <v>190</v>
      </c>
      <c r="B48" s="6" t="s">
        <v>17</v>
      </c>
      <c r="C48" s="6" t="s">
        <v>16</v>
      </c>
      <c r="D48" s="7" t="s">
        <v>191</v>
      </c>
      <c r="E48" s="8" t="s">
        <v>192</v>
      </c>
      <c r="F48" s="6" t="s">
        <v>193</v>
      </c>
      <c r="G48" s="9" t="str">
        <f t="shared" si="0"/>
        <v>???</v>
      </c>
      <c r="H48" s="10" t="s">
        <v>16</v>
      </c>
      <c r="I48" s="11" t="s">
        <v>16</v>
      </c>
      <c r="J48" s="12"/>
    </row>
    <row r="49" spans="1:10" ht="60" customHeight="1" x14ac:dyDescent="0.2">
      <c r="A49" s="6" t="s">
        <v>194</v>
      </c>
      <c r="B49" s="6" t="s">
        <v>69</v>
      </c>
      <c r="C49" s="6" t="s">
        <v>132</v>
      </c>
      <c r="D49" s="7" t="s">
        <v>195</v>
      </c>
      <c r="E49" s="8" t="s">
        <v>196</v>
      </c>
      <c r="F49" s="6" t="s">
        <v>197</v>
      </c>
      <c r="G49" s="9" t="str">
        <f t="shared" si="0"/>
        <v>then?</v>
      </c>
      <c r="H49" s="10" t="s">
        <v>16</v>
      </c>
      <c r="I49" s="11" t="s">
        <v>16</v>
      </c>
      <c r="J49" s="12"/>
    </row>
    <row r="50" spans="1:10" ht="60" customHeight="1" x14ac:dyDescent="0.2">
      <c r="A50" s="6" t="s">
        <v>198</v>
      </c>
      <c r="B50" s="6" t="s">
        <v>17</v>
      </c>
      <c r="C50" s="6" t="s">
        <v>16</v>
      </c>
      <c r="D50" s="7" t="s">
        <v>55</v>
      </c>
      <c r="E50" s="8" t="s">
        <v>199</v>
      </c>
      <c r="F50" s="6" t="s">
        <v>200</v>
      </c>
      <c r="G50" s="9" t="str">
        <f t="shared" si="0"/>
        <v>???</v>
      </c>
      <c r="H50" s="10" t="s">
        <v>16</v>
      </c>
      <c r="I50" s="11" t="s">
        <v>16</v>
      </c>
      <c r="J50" s="12"/>
    </row>
    <row r="51" spans="1:10" ht="60" customHeight="1" x14ac:dyDescent="0.2">
      <c r="A51" s="6" t="s">
        <v>201</v>
      </c>
      <c r="B51" s="6" t="s">
        <v>17</v>
      </c>
      <c r="C51" s="6" t="s">
        <v>16</v>
      </c>
      <c r="D51" s="7" t="s">
        <v>55</v>
      </c>
      <c r="E51" s="8" t="s">
        <v>202</v>
      </c>
      <c r="F51" s="6" t="s">
        <v>203</v>
      </c>
      <c r="G51" s="9" t="str">
        <f t="shared" si="0"/>
        <v>???</v>
      </c>
      <c r="H51" s="10" t="s">
        <v>16</v>
      </c>
      <c r="I51" s="11" t="s">
        <v>16</v>
      </c>
      <c r="J51" s="12"/>
    </row>
    <row r="52" spans="1:10" ht="60" customHeight="1" x14ac:dyDescent="0.2">
      <c r="A52" s="6" t="s">
        <v>204</v>
      </c>
      <c r="B52" s="6" t="s">
        <v>17</v>
      </c>
      <c r="C52" s="6" t="s">
        <v>16</v>
      </c>
      <c r="D52" s="7" t="s">
        <v>55</v>
      </c>
      <c r="E52" s="8" t="s">
        <v>205</v>
      </c>
      <c r="F52" s="6" t="s">
        <v>206</v>
      </c>
      <c r="G52" s="9" t="str">
        <f t="shared" si="0"/>
        <v>???</v>
      </c>
      <c r="H52" s="10" t="s">
        <v>16</v>
      </c>
      <c r="I52" s="11" t="s">
        <v>16</v>
      </c>
      <c r="J52" s="12"/>
    </row>
    <row r="53" spans="1:10" ht="60" customHeight="1" x14ac:dyDescent="0.2">
      <c r="A53" s="6" t="s">
        <v>207</v>
      </c>
      <c r="B53" s="6" t="s">
        <v>10</v>
      </c>
      <c r="C53" s="6" t="s">
        <v>16</v>
      </c>
      <c r="D53" s="7" t="s">
        <v>208</v>
      </c>
      <c r="E53" s="8" t="s">
        <v>209</v>
      </c>
      <c r="F53" s="6" t="s">
        <v>210</v>
      </c>
      <c r="G53" s="9" t="str">
        <f t="shared" si="0"/>
        <v>???</v>
      </c>
      <c r="H53" s="10" t="s">
        <v>16</v>
      </c>
      <c r="I53" s="11" t="s">
        <v>16</v>
      </c>
      <c r="J53" s="12"/>
    </row>
    <row r="54" spans="1:10" ht="60" customHeight="1" x14ac:dyDescent="0.2">
      <c r="A54" s="6" t="s">
        <v>211</v>
      </c>
      <c r="B54" s="6" t="s">
        <v>58</v>
      </c>
      <c r="C54" s="6" t="s">
        <v>16</v>
      </c>
      <c r="D54" s="7" t="s">
        <v>55</v>
      </c>
      <c r="E54" s="8" t="s">
        <v>212</v>
      </c>
      <c r="F54" s="6" t="s">
        <v>213</v>
      </c>
      <c r="G54" s="9" t="str">
        <f t="shared" si="0"/>
        <v>???</v>
      </c>
      <c r="H54" s="10" t="s">
        <v>16</v>
      </c>
      <c r="I54" s="11" t="s">
        <v>16</v>
      </c>
      <c r="J54" s="12"/>
    </row>
    <row r="55" spans="1:10" ht="60" customHeight="1" x14ac:dyDescent="0.2">
      <c r="A55" s="6" t="s">
        <v>214</v>
      </c>
      <c r="B55" s="6" t="s">
        <v>17</v>
      </c>
      <c r="C55" s="6" t="s">
        <v>16</v>
      </c>
      <c r="D55" s="7" t="s">
        <v>55</v>
      </c>
      <c r="E55" s="8" t="s">
        <v>215</v>
      </c>
      <c r="F55" s="6" t="s">
        <v>216</v>
      </c>
      <c r="G55" s="9" t="str">
        <f t="shared" si="0"/>
        <v>???</v>
      </c>
      <c r="H55" s="10" t="s">
        <v>16</v>
      </c>
      <c r="I55" s="11" t="s">
        <v>16</v>
      </c>
      <c r="J55" s="12"/>
    </row>
    <row r="56" spans="1:10" ht="60" customHeight="1" x14ac:dyDescent="0.2">
      <c r="A56" s="6" t="s">
        <v>217</v>
      </c>
      <c r="B56" s="6" t="s">
        <v>17</v>
      </c>
      <c r="C56" s="6" t="s">
        <v>50</v>
      </c>
      <c r="D56" s="7" t="s">
        <v>78</v>
      </c>
      <c r="E56" s="8" t="s">
        <v>218</v>
      </c>
      <c r="F56" s="6" t="s">
        <v>219</v>
      </c>
      <c r="G56" s="9" t="str">
        <f t="shared" si="0"/>
        <v>and?</v>
      </c>
      <c r="H56" s="10" t="s">
        <v>16</v>
      </c>
      <c r="I56" s="11" t="s">
        <v>16</v>
      </c>
      <c r="J56" s="12"/>
    </row>
    <row r="57" spans="1:10" ht="60" customHeight="1" x14ac:dyDescent="0.2">
      <c r="A57" s="6" t="s">
        <v>220</v>
      </c>
      <c r="B57" s="6" t="s">
        <v>17</v>
      </c>
      <c r="C57" s="6" t="s">
        <v>16</v>
      </c>
      <c r="D57" s="7" t="s">
        <v>221</v>
      </c>
      <c r="E57" s="8" t="s">
        <v>222</v>
      </c>
      <c r="F57" s="6" t="s">
        <v>223</v>
      </c>
      <c r="G57" s="9" t="str">
        <f t="shared" si="0"/>
        <v>???</v>
      </c>
      <c r="H57" s="10" t="s">
        <v>16</v>
      </c>
      <c r="I57" s="11" t="s">
        <v>16</v>
      </c>
      <c r="J57" s="12"/>
    </row>
    <row r="58" spans="1:10" ht="60" customHeight="1" x14ac:dyDescent="0.2">
      <c r="A58" s="6" t="s">
        <v>224</v>
      </c>
      <c r="B58" s="6" t="s">
        <v>22</v>
      </c>
      <c r="C58" s="6" t="s">
        <v>225</v>
      </c>
      <c r="D58" s="7" t="s">
        <v>226</v>
      </c>
      <c r="E58" s="8" t="s">
        <v>227</v>
      </c>
      <c r="F58" s="6" t="s">
        <v>228</v>
      </c>
      <c r="G58" s="9" t="str">
        <f t="shared" si="0"/>
        <v>because?</v>
      </c>
      <c r="H58" s="10" t="s">
        <v>16</v>
      </c>
      <c r="I58" s="11" t="s">
        <v>16</v>
      </c>
      <c r="J58" s="12"/>
    </row>
    <row r="59" spans="1:10" ht="60" customHeight="1" x14ac:dyDescent="0.2">
      <c r="A59" s="6" t="s">
        <v>229</v>
      </c>
      <c r="B59" s="6" t="s">
        <v>18</v>
      </c>
      <c r="C59" s="6" t="s">
        <v>16</v>
      </c>
      <c r="D59" s="7" t="s">
        <v>78</v>
      </c>
      <c r="E59" s="8" t="s">
        <v>230</v>
      </c>
      <c r="F59" s="6" t="s">
        <v>231</v>
      </c>
      <c r="G59" s="9" t="str">
        <f t="shared" si="0"/>
        <v>???</v>
      </c>
      <c r="H59" s="10" t="s">
        <v>16</v>
      </c>
      <c r="I59" s="11" t="s">
        <v>16</v>
      </c>
      <c r="J59" s="12"/>
    </row>
    <row r="60" spans="1:10" ht="60" customHeight="1" x14ac:dyDescent="0.2">
      <c r="A60" s="6" t="s">
        <v>232</v>
      </c>
      <c r="B60" s="6" t="s">
        <v>11</v>
      </c>
      <c r="C60" s="6" t="s">
        <v>225</v>
      </c>
      <c r="D60" s="7" t="s">
        <v>221</v>
      </c>
      <c r="E60" s="8" t="s">
        <v>233</v>
      </c>
      <c r="F60" s="6" t="s">
        <v>234</v>
      </c>
      <c r="G60" s="9" t="str">
        <f t="shared" si="0"/>
        <v>because?</v>
      </c>
      <c r="H60" s="10" t="s">
        <v>16</v>
      </c>
      <c r="I60" s="11" t="s">
        <v>16</v>
      </c>
      <c r="J60" s="12"/>
    </row>
    <row r="61" spans="1:10" ht="60" customHeight="1" x14ac:dyDescent="0.2">
      <c r="A61" s="6" t="s">
        <v>235</v>
      </c>
      <c r="B61" s="6" t="s">
        <v>22</v>
      </c>
      <c r="C61" s="6" t="s">
        <v>16</v>
      </c>
      <c r="D61" s="7" t="s">
        <v>236</v>
      </c>
      <c r="E61" s="8" t="s">
        <v>237</v>
      </c>
      <c r="F61" s="6" t="s">
        <v>238</v>
      </c>
      <c r="G61" s="9" t="str">
        <f t="shared" si="0"/>
        <v>???</v>
      </c>
      <c r="H61" s="10" t="s">
        <v>16</v>
      </c>
      <c r="I61" s="11" t="s">
        <v>16</v>
      </c>
      <c r="J61" s="12"/>
    </row>
    <row r="62" spans="1:10" ht="60" customHeight="1" x14ac:dyDescent="0.2">
      <c r="A62" s="6" t="s">
        <v>239</v>
      </c>
      <c r="B62" s="6" t="s">
        <v>17</v>
      </c>
      <c r="C62" s="6" t="s">
        <v>16</v>
      </c>
      <c r="D62" s="7" t="s">
        <v>236</v>
      </c>
      <c r="E62" s="8" t="s">
        <v>240</v>
      </c>
      <c r="F62" s="6" t="s">
        <v>241</v>
      </c>
      <c r="G62" s="9" t="str">
        <f t="shared" si="0"/>
        <v>???</v>
      </c>
      <c r="H62" s="10" t="s">
        <v>16</v>
      </c>
      <c r="I62" s="11" t="s">
        <v>16</v>
      </c>
      <c r="J62" s="12"/>
    </row>
    <row r="63" spans="1:10" ht="60" customHeight="1" x14ac:dyDescent="0.2">
      <c r="A63" s="6" t="s">
        <v>242</v>
      </c>
      <c r="B63" s="6" t="s">
        <v>18</v>
      </c>
      <c r="C63" s="6" t="s">
        <v>16</v>
      </c>
      <c r="D63" s="7" t="s">
        <v>243</v>
      </c>
      <c r="E63" s="8" t="s">
        <v>244</v>
      </c>
      <c r="F63" s="6" t="s">
        <v>245</v>
      </c>
      <c r="G63" s="9" t="str">
        <f t="shared" si="0"/>
        <v>???</v>
      </c>
      <c r="H63" s="10" t="s">
        <v>16</v>
      </c>
      <c r="I63" s="11" t="s">
        <v>16</v>
      </c>
      <c r="J63" s="12"/>
    </row>
    <row r="64" spans="1:10" ht="60" customHeight="1" x14ac:dyDescent="0.2">
      <c r="A64" s="6" t="s">
        <v>246</v>
      </c>
      <c r="B64" s="6" t="s">
        <v>22</v>
      </c>
      <c r="C64" s="6" t="s">
        <v>45</v>
      </c>
      <c r="D64" s="7" t="s">
        <v>247</v>
      </c>
      <c r="E64" s="8" t="s">
        <v>248</v>
      </c>
      <c r="F64" s="6" t="s">
        <v>249</v>
      </c>
      <c r="G64" s="9" t="str">
        <f t="shared" si="0"/>
        <v>for?</v>
      </c>
      <c r="H64" s="10" t="s">
        <v>16</v>
      </c>
      <c r="I64" s="11" t="s">
        <v>16</v>
      </c>
      <c r="J64" s="12"/>
    </row>
    <row r="65" spans="1:10" ht="60" customHeight="1" x14ac:dyDescent="0.2">
      <c r="A65" s="6" t="s">
        <v>250</v>
      </c>
      <c r="B65" s="6" t="s">
        <v>26</v>
      </c>
      <c r="C65" s="6" t="s">
        <v>16</v>
      </c>
      <c r="D65" s="7" t="s">
        <v>251</v>
      </c>
      <c r="E65" s="8" t="s">
        <v>252</v>
      </c>
      <c r="F65" s="6" t="s">
        <v>253</v>
      </c>
      <c r="G65" s="9" t="str">
        <f t="shared" si="0"/>
        <v>???</v>
      </c>
      <c r="H65" s="10" t="s">
        <v>16</v>
      </c>
      <c r="I65" s="11" t="s">
        <v>16</v>
      </c>
      <c r="J65" s="12"/>
    </row>
    <row r="66" spans="1:10" ht="60" customHeight="1" x14ac:dyDescent="0.2">
      <c r="A66" s="6" t="s">
        <v>254</v>
      </c>
      <c r="B66" s="6" t="s">
        <v>17</v>
      </c>
      <c r="C66" s="6" t="s">
        <v>16</v>
      </c>
      <c r="D66" s="7" t="s">
        <v>255</v>
      </c>
      <c r="E66" s="8" t="s">
        <v>256</v>
      </c>
      <c r="F66" s="6" t="s">
        <v>257</v>
      </c>
      <c r="G66" s="9" t="str">
        <f t="shared" ref="G66:G129" si="1">IF(A66=1,"_",IF(C66="_","???",C66))</f>
        <v>???</v>
      </c>
      <c r="H66" s="10" t="s">
        <v>16</v>
      </c>
      <c r="I66" s="11" t="s">
        <v>16</v>
      </c>
      <c r="J66" s="12"/>
    </row>
    <row r="67" spans="1:10" ht="60" customHeight="1" x14ac:dyDescent="0.2">
      <c r="A67" s="6" t="s">
        <v>258</v>
      </c>
      <c r="B67" s="6" t="s">
        <v>26</v>
      </c>
      <c r="C67" s="6" t="s">
        <v>16</v>
      </c>
      <c r="D67" s="7" t="s">
        <v>259</v>
      </c>
      <c r="E67" s="8" t="s">
        <v>260</v>
      </c>
      <c r="F67" s="6" t="s">
        <v>261</v>
      </c>
      <c r="G67" s="9" t="str">
        <f t="shared" si="1"/>
        <v>???</v>
      </c>
      <c r="H67" s="10" t="s">
        <v>16</v>
      </c>
      <c r="I67" s="11" t="s">
        <v>16</v>
      </c>
      <c r="J67" s="12"/>
    </row>
    <row r="68" spans="1:10" ht="60" customHeight="1" x14ac:dyDescent="0.2">
      <c r="A68" s="6" t="s">
        <v>262</v>
      </c>
      <c r="B68" s="6" t="s">
        <v>18</v>
      </c>
      <c r="C68" s="6" t="s">
        <v>16</v>
      </c>
      <c r="D68" s="7" t="s">
        <v>263</v>
      </c>
      <c r="E68" s="8" t="s">
        <v>264</v>
      </c>
      <c r="F68" s="6" t="s">
        <v>265</v>
      </c>
      <c r="G68" s="9" t="str">
        <f t="shared" si="1"/>
        <v>???</v>
      </c>
      <c r="H68" s="10" t="s">
        <v>16</v>
      </c>
      <c r="I68" s="11" t="s">
        <v>16</v>
      </c>
      <c r="J68" s="12"/>
    </row>
    <row r="69" spans="1:10" ht="60" customHeight="1" x14ac:dyDescent="0.2">
      <c r="A69" s="6" t="s">
        <v>266</v>
      </c>
      <c r="B69" s="6" t="s">
        <v>26</v>
      </c>
      <c r="C69" s="6" t="s">
        <v>267</v>
      </c>
      <c r="D69" s="7" t="s">
        <v>268</v>
      </c>
      <c r="E69" s="8" t="s">
        <v>269</v>
      </c>
      <c r="F69" s="6" t="s">
        <v>270</v>
      </c>
      <c r="G69" s="9" t="str">
        <f t="shared" si="1"/>
        <v>still?</v>
      </c>
      <c r="H69" s="10" t="s">
        <v>16</v>
      </c>
      <c r="I69" s="11" t="s">
        <v>16</v>
      </c>
      <c r="J69" s="12"/>
    </row>
    <row r="70" spans="1:10" ht="60" customHeight="1" x14ac:dyDescent="0.2">
      <c r="A70" s="6" t="s">
        <v>271</v>
      </c>
      <c r="B70" s="6" t="s">
        <v>18</v>
      </c>
      <c r="C70" s="6" t="s">
        <v>272</v>
      </c>
      <c r="D70" s="7" t="s">
        <v>273</v>
      </c>
      <c r="E70" s="8" t="s">
        <v>274</v>
      </c>
      <c r="F70" s="6" t="s">
        <v>275</v>
      </c>
      <c r="G70" s="9" t="str">
        <f t="shared" si="1"/>
        <v>after?</v>
      </c>
      <c r="H70" s="10" t="s">
        <v>16</v>
      </c>
      <c r="I70" s="11" t="s">
        <v>16</v>
      </c>
      <c r="J70" s="12"/>
    </row>
    <row r="71" spans="1:10" ht="60" customHeight="1" x14ac:dyDescent="0.2">
      <c r="A71" s="6" t="s">
        <v>276</v>
      </c>
      <c r="B71" s="6" t="s">
        <v>17</v>
      </c>
      <c r="C71" s="6" t="s">
        <v>277</v>
      </c>
      <c r="D71" s="7" t="s">
        <v>278</v>
      </c>
      <c r="E71" s="8" t="s">
        <v>279</v>
      </c>
      <c r="F71" s="6" t="s">
        <v>280</v>
      </c>
      <c r="G71" s="9" t="str">
        <f t="shared" si="1"/>
        <v>but?</v>
      </c>
      <c r="H71" s="10" t="s">
        <v>16</v>
      </c>
      <c r="I71" s="11" t="s">
        <v>16</v>
      </c>
      <c r="J71" s="12"/>
    </row>
    <row r="72" spans="1:10" ht="60" customHeight="1" x14ac:dyDescent="0.2">
      <c r="A72" s="6" t="s">
        <v>281</v>
      </c>
      <c r="B72" s="6" t="s">
        <v>10</v>
      </c>
      <c r="C72" s="6" t="s">
        <v>16</v>
      </c>
      <c r="D72" s="7" t="s">
        <v>187</v>
      </c>
      <c r="E72" s="8" t="s">
        <v>282</v>
      </c>
      <c r="F72" s="6" t="s">
        <v>283</v>
      </c>
      <c r="G72" s="9" t="str">
        <f t="shared" si="1"/>
        <v>???</v>
      </c>
      <c r="H72" s="10" t="s">
        <v>16</v>
      </c>
      <c r="I72" s="11" t="s">
        <v>16</v>
      </c>
      <c r="J72" s="12"/>
    </row>
    <row r="73" spans="1:10" ht="60" customHeight="1" x14ac:dyDescent="0.2">
      <c r="A73" s="6" t="s">
        <v>284</v>
      </c>
      <c r="B73" s="6" t="s">
        <v>36</v>
      </c>
      <c r="C73" s="6" t="s">
        <v>50</v>
      </c>
      <c r="D73" s="7" t="s">
        <v>285</v>
      </c>
      <c r="E73" s="8" t="s">
        <v>286</v>
      </c>
      <c r="F73" s="6" t="s">
        <v>287</v>
      </c>
      <c r="G73" s="9" t="str">
        <f t="shared" si="1"/>
        <v>and?</v>
      </c>
      <c r="H73" s="10" t="s">
        <v>16</v>
      </c>
      <c r="I73" s="11" t="s">
        <v>16</v>
      </c>
      <c r="J73" s="12"/>
    </row>
    <row r="74" spans="1:10" ht="60" customHeight="1" x14ac:dyDescent="0.2">
      <c r="A74" s="6" t="s">
        <v>288</v>
      </c>
      <c r="B74" s="6" t="s">
        <v>17</v>
      </c>
      <c r="C74" s="6" t="s">
        <v>16</v>
      </c>
      <c r="D74" s="7" t="s">
        <v>289</v>
      </c>
      <c r="E74" s="8" t="s">
        <v>290</v>
      </c>
      <c r="F74" s="6" t="s">
        <v>291</v>
      </c>
      <c r="G74" s="9" t="str">
        <f t="shared" si="1"/>
        <v>???</v>
      </c>
      <c r="H74" s="10" t="s">
        <v>16</v>
      </c>
      <c r="I74" s="11" t="s">
        <v>16</v>
      </c>
      <c r="J74" s="12"/>
    </row>
    <row r="75" spans="1:10" ht="60" customHeight="1" x14ac:dyDescent="0.2">
      <c r="A75" s="6" t="s">
        <v>292</v>
      </c>
      <c r="B75" s="6" t="s">
        <v>17</v>
      </c>
      <c r="C75" s="6" t="s">
        <v>16</v>
      </c>
      <c r="D75" s="7" t="s">
        <v>37</v>
      </c>
      <c r="E75" s="8" t="s">
        <v>293</v>
      </c>
      <c r="F75" s="6" t="s">
        <v>294</v>
      </c>
      <c r="G75" s="9" t="str">
        <f t="shared" si="1"/>
        <v>???</v>
      </c>
      <c r="H75" s="10" t="s">
        <v>16</v>
      </c>
      <c r="I75" s="11" t="s">
        <v>16</v>
      </c>
      <c r="J75" s="12"/>
    </row>
    <row r="76" spans="1:10" ht="60" customHeight="1" x14ac:dyDescent="0.2">
      <c r="A76" s="6" t="s">
        <v>295</v>
      </c>
      <c r="B76" s="6" t="s">
        <v>17</v>
      </c>
      <c r="C76" s="6" t="s">
        <v>16</v>
      </c>
      <c r="D76" s="7" t="s">
        <v>296</v>
      </c>
      <c r="E76" s="8" t="s">
        <v>297</v>
      </c>
      <c r="F76" s="6" t="s">
        <v>298</v>
      </c>
      <c r="G76" s="9" t="str">
        <f t="shared" si="1"/>
        <v>???</v>
      </c>
      <c r="H76" s="10" t="s">
        <v>16</v>
      </c>
      <c r="I76" s="11" t="s">
        <v>16</v>
      </c>
      <c r="J76" s="12"/>
    </row>
    <row r="77" spans="1:10" ht="60" customHeight="1" x14ac:dyDescent="0.2">
      <c r="A77" s="6" t="s">
        <v>299</v>
      </c>
      <c r="B77" s="6" t="s">
        <v>36</v>
      </c>
      <c r="C77" s="6" t="s">
        <v>300</v>
      </c>
      <c r="D77" s="7" t="s">
        <v>301</v>
      </c>
      <c r="E77" s="8" t="s">
        <v>302</v>
      </c>
      <c r="F77" s="6" t="s">
        <v>303</v>
      </c>
      <c r="G77" s="9" t="str">
        <f t="shared" si="1"/>
        <v>until?</v>
      </c>
      <c r="H77" s="10" t="s">
        <v>16</v>
      </c>
      <c r="I77" s="11" t="s">
        <v>16</v>
      </c>
      <c r="J77" s="12"/>
    </row>
    <row r="78" spans="1:10" ht="60" customHeight="1" x14ac:dyDescent="0.2">
      <c r="A78" s="6" t="s">
        <v>304</v>
      </c>
      <c r="B78" s="6" t="s">
        <v>17</v>
      </c>
      <c r="C78" s="6" t="s">
        <v>16</v>
      </c>
      <c r="D78" s="7" t="s">
        <v>305</v>
      </c>
      <c r="E78" s="8" t="s">
        <v>306</v>
      </c>
      <c r="F78" s="6" t="s">
        <v>307</v>
      </c>
      <c r="G78" s="9" t="str">
        <f t="shared" si="1"/>
        <v>???</v>
      </c>
      <c r="H78" s="10" t="s">
        <v>16</v>
      </c>
      <c r="I78" s="11" t="s">
        <v>16</v>
      </c>
      <c r="J78" s="12"/>
    </row>
    <row r="79" spans="1:10" ht="60" customHeight="1" x14ac:dyDescent="0.2">
      <c r="A79" s="6" t="s">
        <v>308</v>
      </c>
      <c r="B79" s="6" t="s">
        <v>17</v>
      </c>
      <c r="C79" s="6" t="s">
        <v>16</v>
      </c>
      <c r="D79" s="7" t="s">
        <v>309</v>
      </c>
      <c r="E79" s="8" t="s">
        <v>310</v>
      </c>
      <c r="F79" s="6" t="s">
        <v>311</v>
      </c>
      <c r="G79" s="9" t="str">
        <f t="shared" si="1"/>
        <v>???</v>
      </c>
      <c r="H79" s="10" t="s">
        <v>16</v>
      </c>
      <c r="I79" s="11" t="s">
        <v>16</v>
      </c>
      <c r="J79" s="12"/>
    </row>
    <row r="80" spans="1:10" ht="60" customHeight="1" x14ac:dyDescent="0.2">
      <c r="A80" s="6" t="s">
        <v>312</v>
      </c>
      <c r="B80" s="6" t="s">
        <v>17</v>
      </c>
      <c r="C80" s="6" t="s">
        <v>50</v>
      </c>
      <c r="D80" s="7" t="s">
        <v>313</v>
      </c>
      <c r="E80" s="8" t="s">
        <v>314</v>
      </c>
      <c r="F80" s="6" t="s">
        <v>315</v>
      </c>
      <c r="G80" s="9" t="str">
        <f t="shared" si="1"/>
        <v>and?</v>
      </c>
      <c r="H80" s="10" t="s">
        <v>16</v>
      </c>
      <c r="I80" s="11" t="s">
        <v>16</v>
      </c>
      <c r="J80" s="12"/>
    </row>
    <row r="81" spans="1:10" ht="60" customHeight="1" x14ac:dyDescent="0.2">
      <c r="A81" s="6" t="s">
        <v>316</v>
      </c>
      <c r="B81" s="6" t="s">
        <v>22</v>
      </c>
      <c r="C81" s="6" t="s">
        <v>16</v>
      </c>
      <c r="D81" s="7" t="s">
        <v>273</v>
      </c>
      <c r="E81" s="8" t="s">
        <v>317</v>
      </c>
      <c r="F81" s="6" t="s">
        <v>318</v>
      </c>
      <c r="G81" s="9" t="str">
        <f t="shared" si="1"/>
        <v>???</v>
      </c>
      <c r="H81" s="10" t="s">
        <v>16</v>
      </c>
      <c r="I81" s="11" t="s">
        <v>16</v>
      </c>
      <c r="J81" s="12"/>
    </row>
    <row r="82" spans="1:10" ht="60" customHeight="1" x14ac:dyDescent="0.2">
      <c r="A82" s="6" t="s">
        <v>319</v>
      </c>
      <c r="B82" s="6" t="s">
        <v>11</v>
      </c>
      <c r="C82" s="6" t="s">
        <v>50</v>
      </c>
      <c r="D82" s="7" t="s">
        <v>320</v>
      </c>
      <c r="E82" s="8" t="s">
        <v>321</v>
      </c>
      <c r="F82" s="6" t="s">
        <v>322</v>
      </c>
      <c r="G82" s="9" t="str">
        <f t="shared" si="1"/>
        <v>and?</v>
      </c>
      <c r="H82" s="10" t="s">
        <v>16</v>
      </c>
      <c r="I82" s="11" t="s">
        <v>16</v>
      </c>
      <c r="J82" s="12"/>
    </row>
    <row r="83" spans="1:10" ht="60" customHeight="1" x14ac:dyDescent="0.2">
      <c r="A83" s="6" t="s">
        <v>323</v>
      </c>
      <c r="B83" s="6" t="s">
        <v>17</v>
      </c>
      <c r="C83" s="6" t="s">
        <v>16</v>
      </c>
      <c r="D83" s="7" t="s">
        <v>324</v>
      </c>
      <c r="E83" s="8" t="s">
        <v>325</v>
      </c>
      <c r="F83" s="6" t="s">
        <v>326</v>
      </c>
      <c r="G83" s="9" t="str">
        <f t="shared" si="1"/>
        <v>???</v>
      </c>
      <c r="H83" s="10" t="s">
        <v>16</v>
      </c>
      <c r="I83" s="11" t="s">
        <v>16</v>
      </c>
      <c r="J83" s="12"/>
    </row>
    <row r="84" spans="1:10" ht="60" customHeight="1" x14ac:dyDescent="0.2">
      <c r="A84" s="6" t="s">
        <v>327</v>
      </c>
      <c r="B84" s="6" t="s">
        <v>62</v>
      </c>
      <c r="C84" s="6" t="s">
        <v>50</v>
      </c>
      <c r="D84" s="7" t="s">
        <v>328</v>
      </c>
      <c r="E84" s="8" t="s">
        <v>329</v>
      </c>
      <c r="F84" s="6" t="s">
        <v>330</v>
      </c>
      <c r="G84" s="9" t="str">
        <f t="shared" si="1"/>
        <v>and?</v>
      </c>
      <c r="H84" s="10" t="s">
        <v>16</v>
      </c>
      <c r="I84" s="11" t="s">
        <v>16</v>
      </c>
      <c r="J84" s="12"/>
    </row>
    <row r="85" spans="1:10" ht="60" customHeight="1" x14ac:dyDescent="0.2">
      <c r="A85" s="6" t="s">
        <v>331</v>
      </c>
      <c r="B85" s="6" t="s">
        <v>26</v>
      </c>
      <c r="C85" s="6" t="s">
        <v>16</v>
      </c>
      <c r="D85" s="7" t="s">
        <v>309</v>
      </c>
      <c r="E85" s="8" t="s">
        <v>332</v>
      </c>
      <c r="F85" s="6" t="s">
        <v>333</v>
      </c>
      <c r="G85" s="9" t="str">
        <f t="shared" si="1"/>
        <v>???</v>
      </c>
      <c r="H85" s="10" t="s">
        <v>16</v>
      </c>
      <c r="I85" s="11" t="s">
        <v>16</v>
      </c>
      <c r="J85" s="12"/>
    </row>
    <row r="86" spans="1:10" ht="60" customHeight="1" x14ac:dyDescent="0.2">
      <c r="A86" s="6" t="s">
        <v>334</v>
      </c>
      <c r="B86" s="6" t="s">
        <v>17</v>
      </c>
      <c r="C86" s="6" t="s">
        <v>16</v>
      </c>
      <c r="D86" s="7" t="s">
        <v>335</v>
      </c>
      <c r="E86" s="8" t="s">
        <v>336</v>
      </c>
      <c r="F86" s="6" t="s">
        <v>337</v>
      </c>
      <c r="G86" s="9" t="str">
        <f t="shared" si="1"/>
        <v>???</v>
      </c>
      <c r="H86" s="10" t="s">
        <v>16</v>
      </c>
      <c r="I86" s="11" t="s">
        <v>16</v>
      </c>
      <c r="J86" s="12"/>
    </row>
    <row r="87" spans="1:10" ht="60" customHeight="1" x14ac:dyDescent="0.2">
      <c r="A87" s="6" t="s">
        <v>338</v>
      </c>
      <c r="B87" s="6" t="s">
        <v>18</v>
      </c>
      <c r="C87" s="6" t="s">
        <v>16</v>
      </c>
      <c r="D87" s="7" t="s">
        <v>339</v>
      </c>
      <c r="E87" s="8" t="s">
        <v>340</v>
      </c>
      <c r="F87" s="6" t="s">
        <v>341</v>
      </c>
      <c r="G87" s="9" t="str">
        <f t="shared" si="1"/>
        <v>???</v>
      </c>
      <c r="H87" s="10" t="s">
        <v>16</v>
      </c>
      <c r="I87" s="11" t="s">
        <v>16</v>
      </c>
      <c r="J87" s="12"/>
    </row>
    <row r="88" spans="1:10" ht="60" customHeight="1" x14ac:dyDescent="0.2">
      <c r="A88" s="6" t="s">
        <v>342</v>
      </c>
      <c r="B88" s="6" t="s">
        <v>40</v>
      </c>
      <c r="C88" s="6" t="s">
        <v>343</v>
      </c>
      <c r="D88" s="7" t="s">
        <v>344</v>
      </c>
      <c r="E88" s="8" t="s">
        <v>345</v>
      </c>
      <c r="F88" s="6" t="s">
        <v>346</v>
      </c>
      <c r="G88" s="9" t="str">
        <f t="shared" si="1"/>
        <v>instead?</v>
      </c>
      <c r="H88" s="10" t="s">
        <v>16</v>
      </c>
      <c r="I88" s="11" t="s">
        <v>16</v>
      </c>
      <c r="J88" s="12"/>
    </row>
    <row r="89" spans="1:10" ht="60" customHeight="1" x14ac:dyDescent="0.2">
      <c r="A89" s="6" t="s">
        <v>347</v>
      </c>
      <c r="B89" s="6" t="s">
        <v>17</v>
      </c>
      <c r="C89" s="6" t="s">
        <v>16</v>
      </c>
      <c r="D89" s="7" t="s">
        <v>348</v>
      </c>
      <c r="E89" s="8" t="s">
        <v>349</v>
      </c>
      <c r="F89" s="6" t="s">
        <v>350</v>
      </c>
      <c r="G89" s="9" t="str">
        <f t="shared" si="1"/>
        <v>???</v>
      </c>
      <c r="H89" s="10" t="s">
        <v>16</v>
      </c>
      <c r="I89" s="11" t="s">
        <v>16</v>
      </c>
      <c r="J89" s="12"/>
    </row>
    <row r="90" spans="1:10" ht="60" customHeight="1" x14ac:dyDescent="0.2">
      <c r="A90" s="6" t="s">
        <v>351</v>
      </c>
      <c r="B90" s="6" t="s">
        <v>17</v>
      </c>
      <c r="C90" s="6" t="s">
        <v>50</v>
      </c>
      <c r="D90" s="7" t="s">
        <v>352</v>
      </c>
      <c r="E90" s="8" t="s">
        <v>353</v>
      </c>
      <c r="F90" s="6" t="s">
        <v>354</v>
      </c>
      <c r="G90" s="9" t="str">
        <f t="shared" si="1"/>
        <v>and?</v>
      </c>
      <c r="H90" s="10" t="s">
        <v>16</v>
      </c>
      <c r="I90" s="11" t="s">
        <v>16</v>
      </c>
      <c r="J90" s="12"/>
    </row>
    <row r="91" spans="1:10" ht="60" customHeight="1" x14ac:dyDescent="0.2">
      <c r="A91" s="6" t="s">
        <v>355</v>
      </c>
      <c r="B91" s="6" t="s">
        <v>26</v>
      </c>
      <c r="C91" s="6" t="s">
        <v>16</v>
      </c>
      <c r="D91" s="7" t="s">
        <v>356</v>
      </c>
      <c r="E91" s="8" t="s">
        <v>357</v>
      </c>
      <c r="F91" s="6" t="s">
        <v>358</v>
      </c>
      <c r="G91" s="9" t="str">
        <f t="shared" si="1"/>
        <v>???</v>
      </c>
      <c r="H91" s="10" t="s">
        <v>16</v>
      </c>
      <c r="I91" s="11" t="s">
        <v>16</v>
      </c>
      <c r="J91" s="12"/>
    </row>
    <row r="92" spans="1:10" ht="60" customHeight="1" x14ac:dyDescent="0.2">
      <c r="A92" s="6" t="s">
        <v>359</v>
      </c>
      <c r="B92" s="6" t="s">
        <v>36</v>
      </c>
      <c r="C92" s="6" t="s">
        <v>16</v>
      </c>
      <c r="D92" s="7" t="s">
        <v>360</v>
      </c>
      <c r="E92" s="8" t="s">
        <v>361</v>
      </c>
      <c r="F92" s="6" t="s">
        <v>362</v>
      </c>
      <c r="G92" s="9" t="str">
        <f t="shared" si="1"/>
        <v>???</v>
      </c>
      <c r="H92" s="10" t="s">
        <v>16</v>
      </c>
      <c r="I92" s="11" t="s">
        <v>16</v>
      </c>
      <c r="J92" s="12"/>
    </row>
    <row r="93" spans="1:10" ht="60" customHeight="1" x14ac:dyDescent="0.2">
      <c r="A93" s="6" t="s">
        <v>363</v>
      </c>
      <c r="B93" s="6" t="s">
        <v>17</v>
      </c>
      <c r="C93" s="6" t="s">
        <v>50</v>
      </c>
      <c r="D93" s="7" t="s">
        <v>364</v>
      </c>
      <c r="E93" s="8" t="s">
        <v>365</v>
      </c>
      <c r="F93" s="6" t="s">
        <v>366</v>
      </c>
      <c r="G93" s="9" t="str">
        <f t="shared" si="1"/>
        <v>and?</v>
      </c>
      <c r="H93" s="10" t="s">
        <v>16</v>
      </c>
      <c r="I93" s="11" t="s">
        <v>16</v>
      </c>
      <c r="J93" s="12"/>
    </row>
    <row r="94" spans="1:10" ht="60" customHeight="1" x14ac:dyDescent="0.2">
      <c r="A94" s="6" t="s">
        <v>367</v>
      </c>
      <c r="B94" s="6" t="s">
        <v>17</v>
      </c>
      <c r="C94" s="6" t="s">
        <v>16</v>
      </c>
      <c r="D94" s="7" t="s">
        <v>368</v>
      </c>
      <c r="E94" s="8" t="s">
        <v>369</v>
      </c>
      <c r="F94" s="6" t="s">
        <v>370</v>
      </c>
      <c r="G94" s="9" t="str">
        <f t="shared" si="1"/>
        <v>???</v>
      </c>
      <c r="H94" s="10" t="s">
        <v>16</v>
      </c>
      <c r="I94" s="11" t="s">
        <v>16</v>
      </c>
      <c r="J94" s="12"/>
    </row>
    <row r="95" spans="1:10" ht="60" customHeight="1" x14ac:dyDescent="0.2">
      <c r="A95" s="6" t="s">
        <v>371</v>
      </c>
      <c r="B95" s="6" t="s">
        <v>17</v>
      </c>
      <c r="C95" s="6" t="s">
        <v>16</v>
      </c>
      <c r="D95" s="7" t="s">
        <v>372</v>
      </c>
      <c r="E95" s="8" t="s">
        <v>373</v>
      </c>
      <c r="F95" s="6" t="s">
        <v>374</v>
      </c>
      <c r="G95" s="9" t="str">
        <f t="shared" si="1"/>
        <v>???</v>
      </c>
      <c r="H95" s="10" t="s">
        <v>16</v>
      </c>
      <c r="I95" s="11" t="s">
        <v>16</v>
      </c>
      <c r="J95" s="12"/>
    </row>
    <row r="96" spans="1:10" ht="60" customHeight="1" x14ac:dyDescent="0.2">
      <c r="A96" s="6" t="s">
        <v>375</v>
      </c>
      <c r="B96" s="6" t="s">
        <v>10</v>
      </c>
      <c r="C96" s="6" t="s">
        <v>16</v>
      </c>
      <c r="D96" s="7" t="s">
        <v>376</v>
      </c>
      <c r="E96" s="8" t="s">
        <v>377</v>
      </c>
      <c r="F96" s="6" t="s">
        <v>378</v>
      </c>
      <c r="G96" s="9" t="str">
        <f t="shared" si="1"/>
        <v>???</v>
      </c>
      <c r="H96" s="10" t="s">
        <v>16</v>
      </c>
      <c r="I96" s="11" t="s">
        <v>16</v>
      </c>
      <c r="J96" s="12"/>
    </row>
    <row r="97" spans="1:10" ht="60" customHeight="1" x14ac:dyDescent="0.2">
      <c r="A97" s="6" t="s">
        <v>379</v>
      </c>
      <c r="B97" s="6" t="s">
        <v>26</v>
      </c>
      <c r="C97" s="6" t="s">
        <v>50</v>
      </c>
      <c r="D97" s="7" t="s">
        <v>380</v>
      </c>
      <c r="E97" s="8" t="s">
        <v>381</v>
      </c>
      <c r="F97" s="6" t="s">
        <v>382</v>
      </c>
      <c r="G97" s="9" t="str">
        <f t="shared" si="1"/>
        <v>and?</v>
      </c>
      <c r="H97" s="10" t="s">
        <v>16</v>
      </c>
      <c r="I97" s="11" t="s">
        <v>16</v>
      </c>
      <c r="J97" s="12"/>
    </row>
    <row r="98" spans="1:10" ht="60" customHeight="1" x14ac:dyDescent="0.2">
      <c r="A98" s="6" t="s">
        <v>383</v>
      </c>
      <c r="B98" s="6" t="s">
        <v>22</v>
      </c>
      <c r="C98" s="6" t="s">
        <v>16</v>
      </c>
      <c r="D98" s="7" t="s">
        <v>384</v>
      </c>
      <c r="E98" s="8" t="s">
        <v>385</v>
      </c>
      <c r="F98" s="6" t="s">
        <v>386</v>
      </c>
      <c r="G98" s="9" t="str">
        <f t="shared" si="1"/>
        <v>???</v>
      </c>
      <c r="H98" s="10" t="s">
        <v>16</v>
      </c>
      <c r="I98" s="11" t="s">
        <v>16</v>
      </c>
      <c r="J98" s="12"/>
    </row>
    <row r="99" spans="1:10" ht="60" customHeight="1" x14ac:dyDescent="0.2">
      <c r="A99" s="6" t="s">
        <v>387</v>
      </c>
      <c r="B99" s="6" t="s">
        <v>11</v>
      </c>
      <c r="C99" s="6" t="s">
        <v>16</v>
      </c>
      <c r="D99" s="7" t="s">
        <v>388</v>
      </c>
      <c r="E99" s="8" t="s">
        <v>389</v>
      </c>
      <c r="F99" s="6" t="s">
        <v>390</v>
      </c>
      <c r="G99" s="9" t="str">
        <f t="shared" si="1"/>
        <v>???</v>
      </c>
      <c r="H99" s="10" t="s">
        <v>16</v>
      </c>
      <c r="I99" s="11" t="s">
        <v>16</v>
      </c>
      <c r="J99" s="12"/>
    </row>
    <row r="100" spans="1:10" ht="60" customHeight="1" x14ac:dyDescent="0.2">
      <c r="A100" s="6" t="s">
        <v>391</v>
      </c>
      <c r="B100" s="6" t="s">
        <v>17</v>
      </c>
      <c r="C100" s="6" t="s">
        <v>50</v>
      </c>
      <c r="D100" s="7" t="s">
        <v>392</v>
      </c>
      <c r="E100" s="8" t="s">
        <v>393</v>
      </c>
      <c r="F100" s="6" t="s">
        <v>394</v>
      </c>
      <c r="G100" s="9" t="str">
        <f t="shared" si="1"/>
        <v>and?</v>
      </c>
      <c r="H100" s="10" t="s">
        <v>16</v>
      </c>
      <c r="I100" s="11" t="s">
        <v>16</v>
      </c>
      <c r="J100" s="12"/>
    </row>
    <row r="101" spans="1:10" ht="60" customHeight="1" x14ac:dyDescent="0.2">
      <c r="A101" s="6" t="s">
        <v>395</v>
      </c>
      <c r="B101" s="6" t="s">
        <v>17</v>
      </c>
      <c r="C101" s="6" t="s">
        <v>16</v>
      </c>
      <c r="D101" s="7" t="s">
        <v>396</v>
      </c>
      <c r="E101" s="8" t="s">
        <v>397</v>
      </c>
      <c r="F101" s="6" t="s">
        <v>398</v>
      </c>
      <c r="G101" s="9" t="str">
        <f t="shared" si="1"/>
        <v>???</v>
      </c>
      <c r="H101" s="10" t="s">
        <v>16</v>
      </c>
      <c r="I101" s="11" t="s">
        <v>16</v>
      </c>
      <c r="J101" s="12"/>
    </row>
    <row r="102" spans="1:10" ht="60" customHeight="1" x14ac:dyDescent="0.2">
      <c r="A102" s="6" t="s">
        <v>399</v>
      </c>
      <c r="B102" s="6" t="s">
        <v>17</v>
      </c>
      <c r="C102" s="6" t="s">
        <v>16</v>
      </c>
      <c r="D102" s="7" t="s">
        <v>180</v>
      </c>
      <c r="E102" s="8" t="s">
        <v>400</v>
      </c>
      <c r="F102" s="6" t="s">
        <v>401</v>
      </c>
      <c r="G102" s="9" t="str">
        <f t="shared" si="1"/>
        <v>???</v>
      </c>
      <c r="H102" s="10" t="s">
        <v>16</v>
      </c>
      <c r="I102" s="11" t="s">
        <v>16</v>
      </c>
      <c r="J102" s="12"/>
    </row>
    <row r="103" spans="1:10" ht="60" customHeight="1" x14ac:dyDescent="0.2">
      <c r="A103" s="6" t="s">
        <v>402</v>
      </c>
      <c r="B103" s="6" t="s">
        <v>17</v>
      </c>
      <c r="C103" s="6" t="s">
        <v>16</v>
      </c>
      <c r="D103" s="7" t="s">
        <v>55</v>
      </c>
      <c r="E103" s="8" t="s">
        <v>403</v>
      </c>
      <c r="F103" s="6" t="s">
        <v>404</v>
      </c>
      <c r="G103" s="9" t="str">
        <f t="shared" si="1"/>
        <v>???</v>
      </c>
      <c r="H103" s="10" t="s">
        <v>16</v>
      </c>
      <c r="I103" s="11" t="s">
        <v>16</v>
      </c>
      <c r="J103" s="12"/>
    </row>
    <row r="104" spans="1:10" ht="60" customHeight="1" x14ac:dyDescent="0.2">
      <c r="A104" s="6" t="s">
        <v>405</v>
      </c>
      <c r="B104" s="6" t="s">
        <v>26</v>
      </c>
      <c r="C104" s="6" t="s">
        <v>16</v>
      </c>
      <c r="D104" s="7" t="s">
        <v>13</v>
      </c>
      <c r="E104" s="8" t="s">
        <v>406</v>
      </c>
      <c r="F104" s="6" t="s">
        <v>407</v>
      </c>
      <c r="G104" s="9" t="str">
        <f t="shared" si="1"/>
        <v>???</v>
      </c>
      <c r="H104" s="10" t="s">
        <v>16</v>
      </c>
      <c r="I104" s="11" t="s">
        <v>16</v>
      </c>
      <c r="J104" s="12"/>
    </row>
    <row r="105" spans="1:10" ht="60" customHeight="1" x14ac:dyDescent="0.2">
      <c r="A105" s="6" t="s">
        <v>408</v>
      </c>
      <c r="B105" s="6" t="s">
        <v>17</v>
      </c>
      <c r="C105" s="6" t="s">
        <v>16</v>
      </c>
      <c r="D105" s="7" t="s">
        <v>409</v>
      </c>
      <c r="E105" s="8" t="s">
        <v>410</v>
      </c>
      <c r="F105" s="6" t="s">
        <v>411</v>
      </c>
      <c r="G105" s="9" t="str">
        <f t="shared" si="1"/>
        <v>???</v>
      </c>
      <c r="H105" s="10" t="s">
        <v>16</v>
      </c>
      <c r="I105" s="11" t="s">
        <v>16</v>
      </c>
      <c r="J105" s="12"/>
    </row>
    <row r="106" spans="1:10" ht="60" customHeight="1" x14ac:dyDescent="0.2">
      <c r="A106" s="6" t="s">
        <v>412</v>
      </c>
      <c r="B106" s="6" t="s">
        <v>26</v>
      </c>
      <c r="C106" s="6" t="s">
        <v>132</v>
      </c>
      <c r="D106" s="7" t="s">
        <v>413</v>
      </c>
      <c r="E106" s="8" t="s">
        <v>414</v>
      </c>
      <c r="F106" s="6" t="s">
        <v>415</v>
      </c>
      <c r="G106" s="9" t="str">
        <f t="shared" si="1"/>
        <v>then?</v>
      </c>
      <c r="H106" s="10" t="s">
        <v>16</v>
      </c>
      <c r="I106" s="11" t="s">
        <v>16</v>
      </c>
      <c r="J106" s="12"/>
    </row>
    <row r="107" spans="1:10" ht="60" customHeight="1" x14ac:dyDescent="0.2">
      <c r="A107" s="6" t="s">
        <v>416</v>
      </c>
      <c r="B107" s="6" t="s">
        <v>26</v>
      </c>
      <c r="C107" s="6" t="s">
        <v>50</v>
      </c>
      <c r="D107" s="7" t="s">
        <v>94</v>
      </c>
      <c r="E107" s="8" t="s">
        <v>417</v>
      </c>
      <c r="F107" s="6" t="s">
        <v>418</v>
      </c>
      <c r="G107" s="9" t="str">
        <f t="shared" si="1"/>
        <v>and?</v>
      </c>
      <c r="H107" s="10" t="s">
        <v>16</v>
      </c>
      <c r="I107" s="11" t="s">
        <v>16</v>
      </c>
      <c r="J107" s="12"/>
    </row>
    <row r="108" spans="1:10" ht="60" customHeight="1" x14ac:dyDescent="0.2">
      <c r="A108" s="6" t="s">
        <v>419</v>
      </c>
      <c r="B108" s="6" t="s">
        <v>17</v>
      </c>
      <c r="C108" s="6" t="s">
        <v>277</v>
      </c>
      <c r="D108" s="7" t="s">
        <v>420</v>
      </c>
      <c r="E108" s="8" t="s">
        <v>421</v>
      </c>
      <c r="F108" s="6" t="s">
        <v>422</v>
      </c>
      <c r="G108" s="9" t="str">
        <f t="shared" si="1"/>
        <v>but?</v>
      </c>
      <c r="H108" s="10" t="s">
        <v>16</v>
      </c>
      <c r="I108" s="11" t="s">
        <v>16</v>
      </c>
      <c r="J108" s="12"/>
    </row>
    <row r="109" spans="1:10" ht="60" customHeight="1" x14ac:dyDescent="0.2">
      <c r="A109" s="6" t="s">
        <v>423</v>
      </c>
      <c r="B109" s="6" t="s">
        <v>11</v>
      </c>
      <c r="C109" s="6" t="s">
        <v>169</v>
      </c>
      <c r="D109" s="7" t="s">
        <v>424</v>
      </c>
      <c r="E109" s="8" t="s">
        <v>425</v>
      </c>
      <c r="F109" s="6" t="s">
        <v>426</v>
      </c>
      <c r="G109" s="9" t="str">
        <f t="shared" si="1"/>
        <v>before?</v>
      </c>
      <c r="H109" s="10" t="s">
        <v>16</v>
      </c>
      <c r="I109" s="11" t="s">
        <v>16</v>
      </c>
      <c r="J109" s="12"/>
    </row>
    <row r="110" spans="1:10" ht="60" customHeight="1" x14ac:dyDescent="0.2">
      <c r="A110" s="6" t="s">
        <v>427</v>
      </c>
      <c r="B110" s="6" t="s">
        <v>18</v>
      </c>
      <c r="C110" s="6" t="s">
        <v>12</v>
      </c>
      <c r="D110" s="7" t="s">
        <v>428</v>
      </c>
      <c r="E110" s="8" t="s">
        <v>429</v>
      </c>
      <c r="F110" s="6" t="s">
        <v>430</v>
      </c>
      <c r="G110" s="9" t="str">
        <f t="shared" si="1"/>
        <v>so?</v>
      </c>
      <c r="H110" s="10" t="s">
        <v>16</v>
      </c>
      <c r="I110" s="11" t="s">
        <v>16</v>
      </c>
      <c r="J110" s="12"/>
    </row>
    <row r="111" spans="1:10" ht="60" customHeight="1" x14ac:dyDescent="0.2">
      <c r="A111" s="6" t="s">
        <v>431</v>
      </c>
      <c r="B111" s="6" t="s">
        <v>17</v>
      </c>
      <c r="C111" s="6" t="s">
        <v>16</v>
      </c>
      <c r="D111" s="7" t="s">
        <v>55</v>
      </c>
      <c r="E111" s="8" t="s">
        <v>432</v>
      </c>
      <c r="F111" s="6" t="s">
        <v>433</v>
      </c>
      <c r="G111" s="9" t="str">
        <f t="shared" si="1"/>
        <v>???</v>
      </c>
      <c r="H111" s="10" t="s">
        <v>16</v>
      </c>
      <c r="I111" s="11" t="s">
        <v>16</v>
      </c>
      <c r="J111" s="12"/>
    </row>
    <row r="112" spans="1:10" ht="60" customHeight="1" x14ac:dyDescent="0.2">
      <c r="A112" s="6" t="s">
        <v>434</v>
      </c>
      <c r="B112" s="6" t="s">
        <v>17</v>
      </c>
      <c r="C112" s="6" t="s">
        <v>16</v>
      </c>
      <c r="D112" s="7" t="s">
        <v>435</v>
      </c>
      <c r="E112" s="8" t="s">
        <v>436</v>
      </c>
      <c r="F112" s="6" t="s">
        <v>437</v>
      </c>
      <c r="G112" s="9" t="str">
        <f t="shared" si="1"/>
        <v>???</v>
      </c>
      <c r="H112" s="10" t="s">
        <v>16</v>
      </c>
      <c r="I112" s="11" t="s">
        <v>16</v>
      </c>
      <c r="J112" s="12"/>
    </row>
    <row r="113" spans="1:10" ht="60" customHeight="1" x14ac:dyDescent="0.2">
      <c r="A113" s="6" t="s">
        <v>438</v>
      </c>
      <c r="B113" s="6" t="s">
        <v>18</v>
      </c>
      <c r="C113" s="6" t="s">
        <v>16</v>
      </c>
      <c r="D113" s="7" t="s">
        <v>13</v>
      </c>
      <c r="E113" s="8" t="s">
        <v>439</v>
      </c>
      <c r="F113" s="6" t="s">
        <v>440</v>
      </c>
      <c r="G113" s="9" t="str">
        <f t="shared" si="1"/>
        <v>???</v>
      </c>
      <c r="H113" s="10" t="s">
        <v>16</v>
      </c>
      <c r="I113" s="11" t="s">
        <v>16</v>
      </c>
      <c r="J113" s="12"/>
    </row>
    <row r="114" spans="1:10" ht="60" customHeight="1" x14ac:dyDescent="0.2">
      <c r="A114" s="6" t="s">
        <v>441</v>
      </c>
      <c r="B114" s="6" t="s">
        <v>17</v>
      </c>
      <c r="C114" s="6" t="s">
        <v>16</v>
      </c>
      <c r="D114" s="7" t="s">
        <v>442</v>
      </c>
      <c r="E114" s="8" t="s">
        <v>443</v>
      </c>
      <c r="F114" s="6" t="s">
        <v>444</v>
      </c>
      <c r="G114" s="9" t="str">
        <f t="shared" si="1"/>
        <v>???</v>
      </c>
      <c r="H114" s="10" t="s">
        <v>16</v>
      </c>
      <c r="I114" s="11" t="s">
        <v>16</v>
      </c>
      <c r="J114" s="12"/>
    </row>
    <row r="115" spans="1:10" ht="60" customHeight="1" x14ac:dyDescent="0.2">
      <c r="A115" s="6" t="s">
        <v>445</v>
      </c>
      <c r="B115" s="6" t="s">
        <v>18</v>
      </c>
      <c r="C115" s="6" t="s">
        <v>277</v>
      </c>
      <c r="D115" s="7" t="s">
        <v>446</v>
      </c>
      <c r="E115" s="8" t="s">
        <v>447</v>
      </c>
      <c r="F115" s="6" t="s">
        <v>448</v>
      </c>
      <c r="G115" s="9" t="str">
        <f t="shared" si="1"/>
        <v>but?</v>
      </c>
      <c r="H115" s="10" t="s">
        <v>16</v>
      </c>
      <c r="I115" s="11" t="s">
        <v>16</v>
      </c>
      <c r="J115" s="12"/>
    </row>
    <row r="116" spans="1:10" ht="60" customHeight="1" x14ac:dyDescent="0.2">
      <c r="A116" s="6" t="s">
        <v>449</v>
      </c>
      <c r="B116" s="6" t="s">
        <v>17</v>
      </c>
      <c r="C116" s="6" t="s">
        <v>16</v>
      </c>
      <c r="D116" s="7" t="s">
        <v>446</v>
      </c>
      <c r="E116" s="8" t="s">
        <v>450</v>
      </c>
      <c r="F116" s="6" t="s">
        <v>451</v>
      </c>
      <c r="G116" s="9" t="str">
        <f t="shared" si="1"/>
        <v>???</v>
      </c>
      <c r="H116" s="10" t="s">
        <v>16</v>
      </c>
      <c r="I116" s="11" t="s">
        <v>16</v>
      </c>
      <c r="J116" s="12"/>
    </row>
    <row r="117" spans="1:10" ht="60" customHeight="1" x14ac:dyDescent="0.2">
      <c r="A117" s="6" t="s">
        <v>452</v>
      </c>
      <c r="B117" s="6" t="s">
        <v>26</v>
      </c>
      <c r="C117" s="6" t="s">
        <v>16</v>
      </c>
      <c r="D117" s="7" t="s">
        <v>82</v>
      </c>
      <c r="E117" s="8" t="s">
        <v>453</v>
      </c>
      <c r="F117" s="6" t="s">
        <v>454</v>
      </c>
      <c r="G117" s="9" t="str">
        <f t="shared" si="1"/>
        <v>???</v>
      </c>
      <c r="H117" s="10" t="s">
        <v>16</v>
      </c>
      <c r="I117" s="11" t="s">
        <v>16</v>
      </c>
      <c r="J117" s="12"/>
    </row>
    <row r="118" spans="1:10" ht="60" customHeight="1" x14ac:dyDescent="0.2">
      <c r="A118" s="6" t="s">
        <v>455</v>
      </c>
      <c r="B118" s="6" t="s">
        <v>58</v>
      </c>
      <c r="C118" s="6" t="s">
        <v>16</v>
      </c>
      <c r="D118" s="7" t="s">
        <v>456</v>
      </c>
      <c r="E118" s="8" t="s">
        <v>457</v>
      </c>
      <c r="F118" s="6" t="s">
        <v>458</v>
      </c>
      <c r="G118" s="9" t="str">
        <f t="shared" si="1"/>
        <v>???</v>
      </c>
      <c r="H118" s="10" t="s">
        <v>16</v>
      </c>
      <c r="I118" s="11" t="s">
        <v>16</v>
      </c>
      <c r="J118" s="12"/>
    </row>
    <row r="119" spans="1:10" ht="60" customHeight="1" x14ac:dyDescent="0.2">
      <c r="A119" s="6" t="s">
        <v>459</v>
      </c>
      <c r="B119" s="6" t="s">
        <v>18</v>
      </c>
      <c r="C119" s="6" t="s">
        <v>12</v>
      </c>
      <c r="D119" s="7" t="s">
        <v>460</v>
      </c>
      <c r="E119" s="8" t="s">
        <v>461</v>
      </c>
      <c r="F119" s="6" t="s">
        <v>462</v>
      </c>
      <c r="G119" s="9" t="str">
        <f t="shared" si="1"/>
        <v>so?</v>
      </c>
      <c r="H119" s="10" t="s">
        <v>16</v>
      </c>
      <c r="I119" s="11" t="s">
        <v>16</v>
      </c>
      <c r="J119" s="12"/>
    </row>
    <row r="120" spans="1:10" ht="60" customHeight="1" x14ac:dyDescent="0.2">
      <c r="A120" s="6" t="s">
        <v>463</v>
      </c>
      <c r="B120" s="6" t="s">
        <v>17</v>
      </c>
      <c r="C120" s="6" t="s">
        <v>16</v>
      </c>
      <c r="D120" s="7" t="s">
        <v>78</v>
      </c>
      <c r="E120" s="8" t="s">
        <v>464</v>
      </c>
      <c r="F120" s="6" t="s">
        <v>465</v>
      </c>
      <c r="G120" s="9" t="str">
        <f t="shared" si="1"/>
        <v>???</v>
      </c>
      <c r="H120" s="10" t="s">
        <v>16</v>
      </c>
      <c r="I120" s="11" t="s">
        <v>16</v>
      </c>
      <c r="J120" s="12"/>
    </row>
    <row r="121" spans="1:10" ht="60" customHeight="1" x14ac:dyDescent="0.2">
      <c r="A121" s="6" t="s">
        <v>466</v>
      </c>
      <c r="B121" s="6" t="s">
        <v>17</v>
      </c>
      <c r="C121" s="6" t="s">
        <v>16</v>
      </c>
      <c r="D121" s="7" t="s">
        <v>467</v>
      </c>
      <c r="E121" s="8" t="s">
        <v>468</v>
      </c>
      <c r="F121" s="6" t="s">
        <v>469</v>
      </c>
      <c r="G121" s="9" t="str">
        <f t="shared" si="1"/>
        <v>???</v>
      </c>
      <c r="H121" s="10" t="s">
        <v>16</v>
      </c>
      <c r="I121" s="11" t="s">
        <v>16</v>
      </c>
      <c r="J121" s="12"/>
    </row>
    <row r="122" spans="1:10" ht="60" customHeight="1" x14ac:dyDescent="0.2">
      <c r="A122" s="6" t="s">
        <v>470</v>
      </c>
      <c r="B122" s="6" t="s">
        <v>89</v>
      </c>
      <c r="C122" s="6" t="s">
        <v>471</v>
      </c>
      <c r="D122" s="7" t="s">
        <v>55</v>
      </c>
      <c r="E122" s="8" t="s">
        <v>472</v>
      </c>
      <c r="F122" s="6" t="s">
        <v>473</v>
      </c>
      <c r="G122" s="9" t="str">
        <f t="shared" si="1"/>
        <v>later?</v>
      </c>
      <c r="H122" s="10" t="s">
        <v>16</v>
      </c>
      <c r="I122" s="11" t="s">
        <v>16</v>
      </c>
      <c r="J122" s="12"/>
    </row>
    <row r="123" spans="1:10" ht="60" customHeight="1" x14ac:dyDescent="0.2">
      <c r="A123" s="6" t="s">
        <v>474</v>
      </c>
      <c r="B123" s="6" t="s">
        <v>22</v>
      </c>
      <c r="C123" s="6" t="s">
        <v>475</v>
      </c>
      <c r="D123" s="7" t="s">
        <v>78</v>
      </c>
      <c r="E123" s="8" t="s">
        <v>476</v>
      </c>
      <c r="F123" s="6" t="s">
        <v>477</v>
      </c>
      <c r="G123" s="9" t="str">
        <f t="shared" si="1"/>
        <v>as if?</v>
      </c>
      <c r="H123" s="10" t="s">
        <v>16</v>
      </c>
      <c r="I123" s="11" t="s">
        <v>16</v>
      </c>
      <c r="J123" s="12"/>
    </row>
    <row r="124" spans="1:10" ht="60" customHeight="1" x14ac:dyDescent="0.2">
      <c r="A124" s="6" t="s">
        <v>478</v>
      </c>
      <c r="B124" s="6" t="s">
        <v>18</v>
      </c>
      <c r="C124" s="6" t="s">
        <v>50</v>
      </c>
      <c r="D124" s="7" t="s">
        <v>479</v>
      </c>
      <c r="E124" s="8" t="s">
        <v>480</v>
      </c>
      <c r="F124" s="6" t="s">
        <v>481</v>
      </c>
      <c r="G124" s="9" t="str">
        <f t="shared" si="1"/>
        <v>and?</v>
      </c>
      <c r="H124" s="10" t="s">
        <v>16</v>
      </c>
      <c r="I124" s="11" t="s">
        <v>16</v>
      </c>
      <c r="J124" s="12"/>
    </row>
    <row r="125" spans="1:10" ht="60" customHeight="1" x14ac:dyDescent="0.2">
      <c r="A125" s="6" t="s">
        <v>482</v>
      </c>
      <c r="B125" s="6" t="s">
        <v>40</v>
      </c>
      <c r="C125" s="6" t="s">
        <v>16</v>
      </c>
      <c r="D125" s="7" t="s">
        <v>55</v>
      </c>
      <c r="E125" s="8" t="s">
        <v>483</v>
      </c>
      <c r="F125" s="6" t="s">
        <v>484</v>
      </c>
      <c r="G125" s="9" t="str">
        <f t="shared" si="1"/>
        <v>???</v>
      </c>
      <c r="H125" s="10" t="s">
        <v>16</v>
      </c>
      <c r="I125" s="11" t="s">
        <v>16</v>
      </c>
      <c r="J125" s="12"/>
    </row>
    <row r="126" spans="1:10" ht="60" customHeight="1" x14ac:dyDescent="0.2">
      <c r="A126" s="6" t="s">
        <v>485</v>
      </c>
      <c r="B126" s="6" t="s">
        <v>17</v>
      </c>
      <c r="C126" s="6" t="s">
        <v>16</v>
      </c>
      <c r="D126" s="7" t="s">
        <v>486</v>
      </c>
      <c r="E126" s="8" t="s">
        <v>487</v>
      </c>
      <c r="F126" s="6" t="s">
        <v>488</v>
      </c>
      <c r="G126" s="9" t="str">
        <f t="shared" si="1"/>
        <v>???</v>
      </c>
      <c r="H126" s="10" t="s">
        <v>16</v>
      </c>
      <c r="I126" s="11" t="s">
        <v>16</v>
      </c>
      <c r="J126" s="12"/>
    </row>
    <row r="127" spans="1:10" ht="60" customHeight="1" x14ac:dyDescent="0.2">
      <c r="A127" s="6" t="s">
        <v>489</v>
      </c>
      <c r="B127" s="6" t="s">
        <v>18</v>
      </c>
      <c r="C127" s="6" t="s">
        <v>16</v>
      </c>
      <c r="D127" s="7" t="s">
        <v>490</v>
      </c>
      <c r="E127" s="8" t="s">
        <v>491</v>
      </c>
      <c r="F127" s="6" t="s">
        <v>492</v>
      </c>
      <c r="G127" s="9" t="str">
        <f t="shared" si="1"/>
        <v>???</v>
      </c>
      <c r="H127" s="10" t="s">
        <v>16</v>
      </c>
      <c r="I127" s="11" t="s">
        <v>16</v>
      </c>
      <c r="J127" s="12"/>
    </row>
    <row r="128" spans="1:10" ht="60" customHeight="1" x14ac:dyDescent="0.2">
      <c r="A128" s="6" t="s">
        <v>493</v>
      </c>
      <c r="B128" s="6" t="s">
        <v>10</v>
      </c>
      <c r="C128" s="6" t="s">
        <v>16</v>
      </c>
      <c r="D128" s="7" t="s">
        <v>494</v>
      </c>
      <c r="E128" s="8" t="s">
        <v>495</v>
      </c>
      <c r="F128" s="6" t="s">
        <v>496</v>
      </c>
      <c r="G128" s="9" t="str">
        <f t="shared" si="1"/>
        <v>???</v>
      </c>
      <c r="H128" s="10" t="s">
        <v>16</v>
      </c>
      <c r="I128" s="11" t="s">
        <v>16</v>
      </c>
      <c r="J128" s="12"/>
    </row>
    <row r="129" spans="1:10" ht="60" customHeight="1" x14ac:dyDescent="0.2">
      <c r="A129" s="6" t="s">
        <v>497</v>
      </c>
      <c r="B129" s="6" t="s">
        <v>17</v>
      </c>
      <c r="C129" s="6" t="s">
        <v>16</v>
      </c>
      <c r="D129" s="7" t="s">
        <v>498</v>
      </c>
      <c r="E129" s="8" t="s">
        <v>499</v>
      </c>
      <c r="F129" s="6" t="s">
        <v>500</v>
      </c>
      <c r="G129" s="9" t="str">
        <f t="shared" si="1"/>
        <v>???</v>
      </c>
      <c r="H129" s="10" t="s">
        <v>16</v>
      </c>
      <c r="I129" s="11" t="s">
        <v>16</v>
      </c>
      <c r="J129" s="12"/>
    </row>
    <row r="130" spans="1:10" ht="60" customHeight="1" x14ac:dyDescent="0.2">
      <c r="A130" s="6" t="s">
        <v>501</v>
      </c>
      <c r="B130" s="6" t="s">
        <v>17</v>
      </c>
      <c r="C130" s="6" t="s">
        <v>16</v>
      </c>
      <c r="D130" s="7" t="s">
        <v>55</v>
      </c>
      <c r="E130" s="8" t="s">
        <v>502</v>
      </c>
      <c r="F130" s="6" t="s">
        <v>503</v>
      </c>
      <c r="G130" s="9" t="str">
        <f t="shared" ref="G130:G193" si="2">IF(A130=1,"_",IF(C130="_","???",C130))</f>
        <v>???</v>
      </c>
      <c r="H130" s="10" t="s">
        <v>16</v>
      </c>
      <c r="I130" s="11" t="s">
        <v>16</v>
      </c>
      <c r="J130" s="12"/>
    </row>
    <row r="131" spans="1:10" ht="60" customHeight="1" x14ac:dyDescent="0.2">
      <c r="A131" s="6" t="s">
        <v>504</v>
      </c>
      <c r="B131" s="6" t="s">
        <v>22</v>
      </c>
      <c r="C131" s="6" t="s">
        <v>16</v>
      </c>
      <c r="D131" s="7" t="s">
        <v>55</v>
      </c>
      <c r="E131" s="8" t="s">
        <v>505</v>
      </c>
      <c r="F131" s="6" t="s">
        <v>506</v>
      </c>
      <c r="G131" s="9" t="str">
        <f t="shared" si="2"/>
        <v>???</v>
      </c>
      <c r="H131" s="10" t="s">
        <v>16</v>
      </c>
      <c r="I131" s="11" t="s">
        <v>16</v>
      </c>
      <c r="J131" s="12"/>
    </row>
    <row r="132" spans="1:10" ht="60" customHeight="1" x14ac:dyDescent="0.2">
      <c r="A132" s="6" t="s">
        <v>507</v>
      </c>
      <c r="B132" s="6" t="s">
        <v>18</v>
      </c>
      <c r="C132" s="6" t="s">
        <v>16</v>
      </c>
      <c r="D132" s="7" t="s">
        <v>508</v>
      </c>
      <c r="E132" s="8" t="s">
        <v>509</v>
      </c>
      <c r="F132" s="6" t="s">
        <v>510</v>
      </c>
      <c r="G132" s="9" t="str">
        <f t="shared" si="2"/>
        <v>???</v>
      </c>
      <c r="H132" s="10" t="s">
        <v>16</v>
      </c>
      <c r="I132" s="11" t="s">
        <v>16</v>
      </c>
      <c r="J132" s="12"/>
    </row>
    <row r="133" spans="1:10" ht="60" customHeight="1" x14ac:dyDescent="0.2">
      <c r="A133" s="6" t="s">
        <v>511</v>
      </c>
      <c r="B133" s="6" t="s">
        <v>40</v>
      </c>
      <c r="C133" s="6" t="s">
        <v>16</v>
      </c>
      <c r="D133" s="7" t="s">
        <v>512</v>
      </c>
      <c r="E133" s="8" t="s">
        <v>513</v>
      </c>
      <c r="F133" s="6" t="s">
        <v>514</v>
      </c>
      <c r="G133" s="9" t="str">
        <f t="shared" si="2"/>
        <v>???</v>
      </c>
      <c r="H133" s="10" t="s">
        <v>16</v>
      </c>
      <c r="I133" s="11" t="s">
        <v>16</v>
      </c>
      <c r="J133" s="12"/>
    </row>
    <row r="134" spans="1:10" ht="60" customHeight="1" x14ac:dyDescent="0.2">
      <c r="A134" s="6" t="s">
        <v>515</v>
      </c>
      <c r="B134" s="6" t="s">
        <v>18</v>
      </c>
      <c r="C134" s="6" t="s">
        <v>16</v>
      </c>
      <c r="D134" s="7" t="s">
        <v>516</v>
      </c>
      <c r="E134" s="8" t="s">
        <v>517</v>
      </c>
      <c r="F134" s="6" t="s">
        <v>518</v>
      </c>
      <c r="G134" s="9" t="str">
        <f t="shared" si="2"/>
        <v>???</v>
      </c>
      <c r="H134" s="10" t="s">
        <v>16</v>
      </c>
      <c r="I134" s="11" t="s">
        <v>16</v>
      </c>
      <c r="J134" s="12"/>
    </row>
    <row r="135" spans="1:10" ht="60" customHeight="1" x14ac:dyDescent="0.2">
      <c r="A135" s="6" t="s">
        <v>519</v>
      </c>
      <c r="B135" s="6" t="s">
        <v>17</v>
      </c>
      <c r="C135" s="6" t="s">
        <v>16</v>
      </c>
      <c r="D135" s="7" t="s">
        <v>55</v>
      </c>
      <c r="E135" s="8" t="s">
        <v>520</v>
      </c>
      <c r="F135" s="6" t="s">
        <v>521</v>
      </c>
      <c r="G135" s="9" t="str">
        <f t="shared" si="2"/>
        <v>???</v>
      </c>
      <c r="H135" s="10" t="s">
        <v>16</v>
      </c>
      <c r="I135" s="11" t="s">
        <v>16</v>
      </c>
      <c r="J135" s="12"/>
    </row>
    <row r="136" spans="1:10" ht="60" customHeight="1" x14ac:dyDescent="0.2">
      <c r="A136" s="6" t="s">
        <v>522</v>
      </c>
      <c r="B136" s="6" t="s">
        <v>17</v>
      </c>
      <c r="C136" s="6" t="s">
        <v>16</v>
      </c>
      <c r="D136" s="7" t="s">
        <v>523</v>
      </c>
      <c r="E136" s="8" t="s">
        <v>524</v>
      </c>
      <c r="F136" s="6" t="s">
        <v>525</v>
      </c>
      <c r="G136" s="9" t="str">
        <f t="shared" si="2"/>
        <v>???</v>
      </c>
      <c r="H136" s="10" t="s">
        <v>16</v>
      </c>
      <c r="I136" s="11" t="s">
        <v>16</v>
      </c>
      <c r="J136" s="12"/>
    </row>
    <row r="137" spans="1:10" ht="60" customHeight="1" x14ac:dyDescent="0.2">
      <c r="A137" s="6" t="s">
        <v>526</v>
      </c>
      <c r="B137" s="6" t="s">
        <v>17</v>
      </c>
      <c r="C137" s="6" t="s">
        <v>16</v>
      </c>
      <c r="D137" s="7" t="s">
        <v>55</v>
      </c>
      <c r="E137" s="8" t="s">
        <v>527</v>
      </c>
      <c r="F137" s="6" t="s">
        <v>528</v>
      </c>
      <c r="G137" s="9" t="str">
        <f t="shared" si="2"/>
        <v>???</v>
      </c>
      <c r="H137" s="10" t="s">
        <v>16</v>
      </c>
      <c r="I137" s="11" t="s">
        <v>16</v>
      </c>
      <c r="J137" s="12"/>
    </row>
    <row r="138" spans="1:10" ht="60" customHeight="1" x14ac:dyDescent="0.2">
      <c r="A138" s="6" t="s">
        <v>529</v>
      </c>
      <c r="B138" s="6" t="s">
        <v>18</v>
      </c>
      <c r="C138" s="6" t="s">
        <v>16</v>
      </c>
      <c r="D138" s="7" t="s">
        <v>530</v>
      </c>
      <c r="E138" s="8" t="s">
        <v>531</v>
      </c>
      <c r="F138" s="6" t="s">
        <v>532</v>
      </c>
      <c r="G138" s="9" t="str">
        <f t="shared" si="2"/>
        <v>???</v>
      </c>
      <c r="H138" s="10" t="s">
        <v>16</v>
      </c>
      <c r="I138" s="11" t="s">
        <v>16</v>
      </c>
      <c r="J138" s="12"/>
    </row>
    <row r="139" spans="1:10" ht="60" customHeight="1" x14ac:dyDescent="0.2">
      <c r="A139" s="6" t="s">
        <v>533</v>
      </c>
      <c r="B139" s="6" t="s">
        <v>17</v>
      </c>
      <c r="C139" s="6" t="s">
        <v>16</v>
      </c>
      <c r="D139" s="7" t="s">
        <v>534</v>
      </c>
      <c r="E139" s="8" t="s">
        <v>535</v>
      </c>
      <c r="F139" s="6" t="s">
        <v>536</v>
      </c>
      <c r="G139" s="9" t="str">
        <f t="shared" si="2"/>
        <v>???</v>
      </c>
      <c r="H139" s="10" t="s">
        <v>16</v>
      </c>
      <c r="I139" s="11" t="s">
        <v>16</v>
      </c>
      <c r="J139" s="12"/>
    </row>
    <row r="140" spans="1:10" ht="60" customHeight="1" x14ac:dyDescent="0.2">
      <c r="A140" s="6" t="s">
        <v>537</v>
      </c>
      <c r="B140" s="6" t="s">
        <v>18</v>
      </c>
      <c r="C140" s="6" t="s">
        <v>16</v>
      </c>
      <c r="D140" s="7" t="s">
        <v>243</v>
      </c>
      <c r="E140" s="8" t="s">
        <v>538</v>
      </c>
      <c r="F140" s="6" t="s">
        <v>539</v>
      </c>
      <c r="G140" s="9" t="str">
        <f t="shared" si="2"/>
        <v>???</v>
      </c>
      <c r="H140" s="10" t="s">
        <v>16</v>
      </c>
      <c r="I140" s="11" t="s">
        <v>16</v>
      </c>
      <c r="J140" s="12"/>
    </row>
    <row r="141" spans="1:10" ht="60" customHeight="1" x14ac:dyDescent="0.2">
      <c r="A141" s="6" t="s">
        <v>540</v>
      </c>
      <c r="B141" s="6" t="s">
        <v>18</v>
      </c>
      <c r="C141" s="6" t="s">
        <v>16</v>
      </c>
      <c r="D141" s="7" t="s">
        <v>243</v>
      </c>
      <c r="E141" s="8" t="s">
        <v>541</v>
      </c>
      <c r="F141" s="6" t="s">
        <v>542</v>
      </c>
      <c r="G141" s="9" t="str">
        <f t="shared" si="2"/>
        <v>???</v>
      </c>
      <c r="H141" s="10" t="s">
        <v>16</v>
      </c>
      <c r="I141" s="11" t="s">
        <v>16</v>
      </c>
      <c r="J141" s="12"/>
    </row>
    <row r="142" spans="1:10" ht="60" customHeight="1" x14ac:dyDescent="0.2">
      <c r="A142" s="6" t="s">
        <v>543</v>
      </c>
      <c r="B142" s="6" t="s">
        <v>10</v>
      </c>
      <c r="C142" s="6" t="s">
        <v>12</v>
      </c>
      <c r="D142" s="7" t="s">
        <v>544</v>
      </c>
      <c r="E142" s="8" t="s">
        <v>545</v>
      </c>
      <c r="F142" s="6" t="s">
        <v>546</v>
      </c>
      <c r="G142" s="9" t="str">
        <f t="shared" si="2"/>
        <v>so?</v>
      </c>
      <c r="H142" s="10" t="s">
        <v>16</v>
      </c>
      <c r="I142" s="11" t="s">
        <v>16</v>
      </c>
      <c r="J142" s="12"/>
    </row>
    <row r="143" spans="1:10" ht="60" customHeight="1" x14ac:dyDescent="0.2">
      <c r="A143" s="6" t="s">
        <v>547</v>
      </c>
      <c r="B143" s="6" t="s">
        <v>26</v>
      </c>
      <c r="C143" s="6" t="s">
        <v>50</v>
      </c>
      <c r="D143" s="7" t="s">
        <v>187</v>
      </c>
      <c r="E143" s="8" t="s">
        <v>548</v>
      </c>
      <c r="F143" s="6" t="s">
        <v>549</v>
      </c>
      <c r="G143" s="9" t="str">
        <f t="shared" si="2"/>
        <v>and?</v>
      </c>
      <c r="H143" s="10" t="s">
        <v>16</v>
      </c>
      <c r="I143" s="11" t="s">
        <v>16</v>
      </c>
      <c r="J143" s="12"/>
    </row>
    <row r="144" spans="1:10" ht="60" customHeight="1" x14ac:dyDescent="0.2">
      <c r="A144" s="6" t="s">
        <v>550</v>
      </c>
      <c r="B144" s="6" t="s">
        <v>18</v>
      </c>
      <c r="C144" s="6" t="s">
        <v>551</v>
      </c>
      <c r="D144" s="7" t="s">
        <v>530</v>
      </c>
      <c r="E144" s="8" t="s">
        <v>552</v>
      </c>
      <c r="F144" s="6" t="s">
        <v>553</v>
      </c>
      <c r="G144" s="9" t="str">
        <f t="shared" si="2"/>
        <v>also?</v>
      </c>
      <c r="H144" s="10" t="s">
        <v>16</v>
      </c>
      <c r="I144" s="11" t="s">
        <v>16</v>
      </c>
      <c r="J144" s="12"/>
    </row>
    <row r="145" spans="1:10" ht="60" customHeight="1" x14ac:dyDescent="0.2">
      <c r="A145" s="6" t="s">
        <v>554</v>
      </c>
      <c r="B145" s="6" t="s">
        <v>69</v>
      </c>
      <c r="C145" s="6" t="s">
        <v>50</v>
      </c>
      <c r="D145" s="7" t="s">
        <v>368</v>
      </c>
      <c r="E145" s="8" t="s">
        <v>555</v>
      </c>
      <c r="F145" s="6" t="s">
        <v>556</v>
      </c>
      <c r="G145" s="9" t="str">
        <f t="shared" si="2"/>
        <v>and?</v>
      </c>
      <c r="H145" s="10" t="s">
        <v>16</v>
      </c>
      <c r="I145" s="11" t="s">
        <v>16</v>
      </c>
      <c r="J145" s="12"/>
    </row>
    <row r="146" spans="1:10" ht="60" customHeight="1" x14ac:dyDescent="0.2">
      <c r="A146" s="6" t="s">
        <v>557</v>
      </c>
      <c r="B146" s="6" t="s">
        <v>17</v>
      </c>
      <c r="C146" s="6" t="s">
        <v>16</v>
      </c>
      <c r="D146" s="7" t="s">
        <v>558</v>
      </c>
      <c r="E146" s="8" t="s">
        <v>559</v>
      </c>
      <c r="F146" s="6" t="s">
        <v>560</v>
      </c>
      <c r="G146" s="9" t="str">
        <f t="shared" si="2"/>
        <v>???</v>
      </c>
      <c r="H146" s="10" t="s">
        <v>16</v>
      </c>
      <c r="I146" s="11" t="s">
        <v>16</v>
      </c>
      <c r="J146" s="12"/>
    </row>
    <row r="147" spans="1:10" ht="60" customHeight="1" x14ac:dyDescent="0.2">
      <c r="A147" s="6" t="s">
        <v>561</v>
      </c>
      <c r="B147" s="6" t="s">
        <v>11</v>
      </c>
      <c r="C147" s="6" t="s">
        <v>16</v>
      </c>
      <c r="D147" s="7" t="s">
        <v>562</v>
      </c>
      <c r="E147" s="8" t="s">
        <v>563</v>
      </c>
      <c r="F147" s="6" t="s">
        <v>564</v>
      </c>
      <c r="G147" s="9" t="str">
        <f t="shared" si="2"/>
        <v>???</v>
      </c>
      <c r="H147" s="10" t="s">
        <v>16</v>
      </c>
      <c r="I147" s="11" t="s">
        <v>16</v>
      </c>
      <c r="J147" s="12"/>
    </row>
    <row r="148" spans="1:10" ht="60" customHeight="1" x14ac:dyDescent="0.2">
      <c r="A148" s="6" t="s">
        <v>565</v>
      </c>
      <c r="B148" s="6" t="s">
        <v>22</v>
      </c>
      <c r="C148" s="6" t="s">
        <v>50</v>
      </c>
      <c r="D148" s="7" t="s">
        <v>562</v>
      </c>
      <c r="E148" s="8" t="s">
        <v>566</v>
      </c>
      <c r="F148" s="6" t="s">
        <v>567</v>
      </c>
      <c r="G148" s="9" t="str">
        <f t="shared" si="2"/>
        <v>and?</v>
      </c>
      <c r="H148" s="10" t="s">
        <v>16</v>
      </c>
      <c r="I148" s="11" t="s">
        <v>16</v>
      </c>
      <c r="J148" s="12"/>
    </row>
    <row r="149" spans="1:10" ht="60" customHeight="1" x14ac:dyDescent="0.2">
      <c r="A149" s="6" t="s">
        <v>568</v>
      </c>
      <c r="B149" s="6" t="s">
        <v>17</v>
      </c>
      <c r="C149" s="6" t="s">
        <v>225</v>
      </c>
      <c r="D149" s="7" t="s">
        <v>309</v>
      </c>
      <c r="E149" s="8" t="s">
        <v>569</v>
      </c>
      <c r="F149" s="6" t="s">
        <v>570</v>
      </c>
      <c r="G149" s="9" t="str">
        <f t="shared" si="2"/>
        <v>because?</v>
      </c>
      <c r="H149" s="10" t="s">
        <v>16</v>
      </c>
      <c r="I149" s="11" t="s">
        <v>16</v>
      </c>
      <c r="J149" s="12"/>
    </row>
    <row r="150" spans="1:10" ht="60" customHeight="1" x14ac:dyDescent="0.2">
      <c r="A150" s="6" t="s">
        <v>571</v>
      </c>
      <c r="B150" s="6" t="s">
        <v>17</v>
      </c>
      <c r="C150" s="6" t="s">
        <v>16</v>
      </c>
      <c r="D150" s="7" t="s">
        <v>572</v>
      </c>
      <c r="E150" s="8" t="s">
        <v>573</v>
      </c>
      <c r="F150" s="6" t="s">
        <v>574</v>
      </c>
      <c r="G150" s="9" t="str">
        <f t="shared" si="2"/>
        <v>???</v>
      </c>
      <c r="H150" s="10" t="s">
        <v>16</v>
      </c>
      <c r="I150" s="11" t="s">
        <v>16</v>
      </c>
      <c r="J150" s="12"/>
    </row>
    <row r="151" spans="1:10" ht="60" customHeight="1" x14ac:dyDescent="0.2">
      <c r="A151" s="6" t="s">
        <v>575</v>
      </c>
      <c r="B151" s="6" t="s">
        <v>18</v>
      </c>
      <c r="C151" s="6" t="s">
        <v>12</v>
      </c>
      <c r="D151" s="7" t="s">
        <v>576</v>
      </c>
      <c r="E151" s="8" t="s">
        <v>577</v>
      </c>
      <c r="F151" s="6" t="s">
        <v>578</v>
      </c>
      <c r="G151" s="9" t="str">
        <f t="shared" si="2"/>
        <v>so?</v>
      </c>
      <c r="H151" s="10" t="s">
        <v>16</v>
      </c>
      <c r="I151" s="11" t="s">
        <v>16</v>
      </c>
      <c r="J151" s="12"/>
    </row>
    <row r="152" spans="1:10" ht="60" customHeight="1" x14ac:dyDescent="0.2">
      <c r="A152" s="6" t="s">
        <v>579</v>
      </c>
      <c r="B152" s="6" t="s">
        <v>17</v>
      </c>
      <c r="C152" s="6" t="s">
        <v>16</v>
      </c>
      <c r="D152" s="7" t="s">
        <v>55</v>
      </c>
      <c r="E152" s="8" t="s">
        <v>580</v>
      </c>
      <c r="F152" s="6" t="s">
        <v>581</v>
      </c>
      <c r="G152" s="9" t="str">
        <f t="shared" si="2"/>
        <v>???</v>
      </c>
      <c r="H152" s="10" t="s">
        <v>16</v>
      </c>
      <c r="I152" s="11" t="s">
        <v>16</v>
      </c>
      <c r="J152" s="12"/>
    </row>
    <row r="153" spans="1:10" ht="60" customHeight="1" x14ac:dyDescent="0.2">
      <c r="A153" s="6" t="s">
        <v>582</v>
      </c>
      <c r="B153" s="6" t="s">
        <v>18</v>
      </c>
      <c r="C153" s="6" t="s">
        <v>45</v>
      </c>
      <c r="D153" s="7" t="s">
        <v>309</v>
      </c>
      <c r="E153" s="8" t="s">
        <v>583</v>
      </c>
      <c r="F153" s="6" t="s">
        <v>584</v>
      </c>
      <c r="G153" s="9" t="str">
        <f t="shared" si="2"/>
        <v>for?</v>
      </c>
      <c r="H153" s="10" t="s">
        <v>16</v>
      </c>
      <c r="I153" s="11" t="s">
        <v>16</v>
      </c>
      <c r="J153" s="12"/>
    </row>
    <row r="154" spans="1:10" ht="60" customHeight="1" x14ac:dyDescent="0.2">
      <c r="A154" s="6" t="s">
        <v>585</v>
      </c>
      <c r="B154" s="6" t="s">
        <v>17</v>
      </c>
      <c r="C154" s="6" t="s">
        <v>16</v>
      </c>
      <c r="D154" s="7" t="s">
        <v>486</v>
      </c>
      <c r="E154" s="8" t="s">
        <v>586</v>
      </c>
      <c r="F154" s="6" t="s">
        <v>587</v>
      </c>
      <c r="G154" s="9" t="str">
        <f t="shared" si="2"/>
        <v>???</v>
      </c>
      <c r="H154" s="10" t="s">
        <v>16</v>
      </c>
      <c r="I154" s="11" t="s">
        <v>16</v>
      </c>
      <c r="J154" s="12"/>
    </row>
    <row r="155" spans="1:10" ht="60" customHeight="1" x14ac:dyDescent="0.2">
      <c r="A155" s="6" t="s">
        <v>588</v>
      </c>
      <c r="B155" s="6" t="s">
        <v>17</v>
      </c>
      <c r="C155" s="6" t="s">
        <v>16</v>
      </c>
      <c r="D155" s="7" t="s">
        <v>55</v>
      </c>
      <c r="E155" s="8" t="s">
        <v>589</v>
      </c>
      <c r="F155" s="6" t="s">
        <v>590</v>
      </c>
      <c r="G155" s="9" t="str">
        <f t="shared" si="2"/>
        <v>???</v>
      </c>
      <c r="H155" s="10" t="s">
        <v>16</v>
      </c>
      <c r="I155" s="11" t="s">
        <v>16</v>
      </c>
      <c r="J155" s="12"/>
    </row>
    <row r="156" spans="1:10" ht="60" customHeight="1" x14ac:dyDescent="0.2">
      <c r="A156" s="6" t="s">
        <v>591</v>
      </c>
      <c r="B156" s="6" t="s">
        <v>26</v>
      </c>
      <c r="C156" s="6" t="s">
        <v>50</v>
      </c>
      <c r="D156" s="7" t="s">
        <v>388</v>
      </c>
      <c r="E156" s="8" t="s">
        <v>592</v>
      </c>
      <c r="F156" s="6" t="s">
        <v>593</v>
      </c>
      <c r="G156" s="9" t="str">
        <f t="shared" si="2"/>
        <v>and?</v>
      </c>
      <c r="H156" s="10" t="s">
        <v>16</v>
      </c>
      <c r="I156" s="11" t="s">
        <v>16</v>
      </c>
      <c r="J156" s="12"/>
    </row>
    <row r="157" spans="1:10" ht="60" customHeight="1" x14ac:dyDescent="0.2">
      <c r="A157" s="6" t="s">
        <v>594</v>
      </c>
      <c r="B157" s="6" t="s">
        <v>17</v>
      </c>
      <c r="C157" s="6" t="s">
        <v>16</v>
      </c>
      <c r="D157" s="7" t="s">
        <v>595</v>
      </c>
      <c r="E157" s="8" t="s">
        <v>596</v>
      </c>
      <c r="F157" s="6" t="s">
        <v>597</v>
      </c>
      <c r="G157" s="9" t="str">
        <f t="shared" si="2"/>
        <v>???</v>
      </c>
      <c r="H157" s="10" t="s">
        <v>16</v>
      </c>
      <c r="I157" s="11" t="s">
        <v>16</v>
      </c>
      <c r="J157" s="12"/>
    </row>
    <row r="158" spans="1:10" ht="60" customHeight="1" x14ac:dyDescent="0.2">
      <c r="A158" s="6" t="s">
        <v>598</v>
      </c>
      <c r="B158" s="6" t="s">
        <v>26</v>
      </c>
      <c r="C158" s="6" t="s">
        <v>16</v>
      </c>
      <c r="D158" s="7" t="s">
        <v>285</v>
      </c>
      <c r="E158" s="8" t="s">
        <v>599</v>
      </c>
      <c r="F158" s="6" t="s">
        <v>600</v>
      </c>
      <c r="G158" s="9" t="str">
        <f t="shared" si="2"/>
        <v>???</v>
      </c>
      <c r="H158" s="10" t="s">
        <v>16</v>
      </c>
      <c r="I158" s="11" t="s">
        <v>16</v>
      </c>
      <c r="J158" s="12"/>
    </row>
    <row r="159" spans="1:10" ht="60" customHeight="1" x14ac:dyDescent="0.2">
      <c r="A159" s="6" t="s">
        <v>601</v>
      </c>
      <c r="B159" s="6" t="s">
        <v>69</v>
      </c>
      <c r="C159" s="6" t="s">
        <v>602</v>
      </c>
      <c r="D159" s="7" t="s">
        <v>106</v>
      </c>
      <c r="E159" s="8" t="s">
        <v>603</v>
      </c>
      <c r="F159" s="6" t="s">
        <v>604</v>
      </c>
      <c r="G159" s="9" t="str">
        <f t="shared" si="2"/>
        <v>when?</v>
      </c>
      <c r="H159" s="10" t="s">
        <v>16</v>
      </c>
      <c r="I159" s="11" t="s">
        <v>16</v>
      </c>
      <c r="J159" s="12"/>
    </row>
    <row r="160" spans="1:10" ht="60" customHeight="1" x14ac:dyDescent="0.2">
      <c r="A160" s="6" t="s">
        <v>605</v>
      </c>
      <c r="B160" s="6" t="s">
        <v>17</v>
      </c>
      <c r="C160" s="6" t="s">
        <v>16</v>
      </c>
      <c r="D160" s="7" t="s">
        <v>106</v>
      </c>
      <c r="E160" s="8" t="s">
        <v>606</v>
      </c>
      <c r="F160" s="6" t="s">
        <v>607</v>
      </c>
      <c r="G160" s="9" t="str">
        <f t="shared" si="2"/>
        <v>???</v>
      </c>
      <c r="H160" s="10" t="s">
        <v>16</v>
      </c>
      <c r="I160" s="11" t="s">
        <v>16</v>
      </c>
      <c r="J160" s="12"/>
    </row>
    <row r="161" spans="1:10" ht="60" customHeight="1" x14ac:dyDescent="0.2">
      <c r="A161" s="6" t="s">
        <v>608</v>
      </c>
      <c r="B161" s="6" t="s">
        <v>17</v>
      </c>
      <c r="C161" s="6" t="s">
        <v>50</v>
      </c>
      <c r="D161" s="7" t="s">
        <v>388</v>
      </c>
      <c r="E161" s="8" t="s">
        <v>609</v>
      </c>
      <c r="F161" s="6" t="s">
        <v>610</v>
      </c>
      <c r="G161" s="9" t="str">
        <f t="shared" si="2"/>
        <v>and?</v>
      </c>
      <c r="H161" s="10" t="s">
        <v>16</v>
      </c>
      <c r="I161" s="11" t="s">
        <v>16</v>
      </c>
      <c r="J161" s="12"/>
    </row>
    <row r="162" spans="1:10" ht="60" customHeight="1" x14ac:dyDescent="0.2">
      <c r="A162" s="6" t="s">
        <v>611</v>
      </c>
      <c r="B162" s="6" t="s">
        <v>17</v>
      </c>
      <c r="C162" s="6" t="s">
        <v>16</v>
      </c>
      <c r="D162" s="7" t="s">
        <v>55</v>
      </c>
      <c r="E162" s="8" t="s">
        <v>612</v>
      </c>
      <c r="F162" s="6" t="s">
        <v>613</v>
      </c>
      <c r="G162" s="9" t="str">
        <f t="shared" si="2"/>
        <v>???</v>
      </c>
      <c r="H162" s="10" t="s">
        <v>16</v>
      </c>
      <c r="I162" s="11" t="s">
        <v>16</v>
      </c>
      <c r="J162" s="12"/>
    </row>
    <row r="163" spans="1:10" ht="60" customHeight="1" x14ac:dyDescent="0.2">
      <c r="A163" s="6" t="s">
        <v>614</v>
      </c>
      <c r="B163" s="6" t="s">
        <v>17</v>
      </c>
      <c r="C163" s="6" t="s">
        <v>169</v>
      </c>
      <c r="D163" s="7" t="s">
        <v>615</v>
      </c>
      <c r="E163" s="8" t="s">
        <v>616</v>
      </c>
      <c r="F163" s="6" t="s">
        <v>617</v>
      </c>
      <c r="G163" s="9" t="str">
        <f t="shared" si="2"/>
        <v>before?</v>
      </c>
      <c r="H163" s="10" t="s">
        <v>16</v>
      </c>
      <c r="I163" s="11" t="s">
        <v>16</v>
      </c>
      <c r="J163" s="12"/>
    </row>
    <row r="164" spans="1:10" ht="60" customHeight="1" x14ac:dyDescent="0.2">
      <c r="A164" s="6" t="s">
        <v>618</v>
      </c>
      <c r="B164" s="6" t="s">
        <v>17</v>
      </c>
      <c r="C164" s="6" t="s">
        <v>16</v>
      </c>
      <c r="D164" s="7" t="s">
        <v>619</v>
      </c>
      <c r="E164" s="8" t="s">
        <v>620</v>
      </c>
      <c r="F164" s="6" t="s">
        <v>621</v>
      </c>
      <c r="G164" s="9" t="str">
        <f t="shared" si="2"/>
        <v>???</v>
      </c>
      <c r="H164" s="10" t="s">
        <v>16</v>
      </c>
      <c r="I164" s="11" t="s">
        <v>16</v>
      </c>
      <c r="J164" s="12"/>
    </row>
    <row r="165" spans="1:10" ht="60" customHeight="1" x14ac:dyDescent="0.2">
      <c r="A165" s="6" t="s">
        <v>622</v>
      </c>
      <c r="B165" s="6" t="s">
        <v>11</v>
      </c>
      <c r="C165" s="6" t="s">
        <v>277</v>
      </c>
      <c r="D165" s="7" t="s">
        <v>512</v>
      </c>
      <c r="E165" s="8" t="s">
        <v>623</v>
      </c>
      <c r="F165" s="6" t="s">
        <v>624</v>
      </c>
      <c r="G165" s="9" t="str">
        <f t="shared" si="2"/>
        <v>but?</v>
      </c>
      <c r="H165" s="10" t="s">
        <v>16</v>
      </c>
      <c r="I165" s="11" t="s">
        <v>16</v>
      </c>
      <c r="J165" s="12"/>
    </row>
    <row r="166" spans="1:10" ht="60" customHeight="1" x14ac:dyDescent="0.2">
      <c r="A166" s="6" t="s">
        <v>625</v>
      </c>
      <c r="B166" s="6" t="s">
        <v>10</v>
      </c>
      <c r="C166" s="6" t="s">
        <v>16</v>
      </c>
      <c r="D166" s="7" t="s">
        <v>626</v>
      </c>
      <c r="E166" s="8" t="s">
        <v>627</v>
      </c>
      <c r="F166" s="6" t="s">
        <v>628</v>
      </c>
      <c r="G166" s="9" t="str">
        <f t="shared" si="2"/>
        <v>???</v>
      </c>
      <c r="H166" s="10" t="s">
        <v>16</v>
      </c>
      <c r="I166" s="11" t="s">
        <v>16</v>
      </c>
      <c r="J166" s="12"/>
    </row>
    <row r="167" spans="1:10" ht="60" customHeight="1" x14ac:dyDescent="0.2">
      <c r="A167" s="6" t="s">
        <v>629</v>
      </c>
      <c r="B167" s="6" t="s">
        <v>17</v>
      </c>
      <c r="C167" s="6" t="s">
        <v>16</v>
      </c>
      <c r="D167" s="7" t="s">
        <v>530</v>
      </c>
      <c r="E167" s="8" t="s">
        <v>630</v>
      </c>
      <c r="F167" s="6" t="s">
        <v>631</v>
      </c>
      <c r="G167" s="9" t="str">
        <f t="shared" si="2"/>
        <v>???</v>
      </c>
      <c r="H167" s="10" t="s">
        <v>16</v>
      </c>
      <c r="I167" s="11" t="s">
        <v>16</v>
      </c>
      <c r="J167" s="12"/>
    </row>
    <row r="168" spans="1:10" ht="60" customHeight="1" x14ac:dyDescent="0.2">
      <c r="A168" s="6" t="s">
        <v>632</v>
      </c>
      <c r="B168" s="6" t="s">
        <v>26</v>
      </c>
      <c r="C168" s="6" t="s">
        <v>225</v>
      </c>
      <c r="D168" s="7" t="s">
        <v>633</v>
      </c>
      <c r="E168" s="8" t="s">
        <v>634</v>
      </c>
      <c r="F168" s="6" t="s">
        <v>635</v>
      </c>
      <c r="G168" s="9" t="str">
        <f t="shared" si="2"/>
        <v>because?</v>
      </c>
      <c r="H168" s="10" t="s">
        <v>16</v>
      </c>
      <c r="I168" s="11" t="s">
        <v>16</v>
      </c>
      <c r="J168" s="12"/>
    </row>
    <row r="169" spans="1:10" ht="60" customHeight="1" x14ac:dyDescent="0.2">
      <c r="A169" s="6" t="s">
        <v>636</v>
      </c>
      <c r="B169" s="6" t="s">
        <v>17</v>
      </c>
      <c r="C169" s="6" t="s">
        <v>16</v>
      </c>
      <c r="D169" s="7" t="s">
        <v>637</v>
      </c>
      <c r="E169" s="8" t="s">
        <v>638</v>
      </c>
      <c r="F169" s="6" t="s">
        <v>639</v>
      </c>
      <c r="G169" s="9" t="str">
        <f t="shared" si="2"/>
        <v>???</v>
      </c>
      <c r="H169" s="10" t="s">
        <v>16</v>
      </c>
      <c r="I169" s="11" t="s">
        <v>16</v>
      </c>
      <c r="J169" s="12"/>
    </row>
    <row r="170" spans="1:10" ht="60" customHeight="1" x14ac:dyDescent="0.2">
      <c r="A170" s="6" t="s">
        <v>640</v>
      </c>
      <c r="B170" s="6" t="s">
        <v>69</v>
      </c>
      <c r="C170" s="6" t="s">
        <v>602</v>
      </c>
      <c r="D170" s="7" t="s">
        <v>641</v>
      </c>
      <c r="E170" s="8" t="s">
        <v>642</v>
      </c>
      <c r="F170" s="6" t="s">
        <v>643</v>
      </c>
      <c r="G170" s="9" t="str">
        <f t="shared" si="2"/>
        <v>when?</v>
      </c>
      <c r="H170" s="10" t="s">
        <v>16</v>
      </c>
      <c r="I170" s="11" t="s">
        <v>16</v>
      </c>
      <c r="J170" s="12"/>
    </row>
    <row r="171" spans="1:10" ht="60" customHeight="1" x14ac:dyDescent="0.2">
      <c r="A171" s="6" t="s">
        <v>644</v>
      </c>
      <c r="B171" s="6" t="s">
        <v>18</v>
      </c>
      <c r="C171" s="6" t="s">
        <v>12</v>
      </c>
      <c r="D171" s="7" t="s">
        <v>460</v>
      </c>
      <c r="E171" s="8" t="s">
        <v>645</v>
      </c>
      <c r="F171" s="6" t="s">
        <v>646</v>
      </c>
      <c r="G171" s="9" t="str">
        <f t="shared" si="2"/>
        <v>so?</v>
      </c>
      <c r="H171" s="10" t="s">
        <v>16</v>
      </c>
      <c r="I171" s="11" t="s">
        <v>16</v>
      </c>
      <c r="J171" s="12"/>
    </row>
    <row r="172" spans="1:10" ht="60" customHeight="1" x14ac:dyDescent="0.2">
      <c r="A172" s="6" t="s">
        <v>647</v>
      </c>
      <c r="B172" s="6" t="s">
        <v>22</v>
      </c>
      <c r="C172" s="6" t="s">
        <v>277</v>
      </c>
      <c r="D172" s="7" t="s">
        <v>530</v>
      </c>
      <c r="E172" s="8" t="s">
        <v>648</v>
      </c>
      <c r="F172" s="6" t="s">
        <v>649</v>
      </c>
      <c r="G172" s="9" t="str">
        <f t="shared" si="2"/>
        <v>but?</v>
      </c>
      <c r="H172" s="10" t="s">
        <v>16</v>
      </c>
      <c r="I172" s="11" t="s">
        <v>16</v>
      </c>
      <c r="J172" s="12"/>
    </row>
    <row r="173" spans="1:10" ht="60" customHeight="1" x14ac:dyDescent="0.2">
      <c r="A173" s="6" t="s">
        <v>650</v>
      </c>
      <c r="B173" s="6" t="s">
        <v>40</v>
      </c>
      <c r="C173" s="6" t="s">
        <v>225</v>
      </c>
      <c r="D173" s="7" t="s">
        <v>651</v>
      </c>
      <c r="E173" s="8" t="s">
        <v>652</v>
      </c>
      <c r="F173" s="6" t="s">
        <v>653</v>
      </c>
      <c r="G173" s="9" t="str">
        <f t="shared" si="2"/>
        <v>because?</v>
      </c>
      <c r="H173" s="10" t="s">
        <v>16</v>
      </c>
      <c r="I173" s="11" t="s">
        <v>16</v>
      </c>
      <c r="J173" s="12"/>
    </row>
    <row r="174" spans="1:10" ht="60" customHeight="1" x14ac:dyDescent="0.2">
      <c r="A174" s="6" t="s">
        <v>654</v>
      </c>
      <c r="B174" s="6" t="s">
        <v>17</v>
      </c>
      <c r="C174" s="6" t="s">
        <v>277</v>
      </c>
      <c r="D174" s="7" t="s">
        <v>655</v>
      </c>
      <c r="E174" s="8" t="s">
        <v>656</v>
      </c>
      <c r="F174" s="6" t="s">
        <v>657</v>
      </c>
      <c r="G174" s="9" t="str">
        <f t="shared" si="2"/>
        <v>but?</v>
      </c>
      <c r="H174" s="10" t="s">
        <v>16</v>
      </c>
      <c r="I174" s="11" t="s">
        <v>16</v>
      </c>
      <c r="J174" s="12"/>
    </row>
    <row r="175" spans="1:10" ht="60" customHeight="1" x14ac:dyDescent="0.2">
      <c r="A175" s="6" t="s">
        <v>658</v>
      </c>
      <c r="B175" s="6" t="s">
        <v>18</v>
      </c>
      <c r="C175" s="6" t="s">
        <v>16</v>
      </c>
      <c r="D175" s="7" t="s">
        <v>55</v>
      </c>
      <c r="E175" s="8" t="s">
        <v>659</v>
      </c>
      <c r="F175" s="6" t="s">
        <v>660</v>
      </c>
      <c r="G175" s="9" t="str">
        <f t="shared" si="2"/>
        <v>???</v>
      </c>
      <c r="H175" s="10" t="s">
        <v>16</v>
      </c>
      <c r="I175" s="11" t="s">
        <v>16</v>
      </c>
      <c r="J175" s="12"/>
    </row>
    <row r="176" spans="1:10" ht="60" customHeight="1" x14ac:dyDescent="0.2">
      <c r="A176" s="6" t="s">
        <v>661</v>
      </c>
      <c r="B176" s="6" t="s">
        <v>11</v>
      </c>
      <c r="C176" s="6" t="s">
        <v>16</v>
      </c>
      <c r="D176" s="7" t="s">
        <v>662</v>
      </c>
      <c r="E176" s="8" t="s">
        <v>663</v>
      </c>
      <c r="F176" s="6" t="s">
        <v>664</v>
      </c>
      <c r="G176" s="9" t="str">
        <f t="shared" si="2"/>
        <v>???</v>
      </c>
      <c r="H176" s="10" t="s">
        <v>16</v>
      </c>
      <c r="I176" s="11" t="s">
        <v>16</v>
      </c>
      <c r="J176" s="12"/>
    </row>
    <row r="177" spans="1:10" ht="60" customHeight="1" x14ac:dyDescent="0.2">
      <c r="A177" s="6" t="s">
        <v>665</v>
      </c>
      <c r="B177" s="6" t="s">
        <v>17</v>
      </c>
      <c r="C177" s="6" t="s">
        <v>16</v>
      </c>
      <c r="D177" s="7" t="s">
        <v>666</v>
      </c>
      <c r="E177" s="8" t="s">
        <v>667</v>
      </c>
      <c r="F177" s="6" t="s">
        <v>668</v>
      </c>
      <c r="G177" s="9" t="str">
        <f t="shared" si="2"/>
        <v>???</v>
      </c>
      <c r="H177" s="10" t="s">
        <v>16</v>
      </c>
      <c r="I177" s="11" t="s">
        <v>16</v>
      </c>
      <c r="J177" s="12"/>
    </row>
    <row r="178" spans="1:10" ht="60" customHeight="1" x14ac:dyDescent="0.2">
      <c r="A178" s="6" t="s">
        <v>669</v>
      </c>
      <c r="B178" s="6" t="s">
        <v>40</v>
      </c>
      <c r="C178" s="6" t="s">
        <v>45</v>
      </c>
      <c r="D178" s="7" t="s">
        <v>670</v>
      </c>
      <c r="E178" s="8" t="s">
        <v>671</v>
      </c>
      <c r="F178" s="6" t="s">
        <v>672</v>
      </c>
      <c r="G178" s="9" t="str">
        <f t="shared" si="2"/>
        <v>for?</v>
      </c>
      <c r="H178" s="10" t="s">
        <v>16</v>
      </c>
      <c r="I178" s="11" t="s">
        <v>16</v>
      </c>
      <c r="J178" s="12"/>
    </row>
    <row r="179" spans="1:10" ht="60" customHeight="1" x14ac:dyDescent="0.2">
      <c r="A179" s="6" t="s">
        <v>673</v>
      </c>
      <c r="B179" s="6" t="s">
        <v>26</v>
      </c>
      <c r="C179" s="6" t="s">
        <v>16</v>
      </c>
      <c r="D179" s="7" t="s">
        <v>674</v>
      </c>
      <c r="E179" s="8" t="s">
        <v>675</v>
      </c>
      <c r="F179" s="6" t="s">
        <v>676</v>
      </c>
      <c r="G179" s="9" t="str">
        <f t="shared" si="2"/>
        <v>???</v>
      </c>
      <c r="H179" s="10" t="s">
        <v>16</v>
      </c>
      <c r="I179" s="11" t="s">
        <v>16</v>
      </c>
      <c r="J179" s="12"/>
    </row>
    <row r="180" spans="1:10" ht="60" customHeight="1" x14ac:dyDescent="0.2">
      <c r="A180" s="6" t="s">
        <v>677</v>
      </c>
      <c r="B180" s="6" t="s">
        <v>17</v>
      </c>
      <c r="C180" s="6" t="s">
        <v>16</v>
      </c>
      <c r="D180" s="7" t="s">
        <v>19</v>
      </c>
      <c r="E180" s="8" t="s">
        <v>678</v>
      </c>
      <c r="F180" s="6" t="s">
        <v>679</v>
      </c>
      <c r="G180" s="9" t="str">
        <f t="shared" si="2"/>
        <v>???</v>
      </c>
      <c r="H180" s="10" t="s">
        <v>16</v>
      </c>
      <c r="I180" s="11" t="s">
        <v>16</v>
      </c>
      <c r="J180" s="12"/>
    </row>
    <row r="181" spans="1:10" ht="60" customHeight="1" x14ac:dyDescent="0.2">
      <c r="A181" s="6" t="s">
        <v>680</v>
      </c>
      <c r="B181" s="6" t="s">
        <v>26</v>
      </c>
      <c r="C181" s="6" t="s">
        <v>602</v>
      </c>
      <c r="D181" s="7" t="s">
        <v>681</v>
      </c>
      <c r="E181" s="8" t="s">
        <v>682</v>
      </c>
      <c r="F181" s="6" t="s">
        <v>683</v>
      </c>
      <c r="G181" s="9" t="str">
        <f t="shared" si="2"/>
        <v>when?</v>
      </c>
      <c r="H181" s="10" t="s">
        <v>16</v>
      </c>
      <c r="I181" s="11" t="s">
        <v>16</v>
      </c>
      <c r="J181" s="12"/>
    </row>
    <row r="182" spans="1:10" ht="60" customHeight="1" x14ac:dyDescent="0.2">
      <c r="A182" s="6" t="s">
        <v>684</v>
      </c>
      <c r="B182" s="6" t="s">
        <v>26</v>
      </c>
      <c r="C182" s="6" t="s">
        <v>16</v>
      </c>
      <c r="D182" s="7" t="s">
        <v>82</v>
      </c>
      <c r="E182" s="8" t="s">
        <v>685</v>
      </c>
      <c r="F182" s="6" t="s">
        <v>686</v>
      </c>
      <c r="G182" s="9" t="str">
        <f t="shared" si="2"/>
        <v>???</v>
      </c>
      <c r="H182" s="10" t="s">
        <v>16</v>
      </c>
      <c r="I182" s="11" t="s">
        <v>16</v>
      </c>
      <c r="J182" s="12"/>
    </row>
    <row r="183" spans="1:10" ht="60" customHeight="1" x14ac:dyDescent="0.2">
      <c r="A183" s="6" t="s">
        <v>687</v>
      </c>
      <c r="B183" s="6" t="s">
        <v>18</v>
      </c>
      <c r="C183" s="6" t="s">
        <v>16</v>
      </c>
      <c r="D183" s="7" t="s">
        <v>688</v>
      </c>
      <c r="E183" s="8" t="s">
        <v>689</v>
      </c>
      <c r="F183" s="6" t="s">
        <v>690</v>
      </c>
      <c r="G183" s="9" t="str">
        <f t="shared" si="2"/>
        <v>???</v>
      </c>
      <c r="H183" s="10" t="s">
        <v>16</v>
      </c>
      <c r="I183" s="11" t="s">
        <v>16</v>
      </c>
      <c r="J183" s="12"/>
    </row>
    <row r="184" spans="1:10" ht="60" customHeight="1" x14ac:dyDescent="0.2">
      <c r="A184" s="6" t="s">
        <v>691</v>
      </c>
      <c r="B184" s="6" t="s">
        <v>26</v>
      </c>
      <c r="C184" s="6" t="s">
        <v>16</v>
      </c>
      <c r="D184" s="7" t="s">
        <v>19</v>
      </c>
      <c r="E184" s="8" t="s">
        <v>692</v>
      </c>
      <c r="F184" s="6" t="s">
        <v>693</v>
      </c>
      <c r="G184" s="9" t="str">
        <f t="shared" si="2"/>
        <v>???</v>
      </c>
      <c r="H184" s="10" t="s">
        <v>16</v>
      </c>
      <c r="I184" s="11" t="s">
        <v>16</v>
      </c>
      <c r="J184" s="12"/>
    </row>
    <row r="185" spans="1:10" ht="60" customHeight="1" x14ac:dyDescent="0.2">
      <c r="A185" s="6" t="s">
        <v>694</v>
      </c>
      <c r="B185" s="6" t="s">
        <v>36</v>
      </c>
      <c r="C185" s="6" t="s">
        <v>225</v>
      </c>
      <c r="D185" s="7" t="s">
        <v>695</v>
      </c>
      <c r="E185" s="8" t="s">
        <v>696</v>
      </c>
      <c r="F185" s="6" t="s">
        <v>697</v>
      </c>
      <c r="G185" s="9" t="str">
        <f t="shared" si="2"/>
        <v>because?</v>
      </c>
      <c r="H185" s="10" t="s">
        <v>16</v>
      </c>
      <c r="I185" s="11" t="s">
        <v>16</v>
      </c>
      <c r="J185" s="12"/>
    </row>
    <row r="186" spans="1:10" ht="60" customHeight="1" x14ac:dyDescent="0.2">
      <c r="A186" s="6" t="s">
        <v>698</v>
      </c>
      <c r="B186" s="6" t="s">
        <v>11</v>
      </c>
      <c r="C186" s="6" t="s">
        <v>16</v>
      </c>
      <c r="D186" s="7" t="s">
        <v>82</v>
      </c>
      <c r="E186" s="8" t="s">
        <v>699</v>
      </c>
      <c r="F186" s="6" t="s">
        <v>700</v>
      </c>
      <c r="G186" s="9" t="str">
        <f t="shared" si="2"/>
        <v>???</v>
      </c>
      <c r="H186" s="10" t="s">
        <v>16</v>
      </c>
      <c r="I186" s="11" t="s">
        <v>16</v>
      </c>
      <c r="J186" s="12"/>
    </row>
    <row r="187" spans="1:10" ht="60" customHeight="1" x14ac:dyDescent="0.2">
      <c r="A187" s="6" t="s">
        <v>701</v>
      </c>
      <c r="B187" s="6" t="s">
        <v>11</v>
      </c>
      <c r="C187" s="6" t="s">
        <v>225</v>
      </c>
      <c r="D187" s="7" t="s">
        <v>23</v>
      </c>
      <c r="E187" s="8" t="s">
        <v>702</v>
      </c>
      <c r="F187" s="6" t="s">
        <v>703</v>
      </c>
      <c r="G187" s="9" t="str">
        <f t="shared" si="2"/>
        <v>because?</v>
      </c>
      <c r="H187" s="10" t="s">
        <v>16</v>
      </c>
      <c r="I187" s="11" t="s">
        <v>16</v>
      </c>
      <c r="J187" s="12"/>
    </row>
    <row r="188" spans="1:10" ht="60" customHeight="1" x14ac:dyDescent="0.2">
      <c r="A188" s="6" t="s">
        <v>704</v>
      </c>
      <c r="B188" s="6" t="s">
        <v>22</v>
      </c>
      <c r="C188" s="6" t="s">
        <v>225</v>
      </c>
      <c r="D188" s="7" t="s">
        <v>19</v>
      </c>
      <c r="E188" s="8" t="s">
        <v>705</v>
      </c>
      <c r="F188" s="6" t="s">
        <v>706</v>
      </c>
      <c r="G188" s="9" t="str">
        <f t="shared" si="2"/>
        <v>because?</v>
      </c>
      <c r="H188" s="10" t="s">
        <v>16</v>
      </c>
      <c r="I188" s="11" t="s">
        <v>16</v>
      </c>
      <c r="J188" s="12"/>
    </row>
    <row r="189" spans="1:10" ht="60" customHeight="1" x14ac:dyDescent="0.2">
      <c r="A189" s="6" t="s">
        <v>707</v>
      </c>
      <c r="B189" s="6" t="s">
        <v>10</v>
      </c>
      <c r="C189" s="6" t="s">
        <v>50</v>
      </c>
      <c r="D189" s="7" t="s">
        <v>152</v>
      </c>
      <c r="E189" s="8" t="s">
        <v>708</v>
      </c>
      <c r="F189" s="6" t="s">
        <v>709</v>
      </c>
      <c r="G189" s="9" t="str">
        <f t="shared" si="2"/>
        <v>and?</v>
      </c>
      <c r="H189" s="10" t="s">
        <v>16</v>
      </c>
      <c r="I189" s="11" t="s">
        <v>16</v>
      </c>
      <c r="J189" s="12"/>
    </row>
    <row r="190" spans="1:10" ht="60" customHeight="1" x14ac:dyDescent="0.2">
      <c r="A190" s="6" t="s">
        <v>710</v>
      </c>
      <c r="B190" s="6" t="s">
        <v>18</v>
      </c>
      <c r="C190" s="6" t="s">
        <v>16</v>
      </c>
      <c r="D190" s="7" t="s">
        <v>711</v>
      </c>
      <c r="E190" s="8" t="s">
        <v>712</v>
      </c>
      <c r="F190" s="6" t="s">
        <v>713</v>
      </c>
      <c r="G190" s="9" t="str">
        <f t="shared" si="2"/>
        <v>???</v>
      </c>
      <c r="H190" s="10" t="s">
        <v>16</v>
      </c>
      <c r="I190" s="11" t="s">
        <v>16</v>
      </c>
      <c r="J190" s="12"/>
    </row>
    <row r="191" spans="1:10" ht="60" customHeight="1" x14ac:dyDescent="0.2">
      <c r="A191" s="6" t="s">
        <v>714</v>
      </c>
      <c r="B191" s="6" t="s">
        <v>18</v>
      </c>
      <c r="C191" s="6" t="s">
        <v>16</v>
      </c>
      <c r="D191" s="7" t="s">
        <v>715</v>
      </c>
      <c r="E191" s="8" t="s">
        <v>716</v>
      </c>
      <c r="F191" s="6" t="s">
        <v>717</v>
      </c>
      <c r="G191" s="9" t="str">
        <f t="shared" si="2"/>
        <v>???</v>
      </c>
      <c r="H191" s="10" t="s">
        <v>16</v>
      </c>
      <c r="I191" s="11" t="s">
        <v>16</v>
      </c>
      <c r="J191" s="12"/>
    </row>
    <row r="192" spans="1:10" ht="60" customHeight="1" x14ac:dyDescent="0.2">
      <c r="A192" s="6" t="s">
        <v>718</v>
      </c>
      <c r="B192" s="6" t="s">
        <v>18</v>
      </c>
      <c r="C192" s="6" t="s">
        <v>16</v>
      </c>
      <c r="D192" s="7" t="s">
        <v>51</v>
      </c>
      <c r="E192" s="8" t="s">
        <v>719</v>
      </c>
      <c r="F192" s="6" t="s">
        <v>720</v>
      </c>
      <c r="G192" s="9" t="str">
        <f t="shared" si="2"/>
        <v>???</v>
      </c>
      <c r="H192" s="10" t="s">
        <v>16</v>
      </c>
      <c r="I192" s="11" t="s">
        <v>16</v>
      </c>
      <c r="J192" s="12"/>
    </row>
    <row r="193" spans="1:10" ht="60" customHeight="1" x14ac:dyDescent="0.2">
      <c r="A193" s="6" t="s">
        <v>721</v>
      </c>
      <c r="B193" s="6" t="s">
        <v>17</v>
      </c>
      <c r="C193" s="6" t="s">
        <v>50</v>
      </c>
      <c r="D193" s="7" t="s">
        <v>722</v>
      </c>
      <c r="E193" s="8" t="s">
        <v>723</v>
      </c>
      <c r="F193" s="6" t="s">
        <v>724</v>
      </c>
      <c r="G193" s="9" t="str">
        <f t="shared" si="2"/>
        <v>and?</v>
      </c>
      <c r="H193" s="10" t="s">
        <v>16</v>
      </c>
      <c r="I193" s="11" t="s">
        <v>16</v>
      </c>
      <c r="J193" s="12"/>
    </row>
    <row r="194" spans="1:10" ht="60" customHeight="1" x14ac:dyDescent="0.2">
      <c r="A194" s="6" t="s">
        <v>725</v>
      </c>
      <c r="B194" s="6" t="s">
        <v>26</v>
      </c>
      <c r="C194" s="6" t="s">
        <v>225</v>
      </c>
      <c r="D194" s="7" t="s">
        <v>726</v>
      </c>
      <c r="E194" s="8" t="s">
        <v>727</v>
      </c>
      <c r="F194" s="6" t="s">
        <v>728</v>
      </c>
      <c r="G194" s="9" t="str">
        <f t="shared" ref="G194:G211" si="3">IF(A194=1,"_",IF(C194="_","???",C194))</f>
        <v>because?</v>
      </c>
      <c r="H194" s="10" t="s">
        <v>16</v>
      </c>
      <c r="I194" s="11" t="s">
        <v>16</v>
      </c>
      <c r="J194" s="12"/>
    </row>
    <row r="195" spans="1:10" ht="60" customHeight="1" x14ac:dyDescent="0.2">
      <c r="A195" s="6" t="s">
        <v>729</v>
      </c>
      <c r="B195" s="6" t="s">
        <v>40</v>
      </c>
      <c r="C195" s="6" t="s">
        <v>277</v>
      </c>
      <c r="D195" s="7" t="s">
        <v>730</v>
      </c>
      <c r="E195" s="8" t="s">
        <v>731</v>
      </c>
      <c r="F195" s="6" t="s">
        <v>732</v>
      </c>
      <c r="G195" s="9" t="str">
        <f t="shared" si="3"/>
        <v>but?</v>
      </c>
      <c r="H195" s="10" t="s">
        <v>16</v>
      </c>
      <c r="I195" s="11" t="s">
        <v>16</v>
      </c>
      <c r="J195" s="12"/>
    </row>
    <row r="196" spans="1:10" ht="60" customHeight="1" x14ac:dyDescent="0.2">
      <c r="A196" s="6" t="s">
        <v>733</v>
      </c>
      <c r="B196" s="6" t="s">
        <v>10</v>
      </c>
      <c r="C196" s="6" t="s">
        <v>16</v>
      </c>
      <c r="D196" s="7" t="s">
        <v>734</v>
      </c>
      <c r="E196" s="8" t="s">
        <v>735</v>
      </c>
      <c r="F196" s="6" t="s">
        <v>736</v>
      </c>
      <c r="G196" s="9" t="str">
        <f t="shared" si="3"/>
        <v>???</v>
      </c>
      <c r="H196" s="10" t="s">
        <v>16</v>
      </c>
      <c r="I196" s="11" t="s">
        <v>16</v>
      </c>
      <c r="J196" s="12"/>
    </row>
    <row r="197" spans="1:10" ht="60" customHeight="1" x14ac:dyDescent="0.2">
      <c r="A197" s="6" t="s">
        <v>737</v>
      </c>
      <c r="B197" s="6" t="s">
        <v>10</v>
      </c>
      <c r="C197" s="6" t="s">
        <v>16</v>
      </c>
      <c r="D197" s="7" t="s">
        <v>187</v>
      </c>
      <c r="E197" s="8" t="s">
        <v>738</v>
      </c>
      <c r="F197" s="6" t="s">
        <v>739</v>
      </c>
      <c r="G197" s="9" t="str">
        <f t="shared" si="3"/>
        <v>???</v>
      </c>
      <c r="H197" s="10" t="s">
        <v>16</v>
      </c>
      <c r="I197" s="11" t="s">
        <v>16</v>
      </c>
      <c r="J197" s="12"/>
    </row>
    <row r="198" spans="1:10" ht="60" customHeight="1" x14ac:dyDescent="0.2">
      <c r="A198" s="6" t="s">
        <v>740</v>
      </c>
      <c r="B198" s="6" t="s">
        <v>26</v>
      </c>
      <c r="C198" s="6" t="s">
        <v>16</v>
      </c>
      <c r="D198" s="7" t="s">
        <v>82</v>
      </c>
      <c r="E198" s="8" t="s">
        <v>741</v>
      </c>
      <c r="F198" s="6" t="s">
        <v>742</v>
      </c>
      <c r="G198" s="9" t="str">
        <f t="shared" si="3"/>
        <v>???</v>
      </c>
      <c r="H198" s="10" t="s">
        <v>16</v>
      </c>
      <c r="I198" s="11" t="s">
        <v>16</v>
      </c>
      <c r="J198" s="12"/>
    </row>
    <row r="199" spans="1:10" ht="60" customHeight="1" x14ac:dyDescent="0.2">
      <c r="A199" s="6" t="s">
        <v>743</v>
      </c>
      <c r="B199" s="6" t="s">
        <v>17</v>
      </c>
      <c r="C199" s="6" t="s">
        <v>744</v>
      </c>
      <c r="D199" s="7" t="s">
        <v>745</v>
      </c>
      <c r="E199" s="8" t="s">
        <v>746</v>
      </c>
      <c r="F199" s="6" t="s">
        <v>747</v>
      </c>
      <c r="G199" s="9" t="str">
        <f t="shared" si="3"/>
        <v>or?</v>
      </c>
      <c r="H199" s="10" t="s">
        <v>16</v>
      </c>
      <c r="I199" s="11" t="s">
        <v>16</v>
      </c>
      <c r="J199" s="12"/>
    </row>
    <row r="200" spans="1:10" ht="60" customHeight="1" x14ac:dyDescent="0.2">
      <c r="A200" s="6" t="s">
        <v>748</v>
      </c>
      <c r="B200" s="6" t="s">
        <v>26</v>
      </c>
      <c r="C200" s="6" t="s">
        <v>16</v>
      </c>
      <c r="D200" s="7" t="s">
        <v>352</v>
      </c>
      <c r="E200" s="8" t="s">
        <v>749</v>
      </c>
      <c r="F200" s="6" t="s">
        <v>750</v>
      </c>
      <c r="G200" s="9" t="str">
        <f t="shared" si="3"/>
        <v>???</v>
      </c>
      <c r="H200" s="10" t="s">
        <v>16</v>
      </c>
      <c r="I200" s="11" t="s">
        <v>16</v>
      </c>
      <c r="J200" s="12"/>
    </row>
    <row r="201" spans="1:10" ht="60" customHeight="1" x14ac:dyDescent="0.2">
      <c r="A201" s="6" t="s">
        <v>751</v>
      </c>
      <c r="B201" s="6" t="s">
        <v>36</v>
      </c>
      <c r="C201" s="6" t="s">
        <v>45</v>
      </c>
      <c r="D201" s="7" t="s">
        <v>486</v>
      </c>
      <c r="E201" s="8" t="s">
        <v>752</v>
      </c>
      <c r="F201" s="6" t="s">
        <v>753</v>
      </c>
      <c r="G201" s="9" t="str">
        <f t="shared" si="3"/>
        <v>for?</v>
      </c>
      <c r="H201" s="10" t="s">
        <v>16</v>
      </c>
      <c r="I201" s="11" t="s">
        <v>16</v>
      </c>
      <c r="J201" s="12"/>
    </row>
    <row r="202" spans="1:10" ht="60" customHeight="1" x14ac:dyDescent="0.2">
      <c r="A202" s="6" t="s">
        <v>754</v>
      </c>
      <c r="B202" s="6" t="s">
        <v>17</v>
      </c>
      <c r="C202" s="6" t="s">
        <v>50</v>
      </c>
      <c r="D202" s="7" t="s">
        <v>755</v>
      </c>
      <c r="E202" s="8" t="s">
        <v>756</v>
      </c>
      <c r="F202" s="6" t="s">
        <v>757</v>
      </c>
      <c r="G202" s="9" t="str">
        <f t="shared" si="3"/>
        <v>and?</v>
      </c>
      <c r="H202" s="10" t="s">
        <v>16</v>
      </c>
      <c r="I202" s="11" t="s">
        <v>16</v>
      </c>
      <c r="J202" s="12"/>
    </row>
    <row r="203" spans="1:10" ht="60" customHeight="1" x14ac:dyDescent="0.2">
      <c r="A203" s="6" t="s">
        <v>758</v>
      </c>
      <c r="B203" s="6" t="s">
        <v>17</v>
      </c>
      <c r="C203" s="6" t="s">
        <v>50</v>
      </c>
      <c r="D203" s="7" t="s">
        <v>759</v>
      </c>
      <c r="E203" s="8" t="s">
        <v>760</v>
      </c>
      <c r="F203" s="6" t="s">
        <v>761</v>
      </c>
      <c r="G203" s="9" t="str">
        <f t="shared" si="3"/>
        <v>and?</v>
      </c>
      <c r="H203" s="10" t="s">
        <v>16</v>
      </c>
      <c r="I203" s="11" t="s">
        <v>16</v>
      </c>
      <c r="J203" s="12"/>
    </row>
    <row r="204" spans="1:10" ht="60" customHeight="1" x14ac:dyDescent="0.2">
      <c r="A204" s="6" t="s">
        <v>762</v>
      </c>
      <c r="B204" s="6" t="s">
        <v>18</v>
      </c>
      <c r="C204" s="6" t="s">
        <v>343</v>
      </c>
      <c r="D204" s="7" t="s">
        <v>187</v>
      </c>
      <c r="E204" s="8" t="s">
        <v>763</v>
      </c>
      <c r="F204" s="6" t="s">
        <v>764</v>
      </c>
      <c r="G204" s="9" t="str">
        <f t="shared" si="3"/>
        <v>instead?</v>
      </c>
      <c r="H204" s="10" t="s">
        <v>16</v>
      </c>
      <c r="I204" s="11" t="s">
        <v>16</v>
      </c>
      <c r="J204" s="12"/>
    </row>
    <row r="205" spans="1:10" ht="60" customHeight="1" x14ac:dyDescent="0.2">
      <c r="A205" s="6" t="s">
        <v>765</v>
      </c>
      <c r="B205" s="6" t="s">
        <v>17</v>
      </c>
      <c r="C205" s="6" t="s">
        <v>16</v>
      </c>
      <c r="D205" s="7" t="s">
        <v>766</v>
      </c>
      <c r="E205" s="8" t="s">
        <v>767</v>
      </c>
      <c r="F205" s="6" t="s">
        <v>768</v>
      </c>
      <c r="G205" s="9" t="str">
        <f t="shared" si="3"/>
        <v>???</v>
      </c>
      <c r="H205" s="10" t="s">
        <v>16</v>
      </c>
      <c r="I205" s="11" t="s">
        <v>16</v>
      </c>
      <c r="J205" s="12"/>
    </row>
    <row r="206" spans="1:10" ht="60" customHeight="1" x14ac:dyDescent="0.2">
      <c r="A206" s="6" t="s">
        <v>769</v>
      </c>
      <c r="B206" s="6" t="s">
        <v>10</v>
      </c>
      <c r="C206" s="6" t="s">
        <v>16</v>
      </c>
      <c r="D206" s="7" t="s">
        <v>486</v>
      </c>
      <c r="E206" s="8" t="s">
        <v>770</v>
      </c>
      <c r="F206" s="6" t="s">
        <v>771</v>
      </c>
      <c r="G206" s="9" t="str">
        <f t="shared" si="3"/>
        <v>???</v>
      </c>
      <c r="H206" s="10" t="s">
        <v>16</v>
      </c>
      <c r="I206" s="11" t="s">
        <v>16</v>
      </c>
      <c r="J206" s="12"/>
    </row>
    <row r="207" spans="1:10" ht="60" customHeight="1" x14ac:dyDescent="0.2">
      <c r="A207" s="6" t="s">
        <v>772</v>
      </c>
      <c r="B207" s="6" t="s">
        <v>10</v>
      </c>
      <c r="C207" s="6" t="s">
        <v>277</v>
      </c>
      <c r="D207" s="7" t="s">
        <v>530</v>
      </c>
      <c r="E207" s="8" t="s">
        <v>773</v>
      </c>
      <c r="F207" s="6" t="s">
        <v>774</v>
      </c>
      <c r="G207" s="9" t="str">
        <f t="shared" si="3"/>
        <v>but?</v>
      </c>
      <c r="H207" s="10" t="s">
        <v>16</v>
      </c>
      <c r="I207" s="11" t="s">
        <v>16</v>
      </c>
      <c r="J207" s="12"/>
    </row>
    <row r="208" spans="1:10" ht="60" customHeight="1" x14ac:dyDescent="0.2">
      <c r="A208" s="6" t="s">
        <v>775</v>
      </c>
      <c r="B208" s="6" t="s">
        <v>18</v>
      </c>
      <c r="C208" s="6" t="s">
        <v>225</v>
      </c>
      <c r="D208" s="7" t="s">
        <v>766</v>
      </c>
      <c r="E208" s="8" t="s">
        <v>776</v>
      </c>
      <c r="F208" s="6" t="s">
        <v>777</v>
      </c>
      <c r="G208" s="9" t="str">
        <f t="shared" si="3"/>
        <v>because?</v>
      </c>
      <c r="H208" s="10" t="s">
        <v>16</v>
      </c>
      <c r="I208" s="11" t="s">
        <v>16</v>
      </c>
      <c r="J208" s="12"/>
    </row>
    <row r="209" spans="1:10" ht="60" customHeight="1" x14ac:dyDescent="0.2">
      <c r="A209" s="6" t="s">
        <v>778</v>
      </c>
      <c r="B209" s="6" t="s">
        <v>58</v>
      </c>
      <c r="C209" s="6" t="s">
        <v>50</v>
      </c>
      <c r="D209" s="7" t="s">
        <v>779</v>
      </c>
      <c r="E209" s="8" t="s">
        <v>780</v>
      </c>
      <c r="F209" s="6" t="s">
        <v>781</v>
      </c>
      <c r="G209" s="9" t="str">
        <f t="shared" si="3"/>
        <v>and?</v>
      </c>
      <c r="H209" s="10" t="s">
        <v>16</v>
      </c>
      <c r="I209" s="11" t="s">
        <v>16</v>
      </c>
      <c r="J209" s="12"/>
    </row>
    <row r="210" spans="1:10" ht="60" customHeight="1" x14ac:dyDescent="0.2">
      <c r="A210" s="6" t="s">
        <v>782</v>
      </c>
      <c r="B210" s="6" t="s">
        <v>17</v>
      </c>
      <c r="C210" s="6" t="s">
        <v>225</v>
      </c>
      <c r="D210" s="7" t="s">
        <v>13</v>
      </c>
      <c r="E210" s="8" t="s">
        <v>783</v>
      </c>
      <c r="F210" s="6" t="s">
        <v>784</v>
      </c>
      <c r="G210" s="9" t="str">
        <f t="shared" si="3"/>
        <v>because?</v>
      </c>
      <c r="H210" s="10" t="s">
        <v>16</v>
      </c>
      <c r="I210" s="11" t="s">
        <v>16</v>
      </c>
      <c r="J210" s="12"/>
    </row>
    <row r="211" spans="1:10" ht="60" customHeight="1" x14ac:dyDescent="0.2">
      <c r="A211" s="6" t="s">
        <v>785</v>
      </c>
      <c r="B211" s="6" t="s">
        <v>10</v>
      </c>
      <c r="C211" s="6" t="s">
        <v>16</v>
      </c>
      <c r="D211" s="7" t="s">
        <v>786</v>
      </c>
      <c r="E211" s="8" t="s">
        <v>787</v>
      </c>
      <c r="F211" s="6" t="s">
        <v>788</v>
      </c>
      <c r="G211" s="9" t="str">
        <f t="shared" si="3"/>
        <v>???</v>
      </c>
      <c r="H211" s="10" t="s">
        <v>16</v>
      </c>
      <c r="I211" s="11" t="s">
        <v>16</v>
      </c>
      <c r="J21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473"/>
  <sheetViews>
    <sheetView tabSelected="1" zoomScale="142" zoomScaleNormal="142" workbookViewId="0">
      <pane xSplit="1" ySplit="1" topLeftCell="B1549" activePane="bottomRight" state="frozen"/>
      <selection pane="topRight" activeCell="B1" sqref="B1"/>
      <selection pane="bottomLeft" activeCell="A2" sqref="A2"/>
      <selection pane="bottomRight" activeCell="F1568" sqref="F1568"/>
    </sheetView>
  </sheetViews>
  <sheetFormatPr baseColWidth="10" defaultColWidth="8.83203125" defaultRowHeight="15" x14ac:dyDescent="0.2"/>
  <cols>
    <col min="1" max="1" width="20.6640625" customWidth="1"/>
    <col min="3" max="3" width="15.6640625" customWidth="1"/>
    <col min="4" max="4" width="10.6640625" customWidth="1"/>
    <col min="9" max="11" width="0" hidden="1" customWidth="1"/>
    <col min="12" max="12" width="40.6640625" customWidth="1"/>
  </cols>
  <sheetData>
    <row r="1" spans="1:12" x14ac:dyDescent="0.2">
      <c r="A1" s="13" t="s">
        <v>789</v>
      </c>
      <c r="B1" s="13" t="s">
        <v>790</v>
      </c>
      <c r="C1" s="13" t="s">
        <v>791</v>
      </c>
      <c r="D1" s="13" t="s">
        <v>792</v>
      </c>
      <c r="E1" s="14" t="s">
        <v>793</v>
      </c>
      <c r="F1" s="15" t="s">
        <v>794</v>
      </c>
      <c r="G1" s="16" t="s">
        <v>795</v>
      </c>
      <c r="H1" s="17" t="s">
        <v>796</v>
      </c>
      <c r="I1" s="18" t="s">
        <v>797</v>
      </c>
      <c r="J1" s="18" t="s">
        <v>798</v>
      </c>
      <c r="K1" s="18" t="s">
        <v>799</v>
      </c>
      <c r="L1" s="19" t="s">
        <v>9</v>
      </c>
    </row>
    <row r="2" spans="1:12" x14ac:dyDescent="0.2">
      <c r="A2" t="s">
        <v>800</v>
      </c>
    </row>
    <row r="3" spans="1:12" x14ac:dyDescent="0.2">
      <c r="A3" t="s">
        <v>801</v>
      </c>
      <c r="E3" s="20" t="str">
        <f t="shared" ref="E3:E15"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15"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2">
      <c r="A4" t="s">
        <v>802</v>
      </c>
      <c r="E4" s="20" t="str">
        <f t="shared" si="0"/>
        <v/>
      </c>
      <c r="F4" s="21" t="str">
        <f>IF(OR(E4="",E4="!!!"),"",IF(NOT(ISNA(VLOOKUP(E4,E$1:E3,1,FALSE()))),"OLD",IF(AND(E4&lt;&gt;"",E4&lt;&gt;"!!!"),"NEW","")))</f>
        <v/>
      </c>
      <c r="G4" s="22" t="str">
        <f>IF(OR(E4="",E4="!!!"),"",IF(OR(J4=0,AND(J4=1,K4=1),AND(J4=1,I4="SBJ"),AND(J4=1,I4=0)),"?IN_FOCUS",IF(J4&lt;=2,"?ACTIVATED",IF(J4&lt;&gt;"","?FAMILIAR",IF(F4="NEW",IF(ISNA(VLOOKUP(E4,#REF!,1,FALSE())),"?TYPE_IDENTIFIABLE","?REFERENTIAL"),"_")))))</f>
        <v/>
      </c>
      <c r="H4" s="23" t="str">
        <f t="shared" ca="1" si="1"/>
        <v/>
      </c>
      <c r="I4" s="24" t="str">
        <f>IF(OR(E4="",E4="!!!",F4="NEW"),"",INDEX(B$2:B3,-1+SUMPRODUCT(MAX(ROW(E$2:E3)*(E4=E$2:E3)))))</f>
        <v/>
      </c>
      <c r="J4" s="24" t="str">
        <f ca="1">IF(OR(E4="",E4="!!!",F4="NEW"),"",COUNTBLANK(OFFSET(A$1,,,SUMPRODUCT(MAX(ROW(E$2:E4)*(E4=E$2:E4)))))-COUNTBLANK(OFFSET(A$1,,,SUMPRODUCT(MAX(ROW(E$1:E3)*(E2=E$1:E3))))))</f>
        <v/>
      </c>
      <c r="K4" s="24" t="str">
        <f>IF(OR(E4="",E4="!!!",F4="NEW"),"",INDEX(J$1:J3,SUMPRODUCT(MAX(ROW(E$1:E3)*(E4=E$1:E3)))))</f>
        <v/>
      </c>
      <c r="L4" s="25"/>
    </row>
    <row r="5" spans="1:12" ht="16" x14ac:dyDescent="0.2">
      <c r="A5" t="s">
        <v>803</v>
      </c>
      <c r="B5" s="26" t="s">
        <v>804</v>
      </c>
      <c r="C5" s="26" t="s">
        <v>805</v>
      </c>
      <c r="D5" s="26" t="s">
        <v>806</v>
      </c>
      <c r="E5" s="20" t="s">
        <v>1747</v>
      </c>
      <c r="F5" s="21" t="s">
        <v>1753</v>
      </c>
      <c r="G5" s="22" t="s">
        <v>1820</v>
      </c>
      <c r="H5" s="23" t="str">
        <f t="shared" ca="1" si="1"/>
        <v/>
      </c>
      <c r="I5" s="24" t="e">
        <f>IF(OR(E5="",E5="!!!",F5="NEW"),"",INDEX(B$2:B4,-1+SUMPRODUCT(MAX(ROW(E$2:E4)*(E5=E$2:E4)))))</f>
        <v>#VALUE!</v>
      </c>
      <c r="J5" s="24">
        <f ca="1">IF(OR(E5="",E5="!!!",F5="NEW"),"",COUNTBLANK(OFFSET(A$1,,,SUMPRODUCT(MAX(ROW(E$2:E5)*(E5=E$2:E5)))))-COUNTBLANK(OFFSET(A$1,,,SUMPRODUCT(MAX(ROW(E$1:E4)*(E2=E$1:E4))))))</f>
        <v>0</v>
      </c>
      <c r="K5" s="24" t="e">
        <f>IF(OR(E5="",E5="!!!",F5="NEW"),"",INDEX(J$1:J4,SUMPRODUCT(MAX(ROW(E$1:E4)*(E5=E$1:E4)))))</f>
        <v>#VALUE!</v>
      </c>
      <c r="L5" s="25" t="s">
        <v>1754</v>
      </c>
    </row>
    <row r="6" spans="1:12" x14ac:dyDescent="0.2">
      <c r="A6" t="s">
        <v>807</v>
      </c>
      <c r="E6" s="20" t="str">
        <f t="shared" si="0"/>
        <v/>
      </c>
      <c r="F6" s="21" t="str">
        <f>IF(OR(E6="",E6="!!!"),"",IF(NOT(ISNA(VLOOKUP(E6,E$1:E5,1,FALSE()))),"OLD",IF(AND(E6&lt;&gt;"",E6&lt;&gt;"!!!"),"NEW","")))</f>
        <v/>
      </c>
      <c r="G6" s="22" t="str">
        <f>IF(OR(E6="",E6="!!!"),"",IF(OR(J6=0,AND(J6=1,K6=1),AND(J6=1,I6="SBJ"),AND(J6=1,I6=0)),"?IN_FOCUS",IF(J6&lt;=2,"?ACTIVATED",IF(J6&lt;&gt;"","?FAMILIAR",IF(F6="NEW",IF(ISNA(VLOOKUP(E6,#REF!,1,FALSE())),"?TYPE_IDENTIFIABLE","?REFERENTIAL"),"_")))))</f>
        <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row>
    <row r="7" spans="1:12" x14ac:dyDescent="0.2">
      <c r="A7" t="s">
        <v>808</v>
      </c>
      <c r="E7" s="20" t="str">
        <f t="shared" si="0"/>
        <v/>
      </c>
      <c r="F7" s="21" t="str">
        <f>IF(OR(E7="",E7="!!!"),"",IF(NOT(ISNA(VLOOKUP(E7,E$1:E6,1,FALSE()))),"OLD",IF(AND(E7&lt;&gt;"",E7&lt;&gt;"!!!"),"NEW","")))</f>
        <v/>
      </c>
      <c r="G7" s="22" t="str">
        <f>IF(OR(E7="",E7="!!!"),"",IF(OR(J7=0,AND(J7=1,K7=1),AND(J7=1,I7="SBJ"),AND(J7=1,I7=0)),"?IN_FOCUS",IF(J7&lt;=2,"?ACTIVATED",IF(J7&lt;&gt;"","?FAMILIAR",IF(F7="NEW",IF(ISNA(VLOOKUP(E7,#REF!,1,FALSE())),"?TYPE_IDENTIFIABLE","?REFERENTIAL"),"_")))))</f>
        <v/>
      </c>
      <c r="H7" s="23" t="str">
        <f t="shared" ca="1" si="1"/>
        <v/>
      </c>
      <c r="I7" s="24" t="str">
        <f>IF(OR(E7="",E7="!!!",F7="NEW"),"",INDEX(B$2:B6,-1+SUMPRODUCT(MAX(ROW(E$2:E6)*(E7=E$2:E6)))))</f>
        <v/>
      </c>
      <c r="J7" s="24" t="str">
        <f ca="1">IF(OR(E7="",E7="!!!",F7="NEW"),"",COUNTBLANK(OFFSET(A$1,,,SUMPRODUCT(MAX(ROW(E$2:E7)*(E7=E$2:E7)))))-COUNTBLANK(OFFSET(A$1,,,SUMPRODUCT(MAX(ROW(E$1:E6)*(E2=E$1:E6))))))</f>
        <v/>
      </c>
      <c r="K7" s="24" t="str">
        <f>IF(OR(E7="",E7="!!!",F7="NEW"),"",INDEX(J$1:J6,SUMPRODUCT(MAX(ROW(E$1:E6)*(E7=E$1:E6)))))</f>
        <v/>
      </c>
      <c r="L7" s="25"/>
    </row>
    <row r="8" spans="1:12" x14ac:dyDescent="0.2">
      <c r="A8" t="s">
        <v>809</v>
      </c>
      <c r="E8" s="20" t="str">
        <f t="shared" si="0"/>
        <v/>
      </c>
      <c r="F8" s="21" t="str">
        <f>IF(OR(E8="",E8="!!!"),"",IF(NOT(ISNA(VLOOKUP(E8,E$1:E7,1,FALSE()))),"OLD",IF(AND(E8&lt;&gt;"",E8&lt;&gt;"!!!"),"NEW","")))</f>
        <v/>
      </c>
      <c r="G8" s="22" t="str">
        <f>IF(OR(E8="",E8="!!!"),"",IF(OR(J8=0,AND(J8=1,K8=1),AND(J8=1,I8="SBJ"),AND(J8=1,I8=0)),"?IN_FOCUS",IF(J8&lt;=2,"?ACTIVATED",IF(J8&lt;&gt;"","?FAMILIAR",IF(F8="NEW",IF(ISNA(VLOOKUP(E8,#REF!,1,FALSE())),"?TYPE_IDENTIFIABLE","?REFERENTIAL"),"_")))))</f>
        <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row>
    <row r="9" spans="1:12" x14ac:dyDescent="0.2">
      <c r="A9" t="s">
        <v>86</v>
      </c>
      <c r="B9" s="26" t="s">
        <v>810</v>
      </c>
      <c r="C9" s="26" t="s">
        <v>811</v>
      </c>
      <c r="E9" s="20" t="str">
        <f t="shared" si="0"/>
        <v/>
      </c>
      <c r="F9" s="21" t="str">
        <f>IF(OR(E9="",E9="!!!"),"",IF(NOT(ISNA(VLOOKUP(E9,E$1:E8,1,FALSE()))),"OLD",IF(AND(E9&lt;&gt;"",E9&lt;&gt;"!!!"),"NEW","")))</f>
        <v/>
      </c>
      <c r="G9" s="22" t="str">
        <f>IF(OR(E9="",E9="!!!"),"",IF(OR(J9=0,AND(J9=1,K9=1),AND(J9=1,I9="SBJ"),AND(J9=1,I9=0)),"?IN_FOCUS",IF(J9&lt;=2,"?ACTIVATED",IF(J9&lt;&gt;"","?FAMILIAR",IF(F9="NEW",IF(ISNA(VLOOKUP(E9,#REF!,1,FALSE())),"?TYPE_IDENTIFIABLE","?REFERENTIAL"),"_")))))</f>
        <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row>
    <row r="10" spans="1:12" x14ac:dyDescent="0.2">
      <c r="A10" t="s">
        <v>812</v>
      </c>
      <c r="E10" s="20" t="str">
        <f t="shared" si="0"/>
        <v/>
      </c>
      <c r="F10" s="21" t="str">
        <f>IF(OR(E10="",E10="!!!"),"",IF(NOT(ISNA(VLOOKUP(E10,E$1:E9,1,FALSE()))),"OLD",IF(AND(E10&lt;&gt;"",E10&lt;&gt;"!!!"),"NEW","")))</f>
        <v/>
      </c>
      <c r="G10" s="22" t="str">
        <f>IF(OR(E10="",E10="!!!"),"",IF(OR(J10=0,AND(J10=1,K10=1),AND(J10=1,I10="SBJ"),AND(J10=1,I10=0)),"?IN_FOCUS",IF(J10&lt;=2,"?ACTIVATED",IF(J10&lt;&gt;"","?FAMILIAR",IF(F10="NEW",IF(ISNA(VLOOKUP(E10,#REF!,1,FALSE())),"?TYPE_IDENTIFIABLE","?REFERENTIAL"),"_")))))</f>
        <v/>
      </c>
      <c r="H10" s="23" t="str">
        <f t="shared" ca="1" si="1"/>
        <v/>
      </c>
      <c r="I10" s="24" t="str">
        <f>IF(OR(E10="",E10="!!!",F10="NEW"),"",INDEX(B$2:B9,-1+SUMPRODUCT(MAX(ROW(E$2:E9)*(E10=E$2:E9)))))</f>
        <v/>
      </c>
      <c r="J10" s="24" t="str">
        <f ca="1">IF(OR(E10="",E10="!!!",F10="NEW"),"",COUNTBLANK(OFFSET(A$1,,,SUMPRODUCT(MAX(ROW(E$2:E10)*(E10=E$2:E10)))))-COUNTBLANK(OFFSET(A$1,,,SUMPRODUCT(MAX(ROW(E$1:E9)*(E2=E$1:E9))))))</f>
        <v/>
      </c>
      <c r="K10" s="24" t="str">
        <f>IF(OR(E10="",E10="!!!",F10="NEW"),"",INDEX(J$1:J9,SUMPRODUCT(MAX(ROW(E$1:E9)*(E10=E$1:E9)))))</f>
        <v/>
      </c>
      <c r="L10" s="25"/>
    </row>
    <row r="11" spans="1:12" x14ac:dyDescent="0.2">
      <c r="A11" t="s">
        <v>30</v>
      </c>
      <c r="B11" s="26" t="s">
        <v>813</v>
      </c>
      <c r="C11" s="26" t="s">
        <v>814</v>
      </c>
      <c r="E11" s="20" t="str">
        <f t="shared" si="0"/>
        <v/>
      </c>
      <c r="F11" s="21" t="str">
        <f>IF(OR(E11="",E11="!!!"),"",IF(NOT(ISNA(VLOOKUP(E11,E$1:E10,1,FALSE()))),"OLD",IF(AND(E11&lt;&gt;"",E11&lt;&gt;"!!!"),"NEW","")))</f>
        <v/>
      </c>
      <c r="G11" s="22" t="str">
        <f>IF(OR(E11="",E11="!!!"),"",IF(OR(J11=0,AND(J11=1,K11=1),AND(J11=1,I11="SBJ"),AND(J11=1,I11=0)),"?IN_FOCUS",IF(J11&lt;=2,"?ACTIVATED",IF(J11&lt;&gt;"","?FAMILIAR",IF(F11="NEW",IF(ISNA(VLOOKUP(E11,#REF!,1,FALSE())),"?TYPE_IDENTIFIABLE","?REFERENTIAL"),"_")))))</f>
        <v/>
      </c>
      <c r="H11" s="23" t="str">
        <f t="shared" ca="1" si="1"/>
        <v/>
      </c>
      <c r="I11" s="24" t="str">
        <f>IF(OR(E11="",E11="!!!",F11="NEW"),"",INDEX(B$2:B10,-1+SUMPRODUCT(MAX(ROW(E$2:E10)*(E11=E$2:E10)))))</f>
        <v/>
      </c>
      <c r="J11" s="24" t="str">
        <f ca="1">IF(OR(E11="",E11="!!!",F11="NEW"),"",COUNTBLANK(OFFSET(A$1,,,SUMPRODUCT(MAX(ROW(E$2:E11)*(E11=E$2:E11)))))-COUNTBLANK(OFFSET(A$1,,,SUMPRODUCT(MAX(ROW(E$1:E10)*(E2=E$1:E10))))))</f>
        <v/>
      </c>
      <c r="K11" s="24" t="str">
        <f>IF(OR(E11="",E11="!!!",F11="NEW"),"",INDEX(J$1:J10,SUMPRODUCT(MAX(ROW(E$1:E10)*(E11=E$1:E10)))))</f>
        <v/>
      </c>
      <c r="L11" s="25"/>
    </row>
    <row r="12" spans="1:12" x14ac:dyDescent="0.2">
      <c r="A12" t="s">
        <v>815</v>
      </c>
      <c r="E12" s="20" t="str">
        <f t="shared" si="0"/>
        <v/>
      </c>
      <c r="F12" s="21" t="str">
        <f>IF(OR(E12="",E12="!!!"),"",IF(NOT(ISNA(VLOOKUP(E12,E$1:E11,1,FALSE()))),"OLD",IF(AND(E12&lt;&gt;"",E12&lt;&gt;"!!!"),"NEW","")))</f>
        <v/>
      </c>
      <c r="G12" s="22" t="str">
        <f>IF(OR(E12="",E12="!!!"),"",IF(OR(J12=0,AND(J12=1,K12=1),AND(J12=1,I12="SBJ"),AND(J12=1,I12=0)),"?IN_FOCUS",IF(J12&lt;=2,"?ACTIVATED",IF(J12&lt;&gt;"","?FAMILIAR",IF(F12="NEW",IF(ISNA(VLOOKUP(E12,#REF!,1,FALSE())),"?TYPE_IDENTIFIABLE","?REFERENTIAL"),"_")))))</f>
        <v/>
      </c>
      <c r="H12" s="23" t="str">
        <f t="shared" ca="1" si="1"/>
        <v/>
      </c>
      <c r="I12" s="24" t="str">
        <f>IF(OR(E12="",E12="!!!",F12="NEW"),"",INDEX(B$2:B11,-1+SUMPRODUCT(MAX(ROW(E$2:E11)*(E12=E$2:E11)))))</f>
        <v/>
      </c>
      <c r="J12" s="24" t="str">
        <f ca="1">IF(OR(E12="",E12="!!!",F12="NEW"),"",COUNTBLANK(OFFSET(A$1,,,SUMPRODUCT(MAX(ROW(E$2:E12)*(E12=E$2:E12)))))-COUNTBLANK(OFFSET(A$1,,,SUMPRODUCT(MAX(ROW(E$1:E11)*(E2=E$1:E11))))))</f>
        <v/>
      </c>
      <c r="K12" s="24" t="str">
        <f>IF(OR(E12="",E12="!!!",F12="NEW"),"",INDEX(J$1:J11,SUMPRODUCT(MAX(ROW(E$1:E11)*(E12=E$1:E11)))))</f>
        <v/>
      </c>
      <c r="L12" s="25"/>
    </row>
    <row r="13" spans="1:12" x14ac:dyDescent="0.2">
      <c r="A13" t="s">
        <v>816</v>
      </c>
      <c r="B13" s="26" t="s">
        <v>813</v>
      </c>
      <c r="C13" s="26" t="s">
        <v>817</v>
      </c>
      <c r="D13" s="26" t="s">
        <v>806</v>
      </c>
      <c r="E13" s="20"/>
      <c r="F13" s="21" t="str">
        <f>IF(OR(E13="",E13="!!!"),"",IF(NOT(ISNA(VLOOKUP(E13,E$1:E12,1,FALSE()))),"OLD",IF(AND(E13&lt;&gt;"",E13&lt;&gt;"!!!"),"NEW","")))</f>
        <v/>
      </c>
      <c r="G13" s="22" t="str">
        <f>IF(OR(E13="",E13="!!!"),"",IF(OR(J13=0,AND(J13=1,K13=1),AND(J13=1,I13="SBJ"),AND(J13=1,I13=0)),"?IN_FOCUS",IF(J13&lt;=2,"?ACTIVATED",IF(J13&lt;&gt;"","?FAMILIAR",IF(F13="NEW",IF(ISNA(VLOOKUP(E13,#REF!,1,FALSE())),"?TYPE_IDENTIFIABLE","?REFERENTIAL"),"_")))))</f>
        <v/>
      </c>
      <c r="H13" s="23" t="str">
        <f t="shared" ca="1" si="1"/>
        <v/>
      </c>
      <c r="I13" s="24" t="str">
        <f>IF(OR(E13="",E13="!!!",F13="NEW"),"",INDEX(B$2:B12,-1+SUMPRODUCT(MAX(ROW(E$2:E12)*(E13=E$2:E12)))))</f>
        <v/>
      </c>
      <c r="J13" s="24" t="str">
        <f ca="1">IF(OR(E13="",E13="!!!",F13="NEW"),"",COUNTBLANK(OFFSET(A$1,,,SUMPRODUCT(MAX(ROW(E$2:E13)*(E13=E$2:E13)))))-COUNTBLANK(OFFSET(A$1,,,SUMPRODUCT(MAX(ROW(E$1:E12)*(E2=E$1:E12))))))</f>
        <v/>
      </c>
      <c r="K13" s="24" t="str">
        <f>IF(OR(E13="",E13="!!!",F13="NEW"),"",INDEX(J$1:J12,SUMPRODUCT(MAX(ROW(E$1:E12)*(E13=E$1:E12)))))</f>
        <v/>
      </c>
      <c r="L13" s="25"/>
    </row>
    <row r="14" spans="1:12" x14ac:dyDescent="0.2">
      <c r="A14" t="s">
        <v>818</v>
      </c>
      <c r="B14" s="26" t="s">
        <v>819</v>
      </c>
      <c r="C14" s="26" t="s">
        <v>820</v>
      </c>
      <c r="D14" s="26" t="s">
        <v>806</v>
      </c>
      <c r="E14" s="20" t="s">
        <v>1821</v>
      </c>
      <c r="F14" s="21" t="s">
        <v>1753</v>
      </c>
      <c r="G14" s="22" t="s">
        <v>1822</v>
      </c>
      <c r="H14" s="23" t="str">
        <f t="shared" ca="1" si="1"/>
        <v/>
      </c>
      <c r="I14" s="24" t="e">
        <f>IF(OR(E14="",E14="!!!",F14="NEW"),"",INDEX(B$2:B13,-1+SUMPRODUCT(MAX(ROW(E$2:E13)*(E14=E$2:E13)))))</f>
        <v>#VALUE!</v>
      </c>
      <c r="J14" s="24">
        <f ca="1">IF(OR(E14="",E14="!!!",F14="NEW"),"",COUNTBLANK(OFFSET(A$1,,,SUMPRODUCT(MAX(ROW(E$2:E14)*(E14=E$2:E14)))))-COUNTBLANK(OFFSET(A$1,,,SUMPRODUCT(MAX(ROW(E$1:E13)*(E2=E$1:E13))))))</f>
        <v>0</v>
      </c>
      <c r="K14" s="24" t="e">
        <f>IF(OR(E14="",E14="!!!",F14="NEW"),"",INDEX(J$1:J13,SUMPRODUCT(MAX(ROW(E$1:E13)*(E14=E$1:E13)))))</f>
        <v>#VALUE!</v>
      </c>
      <c r="L14" s="25"/>
    </row>
    <row r="15" spans="1:12" x14ac:dyDescent="0.2">
      <c r="A15" t="s">
        <v>821</v>
      </c>
      <c r="E15" s="20" t="str">
        <f t="shared" si="0"/>
        <v/>
      </c>
      <c r="F15" s="21" t="str">
        <f>IF(OR(E15="",E15="!!!"),"",IF(NOT(ISNA(VLOOKUP(E15,E$1:E14,1,FALSE()))),"OLD",IF(AND(E15&lt;&gt;"",E15&lt;&gt;"!!!"),"NEW","")))</f>
        <v/>
      </c>
      <c r="G15" s="22" t="str">
        <f>IF(OR(E15="",E15="!!!"),"",IF(OR(J15=0,AND(J15=1,K15=1),AND(J15=1,I15="SBJ"),AND(J15=1,I15=0)),"?IN_FOCUS",IF(J15&lt;=2,"?ACTIVATED",IF(J15&lt;&gt;"","?FAMILIAR",IF(F15="NEW",IF(ISNA(VLOOKUP(E15,#REF!,1,FALSE())),"?TYPE_IDENTIFIABLE","?REFERENTIAL"),"_")))))</f>
        <v/>
      </c>
      <c r="H15" s="23" t="str">
        <f t="shared" ca="1" si="1"/>
        <v/>
      </c>
      <c r="I15" s="24" t="str">
        <f>IF(OR(E15="",E15="!!!",F15="NEW"),"",INDEX(B$2:B14,-1+SUMPRODUCT(MAX(ROW(E$2:E14)*(E15=E$2:E14)))))</f>
        <v/>
      </c>
      <c r="J15" s="24" t="str">
        <f ca="1">IF(OR(E15="",E15="!!!",F15="NEW"),"",COUNTBLANK(OFFSET(A$1,,,SUMPRODUCT(MAX(ROW(E$2:E15)*(E15=E$2:E15)))))-COUNTBLANK(OFFSET(A$1,,,SUMPRODUCT(MAX(ROW(E$1:E14)*(E2=E$1:E14))))))</f>
        <v/>
      </c>
      <c r="K15" s="24" t="str">
        <f>IF(OR(E15="",E15="!!!",F15="NEW"),"",INDEX(J$1:J14,SUMPRODUCT(MAX(ROW(E$1:E14)*(E15=E$1:E14)))))</f>
        <v/>
      </c>
      <c r="L15" s="25"/>
    </row>
    <row r="17" spans="1:12" x14ac:dyDescent="0.2">
      <c r="A17" t="s">
        <v>822</v>
      </c>
    </row>
    <row r="18" spans="1:12" x14ac:dyDescent="0.2">
      <c r="A18" t="s">
        <v>803</v>
      </c>
      <c r="B18" s="26" t="s">
        <v>804</v>
      </c>
      <c r="C18" s="26" t="s">
        <v>805</v>
      </c>
      <c r="D18" s="26" t="s">
        <v>806</v>
      </c>
      <c r="E18" s="20" t="s">
        <v>1747</v>
      </c>
      <c r="F18" s="21" t="s">
        <v>1753</v>
      </c>
      <c r="G18" s="22" t="s">
        <v>1823</v>
      </c>
      <c r="H18" s="23" t="str">
        <f t="shared" ref="H18:H23" ca="1" si="2">IF(J18&lt;&gt;1,"",IF(I18="SBJ","CB","?"))</f>
        <v/>
      </c>
      <c r="I18" s="24" t="str">
        <f>IF(OR(E18="",E18="!!!",F18="NEW"),"",INDEX(B$2:B17,-1+SUMPRODUCT(MAX(ROW(E$2:E17)*(E18=E$2:E17)))))</f>
        <v>SBJ</v>
      </c>
      <c r="J18" s="24">
        <f ca="1">IF(OR(E18="",E18="!!!",F18="NEW"),"",COUNTBLANK(OFFSET(A$1,,,SUMPRODUCT(MAX(ROW(E$2:E18)*(E18=E$2:E18)))))-COUNTBLANK(OFFSET(A$1,,,SUMPRODUCT(MAX(ROW(E$1:E17)*(E2=E$1:E17))))))</f>
        <v>0</v>
      </c>
      <c r="K18" s="24">
        <f ca="1">IF(OR(E18="",E18="!!!",F18="NEW"),"",INDEX(J$1:J17,SUMPRODUCT(MAX(ROW(E$1:E17)*(E18=E$1:E17)))))</f>
        <v>0</v>
      </c>
      <c r="L18" s="25"/>
    </row>
    <row r="19" spans="1:12" x14ac:dyDescent="0.2">
      <c r="A19" t="s">
        <v>807</v>
      </c>
      <c r="E19" s="20" t="str">
        <f t="shared" ref="E19:E23" si="3">IF(D19="?OLD","!!!","")</f>
        <v/>
      </c>
      <c r="F19" s="21" t="str">
        <f>IF(OR(E19="",E19="!!!"),"",IF(NOT(ISNA(VLOOKUP(E19,E$1:E18,1,FALSE()))),"OLD",IF(AND(E19&lt;&gt;"",E19&lt;&gt;"!!!"),"NEW","")))</f>
        <v/>
      </c>
      <c r="G19" s="22" t="str">
        <f>IF(OR(E19="",E19="!!!"),"",IF(OR(J19=0,AND(J19=1,K19=1),AND(J19=1,I19="SBJ"),AND(J19=1,I19=0)),"?IN_FOCUS",IF(J19&lt;=2,"?ACTIVATED",IF(J19&lt;&gt;"","?FAMILIAR",IF(F19="NEW",IF(ISNA(VLOOKUP(E19,#REF!,1,FALSE())),"?TYPE_IDENTIFIABLE","?REFERENTIAL"),"_")))))</f>
        <v/>
      </c>
      <c r="H19" s="23" t="str">
        <f t="shared" ca="1" si="2"/>
        <v/>
      </c>
      <c r="I19" s="24" t="str">
        <f>IF(OR(E19="",E19="!!!",F19="NEW"),"",INDEX(B$2:B18,-1+SUMPRODUCT(MAX(ROW(E$2:E18)*(E19=E$2:E18)))))</f>
        <v/>
      </c>
      <c r="J19" s="24" t="str">
        <f ca="1">IF(OR(E19="",E19="!!!",F19="NEW"),"",COUNTBLANK(OFFSET(A$1,,,SUMPRODUCT(MAX(ROW(E$2:E19)*(E19=E$2:E19)))))-COUNTBLANK(OFFSET(A$1,,,SUMPRODUCT(MAX(ROW(E$1:E18)*(E2=E$1:E18))))))</f>
        <v/>
      </c>
      <c r="K19" s="24" t="str">
        <f>IF(OR(E19="",E19="!!!",F19="NEW"),"",INDEX(J$1:J18,SUMPRODUCT(MAX(ROW(E$1:E18)*(E19=E$1:E18)))))</f>
        <v/>
      </c>
      <c r="L19" s="25"/>
    </row>
    <row r="20" spans="1:12" x14ac:dyDescent="0.2">
      <c r="A20" t="s">
        <v>823</v>
      </c>
      <c r="E20" s="20" t="str">
        <f t="shared" si="3"/>
        <v/>
      </c>
      <c r="F20" s="21"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ca="1" si="2"/>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5"/>
    </row>
    <row r="21" spans="1:12" x14ac:dyDescent="0.2">
      <c r="A21" t="s">
        <v>824</v>
      </c>
      <c r="E21" s="20" t="str">
        <f t="shared" si="3"/>
        <v/>
      </c>
      <c r="F21" s="21" t="str">
        <f>IF(OR(E21="",E21="!!!"),"",IF(NOT(ISNA(VLOOKUP(E21,E$1:E20,1,FALSE()))),"OLD",IF(AND(E21&lt;&gt;"",E21&lt;&gt;"!!!"),"NEW","")))</f>
        <v/>
      </c>
      <c r="G21" s="22" t="str">
        <f>IF(OR(E21="",E21="!!!"),"",IF(OR(J21=0,AND(J21=1,K21=1),AND(J21=1,I21="SBJ"),AND(J21=1,I21=0)),"?IN_FOCUS",IF(J21&lt;=2,"?ACTIVATED",IF(J21&lt;&gt;"","?FAMILIAR",IF(F21="NEW",IF(ISNA(VLOOKUP(E21,#REF!,1,FALSE())),"?TYPE_IDENTIFIABLE","?REFERENTIAL"),"_")))))</f>
        <v/>
      </c>
      <c r="H21" s="23" t="str">
        <f t="shared" ca="1" si="2"/>
        <v/>
      </c>
      <c r="I21" s="24" t="str">
        <f>IF(OR(E21="",E21="!!!",F21="NEW"),"",INDEX(B$2:B20,-1+SUMPRODUCT(MAX(ROW(E$2:E20)*(E21=E$2:E20)))))</f>
        <v/>
      </c>
      <c r="J21" s="24" t="str">
        <f ca="1">IF(OR(E21="",E21="!!!",F21="NEW"),"",COUNTBLANK(OFFSET(A$1,,,SUMPRODUCT(MAX(ROW(E$2:E21)*(E21=E$2:E21)))))-COUNTBLANK(OFFSET(A$1,,,SUMPRODUCT(MAX(ROW(E$1:E20)*(E2=E$1:E20))))))</f>
        <v/>
      </c>
      <c r="K21" s="24" t="str">
        <f>IF(OR(E21="",E21="!!!",F21="NEW"),"",INDEX(J$1:J20,SUMPRODUCT(MAX(ROW(E$1:E20)*(E21=E$1:E20)))))</f>
        <v/>
      </c>
      <c r="L21" s="25"/>
    </row>
    <row r="22" spans="1:12" x14ac:dyDescent="0.2">
      <c r="A22" t="s">
        <v>825</v>
      </c>
      <c r="B22" s="26" t="s">
        <v>810</v>
      </c>
      <c r="E22" s="20" t="str">
        <f t="shared" si="3"/>
        <v/>
      </c>
      <c r="F22" s="21" t="str">
        <f>IF(OR(E22="",E22="!!!"),"",IF(NOT(ISNA(VLOOKUP(E22,E$1:E21,1,FALSE()))),"OLD",IF(AND(E22&lt;&gt;"",E22&lt;&gt;"!!!"),"NEW","")))</f>
        <v/>
      </c>
      <c r="G22" s="22" t="str">
        <f>IF(OR(E22="",E22="!!!"),"",IF(OR(J22=0,AND(J22=1,K22=1),AND(J22=1,I22="SBJ"),AND(J22=1,I22=0)),"?IN_FOCUS",IF(J22&lt;=2,"?ACTIVATED",IF(J22&lt;&gt;"","?FAMILIAR",IF(F22="NEW",IF(ISNA(VLOOKUP(E22,#REF!,1,FALSE())),"?TYPE_IDENTIFIABLE","?REFERENTIAL"),"_")))))</f>
        <v/>
      </c>
      <c r="H22" s="23" t="str">
        <f t="shared" ca="1" si="2"/>
        <v/>
      </c>
      <c r="I22" s="24" t="str">
        <f>IF(OR(E22="",E22="!!!",F22="NEW"),"",INDEX(B$2:B21,-1+SUMPRODUCT(MAX(ROW(E$2:E21)*(E22=E$2:E21)))))</f>
        <v/>
      </c>
      <c r="J22" s="24" t="str">
        <f ca="1">IF(OR(E22="",E22="!!!",F22="NEW"),"",COUNTBLANK(OFFSET(A$1,,,SUMPRODUCT(MAX(ROW(E$2:E22)*(E22=E$2:E22)))))-COUNTBLANK(OFFSET(A$1,,,SUMPRODUCT(MAX(ROW(E$1:E21)*(E2=E$1:E21))))))</f>
        <v/>
      </c>
      <c r="K22" s="24" t="str">
        <f>IF(OR(E22="",E22="!!!",F22="NEW"),"",INDEX(J$1:J21,SUMPRODUCT(MAX(ROW(E$1:E21)*(E22=E$1:E21)))))</f>
        <v/>
      </c>
      <c r="L22" s="25"/>
    </row>
    <row r="23" spans="1:12" x14ac:dyDescent="0.2">
      <c r="A23" t="s">
        <v>821</v>
      </c>
      <c r="E23" s="20" t="str">
        <f t="shared" si="3"/>
        <v/>
      </c>
      <c r="F23" s="21" t="str">
        <f>IF(OR(E23="",E23="!!!"),"",IF(NOT(ISNA(VLOOKUP(E23,E$1:E22,1,FALSE()))),"OLD",IF(AND(E23&lt;&gt;"",E23&lt;&gt;"!!!"),"NEW","")))</f>
        <v/>
      </c>
      <c r="G23" s="22" t="str">
        <f>IF(OR(E23="",E23="!!!"),"",IF(OR(J23=0,AND(J23=1,K23=1),AND(J23=1,I23="SBJ"),AND(J23=1,I23=0)),"?IN_FOCUS",IF(J23&lt;=2,"?ACTIVATED",IF(J23&lt;&gt;"","?FAMILIAR",IF(F23="NEW",IF(ISNA(VLOOKUP(E23,#REF!,1,FALSE())),"?TYPE_IDENTIFIABLE","?REFERENTIAL"),"_")))))</f>
        <v/>
      </c>
      <c r="H23" s="23" t="str">
        <f t="shared" ca="1" si="2"/>
        <v/>
      </c>
      <c r="I23" s="24" t="str">
        <f>IF(OR(E23="",E23="!!!",F23="NEW"),"",INDEX(B$2:B22,-1+SUMPRODUCT(MAX(ROW(E$2:E22)*(E23=E$2:E22)))))</f>
        <v/>
      </c>
      <c r="J23" s="24" t="str">
        <f ca="1">IF(OR(E23="",E23="!!!",F23="NEW"),"",COUNTBLANK(OFFSET(A$1,,,SUMPRODUCT(MAX(ROW(E$2:E23)*(E23=E$2:E23)))))-COUNTBLANK(OFFSET(A$1,,,SUMPRODUCT(MAX(ROW(E$1:E22)*(E2=E$1:E22))))))</f>
        <v/>
      </c>
      <c r="K23" s="24" t="str">
        <f>IF(OR(E23="",E23="!!!",F23="NEW"),"",INDEX(J$1:J22,SUMPRODUCT(MAX(ROW(E$1:E22)*(E23=E$1:E22)))))</f>
        <v/>
      </c>
      <c r="L23" s="25"/>
    </row>
    <row r="25" spans="1:12" x14ac:dyDescent="0.2">
      <c r="A25" t="s">
        <v>826</v>
      </c>
    </row>
    <row r="26" spans="1:12" x14ac:dyDescent="0.2">
      <c r="A26" t="s">
        <v>827</v>
      </c>
      <c r="E26" s="20" t="str">
        <f t="shared" ref="E26:E37" si="4">IF(D26="?OLD","!!!","")</f>
        <v/>
      </c>
      <c r="F26" s="21" t="str">
        <f>IF(OR(E26="",E26="!!!"),"",IF(NOT(ISNA(VLOOKUP(E26,E$1:E25,1,FALSE()))),"OLD",IF(AND(E26&lt;&gt;"",E26&lt;&gt;"!!!"),"NEW","")))</f>
        <v/>
      </c>
      <c r="G26" s="22" t="str">
        <f>IF(OR(E26="",E26="!!!"),"",IF(OR(J26=0,AND(J26=1,K26=1),AND(J26=1,I26="SBJ"),AND(J26=1,I26=0)),"?IN_FOCUS",IF(J26&lt;=2,"?ACTIVATED",IF(J26&lt;&gt;"","?FAMILIAR",IF(F26="NEW",IF(ISNA(VLOOKUP(E26,#REF!,1,FALSE())),"?TYPE_IDENTIFIABLE","?REFERENTIAL"),"_")))))</f>
        <v/>
      </c>
      <c r="H26" s="23" t="str">
        <f t="shared" ref="H26:H37" ca="1" si="5">IF(J26&lt;&gt;1,"",IF(I26="SBJ","CB","?"))</f>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5"/>
    </row>
    <row r="27" spans="1:12" x14ac:dyDescent="0.2">
      <c r="A27" t="s">
        <v>828</v>
      </c>
      <c r="E27" s="20" t="str">
        <f t="shared" si="4"/>
        <v/>
      </c>
      <c r="F27" s="21" t="str">
        <f>IF(OR(E27="",E27="!!!"),"",IF(NOT(ISNA(VLOOKUP(E27,E$1:E26,1,FALSE()))),"OLD",IF(AND(E27&lt;&gt;"",E27&lt;&gt;"!!!"),"NEW","")))</f>
        <v/>
      </c>
      <c r="G27" s="22" t="str">
        <f>IF(OR(E27="",E27="!!!"),"",IF(OR(J27=0,AND(J27=1,K27=1),AND(J27=1,I27="SBJ"),AND(J27=1,I27=0)),"?IN_FOCUS",IF(J27&lt;=2,"?ACTIVATED",IF(J27&lt;&gt;"","?FAMILIAR",IF(F27="NEW",IF(ISNA(VLOOKUP(E27,#REF!,1,FALSE())),"?TYPE_IDENTIFIABLE","?REFERENTIAL"),"_")))))</f>
        <v/>
      </c>
      <c r="H27" s="23" t="str">
        <f t="shared" ca="1" si="5"/>
        <v/>
      </c>
      <c r="I27" s="24" t="str">
        <f>IF(OR(E27="",E27="!!!",F27="NEW"),"",INDEX(B$2:B26,-1+SUMPRODUCT(MAX(ROW(E$2:E26)*(E27=E$2:E26)))))</f>
        <v/>
      </c>
      <c r="J27" s="24" t="str">
        <f ca="1">IF(OR(E27="",E27="!!!",F27="NEW"),"",COUNTBLANK(OFFSET(A$1,,,SUMPRODUCT(MAX(ROW(E$2:E27)*(E27=E$2:E27)))))-COUNTBLANK(OFFSET(A$1,,,SUMPRODUCT(MAX(ROW(E$1:E26)*(E2=E$1:E26))))))</f>
        <v/>
      </c>
      <c r="K27" s="24" t="str">
        <f>IF(OR(E27="",E27="!!!",F27="NEW"),"",INDEX(J$1:J26,SUMPRODUCT(MAX(ROW(E$1:E26)*(E27=E$1:E26)))))</f>
        <v/>
      </c>
      <c r="L27" s="25"/>
    </row>
    <row r="28" spans="1:12" x14ac:dyDescent="0.2">
      <c r="A28" t="s">
        <v>829</v>
      </c>
      <c r="E28" s="20" t="str">
        <f t="shared" si="4"/>
        <v/>
      </c>
      <c r="F28" s="21" t="str">
        <f>IF(OR(E28="",E28="!!!"),"",IF(NOT(ISNA(VLOOKUP(E28,E$1:E27,1,FALSE()))),"OLD",IF(AND(E28&lt;&gt;"",E28&lt;&gt;"!!!"),"NEW","")))</f>
        <v/>
      </c>
      <c r="G28" s="22" t="str">
        <f>IF(OR(E28="",E28="!!!"),"",IF(OR(J28=0,AND(J28=1,K28=1),AND(J28=1,I28="SBJ"),AND(J28=1,I28=0)),"?IN_FOCUS",IF(J28&lt;=2,"?ACTIVATED",IF(J28&lt;&gt;"","?FAMILIAR",IF(F28="NEW",IF(ISNA(VLOOKUP(E28,#REF!,1,FALSE())),"?TYPE_IDENTIFIABLE","?REFERENTIAL"),"_")))))</f>
        <v/>
      </c>
      <c r="H28" s="23" t="str">
        <f t="shared" ca="1" si="5"/>
        <v/>
      </c>
      <c r="I28" s="24" t="str">
        <f>IF(OR(E28="",E28="!!!",F28="NEW"),"",INDEX(B$2:B27,-1+SUMPRODUCT(MAX(ROW(E$2:E27)*(E28=E$2:E27)))))</f>
        <v/>
      </c>
      <c r="J28" s="24" t="str">
        <f ca="1">IF(OR(E28="",E28="!!!",F28="NEW"),"",COUNTBLANK(OFFSET(A$1,,,SUMPRODUCT(MAX(ROW(E$2:E28)*(E28=E$2:E28)))))-COUNTBLANK(OFFSET(A$1,,,SUMPRODUCT(MAX(ROW(E$1:E27)*(E2=E$1:E27))))))</f>
        <v/>
      </c>
      <c r="K28" s="24" t="str">
        <f>IF(OR(E28="",E28="!!!",F28="NEW"),"",INDEX(J$1:J27,SUMPRODUCT(MAX(ROW(E$1:E27)*(E28=E$1:E27)))))</f>
        <v/>
      </c>
      <c r="L28" s="25"/>
    </row>
    <row r="29" spans="1:12" x14ac:dyDescent="0.2">
      <c r="A29" t="s">
        <v>802</v>
      </c>
      <c r="E29" s="20" t="str">
        <f t="shared" si="4"/>
        <v/>
      </c>
      <c r="F29" s="21" t="str">
        <f>IF(OR(E29="",E29="!!!"),"",IF(NOT(ISNA(VLOOKUP(E29,E$1:E28,1,FALSE()))),"OLD",IF(AND(E29&lt;&gt;"",E29&lt;&gt;"!!!"),"NEW","")))</f>
        <v/>
      </c>
      <c r="G29" s="22" t="str">
        <f>IF(OR(E29="",E29="!!!"),"",IF(OR(J29=0,AND(J29=1,K29=1),AND(J29=1,I29="SBJ"),AND(J29=1,I29=0)),"?IN_FOCUS",IF(J29&lt;=2,"?ACTIVATED",IF(J29&lt;&gt;"","?FAMILIAR",IF(F29="NEW",IF(ISNA(VLOOKUP(E29,#REF!,1,FALSE())),"?TYPE_IDENTIFIABLE","?REFERENTIAL"),"_")))))</f>
        <v/>
      </c>
      <c r="H29" s="23" t="str">
        <f t="shared" ca="1" si="5"/>
        <v/>
      </c>
      <c r="I29" s="24" t="str">
        <f>IF(OR(E29="",E29="!!!",F29="NEW"),"",INDEX(B$2:B28,-1+SUMPRODUCT(MAX(ROW(E$2:E28)*(E29=E$2:E28)))))</f>
        <v/>
      </c>
      <c r="J29" s="24" t="str">
        <f ca="1">IF(OR(E29="",E29="!!!",F29="NEW"),"",COUNTBLANK(OFFSET(A$1,,,SUMPRODUCT(MAX(ROW(E$2:E29)*(E29=E$2:E29)))))-COUNTBLANK(OFFSET(A$1,,,SUMPRODUCT(MAX(ROW(E$1:E28)*(E2=E$1:E28))))))</f>
        <v/>
      </c>
      <c r="K29" s="24" t="str">
        <f>IF(OR(E29="",E29="!!!",F29="NEW"),"",INDEX(J$1:J28,SUMPRODUCT(MAX(ROW(E$1:E28)*(E29=E$1:E28)))))</f>
        <v/>
      </c>
      <c r="L29" s="25"/>
    </row>
    <row r="30" spans="1:12" x14ac:dyDescent="0.2">
      <c r="A30" t="s">
        <v>830</v>
      </c>
      <c r="B30" s="26" t="s">
        <v>804</v>
      </c>
      <c r="C30" s="26" t="s">
        <v>805</v>
      </c>
      <c r="D30" s="26" t="s">
        <v>806</v>
      </c>
      <c r="E30" s="20" t="s">
        <v>19</v>
      </c>
      <c r="F30" s="21" t="str">
        <f>IF(OR(E30="",E30="!!!"),"",IF(NOT(ISNA(VLOOKUP(E30,E$1:E29,1,FALSE()))),"OLD",IF(AND(E30&lt;&gt;"",E30&lt;&gt;"!!!"),"NEW","")))</f>
        <v>NEW</v>
      </c>
      <c r="G30" s="22" t="s">
        <v>1823</v>
      </c>
      <c r="H30" s="23" t="str">
        <f t="shared" ca="1" si="5"/>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5"/>
    </row>
    <row r="31" spans="1:12" x14ac:dyDescent="0.2">
      <c r="A31" t="s">
        <v>831</v>
      </c>
      <c r="E31" s="20" t="str">
        <f t="shared" si="4"/>
        <v/>
      </c>
      <c r="F31" s="21" t="str">
        <f>IF(OR(E31="",E31="!!!"),"",IF(NOT(ISNA(VLOOKUP(E31,E$1:E30,1,FALSE()))),"OLD",IF(AND(E31&lt;&gt;"",E31&lt;&gt;"!!!"),"NEW","")))</f>
        <v/>
      </c>
      <c r="G31" s="22" t="str">
        <f>IF(OR(E31="",E31="!!!"),"",IF(OR(J31=0,AND(J31=1,K31=1),AND(J31=1,I31="SBJ"),AND(J31=1,I31=0)),"?IN_FOCUS",IF(J31&lt;=2,"?ACTIVATED",IF(J31&lt;&gt;"","?FAMILIAR",IF(F31="NEW",IF(ISNA(VLOOKUP(E31,#REF!,1,FALSE())),"?TYPE_IDENTIFIABLE","?REFERENTIAL"),"_")))))</f>
        <v/>
      </c>
      <c r="H31" s="23" t="str">
        <f t="shared" ca="1" si="5"/>
        <v/>
      </c>
      <c r="I31" s="24" t="str">
        <f>IF(OR(E31="",E31="!!!",F31="NEW"),"",INDEX(B$2:B30,-1+SUMPRODUCT(MAX(ROW(E$2:E30)*(E31=E$2:E30)))))</f>
        <v/>
      </c>
      <c r="J31" s="24" t="str">
        <f ca="1">IF(OR(E31="",E31="!!!",F31="NEW"),"",COUNTBLANK(OFFSET(A$1,,,SUMPRODUCT(MAX(ROW(E$2:E31)*(E31=E$2:E31)))))-COUNTBLANK(OFFSET(A$1,,,SUMPRODUCT(MAX(ROW(E$1:E30)*(E2=E$1:E30))))))</f>
        <v/>
      </c>
      <c r="K31" s="24" t="str">
        <f>IF(OR(E31="",E31="!!!",F31="NEW"),"",INDEX(J$1:J30,SUMPRODUCT(MAX(ROW(E$1:E30)*(E31=E$1:E30)))))</f>
        <v/>
      </c>
      <c r="L31" s="25"/>
    </row>
    <row r="32" spans="1:12" x14ac:dyDescent="0.2">
      <c r="A32" t="s">
        <v>832</v>
      </c>
      <c r="E32" s="20" t="str">
        <f t="shared" si="4"/>
        <v/>
      </c>
      <c r="F32" s="21"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5"/>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5"/>
    </row>
    <row r="33" spans="1:12" x14ac:dyDescent="0.2">
      <c r="A33" t="s">
        <v>833</v>
      </c>
      <c r="E33" s="20" t="str">
        <f t="shared" si="4"/>
        <v/>
      </c>
      <c r="F33" s="21" t="str">
        <f>IF(OR(E33="",E33="!!!"),"",IF(NOT(ISNA(VLOOKUP(E33,E$1:E32,1,FALSE()))),"OLD",IF(AND(E33&lt;&gt;"",E33&lt;&gt;"!!!"),"NEW","")))</f>
        <v/>
      </c>
      <c r="G33" s="22" t="str">
        <f>IF(OR(E33="",E33="!!!"),"",IF(OR(J33=0,AND(J33=1,K33=1),AND(J33=1,I33="SBJ"),AND(J33=1,I33=0)),"?IN_FOCUS",IF(J33&lt;=2,"?ACTIVATED",IF(J33&lt;&gt;"","?FAMILIAR",IF(F33="NEW",IF(ISNA(VLOOKUP(E33,#REF!,1,FALSE())),"?TYPE_IDENTIFIABLE","?REFERENTIAL"),"_")))))</f>
        <v/>
      </c>
      <c r="H33" s="23" t="str">
        <f t="shared" ca="1" si="5"/>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5"/>
    </row>
    <row r="34" spans="1:12" x14ac:dyDescent="0.2">
      <c r="A34" t="s">
        <v>809</v>
      </c>
      <c r="E34" s="20" t="str">
        <f t="shared" si="4"/>
        <v/>
      </c>
      <c r="F34" s="21" t="str">
        <f>IF(OR(E34="",E34="!!!"),"",IF(NOT(ISNA(VLOOKUP(E34,E$1:E33,1,FALSE()))),"OLD",IF(AND(E34&lt;&gt;"",E34&lt;&gt;"!!!"),"NEW","")))</f>
        <v/>
      </c>
      <c r="G34" s="22" t="str">
        <f>IF(OR(E34="",E34="!!!"),"",IF(OR(J34=0,AND(J34=1,K34=1),AND(J34=1,I34="SBJ"),AND(J34=1,I34=0)),"?IN_FOCUS",IF(J34&lt;=2,"?ACTIVATED",IF(J34&lt;&gt;"","?FAMILIAR",IF(F34="NEW",IF(ISNA(VLOOKUP(E34,#REF!,1,FALSE())),"?TYPE_IDENTIFIABLE","?REFERENTIAL"),"_")))))</f>
        <v/>
      </c>
      <c r="H34" s="23" t="str">
        <f t="shared" ca="1" si="5"/>
        <v/>
      </c>
      <c r="I34" s="24" t="str">
        <f>IF(OR(E34="",E34="!!!",F34="NEW"),"",INDEX(B$2:B33,-1+SUMPRODUCT(MAX(ROW(E$2:E33)*(E34=E$2:E33)))))</f>
        <v/>
      </c>
      <c r="J34" s="24" t="str">
        <f ca="1">IF(OR(E34="",E34="!!!",F34="NEW"),"",COUNTBLANK(OFFSET(A$1,,,SUMPRODUCT(MAX(ROW(E$2:E34)*(E34=E$2:E34)))))-COUNTBLANK(OFFSET(A$1,,,SUMPRODUCT(MAX(ROW(E$1:E33)*(E2=E$1:E33))))))</f>
        <v/>
      </c>
      <c r="K34" s="24" t="str">
        <f>IF(OR(E34="",E34="!!!",F34="NEW"),"",INDEX(J$1:J33,SUMPRODUCT(MAX(ROW(E$1:E33)*(E34=E$1:E33)))))</f>
        <v/>
      </c>
      <c r="L34" s="25"/>
    </row>
    <row r="35" spans="1:12" x14ac:dyDescent="0.2">
      <c r="A35" t="s">
        <v>834</v>
      </c>
      <c r="E35" s="20" t="str">
        <f t="shared" si="4"/>
        <v/>
      </c>
      <c r="F35" s="21" t="str">
        <f>IF(OR(E35="",E35="!!!"),"",IF(NOT(ISNA(VLOOKUP(E35,E$1:E34,1,FALSE()))),"OLD",IF(AND(E35&lt;&gt;"",E35&lt;&gt;"!!!"),"NEW","")))</f>
        <v/>
      </c>
      <c r="G35" s="22" t="str">
        <f>IF(OR(E35="",E35="!!!"),"",IF(OR(J35=0,AND(J35=1,K35=1),AND(J35=1,I35="SBJ"),AND(J35=1,I35=0)),"?IN_FOCUS",IF(J35&lt;=2,"?ACTIVATED",IF(J35&lt;&gt;"","?FAMILIAR",IF(F35="NEW",IF(ISNA(VLOOKUP(E35,#REF!,1,FALSE())),"?TYPE_IDENTIFIABLE","?REFERENTIAL"),"_")))))</f>
        <v/>
      </c>
      <c r="H35" s="23" t="str">
        <f t="shared" ca="1" si="5"/>
        <v/>
      </c>
      <c r="I35" s="24" t="str">
        <f>IF(OR(E35="",E35="!!!",F35="NEW"),"",INDEX(B$2:B34,-1+SUMPRODUCT(MAX(ROW(E$2:E34)*(E35=E$2:E34)))))</f>
        <v/>
      </c>
      <c r="J35" s="24" t="str">
        <f ca="1">IF(OR(E35="",E35="!!!",F35="NEW"),"",COUNTBLANK(OFFSET(A$1,,,SUMPRODUCT(MAX(ROW(E$2:E35)*(E35=E$2:E35)))))-COUNTBLANK(OFFSET(A$1,,,SUMPRODUCT(MAX(ROW(E$1:E34)*(E2=E$1:E34))))))</f>
        <v/>
      </c>
      <c r="K35" s="24" t="str">
        <f>IF(OR(E35="",E35="!!!",F35="NEW"),"",INDEX(J$1:J34,SUMPRODUCT(MAX(ROW(E$1:E34)*(E35=E$1:E34)))))</f>
        <v/>
      </c>
      <c r="L35" s="25"/>
    </row>
    <row r="36" spans="1:12" x14ac:dyDescent="0.2">
      <c r="A36" t="s">
        <v>835</v>
      </c>
      <c r="B36" s="26" t="s">
        <v>819</v>
      </c>
      <c r="C36" s="26" t="s">
        <v>811</v>
      </c>
      <c r="E36" s="20" t="str">
        <f t="shared" si="4"/>
        <v/>
      </c>
      <c r="F36" s="21" t="str">
        <f>IF(OR(E36="",E36="!!!"),"",IF(NOT(ISNA(VLOOKUP(E36,E$1:E35,1,FALSE()))),"OLD",IF(AND(E36&lt;&gt;"",E36&lt;&gt;"!!!"),"NEW","")))</f>
        <v/>
      </c>
      <c r="G36" s="22" t="str">
        <f>IF(OR(E36="",E36="!!!"),"",IF(OR(J36=0,AND(J36=1,K36=1),AND(J36=1,I36="SBJ"),AND(J36=1,I36=0)),"?IN_FOCUS",IF(J36&lt;=2,"?ACTIVATED",IF(J36&lt;&gt;"","?FAMILIAR",IF(F36="NEW",IF(ISNA(VLOOKUP(E36,#REF!,1,FALSE())),"?TYPE_IDENTIFIABLE","?REFERENTIAL"),"_")))))</f>
        <v/>
      </c>
      <c r="H36" s="23" t="str">
        <f t="shared" ca="1" si="5"/>
        <v/>
      </c>
      <c r="I36" s="24" t="str">
        <f>IF(OR(E36="",E36="!!!",F36="NEW"),"",INDEX(B$2:B35,-1+SUMPRODUCT(MAX(ROW(E$2:E35)*(E36=E$2:E35)))))</f>
        <v/>
      </c>
      <c r="J36" s="24" t="str">
        <f ca="1">IF(OR(E36="",E36="!!!",F36="NEW"),"",COUNTBLANK(OFFSET(A$1,,,SUMPRODUCT(MAX(ROW(E$2:E36)*(E36=E$2:E36)))))-COUNTBLANK(OFFSET(A$1,,,SUMPRODUCT(MAX(ROW(E$1:E35)*(E2=E$1:E35))))))</f>
        <v/>
      </c>
      <c r="K36" s="24" t="str">
        <f>IF(OR(E36="",E36="!!!",F36="NEW"),"",INDEX(J$1:J35,SUMPRODUCT(MAX(ROW(E$1:E35)*(E36=E$1:E35)))))</f>
        <v/>
      </c>
      <c r="L36" s="25"/>
    </row>
    <row r="37" spans="1:12" x14ac:dyDescent="0.2">
      <c r="A37" t="s">
        <v>821</v>
      </c>
      <c r="E37" s="20" t="str">
        <f t="shared" si="4"/>
        <v/>
      </c>
      <c r="F37" s="21" t="str">
        <f>IF(OR(E37="",E37="!!!"),"",IF(NOT(ISNA(VLOOKUP(E37,E$1:E36,1,FALSE()))),"OLD",IF(AND(E37&lt;&gt;"",E37&lt;&gt;"!!!"),"NEW","")))</f>
        <v/>
      </c>
      <c r="G37" s="22" t="str">
        <f>IF(OR(E37="",E37="!!!"),"",IF(OR(J37=0,AND(J37=1,K37=1),AND(J37=1,I37="SBJ"),AND(J37=1,I37=0)),"?IN_FOCUS",IF(J37&lt;=2,"?ACTIVATED",IF(J37&lt;&gt;"","?FAMILIAR",IF(F37="NEW",IF(ISNA(VLOOKUP(E37,#REF!,1,FALSE())),"?TYPE_IDENTIFIABLE","?REFERENTIAL"),"_")))))</f>
        <v/>
      </c>
      <c r="H37" s="23" t="str">
        <f t="shared" ca="1" si="5"/>
        <v/>
      </c>
      <c r="I37" s="24" t="str">
        <f>IF(OR(E37="",E37="!!!",F37="NEW"),"",INDEX(B$2:B36,-1+SUMPRODUCT(MAX(ROW(E$2:E36)*(E37=E$2:E36)))))</f>
        <v/>
      </c>
      <c r="J37" s="24" t="str">
        <f ca="1">IF(OR(E37="",E37="!!!",F37="NEW"),"",COUNTBLANK(OFFSET(A$1,,,SUMPRODUCT(MAX(ROW(E$2:E37)*(E37=E$2:E37)))))-COUNTBLANK(OFFSET(A$1,,,SUMPRODUCT(MAX(ROW(E$1:E36)*(E2=E$1:E36))))))</f>
        <v/>
      </c>
      <c r="K37" s="24" t="str">
        <f>IF(OR(E37="",E37="!!!",F37="NEW"),"",INDEX(J$1:J36,SUMPRODUCT(MAX(ROW(E$1:E36)*(E37=E$1:E36)))))</f>
        <v/>
      </c>
      <c r="L37" s="25"/>
    </row>
    <row r="39" spans="1:12" x14ac:dyDescent="0.2">
      <c r="A39" t="s">
        <v>836</v>
      </c>
    </row>
    <row r="40" spans="1:12" x14ac:dyDescent="0.2">
      <c r="A40" t="s">
        <v>837</v>
      </c>
      <c r="B40" s="26" t="s">
        <v>804</v>
      </c>
      <c r="C40" s="26" t="s">
        <v>805</v>
      </c>
      <c r="D40" s="26" t="s">
        <v>806</v>
      </c>
      <c r="E40" s="20" t="s">
        <v>30</v>
      </c>
      <c r="F40" s="21" t="str">
        <f>IF(OR(E40="",E40="!!!"),"",IF(NOT(ISNA(VLOOKUP(E40,E$1:E39,1,FALSE()))),"OLD",IF(AND(E40&lt;&gt;"",E40&lt;&gt;"!!!"),"NEW","")))</f>
        <v>NEW</v>
      </c>
      <c r="G40" s="22" t="s">
        <v>1823</v>
      </c>
      <c r="H40" s="23" t="str">
        <f t="shared" ref="H40:H57" ca="1" si="6">IF(J40&lt;&gt;1,"",IF(I40="SBJ","CB","?"))</f>
        <v/>
      </c>
      <c r="I40" s="24" t="str">
        <f>IF(OR(E40="",E40="!!!",F40="NEW"),"",INDEX(B$2:B39,-1+SUMPRODUCT(MAX(ROW(E$2:E39)*(E40=E$2:E39)))))</f>
        <v/>
      </c>
      <c r="J40" s="24" t="str">
        <f ca="1">IF(OR(E40="",E40="!!!",F40="NEW"),"",COUNTBLANK(OFFSET(A$1,,,SUMPRODUCT(MAX(ROW(E$2:E40)*(E40=E$2:E40)))))-COUNTBLANK(OFFSET(A$1,,,SUMPRODUCT(MAX(ROW(E$1:E39)*(E2=E$1:E39))))))</f>
        <v/>
      </c>
      <c r="K40" s="24" t="str">
        <f>IF(OR(E40="",E40="!!!",F40="NEW"),"",INDEX(J$1:J39,SUMPRODUCT(MAX(ROW(E$1:E39)*(E40=E$1:E39)))))</f>
        <v/>
      </c>
      <c r="L40" s="25"/>
    </row>
    <row r="41" spans="1:12" x14ac:dyDescent="0.2">
      <c r="A41" t="s">
        <v>831</v>
      </c>
      <c r="E41" s="20" t="str">
        <f t="shared" ref="E41:E57" si="7">IF(D41="?OLD","!!!","")</f>
        <v/>
      </c>
      <c r="F41" s="21"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ca="1" si="6"/>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5"/>
    </row>
    <row r="42" spans="1:12" x14ac:dyDescent="0.2">
      <c r="A42" t="s">
        <v>809</v>
      </c>
      <c r="E42" s="20" t="str">
        <f t="shared" si="7"/>
        <v/>
      </c>
      <c r="F42" s="21" t="str">
        <f>IF(OR(E42="",E42="!!!"),"",IF(NOT(ISNA(VLOOKUP(E42,E$1:E41,1,FALSE()))),"OLD",IF(AND(E42&lt;&gt;"",E42&lt;&gt;"!!!"),"NEW","")))</f>
        <v/>
      </c>
      <c r="G42" s="22" t="str">
        <f>IF(OR(E42="",E42="!!!"),"",IF(OR(J42=0,AND(J42=1,K42=1),AND(J42=1,I42="SBJ"),AND(J42=1,I42=0)),"?IN_FOCUS",IF(J42&lt;=2,"?ACTIVATED",IF(J42&lt;&gt;"","?FAMILIAR",IF(F42="NEW",IF(ISNA(VLOOKUP(E42,#REF!,1,FALSE())),"?TYPE_IDENTIFIABLE","?REFERENTIAL"),"_")))))</f>
        <v/>
      </c>
      <c r="H42" s="23" t="str">
        <f t="shared" ca="1" si="6"/>
        <v/>
      </c>
      <c r="I42" s="24" t="str">
        <f>IF(OR(E42="",E42="!!!",F42="NEW"),"",INDEX(B$2:B41,-1+SUMPRODUCT(MAX(ROW(E$2:E41)*(E42=E$2:E41)))))</f>
        <v/>
      </c>
      <c r="J42" s="24" t="str">
        <f ca="1">IF(OR(E42="",E42="!!!",F42="NEW"),"",COUNTBLANK(OFFSET(A$1,,,SUMPRODUCT(MAX(ROW(E$2:E42)*(E42=E$2:E42)))))-COUNTBLANK(OFFSET(A$1,,,SUMPRODUCT(MAX(ROW(E$1:E41)*(E2=E$1:E41))))))</f>
        <v/>
      </c>
      <c r="K42" s="24" t="str">
        <f>IF(OR(E42="",E42="!!!",F42="NEW"),"",INDEX(J$1:J41,SUMPRODUCT(MAX(ROW(E$1:E41)*(E42=E$1:E41)))))</f>
        <v/>
      </c>
      <c r="L42" s="25"/>
    </row>
    <row r="43" spans="1:12" x14ac:dyDescent="0.2">
      <c r="A43" t="s">
        <v>838</v>
      </c>
      <c r="E43" s="20" t="str">
        <f t="shared" si="7"/>
        <v/>
      </c>
      <c r="F43" s="21"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6"/>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5"/>
    </row>
    <row r="44" spans="1:12" x14ac:dyDescent="0.2">
      <c r="A44" t="s">
        <v>30</v>
      </c>
      <c r="B44" s="26" t="s">
        <v>819</v>
      </c>
      <c r="C44" s="26" t="s">
        <v>811</v>
      </c>
      <c r="E44" s="20" t="str">
        <f t="shared" si="7"/>
        <v/>
      </c>
      <c r="F44" s="21" t="str">
        <f>IF(OR(E44="",E44="!!!"),"",IF(NOT(ISNA(VLOOKUP(E44,E$1:E43,1,FALSE()))),"OLD",IF(AND(E44&lt;&gt;"",E44&lt;&gt;"!!!"),"NEW","")))</f>
        <v/>
      </c>
      <c r="G44" s="22" t="str">
        <f>IF(OR(E44="",E44="!!!"),"",IF(OR(J44=0,AND(J44=1,K44=1),AND(J44=1,I44="SBJ"),AND(J44=1,I44=0)),"?IN_FOCUS",IF(J44&lt;=2,"?ACTIVATED",IF(J44&lt;&gt;"","?FAMILIAR",IF(F44="NEW",IF(ISNA(VLOOKUP(E44,#REF!,1,FALSE())),"?TYPE_IDENTIFIABLE","?REFERENTIAL"),"_")))))</f>
        <v/>
      </c>
      <c r="H44" s="23" t="str">
        <f t="shared" ca="1" si="6"/>
        <v/>
      </c>
      <c r="I44" s="24" t="str">
        <f>IF(OR(E44="",E44="!!!",F44="NEW"),"",INDEX(B$2:B43,-1+SUMPRODUCT(MAX(ROW(E$2:E43)*(E44=E$2:E43)))))</f>
        <v/>
      </c>
      <c r="J44" s="24" t="str">
        <f ca="1">IF(OR(E44="",E44="!!!",F44="NEW"),"",COUNTBLANK(OFFSET(A$1,,,SUMPRODUCT(MAX(ROW(E$2:E44)*(E44=E$2:E44)))))-COUNTBLANK(OFFSET(A$1,,,SUMPRODUCT(MAX(ROW(E$1:E43)*(E2=E$1:E43))))))</f>
        <v/>
      </c>
      <c r="K44" s="24" t="str">
        <f>IF(OR(E44="",E44="!!!",F44="NEW"),"",INDEX(J$1:J43,SUMPRODUCT(MAX(ROW(E$1:E43)*(E44=E$1:E43)))))</f>
        <v/>
      </c>
      <c r="L44" s="25"/>
    </row>
    <row r="45" spans="1:12" x14ac:dyDescent="0.2">
      <c r="A45" t="s">
        <v>839</v>
      </c>
      <c r="E45" s="20" t="str">
        <f t="shared" si="7"/>
        <v/>
      </c>
      <c r="F45" s="21"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6"/>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5"/>
    </row>
    <row r="46" spans="1:12" x14ac:dyDescent="0.2">
      <c r="A46" t="s">
        <v>840</v>
      </c>
      <c r="E46" s="20" t="str">
        <f t="shared" si="7"/>
        <v/>
      </c>
      <c r="F46" s="21" t="str">
        <f>IF(OR(E46="",E46="!!!"),"",IF(NOT(ISNA(VLOOKUP(E46,E$1:E45,1,FALSE()))),"OLD",IF(AND(E46&lt;&gt;"",E46&lt;&gt;"!!!"),"NEW","")))</f>
        <v/>
      </c>
      <c r="G46" s="22" t="str">
        <f>IF(OR(E46="",E46="!!!"),"",IF(OR(J46=0,AND(J46=1,K46=1),AND(J46=1,I46="SBJ"),AND(J46=1,I46=0)),"?IN_FOCUS",IF(J46&lt;=2,"?ACTIVATED",IF(J46&lt;&gt;"","?FAMILIAR",IF(F46="NEW",IF(ISNA(VLOOKUP(E46,#REF!,1,FALSE())),"?TYPE_IDENTIFIABLE","?REFERENTIAL"),"_")))))</f>
        <v/>
      </c>
      <c r="H46" s="23" t="str">
        <f t="shared" ca="1" si="6"/>
        <v/>
      </c>
      <c r="I46" s="24" t="str">
        <f>IF(OR(E46="",E46="!!!",F46="NEW"),"",INDEX(B$2:B45,-1+SUMPRODUCT(MAX(ROW(E$2:E45)*(E46=E$2:E45)))))</f>
        <v/>
      </c>
      <c r="J46" s="24" t="str">
        <f ca="1">IF(OR(E46="",E46="!!!",F46="NEW"),"",COUNTBLANK(OFFSET(A$1,,,SUMPRODUCT(MAX(ROW(E$2:E46)*(E46=E$2:E46)))))-COUNTBLANK(OFFSET(A$1,,,SUMPRODUCT(MAX(ROW(E$1:E45)*(E2=E$1:E45))))))</f>
        <v/>
      </c>
      <c r="K46" s="24" t="str">
        <f>IF(OR(E46="",E46="!!!",F46="NEW"),"",INDEX(J$1:J45,SUMPRODUCT(MAX(ROW(E$1:E45)*(E46=E$1:E45)))))</f>
        <v/>
      </c>
      <c r="L46" s="25"/>
    </row>
    <row r="47" spans="1:12" x14ac:dyDescent="0.2">
      <c r="A47" t="s">
        <v>802</v>
      </c>
      <c r="E47" s="20" t="str">
        <f t="shared" si="7"/>
        <v/>
      </c>
      <c r="F47" s="21" t="str">
        <f>IF(OR(E47="",E47="!!!"),"",IF(NOT(ISNA(VLOOKUP(E47,E$1:E46,1,FALSE()))),"OLD",IF(AND(E47&lt;&gt;"",E47&lt;&gt;"!!!"),"NEW","")))</f>
        <v/>
      </c>
      <c r="G47" s="22" t="str">
        <f>IF(OR(E47="",E47="!!!"),"",IF(OR(J47=0,AND(J47=1,K47=1),AND(J47=1,I47="SBJ"),AND(J47=1,I47=0)),"?IN_FOCUS",IF(J47&lt;=2,"?ACTIVATED",IF(J47&lt;&gt;"","?FAMILIAR",IF(F47="NEW",IF(ISNA(VLOOKUP(E47,#REF!,1,FALSE())),"?TYPE_IDENTIFIABLE","?REFERENTIAL"),"_")))))</f>
        <v/>
      </c>
      <c r="H47" s="23" t="str">
        <f t="shared" ca="1" si="6"/>
        <v/>
      </c>
      <c r="I47" s="24" t="str">
        <f>IF(OR(E47="",E47="!!!",F47="NEW"),"",INDEX(B$2:B46,-1+SUMPRODUCT(MAX(ROW(E$2:E46)*(E47=E$2:E46)))))</f>
        <v/>
      </c>
      <c r="J47" s="24" t="str">
        <f ca="1">IF(OR(E47="",E47="!!!",F47="NEW"),"",COUNTBLANK(OFFSET(A$1,,,SUMPRODUCT(MAX(ROW(E$2:E47)*(E47=E$2:E47)))))-COUNTBLANK(OFFSET(A$1,,,SUMPRODUCT(MAX(ROW(E$1:E46)*(E2=E$1:E46))))))</f>
        <v/>
      </c>
      <c r="K47" s="24" t="str">
        <f>IF(OR(E47="",E47="!!!",F47="NEW"),"",INDEX(J$1:J46,SUMPRODUCT(MAX(ROW(E$1:E46)*(E47=E$1:E46)))))</f>
        <v/>
      </c>
      <c r="L47" s="25"/>
    </row>
    <row r="48" spans="1:12" x14ac:dyDescent="0.2">
      <c r="A48" t="s">
        <v>841</v>
      </c>
      <c r="E48" s="20" t="str">
        <f t="shared" si="7"/>
        <v/>
      </c>
      <c r="F48" s="21"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6"/>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5"/>
    </row>
    <row r="49" spans="1:12" x14ac:dyDescent="0.2">
      <c r="A49" t="s">
        <v>802</v>
      </c>
      <c r="E49" s="20" t="str">
        <f t="shared" si="7"/>
        <v/>
      </c>
      <c r="F49" s="21" t="str">
        <f>IF(OR(E49="",E49="!!!"),"",IF(NOT(ISNA(VLOOKUP(E49,E$1:E48,1,FALSE()))),"OLD",IF(AND(E49&lt;&gt;"",E49&lt;&gt;"!!!"),"NEW","")))</f>
        <v/>
      </c>
      <c r="G49" s="22" t="str">
        <f>IF(OR(E49="",E49="!!!"),"",IF(OR(J49=0,AND(J49=1,K49=1),AND(J49=1,I49="SBJ"),AND(J49=1,I49=0)),"?IN_FOCUS",IF(J49&lt;=2,"?ACTIVATED",IF(J49&lt;&gt;"","?FAMILIAR",IF(F49="NEW",IF(ISNA(VLOOKUP(E49,#REF!,1,FALSE())),"?TYPE_IDENTIFIABLE","?REFERENTIAL"),"_")))))</f>
        <v/>
      </c>
      <c r="H49" s="23" t="str">
        <f t="shared" ca="1" si="6"/>
        <v/>
      </c>
      <c r="I49" s="24" t="str">
        <f>IF(OR(E49="",E49="!!!",F49="NEW"),"",INDEX(B$2:B48,-1+SUMPRODUCT(MAX(ROW(E$2:E48)*(E49=E$2:E48)))))</f>
        <v/>
      </c>
      <c r="J49" s="24" t="str">
        <f ca="1">IF(OR(E49="",E49="!!!",F49="NEW"),"",COUNTBLANK(OFFSET(A$1,,,SUMPRODUCT(MAX(ROW(E$2:E49)*(E49=E$2:E49)))))-COUNTBLANK(OFFSET(A$1,,,SUMPRODUCT(MAX(ROW(E$1:E48)*(E2=E$1:E48))))))</f>
        <v/>
      </c>
      <c r="K49" s="24" t="str">
        <f>IF(OR(E49="",E49="!!!",F49="NEW"),"",INDEX(J$1:J48,SUMPRODUCT(MAX(ROW(E$1:E48)*(E49=E$1:E48)))))</f>
        <v/>
      </c>
      <c r="L49" s="25"/>
    </row>
    <row r="50" spans="1:12" x14ac:dyDescent="0.2">
      <c r="A50" t="s">
        <v>842</v>
      </c>
      <c r="B50" s="26" t="s">
        <v>813</v>
      </c>
      <c r="C50" s="26" t="s">
        <v>814</v>
      </c>
      <c r="E50" s="20" t="str">
        <f t="shared" si="7"/>
        <v/>
      </c>
      <c r="F50" s="21" t="str">
        <f>IF(OR(E50="",E50="!!!"),"",IF(NOT(ISNA(VLOOKUP(E50,E$1:E49,1,FALSE()))),"OLD",IF(AND(E50&lt;&gt;"",E50&lt;&gt;"!!!"),"NEW","")))</f>
        <v/>
      </c>
      <c r="G50" s="22" t="str">
        <f>IF(OR(E50="",E50="!!!"),"",IF(OR(J50=0,AND(J50=1,K50=1),AND(J50=1,I50="SBJ"),AND(J50=1,I50=0)),"?IN_FOCUS",IF(J50&lt;=2,"?ACTIVATED",IF(J50&lt;&gt;"","?FAMILIAR",IF(F50="NEW",IF(ISNA(VLOOKUP(E50,#REF!,1,FALSE())),"?TYPE_IDENTIFIABLE","?REFERENTIAL"),"_")))))</f>
        <v/>
      </c>
      <c r="H50" s="23" t="str">
        <f t="shared" ca="1" si="6"/>
        <v/>
      </c>
      <c r="I50" s="24" t="str">
        <f>IF(OR(E50="",E50="!!!",F50="NEW"),"",INDEX(B$2:B49,-1+SUMPRODUCT(MAX(ROW(E$2:E49)*(E50=E$2:E49)))))</f>
        <v/>
      </c>
      <c r="J50" s="24" t="str">
        <f ca="1">IF(OR(E50="",E50="!!!",F50="NEW"),"",COUNTBLANK(OFFSET(A$1,,,SUMPRODUCT(MAX(ROW(E$2:E50)*(E50=E$2:E50)))))-COUNTBLANK(OFFSET(A$1,,,SUMPRODUCT(MAX(ROW(E$1:E49)*(E2=E$1:E49))))))</f>
        <v/>
      </c>
      <c r="K50" s="24" t="str">
        <f>IF(OR(E50="",E50="!!!",F50="NEW"),"",INDEX(J$1:J49,SUMPRODUCT(MAX(ROW(E$1:E49)*(E50=E$1:E49)))))</f>
        <v/>
      </c>
      <c r="L50" s="25"/>
    </row>
    <row r="51" spans="1:12" x14ac:dyDescent="0.2">
      <c r="A51" t="s">
        <v>802</v>
      </c>
      <c r="E51" s="20" t="str">
        <f t="shared" si="7"/>
        <v/>
      </c>
      <c r="F51" s="21" t="str">
        <f>IF(OR(E51="",E51="!!!"),"",IF(NOT(ISNA(VLOOKUP(E51,E$1:E50,1,FALSE()))),"OLD",IF(AND(E51&lt;&gt;"",E51&lt;&gt;"!!!"),"NEW","")))</f>
        <v/>
      </c>
      <c r="G51" s="22" t="str">
        <f>IF(OR(E51="",E51="!!!"),"",IF(OR(J51=0,AND(J51=1,K51=1),AND(J51=1,I51="SBJ"),AND(J51=1,I51=0)),"?IN_FOCUS",IF(J51&lt;=2,"?ACTIVATED",IF(J51&lt;&gt;"","?FAMILIAR",IF(F51="NEW",IF(ISNA(VLOOKUP(E51,#REF!,1,FALSE())),"?TYPE_IDENTIFIABLE","?REFERENTIAL"),"_")))))</f>
        <v/>
      </c>
      <c r="H51" s="23" t="str">
        <f t="shared" ca="1" si="6"/>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5"/>
    </row>
    <row r="52" spans="1:12" x14ac:dyDescent="0.2">
      <c r="A52" t="s">
        <v>809</v>
      </c>
      <c r="E52" s="20" t="str">
        <f t="shared" si="7"/>
        <v/>
      </c>
      <c r="F52" s="21" t="str">
        <f>IF(OR(E52="",E52="!!!"),"",IF(NOT(ISNA(VLOOKUP(E52,E$1:E51,1,FALSE()))),"OLD",IF(AND(E52&lt;&gt;"",E52&lt;&gt;"!!!"),"NEW","")))</f>
        <v/>
      </c>
      <c r="G52" s="22" t="str">
        <f>IF(OR(E52="",E52="!!!"),"",IF(OR(J52=0,AND(J52=1,K52=1),AND(J52=1,I52="SBJ"),AND(J52=1,I52=0)),"?IN_FOCUS",IF(J52&lt;=2,"?ACTIVATED",IF(J52&lt;&gt;"","?FAMILIAR",IF(F52="NEW",IF(ISNA(VLOOKUP(E52,#REF!,1,FALSE())),"?TYPE_IDENTIFIABLE","?REFERENTIAL"),"_")))))</f>
        <v/>
      </c>
      <c r="H52" s="23" t="str">
        <f t="shared" ca="1" si="6"/>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5"/>
    </row>
    <row r="53" spans="1:12" x14ac:dyDescent="0.2">
      <c r="A53" t="s">
        <v>843</v>
      </c>
      <c r="B53" s="26" t="s">
        <v>819</v>
      </c>
      <c r="C53" s="26" t="s">
        <v>811</v>
      </c>
      <c r="E53" s="20" t="str">
        <f t="shared" si="7"/>
        <v/>
      </c>
      <c r="F53" s="21" t="str">
        <f>IF(OR(E53="",E53="!!!"),"",IF(NOT(ISNA(VLOOKUP(E53,E$1:E52,1,FALSE()))),"OLD",IF(AND(E53&lt;&gt;"",E53&lt;&gt;"!!!"),"NEW","")))</f>
        <v/>
      </c>
      <c r="G53" s="22" t="str">
        <f>IF(OR(E53="",E53="!!!"),"",IF(OR(J53=0,AND(J53=1,K53=1),AND(J53=1,I53="SBJ"),AND(J53=1,I53=0)),"?IN_FOCUS",IF(J53&lt;=2,"?ACTIVATED",IF(J53&lt;&gt;"","?FAMILIAR",IF(F53="NEW",IF(ISNA(VLOOKUP(E53,#REF!,1,FALSE())),"?TYPE_IDENTIFIABLE","?REFERENTIAL"),"_")))))</f>
        <v/>
      </c>
      <c r="H53" s="23" t="str">
        <f t="shared" ca="1" si="6"/>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5"/>
    </row>
    <row r="54" spans="1:12" x14ac:dyDescent="0.2">
      <c r="A54" t="s">
        <v>844</v>
      </c>
      <c r="E54" s="20" t="str">
        <f t="shared" si="7"/>
        <v/>
      </c>
      <c r="F54" s="21" t="str">
        <f>IF(OR(E54="",E54="!!!"),"",IF(NOT(ISNA(VLOOKUP(E54,E$1:E53,1,FALSE()))),"OLD",IF(AND(E54&lt;&gt;"",E54&lt;&gt;"!!!"),"NEW","")))</f>
        <v/>
      </c>
      <c r="G54" s="22" t="str">
        <f>IF(OR(E54="",E54="!!!"),"",IF(OR(J54=0,AND(J54=1,K54=1),AND(J54=1,I54="SBJ"),AND(J54=1,I54=0)),"?IN_FOCUS",IF(J54&lt;=2,"?ACTIVATED",IF(J54&lt;&gt;"","?FAMILIAR",IF(F54="NEW",IF(ISNA(VLOOKUP(E54,#REF!,1,FALSE())),"?TYPE_IDENTIFIABLE","?REFERENTIAL"),"_")))))</f>
        <v/>
      </c>
      <c r="H54" s="23" t="str">
        <f t="shared" ca="1" si="6"/>
        <v/>
      </c>
      <c r="I54" s="24" t="str">
        <f>IF(OR(E54="",E54="!!!",F54="NEW"),"",INDEX(B$2:B53,-1+SUMPRODUCT(MAX(ROW(E$2:E53)*(E54=E$2:E53)))))</f>
        <v/>
      </c>
      <c r="J54" s="24" t="str">
        <f ca="1">IF(OR(E54="",E54="!!!",F54="NEW"),"",COUNTBLANK(OFFSET(A$1,,,SUMPRODUCT(MAX(ROW(E$2:E54)*(E54=E$2:E54)))))-COUNTBLANK(OFFSET(A$1,,,SUMPRODUCT(MAX(ROW(E$1:E53)*(E2=E$1:E53))))))</f>
        <v/>
      </c>
      <c r="K54" s="24" t="str">
        <f>IF(OR(E54="",E54="!!!",F54="NEW"),"",INDEX(J$1:J53,SUMPRODUCT(MAX(ROW(E$1:E53)*(E54=E$1:E53)))))</f>
        <v/>
      </c>
      <c r="L54" s="25"/>
    </row>
    <row r="55" spans="1:12" x14ac:dyDescent="0.2">
      <c r="A55" t="s">
        <v>845</v>
      </c>
      <c r="E55" s="20" t="str">
        <f t="shared" si="7"/>
        <v/>
      </c>
      <c r="F55" s="21" t="str">
        <f>IF(OR(E55="",E55="!!!"),"",IF(NOT(ISNA(VLOOKUP(E55,E$1:E54,1,FALSE()))),"OLD",IF(AND(E55&lt;&gt;"",E55&lt;&gt;"!!!"),"NEW","")))</f>
        <v/>
      </c>
      <c r="G55" s="22" t="str">
        <f>IF(OR(E55="",E55="!!!"),"",IF(OR(J55=0,AND(J55=1,K55=1),AND(J55=1,I55="SBJ"),AND(J55=1,I55=0)),"?IN_FOCUS",IF(J55&lt;=2,"?ACTIVATED",IF(J55&lt;&gt;"","?FAMILIAR",IF(F55="NEW",IF(ISNA(VLOOKUP(E55,#REF!,1,FALSE())),"?TYPE_IDENTIFIABLE","?REFERENTIAL"),"_")))))</f>
        <v/>
      </c>
      <c r="H55" s="23" t="str">
        <f t="shared" ca="1" si="6"/>
        <v/>
      </c>
      <c r="I55" s="24" t="str">
        <f>IF(OR(E55="",E55="!!!",F55="NEW"),"",INDEX(B$2:B54,-1+SUMPRODUCT(MAX(ROW(E$2:E54)*(E55=E$2:E54)))))</f>
        <v/>
      </c>
      <c r="J55" s="24" t="str">
        <f ca="1">IF(OR(E55="",E55="!!!",F55="NEW"),"",COUNTBLANK(OFFSET(A$1,,,SUMPRODUCT(MAX(ROW(E$2:E55)*(E55=E$2:E55)))))-COUNTBLANK(OFFSET(A$1,,,SUMPRODUCT(MAX(ROW(E$1:E54)*(E2=E$1:E54))))))</f>
        <v/>
      </c>
      <c r="K55" s="24" t="str">
        <f>IF(OR(E55="",E55="!!!",F55="NEW"),"",INDEX(J$1:J54,SUMPRODUCT(MAX(ROW(E$1:E54)*(E55=E$1:E54)))))</f>
        <v/>
      </c>
      <c r="L55" s="25"/>
    </row>
    <row r="56" spans="1:12" x14ac:dyDescent="0.2">
      <c r="A56" t="s">
        <v>846</v>
      </c>
      <c r="B56" s="26" t="s">
        <v>813</v>
      </c>
      <c r="C56" s="26" t="s">
        <v>847</v>
      </c>
      <c r="D56" s="26" t="s">
        <v>806</v>
      </c>
      <c r="E56" s="20" t="s">
        <v>846</v>
      </c>
      <c r="F56" s="21" t="str">
        <f>IF(OR(E56="",E56="!!!"),"",IF(NOT(ISNA(VLOOKUP(E56,E$1:E55,1,FALSE()))),"OLD",IF(AND(E56&lt;&gt;"",E56&lt;&gt;"!!!"),"NEW","")))</f>
        <v>NEW</v>
      </c>
      <c r="G56" s="22" t="s">
        <v>1824</v>
      </c>
      <c r="H56" s="23" t="str">
        <f t="shared" ca="1" si="6"/>
        <v/>
      </c>
      <c r="I56" s="24" t="str">
        <f>IF(OR(E56="",E56="!!!",F56="NEW"),"",INDEX(B$2:B55,-1+SUMPRODUCT(MAX(ROW(E$2:E55)*(E56=E$2:E55)))))</f>
        <v/>
      </c>
      <c r="J56" s="24" t="str">
        <f ca="1">IF(OR(E56="",E56="!!!",F56="NEW"),"",COUNTBLANK(OFFSET(A$1,,,SUMPRODUCT(MAX(ROW(E$2:E56)*(E56=E$2:E56)))))-COUNTBLANK(OFFSET(A$1,,,SUMPRODUCT(MAX(ROW(E$1:E55)*(E2=E$1:E55))))))</f>
        <v/>
      </c>
      <c r="K56" s="24" t="str">
        <f>IF(OR(E56="",E56="!!!",F56="NEW"),"",INDEX(J$1:J55,SUMPRODUCT(MAX(ROW(E$1:E55)*(E56=E$1:E55)))))</f>
        <v/>
      </c>
      <c r="L56" s="25"/>
    </row>
    <row r="57" spans="1:12" x14ac:dyDescent="0.2">
      <c r="A57" t="s">
        <v>821</v>
      </c>
      <c r="E57" s="20" t="str">
        <f t="shared" si="7"/>
        <v/>
      </c>
      <c r="F57" s="21" t="str">
        <f>IF(OR(E57="",E57="!!!"),"",IF(NOT(ISNA(VLOOKUP(E57,E$1:E56,1,FALSE()))),"OLD",IF(AND(E57&lt;&gt;"",E57&lt;&gt;"!!!"),"NEW","")))</f>
        <v/>
      </c>
      <c r="G57" s="22" t="str">
        <f>IF(OR(E57="",E57="!!!"),"",IF(OR(J57=0,AND(J57=1,K57=1),AND(J57=1,I57="SBJ"),AND(J57=1,I57=0)),"?IN_FOCUS",IF(J57&lt;=2,"?ACTIVATED",IF(J57&lt;&gt;"","?FAMILIAR",IF(F57="NEW",IF(ISNA(VLOOKUP(E57,#REF!,1,FALSE())),"?TYPE_IDENTIFIABLE","?REFERENTIAL"),"_")))))</f>
        <v/>
      </c>
      <c r="H57" s="23" t="str">
        <f t="shared" ca="1" si="6"/>
        <v/>
      </c>
      <c r="I57" s="24" t="str">
        <f>IF(OR(E57="",E57="!!!",F57="NEW"),"",INDEX(B$2:B56,-1+SUMPRODUCT(MAX(ROW(E$2:E56)*(E57=E$2:E56)))))</f>
        <v/>
      </c>
      <c r="J57" s="24" t="str">
        <f ca="1">IF(OR(E57="",E57="!!!",F57="NEW"),"",COUNTBLANK(OFFSET(A$1,,,SUMPRODUCT(MAX(ROW(E$2:E57)*(E57=E$2:E57)))))-COUNTBLANK(OFFSET(A$1,,,SUMPRODUCT(MAX(ROW(E$1:E56)*(E2=E$1:E56))))))</f>
        <v/>
      </c>
      <c r="K57" s="24" t="str">
        <f>IF(OR(E57="",E57="!!!",F57="NEW"),"",INDEX(J$1:J56,SUMPRODUCT(MAX(ROW(E$1:E56)*(E57=E$1:E56)))))</f>
        <v/>
      </c>
      <c r="L57" s="25"/>
    </row>
    <row r="59" spans="1:12" x14ac:dyDescent="0.2">
      <c r="A59" t="s">
        <v>848</v>
      </c>
    </row>
    <row r="60" spans="1:12" x14ac:dyDescent="0.2">
      <c r="A60" t="s">
        <v>849</v>
      </c>
      <c r="B60" s="26" t="s">
        <v>819</v>
      </c>
      <c r="C60" s="26" t="s">
        <v>850</v>
      </c>
      <c r="E60" s="20" t="str">
        <f>IF(D60="?OLD","!!!","")</f>
        <v/>
      </c>
      <c r="F60" s="21" t="str">
        <f>IF(OR(E60="",E60="!!!"),"",IF(NOT(ISNA(VLOOKUP(E60,E$1:E59,1,FALSE()))),"OLD",IF(AND(E60&lt;&gt;"",E60&lt;&gt;"!!!"),"NEW","")))</f>
        <v/>
      </c>
      <c r="G60" s="22" t="str">
        <f>IF(OR(E60="",E60="!!!"),"",IF(OR(J60=0,AND(J60=1,K60=1),AND(J60=1,I60="SBJ"),AND(J60=1,I60=0)),"?IN_FOCUS",IF(J60&lt;=2,"?ACTIVATED",IF(J60&lt;&gt;"","?FAMILIAR",IF(F60="NEW",IF(ISNA(VLOOKUP(E60,#REF!,1,FALSE())),"?TYPE_IDENTIFIABLE","?REFERENTIAL"),"_")))))</f>
        <v/>
      </c>
      <c r="H60" s="23" t="str">
        <f ca="1">IF(J60&lt;&gt;1,"",IF(I60="SBJ","CB","?"))</f>
        <v/>
      </c>
      <c r="I60" s="24" t="str">
        <f>IF(OR(E60="",E60="!!!",F60="NEW"),"",INDEX(B$2:B59,-1+SUMPRODUCT(MAX(ROW(E$2:E59)*(E60=E$2:E59)))))</f>
        <v/>
      </c>
      <c r="J60" s="24" t="str">
        <f ca="1">IF(OR(E60="",E60="!!!",F60="NEW"),"",COUNTBLANK(OFFSET(A$1,,,SUMPRODUCT(MAX(ROW(E$2:E60)*(E60=E$2:E60)))))-COUNTBLANK(OFFSET(A$1,,,SUMPRODUCT(MAX(ROW(E$1:E59)*(E2=E$1:E59))))))</f>
        <v/>
      </c>
      <c r="K60" s="24" t="str">
        <f>IF(OR(E60="",E60="!!!",F60="NEW"),"",INDEX(J$1:J59,SUMPRODUCT(MAX(ROW(E$1:E59)*(E60=E$1:E59)))))</f>
        <v/>
      </c>
      <c r="L60" s="25"/>
    </row>
    <row r="61" spans="1:12" x14ac:dyDescent="0.2">
      <c r="A61" t="s">
        <v>809</v>
      </c>
      <c r="E61" s="20" t="str">
        <f>IF(D61="?OLD","!!!","")</f>
        <v/>
      </c>
      <c r="F61" s="21" t="str">
        <f>IF(OR(E61="",E61="!!!"),"",IF(NOT(ISNA(VLOOKUP(E61,E$1:E60,1,FALSE()))),"OLD",IF(AND(E61&lt;&gt;"",E61&lt;&gt;"!!!"),"NEW","")))</f>
        <v/>
      </c>
      <c r="G61" s="22" t="str">
        <f>IF(OR(E61="",E61="!!!"),"",IF(OR(J61=0,AND(J61=1,K61=1),AND(J61=1,I61="SBJ"),AND(J61=1,I61=0)),"?IN_FOCUS",IF(J61&lt;=2,"?ACTIVATED",IF(J61&lt;&gt;"","?FAMILIAR",IF(F61="NEW",IF(ISNA(VLOOKUP(E61,#REF!,1,FALSE())),"?TYPE_IDENTIFIABLE","?REFERENTIAL"),"_")))))</f>
        <v/>
      </c>
      <c r="H61" s="23" t="str">
        <f ca="1">IF(J61&lt;&gt;1,"",IF(I61="SBJ","CB","?"))</f>
        <v/>
      </c>
      <c r="I61" s="24" t="str">
        <f>IF(OR(E61="",E61="!!!",F61="NEW"),"",INDEX(B$2:B60,-1+SUMPRODUCT(MAX(ROW(E$2:E60)*(E61=E$2:E60)))))</f>
        <v/>
      </c>
      <c r="J61" s="24" t="str">
        <f ca="1">IF(OR(E61="",E61="!!!",F61="NEW"),"",COUNTBLANK(OFFSET(A$1,,,SUMPRODUCT(MAX(ROW(E$2:E61)*(E61=E$2:E61)))))-COUNTBLANK(OFFSET(A$1,,,SUMPRODUCT(MAX(ROW(E$1:E60)*(E2=E$1:E60))))))</f>
        <v/>
      </c>
      <c r="K61" s="24" t="str">
        <f>IF(OR(E61="",E61="!!!",F61="NEW"),"",INDEX(J$1:J60,SUMPRODUCT(MAX(ROW(E$1:E60)*(E61=E$1:E60)))))</f>
        <v/>
      </c>
      <c r="L61" s="25"/>
    </row>
    <row r="62" spans="1:12" x14ac:dyDescent="0.2">
      <c r="A62" t="s">
        <v>30</v>
      </c>
      <c r="B62" s="26" t="s">
        <v>819</v>
      </c>
      <c r="C62" s="26" t="s">
        <v>811</v>
      </c>
      <c r="E62" s="20" t="str">
        <f>IF(D62="?OLD","!!!","")</f>
        <v/>
      </c>
      <c r="F62" s="21" t="str">
        <f>IF(OR(E62="",E62="!!!"),"",IF(NOT(ISNA(VLOOKUP(E62,E$1:E61,1,FALSE()))),"OLD",IF(AND(E62&lt;&gt;"",E62&lt;&gt;"!!!"),"NEW","")))</f>
        <v/>
      </c>
      <c r="G62" s="22" t="str">
        <f>IF(OR(E62="",E62="!!!"),"",IF(OR(J62=0,AND(J62=1,K62=1),AND(J62=1,I62="SBJ"),AND(J62=1,I62=0)),"?IN_FOCUS",IF(J62&lt;=2,"?ACTIVATED",IF(J62&lt;&gt;"","?FAMILIAR",IF(F62="NEW",IF(ISNA(VLOOKUP(E62,#REF!,1,FALSE())),"?TYPE_IDENTIFIABLE","?REFERENTIAL"),"_")))))</f>
        <v/>
      </c>
      <c r="H62" s="23" t="str">
        <f ca="1">IF(J62&lt;&gt;1,"",IF(I62="SBJ","CB","?"))</f>
        <v/>
      </c>
      <c r="I62" s="24" t="str">
        <f>IF(OR(E62="",E62="!!!",F62="NEW"),"",INDEX(B$2:B61,-1+SUMPRODUCT(MAX(ROW(E$2:E61)*(E62=E$2:E61)))))</f>
        <v/>
      </c>
      <c r="J62" s="24" t="str">
        <f ca="1">IF(OR(E62="",E62="!!!",F62="NEW"),"",COUNTBLANK(OFFSET(A$1,,,SUMPRODUCT(MAX(ROW(E$2:E62)*(E62=E$2:E62)))))-COUNTBLANK(OFFSET(A$1,,,SUMPRODUCT(MAX(ROW(E$1:E61)*(E2=E$1:E61))))))</f>
        <v/>
      </c>
      <c r="K62" s="24" t="str">
        <f>IF(OR(E62="",E62="!!!",F62="NEW"),"",INDEX(J$1:J61,SUMPRODUCT(MAX(ROW(E$1:E61)*(E62=E$1:E61)))))</f>
        <v/>
      </c>
      <c r="L62" s="25"/>
    </row>
    <row r="63" spans="1:12" x14ac:dyDescent="0.2">
      <c r="A63" t="s">
        <v>821</v>
      </c>
      <c r="E63" s="20" t="str">
        <f>IF(D63="?OLD","!!!","")</f>
        <v/>
      </c>
      <c r="F63" s="21" t="str">
        <f>IF(OR(E63="",E63="!!!"),"",IF(NOT(ISNA(VLOOKUP(E63,E$1:E62,1,FALSE()))),"OLD",IF(AND(E63&lt;&gt;"",E63&lt;&gt;"!!!"),"NEW","")))</f>
        <v/>
      </c>
      <c r="G63" s="22" t="str">
        <f>IF(OR(E63="",E63="!!!"),"",IF(OR(J63=0,AND(J63=1,K63=1),AND(J63=1,I63="SBJ"),AND(J63=1,I63=0)),"?IN_FOCUS",IF(J63&lt;=2,"?ACTIVATED",IF(J63&lt;&gt;"","?FAMILIAR",IF(F63="NEW",IF(ISNA(VLOOKUP(E63,#REF!,1,FALSE())),"?TYPE_IDENTIFIABLE","?REFERENTIAL"),"_")))))</f>
        <v/>
      </c>
      <c r="H63" s="23" t="str">
        <f ca="1">IF(J63&lt;&gt;1,"",IF(I63="SBJ","CB","?"))</f>
        <v/>
      </c>
      <c r="I63" s="24" t="str">
        <f>IF(OR(E63="",E63="!!!",F63="NEW"),"",INDEX(B$2:B62,-1+SUMPRODUCT(MAX(ROW(E$2:E62)*(E63=E$2:E62)))))</f>
        <v/>
      </c>
      <c r="J63" s="24" t="str">
        <f ca="1">IF(OR(E63="",E63="!!!",F63="NEW"),"",COUNTBLANK(OFFSET(A$1,,,SUMPRODUCT(MAX(ROW(E$2:E63)*(E63=E$2:E63)))))-COUNTBLANK(OFFSET(A$1,,,SUMPRODUCT(MAX(ROW(E$1:E62)*(E2=E$1:E62))))))</f>
        <v/>
      </c>
      <c r="K63" s="24" t="str">
        <f>IF(OR(E63="",E63="!!!",F63="NEW"),"",INDEX(J$1:J62,SUMPRODUCT(MAX(ROW(E$1:E62)*(E63=E$1:E62)))))</f>
        <v/>
      </c>
      <c r="L63" s="25"/>
    </row>
    <row r="65" spans="1:12" x14ac:dyDescent="0.2">
      <c r="A65" t="s">
        <v>851</v>
      </c>
    </row>
    <row r="66" spans="1:12" x14ac:dyDescent="0.2">
      <c r="A66" t="s">
        <v>852</v>
      </c>
      <c r="E66" s="20" t="str">
        <f>IF(D66="?OLD","!!!","")</f>
        <v/>
      </c>
      <c r="F66" s="21" t="str">
        <f>IF(OR(E66="",E66="!!!"),"",IF(NOT(ISNA(VLOOKUP(E66,E$1:E65,1,FALSE()))),"OLD",IF(AND(E66&lt;&gt;"",E66&lt;&gt;"!!!"),"NEW","")))</f>
        <v/>
      </c>
      <c r="G66" s="22" t="str">
        <f>IF(OR(E66="",E66="!!!"),"",IF(OR(J66=0,AND(J66=1,K66=1),AND(J66=1,I66="SBJ"),AND(J66=1,I66=0)),"?IN_FOCUS",IF(J66&lt;=2,"?ACTIVATED",IF(J66&lt;&gt;"","?FAMILIAR",IF(F66="NEW",IF(ISNA(VLOOKUP(E66,#REF!,1,FALSE())),"?TYPE_IDENTIFIABLE","?REFERENTIAL"),"_")))))</f>
        <v/>
      </c>
      <c r="H66" s="23" t="str">
        <f ca="1">IF(J66&lt;&gt;1,"",IF(I66="SBJ","CB","?"))</f>
        <v/>
      </c>
      <c r="I66" s="24" t="str">
        <f>IF(OR(E66="",E66="!!!",F66="NEW"),"",INDEX(B$2:B65,-1+SUMPRODUCT(MAX(ROW(E$2:E65)*(E66=E$2:E65)))))</f>
        <v/>
      </c>
      <c r="J66" s="24" t="str">
        <f ca="1">IF(OR(E66="",E66="!!!",F66="NEW"),"",COUNTBLANK(OFFSET(A$1,,,SUMPRODUCT(MAX(ROW(E$2:E66)*(E66=E$2:E66)))))-COUNTBLANK(OFFSET(A$1,,,SUMPRODUCT(MAX(ROW(E$1:E65)*(E2=E$1:E65))))))</f>
        <v/>
      </c>
      <c r="K66" s="24" t="str">
        <f>IF(OR(E66="",E66="!!!",F66="NEW"),"",INDEX(J$1:J65,SUMPRODUCT(MAX(ROW(E$1:E65)*(E66=E$1:E65)))))</f>
        <v/>
      </c>
      <c r="L66" s="25"/>
    </row>
    <row r="67" spans="1:12" x14ac:dyDescent="0.2">
      <c r="A67" t="s">
        <v>853</v>
      </c>
      <c r="B67" s="26" t="s">
        <v>819</v>
      </c>
      <c r="C67" s="26"/>
      <c r="D67" s="26"/>
      <c r="E67" s="20" t="str">
        <f>IF(D67="?OLD","!!!","")</f>
        <v/>
      </c>
      <c r="F67" s="21" t="str">
        <f>IF(OR(E67="",E67="!!!"),"",IF(NOT(ISNA(VLOOKUP(E67,E$1:E66,1,FALSE()))),"OLD",IF(AND(E67&lt;&gt;"",E67&lt;&gt;"!!!"),"NEW","")))</f>
        <v/>
      </c>
      <c r="G67" s="22" t="str">
        <f>IF(OR(E67="",E67="!!!"),"",IF(OR(J67=0,AND(J67=1,K67=1),AND(J67=1,I67="SBJ"),AND(J67=1,I67=0)),"?IN_FOCUS",IF(J67&lt;=2,"?ACTIVATED",IF(J67&lt;&gt;"","?FAMILIAR",IF(F67="NEW",IF(ISNA(VLOOKUP(E67,#REF!,1,FALSE())),"?TYPE_IDENTIFIABLE","?REFERENTIAL"),"_")))))</f>
        <v/>
      </c>
      <c r="H67" s="23" t="str">
        <f ca="1">IF(J67&lt;&gt;1,"",IF(I67="SBJ","CB","?"))</f>
        <v/>
      </c>
      <c r="I67" s="24" t="str">
        <f>IF(OR(E67="",E67="!!!",F67="NEW"),"",INDEX(B$2:B66,-1+SUMPRODUCT(MAX(ROW(E$2:E66)*(E67=E$2:E66)))))</f>
        <v/>
      </c>
      <c r="J67" s="24" t="str">
        <f ca="1">IF(OR(E67="",E67="!!!",F67="NEW"),"",COUNTBLANK(OFFSET(A$1,,,SUMPRODUCT(MAX(ROW(E$2:E67)*(E67=E$2:E67)))))-COUNTBLANK(OFFSET(A$1,,,SUMPRODUCT(MAX(ROW(E$1:E66)*(E2=E$1:E66))))))</f>
        <v/>
      </c>
      <c r="K67" s="24" t="str">
        <f>IF(OR(E67="",E67="!!!",F67="NEW"),"",INDEX(J$1:J66,SUMPRODUCT(MAX(ROW(E$1:E66)*(E67=E$1:E66)))))</f>
        <v/>
      </c>
      <c r="L67" s="25"/>
    </row>
    <row r="68" spans="1:12" x14ac:dyDescent="0.2">
      <c r="A68" t="s">
        <v>855</v>
      </c>
      <c r="E68" s="20" t="str">
        <f>IF(D68="?OLD","!!!","")</f>
        <v/>
      </c>
      <c r="F68" s="21" t="str">
        <f>IF(OR(E68="",E68="!!!"),"",IF(NOT(ISNA(VLOOKUP(E68,E$1:E67,1,FALSE()))),"OLD",IF(AND(E68&lt;&gt;"",E68&lt;&gt;"!!!"),"NEW","")))</f>
        <v/>
      </c>
      <c r="G68" s="22" t="str">
        <f>IF(OR(E68="",E68="!!!"),"",IF(OR(J68=0,AND(J68=1,K68=1),AND(J68=1,I68="SBJ"),AND(J68=1,I68=0)),"?IN_FOCUS",IF(J68&lt;=2,"?ACTIVATED",IF(J68&lt;&gt;"","?FAMILIAR",IF(F68="NEW",IF(ISNA(VLOOKUP(E68,#REF!,1,FALSE())),"?TYPE_IDENTIFIABLE","?REFERENTIAL"),"_")))))</f>
        <v/>
      </c>
      <c r="H68" s="23" t="str">
        <f ca="1">IF(J68&lt;&gt;1,"",IF(I68="SBJ","CB","?"))</f>
        <v/>
      </c>
      <c r="I68" s="24" t="str">
        <f>IF(OR(E68="",E68="!!!",F68="NEW"),"",INDEX(B$2:B67,-1+SUMPRODUCT(MAX(ROW(E$2:E67)*(E68=E$2:E67)))))</f>
        <v/>
      </c>
      <c r="J68" s="24" t="str">
        <f ca="1">IF(OR(E68="",E68="!!!",F68="NEW"),"",COUNTBLANK(OFFSET(A$1,,,SUMPRODUCT(MAX(ROW(E$2:E68)*(E68=E$2:E68)))))-COUNTBLANK(OFFSET(A$1,,,SUMPRODUCT(MAX(ROW(E$1:E67)*(E2=E$1:E67))))))</f>
        <v/>
      </c>
      <c r="K68" s="24" t="str">
        <f>IF(OR(E68="",E68="!!!",F68="NEW"),"",INDEX(J$1:J67,SUMPRODUCT(MAX(ROW(E$1:E67)*(E68=E$1:E67)))))</f>
        <v/>
      </c>
      <c r="L68" s="25"/>
    </row>
    <row r="70" spans="1:12" x14ac:dyDescent="0.2">
      <c r="A70" t="s">
        <v>856</v>
      </c>
    </row>
    <row r="71" spans="1:12" x14ac:dyDescent="0.2">
      <c r="A71" t="s">
        <v>857</v>
      </c>
      <c r="E71" s="20" t="str">
        <f t="shared" ref="E71:E86" si="8">IF(D71="?OLD","!!!","")</f>
        <v/>
      </c>
      <c r="F71" s="21" t="str">
        <f>IF(OR(E71="",E71="!!!"),"",IF(NOT(ISNA(VLOOKUP(E71,E$1:E70,1,FALSE()))),"OLD",IF(AND(E71&lt;&gt;"",E71&lt;&gt;"!!!"),"NEW","")))</f>
        <v/>
      </c>
      <c r="G71" s="22" t="str">
        <f>IF(OR(E71="",E71="!!!"),"",IF(OR(J71=0,AND(J71=1,K71=1),AND(J71=1,I71="SBJ"),AND(J71=1,I71=0)),"?IN_FOCUS",IF(J71&lt;=2,"?ACTIVATED",IF(J71&lt;&gt;"","?FAMILIAR",IF(F71="NEW",IF(ISNA(VLOOKUP(E71,#REF!,1,FALSE())),"?TYPE_IDENTIFIABLE","?REFERENTIAL"),"_")))))</f>
        <v/>
      </c>
      <c r="H71" s="23" t="str">
        <f t="shared" ref="H71:H86" ca="1" si="9">IF(J71&lt;&gt;1,"",IF(I71="SBJ","CB","?"))</f>
        <v/>
      </c>
      <c r="I71" s="24" t="str">
        <f>IF(OR(E71="",E71="!!!",F71="NEW"),"",INDEX(B$2:B70,-1+SUMPRODUCT(MAX(ROW(E$2:E70)*(E71=E$2:E70)))))</f>
        <v/>
      </c>
      <c r="J71" s="24" t="str">
        <f ca="1">IF(OR(E71="",E71="!!!",F71="NEW"),"",COUNTBLANK(OFFSET(A$1,,,SUMPRODUCT(MAX(ROW(E$2:E71)*(E71=E$2:E71)))))-COUNTBLANK(OFFSET(A$1,,,SUMPRODUCT(MAX(ROW(E$1:E70)*(E2=E$1:E70))))))</f>
        <v/>
      </c>
      <c r="K71" s="24" t="str">
        <f>IF(OR(E71="",E71="!!!",F71="NEW"),"",INDEX(J$1:J70,SUMPRODUCT(MAX(ROW(E$1:E70)*(E71=E$1:E70)))))</f>
        <v/>
      </c>
      <c r="L71" s="25"/>
    </row>
    <row r="72" spans="1:12" x14ac:dyDescent="0.2">
      <c r="A72" t="s">
        <v>745</v>
      </c>
      <c r="E72" s="20" t="str">
        <f t="shared" si="8"/>
        <v/>
      </c>
      <c r="F72" s="21" t="str">
        <f>IF(OR(E72="",E72="!!!"),"",IF(NOT(ISNA(VLOOKUP(E72,E$1:E71,1,FALSE()))),"OLD",IF(AND(E72&lt;&gt;"",E72&lt;&gt;"!!!"),"NEW","")))</f>
        <v/>
      </c>
      <c r="G72" s="22" t="str">
        <f>IF(OR(E72="",E72="!!!"),"",IF(OR(J72=0,AND(J72=1,K72=1),AND(J72=1,I72="SBJ"),AND(J72=1,I72=0)),"?IN_FOCUS",IF(J72&lt;=2,"?ACTIVATED",IF(J72&lt;&gt;"","?FAMILIAR",IF(F72="NEW",IF(ISNA(VLOOKUP(E72,#REF!,1,FALSE())),"?TYPE_IDENTIFIABLE","?REFERENTIAL"),"_")))))</f>
        <v/>
      </c>
      <c r="H72" s="23" t="str">
        <f t="shared" ca="1" si="9"/>
        <v/>
      </c>
      <c r="I72" s="24" t="str">
        <f>IF(OR(E72="",E72="!!!",F72="NEW"),"",INDEX(B$2:B71,-1+SUMPRODUCT(MAX(ROW(E$2:E71)*(E72=E$2:E71)))))</f>
        <v/>
      </c>
      <c r="J72" s="24" t="str">
        <f ca="1">IF(OR(E72="",E72="!!!",F72="NEW"),"",COUNTBLANK(OFFSET(A$1,,,SUMPRODUCT(MAX(ROW(E$2:E72)*(E72=E$2:E72)))))-COUNTBLANK(OFFSET(A$1,,,SUMPRODUCT(MAX(ROW(E$1:E71)*(E2=E$1:E71))))))</f>
        <v/>
      </c>
      <c r="K72" s="24" t="str">
        <f>IF(OR(E72="",E72="!!!",F72="NEW"),"",INDEX(J$1:J71,SUMPRODUCT(MAX(ROW(E$1:E71)*(E72=E$1:E71)))))</f>
        <v/>
      </c>
      <c r="L72" s="25"/>
    </row>
    <row r="73" spans="1:12" x14ac:dyDescent="0.2">
      <c r="A73" t="s">
        <v>802</v>
      </c>
      <c r="E73" s="20" t="str">
        <f t="shared" si="8"/>
        <v/>
      </c>
      <c r="F73" s="21" t="str">
        <f>IF(OR(E73="",E73="!!!"),"",IF(NOT(ISNA(VLOOKUP(E73,E$1:E72,1,FALSE()))),"OLD",IF(AND(E73&lt;&gt;"",E73&lt;&gt;"!!!"),"NEW","")))</f>
        <v/>
      </c>
      <c r="G73" s="22" t="str">
        <f>IF(OR(E73="",E73="!!!"),"",IF(OR(J73=0,AND(J73=1,K73=1),AND(J73=1,I73="SBJ"),AND(J73=1,I73=0)),"?IN_FOCUS",IF(J73&lt;=2,"?ACTIVATED",IF(J73&lt;&gt;"","?FAMILIAR",IF(F73="NEW",IF(ISNA(VLOOKUP(E73,#REF!,1,FALSE())),"?TYPE_IDENTIFIABLE","?REFERENTIAL"),"_")))))</f>
        <v/>
      </c>
      <c r="H73" s="23" t="str">
        <f t="shared" ca="1" si="9"/>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5"/>
    </row>
    <row r="74" spans="1:12" x14ac:dyDescent="0.2">
      <c r="A74" t="s">
        <v>830</v>
      </c>
      <c r="B74" s="26" t="s">
        <v>804</v>
      </c>
      <c r="C74" s="26" t="s">
        <v>805</v>
      </c>
      <c r="D74" s="26" t="s">
        <v>806</v>
      </c>
      <c r="E74" s="20" t="s">
        <v>30</v>
      </c>
      <c r="F74" s="21" t="str">
        <f>IF(OR(E74="",E74="!!!"),"",IF(NOT(ISNA(VLOOKUP(E74,E$1:E73,1,FALSE()))),"OLD",IF(AND(E74&lt;&gt;"",E74&lt;&gt;"!!!"),"NEW","")))</f>
        <v>OLD</v>
      </c>
      <c r="G74" s="22" t="s">
        <v>1823</v>
      </c>
      <c r="H74" s="23" t="str">
        <f t="shared" ca="1" si="9"/>
        <v/>
      </c>
      <c r="I74" s="24" t="str">
        <f>IF(OR(E74="",E74="!!!",F74="NEW"),"",INDEX(B$2:B73,-1+SUMPRODUCT(MAX(ROW(E$2:E73)*(E74=E$2:E73)))))</f>
        <v>SBJ</v>
      </c>
      <c r="J74" s="24">
        <f ca="1">IF(OR(E74="",E74="!!!",F74="NEW"),"",COUNTBLANK(OFFSET(A$1,,,SUMPRODUCT(MAX(ROW(E$2:E74)*(E74=E$2:E74)))))-COUNTBLANK(OFFSET(A$1,,,SUMPRODUCT(MAX(ROW(E$1:E73)*(E2=E$1:E73))))))</f>
        <v>0</v>
      </c>
      <c r="K74" s="24" t="str">
        <f ca="1">IF(OR(E74="",E74="!!!",F74="NEW"),"",INDEX(J$1:J73,SUMPRODUCT(MAX(ROW(E$1:E73)*(E74=E$1:E73)))))</f>
        <v/>
      </c>
      <c r="L74" s="25"/>
    </row>
    <row r="75" spans="1:12" x14ac:dyDescent="0.2">
      <c r="A75" t="s">
        <v>831</v>
      </c>
      <c r="E75" s="20" t="str">
        <f t="shared" si="8"/>
        <v/>
      </c>
      <c r="F75" s="21" t="str">
        <f>IF(OR(E75="",E75="!!!"),"",IF(NOT(ISNA(VLOOKUP(E75,E$1:E74,1,FALSE()))),"OLD",IF(AND(E75&lt;&gt;"",E75&lt;&gt;"!!!"),"NEW","")))</f>
        <v/>
      </c>
      <c r="G75" s="22" t="str">
        <f>IF(OR(E75="",E75="!!!"),"",IF(OR(J75=0,AND(J75=1,K75=1),AND(J75=1,I75="SBJ"),AND(J75=1,I75=0)),"?IN_FOCUS",IF(J75&lt;=2,"?ACTIVATED",IF(J75&lt;&gt;"","?FAMILIAR",IF(F75="NEW",IF(ISNA(VLOOKUP(E75,#REF!,1,FALSE())),"?TYPE_IDENTIFIABLE","?REFERENTIAL"),"_")))))</f>
        <v/>
      </c>
      <c r="H75" s="23" t="str">
        <f t="shared" ca="1" si="9"/>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5"/>
    </row>
    <row r="76" spans="1:12" x14ac:dyDescent="0.2">
      <c r="A76" t="s">
        <v>530</v>
      </c>
      <c r="E76" s="20" t="str">
        <f t="shared" si="8"/>
        <v/>
      </c>
      <c r="F76" s="21" t="str">
        <f>IF(OR(E76="",E76="!!!"),"",IF(NOT(ISNA(VLOOKUP(E76,E$1:E75,1,FALSE()))),"OLD",IF(AND(E76&lt;&gt;"",E76&lt;&gt;"!!!"),"NEW","")))</f>
        <v/>
      </c>
      <c r="G76" s="22" t="str">
        <f>IF(OR(E76="",E76="!!!"),"",IF(OR(J76=0,AND(J76=1,K76=1),AND(J76=1,I76="SBJ"),AND(J76=1,I76=0)),"?IN_FOCUS",IF(J76&lt;=2,"?ACTIVATED",IF(J76&lt;&gt;"","?FAMILIAR",IF(F76="NEW",IF(ISNA(VLOOKUP(E76,#REF!,1,FALSE())),"?TYPE_IDENTIFIABLE","?REFERENTIAL"),"_")))))</f>
        <v/>
      </c>
      <c r="H76" s="23" t="str">
        <f t="shared" ca="1" si="9"/>
        <v/>
      </c>
      <c r="I76" s="24" t="str">
        <f>IF(OR(E76="",E76="!!!",F76="NEW"),"",INDEX(B$2:B75,-1+SUMPRODUCT(MAX(ROW(E$2:E75)*(E76=E$2:E75)))))</f>
        <v/>
      </c>
      <c r="J76" s="24" t="str">
        <f ca="1">IF(OR(E76="",E76="!!!",F76="NEW"),"",COUNTBLANK(OFFSET(A$1,,,SUMPRODUCT(MAX(ROW(E$2:E76)*(E76=E$2:E76)))))-COUNTBLANK(OFFSET(A$1,,,SUMPRODUCT(MAX(ROW(E$1:E75)*(E2=E$1:E75))))))</f>
        <v/>
      </c>
      <c r="K76" s="24" t="str">
        <f>IF(OR(E76="",E76="!!!",F76="NEW"),"",INDEX(J$1:J75,SUMPRODUCT(MAX(ROW(E$1:E75)*(E76=E$1:E75)))))</f>
        <v/>
      </c>
      <c r="L76" s="25"/>
    </row>
    <row r="77" spans="1:12" x14ac:dyDescent="0.2">
      <c r="A77" t="s">
        <v>16</v>
      </c>
      <c r="E77" s="20" t="str">
        <f t="shared" si="8"/>
        <v/>
      </c>
      <c r="F77" s="21" t="str">
        <f>IF(OR(E77="",E77="!!!"),"",IF(NOT(ISNA(VLOOKUP(E77,E$1:E76,1,FALSE()))),"OLD",IF(AND(E77&lt;&gt;"",E77&lt;&gt;"!!!"),"NEW","")))</f>
        <v/>
      </c>
      <c r="G77" s="22" t="str">
        <f>IF(OR(E77="",E77="!!!"),"",IF(OR(J77=0,AND(J77=1,K77=1),AND(J77=1,I77="SBJ"),AND(J77=1,I77=0)),"?IN_FOCUS",IF(J77&lt;=2,"?ACTIVATED",IF(J77&lt;&gt;"","?FAMILIAR",IF(F77="NEW",IF(ISNA(VLOOKUP(E77,#REF!,1,FALSE())),"?TYPE_IDENTIFIABLE","?REFERENTIAL"),"_")))))</f>
        <v/>
      </c>
      <c r="H77" s="23" t="str">
        <f t="shared" ca="1" si="9"/>
        <v/>
      </c>
      <c r="I77" s="24" t="str">
        <f>IF(OR(E77="",E77="!!!",F77="NEW"),"",INDEX(B$2:B76,-1+SUMPRODUCT(MAX(ROW(E$2:E76)*(E77=E$2:E76)))))</f>
        <v/>
      </c>
      <c r="J77" s="24" t="str">
        <f ca="1">IF(OR(E77="",E77="!!!",F77="NEW"),"",COUNTBLANK(OFFSET(A$1,,,SUMPRODUCT(MAX(ROW(E$2:E77)*(E77=E$2:E77)))))-COUNTBLANK(OFFSET(A$1,,,SUMPRODUCT(MAX(ROW(E$1:E76)*(E2=E$1:E76))))))</f>
        <v/>
      </c>
      <c r="K77" s="24" t="str">
        <f>IF(OR(E77="",E77="!!!",F77="NEW"),"",INDEX(J$1:J76,SUMPRODUCT(MAX(ROW(E$1:E76)*(E77=E$1:E76)))))</f>
        <v/>
      </c>
      <c r="L77" s="25"/>
    </row>
    <row r="78" spans="1:12" x14ac:dyDescent="0.2">
      <c r="A78" t="s">
        <v>858</v>
      </c>
      <c r="E78" s="20" t="str">
        <f t="shared" si="8"/>
        <v/>
      </c>
      <c r="F78" s="21" t="str">
        <f>IF(OR(E78="",E78="!!!"),"",IF(NOT(ISNA(VLOOKUP(E78,E$1:E77,1,FALSE()))),"OLD",IF(AND(E78&lt;&gt;"",E78&lt;&gt;"!!!"),"NEW","")))</f>
        <v/>
      </c>
      <c r="G78" s="22" t="str">
        <f>IF(OR(E78="",E78="!!!"),"",IF(OR(J78=0,AND(J78=1,K78=1),AND(J78=1,I78="SBJ"),AND(J78=1,I78=0)),"?IN_FOCUS",IF(J78&lt;=2,"?ACTIVATED",IF(J78&lt;&gt;"","?FAMILIAR",IF(F78="NEW",IF(ISNA(VLOOKUP(E78,#REF!,1,FALSE())),"?TYPE_IDENTIFIABLE","?REFERENTIAL"),"_")))))</f>
        <v/>
      </c>
      <c r="H78" s="23" t="str">
        <f t="shared" ca="1" si="9"/>
        <v/>
      </c>
      <c r="I78" s="24" t="str">
        <f>IF(OR(E78="",E78="!!!",F78="NEW"),"",INDEX(B$2:B77,-1+SUMPRODUCT(MAX(ROW(E$2:E77)*(E78=E$2:E77)))))</f>
        <v/>
      </c>
      <c r="J78" s="24" t="str">
        <f ca="1">IF(OR(E78="",E78="!!!",F78="NEW"),"",COUNTBLANK(OFFSET(A$1,,,SUMPRODUCT(MAX(ROW(E$2:E78)*(E78=E$2:E78)))))-COUNTBLANK(OFFSET(A$1,,,SUMPRODUCT(MAX(ROW(E$1:E77)*(E2=E$1:E77))))))</f>
        <v/>
      </c>
      <c r="K78" s="24" t="str">
        <f>IF(OR(E78="",E78="!!!",F78="NEW"),"",INDEX(J$1:J77,SUMPRODUCT(MAX(ROW(E$1:E77)*(E78=E$1:E77)))))</f>
        <v/>
      </c>
      <c r="L78" s="25"/>
    </row>
    <row r="79" spans="1:12" x14ac:dyDescent="0.2">
      <c r="A79" t="s">
        <v>859</v>
      </c>
      <c r="E79" s="20" t="str">
        <f t="shared" si="8"/>
        <v/>
      </c>
      <c r="F79" s="21" t="str">
        <f>IF(OR(E79="",E79="!!!"),"",IF(NOT(ISNA(VLOOKUP(E79,E$1:E78,1,FALSE()))),"OLD",IF(AND(E79&lt;&gt;"",E79&lt;&gt;"!!!"),"NEW","")))</f>
        <v/>
      </c>
      <c r="G79" s="22" t="str">
        <f>IF(OR(E79="",E79="!!!"),"",IF(OR(J79=0,AND(J79=1,K79=1),AND(J79=1,I79="SBJ"),AND(J79=1,I79=0)),"?IN_FOCUS",IF(J79&lt;=2,"?ACTIVATED",IF(J79&lt;&gt;"","?FAMILIAR",IF(F79="NEW",IF(ISNA(VLOOKUP(E79,#REF!,1,FALSE())),"?TYPE_IDENTIFIABLE","?REFERENTIAL"),"_")))))</f>
        <v/>
      </c>
      <c r="H79" s="23" t="str">
        <f t="shared" ca="1" si="9"/>
        <v/>
      </c>
      <c r="I79" s="24" t="str">
        <f>IF(OR(E79="",E79="!!!",F79="NEW"),"",INDEX(B$2:B78,-1+SUMPRODUCT(MAX(ROW(E$2:E78)*(E79=E$2:E78)))))</f>
        <v/>
      </c>
      <c r="J79" s="24" t="str">
        <f ca="1">IF(OR(E79="",E79="!!!",F79="NEW"),"",COUNTBLANK(OFFSET(A$1,,,SUMPRODUCT(MAX(ROW(E$2:E79)*(E79=E$2:E79)))))-COUNTBLANK(OFFSET(A$1,,,SUMPRODUCT(MAX(ROW(E$1:E78)*(E2=E$1:E78))))))</f>
        <v/>
      </c>
      <c r="K79" s="24" t="str">
        <f>IF(OR(E79="",E79="!!!",F79="NEW"),"",INDEX(J$1:J78,SUMPRODUCT(MAX(ROW(E$1:E78)*(E79=E$1:E78)))))</f>
        <v/>
      </c>
      <c r="L79" s="25"/>
    </row>
    <row r="80" spans="1:12" x14ac:dyDescent="0.2">
      <c r="A80" t="s">
        <v>845</v>
      </c>
      <c r="E80" s="20" t="str">
        <f t="shared" si="8"/>
        <v/>
      </c>
      <c r="F80" s="21" t="str">
        <f>IF(OR(E80="",E80="!!!"),"",IF(NOT(ISNA(VLOOKUP(E80,E$1:E79,1,FALSE()))),"OLD",IF(AND(E80&lt;&gt;"",E80&lt;&gt;"!!!"),"NEW","")))</f>
        <v/>
      </c>
      <c r="G80" s="22" t="str">
        <f>IF(OR(E80="",E80="!!!"),"",IF(OR(J80=0,AND(J80=1,K80=1),AND(J80=1,I80="SBJ"),AND(J80=1,I80=0)),"?IN_FOCUS",IF(J80&lt;=2,"?ACTIVATED",IF(J80&lt;&gt;"","?FAMILIAR",IF(F80="NEW",IF(ISNA(VLOOKUP(E80,#REF!,1,FALSE())),"?TYPE_IDENTIFIABLE","?REFERENTIAL"),"_")))))</f>
        <v/>
      </c>
      <c r="H80" s="23" t="str">
        <f t="shared" ca="1" si="9"/>
        <v/>
      </c>
      <c r="I80" s="24" t="str">
        <f>IF(OR(E80="",E80="!!!",F80="NEW"),"",INDEX(B$2:B79,-1+SUMPRODUCT(MAX(ROW(E$2:E79)*(E80=E$2:E79)))))</f>
        <v/>
      </c>
      <c r="J80" s="24" t="str">
        <f ca="1">IF(OR(E80="",E80="!!!",F80="NEW"),"",COUNTBLANK(OFFSET(A$1,,,SUMPRODUCT(MAX(ROW(E$2:E80)*(E80=E$2:E80)))))-COUNTBLANK(OFFSET(A$1,,,SUMPRODUCT(MAX(ROW(E$1:E79)*(E2=E$1:E79))))))</f>
        <v/>
      </c>
      <c r="K80" s="24" t="str">
        <f>IF(OR(E80="",E80="!!!",F80="NEW"),"",INDEX(J$1:J79,SUMPRODUCT(MAX(ROW(E$1:E79)*(E80=E$1:E79)))))</f>
        <v/>
      </c>
      <c r="L80" s="25"/>
    </row>
    <row r="81" spans="1:12" x14ac:dyDescent="0.2">
      <c r="A81" t="s">
        <v>860</v>
      </c>
      <c r="E81" s="20" t="str">
        <f t="shared" si="8"/>
        <v/>
      </c>
      <c r="F81" s="21" t="str">
        <f>IF(OR(E81="",E81="!!!"),"",IF(NOT(ISNA(VLOOKUP(E81,E$1:E80,1,FALSE()))),"OLD",IF(AND(E81&lt;&gt;"",E81&lt;&gt;"!!!"),"NEW","")))</f>
        <v/>
      </c>
      <c r="G81" s="22" t="str">
        <f>IF(OR(E81="",E81="!!!"),"",IF(OR(J81=0,AND(J81=1,K81=1),AND(J81=1,I81="SBJ"),AND(J81=1,I81=0)),"?IN_FOCUS",IF(J81&lt;=2,"?ACTIVATED",IF(J81&lt;&gt;"","?FAMILIAR",IF(F81="NEW",IF(ISNA(VLOOKUP(E81,#REF!,1,FALSE())),"?TYPE_IDENTIFIABLE","?REFERENTIAL"),"_")))))</f>
        <v/>
      </c>
      <c r="H81" s="23" t="str">
        <f t="shared" ca="1" si="9"/>
        <v/>
      </c>
      <c r="I81" s="24" t="str">
        <f>IF(OR(E81="",E81="!!!",F81="NEW"),"",INDEX(B$2:B80,-1+SUMPRODUCT(MAX(ROW(E$2:E80)*(E81=E$2:E80)))))</f>
        <v/>
      </c>
      <c r="J81" s="24" t="str">
        <f ca="1">IF(OR(E81="",E81="!!!",F81="NEW"),"",COUNTBLANK(OFFSET(A$1,,,SUMPRODUCT(MAX(ROW(E$2:E81)*(E81=E$2:E81)))))-COUNTBLANK(OFFSET(A$1,,,SUMPRODUCT(MAX(ROW(E$1:E80)*(E2=E$1:E80))))))</f>
        <v/>
      </c>
      <c r="K81" s="24" t="str">
        <f>IF(OR(E81="",E81="!!!",F81="NEW"),"",INDEX(J$1:J80,SUMPRODUCT(MAX(ROW(E$1:E80)*(E81=E$1:E80)))))</f>
        <v/>
      </c>
      <c r="L81" s="25"/>
    </row>
    <row r="82" spans="1:12" x14ac:dyDescent="0.2">
      <c r="A82" t="s">
        <v>861</v>
      </c>
      <c r="E82" s="20" t="str">
        <f t="shared" si="8"/>
        <v/>
      </c>
      <c r="F82" s="21" t="str">
        <f>IF(OR(E82="",E82="!!!"),"",IF(NOT(ISNA(VLOOKUP(E82,E$1:E81,1,FALSE()))),"OLD",IF(AND(E82&lt;&gt;"",E82&lt;&gt;"!!!"),"NEW","")))</f>
        <v/>
      </c>
      <c r="G82" s="22" t="str">
        <f>IF(OR(E82="",E82="!!!"),"",IF(OR(J82=0,AND(J82=1,K82=1),AND(J82=1,I82="SBJ"),AND(J82=1,I82=0)),"?IN_FOCUS",IF(J82&lt;=2,"?ACTIVATED",IF(J82&lt;&gt;"","?FAMILIAR",IF(F82="NEW",IF(ISNA(VLOOKUP(E82,#REF!,1,FALSE())),"?TYPE_IDENTIFIABLE","?REFERENTIAL"),"_")))))</f>
        <v/>
      </c>
      <c r="H82" s="23" t="str">
        <f t="shared" ca="1" si="9"/>
        <v/>
      </c>
      <c r="I82" s="24" t="str">
        <f>IF(OR(E82="",E82="!!!",F82="NEW"),"",INDEX(B$2:B81,-1+SUMPRODUCT(MAX(ROW(E$2:E81)*(E82=E$2:E81)))))</f>
        <v/>
      </c>
      <c r="J82" s="24" t="str">
        <f ca="1">IF(OR(E82="",E82="!!!",F82="NEW"),"",COUNTBLANK(OFFSET(A$1,,,SUMPRODUCT(MAX(ROW(E$2:E82)*(E82=E$2:E82)))))-COUNTBLANK(OFFSET(A$1,,,SUMPRODUCT(MAX(ROW(E$1:E81)*(E2=E$1:E81))))))</f>
        <v/>
      </c>
      <c r="K82" s="24" t="str">
        <f>IF(OR(E82="",E82="!!!",F82="NEW"),"",INDEX(J$1:J81,SUMPRODUCT(MAX(ROW(E$1:E81)*(E82=E$1:E81)))))</f>
        <v/>
      </c>
      <c r="L82" s="25"/>
    </row>
    <row r="83" spans="1:12" x14ac:dyDescent="0.2">
      <c r="A83" t="s">
        <v>862</v>
      </c>
      <c r="B83" s="26" t="s">
        <v>813</v>
      </c>
      <c r="C83" s="26" t="s">
        <v>847</v>
      </c>
      <c r="D83" s="26" t="s">
        <v>806</v>
      </c>
      <c r="E83" s="20" t="s">
        <v>862</v>
      </c>
      <c r="F83" s="21" t="str">
        <f>IF(OR(E83="",E83="!!!"),"",IF(NOT(ISNA(VLOOKUP(E83,E$1:E82,1,FALSE()))),"OLD",IF(AND(E83&lt;&gt;"",E83&lt;&gt;"!!!"),"NEW","")))</f>
        <v>NEW</v>
      </c>
      <c r="G83" s="22" t="s">
        <v>1824</v>
      </c>
      <c r="H83" s="23" t="str">
        <f t="shared" ca="1" si="9"/>
        <v/>
      </c>
      <c r="I83" s="24" t="str">
        <f>IF(OR(E83="",E83="!!!",F83="NEW"),"",INDEX(B$2:B82,-1+SUMPRODUCT(MAX(ROW(E$2:E82)*(E83=E$2:E82)))))</f>
        <v/>
      </c>
      <c r="J83" s="24" t="str">
        <f ca="1">IF(OR(E83="",E83="!!!",F83="NEW"),"",COUNTBLANK(OFFSET(A$1,,,SUMPRODUCT(MAX(ROW(E$2:E83)*(E83=E$2:E83)))))-COUNTBLANK(OFFSET(A$1,,,SUMPRODUCT(MAX(ROW(E$1:E82)*(E2=E$1:E82))))))</f>
        <v/>
      </c>
      <c r="K83" s="24" t="str">
        <f>IF(OR(E83="",E83="!!!",F83="NEW"),"",INDEX(J$1:J82,SUMPRODUCT(MAX(ROW(E$1:E82)*(E83=E$1:E82)))))</f>
        <v/>
      </c>
      <c r="L83" s="25"/>
    </row>
    <row r="84" spans="1:12" x14ac:dyDescent="0.2">
      <c r="A84" t="s">
        <v>812</v>
      </c>
      <c r="E84" s="20" t="str">
        <f t="shared" si="8"/>
        <v/>
      </c>
      <c r="F84" s="21" t="str">
        <f>IF(OR(E84="",E84="!!!"),"",IF(NOT(ISNA(VLOOKUP(E84,E$1:E83,1,FALSE()))),"OLD",IF(AND(E84&lt;&gt;"",E84&lt;&gt;"!!!"),"NEW","")))</f>
        <v/>
      </c>
      <c r="G84" s="22" t="str">
        <f>IF(OR(E84="",E84="!!!"),"",IF(OR(J84=0,AND(J84=1,K84=1),AND(J84=1,I84="SBJ"),AND(J84=1,I84=0)),"?IN_FOCUS",IF(J84&lt;=2,"?ACTIVATED",IF(J84&lt;&gt;"","?FAMILIAR",IF(F84="NEW",IF(ISNA(VLOOKUP(E84,#REF!,1,FALSE())),"?TYPE_IDENTIFIABLE","?REFERENTIAL"),"_")))))</f>
        <v/>
      </c>
      <c r="H84" s="23" t="str">
        <f t="shared" ca="1" si="9"/>
        <v/>
      </c>
      <c r="I84" s="24" t="str">
        <f>IF(OR(E84="",E84="!!!",F84="NEW"),"",INDEX(B$2:B83,-1+SUMPRODUCT(MAX(ROW(E$2:E83)*(E84=E$2:E83)))))</f>
        <v/>
      </c>
      <c r="J84" s="24" t="str">
        <f ca="1">IF(OR(E84="",E84="!!!",F84="NEW"),"",COUNTBLANK(OFFSET(A$1,,,SUMPRODUCT(MAX(ROW(E$2:E84)*(E84=E$2:E84)))))-COUNTBLANK(OFFSET(A$1,,,SUMPRODUCT(MAX(ROW(E$1:E83)*(E2=E$1:E83))))))</f>
        <v/>
      </c>
      <c r="K84" s="24" t="str">
        <f>IF(OR(E84="",E84="!!!",F84="NEW"),"",INDEX(J$1:J83,SUMPRODUCT(MAX(ROW(E$1:E83)*(E84=E$1:E83)))))</f>
        <v/>
      </c>
      <c r="L84" s="25"/>
    </row>
    <row r="85" spans="1:12" x14ac:dyDescent="0.2">
      <c r="A85" t="s">
        <v>863</v>
      </c>
      <c r="B85" s="26" t="s">
        <v>864</v>
      </c>
      <c r="C85" s="26" t="s">
        <v>814</v>
      </c>
      <c r="E85" s="20" t="str">
        <f t="shared" si="8"/>
        <v/>
      </c>
      <c r="F85" s="21" t="str">
        <f>IF(OR(E85="",E85="!!!"),"",IF(NOT(ISNA(VLOOKUP(E85,E$1:E84,1,FALSE()))),"OLD",IF(AND(E85&lt;&gt;"",E85&lt;&gt;"!!!"),"NEW","")))</f>
        <v/>
      </c>
      <c r="G85" s="22" t="str">
        <f>IF(OR(E85="",E85="!!!"),"",IF(OR(J85=0,AND(J85=1,K85=1),AND(J85=1,I85="SBJ"),AND(J85=1,I85=0)),"?IN_FOCUS",IF(J85&lt;=2,"?ACTIVATED",IF(J85&lt;&gt;"","?FAMILIAR",IF(F85="NEW",IF(ISNA(VLOOKUP(E85,#REF!,1,FALSE())),"?TYPE_IDENTIFIABLE","?REFERENTIAL"),"_")))))</f>
        <v/>
      </c>
      <c r="H85" s="23" t="str">
        <f t="shared" ca="1" si="9"/>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5"/>
    </row>
    <row r="86" spans="1:12" x14ac:dyDescent="0.2">
      <c r="A86" t="s">
        <v>821</v>
      </c>
      <c r="E86" s="20" t="str">
        <f t="shared" si="8"/>
        <v/>
      </c>
      <c r="F86" s="21"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9"/>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5"/>
    </row>
    <row r="88" spans="1:12" x14ac:dyDescent="0.2">
      <c r="A88" t="s">
        <v>865</v>
      </c>
    </row>
    <row r="89" spans="1:12" x14ac:dyDescent="0.2">
      <c r="A89" t="s">
        <v>801</v>
      </c>
      <c r="E89" s="20" t="str">
        <f t="shared" ref="E89:E97" si="10">IF(D89="?OLD","!!!","")</f>
        <v/>
      </c>
      <c r="F89" s="21" t="str">
        <f>IF(OR(E89="",E89="!!!"),"",IF(NOT(ISNA(VLOOKUP(E89,E$1:E88,1,FALSE()))),"OLD",IF(AND(E89&lt;&gt;"",E89&lt;&gt;"!!!"),"NEW","")))</f>
        <v/>
      </c>
      <c r="G89" s="22" t="str">
        <f>IF(OR(E89="",E89="!!!"),"",IF(OR(J89=0,AND(J89=1,K89=1),AND(J89=1,I89="SBJ"),AND(J89=1,I89=0)),"?IN_FOCUS",IF(J89&lt;=2,"?ACTIVATED",IF(J89&lt;&gt;"","?FAMILIAR",IF(F89="NEW",IF(ISNA(VLOOKUP(E89,#REF!,1,FALSE())),"?TYPE_IDENTIFIABLE","?REFERENTIAL"),"_")))))</f>
        <v/>
      </c>
      <c r="H89" s="23" t="str">
        <f t="shared" ref="H89:H97" ca="1" si="11">IF(J89&lt;&gt;1,"",IF(I89="SBJ","CB","?"))</f>
        <v/>
      </c>
      <c r="I89" s="24" t="str">
        <f>IF(OR(E89="",E89="!!!",F89="NEW"),"",INDEX(B$2:B88,-1+SUMPRODUCT(MAX(ROW(E$2:E88)*(E89=E$2:E88)))))</f>
        <v/>
      </c>
      <c r="J89" s="24" t="str">
        <f ca="1">IF(OR(E89="",E89="!!!",F89="NEW"),"",COUNTBLANK(OFFSET(A$1,,,SUMPRODUCT(MAX(ROW(E$2:E89)*(E89=E$2:E89)))))-COUNTBLANK(OFFSET(A$1,,,SUMPRODUCT(MAX(ROW(E$1:E88)*(E2=E$1:E88))))))</f>
        <v/>
      </c>
      <c r="K89" s="24" t="str">
        <f>IF(OR(E89="",E89="!!!",F89="NEW"),"",INDEX(J$1:J88,SUMPRODUCT(MAX(ROW(E$1:E88)*(E89=E$1:E88)))))</f>
        <v/>
      </c>
      <c r="L89" s="25"/>
    </row>
    <row r="90" spans="1:12" x14ac:dyDescent="0.2">
      <c r="A90" t="s">
        <v>866</v>
      </c>
      <c r="B90" s="26" t="s">
        <v>804</v>
      </c>
      <c r="C90" s="26" t="s">
        <v>805</v>
      </c>
      <c r="D90" s="26" t="s">
        <v>806</v>
      </c>
      <c r="E90" s="20" t="s">
        <v>1749</v>
      </c>
      <c r="F90" s="21" t="str">
        <f>IF(OR(E90="",E90="!!!"),"",IF(NOT(ISNA(VLOOKUP(E90,E$1:E89,1,FALSE()))),"OLD",IF(AND(E90&lt;&gt;"",E90&lt;&gt;"!!!"),"NEW","")))</f>
        <v>NEW</v>
      </c>
      <c r="G90" s="22" t="s">
        <v>1823</v>
      </c>
      <c r="H90" s="23" t="str">
        <f t="shared" ca="1" si="11"/>
        <v/>
      </c>
      <c r="I90" s="24" t="str">
        <f>IF(OR(E90="",E90="!!!",F90="NEW"),"",INDEX(B$2:B89,-1+SUMPRODUCT(MAX(ROW(E$2:E89)*(E90=E$2:E89)))))</f>
        <v/>
      </c>
      <c r="J90" s="24" t="str">
        <f ca="1">IF(OR(E90="",E90="!!!",F90="NEW"),"",COUNTBLANK(OFFSET(A$1,,,SUMPRODUCT(MAX(ROW(E$2:E90)*(E90=E$2:E90)))))-COUNTBLANK(OFFSET(A$1,,,SUMPRODUCT(MAX(ROW(E$1:E89)*(E2=E$1:E89))))))</f>
        <v/>
      </c>
      <c r="K90" s="24" t="str">
        <f>IF(OR(E90="",E90="!!!",F90="NEW"),"",INDEX(J$1:J89,SUMPRODUCT(MAX(ROW(E$1:E89)*(E90=E$1:E89)))))</f>
        <v/>
      </c>
      <c r="L90" s="25"/>
    </row>
    <row r="91" spans="1:12" x14ac:dyDescent="0.2">
      <c r="A91" t="s">
        <v>867</v>
      </c>
      <c r="E91" s="20" t="str">
        <f t="shared" si="10"/>
        <v/>
      </c>
      <c r="F91" s="21" t="str">
        <f>IF(OR(E91="",E91="!!!"),"",IF(NOT(ISNA(VLOOKUP(E91,E$1:E90,1,FALSE()))),"OLD",IF(AND(E91&lt;&gt;"",E91&lt;&gt;"!!!"),"NEW","")))</f>
        <v/>
      </c>
      <c r="G91" s="22" t="str">
        <f>IF(OR(E91="",E91="!!!"),"",IF(OR(J91=0,AND(J91=1,K91=1),AND(J91=1,I91="SBJ"),AND(J91=1,I91=0)),"?IN_FOCUS",IF(J91&lt;=2,"?ACTIVATED",IF(J91&lt;&gt;"","?FAMILIAR",IF(F91="NEW",IF(ISNA(VLOOKUP(E91,#REF!,1,FALSE())),"?TYPE_IDENTIFIABLE","?REFERENTIAL"),"_")))))</f>
        <v/>
      </c>
      <c r="H91" s="23" t="str">
        <f t="shared" ca="1" si="11"/>
        <v/>
      </c>
      <c r="I91" s="24" t="str">
        <f>IF(OR(E91="",E91="!!!",F91="NEW"),"",INDEX(B$2:B90,-1+SUMPRODUCT(MAX(ROW(E$2:E90)*(E91=E$2:E90)))))</f>
        <v/>
      </c>
      <c r="J91" s="24" t="str">
        <f ca="1">IF(OR(E91="",E91="!!!",F91="NEW"),"",COUNTBLANK(OFFSET(A$1,,,SUMPRODUCT(MAX(ROW(E$2:E91)*(E91=E$2:E91)))))-COUNTBLANK(OFFSET(A$1,,,SUMPRODUCT(MAX(ROW(E$1:E90)*(E2=E$1:E90))))))</f>
        <v/>
      </c>
      <c r="K91" s="24" t="str">
        <f>IF(OR(E91="",E91="!!!",F91="NEW"),"",INDEX(J$1:J90,SUMPRODUCT(MAX(ROW(E$1:E90)*(E91=E$1:E90)))))</f>
        <v/>
      </c>
      <c r="L91" s="25"/>
    </row>
    <row r="92" spans="1:12" x14ac:dyDescent="0.2">
      <c r="A92" t="s">
        <v>41</v>
      </c>
      <c r="E92" s="20" t="str">
        <f t="shared" si="10"/>
        <v/>
      </c>
      <c r="F92" s="21" t="str">
        <f>IF(OR(E92="",E92="!!!"),"",IF(NOT(ISNA(VLOOKUP(E92,E$1:E91,1,FALSE()))),"OLD",IF(AND(E92&lt;&gt;"",E92&lt;&gt;"!!!"),"NEW","")))</f>
        <v/>
      </c>
      <c r="G92" s="22" t="str">
        <f>IF(OR(E92="",E92="!!!"),"",IF(OR(J92=0,AND(J92=1,K92=1),AND(J92=1,I92="SBJ"),AND(J92=1,I92=0)),"?IN_FOCUS",IF(J92&lt;=2,"?ACTIVATED",IF(J92&lt;&gt;"","?FAMILIAR",IF(F92="NEW",IF(ISNA(VLOOKUP(E92,#REF!,1,FALSE())),"?TYPE_IDENTIFIABLE","?REFERENTIAL"),"_")))))</f>
        <v/>
      </c>
      <c r="H92" s="23" t="str">
        <f t="shared" ca="1" si="11"/>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5"/>
    </row>
    <row r="93" spans="1:12" x14ac:dyDescent="0.2">
      <c r="A93" t="s">
        <v>868</v>
      </c>
      <c r="E93" s="20" t="str">
        <f t="shared" si="10"/>
        <v/>
      </c>
      <c r="F93" s="21" t="str">
        <f>IF(OR(E93="",E93="!!!"),"",IF(NOT(ISNA(VLOOKUP(E93,E$1:E92,1,FALSE()))),"OLD",IF(AND(E93&lt;&gt;"",E93&lt;&gt;"!!!"),"NEW","")))</f>
        <v/>
      </c>
      <c r="G93" s="22" t="str">
        <f>IF(OR(E93="",E93="!!!"),"",IF(OR(J93=0,AND(J93=1,K93=1),AND(J93=1,I93="SBJ"),AND(J93=1,I93=0)),"?IN_FOCUS",IF(J93&lt;=2,"?ACTIVATED",IF(J93&lt;&gt;"","?FAMILIAR",IF(F93="NEW",IF(ISNA(VLOOKUP(E93,#REF!,1,FALSE())),"?TYPE_IDENTIFIABLE","?REFERENTIAL"),"_")))))</f>
        <v/>
      </c>
      <c r="H93" s="23" t="str">
        <f t="shared" ca="1" si="11"/>
        <v/>
      </c>
      <c r="I93" s="24" t="str">
        <f>IF(OR(E93="",E93="!!!",F93="NEW"),"",INDEX(B$2:B92,-1+SUMPRODUCT(MAX(ROW(E$2:E92)*(E93=E$2:E92)))))</f>
        <v/>
      </c>
      <c r="J93" s="24" t="str">
        <f ca="1">IF(OR(E93="",E93="!!!",F93="NEW"),"",COUNTBLANK(OFFSET(A$1,,,SUMPRODUCT(MAX(ROW(E$2:E93)*(E93=E$2:E93)))))-COUNTBLANK(OFFSET(A$1,,,SUMPRODUCT(MAX(ROW(E$1:E92)*(E2=E$1:E92))))))</f>
        <v/>
      </c>
      <c r="K93" s="24" t="str">
        <f>IF(OR(E93="",E93="!!!",F93="NEW"),"",INDEX(J$1:J92,SUMPRODUCT(MAX(ROW(E$1:E92)*(E93=E$1:E92)))))</f>
        <v/>
      </c>
      <c r="L93" s="25"/>
    </row>
    <row r="94" spans="1:12" x14ac:dyDescent="0.2">
      <c r="A94" t="s">
        <v>869</v>
      </c>
      <c r="E94" s="20" t="str">
        <f t="shared" si="10"/>
        <v/>
      </c>
      <c r="F94" s="21"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11"/>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5"/>
    </row>
    <row r="95" spans="1:12" x14ac:dyDescent="0.2">
      <c r="A95" t="s">
        <v>870</v>
      </c>
      <c r="E95" s="20" t="str">
        <f t="shared" si="10"/>
        <v/>
      </c>
      <c r="F95" s="21" t="str">
        <f>IF(OR(E95="",E95="!!!"),"",IF(NOT(ISNA(VLOOKUP(E95,E$1:E94,1,FALSE()))),"OLD",IF(AND(E95&lt;&gt;"",E95&lt;&gt;"!!!"),"NEW","")))</f>
        <v/>
      </c>
      <c r="G95" s="22" t="str">
        <f>IF(OR(E95="",E95="!!!"),"",IF(OR(J95=0,AND(J95=1,K95=1),AND(J95=1,I95="SBJ"),AND(J95=1,I95=0)),"?IN_FOCUS",IF(J95&lt;=2,"?ACTIVATED",IF(J95&lt;&gt;"","?FAMILIAR",IF(F95="NEW",IF(ISNA(VLOOKUP(E95,#REF!,1,FALSE())),"?TYPE_IDENTIFIABLE","?REFERENTIAL"),"_")))))</f>
        <v/>
      </c>
      <c r="H95" s="23" t="str">
        <f t="shared" ca="1" si="11"/>
        <v/>
      </c>
      <c r="I95" s="24" t="str">
        <f>IF(OR(E95="",E95="!!!",F95="NEW"),"",INDEX(B$2:B94,-1+SUMPRODUCT(MAX(ROW(E$2:E94)*(E95=E$2:E94)))))</f>
        <v/>
      </c>
      <c r="J95" s="24" t="str">
        <f ca="1">IF(OR(E95="",E95="!!!",F95="NEW"),"",COUNTBLANK(OFFSET(A$1,,,SUMPRODUCT(MAX(ROW(E$2:E95)*(E95=E$2:E95)))))-COUNTBLANK(OFFSET(A$1,,,SUMPRODUCT(MAX(ROW(E$1:E94)*(E2=E$1:E94))))))</f>
        <v/>
      </c>
      <c r="K95" s="24" t="str">
        <f>IF(OR(E95="",E95="!!!",F95="NEW"),"",INDEX(J$1:J94,SUMPRODUCT(MAX(ROW(E$1:E94)*(E95=E$1:E94)))))</f>
        <v/>
      </c>
      <c r="L95" s="25"/>
    </row>
    <row r="96" spans="1:12" x14ac:dyDescent="0.2">
      <c r="A96" t="s">
        <v>830</v>
      </c>
      <c r="B96" s="26" t="s">
        <v>871</v>
      </c>
      <c r="C96" s="26" t="s">
        <v>805</v>
      </c>
      <c r="D96" s="26" t="s">
        <v>806</v>
      </c>
      <c r="E96" s="20" t="s">
        <v>30</v>
      </c>
      <c r="F96" s="21" t="str">
        <f>IF(OR(E96="",E96="!!!"),"",IF(NOT(ISNA(VLOOKUP(E96,E$1:E95,1,FALSE()))),"OLD",IF(AND(E96&lt;&gt;"",E96&lt;&gt;"!!!"),"NEW","")))</f>
        <v>OLD</v>
      </c>
      <c r="G96" s="22" t="s">
        <v>1822</v>
      </c>
      <c r="H96" s="23" t="str">
        <f t="shared" ca="1" si="11"/>
        <v/>
      </c>
      <c r="I96" s="24" t="str">
        <f>IF(OR(E96="",E96="!!!",F96="NEW"),"",INDEX(B$2:B95,-1+SUMPRODUCT(MAX(ROW(E$2:E95)*(E96=E$2:E95)))))</f>
        <v>SBJ</v>
      </c>
      <c r="J96" s="24">
        <f ca="1">IF(OR(E96="",E96="!!!",F96="NEW"),"",COUNTBLANK(OFFSET(A$1,,,SUMPRODUCT(MAX(ROW(E$2:E96)*(E96=E$2:E96)))))-COUNTBLANK(OFFSET(A$1,,,SUMPRODUCT(MAX(ROW(E$1:E95)*(E2=E$1:E95))))))</f>
        <v>0</v>
      </c>
      <c r="K96" s="24">
        <f ca="1">IF(OR(E96="",E96="!!!",F96="NEW"),"",INDEX(J$1:J95,SUMPRODUCT(MAX(ROW(E$1:E95)*(E96=E$1:E95)))))</f>
        <v>0</v>
      </c>
      <c r="L96" s="25"/>
    </row>
    <row r="97" spans="1:12" x14ac:dyDescent="0.2">
      <c r="A97" t="s">
        <v>821</v>
      </c>
      <c r="E97" s="20" t="str">
        <f t="shared" si="10"/>
        <v/>
      </c>
      <c r="F97" s="21" t="str">
        <f>IF(OR(E97="",E97="!!!"),"",IF(NOT(ISNA(VLOOKUP(E97,E$1:E96,1,FALSE()))),"OLD",IF(AND(E97&lt;&gt;"",E97&lt;&gt;"!!!"),"NEW","")))</f>
        <v/>
      </c>
      <c r="G97" s="22" t="str">
        <f>IF(OR(E97="",E97="!!!"),"",IF(OR(J97=0,AND(J97=1,K97=1),AND(J97=1,I97="SBJ"),AND(J97=1,I97=0)),"?IN_FOCUS",IF(J97&lt;=2,"?ACTIVATED",IF(J97&lt;&gt;"","?FAMILIAR",IF(F97="NEW",IF(ISNA(VLOOKUP(E97,#REF!,1,FALSE())),"?TYPE_IDENTIFIABLE","?REFERENTIAL"),"_")))))</f>
        <v/>
      </c>
      <c r="H97" s="23" t="str">
        <f t="shared" ca="1" si="11"/>
        <v/>
      </c>
      <c r="I97" s="24" t="str">
        <f>IF(OR(E97="",E97="!!!",F97="NEW"),"",INDEX(B$2:B96,-1+SUMPRODUCT(MAX(ROW(E$2:E96)*(E97=E$2:E96)))))</f>
        <v/>
      </c>
      <c r="J97" s="24" t="str">
        <f ca="1">IF(OR(E97="",E97="!!!",F97="NEW"),"",COUNTBLANK(OFFSET(A$1,,,SUMPRODUCT(MAX(ROW(E$2:E97)*(E97=E$2:E97)))))-COUNTBLANK(OFFSET(A$1,,,SUMPRODUCT(MAX(ROW(E$1:E96)*(E2=E$1:E96))))))</f>
        <v/>
      </c>
      <c r="K97" s="24" t="str">
        <f>IF(OR(E97="",E97="!!!",F97="NEW"),"",INDEX(J$1:J96,SUMPRODUCT(MAX(ROW(E$1:E96)*(E97=E$1:E96)))))</f>
        <v/>
      </c>
      <c r="L97" s="25"/>
    </row>
    <row r="99" spans="1:12" x14ac:dyDescent="0.2">
      <c r="A99" t="s">
        <v>872</v>
      </c>
    </row>
    <row r="100" spans="1:12" x14ac:dyDescent="0.2">
      <c r="A100" t="s">
        <v>803</v>
      </c>
      <c r="B100" s="26" t="s">
        <v>804</v>
      </c>
      <c r="C100" s="26" t="s">
        <v>805</v>
      </c>
      <c r="D100" s="26" t="s">
        <v>806</v>
      </c>
      <c r="E100" s="20" t="s">
        <v>1747</v>
      </c>
      <c r="F100" s="21" t="s">
        <v>1753</v>
      </c>
      <c r="G100" s="22" t="s">
        <v>1823</v>
      </c>
      <c r="H100" s="23" t="str">
        <f t="shared" ref="H100:H111" ca="1" si="12">IF(J100&lt;&gt;1,"",IF(I100="SBJ","CB","?"))</f>
        <v/>
      </c>
      <c r="I100" s="24" t="str">
        <f>IF(OR(E100="",E100="!!!",F100="NEW"),"",INDEX(B$2:B99,-1+SUMPRODUCT(MAX(ROW(E$2:E99)*(E100=E$2:E99)))))</f>
        <v>SBJ</v>
      </c>
      <c r="J100" s="24">
        <f ca="1">IF(OR(E100="",E100="!!!",F100="NEW"),"",COUNTBLANK(OFFSET(A$1,,,SUMPRODUCT(MAX(ROW(E$2:E100)*(E100=E$2:E100)))))-COUNTBLANK(OFFSET(A$1,,,SUMPRODUCT(MAX(ROW(E$1:E99)*(E2=E$1:E99))))))</f>
        <v>0</v>
      </c>
      <c r="K100" s="24">
        <f ca="1">IF(OR(E100="",E100="!!!",F100="NEW"),"",INDEX(J$1:J99,SUMPRODUCT(MAX(ROW(E$1:E99)*(E100=E$1:E99)))))</f>
        <v>0</v>
      </c>
      <c r="L100" s="25"/>
    </row>
    <row r="101" spans="1:12" x14ac:dyDescent="0.2">
      <c r="A101" t="s">
        <v>831</v>
      </c>
      <c r="E101" s="20" t="str">
        <f t="shared" ref="E101:E111" si="13">IF(D101="?OLD","!!!","")</f>
        <v/>
      </c>
      <c r="F101" s="21" t="str">
        <f>IF(OR(E101="",E101="!!!"),"",IF(NOT(ISNA(VLOOKUP(E101,E$1:E100,1,FALSE()))),"OLD",IF(AND(E101&lt;&gt;"",E101&lt;&gt;"!!!"),"NEW","")))</f>
        <v/>
      </c>
      <c r="G101" s="22" t="str">
        <f>IF(OR(E101="",E101="!!!"),"",IF(OR(J101=0,AND(J101=1,K101=1),AND(J101=1,I101="SBJ"),AND(J101=1,I101=0)),"?IN_FOCUS",IF(J101&lt;=2,"?ACTIVATED",IF(J101&lt;&gt;"","?FAMILIAR",IF(F101="NEW",IF(ISNA(VLOOKUP(E101,#REF!,1,FALSE())),"?TYPE_IDENTIFIABLE","?REFERENTIAL"),"_")))))</f>
        <v/>
      </c>
      <c r="H101" s="23" t="str">
        <f t="shared" ca="1" si="12"/>
        <v/>
      </c>
      <c r="I101" s="24" t="str">
        <f>IF(OR(E101="",E101="!!!",F101="NEW"),"",INDEX(B$2:B100,-1+SUMPRODUCT(MAX(ROW(E$2:E100)*(E101=E$2:E100)))))</f>
        <v/>
      </c>
      <c r="J101" s="24" t="str">
        <f ca="1">IF(OR(E101="",E101="!!!",F101="NEW"),"",COUNTBLANK(OFFSET(A$1,,,SUMPRODUCT(MAX(ROW(E$2:E101)*(E101=E$2:E101)))))-COUNTBLANK(OFFSET(A$1,,,SUMPRODUCT(MAX(ROW(E$1:E100)*(E2=E$1:E100))))))</f>
        <v/>
      </c>
      <c r="K101" s="24" t="str">
        <f>IF(OR(E101="",E101="!!!",F101="NEW"),"",INDEX(J$1:J100,SUMPRODUCT(MAX(ROW(E$1:E100)*(E101=E$1:E100)))))</f>
        <v/>
      </c>
      <c r="L101" s="25"/>
    </row>
    <row r="102" spans="1:12" x14ac:dyDescent="0.2">
      <c r="A102" t="s">
        <v>815</v>
      </c>
      <c r="E102" s="20" t="str">
        <f t="shared" si="13"/>
        <v/>
      </c>
      <c r="F102" s="21" t="str">
        <f>IF(OR(E102="",E102="!!!"),"",IF(NOT(ISNA(VLOOKUP(E102,E$1:E101,1,FALSE()))),"OLD",IF(AND(E102&lt;&gt;"",E102&lt;&gt;"!!!"),"NEW","")))</f>
        <v/>
      </c>
      <c r="G102" s="22" t="str">
        <f>IF(OR(E102="",E102="!!!"),"",IF(OR(J102=0,AND(J102=1,K102=1),AND(J102=1,I102="SBJ"),AND(J102=1,I102=0)),"?IN_FOCUS",IF(J102&lt;=2,"?ACTIVATED",IF(J102&lt;&gt;"","?FAMILIAR",IF(F102="NEW",IF(ISNA(VLOOKUP(E102,#REF!,1,FALSE())),"?TYPE_IDENTIFIABLE","?REFERENTIAL"),"_")))))</f>
        <v/>
      </c>
      <c r="H102" s="23" t="str">
        <f t="shared" ca="1" si="12"/>
        <v/>
      </c>
      <c r="I102" s="24" t="str">
        <f>IF(OR(E102="",E102="!!!",F102="NEW"),"",INDEX(B$2:B101,-1+SUMPRODUCT(MAX(ROW(E$2:E101)*(E102=E$2:E101)))))</f>
        <v/>
      </c>
      <c r="J102" s="24" t="str">
        <f ca="1">IF(OR(E102="",E102="!!!",F102="NEW"),"",COUNTBLANK(OFFSET(A$1,,,SUMPRODUCT(MAX(ROW(E$2:E102)*(E102=E$2:E102)))))-COUNTBLANK(OFFSET(A$1,,,SUMPRODUCT(MAX(ROW(E$1:E101)*(E2=E$1:E101))))))</f>
        <v/>
      </c>
      <c r="K102" s="24" t="str">
        <f>IF(OR(E102="",E102="!!!",F102="NEW"),"",INDEX(J$1:J101,SUMPRODUCT(MAX(ROW(E$1:E101)*(E102=E$1:E101)))))</f>
        <v/>
      </c>
      <c r="L102" s="25"/>
    </row>
    <row r="103" spans="1:12" x14ac:dyDescent="0.2">
      <c r="A103" t="s">
        <v>809</v>
      </c>
      <c r="E103" s="20" t="str">
        <f t="shared" si="13"/>
        <v/>
      </c>
      <c r="F103" s="21" t="str">
        <f>IF(OR(E103="",E103="!!!"),"",IF(NOT(ISNA(VLOOKUP(E103,E$1:E102,1,FALSE()))),"OLD",IF(AND(E103&lt;&gt;"",E103&lt;&gt;"!!!"),"NEW","")))</f>
        <v/>
      </c>
      <c r="G103" s="22" t="str">
        <f>IF(OR(E103="",E103="!!!"),"",IF(OR(J103=0,AND(J103=1,K103=1),AND(J103=1,I103="SBJ"),AND(J103=1,I103=0)),"?IN_FOCUS",IF(J103&lt;=2,"?ACTIVATED",IF(J103&lt;&gt;"","?FAMILIAR",IF(F103="NEW",IF(ISNA(VLOOKUP(E103,#REF!,1,FALSE())),"?TYPE_IDENTIFIABLE","?REFERENTIAL"),"_")))))</f>
        <v/>
      </c>
      <c r="H103" s="23" t="str">
        <f t="shared" ca="1" si="12"/>
        <v/>
      </c>
      <c r="I103" s="24" t="str">
        <f>IF(OR(E103="",E103="!!!",F103="NEW"),"",INDEX(B$2:B102,-1+SUMPRODUCT(MAX(ROW(E$2:E102)*(E103=E$2:E102)))))</f>
        <v/>
      </c>
      <c r="J103" s="24" t="str">
        <f ca="1">IF(OR(E103="",E103="!!!",F103="NEW"),"",COUNTBLANK(OFFSET(A$1,,,SUMPRODUCT(MAX(ROW(E$2:E103)*(E103=E$2:E103)))))-COUNTBLANK(OFFSET(A$1,,,SUMPRODUCT(MAX(ROW(E$1:E102)*(E2=E$1:E102))))))</f>
        <v/>
      </c>
      <c r="K103" s="24" t="str">
        <f>IF(OR(E103="",E103="!!!",F103="NEW"),"",INDEX(J$1:J102,SUMPRODUCT(MAX(ROW(E$1:E102)*(E103=E$1:E102)))))</f>
        <v/>
      </c>
      <c r="L103" s="25"/>
    </row>
    <row r="104" spans="1:12" x14ac:dyDescent="0.2">
      <c r="A104" t="s">
        <v>873</v>
      </c>
      <c r="B104" s="26" t="s">
        <v>819</v>
      </c>
      <c r="C104" s="26" t="s">
        <v>811</v>
      </c>
      <c r="E104" s="20" t="str">
        <f t="shared" si="13"/>
        <v/>
      </c>
      <c r="F104" s="21"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12"/>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5"/>
    </row>
    <row r="105" spans="1:12" x14ac:dyDescent="0.2">
      <c r="A105" t="s">
        <v>874</v>
      </c>
      <c r="E105" s="20" t="str">
        <f t="shared" si="13"/>
        <v/>
      </c>
      <c r="F105" s="21"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12"/>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5"/>
    </row>
    <row r="106" spans="1:12" x14ac:dyDescent="0.2">
      <c r="A106" t="s">
        <v>875</v>
      </c>
      <c r="E106" s="20" t="str">
        <f t="shared" si="13"/>
        <v/>
      </c>
      <c r="F106" s="21" t="str">
        <f>IF(OR(E106="",E106="!!!"),"",IF(NOT(ISNA(VLOOKUP(E106,E$1:E105,1,FALSE()))),"OLD",IF(AND(E106&lt;&gt;"",E106&lt;&gt;"!!!"),"NEW","")))</f>
        <v/>
      </c>
      <c r="G106" s="22" t="str">
        <f>IF(OR(E106="",E106="!!!"),"",IF(OR(J106=0,AND(J106=1,K106=1),AND(J106=1,I106="SBJ"),AND(J106=1,I106=0)),"?IN_FOCUS",IF(J106&lt;=2,"?ACTIVATED",IF(J106&lt;&gt;"","?FAMILIAR",IF(F106="NEW",IF(ISNA(VLOOKUP(E106,#REF!,1,FALSE())),"?TYPE_IDENTIFIABLE","?REFERENTIAL"),"_")))))</f>
        <v/>
      </c>
      <c r="H106" s="23" t="str">
        <f t="shared" ca="1" si="12"/>
        <v/>
      </c>
      <c r="I106" s="24" t="str">
        <f>IF(OR(E106="",E106="!!!",F106="NEW"),"",INDEX(B$2:B105,-1+SUMPRODUCT(MAX(ROW(E$2:E105)*(E106=E$2:E105)))))</f>
        <v/>
      </c>
      <c r="J106" s="24" t="str">
        <f ca="1">IF(OR(E106="",E106="!!!",F106="NEW"),"",COUNTBLANK(OFFSET(A$1,,,SUMPRODUCT(MAX(ROW(E$2:E106)*(E106=E$2:E106)))))-COUNTBLANK(OFFSET(A$1,,,SUMPRODUCT(MAX(ROW(E$1:E105)*(E2=E$1:E105))))))</f>
        <v/>
      </c>
      <c r="K106" s="24" t="str">
        <f>IF(OR(E106="",E106="!!!",F106="NEW"),"",INDEX(J$1:J105,SUMPRODUCT(MAX(ROW(E$1:E105)*(E106=E$1:E105)))))</f>
        <v/>
      </c>
      <c r="L106" s="25"/>
    </row>
    <row r="107" spans="1:12" x14ac:dyDescent="0.2">
      <c r="A107" t="s">
        <v>876</v>
      </c>
      <c r="B107" s="26" t="s">
        <v>819</v>
      </c>
      <c r="C107" s="26" t="s">
        <v>877</v>
      </c>
      <c r="D107" s="26" t="s">
        <v>806</v>
      </c>
      <c r="E107" s="20" t="s">
        <v>30</v>
      </c>
      <c r="F107" s="21" t="str">
        <f>IF(OR(E107="",E107="!!!"),"",IF(NOT(ISNA(VLOOKUP(E107,E$1:E106,1,FALSE()))),"OLD",IF(AND(E107&lt;&gt;"",E107&lt;&gt;"!!!"),"NEW","")))</f>
        <v>OLD</v>
      </c>
      <c r="G107" s="22" t="s">
        <v>1825</v>
      </c>
      <c r="H107" s="23" t="str">
        <f t="shared" ca="1" si="12"/>
        <v/>
      </c>
      <c r="I107" s="24" t="str">
        <f>IF(OR(E107="",E107="!!!",F107="NEW"),"",INDEX(B$2:B106,-1+SUMPRODUCT(MAX(ROW(E$2:E106)*(E107=E$2:E106)))))</f>
        <v>OBJ_3</v>
      </c>
      <c r="J107" s="24">
        <f ca="1">IF(OR(E107="",E107="!!!",F107="NEW"),"",COUNTBLANK(OFFSET(A$1,,,SUMPRODUCT(MAX(ROW(E$2:E107)*(E107=E$2:E107)))))-COUNTBLANK(OFFSET(A$1,,,SUMPRODUCT(MAX(ROW(E$1:E106)*(E2=E$1:E106))))))</f>
        <v>0</v>
      </c>
      <c r="K107" s="24">
        <f ca="1">IF(OR(E107="",E107="!!!",F107="NEW"),"",INDEX(J$1:J106,SUMPRODUCT(MAX(ROW(E$1:E106)*(E107=E$1:E106)))))</f>
        <v>0</v>
      </c>
      <c r="L107" s="25"/>
    </row>
    <row r="108" spans="1:12" x14ac:dyDescent="0.2">
      <c r="A108" t="s">
        <v>878</v>
      </c>
      <c r="E108" s="20" t="str">
        <f t="shared" si="13"/>
        <v/>
      </c>
      <c r="F108" s="21"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ca="1" si="12"/>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5"/>
    </row>
    <row r="109" spans="1:12" x14ac:dyDescent="0.2">
      <c r="A109" t="s">
        <v>879</v>
      </c>
      <c r="E109" s="20" t="str">
        <f t="shared" si="13"/>
        <v/>
      </c>
      <c r="F109" s="21" t="str">
        <f>IF(OR(E109="",E109="!!!"),"",IF(NOT(ISNA(VLOOKUP(E109,E$1:E108,1,FALSE()))),"OLD",IF(AND(E109&lt;&gt;"",E109&lt;&gt;"!!!"),"NEW","")))</f>
        <v/>
      </c>
      <c r="G109" s="22" t="str">
        <f>IF(OR(E109="",E109="!!!"),"",IF(OR(J109=0,AND(J109=1,K109=1),AND(J109=1,I109="SBJ"),AND(J109=1,I109=0)),"?IN_FOCUS",IF(J109&lt;=2,"?ACTIVATED",IF(J109&lt;&gt;"","?FAMILIAR",IF(F109="NEW",IF(ISNA(VLOOKUP(E109,#REF!,1,FALSE())),"?TYPE_IDENTIFIABLE","?REFERENTIAL"),"_")))))</f>
        <v/>
      </c>
      <c r="H109" s="23" t="str">
        <f t="shared" ca="1" si="12"/>
        <v/>
      </c>
      <c r="I109" s="24" t="str">
        <f>IF(OR(E109="",E109="!!!",F109="NEW"),"",INDEX(B$2:B108,-1+SUMPRODUCT(MAX(ROW(E$2:E108)*(E109=E$2:E108)))))</f>
        <v/>
      </c>
      <c r="J109" s="24" t="str">
        <f ca="1">IF(OR(E109="",E109="!!!",F109="NEW"),"",COUNTBLANK(OFFSET(A$1,,,SUMPRODUCT(MAX(ROW(E$2:E109)*(E109=E$2:E109)))))-COUNTBLANK(OFFSET(A$1,,,SUMPRODUCT(MAX(ROW(E$1:E108)*(E2=E$1:E108))))))</f>
        <v/>
      </c>
      <c r="K109" s="24" t="str">
        <f>IF(OR(E109="",E109="!!!",F109="NEW"),"",INDEX(J$1:J108,SUMPRODUCT(MAX(ROW(E$1:E108)*(E109=E$1:E108)))))</f>
        <v/>
      </c>
      <c r="L109" s="25"/>
    </row>
    <row r="110" spans="1:12" x14ac:dyDescent="0.2">
      <c r="A110" t="s">
        <v>880</v>
      </c>
      <c r="B110" s="26" t="s">
        <v>819</v>
      </c>
      <c r="C110" s="26" t="s">
        <v>814</v>
      </c>
      <c r="E110" s="20" t="str">
        <f t="shared" si="13"/>
        <v/>
      </c>
      <c r="F110" s="21" t="str">
        <f>IF(OR(E110="",E110="!!!"),"",IF(NOT(ISNA(VLOOKUP(E110,E$1:E109,1,FALSE()))),"OLD",IF(AND(E110&lt;&gt;"",E110&lt;&gt;"!!!"),"NEW","")))</f>
        <v/>
      </c>
      <c r="G110" s="22" t="str">
        <f>IF(OR(E110="",E110="!!!"),"",IF(OR(J110=0,AND(J110=1,K110=1),AND(J110=1,I110="SBJ"),AND(J110=1,I110=0)),"?IN_FOCUS",IF(J110&lt;=2,"?ACTIVATED",IF(J110&lt;&gt;"","?FAMILIAR",IF(F110="NEW",IF(ISNA(VLOOKUP(E110,#REF!,1,FALSE())),"?TYPE_IDENTIFIABLE","?REFERENTIAL"),"_")))))</f>
        <v/>
      </c>
      <c r="H110" s="23" t="str">
        <f t="shared" ca="1" si="12"/>
        <v/>
      </c>
      <c r="I110" s="24" t="str">
        <f>IF(OR(E110="",E110="!!!",F110="NEW"),"",INDEX(B$2:B109,-1+SUMPRODUCT(MAX(ROW(E$2:E109)*(E110=E$2:E109)))))</f>
        <v/>
      </c>
      <c r="J110" s="24" t="str">
        <f ca="1">IF(OR(E110="",E110="!!!",F110="NEW"),"",COUNTBLANK(OFFSET(A$1,,,SUMPRODUCT(MAX(ROW(E$2:E110)*(E110=E$2:E110)))))-COUNTBLANK(OFFSET(A$1,,,SUMPRODUCT(MAX(ROW(E$1:E109)*(E2=E$1:E109))))))</f>
        <v/>
      </c>
      <c r="K110" s="24" t="str">
        <f>IF(OR(E110="",E110="!!!",F110="NEW"),"",INDEX(J$1:J109,SUMPRODUCT(MAX(ROW(E$1:E109)*(E110=E$1:E109)))))</f>
        <v/>
      </c>
      <c r="L110" s="25"/>
    </row>
    <row r="111" spans="1:12" x14ac:dyDescent="0.2">
      <c r="A111" t="s">
        <v>821</v>
      </c>
      <c r="E111" s="20" t="str">
        <f t="shared" si="13"/>
        <v/>
      </c>
      <c r="F111" s="21" t="str">
        <f>IF(OR(E111="",E111="!!!"),"",IF(NOT(ISNA(VLOOKUP(E111,E$1:E110,1,FALSE()))),"OLD",IF(AND(E111&lt;&gt;"",E111&lt;&gt;"!!!"),"NEW","")))</f>
        <v/>
      </c>
      <c r="G111" s="22" t="str">
        <f>IF(OR(E111="",E111="!!!"),"",IF(OR(J111=0,AND(J111=1,K111=1),AND(J111=1,I111="SBJ"),AND(J111=1,I111=0)),"?IN_FOCUS",IF(J111&lt;=2,"?ACTIVATED",IF(J111&lt;&gt;"","?FAMILIAR",IF(F111="NEW",IF(ISNA(VLOOKUP(E111,#REF!,1,FALSE())),"?TYPE_IDENTIFIABLE","?REFERENTIAL"),"_")))))</f>
        <v/>
      </c>
      <c r="H111" s="23" t="str">
        <f t="shared" ca="1" si="12"/>
        <v/>
      </c>
      <c r="I111" s="24" t="str">
        <f>IF(OR(E111="",E111="!!!",F111="NEW"),"",INDEX(B$2:B110,-1+SUMPRODUCT(MAX(ROW(E$2:E110)*(E111=E$2:E110)))))</f>
        <v/>
      </c>
      <c r="J111" s="24" t="str">
        <f ca="1">IF(OR(E111="",E111="!!!",F111="NEW"),"",COUNTBLANK(OFFSET(A$1,,,SUMPRODUCT(MAX(ROW(E$2:E111)*(E111=E$2:E111)))))-COUNTBLANK(OFFSET(A$1,,,SUMPRODUCT(MAX(ROW(E$1:E110)*(E2=E$1:E110))))))</f>
        <v/>
      </c>
      <c r="K111" s="24" t="str">
        <f>IF(OR(E111="",E111="!!!",F111="NEW"),"",INDEX(J$1:J110,SUMPRODUCT(MAX(ROW(E$1:E110)*(E111=E$1:E110)))))</f>
        <v/>
      </c>
      <c r="L111" s="25"/>
    </row>
    <row r="113" spans="1:12" x14ac:dyDescent="0.2">
      <c r="A113" t="s">
        <v>881</v>
      </c>
    </row>
    <row r="114" spans="1:12" x14ac:dyDescent="0.2">
      <c r="A114" t="s">
        <v>882</v>
      </c>
      <c r="E114" s="20" t="str">
        <f t="shared" ref="E114:E137" si="14">IF(D114="?OLD","!!!","")</f>
        <v/>
      </c>
      <c r="F114" s="21" t="str">
        <f>IF(OR(E114="",E114="!!!"),"",IF(NOT(ISNA(VLOOKUP(E114,E$1:E113,1,FALSE()))),"OLD",IF(AND(E114&lt;&gt;"",E114&lt;&gt;"!!!"),"NEW","")))</f>
        <v/>
      </c>
      <c r="G114" s="22" t="str">
        <f>IF(OR(E114="",E114="!!!"),"",IF(OR(J114=0,AND(J114=1,K114=1),AND(J114=1,I114="SBJ"),AND(J114=1,I114=0)),"?IN_FOCUS",IF(J114&lt;=2,"?ACTIVATED",IF(J114&lt;&gt;"","?FAMILIAR",IF(F114="NEW",IF(ISNA(VLOOKUP(E114,#REF!,1,FALSE())),"?TYPE_IDENTIFIABLE","?REFERENTIAL"),"_")))))</f>
        <v/>
      </c>
      <c r="H114" s="23" t="str">
        <f t="shared" ref="H114:H137" ca="1" si="15">IF(J114&lt;&gt;1,"",IF(I114="SBJ","CB","?"))</f>
        <v/>
      </c>
      <c r="I114" s="24" t="str">
        <f>IF(OR(E114="",E114="!!!",F114="NEW"),"",INDEX(B$2:B113,-1+SUMPRODUCT(MAX(ROW(E$2:E113)*(E114=E$2:E113)))))</f>
        <v/>
      </c>
      <c r="J114" s="24" t="str">
        <f ca="1">IF(OR(E114="",E114="!!!",F114="NEW"),"",COUNTBLANK(OFFSET(A$1,,,SUMPRODUCT(MAX(ROW(E$2:E114)*(E114=E$2:E114)))))-COUNTBLANK(OFFSET(A$1,,,SUMPRODUCT(MAX(ROW(E$1:E113)*(E2=E$1:E113))))))</f>
        <v/>
      </c>
      <c r="K114" s="24" t="str">
        <f>IF(OR(E114="",E114="!!!",F114="NEW"),"",INDEX(J$1:J113,SUMPRODUCT(MAX(ROW(E$1:E113)*(E114=E$1:E113)))))</f>
        <v/>
      </c>
      <c r="L114" s="25"/>
    </row>
    <row r="115" spans="1:12" x14ac:dyDescent="0.2">
      <c r="A115" t="s">
        <v>883</v>
      </c>
      <c r="B115" s="26" t="s">
        <v>819</v>
      </c>
      <c r="C115" s="26" t="s">
        <v>884</v>
      </c>
      <c r="E115" s="20" t="str">
        <f t="shared" si="14"/>
        <v/>
      </c>
      <c r="F115" s="21" t="str">
        <f>IF(OR(E115="",E115="!!!"),"",IF(NOT(ISNA(VLOOKUP(E115,E$1:E114,1,FALSE()))),"OLD",IF(AND(E115&lt;&gt;"",E115&lt;&gt;"!!!"),"NEW","")))</f>
        <v/>
      </c>
      <c r="G115" s="22" t="str">
        <f>IF(OR(E115="",E115="!!!"),"",IF(OR(J115=0,AND(J115=1,K115=1),AND(J115=1,I115="SBJ"),AND(J115=1,I115=0)),"?IN_FOCUS",IF(J115&lt;=2,"?ACTIVATED",IF(J115&lt;&gt;"","?FAMILIAR",IF(F115="NEW",IF(ISNA(VLOOKUP(E115,#REF!,1,FALSE())),"?TYPE_IDENTIFIABLE","?REFERENTIAL"),"_")))))</f>
        <v/>
      </c>
      <c r="H115" s="23" t="str">
        <f t="shared" ca="1" si="15"/>
        <v/>
      </c>
      <c r="I115" s="24" t="str">
        <f>IF(OR(E115="",E115="!!!",F115="NEW"),"",INDEX(B$2:B114,-1+SUMPRODUCT(MAX(ROW(E$2:E114)*(E115=E$2:E114)))))</f>
        <v/>
      </c>
      <c r="J115" s="24" t="str">
        <f ca="1">IF(OR(E115="",E115="!!!",F115="NEW"),"",COUNTBLANK(OFFSET(A$1,,,SUMPRODUCT(MAX(ROW(E$2:E115)*(E115=E$2:E115)))))-COUNTBLANK(OFFSET(A$1,,,SUMPRODUCT(MAX(ROW(E$1:E114)*(E2=E$1:E114))))))</f>
        <v/>
      </c>
      <c r="K115" s="24" t="str">
        <f>IF(OR(E115="",E115="!!!",F115="NEW"),"",INDEX(J$1:J114,SUMPRODUCT(MAX(ROW(E$1:E114)*(E115=E$1:E114)))))</f>
        <v/>
      </c>
      <c r="L115" s="25"/>
    </row>
    <row r="116" spans="1:12" x14ac:dyDescent="0.2">
      <c r="A116" t="s">
        <v>802</v>
      </c>
      <c r="E116" s="20" t="str">
        <f t="shared" si="14"/>
        <v/>
      </c>
      <c r="F116" s="21" t="str">
        <f>IF(OR(E116="",E116="!!!"),"",IF(NOT(ISNA(VLOOKUP(E116,E$1:E115,1,FALSE()))),"OLD",IF(AND(E116&lt;&gt;"",E116&lt;&gt;"!!!"),"NEW","")))</f>
        <v/>
      </c>
      <c r="G116" s="22" t="str">
        <f>IF(OR(E116="",E116="!!!"),"",IF(OR(J116=0,AND(J116=1,K116=1),AND(J116=1,I116="SBJ"),AND(J116=1,I116=0)),"?IN_FOCUS",IF(J116&lt;=2,"?ACTIVATED",IF(J116&lt;&gt;"","?FAMILIAR",IF(F116="NEW",IF(ISNA(VLOOKUP(E116,#REF!,1,FALSE())),"?TYPE_IDENTIFIABLE","?REFERENTIAL"),"_")))))</f>
        <v/>
      </c>
      <c r="H116" s="23" t="str">
        <f t="shared" ca="1" si="15"/>
        <v/>
      </c>
      <c r="I116" s="24" t="str">
        <f>IF(OR(E116="",E116="!!!",F116="NEW"),"",INDEX(B$2:B115,-1+SUMPRODUCT(MAX(ROW(E$2:E115)*(E116=E$2:E115)))))</f>
        <v/>
      </c>
      <c r="J116" s="24" t="str">
        <f ca="1">IF(OR(E116="",E116="!!!",F116="NEW"),"",COUNTBLANK(OFFSET(A$1,,,SUMPRODUCT(MAX(ROW(E$2:E116)*(E116=E$2:E116)))))-COUNTBLANK(OFFSET(A$1,,,SUMPRODUCT(MAX(ROW(E$1:E115)*(E2=E$1:E115))))))</f>
        <v/>
      </c>
      <c r="K116" s="24" t="str">
        <f>IF(OR(E116="",E116="!!!",F116="NEW"),"",INDEX(J$1:J115,SUMPRODUCT(MAX(ROW(E$1:E115)*(E116=E$1:E115)))))</f>
        <v/>
      </c>
      <c r="L116" s="25"/>
    </row>
    <row r="117" spans="1:12" x14ac:dyDescent="0.2">
      <c r="A117" t="s">
        <v>845</v>
      </c>
      <c r="E117" s="20" t="str">
        <f t="shared" si="14"/>
        <v/>
      </c>
      <c r="F117" s="21" t="str">
        <f>IF(OR(E117="",E117="!!!"),"",IF(NOT(ISNA(VLOOKUP(E117,E$1:E116,1,FALSE()))),"OLD",IF(AND(E117&lt;&gt;"",E117&lt;&gt;"!!!"),"NEW","")))</f>
        <v/>
      </c>
      <c r="G117" s="22" t="str">
        <f>IF(OR(E117="",E117="!!!"),"",IF(OR(J117=0,AND(J117=1,K117=1),AND(J117=1,I117="SBJ"),AND(J117=1,I117=0)),"?IN_FOCUS",IF(J117&lt;=2,"?ACTIVATED",IF(J117&lt;&gt;"","?FAMILIAR",IF(F117="NEW",IF(ISNA(VLOOKUP(E117,#REF!,1,FALSE())),"?TYPE_IDENTIFIABLE","?REFERENTIAL"),"_")))))</f>
        <v/>
      </c>
      <c r="H117" s="23" t="str">
        <f t="shared" ca="1" si="15"/>
        <v/>
      </c>
      <c r="I117" s="24" t="str">
        <f>IF(OR(E117="",E117="!!!",F117="NEW"),"",INDEX(B$2:B116,-1+SUMPRODUCT(MAX(ROW(E$2:E116)*(E117=E$2:E116)))))</f>
        <v/>
      </c>
      <c r="J117" s="24" t="str">
        <f ca="1">IF(OR(E117="",E117="!!!",F117="NEW"),"",COUNTBLANK(OFFSET(A$1,,,SUMPRODUCT(MAX(ROW(E$2:E117)*(E117=E$2:E117)))))-COUNTBLANK(OFFSET(A$1,,,SUMPRODUCT(MAX(ROW(E$1:E116)*(E2=E$1:E116))))))</f>
        <v/>
      </c>
      <c r="K117" s="24" t="str">
        <f>IF(OR(E117="",E117="!!!",F117="NEW"),"",INDEX(J$1:J116,SUMPRODUCT(MAX(ROW(E$1:E116)*(E117=E$1:E116)))))</f>
        <v/>
      </c>
      <c r="L117" s="25"/>
    </row>
    <row r="118" spans="1:12" x14ac:dyDescent="0.2">
      <c r="A118" t="s">
        <v>885</v>
      </c>
      <c r="B118" s="26" t="s">
        <v>804</v>
      </c>
      <c r="C118" s="26" t="s">
        <v>847</v>
      </c>
      <c r="D118" s="26" t="s">
        <v>806</v>
      </c>
      <c r="E118" s="20"/>
      <c r="F118" s="21" t="str">
        <f>IF(OR(E118="",E118="!!!"),"",IF(NOT(ISNA(VLOOKUP(E118,E$1:E117,1,FALSE()))),"OLD",IF(AND(E118&lt;&gt;"",E118&lt;&gt;"!!!"),"NEW","")))</f>
        <v/>
      </c>
      <c r="G118" s="22" t="str">
        <f>IF(OR(E118="",E118="!!!"),"",IF(OR(J118=0,AND(J118=1,K118=1),AND(J118=1,I118="SBJ"),AND(J118=1,I118=0)),"?IN_FOCUS",IF(J118&lt;=2,"?ACTIVATED",IF(J118&lt;&gt;"","?FAMILIAR",IF(F118="NEW",IF(ISNA(VLOOKUP(E118,#REF!,1,FALSE())),"?TYPE_IDENTIFIABLE","?REFERENTIAL"),"_")))))</f>
        <v/>
      </c>
      <c r="H118" s="23" t="str">
        <f t="shared" ca="1" si="15"/>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5"/>
    </row>
    <row r="119" spans="1:12" x14ac:dyDescent="0.2">
      <c r="A119" t="s">
        <v>812</v>
      </c>
      <c r="E119" s="20" t="str">
        <f t="shared" si="14"/>
        <v/>
      </c>
      <c r="F119" s="21" t="str">
        <f>IF(OR(E119="",E119="!!!"),"",IF(NOT(ISNA(VLOOKUP(E119,E$1:E118,1,FALSE()))),"OLD",IF(AND(E119&lt;&gt;"",E119&lt;&gt;"!!!"),"NEW","")))</f>
        <v/>
      </c>
      <c r="G119" s="22" t="str">
        <f>IF(OR(E119="",E119="!!!"),"",IF(OR(J119=0,AND(J119=1,K119=1),AND(J119=1,I119="SBJ"),AND(J119=1,I119=0)),"?IN_FOCUS",IF(J119&lt;=2,"?ACTIVATED",IF(J119&lt;&gt;"","?FAMILIAR",IF(F119="NEW",IF(ISNA(VLOOKUP(E119,#REF!,1,FALSE())),"?TYPE_IDENTIFIABLE","?REFERENTIAL"),"_")))))</f>
        <v/>
      </c>
      <c r="H119" s="23" t="str">
        <f t="shared" ca="1" si="15"/>
        <v/>
      </c>
      <c r="I119" s="24" t="str">
        <f>IF(OR(E119="",E119="!!!",F119="NEW"),"",INDEX(B$2:B118,-1+SUMPRODUCT(MAX(ROW(E$2:E118)*(E119=E$2:E118)))))</f>
        <v/>
      </c>
      <c r="J119" s="24" t="str">
        <f ca="1">IF(OR(E119="",E119="!!!",F119="NEW"),"",COUNTBLANK(OFFSET(A$1,,,SUMPRODUCT(MAX(ROW(E$2:E119)*(E119=E$2:E119)))))-COUNTBLANK(OFFSET(A$1,,,SUMPRODUCT(MAX(ROW(E$1:E118)*(E2=E$1:E118))))))</f>
        <v/>
      </c>
      <c r="K119" s="24" t="str">
        <f>IF(OR(E119="",E119="!!!",F119="NEW"),"",INDEX(J$1:J118,SUMPRODUCT(MAX(ROW(E$1:E118)*(E119=E$1:E118)))))</f>
        <v/>
      </c>
      <c r="L119" s="25"/>
    </row>
    <row r="120" spans="1:12" x14ac:dyDescent="0.2">
      <c r="A120" t="s">
        <v>845</v>
      </c>
      <c r="E120" s="20" t="str">
        <f t="shared" si="14"/>
        <v/>
      </c>
      <c r="F120" s="21" t="str">
        <f>IF(OR(E120="",E120="!!!"),"",IF(NOT(ISNA(VLOOKUP(E120,E$1:E119,1,FALSE()))),"OLD",IF(AND(E120&lt;&gt;"",E120&lt;&gt;"!!!"),"NEW","")))</f>
        <v/>
      </c>
      <c r="G120" s="22" t="str">
        <f>IF(OR(E120="",E120="!!!"),"",IF(OR(J120=0,AND(J120=1,K120=1),AND(J120=1,I120="SBJ"),AND(J120=1,I120=0)),"?IN_FOCUS",IF(J120&lt;=2,"?ACTIVATED",IF(J120&lt;&gt;"","?FAMILIAR",IF(F120="NEW",IF(ISNA(VLOOKUP(E120,#REF!,1,FALSE())),"?TYPE_IDENTIFIABLE","?REFERENTIAL"),"_")))))</f>
        <v/>
      </c>
      <c r="H120" s="23" t="str">
        <f t="shared" ca="1" si="15"/>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5"/>
    </row>
    <row r="121" spans="1:12" x14ac:dyDescent="0.2">
      <c r="A121" t="s">
        <v>886</v>
      </c>
      <c r="B121" s="26" t="s">
        <v>813</v>
      </c>
      <c r="C121" s="26" t="s">
        <v>847</v>
      </c>
      <c r="D121" s="26" t="s">
        <v>806</v>
      </c>
      <c r="E121" s="20" t="s">
        <v>1826</v>
      </c>
      <c r="F121" s="21" t="str">
        <f>IF(OR(E121="",E121="!!!"),"",IF(NOT(ISNA(VLOOKUP(E121,E$1:E120,1,FALSE()))),"OLD",IF(AND(E121&lt;&gt;"",E121&lt;&gt;"!!!"),"NEW","")))</f>
        <v>NEW</v>
      </c>
      <c r="G121" s="22" t="s">
        <v>1823</v>
      </c>
      <c r="H121" s="23" t="str">
        <f t="shared" ca="1" si="15"/>
        <v/>
      </c>
      <c r="I121" s="24" t="str">
        <f>IF(OR(E121="",E121="!!!",F121="NEW"),"",INDEX(B$2:B120,-1+SUMPRODUCT(MAX(ROW(E$2:E120)*(E121=E$2:E120)))))</f>
        <v/>
      </c>
      <c r="J121" s="24" t="str">
        <f ca="1">IF(OR(E121="",E121="!!!",F121="NEW"),"",COUNTBLANK(OFFSET(A$1,,,SUMPRODUCT(MAX(ROW(E$2:E121)*(E121=E$2:E121)))))-COUNTBLANK(OFFSET(A$1,,,SUMPRODUCT(MAX(ROW(E$1:E120)*(E2=E$1:E120))))))</f>
        <v/>
      </c>
      <c r="K121" s="24" t="str">
        <f>IF(OR(E121="",E121="!!!",F121="NEW"),"",INDEX(J$1:J120,SUMPRODUCT(MAX(ROW(E$1:E120)*(E121=E$1:E120)))))</f>
        <v/>
      </c>
      <c r="L121" s="25"/>
    </row>
    <row r="122" spans="1:12" x14ac:dyDescent="0.2">
      <c r="A122" t="s">
        <v>887</v>
      </c>
      <c r="E122" s="20" t="str">
        <f t="shared" si="14"/>
        <v/>
      </c>
      <c r="F122" s="21" t="str">
        <f>IF(OR(E122="",E122="!!!"),"",IF(NOT(ISNA(VLOOKUP(E122,E$1:E121,1,FALSE()))),"OLD",IF(AND(E122&lt;&gt;"",E122&lt;&gt;"!!!"),"NEW","")))</f>
        <v/>
      </c>
      <c r="G122" s="22" t="str">
        <f>IF(OR(E122="",E122="!!!"),"",IF(OR(J122=0,AND(J122=1,K122=1),AND(J122=1,I122="SBJ"),AND(J122=1,I122=0)),"?IN_FOCUS",IF(J122&lt;=2,"?ACTIVATED",IF(J122&lt;&gt;"","?FAMILIAR",IF(F122="NEW",IF(ISNA(VLOOKUP(E122,#REF!,1,FALSE())),"?TYPE_IDENTIFIABLE","?REFERENTIAL"),"_")))))</f>
        <v/>
      </c>
      <c r="H122" s="23" t="str">
        <f t="shared" ca="1" si="15"/>
        <v/>
      </c>
      <c r="I122" s="24" t="str">
        <f>IF(OR(E122="",E122="!!!",F122="NEW"),"",INDEX(B$2:B121,-1+SUMPRODUCT(MAX(ROW(E$2:E121)*(E122=E$2:E121)))))</f>
        <v/>
      </c>
      <c r="J122" s="24" t="str">
        <f ca="1">IF(OR(E122="",E122="!!!",F122="NEW"),"",COUNTBLANK(OFFSET(A$1,,,SUMPRODUCT(MAX(ROW(E$2:E122)*(E122=E$2:E122)))))-COUNTBLANK(OFFSET(A$1,,,SUMPRODUCT(MAX(ROW(E$1:E121)*(E2=E$1:E121))))))</f>
        <v/>
      </c>
      <c r="K122" s="24" t="str">
        <f>IF(OR(E122="",E122="!!!",F122="NEW"),"",INDEX(J$1:J121,SUMPRODUCT(MAX(ROW(E$1:E121)*(E122=E$1:E121)))))</f>
        <v/>
      </c>
      <c r="L122" s="25"/>
    </row>
    <row r="123" spans="1:12" x14ac:dyDescent="0.2">
      <c r="A123" t="s">
        <v>888</v>
      </c>
      <c r="E123" s="20" t="str">
        <f t="shared" si="14"/>
        <v/>
      </c>
      <c r="F123" s="21" t="str">
        <f>IF(OR(E123="",E123="!!!"),"",IF(NOT(ISNA(VLOOKUP(E123,E$1:E122,1,FALSE()))),"OLD",IF(AND(E123&lt;&gt;"",E123&lt;&gt;"!!!"),"NEW","")))</f>
        <v/>
      </c>
      <c r="G123" s="22" t="str">
        <f>IF(OR(E123="",E123="!!!"),"",IF(OR(J123=0,AND(J123=1,K123=1),AND(J123=1,I123="SBJ"),AND(J123=1,I123=0)),"?IN_FOCUS",IF(J123&lt;=2,"?ACTIVATED",IF(J123&lt;&gt;"","?FAMILIAR",IF(F123="NEW",IF(ISNA(VLOOKUP(E123,#REF!,1,FALSE())),"?TYPE_IDENTIFIABLE","?REFERENTIAL"),"_")))))</f>
        <v/>
      </c>
      <c r="H123" s="23" t="str">
        <f t="shared" ca="1" si="15"/>
        <v/>
      </c>
      <c r="I123" s="24" t="str">
        <f>IF(OR(E123="",E123="!!!",F123="NEW"),"",INDEX(B$2:B122,-1+SUMPRODUCT(MAX(ROW(E$2:E122)*(E123=E$2:E122)))))</f>
        <v/>
      </c>
      <c r="J123" s="24" t="str">
        <f ca="1">IF(OR(E123="",E123="!!!",F123="NEW"),"",COUNTBLANK(OFFSET(A$1,,,SUMPRODUCT(MAX(ROW(E$2:E123)*(E123=E$2:E123)))))-COUNTBLANK(OFFSET(A$1,,,SUMPRODUCT(MAX(ROW(E$1:E122)*(E2=E$1:E122))))))</f>
        <v/>
      </c>
      <c r="K123" s="24" t="str">
        <f>IF(OR(E123="",E123="!!!",F123="NEW"),"",INDEX(J$1:J122,SUMPRODUCT(MAX(ROW(E$1:E122)*(E123=E$1:E122)))))</f>
        <v/>
      </c>
      <c r="L123" s="25"/>
    </row>
    <row r="124" spans="1:12" x14ac:dyDescent="0.2">
      <c r="A124" t="s">
        <v>889</v>
      </c>
      <c r="E124" s="20" t="str">
        <f t="shared" si="14"/>
        <v/>
      </c>
      <c r="F124" s="21" t="str">
        <f>IF(OR(E124="",E124="!!!"),"",IF(NOT(ISNA(VLOOKUP(E124,E$1:E123,1,FALSE()))),"OLD",IF(AND(E124&lt;&gt;"",E124&lt;&gt;"!!!"),"NEW","")))</f>
        <v/>
      </c>
      <c r="G124" s="22" t="str">
        <f>IF(OR(E124="",E124="!!!"),"",IF(OR(J124=0,AND(J124=1,K124=1),AND(J124=1,I124="SBJ"),AND(J124=1,I124=0)),"?IN_FOCUS",IF(J124&lt;=2,"?ACTIVATED",IF(J124&lt;&gt;"","?FAMILIAR",IF(F124="NEW",IF(ISNA(VLOOKUP(E124,#REF!,1,FALSE())),"?TYPE_IDENTIFIABLE","?REFERENTIAL"),"_")))))</f>
        <v/>
      </c>
      <c r="H124" s="23" t="str">
        <f t="shared" ca="1" si="15"/>
        <v/>
      </c>
      <c r="I124" s="24" t="str">
        <f>IF(OR(E124="",E124="!!!",F124="NEW"),"",INDEX(B$2:B123,-1+SUMPRODUCT(MAX(ROW(E$2:E123)*(E124=E$2:E123)))))</f>
        <v/>
      </c>
      <c r="J124" s="24" t="str">
        <f ca="1">IF(OR(E124="",E124="!!!",F124="NEW"),"",COUNTBLANK(OFFSET(A$1,,,SUMPRODUCT(MAX(ROW(E$2:E124)*(E124=E$2:E124)))))-COUNTBLANK(OFFSET(A$1,,,SUMPRODUCT(MAX(ROW(E$1:E123)*(E2=E$1:E123))))))</f>
        <v/>
      </c>
      <c r="K124" s="24" t="str">
        <f>IF(OR(E124="",E124="!!!",F124="NEW"),"",INDEX(J$1:J123,SUMPRODUCT(MAX(ROW(E$1:E123)*(E124=E$1:E123)))))</f>
        <v/>
      </c>
      <c r="L124" s="25"/>
    </row>
    <row r="125" spans="1:12" x14ac:dyDescent="0.2">
      <c r="A125" t="s">
        <v>890</v>
      </c>
      <c r="E125" s="20" t="str">
        <f t="shared" si="14"/>
        <v/>
      </c>
      <c r="F125" s="21" t="str">
        <f>IF(OR(E125="",E125="!!!"),"",IF(NOT(ISNA(VLOOKUP(E125,E$1:E124,1,FALSE()))),"OLD",IF(AND(E125&lt;&gt;"",E125&lt;&gt;"!!!"),"NEW","")))</f>
        <v/>
      </c>
      <c r="G125" s="22" t="str">
        <f>IF(OR(E125="",E125="!!!"),"",IF(OR(J125=0,AND(J125=1,K125=1),AND(J125=1,I125="SBJ"),AND(J125=1,I125=0)),"?IN_FOCUS",IF(J125&lt;=2,"?ACTIVATED",IF(J125&lt;&gt;"","?FAMILIAR",IF(F125="NEW",IF(ISNA(VLOOKUP(E125,#REF!,1,FALSE())),"?TYPE_IDENTIFIABLE","?REFERENTIAL"),"_")))))</f>
        <v/>
      </c>
      <c r="H125" s="23" t="str">
        <f t="shared" ca="1" si="15"/>
        <v/>
      </c>
      <c r="I125" s="24" t="str">
        <f>IF(OR(E125="",E125="!!!",F125="NEW"),"",INDEX(B$2:B124,-1+SUMPRODUCT(MAX(ROW(E$2:E124)*(E125=E$2:E124)))))</f>
        <v/>
      </c>
      <c r="J125" s="24" t="str">
        <f ca="1">IF(OR(E125="",E125="!!!",F125="NEW"),"",COUNTBLANK(OFFSET(A$1,,,SUMPRODUCT(MAX(ROW(E$2:E125)*(E125=E$2:E125)))))-COUNTBLANK(OFFSET(A$1,,,SUMPRODUCT(MAX(ROW(E$1:E124)*(E2=E$1:E124))))))</f>
        <v/>
      </c>
      <c r="K125" s="24" t="str">
        <f>IF(OR(E125="",E125="!!!",F125="NEW"),"",INDEX(J$1:J124,SUMPRODUCT(MAX(ROW(E$1:E124)*(E125=E$1:E124)))))</f>
        <v/>
      </c>
      <c r="L125" s="25"/>
    </row>
    <row r="126" spans="1:12" x14ac:dyDescent="0.2">
      <c r="A126" t="s">
        <v>803</v>
      </c>
      <c r="B126" s="26" t="s">
        <v>891</v>
      </c>
      <c r="C126" s="26" t="s">
        <v>805</v>
      </c>
      <c r="D126" s="26" t="s">
        <v>806</v>
      </c>
      <c r="E126" s="20" t="s">
        <v>1748</v>
      </c>
      <c r="F126" s="21" t="s">
        <v>1753</v>
      </c>
      <c r="G126" s="22" t="s">
        <v>1823</v>
      </c>
      <c r="H126" s="23" t="str">
        <f t="shared" ca="1" si="15"/>
        <v/>
      </c>
      <c r="I126" s="24" t="str">
        <f>IF(OR(E126="",E126="!!!",F126="NEW"),"",INDEX(B$2:B125,-1+SUMPRODUCT(MAX(ROW(E$2:E125)*(E126=E$2:E125)))))</f>
        <v>SBJ</v>
      </c>
      <c r="J126" s="24">
        <f ca="1">IF(OR(E126="",E126="!!!",F126="NEW"),"",COUNTBLANK(OFFSET(A$1,,,SUMPRODUCT(MAX(ROW(E$2:E126)*(E126=E$2:E126)))))-COUNTBLANK(OFFSET(A$1,,,SUMPRODUCT(MAX(ROW(E$1:E125)*(E2=E$1:E125))))))</f>
        <v>0</v>
      </c>
      <c r="K126" s="24">
        <f ca="1">IF(OR(E126="",E126="!!!",F126="NEW"),"",INDEX(J$1:J125,SUMPRODUCT(MAX(ROW(E$1:E125)*(E126=E$1:E125)))))</f>
        <v>0</v>
      </c>
      <c r="L126" s="25"/>
    </row>
    <row r="127" spans="1:12" x14ac:dyDescent="0.2">
      <c r="A127" t="s">
        <v>892</v>
      </c>
      <c r="E127" s="20" t="str">
        <f t="shared" si="14"/>
        <v/>
      </c>
      <c r="F127" s="21" t="str">
        <f>IF(OR(E127="",E127="!!!"),"",IF(NOT(ISNA(VLOOKUP(E127,E$1:E126,1,FALSE()))),"OLD",IF(AND(E127&lt;&gt;"",E127&lt;&gt;"!!!"),"NEW","")))</f>
        <v/>
      </c>
      <c r="G127" s="22" t="str">
        <f>IF(OR(E127="",E127="!!!"),"",IF(OR(J127=0,AND(J127=1,K127=1),AND(J127=1,I127="SBJ"),AND(J127=1,I127=0)),"?IN_FOCUS",IF(J127&lt;=2,"?ACTIVATED",IF(J127&lt;&gt;"","?FAMILIAR",IF(F127="NEW",IF(ISNA(VLOOKUP(E127,#REF!,1,FALSE())),"?TYPE_IDENTIFIABLE","?REFERENTIAL"),"_")))))</f>
        <v/>
      </c>
      <c r="H127" s="23" t="str">
        <f t="shared" ca="1" si="15"/>
        <v/>
      </c>
      <c r="I127" s="24" t="str">
        <f>IF(OR(E127="",E127="!!!",F127="NEW"),"",INDEX(B$2:B126,-1+SUMPRODUCT(MAX(ROW(E$2:E126)*(E127=E$2:E126)))))</f>
        <v/>
      </c>
      <c r="J127" s="24" t="str">
        <f ca="1">IF(OR(E127="",E127="!!!",F127="NEW"),"",COUNTBLANK(OFFSET(A$1,,,SUMPRODUCT(MAX(ROW(E$2:E127)*(E127=E$2:E127)))))-COUNTBLANK(OFFSET(A$1,,,SUMPRODUCT(MAX(ROW(E$1:E126)*(E2=E$1:E126))))))</f>
        <v/>
      </c>
      <c r="K127" s="24" t="str">
        <f>IF(OR(E127="",E127="!!!",F127="NEW"),"",INDEX(J$1:J126,SUMPRODUCT(MAX(ROW(E$1:E126)*(E127=E$1:E126)))))</f>
        <v/>
      </c>
      <c r="L127" s="25"/>
    </row>
    <row r="128" spans="1:12" x14ac:dyDescent="0.2">
      <c r="A128" t="s">
        <v>893</v>
      </c>
      <c r="E128" s="20" t="str">
        <f t="shared" si="14"/>
        <v/>
      </c>
      <c r="F128" s="21" t="str">
        <f>IF(OR(E128="",E128="!!!"),"",IF(NOT(ISNA(VLOOKUP(E128,E$1:E127,1,FALSE()))),"OLD",IF(AND(E128&lt;&gt;"",E128&lt;&gt;"!!!"),"NEW","")))</f>
        <v/>
      </c>
      <c r="G128" s="22" t="str">
        <f>IF(OR(E128="",E128="!!!"),"",IF(OR(J128=0,AND(J128=1,K128=1),AND(J128=1,I128="SBJ"),AND(J128=1,I128=0)),"?IN_FOCUS",IF(J128&lt;=2,"?ACTIVATED",IF(J128&lt;&gt;"","?FAMILIAR",IF(F128="NEW",IF(ISNA(VLOOKUP(E128,#REF!,1,FALSE())),"?TYPE_IDENTIFIABLE","?REFERENTIAL"),"_")))))</f>
        <v/>
      </c>
      <c r="H128" s="23" t="str">
        <f t="shared" ca="1" si="15"/>
        <v/>
      </c>
      <c r="I128" s="24" t="str">
        <f>IF(OR(E128="",E128="!!!",F128="NEW"),"",INDEX(B$2:B127,-1+SUMPRODUCT(MAX(ROW(E$2:E127)*(E128=E$2:E127)))))</f>
        <v/>
      </c>
      <c r="J128" s="24" t="str">
        <f ca="1">IF(OR(E128="",E128="!!!",F128="NEW"),"",COUNTBLANK(OFFSET(A$1,,,SUMPRODUCT(MAX(ROW(E$2:E128)*(E128=E$2:E128)))))-COUNTBLANK(OFFSET(A$1,,,SUMPRODUCT(MAX(ROW(E$1:E127)*(E2=E$1:E127))))))</f>
        <v/>
      </c>
      <c r="K128" s="24" t="str">
        <f>IF(OR(E128="",E128="!!!",F128="NEW"),"",INDEX(J$1:J127,SUMPRODUCT(MAX(ROW(E$1:E127)*(E128=E$1:E127)))))</f>
        <v/>
      </c>
      <c r="L128" s="25"/>
    </row>
    <row r="129" spans="1:12" x14ac:dyDescent="0.2">
      <c r="A129" t="s">
        <v>894</v>
      </c>
      <c r="E129" s="20" t="str">
        <f t="shared" si="14"/>
        <v/>
      </c>
      <c r="F129" s="21" t="str">
        <f>IF(OR(E129="",E129="!!!"),"",IF(NOT(ISNA(VLOOKUP(E129,E$1:E128,1,FALSE()))),"OLD",IF(AND(E129&lt;&gt;"",E129&lt;&gt;"!!!"),"NEW","")))</f>
        <v/>
      </c>
      <c r="G129" s="22" t="str">
        <f>IF(OR(E129="",E129="!!!"),"",IF(OR(J129=0,AND(J129=1,K129=1),AND(J129=1,I129="SBJ"),AND(J129=1,I129=0)),"?IN_FOCUS",IF(J129&lt;=2,"?ACTIVATED",IF(J129&lt;&gt;"","?FAMILIAR",IF(F129="NEW",IF(ISNA(VLOOKUP(E129,#REF!,1,FALSE())),"?TYPE_IDENTIFIABLE","?REFERENTIAL"),"_")))))</f>
        <v/>
      </c>
      <c r="H129" s="23" t="str">
        <f t="shared" ca="1" si="15"/>
        <v/>
      </c>
      <c r="I129" s="24" t="str">
        <f>IF(OR(E129="",E129="!!!",F129="NEW"),"",INDEX(B$2:B128,-1+SUMPRODUCT(MAX(ROW(E$2:E128)*(E129=E$2:E128)))))</f>
        <v/>
      </c>
      <c r="J129" s="24" t="str">
        <f ca="1">IF(OR(E129="",E129="!!!",F129="NEW"),"",COUNTBLANK(OFFSET(A$1,,,SUMPRODUCT(MAX(ROW(E$2:E129)*(E129=E$2:E129)))))-COUNTBLANK(OFFSET(A$1,,,SUMPRODUCT(MAX(ROW(E$1:E128)*(E2=E$1:E128))))))</f>
        <v/>
      </c>
      <c r="K129" s="24" t="str">
        <f>IF(OR(E129="",E129="!!!",F129="NEW"),"",INDEX(J$1:J128,SUMPRODUCT(MAX(ROW(E$1:E128)*(E129=E$1:E128)))))</f>
        <v/>
      </c>
      <c r="L129" s="25"/>
    </row>
    <row r="130" spans="1:12" x14ac:dyDescent="0.2">
      <c r="A130" t="s">
        <v>895</v>
      </c>
      <c r="E130" s="20" t="str">
        <f t="shared" si="14"/>
        <v/>
      </c>
      <c r="F130" s="21" t="str">
        <f>IF(OR(E130="",E130="!!!"),"",IF(NOT(ISNA(VLOOKUP(E130,E$1:E129,1,FALSE()))),"OLD",IF(AND(E130&lt;&gt;"",E130&lt;&gt;"!!!"),"NEW","")))</f>
        <v/>
      </c>
      <c r="G130" s="22" t="str">
        <f>IF(OR(E130="",E130="!!!"),"",IF(OR(J130=0,AND(J130=1,K130=1),AND(J130=1,I130="SBJ"),AND(J130=1,I130=0)),"?IN_FOCUS",IF(J130&lt;=2,"?ACTIVATED",IF(J130&lt;&gt;"","?FAMILIAR",IF(F130="NEW",IF(ISNA(VLOOKUP(E130,#REF!,1,FALSE())),"?TYPE_IDENTIFIABLE","?REFERENTIAL"),"_")))))</f>
        <v/>
      </c>
      <c r="H130" s="23" t="str">
        <f t="shared" ca="1" si="15"/>
        <v/>
      </c>
      <c r="I130" s="24" t="str">
        <f>IF(OR(E130="",E130="!!!",F130="NEW"),"",INDEX(B$2:B129,-1+SUMPRODUCT(MAX(ROW(E$2:E129)*(E130=E$2:E129)))))</f>
        <v/>
      </c>
      <c r="J130" s="24" t="str">
        <f ca="1">IF(OR(E130="",E130="!!!",F130="NEW"),"",COUNTBLANK(OFFSET(A$1,,,SUMPRODUCT(MAX(ROW(E$2:E130)*(E130=E$2:E130)))))-COUNTBLANK(OFFSET(A$1,,,SUMPRODUCT(MAX(ROW(E$1:E129)*(E2=E$1:E129))))))</f>
        <v/>
      </c>
      <c r="K130" s="24" t="str">
        <f>IF(OR(E130="",E130="!!!",F130="NEW"),"",INDEX(J$1:J129,SUMPRODUCT(MAX(ROW(E$1:E129)*(E130=E$1:E129)))))</f>
        <v/>
      </c>
      <c r="L130" s="25"/>
    </row>
    <row r="131" spans="1:12" x14ac:dyDescent="0.2">
      <c r="A131" t="s">
        <v>896</v>
      </c>
      <c r="B131" s="26" t="s">
        <v>864</v>
      </c>
      <c r="C131" s="26" t="s">
        <v>811</v>
      </c>
      <c r="E131" s="20" t="str">
        <f t="shared" si="14"/>
        <v/>
      </c>
      <c r="F131" s="21" t="str">
        <f>IF(OR(E131="",E131="!!!"),"",IF(NOT(ISNA(VLOOKUP(E131,E$1:E130,1,FALSE()))),"OLD",IF(AND(E131&lt;&gt;"",E131&lt;&gt;"!!!"),"NEW","")))</f>
        <v/>
      </c>
      <c r="G131" s="22" t="str">
        <f>IF(OR(E131="",E131="!!!"),"",IF(OR(J131=0,AND(J131=1,K131=1),AND(J131=1,I131="SBJ"),AND(J131=1,I131=0)),"?IN_FOCUS",IF(J131&lt;=2,"?ACTIVATED",IF(J131&lt;&gt;"","?FAMILIAR",IF(F131="NEW",IF(ISNA(VLOOKUP(E131,#REF!,1,FALSE())),"?TYPE_IDENTIFIABLE","?REFERENTIAL"),"_")))))</f>
        <v/>
      </c>
      <c r="H131" s="23" t="str">
        <f t="shared" ca="1" si="15"/>
        <v/>
      </c>
      <c r="I131" s="24" t="str">
        <f>IF(OR(E131="",E131="!!!",F131="NEW"),"",INDEX(B$2:B130,-1+SUMPRODUCT(MAX(ROW(E$2:E130)*(E131=E$2:E130)))))</f>
        <v/>
      </c>
      <c r="J131" s="24" t="str">
        <f ca="1">IF(OR(E131="",E131="!!!",F131="NEW"),"",COUNTBLANK(OFFSET(A$1,,,SUMPRODUCT(MAX(ROW(E$2:E131)*(E131=E$2:E131)))))-COUNTBLANK(OFFSET(A$1,,,SUMPRODUCT(MAX(ROW(E$1:E130)*(E2=E$1:E130))))))</f>
        <v/>
      </c>
      <c r="K131" s="24" t="str">
        <f>IF(OR(E131="",E131="!!!",F131="NEW"),"",INDEX(J$1:J130,SUMPRODUCT(MAX(ROW(E$1:E130)*(E131=E$1:E130)))))</f>
        <v/>
      </c>
      <c r="L131" s="25"/>
    </row>
    <row r="132" spans="1:12" x14ac:dyDescent="0.2">
      <c r="A132" t="s">
        <v>869</v>
      </c>
      <c r="E132" s="20" t="str">
        <f t="shared" si="14"/>
        <v/>
      </c>
      <c r="F132" s="21" t="str">
        <f>IF(OR(E132="",E132="!!!"),"",IF(NOT(ISNA(VLOOKUP(E132,E$1:E131,1,FALSE()))),"OLD",IF(AND(E132&lt;&gt;"",E132&lt;&gt;"!!!"),"NEW","")))</f>
        <v/>
      </c>
      <c r="G132" s="22" t="str">
        <f>IF(OR(E132="",E132="!!!"),"",IF(OR(J132=0,AND(J132=1,K132=1),AND(J132=1,I132="SBJ"),AND(J132=1,I132=0)),"?IN_FOCUS",IF(J132&lt;=2,"?ACTIVATED",IF(J132&lt;&gt;"","?FAMILIAR",IF(F132="NEW",IF(ISNA(VLOOKUP(E132,#REF!,1,FALSE())),"?TYPE_IDENTIFIABLE","?REFERENTIAL"),"_")))))</f>
        <v/>
      </c>
      <c r="H132" s="23" t="str">
        <f t="shared" ca="1" si="15"/>
        <v/>
      </c>
      <c r="I132" s="24" t="str">
        <f>IF(OR(E132="",E132="!!!",F132="NEW"),"",INDEX(B$2:B131,-1+SUMPRODUCT(MAX(ROW(E$2:E131)*(E132=E$2:E131)))))</f>
        <v/>
      </c>
      <c r="J132" s="24" t="str">
        <f ca="1">IF(OR(E132="",E132="!!!",F132="NEW"),"",COUNTBLANK(OFFSET(A$1,,,SUMPRODUCT(MAX(ROW(E$2:E132)*(E132=E$2:E132)))))-COUNTBLANK(OFFSET(A$1,,,SUMPRODUCT(MAX(ROW(E$1:E131)*(E2=E$1:E131))))))</f>
        <v/>
      </c>
      <c r="K132" s="24" t="str">
        <f>IF(OR(E132="",E132="!!!",F132="NEW"),"",INDEX(J$1:J131,SUMPRODUCT(MAX(ROW(E$1:E131)*(E132=E$1:E131)))))</f>
        <v/>
      </c>
      <c r="L132" s="25"/>
    </row>
    <row r="133" spans="1:12" x14ac:dyDescent="0.2">
      <c r="A133" t="s">
        <v>845</v>
      </c>
      <c r="E133" s="20" t="str">
        <f t="shared" si="14"/>
        <v/>
      </c>
      <c r="F133" s="21" t="str">
        <f>IF(OR(E133="",E133="!!!"),"",IF(NOT(ISNA(VLOOKUP(E133,E$1:E132,1,FALSE()))),"OLD",IF(AND(E133&lt;&gt;"",E133&lt;&gt;"!!!"),"NEW","")))</f>
        <v/>
      </c>
      <c r="G133" s="22" t="str">
        <f>IF(OR(E133="",E133="!!!"),"",IF(OR(J133=0,AND(J133=1,K133=1),AND(J133=1,I133="SBJ"),AND(J133=1,I133=0)),"?IN_FOCUS",IF(J133&lt;=2,"?ACTIVATED",IF(J133&lt;&gt;"","?FAMILIAR",IF(F133="NEW",IF(ISNA(VLOOKUP(E133,#REF!,1,FALSE())),"?TYPE_IDENTIFIABLE","?REFERENTIAL"),"_")))))</f>
        <v/>
      </c>
      <c r="H133" s="23" t="str">
        <f t="shared" ca="1" si="15"/>
        <v/>
      </c>
      <c r="I133" s="24" t="str">
        <f>IF(OR(E133="",E133="!!!",F133="NEW"),"",INDEX(B$2:B132,-1+SUMPRODUCT(MAX(ROW(E$2:E132)*(E133=E$2:E132)))))</f>
        <v/>
      </c>
      <c r="J133" s="24" t="str">
        <f ca="1">IF(OR(E133="",E133="!!!",F133="NEW"),"",COUNTBLANK(OFFSET(A$1,,,SUMPRODUCT(MAX(ROW(E$2:E133)*(E133=E$2:E133)))))-COUNTBLANK(OFFSET(A$1,,,SUMPRODUCT(MAX(ROW(E$1:E132)*(E2=E$1:E132))))))</f>
        <v/>
      </c>
      <c r="K133" s="24" t="str">
        <f>IF(OR(E133="",E133="!!!",F133="NEW"),"",INDEX(J$1:J132,SUMPRODUCT(MAX(ROW(E$1:E132)*(E133=E$1:E132)))))</f>
        <v/>
      </c>
      <c r="L133" s="25"/>
    </row>
    <row r="134" spans="1:12" x14ac:dyDescent="0.2">
      <c r="A134" t="s">
        <v>530</v>
      </c>
      <c r="B134" s="26" t="s">
        <v>897</v>
      </c>
      <c r="C134" s="26" t="s">
        <v>847</v>
      </c>
      <c r="D134" s="26" t="s">
        <v>806</v>
      </c>
      <c r="E134" s="20" t="s">
        <v>1751</v>
      </c>
      <c r="F134" s="21" t="str">
        <f>IF(OR(E134="",E134="!!!"),"",IF(NOT(ISNA(VLOOKUP(E134,E$1:E133,1,FALSE()))),"OLD",IF(AND(E134&lt;&gt;"",E134&lt;&gt;"!!!"),"NEW","")))</f>
        <v>NEW</v>
      </c>
      <c r="G134" s="22" t="s">
        <v>1824</v>
      </c>
      <c r="H134" s="23" t="str">
        <f t="shared" ca="1" si="15"/>
        <v/>
      </c>
      <c r="I134" s="24" t="str">
        <f>IF(OR(E134="",E134="!!!",F134="NEW"),"",INDEX(B$2:B133,-1+SUMPRODUCT(MAX(ROW(E$2:E133)*(E134=E$2:E133)))))</f>
        <v/>
      </c>
      <c r="J134" s="24" t="str">
        <f ca="1">IF(OR(E134="",E134="!!!",F134="NEW"),"",COUNTBLANK(OFFSET(A$1,,,SUMPRODUCT(MAX(ROW(E$2:E134)*(E134=E$2:E134)))))-COUNTBLANK(OFFSET(A$1,,,SUMPRODUCT(MAX(ROW(E$1:E133)*(E2=E$1:E133))))))</f>
        <v/>
      </c>
      <c r="K134" s="24" t="str">
        <f>IF(OR(E134="",E134="!!!",F134="NEW"),"",INDEX(J$1:J133,SUMPRODUCT(MAX(ROW(E$1:E133)*(E134=E$1:E133)))))</f>
        <v/>
      </c>
      <c r="L134" s="25"/>
    </row>
    <row r="135" spans="1:12" x14ac:dyDescent="0.2">
      <c r="A135" t="s">
        <v>898</v>
      </c>
      <c r="E135" s="20" t="str">
        <f t="shared" si="14"/>
        <v/>
      </c>
      <c r="F135" s="21" t="str">
        <f>IF(OR(E135="",E135="!!!"),"",IF(NOT(ISNA(VLOOKUP(E135,E$1:E134,1,FALSE()))),"OLD",IF(AND(E135&lt;&gt;"",E135&lt;&gt;"!!!"),"NEW","")))</f>
        <v/>
      </c>
      <c r="G135" s="22" t="str">
        <f>IF(OR(E135="",E135="!!!"),"",IF(OR(J135=0,AND(J135=1,K135=1),AND(J135=1,I135="SBJ"),AND(J135=1,I135=0)),"?IN_FOCUS",IF(J135&lt;=2,"?ACTIVATED",IF(J135&lt;&gt;"","?FAMILIAR",IF(F135="NEW",IF(ISNA(VLOOKUP(E135,#REF!,1,FALSE())),"?TYPE_IDENTIFIABLE","?REFERENTIAL"),"_")))))</f>
        <v/>
      </c>
      <c r="H135" s="23" t="str">
        <f t="shared" ca="1" si="15"/>
        <v/>
      </c>
      <c r="I135" s="24" t="str">
        <f>IF(OR(E135="",E135="!!!",F135="NEW"),"",INDEX(B$2:B134,-1+SUMPRODUCT(MAX(ROW(E$2:E134)*(E135=E$2:E134)))))</f>
        <v/>
      </c>
      <c r="J135" s="24" t="str">
        <f ca="1">IF(OR(E135="",E135="!!!",F135="NEW"),"",COUNTBLANK(OFFSET(A$1,,,SUMPRODUCT(MAX(ROW(E$2:E135)*(E135=E$2:E135)))))-COUNTBLANK(OFFSET(A$1,,,SUMPRODUCT(MAX(ROW(E$1:E134)*(E2=E$1:E134))))))</f>
        <v/>
      </c>
      <c r="K135" s="24" t="str">
        <f>IF(OR(E135="",E135="!!!",F135="NEW"),"",INDEX(J$1:J134,SUMPRODUCT(MAX(ROW(E$1:E134)*(E135=E$1:E134)))))</f>
        <v/>
      </c>
      <c r="L135" s="25"/>
    </row>
    <row r="136" spans="1:12" x14ac:dyDescent="0.2">
      <c r="A136" t="s">
        <v>863</v>
      </c>
      <c r="B136" s="26" t="s">
        <v>899</v>
      </c>
      <c r="C136" s="26" t="s">
        <v>820</v>
      </c>
      <c r="D136" s="26" t="s">
        <v>806</v>
      </c>
      <c r="E136" s="20" t="s">
        <v>863</v>
      </c>
      <c r="F136" s="21" t="str">
        <f>IF(OR(E136="",E136="!!!"),"",IF(NOT(ISNA(VLOOKUP(E136,E$1:E135,1,FALSE()))),"OLD",IF(AND(E136&lt;&gt;"",E136&lt;&gt;"!!!"),"NEW","")))</f>
        <v>NEW</v>
      </c>
      <c r="G136" s="22" t="s">
        <v>1824</v>
      </c>
      <c r="H136" s="23" t="str">
        <f t="shared" ca="1" si="15"/>
        <v/>
      </c>
      <c r="I136" s="24" t="str">
        <f>IF(OR(E136="",E136="!!!",F136="NEW"),"",INDEX(B$2:B135,-1+SUMPRODUCT(MAX(ROW(E$2:E135)*(E136=E$2:E135)))))</f>
        <v/>
      </c>
      <c r="J136" s="24" t="str">
        <f ca="1">IF(OR(E136="",E136="!!!",F136="NEW"),"",COUNTBLANK(OFFSET(A$1,,,SUMPRODUCT(MAX(ROW(E$2:E136)*(E136=E$2:E136)))))-COUNTBLANK(OFFSET(A$1,,,SUMPRODUCT(MAX(ROW(E$1:E135)*(E2=E$1:E135))))))</f>
        <v/>
      </c>
      <c r="K136" s="24" t="str">
        <f>IF(OR(E136="",E136="!!!",F136="NEW"),"",INDEX(J$1:J135,SUMPRODUCT(MAX(ROW(E$1:E135)*(E136=E$1:E135)))))</f>
        <v/>
      </c>
      <c r="L136" s="25"/>
    </row>
    <row r="137" spans="1:12" x14ac:dyDescent="0.2">
      <c r="A137" t="s">
        <v>821</v>
      </c>
      <c r="E137" s="20" t="str">
        <f t="shared" si="14"/>
        <v/>
      </c>
      <c r="F137" s="21" t="str">
        <f>IF(OR(E137="",E137="!!!"),"",IF(NOT(ISNA(VLOOKUP(E137,E$1:E136,1,FALSE()))),"OLD",IF(AND(E137&lt;&gt;"",E137&lt;&gt;"!!!"),"NEW","")))</f>
        <v/>
      </c>
      <c r="G137" s="22" t="str">
        <f>IF(OR(E137="",E137="!!!"),"",IF(OR(J137=0,AND(J137=1,K137=1),AND(J137=1,I137="SBJ"),AND(J137=1,I137=0)),"?IN_FOCUS",IF(J137&lt;=2,"?ACTIVATED",IF(J137&lt;&gt;"","?FAMILIAR",IF(F137="NEW",IF(ISNA(VLOOKUP(E137,#REF!,1,FALSE())),"?TYPE_IDENTIFIABLE","?REFERENTIAL"),"_")))))</f>
        <v/>
      </c>
      <c r="H137" s="23" t="str">
        <f t="shared" ca="1" si="15"/>
        <v/>
      </c>
      <c r="I137" s="24" t="str">
        <f>IF(OR(E137="",E137="!!!",F137="NEW"),"",INDEX(B$2:B136,-1+SUMPRODUCT(MAX(ROW(E$2:E136)*(E137=E$2:E136)))))</f>
        <v/>
      </c>
      <c r="J137" s="24" t="str">
        <f ca="1">IF(OR(E137="",E137="!!!",F137="NEW"),"",COUNTBLANK(OFFSET(A$1,,,SUMPRODUCT(MAX(ROW(E$2:E137)*(E137=E$2:E137)))))-COUNTBLANK(OFFSET(A$1,,,SUMPRODUCT(MAX(ROW(E$1:E136)*(E2=E$1:E136))))))</f>
        <v/>
      </c>
      <c r="K137" s="24" t="str">
        <f>IF(OR(E137="",E137="!!!",F137="NEW"),"",INDEX(J$1:J136,SUMPRODUCT(MAX(ROW(E$1:E136)*(E137=E$1:E136)))))</f>
        <v/>
      </c>
      <c r="L137" s="25"/>
    </row>
    <row r="139" spans="1:12" x14ac:dyDescent="0.2">
      <c r="A139" t="s">
        <v>900</v>
      </c>
      <c r="E139" s="20" t="str">
        <f>IF(D139="?OLD","!!!","")</f>
        <v/>
      </c>
      <c r="F139" s="21"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ca="1">IF(J139&lt;&gt;1,"",IF(I139="SBJ","CB","?"))</f>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5"/>
    </row>
    <row r="140" spans="1:12" x14ac:dyDescent="0.2">
      <c r="A140" t="s">
        <v>901</v>
      </c>
    </row>
    <row r="141" spans="1:12" x14ac:dyDescent="0.2">
      <c r="A141" t="s">
        <v>902</v>
      </c>
      <c r="E141" s="20" t="str">
        <f t="shared" ref="E141:E147" si="16">IF(D141="?OLD","!!!","")</f>
        <v/>
      </c>
      <c r="F141" s="21"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ref="H141:H147" ca="1" si="17">IF(J141&lt;&gt;1,"",IF(I141="SBJ","CB","?"))</f>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5"/>
    </row>
    <row r="142" spans="1:12" x14ac:dyDescent="0.2">
      <c r="A142" t="s">
        <v>903</v>
      </c>
      <c r="E142" s="20" t="str">
        <f t="shared" si="16"/>
        <v/>
      </c>
      <c r="F142" s="21" t="str">
        <f>IF(OR(E142="",E142="!!!"),"",IF(NOT(ISNA(VLOOKUP(E142,E$1:E141,1,FALSE()))),"OLD",IF(AND(E142&lt;&gt;"",E142&lt;&gt;"!!!"),"NEW","")))</f>
        <v/>
      </c>
      <c r="G142" s="22" t="str">
        <f>IF(OR(E142="",E142="!!!"),"",IF(OR(J142=0,AND(J142=1,K142=1),AND(J142=1,I142="SBJ"),AND(J142=1,I142=0)),"?IN_FOCUS",IF(J142&lt;=2,"?ACTIVATED",IF(J142&lt;&gt;"","?FAMILIAR",IF(F142="NEW",IF(ISNA(VLOOKUP(E142,#REF!,1,FALSE())),"?TYPE_IDENTIFIABLE","?REFERENTIAL"),"_")))))</f>
        <v/>
      </c>
      <c r="H142" s="23" t="str">
        <f t="shared" ca="1" si="17"/>
        <v/>
      </c>
      <c r="I142" s="24" t="str">
        <f>IF(OR(E142="",E142="!!!",F142="NEW"),"",INDEX(B$2:B141,-1+SUMPRODUCT(MAX(ROW(E$2:E141)*(E142=E$2:E141)))))</f>
        <v/>
      </c>
      <c r="J142" s="24" t="str">
        <f ca="1">IF(OR(E142="",E142="!!!",F142="NEW"),"",COUNTBLANK(OFFSET(A$1,,,SUMPRODUCT(MAX(ROW(E$2:E142)*(E142=E$2:E142)))))-COUNTBLANK(OFFSET(A$1,,,SUMPRODUCT(MAX(ROW(E$1:E141)*(E2=E$1:E141))))))</f>
        <v/>
      </c>
      <c r="K142" s="24" t="str">
        <f>IF(OR(E142="",E142="!!!",F142="NEW"),"",INDEX(J$1:J141,SUMPRODUCT(MAX(ROW(E$1:E141)*(E142=E$1:E141)))))</f>
        <v/>
      </c>
      <c r="L142" s="25"/>
    </row>
    <row r="143" spans="1:12" x14ac:dyDescent="0.2">
      <c r="A143" t="s">
        <v>802</v>
      </c>
      <c r="E143" s="20" t="str">
        <f t="shared" si="16"/>
        <v/>
      </c>
      <c r="F143" s="21" t="str">
        <f>IF(OR(E143="",E143="!!!"),"",IF(NOT(ISNA(VLOOKUP(E143,E$1:E142,1,FALSE()))),"OLD",IF(AND(E143&lt;&gt;"",E143&lt;&gt;"!!!"),"NEW","")))</f>
        <v/>
      </c>
      <c r="G143" s="22" t="str">
        <f>IF(OR(E143="",E143="!!!"),"",IF(OR(J143=0,AND(J143=1,K143=1),AND(J143=1,I143="SBJ"),AND(J143=1,I143=0)),"?IN_FOCUS",IF(J143&lt;=2,"?ACTIVATED",IF(J143&lt;&gt;"","?FAMILIAR",IF(F143="NEW",IF(ISNA(VLOOKUP(E143,#REF!,1,FALSE())),"?TYPE_IDENTIFIABLE","?REFERENTIAL"),"_")))))</f>
        <v/>
      </c>
      <c r="H143" s="23" t="str">
        <f t="shared" ca="1" si="17"/>
        <v/>
      </c>
      <c r="I143" s="24" t="str">
        <f>IF(OR(E143="",E143="!!!",F143="NEW"),"",INDEX(B$2:B142,-1+SUMPRODUCT(MAX(ROW(E$2:E142)*(E143=E$2:E142)))))</f>
        <v/>
      </c>
      <c r="J143" s="24" t="str">
        <f ca="1">IF(OR(E143="",E143="!!!",F143="NEW"),"",COUNTBLANK(OFFSET(A$1,,,SUMPRODUCT(MAX(ROW(E$2:E143)*(E143=E$2:E143)))))-COUNTBLANK(OFFSET(A$1,,,SUMPRODUCT(MAX(ROW(E$1:E142)*(E2=E$1:E142))))))</f>
        <v/>
      </c>
      <c r="K143" s="24" t="str">
        <f>IF(OR(E143="",E143="!!!",F143="NEW"),"",INDEX(J$1:J142,SUMPRODUCT(MAX(ROW(E$1:E142)*(E143=E$1:E142)))))</f>
        <v/>
      </c>
      <c r="L143" s="25"/>
    </row>
    <row r="144" spans="1:12" x14ac:dyDescent="0.2">
      <c r="A144" t="s">
        <v>902</v>
      </c>
      <c r="E144" s="20" t="str">
        <f t="shared" si="16"/>
        <v/>
      </c>
      <c r="F144" s="21" t="str">
        <f>IF(OR(E144="",E144="!!!"),"",IF(NOT(ISNA(VLOOKUP(E144,E$1:E143,1,FALSE()))),"OLD",IF(AND(E144&lt;&gt;"",E144&lt;&gt;"!!!"),"NEW","")))</f>
        <v/>
      </c>
      <c r="G144" s="22" t="str">
        <f>IF(OR(E144="",E144="!!!"),"",IF(OR(J144=0,AND(J144=1,K144=1),AND(J144=1,I144="SBJ"),AND(J144=1,I144=0)),"?IN_FOCUS",IF(J144&lt;=2,"?ACTIVATED",IF(J144&lt;&gt;"","?FAMILIAR",IF(F144="NEW",IF(ISNA(VLOOKUP(E144,#REF!,1,FALSE())),"?TYPE_IDENTIFIABLE","?REFERENTIAL"),"_")))))</f>
        <v/>
      </c>
      <c r="H144" s="23" t="str">
        <f t="shared" ca="1" si="17"/>
        <v/>
      </c>
      <c r="I144" s="24" t="str">
        <f>IF(OR(E144="",E144="!!!",F144="NEW"),"",INDEX(B$2:B143,-1+SUMPRODUCT(MAX(ROW(E$2:E143)*(E144=E$2:E143)))))</f>
        <v/>
      </c>
      <c r="J144" s="24" t="str">
        <f ca="1">IF(OR(E144="",E144="!!!",F144="NEW"),"",COUNTBLANK(OFFSET(A$1,,,SUMPRODUCT(MAX(ROW(E$2:E144)*(E144=E$2:E144)))))-COUNTBLANK(OFFSET(A$1,,,SUMPRODUCT(MAX(ROW(E$1:E143)*(E2=E$1:E143))))))</f>
        <v/>
      </c>
      <c r="K144" s="24" t="str">
        <f>IF(OR(E144="",E144="!!!",F144="NEW"),"",INDEX(J$1:J143,SUMPRODUCT(MAX(ROW(E$1:E143)*(E144=E$1:E143)))))</f>
        <v/>
      </c>
      <c r="L144" s="25"/>
    </row>
    <row r="145" spans="1:12" x14ac:dyDescent="0.2">
      <c r="A145" t="s">
        <v>803</v>
      </c>
      <c r="B145" s="26" t="s">
        <v>804</v>
      </c>
      <c r="C145" s="26" t="s">
        <v>805</v>
      </c>
      <c r="D145" s="26" t="s">
        <v>806</v>
      </c>
      <c r="E145" s="20" t="s">
        <v>1748</v>
      </c>
      <c r="F145" s="21" t="s">
        <v>1753</v>
      </c>
      <c r="G145" s="22" t="s">
        <v>1823</v>
      </c>
      <c r="H145" s="23" t="str">
        <f t="shared" ca="1" si="17"/>
        <v/>
      </c>
      <c r="I145" s="24" t="str">
        <f>IF(OR(E145="",E145="!!!",F145="NEW"),"",INDEX(B$2:B144,-1+SUMPRODUCT(MAX(ROW(E$2:E144)*(E145=E$2:E144)))))</f>
        <v>SBJ_3</v>
      </c>
      <c r="J145" s="24">
        <f ca="1">IF(OR(E145="",E145="!!!",F145="NEW"),"",COUNTBLANK(OFFSET(A$1,,,SUMPRODUCT(MAX(ROW(E$2:E145)*(E145=E$2:E145)))))-COUNTBLANK(OFFSET(A$1,,,SUMPRODUCT(MAX(ROW(E$1:E144)*(E2=E$1:E144))))))</f>
        <v>0</v>
      </c>
      <c r="K145" s="24">
        <f ca="1">IF(OR(E145="",E145="!!!",F145="NEW"),"",INDEX(J$1:J144,SUMPRODUCT(MAX(ROW(E$1:E144)*(E145=E$1:E144)))))</f>
        <v>0</v>
      </c>
      <c r="L145" s="25"/>
    </row>
    <row r="146" spans="1:12" x14ac:dyDescent="0.2">
      <c r="A146" t="s">
        <v>904</v>
      </c>
      <c r="E146" s="20" t="str">
        <f t="shared" si="16"/>
        <v/>
      </c>
      <c r="F146" s="21" t="str">
        <f>IF(OR(E146="",E146="!!!"),"",IF(NOT(ISNA(VLOOKUP(E146,E$1:E145,1,FALSE()))),"OLD",IF(AND(E146&lt;&gt;"",E146&lt;&gt;"!!!"),"NEW","")))</f>
        <v/>
      </c>
      <c r="G146" s="22" t="str">
        <f>IF(OR(E146="",E146="!!!"),"",IF(OR(J146=0,AND(J146=1,K146=1),AND(J146=1,I146="SBJ"),AND(J146=1,I146=0)),"?IN_FOCUS",IF(J146&lt;=2,"?ACTIVATED",IF(J146&lt;&gt;"","?FAMILIAR",IF(F146="NEW",IF(ISNA(VLOOKUP(E146,#REF!,1,FALSE())),"?TYPE_IDENTIFIABLE","?REFERENTIAL"),"_")))))</f>
        <v/>
      </c>
      <c r="H146" s="23" t="str">
        <f t="shared" ca="1" si="17"/>
        <v/>
      </c>
      <c r="I146" s="24" t="str">
        <f>IF(OR(E146="",E146="!!!",F146="NEW"),"",INDEX(B$2:B145,-1+SUMPRODUCT(MAX(ROW(E$2:E145)*(E146=E$2:E145)))))</f>
        <v/>
      </c>
      <c r="J146" s="24" t="str">
        <f ca="1">IF(OR(E146="",E146="!!!",F146="NEW"),"",COUNTBLANK(OFFSET(A$1,,,SUMPRODUCT(MAX(ROW(E$2:E146)*(E146=E$2:E146)))))-COUNTBLANK(OFFSET(A$1,,,SUMPRODUCT(MAX(ROW(E$1:E145)*(E2=E$1:E145))))))</f>
        <v/>
      </c>
      <c r="K146" s="24" t="str">
        <f>IF(OR(E146="",E146="!!!",F146="NEW"),"",INDEX(J$1:J145,SUMPRODUCT(MAX(ROW(E$1:E145)*(E146=E$1:E145)))))</f>
        <v/>
      </c>
      <c r="L146" s="25"/>
    </row>
    <row r="147" spans="1:12" x14ac:dyDescent="0.2">
      <c r="A147" t="s">
        <v>821</v>
      </c>
      <c r="E147" s="20" t="str">
        <f t="shared" si="16"/>
        <v/>
      </c>
      <c r="F147" s="21" t="str">
        <f>IF(OR(E147="",E147="!!!"),"",IF(NOT(ISNA(VLOOKUP(E147,E$1:E146,1,FALSE()))),"OLD",IF(AND(E147&lt;&gt;"",E147&lt;&gt;"!!!"),"NEW","")))</f>
        <v/>
      </c>
      <c r="G147" s="22" t="str">
        <f>IF(OR(E147="",E147="!!!"),"",IF(OR(J147=0,AND(J147=1,K147=1),AND(J147=1,I147="SBJ"),AND(J147=1,I147=0)),"?IN_FOCUS",IF(J147&lt;=2,"?ACTIVATED",IF(J147&lt;&gt;"","?FAMILIAR",IF(F147="NEW",IF(ISNA(VLOOKUP(E147,#REF!,1,FALSE())),"?TYPE_IDENTIFIABLE","?REFERENTIAL"),"_")))))</f>
        <v/>
      </c>
      <c r="H147" s="23" t="str">
        <f t="shared" ca="1" si="17"/>
        <v/>
      </c>
      <c r="I147" s="24" t="str">
        <f>IF(OR(E147="",E147="!!!",F147="NEW"),"",INDEX(B$2:B146,-1+SUMPRODUCT(MAX(ROW(E$2:E146)*(E147=E$2:E146)))))</f>
        <v/>
      </c>
      <c r="J147" s="24" t="str">
        <f ca="1">IF(OR(E147="",E147="!!!",F147="NEW"),"",COUNTBLANK(OFFSET(A$1,,,SUMPRODUCT(MAX(ROW(E$2:E147)*(E147=E$2:E147)))))-COUNTBLANK(OFFSET(A$1,,,SUMPRODUCT(MAX(ROW(E$1:E146)*(E2=E$1:E146))))))</f>
        <v/>
      </c>
      <c r="K147" s="24" t="str">
        <f>IF(OR(E147="",E147="!!!",F147="NEW"),"",INDEX(J$1:J146,SUMPRODUCT(MAX(ROW(E$1:E146)*(E147=E$1:E146)))))</f>
        <v/>
      </c>
      <c r="L147" s="25"/>
    </row>
    <row r="149" spans="1:12" x14ac:dyDescent="0.2">
      <c r="A149" t="s">
        <v>905</v>
      </c>
    </row>
    <row r="150" spans="1:12" x14ac:dyDescent="0.2">
      <c r="A150" t="s">
        <v>906</v>
      </c>
      <c r="B150" s="26" t="s">
        <v>819</v>
      </c>
      <c r="C150" s="26" t="s">
        <v>907</v>
      </c>
      <c r="D150" s="26" t="s">
        <v>806</v>
      </c>
      <c r="E150" s="20"/>
      <c r="F150" s="21" t="s">
        <v>1785</v>
      </c>
      <c r="G150" s="22" t="str">
        <f>IF(OR(E150="",E150="!!!"),"",IF(OR(J150=0,AND(J150=1,K150=1),AND(J150=1,I150="SBJ"),AND(J150=1,I150=0)),"?IN_FOCUS",IF(J150&lt;=2,"?ACTIVATED",IF(J150&lt;&gt;"","?FAMILIAR",IF(F150="NEW",IF(ISNA(VLOOKUP(E150,#REF!,1,FALSE())),"?TYPE_IDENTIFIABLE","?REFERENTIAL"),"_")))))</f>
        <v/>
      </c>
      <c r="H150" s="23" t="str">
        <f t="shared" ref="H150:H166" ca="1" si="18">IF(J150&lt;&gt;1,"",IF(I150="SBJ","CB","?"))</f>
        <v/>
      </c>
      <c r="I150" s="24" t="str">
        <f>IF(OR(E150="",E150="!!!",F150="NEW"),"",INDEX(B$2:B149,-1+SUMPRODUCT(MAX(ROW(E$2:E149)*(E150=E$2:E149)))))</f>
        <v/>
      </c>
      <c r="J150" s="24" t="str">
        <f ca="1">IF(OR(E150="",E150="!!!",F150="NEW"),"",COUNTBLANK(OFFSET(A$1,,,SUMPRODUCT(MAX(ROW(E$2:E150)*(E150=E$2:E150)))))-COUNTBLANK(OFFSET(A$1,,,SUMPRODUCT(MAX(ROW(E$1:E149)*(E2=E$1:E149))))))</f>
        <v/>
      </c>
      <c r="K150" s="24" t="str">
        <f>IF(OR(E150="",E150="!!!",F150="NEW"),"",INDEX(J$1:J149,SUMPRODUCT(MAX(ROW(E$1:E149)*(E150=E$1:E149)))))</f>
        <v/>
      </c>
      <c r="L150" s="25"/>
    </row>
    <row r="151" spans="1:12" x14ac:dyDescent="0.2">
      <c r="A151" t="s">
        <v>831</v>
      </c>
      <c r="E151" s="20" t="str">
        <f t="shared" ref="E150:E166" si="19">IF(D151="?OLD","!!!","")</f>
        <v/>
      </c>
      <c r="F151" s="21" t="str">
        <f>IF(OR(E151="",E151="!!!"),"",IF(NOT(ISNA(VLOOKUP(E151,E$1:E150,1,FALSE()))),"OLD",IF(AND(E151&lt;&gt;"",E151&lt;&gt;"!!!"),"NEW","")))</f>
        <v/>
      </c>
      <c r="G151" s="22" t="str">
        <f>IF(OR(E151="",E151="!!!"),"",IF(OR(J151=0,AND(J151=1,K151=1),AND(J151=1,I151="SBJ"),AND(J151=1,I151=0)),"?IN_FOCUS",IF(J151&lt;=2,"?ACTIVATED",IF(J151&lt;&gt;"","?FAMILIAR",IF(F151="NEW",IF(ISNA(VLOOKUP(E151,#REF!,1,FALSE())),"?TYPE_IDENTIFIABLE","?REFERENTIAL"),"_")))))</f>
        <v/>
      </c>
      <c r="H151" s="23" t="str">
        <f t="shared" ca="1" si="18"/>
        <v/>
      </c>
      <c r="I151" s="24" t="str">
        <f>IF(OR(E151="",E151="!!!",F151="NEW"),"",INDEX(B$2:B150,-1+SUMPRODUCT(MAX(ROW(E$2:E150)*(E151=E$2:E150)))))</f>
        <v/>
      </c>
      <c r="J151" s="24" t="str">
        <f ca="1">IF(OR(E151="",E151="!!!",F151="NEW"),"",COUNTBLANK(OFFSET(A$1,,,SUMPRODUCT(MAX(ROW(E$2:E151)*(E151=E$2:E151)))))-COUNTBLANK(OFFSET(A$1,,,SUMPRODUCT(MAX(ROW(E$1:E150)*(E2=E$1:E150))))))</f>
        <v/>
      </c>
      <c r="K151" s="24" t="str">
        <f>IF(OR(E151="",E151="!!!",F151="NEW"),"",INDEX(J$1:J150,SUMPRODUCT(MAX(ROW(E$1:E150)*(E151=E$1:E150)))))</f>
        <v/>
      </c>
      <c r="L151" s="25"/>
    </row>
    <row r="152" spans="1:12" x14ac:dyDescent="0.2">
      <c r="A152" t="s">
        <v>809</v>
      </c>
      <c r="E152" s="20" t="str">
        <f t="shared" si="19"/>
        <v/>
      </c>
      <c r="F152" s="21" t="str">
        <f>IF(OR(E152="",E152="!!!"),"",IF(NOT(ISNA(VLOOKUP(E152,E$1:E151,1,FALSE()))),"OLD",IF(AND(E152&lt;&gt;"",E152&lt;&gt;"!!!"),"NEW","")))</f>
        <v/>
      </c>
      <c r="G152" s="22" t="str">
        <f>IF(OR(E152="",E152="!!!"),"",IF(OR(J152=0,AND(J152=1,K152=1),AND(J152=1,I152="SBJ"),AND(J152=1,I152=0)),"?IN_FOCUS",IF(J152&lt;=2,"?ACTIVATED",IF(J152&lt;&gt;"","?FAMILIAR",IF(F152="NEW",IF(ISNA(VLOOKUP(E152,#REF!,1,FALSE())),"?TYPE_IDENTIFIABLE","?REFERENTIAL"),"_")))))</f>
        <v/>
      </c>
      <c r="H152" s="23" t="str">
        <f t="shared" ca="1" si="18"/>
        <v/>
      </c>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5"/>
    </row>
    <row r="153" spans="1:12" x14ac:dyDescent="0.2">
      <c r="A153" t="s">
        <v>886</v>
      </c>
      <c r="B153" s="26" t="s">
        <v>804</v>
      </c>
      <c r="C153" s="26" t="s">
        <v>811</v>
      </c>
      <c r="E153" s="20" t="s">
        <v>1750</v>
      </c>
      <c r="F153" s="21" t="str">
        <f>IF(OR(E153="",E153="!!!"),"",IF(NOT(ISNA(VLOOKUP(E153,E$1:E152,1,FALSE()))),"OLD",IF(AND(E153&lt;&gt;"",E153&lt;&gt;"!!!"),"NEW","")))</f>
        <v>NEW</v>
      </c>
      <c r="G153" s="22" t="s">
        <v>1823</v>
      </c>
      <c r="H153" s="23" t="str">
        <f t="shared" ca="1" si="18"/>
        <v/>
      </c>
      <c r="I153" s="24" t="str">
        <f>IF(OR(E153="",E153="!!!",F153="NEW"),"",INDEX(B$2:B152,-1+SUMPRODUCT(MAX(ROW(E$2:E152)*(E153=E$2:E152)))))</f>
        <v/>
      </c>
      <c r="J153" s="24" t="str">
        <f ca="1">IF(OR(E153="",E153="!!!",F153="NEW"),"",COUNTBLANK(OFFSET(A$1,,,SUMPRODUCT(MAX(ROW(E$2:E153)*(E153=E$2:E153)))))-COUNTBLANK(OFFSET(A$1,,,SUMPRODUCT(MAX(ROW(E$1:E152)*(E2=E$1:E152))))))</f>
        <v/>
      </c>
      <c r="K153" s="24" t="str">
        <f>IF(OR(E153="",E153="!!!",F153="NEW"),"",INDEX(J$1:J152,SUMPRODUCT(MAX(ROW(E$1:E152)*(E153=E$1:E152)))))</f>
        <v/>
      </c>
      <c r="L153" s="25"/>
    </row>
    <row r="154" spans="1:12" x14ac:dyDescent="0.2">
      <c r="A154" t="s">
        <v>908</v>
      </c>
      <c r="E154" s="20" t="str">
        <f t="shared" si="19"/>
        <v/>
      </c>
      <c r="F154" s="21" t="str">
        <f>IF(OR(E154="",E154="!!!"),"",IF(NOT(ISNA(VLOOKUP(E154,E$1:E153,1,FALSE()))),"OLD",IF(AND(E154&lt;&gt;"",E154&lt;&gt;"!!!"),"NEW","")))</f>
        <v/>
      </c>
      <c r="G154" s="22" t="str">
        <f>IF(OR(E154="",E154="!!!"),"",IF(OR(J154=0,AND(J154=1,K154=1),AND(J154=1,I154="SBJ"),AND(J154=1,I154=0)),"?IN_FOCUS",IF(J154&lt;=2,"?ACTIVATED",IF(J154&lt;&gt;"","?FAMILIAR",IF(F154="NEW",IF(ISNA(VLOOKUP(E154,#REF!,1,FALSE())),"?TYPE_IDENTIFIABLE","?REFERENTIAL"),"_")))))</f>
        <v/>
      </c>
      <c r="H154" s="23" t="str">
        <f t="shared" ca="1" si="18"/>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5"/>
    </row>
    <row r="155" spans="1:12" x14ac:dyDescent="0.2">
      <c r="A155" t="s">
        <v>859</v>
      </c>
      <c r="E155" s="20" t="str">
        <f t="shared" si="19"/>
        <v/>
      </c>
      <c r="F155" s="21" t="str">
        <f>IF(OR(E155="",E155="!!!"),"",IF(NOT(ISNA(VLOOKUP(E155,E$1:E154,1,FALSE()))),"OLD",IF(AND(E155&lt;&gt;"",E155&lt;&gt;"!!!"),"NEW","")))</f>
        <v/>
      </c>
      <c r="G155" s="22" t="str">
        <f>IF(OR(E155="",E155="!!!"),"",IF(OR(J155=0,AND(J155=1,K155=1),AND(J155=1,I155="SBJ"),AND(J155=1,I155=0)),"?IN_FOCUS",IF(J155&lt;=2,"?ACTIVATED",IF(J155&lt;&gt;"","?FAMILIAR",IF(F155="NEW",IF(ISNA(VLOOKUP(E155,#REF!,1,FALSE())),"?TYPE_IDENTIFIABLE","?REFERENTIAL"),"_")))))</f>
        <v/>
      </c>
      <c r="H155" s="23" t="str">
        <f t="shared" ca="1" si="18"/>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5"/>
    </row>
    <row r="156" spans="1:12" x14ac:dyDescent="0.2">
      <c r="A156" t="s">
        <v>909</v>
      </c>
      <c r="E156" s="20" t="str">
        <f t="shared" si="19"/>
        <v/>
      </c>
      <c r="F156" s="21" t="str">
        <f>IF(OR(E156="",E156="!!!"),"",IF(NOT(ISNA(VLOOKUP(E156,E$1:E155,1,FALSE()))),"OLD",IF(AND(E156&lt;&gt;"",E156&lt;&gt;"!!!"),"NEW","")))</f>
        <v/>
      </c>
      <c r="G156" s="22" t="str">
        <f>IF(OR(E156="",E156="!!!"),"",IF(OR(J156=0,AND(J156=1,K156=1),AND(J156=1,I156="SBJ"),AND(J156=1,I156=0)),"?IN_FOCUS",IF(J156&lt;=2,"?ACTIVATED",IF(J156&lt;&gt;"","?FAMILIAR",IF(F156="NEW",IF(ISNA(VLOOKUP(E156,#REF!,1,FALSE())),"?TYPE_IDENTIFIABLE","?REFERENTIAL"),"_")))))</f>
        <v/>
      </c>
      <c r="H156" s="23" t="str">
        <f t="shared" ca="1" si="18"/>
        <v/>
      </c>
      <c r="I156" s="24" t="str">
        <f>IF(OR(E156="",E156="!!!",F156="NEW"),"",INDEX(B$2:B155,-1+SUMPRODUCT(MAX(ROW(E$2:E155)*(E156=E$2:E155)))))</f>
        <v/>
      </c>
      <c r="J156" s="24" t="str">
        <f ca="1">IF(OR(E156="",E156="!!!",F156="NEW"),"",COUNTBLANK(OFFSET(A$1,,,SUMPRODUCT(MAX(ROW(E$2:E156)*(E156=E$2:E156)))))-COUNTBLANK(OFFSET(A$1,,,SUMPRODUCT(MAX(ROW(E$1:E155)*(E2=E$1:E155))))))</f>
        <v/>
      </c>
      <c r="K156" s="24" t="str">
        <f>IF(OR(E156="",E156="!!!",F156="NEW"),"",INDEX(J$1:J155,SUMPRODUCT(MAX(ROW(E$1:E155)*(E156=E$1:E155)))))</f>
        <v/>
      </c>
      <c r="L156" s="25"/>
    </row>
    <row r="157" spans="1:12" x14ac:dyDescent="0.2">
      <c r="A157" t="s">
        <v>148</v>
      </c>
      <c r="B157" s="26" t="s">
        <v>910</v>
      </c>
      <c r="C157" s="26" t="s">
        <v>850</v>
      </c>
      <c r="E157" s="20" t="str">
        <f t="shared" si="19"/>
        <v/>
      </c>
      <c r="F157" s="21" t="str">
        <f>IF(OR(E157="",E157="!!!"),"",IF(NOT(ISNA(VLOOKUP(E157,E$1:E156,1,FALSE()))),"OLD",IF(AND(E157&lt;&gt;"",E157&lt;&gt;"!!!"),"NEW","")))</f>
        <v/>
      </c>
      <c r="G157" s="22" t="str">
        <f>IF(OR(E157="",E157="!!!"),"",IF(OR(J157=0,AND(J157=1,K157=1),AND(J157=1,I157="SBJ"),AND(J157=1,I157=0)),"?IN_FOCUS",IF(J157&lt;=2,"?ACTIVATED",IF(J157&lt;&gt;"","?FAMILIAR",IF(F157="NEW",IF(ISNA(VLOOKUP(E157,#REF!,1,FALSE())),"?TYPE_IDENTIFIABLE","?REFERENTIAL"),"_")))))</f>
        <v/>
      </c>
      <c r="H157" s="23" t="str">
        <f t="shared" ca="1" si="18"/>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5"/>
    </row>
    <row r="158" spans="1:12" x14ac:dyDescent="0.2">
      <c r="A158" t="s">
        <v>898</v>
      </c>
      <c r="E158" s="20" t="str">
        <f t="shared" si="19"/>
        <v/>
      </c>
      <c r="F158" s="21" t="str">
        <f>IF(OR(E158="",E158="!!!"),"",IF(NOT(ISNA(VLOOKUP(E158,E$1:E157,1,FALSE()))),"OLD",IF(AND(E158&lt;&gt;"",E158&lt;&gt;"!!!"),"NEW","")))</f>
        <v/>
      </c>
      <c r="G158" s="22" t="str">
        <f>IF(OR(E158="",E158="!!!"),"",IF(OR(J158=0,AND(J158=1,K158=1),AND(J158=1,I158="SBJ"),AND(J158=1,I158=0)),"?IN_FOCUS",IF(J158&lt;=2,"?ACTIVATED",IF(J158&lt;&gt;"","?FAMILIAR",IF(F158="NEW",IF(ISNA(VLOOKUP(E158,#REF!,1,FALSE())),"?TYPE_IDENTIFIABLE","?REFERENTIAL"),"_")))))</f>
        <v/>
      </c>
      <c r="H158" s="23" t="str">
        <f t="shared" ca="1" si="18"/>
        <v/>
      </c>
      <c r="I158" s="24" t="str">
        <f>IF(OR(E158="",E158="!!!",F158="NEW"),"",INDEX(B$2:B157,-1+SUMPRODUCT(MAX(ROW(E$2:E157)*(E158=E$2:E157)))))</f>
        <v/>
      </c>
      <c r="J158" s="24" t="str">
        <f ca="1">IF(OR(E158="",E158="!!!",F158="NEW"),"",COUNTBLANK(OFFSET(A$1,,,SUMPRODUCT(MAX(ROW(E$2:E158)*(E158=E$2:E158)))))-COUNTBLANK(OFFSET(A$1,,,SUMPRODUCT(MAX(ROW(E$1:E157)*(E2=E$1:E157))))))</f>
        <v/>
      </c>
      <c r="K158" s="24" t="str">
        <f>IF(OR(E158="",E158="!!!",F158="NEW"),"",INDEX(J$1:J157,SUMPRODUCT(MAX(ROW(E$1:E157)*(E158=E$1:E157)))))</f>
        <v/>
      </c>
      <c r="L158" s="25"/>
    </row>
    <row r="159" spans="1:12" x14ac:dyDescent="0.2">
      <c r="A159" t="s">
        <v>516</v>
      </c>
      <c r="E159" s="20" t="str">
        <f t="shared" si="19"/>
        <v/>
      </c>
      <c r="F159" s="21" t="str">
        <f>IF(OR(E159="",E159="!!!"),"",IF(NOT(ISNA(VLOOKUP(E159,E$1:E158,1,FALSE()))),"OLD",IF(AND(E159&lt;&gt;"",E159&lt;&gt;"!!!"),"NEW","")))</f>
        <v/>
      </c>
      <c r="G159" s="22" t="str">
        <f>IF(OR(E159="",E159="!!!"),"",IF(OR(J159=0,AND(J159=1,K159=1),AND(J159=1,I159="SBJ"),AND(J159=1,I159=0)),"?IN_FOCUS",IF(J159&lt;=2,"?ACTIVATED",IF(J159&lt;&gt;"","?FAMILIAR",IF(F159="NEW",IF(ISNA(VLOOKUP(E159,#REF!,1,FALSE())),"?TYPE_IDENTIFIABLE","?REFERENTIAL"),"_")))))</f>
        <v/>
      </c>
      <c r="H159" s="23" t="str">
        <f t="shared" ca="1" si="18"/>
        <v/>
      </c>
      <c r="I159" s="24" t="str">
        <f>IF(OR(E159="",E159="!!!",F159="NEW"),"",INDEX(B$2:B158,-1+SUMPRODUCT(MAX(ROW(E$2:E158)*(E159=E$2:E158)))))</f>
        <v/>
      </c>
      <c r="J159" s="24" t="str">
        <f ca="1">IF(OR(E159="",E159="!!!",F159="NEW"),"",COUNTBLANK(OFFSET(A$1,,,SUMPRODUCT(MAX(ROW(E$2:E159)*(E159=E$2:E159)))))-COUNTBLANK(OFFSET(A$1,,,SUMPRODUCT(MAX(ROW(E$1:E158)*(E2=E$1:E158))))))</f>
        <v/>
      </c>
      <c r="K159" s="24" t="str">
        <f>IF(OR(E159="",E159="!!!",F159="NEW"),"",INDEX(J$1:J158,SUMPRODUCT(MAX(ROW(E$1:E158)*(E159=E$1:E158)))))</f>
        <v/>
      </c>
      <c r="L159" s="25"/>
    </row>
    <row r="160" spans="1:12" x14ac:dyDescent="0.2">
      <c r="A160" t="s">
        <v>875</v>
      </c>
      <c r="E160" s="20"/>
      <c r="F160" s="21" t="str">
        <f>IF(OR(E160="",E160="!!!"),"",IF(NOT(ISNA(VLOOKUP(E160,E$1:E159,1,FALSE()))),"OLD",IF(AND(E160&lt;&gt;"",E160&lt;&gt;"!!!"),"NEW","")))</f>
        <v/>
      </c>
      <c r="G160" s="22" t="str">
        <f>IF(OR(E160="",E160="!!!"),"",IF(OR(J160=0,AND(J160=1,K160=1),AND(J160=1,I160="SBJ"),AND(J160=1,I160=0)),"?IN_FOCUS",IF(J160&lt;=2,"?ACTIVATED",IF(J160&lt;&gt;"","?FAMILIAR",IF(F160="NEW",IF(ISNA(VLOOKUP(E160,#REF!,1,FALSE())),"?TYPE_IDENTIFIABLE","?REFERENTIAL"),"_")))))</f>
        <v/>
      </c>
      <c r="H160" s="23" t="str">
        <f t="shared" ca="1" si="18"/>
        <v/>
      </c>
      <c r="I160" s="24" t="str">
        <f>IF(OR(E160="",E160="!!!",F160="NEW"),"",INDEX(B$2:B159,-1+SUMPRODUCT(MAX(ROW(E$2:E159)*(E160=E$2:E159)))))</f>
        <v/>
      </c>
      <c r="J160" s="24" t="str">
        <f ca="1">IF(OR(E160="",E160="!!!",F160="NEW"),"",COUNTBLANK(OFFSET(A$1,,,SUMPRODUCT(MAX(ROW(E$2:E160)*(E160=E$2:E160)))))-COUNTBLANK(OFFSET(A$1,,,SUMPRODUCT(MAX(ROW(E$1:E159)*(E2=E$1:E159))))))</f>
        <v/>
      </c>
      <c r="K160" s="24" t="str">
        <f>IF(OR(E160="",E160="!!!",F160="NEW"),"",INDEX(J$1:J159,SUMPRODUCT(MAX(ROW(E$1:E159)*(E160=E$1:E159)))))</f>
        <v/>
      </c>
      <c r="L160" s="25"/>
    </row>
    <row r="161" spans="1:12" x14ac:dyDescent="0.2">
      <c r="A161" t="s">
        <v>911</v>
      </c>
      <c r="E161" s="20" t="str">
        <f t="shared" si="19"/>
        <v/>
      </c>
      <c r="F161" s="21" t="str">
        <f>IF(OR(E161="",E161="!!!"),"",IF(NOT(ISNA(VLOOKUP(E161,E$1:E160,1,FALSE()))),"OLD",IF(AND(E161&lt;&gt;"",E161&lt;&gt;"!!!"),"NEW","")))</f>
        <v/>
      </c>
      <c r="G161" s="22" t="str">
        <f>IF(OR(E161="",E161="!!!"),"",IF(OR(J161=0,AND(J161=1,K161=1),AND(J161=1,I161="SBJ"),AND(J161=1,I161=0)),"?IN_FOCUS",IF(J161&lt;=2,"?ACTIVATED",IF(J161&lt;&gt;"","?FAMILIAR",IF(F161="NEW",IF(ISNA(VLOOKUP(E161,#REF!,1,FALSE())),"?TYPE_IDENTIFIABLE","?REFERENTIAL"),"_")))))</f>
        <v/>
      </c>
      <c r="H161" s="23" t="str">
        <f t="shared" ca="1" si="18"/>
        <v/>
      </c>
      <c r="I161" s="24" t="str">
        <f>IF(OR(E161="",E161="!!!",F161="NEW"),"",INDEX(B$2:B160,-1+SUMPRODUCT(MAX(ROW(E$2:E160)*(E161=E$2:E160)))))</f>
        <v/>
      </c>
      <c r="J161" s="24" t="str">
        <f ca="1">IF(OR(E161="",E161="!!!",F161="NEW"),"",COUNTBLANK(OFFSET(A$1,,,SUMPRODUCT(MAX(ROW(E$2:E161)*(E161=E$2:E161)))))-COUNTBLANK(OFFSET(A$1,,,SUMPRODUCT(MAX(ROW(E$1:E160)*(E2=E$1:E160))))))</f>
        <v/>
      </c>
      <c r="K161" s="24" t="str">
        <f>IF(OR(E161="",E161="!!!",F161="NEW"),"",INDEX(J$1:J160,SUMPRODUCT(MAX(ROW(E$1:E160)*(E161=E$1:E160)))))</f>
        <v/>
      </c>
      <c r="L161" s="25"/>
    </row>
    <row r="162" spans="1:12" x14ac:dyDescent="0.2">
      <c r="A162" t="s">
        <v>912</v>
      </c>
      <c r="B162" s="26" t="s">
        <v>897</v>
      </c>
      <c r="C162" s="26" t="s">
        <v>877</v>
      </c>
      <c r="D162" s="26" t="s">
        <v>806</v>
      </c>
      <c r="E162" s="20" t="s">
        <v>863</v>
      </c>
      <c r="F162" s="21" t="str">
        <f>IF(OR(E162="",E162="!!!"),"",IF(NOT(ISNA(VLOOKUP(E162,E$1:E161,1,FALSE()))),"OLD",IF(AND(E162&lt;&gt;"",E162&lt;&gt;"!!!"),"NEW","")))</f>
        <v>OLD</v>
      </c>
      <c r="G162" s="22" t="s">
        <v>1822</v>
      </c>
      <c r="H162" s="23" t="str">
        <f t="shared" ca="1" si="18"/>
        <v/>
      </c>
      <c r="I162" s="24" t="str">
        <f>IF(OR(E162="",E162="!!!",F162="NEW"),"",INDEX(B$2:B161,-1+SUMPRODUCT(MAX(ROW(E$2:E161)*(E162=E$2:E161)))))</f>
        <v>other_4</v>
      </c>
      <c r="J162" s="24">
        <f ca="1">IF(OR(E162="",E162="!!!",F162="NEW"),"",COUNTBLANK(OFFSET(A$1,,,SUMPRODUCT(MAX(ROW(E$2:E162)*(E162=E$2:E162)))))-COUNTBLANK(OFFSET(A$1,,,SUMPRODUCT(MAX(ROW(E$1:E161)*(E2=E$1:E161))))))</f>
        <v>0</v>
      </c>
      <c r="K162" s="24" t="str">
        <f ca="1">IF(OR(E162="",E162="!!!",F162="NEW"),"",INDEX(J$1:J161,SUMPRODUCT(MAX(ROW(E$1:E161)*(E162=E$1:E161)))))</f>
        <v/>
      </c>
      <c r="L162" s="25"/>
    </row>
    <row r="163" spans="1:12" x14ac:dyDescent="0.2">
      <c r="A163" t="s">
        <v>878</v>
      </c>
      <c r="E163" s="20" t="str">
        <f t="shared" si="19"/>
        <v/>
      </c>
      <c r="F163" s="21" t="str">
        <f>IF(OR(E163="",E163="!!!"),"",IF(NOT(ISNA(VLOOKUP(E163,E$1:E162,1,FALSE()))),"OLD",IF(AND(E163&lt;&gt;"",E163&lt;&gt;"!!!"),"NEW","")))</f>
        <v/>
      </c>
      <c r="G163" s="22" t="str">
        <f>IF(OR(E163="",E163="!!!"),"",IF(OR(J163=0,AND(J163=1,K163=1),AND(J163=1,I163="SBJ"),AND(J163=1,I163=0)),"?IN_FOCUS",IF(J163&lt;=2,"?ACTIVATED",IF(J163&lt;&gt;"","?FAMILIAR",IF(F163="NEW",IF(ISNA(VLOOKUP(E163,#REF!,1,FALSE())),"?TYPE_IDENTIFIABLE","?REFERENTIAL"),"_")))))</f>
        <v/>
      </c>
      <c r="H163" s="23" t="str">
        <f t="shared" ca="1" si="18"/>
        <v/>
      </c>
      <c r="I163" s="24" t="str">
        <f>IF(OR(E163="",E163="!!!",F163="NEW"),"",INDEX(B$2:B162,-1+SUMPRODUCT(MAX(ROW(E$2:E162)*(E163=E$2:E162)))))</f>
        <v/>
      </c>
      <c r="J163" s="24" t="str">
        <f ca="1">IF(OR(E163="",E163="!!!",F163="NEW"),"",COUNTBLANK(OFFSET(A$1,,,SUMPRODUCT(MAX(ROW(E$2:E163)*(E163=E$2:E163)))))-COUNTBLANK(OFFSET(A$1,,,SUMPRODUCT(MAX(ROW(E$1:E162)*(E2=E$1:E162))))))</f>
        <v/>
      </c>
      <c r="K163" s="24" t="str">
        <f>IF(OR(E163="",E163="!!!",F163="NEW"),"",INDEX(J$1:J162,SUMPRODUCT(MAX(ROW(E$1:E162)*(E163=E$1:E162)))))</f>
        <v/>
      </c>
      <c r="L163" s="25"/>
    </row>
    <row r="164" spans="1:12" x14ac:dyDescent="0.2">
      <c r="A164" t="s">
        <v>913</v>
      </c>
      <c r="B164" s="26" t="s">
        <v>914</v>
      </c>
      <c r="C164" s="26" t="s">
        <v>817</v>
      </c>
      <c r="D164" s="26" t="s">
        <v>806</v>
      </c>
      <c r="E164" s="20"/>
      <c r="F164" s="21" t="str">
        <f>IF(OR(E164="",E164="!!!"),"",IF(NOT(ISNA(VLOOKUP(E164,E$1:E163,1,FALSE()))),"OLD",IF(AND(E164&lt;&gt;"",E164&lt;&gt;"!!!"),"NEW","")))</f>
        <v/>
      </c>
      <c r="G164" s="22" t="str">
        <f>IF(OR(E164="",E164="!!!"),"",IF(OR(J164=0,AND(J164=1,K164=1),AND(J164=1,I164="SBJ"),AND(J164=1,I164=0)),"?IN_FOCUS",IF(J164&lt;=2,"?ACTIVATED",IF(J164&lt;&gt;"","?FAMILIAR",IF(F164="NEW",IF(ISNA(VLOOKUP(E164,#REF!,1,FALSE())),"?TYPE_IDENTIFIABLE","?REFERENTIAL"),"_")))))</f>
        <v/>
      </c>
      <c r="H164" s="23" t="str">
        <f t="shared" ca="1" si="18"/>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5"/>
    </row>
    <row r="165" spans="1:12" x14ac:dyDescent="0.2">
      <c r="A165" t="s">
        <v>915</v>
      </c>
      <c r="B165" s="26" t="s">
        <v>916</v>
      </c>
      <c r="C165" s="26" t="s">
        <v>820</v>
      </c>
      <c r="D165" s="26" t="s">
        <v>806</v>
      </c>
      <c r="E165" s="20" t="s">
        <v>1752</v>
      </c>
      <c r="F165" s="21" t="str">
        <f>IF(OR(E165="",E165="!!!"),"",IF(NOT(ISNA(VLOOKUP(E165,E$1:E164,1,FALSE()))),"OLD",IF(AND(E165&lt;&gt;"",E165&lt;&gt;"!!!"),"NEW","")))</f>
        <v>NEW</v>
      </c>
      <c r="G165" s="22" t="s">
        <v>1824</v>
      </c>
      <c r="H165" s="23" t="str">
        <f t="shared" ca="1" si="18"/>
        <v/>
      </c>
      <c r="I165" s="24" t="str">
        <f>IF(OR(E165="",E165="!!!",F165="NEW"),"",INDEX(B$2:B164,-1+SUMPRODUCT(MAX(ROW(E$2:E164)*(E165=E$2:E164)))))</f>
        <v/>
      </c>
      <c r="J165" s="24" t="str">
        <f ca="1">IF(OR(E165="",E165="!!!",F165="NEW"),"",COUNTBLANK(OFFSET(A$1,,,SUMPRODUCT(MAX(ROW(E$2:E165)*(E165=E$2:E165)))))-COUNTBLANK(OFFSET(A$1,,,SUMPRODUCT(MAX(ROW(E$1:E164)*(E2=E$1:E164))))))</f>
        <v/>
      </c>
      <c r="K165" s="24" t="str">
        <f>IF(OR(E165="",E165="!!!",F165="NEW"),"",INDEX(J$1:J164,SUMPRODUCT(MAX(ROW(E$1:E164)*(E165=E$1:E164)))))</f>
        <v/>
      </c>
      <c r="L165" s="25"/>
    </row>
    <row r="166" spans="1:12" x14ac:dyDescent="0.2">
      <c r="A166" t="s">
        <v>839</v>
      </c>
      <c r="E166" s="20" t="str">
        <f t="shared" si="19"/>
        <v/>
      </c>
      <c r="F166" s="21" t="str">
        <f>IF(OR(E166="",E166="!!!"),"",IF(NOT(ISNA(VLOOKUP(E166,E$1:E165,1,FALSE()))),"OLD",IF(AND(E166&lt;&gt;"",E166&lt;&gt;"!!!"),"NEW","")))</f>
        <v/>
      </c>
      <c r="G166" s="22" t="str">
        <f>IF(OR(E166="",E166="!!!"),"",IF(OR(J166=0,AND(J166=1,K166=1),AND(J166=1,I166="SBJ"),AND(J166=1,I166=0)),"?IN_FOCUS",IF(J166&lt;=2,"?ACTIVATED",IF(J166&lt;&gt;"","?FAMILIAR",IF(F166="NEW",IF(ISNA(VLOOKUP(E166,#REF!,1,FALSE())),"?TYPE_IDENTIFIABLE","?REFERENTIAL"),"_")))))</f>
        <v/>
      </c>
      <c r="H166" s="23" t="str">
        <f t="shared" ca="1" si="18"/>
        <v/>
      </c>
      <c r="I166" s="24" t="str">
        <f>IF(OR(E166="",E166="!!!",F166="NEW"),"",INDEX(B$2:B165,-1+SUMPRODUCT(MAX(ROW(E$2:E165)*(E166=E$2:E165)))))</f>
        <v/>
      </c>
      <c r="J166" s="24" t="str">
        <f ca="1">IF(OR(E166="",E166="!!!",F166="NEW"),"",COUNTBLANK(OFFSET(A$1,,,SUMPRODUCT(MAX(ROW(E$2:E166)*(E166=E$2:E166)))))-COUNTBLANK(OFFSET(A$1,,,SUMPRODUCT(MAX(ROW(E$1:E165)*(E2=E$1:E165))))))</f>
        <v/>
      </c>
      <c r="K166" s="24" t="str">
        <f>IF(OR(E166="",E166="!!!",F166="NEW"),"",INDEX(J$1:J165,SUMPRODUCT(MAX(ROW(E$1:E165)*(E166=E$1:E165)))))</f>
        <v/>
      </c>
      <c r="L166" s="25"/>
    </row>
    <row r="168" spans="1:12" x14ac:dyDescent="0.2">
      <c r="A168" t="s">
        <v>917</v>
      </c>
    </row>
    <row r="169" spans="1:12" x14ac:dyDescent="0.2">
      <c r="A169" t="s">
        <v>918</v>
      </c>
      <c r="E169" s="20" t="str">
        <f t="shared" ref="E169:E177" si="20">IF(D169="?OLD","!!!","")</f>
        <v/>
      </c>
      <c r="F169" s="21" t="str">
        <f>IF(OR(E169="",E169="!!!"),"",IF(NOT(ISNA(VLOOKUP(E169,E$1:E168,1,FALSE()))),"OLD",IF(AND(E169&lt;&gt;"",E169&lt;&gt;"!!!"),"NEW","")))</f>
        <v/>
      </c>
      <c r="G169" s="22" t="str">
        <f>IF(OR(E169="",E169="!!!"),"",IF(OR(J169=0,AND(J169=1,K169=1),AND(J169=1,I169="SBJ"),AND(J169=1,I169=0)),"?IN_FOCUS",IF(J169&lt;=2,"?ACTIVATED",IF(J169&lt;&gt;"","?FAMILIAR",IF(F169="NEW",IF(ISNA(VLOOKUP(E169,#REF!,1,FALSE())),"?TYPE_IDENTIFIABLE","?REFERENTIAL"),"_")))))</f>
        <v/>
      </c>
      <c r="H169" s="23" t="str">
        <f t="shared" ref="H169:H177" ca="1" si="21">IF(J169&lt;&gt;1,"",IF(I169="SBJ","CB","?"))</f>
        <v/>
      </c>
      <c r="I169" s="24" t="str">
        <f>IF(OR(E169="",E169="!!!",F169="NEW"),"",INDEX(B$2:B168,-1+SUMPRODUCT(MAX(ROW(E$2:E168)*(E169=E$2:E168)))))</f>
        <v/>
      </c>
      <c r="J169" s="24" t="str">
        <f ca="1">IF(OR(E169="",E169="!!!",F169="NEW"),"",COUNTBLANK(OFFSET(A$1,,,SUMPRODUCT(MAX(ROW(E$2:E169)*(E169=E$2:E169)))))-COUNTBLANK(OFFSET(A$1,,,SUMPRODUCT(MAX(ROW(E$1:E168)*(E2=E$1:E168))))))</f>
        <v/>
      </c>
      <c r="K169" s="24" t="str">
        <f>IF(OR(E169="",E169="!!!",F169="NEW"),"",INDEX(J$1:J168,SUMPRODUCT(MAX(ROW(E$1:E168)*(E169=E$1:E168)))))</f>
        <v/>
      </c>
      <c r="L169" s="25"/>
    </row>
    <row r="170" spans="1:12" x14ac:dyDescent="0.2">
      <c r="A170" t="s">
        <v>309</v>
      </c>
      <c r="E170" s="20" t="str">
        <f t="shared" si="20"/>
        <v/>
      </c>
      <c r="F170" s="21" t="str">
        <f>IF(OR(E170="",E170="!!!"),"",IF(NOT(ISNA(VLOOKUP(E170,E$1:E169,1,FALSE()))),"OLD",IF(AND(E170&lt;&gt;"",E170&lt;&gt;"!!!"),"NEW","")))</f>
        <v/>
      </c>
      <c r="G170" s="22" t="str">
        <f>IF(OR(E170="",E170="!!!"),"",IF(OR(J170=0,AND(J170=1,K170=1),AND(J170=1,I170="SBJ"),AND(J170=1,I170=0)),"?IN_FOCUS",IF(J170&lt;=2,"?ACTIVATED",IF(J170&lt;&gt;"","?FAMILIAR",IF(F170="NEW",IF(ISNA(VLOOKUP(E170,#REF!,1,FALSE())),"?TYPE_IDENTIFIABLE","?REFERENTIAL"),"_")))))</f>
        <v/>
      </c>
      <c r="H170" s="23" t="str">
        <f t="shared" ca="1" si="21"/>
        <v/>
      </c>
      <c r="I170" s="24" t="str">
        <f>IF(OR(E170="",E170="!!!",F170="NEW"),"",INDEX(B$2:B169,-1+SUMPRODUCT(MAX(ROW(E$2:E169)*(E170=E$2:E169)))))</f>
        <v/>
      </c>
      <c r="J170" s="24" t="str">
        <f ca="1">IF(OR(E170="",E170="!!!",F170="NEW"),"",COUNTBLANK(OFFSET(A$1,,,SUMPRODUCT(MAX(ROW(E$2:E170)*(E170=E$2:E170)))))-COUNTBLANK(OFFSET(A$1,,,SUMPRODUCT(MAX(ROW(E$1:E169)*(E2=E$1:E169))))))</f>
        <v/>
      </c>
      <c r="K170" s="24" t="str">
        <f>IF(OR(E170="",E170="!!!",F170="NEW"),"",INDEX(J$1:J169,SUMPRODUCT(MAX(ROW(E$1:E169)*(E170=E$1:E169)))))</f>
        <v/>
      </c>
      <c r="L170" s="25"/>
    </row>
    <row r="171" spans="1:12" x14ac:dyDescent="0.2">
      <c r="A171" t="s">
        <v>919</v>
      </c>
      <c r="B171" s="26" t="s">
        <v>804</v>
      </c>
      <c r="C171" s="26" t="s">
        <v>805</v>
      </c>
      <c r="D171" s="26" t="s">
        <v>806</v>
      </c>
      <c r="E171" s="20" t="s">
        <v>1752</v>
      </c>
      <c r="F171" s="21" t="s">
        <v>1753</v>
      </c>
      <c r="G171" s="22" t="s">
        <v>1823</v>
      </c>
      <c r="H171" s="23" t="str">
        <f t="shared" ca="1" si="21"/>
        <v/>
      </c>
      <c r="I171" s="24" t="str">
        <f>IF(OR(E171="",E171="!!!",F171="NEW"),"",INDEX(B$2:B170,-1+SUMPRODUCT(MAX(ROW(E$2:E170)*(E171=E$2:E170)))))</f>
        <v>other_6</v>
      </c>
      <c r="J171" s="24">
        <f ca="1">IF(OR(E171="",E171="!!!",F171="NEW"),"",COUNTBLANK(OFFSET(A$1,,,SUMPRODUCT(MAX(ROW(E$2:E171)*(E171=E$2:E171)))))-COUNTBLANK(OFFSET(A$1,,,SUMPRODUCT(MAX(ROW(E$1:E170)*(E2=E$1:E170))))))</f>
        <v>0</v>
      </c>
      <c r="K171" s="24" t="str">
        <f ca="1">IF(OR(E171="",E171="!!!",F171="NEW"),"",INDEX(J$1:J170,SUMPRODUCT(MAX(ROW(E$1:E170)*(E171=E$1:E170)))))</f>
        <v/>
      </c>
      <c r="L171" s="25"/>
    </row>
    <row r="172" spans="1:12" x14ac:dyDescent="0.2">
      <c r="A172" t="s">
        <v>63</v>
      </c>
      <c r="E172" s="20" t="str">
        <f t="shared" si="20"/>
        <v/>
      </c>
      <c r="F172" s="21" t="str">
        <f>IF(OR(E172="",E172="!!!"),"",IF(NOT(ISNA(VLOOKUP(E172,E$1:E171,1,FALSE()))),"OLD",IF(AND(E172&lt;&gt;"",E172&lt;&gt;"!!!"),"NEW","")))</f>
        <v/>
      </c>
      <c r="G172" s="22" t="str">
        <f>IF(OR(E172="",E172="!!!"),"",IF(OR(J172=0,AND(J172=1,K172=1),AND(J172=1,I172="SBJ"),AND(J172=1,I172=0)),"?IN_FOCUS",IF(J172&lt;=2,"?ACTIVATED",IF(J172&lt;&gt;"","?FAMILIAR",IF(F172="NEW",IF(ISNA(VLOOKUP(E172,#REF!,1,FALSE())),"?TYPE_IDENTIFIABLE","?REFERENTIAL"),"_")))))</f>
        <v/>
      </c>
      <c r="H172" s="23" t="str">
        <f t="shared" ca="1" si="21"/>
        <v/>
      </c>
      <c r="I172" s="24" t="str">
        <f>IF(OR(E172="",E172="!!!",F172="NEW"),"",INDEX(B$2:B171,-1+SUMPRODUCT(MAX(ROW(E$2:E171)*(E172=E$2:E171)))))</f>
        <v/>
      </c>
      <c r="J172" s="24" t="str">
        <f ca="1">IF(OR(E172="",E172="!!!",F172="NEW"),"",COUNTBLANK(OFFSET(A$1,,,SUMPRODUCT(MAX(ROW(E$2:E172)*(E172=E$2:E172)))))-COUNTBLANK(OFFSET(A$1,,,SUMPRODUCT(MAX(ROW(E$1:E171)*(E2=E$1:E171))))))</f>
        <v/>
      </c>
      <c r="K172" s="24" t="str">
        <f>IF(OR(E172="",E172="!!!",F172="NEW"),"",INDEX(J$1:J171,SUMPRODUCT(MAX(ROW(E$1:E171)*(E172=E$1:E171)))))</f>
        <v/>
      </c>
      <c r="L172" s="25"/>
    </row>
    <row r="173" spans="1:12" x14ac:dyDescent="0.2">
      <c r="A173" t="s">
        <v>30</v>
      </c>
      <c r="B173" s="26" t="s">
        <v>810</v>
      </c>
      <c r="C173" s="26" t="s">
        <v>814</v>
      </c>
      <c r="E173" s="20" t="str">
        <f t="shared" si="20"/>
        <v/>
      </c>
      <c r="F173" s="21" t="str">
        <f>IF(OR(E173="",E173="!!!"),"",IF(NOT(ISNA(VLOOKUP(E173,E$1:E172,1,FALSE()))),"OLD",IF(AND(E173&lt;&gt;"",E173&lt;&gt;"!!!"),"NEW","")))</f>
        <v/>
      </c>
      <c r="G173" s="22" t="str">
        <f>IF(OR(E173="",E173="!!!"),"",IF(OR(J173=0,AND(J173=1,K173=1),AND(J173=1,I173="SBJ"),AND(J173=1,I173=0)),"?IN_FOCUS",IF(J173&lt;=2,"?ACTIVATED",IF(J173&lt;&gt;"","?FAMILIAR",IF(F173="NEW",IF(ISNA(VLOOKUP(E173,#REF!,1,FALSE())),"?TYPE_IDENTIFIABLE","?REFERENTIAL"),"_")))))</f>
        <v/>
      </c>
      <c r="H173" s="23" t="str">
        <f t="shared" ca="1" si="21"/>
        <v/>
      </c>
      <c r="I173" s="24" t="str">
        <f>IF(OR(E173="",E173="!!!",F173="NEW"),"",INDEX(B$2:B172,-1+SUMPRODUCT(MAX(ROW(E$2:E172)*(E173=E$2:E172)))))</f>
        <v/>
      </c>
      <c r="J173" s="24" t="str">
        <f ca="1">IF(OR(E173="",E173="!!!",F173="NEW"),"",COUNTBLANK(OFFSET(A$1,,,SUMPRODUCT(MAX(ROW(E$2:E173)*(E173=E$2:E173)))))-COUNTBLANK(OFFSET(A$1,,,SUMPRODUCT(MAX(ROW(E$1:E172)*(E2=E$1:E172))))))</f>
        <v/>
      </c>
      <c r="K173" s="24" t="str">
        <f>IF(OR(E173="",E173="!!!",F173="NEW"),"",INDEX(J$1:J172,SUMPRODUCT(MAX(ROW(E$1:E172)*(E173=E$1:E172)))))</f>
        <v/>
      </c>
      <c r="L173" s="25"/>
    </row>
    <row r="174" spans="1:12" x14ac:dyDescent="0.2">
      <c r="A174" t="s">
        <v>844</v>
      </c>
      <c r="E174" s="20" t="str">
        <f t="shared" si="20"/>
        <v/>
      </c>
      <c r="F174" s="21" t="str">
        <f>IF(OR(E174="",E174="!!!"),"",IF(NOT(ISNA(VLOOKUP(E174,E$1:E173,1,FALSE()))),"OLD",IF(AND(E174&lt;&gt;"",E174&lt;&gt;"!!!"),"NEW","")))</f>
        <v/>
      </c>
      <c r="G174" s="22" t="str">
        <f>IF(OR(E174="",E174="!!!"),"",IF(OR(J174=0,AND(J174=1,K174=1),AND(J174=1,I174="SBJ"),AND(J174=1,I174=0)),"?IN_FOCUS",IF(J174&lt;=2,"?ACTIVATED",IF(J174&lt;&gt;"","?FAMILIAR",IF(F174="NEW",IF(ISNA(VLOOKUP(E174,#REF!,1,FALSE())),"?TYPE_IDENTIFIABLE","?REFERENTIAL"),"_")))))</f>
        <v/>
      </c>
      <c r="H174" s="23" t="str">
        <f t="shared" ca="1" si="21"/>
        <v/>
      </c>
      <c r="I174" s="24" t="str">
        <f>IF(OR(E174="",E174="!!!",F174="NEW"),"",INDEX(B$2:B173,-1+SUMPRODUCT(MAX(ROW(E$2:E173)*(E174=E$2:E173)))))</f>
        <v/>
      </c>
      <c r="J174" s="24" t="str">
        <f ca="1">IF(OR(E174="",E174="!!!",F174="NEW"),"",COUNTBLANK(OFFSET(A$1,,,SUMPRODUCT(MAX(ROW(E$2:E174)*(E174=E$2:E174)))))-COUNTBLANK(OFFSET(A$1,,,SUMPRODUCT(MAX(ROW(E$1:E173)*(E2=E$1:E173))))))</f>
        <v/>
      </c>
      <c r="K174" s="24" t="str">
        <f>IF(OR(E174="",E174="!!!",F174="NEW"),"",INDEX(J$1:J173,SUMPRODUCT(MAX(ROW(E$1:E173)*(E174=E$1:E173)))))</f>
        <v/>
      </c>
      <c r="L174" s="25"/>
    </row>
    <row r="175" spans="1:12" x14ac:dyDescent="0.2">
      <c r="A175" t="s">
        <v>920</v>
      </c>
      <c r="B175" s="26" t="s">
        <v>813</v>
      </c>
      <c r="C175" s="26" t="s">
        <v>817</v>
      </c>
      <c r="D175" s="26" t="s">
        <v>806</v>
      </c>
      <c r="E175" s="20"/>
      <c r="F175" s="21" t="str">
        <f>IF(OR(E175="",E175="!!!"),"",IF(NOT(ISNA(VLOOKUP(E175,E$1:E174,1,FALSE()))),"OLD",IF(AND(E175&lt;&gt;"",E175&lt;&gt;"!!!"),"NEW","")))</f>
        <v/>
      </c>
      <c r="G175" s="22" t="str">
        <f>IF(OR(E175="",E175="!!!"),"",IF(OR(J175=0,AND(J175=1,K175=1),AND(J175=1,I175="SBJ"),AND(J175=1,I175=0)),"?IN_FOCUS",IF(J175&lt;=2,"?ACTIVATED",IF(J175&lt;&gt;"","?FAMILIAR",IF(F175="NEW",IF(ISNA(VLOOKUP(E175,#REF!,1,FALSE())),"?TYPE_IDENTIFIABLE","?REFERENTIAL"),"_")))))</f>
        <v/>
      </c>
      <c r="H175" s="23" t="str">
        <f t="shared" ca="1" si="21"/>
        <v/>
      </c>
      <c r="I175" s="24" t="str">
        <f>IF(OR(E175="",E175="!!!",F175="NEW"),"",INDEX(B$2:B174,-1+SUMPRODUCT(MAX(ROW(E$2:E174)*(E175=E$2:E174)))))</f>
        <v/>
      </c>
      <c r="J175" s="24" t="str">
        <f ca="1">IF(OR(E175="",E175="!!!",F175="NEW"),"",COUNTBLANK(OFFSET(A$1,,,SUMPRODUCT(MAX(ROW(E$2:E175)*(E175=E$2:E175)))))-COUNTBLANK(OFFSET(A$1,,,SUMPRODUCT(MAX(ROW(E$1:E174)*(E2=E$1:E174))))))</f>
        <v/>
      </c>
      <c r="K175" s="24" t="str">
        <f>IF(OR(E175="",E175="!!!",F175="NEW"),"",INDEX(J$1:J174,SUMPRODUCT(MAX(ROW(E$1:E174)*(E175=E$1:E174)))))</f>
        <v/>
      </c>
      <c r="L175" s="25"/>
    </row>
    <row r="176" spans="1:12" x14ac:dyDescent="0.2">
      <c r="A176" t="s">
        <v>921</v>
      </c>
      <c r="B176" s="26" t="s">
        <v>819</v>
      </c>
      <c r="C176" s="26" t="s">
        <v>820</v>
      </c>
      <c r="D176" s="26" t="s">
        <v>806</v>
      </c>
      <c r="E176" s="20" t="s">
        <v>846</v>
      </c>
      <c r="F176" s="21" t="str">
        <f>IF(OR(E176="",E176="!!!"),"",IF(NOT(ISNA(VLOOKUP(E176,E$1:E175,1,FALSE()))),"OLD",IF(AND(E176&lt;&gt;"",E176&lt;&gt;"!!!"),"NEW","")))</f>
        <v>OLD</v>
      </c>
      <c r="G176" s="22" t="s">
        <v>1825</v>
      </c>
      <c r="H176" s="23" t="str">
        <f t="shared" ca="1" si="21"/>
        <v/>
      </c>
      <c r="I176" s="24" t="str">
        <f>IF(OR(E176="",E176="!!!",F176="NEW"),"",INDEX(B$2:B175,-1+SUMPRODUCT(MAX(ROW(E$2:E175)*(E176=E$2:E175)))))</f>
        <v>other_2</v>
      </c>
      <c r="J176" s="24">
        <f ca="1">IF(OR(E176="",E176="!!!",F176="NEW"),"",COUNTBLANK(OFFSET(A$1,,,SUMPRODUCT(MAX(ROW(E$2:E176)*(E176=E$2:E176)))))-COUNTBLANK(OFFSET(A$1,,,SUMPRODUCT(MAX(ROW(E$1:E175)*(E2=E$1:E175))))))</f>
        <v>0</v>
      </c>
      <c r="K176" s="24" t="str">
        <f ca="1">IF(OR(E176="",E176="!!!",F176="NEW"),"",INDEX(J$1:J175,SUMPRODUCT(MAX(ROW(E$1:E175)*(E176=E$1:E175)))))</f>
        <v/>
      </c>
      <c r="L176" s="25"/>
    </row>
    <row r="177" spans="1:12" x14ac:dyDescent="0.2">
      <c r="A177" t="s">
        <v>922</v>
      </c>
      <c r="E177" s="20" t="str">
        <f t="shared" si="20"/>
        <v/>
      </c>
      <c r="F177" s="21" t="str">
        <f>IF(OR(E177="",E177="!!!"),"",IF(NOT(ISNA(VLOOKUP(E177,E$1:E176,1,FALSE()))),"OLD",IF(AND(E177&lt;&gt;"",E177&lt;&gt;"!!!"),"NEW","")))</f>
        <v/>
      </c>
      <c r="G177" s="22" t="str">
        <f>IF(OR(E177="",E177="!!!"),"",IF(OR(J177=0,AND(J177=1,K177=1),AND(J177=1,I177="SBJ"),AND(J177=1,I177=0)),"?IN_FOCUS",IF(J177&lt;=2,"?ACTIVATED",IF(J177&lt;&gt;"","?FAMILIAR",IF(F177="NEW",IF(ISNA(VLOOKUP(E177,#REF!,1,FALSE())),"?TYPE_IDENTIFIABLE","?REFERENTIAL"),"_")))))</f>
        <v/>
      </c>
      <c r="H177" s="23" t="str">
        <f t="shared" ca="1" si="21"/>
        <v/>
      </c>
      <c r="I177" s="24" t="str">
        <f>IF(OR(E177="",E177="!!!",F177="NEW"),"",INDEX(B$2:B176,-1+SUMPRODUCT(MAX(ROW(E$2:E176)*(E177=E$2:E176)))))</f>
        <v/>
      </c>
      <c r="J177" s="24" t="str">
        <f ca="1">IF(OR(E177="",E177="!!!",F177="NEW"),"",COUNTBLANK(OFFSET(A$1,,,SUMPRODUCT(MAX(ROW(E$2:E177)*(E177=E$2:E177)))))-COUNTBLANK(OFFSET(A$1,,,SUMPRODUCT(MAX(ROW(E$1:E176)*(E2=E$1:E176))))))</f>
        <v/>
      </c>
      <c r="K177" s="24" t="str">
        <f>IF(OR(E177="",E177="!!!",F177="NEW"),"",INDEX(J$1:J176,SUMPRODUCT(MAX(ROW(E$1:E176)*(E177=E$1:E176)))))</f>
        <v/>
      </c>
      <c r="L177" s="25"/>
    </row>
    <row r="179" spans="1:12" x14ac:dyDescent="0.2">
      <c r="A179" t="s">
        <v>923</v>
      </c>
    </row>
    <row r="180" spans="1:12" x14ac:dyDescent="0.2">
      <c r="A180" t="s">
        <v>924</v>
      </c>
      <c r="E180" s="20" t="str">
        <f t="shared" ref="E180:E198" si="22">IF(D180="?OLD","!!!","")</f>
        <v/>
      </c>
      <c r="F180" s="21" t="str">
        <f>IF(OR(E180="",E180="!!!"),"",IF(NOT(ISNA(VLOOKUP(E180,E$1:E179,1,FALSE()))),"OLD",IF(AND(E180&lt;&gt;"",E180&lt;&gt;"!!!"),"NEW","")))</f>
        <v/>
      </c>
      <c r="G180" s="22" t="str">
        <f>IF(OR(E180="",E180="!!!"),"",IF(OR(J180=0,AND(J180=1,K180=1),AND(J180=1,I180="SBJ"),AND(J180=1,I180=0)),"?IN_FOCUS",IF(J180&lt;=2,"?ACTIVATED",IF(J180&lt;&gt;"","?FAMILIAR",IF(F180="NEW",IF(ISNA(VLOOKUP(E180,#REF!,1,FALSE())),"?TYPE_IDENTIFIABLE","?REFERENTIAL"),"_")))))</f>
        <v/>
      </c>
      <c r="H180" s="23" t="str">
        <f t="shared" ref="H180:H198" ca="1" si="23">IF(J180&lt;&gt;1,"",IF(I180="SBJ","CB","?"))</f>
        <v/>
      </c>
      <c r="I180" s="24" t="str">
        <f>IF(OR(E180="",E180="!!!",F180="NEW"),"",INDEX(B$2:B179,-1+SUMPRODUCT(MAX(ROW(E$2:E179)*(E180=E$2:E179)))))</f>
        <v/>
      </c>
      <c r="J180" s="24" t="str">
        <f ca="1">IF(OR(E180="",E180="!!!",F180="NEW"),"",COUNTBLANK(OFFSET(A$1,,,SUMPRODUCT(MAX(ROW(E$2:E180)*(E180=E$2:E180)))))-COUNTBLANK(OFFSET(A$1,,,SUMPRODUCT(MAX(ROW(E$1:E179)*(E2=E$1:E179))))))</f>
        <v/>
      </c>
      <c r="K180" s="24" t="str">
        <f>IF(OR(E180="",E180="!!!",F180="NEW"),"",INDEX(J$1:J179,SUMPRODUCT(MAX(ROW(E$1:E179)*(E180=E$1:E179)))))</f>
        <v/>
      </c>
      <c r="L180" s="25"/>
    </row>
    <row r="181" spans="1:12" x14ac:dyDescent="0.2">
      <c r="A181" t="s">
        <v>845</v>
      </c>
      <c r="E181" s="20" t="str">
        <f t="shared" si="22"/>
        <v/>
      </c>
      <c r="F181" s="21" t="str">
        <f>IF(OR(E181="",E181="!!!"),"",IF(NOT(ISNA(VLOOKUP(E181,E$1:E180,1,FALSE()))),"OLD",IF(AND(E181&lt;&gt;"",E181&lt;&gt;"!!!"),"NEW","")))</f>
        <v/>
      </c>
      <c r="G181" s="22" t="str">
        <f>IF(OR(E181="",E181="!!!"),"",IF(OR(J181=0,AND(J181=1,K181=1),AND(J181=1,I181="SBJ"),AND(J181=1,I181=0)),"?IN_FOCUS",IF(J181&lt;=2,"?ACTIVATED",IF(J181&lt;&gt;"","?FAMILIAR",IF(F181="NEW",IF(ISNA(VLOOKUP(E181,#REF!,1,FALSE())),"?TYPE_IDENTIFIABLE","?REFERENTIAL"),"_")))))</f>
        <v/>
      </c>
      <c r="H181" s="23" t="str">
        <f t="shared" ca="1" si="23"/>
        <v/>
      </c>
      <c r="I181" s="24" t="str">
        <f>IF(OR(E181="",E181="!!!",F181="NEW"),"",INDEX(B$2:B180,-1+SUMPRODUCT(MAX(ROW(E$2:E180)*(E181=E$2:E180)))))</f>
        <v/>
      </c>
      <c r="J181" s="24" t="str">
        <f ca="1">IF(OR(E181="",E181="!!!",F181="NEW"),"",COUNTBLANK(OFFSET(A$1,,,SUMPRODUCT(MAX(ROW(E$2:E181)*(E181=E$2:E181)))))-COUNTBLANK(OFFSET(A$1,,,SUMPRODUCT(MAX(ROW(E$1:E180)*(E2=E$1:E180))))))</f>
        <v/>
      </c>
      <c r="K181" s="24" t="str">
        <f>IF(OR(E181="",E181="!!!",F181="NEW"),"",INDEX(J$1:J180,SUMPRODUCT(MAX(ROW(E$1:E180)*(E181=E$1:E180)))))</f>
        <v/>
      </c>
      <c r="L181" s="25"/>
    </row>
    <row r="182" spans="1:12" x14ac:dyDescent="0.2">
      <c r="A182" t="s">
        <v>925</v>
      </c>
      <c r="E182" s="20" t="str">
        <f t="shared" si="22"/>
        <v/>
      </c>
      <c r="F182" s="21" t="str">
        <f>IF(OR(E182="",E182="!!!"),"",IF(NOT(ISNA(VLOOKUP(E182,E$1:E181,1,FALSE()))),"OLD",IF(AND(E182&lt;&gt;"",E182&lt;&gt;"!!!"),"NEW","")))</f>
        <v/>
      </c>
      <c r="G182" s="22" t="str">
        <f>IF(OR(E182="",E182="!!!"),"",IF(OR(J182=0,AND(J182=1,K182=1),AND(J182=1,I182="SBJ"),AND(J182=1,I182=0)),"?IN_FOCUS",IF(J182&lt;=2,"?ACTIVATED",IF(J182&lt;&gt;"","?FAMILIAR",IF(F182="NEW",IF(ISNA(VLOOKUP(E182,#REF!,1,FALSE())),"?TYPE_IDENTIFIABLE","?REFERENTIAL"),"_")))))</f>
        <v/>
      </c>
      <c r="H182" s="23" t="str">
        <f t="shared" ca="1" si="23"/>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5"/>
    </row>
    <row r="183" spans="1:12" x14ac:dyDescent="0.2">
      <c r="A183" t="s">
        <v>201</v>
      </c>
      <c r="E183" s="20" t="str">
        <f t="shared" si="22"/>
        <v/>
      </c>
      <c r="F183" s="21" t="str">
        <f>IF(OR(E183="",E183="!!!"),"",IF(NOT(ISNA(VLOOKUP(E183,E$1:E182,1,FALSE()))),"OLD",IF(AND(E183&lt;&gt;"",E183&lt;&gt;"!!!"),"NEW","")))</f>
        <v/>
      </c>
      <c r="G183" s="22" t="str">
        <f>IF(OR(E183="",E183="!!!"),"",IF(OR(J183=0,AND(J183=1,K183=1),AND(J183=1,I183="SBJ"),AND(J183=1,I183=0)),"?IN_FOCUS",IF(J183&lt;=2,"?ACTIVATED",IF(J183&lt;&gt;"","?FAMILIAR",IF(F183="NEW",IF(ISNA(VLOOKUP(E183,#REF!,1,FALSE())),"?TYPE_IDENTIFIABLE","?REFERENTIAL"),"_")))))</f>
        <v/>
      </c>
      <c r="H183" s="23" t="str">
        <f t="shared" ca="1" si="23"/>
        <v/>
      </c>
      <c r="I183" s="24" t="str">
        <f>IF(OR(E183="",E183="!!!",F183="NEW"),"",INDEX(B$2:B182,-1+SUMPRODUCT(MAX(ROW(E$2:E182)*(E183=E$2:E182)))))</f>
        <v/>
      </c>
      <c r="J183" s="24" t="str">
        <f ca="1">IF(OR(E183="",E183="!!!",F183="NEW"),"",COUNTBLANK(OFFSET(A$1,,,SUMPRODUCT(MAX(ROW(E$2:E183)*(E183=E$2:E183)))))-COUNTBLANK(OFFSET(A$1,,,SUMPRODUCT(MAX(ROW(E$1:E182)*(E2=E$1:E182))))))</f>
        <v/>
      </c>
      <c r="K183" s="24" t="str">
        <f>IF(OR(E183="",E183="!!!",F183="NEW"),"",INDEX(J$1:J182,SUMPRODUCT(MAX(ROW(E$1:E182)*(E183=E$1:E182)))))</f>
        <v/>
      </c>
      <c r="L183" s="25"/>
    </row>
    <row r="184" spans="1:12" x14ac:dyDescent="0.2">
      <c r="A184" t="s">
        <v>926</v>
      </c>
      <c r="B184" s="26" t="s">
        <v>819</v>
      </c>
      <c r="C184" s="26" t="s">
        <v>927</v>
      </c>
      <c r="D184" s="26" t="s">
        <v>806</v>
      </c>
      <c r="E184" s="20" t="s">
        <v>1818</v>
      </c>
      <c r="F184" s="21" t="str">
        <f>IF(OR(E184="",E184="!!!"),"",IF(NOT(ISNA(VLOOKUP(E184,E$1:E183,1,FALSE()))),"OLD",IF(AND(E184&lt;&gt;"",E184&lt;&gt;"!!!"),"NEW","")))</f>
        <v>NEW</v>
      </c>
      <c r="G184" s="22" t="s">
        <v>1820</v>
      </c>
      <c r="H184" s="23" t="str">
        <f t="shared" ca="1" si="23"/>
        <v/>
      </c>
      <c r="I184" s="24" t="str">
        <f>IF(OR(E184="",E184="!!!",F184="NEW"),"",INDEX(B$2:B183,-1+SUMPRODUCT(MAX(ROW(E$2:E183)*(E184=E$2:E183)))))</f>
        <v/>
      </c>
      <c r="J184" s="24" t="str">
        <f ca="1">IF(OR(E184="",E184="!!!",F184="NEW"),"",COUNTBLANK(OFFSET(A$1,,,SUMPRODUCT(MAX(ROW(E$2:E184)*(E184=E$2:E184)))))-COUNTBLANK(OFFSET(A$1,,,SUMPRODUCT(MAX(ROW(E$1:E183)*(E2=E$1:E183))))))</f>
        <v/>
      </c>
      <c r="K184" s="24" t="str">
        <f>IF(OR(E184="",E184="!!!",F184="NEW"),"",INDEX(J$1:J183,SUMPRODUCT(MAX(ROW(E$1:E183)*(E184=E$1:E183)))))</f>
        <v/>
      </c>
      <c r="L184" s="25"/>
    </row>
    <row r="185" spans="1:12" x14ac:dyDescent="0.2">
      <c r="A185" t="s">
        <v>802</v>
      </c>
      <c r="E185" s="20" t="str">
        <f t="shared" si="22"/>
        <v/>
      </c>
      <c r="F185" s="21" t="str">
        <f>IF(OR(E185="",E185="!!!"),"",IF(NOT(ISNA(VLOOKUP(E185,E$1:E184,1,FALSE()))),"OLD",IF(AND(E185&lt;&gt;"",E185&lt;&gt;"!!!"),"NEW","")))</f>
        <v/>
      </c>
      <c r="G185" s="22" t="str">
        <f>IF(OR(E185="",E185="!!!"),"",IF(OR(J185=0,AND(J185=1,K185=1),AND(J185=1,I185="SBJ"),AND(J185=1,I185=0)),"?IN_FOCUS",IF(J185&lt;=2,"?ACTIVATED",IF(J185&lt;&gt;"","?FAMILIAR",IF(F185="NEW",IF(ISNA(VLOOKUP(E185,#REF!,1,FALSE())),"?TYPE_IDENTIFIABLE","?REFERENTIAL"),"_")))))</f>
        <v/>
      </c>
      <c r="H185" s="23" t="str">
        <f t="shared" ca="1" si="23"/>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5"/>
    </row>
    <row r="186" spans="1:12" x14ac:dyDescent="0.2">
      <c r="A186" t="s">
        <v>919</v>
      </c>
      <c r="B186" s="26" t="s">
        <v>804</v>
      </c>
      <c r="C186" s="26" t="s">
        <v>805</v>
      </c>
      <c r="D186" s="26" t="s">
        <v>806</v>
      </c>
      <c r="E186" s="20"/>
      <c r="F186" s="21" t="s">
        <v>1781</v>
      </c>
      <c r="G186" s="22" t="str">
        <f>IF(OR(E186="",E186="!!!"),"",IF(OR(J186=0,AND(J186=1,K186=1),AND(J186=1,I186="SBJ"),AND(J186=1,I186=0)),"?IN_FOCUS",IF(J186&lt;=2,"?ACTIVATED",IF(J186&lt;&gt;"","?FAMILIAR",IF(F186="NEW",IF(ISNA(VLOOKUP(E186,#REF!,1,FALSE())),"?TYPE_IDENTIFIABLE","?REFERENTIAL"),"_")))))</f>
        <v/>
      </c>
      <c r="H186" s="23" t="str">
        <f t="shared" ca="1" si="23"/>
        <v/>
      </c>
      <c r="I186" s="24" t="str">
        <f>IF(OR(E186="",E186="!!!",F186="NEW"),"",INDEX(B$2:B185,-1+SUMPRODUCT(MAX(ROW(E$2:E185)*(E186=E$2:E185)))))</f>
        <v/>
      </c>
      <c r="J186" s="24" t="str">
        <f ca="1">IF(OR(E186="",E186="!!!",F186="NEW"),"",COUNTBLANK(OFFSET(A$1,,,SUMPRODUCT(MAX(ROW(E$2:E186)*(E186=E$2:E186)))))-COUNTBLANK(OFFSET(A$1,,,SUMPRODUCT(MAX(ROW(E$1:E185)*(E2=E$1:E185))))))</f>
        <v/>
      </c>
      <c r="K186" s="24" t="str">
        <f>IF(OR(E186="",E186="!!!",F186="NEW"),"",INDEX(J$1:J185,SUMPRODUCT(MAX(ROW(E$1:E185)*(E186=E$1:E185)))))</f>
        <v/>
      </c>
      <c r="L186" s="25"/>
    </row>
    <row r="187" spans="1:12" x14ac:dyDescent="0.2">
      <c r="A187" t="s">
        <v>807</v>
      </c>
      <c r="E187" s="20" t="str">
        <f t="shared" si="22"/>
        <v/>
      </c>
      <c r="F187" s="21" t="str">
        <f>IF(OR(E187="",E187="!!!"),"",IF(NOT(ISNA(VLOOKUP(E187,E$1:E186,1,FALSE()))),"OLD",IF(AND(E187&lt;&gt;"",E187&lt;&gt;"!!!"),"NEW","")))</f>
        <v/>
      </c>
      <c r="G187" s="22" t="str">
        <f>IF(OR(E187="",E187="!!!"),"",IF(OR(J187=0,AND(J187=1,K187=1),AND(J187=1,I187="SBJ"),AND(J187=1,I187=0)),"?IN_FOCUS",IF(J187&lt;=2,"?ACTIVATED",IF(J187&lt;&gt;"","?FAMILIAR",IF(F187="NEW",IF(ISNA(VLOOKUP(E187,#REF!,1,FALSE())),"?TYPE_IDENTIFIABLE","?REFERENTIAL"),"_")))))</f>
        <v/>
      </c>
      <c r="H187" s="23" t="str">
        <f t="shared" ca="1" si="23"/>
        <v/>
      </c>
      <c r="I187" s="24" t="str">
        <f>IF(OR(E187="",E187="!!!",F187="NEW"),"",INDEX(B$2:B186,-1+SUMPRODUCT(MAX(ROW(E$2:E186)*(E187=E$2:E186)))))</f>
        <v/>
      </c>
      <c r="J187" s="24" t="str">
        <f ca="1">IF(OR(E187="",E187="!!!",F187="NEW"),"",COUNTBLANK(OFFSET(A$1,,,SUMPRODUCT(MAX(ROW(E$2:E187)*(E187=E$2:E187)))))-COUNTBLANK(OFFSET(A$1,,,SUMPRODUCT(MAX(ROW(E$1:E186)*(E2=E$1:E186))))))</f>
        <v/>
      </c>
      <c r="K187" s="24" t="str">
        <f>IF(OR(E187="",E187="!!!",F187="NEW"),"",INDEX(J$1:J186,SUMPRODUCT(MAX(ROW(E$1:E186)*(E187=E$1:E186)))))</f>
        <v/>
      </c>
      <c r="L187" s="25"/>
    </row>
    <row r="188" spans="1:12" x14ac:dyDescent="0.2">
      <c r="A188" t="s">
        <v>928</v>
      </c>
      <c r="E188" s="20" t="str">
        <f t="shared" si="22"/>
        <v/>
      </c>
      <c r="F188" s="21" t="str">
        <f>IF(OR(E188="",E188="!!!"),"",IF(NOT(ISNA(VLOOKUP(E188,E$1:E187,1,FALSE()))),"OLD",IF(AND(E188&lt;&gt;"",E188&lt;&gt;"!!!"),"NEW","")))</f>
        <v/>
      </c>
      <c r="G188" s="22" t="str">
        <f>IF(OR(E188="",E188="!!!"),"",IF(OR(J188=0,AND(J188=1,K188=1),AND(J188=1,I188="SBJ"),AND(J188=1,I188=0)),"?IN_FOCUS",IF(J188&lt;=2,"?ACTIVATED",IF(J188&lt;&gt;"","?FAMILIAR",IF(F188="NEW",IF(ISNA(VLOOKUP(E188,#REF!,1,FALSE())),"?TYPE_IDENTIFIABLE","?REFERENTIAL"),"_")))))</f>
        <v/>
      </c>
      <c r="H188" s="23" t="str">
        <f t="shared" ca="1" si="23"/>
        <v/>
      </c>
      <c r="I188" s="24" t="str">
        <f>IF(OR(E188="",E188="!!!",F188="NEW"),"",INDEX(B$2:B187,-1+SUMPRODUCT(MAX(ROW(E$2:E187)*(E188=E$2:E187)))))</f>
        <v/>
      </c>
      <c r="J188" s="24" t="str">
        <f ca="1">IF(OR(E188="",E188="!!!",F188="NEW"),"",COUNTBLANK(OFFSET(A$1,,,SUMPRODUCT(MAX(ROW(E$2:E188)*(E188=E$2:E188)))))-COUNTBLANK(OFFSET(A$1,,,SUMPRODUCT(MAX(ROW(E$1:E187)*(E2=E$1:E187))))))</f>
        <v/>
      </c>
      <c r="K188" s="24" t="str">
        <f>IF(OR(E188="",E188="!!!",F188="NEW"),"",INDEX(J$1:J187,SUMPRODUCT(MAX(ROW(E$1:E187)*(E188=E$1:E187)))))</f>
        <v/>
      </c>
      <c r="L188" s="25"/>
    </row>
    <row r="189" spans="1:12" x14ac:dyDescent="0.2">
      <c r="A189" t="s">
        <v>929</v>
      </c>
      <c r="E189" s="20" t="str">
        <f t="shared" si="22"/>
        <v/>
      </c>
      <c r="F189" s="21"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23"/>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5"/>
    </row>
    <row r="190" spans="1:12" x14ac:dyDescent="0.2">
      <c r="A190" t="s">
        <v>845</v>
      </c>
      <c r="E190" s="20" t="str">
        <f t="shared" si="22"/>
        <v/>
      </c>
      <c r="F190" s="21" t="str">
        <f>IF(OR(E190="",E190="!!!"),"",IF(NOT(ISNA(VLOOKUP(E190,E$1:E189,1,FALSE()))),"OLD",IF(AND(E190&lt;&gt;"",E190&lt;&gt;"!!!"),"NEW","")))</f>
        <v/>
      </c>
      <c r="G190" s="22" t="str">
        <f>IF(OR(E190="",E190="!!!"),"",IF(OR(J190=0,AND(J190=1,K190=1),AND(J190=1,I190="SBJ"),AND(J190=1,I190=0)),"?IN_FOCUS",IF(J190&lt;=2,"?ACTIVATED",IF(J190&lt;&gt;"","?FAMILIAR",IF(F190="NEW",IF(ISNA(VLOOKUP(E190,#REF!,1,FALSE())),"?TYPE_IDENTIFIABLE","?REFERENTIAL"),"_")))))</f>
        <v/>
      </c>
      <c r="H190" s="23" t="str">
        <f t="shared" ca="1" si="23"/>
        <v/>
      </c>
      <c r="I190" s="24" t="str">
        <f>IF(OR(E190="",E190="!!!",F190="NEW"),"",INDEX(B$2:B189,-1+SUMPRODUCT(MAX(ROW(E$2:E189)*(E190=E$2:E189)))))</f>
        <v/>
      </c>
      <c r="J190" s="24" t="str">
        <f ca="1">IF(OR(E190="",E190="!!!",F190="NEW"),"",COUNTBLANK(OFFSET(A$1,,,SUMPRODUCT(MAX(ROW(E$2:E190)*(E190=E$2:E190)))))-COUNTBLANK(OFFSET(A$1,,,SUMPRODUCT(MAX(ROW(E$1:E189)*(E2=E$1:E189))))))</f>
        <v/>
      </c>
      <c r="K190" s="24" t="str">
        <f>IF(OR(E190="",E190="!!!",F190="NEW"),"",INDEX(J$1:J189,SUMPRODUCT(MAX(ROW(E$1:E189)*(E190=E$1:E189)))))</f>
        <v/>
      </c>
      <c r="L190" s="25"/>
    </row>
    <row r="191" spans="1:12" x14ac:dyDescent="0.2">
      <c r="A191" t="s">
        <v>930</v>
      </c>
      <c r="B191" s="26" t="s">
        <v>810</v>
      </c>
      <c r="C191" s="26" t="s">
        <v>847</v>
      </c>
      <c r="D191" s="26" t="s">
        <v>806</v>
      </c>
      <c r="E191" s="20" t="s">
        <v>1022</v>
      </c>
      <c r="F191" s="21" t="str">
        <f>IF(OR(E191="",E191="!!!"),"",IF(NOT(ISNA(VLOOKUP(E191,E$1:E190,1,FALSE()))),"OLD",IF(AND(E191&lt;&gt;"",E191&lt;&gt;"!!!"),"NEW","")))</f>
        <v>NEW</v>
      </c>
      <c r="G191" s="22" t="s">
        <v>1820</v>
      </c>
      <c r="H191" s="23" t="str">
        <f t="shared" ca="1" si="23"/>
        <v/>
      </c>
      <c r="I191" s="24" t="str">
        <f>IF(OR(E191="",E191="!!!",F191="NEW"),"",INDEX(B$2:B190,-1+SUMPRODUCT(MAX(ROW(E$2:E190)*(E191=E$2:E190)))))</f>
        <v/>
      </c>
      <c r="J191" s="24" t="str">
        <f ca="1">IF(OR(E191="",E191="!!!",F191="NEW"),"",COUNTBLANK(OFFSET(A$1,,,SUMPRODUCT(MAX(ROW(E$2:E191)*(E191=E$2:E191)))))-COUNTBLANK(OFFSET(A$1,,,SUMPRODUCT(MAX(ROW(E$1:E190)*(E2=E$1:E190))))))</f>
        <v/>
      </c>
      <c r="K191" s="24" t="str">
        <f>IF(OR(E191="",E191="!!!",F191="NEW"),"",INDEX(J$1:J190,SUMPRODUCT(MAX(ROW(E$1:E190)*(E191=E$1:E190)))))</f>
        <v/>
      </c>
      <c r="L191" s="25"/>
    </row>
    <row r="192" spans="1:12" x14ac:dyDescent="0.2">
      <c r="A192" t="s">
        <v>833</v>
      </c>
      <c r="E192" s="20" t="str">
        <f t="shared" si="22"/>
        <v/>
      </c>
      <c r="F192" s="21" t="str">
        <f>IF(OR(E192="",E192="!!!"),"",IF(NOT(ISNA(VLOOKUP(E192,E$1:E191,1,FALSE()))),"OLD",IF(AND(E192&lt;&gt;"",E192&lt;&gt;"!!!"),"NEW","")))</f>
        <v/>
      </c>
      <c r="G192" s="22" t="str">
        <f>IF(OR(E192="",E192="!!!"),"",IF(OR(J192=0,AND(J192=1,K192=1),AND(J192=1,I192="SBJ"),AND(J192=1,I192=0)),"?IN_FOCUS",IF(J192&lt;=2,"?ACTIVATED",IF(J192&lt;&gt;"","?FAMILIAR",IF(F192="NEW",IF(ISNA(VLOOKUP(E192,#REF!,1,FALSE())),"?TYPE_IDENTIFIABLE","?REFERENTIAL"),"_")))))</f>
        <v/>
      </c>
      <c r="H192" s="23" t="str">
        <f t="shared" ca="1" si="23"/>
        <v/>
      </c>
      <c r="I192" s="24" t="str">
        <f>IF(OR(E192="",E192="!!!",F192="NEW"),"",INDEX(B$2:B191,-1+SUMPRODUCT(MAX(ROW(E$2:E191)*(E192=E$2:E191)))))</f>
        <v/>
      </c>
      <c r="J192" s="24" t="str">
        <f ca="1">IF(OR(E192="",E192="!!!",F192="NEW"),"",COUNTBLANK(OFFSET(A$1,,,SUMPRODUCT(MAX(ROW(E$2:E192)*(E192=E$2:E192)))))-COUNTBLANK(OFFSET(A$1,,,SUMPRODUCT(MAX(ROW(E$1:E191)*(E2=E$1:E191))))))</f>
        <v/>
      </c>
      <c r="K192" s="24" t="str">
        <f>IF(OR(E192="",E192="!!!",F192="NEW"),"",INDEX(J$1:J191,SUMPRODUCT(MAX(ROW(E$1:E191)*(E192=E$1:E191)))))</f>
        <v/>
      </c>
      <c r="L192" s="25"/>
    </row>
    <row r="193" spans="1:12" x14ac:dyDescent="0.2">
      <c r="A193" t="s">
        <v>919</v>
      </c>
      <c r="B193" s="26" t="s">
        <v>813</v>
      </c>
      <c r="C193" s="26" t="s">
        <v>817</v>
      </c>
      <c r="D193" s="26" t="s">
        <v>806</v>
      </c>
      <c r="E193" s="20"/>
      <c r="F193" s="21" t="s">
        <v>1793</v>
      </c>
      <c r="G193" s="22" t="str">
        <f>IF(OR(E193="",E193="!!!"),"",IF(OR(J193=0,AND(J193=1,K193=1),AND(J193=1,I193="SBJ"),AND(J193=1,I193=0)),"?IN_FOCUS",IF(J193&lt;=2,"?ACTIVATED",IF(J193&lt;&gt;"","?FAMILIAR",IF(F193="NEW",IF(ISNA(VLOOKUP(E193,#REF!,1,FALSE())),"?TYPE_IDENTIFIABLE","?REFERENTIAL"),"_")))))</f>
        <v/>
      </c>
      <c r="H193" s="23" t="str">
        <f t="shared" ca="1" si="23"/>
        <v/>
      </c>
      <c r="I193" s="24" t="str">
        <f>IF(OR(E193="",E193="!!!",F193="NEW"),"",INDEX(B$2:B192,-1+SUMPRODUCT(MAX(ROW(E$2:E192)*(E193=E$2:E192)))))</f>
        <v/>
      </c>
      <c r="J193" s="24" t="str">
        <f ca="1">IF(OR(E193="",E193="!!!",F193="NEW"),"",COUNTBLANK(OFFSET(A$1,,,SUMPRODUCT(MAX(ROW(E$2:E193)*(E193=E$2:E193)))))-COUNTBLANK(OFFSET(A$1,,,SUMPRODUCT(MAX(ROW(E$1:E192)*(E2=E$1:E192))))))</f>
        <v/>
      </c>
      <c r="K193" s="24" t="str">
        <f>IF(OR(E193="",E193="!!!",F193="NEW"),"",INDEX(J$1:J192,SUMPRODUCT(MAX(ROW(E$1:E192)*(E193=E$1:E192)))))</f>
        <v/>
      </c>
      <c r="L193" s="25"/>
    </row>
    <row r="194" spans="1:12" x14ac:dyDescent="0.2">
      <c r="A194" t="s">
        <v>931</v>
      </c>
      <c r="E194" s="20" t="str">
        <f t="shared" si="22"/>
        <v/>
      </c>
      <c r="F194" s="21" t="str">
        <f>IF(OR(E194="",E194="!!!"),"",IF(NOT(ISNA(VLOOKUP(E194,E$1:E193,1,FALSE()))),"OLD",IF(AND(E194&lt;&gt;"",E194&lt;&gt;"!!!"),"NEW","")))</f>
        <v/>
      </c>
      <c r="G194" s="22" t="str">
        <f>IF(OR(E194="",E194="!!!"),"",IF(OR(J194=0,AND(J194=1,K194=1),AND(J194=1,I194="SBJ"),AND(J194=1,I194=0)),"?IN_FOCUS",IF(J194&lt;=2,"?ACTIVATED",IF(J194&lt;&gt;"","?FAMILIAR",IF(F194="NEW",IF(ISNA(VLOOKUP(E194,#REF!,1,FALSE())),"?TYPE_IDENTIFIABLE","?REFERENTIAL"),"_")))))</f>
        <v/>
      </c>
      <c r="H194" s="23" t="str">
        <f t="shared" ca="1" si="23"/>
        <v/>
      </c>
      <c r="I194" s="24" t="str">
        <f>IF(OR(E194="",E194="!!!",F194="NEW"),"",INDEX(B$2:B193,-1+SUMPRODUCT(MAX(ROW(E$2:E193)*(E194=E$2:E193)))))</f>
        <v/>
      </c>
      <c r="J194" s="24" t="str">
        <f ca="1">IF(OR(E194="",E194="!!!",F194="NEW"),"",COUNTBLANK(OFFSET(A$1,,,SUMPRODUCT(MAX(ROW(E$2:E194)*(E194=E$2:E194)))))-COUNTBLANK(OFFSET(A$1,,,SUMPRODUCT(MAX(ROW(E$1:E193)*(E2=E$1:E193))))))</f>
        <v/>
      </c>
      <c r="K194" s="24" t="str">
        <f>IF(OR(E194="",E194="!!!",F194="NEW"),"",INDEX(J$1:J193,SUMPRODUCT(MAX(ROW(E$1:E193)*(E194=E$1:E193)))))</f>
        <v/>
      </c>
      <c r="L194" s="25"/>
    </row>
    <row r="195" spans="1:12" x14ac:dyDescent="0.2">
      <c r="A195" t="s">
        <v>16</v>
      </c>
      <c r="E195" s="20" t="str">
        <f t="shared" si="22"/>
        <v/>
      </c>
      <c r="F195" s="21" t="str">
        <f>IF(OR(E195="",E195="!!!"),"",IF(NOT(ISNA(VLOOKUP(E195,E$1:E194,1,FALSE()))),"OLD",IF(AND(E195&lt;&gt;"",E195&lt;&gt;"!!!"),"NEW","")))</f>
        <v/>
      </c>
      <c r="G195" s="22" t="str">
        <f>IF(OR(E195="",E195="!!!"),"",IF(OR(J195=0,AND(J195=1,K195=1),AND(J195=1,I195="SBJ"),AND(J195=1,I195=0)),"?IN_FOCUS",IF(J195&lt;=2,"?ACTIVATED",IF(J195&lt;&gt;"","?FAMILIAR",IF(F195="NEW",IF(ISNA(VLOOKUP(E195,#REF!,1,FALSE())),"?TYPE_IDENTIFIABLE","?REFERENTIAL"),"_")))))</f>
        <v/>
      </c>
      <c r="H195" s="23" t="str">
        <f t="shared" ca="1" si="23"/>
        <v/>
      </c>
      <c r="I195" s="24" t="str">
        <f>IF(OR(E195="",E195="!!!",F195="NEW"),"",INDEX(B$2:B194,-1+SUMPRODUCT(MAX(ROW(E$2:E194)*(E195=E$2:E194)))))</f>
        <v/>
      </c>
      <c r="J195" s="24" t="str">
        <f ca="1">IF(OR(E195="",E195="!!!",F195="NEW"),"",COUNTBLANK(OFFSET(A$1,,,SUMPRODUCT(MAX(ROW(E$2:E195)*(E195=E$2:E195)))))-COUNTBLANK(OFFSET(A$1,,,SUMPRODUCT(MAX(ROW(E$1:E194)*(E2=E$1:E194))))))</f>
        <v/>
      </c>
      <c r="K195" s="24" t="str">
        <f>IF(OR(E195="",E195="!!!",F195="NEW"),"",INDEX(J$1:J194,SUMPRODUCT(MAX(ROW(E$1:E194)*(E195=E$1:E194)))))</f>
        <v/>
      </c>
      <c r="L195" s="25"/>
    </row>
    <row r="196" spans="1:12" x14ac:dyDescent="0.2">
      <c r="A196" t="s">
        <v>932</v>
      </c>
      <c r="E196" s="20" t="str">
        <f t="shared" si="22"/>
        <v/>
      </c>
      <c r="F196" s="21" t="str">
        <f>IF(OR(E196="",E196="!!!"),"",IF(NOT(ISNA(VLOOKUP(E196,E$1:E195,1,FALSE()))),"OLD",IF(AND(E196&lt;&gt;"",E196&lt;&gt;"!!!"),"NEW","")))</f>
        <v/>
      </c>
      <c r="G196" s="22" t="str">
        <f>IF(OR(E196="",E196="!!!"),"",IF(OR(J196=0,AND(J196=1,K196=1),AND(J196=1,I196="SBJ"),AND(J196=1,I196=0)),"?IN_FOCUS",IF(J196&lt;=2,"?ACTIVATED",IF(J196&lt;&gt;"","?FAMILIAR",IF(F196="NEW",IF(ISNA(VLOOKUP(E196,#REF!,1,FALSE())),"?TYPE_IDENTIFIABLE","?REFERENTIAL"),"_")))))</f>
        <v/>
      </c>
      <c r="H196" s="23" t="str">
        <f t="shared" ca="1" si="23"/>
        <v/>
      </c>
      <c r="I196" s="24" t="str">
        <f>IF(OR(E196="",E196="!!!",F196="NEW"),"",INDEX(B$2:B195,-1+SUMPRODUCT(MAX(ROW(E$2:E195)*(E196=E$2:E195)))))</f>
        <v/>
      </c>
      <c r="J196" s="24" t="str">
        <f ca="1">IF(OR(E196="",E196="!!!",F196="NEW"),"",COUNTBLANK(OFFSET(A$1,,,SUMPRODUCT(MAX(ROW(E$2:E196)*(E196=E$2:E196)))))-COUNTBLANK(OFFSET(A$1,,,SUMPRODUCT(MAX(ROW(E$1:E195)*(E2=E$1:E195))))))</f>
        <v/>
      </c>
      <c r="K196" s="24" t="str">
        <f>IF(OR(E196="",E196="!!!",F196="NEW"),"",INDEX(J$1:J195,SUMPRODUCT(MAX(ROW(E$1:E195)*(E196=E$1:E195)))))</f>
        <v/>
      </c>
      <c r="L196" s="25"/>
    </row>
    <row r="197" spans="1:12" x14ac:dyDescent="0.2">
      <c r="A197" t="s">
        <v>933</v>
      </c>
      <c r="B197" s="26" t="s">
        <v>819</v>
      </c>
      <c r="C197" s="26" t="s">
        <v>820</v>
      </c>
      <c r="D197" s="26" t="s">
        <v>806</v>
      </c>
      <c r="E197" s="20"/>
      <c r="F197" s="21" t="s">
        <v>1781</v>
      </c>
      <c r="G197" s="22" t="str">
        <f>IF(OR(E197="",E197="!!!"),"",IF(OR(J197=0,AND(J197=1,K197=1),AND(J197=1,I197="SBJ"),AND(J197=1,I197=0)),"?IN_FOCUS",IF(J197&lt;=2,"?ACTIVATED",IF(J197&lt;&gt;"","?FAMILIAR",IF(F197="NEW",IF(ISNA(VLOOKUP(E197,#REF!,1,FALSE())),"?TYPE_IDENTIFIABLE","?REFERENTIAL"),"_")))))</f>
        <v/>
      </c>
      <c r="H197" s="23" t="str">
        <f t="shared" ca="1" si="23"/>
        <v/>
      </c>
      <c r="I197" s="24" t="str">
        <f>IF(OR(E197="",E197="!!!",F197="NEW"),"",INDEX(B$2:B196,-1+SUMPRODUCT(MAX(ROW(E$2:E196)*(E197=E$2:E196)))))</f>
        <v/>
      </c>
      <c r="J197" s="24" t="str">
        <f ca="1">IF(OR(E197="",E197="!!!",F197="NEW"),"",COUNTBLANK(OFFSET(A$1,,,SUMPRODUCT(MAX(ROW(E$2:E197)*(E197=E$2:E197)))))-COUNTBLANK(OFFSET(A$1,,,SUMPRODUCT(MAX(ROW(E$1:E196)*(E2=E$1:E196))))))</f>
        <v/>
      </c>
      <c r="K197" s="24" t="str">
        <f>IF(OR(E197="",E197="!!!",F197="NEW"),"",INDEX(J$1:J196,SUMPRODUCT(MAX(ROW(E$1:E196)*(E197=E$1:E196)))))</f>
        <v/>
      </c>
      <c r="L197" s="25"/>
    </row>
    <row r="198" spans="1:12" x14ac:dyDescent="0.2">
      <c r="A198" t="s">
        <v>821</v>
      </c>
      <c r="E198" s="20" t="str">
        <f t="shared" si="22"/>
        <v/>
      </c>
      <c r="F198" s="21" t="str">
        <f>IF(OR(E198="",E198="!!!"),"",IF(NOT(ISNA(VLOOKUP(E198,E$1:E197,1,FALSE()))),"OLD",IF(AND(E198&lt;&gt;"",E198&lt;&gt;"!!!"),"NEW","")))</f>
        <v/>
      </c>
      <c r="G198" s="22" t="str">
        <f>IF(OR(E198="",E198="!!!"),"",IF(OR(J198=0,AND(J198=1,K198=1),AND(J198=1,I198="SBJ"),AND(J198=1,I198=0)),"?IN_FOCUS",IF(J198&lt;=2,"?ACTIVATED",IF(J198&lt;&gt;"","?FAMILIAR",IF(F198="NEW",IF(ISNA(VLOOKUP(E198,#REF!,1,FALSE())),"?TYPE_IDENTIFIABLE","?REFERENTIAL"),"_")))))</f>
        <v/>
      </c>
      <c r="H198" s="23" t="str">
        <f t="shared" ca="1" si="23"/>
        <v/>
      </c>
      <c r="I198" s="24" t="str">
        <f>IF(OR(E198="",E198="!!!",F198="NEW"),"",INDEX(B$2:B197,-1+SUMPRODUCT(MAX(ROW(E$2:E197)*(E198=E$2:E197)))))</f>
        <v/>
      </c>
      <c r="J198" s="24" t="str">
        <f ca="1">IF(OR(E198="",E198="!!!",F198="NEW"),"",COUNTBLANK(OFFSET(A$1,,,SUMPRODUCT(MAX(ROW(E$2:E198)*(E198=E$2:E198)))))-COUNTBLANK(OFFSET(A$1,,,SUMPRODUCT(MAX(ROW(E$1:E197)*(E2=E$1:E197))))))</f>
        <v/>
      </c>
      <c r="K198" s="24" t="str">
        <f>IF(OR(E198="",E198="!!!",F198="NEW"),"",INDEX(J$1:J197,SUMPRODUCT(MAX(ROW(E$1:E197)*(E198=E$1:E197)))))</f>
        <v/>
      </c>
      <c r="L198" s="25"/>
    </row>
    <row r="200" spans="1:12" x14ac:dyDescent="0.2">
      <c r="A200" t="s">
        <v>934</v>
      </c>
    </row>
    <row r="201" spans="1:12" x14ac:dyDescent="0.2">
      <c r="A201" t="s">
        <v>837</v>
      </c>
      <c r="E201" s="20" t="str">
        <f t="shared" ref="E201:E208" si="24">IF(D201="?OLD","!!!","")</f>
        <v/>
      </c>
      <c r="F201" s="21" t="str">
        <f>IF(OR(E201="",E201="!!!"),"",IF(NOT(ISNA(VLOOKUP(E201,E$1:E200,1,FALSE()))),"OLD",IF(AND(E201&lt;&gt;"",E201&lt;&gt;"!!!"),"NEW","")))</f>
        <v/>
      </c>
      <c r="G201" s="22" t="str">
        <f>IF(OR(E201="",E201="!!!"),"",IF(OR(J201=0,AND(J201=1,K201=1),AND(J201=1,I201="SBJ"),AND(J201=1,I201=0)),"?IN_FOCUS",IF(J201&lt;=2,"?ACTIVATED",IF(J201&lt;&gt;"","?FAMILIAR",IF(F201="NEW",IF(ISNA(VLOOKUP(E201,#REF!,1,FALSE())),"?TYPE_IDENTIFIABLE","?REFERENTIAL"),"_")))))</f>
        <v/>
      </c>
      <c r="H201" s="23" t="str">
        <f t="shared" ref="H201:H208" ca="1" si="25">IF(J201&lt;&gt;1,"",IF(I201="SBJ","CB","?"))</f>
        <v/>
      </c>
      <c r="I201" s="24" t="str">
        <f>IF(OR(E201="",E201="!!!",F201="NEW"),"",INDEX(B$2:B200,-1+SUMPRODUCT(MAX(ROW(E$2:E200)*(E201=E$2:E200)))))</f>
        <v/>
      </c>
      <c r="J201" s="24" t="str">
        <f ca="1">IF(OR(E201="",E201="!!!",F201="NEW"),"",COUNTBLANK(OFFSET(A$1,,,SUMPRODUCT(MAX(ROW(E$2:E201)*(E201=E$2:E201)))))-COUNTBLANK(OFFSET(A$1,,,SUMPRODUCT(MAX(ROW(E$1:E200)*(E2=E$1:E200))))))</f>
        <v/>
      </c>
      <c r="K201" s="24" t="str">
        <f>IF(OR(E201="",E201="!!!",F201="NEW"),"",INDEX(J$1:J200,SUMPRODUCT(MAX(ROW(E$1:E200)*(E201=E$1:E200)))))</f>
        <v/>
      </c>
      <c r="L201" s="25"/>
    </row>
    <row r="202" spans="1:12" x14ac:dyDescent="0.2">
      <c r="A202" t="s">
        <v>898</v>
      </c>
      <c r="E202" s="20" t="str">
        <f t="shared" si="24"/>
        <v/>
      </c>
      <c r="F202" s="21" t="str">
        <f>IF(OR(E202="",E202="!!!"),"",IF(NOT(ISNA(VLOOKUP(E202,E$1:E201,1,FALSE()))),"OLD",IF(AND(E202&lt;&gt;"",E202&lt;&gt;"!!!"),"NEW","")))</f>
        <v/>
      </c>
      <c r="G202" s="22" t="str">
        <f>IF(OR(E202="",E202="!!!"),"",IF(OR(J202=0,AND(J202=1,K202=1),AND(J202=1,I202="SBJ"),AND(J202=1,I202=0)),"?IN_FOCUS",IF(J202&lt;=2,"?ACTIVATED",IF(J202&lt;&gt;"","?FAMILIAR",IF(F202="NEW",IF(ISNA(VLOOKUP(E202,#REF!,1,FALSE())),"?TYPE_IDENTIFIABLE","?REFERENTIAL"),"_")))))</f>
        <v/>
      </c>
      <c r="H202" s="23" t="str">
        <f t="shared" ca="1" si="25"/>
        <v/>
      </c>
      <c r="I202" s="24" t="str">
        <f>IF(OR(E202="",E202="!!!",F202="NEW"),"",INDEX(B$2:B201,-1+SUMPRODUCT(MAX(ROW(E$2:E201)*(E202=E$2:E201)))))</f>
        <v/>
      </c>
      <c r="J202" s="24" t="str">
        <f ca="1">IF(OR(E202="",E202="!!!",F202="NEW"),"",COUNTBLANK(OFFSET(A$1,,,SUMPRODUCT(MAX(ROW(E$2:E202)*(E202=E$2:E202)))))-COUNTBLANK(OFFSET(A$1,,,SUMPRODUCT(MAX(ROW(E$1:E201)*(E2=E$1:E201))))))</f>
        <v/>
      </c>
      <c r="K202" s="24" t="str">
        <f>IF(OR(E202="",E202="!!!",F202="NEW"),"",INDEX(J$1:J201,SUMPRODUCT(MAX(ROW(E$1:E201)*(E202=E$1:E201)))))</f>
        <v/>
      </c>
      <c r="L202" s="25"/>
    </row>
    <row r="203" spans="1:12" x14ac:dyDescent="0.2">
      <c r="A203" t="s">
        <v>935</v>
      </c>
      <c r="E203" s="20" t="str">
        <f t="shared" si="24"/>
        <v/>
      </c>
      <c r="F203" s="21" t="str">
        <f>IF(OR(E203="",E203="!!!"),"",IF(NOT(ISNA(VLOOKUP(E203,E$1:E202,1,FALSE()))),"OLD",IF(AND(E203&lt;&gt;"",E203&lt;&gt;"!!!"),"NEW","")))</f>
        <v/>
      </c>
      <c r="G203" s="22" t="str">
        <f>IF(OR(E203="",E203="!!!"),"",IF(OR(J203=0,AND(J203=1,K203=1),AND(J203=1,I203="SBJ"),AND(J203=1,I203=0)),"?IN_FOCUS",IF(J203&lt;=2,"?ACTIVATED",IF(J203&lt;&gt;"","?FAMILIAR",IF(F203="NEW",IF(ISNA(VLOOKUP(E203,#REF!,1,FALSE())),"?TYPE_IDENTIFIABLE","?REFERENTIAL"),"_")))))</f>
        <v/>
      </c>
      <c r="H203" s="23" t="str">
        <f t="shared" ca="1" si="25"/>
        <v/>
      </c>
      <c r="I203" s="24" t="str">
        <f>IF(OR(E203="",E203="!!!",F203="NEW"),"",INDEX(B$2:B202,-1+SUMPRODUCT(MAX(ROW(E$2:E202)*(E203=E$2:E202)))))</f>
        <v/>
      </c>
      <c r="J203" s="24" t="str">
        <f ca="1">IF(OR(E203="",E203="!!!",F203="NEW"),"",COUNTBLANK(OFFSET(A$1,,,SUMPRODUCT(MAX(ROW(E$2:E203)*(E203=E$2:E203)))))-COUNTBLANK(OFFSET(A$1,,,SUMPRODUCT(MAX(ROW(E$1:E202)*(E2=E$1:E202))))))</f>
        <v/>
      </c>
      <c r="K203" s="24" t="str">
        <f>IF(OR(E203="",E203="!!!",F203="NEW"),"",INDEX(J$1:J202,SUMPRODUCT(MAX(ROW(E$1:E202)*(E203=E$1:E202)))))</f>
        <v/>
      </c>
      <c r="L203" s="25"/>
    </row>
    <row r="204" spans="1:12" x14ac:dyDescent="0.2">
      <c r="A204" t="s">
        <v>859</v>
      </c>
      <c r="E204" s="20" t="str">
        <f t="shared" si="24"/>
        <v/>
      </c>
      <c r="F204" s="21" t="str">
        <f>IF(OR(E204="",E204="!!!"),"",IF(NOT(ISNA(VLOOKUP(E204,E$1:E203,1,FALSE()))),"OLD",IF(AND(E204&lt;&gt;"",E204&lt;&gt;"!!!"),"NEW","")))</f>
        <v/>
      </c>
      <c r="G204" s="22" t="str">
        <f>IF(OR(E204="",E204="!!!"),"",IF(OR(J204=0,AND(J204=1,K204=1),AND(J204=1,I204="SBJ"),AND(J204=1,I204=0)),"?IN_FOCUS",IF(J204&lt;=2,"?ACTIVATED",IF(J204&lt;&gt;"","?FAMILIAR",IF(F204="NEW",IF(ISNA(VLOOKUP(E204,#REF!,1,FALSE())),"?TYPE_IDENTIFIABLE","?REFERENTIAL"),"_")))))</f>
        <v/>
      </c>
      <c r="H204" s="23" t="str">
        <f t="shared" ca="1" si="25"/>
        <v/>
      </c>
      <c r="I204" s="24" t="str">
        <f>IF(OR(E204="",E204="!!!",F204="NEW"),"",INDEX(B$2:B203,-1+SUMPRODUCT(MAX(ROW(E$2:E203)*(E204=E$2:E203)))))</f>
        <v/>
      </c>
      <c r="J204" s="24" t="str">
        <f ca="1">IF(OR(E204="",E204="!!!",F204="NEW"),"",COUNTBLANK(OFFSET(A$1,,,SUMPRODUCT(MAX(ROW(E$2:E204)*(E204=E$2:E204)))))-COUNTBLANK(OFFSET(A$1,,,SUMPRODUCT(MAX(ROW(E$1:E203)*(E2=E$1:E203))))))</f>
        <v/>
      </c>
      <c r="K204" s="24" t="str">
        <f>IF(OR(E204="",E204="!!!",F204="NEW"),"",INDEX(J$1:J203,SUMPRODUCT(MAX(ROW(E$1:E203)*(E204=E$1:E203)))))</f>
        <v/>
      </c>
      <c r="L204" s="25"/>
    </row>
    <row r="205" spans="1:12" x14ac:dyDescent="0.2">
      <c r="A205" t="s">
        <v>936</v>
      </c>
      <c r="E205" s="20" t="str">
        <f t="shared" si="24"/>
        <v/>
      </c>
      <c r="F205" s="21" t="str">
        <f>IF(OR(E205="",E205="!!!"),"",IF(NOT(ISNA(VLOOKUP(E205,E$1:E204,1,FALSE()))),"OLD",IF(AND(E205&lt;&gt;"",E205&lt;&gt;"!!!"),"NEW","")))</f>
        <v/>
      </c>
      <c r="G205" s="22" t="str">
        <f>IF(OR(E205="",E205="!!!"),"",IF(OR(J205=0,AND(J205=1,K205=1),AND(J205=1,I205="SBJ"),AND(J205=1,I205=0)),"?IN_FOCUS",IF(J205&lt;=2,"?ACTIVATED",IF(J205&lt;&gt;"","?FAMILIAR",IF(F205="NEW",IF(ISNA(VLOOKUP(E205,#REF!,1,FALSE())),"?TYPE_IDENTIFIABLE","?REFERENTIAL"),"_")))))</f>
        <v/>
      </c>
      <c r="H205" s="23" t="str">
        <f t="shared" ca="1" si="25"/>
        <v/>
      </c>
      <c r="I205" s="24" t="str">
        <f>IF(OR(E205="",E205="!!!",F205="NEW"),"",INDEX(B$2:B204,-1+SUMPRODUCT(MAX(ROW(E$2:E204)*(E205=E$2:E204)))))</f>
        <v/>
      </c>
      <c r="J205" s="24" t="str">
        <f ca="1">IF(OR(E205="",E205="!!!",F205="NEW"),"",COUNTBLANK(OFFSET(A$1,,,SUMPRODUCT(MAX(ROW(E$2:E205)*(E205=E$2:E205)))))-COUNTBLANK(OFFSET(A$1,,,SUMPRODUCT(MAX(ROW(E$1:E204)*(E2=E$1:E204))))))</f>
        <v/>
      </c>
      <c r="K205" s="24" t="str">
        <f>IF(OR(E205="",E205="!!!",F205="NEW"),"",INDEX(J$1:J204,SUMPRODUCT(MAX(ROW(E$1:E204)*(E205=E$1:E204)))))</f>
        <v/>
      </c>
      <c r="L205" s="25"/>
    </row>
    <row r="206" spans="1:12" x14ac:dyDescent="0.2">
      <c r="A206" t="s">
        <v>845</v>
      </c>
      <c r="E206" s="20" t="str">
        <f t="shared" si="24"/>
        <v/>
      </c>
      <c r="F206" s="21"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25"/>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5"/>
    </row>
    <row r="207" spans="1:12" x14ac:dyDescent="0.2">
      <c r="A207" t="s">
        <v>937</v>
      </c>
      <c r="B207" s="26" t="s">
        <v>938</v>
      </c>
      <c r="C207" s="26" t="s">
        <v>847</v>
      </c>
      <c r="D207" s="26" t="s">
        <v>806</v>
      </c>
      <c r="E207" s="20" t="s">
        <v>937</v>
      </c>
      <c r="F207" s="21" t="str">
        <f>IF(OR(E207="",E207="!!!"),"",IF(NOT(ISNA(VLOOKUP(E207,E$1:E206,1,FALSE()))),"OLD",IF(AND(E207&lt;&gt;"",E207&lt;&gt;"!!!"),"NEW","")))</f>
        <v>NEW</v>
      </c>
      <c r="G207" s="22" t="s">
        <v>1824</v>
      </c>
      <c r="H207" s="23" t="str">
        <f t="shared" ca="1" si="25"/>
        <v/>
      </c>
      <c r="I207" s="24" t="str">
        <f>IF(OR(E207="",E207="!!!",F207="NEW"),"",INDEX(B$2:B206,-1+SUMPRODUCT(MAX(ROW(E$2:E206)*(E207=E$2:E206)))))</f>
        <v/>
      </c>
      <c r="J207" s="24" t="str">
        <f ca="1">IF(OR(E207="",E207="!!!",F207="NEW"),"",COUNTBLANK(OFFSET(A$1,,,SUMPRODUCT(MAX(ROW(E$2:E207)*(E207=E$2:E207)))))-COUNTBLANK(OFFSET(A$1,,,SUMPRODUCT(MAX(ROW(E$1:E206)*(E2=E$1:E206))))))</f>
        <v/>
      </c>
      <c r="K207" s="24" t="str">
        <f>IF(OR(E207="",E207="!!!",F207="NEW"),"",INDEX(J$1:J206,SUMPRODUCT(MAX(ROW(E$1:E206)*(E207=E$1:E206)))))</f>
        <v/>
      </c>
      <c r="L207" s="25"/>
    </row>
    <row r="208" spans="1:12" x14ac:dyDescent="0.2">
      <c r="A208" t="s">
        <v>821</v>
      </c>
      <c r="E208" s="20" t="str">
        <f t="shared" si="24"/>
        <v/>
      </c>
      <c r="F208" s="21" t="str">
        <f>IF(OR(E208="",E208="!!!"),"",IF(NOT(ISNA(VLOOKUP(E208,E$1:E207,1,FALSE()))),"OLD",IF(AND(E208&lt;&gt;"",E208&lt;&gt;"!!!"),"NEW","")))</f>
        <v/>
      </c>
      <c r="G208" s="22" t="str">
        <f>IF(OR(E208="",E208="!!!"),"",IF(OR(J208=0,AND(J208=1,K208=1),AND(J208=1,I208="SBJ"),AND(J208=1,I208=0)),"?IN_FOCUS",IF(J208&lt;=2,"?ACTIVATED",IF(J208&lt;&gt;"","?FAMILIAR",IF(F208="NEW",IF(ISNA(VLOOKUP(E208,#REF!,1,FALSE())),"?TYPE_IDENTIFIABLE","?REFERENTIAL"),"_")))))</f>
        <v/>
      </c>
      <c r="H208" s="23" t="str">
        <f t="shared" ca="1" si="25"/>
        <v/>
      </c>
      <c r="I208" s="24" t="str">
        <f>IF(OR(E208="",E208="!!!",F208="NEW"),"",INDEX(B$2:B207,-1+SUMPRODUCT(MAX(ROW(E$2:E207)*(E208=E$2:E207)))))</f>
        <v/>
      </c>
      <c r="J208" s="24" t="str">
        <f ca="1">IF(OR(E208="",E208="!!!",F208="NEW"),"",COUNTBLANK(OFFSET(A$1,,,SUMPRODUCT(MAX(ROW(E$2:E208)*(E208=E$2:E208)))))-COUNTBLANK(OFFSET(A$1,,,SUMPRODUCT(MAX(ROW(E$1:E207)*(E2=E$1:E207))))))</f>
        <v/>
      </c>
      <c r="K208" s="24" t="str">
        <f>IF(OR(E208="",E208="!!!",F208="NEW"),"",INDEX(J$1:J207,SUMPRODUCT(MAX(ROW(E$1:E207)*(E208=E$1:E207)))))</f>
        <v/>
      </c>
      <c r="L208" s="25"/>
    </row>
    <row r="210" spans="1:12" x14ac:dyDescent="0.2">
      <c r="A210" t="s">
        <v>939</v>
      </c>
    </row>
    <row r="211" spans="1:12" x14ac:dyDescent="0.2">
      <c r="A211" t="s">
        <v>940</v>
      </c>
      <c r="E211" s="20" t="str">
        <f t="shared" ref="E211:E236" si="26">IF(D211="?OLD","!!!","")</f>
        <v/>
      </c>
      <c r="F211" s="21" t="str">
        <f>IF(OR(E211="",E211="!!!"),"",IF(NOT(ISNA(VLOOKUP(E211,E$1:E210,1,FALSE()))),"OLD",IF(AND(E211&lt;&gt;"",E211&lt;&gt;"!!!"),"NEW","")))</f>
        <v/>
      </c>
      <c r="G211" s="22" t="str">
        <f>IF(OR(E211="",E211="!!!"),"",IF(OR(J211=0,AND(J211=1,K211=1),AND(J211=1,I211="SBJ"),AND(J211=1,I211=0)),"?IN_FOCUS",IF(J211&lt;=2,"?ACTIVATED",IF(J211&lt;&gt;"","?FAMILIAR",IF(F211="NEW",IF(ISNA(VLOOKUP(E211,#REF!,1,FALSE())),"?TYPE_IDENTIFIABLE","?REFERENTIAL"),"_")))))</f>
        <v/>
      </c>
      <c r="H211" s="23" t="str">
        <f t="shared" ref="H211:H236" ca="1" si="27">IF(J211&lt;&gt;1,"",IF(I211="SBJ","CB","?"))</f>
        <v/>
      </c>
      <c r="I211" s="24" t="str">
        <f>IF(OR(E211="",E211="!!!",F211="NEW"),"",INDEX(B$2:B210,-1+SUMPRODUCT(MAX(ROW(E$2:E210)*(E211=E$2:E210)))))</f>
        <v/>
      </c>
      <c r="J211" s="24" t="str">
        <f ca="1">IF(OR(E211="",E211="!!!",F211="NEW"),"",COUNTBLANK(OFFSET(A$1,,,SUMPRODUCT(MAX(ROW(E$2:E211)*(E211=E$2:E211)))))-COUNTBLANK(OFFSET(A$1,,,SUMPRODUCT(MAX(ROW(E$1:E210)*(E2=E$1:E210))))))</f>
        <v/>
      </c>
      <c r="K211" s="24" t="str">
        <f>IF(OR(E211="",E211="!!!",F211="NEW"),"",INDEX(J$1:J210,SUMPRODUCT(MAX(ROW(E$1:E210)*(E211=E$1:E210)))))</f>
        <v/>
      </c>
      <c r="L211" s="25"/>
    </row>
    <row r="212" spans="1:12" x14ac:dyDescent="0.2">
      <c r="A212" t="s">
        <v>941</v>
      </c>
      <c r="B212" s="26" t="s">
        <v>804</v>
      </c>
      <c r="C212" s="26" t="s">
        <v>814</v>
      </c>
      <c r="E212" s="20" t="str">
        <f t="shared" si="26"/>
        <v/>
      </c>
      <c r="F212" s="21" t="str">
        <f>IF(OR(E212="",E212="!!!"),"",IF(NOT(ISNA(VLOOKUP(E212,E$1:E211,1,FALSE()))),"OLD",IF(AND(E212&lt;&gt;"",E212&lt;&gt;"!!!"),"NEW","")))</f>
        <v/>
      </c>
      <c r="G212" s="22" t="str">
        <f>IF(OR(E212="",E212="!!!"),"",IF(OR(J212=0,AND(J212=1,K212=1),AND(J212=1,I212="SBJ"),AND(J212=1,I212=0)),"?IN_FOCUS",IF(J212&lt;=2,"?ACTIVATED",IF(J212&lt;&gt;"","?FAMILIAR",IF(F212="NEW",IF(ISNA(VLOOKUP(E212,#REF!,1,FALSE())),"?TYPE_IDENTIFIABLE","?REFERENTIAL"),"_")))))</f>
        <v/>
      </c>
      <c r="H212" s="23" t="str">
        <f t="shared" ca="1" si="27"/>
        <v/>
      </c>
      <c r="I212" s="24" t="str">
        <f>IF(OR(E212="",E212="!!!",F212="NEW"),"",INDEX(B$2:B211,-1+SUMPRODUCT(MAX(ROW(E$2:E211)*(E212=E$2:E211)))))</f>
        <v/>
      </c>
      <c r="J212" s="24" t="str">
        <f ca="1">IF(OR(E212="",E212="!!!",F212="NEW"),"",COUNTBLANK(OFFSET(A$1,,,SUMPRODUCT(MAX(ROW(E$2:E212)*(E212=E$2:E212)))))-COUNTBLANK(OFFSET(A$1,,,SUMPRODUCT(MAX(ROW(E$1:E211)*(E2=E$1:E211))))))</f>
        <v/>
      </c>
      <c r="K212" s="24" t="str">
        <f>IF(OR(E212="",E212="!!!",F212="NEW"),"",INDEX(J$1:J211,SUMPRODUCT(MAX(ROW(E$1:E211)*(E212=E$1:E211)))))</f>
        <v/>
      </c>
      <c r="L212" s="25"/>
    </row>
    <row r="213" spans="1:12" x14ac:dyDescent="0.2">
      <c r="A213" t="s">
        <v>812</v>
      </c>
      <c r="E213" s="20" t="str">
        <f t="shared" si="26"/>
        <v/>
      </c>
      <c r="F213" s="21" t="str">
        <f>IF(OR(E213="",E213="!!!"),"",IF(NOT(ISNA(VLOOKUP(E213,E$1:E212,1,FALSE()))),"OLD",IF(AND(E213&lt;&gt;"",E213&lt;&gt;"!!!"),"NEW","")))</f>
        <v/>
      </c>
      <c r="G213" s="22" t="str">
        <f>IF(OR(E213="",E213="!!!"),"",IF(OR(J213=0,AND(J213=1,K213=1),AND(J213=1,I213="SBJ"),AND(J213=1,I213=0)),"?IN_FOCUS",IF(J213&lt;=2,"?ACTIVATED",IF(J213&lt;&gt;"","?FAMILIAR",IF(F213="NEW",IF(ISNA(VLOOKUP(E213,#REF!,1,FALSE())),"?TYPE_IDENTIFIABLE","?REFERENTIAL"),"_")))))</f>
        <v/>
      </c>
      <c r="H213" s="23" t="str">
        <f t="shared" ca="1" si="27"/>
        <v/>
      </c>
      <c r="I213" s="24" t="str">
        <f>IF(OR(E213="",E213="!!!",F213="NEW"),"",INDEX(B$2:B212,-1+SUMPRODUCT(MAX(ROW(E$2:E212)*(E213=E$2:E212)))))</f>
        <v/>
      </c>
      <c r="J213" s="24" t="str">
        <f ca="1">IF(OR(E213="",E213="!!!",F213="NEW"),"",COUNTBLANK(OFFSET(A$1,,,SUMPRODUCT(MAX(ROW(E$2:E213)*(E213=E$2:E213)))))-COUNTBLANK(OFFSET(A$1,,,SUMPRODUCT(MAX(ROW(E$1:E212)*(E2=E$1:E212))))))</f>
        <v/>
      </c>
      <c r="K213" s="24" t="str">
        <f>IF(OR(E213="",E213="!!!",F213="NEW"),"",INDEX(J$1:J212,SUMPRODUCT(MAX(ROW(E$1:E212)*(E213=E$1:E212)))))</f>
        <v/>
      </c>
      <c r="L213" s="25"/>
    </row>
    <row r="214" spans="1:12" x14ac:dyDescent="0.2">
      <c r="A214" t="s">
        <v>942</v>
      </c>
      <c r="E214" s="20" t="str">
        <f t="shared" si="26"/>
        <v/>
      </c>
      <c r="F214" s="21" t="str">
        <f>IF(OR(E214="",E214="!!!"),"",IF(NOT(ISNA(VLOOKUP(E214,E$1:E213,1,FALSE()))),"OLD",IF(AND(E214&lt;&gt;"",E214&lt;&gt;"!!!"),"NEW","")))</f>
        <v/>
      </c>
      <c r="G214" s="22" t="str">
        <f>IF(OR(E214="",E214="!!!"),"",IF(OR(J214=0,AND(J214=1,K214=1),AND(J214=1,I214="SBJ"),AND(J214=1,I214=0)),"?IN_FOCUS",IF(J214&lt;=2,"?ACTIVATED",IF(J214&lt;&gt;"","?FAMILIAR",IF(F214="NEW",IF(ISNA(VLOOKUP(E214,#REF!,1,FALSE())),"?TYPE_IDENTIFIABLE","?REFERENTIAL"),"_")))))</f>
        <v/>
      </c>
      <c r="H214" s="23" t="str">
        <f t="shared" ca="1" si="27"/>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5"/>
    </row>
    <row r="215" spans="1:12" x14ac:dyDescent="0.2">
      <c r="A215" t="s">
        <v>30</v>
      </c>
      <c r="B215" s="26" t="s">
        <v>813</v>
      </c>
      <c r="C215" s="26" t="s">
        <v>814</v>
      </c>
      <c r="E215" s="20" t="s">
        <v>1757</v>
      </c>
      <c r="F215" s="21" t="str">
        <f>IF(OR(E215="",E215="!!!"),"",IF(NOT(ISNA(VLOOKUP(E215,E$1:E214,1,FALSE()))),"OLD",IF(AND(E215&lt;&gt;"",E215&lt;&gt;"!!!"),"NEW","")))</f>
        <v>NEW</v>
      </c>
      <c r="G215" s="22" t="s">
        <v>1820</v>
      </c>
      <c r="H215" s="23" t="str">
        <f t="shared" ca="1" si="27"/>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5"/>
    </row>
    <row r="216" spans="1:12" x14ac:dyDescent="0.2">
      <c r="A216" t="s">
        <v>802</v>
      </c>
      <c r="E216" s="20" t="str">
        <f t="shared" si="26"/>
        <v/>
      </c>
      <c r="F216" s="21" t="str">
        <f>IF(OR(E216="",E216="!!!"),"",IF(NOT(ISNA(VLOOKUP(E216,E$1:E215,1,FALSE()))),"OLD",IF(AND(E216&lt;&gt;"",E216&lt;&gt;"!!!"),"NEW","")))</f>
        <v/>
      </c>
      <c r="G216" s="22" t="str">
        <f>IF(OR(E216="",E216="!!!"),"",IF(OR(J216=0,AND(J216=1,K216=1),AND(J216=1,I216="SBJ"),AND(J216=1,I216=0)),"?IN_FOCUS",IF(J216&lt;=2,"?ACTIVATED",IF(J216&lt;&gt;"","?FAMILIAR",IF(F216="NEW",IF(ISNA(VLOOKUP(E216,#REF!,1,FALSE())),"?TYPE_IDENTIFIABLE","?REFERENTIAL"),"_")))))</f>
        <v/>
      </c>
      <c r="H216" s="23" t="str">
        <f t="shared" ca="1" si="27"/>
        <v/>
      </c>
      <c r="I216" s="24" t="str">
        <f>IF(OR(E216="",E216="!!!",F216="NEW"),"",INDEX(B$2:B215,-1+SUMPRODUCT(MAX(ROW(E$2:E215)*(E216=E$2:E215)))))</f>
        <v/>
      </c>
      <c r="J216" s="24" t="str">
        <f ca="1">IF(OR(E216="",E216="!!!",F216="NEW"),"",COUNTBLANK(OFFSET(A$1,,,SUMPRODUCT(MAX(ROW(E$2:E216)*(E216=E$2:E216)))))-COUNTBLANK(OFFSET(A$1,,,SUMPRODUCT(MAX(ROW(E$1:E215)*(E2=E$1:E215))))))</f>
        <v/>
      </c>
      <c r="K216" s="24" t="str">
        <f>IF(OR(E216="",E216="!!!",F216="NEW"),"",INDEX(J$1:J215,SUMPRODUCT(MAX(ROW(E$1:E215)*(E216=E$1:E215)))))</f>
        <v/>
      </c>
      <c r="L216" s="25"/>
    </row>
    <row r="217" spans="1:12" x14ac:dyDescent="0.2">
      <c r="A217" t="s">
        <v>845</v>
      </c>
      <c r="E217" s="20" t="str">
        <f t="shared" si="26"/>
        <v/>
      </c>
      <c r="F217" s="21" t="str">
        <f>IF(OR(E217="",E217="!!!"),"",IF(NOT(ISNA(VLOOKUP(E217,E$1:E216,1,FALSE()))),"OLD",IF(AND(E217&lt;&gt;"",E217&lt;&gt;"!!!"),"NEW","")))</f>
        <v/>
      </c>
      <c r="G217" s="22" t="str">
        <f>IF(OR(E217="",E217="!!!"),"",IF(OR(J217=0,AND(J217=1,K217=1),AND(J217=1,I217="SBJ"),AND(J217=1,I217=0)),"?IN_FOCUS",IF(J217&lt;=2,"?ACTIVATED",IF(J217&lt;&gt;"","?FAMILIAR",IF(F217="NEW",IF(ISNA(VLOOKUP(E217,#REF!,1,FALSE())),"?TYPE_IDENTIFIABLE","?REFERENTIAL"),"_")))))</f>
        <v/>
      </c>
      <c r="H217" s="23" t="str">
        <f t="shared" ca="1" si="27"/>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5"/>
    </row>
    <row r="218" spans="1:12" x14ac:dyDescent="0.2">
      <c r="A218" t="s">
        <v>943</v>
      </c>
      <c r="B218" s="26" t="s">
        <v>813</v>
      </c>
      <c r="C218" s="26" t="s">
        <v>847</v>
      </c>
      <c r="D218" s="26" t="s">
        <v>806</v>
      </c>
      <c r="E218" s="20" t="s">
        <v>1757</v>
      </c>
      <c r="F218" s="21" t="str">
        <f>IF(OR(E218="",E218="!!!"),"",IF(NOT(ISNA(VLOOKUP(E218,E$1:E217,1,FALSE()))),"OLD",IF(AND(E218&lt;&gt;"",E218&lt;&gt;"!!!"),"NEW","")))</f>
        <v>OLD</v>
      </c>
      <c r="G218" s="22" t="s">
        <v>1823</v>
      </c>
      <c r="H218" s="23" t="str">
        <f t="shared" ca="1" si="27"/>
        <v/>
      </c>
      <c r="I218" s="24" t="str">
        <f>IF(OR(E218="",E218="!!!",F218="NEW"),"",INDEX(B$2:B217,-1+SUMPRODUCT(MAX(ROW(E$2:E217)*(E218=E$2:E217)))))</f>
        <v>other_2</v>
      </c>
      <c r="J218" s="24">
        <f ca="1">IF(OR(E218="",E218="!!!",F218="NEW"),"",COUNTBLANK(OFFSET(A$1,,,SUMPRODUCT(MAX(ROW(E$2:E218)*(E218=E$2:E218)))))-COUNTBLANK(OFFSET(A$1,,,SUMPRODUCT(MAX(ROW(E$1:E217)*(E2=E$1:E217))))))</f>
        <v>0</v>
      </c>
      <c r="K218" s="24" t="str">
        <f ca="1">IF(OR(E218="",E218="!!!",F218="NEW"),"",INDEX(J$1:J217,SUMPRODUCT(MAX(ROW(E$1:E217)*(E218=E$1:E217)))))</f>
        <v/>
      </c>
      <c r="L218" s="25"/>
    </row>
    <row r="219" spans="1:12" x14ac:dyDescent="0.2">
      <c r="A219" t="s">
        <v>919</v>
      </c>
      <c r="B219" s="26" t="s">
        <v>944</v>
      </c>
      <c r="C219" s="26" t="s">
        <v>805</v>
      </c>
      <c r="D219" s="26" t="s">
        <v>806</v>
      </c>
      <c r="E219" s="20"/>
      <c r="F219" s="21" t="s">
        <v>1781</v>
      </c>
      <c r="G219" s="22" t="str">
        <f>IF(OR(E219="",E219="!!!"),"",IF(OR(J219=0,AND(J219=1,K219=1),AND(J219=1,I219="SBJ"),AND(J219=1,I219=0)),"?IN_FOCUS",IF(J219&lt;=2,"?ACTIVATED",IF(J219&lt;&gt;"","?FAMILIAR",IF(F219="NEW",IF(ISNA(VLOOKUP(E219,#REF!,1,FALSE())),"?TYPE_IDENTIFIABLE","?REFERENTIAL"),"_")))))</f>
        <v/>
      </c>
      <c r="H219" s="23" t="str">
        <f t="shared" ca="1" si="27"/>
        <v/>
      </c>
      <c r="I219" s="24" t="str">
        <f>IF(OR(E219="",E219="!!!",F219="NEW"),"",INDEX(B$2:B218,-1+SUMPRODUCT(MAX(ROW(E$2:E218)*(E219=E$2:E218)))))</f>
        <v/>
      </c>
      <c r="J219" s="24" t="str">
        <f ca="1">IF(OR(E219="",E219="!!!",F219="NEW"),"",COUNTBLANK(OFFSET(A$1,,,SUMPRODUCT(MAX(ROW(E$2:E219)*(E219=E$2:E219)))))-COUNTBLANK(OFFSET(A$1,,,SUMPRODUCT(MAX(ROW(E$1:E218)*(E2=E$1:E218))))))</f>
        <v/>
      </c>
      <c r="K219" s="24" t="str">
        <f>IF(OR(E219="",E219="!!!",F219="NEW"),"",INDEX(J$1:J218,SUMPRODUCT(MAX(ROW(E$1:E218)*(E219=E$1:E218)))))</f>
        <v/>
      </c>
      <c r="L219" s="25"/>
    </row>
    <row r="220" spans="1:12" x14ac:dyDescent="0.2">
      <c r="A220" t="s">
        <v>19</v>
      </c>
      <c r="E220" s="20" t="str">
        <f t="shared" si="26"/>
        <v/>
      </c>
      <c r="F220" s="21" t="str">
        <f>IF(OR(E220="",E220="!!!"),"",IF(NOT(ISNA(VLOOKUP(E220,E$1:E219,1,FALSE()))),"OLD",IF(AND(E220&lt;&gt;"",E220&lt;&gt;"!!!"),"NEW","")))</f>
        <v/>
      </c>
      <c r="G220" s="22" t="str">
        <f>IF(OR(E220="",E220="!!!"),"",IF(OR(J220=0,AND(J220=1,K220=1),AND(J220=1,I220="SBJ"),AND(J220=1,I220=0)),"?IN_FOCUS",IF(J220&lt;=2,"?ACTIVATED",IF(J220&lt;&gt;"","?FAMILIAR",IF(F220="NEW",IF(ISNA(VLOOKUP(E220,#REF!,1,FALSE())),"?TYPE_IDENTIFIABLE","?REFERENTIAL"),"_")))))</f>
        <v/>
      </c>
      <c r="H220" s="23" t="str">
        <f t="shared" ca="1" si="27"/>
        <v/>
      </c>
      <c r="I220" s="24" t="str">
        <f>IF(OR(E220="",E220="!!!",F220="NEW"),"",INDEX(B$2:B219,-1+SUMPRODUCT(MAX(ROW(E$2:E219)*(E220=E$2:E219)))))</f>
        <v/>
      </c>
      <c r="J220" s="24" t="str">
        <f ca="1">IF(OR(E220="",E220="!!!",F220="NEW"),"",COUNTBLANK(OFFSET(A$1,,,SUMPRODUCT(MAX(ROW(E$2:E220)*(E220=E$2:E220)))))-COUNTBLANK(OFFSET(A$1,,,SUMPRODUCT(MAX(ROW(E$1:E219)*(E2=E$1:E219))))))</f>
        <v/>
      </c>
      <c r="K220" s="24" t="str">
        <f>IF(OR(E220="",E220="!!!",F220="NEW"),"",INDEX(J$1:J219,SUMPRODUCT(MAX(ROW(E$1:E219)*(E220=E$1:E219)))))</f>
        <v/>
      </c>
      <c r="L220" s="25"/>
    </row>
    <row r="221" spans="1:12" x14ac:dyDescent="0.2">
      <c r="A221" t="s">
        <v>16</v>
      </c>
      <c r="E221" s="20" t="str">
        <f t="shared" si="26"/>
        <v/>
      </c>
      <c r="F221" s="21" t="str">
        <f>IF(OR(E221="",E221="!!!"),"",IF(NOT(ISNA(VLOOKUP(E221,E$1:E220,1,FALSE()))),"OLD",IF(AND(E221&lt;&gt;"",E221&lt;&gt;"!!!"),"NEW","")))</f>
        <v/>
      </c>
      <c r="G221" s="22" t="str">
        <f>IF(OR(E221="",E221="!!!"),"",IF(OR(J221=0,AND(J221=1,K221=1),AND(J221=1,I221="SBJ"),AND(J221=1,I221=0)),"?IN_FOCUS",IF(J221&lt;=2,"?ACTIVATED",IF(J221&lt;&gt;"","?FAMILIAR",IF(F221="NEW",IF(ISNA(VLOOKUP(E221,#REF!,1,FALSE())),"?TYPE_IDENTIFIABLE","?REFERENTIAL"),"_")))))</f>
        <v/>
      </c>
      <c r="H221" s="23" t="str">
        <f t="shared" ca="1" si="27"/>
        <v/>
      </c>
      <c r="I221" s="24" t="str">
        <f>IF(OR(E221="",E221="!!!",F221="NEW"),"",INDEX(B$2:B220,-1+SUMPRODUCT(MAX(ROW(E$2:E220)*(E221=E$2:E220)))))</f>
        <v/>
      </c>
      <c r="J221" s="24" t="str">
        <f ca="1">IF(OR(E221="",E221="!!!",F221="NEW"),"",COUNTBLANK(OFFSET(A$1,,,SUMPRODUCT(MAX(ROW(E$2:E221)*(E221=E$2:E221)))))-COUNTBLANK(OFFSET(A$1,,,SUMPRODUCT(MAX(ROW(E$1:E220)*(E2=E$1:E220))))))</f>
        <v/>
      </c>
      <c r="K221" s="24" t="str">
        <f>IF(OR(E221="",E221="!!!",F221="NEW"),"",INDEX(J$1:J220,SUMPRODUCT(MAX(ROW(E$1:E220)*(E221=E$1:E220)))))</f>
        <v/>
      </c>
      <c r="L221" s="25"/>
    </row>
    <row r="222" spans="1:12" x14ac:dyDescent="0.2">
      <c r="A222" t="s">
        <v>845</v>
      </c>
      <c r="E222" s="20" t="str">
        <f t="shared" si="26"/>
        <v/>
      </c>
      <c r="F222" s="21" t="str">
        <f>IF(OR(E222="",E222="!!!"),"",IF(NOT(ISNA(VLOOKUP(E222,E$1:E221,1,FALSE()))),"OLD",IF(AND(E222&lt;&gt;"",E222&lt;&gt;"!!!"),"NEW","")))</f>
        <v/>
      </c>
      <c r="G222" s="22" t="str">
        <f>IF(OR(E222="",E222="!!!"),"",IF(OR(J222=0,AND(J222=1,K222=1),AND(J222=1,I222="SBJ"),AND(J222=1,I222=0)),"?IN_FOCUS",IF(J222&lt;=2,"?ACTIVATED",IF(J222&lt;&gt;"","?FAMILIAR",IF(F222="NEW",IF(ISNA(VLOOKUP(E222,#REF!,1,FALSE())),"?TYPE_IDENTIFIABLE","?REFERENTIAL"),"_")))))</f>
        <v/>
      </c>
      <c r="H222" s="23" t="str">
        <f t="shared" ca="1" si="27"/>
        <v/>
      </c>
      <c r="I222" s="24" t="str">
        <f>IF(OR(E222="",E222="!!!",F222="NEW"),"",INDEX(B$2:B221,-1+SUMPRODUCT(MAX(ROW(E$2:E221)*(E222=E$2:E221)))))</f>
        <v/>
      </c>
      <c r="J222" s="24" t="str">
        <f ca="1">IF(OR(E222="",E222="!!!",F222="NEW"),"",COUNTBLANK(OFFSET(A$1,,,SUMPRODUCT(MAX(ROW(E$2:E222)*(E222=E$2:E222)))))-COUNTBLANK(OFFSET(A$1,,,SUMPRODUCT(MAX(ROW(E$1:E221)*(E2=E$1:E221))))))</f>
        <v/>
      </c>
      <c r="K222" s="24" t="str">
        <f>IF(OR(E222="",E222="!!!",F222="NEW"),"",INDEX(J$1:J221,SUMPRODUCT(MAX(ROW(E$1:E221)*(E222=E$1:E221)))))</f>
        <v/>
      </c>
      <c r="L222" s="25"/>
    </row>
    <row r="223" spans="1:12" x14ac:dyDescent="0.2">
      <c r="A223" t="s">
        <v>945</v>
      </c>
      <c r="B223" s="26" t="s">
        <v>819</v>
      </c>
      <c r="C223" s="26" t="s">
        <v>847</v>
      </c>
      <c r="D223" s="26" t="s">
        <v>806</v>
      </c>
      <c r="E223" s="20" t="s">
        <v>74</v>
      </c>
      <c r="F223" s="21" t="str">
        <f>IF(OR(E223="",E223="!!!"),"",IF(NOT(ISNA(VLOOKUP(E223,E$1:E222,1,FALSE()))),"OLD",IF(AND(E223&lt;&gt;"",E223&lt;&gt;"!!!"),"NEW","")))</f>
        <v>NEW</v>
      </c>
      <c r="G223" s="22" t="s">
        <v>1824</v>
      </c>
      <c r="H223" s="23" t="str">
        <f t="shared" ca="1" si="27"/>
        <v/>
      </c>
      <c r="I223" s="24" t="str">
        <f>IF(OR(E223="",E223="!!!",F223="NEW"),"",INDEX(B$2:B222,-1+SUMPRODUCT(MAX(ROW(E$2:E222)*(E223=E$2:E222)))))</f>
        <v/>
      </c>
      <c r="J223" s="24" t="str">
        <f ca="1">IF(OR(E223="",E223="!!!",F223="NEW"),"",COUNTBLANK(OFFSET(A$1,,,SUMPRODUCT(MAX(ROW(E$2:E223)*(E223=E$2:E223)))))-COUNTBLANK(OFFSET(A$1,,,SUMPRODUCT(MAX(ROW(E$1:E222)*(E2=E$1:E222))))))</f>
        <v/>
      </c>
      <c r="K223" s="24" t="str">
        <f>IF(OR(E223="",E223="!!!",F223="NEW"),"",INDEX(J$1:J222,SUMPRODUCT(MAX(ROW(E$1:E222)*(E223=E$1:E222)))))</f>
        <v/>
      </c>
      <c r="L223" s="25"/>
    </row>
    <row r="224" spans="1:12" x14ac:dyDescent="0.2">
      <c r="A224" t="s">
        <v>802</v>
      </c>
      <c r="E224" s="20" t="str">
        <f t="shared" si="26"/>
        <v/>
      </c>
      <c r="F224" s="21" t="str">
        <f>IF(OR(E224="",E224="!!!"),"",IF(NOT(ISNA(VLOOKUP(E224,E$1:E223,1,FALSE()))),"OLD",IF(AND(E224&lt;&gt;"",E224&lt;&gt;"!!!"),"NEW","")))</f>
        <v/>
      </c>
      <c r="G224" s="22" t="str">
        <f>IF(OR(E224="",E224="!!!"),"",IF(OR(J224=0,AND(J224=1,K224=1),AND(J224=1,I224="SBJ"),AND(J224=1,I224=0)),"?IN_FOCUS",IF(J224&lt;=2,"?ACTIVATED",IF(J224&lt;&gt;"","?FAMILIAR",IF(F224="NEW",IF(ISNA(VLOOKUP(E224,#REF!,1,FALSE())),"?TYPE_IDENTIFIABLE","?REFERENTIAL"),"_")))))</f>
        <v/>
      </c>
      <c r="H224" s="23" t="str">
        <f t="shared" ca="1" si="27"/>
        <v/>
      </c>
      <c r="I224" s="24" t="str">
        <f>IF(OR(E224="",E224="!!!",F224="NEW"),"",INDEX(B$2:B223,-1+SUMPRODUCT(MAX(ROW(E$2:E223)*(E224=E$2:E223)))))</f>
        <v/>
      </c>
      <c r="J224" s="24" t="str">
        <f ca="1">IF(OR(E224="",E224="!!!",F224="NEW"),"",COUNTBLANK(OFFSET(A$1,,,SUMPRODUCT(MAX(ROW(E$2:E224)*(E224=E$2:E224)))))-COUNTBLANK(OFFSET(A$1,,,SUMPRODUCT(MAX(ROW(E$1:E223)*(E2=E$1:E223))))))</f>
        <v/>
      </c>
      <c r="K224" s="24" t="str">
        <f>IF(OR(E224="",E224="!!!",F224="NEW"),"",INDEX(J$1:J223,SUMPRODUCT(MAX(ROW(E$1:E223)*(E224=E$1:E223)))))</f>
        <v/>
      </c>
      <c r="L224" s="25"/>
    </row>
    <row r="225" spans="1:12" x14ac:dyDescent="0.2">
      <c r="A225" t="s">
        <v>845</v>
      </c>
      <c r="E225" s="20" t="str">
        <f t="shared" si="26"/>
        <v/>
      </c>
      <c r="F225" s="21" t="str">
        <f>IF(OR(E225="",E225="!!!"),"",IF(NOT(ISNA(VLOOKUP(E225,E$1:E224,1,FALSE()))),"OLD",IF(AND(E225&lt;&gt;"",E225&lt;&gt;"!!!"),"NEW","")))</f>
        <v/>
      </c>
      <c r="G225" s="22" t="str">
        <f>IF(OR(E225="",E225="!!!"),"",IF(OR(J225=0,AND(J225=1,K225=1),AND(J225=1,I225="SBJ"),AND(J225=1,I225=0)),"?IN_FOCUS",IF(J225&lt;=2,"?ACTIVATED",IF(J225&lt;&gt;"","?FAMILIAR",IF(F225="NEW",IF(ISNA(VLOOKUP(E225,#REF!,1,FALSE())),"?TYPE_IDENTIFIABLE","?REFERENTIAL"),"_")))))</f>
        <v/>
      </c>
      <c r="H225" s="23" t="str">
        <f t="shared" ca="1" si="27"/>
        <v/>
      </c>
      <c r="I225" s="24" t="str">
        <f>IF(OR(E225="",E225="!!!",F225="NEW"),"",INDEX(B$2:B224,-1+SUMPRODUCT(MAX(ROW(E$2:E224)*(E225=E$2:E224)))))</f>
        <v/>
      </c>
      <c r="J225" s="24" t="str">
        <f ca="1">IF(OR(E225="",E225="!!!",F225="NEW"),"",COUNTBLANK(OFFSET(A$1,,,SUMPRODUCT(MAX(ROW(E$2:E225)*(E225=E$2:E225)))))-COUNTBLANK(OFFSET(A$1,,,SUMPRODUCT(MAX(ROW(E$1:E224)*(E2=E$1:E224))))))</f>
        <v/>
      </c>
      <c r="K225" s="24" t="str">
        <f>IF(OR(E225="",E225="!!!",F225="NEW"),"",INDEX(J$1:J224,SUMPRODUCT(MAX(ROW(E$1:E224)*(E225=E$1:E224)))))</f>
        <v/>
      </c>
      <c r="L225" s="25"/>
    </row>
    <row r="226" spans="1:12" x14ac:dyDescent="0.2">
      <c r="A226" t="s">
        <v>946</v>
      </c>
      <c r="B226" s="26" t="s">
        <v>819</v>
      </c>
      <c r="C226" s="26" t="s">
        <v>847</v>
      </c>
      <c r="D226" s="26" t="s">
        <v>806</v>
      </c>
      <c r="E226" s="20" t="s">
        <v>1755</v>
      </c>
      <c r="F226" s="21" t="str">
        <f>IF(OR(E226="",E226="!!!"),"",IF(NOT(ISNA(VLOOKUP(E226,E$1:E225,1,FALSE()))),"OLD",IF(AND(E226&lt;&gt;"",E226&lt;&gt;"!!!"),"NEW","")))</f>
        <v>NEW</v>
      </c>
      <c r="G226" s="22" t="s">
        <v>1824</v>
      </c>
      <c r="H226" s="23" t="str">
        <f t="shared" ca="1" si="27"/>
        <v/>
      </c>
      <c r="I226" s="24" t="str">
        <f>IF(OR(E226="",E226="!!!",F226="NEW"),"",INDEX(B$2:B225,-1+SUMPRODUCT(MAX(ROW(E$2:E225)*(E226=E$2:E225)))))</f>
        <v/>
      </c>
      <c r="J226" s="24" t="str">
        <f ca="1">IF(OR(E226="",E226="!!!",F226="NEW"),"",COUNTBLANK(OFFSET(A$1,,,SUMPRODUCT(MAX(ROW(E$2:E226)*(E226=E$2:E226)))))-COUNTBLANK(OFFSET(A$1,,,SUMPRODUCT(MAX(ROW(E$1:E225)*(E2=E$1:E225))))))</f>
        <v/>
      </c>
      <c r="K226" s="24" t="str">
        <f>IF(OR(E226="",E226="!!!",F226="NEW"),"",INDEX(J$1:J225,SUMPRODUCT(MAX(ROW(E$1:E225)*(E226=E$1:E225)))))</f>
        <v/>
      </c>
      <c r="L226" s="25"/>
    </row>
    <row r="227" spans="1:12" x14ac:dyDescent="0.2">
      <c r="A227" t="s">
        <v>802</v>
      </c>
      <c r="E227" s="20" t="str">
        <f t="shared" si="26"/>
        <v/>
      </c>
      <c r="F227" s="21"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27"/>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5"/>
    </row>
    <row r="228" spans="1:12" x14ac:dyDescent="0.2">
      <c r="A228" t="s">
        <v>845</v>
      </c>
      <c r="E228" s="20" t="str">
        <f t="shared" si="26"/>
        <v/>
      </c>
      <c r="F228" s="21"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27"/>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5"/>
    </row>
    <row r="229" spans="1:12" x14ac:dyDescent="0.2">
      <c r="A229" t="s">
        <v>947</v>
      </c>
      <c r="B229" s="26" t="s">
        <v>819</v>
      </c>
      <c r="C229" s="26" t="s">
        <v>847</v>
      </c>
      <c r="D229" s="26" t="s">
        <v>806</v>
      </c>
      <c r="E229" s="20" t="s">
        <v>1756</v>
      </c>
      <c r="F229" s="21" t="str">
        <f>IF(OR(E229="",E229="!!!"),"",IF(NOT(ISNA(VLOOKUP(E229,E$1:E228,1,FALSE()))),"OLD",IF(AND(E229&lt;&gt;"",E229&lt;&gt;"!!!"),"NEW","")))</f>
        <v>NEW</v>
      </c>
      <c r="G229" s="22" t="s">
        <v>1824</v>
      </c>
      <c r="H229" s="23" t="str">
        <f t="shared" ca="1" si="27"/>
        <v/>
      </c>
      <c r="I229" s="24" t="str">
        <f>IF(OR(E229="",E229="!!!",F229="NEW"),"",INDEX(B$2:B228,-1+SUMPRODUCT(MAX(ROW(E$2:E228)*(E229=E$2:E228)))))</f>
        <v/>
      </c>
      <c r="J229" s="24" t="str">
        <f ca="1">IF(OR(E229="",E229="!!!",F229="NEW"),"",COUNTBLANK(OFFSET(A$1,,,SUMPRODUCT(MAX(ROW(E$2:E229)*(E229=E$2:E229)))))-COUNTBLANK(OFFSET(A$1,,,SUMPRODUCT(MAX(ROW(E$1:E228)*(E2=E$1:E228))))))</f>
        <v/>
      </c>
      <c r="K229" s="24" t="str">
        <f>IF(OR(E229="",E229="!!!",F229="NEW"),"",INDEX(J$1:J228,SUMPRODUCT(MAX(ROW(E$1:E228)*(E229=E$1:E228)))))</f>
        <v/>
      </c>
      <c r="L229" s="25"/>
    </row>
    <row r="230" spans="1:12" x14ac:dyDescent="0.2">
      <c r="A230" t="s">
        <v>802</v>
      </c>
      <c r="E230" s="20" t="str">
        <f t="shared" si="26"/>
        <v/>
      </c>
      <c r="F230" s="21" t="str">
        <f>IF(OR(E230="",E230="!!!"),"",IF(NOT(ISNA(VLOOKUP(E230,E$1:E229,1,FALSE()))),"OLD",IF(AND(E230&lt;&gt;"",E230&lt;&gt;"!!!"),"NEW","")))</f>
        <v/>
      </c>
      <c r="G230" s="22" t="str">
        <f>IF(OR(E230="",E230="!!!"),"",IF(OR(J230=0,AND(J230=1,K230=1),AND(J230=1,I230="SBJ"),AND(J230=1,I230=0)),"?IN_FOCUS",IF(J230&lt;=2,"?ACTIVATED",IF(J230&lt;&gt;"","?FAMILIAR",IF(F230="NEW",IF(ISNA(VLOOKUP(E230,#REF!,1,FALSE())),"?TYPE_IDENTIFIABLE","?REFERENTIAL"),"_")))))</f>
        <v/>
      </c>
      <c r="H230" s="23" t="str">
        <f t="shared" ca="1" si="27"/>
        <v/>
      </c>
      <c r="I230" s="24" t="str">
        <f>IF(OR(E230="",E230="!!!",F230="NEW"),"",INDEX(B$2:B229,-1+SUMPRODUCT(MAX(ROW(E$2:E229)*(E230=E$2:E229)))))</f>
        <v/>
      </c>
      <c r="J230" s="24" t="str">
        <f ca="1">IF(OR(E230="",E230="!!!",F230="NEW"),"",COUNTBLANK(OFFSET(A$1,,,SUMPRODUCT(MAX(ROW(E$2:E230)*(E230=E$2:E230)))))-COUNTBLANK(OFFSET(A$1,,,SUMPRODUCT(MAX(ROW(E$1:E229)*(E2=E$1:E229))))))</f>
        <v/>
      </c>
      <c r="K230" s="24" t="str">
        <f>IF(OR(E230="",E230="!!!",F230="NEW"),"",INDEX(J$1:J229,SUMPRODUCT(MAX(ROW(E$1:E229)*(E230=E$1:E229)))))</f>
        <v/>
      </c>
      <c r="L230" s="25"/>
    </row>
    <row r="231" spans="1:12" x14ac:dyDescent="0.2">
      <c r="A231" t="s">
        <v>948</v>
      </c>
      <c r="E231" s="20" t="str">
        <f t="shared" si="26"/>
        <v/>
      </c>
      <c r="F231" s="21" t="str">
        <f>IF(OR(E231="",E231="!!!"),"",IF(NOT(ISNA(VLOOKUP(E231,E$1:E230,1,FALSE()))),"OLD",IF(AND(E231&lt;&gt;"",E231&lt;&gt;"!!!"),"NEW","")))</f>
        <v/>
      </c>
      <c r="G231" s="22" t="str">
        <f>IF(OR(E231="",E231="!!!"),"",IF(OR(J231=0,AND(J231=1,K231=1),AND(J231=1,I231="SBJ"),AND(J231=1,I231=0)),"?IN_FOCUS",IF(J231&lt;=2,"?ACTIVATED",IF(J231&lt;&gt;"","?FAMILIAR",IF(F231="NEW",IF(ISNA(VLOOKUP(E231,#REF!,1,FALSE())),"?TYPE_IDENTIFIABLE","?REFERENTIAL"),"_")))))</f>
        <v/>
      </c>
      <c r="H231" s="23" t="str">
        <f t="shared" ca="1" si="27"/>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5"/>
    </row>
    <row r="232" spans="1:12" x14ac:dyDescent="0.2">
      <c r="A232" t="s">
        <v>16</v>
      </c>
      <c r="E232" s="20" t="str">
        <f t="shared" si="26"/>
        <v/>
      </c>
      <c r="F232" s="21" t="str">
        <f>IF(OR(E232="",E232="!!!"),"",IF(NOT(ISNA(VLOOKUP(E232,E$1:E231,1,FALSE()))),"OLD",IF(AND(E232&lt;&gt;"",E232&lt;&gt;"!!!"),"NEW","")))</f>
        <v/>
      </c>
      <c r="G232" s="22" t="str">
        <f>IF(OR(E232="",E232="!!!"),"",IF(OR(J232=0,AND(J232=1,K232=1),AND(J232=1,I232="SBJ"),AND(J232=1,I232=0)),"?IN_FOCUS",IF(J232&lt;=2,"?ACTIVATED",IF(J232&lt;&gt;"","?FAMILIAR",IF(F232="NEW",IF(ISNA(VLOOKUP(E232,#REF!,1,FALSE())),"?TYPE_IDENTIFIABLE","?REFERENTIAL"),"_")))))</f>
        <v/>
      </c>
      <c r="H232" s="23" t="str">
        <f t="shared" ca="1" si="27"/>
        <v/>
      </c>
      <c r="I232" s="24" t="str">
        <f>IF(OR(E232="",E232="!!!",F232="NEW"),"",INDEX(B$2:B231,-1+SUMPRODUCT(MAX(ROW(E$2:E231)*(E232=E$2:E231)))))</f>
        <v/>
      </c>
      <c r="J232" s="24" t="str">
        <f ca="1">IF(OR(E232="",E232="!!!",F232="NEW"),"",COUNTBLANK(OFFSET(A$1,,,SUMPRODUCT(MAX(ROW(E$2:E232)*(E232=E$2:E232)))))-COUNTBLANK(OFFSET(A$1,,,SUMPRODUCT(MAX(ROW(E$1:E231)*(E2=E$1:E231))))))</f>
        <v/>
      </c>
      <c r="K232" s="24" t="str">
        <f>IF(OR(E232="",E232="!!!",F232="NEW"),"",INDEX(J$1:J231,SUMPRODUCT(MAX(ROW(E$1:E231)*(E232=E$1:E231)))))</f>
        <v/>
      </c>
      <c r="L232" s="25"/>
    </row>
    <row r="233" spans="1:12" x14ac:dyDescent="0.2">
      <c r="A233" t="s">
        <v>949</v>
      </c>
      <c r="B233" s="26" t="s">
        <v>950</v>
      </c>
      <c r="C233" s="26" t="s">
        <v>805</v>
      </c>
      <c r="D233" s="26" t="s">
        <v>806</v>
      </c>
      <c r="E233" s="20" t="s">
        <v>1757</v>
      </c>
      <c r="F233" s="21" t="str">
        <f>IF(OR(E233="",E233="!!!"),"",IF(NOT(ISNA(VLOOKUP(E233,E$1:E232,1,FALSE()))),"OLD",IF(AND(E233&lt;&gt;"",E233&lt;&gt;"!!!"),"NEW","")))</f>
        <v>OLD</v>
      </c>
      <c r="G233" s="22" t="s">
        <v>1823</v>
      </c>
      <c r="H233" s="23" t="str">
        <f t="shared" ca="1" si="27"/>
        <v/>
      </c>
      <c r="I233" s="24" t="str">
        <f>IF(OR(E233="",E233="!!!",F233="NEW"),"",INDEX(B$2:B232,-1+SUMPRODUCT(MAX(ROW(E$2:E232)*(E233=E$2:E232)))))</f>
        <v>other_2</v>
      </c>
      <c r="J233" s="24">
        <f ca="1">IF(OR(E233="",E233="!!!",F233="NEW"),"",COUNTBLANK(OFFSET(A$1,,,SUMPRODUCT(MAX(ROW(E$2:E233)*(E233=E$2:E233)))))-COUNTBLANK(OFFSET(A$1,,,SUMPRODUCT(MAX(ROW(E$1:E232)*(E2=E$1:E232))))))</f>
        <v>0</v>
      </c>
      <c r="K233" s="24">
        <f ca="1">IF(OR(E233="",E233="!!!",F233="NEW"),"",INDEX(J$1:J232,SUMPRODUCT(MAX(ROW(E$1:E232)*(E233=E$1:E232)))))</f>
        <v>0</v>
      </c>
      <c r="L233" s="25"/>
    </row>
    <row r="234" spans="1:12" x14ac:dyDescent="0.2">
      <c r="A234" t="s">
        <v>807</v>
      </c>
      <c r="E234" s="20" t="str">
        <f t="shared" si="26"/>
        <v/>
      </c>
      <c r="F234" s="21" t="str">
        <f>IF(OR(E234="",E234="!!!"),"",IF(NOT(ISNA(VLOOKUP(E234,E$1:E233,1,FALSE()))),"OLD",IF(AND(E234&lt;&gt;"",E234&lt;&gt;"!!!"),"NEW","")))</f>
        <v/>
      </c>
      <c r="G234" s="22" t="str">
        <f>IF(OR(E234="",E234="!!!"),"",IF(OR(J234=0,AND(J234=1,K234=1),AND(J234=1,I234="SBJ"),AND(J234=1,I234=0)),"?IN_FOCUS",IF(J234&lt;=2,"?ACTIVATED",IF(J234&lt;&gt;"","?FAMILIAR",IF(F234="NEW",IF(ISNA(VLOOKUP(E234,#REF!,1,FALSE())),"?TYPE_IDENTIFIABLE","?REFERENTIAL"),"_")))))</f>
        <v/>
      </c>
      <c r="H234" s="23" t="str">
        <f t="shared" ca="1" si="27"/>
        <v/>
      </c>
      <c r="I234" s="24" t="str">
        <f>IF(OR(E234="",E234="!!!",F234="NEW"),"",INDEX(B$2:B233,-1+SUMPRODUCT(MAX(ROW(E$2:E233)*(E234=E$2:E233)))))</f>
        <v/>
      </c>
      <c r="J234" s="24" t="str">
        <f ca="1">IF(OR(E234="",E234="!!!",F234="NEW"),"",COUNTBLANK(OFFSET(A$1,,,SUMPRODUCT(MAX(ROW(E$2:E234)*(E234=E$2:E234)))))-COUNTBLANK(OFFSET(A$1,,,SUMPRODUCT(MAX(ROW(E$1:E233)*(E2=E$1:E233))))))</f>
        <v/>
      </c>
      <c r="K234" s="24" t="str">
        <f>IF(OR(E234="",E234="!!!",F234="NEW"),"",INDEX(J$1:J233,SUMPRODUCT(MAX(ROW(E$1:E233)*(E234=E$1:E233)))))</f>
        <v/>
      </c>
      <c r="L234" s="25"/>
    </row>
    <row r="235" spans="1:12" x14ac:dyDescent="0.2">
      <c r="A235" t="s">
        <v>951</v>
      </c>
      <c r="E235" s="20" t="str">
        <f t="shared" si="26"/>
        <v/>
      </c>
      <c r="F235" s="21" t="str">
        <f>IF(OR(E235="",E235="!!!"),"",IF(NOT(ISNA(VLOOKUP(E235,E$1:E234,1,FALSE()))),"OLD",IF(AND(E235&lt;&gt;"",E235&lt;&gt;"!!!"),"NEW","")))</f>
        <v/>
      </c>
      <c r="G235" s="22" t="str">
        <f>IF(OR(E235="",E235="!!!"),"",IF(OR(J235=0,AND(J235=1,K235=1),AND(J235=1,I235="SBJ"),AND(J235=1,I235=0)),"?IN_FOCUS",IF(J235&lt;=2,"?ACTIVATED",IF(J235&lt;&gt;"","?FAMILIAR",IF(F235="NEW",IF(ISNA(VLOOKUP(E235,#REF!,1,FALSE())),"?TYPE_IDENTIFIABLE","?REFERENTIAL"),"_")))))</f>
        <v/>
      </c>
      <c r="H235" s="23" t="str">
        <f t="shared" ca="1" si="27"/>
        <v/>
      </c>
      <c r="I235" s="24" t="str">
        <f>IF(OR(E235="",E235="!!!",F235="NEW"),"",INDEX(B$2:B234,-1+SUMPRODUCT(MAX(ROW(E$2:E234)*(E235=E$2:E234)))))</f>
        <v/>
      </c>
      <c r="J235" s="24" t="str">
        <f ca="1">IF(OR(E235="",E235="!!!",F235="NEW"),"",COUNTBLANK(OFFSET(A$1,,,SUMPRODUCT(MAX(ROW(E$2:E235)*(E235=E$2:E235)))))-COUNTBLANK(OFFSET(A$1,,,SUMPRODUCT(MAX(ROW(E$1:E234)*(E2=E$1:E234))))))</f>
        <v/>
      </c>
      <c r="K235" s="24" t="str">
        <f>IF(OR(E235="",E235="!!!",F235="NEW"),"",INDEX(J$1:J234,SUMPRODUCT(MAX(ROW(E$1:E234)*(E235=E$1:E234)))))</f>
        <v/>
      </c>
      <c r="L235" s="25"/>
    </row>
    <row r="236" spans="1:12" x14ac:dyDescent="0.2">
      <c r="A236" t="s">
        <v>821</v>
      </c>
      <c r="E236" s="20" t="str">
        <f t="shared" si="26"/>
        <v/>
      </c>
      <c r="F236" s="21" t="str">
        <f>IF(OR(E236="",E236="!!!"),"",IF(NOT(ISNA(VLOOKUP(E236,E$1:E235,1,FALSE()))),"OLD",IF(AND(E236&lt;&gt;"",E236&lt;&gt;"!!!"),"NEW","")))</f>
        <v/>
      </c>
      <c r="G236" s="22" t="str">
        <f>IF(OR(E236="",E236="!!!"),"",IF(OR(J236=0,AND(J236=1,K236=1),AND(J236=1,I236="SBJ"),AND(J236=1,I236=0)),"?IN_FOCUS",IF(J236&lt;=2,"?ACTIVATED",IF(J236&lt;&gt;"","?FAMILIAR",IF(F236="NEW",IF(ISNA(VLOOKUP(E236,#REF!,1,FALSE())),"?TYPE_IDENTIFIABLE","?REFERENTIAL"),"_")))))</f>
        <v/>
      </c>
      <c r="H236" s="23" t="str">
        <f t="shared" ca="1" si="27"/>
        <v/>
      </c>
      <c r="I236" s="24" t="str">
        <f>IF(OR(E236="",E236="!!!",F236="NEW"),"",INDEX(B$2:B235,-1+SUMPRODUCT(MAX(ROW(E$2:E235)*(E236=E$2:E235)))))</f>
        <v/>
      </c>
      <c r="J236" s="24" t="str">
        <f ca="1">IF(OR(E236="",E236="!!!",F236="NEW"),"",COUNTBLANK(OFFSET(A$1,,,SUMPRODUCT(MAX(ROW(E$2:E236)*(E236=E$2:E236)))))-COUNTBLANK(OFFSET(A$1,,,SUMPRODUCT(MAX(ROW(E$1:E235)*(E2=E$1:E235))))))</f>
        <v/>
      </c>
      <c r="K236" s="24" t="str">
        <f>IF(OR(E236="",E236="!!!",F236="NEW"),"",INDEX(J$1:J235,SUMPRODUCT(MAX(ROW(E$1:E235)*(E236=E$1:E235)))))</f>
        <v/>
      </c>
      <c r="L236" s="25"/>
    </row>
    <row r="238" spans="1:12" x14ac:dyDescent="0.2">
      <c r="A238" t="s">
        <v>952</v>
      </c>
    </row>
    <row r="239" spans="1:12" x14ac:dyDescent="0.2">
      <c r="A239" t="s">
        <v>953</v>
      </c>
      <c r="E239" s="20" t="str">
        <f t="shared" ref="E239:E244" si="28">IF(D239="?OLD","!!!","")</f>
        <v/>
      </c>
      <c r="F239" s="21" t="str">
        <f>IF(OR(E239="",E239="!!!"),"",IF(NOT(ISNA(VLOOKUP(E239,E$1:E238,1,FALSE()))),"OLD",IF(AND(E239&lt;&gt;"",E239&lt;&gt;"!!!"),"NEW","")))</f>
        <v/>
      </c>
      <c r="G239" s="22" t="str">
        <f>IF(OR(E239="",E239="!!!"),"",IF(OR(J239=0,AND(J239=1,K239=1),AND(J239=1,I239="SBJ"),AND(J239=1,I239=0)),"?IN_FOCUS",IF(J239&lt;=2,"?ACTIVATED",IF(J239&lt;&gt;"","?FAMILIAR",IF(F239="NEW",IF(ISNA(VLOOKUP(E239,#REF!,1,FALSE())),"?TYPE_IDENTIFIABLE","?REFERENTIAL"),"_")))))</f>
        <v/>
      </c>
      <c r="H239" s="23" t="str">
        <f t="shared" ref="H239:H244" ca="1" si="29">IF(J239&lt;&gt;1,"",IF(I239="SBJ","CB","?"))</f>
        <v/>
      </c>
      <c r="I239" s="24" t="str">
        <f>IF(OR(E239="",E239="!!!",F239="NEW"),"",INDEX(B$2:B238,-1+SUMPRODUCT(MAX(ROW(E$2:E238)*(E239=E$2:E238)))))</f>
        <v/>
      </c>
      <c r="J239" s="24" t="str">
        <f ca="1">IF(OR(E239="",E239="!!!",F239="NEW"),"",COUNTBLANK(OFFSET(A$1,,,SUMPRODUCT(MAX(ROW(E$2:E239)*(E239=E$2:E239)))))-COUNTBLANK(OFFSET(A$1,,,SUMPRODUCT(MAX(ROW(E$1:E238)*(E2=E$1:E238))))))</f>
        <v/>
      </c>
      <c r="K239" s="24" t="str">
        <f>IF(OR(E239="",E239="!!!",F239="NEW"),"",INDEX(J$1:J238,SUMPRODUCT(MAX(ROW(E$1:E238)*(E239=E$1:E238)))))</f>
        <v/>
      </c>
      <c r="L239" s="25"/>
    </row>
    <row r="240" spans="1:12" x14ac:dyDescent="0.2">
      <c r="A240" t="s">
        <v>898</v>
      </c>
      <c r="E240" s="20" t="str">
        <f t="shared" si="28"/>
        <v/>
      </c>
      <c r="F240" s="21" t="str">
        <f>IF(OR(E240="",E240="!!!"),"",IF(NOT(ISNA(VLOOKUP(E240,E$1:E239,1,FALSE()))),"OLD",IF(AND(E240&lt;&gt;"",E240&lt;&gt;"!!!"),"NEW","")))</f>
        <v/>
      </c>
      <c r="G240" s="22" t="str">
        <f>IF(OR(E240="",E240="!!!"),"",IF(OR(J240=0,AND(J240=1,K240=1),AND(J240=1,I240="SBJ"),AND(J240=1,I240=0)),"?IN_FOCUS",IF(J240&lt;=2,"?ACTIVATED",IF(J240&lt;&gt;"","?FAMILIAR",IF(F240="NEW",IF(ISNA(VLOOKUP(E240,#REF!,1,FALSE())),"?TYPE_IDENTIFIABLE","?REFERENTIAL"),"_")))))</f>
        <v/>
      </c>
      <c r="H240" s="23" t="str">
        <f t="shared" ca="1" si="29"/>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5"/>
    </row>
    <row r="241" spans="1:12" x14ac:dyDescent="0.2">
      <c r="A241" t="s">
        <v>954</v>
      </c>
      <c r="E241" s="20" t="str">
        <f t="shared" si="28"/>
        <v/>
      </c>
      <c r="F241" s="21" t="str">
        <f>IF(OR(E241="",E241="!!!"),"",IF(NOT(ISNA(VLOOKUP(E241,E$1:E240,1,FALSE()))),"OLD",IF(AND(E241&lt;&gt;"",E241&lt;&gt;"!!!"),"NEW","")))</f>
        <v/>
      </c>
      <c r="G241" s="22" t="str">
        <f>IF(OR(E241="",E241="!!!"),"",IF(OR(J241=0,AND(J241=1,K241=1),AND(J241=1,I241="SBJ"),AND(J241=1,I241=0)),"?IN_FOCUS",IF(J241&lt;=2,"?ACTIVATED",IF(J241&lt;&gt;"","?FAMILIAR",IF(F241="NEW",IF(ISNA(VLOOKUP(E241,#REF!,1,FALSE())),"?TYPE_IDENTIFIABLE","?REFERENTIAL"),"_")))))</f>
        <v/>
      </c>
      <c r="H241" s="23" t="str">
        <f t="shared" ca="1" si="29"/>
        <v/>
      </c>
      <c r="I241" s="24" t="str">
        <f>IF(OR(E241="",E241="!!!",F241="NEW"),"",INDEX(B$2:B240,-1+SUMPRODUCT(MAX(ROW(E$2:E240)*(E241=E$2:E240)))))</f>
        <v/>
      </c>
      <c r="J241" s="24" t="str">
        <f ca="1">IF(OR(E241="",E241="!!!",F241="NEW"),"",COUNTBLANK(OFFSET(A$1,,,SUMPRODUCT(MAX(ROW(E$2:E241)*(E241=E$2:E241)))))-COUNTBLANK(OFFSET(A$1,,,SUMPRODUCT(MAX(ROW(E$1:E240)*(E2=E$1:E240))))))</f>
        <v/>
      </c>
      <c r="K241" s="24" t="str">
        <f>IF(OR(E241="",E241="!!!",F241="NEW"),"",INDEX(J$1:J240,SUMPRODUCT(MAX(ROW(E$1:E240)*(E241=E$1:E240)))))</f>
        <v/>
      </c>
      <c r="L241" s="25"/>
    </row>
    <row r="242" spans="1:12" x14ac:dyDescent="0.2">
      <c r="A242" t="s">
        <v>955</v>
      </c>
      <c r="B242" s="26" t="s">
        <v>950</v>
      </c>
      <c r="C242" s="26" t="s">
        <v>956</v>
      </c>
      <c r="D242" s="26" t="s">
        <v>806</v>
      </c>
      <c r="E242" s="20" t="s">
        <v>1757</v>
      </c>
      <c r="F242" s="21" t="str">
        <f>IF(OR(E242="",E242="!!!"),"",IF(NOT(ISNA(VLOOKUP(E242,E$1:E241,1,FALSE()))),"OLD",IF(AND(E242&lt;&gt;"",E242&lt;&gt;"!!!"),"NEW","")))</f>
        <v>OLD</v>
      </c>
      <c r="G242" s="22" t="s">
        <v>1823</v>
      </c>
      <c r="H242" s="23" t="str">
        <f t="shared" ca="1" si="29"/>
        <v/>
      </c>
      <c r="I242" s="24" t="str">
        <f>IF(OR(E242="",E242="!!!",F242="NEW"),"",INDEX(B$2:B241,-1+SUMPRODUCT(MAX(ROW(E$2:E241)*(E242=E$2:E241)))))</f>
        <v>SBJ_2</v>
      </c>
      <c r="J242" s="24">
        <f ca="1">IF(OR(E242="",E242="!!!",F242="NEW"),"",COUNTBLANK(OFFSET(A$1,,,SUMPRODUCT(MAX(ROW(E$2:E242)*(E242=E$2:E242)))))-COUNTBLANK(OFFSET(A$1,,,SUMPRODUCT(MAX(ROW(E$1:E241)*(E2=E$1:E241))))))</f>
        <v>0</v>
      </c>
      <c r="K242" s="24">
        <f ca="1">IF(OR(E242="",E242="!!!",F242="NEW"),"",INDEX(J$1:J241,SUMPRODUCT(MAX(ROW(E$1:E241)*(E242=E$1:E241)))))</f>
        <v>0</v>
      </c>
      <c r="L242" s="25"/>
    </row>
    <row r="243" spans="1:12" x14ac:dyDescent="0.2">
      <c r="A243" t="s">
        <v>957</v>
      </c>
      <c r="E243" s="20" t="str">
        <f t="shared" si="28"/>
        <v/>
      </c>
      <c r="F243" s="21" t="str">
        <f>IF(OR(E243="",E243="!!!"),"",IF(NOT(ISNA(VLOOKUP(E243,E$1:E242,1,FALSE()))),"OLD",IF(AND(E243&lt;&gt;"",E243&lt;&gt;"!!!"),"NEW","")))</f>
        <v/>
      </c>
      <c r="G243" s="22" t="str">
        <f>IF(OR(E243="",E243="!!!"),"",IF(OR(J243=0,AND(J243=1,K243=1),AND(J243=1,I243="SBJ"),AND(J243=1,I243=0)),"?IN_FOCUS",IF(J243&lt;=2,"?ACTIVATED",IF(J243&lt;&gt;"","?FAMILIAR",IF(F243="NEW",IF(ISNA(VLOOKUP(E243,#REF!,1,FALSE())),"?TYPE_IDENTIFIABLE","?REFERENTIAL"),"_")))))</f>
        <v/>
      </c>
      <c r="H243" s="23" t="str">
        <f t="shared" ca="1" si="29"/>
        <v/>
      </c>
      <c r="I243" s="24" t="str">
        <f>IF(OR(E243="",E243="!!!",F243="NEW"),"",INDEX(B$2:B242,-1+SUMPRODUCT(MAX(ROW(E$2:E242)*(E243=E$2:E242)))))</f>
        <v/>
      </c>
      <c r="J243" s="24" t="str">
        <f ca="1">IF(OR(E243="",E243="!!!",F243="NEW"),"",COUNTBLANK(OFFSET(A$1,,,SUMPRODUCT(MAX(ROW(E$2:E243)*(E243=E$2:E243)))))-COUNTBLANK(OFFSET(A$1,,,SUMPRODUCT(MAX(ROW(E$1:E242)*(E2=E$1:E242))))))</f>
        <v/>
      </c>
      <c r="K243" s="24" t="str">
        <f>IF(OR(E243="",E243="!!!",F243="NEW"),"",INDEX(J$1:J242,SUMPRODUCT(MAX(ROW(E$1:E242)*(E243=E$1:E242)))))</f>
        <v/>
      </c>
      <c r="L243" s="25"/>
    </row>
    <row r="244" spans="1:12" x14ac:dyDescent="0.2">
      <c r="A244" t="s">
        <v>821</v>
      </c>
      <c r="E244" s="20" t="str">
        <f t="shared" si="28"/>
        <v/>
      </c>
      <c r="F244" s="21" t="str">
        <f>IF(OR(E244="",E244="!!!"),"",IF(NOT(ISNA(VLOOKUP(E244,E$1:E243,1,FALSE()))),"OLD",IF(AND(E244&lt;&gt;"",E244&lt;&gt;"!!!"),"NEW","")))</f>
        <v/>
      </c>
      <c r="G244" s="22" t="str">
        <f>IF(OR(E244="",E244="!!!"),"",IF(OR(J244=0,AND(J244=1,K244=1),AND(J244=1,I244="SBJ"),AND(J244=1,I244=0)),"?IN_FOCUS",IF(J244&lt;=2,"?ACTIVATED",IF(J244&lt;&gt;"","?FAMILIAR",IF(F244="NEW",IF(ISNA(VLOOKUP(E244,#REF!,1,FALSE())),"?TYPE_IDENTIFIABLE","?REFERENTIAL"),"_")))))</f>
        <v/>
      </c>
      <c r="H244" s="23" t="str">
        <f t="shared" ca="1" si="29"/>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5"/>
    </row>
    <row r="246" spans="1:12" x14ac:dyDescent="0.2">
      <c r="A246" t="s">
        <v>958</v>
      </c>
    </row>
    <row r="247" spans="1:12" x14ac:dyDescent="0.2">
      <c r="A247" t="s">
        <v>801</v>
      </c>
      <c r="E247" s="20" t="str">
        <f t="shared" ref="E247:E269" si="30">IF(D247="?OLD","!!!","")</f>
        <v/>
      </c>
      <c r="F247" s="21" t="str">
        <f>IF(OR(E247="",E247="!!!"),"",IF(NOT(ISNA(VLOOKUP(E247,E$1:E246,1,FALSE()))),"OLD",IF(AND(E247&lt;&gt;"",E247&lt;&gt;"!!!"),"NEW","")))</f>
        <v/>
      </c>
      <c r="G247" s="22" t="str">
        <f>IF(OR(E247="",E247="!!!"),"",IF(OR(J247=0,AND(J247=1,K247=1),AND(J247=1,I247="SBJ"),AND(J247=1,I247=0)),"?IN_FOCUS",IF(J247&lt;=2,"?ACTIVATED",IF(J247&lt;&gt;"","?FAMILIAR",IF(F247="NEW",IF(ISNA(VLOOKUP(E247,#REF!,1,FALSE())),"?TYPE_IDENTIFIABLE","?REFERENTIAL"),"_")))))</f>
        <v/>
      </c>
      <c r="H247" s="23" t="str">
        <f t="shared" ref="H247:H269" ca="1" si="31">IF(J247&lt;&gt;1,"",IF(I247="SBJ","CB","?"))</f>
        <v/>
      </c>
      <c r="I247" s="24" t="str">
        <f>IF(OR(E247="",E247="!!!",F247="NEW"),"",INDEX(B$2:B246,-1+SUMPRODUCT(MAX(ROW(E$2:E246)*(E247=E$2:E246)))))</f>
        <v/>
      </c>
      <c r="J247" s="24" t="str">
        <f ca="1">IF(OR(E247="",E247="!!!",F247="NEW"),"",COUNTBLANK(OFFSET(A$1,,,SUMPRODUCT(MAX(ROW(E$2:E247)*(E247=E$2:E247)))))-COUNTBLANK(OFFSET(A$1,,,SUMPRODUCT(MAX(ROW(E$1:E246)*(E2=E$1:E246))))))</f>
        <v/>
      </c>
      <c r="K247" s="24" t="str">
        <f>IF(OR(E247="",E247="!!!",F247="NEW"),"",INDEX(J$1:J246,SUMPRODUCT(MAX(ROW(E$1:E246)*(E247=E$1:E246)))))</f>
        <v/>
      </c>
      <c r="L247" s="25"/>
    </row>
    <row r="248" spans="1:12" x14ac:dyDescent="0.2">
      <c r="A248" t="s">
        <v>802</v>
      </c>
      <c r="E248" s="20" t="str">
        <f t="shared" si="30"/>
        <v/>
      </c>
      <c r="F248" s="21"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ca="1" si="31"/>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5"/>
    </row>
    <row r="249" spans="1:12" x14ac:dyDescent="0.2">
      <c r="A249" t="s">
        <v>878</v>
      </c>
      <c r="E249" s="20" t="str">
        <f t="shared" si="30"/>
        <v/>
      </c>
      <c r="F249" s="21" t="str">
        <f>IF(OR(E249="",E249="!!!"),"",IF(NOT(ISNA(VLOOKUP(E249,E$1:E248,1,FALSE()))),"OLD",IF(AND(E249&lt;&gt;"",E249&lt;&gt;"!!!"),"NEW","")))</f>
        <v/>
      </c>
      <c r="G249" s="22" t="str">
        <f>IF(OR(E249="",E249="!!!"),"",IF(OR(J249=0,AND(J249=1,K249=1),AND(J249=1,I249="SBJ"),AND(J249=1,I249=0)),"?IN_FOCUS",IF(J249&lt;=2,"?ACTIVATED",IF(J249&lt;&gt;"","?FAMILIAR",IF(F249="NEW",IF(ISNA(VLOOKUP(E249,#REF!,1,FALSE())),"?TYPE_IDENTIFIABLE","?REFERENTIAL"),"_")))))</f>
        <v/>
      </c>
      <c r="H249" s="23" t="str">
        <f t="shared" ca="1" si="31"/>
        <v/>
      </c>
      <c r="I249" s="24" t="str">
        <f>IF(OR(E249="",E249="!!!",F249="NEW"),"",INDEX(B$2:B248,-1+SUMPRODUCT(MAX(ROW(E$2:E248)*(E249=E$2:E248)))))</f>
        <v/>
      </c>
      <c r="J249" s="24" t="str">
        <f ca="1">IF(OR(E249="",E249="!!!",F249="NEW"),"",COUNTBLANK(OFFSET(A$1,,,SUMPRODUCT(MAX(ROW(E$2:E249)*(E249=E$2:E249)))))-COUNTBLANK(OFFSET(A$1,,,SUMPRODUCT(MAX(ROW(E$1:E248)*(E2=E$1:E248))))))</f>
        <v/>
      </c>
      <c r="K249" s="24" t="str">
        <f>IF(OR(E249="",E249="!!!",F249="NEW"),"",INDEX(J$1:J248,SUMPRODUCT(MAX(ROW(E$1:E248)*(E249=E$1:E248)))))</f>
        <v/>
      </c>
      <c r="L249" s="25"/>
    </row>
    <row r="250" spans="1:12" x14ac:dyDescent="0.2">
      <c r="A250" t="s">
        <v>745</v>
      </c>
      <c r="E250" s="20" t="str">
        <f t="shared" si="30"/>
        <v/>
      </c>
      <c r="F250" s="21" t="str">
        <f>IF(OR(E250="",E250="!!!"),"",IF(NOT(ISNA(VLOOKUP(E250,E$1:E249,1,FALSE()))),"OLD",IF(AND(E250&lt;&gt;"",E250&lt;&gt;"!!!"),"NEW","")))</f>
        <v/>
      </c>
      <c r="G250" s="22" t="str">
        <f>IF(OR(E250="",E250="!!!"),"",IF(OR(J250=0,AND(J250=1,K250=1),AND(J250=1,I250="SBJ"),AND(J250=1,I250=0)),"?IN_FOCUS",IF(J250&lt;=2,"?ACTIVATED",IF(J250&lt;&gt;"","?FAMILIAR",IF(F250="NEW",IF(ISNA(VLOOKUP(E250,#REF!,1,FALSE())),"?TYPE_IDENTIFIABLE","?REFERENTIAL"),"_")))))</f>
        <v/>
      </c>
      <c r="H250" s="23" t="str">
        <f t="shared" ca="1" si="31"/>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5"/>
    </row>
    <row r="251" spans="1:12" x14ac:dyDescent="0.2">
      <c r="A251" t="s">
        <v>959</v>
      </c>
      <c r="E251" s="20" t="str">
        <f t="shared" si="30"/>
        <v/>
      </c>
      <c r="F251" s="21" t="str">
        <f>IF(OR(E251="",E251="!!!"),"",IF(NOT(ISNA(VLOOKUP(E251,E$1:E250,1,FALSE()))),"OLD",IF(AND(E251&lt;&gt;"",E251&lt;&gt;"!!!"),"NEW","")))</f>
        <v/>
      </c>
      <c r="G251" s="22" t="str">
        <f>IF(OR(E251="",E251="!!!"),"",IF(OR(J251=0,AND(J251=1,K251=1),AND(J251=1,I251="SBJ"),AND(J251=1,I251=0)),"?IN_FOCUS",IF(J251&lt;=2,"?ACTIVATED",IF(J251&lt;&gt;"","?FAMILIAR",IF(F251="NEW",IF(ISNA(VLOOKUP(E251,#REF!,1,FALSE())),"?TYPE_IDENTIFIABLE","?REFERENTIAL"),"_")))))</f>
        <v/>
      </c>
      <c r="H251" s="23" t="str">
        <f t="shared" ca="1" si="31"/>
        <v/>
      </c>
      <c r="I251" s="24" t="str">
        <f>IF(OR(E251="",E251="!!!",F251="NEW"),"",INDEX(B$2:B250,-1+SUMPRODUCT(MAX(ROW(E$2:E250)*(E251=E$2:E250)))))</f>
        <v/>
      </c>
      <c r="J251" s="24" t="str">
        <f ca="1">IF(OR(E251="",E251="!!!",F251="NEW"),"",COUNTBLANK(OFFSET(A$1,,,SUMPRODUCT(MAX(ROW(E$2:E251)*(E251=E$2:E251)))))-COUNTBLANK(OFFSET(A$1,,,SUMPRODUCT(MAX(ROW(E$1:E250)*(E2=E$1:E250))))))</f>
        <v/>
      </c>
      <c r="K251" s="24" t="str">
        <f>IF(OR(E251="",E251="!!!",F251="NEW"),"",INDEX(J$1:J250,SUMPRODUCT(MAX(ROW(E$1:E250)*(E251=E$1:E250)))))</f>
        <v/>
      </c>
      <c r="L251" s="25"/>
    </row>
    <row r="252" spans="1:12" x14ac:dyDescent="0.2">
      <c r="A252" t="s">
        <v>878</v>
      </c>
      <c r="E252" s="20" t="str">
        <f t="shared" si="30"/>
        <v/>
      </c>
      <c r="F252" s="21"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31"/>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5"/>
    </row>
    <row r="253" spans="1:12" x14ac:dyDescent="0.2">
      <c r="A253" t="s">
        <v>960</v>
      </c>
      <c r="E253" s="20" t="str">
        <f t="shared" si="30"/>
        <v/>
      </c>
      <c r="F253" s="21" t="str">
        <f>IF(OR(E253="",E253="!!!"),"",IF(NOT(ISNA(VLOOKUP(E253,E$1:E252,1,FALSE()))),"OLD",IF(AND(E253&lt;&gt;"",E253&lt;&gt;"!!!"),"NEW","")))</f>
        <v/>
      </c>
      <c r="G253" s="22" t="str">
        <f>IF(OR(E253="",E253="!!!"),"",IF(OR(J253=0,AND(J253=1,K253=1),AND(J253=1,I253="SBJ"),AND(J253=1,I253=0)),"?IN_FOCUS",IF(J253&lt;=2,"?ACTIVATED",IF(J253&lt;&gt;"","?FAMILIAR",IF(F253="NEW",IF(ISNA(VLOOKUP(E253,#REF!,1,FALSE())),"?TYPE_IDENTIFIABLE","?REFERENTIAL"),"_")))))</f>
        <v/>
      </c>
      <c r="H253" s="23" t="str">
        <f t="shared" ca="1" si="31"/>
        <v/>
      </c>
      <c r="I253" s="24" t="str">
        <f>IF(OR(E253="",E253="!!!",F253="NEW"),"",INDEX(B$2:B252,-1+SUMPRODUCT(MAX(ROW(E$2:E252)*(E253=E$2:E252)))))</f>
        <v/>
      </c>
      <c r="J253" s="24" t="str">
        <f ca="1">IF(OR(E253="",E253="!!!",F253="NEW"),"",COUNTBLANK(OFFSET(A$1,,,SUMPRODUCT(MAX(ROW(E$2:E253)*(E253=E$2:E253)))))-COUNTBLANK(OFFSET(A$1,,,SUMPRODUCT(MAX(ROW(E$1:E252)*(E2=E$1:E252))))))</f>
        <v/>
      </c>
      <c r="K253" s="24" t="str">
        <f>IF(OR(E253="",E253="!!!",F253="NEW"),"",INDEX(J$1:J252,SUMPRODUCT(MAX(ROW(E$1:E252)*(E253=E$1:E252)))))</f>
        <v/>
      </c>
      <c r="L253" s="25"/>
    </row>
    <row r="254" spans="1:12" x14ac:dyDescent="0.2">
      <c r="A254" t="s">
        <v>802</v>
      </c>
      <c r="E254" s="20" t="str">
        <f t="shared" si="30"/>
        <v/>
      </c>
      <c r="F254" s="21" t="str">
        <f>IF(OR(E254="",E254="!!!"),"",IF(NOT(ISNA(VLOOKUP(E254,E$1:E253,1,FALSE()))),"OLD",IF(AND(E254&lt;&gt;"",E254&lt;&gt;"!!!"),"NEW","")))</f>
        <v/>
      </c>
      <c r="G254" s="22" t="str">
        <f>IF(OR(E254="",E254="!!!"),"",IF(OR(J254=0,AND(J254=1,K254=1),AND(J254=1,I254="SBJ"),AND(J254=1,I254=0)),"?IN_FOCUS",IF(J254&lt;=2,"?ACTIVATED",IF(J254&lt;&gt;"","?FAMILIAR",IF(F254="NEW",IF(ISNA(VLOOKUP(E254,#REF!,1,FALSE())),"?TYPE_IDENTIFIABLE","?REFERENTIAL"),"_")))))</f>
        <v/>
      </c>
      <c r="H254" s="23" t="str">
        <f t="shared" ca="1" si="31"/>
        <v/>
      </c>
      <c r="I254" s="24" t="str">
        <f>IF(OR(E254="",E254="!!!",F254="NEW"),"",INDEX(B$2:B253,-1+SUMPRODUCT(MAX(ROW(E$2:E253)*(E254=E$2:E253)))))</f>
        <v/>
      </c>
      <c r="J254" s="24" t="str">
        <f ca="1">IF(OR(E254="",E254="!!!",F254="NEW"),"",COUNTBLANK(OFFSET(A$1,,,SUMPRODUCT(MAX(ROW(E$2:E254)*(E254=E$2:E254)))))-COUNTBLANK(OFFSET(A$1,,,SUMPRODUCT(MAX(ROW(E$1:E253)*(E2=E$1:E253))))))</f>
        <v/>
      </c>
      <c r="K254" s="24" t="str">
        <f>IF(OR(E254="",E254="!!!",F254="NEW"),"",INDEX(J$1:J253,SUMPRODUCT(MAX(ROW(E$1:E253)*(E254=E$1:E253)))))</f>
        <v/>
      </c>
      <c r="L254" s="25"/>
    </row>
    <row r="255" spans="1:12" x14ac:dyDescent="0.2">
      <c r="A255" t="s">
        <v>961</v>
      </c>
      <c r="B255" s="26" t="s">
        <v>899</v>
      </c>
      <c r="C255" s="26" t="s">
        <v>814</v>
      </c>
      <c r="E255" s="20" t="s">
        <v>961</v>
      </c>
      <c r="F255" s="21" t="str">
        <f>IF(OR(E255="",E255="!!!"),"",IF(NOT(ISNA(VLOOKUP(E255,E$1:E254,1,FALSE()))),"OLD",IF(AND(E255&lt;&gt;"",E255&lt;&gt;"!!!"),"NEW","")))</f>
        <v>NEW</v>
      </c>
      <c r="G255" s="22" t="s">
        <v>1820</v>
      </c>
      <c r="H255" s="23" t="str">
        <f t="shared" ca="1" si="31"/>
        <v/>
      </c>
      <c r="I255" s="24" t="str">
        <f>IF(OR(E255="",E255="!!!",F255="NEW"),"",INDEX(B$2:B254,-1+SUMPRODUCT(MAX(ROW(E$2:E254)*(E255=E$2:E254)))))</f>
        <v/>
      </c>
      <c r="J255" s="24" t="str">
        <f ca="1">IF(OR(E255="",E255="!!!",F255="NEW"),"",COUNTBLANK(OFFSET(A$1,,,SUMPRODUCT(MAX(ROW(E$2:E255)*(E255=E$2:E255)))))-COUNTBLANK(OFFSET(A$1,,,SUMPRODUCT(MAX(ROW(E$1:E254)*(E2=E$1:E254))))))</f>
        <v/>
      </c>
      <c r="K255" s="24" t="str">
        <f>IF(OR(E255="",E255="!!!",F255="NEW"),"",INDEX(J$1:J254,SUMPRODUCT(MAX(ROW(E$1:E254)*(E255=E$1:E254)))))</f>
        <v/>
      </c>
      <c r="L255" s="25"/>
    </row>
    <row r="256" spans="1:12" x14ac:dyDescent="0.2">
      <c r="A256" t="s">
        <v>802</v>
      </c>
      <c r="E256" s="20"/>
      <c r="F256" s="21" t="str">
        <f>IF(OR(E256="",E256="!!!"),"",IF(NOT(ISNA(VLOOKUP(E256,E$1:E255,1,FALSE()))),"OLD",IF(AND(E256&lt;&gt;"",E256&lt;&gt;"!!!"),"NEW","")))</f>
        <v/>
      </c>
      <c r="G256" s="22" t="str">
        <f>IF(OR(E256="",E256="!!!"),"",IF(OR(J256=0,AND(J256=1,K256=1),AND(J256=1,I256="SBJ"),AND(J256=1,I256=0)),"?IN_FOCUS",IF(J256&lt;=2,"?ACTIVATED",IF(J256&lt;&gt;"","?FAMILIAR",IF(F256="NEW",IF(ISNA(VLOOKUP(E256,#REF!,1,FALSE())),"?TYPE_IDENTIFIABLE","?REFERENTIAL"),"_")))))</f>
        <v/>
      </c>
      <c r="H256" s="23" t="str">
        <f t="shared" ca="1" si="31"/>
        <v/>
      </c>
      <c r="I256" s="24" t="str">
        <f>IF(OR(E256="",E256="!!!",F256="NEW"),"",INDEX(B$2:B255,-1+SUMPRODUCT(MAX(ROW(E$2:E255)*(E256=E$2:E255)))))</f>
        <v/>
      </c>
      <c r="J256" s="24" t="str">
        <f ca="1">IF(OR(E256="",E256="!!!",F256="NEW"),"",COUNTBLANK(OFFSET(A$1,,,SUMPRODUCT(MAX(ROW(E$2:E256)*(E256=E$2:E256)))))-COUNTBLANK(OFFSET(A$1,,,SUMPRODUCT(MAX(ROW(E$1:E255)*(E2=E$1:E255))))))</f>
        <v/>
      </c>
      <c r="K256" s="24" t="str">
        <f>IF(OR(E256="",E256="!!!",F256="NEW"),"",INDEX(J$1:J255,SUMPRODUCT(MAX(ROW(E$1:E255)*(E256=E$1:E255)))))</f>
        <v/>
      </c>
      <c r="L256" s="25"/>
    </row>
    <row r="257" spans="1:12" x14ac:dyDescent="0.2">
      <c r="A257" t="s">
        <v>30</v>
      </c>
      <c r="E257" s="20" t="str">
        <f t="shared" si="30"/>
        <v/>
      </c>
      <c r="F257" s="21" t="str">
        <f>IF(OR(E257="",E257="!!!"),"",IF(NOT(ISNA(VLOOKUP(E257,E$1:E256,1,FALSE()))),"OLD",IF(AND(E257&lt;&gt;"",E257&lt;&gt;"!!!"),"NEW","")))</f>
        <v/>
      </c>
      <c r="G257" s="22" t="str">
        <f>IF(OR(E257="",E257="!!!"),"",IF(OR(J257=0,AND(J257=1,K257=1),AND(J257=1,I257="SBJ"),AND(J257=1,I257=0)),"?IN_FOCUS",IF(J257&lt;=2,"?ACTIVATED",IF(J257&lt;&gt;"","?FAMILIAR",IF(F257="NEW",IF(ISNA(VLOOKUP(E257,#REF!,1,FALSE())),"?TYPE_IDENTIFIABLE","?REFERENTIAL"),"_")))))</f>
        <v/>
      </c>
      <c r="H257" s="23" t="str">
        <f t="shared" ca="1" si="31"/>
        <v/>
      </c>
      <c r="I257" s="24" t="str">
        <f>IF(OR(E257="",E257="!!!",F257="NEW"),"",INDEX(B$2:B256,-1+SUMPRODUCT(MAX(ROW(E$2:E256)*(E257=E$2:E256)))))</f>
        <v/>
      </c>
      <c r="J257" s="24" t="str">
        <f ca="1">IF(OR(E257="",E257="!!!",F257="NEW"),"",COUNTBLANK(OFFSET(A$1,,,SUMPRODUCT(MAX(ROW(E$2:E257)*(E257=E$2:E257)))))-COUNTBLANK(OFFSET(A$1,,,SUMPRODUCT(MAX(ROW(E$1:E256)*(E2=E$1:E256))))))</f>
        <v/>
      </c>
      <c r="K257" s="24" t="str">
        <f>IF(OR(E257="",E257="!!!",F257="NEW"),"",INDEX(J$1:J256,SUMPRODUCT(MAX(ROW(E$1:E256)*(E257=E$1:E256)))))</f>
        <v/>
      </c>
      <c r="L257" s="25"/>
    </row>
    <row r="258" spans="1:12" x14ac:dyDescent="0.2">
      <c r="A258" t="s">
        <v>962</v>
      </c>
      <c r="B258" s="26" t="s">
        <v>819</v>
      </c>
      <c r="C258" s="26" t="s">
        <v>814</v>
      </c>
      <c r="E258" s="20" t="s">
        <v>961</v>
      </c>
      <c r="F258" s="21" t="str">
        <f>IF(OR(E258="",E258="!!!"),"",IF(NOT(ISNA(VLOOKUP(E258,E$1:E257,1,FALSE()))),"OLD",IF(AND(E258&lt;&gt;"",E258&lt;&gt;"!!!"),"NEW","")))</f>
        <v>OLD</v>
      </c>
      <c r="G258" s="22" t="s">
        <v>1823</v>
      </c>
      <c r="H258" s="23" t="str">
        <f t="shared" ca="1" si="31"/>
        <v/>
      </c>
      <c r="I258" s="24" t="str">
        <f>IF(OR(E258="",E258="!!!",F258="NEW"),"",INDEX(B$2:B257,-1+SUMPRODUCT(MAX(ROW(E$2:E257)*(E258=E$2:E257)))))</f>
        <v>other_4</v>
      </c>
      <c r="J258" s="24">
        <f ca="1">IF(OR(E258="",E258="!!!",F258="NEW"),"",COUNTBLANK(OFFSET(A$1,,,SUMPRODUCT(MAX(ROW(E$2:E258)*(E258=E$2:E258)))))-COUNTBLANK(OFFSET(A$1,,,SUMPRODUCT(MAX(ROW(E$1:E257)*(E2=E$1:E257))))))</f>
        <v>0</v>
      </c>
      <c r="K258" s="24" t="str">
        <f ca="1">IF(OR(E258="",E258="!!!",F258="NEW"),"",INDEX(J$1:J257,SUMPRODUCT(MAX(ROW(E$1:E257)*(E258=E$1:E257)))))</f>
        <v/>
      </c>
      <c r="L258" s="25"/>
    </row>
    <row r="259" spans="1:12" x14ac:dyDescent="0.2">
      <c r="A259" t="s">
        <v>802</v>
      </c>
      <c r="E259" s="20" t="str">
        <f t="shared" si="30"/>
        <v/>
      </c>
      <c r="F259" s="21" t="str">
        <f>IF(OR(E259="",E259="!!!"),"",IF(NOT(ISNA(VLOOKUP(E259,E$1:E258,1,FALSE()))),"OLD",IF(AND(E259&lt;&gt;"",E259&lt;&gt;"!!!"),"NEW","")))</f>
        <v/>
      </c>
      <c r="G259" s="22" t="str">
        <f>IF(OR(E259="",E259="!!!"),"",IF(OR(J259=0,AND(J259=1,K259=1),AND(J259=1,I259="SBJ"),AND(J259=1,I259=0)),"?IN_FOCUS",IF(J259&lt;=2,"?ACTIVATED",IF(J259&lt;&gt;"","?FAMILIAR",IF(F259="NEW",IF(ISNA(VLOOKUP(E259,#REF!,1,FALSE())),"?TYPE_IDENTIFIABLE","?REFERENTIAL"),"_")))))</f>
        <v/>
      </c>
      <c r="H259" s="23" t="str">
        <f t="shared" ca="1" si="31"/>
        <v/>
      </c>
      <c r="I259" s="24" t="str">
        <f>IF(OR(E259="",E259="!!!",F259="NEW"),"",INDEX(B$2:B258,-1+SUMPRODUCT(MAX(ROW(E$2:E258)*(E259=E$2:E258)))))</f>
        <v/>
      </c>
      <c r="J259" s="24" t="str">
        <f ca="1">IF(OR(E259="",E259="!!!",F259="NEW"),"",COUNTBLANK(OFFSET(A$1,,,SUMPRODUCT(MAX(ROW(E$2:E259)*(E259=E$2:E259)))))-COUNTBLANK(OFFSET(A$1,,,SUMPRODUCT(MAX(ROW(E$1:E258)*(E2=E$1:E258))))))</f>
        <v/>
      </c>
      <c r="K259" s="24" t="str">
        <f>IF(OR(E259="",E259="!!!",F259="NEW"),"",INDEX(J$1:J258,SUMPRODUCT(MAX(ROW(E$1:E258)*(E259=E$1:E258)))))</f>
        <v/>
      </c>
      <c r="L259" s="25"/>
    </row>
    <row r="260" spans="1:12" x14ac:dyDescent="0.2">
      <c r="A260" t="s">
        <v>963</v>
      </c>
      <c r="E260" s="20" t="str">
        <f t="shared" si="30"/>
        <v/>
      </c>
      <c r="F260" s="21" t="str">
        <f>IF(OR(E260="",E260="!!!"),"",IF(NOT(ISNA(VLOOKUP(E260,E$1:E259,1,FALSE()))),"OLD",IF(AND(E260&lt;&gt;"",E260&lt;&gt;"!!!"),"NEW","")))</f>
        <v/>
      </c>
      <c r="G260" s="22" t="str">
        <f>IF(OR(E260="",E260="!!!"),"",IF(OR(J260=0,AND(J260=1,K260=1),AND(J260=1,I260="SBJ"),AND(J260=1,I260=0)),"?IN_FOCUS",IF(J260&lt;=2,"?ACTIVATED",IF(J260&lt;&gt;"","?FAMILIAR",IF(F260="NEW",IF(ISNA(VLOOKUP(E260,#REF!,1,FALSE())),"?TYPE_IDENTIFIABLE","?REFERENTIAL"),"_")))))</f>
        <v/>
      </c>
      <c r="H260" s="23" t="str">
        <f t="shared" ca="1" si="31"/>
        <v/>
      </c>
      <c r="I260" s="24" t="str">
        <f>IF(OR(E260="",E260="!!!",F260="NEW"),"",INDEX(B$2:B259,-1+SUMPRODUCT(MAX(ROW(E$2:E259)*(E260=E$2:E259)))))</f>
        <v/>
      </c>
      <c r="J260" s="24" t="str">
        <f ca="1">IF(OR(E260="",E260="!!!",F260="NEW"),"",COUNTBLANK(OFFSET(A$1,,,SUMPRODUCT(MAX(ROW(E$2:E260)*(E260=E$2:E260)))))-COUNTBLANK(OFFSET(A$1,,,SUMPRODUCT(MAX(ROW(E$1:E259)*(E2=E$1:E259))))))</f>
        <v/>
      </c>
      <c r="K260" s="24" t="str">
        <f>IF(OR(E260="",E260="!!!",F260="NEW"),"",INDEX(J$1:J259,SUMPRODUCT(MAX(ROW(E$1:E259)*(E260=E$1:E259)))))</f>
        <v/>
      </c>
      <c r="L260" s="25"/>
    </row>
    <row r="261" spans="1:12" x14ac:dyDescent="0.2">
      <c r="A261" t="s">
        <v>964</v>
      </c>
      <c r="E261" s="20" t="str">
        <f t="shared" si="30"/>
        <v/>
      </c>
      <c r="F261" s="21" t="str">
        <f>IF(OR(E261="",E261="!!!"),"",IF(NOT(ISNA(VLOOKUP(E261,E$1:E260,1,FALSE()))),"OLD",IF(AND(E261&lt;&gt;"",E261&lt;&gt;"!!!"),"NEW","")))</f>
        <v/>
      </c>
      <c r="G261" s="22" t="str">
        <f>IF(OR(E261="",E261="!!!"),"",IF(OR(J261=0,AND(J261=1,K261=1),AND(J261=1,I261="SBJ"),AND(J261=1,I261=0)),"?IN_FOCUS",IF(J261&lt;=2,"?ACTIVATED",IF(J261&lt;&gt;"","?FAMILIAR",IF(F261="NEW",IF(ISNA(VLOOKUP(E261,#REF!,1,FALSE())),"?TYPE_IDENTIFIABLE","?REFERENTIAL"),"_")))))</f>
        <v/>
      </c>
      <c r="H261" s="23" t="str">
        <f t="shared" ca="1" si="31"/>
        <v/>
      </c>
      <c r="I261" s="24" t="str">
        <f>IF(OR(E261="",E261="!!!",F261="NEW"),"",INDEX(B$2:B260,-1+SUMPRODUCT(MAX(ROW(E$2:E260)*(E261=E$2:E260)))))</f>
        <v/>
      </c>
      <c r="J261" s="24" t="str">
        <f ca="1">IF(OR(E261="",E261="!!!",F261="NEW"),"",COUNTBLANK(OFFSET(A$1,,,SUMPRODUCT(MAX(ROW(E$2:E261)*(E261=E$2:E261)))))-COUNTBLANK(OFFSET(A$1,,,SUMPRODUCT(MAX(ROW(E$1:E260)*(E2=E$1:E260))))))</f>
        <v/>
      </c>
      <c r="K261" s="24" t="str">
        <f>IF(OR(E261="",E261="!!!",F261="NEW"),"",INDEX(J$1:J260,SUMPRODUCT(MAX(ROW(E$1:E260)*(E261=E$1:E260)))))</f>
        <v/>
      </c>
      <c r="L261" s="25"/>
    </row>
    <row r="262" spans="1:12" x14ac:dyDescent="0.2">
      <c r="A262" t="s">
        <v>859</v>
      </c>
      <c r="E262" s="20" t="str">
        <f t="shared" si="30"/>
        <v/>
      </c>
      <c r="F262" s="21" t="str">
        <f>IF(OR(E262="",E262="!!!"),"",IF(NOT(ISNA(VLOOKUP(E262,E$1:E261,1,FALSE()))),"OLD",IF(AND(E262&lt;&gt;"",E262&lt;&gt;"!!!"),"NEW","")))</f>
        <v/>
      </c>
      <c r="G262" s="22" t="str">
        <f>IF(OR(E262="",E262="!!!"),"",IF(OR(J262=0,AND(J262=1,K262=1),AND(J262=1,I262="SBJ"),AND(J262=1,I262=0)),"?IN_FOCUS",IF(J262&lt;=2,"?ACTIVATED",IF(J262&lt;&gt;"","?FAMILIAR",IF(F262="NEW",IF(ISNA(VLOOKUP(E262,#REF!,1,FALSE())),"?TYPE_IDENTIFIABLE","?REFERENTIAL"),"_")))))</f>
        <v/>
      </c>
      <c r="H262" s="23" t="str">
        <f t="shared" ca="1" si="31"/>
        <v/>
      </c>
      <c r="I262" s="24" t="str">
        <f>IF(OR(E262="",E262="!!!",F262="NEW"),"",INDEX(B$2:B261,-1+SUMPRODUCT(MAX(ROW(E$2:E261)*(E262=E$2:E261)))))</f>
        <v/>
      </c>
      <c r="J262" s="24" t="str">
        <f ca="1">IF(OR(E262="",E262="!!!",F262="NEW"),"",COUNTBLANK(OFFSET(A$1,,,SUMPRODUCT(MAX(ROW(E$2:E262)*(E262=E$2:E262)))))-COUNTBLANK(OFFSET(A$1,,,SUMPRODUCT(MAX(ROW(E$1:E261)*(E2=E$1:E261))))))</f>
        <v/>
      </c>
      <c r="K262" s="24" t="str">
        <f>IF(OR(E262="",E262="!!!",F262="NEW"),"",INDEX(J$1:J261,SUMPRODUCT(MAX(ROW(E$1:E261)*(E262=E$1:E261)))))</f>
        <v/>
      </c>
      <c r="L262" s="25"/>
    </row>
    <row r="263" spans="1:12" x14ac:dyDescent="0.2">
      <c r="A263" t="s">
        <v>78</v>
      </c>
      <c r="E263" s="20" t="str">
        <f t="shared" si="30"/>
        <v/>
      </c>
      <c r="F263" s="21" t="str">
        <f>IF(OR(E263="",E263="!!!"),"",IF(NOT(ISNA(VLOOKUP(E263,E$1:E262,1,FALSE()))),"OLD",IF(AND(E263&lt;&gt;"",E263&lt;&gt;"!!!"),"NEW","")))</f>
        <v/>
      </c>
      <c r="G263" s="22" t="str">
        <f>IF(OR(E263="",E263="!!!"),"",IF(OR(J263=0,AND(J263=1,K263=1),AND(J263=1,I263="SBJ"),AND(J263=1,I263=0)),"?IN_FOCUS",IF(J263&lt;=2,"?ACTIVATED",IF(J263&lt;&gt;"","?FAMILIAR",IF(F263="NEW",IF(ISNA(VLOOKUP(E263,#REF!,1,FALSE())),"?TYPE_IDENTIFIABLE","?REFERENTIAL"),"_")))))</f>
        <v/>
      </c>
      <c r="H263" s="23" t="str">
        <f t="shared" ca="1" si="31"/>
        <v/>
      </c>
      <c r="I263" s="24" t="str">
        <f>IF(OR(E263="",E263="!!!",F263="NEW"),"",INDEX(B$2:B262,-1+SUMPRODUCT(MAX(ROW(E$2:E262)*(E263=E$2:E262)))))</f>
        <v/>
      </c>
      <c r="J263" s="24" t="str">
        <f ca="1">IF(OR(E263="",E263="!!!",F263="NEW"),"",COUNTBLANK(OFFSET(A$1,,,SUMPRODUCT(MAX(ROW(E$2:E263)*(E263=E$2:E263)))))-COUNTBLANK(OFFSET(A$1,,,SUMPRODUCT(MAX(ROW(E$1:E262)*(E2=E$1:E262))))))</f>
        <v/>
      </c>
      <c r="K263" s="24" t="str">
        <f>IF(OR(E263="",E263="!!!",F263="NEW"),"",INDEX(J$1:J262,SUMPRODUCT(MAX(ROW(E$1:E262)*(E263=E$1:E262)))))</f>
        <v/>
      </c>
      <c r="L263" s="25"/>
    </row>
    <row r="264" spans="1:12" x14ac:dyDescent="0.2">
      <c r="A264" t="s">
        <v>809</v>
      </c>
      <c r="E264" s="20" t="str">
        <f t="shared" si="30"/>
        <v/>
      </c>
      <c r="F264" s="21" t="str">
        <f>IF(OR(E264="",E264="!!!"),"",IF(NOT(ISNA(VLOOKUP(E264,E$1:E263,1,FALSE()))),"OLD",IF(AND(E264&lt;&gt;"",E264&lt;&gt;"!!!"),"NEW","")))</f>
        <v/>
      </c>
      <c r="G264" s="22" t="str">
        <f>IF(OR(E264="",E264="!!!"),"",IF(OR(J264=0,AND(J264=1,K264=1),AND(J264=1,I264="SBJ"),AND(J264=1,I264=0)),"?IN_FOCUS",IF(J264&lt;=2,"?ACTIVATED",IF(J264&lt;&gt;"","?FAMILIAR",IF(F264="NEW",IF(ISNA(VLOOKUP(E264,#REF!,1,FALSE())),"?TYPE_IDENTIFIABLE","?REFERENTIAL"),"_")))))</f>
        <v/>
      </c>
      <c r="H264" s="23" t="str">
        <f t="shared" ca="1" si="31"/>
        <v/>
      </c>
      <c r="I264" s="24" t="str">
        <f>IF(OR(E264="",E264="!!!",F264="NEW"),"",INDEX(B$2:B263,-1+SUMPRODUCT(MAX(ROW(E$2:E263)*(E264=E$2:E263)))))</f>
        <v/>
      </c>
      <c r="J264" s="24" t="str">
        <f ca="1">IF(OR(E264="",E264="!!!",F264="NEW"),"",COUNTBLANK(OFFSET(A$1,,,SUMPRODUCT(MAX(ROW(E$2:E264)*(E264=E$2:E264)))))-COUNTBLANK(OFFSET(A$1,,,SUMPRODUCT(MAX(ROW(E$1:E263)*(E2=E$1:E263))))))</f>
        <v/>
      </c>
      <c r="K264" s="24" t="str">
        <f>IF(OR(E264="",E264="!!!",F264="NEW"),"",INDEX(J$1:J263,SUMPRODUCT(MAX(ROW(E$1:E263)*(E264=E$1:E263)))))</f>
        <v/>
      </c>
      <c r="L264" s="25"/>
    </row>
    <row r="265" spans="1:12" x14ac:dyDescent="0.2">
      <c r="A265" t="s">
        <v>965</v>
      </c>
      <c r="B265" s="26" t="s">
        <v>819</v>
      </c>
      <c r="C265" s="26" t="s">
        <v>820</v>
      </c>
      <c r="D265" s="26" t="s">
        <v>806</v>
      </c>
      <c r="E265" s="20"/>
      <c r="F265" s="21" t="str">
        <f>IF(OR(E265="",E265="!!!"),"",IF(NOT(ISNA(VLOOKUP(E265,E$1:E264,1,FALSE()))),"OLD",IF(AND(E265&lt;&gt;"",E265&lt;&gt;"!!!"),"NEW","")))</f>
        <v/>
      </c>
      <c r="G265" s="22" t="str">
        <f>IF(OR(E265="",E265="!!!"),"",IF(OR(J265=0,AND(J265=1,K265=1),AND(J265=1,I265="SBJ"),AND(J265=1,I265=0)),"?IN_FOCUS",IF(J265&lt;=2,"?ACTIVATED",IF(J265&lt;&gt;"","?FAMILIAR",IF(F265="NEW",IF(ISNA(VLOOKUP(E265,#REF!,1,FALSE())),"?TYPE_IDENTIFIABLE","?REFERENTIAL"),"_")))))</f>
        <v/>
      </c>
      <c r="H265" s="23" t="str">
        <f t="shared" ca="1" si="31"/>
        <v/>
      </c>
      <c r="I265" s="24" t="str">
        <f>IF(OR(E265="",E265="!!!",F265="NEW"),"",INDEX(B$2:B264,-1+SUMPRODUCT(MAX(ROW(E$2:E264)*(E265=E$2:E264)))))</f>
        <v/>
      </c>
      <c r="J265" s="24" t="str">
        <f ca="1">IF(OR(E265="",E265="!!!",F265="NEW"),"",COUNTBLANK(OFFSET(A$1,,,SUMPRODUCT(MAX(ROW(E$2:E265)*(E265=E$2:E265)))))-COUNTBLANK(OFFSET(A$1,,,SUMPRODUCT(MAX(ROW(E$1:E264)*(E2=E$1:E264))))))</f>
        <v/>
      </c>
      <c r="K265" s="24" t="str">
        <f>IF(OR(E265="",E265="!!!",F265="NEW"),"",INDEX(J$1:J264,SUMPRODUCT(MAX(ROW(E$1:E264)*(E265=E$1:E264)))))</f>
        <v/>
      </c>
      <c r="L265" s="25"/>
    </row>
    <row r="266" spans="1:12" x14ac:dyDescent="0.2">
      <c r="A266" t="s">
        <v>812</v>
      </c>
      <c r="E266" s="20" t="str">
        <f t="shared" si="30"/>
        <v/>
      </c>
      <c r="F266" s="21" t="str">
        <f>IF(OR(E266="",E266="!!!"),"",IF(NOT(ISNA(VLOOKUP(E266,E$1:E265,1,FALSE()))),"OLD",IF(AND(E266&lt;&gt;"",E266&lt;&gt;"!!!"),"NEW","")))</f>
        <v/>
      </c>
      <c r="G266" s="22" t="str">
        <f>IF(OR(E266="",E266="!!!"),"",IF(OR(J266=0,AND(J266=1,K266=1),AND(J266=1,I266="SBJ"),AND(J266=1,I266=0)),"?IN_FOCUS",IF(J266&lt;=2,"?ACTIVATED",IF(J266&lt;&gt;"","?FAMILIAR",IF(F266="NEW",IF(ISNA(VLOOKUP(E266,#REF!,1,FALSE())),"?TYPE_IDENTIFIABLE","?REFERENTIAL"),"_")))))</f>
        <v/>
      </c>
      <c r="H266" s="23" t="str">
        <f t="shared" ca="1" si="31"/>
        <v/>
      </c>
      <c r="I266" s="24" t="str">
        <f>IF(OR(E266="",E266="!!!",F266="NEW"),"",INDEX(B$2:B265,-1+SUMPRODUCT(MAX(ROW(E$2:E265)*(E266=E$2:E265)))))</f>
        <v/>
      </c>
      <c r="J266" s="24" t="str">
        <f ca="1">IF(OR(E266="",E266="!!!",F266="NEW"),"",COUNTBLANK(OFFSET(A$1,,,SUMPRODUCT(MAX(ROW(E$2:E266)*(E266=E$2:E266)))))-COUNTBLANK(OFFSET(A$1,,,SUMPRODUCT(MAX(ROW(E$1:E265)*(E2=E$1:E265))))))</f>
        <v/>
      </c>
      <c r="K266" s="24" t="str">
        <f>IF(OR(E266="",E266="!!!",F266="NEW"),"",INDEX(J$1:J265,SUMPRODUCT(MAX(ROW(E$1:E265)*(E266=E$1:E265)))))</f>
        <v/>
      </c>
      <c r="L266" s="25"/>
    </row>
    <row r="267" spans="1:12" x14ac:dyDescent="0.2">
      <c r="A267" t="s">
        <v>920</v>
      </c>
      <c r="B267" s="26" t="s">
        <v>864</v>
      </c>
      <c r="C267" s="26" t="s">
        <v>817</v>
      </c>
      <c r="D267" s="26" t="s">
        <v>806</v>
      </c>
      <c r="E267" s="20"/>
      <c r="F267" s="21"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t="shared" ca="1" si="31"/>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5"/>
    </row>
    <row r="268" spans="1:12" x14ac:dyDescent="0.2">
      <c r="A268" t="s">
        <v>966</v>
      </c>
      <c r="B268" s="26" t="s">
        <v>813</v>
      </c>
      <c r="C268" s="26" t="s">
        <v>820</v>
      </c>
      <c r="D268" s="26" t="s">
        <v>806</v>
      </c>
      <c r="E268" s="20" t="s">
        <v>966</v>
      </c>
      <c r="F268" s="21" t="str">
        <f>IF(OR(E268="",E268="!!!"),"",IF(NOT(ISNA(VLOOKUP(E268,E$1:E267,1,FALSE()))),"OLD",IF(AND(E268&lt;&gt;"",E268&lt;&gt;"!!!"),"NEW","")))</f>
        <v>NEW</v>
      </c>
      <c r="G268" s="22" t="s">
        <v>1820</v>
      </c>
      <c r="H268" s="23" t="str">
        <f t="shared" ca="1" si="31"/>
        <v/>
      </c>
      <c r="I268" s="24" t="str">
        <f>IF(OR(E268="",E268="!!!",F268="NEW"),"",INDEX(B$2:B267,-1+SUMPRODUCT(MAX(ROW(E$2:E267)*(E268=E$2:E267)))))</f>
        <v/>
      </c>
      <c r="J268" s="24" t="str">
        <f ca="1">IF(OR(E268="",E268="!!!",F268="NEW"),"",COUNTBLANK(OFFSET(A$1,,,SUMPRODUCT(MAX(ROW(E$2:E268)*(E268=E$2:E268)))))-COUNTBLANK(OFFSET(A$1,,,SUMPRODUCT(MAX(ROW(E$1:E267)*(E2=E$1:E267))))))</f>
        <v/>
      </c>
      <c r="K268" s="24" t="str">
        <f>IF(OR(E268="",E268="!!!",F268="NEW"),"",INDEX(J$1:J267,SUMPRODUCT(MAX(ROW(E$1:E267)*(E268=E$1:E267)))))</f>
        <v/>
      </c>
      <c r="L268" s="25"/>
    </row>
    <row r="269" spans="1:12" x14ac:dyDescent="0.2">
      <c r="A269" t="s">
        <v>821</v>
      </c>
      <c r="E269" s="20" t="str">
        <f t="shared" si="30"/>
        <v/>
      </c>
      <c r="F269" s="21" t="str">
        <f>IF(OR(E269="",E269="!!!"),"",IF(NOT(ISNA(VLOOKUP(E269,E$1:E268,1,FALSE()))),"OLD",IF(AND(E269&lt;&gt;"",E269&lt;&gt;"!!!"),"NEW","")))</f>
        <v/>
      </c>
      <c r="G269" s="22" t="str">
        <f>IF(OR(E269="",E269="!!!"),"",IF(OR(J269=0,AND(J269=1,K269=1),AND(J269=1,I269="SBJ"),AND(J269=1,I269=0)),"?IN_FOCUS",IF(J269&lt;=2,"?ACTIVATED",IF(J269&lt;&gt;"","?FAMILIAR",IF(F269="NEW",IF(ISNA(VLOOKUP(E269,#REF!,1,FALSE())),"?TYPE_IDENTIFIABLE","?REFERENTIAL"),"_")))))</f>
        <v/>
      </c>
      <c r="H269" s="23" t="str">
        <f t="shared" ca="1" si="31"/>
        <v/>
      </c>
      <c r="I269" s="24" t="str">
        <f>IF(OR(E269="",E269="!!!",F269="NEW"),"",INDEX(B$2:B268,-1+SUMPRODUCT(MAX(ROW(E$2:E268)*(E269=E$2:E268)))))</f>
        <v/>
      </c>
      <c r="J269" s="24" t="str">
        <f ca="1">IF(OR(E269="",E269="!!!",F269="NEW"),"",COUNTBLANK(OFFSET(A$1,,,SUMPRODUCT(MAX(ROW(E$2:E269)*(E269=E$2:E269)))))-COUNTBLANK(OFFSET(A$1,,,SUMPRODUCT(MAX(ROW(E$1:E268)*(E2=E$1:E268))))))</f>
        <v/>
      </c>
      <c r="K269" s="24" t="str">
        <f>IF(OR(E269="",E269="!!!",F269="NEW"),"",INDEX(J$1:J268,SUMPRODUCT(MAX(ROW(E$1:E268)*(E269=E$1:E268)))))</f>
        <v/>
      </c>
      <c r="L269" s="25"/>
    </row>
    <row r="271" spans="1:12" x14ac:dyDescent="0.2">
      <c r="A271" t="s">
        <v>967</v>
      </c>
    </row>
    <row r="272" spans="1:12" x14ac:dyDescent="0.2">
      <c r="A272" t="s">
        <v>968</v>
      </c>
      <c r="E272" s="20" t="str">
        <f t="shared" ref="E272:E293" si="32">IF(D272="?OLD","!!!","")</f>
        <v/>
      </c>
      <c r="F272" s="21"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ref="H272:H293" ca="1" si="33">IF(J272&lt;&gt;1,"",IF(I272="SBJ","CB","?"))</f>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5"/>
    </row>
    <row r="273" spans="1:12" x14ac:dyDescent="0.2">
      <c r="A273" t="s">
        <v>86</v>
      </c>
      <c r="B273" s="26" t="s">
        <v>819</v>
      </c>
      <c r="C273" s="26" t="s">
        <v>811</v>
      </c>
      <c r="E273" s="20" t="str">
        <f t="shared" si="32"/>
        <v/>
      </c>
      <c r="F273" s="21" t="str">
        <f>IF(OR(E273="",E273="!!!"),"",IF(NOT(ISNA(VLOOKUP(E273,E$1:E272,1,FALSE()))),"OLD",IF(AND(E273&lt;&gt;"",E273&lt;&gt;"!!!"),"NEW","")))</f>
        <v/>
      </c>
      <c r="G273" s="22" t="str">
        <f>IF(OR(E273="",E273="!!!"),"",IF(OR(J273=0,AND(J273=1,K273=1),AND(J273=1,I273="SBJ"),AND(J273=1,I273=0)),"?IN_FOCUS",IF(J273&lt;=2,"?ACTIVATED",IF(J273&lt;&gt;"","?FAMILIAR",IF(F273="NEW",IF(ISNA(VLOOKUP(E273,#REF!,1,FALSE())),"?TYPE_IDENTIFIABLE","?REFERENTIAL"),"_")))))</f>
        <v/>
      </c>
      <c r="H273" s="23" t="str">
        <f t="shared" ca="1" si="33"/>
        <v/>
      </c>
      <c r="I273" s="24" t="str">
        <f>IF(OR(E273="",E273="!!!",F273="NEW"),"",INDEX(B$2:B272,-1+SUMPRODUCT(MAX(ROW(E$2:E272)*(E273=E$2:E272)))))</f>
        <v/>
      </c>
      <c r="J273" s="24" t="str">
        <f ca="1">IF(OR(E273="",E273="!!!",F273="NEW"),"",COUNTBLANK(OFFSET(A$1,,,SUMPRODUCT(MAX(ROW(E$2:E273)*(E273=E$2:E273)))))-COUNTBLANK(OFFSET(A$1,,,SUMPRODUCT(MAX(ROW(E$1:E272)*(E2=E$1:E272))))))</f>
        <v/>
      </c>
      <c r="K273" s="24" t="str">
        <f>IF(OR(E273="",E273="!!!",F273="NEW"),"",INDEX(J$1:J272,SUMPRODUCT(MAX(ROW(E$1:E272)*(E273=E$1:E272)))))</f>
        <v/>
      </c>
      <c r="L273" s="25"/>
    </row>
    <row r="274" spans="1:12" x14ac:dyDescent="0.2">
      <c r="A274" t="s">
        <v>812</v>
      </c>
      <c r="E274" s="20" t="str">
        <f t="shared" si="32"/>
        <v/>
      </c>
      <c r="F274" s="21" t="str">
        <f>IF(OR(E274="",E274="!!!"),"",IF(NOT(ISNA(VLOOKUP(E274,E$1:E273,1,FALSE()))),"OLD",IF(AND(E274&lt;&gt;"",E274&lt;&gt;"!!!"),"NEW","")))</f>
        <v/>
      </c>
      <c r="G274" s="22" t="str">
        <f>IF(OR(E274="",E274="!!!"),"",IF(OR(J274=0,AND(J274=1,K274=1),AND(J274=1,I274="SBJ"),AND(J274=1,I274=0)),"?IN_FOCUS",IF(J274&lt;=2,"?ACTIVATED",IF(J274&lt;&gt;"","?FAMILIAR",IF(F274="NEW",IF(ISNA(VLOOKUP(E274,#REF!,1,FALSE())),"?TYPE_IDENTIFIABLE","?REFERENTIAL"),"_")))))</f>
        <v/>
      </c>
      <c r="H274" s="23" t="str">
        <f t="shared" ca="1" si="33"/>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5"/>
    </row>
    <row r="275" spans="1:12" x14ac:dyDescent="0.2">
      <c r="A275" t="s">
        <v>969</v>
      </c>
      <c r="B275" s="26" t="s">
        <v>819</v>
      </c>
      <c r="C275" s="26" t="s">
        <v>814</v>
      </c>
      <c r="E275" s="20" t="s">
        <v>969</v>
      </c>
      <c r="F275" s="21" t="str">
        <f>IF(OR(E275="",E275="!!!"),"",IF(NOT(ISNA(VLOOKUP(E275,E$1:E274,1,FALSE()))),"OLD",IF(AND(E275&lt;&gt;"",E275&lt;&gt;"!!!"),"NEW","")))</f>
        <v>NEW</v>
      </c>
      <c r="G275" s="22" t="s">
        <v>1827</v>
      </c>
      <c r="H275" s="23" t="str">
        <f t="shared" ca="1" si="33"/>
        <v/>
      </c>
      <c r="I275" s="24" t="str">
        <f>IF(OR(E275="",E275="!!!",F275="NEW"),"",INDEX(B$2:B274,-1+SUMPRODUCT(MAX(ROW(E$2:E274)*(E275=E$2:E274)))))</f>
        <v/>
      </c>
      <c r="J275" s="24" t="str">
        <f ca="1">IF(OR(E275="",E275="!!!",F275="NEW"),"",COUNTBLANK(OFFSET(A$1,,,SUMPRODUCT(MAX(ROW(E$2:E275)*(E275=E$2:E275)))))-COUNTBLANK(OFFSET(A$1,,,SUMPRODUCT(MAX(ROW(E$1:E274)*(E2=E$1:E274))))))</f>
        <v/>
      </c>
      <c r="K275" s="24" t="str">
        <f>IF(OR(E275="",E275="!!!",F275="NEW"),"",INDEX(J$1:J274,SUMPRODUCT(MAX(ROW(E$1:E274)*(E275=E$1:E274)))))</f>
        <v/>
      </c>
      <c r="L275" s="25"/>
    </row>
    <row r="276" spans="1:12" x14ac:dyDescent="0.2">
      <c r="A276" t="s">
        <v>970</v>
      </c>
      <c r="E276" s="20" t="str">
        <f t="shared" si="32"/>
        <v/>
      </c>
      <c r="F276" s="21" t="str">
        <f>IF(OR(E276="",E276="!!!"),"",IF(NOT(ISNA(VLOOKUP(E276,E$1:E275,1,FALSE()))),"OLD",IF(AND(E276&lt;&gt;"",E276&lt;&gt;"!!!"),"NEW","")))</f>
        <v/>
      </c>
      <c r="G276" s="22" t="str">
        <f>IF(OR(E276="",E276="!!!"),"",IF(OR(J276=0,AND(J276=1,K276=1),AND(J276=1,I276="SBJ"),AND(J276=1,I276=0)),"?IN_FOCUS",IF(J276&lt;=2,"?ACTIVATED",IF(J276&lt;&gt;"","?FAMILIAR",IF(F276="NEW",IF(ISNA(VLOOKUP(E276,#REF!,1,FALSE())),"?TYPE_IDENTIFIABLE","?REFERENTIAL"),"_")))))</f>
        <v/>
      </c>
      <c r="H276" s="23" t="str">
        <f t="shared" ca="1" si="33"/>
        <v/>
      </c>
      <c r="I276" s="24" t="str">
        <f>IF(OR(E276="",E276="!!!",F276="NEW"),"",INDEX(B$2:B275,-1+SUMPRODUCT(MAX(ROW(E$2:E275)*(E276=E$2:E275)))))</f>
        <v/>
      </c>
      <c r="J276" s="24" t="str">
        <f ca="1">IF(OR(E276="",E276="!!!",F276="NEW"),"",COUNTBLANK(OFFSET(A$1,,,SUMPRODUCT(MAX(ROW(E$2:E276)*(E276=E$2:E276)))))-COUNTBLANK(OFFSET(A$1,,,SUMPRODUCT(MAX(ROW(E$1:E275)*(E2=E$1:E275))))))</f>
        <v/>
      </c>
      <c r="K276" s="24" t="str">
        <f>IF(OR(E276="",E276="!!!",F276="NEW"),"",INDEX(J$1:J275,SUMPRODUCT(MAX(ROW(E$1:E275)*(E276=E$1:E275)))))</f>
        <v/>
      </c>
      <c r="L276" s="25"/>
    </row>
    <row r="277" spans="1:12" x14ac:dyDescent="0.2">
      <c r="A277" t="s">
        <v>830</v>
      </c>
      <c r="B277" s="26" t="s">
        <v>813</v>
      </c>
      <c r="C277" s="26" t="s">
        <v>805</v>
      </c>
      <c r="D277" s="26" t="s">
        <v>806</v>
      </c>
      <c r="E277" s="20" t="s">
        <v>961</v>
      </c>
      <c r="F277" s="21" t="str">
        <f>IF(OR(E277="",E277="!!!"),"",IF(NOT(ISNA(VLOOKUP(E277,E$1:E276,1,FALSE()))),"OLD",IF(AND(E277&lt;&gt;"",E277&lt;&gt;"!!!"),"NEW","")))</f>
        <v>OLD</v>
      </c>
      <c r="G277" s="22" t="s">
        <v>1823</v>
      </c>
      <c r="H277" s="23" t="str">
        <f t="shared" ca="1" si="33"/>
        <v/>
      </c>
      <c r="I277" s="24" t="str">
        <f>IF(OR(E277="",E277="!!!",F277="NEW"),"",INDEX(B$2:B276,-1+SUMPRODUCT(MAX(ROW(E$2:E276)*(E277=E$2:E276)))))</f>
        <v>other</v>
      </c>
      <c r="J277" s="24">
        <f ca="1">IF(OR(E277="",E277="!!!",F277="NEW"),"",COUNTBLANK(OFFSET(A$1,,,SUMPRODUCT(MAX(ROW(E$2:E277)*(E277=E$2:E277)))))-COUNTBLANK(OFFSET(A$1,,,SUMPRODUCT(MAX(ROW(E$1:E276)*(E2=E$1:E276))))))</f>
        <v>0</v>
      </c>
      <c r="K277" s="24">
        <f ca="1">IF(OR(E277="",E277="!!!",F277="NEW"),"",INDEX(J$1:J276,SUMPRODUCT(MAX(ROW(E$1:E276)*(E277=E$1:E276)))))</f>
        <v>0</v>
      </c>
      <c r="L277" s="25"/>
    </row>
    <row r="278" spans="1:12" x14ac:dyDescent="0.2">
      <c r="A278" t="s">
        <v>839</v>
      </c>
      <c r="E278" s="20" t="str">
        <f t="shared" si="32"/>
        <v/>
      </c>
      <c r="F278" s="21" t="str">
        <f>IF(OR(E278="",E278="!!!"),"",IF(NOT(ISNA(VLOOKUP(E278,E$1:E277,1,FALSE()))),"OLD",IF(AND(E278&lt;&gt;"",E278&lt;&gt;"!!!"),"NEW","")))</f>
        <v/>
      </c>
      <c r="G278" s="22" t="str">
        <f>IF(OR(E278="",E278="!!!"),"",IF(OR(J278=0,AND(J278=1,K278=1),AND(J278=1,I278="SBJ"),AND(J278=1,I278=0)),"?IN_FOCUS",IF(J278&lt;=2,"?ACTIVATED",IF(J278&lt;&gt;"","?FAMILIAR",IF(F278="NEW",IF(ISNA(VLOOKUP(E278,#REF!,1,FALSE())),"?TYPE_IDENTIFIABLE","?REFERENTIAL"),"_")))))</f>
        <v/>
      </c>
      <c r="H278" s="23" t="str">
        <f t="shared" ca="1" si="33"/>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5"/>
    </row>
    <row r="279" spans="1:12" x14ac:dyDescent="0.2">
      <c r="A279" t="s">
        <v>971</v>
      </c>
      <c r="E279" s="20" t="str">
        <f t="shared" si="32"/>
        <v/>
      </c>
      <c r="F279" s="21" t="str">
        <f>IF(OR(E279="",E279="!!!"),"",IF(NOT(ISNA(VLOOKUP(E279,E$1:E278,1,FALSE()))),"OLD",IF(AND(E279&lt;&gt;"",E279&lt;&gt;"!!!"),"NEW","")))</f>
        <v/>
      </c>
      <c r="G279" s="22" t="str">
        <f>IF(OR(E279="",E279="!!!"),"",IF(OR(J279=0,AND(J279=1,K279=1),AND(J279=1,I279="SBJ"),AND(J279=1,I279=0)),"?IN_FOCUS",IF(J279&lt;=2,"?ACTIVATED",IF(J279&lt;&gt;"","?FAMILIAR",IF(F279="NEW",IF(ISNA(VLOOKUP(E279,#REF!,1,FALSE())),"?TYPE_IDENTIFIABLE","?REFERENTIAL"),"_")))))</f>
        <v/>
      </c>
      <c r="H279" s="23" t="str">
        <f t="shared" ca="1" si="33"/>
        <v/>
      </c>
      <c r="I279" s="24" t="str">
        <f>IF(OR(E279="",E279="!!!",F279="NEW"),"",INDEX(B$2:B278,-1+SUMPRODUCT(MAX(ROW(E$2:E278)*(E279=E$2:E278)))))</f>
        <v/>
      </c>
      <c r="J279" s="24" t="str">
        <f ca="1">IF(OR(E279="",E279="!!!",F279="NEW"),"",COUNTBLANK(OFFSET(A$1,,,SUMPRODUCT(MAX(ROW(E$2:E279)*(E279=E$2:E279)))))-COUNTBLANK(OFFSET(A$1,,,SUMPRODUCT(MAX(ROW(E$1:E278)*(E2=E$1:E278))))))</f>
        <v/>
      </c>
      <c r="K279" s="24" t="str">
        <f>IF(OR(E279="",E279="!!!",F279="NEW"),"",INDEX(J$1:J278,SUMPRODUCT(MAX(ROW(E$1:E278)*(E279=E$1:E278)))))</f>
        <v/>
      </c>
      <c r="L279" s="25"/>
    </row>
    <row r="280" spans="1:12" x14ac:dyDescent="0.2">
      <c r="A280" t="s">
        <v>972</v>
      </c>
      <c r="B280" s="26" t="s">
        <v>819</v>
      </c>
      <c r="C280" s="26" t="s">
        <v>814</v>
      </c>
      <c r="E280" s="20" t="str">
        <f t="shared" si="32"/>
        <v/>
      </c>
      <c r="F280" s="21" t="str">
        <f>IF(OR(E280="",E280="!!!"),"",IF(NOT(ISNA(VLOOKUP(E280,E$1:E279,1,FALSE()))),"OLD",IF(AND(E280&lt;&gt;"",E280&lt;&gt;"!!!"),"NEW","")))</f>
        <v/>
      </c>
      <c r="G280" s="22" t="str">
        <f>IF(OR(E280="",E280="!!!"),"",IF(OR(J280=0,AND(J280=1,K280=1),AND(J280=1,I280="SBJ"),AND(J280=1,I280=0)),"?IN_FOCUS",IF(J280&lt;=2,"?ACTIVATED",IF(J280&lt;&gt;"","?FAMILIAR",IF(F280="NEW",IF(ISNA(VLOOKUP(E280,#REF!,1,FALSE())),"?TYPE_IDENTIFIABLE","?REFERENTIAL"),"_")))))</f>
        <v/>
      </c>
      <c r="H280" s="23" t="str">
        <f t="shared" ca="1" si="33"/>
        <v/>
      </c>
      <c r="I280" s="24" t="str">
        <f>IF(OR(E280="",E280="!!!",F280="NEW"),"",INDEX(B$2:B279,-1+SUMPRODUCT(MAX(ROW(E$2:E279)*(E280=E$2:E279)))))</f>
        <v/>
      </c>
      <c r="J280" s="24" t="str">
        <f ca="1">IF(OR(E280="",E280="!!!",F280="NEW"),"",COUNTBLANK(OFFSET(A$1,,,SUMPRODUCT(MAX(ROW(E$2:E280)*(E280=E$2:E280)))))-COUNTBLANK(OFFSET(A$1,,,SUMPRODUCT(MAX(ROW(E$1:E279)*(E2=E$1:E279))))))</f>
        <v/>
      </c>
      <c r="K280" s="24" t="str">
        <f>IF(OR(E280="",E280="!!!",F280="NEW"),"",INDEX(J$1:J279,SUMPRODUCT(MAX(ROW(E$1:E279)*(E280=E$1:E279)))))</f>
        <v/>
      </c>
      <c r="L280" s="25"/>
    </row>
    <row r="281" spans="1:12" x14ac:dyDescent="0.2">
      <c r="A281" t="s">
        <v>973</v>
      </c>
      <c r="E281" s="20" t="str">
        <f t="shared" si="32"/>
        <v/>
      </c>
      <c r="F281" s="21" t="str">
        <f>IF(OR(E281="",E281="!!!"),"",IF(NOT(ISNA(VLOOKUP(E281,E$1:E280,1,FALSE()))),"OLD",IF(AND(E281&lt;&gt;"",E281&lt;&gt;"!!!"),"NEW","")))</f>
        <v/>
      </c>
      <c r="G281" s="22" t="str">
        <f>IF(OR(E281="",E281="!!!"),"",IF(OR(J281=0,AND(J281=1,K281=1),AND(J281=1,I281="SBJ"),AND(J281=1,I281=0)),"?IN_FOCUS",IF(J281&lt;=2,"?ACTIVATED",IF(J281&lt;&gt;"","?FAMILIAR",IF(F281="NEW",IF(ISNA(VLOOKUP(E281,#REF!,1,FALSE())),"?TYPE_IDENTIFIABLE","?REFERENTIAL"),"_")))))</f>
        <v/>
      </c>
      <c r="H281" s="23" t="str">
        <f t="shared" ca="1" si="33"/>
        <v/>
      </c>
      <c r="I281" s="24" t="str">
        <f>IF(OR(E281="",E281="!!!",F281="NEW"),"",INDEX(B$2:B280,-1+SUMPRODUCT(MAX(ROW(E$2:E280)*(E281=E$2:E280)))))</f>
        <v/>
      </c>
      <c r="J281" s="24" t="str">
        <f ca="1">IF(OR(E281="",E281="!!!",F281="NEW"),"",COUNTBLANK(OFFSET(A$1,,,SUMPRODUCT(MAX(ROW(E$2:E281)*(E281=E$2:E281)))))-COUNTBLANK(OFFSET(A$1,,,SUMPRODUCT(MAX(ROW(E$1:E280)*(E2=E$1:E280))))))</f>
        <v/>
      </c>
      <c r="K281" s="24" t="str">
        <f>IF(OR(E281="",E281="!!!",F281="NEW"),"",INDEX(J$1:J280,SUMPRODUCT(MAX(ROW(E$1:E280)*(E281=E$1:E280)))))</f>
        <v/>
      </c>
      <c r="L281" s="25"/>
    </row>
    <row r="282" spans="1:12" x14ac:dyDescent="0.2">
      <c r="A282" t="s">
        <v>16</v>
      </c>
      <c r="E282" s="20" t="str">
        <f t="shared" si="32"/>
        <v/>
      </c>
      <c r="F282" s="21" t="str">
        <f>IF(OR(E282="",E282="!!!"),"",IF(NOT(ISNA(VLOOKUP(E282,E$1:E281,1,FALSE()))),"OLD",IF(AND(E282&lt;&gt;"",E282&lt;&gt;"!!!"),"NEW","")))</f>
        <v/>
      </c>
      <c r="G282" s="22" t="str">
        <f>IF(OR(E282="",E282="!!!"),"",IF(OR(J282=0,AND(J282=1,K282=1),AND(J282=1,I282="SBJ"),AND(J282=1,I282=0)),"?IN_FOCUS",IF(J282&lt;=2,"?ACTIVATED",IF(J282&lt;&gt;"","?FAMILIAR",IF(F282="NEW",IF(ISNA(VLOOKUP(E282,#REF!,1,FALSE())),"?TYPE_IDENTIFIABLE","?REFERENTIAL"),"_")))))</f>
        <v/>
      </c>
      <c r="H282" s="23" t="str">
        <f t="shared" ca="1" si="33"/>
        <v/>
      </c>
      <c r="I282" s="24" t="str">
        <f>IF(OR(E282="",E282="!!!",F282="NEW"),"",INDEX(B$2:B281,-1+SUMPRODUCT(MAX(ROW(E$2:E281)*(E282=E$2:E281)))))</f>
        <v/>
      </c>
      <c r="J282" s="24" t="str">
        <f ca="1">IF(OR(E282="",E282="!!!",F282="NEW"),"",COUNTBLANK(OFFSET(A$1,,,SUMPRODUCT(MAX(ROW(E$2:E282)*(E282=E$2:E282)))))-COUNTBLANK(OFFSET(A$1,,,SUMPRODUCT(MAX(ROW(E$1:E281)*(E2=E$1:E281))))))</f>
        <v/>
      </c>
      <c r="K282" s="24" t="str">
        <f>IF(OR(E282="",E282="!!!",F282="NEW"),"",INDEX(J$1:J281,SUMPRODUCT(MAX(ROW(E$1:E281)*(E282=E$1:E281)))))</f>
        <v/>
      </c>
      <c r="L282" s="25"/>
    </row>
    <row r="283" spans="1:12" x14ac:dyDescent="0.2">
      <c r="A283" t="s">
        <v>974</v>
      </c>
      <c r="B283" s="26" t="s">
        <v>891</v>
      </c>
      <c r="C283" s="26" t="s">
        <v>820</v>
      </c>
      <c r="D283" s="26" t="s">
        <v>806</v>
      </c>
      <c r="E283" s="20"/>
      <c r="F283" s="21" t="str">
        <f>IF(OR(E283="",E283="!!!"),"",IF(NOT(ISNA(VLOOKUP(E283,E$1:E282,1,FALSE()))),"OLD",IF(AND(E283&lt;&gt;"",E283&lt;&gt;"!!!"),"NEW","")))</f>
        <v/>
      </c>
      <c r="G283" s="22" t="str">
        <f>IF(OR(E283="",E283="!!!"),"",IF(OR(J283=0,AND(J283=1,K283=1),AND(J283=1,I283="SBJ"),AND(J283=1,I283=0)),"?IN_FOCUS",IF(J283&lt;=2,"?ACTIVATED",IF(J283&lt;&gt;"","?FAMILIAR",IF(F283="NEW",IF(ISNA(VLOOKUP(E283,#REF!,1,FALSE())),"?TYPE_IDENTIFIABLE","?REFERENTIAL"),"_")))))</f>
        <v/>
      </c>
      <c r="H283" s="23" t="str">
        <f t="shared" ca="1" si="33"/>
        <v/>
      </c>
      <c r="I283" s="24" t="str">
        <f>IF(OR(E283="",E283="!!!",F283="NEW"),"",INDEX(B$2:B282,-1+SUMPRODUCT(MAX(ROW(E$2:E282)*(E283=E$2:E282)))))</f>
        <v/>
      </c>
      <c r="J283" s="24" t="str">
        <f ca="1">IF(OR(E283="",E283="!!!",F283="NEW"),"",COUNTBLANK(OFFSET(A$1,,,SUMPRODUCT(MAX(ROW(E$2:E283)*(E283=E$2:E283)))))-COUNTBLANK(OFFSET(A$1,,,SUMPRODUCT(MAX(ROW(E$1:E282)*(E2=E$1:E282))))))</f>
        <v/>
      </c>
      <c r="K283" s="24" t="str">
        <f>IF(OR(E283="",E283="!!!",F283="NEW"),"",INDEX(J$1:J282,SUMPRODUCT(MAX(ROW(E$1:E282)*(E283=E$1:E282)))))</f>
        <v/>
      </c>
      <c r="L283" s="25"/>
    </row>
    <row r="284" spans="1:12" x14ac:dyDescent="0.2">
      <c r="A284" t="s">
        <v>812</v>
      </c>
      <c r="E284" s="20" t="str">
        <f t="shared" si="32"/>
        <v/>
      </c>
      <c r="F284" s="21" t="str">
        <f>IF(OR(E284="",E284="!!!"),"",IF(NOT(ISNA(VLOOKUP(E284,E$1:E283,1,FALSE()))),"OLD",IF(AND(E284&lt;&gt;"",E284&lt;&gt;"!!!"),"NEW","")))</f>
        <v/>
      </c>
      <c r="G284" s="22" t="str">
        <f>IF(OR(E284="",E284="!!!"),"",IF(OR(J284=0,AND(J284=1,K284=1),AND(J284=1,I284="SBJ"),AND(J284=1,I284=0)),"?IN_FOCUS",IF(J284&lt;=2,"?ACTIVATED",IF(J284&lt;&gt;"","?FAMILIAR",IF(F284="NEW",IF(ISNA(VLOOKUP(E284,#REF!,1,FALSE())),"?TYPE_IDENTIFIABLE","?REFERENTIAL"),"_")))))</f>
        <v/>
      </c>
      <c r="H284" s="23" t="str">
        <f t="shared" ca="1" si="33"/>
        <v/>
      </c>
      <c r="I284" s="24" t="str">
        <f>IF(OR(E284="",E284="!!!",F284="NEW"),"",INDEX(B$2:B283,-1+SUMPRODUCT(MAX(ROW(E$2:E283)*(E284=E$2:E283)))))</f>
        <v/>
      </c>
      <c r="J284" s="24" t="str">
        <f ca="1">IF(OR(E284="",E284="!!!",F284="NEW"),"",COUNTBLANK(OFFSET(A$1,,,SUMPRODUCT(MAX(ROW(E$2:E284)*(E284=E$2:E284)))))-COUNTBLANK(OFFSET(A$1,,,SUMPRODUCT(MAX(ROW(E$1:E283)*(E2=E$1:E283))))))</f>
        <v/>
      </c>
      <c r="K284" s="24" t="str">
        <f>IF(OR(E284="",E284="!!!",F284="NEW"),"",INDEX(J$1:J283,SUMPRODUCT(MAX(ROW(E$1:E283)*(E284=E$1:E283)))))</f>
        <v/>
      </c>
      <c r="L284" s="25"/>
    </row>
    <row r="285" spans="1:12" x14ac:dyDescent="0.2">
      <c r="A285" t="s">
        <v>975</v>
      </c>
      <c r="B285" s="26" t="s">
        <v>899</v>
      </c>
      <c r="C285" s="26" t="s">
        <v>805</v>
      </c>
      <c r="D285" s="26" t="s">
        <v>806</v>
      </c>
      <c r="E285" s="20" t="s">
        <v>961</v>
      </c>
      <c r="F285" s="21" t="str">
        <f>IF(OR(E285="",E285="!!!"),"",IF(NOT(ISNA(VLOOKUP(E285,E$1:E284,1,FALSE()))),"OLD",IF(AND(E285&lt;&gt;"",E285&lt;&gt;"!!!"),"NEW","")))</f>
        <v>OLD</v>
      </c>
      <c r="G285" s="22" t="s">
        <v>1823</v>
      </c>
      <c r="H285" s="23" t="str">
        <f t="shared" ca="1" si="33"/>
        <v/>
      </c>
      <c r="I285" s="24" t="str">
        <f>IF(OR(E285="",E285="!!!",F285="NEW"),"",INDEX(B$2:B284,-1+SUMPRODUCT(MAX(ROW(E$2:E284)*(E285=E$2:E284)))))</f>
        <v>other_2</v>
      </c>
      <c r="J285" s="24">
        <f ca="1">IF(OR(E285="",E285="!!!",F285="NEW"),"",COUNTBLANK(OFFSET(A$1,,,SUMPRODUCT(MAX(ROW(E$2:E285)*(E285=E$2:E285)))))-COUNTBLANK(OFFSET(A$1,,,SUMPRODUCT(MAX(ROW(E$1:E284)*(E2=E$1:E284))))))</f>
        <v>0</v>
      </c>
      <c r="K285" s="24">
        <f ca="1">IF(OR(E285="",E285="!!!",F285="NEW"),"",INDEX(J$1:J284,SUMPRODUCT(MAX(ROW(E$1:E284)*(E285=E$1:E284)))))</f>
        <v>0</v>
      </c>
      <c r="L285" s="25"/>
    </row>
    <row r="286" spans="1:12" x14ac:dyDescent="0.2">
      <c r="A286" t="s">
        <v>309</v>
      </c>
      <c r="E286" s="20" t="str">
        <f t="shared" si="32"/>
        <v/>
      </c>
      <c r="F286" s="21" t="str">
        <f>IF(OR(E286="",E286="!!!"),"",IF(NOT(ISNA(VLOOKUP(E286,E$1:E285,1,FALSE()))),"OLD",IF(AND(E286&lt;&gt;"",E286&lt;&gt;"!!!"),"NEW","")))</f>
        <v/>
      </c>
      <c r="G286" s="22" t="str">
        <f>IF(OR(E286="",E286="!!!"),"",IF(OR(J286=0,AND(J286=1,K286=1),AND(J286=1,I286="SBJ"),AND(J286=1,I286=0)),"?IN_FOCUS",IF(J286&lt;=2,"?ACTIVATED",IF(J286&lt;&gt;"","?FAMILIAR",IF(F286="NEW",IF(ISNA(VLOOKUP(E286,#REF!,1,FALSE())),"?TYPE_IDENTIFIABLE","?REFERENTIAL"),"_")))))</f>
        <v/>
      </c>
      <c r="H286" s="23" t="str">
        <f t="shared" ca="1" si="33"/>
        <v/>
      </c>
      <c r="I286" s="24" t="str">
        <f>IF(OR(E286="",E286="!!!",F286="NEW"),"",INDEX(B$2:B285,-1+SUMPRODUCT(MAX(ROW(E$2:E285)*(E286=E$2:E285)))))</f>
        <v/>
      </c>
      <c r="J286" s="24" t="str">
        <f ca="1">IF(OR(E286="",E286="!!!",F286="NEW"),"",COUNTBLANK(OFFSET(A$1,,,SUMPRODUCT(MAX(ROW(E$2:E286)*(E286=E$2:E286)))))-COUNTBLANK(OFFSET(A$1,,,SUMPRODUCT(MAX(ROW(E$1:E285)*(E2=E$1:E285))))))</f>
        <v/>
      </c>
      <c r="K286" s="24" t="str">
        <f>IF(OR(E286="",E286="!!!",F286="NEW"),"",INDEX(J$1:J285,SUMPRODUCT(MAX(ROW(E$1:E285)*(E286=E$1:E285)))))</f>
        <v/>
      </c>
      <c r="L286" s="25"/>
    </row>
    <row r="287" spans="1:12" x14ac:dyDescent="0.2">
      <c r="A287" t="s">
        <v>976</v>
      </c>
      <c r="E287" s="20" t="str">
        <f t="shared" si="32"/>
        <v/>
      </c>
      <c r="F287" s="21" t="str">
        <f>IF(OR(E287="",E287="!!!"),"",IF(NOT(ISNA(VLOOKUP(E287,E$1:E286,1,FALSE()))),"OLD",IF(AND(E287&lt;&gt;"",E287&lt;&gt;"!!!"),"NEW","")))</f>
        <v/>
      </c>
      <c r="G287" s="22" t="str">
        <f>IF(OR(E287="",E287="!!!"),"",IF(OR(J287=0,AND(J287=1,K287=1),AND(J287=1,I287="SBJ"),AND(J287=1,I287=0)),"?IN_FOCUS",IF(J287&lt;=2,"?ACTIVATED",IF(J287&lt;&gt;"","?FAMILIAR",IF(F287="NEW",IF(ISNA(VLOOKUP(E287,#REF!,1,FALSE())),"?TYPE_IDENTIFIABLE","?REFERENTIAL"),"_")))))</f>
        <v/>
      </c>
      <c r="H287" s="23" t="str">
        <f t="shared" ca="1" si="33"/>
        <v/>
      </c>
      <c r="I287" s="24" t="str">
        <f>IF(OR(E287="",E287="!!!",F287="NEW"),"",INDEX(B$2:B286,-1+SUMPRODUCT(MAX(ROW(E$2:E286)*(E287=E$2:E286)))))</f>
        <v/>
      </c>
      <c r="J287" s="24" t="str">
        <f ca="1">IF(OR(E287="",E287="!!!",F287="NEW"),"",COUNTBLANK(OFFSET(A$1,,,SUMPRODUCT(MAX(ROW(E$2:E287)*(E287=E$2:E287)))))-COUNTBLANK(OFFSET(A$1,,,SUMPRODUCT(MAX(ROW(E$1:E286)*(E2=E$1:E286))))))</f>
        <v/>
      </c>
      <c r="K287" s="24" t="str">
        <f>IF(OR(E287="",E287="!!!",F287="NEW"),"",INDEX(J$1:J286,SUMPRODUCT(MAX(ROW(E$1:E286)*(E287=E$1:E286)))))</f>
        <v/>
      </c>
      <c r="L287" s="25"/>
    </row>
    <row r="288" spans="1:12" x14ac:dyDescent="0.2">
      <c r="A288" t="s">
        <v>16</v>
      </c>
      <c r="E288" s="20" t="str">
        <f t="shared" si="32"/>
        <v/>
      </c>
      <c r="F288" s="21" t="str">
        <f>IF(OR(E288="",E288="!!!"),"",IF(NOT(ISNA(VLOOKUP(E288,E$1:E287,1,FALSE()))),"OLD",IF(AND(E288&lt;&gt;"",E288&lt;&gt;"!!!"),"NEW","")))</f>
        <v/>
      </c>
      <c r="G288" s="22" t="str">
        <f>IF(OR(E288="",E288="!!!"),"",IF(OR(J288=0,AND(J288=1,K288=1),AND(J288=1,I288="SBJ"),AND(J288=1,I288=0)),"?IN_FOCUS",IF(J288&lt;=2,"?ACTIVATED",IF(J288&lt;&gt;"","?FAMILIAR",IF(F288="NEW",IF(ISNA(VLOOKUP(E288,#REF!,1,FALSE())),"?TYPE_IDENTIFIABLE","?REFERENTIAL"),"_")))))</f>
        <v/>
      </c>
      <c r="H288" s="23" t="str">
        <f t="shared" ca="1" si="33"/>
        <v/>
      </c>
      <c r="I288" s="24" t="str">
        <f>IF(OR(E288="",E288="!!!",F288="NEW"),"",INDEX(B$2:B287,-1+SUMPRODUCT(MAX(ROW(E$2:E287)*(E288=E$2:E287)))))</f>
        <v/>
      </c>
      <c r="J288" s="24" t="str">
        <f ca="1">IF(OR(E288="",E288="!!!",F288="NEW"),"",COUNTBLANK(OFFSET(A$1,,,SUMPRODUCT(MAX(ROW(E$2:E288)*(E288=E$2:E288)))))-COUNTBLANK(OFFSET(A$1,,,SUMPRODUCT(MAX(ROW(E$1:E287)*(E2=E$1:E287))))))</f>
        <v/>
      </c>
      <c r="K288" s="24" t="str">
        <f>IF(OR(E288="",E288="!!!",F288="NEW"),"",INDEX(J$1:J287,SUMPRODUCT(MAX(ROW(E$1:E287)*(E288=E$1:E287)))))</f>
        <v/>
      </c>
      <c r="L288" s="25"/>
    </row>
    <row r="289" spans="1:12" x14ac:dyDescent="0.2">
      <c r="A289" t="s">
        <v>888</v>
      </c>
      <c r="E289" s="20" t="str">
        <f t="shared" si="32"/>
        <v/>
      </c>
      <c r="F289" s="21" t="str">
        <f>IF(OR(E289="",E289="!!!"),"",IF(NOT(ISNA(VLOOKUP(E289,E$1:E288,1,FALSE()))),"OLD",IF(AND(E289&lt;&gt;"",E289&lt;&gt;"!!!"),"NEW","")))</f>
        <v/>
      </c>
      <c r="G289" s="22" t="str">
        <f>IF(OR(E289="",E289="!!!"),"",IF(OR(J289=0,AND(J289=1,K289=1),AND(J289=1,I289="SBJ"),AND(J289=1,I289=0)),"?IN_FOCUS",IF(J289&lt;=2,"?ACTIVATED",IF(J289&lt;&gt;"","?FAMILIAR",IF(F289="NEW",IF(ISNA(VLOOKUP(E289,#REF!,1,FALSE())),"?TYPE_IDENTIFIABLE","?REFERENTIAL"),"_")))))</f>
        <v/>
      </c>
      <c r="H289" s="23" t="str">
        <f t="shared" ca="1" si="33"/>
        <v/>
      </c>
      <c r="I289" s="24" t="str">
        <f>IF(OR(E289="",E289="!!!",F289="NEW"),"",INDEX(B$2:B288,-1+SUMPRODUCT(MAX(ROW(E$2:E288)*(E289=E$2:E288)))))</f>
        <v/>
      </c>
      <c r="J289" s="24" t="str">
        <f ca="1">IF(OR(E289="",E289="!!!",F289="NEW"),"",COUNTBLANK(OFFSET(A$1,,,SUMPRODUCT(MAX(ROW(E$2:E289)*(E289=E$2:E289)))))-COUNTBLANK(OFFSET(A$1,,,SUMPRODUCT(MAX(ROW(E$1:E288)*(E2=E$1:E288))))))</f>
        <v/>
      </c>
      <c r="K289" s="24" t="str">
        <f>IF(OR(E289="",E289="!!!",F289="NEW"),"",INDEX(J$1:J288,SUMPRODUCT(MAX(ROW(E$1:E288)*(E289=E$1:E288)))))</f>
        <v/>
      </c>
      <c r="L289" s="25"/>
    </row>
    <row r="290" spans="1:12" x14ac:dyDescent="0.2">
      <c r="A290" t="s">
        <v>949</v>
      </c>
      <c r="B290" s="26" t="s">
        <v>950</v>
      </c>
      <c r="C290" s="26" t="s">
        <v>805</v>
      </c>
      <c r="D290" s="26" t="s">
        <v>806</v>
      </c>
      <c r="E290" s="20" t="s">
        <v>961</v>
      </c>
      <c r="F290" s="21" t="str">
        <f>IF(OR(E290="",E290="!!!"),"",IF(NOT(ISNA(VLOOKUP(E290,E$1:E289,1,FALSE()))),"OLD",IF(AND(E290&lt;&gt;"",E290&lt;&gt;"!!!"),"NEW","")))</f>
        <v>OLD</v>
      </c>
      <c r="G290" s="22" t="s">
        <v>1823</v>
      </c>
      <c r="H290" s="23" t="str">
        <f t="shared" ca="1" si="33"/>
        <v/>
      </c>
      <c r="I290" s="24" t="str">
        <f>IF(OR(E290="",E290="!!!",F290="NEW"),"",INDEX(B$2:B289,-1+SUMPRODUCT(MAX(ROW(E$2:E289)*(E290=E$2:E289)))))</f>
        <v>other_4</v>
      </c>
      <c r="J290" s="24">
        <f ca="1">IF(OR(E290="",E290="!!!",F290="NEW"),"",COUNTBLANK(OFFSET(A$1,,,SUMPRODUCT(MAX(ROW(E$2:E290)*(E290=E$2:E290)))))-COUNTBLANK(OFFSET(A$1,,,SUMPRODUCT(MAX(ROW(E$1:E289)*(E2=E$1:E289))))))</f>
        <v>0</v>
      </c>
      <c r="K290" s="24">
        <f ca="1">IF(OR(E290="",E290="!!!",F290="NEW"),"",INDEX(J$1:J289,SUMPRODUCT(MAX(ROW(E$1:E289)*(E290=E$1:E289)))))</f>
        <v>0</v>
      </c>
      <c r="L290" s="25"/>
    </row>
    <row r="291" spans="1:12" x14ac:dyDescent="0.2">
      <c r="A291" t="s">
        <v>977</v>
      </c>
      <c r="E291" s="20" t="str">
        <f t="shared" si="32"/>
        <v/>
      </c>
      <c r="F291" s="21" t="str">
        <f>IF(OR(E291="",E291="!!!"),"",IF(NOT(ISNA(VLOOKUP(E291,E$1:E290,1,FALSE()))),"OLD",IF(AND(E291&lt;&gt;"",E291&lt;&gt;"!!!"),"NEW","")))</f>
        <v/>
      </c>
      <c r="G291" s="22" t="str">
        <f>IF(OR(E291="",E291="!!!"),"",IF(OR(J291=0,AND(J291=1,K291=1),AND(J291=1,I291="SBJ"),AND(J291=1,I291=0)),"?IN_FOCUS",IF(J291&lt;=2,"?ACTIVATED",IF(J291&lt;&gt;"","?FAMILIAR",IF(F291="NEW",IF(ISNA(VLOOKUP(E291,#REF!,1,FALSE())),"?TYPE_IDENTIFIABLE","?REFERENTIAL"),"_")))))</f>
        <v/>
      </c>
      <c r="H291" s="23" t="str">
        <f t="shared" ca="1" si="33"/>
        <v/>
      </c>
      <c r="I291" s="24" t="str">
        <f>IF(OR(E291="",E291="!!!",F291="NEW"),"",INDEX(B$2:B290,-1+SUMPRODUCT(MAX(ROW(E$2:E290)*(E291=E$2:E290)))))</f>
        <v/>
      </c>
      <c r="J291" s="24" t="str">
        <f ca="1">IF(OR(E291="",E291="!!!",F291="NEW"),"",COUNTBLANK(OFFSET(A$1,,,SUMPRODUCT(MAX(ROW(E$2:E291)*(E291=E$2:E291)))))-COUNTBLANK(OFFSET(A$1,,,SUMPRODUCT(MAX(ROW(E$1:E290)*(E2=E$1:E290))))))</f>
        <v/>
      </c>
      <c r="K291" s="24" t="str">
        <f>IF(OR(E291="",E291="!!!",F291="NEW"),"",INDEX(J$1:J290,SUMPRODUCT(MAX(ROW(E$1:E290)*(E291=E$1:E290)))))</f>
        <v/>
      </c>
      <c r="L291" s="25"/>
    </row>
    <row r="292" spans="1:12" x14ac:dyDescent="0.2">
      <c r="A292" t="s">
        <v>978</v>
      </c>
      <c r="E292" s="20" t="str">
        <f t="shared" si="32"/>
        <v/>
      </c>
      <c r="F292" s="21" t="str">
        <f>IF(OR(E292="",E292="!!!"),"",IF(NOT(ISNA(VLOOKUP(E292,E$1:E291,1,FALSE()))),"OLD",IF(AND(E292&lt;&gt;"",E292&lt;&gt;"!!!"),"NEW","")))</f>
        <v/>
      </c>
      <c r="G292" s="22" t="str">
        <f>IF(OR(E292="",E292="!!!"),"",IF(OR(J292=0,AND(J292=1,K292=1),AND(J292=1,I292="SBJ"),AND(J292=1,I292=0)),"?IN_FOCUS",IF(J292&lt;=2,"?ACTIVATED",IF(J292&lt;&gt;"","?FAMILIAR",IF(F292="NEW",IF(ISNA(VLOOKUP(E292,#REF!,1,FALSE())),"?TYPE_IDENTIFIABLE","?REFERENTIAL"),"_")))))</f>
        <v/>
      </c>
      <c r="H292" s="23" t="str">
        <f t="shared" ca="1" si="33"/>
        <v/>
      </c>
      <c r="I292" s="24" t="str">
        <f>IF(OR(E292="",E292="!!!",F292="NEW"),"",INDEX(B$2:B291,-1+SUMPRODUCT(MAX(ROW(E$2:E291)*(E292=E$2:E291)))))</f>
        <v/>
      </c>
      <c r="J292" s="24" t="str">
        <f ca="1">IF(OR(E292="",E292="!!!",F292="NEW"),"",COUNTBLANK(OFFSET(A$1,,,SUMPRODUCT(MAX(ROW(E$2:E292)*(E292=E$2:E292)))))-COUNTBLANK(OFFSET(A$1,,,SUMPRODUCT(MAX(ROW(E$1:E291)*(E2=E$1:E291))))))</f>
        <v/>
      </c>
      <c r="K292" s="24" t="str">
        <f>IF(OR(E292="",E292="!!!",F292="NEW"),"",INDEX(J$1:J291,SUMPRODUCT(MAX(ROW(E$1:E291)*(E292=E$1:E291)))))</f>
        <v/>
      </c>
      <c r="L292" s="25"/>
    </row>
    <row r="293" spans="1:12" x14ac:dyDescent="0.2">
      <c r="A293" t="s">
        <v>821</v>
      </c>
      <c r="E293" s="20" t="str">
        <f t="shared" si="32"/>
        <v/>
      </c>
      <c r="F293" s="21"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t="shared" ca="1" si="33"/>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5"/>
    </row>
    <row r="295" spans="1:12" x14ac:dyDescent="0.2">
      <c r="A295" t="s">
        <v>979</v>
      </c>
    </row>
    <row r="296" spans="1:12" x14ac:dyDescent="0.2">
      <c r="A296" t="s">
        <v>980</v>
      </c>
      <c r="E296" s="20" t="str">
        <f t="shared" ref="E296:E302" si="34">IF(D296="?OLD","!!!","")</f>
        <v/>
      </c>
      <c r="F296" s="21" t="str">
        <f>IF(OR(E296="",E296="!!!"),"",IF(NOT(ISNA(VLOOKUP(E296,E$1:E295,1,FALSE()))),"OLD",IF(AND(E296&lt;&gt;"",E296&lt;&gt;"!!!"),"NEW","")))</f>
        <v/>
      </c>
      <c r="G296" s="22" t="str">
        <f>IF(OR(E296="",E296="!!!"),"",IF(OR(J296=0,AND(J296=1,K296=1),AND(J296=1,I296="SBJ"),AND(J296=1,I296=0)),"?IN_FOCUS",IF(J296&lt;=2,"?ACTIVATED",IF(J296&lt;&gt;"","?FAMILIAR",IF(F296="NEW",IF(ISNA(VLOOKUP(E296,#REF!,1,FALSE())),"?TYPE_IDENTIFIABLE","?REFERENTIAL"),"_")))))</f>
        <v/>
      </c>
      <c r="H296" s="23" t="str">
        <f t="shared" ref="H296:H302" ca="1" si="35">IF(J296&lt;&gt;1,"",IF(I296="SBJ","CB","?"))</f>
        <v/>
      </c>
      <c r="I296" s="24" t="str">
        <f>IF(OR(E296="",E296="!!!",F296="NEW"),"",INDEX(B$2:B295,-1+SUMPRODUCT(MAX(ROW(E$2:E295)*(E296=E$2:E295)))))</f>
        <v/>
      </c>
      <c r="J296" s="24" t="str">
        <f ca="1">IF(OR(E296="",E296="!!!",F296="NEW"),"",COUNTBLANK(OFFSET(A$1,,,SUMPRODUCT(MAX(ROW(E$2:E296)*(E296=E$2:E296)))))-COUNTBLANK(OFFSET(A$1,,,SUMPRODUCT(MAX(ROW(E$1:E295)*(E2=E$1:E295))))))</f>
        <v/>
      </c>
      <c r="K296" s="24" t="str">
        <f>IF(OR(E296="",E296="!!!",F296="NEW"),"",INDEX(J$1:J295,SUMPRODUCT(MAX(ROW(E$1:E295)*(E296=E$1:E295)))))</f>
        <v/>
      </c>
      <c r="L296" s="25"/>
    </row>
    <row r="297" spans="1:12" x14ac:dyDescent="0.2">
      <c r="A297" t="s">
        <v>74</v>
      </c>
      <c r="B297" s="26" t="s">
        <v>810</v>
      </c>
      <c r="C297" s="26" t="s">
        <v>814</v>
      </c>
      <c r="E297" s="20" t="str">
        <f t="shared" si="34"/>
        <v/>
      </c>
      <c r="F297" s="21" t="str">
        <f>IF(OR(E297="",E297="!!!"),"",IF(NOT(ISNA(VLOOKUP(E297,E$1:E296,1,FALSE()))),"OLD",IF(AND(E297&lt;&gt;"",E297&lt;&gt;"!!!"),"NEW","")))</f>
        <v/>
      </c>
      <c r="G297" s="22" t="str">
        <f>IF(OR(E297="",E297="!!!"),"",IF(OR(J297=0,AND(J297=1,K297=1),AND(J297=1,I297="SBJ"),AND(J297=1,I297=0)),"?IN_FOCUS",IF(J297&lt;=2,"?ACTIVATED",IF(J297&lt;&gt;"","?FAMILIAR",IF(F297="NEW",IF(ISNA(VLOOKUP(E297,#REF!,1,FALSE())),"?TYPE_IDENTIFIABLE","?REFERENTIAL"),"_")))))</f>
        <v/>
      </c>
      <c r="H297" s="23" t="str">
        <f t="shared" ca="1" si="35"/>
        <v/>
      </c>
      <c r="I297" s="24" t="str">
        <f>IF(OR(E297="",E297="!!!",F297="NEW"),"",INDEX(B$2:B296,-1+SUMPRODUCT(MAX(ROW(E$2:E296)*(E297=E$2:E296)))))</f>
        <v/>
      </c>
      <c r="J297" s="24" t="str">
        <f ca="1">IF(OR(E297="",E297="!!!",F297="NEW"),"",COUNTBLANK(OFFSET(A$1,,,SUMPRODUCT(MAX(ROW(E$2:E297)*(E297=E$2:E297)))))-COUNTBLANK(OFFSET(A$1,,,SUMPRODUCT(MAX(ROW(E$1:E296)*(E2=E$1:E296))))))</f>
        <v/>
      </c>
      <c r="K297" s="24" t="str">
        <f>IF(OR(E297="",E297="!!!",F297="NEW"),"",INDEX(J$1:J296,SUMPRODUCT(MAX(ROW(E$1:E296)*(E297=E$1:E296)))))</f>
        <v/>
      </c>
      <c r="L297" s="25"/>
    </row>
    <row r="298" spans="1:12" x14ac:dyDescent="0.2">
      <c r="A298" t="s">
        <v>802</v>
      </c>
      <c r="E298" s="20" t="str">
        <f t="shared" si="34"/>
        <v/>
      </c>
      <c r="F298" s="21" t="str">
        <f>IF(OR(E298="",E298="!!!"),"",IF(NOT(ISNA(VLOOKUP(E298,E$1:E297,1,FALSE()))),"OLD",IF(AND(E298&lt;&gt;"",E298&lt;&gt;"!!!"),"NEW","")))</f>
        <v/>
      </c>
      <c r="G298" s="22" t="str">
        <f>IF(OR(E298="",E298="!!!"),"",IF(OR(J298=0,AND(J298=1,K298=1),AND(J298=1,I298="SBJ"),AND(J298=1,I298=0)),"?IN_FOCUS",IF(J298&lt;=2,"?ACTIVATED",IF(J298&lt;&gt;"","?FAMILIAR",IF(F298="NEW",IF(ISNA(VLOOKUP(E298,#REF!,1,FALSE())),"?TYPE_IDENTIFIABLE","?REFERENTIAL"),"_")))))</f>
        <v/>
      </c>
      <c r="H298" s="23" t="str">
        <f t="shared" ca="1" si="35"/>
        <v/>
      </c>
      <c r="I298" s="24" t="str">
        <f>IF(OR(E298="",E298="!!!",F298="NEW"),"",INDEX(B$2:B297,-1+SUMPRODUCT(MAX(ROW(E$2:E297)*(E298=E$2:E297)))))</f>
        <v/>
      </c>
      <c r="J298" s="24" t="str">
        <f ca="1">IF(OR(E298="",E298="!!!",F298="NEW"),"",COUNTBLANK(OFFSET(A$1,,,SUMPRODUCT(MAX(ROW(E$2:E298)*(E298=E$2:E298)))))-COUNTBLANK(OFFSET(A$1,,,SUMPRODUCT(MAX(ROW(E$1:E297)*(E2=E$1:E297))))))</f>
        <v/>
      </c>
      <c r="K298" s="24" t="str">
        <f>IF(OR(E298="",E298="!!!",F298="NEW"),"",INDEX(J$1:J297,SUMPRODUCT(MAX(ROW(E$1:E297)*(E298=E$1:E297)))))</f>
        <v/>
      </c>
      <c r="L298" s="25"/>
    </row>
    <row r="299" spans="1:12" x14ac:dyDescent="0.2">
      <c r="A299" t="s">
        <v>809</v>
      </c>
      <c r="E299" s="20" t="str">
        <f t="shared" si="34"/>
        <v/>
      </c>
      <c r="F299" s="21" t="str">
        <f>IF(OR(E299="",E299="!!!"),"",IF(NOT(ISNA(VLOOKUP(E299,E$1:E298,1,FALSE()))),"OLD",IF(AND(E299&lt;&gt;"",E299&lt;&gt;"!!!"),"NEW","")))</f>
        <v/>
      </c>
      <c r="G299" s="22" t="str">
        <f>IF(OR(E299="",E299="!!!"),"",IF(OR(J299=0,AND(J299=1,K299=1),AND(J299=1,I299="SBJ"),AND(J299=1,I299=0)),"?IN_FOCUS",IF(J299&lt;=2,"?ACTIVATED",IF(J299&lt;&gt;"","?FAMILIAR",IF(F299="NEW",IF(ISNA(VLOOKUP(E299,#REF!,1,FALSE())),"?TYPE_IDENTIFIABLE","?REFERENTIAL"),"_")))))</f>
        <v/>
      </c>
      <c r="H299" s="23" t="str">
        <f t="shared" ca="1" si="35"/>
        <v/>
      </c>
      <c r="I299" s="24" t="str">
        <f>IF(OR(E299="",E299="!!!",F299="NEW"),"",INDEX(B$2:B298,-1+SUMPRODUCT(MAX(ROW(E$2:E298)*(E299=E$2:E298)))))</f>
        <v/>
      </c>
      <c r="J299" s="24" t="str">
        <f ca="1">IF(OR(E299="",E299="!!!",F299="NEW"),"",COUNTBLANK(OFFSET(A$1,,,SUMPRODUCT(MAX(ROW(E$2:E299)*(E299=E$2:E299)))))-COUNTBLANK(OFFSET(A$1,,,SUMPRODUCT(MAX(ROW(E$1:E298)*(E2=E$1:E298))))))</f>
        <v/>
      </c>
      <c r="K299" s="24" t="str">
        <f>IF(OR(E299="",E299="!!!",F299="NEW"),"",INDEX(J$1:J298,SUMPRODUCT(MAX(ROW(E$1:E298)*(E299=E$1:E298)))))</f>
        <v/>
      </c>
      <c r="L299" s="25"/>
    </row>
    <row r="300" spans="1:12" x14ac:dyDescent="0.2">
      <c r="A300" t="s">
        <v>981</v>
      </c>
      <c r="E300" s="20" t="str">
        <f t="shared" si="34"/>
        <v/>
      </c>
      <c r="F300" s="21" t="str">
        <f>IF(OR(E300="",E300="!!!"),"",IF(NOT(ISNA(VLOOKUP(E300,E$1:E299,1,FALSE()))),"OLD",IF(AND(E300&lt;&gt;"",E300&lt;&gt;"!!!"),"NEW","")))</f>
        <v/>
      </c>
      <c r="G300" s="22" t="str">
        <f>IF(OR(E300="",E300="!!!"),"",IF(OR(J300=0,AND(J300=1,K300=1),AND(J300=1,I300="SBJ"),AND(J300=1,I300=0)),"?IN_FOCUS",IF(J300&lt;=2,"?ACTIVATED",IF(J300&lt;&gt;"","?FAMILIAR",IF(F300="NEW",IF(ISNA(VLOOKUP(E300,#REF!,1,FALSE())),"?TYPE_IDENTIFIABLE","?REFERENTIAL"),"_")))))</f>
        <v/>
      </c>
      <c r="H300" s="23" t="str">
        <f t="shared" ca="1" si="35"/>
        <v/>
      </c>
      <c r="I300" s="24" t="str">
        <f>IF(OR(E300="",E300="!!!",F300="NEW"),"",INDEX(B$2:B299,-1+SUMPRODUCT(MAX(ROW(E$2:E299)*(E300=E$2:E299)))))</f>
        <v/>
      </c>
      <c r="J300" s="24" t="str">
        <f ca="1">IF(OR(E300="",E300="!!!",F300="NEW"),"",COUNTBLANK(OFFSET(A$1,,,SUMPRODUCT(MAX(ROW(E$2:E300)*(E300=E$2:E300)))))-COUNTBLANK(OFFSET(A$1,,,SUMPRODUCT(MAX(ROW(E$1:E299)*(E2=E$1:E299))))))</f>
        <v/>
      </c>
      <c r="K300" s="24" t="str">
        <f>IF(OR(E300="",E300="!!!",F300="NEW"),"",INDEX(J$1:J299,SUMPRODUCT(MAX(ROW(E$1:E299)*(E300=E$1:E299)))))</f>
        <v/>
      </c>
      <c r="L300" s="25"/>
    </row>
    <row r="301" spans="1:12" x14ac:dyDescent="0.2">
      <c r="A301" t="s">
        <v>982</v>
      </c>
      <c r="B301" s="26" t="s">
        <v>819</v>
      </c>
      <c r="C301" s="26" t="s">
        <v>811</v>
      </c>
      <c r="E301" s="20" t="str">
        <f t="shared" si="34"/>
        <v/>
      </c>
      <c r="F301" s="21" t="str">
        <f>IF(OR(E301="",E301="!!!"),"",IF(NOT(ISNA(VLOOKUP(E301,E$1:E300,1,FALSE()))),"OLD",IF(AND(E301&lt;&gt;"",E301&lt;&gt;"!!!"),"NEW","")))</f>
        <v/>
      </c>
      <c r="G301" s="22" t="str">
        <f>IF(OR(E301="",E301="!!!"),"",IF(OR(J301=0,AND(J301=1,K301=1),AND(J301=1,I301="SBJ"),AND(J301=1,I301=0)),"?IN_FOCUS",IF(J301&lt;=2,"?ACTIVATED",IF(J301&lt;&gt;"","?FAMILIAR",IF(F301="NEW",IF(ISNA(VLOOKUP(E301,#REF!,1,FALSE())),"?TYPE_IDENTIFIABLE","?REFERENTIAL"),"_")))))</f>
        <v/>
      </c>
      <c r="H301" s="23" t="str">
        <f t="shared" ca="1" si="35"/>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5"/>
    </row>
    <row r="302" spans="1:12" x14ac:dyDescent="0.2">
      <c r="A302" t="s">
        <v>821</v>
      </c>
      <c r="E302" s="20" t="str">
        <f t="shared" si="34"/>
        <v/>
      </c>
      <c r="F302" s="21" t="str">
        <f>IF(OR(E302="",E302="!!!"),"",IF(NOT(ISNA(VLOOKUP(E302,E$1:E301,1,FALSE()))),"OLD",IF(AND(E302&lt;&gt;"",E302&lt;&gt;"!!!"),"NEW","")))</f>
        <v/>
      </c>
      <c r="G302" s="22" t="str">
        <f>IF(OR(E302="",E302="!!!"),"",IF(OR(J302=0,AND(J302=1,K302=1),AND(J302=1,I302="SBJ"),AND(J302=1,I302=0)),"?IN_FOCUS",IF(J302&lt;=2,"?ACTIVATED",IF(J302&lt;&gt;"","?FAMILIAR",IF(F302="NEW",IF(ISNA(VLOOKUP(E302,#REF!,1,FALSE())),"?TYPE_IDENTIFIABLE","?REFERENTIAL"),"_")))))</f>
        <v/>
      </c>
      <c r="H302" s="23" t="str">
        <f t="shared" ca="1" si="35"/>
        <v/>
      </c>
      <c r="I302" s="24" t="str">
        <f>IF(OR(E302="",E302="!!!",F302="NEW"),"",INDEX(B$2:B301,-1+SUMPRODUCT(MAX(ROW(E$2:E301)*(E302=E$2:E301)))))</f>
        <v/>
      </c>
      <c r="J302" s="24" t="str">
        <f ca="1">IF(OR(E302="",E302="!!!",F302="NEW"),"",COUNTBLANK(OFFSET(A$1,,,SUMPRODUCT(MAX(ROW(E$2:E302)*(E302=E$2:E302)))))-COUNTBLANK(OFFSET(A$1,,,SUMPRODUCT(MAX(ROW(E$1:E301)*(E2=E$1:E301))))))</f>
        <v/>
      </c>
      <c r="K302" s="24" t="str">
        <f>IF(OR(E302="",E302="!!!",F302="NEW"),"",INDEX(J$1:J301,SUMPRODUCT(MAX(ROW(E$1:E301)*(E302=E$1:E301)))))</f>
        <v/>
      </c>
      <c r="L302" s="25"/>
    </row>
    <row r="304" spans="1:12" x14ac:dyDescent="0.2">
      <c r="A304" t="s">
        <v>983</v>
      </c>
    </row>
    <row r="305" spans="1:12" x14ac:dyDescent="0.2">
      <c r="A305" t="s">
        <v>837</v>
      </c>
      <c r="B305" s="26" t="s">
        <v>804</v>
      </c>
      <c r="C305" s="26" t="s">
        <v>805</v>
      </c>
      <c r="D305" s="26" t="s">
        <v>806</v>
      </c>
      <c r="E305" s="20" t="s">
        <v>74</v>
      </c>
      <c r="F305" s="21" t="str">
        <f>IF(OR(E305="",E305="!!!"),"",IF(NOT(ISNA(VLOOKUP(E305,E$1:E304,1,FALSE()))),"OLD",IF(AND(E305&lt;&gt;"",E305&lt;&gt;"!!!"),"NEW","")))</f>
        <v>OLD</v>
      </c>
      <c r="G305" s="22" t="s">
        <v>1823</v>
      </c>
      <c r="H305" s="23" t="str">
        <f t="shared" ref="H305:H316" ca="1" si="36">IF(J305&lt;&gt;1,"",IF(I305="SBJ","CB","?"))</f>
        <v/>
      </c>
      <c r="I305" s="24" t="str">
        <f>IF(OR(E305="",E305="!!!",F305="NEW"),"",INDEX(B$2:B304,-1+SUMPRODUCT(MAX(ROW(E$2:E304)*(E305=E$2:E304)))))</f>
        <v>other</v>
      </c>
      <c r="J305" s="24">
        <f ca="1">IF(OR(E305="",E305="!!!",F305="NEW"),"",COUNTBLANK(OFFSET(A$1,,,SUMPRODUCT(MAX(ROW(E$2:E305)*(E305=E$2:E305)))))-COUNTBLANK(OFFSET(A$1,,,SUMPRODUCT(MAX(ROW(E$1:E304)*(E2=E$1:E304))))))</f>
        <v>0</v>
      </c>
      <c r="K305" s="24" t="str">
        <f ca="1">IF(OR(E305="",E305="!!!",F305="NEW"),"",INDEX(J$1:J304,SUMPRODUCT(MAX(ROW(E$1:E304)*(E305=E$1:E304)))))</f>
        <v/>
      </c>
      <c r="L305" s="25"/>
    </row>
    <row r="306" spans="1:12" x14ac:dyDescent="0.2">
      <c r="A306" t="s">
        <v>898</v>
      </c>
      <c r="E306" s="20" t="str">
        <f t="shared" ref="E306:E316" si="37">IF(D306="?OLD","!!!","")</f>
        <v/>
      </c>
      <c r="F306" s="21" t="str">
        <f>IF(OR(E306="",E306="!!!"),"",IF(NOT(ISNA(VLOOKUP(E306,E$1:E305,1,FALSE()))),"OLD",IF(AND(E306&lt;&gt;"",E306&lt;&gt;"!!!"),"NEW","")))</f>
        <v/>
      </c>
      <c r="G306" s="22" t="str">
        <f>IF(OR(E306="",E306="!!!"),"",IF(OR(J306=0,AND(J306=1,K306=1),AND(J306=1,I306="SBJ"),AND(J306=1,I306=0)),"?IN_FOCUS",IF(J306&lt;=2,"?ACTIVATED",IF(J306&lt;&gt;"","?FAMILIAR",IF(F306="NEW",IF(ISNA(VLOOKUP(E306,#REF!,1,FALSE())),"?TYPE_IDENTIFIABLE","?REFERENTIAL"),"_")))))</f>
        <v/>
      </c>
      <c r="H306" s="23" t="str">
        <f t="shared" ca="1" si="36"/>
        <v/>
      </c>
      <c r="I306" s="24" t="str">
        <f>IF(OR(E306="",E306="!!!",F306="NEW"),"",INDEX(B$2:B305,-1+SUMPRODUCT(MAX(ROW(E$2:E305)*(E306=E$2:E305)))))</f>
        <v/>
      </c>
      <c r="J306" s="24" t="str">
        <f ca="1">IF(OR(E306="",E306="!!!",F306="NEW"),"",COUNTBLANK(OFFSET(A$1,,,SUMPRODUCT(MAX(ROW(E$2:E306)*(E306=E$2:E306)))))-COUNTBLANK(OFFSET(A$1,,,SUMPRODUCT(MAX(ROW(E$1:E305)*(E2=E$1:E305))))))</f>
        <v/>
      </c>
      <c r="K306" s="24" t="str">
        <f>IF(OR(E306="",E306="!!!",F306="NEW"),"",INDEX(J$1:J305,SUMPRODUCT(MAX(ROW(E$1:E305)*(E306=E$1:E305)))))</f>
        <v/>
      </c>
      <c r="L306" s="25"/>
    </row>
    <row r="307" spans="1:12" x14ac:dyDescent="0.2">
      <c r="A307" t="s">
        <v>984</v>
      </c>
      <c r="E307" s="20" t="str">
        <f t="shared" si="37"/>
        <v/>
      </c>
      <c r="F307" s="21" t="str">
        <f>IF(OR(E307="",E307="!!!"),"",IF(NOT(ISNA(VLOOKUP(E307,E$1:E306,1,FALSE()))),"OLD",IF(AND(E307&lt;&gt;"",E307&lt;&gt;"!!!"),"NEW","")))</f>
        <v/>
      </c>
      <c r="G307" s="22" t="str">
        <f>IF(OR(E307="",E307="!!!"),"",IF(OR(J307=0,AND(J307=1,K307=1),AND(J307=1,I307="SBJ"),AND(J307=1,I307=0)),"?IN_FOCUS",IF(J307&lt;=2,"?ACTIVATED",IF(J307&lt;&gt;"","?FAMILIAR",IF(F307="NEW",IF(ISNA(VLOOKUP(E307,#REF!,1,FALSE())),"?TYPE_IDENTIFIABLE","?REFERENTIAL"),"_")))))</f>
        <v/>
      </c>
      <c r="H307" s="23" t="str">
        <f t="shared" ca="1" si="36"/>
        <v/>
      </c>
      <c r="I307" s="24" t="str">
        <f>IF(OR(E307="",E307="!!!",F307="NEW"),"",INDEX(B$2:B306,-1+SUMPRODUCT(MAX(ROW(E$2:E306)*(E307=E$2:E306)))))</f>
        <v/>
      </c>
      <c r="J307" s="24" t="str">
        <f ca="1">IF(OR(E307="",E307="!!!",F307="NEW"),"",COUNTBLANK(OFFSET(A$1,,,SUMPRODUCT(MAX(ROW(E$2:E307)*(E307=E$2:E307)))))-COUNTBLANK(OFFSET(A$1,,,SUMPRODUCT(MAX(ROW(E$1:E306)*(E2=E$1:E306))))))</f>
        <v/>
      </c>
      <c r="K307" s="24" t="str">
        <f>IF(OR(E307="",E307="!!!",F307="NEW"),"",INDEX(J$1:J306,SUMPRODUCT(MAX(ROW(E$1:E306)*(E307=E$1:E306)))))</f>
        <v/>
      </c>
      <c r="L307" s="25"/>
    </row>
    <row r="308" spans="1:12" x14ac:dyDescent="0.2">
      <c r="A308" t="s">
        <v>809</v>
      </c>
      <c r="E308" s="20" t="str">
        <f t="shared" si="37"/>
        <v/>
      </c>
      <c r="F308" s="21" t="str">
        <f>IF(OR(E308="",E308="!!!"),"",IF(NOT(ISNA(VLOOKUP(E308,E$1:E307,1,FALSE()))),"OLD",IF(AND(E308&lt;&gt;"",E308&lt;&gt;"!!!"),"NEW","")))</f>
        <v/>
      </c>
      <c r="G308" s="22" t="str">
        <f>IF(OR(E308="",E308="!!!"),"",IF(OR(J308=0,AND(J308=1,K308=1),AND(J308=1,I308="SBJ"),AND(J308=1,I308=0)),"?IN_FOCUS",IF(J308&lt;=2,"?ACTIVATED",IF(J308&lt;&gt;"","?FAMILIAR",IF(F308="NEW",IF(ISNA(VLOOKUP(E308,#REF!,1,FALSE())),"?TYPE_IDENTIFIABLE","?REFERENTIAL"),"_")))))</f>
        <v/>
      </c>
      <c r="H308" s="23" t="str">
        <f t="shared" ca="1" si="36"/>
        <v/>
      </c>
      <c r="I308" s="24" t="str">
        <f>IF(OR(E308="",E308="!!!",F308="NEW"),"",INDEX(B$2:B307,-1+SUMPRODUCT(MAX(ROW(E$2:E307)*(E308=E$2:E307)))))</f>
        <v/>
      </c>
      <c r="J308" s="24" t="str">
        <f ca="1">IF(OR(E308="",E308="!!!",F308="NEW"),"",COUNTBLANK(OFFSET(A$1,,,SUMPRODUCT(MAX(ROW(E$2:E308)*(E308=E$2:E308)))))-COUNTBLANK(OFFSET(A$1,,,SUMPRODUCT(MAX(ROW(E$1:E307)*(E2=E$1:E307))))))</f>
        <v/>
      </c>
      <c r="K308" s="24" t="str">
        <f>IF(OR(E308="",E308="!!!",F308="NEW"),"",INDEX(J$1:J307,SUMPRODUCT(MAX(ROW(E$1:E307)*(E308=E$1:E307)))))</f>
        <v/>
      </c>
      <c r="L308" s="25"/>
    </row>
    <row r="309" spans="1:12" x14ac:dyDescent="0.2">
      <c r="A309" t="s">
        <v>152</v>
      </c>
      <c r="E309" s="20" t="str">
        <f t="shared" si="37"/>
        <v/>
      </c>
      <c r="F309" s="21" t="str">
        <f>IF(OR(E309="",E309="!!!"),"",IF(NOT(ISNA(VLOOKUP(E309,E$1:E308,1,FALSE()))),"OLD",IF(AND(E309&lt;&gt;"",E309&lt;&gt;"!!!"),"NEW","")))</f>
        <v/>
      </c>
      <c r="G309" s="22" t="str">
        <f>IF(OR(E309="",E309="!!!"),"",IF(OR(J309=0,AND(J309=1,K309=1),AND(J309=1,I309="SBJ"),AND(J309=1,I309=0)),"?IN_FOCUS",IF(J309&lt;=2,"?ACTIVATED",IF(J309&lt;&gt;"","?FAMILIAR",IF(F309="NEW",IF(ISNA(VLOOKUP(E309,#REF!,1,FALSE())),"?TYPE_IDENTIFIABLE","?REFERENTIAL"),"_")))))</f>
        <v/>
      </c>
      <c r="H309" s="23" t="str">
        <f t="shared" ca="1" si="36"/>
        <v/>
      </c>
      <c r="I309" s="24" t="str">
        <f>IF(OR(E309="",E309="!!!",F309="NEW"),"",INDEX(B$2:B308,-1+SUMPRODUCT(MAX(ROW(E$2:E308)*(E309=E$2:E308)))))</f>
        <v/>
      </c>
      <c r="J309" s="24" t="str">
        <f ca="1">IF(OR(E309="",E309="!!!",F309="NEW"),"",COUNTBLANK(OFFSET(A$1,,,SUMPRODUCT(MAX(ROW(E$2:E309)*(E309=E$2:E309)))))-COUNTBLANK(OFFSET(A$1,,,SUMPRODUCT(MAX(ROW(E$1:E308)*(E2=E$1:E308))))))</f>
        <v/>
      </c>
      <c r="K309" s="24" t="str">
        <f>IF(OR(E309="",E309="!!!",F309="NEW"),"",INDEX(J$1:J308,SUMPRODUCT(MAX(ROW(E$1:E308)*(E309=E$1:E308)))))</f>
        <v/>
      </c>
      <c r="L309" s="25"/>
    </row>
    <row r="310" spans="1:12" x14ac:dyDescent="0.2">
      <c r="A310" t="s">
        <v>985</v>
      </c>
      <c r="E310" s="20" t="str">
        <f t="shared" si="37"/>
        <v/>
      </c>
      <c r="F310" s="21" t="str">
        <f>IF(OR(E310="",E310="!!!"),"",IF(NOT(ISNA(VLOOKUP(E310,E$1:E309,1,FALSE()))),"OLD",IF(AND(E310&lt;&gt;"",E310&lt;&gt;"!!!"),"NEW","")))</f>
        <v/>
      </c>
      <c r="G310" s="22" t="str">
        <f>IF(OR(E310="",E310="!!!"),"",IF(OR(J310=0,AND(J310=1,K310=1),AND(J310=1,I310="SBJ"),AND(J310=1,I310=0)),"?IN_FOCUS",IF(J310&lt;=2,"?ACTIVATED",IF(J310&lt;&gt;"","?FAMILIAR",IF(F310="NEW",IF(ISNA(VLOOKUP(E310,#REF!,1,FALSE())),"?TYPE_IDENTIFIABLE","?REFERENTIAL"),"_")))))</f>
        <v/>
      </c>
      <c r="H310" s="23" t="str">
        <f t="shared" ca="1" si="36"/>
        <v/>
      </c>
      <c r="I310" s="24" t="str">
        <f>IF(OR(E310="",E310="!!!",F310="NEW"),"",INDEX(B$2:B309,-1+SUMPRODUCT(MAX(ROW(E$2:E309)*(E310=E$2:E309)))))</f>
        <v/>
      </c>
      <c r="J310" s="24" t="str">
        <f ca="1">IF(OR(E310="",E310="!!!",F310="NEW"),"",COUNTBLANK(OFFSET(A$1,,,SUMPRODUCT(MAX(ROW(E$2:E310)*(E310=E$2:E310)))))-COUNTBLANK(OFFSET(A$1,,,SUMPRODUCT(MAX(ROW(E$1:E309)*(E2=E$1:E309))))))</f>
        <v/>
      </c>
      <c r="K310" s="24" t="str">
        <f>IF(OR(E310="",E310="!!!",F310="NEW"),"",INDEX(J$1:J309,SUMPRODUCT(MAX(ROW(E$1:E309)*(E310=E$1:E309)))))</f>
        <v/>
      </c>
      <c r="L310" s="25"/>
    </row>
    <row r="311" spans="1:12" x14ac:dyDescent="0.2">
      <c r="A311" t="s">
        <v>137</v>
      </c>
      <c r="B311" s="26" t="s">
        <v>810</v>
      </c>
      <c r="C311" s="26" t="s">
        <v>811</v>
      </c>
      <c r="E311" s="20" t="str">
        <f t="shared" si="37"/>
        <v/>
      </c>
      <c r="F311" s="21" t="str">
        <f>IF(OR(E311="",E311="!!!"),"",IF(NOT(ISNA(VLOOKUP(E311,E$1:E310,1,FALSE()))),"OLD",IF(AND(E311&lt;&gt;"",E311&lt;&gt;"!!!"),"NEW","")))</f>
        <v/>
      </c>
      <c r="G311" s="22" t="str">
        <f>IF(OR(E311="",E311="!!!"),"",IF(OR(J311=0,AND(J311=1,K311=1),AND(J311=1,I311="SBJ"),AND(J311=1,I311=0)),"?IN_FOCUS",IF(J311&lt;=2,"?ACTIVATED",IF(J311&lt;&gt;"","?FAMILIAR",IF(F311="NEW",IF(ISNA(VLOOKUP(E311,#REF!,1,FALSE())),"?TYPE_IDENTIFIABLE","?REFERENTIAL"),"_")))))</f>
        <v/>
      </c>
      <c r="H311" s="23" t="str">
        <f t="shared" ca="1" si="36"/>
        <v/>
      </c>
      <c r="I311" s="24" t="str">
        <f>IF(OR(E311="",E311="!!!",F311="NEW"),"",INDEX(B$2:B310,-1+SUMPRODUCT(MAX(ROW(E$2:E310)*(E311=E$2:E310)))))</f>
        <v/>
      </c>
      <c r="J311" s="24" t="str">
        <f ca="1">IF(OR(E311="",E311="!!!",F311="NEW"),"",COUNTBLANK(OFFSET(A$1,,,SUMPRODUCT(MAX(ROW(E$2:E311)*(E311=E$2:E311)))))-COUNTBLANK(OFFSET(A$1,,,SUMPRODUCT(MAX(ROW(E$1:E310)*(E2=E$1:E310))))))</f>
        <v/>
      </c>
      <c r="K311" s="24" t="str">
        <f>IF(OR(E311="",E311="!!!",F311="NEW"),"",INDEX(J$1:J310,SUMPRODUCT(MAX(ROW(E$1:E310)*(E311=E$1:E310)))))</f>
        <v/>
      </c>
      <c r="L311" s="25"/>
    </row>
    <row r="312" spans="1:12" x14ac:dyDescent="0.2">
      <c r="A312" t="s">
        <v>812</v>
      </c>
      <c r="E312" s="20" t="str">
        <f t="shared" si="37"/>
        <v/>
      </c>
      <c r="F312" s="21" t="str">
        <f>IF(OR(E312="",E312="!!!"),"",IF(NOT(ISNA(VLOOKUP(E312,E$1:E311,1,FALSE()))),"OLD",IF(AND(E312&lt;&gt;"",E312&lt;&gt;"!!!"),"NEW","")))</f>
        <v/>
      </c>
      <c r="G312" s="22" t="str">
        <f>IF(OR(E312="",E312="!!!"),"",IF(OR(J312=0,AND(J312=1,K312=1),AND(J312=1,I312="SBJ"),AND(J312=1,I312=0)),"?IN_FOCUS",IF(J312&lt;=2,"?ACTIVATED",IF(J312&lt;&gt;"","?FAMILIAR",IF(F312="NEW",IF(ISNA(VLOOKUP(E312,#REF!,1,FALSE())),"?TYPE_IDENTIFIABLE","?REFERENTIAL"),"_")))))</f>
        <v/>
      </c>
      <c r="H312" s="23" t="str">
        <f t="shared" ca="1" si="36"/>
        <v/>
      </c>
      <c r="I312" s="24" t="str">
        <f>IF(OR(E312="",E312="!!!",F312="NEW"),"",INDEX(B$2:B311,-1+SUMPRODUCT(MAX(ROW(E$2:E311)*(E312=E$2:E311)))))</f>
        <v/>
      </c>
      <c r="J312" s="24" t="str">
        <f ca="1">IF(OR(E312="",E312="!!!",F312="NEW"),"",COUNTBLANK(OFFSET(A$1,,,SUMPRODUCT(MAX(ROW(E$2:E312)*(E312=E$2:E312)))))-COUNTBLANK(OFFSET(A$1,,,SUMPRODUCT(MAX(ROW(E$1:E311)*(E2=E$1:E311))))))</f>
        <v/>
      </c>
      <c r="K312" s="24" t="str">
        <f>IF(OR(E312="",E312="!!!",F312="NEW"),"",INDEX(J$1:J311,SUMPRODUCT(MAX(ROW(E$1:E311)*(E312=E$1:E311)))))</f>
        <v/>
      </c>
      <c r="L312" s="25"/>
    </row>
    <row r="313" spans="1:12" x14ac:dyDescent="0.2">
      <c r="A313" t="s">
        <v>69</v>
      </c>
      <c r="E313" s="20" t="str">
        <f t="shared" si="37"/>
        <v/>
      </c>
      <c r="F313" s="21" t="str">
        <f>IF(OR(E313="",E313="!!!"),"",IF(NOT(ISNA(VLOOKUP(E313,E$1:E312,1,FALSE()))),"OLD",IF(AND(E313&lt;&gt;"",E313&lt;&gt;"!!!"),"NEW","")))</f>
        <v/>
      </c>
      <c r="G313" s="22" t="str">
        <f>IF(OR(E313="",E313="!!!"),"",IF(OR(J313=0,AND(J313=1,K313=1),AND(J313=1,I313="SBJ"),AND(J313=1,I313=0)),"?IN_FOCUS",IF(J313&lt;=2,"?ACTIVATED",IF(J313&lt;&gt;"","?FAMILIAR",IF(F313="NEW",IF(ISNA(VLOOKUP(E313,#REF!,1,FALSE())),"?TYPE_IDENTIFIABLE","?REFERENTIAL"),"_")))))</f>
        <v/>
      </c>
      <c r="H313" s="23" t="str">
        <f t="shared" ca="1" si="36"/>
        <v/>
      </c>
      <c r="I313" s="24" t="str">
        <f>IF(OR(E313="",E313="!!!",F313="NEW"),"",INDEX(B$2:B312,-1+SUMPRODUCT(MAX(ROW(E$2:E312)*(E313=E$2:E312)))))</f>
        <v/>
      </c>
      <c r="J313" s="24" t="str">
        <f ca="1">IF(OR(E313="",E313="!!!",F313="NEW"),"",COUNTBLANK(OFFSET(A$1,,,SUMPRODUCT(MAX(ROW(E$2:E313)*(E313=E$2:E313)))))-COUNTBLANK(OFFSET(A$1,,,SUMPRODUCT(MAX(ROW(E$1:E312)*(E2=E$1:E312))))))</f>
        <v/>
      </c>
      <c r="K313" s="24" t="str">
        <f>IF(OR(E313="",E313="!!!",F313="NEW"),"",INDEX(J$1:J312,SUMPRODUCT(MAX(ROW(E$1:E312)*(E313=E$1:E312)))))</f>
        <v/>
      </c>
      <c r="L313" s="25"/>
    </row>
    <row r="314" spans="1:12" x14ac:dyDescent="0.2">
      <c r="A314" t="s">
        <v>859</v>
      </c>
      <c r="E314" s="20" t="str">
        <f t="shared" si="37"/>
        <v/>
      </c>
      <c r="F314" s="21" t="str">
        <f>IF(OR(E314="",E314="!!!"),"",IF(NOT(ISNA(VLOOKUP(E314,E$1:E313,1,FALSE()))),"OLD",IF(AND(E314&lt;&gt;"",E314&lt;&gt;"!!!"),"NEW","")))</f>
        <v/>
      </c>
      <c r="G314" s="22" t="str">
        <f>IF(OR(E314="",E314="!!!"),"",IF(OR(J314=0,AND(J314=1,K314=1),AND(J314=1,I314="SBJ"),AND(J314=1,I314=0)),"?IN_FOCUS",IF(J314&lt;=2,"?ACTIVATED",IF(J314&lt;&gt;"","?FAMILIAR",IF(F314="NEW",IF(ISNA(VLOOKUP(E314,#REF!,1,FALSE())),"?TYPE_IDENTIFIABLE","?REFERENTIAL"),"_")))))</f>
        <v/>
      </c>
      <c r="H314" s="23" t="str">
        <f t="shared" ca="1" si="36"/>
        <v/>
      </c>
      <c r="I314" s="24" t="str">
        <f>IF(OR(E314="",E314="!!!",F314="NEW"),"",INDEX(B$2:B313,-1+SUMPRODUCT(MAX(ROW(E$2:E313)*(E314=E$2:E313)))))</f>
        <v/>
      </c>
      <c r="J314" s="24" t="str">
        <f ca="1">IF(OR(E314="",E314="!!!",F314="NEW"),"",COUNTBLANK(OFFSET(A$1,,,SUMPRODUCT(MAX(ROW(E$2:E314)*(E314=E$2:E314)))))-COUNTBLANK(OFFSET(A$1,,,SUMPRODUCT(MAX(ROW(E$1:E313)*(E2=E$1:E313))))))</f>
        <v/>
      </c>
      <c r="K314" s="24" t="str">
        <f>IF(OR(E314="",E314="!!!",F314="NEW"),"",INDEX(J$1:J313,SUMPRODUCT(MAX(ROW(E$1:E313)*(E314=E$1:E313)))))</f>
        <v/>
      </c>
      <c r="L314" s="25"/>
    </row>
    <row r="315" spans="1:12" x14ac:dyDescent="0.2">
      <c r="A315" t="s">
        <v>829</v>
      </c>
      <c r="E315" s="20" t="str">
        <f t="shared" si="37"/>
        <v/>
      </c>
      <c r="F315" s="21" t="str">
        <f>IF(OR(E315="",E315="!!!"),"",IF(NOT(ISNA(VLOOKUP(E315,E$1:E314,1,FALSE()))),"OLD",IF(AND(E315&lt;&gt;"",E315&lt;&gt;"!!!"),"NEW","")))</f>
        <v/>
      </c>
      <c r="G315" s="22" t="str">
        <f>IF(OR(E315="",E315="!!!"),"",IF(OR(J315=0,AND(J315=1,K315=1),AND(J315=1,I315="SBJ"),AND(J315=1,I315=0)),"?IN_FOCUS",IF(J315&lt;=2,"?ACTIVATED",IF(J315&lt;&gt;"","?FAMILIAR",IF(F315="NEW",IF(ISNA(VLOOKUP(E315,#REF!,1,FALSE())),"?TYPE_IDENTIFIABLE","?REFERENTIAL"),"_")))))</f>
        <v/>
      </c>
      <c r="H315" s="23" t="str">
        <f t="shared" ca="1" si="36"/>
        <v/>
      </c>
      <c r="I315" s="24" t="str">
        <f>IF(OR(E315="",E315="!!!",F315="NEW"),"",INDEX(B$2:B314,-1+SUMPRODUCT(MAX(ROW(E$2:E314)*(E315=E$2:E314)))))</f>
        <v/>
      </c>
      <c r="J315" s="24" t="str">
        <f ca="1">IF(OR(E315="",E315="!!!",F315="NEW"),"",COUNTBLANK(OFFSET(A$1,,,SUMPRODUCT(MAX(ROW(E$2:E315)*(E315=E$2:E315)))))-COUNTBLANK(OFFSET(A$1,,,SUMPRODUCT(MAX(ROW(E$1:E314)*(E2=E$1:E314))))))</f>
        <v/>
      </c>
      <c r="K315" s="24" t="str">
        <f>IF(OR(E315="",E315="!!!",F315="NEW"),"",INDEX(J$1:J314,SUMPRODUCT(MAX(ROW(E$1:E314)*(E315=E$1:E314)))))</f>
        <v/>
      </c>
      <c r="L315" s="25"/>
    </row>
    <row r="316" spans="1:12" x14ac:dyDescent="0.2">
      <c r="A316" t="s">
        <v>821</v>
      </c>
      <c r="E316" s="20" t="str">
        <f t="shared" si="37"/>
        <v/>
      </c>
      <c r="F316" s="21" t="str">
        <f>IF(OR(E316="",E316="!!!"),"",IF(NOT(ISNA(VLOOKUP(E316,E$1:E315,1,FALSE()))),"OLD",IF(AND(E316&lt;&gt;"",E316&lt;&gt;"!!!"),"NEW","")))</f>
        <v/>
      </c>
      <c r="G316" s="22" t="str">
        <f>IF(OR(E316="",E316="!!!"),"",IF(OR(J316=0,AND(J316=1,K316=1),AND(J316=1,I316="SBJ"),AND(J316=1,I316=0)),"?IN_FOCUS",IF(J316&lt;=2,"?ACTIVATED",IF(J316&lt;&gt;"","?FAMILIAR",IF(F316="NEW",IF(ISNA(VLOOKUP(E316,#REF!,1,FALSE())),"?TYPE_IDENTIFIABLE","?REFERENTIAL"),"_")))))</f>
        <v/>
      </c>
      <c r="H316" s="23" t="str">
        <f t="shared" ca="1" si="36"/>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5"/>
    </row>
    <row r="318" spans="1:12" x14ac:dyDescent="0.2">
      <c r="A318" t="s">
        <v>986</v>
      </c>
    </row>
    <row r="319" spans="1:12" x14ac:dyDescent="0.2">
      <c r="A319" t="s">
        <v>827</v>
      </c>
      <c r="B319" s="26" t="s">
        <v>804</v>
      </c>
      <c r="C319" s="26" t="s">
        <v>987</v>
      </c>
      <c r="D319" s="26" t="s">
        <v>806</v>
      </c>
      <c r="E319" s="20" t="s">
        <v>1758</v>
      </c>
      <c r="F319" s="21" t="str">
        <f>IF(OR(E319="",E319="!!!"),"",IF(NOT(ISNA(VLOOKUP(E319,E$1:E318,1,FALSE()))),"OLD",IF(AND(E319&lt;&gt;"",E319&lt;&gt;"!!!"),"NEW","")))</f>
        <v>NEW</v>
      </c>
      <c r="G319" s="22" t="s">
        <v>1823</v>
      </c>
      <c r="H319" s="23" t="str">
        <f t="shared" ref="H319:H336" ca="1" si="38">IF(J319&lt;&gt;1,"",IF(I319="SBJ","CB","?"))</f>
        <v/>
      </c>
      <c r="I319" s="24" t="str">
        <f>IF(OR(E319="",E319="!!!",F319="NEW"),"",INDEX(B$2:B318,-1+SUMPRODUCT(MAX(ROW(E$2:E318)*(E319=E$2:E318)))))</f>
        <v/>
      </c>
      <c r="J319" s="24" t="str">
        <f ca="1">IF(OR(E319="",E319="!!!",F319="NEW"),"",COUNTBLANK(OFFSET(A$1,,,SUMPRODUCT(MAX(ROW(E$2:E319)*(E319=E$2:E319)))))-COUNTBLANK(OFFSET(A$1,,,SUMPRODUCT(MAX(ROW(E$1:E318)*(E2=E$1:E318))))))</f>
        <v/>
      </c>
      <c r="K319" s="24" t="str">
        <f>IF(OR(E319="",E319="!!!",F319="NEW"),"",INDEX(J$1:J318,SUMPRODUCT(MAX(ROW(E$1:E318)*(E319=E$1:E318)))))</f>
        <v/>
      </c>
      <c r="L319" s="25"/>
    </row>
    <row r="320" spans="1:12" x14ac:dyDescent="0.2">
      <c r="A320" t="s">
        <v>988</v>
      </c>
      <c r="E320" s="20" t="str">
        <f t="shared" ref="E320:E336" si="39">IF(D320="?OLD","!!!","")</f>
        <v/>
      </c>
      <c r="F320" s="21"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38"/>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5"/>
    </row>
    <row r="321" spans="1:12" x14ac:dyDescent="0.2">
      <c r="A321" t="s">
        <v>830</v>
      </c>
      <c r="E321" s="20" t="str">
        <f t="shared" si="39"/>
        <v/>
      </c>
      <c r="F321" s="21" t="str">
        <f>IF(OR(E321="",E321="!!!"),"",IF(NOT(ISNA(VLOOKUP(E321,E$1:E320,1,FALSE()))),"OLD",IF(AND(E321&lt;&gt;"",E321&lt;&gt;"!!!"),"NEW","")))</f>
        <v/>
      </c>
      <c r="G321" s="22" t="str">
        <f>IF(OR(E321="",E321="!!!"),"",IF(OR(J321=0,AND(J321=1,K321=1),AND(J321=1,I321="SBJ"),AND(J321=1,I321=0)),"?IN_FOCUS",IF(J321&lt;=2,"?ACTIVATED",IF(J321&lt;&gt;"","?FAMILIAR",IF(F321="NEW",IF(ISNA(VLOOKUP(E321,#REF!,1,FALSE())),"?TYPE_IDENTIFIABLE","?REFERENTIAL"),"_")))))</f>
        <v/>
      </c>
      <c r="H321" s="23" t="str">
        <f t="shared" ca="1" si="38"/>
        <v/>
      </c>
      <c r="I321" s="24" t="str">
        <f>IF(OR(E321="",E321="!!!",F321="NEW"),"",INDEX(B$2:B320,-1+SUMPRODUCT(MAX(ROW(E$2:E320)*(E321=E$2:E320)))))</f>
        <v/>
      </c>
      <c r="J321" s="24" t="str">
        <f ca="1">IF(OR(E321="",E321="!!!",F321="NEW"),"",COUNTBLANK(OFFSET(A$1,,,SUMPRODUCT(MAX(ROW(E$2:E321)*(E321=E$2:E321)))))-COUNTBLANK(OFFSET(A$1,,,SUMPRODUCT(MAX(ROW(E$1:E320)*(E2=E$1:E320))))))</f>
        <v/>
      </c>
      <c r="K321" s="24" t="str">
        <f>IF(OR(E321="",E321="!!!",F321="NEW"),"",INDEX(J$1:J320,SUMPRODUCT(MAX(ROW(E$1:E320)*(E321=E$1:E320)))))</f>
        <v/>
      </c>
      <c r="L321" s="25"/>
    </row>
    <row r="322" spans="1:12" x14ac:dyDescent="0.2">
      <c r="A322" t="s">
        <v>989</v>
      </c>
      <c r="E322" s="20" t="str">
        <f t="shared" si="39"/>
        <v/>
      </c>
      <c r="F322" s="21" t="str">
        <f>IF(OR(E322="",E322="!!!"),"",IF(NOT(ISNA(VLOOKUP(E322,E$1:E321,1,FALSE()))),"OLD",IF(AND(E322&lt;&gt;"",E322&lt;&gt;"!!!"),"NEW","")))</f>
        <v/>
      </c>
      <c r="G322" s="22" t="str">
        <f>IF(OR(E322="",E322="!!!"),"",IF(OR(J322=0,AND(J322=1,K322=1),AND(J322=1,I322="SBJ"),AND(J322=1,I322=0)),"?IN_FOCUS",IF(J322&lt;=2,"?ACTIVATED",IF(J322&lt;&gt;"","?FAMILIAR",IF(F322="NEW",IF(ISNA(VLOOKUP(E322,#REF!,1,FALSE())),"?TYPE_IDENTIFIABLE","?REFERENTIAL"),"_")))))</f>
        <v/>
      </c>
      <c r="H322" s="23" t="str">
        <f t="shared" ca="1" si="38"/>
        <v/>
      </c>
      <c r="I322" s="24" t="str">
        <f>IF(OR(E322="",E322="!!!",F322="NEW"),"",INDEX(B$2:B321,-1+SUMPRODUCT(MAX(ROW(E$2:E321)*(E322=E$2:E321)))))</f>
        <v/>
      </c>
      <c r="J322" s="24" t="str">
        <f ca="1">IF(OR(E322="",E322="!!!",F322="NEW"),"",COUNTBLANK(OFFSET(A$1,,,SUMPRODUCT(MAX(ROW(E$2:E322)*(E322=E$2:E322)))))-COUNTBLANK(OFFSET(A$1,,,SUMPRODUCT(MAX(ROW(E$1:E321)*(E2=E$1:E321))))))</f>
        <v/>
      </c>
      <c r="K322" s="24" t="str">
        <f>IF(OR(E322="",E322="!!!",F322="NEW"),"",INDEX(J$1:J321,SUMPRODUCT(MAX(ROW(E$1:E321)*(E322=E$1:E321)))))</f>
        <v/>
      </c>
      <c r="L322" s="25"/>
    </row>
    <row r="323" spans="1:12" x14ac:dyDescent="0.2">
      <c r="A323" t="s">
        <v>990</v>
      </c>
      <c r="E323" s="20" t="str">
        <f t="shared" si="39"/>
        <v/>
      </c>
      <c r="F323" s="21" t="str">
        <f>IF(OR(E323="",E323="!!!"),"",IF(NOT(ISNA(VLOOKUP(E323,E$1:E322,1,FALSE()))),"OLD",IF(AND(E323&lt;&gt;"",E323&lt;&gt;"!!!"),"NEW","")))</f>
        <v/>
      </c>
      <c r="G323" s="22" t="str">
        <f>IF(OR(E323="",E323="!!!"),"",IF(OR(J323=0,AND(J323=1,K323=1),AND(J323=1,I323="SBJ"),AND(J323=1,I323=0)),"?IN_FOCUS",IF(J323&lt;=2,"?ACTIVATED",IF(J323&lt;&gt;"","?FAMILIAR",IF(F323="NEW",IF(ISNA(VLOOKUP(E323,#REF!,1,FALSE())),"?TYPE_IDENTIFIABLE","?REFERENTIAL"),"_")))))</f>
        <v/>
      </c>
      <c r="H323" s="23" t="str">
        <f t="shared" ca="1" si="38"/>
        <v/>
      </c>
      <c r="I323" s="24" t="str">
        <f>IF(OR(E323="",E323="!!!",F323="NEW"),"",INDEX(B$2:B322,-1+SUMPRODUCT(MAX(ROW(E$2:E322)*(E323=E$2:E322)))))</f>
        <v/>
      </c>
      <c r="J323" s="24" t="str">
        <f ca="1">IF(OR(E323="",E323="!!!",F323="NEW"),"",COUNTBLANK(OFFSET(A$1,,,SUMPRODUCT(MAX(ROW(E$2:E323)*(E323=E$2:E323)))))-COUNTBLANK(OFFSET(A$1,,,SUMPRODUCT(MAX(ROW(E$1:E322)*(E2=E$1:E322))))))</f>
        <v/>
      </c>
      <c r="K323" s="24" t="str">
        <f>IF(OR(E323="",E323="!!!",F323="NEW"),"",INDEX(J$1:J322,SUMPRODUCT(MAX(ROW(E$1:E322)*(E323=E$1:E322)))))</f>
        <v/>
      </c>
      <c r="L323" s="25"/>
    </row>
    <row r="324" spans="1:12" x14ac:dyDescent="0.2">
      <c r="A324" t="s">
        <v>991</v>
      </c>
      <c r="B324" s="26" t="s">
        <v>938</v>
      </c>
      <c r="C324" s="26" t="s">
        <v>884</v>
      </c>
      <c r="E324" s="20" t="str">
        <f t="shared" si="39"/>
        <v/>
      </c>
      <c r="F324" s="21" t="str">
        <f>IF(OR(E324="",E324="!!!"),"",IF(NOT(ISNA(VLOOKUP(E324,E$1:E323,1,FALSE()))),"OLD",IF(AND(E324&lt;&gt;"",E324&lt;&gt;"!!!"),"NEW","")))</f>
        <v/>
      </c>
      <c r="G324" s="22" t="str">
        <f>IF(OR(E324="",E324="!!!"),"",IF(OR(J324=0,AND(J324=1,K324=1),AND(J324=1,I324="SBJ"),AND(J324=1,I324=0)),"?IN_FOCUS",IF(J324&lt;=2,"?ACTIVATED",IF(J324&lt;&gt;"","?FAMILIAR",IF(F324="NEW",IF(ISNA(VLOOKUP(E324,#REF!,1,FALSE())),"?TYPE_IDENTIFIABLE","?REFERENTIAL"),"_")))))</f>
        <v/>
      </c>
      <c r="H324" s="23" t="str">
        <f t="shared" ca="1" si="38"/>
        <v/>
      </c>
      <c r="I324" s="24" t="str">
        <f>IF(OR(E324="",E324="!!!",F324="NEW"),"",INDEX(B$2:B323,-1+SUMPRODUCT(MAX(ROW(E$2:E323)*(E324=E$2:E323)))))</f>
        <v/>
      </c>
      <c r="J324" s="24" t="str">
        <f ca="1">IF(OR(E324="",E324="!!!",F324="NEW"),"",COUNTBLANK(OFFSET(A$1,,,SUMPRODUCT(MAX(ROW(E$2:E324)*(E324=E$2:E324)))))-COUNTBLANK(OFFSET(A$1,,,SUMPRODUCT(MAX(ROW(E$1:E323)*(E2=E$1:E323))))))</f>
        <v/>
      </c>
      <c r="K324" s="24" t="str">
        <f>IF(OR(E324="",E324="!!!",F324="NEW"),"",INDEX(J$1:J323,SUMPRODUCT(MAX(ROW(E$1:E323)*(E324=E$1:E323)))))</f>
        <v/>
      </c>
      <c r="L324" s="25"/>
    </row>
    <row r="325" spans="1:12" x14ac:dyDescent="0.2">
      <c r="A325" t="s">
        <v>812</v>
      </c>
      <c r="E325" s="20" t="str">
        <f t="shared" si="39"/>
        <v/>
      </c>
      <c r="F325" s="21" t="str">
        <f>IF(OR(E325="",E325="!!!"),"",IF(NOT(ISNA(VLOOKUP(E325,E$1:E324,1,FALSE()))),"OLD",IF(AND(E325&lt;&gt;"",E325&lt;&gt;"!!!"),"NEW","")))</f>
        <v/>
      </c>
      <c r="G325" s="22" t="str">
        <f>IF(OR(E325="",E325="!!!"),"",IF(OR(J325=0,AND(J325=1,K325=1),AND(J325=1,I325="SBJ"),AND(J325=1,I325=0)),"?IN_FOCUS",IF(J325&lt;=2,"?ACTIVATED",IF(J325&lt;&gt;"","?FAMILIAR",IF(F325="NEW",IF(ISNA(VLOOKUP(E325,#REF!,1,FALSE())),"?TYPE_IDENTIFIABLE","?REFERENTIAL"),"_")))))</f>
        <v/>
      </c>
      <c r="H325" s="23" t="str">
        <f t="shared" ca="1" si="38"/>
        <v/>
      </c>
      <c r="I325" s="24" t="str">
        <f>IF(OR(E325="",E325="!!!",F325="NEW"),"",INDEX(B$2:B324,-1+SUMPRODUCT(MAX(ROW(E$2:E324)*(E325=E$2:E324)))))</f>
        <v/>
      </c>
      <c r="J325" s="24" t="str">
        <f ca="1">IF(OR(E325="",E325="!!!",F325="NEW"),"",COUNTBLANK(OFFSET(A$1,,,SUMPRODUCT(MAX(ROW(E$2:E325)*(E325=E$2:E325)))))-COUNTBLANK(OFFSET(A$1,,,SUMPRODUCT(MAX(ROW(E$1:E324)*(E2=E$1:E324))))))</f>
        <v/>
      </c>
      <c r="K325" s="24" t="str">
        <f>IF(OR(E325="",E325="!!!",F325="NEW"),"",INDEX(J$1:J324,SUMPRODUCT(MAX(ROW(E$1:E324)*(E325=E$1:E324)))))</f>
        <v/>
      </c>
      <c r="L325" s="25"/>
    </row>
    <row r="326" spans="1:12" x14ac:dyDescent="0.2">
      <c r="A326" t="s">
        <v>992</v>
      </c>
      <c r="E326" s="20" t="str">
        <f t="shared" si="39"/>
        <v/>
      </c>
      <c r="F326" s="21" t="str">
        <f>IF(OR(E326="",E326="!!!"),"",IF(NOT(ISNA(VLOOKUP(E326,E$1:E325,1,FALSE()))),"OLD",IF(AND(E326&lt;&gt;"",E326&lt;&gt;"!!!"),"NEW","")))</f>
        <v/>
      </c>
      <c r="G326" s="22" t="str">
        <f>IF(OR(E326="",E326="!!!"),"",IF(OR(J326=0,AND(J326=1,K326=1),AND(J326=1,I326="SBJ"),AND(J326=1,I326=0)),"?IN_FOCUS",IF(J326&lt;=2,"?ACTIVATED",IF(J326&lt;&gt;"","?FAMILIAR",IF(F326="NEW",IF(ISNA(VLOOKUP(E326,#REF!,1,FALSE())),"?TYPE_IDENTIFIABLE","?REFERENTIAL"),"_")))))</f>
        <v/>
      </c>
      <c r="H326" s="23" t="str">
        <f t="shared" ca="1" si="38"/>
        <v/>
      </c>
      <c r="I326" s="24" t="str">
        <f>IF(OR(E326="",E326="!!!",F326="NEW"),"",INDEX(B$2:B325,-1+SUMPRODUCT(MAX(ROW(E$2:E325)*(E326=E$2:E325)))))</f>
        <v/>
      </c>
      <c r="J326" s="24" t="str">
        <f ca="1">IF(OR(E326="",E326="!!!",F326="NEW"),"",COUNTBLANK(OFFSET(A$1,,,SUMPRODUCT(MAX(ROW(E$2:E326)*(E326=E$2:E326)))))-COUNTBLANK(OFFSET(A$1,,,SUMPRODUCT(MAX(ROW(E$1:E325)*(E2=E$1:E325))))))</f>
        <v/>
      </c>
      <c r="K326" s="24" t="str">
        <f>IF(OR(E326="",E326="!!!",F326="NEW"),"",INDEX(J$1:J325,SUMPRODUCT(MAX(ROW(E$1:E325)*(E326=E$1:E325)))))</f>
        <v/>
      </c>
      <c r="L326" s="25"/>
    </row>
    <row r="327" spans="1:12" x14ac:dyDescent="0.2">
      <c r="A327" t="s">
        <v>30</v>
      </c>
      <c r="B327" s="26" t="s">
        <v>864</v>
      </c>
      <c r="C327" s="26" t="s">
        <v>814</v>
      </c>
      <c r="E327" s="20" t="str">
        <f t="shared" si="39"/>
        <v/>
      </c>
      <c r="F327" s="21" t="str">
        <f>IF(OR(E327="",E327="!!!"),"",IF(NOT(ISNA(VLOOKUP(E327,E$1:E326,1,FALSE()))),"OLD",IF(AND(E327&lt;&gt;"",E327&lt;&gt;"!!!"),"NEW","")))</f>
        <v/>
      </c>
      <c r="G327" s="22" t="str">
        <f>IF(OR(E327="",E327="!!!"),"",IF(OR(J327=0,AND(J327=1,K327=1),AND(J327=1,I327="SBJ"),AND(J327=1,I327=0)),"?IN_FOCUS",IF(J327&lt;=2,"?ACTIVATED",IF(J327&lt;&gt;"","?FAMILIAR",IF(F327="NEW",IF(ISNA(VLOOKUP(E327,#REF!,1,FALSE())),"?TYPE_IDENTIFIABLE","?REFERENTIAL"),"_")))))</f>
        <v/>
      </c>
      <c r="H327" s="23" t="str">
        <f t="shared" ca="1" si="38"/>
        <v/>
      </c>
      <c r="I327" s="24" t="str">
        <f>IF(OR(E327="",E327="!!!",F327="NEW"),"",INDEX(B$2:B326,-1+SUMPRODUCT(MAX(ROW(E$2:E326)*(E327=E$2:E326)))))</f>
        <v/>
      </c>
      <c r="J327" s="24" t="str">
        <f ca="1">IF(OR(E327="",E327="!!!",F327="NEW"),"",COUNTBLANK(OFFSET(A$1,,,SUMPRODUCT(MAX(ROW(E$2:E327)*(E327=E$2:E327)))))-COUNTBLANK(OFFSET(A$1,,,SUMPRODUCT(MAX(ROW(E$1:E326)*(E2=E$1:E326))))))</f>
        <v/>
      </c>
      <c r="K327" s="24" t="str">
        <f>IF(OR(E327="",E327="!!!",F327="NEW"),"",INDEX(J$1:J326,SUMPRODUCT(MAX(ROW(E$1:E326)*(E327=E$1:E326)))))</f>
        <v/>
      </c>
      <c r="L327" s="25"/>
    </row>
    <row r="328" spans="1:12" x14ac:dyDescent="0.2">
      <c r="A328" t="s">
        <v>859</v>
      </c>
      <c r="E328" s="20" t="str">
        <f t="shared" si="39"/>
        <v/>
      </c>
      <c r="F328" s="21" t="str">
        <f>IF(OR(E328="",E328="!!!"),"",IF(NOT(ISNA(VLOOKUP(E328,E$1:E327,1,FALSE()))),"OLD",IF(AND(E328&lt;&gt;"",E328&lt;&gt;"!!!"),"NEW","")))</f>
        <v/>
      </c>
      <c r="G328" s="22" t="str">
        <f>IF(OR(E328="",E328="!!!"),"",IF(OR(J328=0,AND(J328=1,K328=1),AND(J328=1,I328="SBJ"),AND(J328=1,I328=0)),"?IN_FOCUS",IF(J328&lt;=2,"?ACTIVATED",IF(J328&lt;&gt;"","?FAMILIAR",IF(F328="NEW",IF(ISNA(VLOOKUP(E328,#REF!,1,FALSE())),"?TYPE_IDENTIFIABLE","?REFERENTIAL"),"_")))))</f>
        <v/>
      </c>
      <c r="H328" s="23" t="str">
        <f t="shared" ca="1" si="38"/>
        <v/>
      </c>
      <c r="I328" s="24" t="str">
        <f>IF(OR(E328="",E328="!!!",F328="NEW"),"",INDEX(B$2:B327,-1+SUMPRODUCT(MAX(ROW(E$2:E327)*(E328=E$2:E327)))))</f>
        <v/>
      </c>
      <c r="J328" s="24" t="str">
        <f ca="1">IF(OR(E328="",E328="!!!",F328="NEW"),"",COUNTBLANK(OFFSET(A$1,,,SUMPRODUCT(MAX(ROW(E$2:E328)*(E328=E$2:E328)))))-COUNTBLANK(OFFSET(A$1,,,SUMPRODUCT(MAX(ROW(E$1:E327)*(E2=E$1:E327))))))</f>
        <v/>
      </c>
      <c r="K328" s="24" t="str">
        <f>IF(OR(E328="",E328="!!!",F328="NEW"),"",INDEX(J$1:J327,SUMPRODUCT(MAX(ROW(E$1:E327)*(E328=E$1:E327)))))</f>
        <v/>
      </c>
      <c r="L328" s="25"/>
    </row>
    <row r="329" spans="1:12" x14ac:dyDescent="0.2">
      <c r="A329" t="s">
        <v>94</v>
      </c>
      <c r="E329" s="20" t="str">
        <f t="shared" si="39"/>
        <v/>
      </c>
      <c r="F329" s="21" t="str">
        <f>IF(OR(E329="",E329="!!!"),"",IF(NOT(ISNA(VLOOKUP(E329,E$1:E328,1,FALSE()))),"OLD",IF(AND(E329&lt;&gt;"",E329&lt;&gt;"!!!"),"NEW","")))</f>
        <v/>
      </c>
      <c r="G329" s="22" t="str">
        <f>IF(OR(E329="",E329="!!!"),"",IF(OR(J329=0,AND(J329=1,K329=1),AND(J329=1,I329="SBJ"),AND(J329=1,I329=0)),"?IN_FOCUS",IF(J329&lt;=2,"?ACTIVATED",IF(J329&lt;&gt;"","?FAMILIAR",IF(F329="NEW",IF(ISNA(VLOOKUP(E329,#REF!,1,FALSE())),"?TYPE_IDENTIFIABLE","?REFERENTIAL"),"_")))))</f>
        <v/>
      </c>
      <c r="H329" s="23" t="str">
        <f t="shared" ca="1" si="38"/>
        <v/>
      </c>
      <c r="I329" s="24" t="str">
        <f>IF(OR(E329="",E329="!!!",F329="NEW"),"",INDEX(B$2:B328,-1+SUMPRODUCT(MAX(ROW(E$2:E328)*(E329=E$2:E328)))))</f>
        <v/>
      </c>
      <c r="J329" s="24" t="str">
        <f ca="1">IF(OR(E329="",E329="!!!",F329="NEW"),"",COUNTBLANK(OFFSET(A$1,,,SUMPRODUCT(MAX(ROW(E$2:E329)*(E329=E$2:E329)))))-COUNTBLANK(OFFSET(A$1,,,SUMPRODUCT(MAX(ROW(E$1:E328)*(E2=E$1:E328))))))</f>
        <v/>
      </c>
      <c r="K329" s="24" t="str">
        <f>IF(OR(E329="",E329="!!!",F329="NEW"),"",INDEX(J$1:J328,SUMPRODUCT(MAX(ROW(E$1:E328)*(E329=E$1:E328)))))</f>
        <v/>
      </c>
      <c r="L329" s="25"/>
    </row>
    <row r="330" spans="1:12" x14ac:dyDescent="0.2">
      <c r="A330" t="s">
        <v>866</v>
      </c>
      <c r="B330" s="26" t="s">
        <v>871</v>
      </c>
      <c r="C330" s="26" t="s">
        <v>805</v>
      </c>
      <c r="D330" s="26" t="s">
        <v>806</v>
      </c>
      <c r="E330" s="20"/>
      <c r="F330" s="21" t="s">
        <v>1781</v>
      </c>
      <c r="G330" s="22" t="str">
        <f>IF(OR(E330="",E330="!!!"),"",IF(OR(J330=0,AND(J330=1,K330=1),AND(J330=1,I330="SBJ"),AND(J330=1,I330=0)),"?IN_FOCUS",IF(J330&lt;=2,"?ACTIVATED",IF(J330&lt;&gt;"","?FAMILIAR",IF(F330="NEW",IF(ISNA(VLOOKUP(E330,#REF!,1,FALSE())),"?TYPE_IDENTIFIABLE","?REFERENTIAL"),"_")))))</f>
        <v/>
      </c>
      <c r="H330" s="23" t="str">
        <f t="shared" ca="1" si="38"/>
        <v/>
      </c>
      <c r="I330" s="24" t="str">
        <f>IF(OR(E330="",E330="!!!",F330="NEW"),"",INDEX(B$2:B329,-1+SUMPRODUCT(MAX(ROW(E$2:E329)*(E330=E$2:E329)))))</f>
        <v/>
      </c>
      <c r="J330" s="24" t="str">
        <f ca="1">IF(OR(E330="",E330="!!!",F330="NEW"),"",COUNTBLANK(OFFSET(A$1,,,SUMPRODUCT(MAX(ROW(E$2:E330)*(E330=E$2:E330)))))-COUNTBLANK(OFFSET(A$1,,,SUMPRODUCT(MAX(ROW(E$1:E329)*(E2=E$1:E329))))))</f>
        <v/>
      </c>
      <c r="K330" s="24" t="str">
        <f>IF(OR(E330="",E330="!!!",F330="NEW"),"",INDEX(J$1:J329,SUMPRODUCT(MAX(ROW(E$1:E329)*(E330=E$1:E329)))))</f>
        <v/>
      </c>
      <c r="L330" s="25"/>
    </row>
    <row r="331" spans="1:12" x14ac:dyDescent="0.2">
      <c r="A331" t="s">
        <v>829</v>
      </c>
      <c r="E331" s="20" t="str">
        <f t="shared" si="39"/>
        <v/>
      </c>
      <c r="F331" s="21" t="str">
        <f>IF(OR(E331="",E331="!!!"),"",IF(NOT(ISNA(VLOOKUP(E331,E$1:E330,1,FALSE()))),"OLD",IF(AND(E331&lt;&gt;"",E331&lt;&gt;"!!!"),"NEW","")))</f>
        <v/>
      </c>
      <c r="G331" s="22" t="str">
        <f>IF(OR(E331="",E331="!!!"),"",IF(OR(J331=0,AND(J331=1,K331=1),AND(J331=1,I331="SBJ"),AND(J331=1,I331=0)),"?IN_FOCUS",IF(J331&lt;=2,"?ACTIVATED",IF(J331&lt;&gt;"","?FAMILIAR",IF(F331="NEW",IF(ISNA(VLOOKUP(E331,#REF!,1,FALSE())),"?TYPE_IDENTIFIABLE","?REFERENTIAL"),"_")))))</f>
        <v/>
      </c>
      <c r="H331" s="23" t="str">
        <f t="shared" ca="1" si="38"/>
        <v/>
      </c>
      <c r="I331" s="24" t="str">
        <f>IF(OR(E331="",E331="!!!",F331="NEW"),"",INDEX(B$2:B330,-1+SUMPRODUCT(MAX(ROW(E$2:E330)*(E331=E$2:E330)))))</f>
        <v/>
      </c>
      <c r="J331" s="24" t="str">
        <f ca="1">IF(OR(E331="",E331="!!!",F331="NEW"),"",COUNTBLANK(OFFSET(A$1,,,SUMPRODUCT(MAX(ROW(E$2:E331)*(E331=E$2:E331)))))-COUNTBLANK(OFFSET(A$1,,,SUMPRODUCT(MAX(ROW(E$1:E330)*(E2=E$1:E330))))))</f>
        <v/>
      </c>
      <c r="K331" s="24" t="str">
        <f>IF(OR(E331="",E331="!!!",F331="NEW"),"",INDEX(J$1:J330,SUMPRODUCT(MAX(ROW(E$1:E330)*(E331=E$1:E330)))))</f>
        <v/>
      </c>
      <c r="L331" s="25"/>
    </row>
    <row r="332" spans="1:12" x14ac:dyDescent="0.2">
      <c r="A332" t="s">
        <v>993</v>
      </c>
      <c r="B332" s="26" t="s">
        <v>871</v>
      </c>
      <c r="C332" s="26" t="s">
        <v>884</v>
      </c>
      <c r="E332" s="20" t="str">
        <f t="shared" si="39"/>
        <v/>
      </c>
      <c r="F332" s="21"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t="shared" ca="1" si="38"/>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5"/>
    </row>
    <row r="333" spans="1:12" x14ac:dyDescent="0.2">
      <c r="A333" t="s">
        <v>812</v>
      </c>
      <c r="E333" s="20" t="str">
        <f t="shared" si="39"/>
        <v/>
      </c>
      <c r="F333" s="21" t="str">
        <f>IF(OR(E333="",E333="!!!"),"",IF(NOT(ISNA(VLOOKUP(E333,E$1:E332,1,FALSE()))),"OLD",IF(AND(E333&lt;&gt;"",E333&lt;&gt;"!!!"),"NEW","")))</f>
        <v/>
      </c>
      <c r="G333" s="22" t="str">
        <f>IF(OR(E333="",E333="!!!"),"",IF(OR(J333=0,AND(J333=1,K333=1),AND(J333=1,I333="SBJ"),AND(J333=1,I333=0)),"?IN_FOCUS",IF(J333&lt;=2,"?ACTIVATED",IF(J333&lt;&gt;"","?FAMILIAR",IF(F333="NEW",IF(ISNA(VLOOKUP(E333,#REF!,1,FALSE())),"?TYPE_IDENTIFIABLE","?REFERENTIAL"),"_")))))</f>
        <v/>
      </c>
      <c r="H333" s="23" t="str">
        <f t="shared" ca="1" si="38"/>
        <v/>
      </c>
      <c r="I333" s="24" t="str">
        <f>IF(OR(E333="",E333="!!!",F333="NEW"),"",INDEX(B$2:B332,-1+SUMPRODUCT(MAX(ROW(E$2:E332)*(E333=E$2:E332)))))</f>
        <v/>
      </c>
      <c r="J333" s="24" t="str">
        <f ca="1">IF(OR(E333="",E333="!!!",F333="NEW"),"",COUNTBLANK(OFFSET(A$1,,,SUMPRODUCT(MAX(ROW(E$2:E333)*(E333=E$2:E333)))))-COUNTBLANK(OFFSET(A$1,,,SUMPRODUCT(MAX(ROW(E$1:E332)*(E2=E$1:E332))))))</f>
        <v/>
      </c>
      <c r="K333" s="24" t="str">
        <f>IF(OR(E333="",E333="!!!",F333="NEW"),"",INDEX(J$1:J332,SUMPRODUCT(MAX(ROW(E$1:E332)*(E333=E$1:E332)))))</f>
        <v/>
      </c>
      <c r="L333" s="25"/>
    </row>
    <row r="334" spans="1:12" x14ac:dyDescent="0.2">
      <c r="A334" t="s">
        <v>530</v>
      </c>
      <c r="E334" s="20" t="str">
        <f t="shared" si="39"/>
        <v/>
      </c>
      <c r="F334" s="21" t="str">
        <f>IF(OR(E334="",E334="!!!"),"",IF(NOT(ISNA(VLOOKUP(E334,E$1:E333,1,FALSE()))),"OLD",IF(AND(E334&lt;&gt;"",E334&lt;&gt;"!!!"),"NEW","")))</f>
        <v/>
      </c>
      <c r="G334" s="22" t="str">
        <f>IF(OR(E334="",E334="!!!"),"",IF(OR(J334=0,AND(J334=1,K334=1),AND(J334=1,I334="SBJ"),AND(J334=1,I334=0)),"?IN_FOCUS",IF(J334&lt;=2,"?ACTIVATED",IF(J334&lt;&gt;"","?FAMILIAR",IF(F334="NEW",IF(ISNA(VLOOKUP(E334,#REF!,1,FALSE())),"?TYPE_IDENTIFIABLE","?REFERENTIAL"),"_")))))</f>
        <v/>
      </c>
      <c r="H334" s="23" t="str">
        <f t="shared" ca="1" si="38"/>
        <v/>
      </c>
      <c r="I334" s="24" t="str">
        <f>IF(OR(E334="",E334="!!!",F334="NEW"),"",INDEX(B$2:B333,-1+SUMPRODUCT(MAX(ROW(E$2:E333)*(E334=E$2:E333)))))</f>
        <v/>
      </c>
      <c r="J334" s="24" t="str">
        <f ca="1">IF(OR(E334="",E334="!!!",F334="NEW"),"",COUNTBLANK(OFFSET(A$1,,,SUMPRODUCT(MAX(ROW(E$2:E334)*(E334=E$2:E334)))))-COUNTBLANK(OFFSET(A$1,,,SUMPRODUCT(MAX(ROW(E$1:E333)*(E2=E$1:E333))))))</f>
        <v/>
      </c>
      <c r="K334" s="24" t="str">
        <f>IF(OR(E334="",E334="!!!",F334="NEW"),"",INDEX(J$1:J333,SUMPRODUCT(MAX(ROW(E$1:E333)*(E334=E$1:E333)))))</f>
        <v/>
      </c>
      <c r="L334" s="25"/>
    </row>
    <row r="335" spans="1:12" x14ac:dyDescent="0.2">
      <c r="A335" t="s">
        <v>74</v>
      </c>
      <c r="B335" s="26" t="s">
        <v>899</v>
      </c>
      <c r="C335" s="26" t="s">
        <v>814</v>
      </c>
      <c r="E335" s="20" t="str">
        <f t="shared" si="39"/>
        <v/>
      </c>
      <c r="F335" s="21" t="str">
        <f>IF(OR(E335="",E335="!!!"),"",IF(NOT(ISNA(VLOOKUP(E335,E$1:E334,1,FALSE()))),"OLD",IF(AND(E335&lt;&gt;"",E335&lt;&gt;"!!!"),"NEW","")))</f>
        <v/>
      </c>
      <c r="G335" s="22" t="str">
        <f>IF(OR(E335="",E335="!!!"),"",IF(OR(J335=0,AND(J335=1,K335=1),AND(J335=1,I335="SBJ"),AND(J335=1,I335=0)),"?IN_FOCUS",IF(J335&lt;=2,"?ACTIVATED",IF(J335&lt;&gt;"","?FAMILIAR",IF(F335="NEW",IF(ISNA(VLOOKUP(E335,#REF!,1,FALSE())),"?TYPE_IDENTIFIABLE","?REFERENTIAL"),"_")))))</f>
        <v/>
      </c>
      <c r="H335" s="23" t="str">
        <f t="shared" ca="1" si="38"/>
        <v/>
      </c>
      <c r="I335" s="24" t="str">
        <f>IF(OR(E335="",E335="!!!",F335="NEW"),"",INDEX(B$2:B334,-1+SUMPRODUCT(MAX(ROW(E$2:E334)*(E335=E$2:E334)))))</f>
        <v/>
      </c>
      <c r="J335" s="24" t="str">
        <f ca="1">IF(OR(E335="",E335="!!!",F335="NEW"),"",COUNTBLANK(OFFSET(A$1,,,SUMPRODUCT(MAX(ROW(E$2:E335)*(E335=E$2:E335)))))-COUNTBLANK(OFFSET(A$1,,,SUMPRODUCT(MAX(ROW(E$1:E334)*(E2=E$1:E334))))))</f>
        <v/>
      </c>
      <c r="K335" s="24" t="str">
        <f>IF(OR(E335="",E335="!!!",F335="NEW"),"",INDEX(J$1:J334,SUMPRODUCT(MAX(ROW(E$1:E334)*(E335=E$1:E334)))))</f>
        <v/>
      </c>
      <c r="L335" s="25"/>
    </row>
    <row r="336" spans="1:12" x14ac:dyDescent="0.2">
      <c r="A336" t="s">
        <v>821</v>
      </c>
      <c r="E336" s="20" t="str">
        <f t="shared" si="39"/>
        <v/>
      </c>
      <c r="F336" s="21" t="str">
        <f>IF(OR(E336="",E336="!!!"),"",IF(NOT(ISNA(VLOOKUP(E336,E$1:E335,1,FALSE()))),"OLD",IF(AND(E336&lt;&gt;"",E336&lt;&gt;"!!!"),"NEW","")))</f>
        <v/>
      </c>
      <c r="G336" s="22" t="str">
        <f>IF(OR(E336="",E336="!!!"),"",IF(OR(J336=0,AND(J336=1,K336=1),AND(J336=1,I336="SBJ"),AND(J336=1,I336=0)),"?IN_FOCUS",IF(J336&lt;=2,"?ACTIVATED",IF(J336&lt;&gt;"","?FAMILIAR",IF(F336="NEW",IF(ISNA(VLOOKUP(E336,#REF!,1,FALSE())),"?TYPE_IDENTIFIABLE","?REFERENTIAL"),"_")))))</f>
        <v/>
      </c>
      <c r="H336" s="23" t="str">
        <f t="shared" ca="1" si="38"/>
        <v/>
      </c>
      <c r="I336" s="24" t="str">
        <f>IF(OR(E336="",E336="!!!",F336="NEW"),"",INDEX(B$2:B335,-1+SUMPRODUCT(MAX(ROW(E$2:E335)*(E336=E$2:E335)))))</f>
        <v/>
      </c>
      <c r="J336" s="24" t="str">
        <f ca="1">IF(OR(E336="",E336="!!!",F336="NEW"),"",COUNTBLANK(OFFSET(A$1,,,SUMPRODUCT(MAX(ROW(E$2:E336)*(E336=E$2:E336)))))-COUNTBLANK(OFFSET(A$1,,,SUMPRODUCT(MAX(ROW(E$1:E335)*(E2=E$1:E335))))))</f>
        <v/>
      </c>
      <c r="K336" s="24" t="str">
        <f>IF(OR(E336="",E336="!!!",F336="NEW"),"",INDEX(J$1:J335,SUMPRODUCT(MAX(ROW(E$1:E335)*(E336=E$1:E335)))))</f>
        <v/>
      </c>
      <c r="L336" s="25"/>
    </row>
    <row r="338" spans="1:12" x14ac:dyDescent="0.2">
      <c r="A338" t="s">
        <v>994</v>
      </c>
    </row>
    <row r="339" spans="1:12" x14ac:dyDescent="0.2">
      <c r="A339" t="s">
        <v>995</v>
      </c>
      <c r="E339" s="20" t="str">
        <f>IF(D339="?OLD","!!!","")</f>
        <v/>
      </c>
      <c r="F339" s="21" t="str">
        <f>IF(OR(E339="",E339="!!!"),"",IF(NOT(ISNA(VLOOKUP(E339,E$1:E338,1,FALSE()))),"OLD",IF(AND(E339&lt;&gt;"",E339&lt;&gt;"!!!"),"NEW","")))</f>
        <v/>
      </c>
      <c r="G339" s="22" t="str">
        <f>IF(OR(E339="",E339="!!!"),"",IF(OR(J339=0,AND(J339=1,K339=1),AND(J339=1,I339="SBJ"),AND(J339=1,I339=0)),"?IN_FOCUS",IF(J339&lt;=2,"?ACTIVATED",IF(J339&lt;&gt;"","?FAMILIAR",IF(F339="NEW",IF(ISNA(VLOOKUP(E339,#REF!,1,FALSE())),"?TYPE_IDENTIFIABLE","?REFERENTIAL"),"_")))))</f>
        <v/>
      </c>
      <c r="H339" s="23" t="str">
        <f ca="1">IF(J339&lt;&gt;1,"",IF(I339="SBJ","CB","?"))</f>
        <v/>
      </c>
      <c r="I339" s="24" t="str">
        <f>IF(OR(E339="",E339="!!!",F339="NEW"),"",INDEX(B$2:B338,-1+SUMPRODUCT(MAX(ROW(E$2:E338)*(E339=E$2:E338)))))</f>
        <v/>
      </c>
      <c r="J339" s="24" t="str">
        <f ca="1">IF(OR(E339="",E339="!!!",F339="NEW"),"",COUNTBLANK(OFFSET(A$1,,,SUMPRODUCT(MAX(ROW(E$2:E339)*(E339=E$2:E339)))))-COUNTBLANK(OFFSET(A$1,,,SUMPRODUCT(MAX(ROW(E$1:E338)*(E2=E$1:E338))))))</f>
        <v/>
      </c>
      <c r="K339" s="24" t="str">
        <f>IF(OR(E339="",E339="!!!",F339="NEW"),"",INDEX(J$1:J338,SUMPRODUCT(MAX(ROW(E$1:E338)*(E339=E$1:E338)))))</f>
        <v/>
      </c>
      <c r="L339" s="25"/>
    </row>
    <row r="340" spans="1:12" x14ac:dyDescent="0.2">
      <c r="A340" t="s">
        <v>996</v>
      </c>
      <c r="E340" s="20" t="str">
        <f>IF(D340="?OLD","!!!","")</f>
        <v/>
      </c>
      <c r="F340" s="21" t="str">
        <f>IF(OR(E340="",E340="!!!"),"",IF(NOT(ISNA(VLOOKUP(E340,E$1:E339,1,FALSE()))),"OLD",IF(AND(E340&lt;&gt;"",E340&lt;&gt;"!!!"),"NEW","")))</f>
        <v/>
      </c>
      <c r="G340" s="22" t="str">
        <f>IF(OR(E340="",E340="!!!"),"",IF(OR(J340=0,AND(J340=1,K340=1),AND(J340=1,I340="SBJ"),AND(J340=1,I340=0)),"?IN_FOCUS",IF(J340&lt;=2,"?ACTIVATED",IF(J340&lt;&gt;"","?FAMILIAR",IF(F340="NEW",IF(ISNA(VLOOKUP(E340,#REF!,1,FALSE())),"?TYPE_IDENTIFIABLE","?REFERENTIAL"),"_")))))</f>
        <v/>
      </c>
      <c r="H340" s="23" t="str">
        <f ca="1">IF(J340&lt;&gt;1,"",IF(I340="SBJ","CB","?"))</f>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5"/>
    </row>
    <row r="341" spans="1:12" x14ac:dyDescent="0.2">
      <c r="A341" t="s">
        <v>102</v>
      </c>
      <c r="E341" s="20" t="str">
        <f>IF(D341="?OLD","!!!","")</f>
        <v/>
      </c>
      <c r="F341" s="21" t="str">
        <f>IF(OR(E341="",E341="!!!"),"",IF(NOT(ISNA(VLOOKUP(E341,E$1:E340,1,FALSE()))),"OLD",IF(AND(E341&lt;&gt;"",E341&lt;&gt;"!!!"),"NEW","")))</f>
        <v/>
      </c>
      <c r="G341" s="22" t="str">
        <f>IF(OR(E341="",E341="!!!"),"",IF(OR(J341=0,AND(J341=1,K341=1),AND(J341=1,I341="SBJ"),AND(J341=1,I341=0)),"?IN_FOCUS",IF(J341&lt;=2,"?ACTIVATED",IF(J341&lt;&gt;"","?FAMILIAR",IF(F341="NEW",IF(ISNA(VLOOKUP(E341,#REF!,1,FALSE())),"?TYPE_IDENTIFIABLE","?REFERENTIAL"),"_")))))</f>
        <v/>
      </c>
      <c r="H341" s="23" t="str">
        <f ca="1">IF(J341&lt;&gt;1,"",IF(I341="SBJ","CB","?"))</f>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5"/>
    </row>
    <row r="342" spans="1:12" x14ac:dyDescent="0.2">
      <c r="A342" t="s">
        <v>821</v>
      </c>
      <c r="E342" s="20" t="str">
        <f>IF(D342="?OLD","!!!","")</f>
        <v/>
      </c>
      <c r="F342" s="21" t="str">
        <f>IF(OR(E342="",E342="!!!"),"",IF(NOT(ISNA(VLOOKUP(E342,E$1:E341,1,FALSE()))),"OLD",IF(AND(E342&lt;&gt;"",E342&lt;&gt;"!!!"),"NEW","")))</f>
        <v/>
      </c>
      <c r="G342" s="22" t="str">
        <f>IF(OR(E342="",E342="!!!"),"",IF(OR(J342=0,AND(J342=1,K342=1),AND(J342=1,I342="SBJ"),AND(J342=1,I342=0)),"?IN_FOCUS",IF(J342&lt;=2,"?ACTIVATED",IF(J342&lt;&gt;"","?FAMILIAR",IF(F342="NEW",IF(ISNA(VLOOKUP(E342,#REF!,1,FALSE())),"?TYPE_IDENTIFIABLE","?REFERENTIAL"),"_")))))</f>
        <v/>
      </c>
      <c r="H342" s="23" t="str">
        <f ca="1">IF(J342&lt;&gt;1,"",IF(I342="SBJ","CB","?"))</f>
        <v/>
      </c>
      <c r="I342" s="24" t="str">
        <f>IF(OR(E342="",E342="!!!",F342="NEW"),"",INDEX(B$2:B341,-1+SUMPRODUCT(MAX(ROW(E$2:E341)*(E342=E$2:E341)))))</f>
        <v/>
      </c>
      <c r="J342" s="24" t="str">
        <f ca="1">IF(OR(E342="",E342="!!!",F342="NEW"),"",COUNTBLANK(OFFSET(A$1,,,SUMPRODUCT(MAX(ROW(E$2:E342)*(E342=E$2:E342)))))-COUNTBLANK(OFFSET(A$1,,,SUMPRODUCT(MAX(ROW(E$1:E341)*(E2=E$1:E341))))))</f>
        <v/>
      </c>
      <c r="K342" s="24" t="str">
        <f>IF(OR(E342="",E342="!!!",F342="NEW"),"",INDEX(J$1:J341,SUMPRODUCT(MAX(ROW(E$1:E341)*(E342=E$1:E341)))))</f>
        <v/>
      </c>
      <c r="L342" s="25"/>
    </row>
    <row r="344" spans="1:12" x14ac:dyDescent="0.2">
      <c r="A344" t="s">
        <v>997</v>
      </c>
    </row>
    <row r="345" spans="1:12" x14ac:dyDescent="0.2">
      <c r="A345" t="s">
        <v>837</v>
      </c>
      <c r="B345" s="26" t="s">
        <v>804</v>
      </c>
      <c r="C345" s="26" t="s">
        <v>805</v>
      </c>
      <c r="D345" s="26" t="s">
        <v>806</v>
      </c>
      <c r="E345" s="20" t="s">
        <v>74</v>
      </c>
      <c r="F345" s="21" t="str">
        <f>IF(OR(E345="",E345="!!!"),"",IF(NOT(ISNA(VLOOKUP(E345,E$1:E344,1,FALSE()))),"OLD",IF(AND(E345&lt;&gt;"",E345&lt;&gt;"!!!"),"NEW","")))</f>
        <v>OLD</v>
      </c>
      <c r="G345" s="22" t="s">
        <v>1825</v>
      </c>
      <c r="H345" s="23" t="str">
        <f t="shared" ref="H345:H352" ca="1" si="40">IF(J345&lt;&gt;1,"",IF(I345="SBJ","CB","?"))</f>
        <v/>
      </c>
      <c r="I345" s="24" t="str">
        <f>IF(OR(E345="",E345="!!!",F345="NEW"),"",INDEX(B$2:B344,-1+SUMPRODUCT(MAX(ROW(E$2:E344)*(E345=E$2:E344)))))</f>
        <v>SBJ</v>
      </c>
      <c r="J345" s="24">
        <f ca="1">IF(OR(E345="",E345="!!!",F345="NEW"),"",COUNTBLANK(OFFSET(A$1,,,SUMPRODUCT(MAX(ROW(E$2:E345)*(E345=E$2:E345)))))-COUNTBLANK(OFFSET(A$1,,,SUMPRODUCT(MAX(ROW(E$1:E344)*(E2=E$1:E344))))))</f>
        <v>0</v>
      </c>
      <c r="K345" s="24">
        <f ca="1">IF(OR(E345="",E345="!!!",F345="NEW"),"",INDEX(J$1:J344,SUMPRODUCT(MAX(ROW(E$1:E344)*(E345=E$1:E344)))))</f>
        <v>0</v>
      </c>
      <c r="L345" s="25"/>
    </row>
    <row r="346" spans="1:12" x14ac:dyDescent="0.2">
      <c r="A346" t="s">
        <v>998</v>
      </c>
      <c r="E346" s="20" t="str">
        <f t="shared" ref="E346:E352" si="41">IF(D346="?OLD","!!!","")</f>
        <v/>
      </c>
      <c r="F346" s="21" t="str">
        <f>IF(OR(E346="",E346="!!!"),"",IF(NOT(ISNA(VLOOKUP(E346,E$1:E345,1,FALSE()))),"OLD",IF(AND(E346&lt;&gt;"",E346&lt;&gt;"!!!"),"NEW","")))</f>
        <v/>
      </c>
      <c r="G346" s="22" t="str">
        <f>IF(OR(E346="",E346="!!!"),"",IF(OR(J346=0,AND(J346=1,K346=1),AND(J346=1,I346="SBJ"),AND(J346=1,I346=0)),"?IN_FOCUS",IF(J346&lt;=2,"?ACTIVATED",IF(J346&lt;&gt;"","?FAMILIAR",IF(F346="NEW",IF(ISNA(VLOOKUP(E346,#REF!,1,FALSE())),"?TYPE_IDENTIFIABLE","?REFERENTIAL"),"_")))))</f>
        <v/>
      </c>
      <c r="H346" s="23" t="str">
        <f t="shared" ca="1" si="40"/>
        <v/>
      </c>
      <c r="I346" s="24" t="str">
        <f>IF(OR(E346="",E346="!!!",F346="NEW"),"",INDEX(B$2:B345,-1+SUMPRODUCT(MAX(ROW(E$2:E345)*(E346=E$2:E345)))))</f>
        <v/>
      </c>
      <c r="J346" s="24" t="str">
        <f ca="1">IF(OR(E346="",E346="!!!",F346="NEW"),"",COUNTBLANK(OFFSET(A$1,,,SUMPRODUCT(MAX(ROW(E$2:E346)*(E346=E$2:E346)))))-COUNTBLANK(OFFSET(A$1,,,SUMPRODUCT(MAX(ROW(E$1:E345)*(E2=E$1:E345))))))</f>
        <v/>
      </c>
      <c r="K346" s="24" t="str">
        <f>IF(OR(E346="",E346="!!!",F346="NEW"),"",INDEX(J$1:J345,SUMPRODUCT(MAX(ROW(E$1:E345)*(E346=E$1:E345)))))</f>
        <v/>
      </c>
      <c r="L346" s="25"/>
    </row>
    <row r="347" spans="1:12" x14ac:dyDescent="0.2">
      <c r="A347" t="s">
        <v>999</v>
      </c>
      <c r="E347" s="20" t="str">
        <f t="shared" si="41"/>
        <v/>
      </c>
      <c r="F347" s="21" t="str">
        <f>IF(OR(E347="",E347="!!!"),"",IF(NOT(ISNA(VLOOKUP(E347,E$1:E346,1,FALSE()))),"OLD",IF(AND(E347&lt;&gt;"",E347&lt;&gt;"!!!"),"NEW","")))</f>
        <v/>
      </c>
      <c r="G347" s="22" t="str">
        <f>IF(OR(E347="",E347="!!!"),"",IF(OR(J347=0,AND(J347=1,K347=1),AND(J347=1,I347="SBJ"),AND(J347=1,I347=0)),"?IN_FOCUS",IF(J347&lt;=2,"?ACTIVATED",IF(J347&lt;&gt;"","?FAMILIAR",IF(F347="NEW",IF(ISNA(VLOOKUP(E347,#REF!,1,FALSE())),"?TYPE_IDENTIFIABLE","?REFERENTIAL"),"_")))))</f>
        <v/>
      </c>
      <c r="H347" s="23" t="str">
        <f t="shared" ca="1" si="40"/>
        <v/>
      </c>
      <c r="I347" s="24" t="str">
        <f>IF(OR(E347="",E347="!!!",F347="NEW"),"",INDEX(B$2:B346,-1+SUMPRODUCT(MAX(ROW(E$2:E346)*(E347=E$2:E346)))))</f>
        <v/>
      </c>
      <c r="J347" s="24" t="str">
        <f ca="1">IF(OR(E347="",E347="!!!",F347="NEW"),"",COUNTBLANK(OFFSET(A$1,,,SUMPRODUCT(MAX(ROW(E$2:E347)*(E347=E$2:E347)))))-COUNTBLANK(OFFSET(A$1,,,SUMPRODUCT(MAX(ROW(E$1:E346)*(E2=E$1:E346))))))</f>
        <v/>
      </c>
      <c r="K347" s="24" t="str">
        <f>IF(OR(E347="",E347="!!!",F347="NEW"),"",INDEX(J$1:J346,SUMPRODUCT(MAX(ROW(E$1:E346)*(E347=E$1:E346)))))</f>
        <v/>
      </c>
      <c r="L347" s="25"/>
    </row>
    <row r="348" spans="1:12" x14ac:dyDescent="0.2">
      <c r="A348" t="s">
        <v>106</v>
      </c>
      <c r="E348" s="20" t="str">
        <f t="shared" si="41"/>
        <v/>
      </c>
      <c r="F348" s="21" t="str">
        <f>IF(OR(E348="",E348="!!!"),"",IF(NOT(ISNA(VLOOKUP(E348,E$1:E347,1,FALSE()))),"OLD",IF(AND(E348&lt;&gt;"",E348&lt;&gt;"!!!"),"NEW","")))</f>
        <v/>
      </c>
      <c r="G348" s="22" t="str">
        <f>IF(OR(E348="",E348="!!!"),"",IF(OR(J348=0,AND(J348=1,K348=1),AND(J348=1,I348="SBJ"),AND(J348=1,I348=0)),"?IN_FOCUS",IF(J348&lt;=2,"?ACTIVATED",IF(J348&lt;&gt;"","?FAMILIAR",IF(F348="NEW",IF(ISNA(VLOOKUP(E348,#REF!,1,FALSE())),"?TYPE_IDENTIFIABLE","?REFERENTIAL"),"_")))))</f>
        <v/>
      </c>
      <c r="H348" s="23" t="str">
        <f t="shared" ca="1" si="40"/>
        <v/>
      </c>
      <c r="I348" s="24" t="str">
        <f>IF(OR(E348="",E348="!!!",F348="NEW"),"",INDEX(B$2:B347,-1+SUMPRODUCT(MAX(ROW(E$2:E347)*(E348=E$2:E347)))))</f>
        <v/>
      </c>
      <c r="J348" s="24" t="str">
        <f ca="1">IF(OR(E348="",E348="!!!",F348="NEW"),"",COUNTBLANK(OFFSET(A$1,,,SUMPRODUCT(MAX(ROW(E$2:E348)*(E348=E$2:E348)))))-COUNTBLANK(OFFSET(A$1,,,SUMPRODUCT(MAX(ROW(E$1:E347)*(E2=E$1:E347))))))</f>
        <v/>
      </c>
      <c r="K348" s="24" t="str">
        <f>IF(OR(E348="",E348="!!!",F348="NEW"),"",INDEX(J$1:J347,SUMPRODUCT(MAX(ROW(E$1:E347)*(E348=E$1:E347)))))</f>
        <v/>
      </c>
      <c r="L348" s="25"/>
    </row>
    <row r="349" spans="1:12" x14ac:dyDescent="0.2">
      <c r="A349" t="s">
        <v>996</v>
      </c>
      <c r="E349" s="20" t="str">
        <f t="shared" si="41"/>
        <v/>
      </c>
      <c r="F349" s="21" t="str">
        <f>IF(OR(E349="",E349="!!!"),"",IF(NOT(ISNA(VLOOKUP(E349,E$1:E348,1,FALSE()))),"OLD",IF(AND(E349&lt;&gt;"",E349&lt;&gt;"!!!"),"NEW","")))</f>
        <v/>
      </c>
      <c r="G349" s="22" t="str">
        <f>IF(OR(E349="",E349="!!!"),"",IF(OR(J349=0,AND(J349=1,K349=1),AND(J349=1,I349="SBJ"),AND(J349=1,I349=0)),"?IN_FOCUS",IF(J349&lt;=2,"?ACTIVATED",IF(J349&lt;&gt;"","?FAMILIAR",IF(F349="NEW",IF(ISNA(VLOOKUP(E349,#REF!,1,FALSE())),"?TYPE_IDENTIFIABLE","?REFERENTIAL"),"_")))))</f>
        <v/>
      </c>
      <c r="H349" s="23" t="str">
        <f t="shared" ca="1" si="40"/>
        <v/>
      </c>
      <c r="I349" s="24" t="str">
        <f>IF(OR(E349="",E349="!!!",F349="NEW"),"",INDEX(B$2:B348,-1+SUMPRODUCT(MAX(ROW(E$2:E348)*(E349=E$2:E348)))))</f>
        <v/>
      </c>
      <c r="J349" s="24" t="str">
        <f ca="1">IF(OR(E349="",E349="!!!",F349="NEW"),"",COUNTBLANK(OFFSET(A$1,,,SUMPRODUCT(MAX(ROW(E$2:E349)*(E349=E$2:E349)))))-COUNTBLANK(OFFSET(A$1,,,SUMPRODUCT(MAX(ROW(E$1:E348)*(E2=E$1:E348))))))</f>
        <v/>
      </c>
      <c r="K349" s="24" t="str">
        <f>IF(OR(E349="",E349="!!!",F349="NEW"),"",INDEX(J$1:J348,SUMPRODUCT(MAX(ROW(E$1:E348)*(E349=E$1:E348)))))</f>
        <v/>
      </c>
      <c r="L349" s="25"/>
    </row>
    <row r="350" spans="1:12" x14ac:dyDescent="0.2">
      <c r="A350" t="s">
        <v>868</v>
      </c>
      <c r="E350" s="20" t="str">
        <f t="shared" si="41"/>
        <v/>
      </c>
      <c r="F350" s="21"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ca="1" si="40"/>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5"/>
    </row>
    <row r="351" spans="1:12" x14ac:dyDescent="0.2">
      <c r="A351" t="s">
        <v>1000</v>
      </c>
      <c r="E351" s="20" t="str">
        <f t="shared" si="41"/>
        <v/>
      </c>
      <c r="F351" s="21"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40"/>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5"/>
    </row>
    <row r="352" spans="1:12" x14ac:dyDescent="0.2">
      <c r="A352" t="s">
        <v>821</v>
      </c>
      <c r="E352" s="20" t="str">
        <f t="shared" si="41"/>
        <v/>
      </c>
      <c r="F352" s="21" t="str">
        <f>IF(OR(E352="",E352="!!!"),"",IF(NOT(ISNA(VLOOKUP(E352,E$1:E351,1,FALSE()))),"OLD",IF(AND(E352&lt;&gt;"",E352&lt;&gt;"!!!"),"NEW","")))</f>
        <v/>
      </c>
      <c r="G352" s="22" t="str">
        <f>IF(OR(E352="",E352="!!!"),"",IF(OR(J352=0,AND(J352=1,K352=1),AND(J352=1,I352="SBJ"),AND(J352=1,I352=0)),"?IN_FOCUS",IF(J352&lt;=2,"?ACTIVATED",IF(J352&lt;&gt;"","?FAMILIAR",IF(F352="NEW",IF(ISNA(VLOOKUP(E352,#REF!,1,FALSE())),"?TYPE_IDENTIFIABLE","?REFERENTIAL"),"_")))))</f>
        <v/>
      </c>
      <c r="H352" s="23" t="str">
        <f t="shared" ca="1" si="40"/>
        <v/>
      </c>
      <c r="I352" s="24" t="str">
        <f>IF(OR(E352="",E352="!!!",F352="NEW"),"",INDEX(B$2:B351,-1+SUMPRODUCT(MAX(ROW(E$2:E351)*(E352=E$2:E351)))))</f>
        <v/>
      </c>
      <c r="J352" s="24" t="str">
        <f ca="1">IF(OR(E352="",E352="!!!",F352="NEW"),"",COUNTBLANK(OFFSET(A$1,,,SUMPRODUCT(MAX(ROW(E$2:E352)*(E352=E$2:E352)))))-COUNTBLANK(OFFSET(A$1,,,SUMPRODUCT(MAX(ROW(E$1:E351)*(E2=E$1:E351))))))</f>
        <v/>
      </c>
      <c r="K352" s="24" t="str">
        <f>IF(OR(E352="",E352="!!!",F352="NEW"),"",INDEX(J$1:J351,SUMPRODUCT(MAX(ROW(E$1:E351)*(E352=E$1:E351)))))</f>
        <v/>
      </c>
      <c r="L352" s="25"/>
    </row>
    <row r="354" spans="1:12" x14ac:dyDescent="0.2">
      <c r="A354" t="s">
        <v>1001</v>
      </c>
    </row>
    <row r="355" spans="1:12" x14ac:dyDescent="0.2">
      <c r="A355" t="s">
        <v>801</v>
      </c>
      <c r="E355" s="20" t="str">
        <f t="shared" ref="E355:E368" si="42">IF(D355="?OLD","!!!","")</f>
        <v/>
      </c>
      <c r="F355" s="21" t="str">
        <f>IF(OR(E355="",E355="!!!"),"",IF(NOT(ISNA(VLOOKUP(E355,E$1:E354,1,FALSE()))),"OLD",IF(AND(E355&lt;&gt;"",E355&lt;&gt;"!!!"),"NEW","")))</f>
        <v/>
      </c>
      <c r="G355" s="22" t="str">
        <f>IF(OR(E355="",E355="!!!"),"",IF(OR(J355=0,AND(J355=1,K355=1),AND(J355=1,I355="SBJ"),AND(J355=1,I355=0)),"?IN_FOCUS",IF(J355&lt;=2,"?ACTIVATED",IF(J355&lt;&gt;"","?FAMILIAR",IF(F355="NEW",IF(ISNA(VLOOKUP(E355,#REF!,1,FALSE())),"?TYPE_IDENTIFIABLE","?REFERENTIAL"),"_")))))</f>
        <v/>
      </c>
      <c r="H355" s="23" t="str">
        <f t="shared" ref="H355:H368" ca="1" si="43">IF(J355&lt;&gt;1,"",IF(I355="SBJ","CB","?"))</f>
        <v/>
      </c>
      <c r="I355" s="24" t="str">
        <f>IF(OR(E355="",E355="!!!",F355="NEW"),"",INDEX(B$2:B354,-1+SUMPRODUCT(MAX(ROW(E$2:E354)*(E355=E$2:E354)))))</f>
        <v/>
      </c>
      <c r="J355" s="24" t="str">
        <f ca="1">IF(OR(E355="",E355="!!!",F355="NEW"),"",COUNTBLANK(OFFSET(A$1,,,SUMPRODUCT(MAX(ROW(E$2:E355)*(E355=E$2:E355)))))-COUNTBLANK(OFFSET(A$1,,,SUMPRODUCT(MAX(ROW(E$1:E354)*(E2=E$1:E354))))))</f>
        <v/>
      </c>
      <c r="K355" s="24" t="str">
        <f>IF(OR(E355="",E355="!!!",F355="NEW"),"",INDEX(J$1:J354,SUMPRODUCT(MAX(ROW(E$1:E354)*(E355=E$1:E354)))))</f>
        <v/>
      </c>
      <c r="L355" s="25"/>
    </row>
    <row r="356" spans="1:12" x14ac:dyDescent="0.2">
      <c r="A356" t="s">
        <v>392</v>
      </c>
      <c r="E356" s="20" t="str">
        <f t="shared" si="42"/>
        <v/>
      </c>
      <c r="F356" s="21" t="str">
        <f>IF(OR(E356="",E356="!!!"),"",IF(NOT(ISNA(VLOOKUP(E356,E$1:E355,1,FALSE()))),"OLD",IF(AND(E356&lt;&gt;"",E356&lt;&gt;"!!!"),"NEW","")))</f>
        <v/>
      </c>
      <c r="G356" s="22" t="str">
        <f>IF(OR(E356="",E356="!!!"),"",IF(OR(J356=0,AND(J356=1,K356=1),AND(J356=1,I356="SBJ"),AND(J356=1,I356=0)),"?IN_FOCUS",IF(J356&lt;=2,"?ACTIVATED",IF(J356&lt;&gt;"","?FAMILIAR",IF(F356="NEW",IF(ISNA(VLOOKUP(E356,#REF!,1,FALSE())),"?TYPE_IDENTIFIABLE","?REFERENTIAL"),"_")))))</f>
        <v/>
      </c>
      <c r="H356" s="23" t="str">
        <f t="shared" ca="1" si="43"/>
        <v/>
      </c>
      <c r="I356" s="24" t="str">
        <f>IF(OR(E356="",E356="!!!",F356="NEW"),"",INDEX(B$2:B355,-1+SUMPRODUCT(MAX(ROW(E$2:E355)*(E356=E$2:E355)))))</f>
        <v/>
      </c>
      <c r="J356" s="24" t="str">
        <f ca="1">IF(OR(E356="",E356="!!!",F356="NEW"),"",COUNTBLANK(OFFSET(A$1,,,SUMPRODUCT(MAX(ROW(E$2:E356)*(E356=E$2:E356)))))-COUNTBLANK(OFFSET(A$1,,,SUMPRODUCT(MAX(ROW(E$1:E355)*(E2=E$1:E355))))))</f>
        <v/>
      </c>
      <c r="K356" s="24" t="str">
        <f>IF(OR(E356="",E356="!!!",F356="NEW"),"",INDEX(J$1:J355,SUMPRODUCT(MAX(ROW(E$1:E355)*(E356=E$1:E355)))))</f>
        <v/>
      </c>
      <c r="L356" s="25"/>
    </row>
    <row r="357" spans="1:12" x14ac:dyDescent="0.2">
      <c r="A357" t="s">
        <v>802</v>
      </c>
      <c r="E357" s="20" t="str">
        <f t="shared" si="42"/>
        <v/>
      </c>
      <c r="F357" s="21" t="str">
        <f>IF(OR(E357="",E357="!!!"),"",IF(NOT(ISNA(VLOOKUP(E357,E$1:E356,1,FALSE()))),"OLD",IF(AND(E357&lt;&gt;"",E357&lt;&gt;"!!!"),"NEW","")))</f>
        <v/>
      </c>
      <c r="G357" s="22" t="str">
        <f>IF(OR(E357="",E357="!!!"),"",IF(OR(J357=0,AND(J357=1,K357=1),AND(J357=1,I357="SBJ"),AND(J357=1,I357=0)),"?IN_FOCUS",IF(J357&lt;=2,"?ACTIVATED",IF(J357&lt;&gt;"","?FAMILIAR",IF(F357="NEW",IF(ISNA(VLOOKUP(E357,#REF!,1,FALSE())),"?TYPE_IDENTIFIABLE","?REFERENTIAL"),"_")))))</f>
        <v/>
      </c>
      <c r="H357" s="23" t="str">
        <f t="shared" ca="1" si="43"/>
        <v/>
      </c>
      <c r="I357" s="24" t="str">
        <f>IF(OR(E357="",E357="!!!",F357="NEW"),"",INDEX(B$2:B356,-1+SUMPRODUCT(MAX(ROW(E$2:E356)*(E357=E$2:E356)))))</f>
        <v/>
      </c>
      <c r="J357" s="24" t="str">
        <f ca="1">IF(OR(E357="",E357="!!!",F357="NEW"),"",COUNTBLANK(OFFSET(A$1,,,SUMPRODUCT(MAX(ROW(E$2:E357)*(E357=E$2:E357)))))-COUNTBLANK(OFFSET(A$1,,,SUMPRODUCT(MAX(ROW(E$1:E356)*(E2=E$1:E356))))))</f>
        <v/>
      </c>
      <c r="K357" s="24" t="str">
        <f>IF(OR(E357="",E357="!!!",F357="NEW"),"",INDEX(J$1:J356,SUMPRODUCT(MAX(ROW(E$1:E356)*(E357=E$1:E356)))))</f>
        <v/>
      </c>
      <c r="L357" s="25"/>
    </row>
    <row r="358" spans="1:12" x14ac:dyDescent="0.2">
      <c r="A358" t="s">
        <v>1002</v>
      </c>
      <c r="E358" s="20" t="str">
        <f t="shared" si="42"/>
        <v/>
      </c>
      <c r="F358" s="21" t="str">
        <f>IF(OR(E358="",E358="!!!"),"",IF(NOT(ISNA(VLOOKUP(E358,E$1:E357,1,FALSE()))),"OLD",IF(AND(E358&lt;&gt;"",E358&lt;&gt;"!!!"),"NEW","")))</f>
        <v/>
      </c>
      <c r="G358" s="22" t="str">
        <f>IF(OR(E358="",E358="!!!"),"",IF(OR(J358=0,AND(J358=1,K358=1),AND(J358=1,I358="SBJ"),AND(J358=1,I358=0)),"?IN_FOCUS",IF(J358&lt;=2,"?ACTIVATED",IF(J358&lt;&gt;"","?FAMILIAR",IF(F358="NEW",IF(ISNA(VLOOKUP(E358,#REF!,1,FALSE())),"?TYPE_IDENTIFIABLE","?REFERENTIAL"),"_")))))</f>
        <v/>
      </c>
      <c r="H358" s="23" t="str">
        <f t="shared" ca="1" si="43"/>
        <v/>
      </c>
      <c r="I358" s="24" t="str">
        <f>IF(OR(E358="",E358="!!!",F358="NEW"),"",INDEX(B$2:B357,-1+SUMPRODUCT(MAX(ROW(E$2:E357)*(E358=E$2:E357)))))</f>
        <v/>
      </c>
      <c r="J358" s="24" t="str">
        <f ca="1">IF(OR(E358="",E358="!!!",F358="NEW"),"",COUNTBLANK(OFFSET(A$1,,,SUMPRODUCT(MAX(ROW(E$2:E358)*(E358=E$2:E358)))))-COUNTBLANK(OFFSET(A$1,,,SUMPRODUCT(MAX(ROW(E$1:E357)*(E2=E$1:E357))))))</f>
        <v/>
      </c>
      <c r="K358" s="24" t="str">
        <f>IF(OR(E358="",E358="!!!",F358="NEW"),"",INDEX(J$1:J357,SUMPRODUCT(MAX(ROW(E$1:E357)*(E358=E$1:E357)))))</f>
        <v/>
      </c>
      <c r="L358" s="25"/>
    </row>
    <row r="359" spans="1:12" x14ac:dyDescent="0.2">
      <c r="A359" t="s">
        <v>802</v>
      </c>
      <c r="E359" s="20" t="str">
        <f t="shared" si="42"/>
        <v/>
      </c>
      <c r="F359" s="21" t="str">
        <f>IF(OR(E359="",E359="!!!"),"",IF(NOT(ISNA(VLOOKUP(E359,E$1:E358,1,FALSE()))),"OLD",IF(AND(E359&lt;&gt;"",E359&lt;&gt;"!!!"),"NEW","")))</f>
        <v/>
      </c>
      <c r="G359" s="22" t="str">
        <f>IF(OR(E359="",E359="!!!"),"",IF(OR(J359=0,AND(J359=1,K359=1),AND(J359=1,I359="SBJ"),AND(J359=1,I359=0)),"?IN_FOCUS",IF(J359&lt;=2,"?ACTIVATED",IF(J359&lt;&gt;"","?FAMILIAR",IF(F359="NEW",IF(ISNA(VLOOKUP(E359,#REF!,1,FALSE())),"?TYPE_IDENTIFIABLE","?REFERENTIAL"),"_")))))</f>
        <v/>
      </c>
      <c r="H359" s="23" t="str">
        <f t="shared" ca="1" si="43"/>
        <v/>
      </c>
      <c r="I359" s="24" t="str">
        <f>IF(OR(E359="",E359="!!!",F359="NEW"),"",INDEX(B$2:B358,-1+SUMPRODUCT(MAX(ROW(E$2:E358)*(E359=E$2:E358)))))</f>
        <v/>
      </c>
      <c r="J359" s="24" t="str">
        <f ca="1">IF(OR(E359="",E359="!!!",F359="NEW"),"",COUNTBLANK(OFFSET(A$1,,,SUMPRODUCT(MAX(ROW(E$2:E359)*(E359=E$2:E359)))))-COUNTBLANK(OFFSET(A$1,,,SUMPRODUCT(MAX(ROW(E$1:E358)*(E2=E$1:E358))))))</f>
        <v/>
      </c>
      <c r="K359" s="24" t="str">
        <f>IF(OR(E359="",E359="!!!",F359="NEW"),"",INDEX(J$1:J358,SUMPRODUCT(MAX(ROW(E$1:E358)*(E359=E$1:E358)))))</f>
        <v/>
      </c>
      <c r="L359" s="25"/>
    </row>
    <row r="360" spans="1:12" x14ac:dyDescent="0.2">
      <c r="A360" t="s">
        <v>831</v>
      </c>
      <c r="E360" s="20" t="str">
        <f t="shared" si="42"/>
        <v/>
      </c>
      <c r="F360" s="21" t="str">
        <f>IF(OR(E360="",E360="!!!"),"",IF(NOT(ISNA(VLOOKUP(E360,E$1:E359,1,FALSE()))),"OLD",IF(AND(E360&lt;&gt;"",E360&lt;&gt;"!!!"),"NEW","")))</f>
        <v/>
      </c>
      <c r="G360" s="22" t="str">
        <f>IF(OR(E360="",E360="!!!"),"",IF(OR(J360=0,AND(J360=1,K360=1),AND(J360=1,I360="SBJ"),AND(J360=1,I360=0)),"?IN_FOCUS",IF(J360&lt;=2,"?ACTIVATED",IF(J360&lt;&gt;"","?FAMILIAR",IF(F360="NEW",IF(ISNA(VLOOKUP(E360,#REF!,1,FALSE())),"?TYPE_IDENTIFIABLE","?REFERENTIAL"),"_")))))</f>
        <v/>
      </c>
      <c r="H360" s="23" t="str">
        <f t="shared" ca="1" si="43"/>
        <v/>
      </c>
      <c r="I360" s="24" t="str">
        <f>IF(OR(E360="",E360="!!!",F360="NEW"),"",INDEX(B$2:B359,-1+SUMPRODUCT(MAX(ROW(E$2:E359)*(E360=E$2:E359)))))</f>
        <v/>
      </c>
      <c r="J360" s="24" t="str">
        <f ca="1">IF(OR(E360="",E360="!!!",F360="NEW"),"",COUNTBLANK(OFFSET(A$1,,,SUMPRODUCT(MAX(ROW(E$2:E360)*(E360=E$2:E360)))))-COUNTBLANK(OFFSET(A$1,,,SUMPRODUCT(MAX(ROW(E$1:E359)*(E2=E$1:E359))))))</f>
        <v/>
      </c>
      <c r="K360" s="24" t="str">
        <f>IF(OR(E360="",E360="!!!",F360="NEW"),"",INDEX(J$1:J359,SUMPRODUCT(MAX(ROW(E$1:E359)*(E360=E$1:E359)))))</f>
        <v/>
      </c>
      <c r="L360" s="25"/>
    </row>
    <row r="361" spans="1:12" x14ac:dyDescent="0.2">
      <c r="A361" t="s">
        <v>809</v>
      </c>
      <c r="E361" s="20" t="str">
        <f t="shared" si="42"/>
        <v/>
      </c>
      <c r="F361" s="21" t="str">
        <f>IF(OR(E361="",E361="!!!"),"",IF(NOT(ISNA(VLOOKUP(E361,E$1:E360,1,FALSE()))),"OLD",IF(AND(E361&lt;&gt;"",E361&lt;&gt;"!!!"),"NEW","")))</f>
        <v/>
      </c>
      <c r="G361" s="22" t="str">
        <f>IF(OR(E361="",E361="!!!"),"",IF(OR(J361=0,AND(J361=1,K361=1),AND(J361=1,I361="SBJ"),AND(J361=1,I361=0)),"?IN_FOCUS",IF(J361&lt;=2,"?ACTIVATED",IF(J361&lt;&gt;"","?FAMILIAR",IF(F361="NEW",IF(ISNA(VLOOKUP(E361,#REF!,1,FALSE())),"?TYPE_IDENTIFIABLE","?REFERENTIAL"),"_")))))</f>
        <v/>
      </c>
      <c r="H361" s="23" t="str">
        <f t="shared" ca="1" si="43"/>
        <v/>
      </c>
      <c r="I361" s="24" t="str">
        <f>IF(OR(E361="",E361="!!!",F361="NEW"),"",INDEX(B$2:B360,-1+SUMPRODUCT(MAX(ROW(E$2:E360)*(E361=E$2:E360)))))</f>
        <v/>
      </c>
      <c r="J361" s="24" t="str">
        <f ca="1">IF(OR(E361="",E361="!!!",F361="NEW"),"",COUNTBLANK(OFFSET(A$1,,,SUMPRODUCT(MAX(ROW(E$2:E361)*(E361=E$2:E361)))))-COUNTBLANK(OFFSET(A$1,,,SUMPRODUCT(MAX(ROW(E$1:E360)*(E2=E$1:E360))))))</f>
        <v/>
      </c>
      <c r="K361" s="24" t="str">
        <f>IF(OR(E361="",E361="!!!",F361="NEW"),"",INDEX(J$1:J360,SUMPRODUCT(MAX(ROW(E$1:E360)*(E361=E$1:E360)))))</f>
        <v/>
      </c>
      <c r="L361" s="25"/>
    </row>
    <row r="362" spans="1:12" x14ac:dyDescent="0.2">
      <c r="A362" t="s">
        <v>886</v>
      </c>
      <c r="B362" s="26" t="s">
        <v>819</v>
      </c>
      <c r="C362" s="26" t="s">
        <v>811</v>
      </c>
      <c r="E362" s="20" t="s">
        <v>1759</v>
      </c>
      <c r="F362" s="21" t="str">
        <f>IF(OR(E362="",E362="!!!"),"",IF(NOT(ISNA(VLOOKUP(E362,E$1:E361,1,FALSE()))),"OLD",IF(AND(E362&lt;&gt;"",E362&lt;&gt;"!!!"),"NEW","")))</f>
        <v>NEW</v>
      </c>
      <c r="G362" s="22" t="s">
        <v>1824</v>
      </c>
      <c r="H362" s="23" t="str">
        <f t="shared" ca="1" si="43"/>
        <v/>
      </c>
      <c r="I362" s="24" t="str">
        <f>IF(OR(E362="",E362="!!!",F362="NEW"),"",INDEX(B$2:B361,-1+SUMPRODUCT(MAX(ROW(E$2:E361)*(E362=E$2:E361)))))</f>
        <v/>
      </c>
      <c r="J362" s="24" t="str">
        <f ca="1">IF(OR(E362="",E362="!!!",F362="NEW"),"",COUNTBLANK(OFFSET(A$1,,,SUMPRODUCT(MAX(ROW(E$2:E362)*(E362=E$2:E362)))))-COUNTBLANK(OFFSET(A$1,,,SUMPRODUCT(MAX(ROW(E$1:E361)*(E2=E$1:E361))))))</f>
        <v/>
      </c>
      <c r="K362" s="24" t="str">
        <f>IF(OR(E362="",E362="!!!",F362="NEW"),"",INDEX(J$1:J361,SUMPRODUCT(MAX(ROW(E$1:E361)*(E362=E$1:E361)))))</f>
        <v/>
      </c>
      <c r="L362" s="25"/>
    </row>
    <row r="363" spans="1:12" x14ac:dyDescent="0.2">
      <c r="A363" t="s">
        <v>908</v>
      </c>
      <c r="E363" s="20" t="str">
        <f t="shared" si="42"/>
        <v/>
      </c>
      <c r="F363" s="21" t="str">
        <f>IF(OR(E363="",E363="!!!"),"",IF(NOT(ISNA(VLOOKUP(E363,E$1:E362,1,FALSE()))),"OLD",IF(AND(E363&lt;&gt;"",E363&lt;&gt;"!!!"),"NEW","")))</f>
        <v/>
      </c>
      <c r="G363" s="22" t="str">
        <f>IF(OR(E363="",E363="!!!"),"",IF(OR(J363=0,AND(J363=1,K363=1),AND(J363=1,I363="SBJ"),AND(J363=1,I363=0)),"?IN_FOCUS",IF(J363&lt;=2,"?ACTIVATED",IF(J363&lt;&gt;"","?FAMILIAR",IF(F363="NEW",IF(ISNA(VLOOKUP(E363,#REF!,1,FALSE())),"?TYPE_IDENTIFIABLE","?REFERENTIAL"),"_")))))</f>
        <v/>
      </c>
      <c r="H363" s="23" t="str">
        <f t="shared" ca="1" si="43"/>
        <v/>
      </c>
      <c r="I363" s="24" t="str">
        <f>IF(OR(E363="",E363="!!!",F363="NEW"),"",INDEX(B$2:B362,-1+SUMPRODUCT(MAX(ROW(E$2:E362)*(E363=E$2:E362)))))</f>
        <v/>
      </c>
      <c r="J363" s="24" t="str">
        <f ca="1">IF(OR(E363="",E363="!!!",F363="NEW"),"",COUNTBLANK(OFFSET(A$1,,,SUMPRODUCT(MAX(ROW(E$2:E363)*(E363=E$2:E363)))))-COUNTBLANK(OFFSET(A$1,,,SUMPRODUCT(MAX(ROW(E$1:E362)*(E2=E$1:E362))))))</f>
        <v/>
      </c>
      <c r="K363" s="24" t="str">
        <f>IF(OR(E363="",E363="!!!",F363="NEW"),"",INDEX(J$1:J362,SUMPRODUCT(MAX(ROW(E$1:E362)*(E363=E$1:E362)))))</f>
        <v/>
      </c>
      <c r="L363" s="25"/>
    </row>
    <row r="364" spans="1:12" x14ac:dyDescent="0.2">
      <c r="A364" t="s">
        <v>859</v>
      </c>
      <c r="E364" s="20" t="str">
        <f t="shared" si="42"/>
        <v/>
      </c>
      <c r="F364" s="21" t="str">
        <f>IF(OR(E364="",E364="!!!"),"",IF(NOT(ISNA(VLOOKUP(E364,E$1:E363,1,FALSE()))),"OLD",IF(AND(E364&lt;&gt;"",E364&lt;&gt;"!!!"),"NEW","")))</f>
        <v/>
      </c>
      <c r="G364" s="22" t="str">
        <f>IF(OR(E364="",E364="!!!"),"",IF(OR(J364=0,AND(J364=1,K364=1),AND(J364=1,I364="SBJ"),AND(J364=1,I364=0)),"?IN_FOCUS",IF(J364&lt;=2,"?ACTIVATED",IF(J364&lt;&gt;"","?FAMILIAR",IF(F364="NEW",IF(ISNA(VLOOKUP(E364,#REF!,1,FALSE())),"?TYPE_IDENTIFIABLE","?REFERENTIAL"),"_")))))</f>
        <v/>
      </c>
      <c r="H364" s="23" t="str">
        <f t="shared" ca="1" si="43"/>
        <v/>
      </c>
      <c r="I364" s="24" t="str">
        <f>IF(OR(E364="",E364="!!!",F364="NEW"),"",INDEX(B$2:B363,-1+SUMPRODUCT(MAX(ROW(E$2:E363)*(E364=E$2:E363)))))</f>
        <v/>
      </c>
      <c r="J364" s="24" t="str">
        <f ca="1">IF(OR(E364="",E364="!!!",F364="NEW"),"",COUNTBLANK(OFFSET(A$1,,,SUMPRODUCT(MAX(ROW(E$2:E364)*(E364=E$2:E364)))))-COUNTBLANK(OFFSET(A$1,,,SUMPRODUCT(MAX(ROW(E$1:E363)*(E2=E$1:E363))))))</f>
        <v/>
      </c>
      <c r="K364" s="24" t="str">
        <f>IF(OR(E364="",E364="!!!",F364="NEW"),"",INDEX(J$1:J363,SUMPRODUCT(MAX(ROW(E$1:E363)*(E364=E$1:E363)))))</f>
        <v/>
      </c>
      <c r="L364" s="25"/>
    </row>
    <row r="365" spans="1:12" x14ac:dyDescent="0.2">
      <c r="A365" t="s">
        <v>309</v>
      </c>
      <c r="E365" s="20" t="str">
        <f t="shared" si="42"/>
        <v/>
      </c>
      <c r="F365" s="21" t="str">
        <f>IF(OR(E365="",E365="!!!"),"",IF(NOT(ISNA(VLOOKUP(E365,E$1:E364,1,FALSE()))),"OLD",IF(AND(E365&lt;&gt;"",E365&lt;&gt;"!!!"),"NEW","")))</f>
        <v/>
      </c>
      <c r="G365" s="22" t="str">
        <f>IF(OR(E365="",E365="!!!"),"",IF(OR(J365=0,AND(J365=1,K365=1),AND(J365=1,I365="SBJ"),AND(J365=1,I365=0)),"?IN_FOCUS",IF(J365&lt;=2,"?ACTIVATED",IF(J365&lt;&gt;"","?FAMILIAR",IF(F365="NEW",IF(ISNA(VLOOKUP(E365,#REF!,1,FALSE())),"?TYPE_IDENTIFIABLE","?REFERENTIAL"),"_")))))</f>
        <v/>
      </c>
      <c r="H365" s="23" t="str">
        <f t="shared" ca="1" si="43"/>
        <v/>
      </c>
      <c r="I365" s="24" t="str">
        <f>IF(OR(E365="",E365="!!!",F365="NEW"),"",INDEX(B$2:B364,-1+SUMPRODUCT(MAX(ROW(E$2:E364)*(E365=E$2:E364)))))</f>
        <v/>
      </c>
      <c r="J365" s="24" t="str">
        <f ca="1">IF(OR(E365="",E365="!!!",F365="NEW"),"",COUNTBLANK(OFFSET(A$1,,,SUMPRODUCT(MAX(ROW(E$2:E365)*(E365=E$2:E365)))))-COUNTBLANK(OFFSET(A$1,,,SUMPRODUCT(MAX(ROW(E$1:E364)*(E2=E$1:E364))))))</f>
        <v/>
      </c>
      <c r="K365" s="24" t="str">
        <f>IF(OR(E365="",E365="!!!",F365="NEW"),"",INDEX(J$1:J364,SUMPRODUCT(MAX(ROW(E$1:E364)*(E365=E$1:E364)))))</f>
        <v/>
      </c>
      <c r="L365" s="25"/>
    </row>
    <row r="366" spans="1:12" x14ac:dyDescent="0.2">
      <c r="A366" t="s">
        <v>830</v>
      </c>
      <c r="B366" s="26" t="s">
        <v>871</v>
      </c>
      <c r="C366" s="26" t="s">
        <v>805</v>
      </c>
      <c r="D366" s="26" t="s">
        <v>806</v>
      </c>
      <c r="E366" s="20" t="s">
        <v>961</v>
      </c>
      <c r="F366" s="21" t="str">
        <f>IF(OR(E366="",E366="!!!"),"",IF(NOT(ISNA(VLOOKUP(E366,E$1:E365,1,FALSE()))),"OLD",IF(AND(E366&lt;&gt;"",E366&lt;&gt;"!!!"),"NEW","")))</f>
        <v>OLD</v>
      </c>
      <c r="G366" s="22" t="s">
        <v>1825</v>
      </c>
      <c r="H366" s="23" t="str">
        <f t="shared" ca="1" si="43"/>
        <v/>
      </c>
      <c r="I366" s="24" t="str">
        <f>IF(OR(E366="",E366="!!!",F366="NEW"),"",INDEX(B$2:B365,-1+SUMPRODUCT(MAX(ROW(E$2:E365)*(E366=E$2:E365)))))</f>
        <v>SBJ_2</v>
      </c>
      <c r="J366" s="24">
        <f ca="1">IF(OR(E366="",E366="!!!",F366="NEW"),"",COUNTBLANK(OFFSET(A$1,,,SUMPRODUCT(MAX(ROW(E$2:E366)*(E366=E$2:E366)))))-COUNTBLANK(OFFSET(A$1,,,SUMPRODUCT(MAX(ROW(E$1:E365)*(E2=E$1:E365))))))</f>
        <v>0</v>
      </c>
      <c r="K366" s="24">
        <f ca="1">IF(OR(E366="",E366="!!!",F366="NEW"),"",INDEX(J$1:J365,SUMPRODUCT(MAX(ROW(E$1:E365)*(E366=E$1:E365)))))</f>
        <v>0</v>
      </c>
      <c r="L366" s="25"/>
    </row>
    <row r="367" spans="1:12" x14ac:dyDescent="0.2">
      <c r="A367" t="s">
        <v>1003</v>
      </c>
      <c r="E367" s="20" t="str">
        <f t="shared" si="42"/>
        <v/>
      </c>
      <c r="F367" s="21" t="str">
        <f>IF(OR(E367="",E367="!!!"),"",IF(NOT(ISNA(VLOOKUP(E367,E$1:E366,1,FALSE()))),"OLD",IF(AND(E367&lt;&gt;"",E367&lt;&gt;"!!!"),"NEW","")))</f>
        <v/>
      </c>
      <c r="G367" s="22" t="str">
        <f>IF(OR(E367="",E367="!!!"),"",IF(OR(J367=0,AND(J367=1,K367=1),AND(J367=1,I367="SBJ"),AND(J367=1,I367=0)),"?IN_FOCUS",IF(J367&lt;=2,"?ACTIVATED",IF(J367&lt;&gt;"","?FAMILIAR",IF(F367="NEW",IF(ISNA(VLOOKUP(E367,#REF!,1,FALSE())),"?TYPE_IDENTIFIABLE","?REFERENTIAL"),"_")))))</f>
        <v/>
      </c>
      <c r="H367" s="23" t="str">
        <f t="shared" ca="1" si="43"/>
        <v/>
      </c>
      <c r="I367" s="24" t="str">
        <f>IF(OR(E367="",E367="!!!",F367="NEW"),"",INDEX(B$2:B366,-1+SUMPRODUCT(MAX(ROW(E$2:E366)*(E367=E$2:E366)))))</f>
        <v/>
      </c>
      <c r="J367" s="24" t="str">
        <f ca="1">IF(OR(E367="",E367="!!!",F367="NEW"),"",COUNTBLANK(OFFSET(A$1,,,SUMPRODUCT(MAX(ROW(E$2:E367)*(E367=E$2:E367)))))-COUNTBLANK(OFFSET(A$1,,,SUMPRODUCT(MAX(ROW(E$1:E366)*(E2=E$1:E366))))))</f>
        <v/>
      </c>
      <c r="K367" s="24" t="str">
        <f>IF(OR(E367="",E367="!!!",F367="NEW"),"",INDEX(J$1:J366,SUMPRODUCT(MAX(ROW(E$1:E366)*(E367=E$1:E366)))))</f>
        <v/>
      </c>
      <c r="L367" s="25"/>
    </row>
    <row r="368" spans="1:12" x14ac:dyDescent="0.2">
      <c r="A368" t="s">
        <v>821</v>
      </c>
      <c r="E368" s="20" t="str">
        <f t="shared" si="42"/>
        <v/>
      </c>
      <c r="F368" s="21" t="str">
        <f>IF(OR(E368="",E368="!!!"),"",IF(NOT(ISNA(VLOOKUP(E368,E$1:E367,1,FALSE()))),"OLD",IF(AND(E368&lt;&gt;"",E368&lt;&gt;"!!!"),"NEW","")))</f>
        <v/>
      </c>
      <c r="G368" s="22" t="str">
        <f>IF(OR(E368="",E368="!!!"),"",IF(OR(J368=0,AND(J368=1,K368=1),AND(J368=1,I368="SBJ"),AND(J368=1,I368=0)),"?IN_FOCUS",IF(J368&lt;=2,"?ACTIVATED",IF(J368&lt;&gt;"","?FAMILIAR",IF(F368="NEW",IF(ISNA(VLOOKUP(E368,#REF!,1,FALSE())),"?TYPE_IDENTIFIABLE","?REFERENTIAL"),"_")))))</f>
        <v/>
      </c>
      <c r="H368" s="23" t="str">
        <f t="shared" ca="1" si="43"/>
        <v/>
      </c>
      <c r="I368" s="24" t="str">
        <f>IF(OR(E368="",E368="!!!",F368="NEW"),"",INDEX(B$2:B367,-1+SUMPRODUCT(MAX(ROW(E$2:E367)*(E368=E$2:E367)))))</f>
        <v/>
      </c>
      <c r="J368" s="24" t="str">
        <f ca="1">IF(OR(E368="",E368="!!!",F368="NEW"),"",COUNTBLANK(OFFSET(A$1,,,SUMPRODUCT(MAX(ROW(E$2:E368)*(E368=E$2:E368)))))-COUNTBLANK(OFFSET(A$1,,,SUMPRODUCT(MAX(ROW(E$1:E367)*(E2=E$1:E367))))))</f>
        <v/>
      </c>
      <c r="K368" s="24" t="str">
        <f>IF(OR(E368="",E368="!!!",F368="NEW"),"",INDEX(J$1:J367,SUMPRODUCT(MAX(ROW(E$1:E367)*(E368=E$1:E367)))))</f>
        <v/>
      </c>
      <c r="L368" s="25"/>
    </row>
    <row r="370" spans="1:12" x14ac:dyDescent="0.2">
      <c r="A370" t="s">
        <v>1004</v>
      </c>
    </row>
    <row r="371" spans="1:12" x14ac:dyDescent="0.2">
      <c r="A371" t="s">
        <v>803</v>
      </c>
      <c r="B371" s="26" t="s">
        <v>804</v>
      </c>
      <c r="C371" s="26" t="s">
        <v>805</v>
      </c>
      <c r="D371" s="26" t="s">
        <v>806</v>
      </c>
      <c r="E371" s="20" t="s">
        <v>1747</v>
      </c>
      <c r="F371" s="21" t="s">
        <v>1753</v>
      </c>
      <c r="G371" s="22" t="s">
        <v>1823</v>
      </c>
      <c r="H371" s="23" t="str">
        <f t="shared" ref="H371:H376" ca="1" si="44">IF(J371&lt;&gt;1,"",IF(I371="SBJ","CB","?"))</f>
        <v/>
      </c>
      <c r="I371" s="24" t="str">
        <f>IF(OR(E371="",E371="!!!",F371="NEW"),"",INDEX(B$2:B370,-1+SUMPRODUCT(MAX(ROW(E$2:E370)*(E371=E$2:E370)))))</f>
        <v>SBJ</v>
      </c>
      <c r="J371" s="24">
        <f ca="1">IF(OR(E371="",E371="!!!",F371="NEW"),"",COUNTBLANK(OFFSET(A$1,,,SUMPRODUCT(MAX(ROW(E$2:E371)*(E371=E$2:E371)))))-COUNTBLANK(OFFSET(A$1,,,SUMPRODUCT(MAX(ROW(E$1:E370)*(E2=E$1:E370))))))</f>
        <v>0</v>
      </c>
      <c r="K371" s="24">
        <f ca="1">IF(OR(E371="",E371="!!!",F371="NEW"),"",INDEX(J$1:J370,SUMPRODUCT(MAX(ROW(E$1:E370)*(E371=E$1:E370)))))</f>
        <v>0</v>
      </c>
      <c r="L371" s="25"/>
    </row>
    <row r="372" spans="1:12" x14ac:dyDescent="0.2">
      <c r="A372" t="s">
        <v>1005</v>
      </c>
      <c r="E372" s="20" t="str">
        <f t="shared" ref="E372:E376" si="45">IF(D372="?OLD","!!!","")</f>
        <v/>
      </c>
      <c r="F372" s="21" t="str">
        <f>IF(OR(E372="",E372="!!!"),"",IF(NOT(ISNA(VLOOKUP(E372,E$1:E371,1,FALSE()))),"OLD",IF(AND(E372&lt;&gt;"",E372&lt;&gt;"!!!"),"NEW","")))</f>
        <v/>
      </c>
      <c r="G372" s="22" t="str">
        <f>IF(OR(E372="",E372="!!!"),"",IF(OR(J372=0,AND(J372=1,K372=1),AND(J372=1,I372="SBJ"),AND(J372=1,I372=0)),"?IN_FOCUS",IF(J372&lt;=2,"?ACTIVATED",IF(J372&lt;&gt;"","?FAMILIAR",IF(F372="NEW",IF(ISNA(VLOOKUP(E372,#REF!,1,FALSE())),"?TYPE_IDENTIFIABLE","?REFERENTIAL"),"_")))))</f>
        <v/>
      </c>
      <c r="H372" s="23" t="str">
        <f t="shared" ca="1" si="44"/>
        <v/>
      </c>
      <c r="I372" s="24" t="str">
        <f>IF(OR(E372="",E372="!!!",F372="NEW"),"",INDEX(B$2:B371,-1+SUMPRODUCT(MAX(ROW(E$2:E371)*(E372=E$2:E371)))))</f>
        <v/>
      </c>
      <c r="J372" s="24" t="str">
        <f ca="1">IF(OR(E372="",E372="!!!",F372="NEW"),"",COUNTBLANK(OFFSET(A$1,,,SUMPRODUCT(MAX(ROW(E$2:E372)*(E372=E$2:E372)))))-COUNTBLANK(OFFSET(A$1,,,SUMPRODUCT(MAX(ROW(E$1:E371)*(E2=E$1:E371))))))</f>
        <v/>
      </c>
      <c r="K372" s="24" t="str">
        <f>IF(OR(E372="",E372="!!!",F372="NEW"),"",INDEX(J$1:J371,SUMPRODUCT(MAX(ROW(E$1:E371)*(E372=E$1:E371)))))</f>
        <v/>
      </c>
      <c r="L372" s="25"/>
    </row>
    <row r="373" spans="1:12" x14ac:dyDescent="0.2">
      <c r="A373" t="s">
        <v>859</v>
      </c>
      <c r="E373" s="20" t="str">
        <f t="shared" si="45"/>
        <v/>
      </c>
      <c r="F373" s="21" t="str">
        <f>IF(OR(E373="",E373="!!!"),"",IF(NOT(ISNA(VLOOKUP(E373,E$1:E372,1,FALSE()))),"OLD",IF(AND(E373&lt;&gt;"",E373&lt;&gt;"!!!"),"NEW","")))</f>
        <v/>
      </c>
      <c r="G373" s="22" t="str">
        <f>IF(OR(E373="",E373="!!!"),"",IF(OR(J373=0,AND(J373=1,K373=1),AND(J373=1,I373="SBJ"),AND(J373=1,I373=0)),"?IN_FOCUS",IF(J373&lt;=2,"?ACTIVATED",IF(J373&lt;&gt;"","?FAMILIAR",IF(F373="NEW",IF(ISNA(VLOOKUP(E373,#REF!,1,FALSE())),"?TYPE_IDENTIFIABLE","?REFERENTIAL"),"_")))))</f>
        <v/>
      </c>
      <c r="H373" s="23" t="str">
        <f t="shared" ca="1" si="44"/>
        <v/>
      </c>
      <c r="I373" s="24" t="str">
        <f>IF(OR(E373="",E373="!!!",F373="NEW"),"",INDEX(B$2:B372,-1+SUMPRODUCT(MAX(ROW(E$2:E372)*(E373=E$2:E372)))))</f>
        <v/>
      </c>
      <c r="J373" s="24" t="str">
        <f ca="1">IF(OR(E373="",E373="!!!",F373="NEW"),"",COUNTBLANK(OFFSET(A$1,,,SUMPRODUCT(MAX(ROW(E$2:E373)*(E373=E$2:E373)))))-COUNTBLANK(OFFSET(A$1,,,SUMPRODUCT(MAX(ROW(E$1:E372)*(E2=E$1:E372))))))</f>
        <v/>
      </c>
      <c r="K373" s="24" t="str">
        <f>IF(OR(E373="",E373="!!!",F373="NEW"),"",INDEX(J$1:J372,SUMPRODUCT(MAX(ROW(E$1:E372)*(E373=E$1:E372)))))</f>
        <v/>
      </c>
      <c r="L373" s="25"/>
    </row>
    <row r="374" spans="1:12" x14ac:dyDescent="0.2">
      <c r="A374" t="s">
        <v>1006</v>
      </c>
      <c r="E374" s="20" t="str">
        <f t="shared" si="45"/>
        <v/>
      </c>
      <c r="F374" s="21" t="str">
        <f>IF(OR(E374="",E374="!!!"),"",IF(NOT(ISNA(VLOOKUP(E374,E$1:E373,1,FALSE()))),"OLD",IF(AND(E374&lt;&gt;"",E374&lt;&gt;"!!!"),"NEW","")))</f>
        <v/>
      </c>
      <c r="G374" s="22" t="str">
        <f>IF(OR(E374="",E374="!!!"),"",IF(OR(J374=0,AND(J374=1,K374=1),AND(J374=1,I374="SBJ"),AND(J374=1,I374=0)),"?IN_FOCUS",IF(J374&lt;=2,"?ACTIVATED",IF(J374&lt;&gt;"","?FAMILIAR",IF(F374="NEW",IF(ISNA(VLOOKUP(E374,#REF!,1,FALSE())),"?TYPE_IDENTIFIABLE","?REFERENTIAL"),"_")))))</f>
        <v/>
      </c>
      <c r="H374" s="23" t="str">
        <f t="shared" ca="1" si="44"/>
        <v/>
      </c>
      <c r="I374" s="24" t="str">
        <f>IF(OR(E374="",E374="!!!",F374="NEW"),"",INDEX(B$2:B373,-1+SUMPRODUCT(MAX(ROW(E$2:E373)*(E374=E$2:E373)))))</f>
        <v/>
      </c>
      <c r="J374" s="24" t="str">
        <f ca="1">IF(OR(E374="",E374="!!!",F374="NEW"),"",COUNTBLANK(OFFSET(A$1,,,SUMPRODUCT(MAX(ROW(E$2:E374)*(E374=E$2:E374)))))-COUNTBLANK(OFFSET(A$1,,,SUMPRODUCT(MAX(ROW(E$1:E373)*(E2=E$1:E373))))))</f>
        <v/>
      </c>
      <c r="K374" s="24" t="str">
        <f>IF(OR(E374="",E374="!!!",F374="NEW"),"",INDEX(J$1:J373,SUMPRODUCT(MAX(ROW(E$1:E373)*(E374=E$1:E373)))))</f>
        <v/>
      </c>
      <c r="L374" s="25"/>
    </row>
    <row r="375" spans="1:12" x14ac:dyDescent="0.2">
      <c r="A375" t="s">
        <v>975</v>
      </c>
      <c r="B375" s="26" t="s">
        <v>938</v>
      </c>
      <c r="C375" s="26" t="s">
        <v>805</v>
      </c>
      <c r="D375" s="26" t="s">
        <v>806</v>
      </c>
      <c r="E375" s="20" t="s">
        <v>1759</v>
      </c>
      <c r="F375" s="21" t="str">
        <f>IF(OR(E375="",E375="!!!"),"",IF(NOT(ISNA(VLOOKUP(E375,E$1:E374,1,FALSE()))),"OLD",IF(AND(E375&lt;&gt;"",E375&lt;&gt;"!!!"),"NEW","")))</f>
        <v>OLD</v>
      </c>
      <c r="G375" s="22" t="s">
        <v>1822</v>
      </c>
      <c r="H375" s="23" t="str">
        <f t="shared" ca="1" si="44"/>
        <v/>
      </c>
      <c r="I375" s="24" t="str">
        <f>IF(OR(E375="",E375="!!!",F375="NEW"),"",INDEX(B$2:B374,-1+SUMPRODUCT(MAX(ROW(E$2:E374)*(E375=E$2:E374)))))</f>
        <v>other</v>
      </c>
      <c r="J375" s="24">
        <f ca="1">IF(OR(E375="",E375="!!!",F375="NEW"),"",COUNTBLANK(OFFSET(A$1,,,SUMPRODUCT(MAX(ROW(E$2:E375)*(E375=E$2:E375)))))-COUNTBLANK(OFFSET(A$1,,,SUMPRODUCT(MAX(ROW(E$1:E374)*(E2=E$1:E374))))))</f>
        <v>0</v>
      </c>
      <c r="K375" s="24" t="str">
        <f ca="1">IF(OR(E375="",E375="!!!",F375="NEW"),"",INDEX(J$1:J374,SUMPRODUCT(MAX(ROW(E$1:E374)*(E375=E$1:E374)))))</f>
        <v/>
      </c>
      <c r="L375" s="25"/>
    </row>
    <row r="376" spans="1:12" x14ac:dyDescent="0.2">
      <c r="A376" t="s">
        <v>821</v>
      </c>
      <c r="E376" s="20" t="str">
        <f t="shared" si="45"/>
        <v/>
      </c>
      <c r="F376" s="21" t="str">
        <f>IF(OR(E376="",E376="!!!"),"",IF(NOT(ISNA(VLOOKUP(E376,E$1:E375,1,FALSE()))),"OLD",IF(AND(E376&lt;&gt;"",E376&lt;&gt;"!!!"),"NEW","")))</f>
        <v/>
      </c>
      <c r="G376" s="22" t="str">
        <f>IF(OR(E376="",E376="!!!"),"",IF(OR(J376=0,AND(J376=1,K376=1),AND(J376=1,I376="SBJ"),AND(J376=1,I376=0)),"?IN_FOCUS",IF(J376&lt;=2,"?ACTIVATED",IF(J376&lt;&gt;"","?FAMILIAR",IF(F376="NEW",IF(ISNA(VLOOKUP(E376,#REF!,1,FALSE())),"?TYPE_IDENTIFIABLE","?REFERENTIAL"),"_")))))</f>
        <v/>
      </c>
      <c r="H376" s="23" t="str">
        <f t="shared" ca="1" si="44"/>
        <v/>
      </c>
      <c r="I376" s="24" t="str">
        <f>IF(OR(E376="",E376="!!!",F376="NEW"),"",INDEX(B$2:B375,-1+SUMPRODUCT(MAX(ROW(E$2:E375)*(E376=E$2:E375)))))</f>
        <v/>
      </c>
      <c r="J376" s="24" t="str">
        <f ca="1">IF(OR(E376="",E376="!!!",F376="NEW"),"",COUNTBLANK(OFFSET(A$1,,,SUMPRODUCT(MAX(ROW(E$2:E376)*(E376=E$2:E376)))))-COUNTBLANK(OFFSET(A$1,,,SUMPRODUCT(MAX(ROW(E$1:E375)*(E2=E$1:E375))))))</f>
        <v/>
      </c>
      <c r="K376" s="24" t="str">
        <f>IF(OR(E376="",E376="!!!",F376="NEW"),"",INDEX(J$1:J375,SUMPRODUCT(MAX(ROW(E$1:E375)*(E376=E$1:E375)))))</f>
        <v/>
      </c>
      <c r="L376" s="25"/>
    </row>
    <row r="378" spans="1:12" x14ac:dyDescent="0.2">
      <c r="A378" t="s">
        <v>1007</v>
      </c>
    </row>
    <row r="379" spans="1:12" x14ac:dyDescent="0.2">
      <c r="A379" t="s">
        <v>1008</v>
      </c>
      <c r="E379" s="20" t="str">
        <f t="shared" ref="E379:E394" si="46">IF(D379="?OLD","!!!","")</f>
        <v/>
      </c>
      <c r="F379" s="21" t="str">
        <f>IF(OR(E379="",E379="!!!"),"",IF(NOT(ISNA(VLOOKUP(E379,E$1:E378,1,FALSE()))),"OLD",IF(AND(E379&lt;&gt;"",E379&lt;&gt;"!!!"),"NEW","")))</f>
        <v/>
      </c>
      <c r="G379" s="22" t="str">
        <f>IF(OR(E379="",E379="!!!"),"",IF(OR(J379=0,AND(J379=1,K379=1),AND(J379=1,I379="SBJ"),AND(J379=1,I379=0)),"?IN_FOCUS",IF(J379&lt;=2,"?ACTIVATED",IF(J379&lt;&gt;"","?FAMILIAR",IF(F379="NEW",IF(ISNA(VLOOKUP(E379,#REF!,1,FALSE())),"?TYPE_IDENTIFIABLE","?REFERENTIAL"),"_")))))</f>
        <v/>
      </c>
      <c r="H379" s="23" t="str">
        <f t="shared" ref="H379:H394" ca="1" si="47">IF(J379&lt;&gt;1,"",IF(I379="SBJ","CB","?"))</f>
        <v/>
      </c>
      <c r="I379" s="24" t="str">
        <f>IF(OR(E379="",E379="!!!",F379="NEW"),"",INDEX(B$2:B378,-1+SUMPRODUCT(MAX(ROW(E$2:E378)*(E379=E$2:E378)))))</f>
        <v/>
      </c>
      <c r="J379" s="24" t="str">
        <f ca="1">IF(OR(E379="",E379="!!!",F379="NEW"),"",COUNTBLANK(OFFSET(A$1,,,SUMPRODUCT(MAX(ROW(E$2:E379)*(E379=E$2:E379)))))-COUNTBLANK(OFFSET(A$1,,,SUMPRODUCT(MAX(ROW(E$1:E378)*(E2=E$1:E378))))))</f>
        <v/>
      </c>
      <c r="K379" s="24" t="str">
        <f>IF(OR(E379="",E379="!!!",F379="NEW"),"",INDEX(J$1:J378,SUMPRODUCT(MAX(ROW(E$1:E378)*(E379=E$1:E378)))))</f>
        <v/>
      </c>
      <c r="L379" s="25"/>
    </row>
    <row r="380" spans="1:12" x14ac:dyDescent="0.2">
      <c r="A380" t="s">
        <v>883</v>
      </c>
      <c r="B380" s="26" t="s">
        <v>819</v>
      </c>
      <c r="C380" s="26" t="s">
        <v>847</v>
      </c>
      <c r="D380" s="26" t="s">
        <v>806</v>
      </c>
      <c r="E380" s="20" t="s">
        <v>883</v>
      </c>
      <c r="F380" s="21" t="str">
        <f>IF(OR(E380="",E380="!!!"),"",IF(NOT(ISNA(VLOOKUP(E380,E$1:E379,1,FALSE()))),"OLD",IF(AND(E380&lt;&gt;"",E380&lt;&gt;"!!!"),"NEW","")))</f>
        <v>NEW</v>
      </c>
      <c r="G380" s="22" t="s">
        <v>1824</v>
      </c>
      <c r="H380" s="23" t="str">
        <f t="shared" ca="1" si="47"/>
        <v/>
      </c>
      <c r="I380" s="24" t="str">
        <f>IF(OR(E380="",E380="!!!",F380="NEW"),"",INDEX(B$2:B379,-1+SUMPRODUCT(MAX(ROW(E$2:E379)*(E380=E$2:E379)))))</f>
        <v/>
      </c>
      <c r="J380" s="24" t="str">
        <f ca="1">IF(OR(E380="",E380="!!!",F380="NEW"),"",COUNTBLANK(OFFSET(A$1,,,SUMPRODUCT(MAX(ROW(E$2:E380)*(E380=E$2:E380)))))-COUNTBLANK(OFFSET(A$1,,,SUMPRODUCT(MAX(ROW(E$1:E379)*(E2=E$1:E379))))))</f>
        <v/>
      </c>
      <c r="K380" s="24" t="str">
        <f>IF(OR(E380="",E380="!!!",F380="NEW"),"",INDEX(J$1:J379,SUMPRODUCT(MAX(ROW(E$1:E379)*(E380=E$1:E379)))))</f>
        <v/>
      </c>
      <c r="L380" s="25"/>
    </row>
    <row r="381" spans="1:12" x14ac:dyDescent="0.2">
      <c r="A381" t="s">
        <v>1009</v>
      </c>
      <c r="E381" s="20" t="str">
        <f t="shared" si="46"/>
        <v/>
      </c>
      <c r="F381" s="21" t="str">
        <f>IF(OR(E381="",E381="!!!"),"",IF(NOT(ISNA(VLOOKUP(E381,E$1:E380,1,FALSE()))),"OLD",IF(AND(E381&lt;&gt;"",E381&lt;&gt;"!!!"),"NEW","")))</f>
        <v/>
      </c>
      <c r="G381" s="22" t="str">
        <f>IF(OR(E381="",E381="!!!"),"",IF(OR(J381=0,AND(J381=1,K381=1),AND(J381=1,I381="SBJ"),AND(J381=1,I381=0)),"?IN_FOCUS",IF(J381&lt;=2,"?ACTIVATED",IF(J381&lt;&gt;"","?FAMILIAR",IF(F381="NEW",IF(ISNA(VLOOKUP(E381,#REF!,1,FALSE())),"?TYPE_IDENTIFIABLE","?REFERENTIAL"),"_")))))</f>
        <v/>
      </c>
      <c r="H381" s="23" t="str">
        <f t="shared" ca="1" si="47"/>
        <v/>
      </c>
      <c r="I381" s="24" t="str">
        <f>IF(OR(E381="",E381="!!!",F381="NEW"),"",INDEX(B$2:B380,-1+SUMPRODUCT(MAX(ROW(E$2:E380)*(E381=E$2:E380)))))</f>
        <v/>
      </c>
      <c r="J381" s="24" t="str">
        <f ca="1">IF(OR(E381="",E381="!!!",F381="NEW"),"",COUNTBLANK(OFFSET(A$1,,,SUMPRODUCT(MAX(ROW(E$2:E381)*(E381=E$2:E381)))))-COUNTBLANK(OFFSET(A$1,,,SUMPRODUCT(MAX(ROW(E$1:E380)*(E2=E$1:E380))))))</f>
        <v/>
      </c>
      <c r="K381" s="24" t="str">
        <f>IF(OR(E381="",E381="!!!",F381="NEW"),"",INDEX(J$1:J380,SUMPRODUCT(MAX(ROW(E$1:E380)*(E381=E$1:E380)))))</f>
        <v/>
      </c>
      <c r="L381" s="25"/>
    </row>
    <row r="382" spans="1:12" x14ac:dyDescent="0.2">
      <c r="A382" t="s">
        <v>845</v>
      </c>
      <c r="E382" s="20" t="str">
        <f t="shared" si="46"/>
        <v/>
      </c>
      <c r="F382" s="21" t="str">
        <f>IF(OR(E382="",E382="!!!"),"",IF(NOT(ISNA(VLOOKUP(E382,E$1:E381,1,FALSE()))),"OLD",IF(AND(E382&lt;&gt;"",E382&lt;&gt;"!!!"),"NEW","")))</f>
        <v/>
      </c>
      <c r="G382" s="22" t="str">
        <f>IF(OR(E382="",E382="!!!"),"",IF(OR(J382=0,AND(J382=1,K382=1),AND(J382=1,I382="SBJ"),AND(J382=1,I382=0)),"?IN_FOCUS",IF(J382&lt;=2,"?ACTIVATED",IF(J382&lt;&gt;"","?FAMILIAR",IF(F382="NEW",IF(ISNA(VLOOKUP(E382,#REF!,1,FALSE())),"?TYPE_IDENTIFIABLE","?REFERENTIAL"),"_")))))</f>
        <v/>
      </c>
      <c r="H382" s="23" t="str">
        <f t="shared" ca="1" si="47"/>
        <v/>
      </c>
      <c r="I382" s="24" t="str">
        <f>IF(OR(E382="",E382="!!!",F382="NEW"),"",INDEX(B$2:B381,-1+SUMPRODUCT(MAX(ROW(E$2:E381)*(E382=E$2:E381)))))</f>
        <v/>
      </c>
      <c r="J382" s="24" t="str">
        <f ca="1">IF(OR(E382="",E382="!!!",F382="NEW"),"",COUNTBLANK(OFFSET(A$1,,,SUMPRODUCT(MAX(ROW(E$2:E382)*(E382=E$2:E382)))))-COUNTBLANK(OFFSET(A$1,,,SUMPRODUCT(MAX(ROW(E$1:E381)*(E2=E$1:E381))))))</f>
        <v/>
      </c>
      <c r="K382" s="24" t="str">
        <f>IF(OR(E382="",E382="!!!",F382="NEW"),"",INDEX(J$1:J381,SUMPRODUCT(MAX(ROW(E$1:E381)*(E382=E$1:E381)))))</f>
        <v/>
      </c>
      <c r="L382" s="25"/>
    </row>
    <row r="383" spans="1:12" x14ac:dyDescent="0.2">
      <c r="A383" t="s">
        <v>896</v>
      </c>
      <c r="B383" s="26" t="s">
        <v>813</v>
      </c>
      <c r="C383" s="26" t="s">
        <v>847</v>
      </c>
      <c r="D383" s="26" t="s">
        <v>806</v>
      </c>
      <c r="E383" s="20" t="s">
        <v>896</v>
      </c>
      <c r="F383" s="21" t="str">
        <f>IF(OR(E383="",E383="!!!"),"",IF(NOT(ISNA(VLOOKUP(E383,E$1:E382,1,FALSE()))),"OLD",IF(AND(E383&lt;&gt;"",E383&lt;&gt;"!!!"),"NEW","")))</f>
        <v>NEW</v>
      </c>
      <c r="G383" s="22" t="s">
        <v>1825</v>
      </c>
      <c r="H383" s="23" t="str">
        <f t="shared" ca="1" si="47"/>
        <v/>
      </c>
      <c r="I383" s="24" t="str">
        <f>IF(OR(E383="",E383="!!!",F383="NEW"),"",INDEX(B$2:B382,-1+SUMPRODUCT(MAX(ROW(E$2:E382)*(E383=E$2:E382)))))</f>
        <v/>
      </c>
      <c r="J383" s="24" t="str">
        <f ca="1">IF(OR(E383="",E383="!!!",F383="NEW"),"",COUNTBLANK(OFFSET(A$1,,,SUMPRODUCT(MAX(ROW(E$2:E383)*(E383=E$2:E383)))))-COUNTBLANK(OFFSET(A$1,,,SUMPRODUCT(MAX(ROW(E$1:E382)*(E2=E$1:E382))))))</f>
        <v/>
      </c>
      <c r="K383" s="24" t="str">
        <f>IF(OR(E383="",E383="!!!",F383="NEW"),"",INDEX(J$1:J382,SUMPRODUCT(MAX(ROW(E$1:E382)*(E383=E$1:E382)))))</f>
        <v/>
      </c>
      <c r="L383" s="25"/>
    </row>
    <row r="384" spans="1:12" x14ac:dyDescent="0.2">
      <c r="A384" t="s">
        <v>802</v>
      </c>
      <c r="E384" s="20" t="str">
        <f t="shared" si="46"/>
        <v/>
      </c>
      <c r="F384" s="21" t="str">
        <f>IF(OR(E384="",E384="!!!"),"",IF(NOT(ISNA(VLOOKUP(E384,E$1:E383,1,FALSE()))),"OLD",IF(AND(E384&lt;&gt;"",E384&lt;&gt;"!!!"),"NEW","")))</f>
        <v/>
      </c>
      <c r="G384" s="22" t="str">
        <f>IF(OR(E384="",E384="!!!"),"",IF(OR(J384=0,AND(J384=1,K384=1),AND(J384=1,I384="SBJ"),AND(J384=1,I384=0)),"?IN_FOCUS",IF(J384&lt;=2,"?ACTIVATED",IF(J384&lt;&gt;"","?FAMILIAR",IF(F384="NEW",IF(ISNA(VLOOKUP(E384,#REF!,1,FALSE())),"?TYPE_IDENTIFIABLE","?REFERENTIAL"),"_")))))</f>
        <v/>
      </c>
      <c r="H384" s="23" t="str">
        <f t="shared" ca="1" si="47"/>
        <v/>
      </c>
      <c r="I384" s="24" t="str">
        <f>IF(OR(E384="",E384="!!!",F384="NEW"),"",INDEX(B$2:B383,-1+SUMPRODUCT(MAX(ROW(E$2:E383)*(E384=E$2:E383)))))</f>
        <v/>
      </c>
      <c r="J384" s="24" t="str">
        <f ca="1">IF(OR(E384="",E384="!!!",F384="NEW"),"",COUNTBLANK(OFFSET(A$1,,,SUMPRODUCT(MAX(ROW(E$2:E384)*(E384=E$2:E384)))))-COUNTBLANK(OFFSET(A$1,,,SUMPRODUCT(MAX(ROW(E$1:E383)*(E2=E$1:E383))))))</f>
        <v/>
      </c>
      <c r="K384" s="24" t="str">
        <f>IF(OR(E384="",E384="!!!",F384="NEW"),"",INDEX(J$1:J383,SUMPRODUCT(MAX(ROW(E$1:E383)*(E384=E$1:E383)))))</f>
        <v/>
      </c>
      <c r="L384" s="25"/>
    </row>
    <row r="385" spans="1:12" x14ac:dyDescent="0.2">
      <c r="A385" t="s">
        <v>803</v>
      </c>
      <c r="B385" s="26" t="s">
        <v>804</v>
      </c>
      <c r="C385" s="26" t="s">
        <v>805</v>
      </c>
      <c r="D385" s="26" t="s">
        <v>806</v>
      </c>
      <c r="E385" s="20" t="s">
        <v>1747</v>
      </c>
      <c r="F385" s="21" t="s">
        <v>1753</v>
      </c>
      <c r="G385" s="22" t="s">
        <v>1823</v>
      </c>
      <c r="H385" s="23" t="str">
        <f t="shared" ca="1" si="47"/>
        <v/>
      </c>
      <c r="I385" s="24" t="str">
        <f>IF(OR(E385="",E385="!!!",F385="NEW"),"",INDEX(B$2:B384,-1+SUMPRODUCT(MAX(ROW(E$2:E384)*(E385=E$2:E384)))))</f>
        <v>SBJ</v>
      </c>
      <c r="J385" s="24">
        <f ca="1">IF(OR(E385="",E385="!!!",F385="NEW"),"",COUNTBLANK(OFFSET(A$1,,,SUMPRODUCT(MAX(ROW(E$2:E385)*(E385=E$2:E385)))))-COUNTBLANK(OFFSET(A$1,,,SUMPRODUCT(MAX(ROW(E$1:E384)*(E2=E$1:E384))))))</f>
        <v>0</v>
      </c>
      <c r="K385" s="24">
        <f ca="1">IF(OR(E385="",E385="!!!",F385="NEW"),"",INDEX(J$1:J384,SUMPRODUCT(MAX(ROW(E$1:E384)*(E385=E$1:E384)))))</f>
        <v>0</v>
      </c>
      <c r="L385" s="25"/>
    </row>
    <row r="386" spans="1:12" x14ac:dyDescent="0.2">
      <c r="A386" t="s">
        <v>887</v>
      </c>
      <c r="E386" s="20" t="str">
        <f t="shared" si="46"/>
        <v/>
      </c>
      <c r="F386" s="21" t="str">
        <f>IF(OR(E386="",E386="!!!"),"",IF(NOT(ISNA(VLOOKUP(E386,E$1:E385,1,FALSE()))),"OLD",IF(AND(E386&lt;&gt;"",E386&lt;&gt;"!!!"),"NEW","")))</f>
        <v/>
      </c>
      <c r="G386" s="22" t="str">
        <f>IF(OR(E386="",E386="!!!"),"",IF(OR(J386=0,AND(J386=1,K386=1),AND(J386=1,I386="SBJ"),AND(J386=1,I386=0)),"?IN_FOCUS",IF(J386&lt;=2,"?ACTIVATED",IF(J386&lt;&gt;"","?FAMILIAR",IF(F386="NEW",IF(ISNA(VLOOKUP(E386,#REF!,1,FALSE())),"?TYPE_IDENTIFIABLE","?REFERENTIAL"),"_")))))</f>
        <v/>
      </c>
      <c r="H386" s="23" t="str">
        <f t="shared" ca="1" si="47"/>
        <v/>
      </c>
      <c r="I386" s="24" t="str">
        <f>IF(OR(E386="",E386="!!!",F386="NEW"),"",INDEX(B$2:B385,-1+SUMPRODUCT(MAX(ROW(E$2:E385)*(E386=E$2:E385)))))</f>
        <v/>
      </c>
      <c r="J386" s="24" t="str">
        <f ca="1">IF(OR(E386="",E386="!!!",F386="NEW"),"",COUNTBLANK(OFFSET(A$1,,,SUMPRODUCT(MAX(ROW(E$2:E386)*(E386=E$2:E386)))))-COUNTBLANK(OFFSET(A$1,,,SUMPRODUCT(MAX(ROW(E$1:E385)*(E2=E$1:E385))))))</f>
        <v/>
      </c>
      <c r="K386" s="24" t="str">
        <f>IF(OR(E386="",E386="!!!",F386="NEW"),"",INDEX(J$1:J385,SUMPRODUCT(MAX(ROW(E$1:E385)*(E386=E$1:E385)))))</f>
        <v/>
      </c>
      <c r="L386" s="25"/>
    </row>
    <row r="387" spans="1:12" x14ac:dyDescent="0.2">
      <c r="A387" t="s">
        <v>845</v>
      </c>
      <c r="E387" s="20" t="str">
        <f t="shared" si="46"/>
        <v/>
      </c>
      <c r="F387" s="21" t="str">
        <f>IF(OR(E387="",E387="!!!"),"",IF(NOT(ISNA(VLOOKUP(E387,E$1:E386,1,FALSE()))),"OLD",IF(AND(E387&lt;&gt;"",E387&lt;&gt;"!!!"),"NEW","")))</f>
        <v/>
      </c>
      <c r="G387" s="22" t="str">
        <f>IF(OR(E387="",E387="!!!"),"",IF(OR(J387=0,AND(J387=1,K387=1),AND(J387=1,I387="SBJ"),AND(J387=1,I387=0)),"?IN_FOCUS",IF(J387&lt;=2,"?ACTIVATED",IF(J387&lt;&gt;"","?FAMILIAR",IF(F387="NEW",IF(ISNA(VLOOKUP(E387,#REF!,1,FALSE())),"?TYPE_IDENTIFIABLE","?REFERENTIAL"),"_")))))</f>
        <v/>
      </c>
      <c r="H387" s="23" t="str">
        <f t="shared" ca="1" si="47"/>
        <v/>
      </c>
      <c r="I387" s="24" t="str">
        <f>IF(OR(E387="",E387="!!!",F387="NEW"),"",INDEX(B$2:B386,-1+SUMPRODUCT(MAX(ROW(E$2:E386)*(E387=E$2:E386)))))</f>
        <v/>
      </c>
      <c r="J387" s="24" t="str">
        <f ca="1">IF(OR(E387="",E387="!!!",F387="NEW"),"",COUNTBLANK(OFFSET(A$1,,,SUMPRODUCT(MAX(ROW(E$2:E387)*(E387=E$2:E387)))))-COUNTBLANK(OFFSET(A$1,,,SUMPRODUCT(MAX(ROW(E$1:E386)*(E2=E$1:E386))))))</f>
        <v/>
      </c>
      <c r="K387" s="24" t="str">
        <f>IF(OR(E387="",E387="!!!",F387="NEW"),"",INDEX(J$1:J386,SUMPRODUCT(MAX(ROW(E$1:E386)*(E387=E$1:E386)))))</f>
        <v/>
      </c>
      <c r="L387" s="25"/>
    </row>
    <row r="388" spans="1:12" x14ac:dyDescent="0.2">
      <c r="A388" t="s">
        <v>885</v>
      </c>
      <c r="B388" s="26" t="s">
        <v>810</v>
      </c>
      <c r="C388" s="26" t="s">
        <v>847</v>
      </c>
      <c r="D388" s="26" t="s">
        <v>806</v>
      </c>
      <c r="E388" s="20" t="s">
        <v>1760</v>
      </c>
      <c r="F388" s="21" t="str">
        <f>IF(OR(E388="",E388="!!!"),"",IF(NOT(ISNA(VLOOKUP(E388,E$1:E387,1,FALSE()))),"OLD",IF(AND(E388&lt;&gt;"",E388&lt;&gt;"!!!"),"NEW","")))</f>
        <v>NEW</v>
      </c>
      <c r="G388" s="22" t="s">
        <v>1824</v>
      </c>
      <c r="H388" s="23" t="str">
        <f t="shared" ca="1" si="47"/>
        <v/>
      </c>
      <c r="I388" s="24" t="str">
        <f>IF(OR(E388="",E388="!!!",F388="NEW"),"",INDEX(B$2:B387,-1+SUMPRODUCT(MAX(ROW(E$2:E387)*(E388=E$2:E387)))))</f>
        <v/>
      </c>
      <c r="J388" s="24" t="str">
        <f ca="1">IF(OR(E388="",E388="!!!",F388="NEW"),"",COUNTBLANK(OFFSET(A$1,,,SUMPRODUCT(MAX(ROW(E$2:E388)*(E388=E$2:E388)))))-COUNTBLANK(OFFSET(A$1,,,SUMPRODUCT(MAX(ROW(E$1:E387)*(E2=E$1:E387))))))</f>
        <v/>
      </c>
      <c r="K388" s="24" t="str">
        <f>IF(OR(E388="",E388="!!!",F388="NEW"),"",INDEX(J$1:J387,SUMPRODUCT(MAX(ROW(E$1:E387)*(E388=E$1:E387)))))</f>
        <v/>
      </c>
      <c r="L388" s="25"/>
    </row>
    <row r="389" spans="1:12" x14ac:dyDescent="0.2">
      <c r="A389" t="s">
        <v>812</v>
      </c>
      <c r="E389" s="20" t="str">
        <f t="shared" si="46"/>
        <v/>
      </c>
      <c r="F389" s="21" t="str">
        <f>IF(OR(E389="",E389="!!!"),"",IF(NOT(ISNA(VLOOKUP(E389,E$1:E388,1,FALSE()))),"OLD",IF(AND(E389&lt;&gt;"",E389&lt;&gt;"!!!"),"NEW","")))</f>
        <v/>
      </c>
      <c r="G389" s="22" t="str">
        <f>IF(OR(E389="",E389="!!!"),"",IF(OR(J389=0,AND(J389=1,K389=1),AND(J389=1,I389="SBJ"),AND(J389=1,I389=0)),"?IN_FOCUS",IF(J389&lt;=2,"?ACTIVATED",IF(J389&lt;&gt;"","?FAMILIAR",IF(F389="NEW",IF(ISNA(VLOOKUP(E389,#REF!,1,FALSE())),"?TYPE_IDENTIFIABLE","?REFERENTIAL"),"_")))))</f>
        <v/>
      </c>
      <c r="H389" s="23" t="str">
        <f t="shared" ca="1" si="47"/>
        <v/>
      </c>
      <c r="I389" s="24" t="str">
        <f>IF(OR(E389="",E389="!!!",F389="NEW"),"",INDEX(B$2:B388,-1+SUMPRODUCT(MAX(ROW(E$2:E388)*(E389=E$2:E388)))))</f>
        <v/>
      </c>
      <c r="J389" s="24" t="str">
        <f ca="1">IF(OR(E389="",E389="!!!",F389="NEW"),"",COUNTBLANK(OFFSET(A$1,,,SUMPRODUCT(MAX(ROW(E$2:E389)*(E389=E$2:E389)))))-COUNTBLANK(OFFSET(A$1,,,SUMPRODUCT(MAX(ROW(E$1:E388)*(E2=E$1:E388))))))</f>
        <v/>
      </c>
      <c r="K389" s="24" t="str">
        <f>IF(OR(E389="",E389="!!!",F389="NEW"),"",INDEX(J$1:J388,SUMPRODUCT(MAX(ROW(E$1:E388)*(E389=E$1:E388)))))</f>
        <v/>
      </c>
      <c r="L389" s="25"/>
    </row>
    <row r="390" spans="1:12" x14ac:dyDescent="0.2">
      <c r="A390" t="s">
        <v>1010</v>
      </c>
      <c r="B390" s="26" t="s">
        <v>813</v>
      </c>
      <c r="C390" s="26" t="s">
        <v>814</v>
      </c>
      <c r="E390" s="20" t="str">
        <f t="shared" si="46"/>
        <v/>
      </c>
      <c r="F390" s="21" t="str">
        <f>IF(OR(E390="",E390="!!!"),"",IF(NOT(ISNA(VLOOKUP(E390,E$1:E389,1,FALSE()))),"OLD",IF(AND(E390&lt;&gt;"",E390&lt;&gt;"!!!"),"NEW","")))</f>
        <v/>
      </c>
      <c r="G390" s="22" t="str">
        <f>IF(OR(E390="",E390="!!!"),"",IF(OR(J390=0,AND(J390=1,K390=1),AND(J390=1,I390="SBJ"),AND(J390=1,I390=0)),"?IN_FOCUS",IF(J390&lt;=2,"?ACTIVATED",IF(J390&lt;&gt;"","?FAMILIAR",IF(F390="NEW",IF(ISNA(VLOOKUP(E390,#REF!,1,FALSE())),"?TYPE_IDENTIFIABLE","?REFERENTIAL"),"_")))))</f>
        <v/>
      </c>
      <c r="H390" s="23" t="str">
        <f t="shared" ca="1" si="47"/>
        <v/>
      </c>
      <c r="I390" s="24" t="str">
        <f>IF(OR(E390="",E390="!!!",F390="NEW"),"",INDEX(B$2:B389,-1+SUMPRODUCT(MAX(ROW(E$2:E389)*(E390=E$2:E389)))))</f>
        <v/>
      </c>
      <c r="J390" s="24" t="str">
        <f ca="1">IF(OR(E390="",E390="!!!",F390="NEW"),"",COUNTBLANK(OFFSET(A$1,,,SUMPRODUCT(MAX(ROW(E$2:E390)*(E390=E$2:E390)))))-COUNTBLANK(OFFSET(A$1,,,SUMPRODUCT(MAX(ROW(E$1:E389)*(E2=E$1:E389))))))</f>
        <v/>
      </c>
      <c r="K390" s="24" t="str">
        <f>IF(OR(E390="",E390="!!!",F390="NEW"),"",INDEX(J$1:J389,SUMPRODUCT(MAX(ROW(E$1:E389)*(E390=E$1:E389)))))</f>
        <v/>
      </c>
      <c r="L390" s="25"/>
    </row>
    <row r="391" spans="1:12" x14ac:dyDescent="0.2">
      <c r="A391" t="s">
        <v>878</v>
      </c>
      <c r="E391" s="20" t="str">
        <f t="shared" si="46"/>
        <v/>
      </c>
      <c r="F391" s="21" t="str">
        <f>IF(OR(E391="",E391="!!!"),"",IF(NOT(ISNA(VLOOKUP(E391,E$1:E390,1,FALSE()))),"OLD",IF(AND(E391&lt;&gt;"",E391&lt;&gt;"!!!"),"NEW","")))</f>
        <v/>
      </c>
      <c r="G391" s="22" t="str">
        <f>IF(OR(E391="",E391="!!!"),"",IF(OR(J391=0,AND(J391=1,K391=1),AND(J391=1,I391="SBJ"),AND(J391=1,I391=0)),"?IN_FOCUS",IF(J391&lt;=2,"?ACTIVATED",IF(J391&lt;&gt;"","?FAMILIAR",IF(F391="NEW",IF(ISNA(VLOOKUP(E391,#REF!,1,FALSE())),"?TYPE_IDENTIFIABLE","?REFERENTIAL"),"_")))))</f>
        <v/>
      </c>
      <c r="H391" s="23" t="str">
        <f t="shared" ca="1" si="47"/>
        <v/>
      </c>
      <c r="I391" s="24" t="str">
        <f>IF(OR(E391="",E391="!!!",F391="NEW"),"",INDEX(B$2:B390,-1+SUMPRODUCT(MAX(ROW(E$2:E390)*(E391=E$2:E390)))))</f>
        <v/>
      </c>
      <c r="J391" s="24" t="str">
        <f ca="1">IF(OR(E391="",E391="!!!",F391="NEW"),"",COUNTBLANK(OFFSET(A$1,,,SUMPRODUCT(MAX(ROW(E$2:E391)*(E391=E$2:E391)))))-COUNTBLANK(OFFSET(A$1,,,SUMPRODUCT(MAX(ROW(E$1:E390)*(E2=E$1:E390))))))</f>
        <v/>
      </c>
      <c r="K391" s="24" t="str">
        <f>IF(OR(E391="",E391="!!!",F391="NEW"),"",INDEX(J$1:J390,SUMPRODUCT(MAX(ROW(E$1:E390)*(E391=E$1:E390)))))</f>
        <v/>
      </c>
      <c r="L391" s="25"/>
    </row>
    <row r="392" spans="1:12" x14ac:dyDescent="0.2">
      <c r="A392" t="s">
        <v>845</v>
      </c>
      <c r="E392" s="20" t="str">
        <f t="shared" si="46"/>
        <v/>
      </c>
      <c r="F392" s="21" t="str">
        <f>IF(OR(E392="",E392="!!!"),"",IF(NOT(ISNA(VLOOKUP(E392,E$1:E391,1,FALSE()))),"OLD",IF(AND(E392&lt;&gt;"",E392&lt;&gt;"!!!"),"NEW","")))</f>
        <v/>
      </c>
      <c r="G392" s="22" t="str">
        <f>IF(OR(E392="",E392="!!!"),"",IF(OR(J392=0,AND(J392=1,K392=1),AND(J392=1,I392="SBJ"),AND(J392=1,I392=0)),"?IN_FOCUS",IF(J392&lt;=2,"?ACTIVATED",IF(J392&lt;&gt;"","?FAMILIAR",IF(F392="NEW",IF(ISNA(VLOOKUP(E392,#REF!,1,FALSE())),"?TYPE_IDENTIFIABLE","?REFERENTIAL"),"_")))))</f>
        <v/>
      </c>
      <c r="H392" s="23" t="str">
        <f t="shared" ca="1" si="47"/>
        <v/>
      </c>
      <c r="I392" s="24" t="str">
        <f>IF(OR(E392="",E392="!!!",F392="NEW"),"",INDEX(B$2:B391,-1+SUMPRODUCT(MAX(ROW(E$2:E391)*(E392=E$2:E391)))))</f>
        <v/>
      </c>
      <c r="J392" s="24" t="str">
        <f ca="1">IF(OR(E392="",E392="!!!",F392="NEW"),"",COUNTBLANK(OFFSET(A$1,,,SUMPRODUCT(MAX(ROW(E$2:E392)*(E392=E$2:E392)))))-COUNTBLANK(OFFSET(A$1,,,SUMPRODUCT(MAX(ROW(E$1:E391)*(E2=E$1:E391))))))</f>
        <v/>
      </c>
      <c r="K392" s="24" t="str">
        <f>IF(OR(E392="",E392="!!!",F392="NEW"),"",INDEX(J$1:J391,SUMPRODUCT(MAX(ROW(E$1:E391)*(E392=E$1:E391)))))</f>
        <v/>
      </c>
      <c r="L392" s="25"/>
    </row>
    <row r="393" spans="1:12" x14ac:dyDescent="0.2">
      <c r="A393" t="s">
        <v>886</v>
      </c>
      <c r="B393" s="26" t="s">
        <v>819</v>
      </c>
      <c r="C393" s="26" t="s">
        <v>847</v>
      </c>
      <c r="D393" s="26" t="s">
        <v>806</v>
      </c>
      <c r="E393" s="20" t="s">
        <v>1759</v>
      </c>
      <c r="F393" s="21" t="str">
        <f>IF(OR(E393="",E393="!!!"),"",IF(NOT(ISNA(VLOOKUP(E393,E$1:E392,1,FALSE()))),"OLD",IF(AND(E393&lt;&gt;"",E393&lt;&gt;"!!!"),"NEW","")))</f>
        <v>OLD</v>
      </c>
      <c r="G393" s="22" t="s">
        <v>1822</v>
      </c>
      <c r="H393" s="23" t="str">
        <f t="shared" ca="1" si="47"/>
        <v/>
      </c>
      <c r="I393" s="24" t="str">
        <f>IF(OR(E393="",E393="!!!",F393="NEW"),"",INDEX(B$2:B392,-1+SUMPRODUCT(MAX(ROW(E$2:E392)*(E393=E$2:E392)))))</f>
        <v>OBJ_2</v>
      </c>
      <c r="J393" s="24">
        <f ca="1">IF(OR(E393="",E393="!!!",F393="NEW"),"",COUNTBLANK(OFFSET(A$1,,,SUMPRODUCT(MAX(ROW(E$2:E393)*(E393=E$2:E393)))))-COUNTBLANK(OFFSET(A$1,,,SUMPRODUCT(MAX(ROW(E$1:E392)*(E2=E$1:E392))))))</f>
        <v>0</v>
      </c>
      <c r="K393" s="24">
        <f ca="1">IF(OR(E393="",E393="!!!",F393="NEW"),"",INDEX(J$1:J392,SUMPRODUCT(MAX(ROW(E$1:E392)*(E393=E$1:E392)))))</f>
        <v>0</v>
      </c>
      <c r="L393" s="25"/>
    </row>
    <row r="394" spans="1:12" x14ac:dyDescent="0.2">
      <c r="A394" t="s">
        <v>821</v>
      </c>
      <c r="E394" s="20" t="str">
        <f t="shared" si="46"/>
        <v/>
      </c>
      <c r="F394" s="21" t="str">
        <f>IF(OR(E394="",E394="!!!"),"",IF(NOT(ISNA(VLOOKUP(E394,E$1:E393,1,FALSE()))),"OLD",IF(AND(E394&lt;&gt;"",E394&lt;&gt;"!!!"),"NEW","")))</f>
        <v/>
      </c>
      <c r="G394" s="22" t="str">
        <f>IF(OR(E394="",E394="!!!"),"",IF(OR(J394=0,AND(J394=1,K394=1),AND(J394=1,I394="SBJ"),AND(J394=1,I394=0)),"?IN_FOCUS",IF(J394&lt;=2,"?ACTIVATED",IF(J394&lt;&gt;"","?FAMILIAR",IF(F394="NEW",IF(ISNA(VLOOKUP(E394,#REF!,1,FALSE())),"?TYPE_IDENTIFIABLE","?REFERENTIAL"),"_")))))</f>
        <v/>
      </c>
      <c r="H394" s="23" t="str">
        <f t="shared" ca="1" si="47"/>
        <v/>
      </c>
      <c r="I394" s="24" t="str">
        <f>IF(OR(E394="",E394="!!!",F394="NEW"),"",INDEX(B$2:B393,-1+SUMPRODUCT(MAX(ROW(E$2:E393)*(E394=E$2:E393)))))</f>
        <v/>
      </c>
      <c r="J394" s="24" t="str">
        <f ca="1">IF(OR(E394="",E394="!!!",F394="NEW"),"",COUNTBLANK(OFFSET(A$1,,,SUMPRODUCT(MAX(ROW(E$2:E394)*(E394=E$2:E394)))))-COUNTBLANK(OFFSET(A$1,,,SUMPRODUCT(MAX(ROW(E$1:E393)*(E2=E$1:E393))))))</f>
        <v/>
      </c>
      <c r="K394" s="24" t="str">
        <f>IF(OR(E394="",E394="!!!",F394="NEW"),"",INDEX(J$1:J393,SUMPRODUCT(MAX(ROW(E$1:E393)*(E394=E$1:E393)))))</f>
        <v/>
      </c>
      <c r="L394" s="25"/>
    </row>
    <row r="396" spans="1:12" x14ac:dyDescent="0.2">
      <c r="A396" t="s">
        <v>900</v>
      </c>
      <c r="E396" s="20" t="str">
        <f>IF(D396="?OLD","!!!","")</f>
        <v/>
      </c>
      <c r="F396" s="21" t="str">
        <f>IF(OR(E396="",E396="!!!"),"",IF(NOT(ISNA(VLOOKUP(E396,E$1:E395,1,FALSE()))),"OLD",IF(AND(E396&lt;&gt;"",E396&lt;&gt;"!!!"),"NEW","")))</f>
        <v/>
      </c>
      <c r="G396" s="22" t="str">
        <f>IF(OR(E396="",E396="!!!"),"",IF(OR(J396=0,AND(J396=1,K396=1),AND(J396=1,I396="SBJ"),AND(J396=1,I396=0)),"?IN_FOCUS",IF(J396&lt;=2,"?ACTIVATED",IF(J396&lt;&gt;"","?FAMILIAR",IF(F396="NEW",IF(ISNA(VLOOKUP(E396,#REF!,1,FALSE())),"?TYPE_IDENTIFIABLE","?REFERENTIAL"),"_")))))</f>
        <v/>
      </c>
      <c r="H396" s="23" t="str">
        <f ca="1">IF(J396&lt;&gt;1,"",IF(I396="SBJ","CB","?"))</f>
        <v/>
      </c>
      <c r="I396" s="24" t="str">
        <f>IF(OR(E396="",E396="!!!",F396="NEW"),"",INDEX(B$2:B395,-1+SUMPRODUCT(MAX(ROW(E$2:E395)*(E396=E$2:E395)))))</f>
        <v/>
      </c>
      <c r="J396" s="24" t="str">
        <f ca="1">IF(OR(E396="",E396="!!!",F396="NEW"),"",COUNTBLANK(OFFSET(A$1,,,SUMPRODUCT(MAX(ROW(E$2:E396)*(E396=E$2:E396)))))-COUNTBLANK(OFFSET(A$1,,,SUMPRODUCT(MAX(ROW(E$1:E395)*(E2=E$1:E395))))))</f>
        <v/>
      </c>
      <c r="K396" s="24" t="str">
        <f>IF(OR(E396="",E396="!!!",F396="NEW"),"",INDEX(J$1:J395,SUMPRODUCT(MAX(ROW(E$1:E395)*(E396=E$1:E395)))))</f>
        <v/>
      </c>
      <c r="L396" s="25"/>
    </row>
    <row r="397" spans="1:12" x14ac:dyDescent="0.2">
      <c r="A397" t="s">
        <v>1011</v>
      </c>
    </row>
    <row r="398" spans="1:12" x14ac:dyDescent="0.2">
      <c r="A398" t="s">
        <v>1012</v>
      </c>
      <c r="E398" s="20" t="str">
        <f t="shared" ref="E398:E436" si="48">IF(D398="?OLD","!!!","")</f>
        <v/>
      </c>
      <c r="F398" s="21" t="str">
        <f>IF(OR(E398="",E398="!!!"),"",IF(NOT(ISNA(VLOOKUP(E398,E$1:E397,1,FALSE()))),"OLD",IF(AND(E398&lt;&gt;"",E398&lt;&gt;"!!!"),"NEW","")))</f>
        <v/>
      </c>
      <c r="G398" s="22" t="str">
        <f>IF(OR(E398="",E398="!!!"),"",IF(OR(J398=0,AND(J398=1,K398=1),AND(J398=1,I398="SBJ"),AND(J398=1,I398=0)),"?IN_FOCUS",IF(J398&lt;=2,"?ACTIVATED",IF(J398&lt;&gt;"","?FAMILIAR",IF(F398="NEW",IF(ISNA(VLOOKUP(E398,#REF!,1,FALSE())),"?TYPE_IDENTIFIABLE","?REFERENTIAL"),"_")))))</f>
        <v/>
      </c>
      <c r="H398" s="23" t="str">
        <f t="shared" ref="H398:H436" ca="1" si="49">IF(J398&lt;&gt;1,"",IF(I398="SBJ","CB","?"))</f>
        <v/>
      </c>
      <c r="I398" s="24" t="str">
        <f>IF(OR(E398="",E398="!!!",F398="NEW"),"",INDEX(B$2:B397,-1+SUMPRODUCT(MAX(ROW(E$2:E397)*(E398=E$2:E397)))))</f>
        <v/>
      </c>
      <c r="J398" s="24" t="str">
        <f ca="1">IF(OR(E398="",E398="!!!",F398="NEW"),"",COUNTBLANK(OFFSET(A$1,,,SUMPRODUCT(MAX(ROW(E$2:E398)*(E398=E$2:E398)))))-COUNTBLANK(OFFSET(A$1,,,SUMPRODUCT(MAX(ROW(E$1:E397)*(E2=E$1:E397))))))</f>
        <v/>
      </c>
      <c r="K398" s="24" t="str">
        <f>IF(OR(E398="",E398="!!!",F398="NEW"),"",INDEX(J$1:J397,SUMPRODUCT(MAX(ROW(E$1:E397)*(E398=E$1:E397)))))</f>
        <v/>
      </c>
      <c r="L398" s="25"/>
    </row>
    <row r="399" spans="1:12" x14ac:dyDescent="0.2">
      <c r="A399" t="s">
        <v>898</v>
      </c>
      <c r="B399" s="26" t="s">
        <v>938</v>
      </c>
      <c r="C399" s="26" t="s">
        <v>805</v>
      </c>
      <c r="D399" s="26" t="s">
        <v>806</v>
      </c>
      <c r="E399" s="20" t="s">
        <v>1775</v>
      </c>
      <c r="F399" s="21" t="s">
        <v>1753</v>
      </c>
      <c r="G399" s="22" t="s">
        <v>1823</v>
      </c>
      <c r="H399" s="23" t="str">
        <f t="shared" ca="1" si="49"/>
        <v/>
      </c>
      <c r="I399" s="24" t="e">
        <f>IF(OR(E399="",E399="!!!",F399="NEW"),"",INDEX(B$2:B398,-1+SUMPRODUCT(MAX(ROW(E$2:E398)*(E399=E$2:E398)))))</f>
        <v>#VALUE!</v>
      </c>
      <c r="J399" s="24">
        <f ca="1">IF(OR(E399="",E399="!!!",F399="NEW"),"",COUNTBLANK(OFFSET(A$1,,,SUMPRODUCT(MAX(ROW(E$2:E399)*(E399=E$2:E399)))))-COUNTBLANK(OFFSET(A$1,,,SUMPRODUCT(MAX(ROW(E$1:E398)*(E2=E$1:E398))))))</f>
        <v>0</v>
      </c>
      <c r="K399" s="24" t="e">
        <f>IF(OR(E399="",E399="!!!",F399="NEW"),"",INDEX(J$1:J398,SUMPRODUCT(MAX(ROW(E$1:E398)*(E399=E$1:E398)))))</f>
        <v>#VALUE!</v>
      </c>
      <c r="L399" s="25"/>
    </row>
    <row r="400" spans="1:12" x14ac:dyDescent="0.2">
      <c r="A400" t="s">
        <v>51</v>
      </c>
      <c r="E400" s="20" t="str">
        <f t="shared" si="48"/>
        <v/>
      </c>
      <c r="F400" s="21" t="str">
        <f>IF(OR(E400="",E400="!!!"),"",IF(NOT(ISNA(VLOOKUP(E400,E$1:E399,1,FALSE()))),"OLD",IF(AND(E400&lt;&gt;"",E400&lt;&gt;"!!!"),"NEW","")))</f>
        <v/>
      </c>
      <c r="G400" s="22" t="str">
        <f>IF(OR(E400="",E400="!!!"),"",IF(OR(J400=0,AND(J400=1,K400=1),AND(J400=1,I400="SBJ"),AND(J400=1,I400=0)),"?IN_FOCUS",IF(J400&lt;=2,"?ACTIVATED",IF(J400&lt;&gt;"","?FAMILIAR",IF(F400="NEW",IF(ISNA(VLOOKUP(E400,#REF!,1,FALSE())),"?TYPE_IDENTIFIABLE","?REFERENTIAL"),"_")))))</f>
        <v/>
      </c>
      <c r="H400" s="23" t="str">
        <f t="shared" ca="1" si="49"/>
        <v/>
      </c>
      <c r="I400" s="24" t="str">
        <f>IF(OR(E400="",E400="!!!",F400="NEW"),"",INDEX(B$2:B399,-1+SUMPRODUCT(MAX(ROW(E$2:E399)*(E400=E$2:E399)))))</f>
        <v/>
      </c>
      <c r="J400" s="24" t="str">
        <f ca="1">IF(OR(E400="",E400="!!!",F400="NEW"),"",COUNTBLANK(OFFSET(A$1,,,SUMPRODUCT(MAX(ROW(E$2:E400)*(E400=E$2:E400)))))-COUNTBLANK(OFFSET(A$1,,,SUMPRODUCT(MAX(ROW(E$1:E399)*(E2=E$1:E399))))))</f>
        <v/>
      </c>
      <c r="K400" s="24" t="str">
        <f>IF(OR(E400="",E400="!!!",F400="NEW"),"",INDEX(J$1:J399,SUMPRODUCT(MAX(ROW(E$1:E399)*(E400=E$1:E399)))))</f>
        <v/>
      </c>
      <c r="L400" s="25"/>
    </row>
    <row r="401" spans="1:12" x14ac:dyDescent="0.2">
      <c r="A401" t="s">
        <v>1013</v>
      </c>
      <c r="B401" s="26" t="s">
        <v>871</v>
      </c>
      <c r="C401" s="26" t="s">
        <v>805</v>
      </c>
      <c r="D401" s="26" t="s">
        <v>806</v>
      </c>
      <c r="E401" s="20" t="s">
        <v>1760</v>
      </c>
      <c r="F401" s="21" t="str">
        <f>IF(OR(E401="",E401="!!!"),"",IF(NOT(ISNA(VLOOKUP(E401,E$1:E400,1,FALSE()))),"OLD",IF(AND(E401&lt;&gt;"",E401&lt;&gt;"!!!"),"NEW","")))</f>
        <v>OLD</v>
      </c>
      <c r="G401" s="22" t="s">
        <v>1822</v>
      </c>
      <c r="H401" s="23" t="str">
        <f t="shared" ca="1" si="49"/>
        <v/>
      </c>
      <c r="I401" s="24" t="str">
        <f>IF(OR(E401="",E401="!!!",F401="NEW"),"",INDEX(B$2:B400,-1+SUMPRODUCT(MAX(ROW(E$2:E400)*(E401=E$2:E400)))))</f>
        <v>OBJ</v>
      </c>
      <c r="J401" s="24">
        <f ca="1">IF(OR(E401="",E401="!!!",F401="NEW"),"",COUNTBLANK(OFFSET(A$1,,,SUMPRODUCT(MAX(ROW(E$2:E401)*(E401=E$2:E401)))))-COUNTBLANK(OFFSET(A$1,,,SUMPRODUCT(MAX(ROW(E$1:E400)*(E2=E$1:E400))))))</f>
        <v>0</v>
      </c>
      <c r="K401" s="24" t="str">
        <f ca="1">IF(OR(E401="",E401="!!!",F401="NEW"),"",INDEX(J$1:J400,SUMPRODUCT(MAX(ROW(E$1:E400)*(E401=E$1:E400)))))</f>
        <v/>
      </c>
      <c r="L401" s="25"/>
    </row>
    <row r="402" spans="1:12" x14ac:dyDescent="0.2">
      <c r="A402" t="s">
        <v>191</v>
      </c>
      <c r="B402" s="26" t="s">
        <v>864</v>
      </c>
      <c r="C402" s="26" t="s">
        <v>854</v>
      </c>
      <c r="D402" s="26" t="s">
        <v>806</v>
      </c>
      <c r="E402" s="20"/>
      <c r="F402" s="21" t="str">
        <f>IF(OR(E402="",E402="!!!"),"",IF(NOT(ISNA(VLOOKUP(E402,E$1:E401,1,FALSE()))),"OLD",IF(AND(E402&lt;&gt;"",E402&lt;&gt;"!!!"),"NEW","")))</f>
        <v/>
      </c>
      <c r="G402" s="22" t="str">
        <f>IF(OR(E402="",E402="!!!"),"",IF(OR(J402=0,AND(J402=1,K402=1),AND(J402=1,I402="SBJ"),AND(J402=1,I402=0)),"?IN_FOCUS",IF(J402&lt;=2,"?ACTIVATED",IF(J402&lt;&gt;"","?FAMILIAR",IF(F402="NEW",IF(ISNA(VLOOKUP(E402,#REF!,1,FALSE())),"?TYPE_IDENTIFIABLE","?REFERENTIAL"),"_")))))</f>
        <v/>
      </c>
      <c r="H402" s="23" t="str">
        <f t="shared" ca="1" si="49"/>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5"/>
    </row>
    <row r="403" spans="1:12" x14ac:dyDescent="0.2">
      <c r="A403" t="s">
        <v>821</v>
      </c>
      <c r="E403" s="20" t="str">
        <f t="shared" si="48"/>
        <v/>
      </c>
      <c r="F403" s="21"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49"/>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5"/>
    </row>
    <row r="404" spans="1:12" x14ac:dyDescent="0.2">
      <c r="A404" t="s">
        <v>902</v>
      </c>
      <c r="E404" s="20" t="str">
        <f t="shared" si="48"/>
        <v/>
      </c>
      <c r="F404" s="21" t="str">
        <f>IF(OR(E404="",E404="!!!"),"",IF(NOT(ISNA(VLOOKUP(E404,E$1:E403,1,FALSE()))),"OLD",IF(AND(E404&lt;&gt;"",E404&lt;&gt;"!!!"),"NEW","")))</f>
        <v/>
      </c>
      <c r="G404" s="22" t="str">
        <f>IF(OR(E404="",E404="!!!"),"",IF(OR(J404=0,AND(J404=1,K404=1),AND(J404=1,I404="SBJ"),AND(J404=1,I404=0)),"?IN_FOCUS",IF(J404&lt;=2,"?ACTIVATED",IF(J404&lt;&gt;"","?FAMILIAR",IF(F404="NEW",IF(ISNA(VLOOKUP(E404,#REF!,1,FALSE())),"?TYPE_IDENTIFIABLE","?REFERENTIAL"),"_")))))</f>
        <v/>
      </c>
      <c r="H404" s="23" t="str">
        <f t="shared" ca="1" si="49"/>
        <v/>
      </c>
      <c r="I404" s="24" t="str">
        <f>IF(OR(E404="",E404="!!!",F404="NEW"),"",INDEX(B$2:B403,-1+SUMPRODUCT(MAX(ROW(E$2:E403)*(E404=E$2:E403)))))</f>
        <v/>
      </c>
      <c r="J404" s="24" t="str">
        <f ca="1">IF(OR(E404="",E404="!!!",F404="NEW"),"",COUNTBLANK(OFFSET(A$1,,,SUMPRODUCT(MAX(ROW(E$2:E404)*(E404=E$2:E404)))))-COUNTBLANK(OFFSET(A$1,,,SUMPRODUCT(MAX(ROW(E$1:E403)*(E2=E$1:E403))))))</f>
        <v/>
      </c>
      <c r="K404" s="24" t="str">
        <f>IF(OR(E404="",E404="!!!",F404="NEW"),"",INDEX(J$1:J403,SUMPRODUCT(MAX(ROW(E$1:E403)*(E404=E$1:E403)))))</f>
        <v/>
      </c>
      <c r="L404" s="25"/>
    </row>
    <row r="405" spans="1:12" x14ac:dyDescent="0.2">
      <c r="A405" t="s">
        <v>191</v>
      </c>
      <c r="B405" s="26" t="s">
        <v>938</v>
      </c>
      <c r="C405" s="26" t="s">
        <v>854</v>
      </c>
      <c r="D405" s="26" t="s">
        <v>806</v>
      </c>
      <c r="E405" s="20" t="s">
        <v>1760</v>
      </c>
      <c r="F405" s="21" t="str">
        <f>IF(OR(E405="",E405="!!!"),"",IF(NOT(ISNA(VLOOKUP(E405,E$1:E404,1,FALSE()))),"OLD",IF(AND(E405&lt;&gt;"",E405&lt;&gt;"!!!"),"NEW","")))</f>
        <v>OLD</v>
      </c>
      <c r="G405" s="22" t="s">
        <v>1822</v>
      </c>
      <c r="H405" s="23" t="str">
        <f t="shared" ca="1" si="49"/>
        <v/>
      </c>
      <c r="I405" s="24" t="str">
        <f>IF(OR(E405="",E405="!!!",F405="NEW"),"",INDEX(B$2:B404,-1+SUMPRODUCT(MAX(ROW(E$2:E404)*(E405=E$2:E404)))))</f>
        <v>OBJ_3</v>
      </c>
      <c r="J405" s="24">
        <f ca="1">IF(OR(E405="",E405="!!!",F405="NEW"),"",COUNTBLANK(OFFSET(A$1,,,SUMPRODUCT(MAX(ROW(E$2:E405)*(E405=E$2:E405)))))-COUNTBLANK(OFFSET(A$1,,,SUMPRODUCT(MAX(ROW(E$1:E404)*(E2=E$1:E404))))))</f>
        <v>0</v>
      </c>
      <c r="K405" s="24">
        <f ca="1">IF(OR(E405="",E405="!!!",F405="NEW"),"",INDEX(J$1:J404,SUMPRODUCT(MAX(ROW(E$1:E404)*(E405=E$1:E404)))))</f>
        <v>0</v>
      </c>
      <c r="L405" s="25"/>
    </row>
    <row r="406" spans="1:12" x14ac:dyDescent="0.2">
      <c r="A406" t="s">
        <v>802</v>
      </c>
      <c r="E406" s="20" t="str">
        <f t="shared" si="48"/>
        <v/>
      </c>
      <c r="F406" s="21" t="str">
        <f>IF(OR(E406="",E406="!!!"),"",IF(NOT(ISNA(VLOOKUP(E406,E$1:E405,1,FALSE()))),"OLD",IF(AND(E406&lt;&gt;"",E406&lt;&gt;"!!!"),"NEW","")))</f>
        <v/>
      </c>
      <c r="G406" s="22" t="str">
        <f>IF(OR(E406="",E406="!!!"),"",IF(OR(J406=0,AND(J406=1,K406=1),AND(J406=1,I406="SBJ"),AND(J406=1,I406=0)),"?IN_FOCUS",IF(J406&lt;=2,"?ACTIVATED",IF(J406&lt;&gt;"","?FAMILIAR",IF(F406="NEW",IF(ISNA(VLOOKUP(E406,#REF!,1,FALSE())),"?TYPE_IDENTIFIABLE","?REFERENTIAL"),"_")))))</f>
        <v/>
      </c>
      <c r="H406" s="23" t="str">
        <f t="shared" ca="1" si="49"/>
        <v/>
      </c>
      <c r="I406" s="24" t="str">
        <f>IF(OR(E406="",E406="!!!",F406="NEW"),"",INDEX(B$2:B405,-1+SUMPRODUCT(MAX(ROW(E$2:E405)*(E406=E$2:E405)))))</f>
        <v/>
      </c>
      <c r="J406" s="24" t="str">
        <f ca="1">IF(OR(E406="",E406="!!!",F406="NEW"),"",COUNTBLANK(OFFSET(A$1,,,SUMPRODUCT(MAX(ROW(E$2:E406)*(E406=E$2:E406)))))-COUNTBLANK(OFFSET(A$1,,,SUMPRODUCT(MAX(ROW(E$1:E405)*(E2=E$1:E405))))))</f>
        <v/>
      </c>
      <c r="K406" s="24" t="str">
        <f>IF(OR(E406="",E406="!!!",F406="NEW"),"",INDEX(J$1:J405,SUMPRODUCT(MAX(ROW(E$1:E405)*(E406=E$1:E405)))))</f>
        <v/>
      </c>
      <c r="L406" s="25"/>
    </row>
    <row r="407" spans="1:12" x14ac:dyDescent="0.2">
      <c r="A407" t="s">
        <v>902</v>
      </c>
      <c r="E407" s="20" t="str">
        <f t="shared" si="48"/>
        <v/>
      </c>
      <c r="F407" s="21"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49"/>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5"/>
    </row>
    <row r="408" spans="1:12" x14ac:dyDescent="0.2">
      <c r="A408" t="s">
        <v>803</v>
      </c>
      <c r="B408" s="26" t="s">
        <v>804</v>
      </c>
      <c r="C408" s="26" t="s">
        <v>805</v>
      </c>
      <c r="D408" s="26" t="s">
        <v>806</v>
      </c>
      <c r="E408" s="20" t="s">
        <v>1747</v>
      </c>
      <c r="F408" s="21" t="s">
        <v>1753</v>
      </c>
      <c r="G408" s="22" t="s">
        <v>1823</v>
      </c>
      <c r="H408" s="23" t="str">
        <f t="shared" ca="1" si="49"/>
        <v/>
      </c>
      <c r="I408" s="24" t="str">
        <f>IF(OR(E408="",E408="!!!",F408="NEW"),"",INDEX(B$2:B407,-1+SUMPRODUCT(MAX(ROW(E$2:E407)*(E408=E$2:E407)))))</f>
        <v>SBJ</v>
      </c>
      <c r="J408" s="24">
        <f ca="1">IF(OR(E408="",E408="!!!",F408="NEW"),"",COUNTBLANK(OFFSET(A$1,,,SUMPRODUCT(MAX(ROW(E$2:E408)*(E408=E$2:E408)))))-COUNTBLANK(OFFSET(A$1,,,SUMPRODUCT(MAX(ROW(E$1:E407)*(E2=E$1:E407))))))</f>
        <v>0</v>
      </c>
      <c r="K408" s="24">
        <f ca="1">IF(OR(E408="",E408="!!!",F408="NEW"),"",INDEX(J$1:J407,SUMPRODUCT(MAX(ROW(E$1:E407)*(E408=E$1:E407)))))</f>
        <v>0</v>
      </c>
      <c r="L408" s="25"/>
    </row>
    <row r="409" spans="1:12" x14ac:dyDescent="0.2">
      <c r="A409" t="s">
        <v>904</v>
      </c>
      <c r="E409" s="20" t="str">
        <f t="shared" si="48"/>
        <v/>
      </c>
      <c r="F409" s="21" t="str">
        <f>IF(OR(E409="",E409="!!!"),"",IF(NOT(ISNA(VLOOKUP(E409,E$1:E408,1,FALSE()))),"OLD",IF(AND(E409&lt;&gt;"",E409&lt;&gt;"!!!"),"NEW","")))</f>
        <v/>
      </c>
      <c r="G409" s="22" t="str">
        <f>IF(OR(E409="",E409="!!!"),"",IF(OR(J409=0,AND(J409=1,K409=1),AND(J409=1,I409="SBJ"),AND(J409=1,I409=0)),"?IN_FOCUS",IF(J409&lt;=2,"?ACTIVATED",IF(J409&lt;&gt;"","?FAMILIAR",IF(F409="NEW",IF(ISNA(VLOOKUP(E409,#REF!,1,FALSE())),"?TYPE_IDENTIFIABLE","?REFERENTIAL"),"_")))))</f>
        <v/>
      </c>
      <c r="H409" s="23" t="str">
        <f t="shared" ca="1" si="49"/>
        <v/>
      </c>
      <c r="I409" s="24" t="str">
        <f>IF(OR(E409="",E409="!!!",F409="NEW"),"",INDEX(B$2:B408,-1+SUMPRODUCT(MAX(ROW(E$2:E408)*(E409=E$2:E408)))))</f>
        <v/>
      </c>
      <c r="J409" s="24" t="str">
        <f ca="1">IF(OR(E409="",E409="!!!",F409="NEW"),"",COUNTBLANK(OFFSET(A$1,,,SUMPRODUCT(MAX(ROW(E$2:E409)*(E409=E$2:E409)))))-COUNTBLANK(OFFSET(A$1,,,SUMPRODUCT(MAX(ROW(E$1:E408)*(E2=E$1:E408))))))</f>
        <v/>
      </c>
      <c r="K409" s="24" t="str">
        <f>IF(OR(E409="",E409="!!!",F409="NEW"),"",INDEX(J$1:J408,SUMPRODUCT(MAX(ROW(E$1:E408)*(E409=E$1:E408)))))</f>
        <v/>
      </c>
      <c r="L409" s="25"/>
    </row>
    <row r="410" spans="1:12" x14ac:dyDescent="0.2">
      <c r="A410" t="s">
        <v>802</v>
      </c>
      <c r="E410" s="20" t="str">
        <f t="shared" si="48"/>
        <v/>
      </c>
      <c r="F410" s="21" t="str">
        <f>IF(OR(E410="",E410="!!!"),"",IF(NOT(ISNA(VLOOKUP(E410,E$1:E409,1,FALSE()))),"OLD",IF(AND(E410&lt;&gt;"",E410&lt;&gt;"!!!"),"NEW","")))</f>
        <v/>
      </c>
      <c r="G410" s="22" t="str">
        <f>IF(OR(E410="",E410="!!!"),"",IF(OR(J410=0,AND(J410=1,K410=1),AND(J410=1,I410="SBJ"),AND(J410=1,I410=0)),"?IN_FOCUS",IF(J410&lt;=2,"?ACTIVATED",IF(J410&lt;&gt;"","?FAMILIAR",IF(F410="NEW",IF(ISNA(VLOOKUP(E410,#REF!,1,FALSE())),"?TYPE_IDENTIFIABLE","?REFERENTIAL"),"_")))))</f>
        <v/>
      </c>
      <c r="H410" s="23" t="str">
        <f t="shared" ca="1" si="49"/>
        <v/>
      </c>
      <c r="I410" s="24" t="str">
        <f>IF(OR(E410="",E410="!!!",F410="NEW"),"",INDEX(B$2:B409,-1+SUMPRODUCT(MAX(ROW(E$2:E409)*(E410=E$2:E409)))))</f>
        <v/>
      </c>
      <c r="J410" s="24" t="str">
        <f ca="1">IF(OR(E410="",E410="!!!",F410="NEW"),"",COUNTBLANK(OFFSET(A$1,,,SUMPRODUCT(MAX(ROW(E$2:E410)*(E410=E$2:E410)))))-COUNTBLANK(OFFSET(A$1,,,SUMPRODUCT(MAX(ROW(E$1:E409)*(E2=E$1:E409))))))</f>
        <v/>
      </c>
      <c r="K410" s="24" t="str">
        <f>IF(OR(E410="",E410="!!!",F410="NEW"),"",INDEX(J$1:J409,SUMPRODUCT(MAX(ROW(E$1:E409)*(E410=E$1:E409)))))</f>
        <v/>
      </c>
      <c r="L410" s="25"/>
    </row>
    <row r="411" spans="1:12" x14ac:dyDescent="0.2">
      <c r="A411" t="s">
        <v>902</v>
      </c>
      <c r="E411" s="20" t="str">
        <f t="shared" si="48"/>
        <v/>
      </c>
      <c r="F411" s="21" t="str">
        <f>IF(OR(E411="",E411="!!!"),"",IF(NOT(ISNA(VLOOKUP(E411,E$1:E410,1,FALSE()))),"OLD",IF(AND(E411&lt;&gt;"",E411&lt;&gt;"!!!"),"NEW","")))</f>
        <v/>
      </c>
      <c r="G411" s="22" t="str">
        <f>IF(OR(E411="",E411="!!!"),"",IF(OR(J411=0,AND(J411=1,K411=1),AND(J411=1,I411="SBJ"),AND(J411=1,I411=0)),"?IN_FOCUS",IF(J411&lt;=2,"?ACTIVATED",IF(J411&lt;&gt;"","?FAMILIAR",IF(F411="NEW",IF(ISNA(VLOOKUP(E411,#REF!,1,FALSE())),"?TYPE_IDENTIFIABLE","?REFERENTIAL"),"_")))))</f>
        <v/>
      </c>
      <c r="H411" s="23" t="str">
        <f t="shared" ca="1" si="49"/>
        <v/>
      </c>
      <c r="I411" s="24" t="str">
        <f>IF(OR(E411="",E411="!!!",F411="NEW"),"",INDEX(B$2:B410,-1+SUMPRODUCT(MAX(ROW(E$2:E410)*(E411=E$2:E410)))))</f>
        <v/>
      </c>
      <c r="J411" s="24" t="str">
        <f ca="1">IF(OR(E411="",E411="!!!",F411="NEW"),"",COUNTBLANK(OFFSET(A$1,,,SUMPRODUCT(MAX(ROW(E$2:E411)*(E411=E$2:E411)))))-COUNTBLANK(OFFSET(A$1,,,SUMPRODUCT(MAX(ROW(E$1:E410)*(E2=E$1:E410))))))</f>
        <v/>
      </c>
      <c r="K411" s="24" t="str">
        <f>IF(OR(E411="",E411="!!!",F411="NEW"),"",INDEX(J$1:J410,SUMPRODUCT(MAX(ROW(E$1:E410)*(E411=E$1:E410)))))</f>
        <v/>
      </c>
      <c r="L411" s="25"/>
    </row>
    <row r="412" spans="1:12" x14ac:dyDescent="0.2">
      <c r="A412" t="s">
        <v>1014</v>
      </c>
      <c r="E412" s="20" t="str">
        <f t="shared" si="48"/>
        <v/>
      </c>
      <c r="F412" s="21" t="str">
        <f>IF(OR(E412="",E412="!!!"),"",IF(NOT(ISNA(VLOOKUP(E412,E$1:E411,1,FALSE()))),"OLD",IF(AND(E412&lt;&gt;"",E412&lt;&gt;"!!!"),"NEW","")))</f>
        <v/>
      </c>
      <c r="G412" s="22" t="str">
        <f>IF(OR(E412="",E412="!!!"),"",IF(OR(J412=0,AND(J412=1,K412=1),AND(J412=1,I412="SBJ"),AND(J412=1,I412=0)),"?IN_FOCUS",IF(J412&lt;=2,"?ACTIVATED",IF(J412&lt;&gt;"","?FAMILIAR",IF(F412="NEW",IF(ISNA(VLOOKUP(E412,#REF!,1,FALSE())),"?TYPE_IDENTIFIABLE","?REFERENTIAL"),"_")))))</f>
        <v/>
      </c>
      <c r="H412" s="23" t="str">
        <f t="shared" ca="1" si="49"/>
        <v/>
      </c>
      <c r="I412" s="24" t="str">
        <f>IF(OR(E412="",E412="!!!",F412="NEW"),"",INDEX(B$2:B411,-1+SUMPRODUCT(MAX(ROW(E$2:E411)*(E412=E$2:E411)))))</f>
        <v/>
      </c>
      <c r="J412" s="24" t="str">
        <f ca="1">IF(OR(E412="",E412="!!!",F412="NEW"),"",COUNTBLANK(OFFSET(A$1,,,SUMPRODUCT(MAX(ROW(E$2:E412)*(E412=E$2:E412)))))-COUNTBLANK(OFFSET(A$1,,,SUMPRODUCT(MAX(ROW(E$1:E411)*(E2=E$1:E411))))))</f>
        <v/>
      </c>
      <c r="K412" s="24" t="str">
        <f>IF(OR(E412="",E412="!!!",F412="NEW"),"",INDEX(J$1:J411,SUMPRODUCT(MAX(ROW(E$1:E411)*(E412=E$1:E411)))))</f>
        <v/>
      </c>
      <c r="L412" s="25"/>
    </row>
    <row r="413" spans="1:12" x14ac:dyDescent="0.2">
      <c r="A413" t="s">
        <v>859</v>
      </c>
      <c r="E413" s="20" t="str">
        <f t="shared" si="48"/>
        <v/>
      </c>
      <c r="F413" s="21"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49"/>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5"/>
    </row>
    <row r="414" spans="1:12" x14ac:dyDescent="0.2">
      <c r="A414" t="s">
        <v>94</v>
      </c>
      <c r="E414" s="20" t="str">
        <f t="shared" si="48"/>
        <v/>
      </c>
      <c r="F414" s="21" t="str">
        <f>IF(OR(E414="",E414="!!!"),"",IF(NOT(ISNA(VLOOKUP(E414,E$1:E413,1,FALSE()))),"OLD",IF(AND(E414&lt;&gt;"",E414&lt;&gt;"!!!"),"NEW","")))</f>
        <v/>
      </c>
      <c r="G414" s="22" t="str">
        <f>IF(OR(E414="",E414="!!!"),"",IF(OR(J414=0,AND(J414=1,K414=1),AND(J414=1,I414="SBJ"),AND(J414=1,I414=0)),"?IN_FOCUS",IF(J414&lt;=2,"?ACTIVATED",IF(J414&lt;&gt;"","?FAMILIAR",IF(F414="NEW",IF(ISNA(VLOOKUP(E414,#REF!,1,FALSE())),"?TYPE_IDENTIFIABLE","?REFERENTIAL"),"_")))))</f>
        <v/>
      </c>
      <c r="H414" s="23" t="str">
        <f t="shared" ca="1" si="49"/>
        <v/>
      </c>
      <c r="I414" s="24" t="str">
        <f>IF(OR(E414="",E414="!!!",F414="NEW"),"",INDEX(B$2:B413,-1+SUMPRODUCT(MAX(ROW(E$2:E413)*(E414=E$2:E413)))))</f>
        <v/>
      </c>
      <c r="J414" s="24" t="str">
        <f ca="1">IF(OR(E414="",E414="!!!",F414="NEW"),"",COUNTBLANK(OFFSET(A$1,,,SUMPRODUCT(MAX(ROW(E$2:E414)*(E414=E$2:E414)))))-COUNTBLANK(OFFSET(A$1,,,SUMPRODUCT(MAX(ROW(E$1:E413)*(E2=E$1:E413))))))</f>
        <v/>
      </c>
      <c r="K414" s="24" t="str">
        <f>IF(OR(E414="",E414="!!!",F414="NEW"),"",INDEX(J$1:J413,SUMPRODUCT(MAX(ROW(E$1:E413)*(E414=E$1:E413)))))</f>
        <v/>
      </c>
      <c r="L414" s="25"/>
    </row>
    <row r="415" spans="1:12" x14ac:dyDescent="0.2">
      <c r="A415" t="s">
        <v>845</v>
      </c>
      <c r="E415" s="20" t="str">
        <f t="shared" si="48"/>
        <v/>
      </c>
      <c r="F415" s="21" t="str">
        <f>IF(OR(E415="",E415="!!!"),"",IF(NOT(ISNA(VLOOKUP(E415,E$1:E414,1,FALSE()))),"OLD",IF(AND(E415&lt;&gt;"",E415&lt;&gt;"!!!"),"NEW","")))</f>
        <v/>
      </c>
      <c r="G415" s="22" t="str">
        <f>IF(OR(E415="",E415="!!!"),"",IF(OR(J415=0,AND(J415=1,K415=1),AND(J415=1,I415="SBJ"),AND(J415=1,I415=0)),"?IN_FOCUS",IF(J415&lt;=2,"?ACTIVATED",IF(J415&lt;&gt;"","?FAMILIAR",IF(F415="NEW",IF(ISNA(VLOOKUP(E415,#REF!,1,FALSE())),"?TYPE_IDENTIFIABLE","?REFERENTIAL"),"_")))))</f>
        <v/>
      </c>
      <c r="H415" s="23" t="str">
        <f t="shared" ca="1" si="49"/>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5"/>
    </row>
    <row r="416" spans="1:12" x14ac:dyDescent="0.2">
      <c r="A416" t="s">
        <v>1015</v>
      </c>
      <c r="B416" s="26" t="s">
        <v>871</v>
      </c>
      <c r="C416" s="26" t="s">
        <v>847</v>
      </c>
      <c r="D416" s="26" t="s">
        <v>806</v>
      </c>
      <c r="E416" s="20" t="s">
        <v>1015</v>
      </c>
      <c r="F416" s="21" t="str">
        <f>IF(OR(E416="",E416="!!!"),"",IF(NOT(ISNA(VLOOKUP(E416,E$1:E415,1,FALSE()))),"OLD",IF(AND(E416&lt;&gt;"",E416&lt;&gt;"!!!"),"NEW","")))</f>
        <v>NEW</v>
      </c>
      <c r="G416" s="22" t="s">
        <v>1820</v>
      </c>
      <c r="H416" s="23" t="str">
        <f t="shared" ca="1" si="49"/>
        <v/>
      </c>
      <c r="I416" s="24" t="str">
        <f>IF(OR(E416="",E416="!!!",F416="NEW"),"",INDEX(B$2:B415,-1+SUMPRODUCT(MAX(ROW(E$2:E415)*(E416=E$2:E415)))))</f>
        <v/>
      </c>
      <c r="J416" s="24" t="str">
        <f ca="1">IF(OR(E416="",E416="!!!",F416="NEW"),"",COUNTBLANK(OFFSET(A$1,,,SUMPRODUCT(MAX(ROW(E$2:E416)*(E416=E$2:E416)))))-COUNTBLANK(OFFSET(A$1,,,SUMPRODUCT(MAX(ROW(E$1:E415)*(E2=E$1:E415))))))</f>
        <v/>
      </c>
      <c r="K416" s="24" t="str">
        <f>IF(OR(E416="",E416="!!!",F416="NEW"),"",INDEX(J$1:J415,SUMPRODUCT(MAX(ROW(E$1:E415)*(E416=E$1:E415)))))</f>
        <v/>
      </c>
      <c r="L416" s="25"/>
    </row>
    <row r="417" spans="1:12" x14ac:dyDescent="0.2">
      <c r="A417" t="s">
        <v>1016</v>
      </c>
      <c r="E417" s="20" t="str">
        <f t="shared" si="48"/>
        <v/>
      </c>
      <c r="F417" s="21" t="str">
        <f>IF(OR(E417="",E417="!!!"),"",IF(NOT(ISNA(VLOOKUP(E417,E$1:E416,1,FALSE()))),"OLD",IF(AND(E417&lt;&gt;"",E417&lt;&gt;"!!!"),"NEW","")))</f>
        <v/>
      </c>
      <c r="G417" s="22" t="str">
        <f>IF(OR(E417="",E417="!!!"),"",IF(OR(J417=0,AND(J417=1,K417=1),AND(J417=1,I417="SBJ"),AND(J417=1,I417=0)),"?IN_FOCUS",IF(J417&lt;=2,"?ACTIVATED",IF(J417&lt;&gt;"","?FAMILIAR",IF(F417="NEW",IF(ISNA(VLOOKUP(E417,#REF!,1,FALSE())),"?TYPE_IDENTIFIABLE","?REFERENTIAL"),"_")))))</f>
        <v/>
      </c>
      <c r="H417" s="23" t="str">
        <f t="shared" ca="1" si="49"/>
        <v/>
      </c>
      <c r="I417" s="24" t="str">
        <f>IF(OR(E417="",E417="!!!",F417="NEW"),"",INDEX(B$2:B416,-1+SUMPRODUCT(MAX(ROW(E$2:E416)*(E417=E$2:E416)))))</f>
        <v/>
      </c>
      <c r="J417" s="24" t="str">
        <f ca="1">IF(OR(E417="",E417="!!!",F417="NEW"),"",COUNTBLANK(OFFSET(A$1,,,SUMPRODUCT(MAX(ROW(E$2:E417)*(E417=E$2:E417)))))-COUNTBLANK(OFFSET(A$1,,,SUMPRODUCT(MAX(ROW(E$1:E416)*(E2=E$1:E416))))))</f>
        <v/>
      </c>
      <c r="K417" s="24" t="str">
        <f>IF(OR(E417="",E417="!!!",F417="NEW"),"",INDEX(J$1:J416,SUMPRODUCT(MAX(ROW(E$1:E416)*(E417=E$1:E416)))))</f>
        <v/>
      </c>
      <c r="L417" s="25"/>
    </row>
    <row r="418" spans="1:12" x14ac:dyDescent="0.2">
      <c r="A418" t="s">
        <v>802</v>
      </c>
      <c r="E418" s="20" t="str">
        <f t="shared" si="48"/>
        <v/>
      </c>
      <c r="F418" s="21" t="str">
        <f>IF(OR(E418="",E418="!!!"),"",IF(NOT(ISNA(VLOOKUP(E418,E$1:E417,1,FALSE()))),"OLD",IF(AND(E418&lt;&gt;"",E418&lt;&gt;"!!!"),"NEW","")))</f>
        <v/>
      </c>
      <c r="G418" s="22" t="str">
        <f>IF(OR(E418="",E418="!!!"),"",IF(OR(J418=0,AND(J418=1,K418=1),AND(J418=1,I418="SBJ"),AND(J418=1,I418=0)),"?IN_FOCUS",IF(J418&lt;=2,"?ACTIVATED",IF(J418&lt;&gt;"","?FAMILIAR",IF(F418="NEW",IF(ISNA(VLOOKUP(E418,#REF!,1,FALSE())),"?TYPE_IDENTIFIABLE","?REFERENTIAL"),"_")))))</f>
        <v/>
      </c>
      <c r="H418" s="23" t="str">
        <f t="shared" ca="1" si="49"/>
        <v/>
      </c>
      <c r="I418" s="24" t="str">
        <f>IF(OR(E418="",E418="!!!",F418="NEW"),"",INDEX(B$2:B417,-1+SUMPRODUCT(MAX(ROW(E$2:E417)*(E418=E$2:E417)))))</f>
        <v/>
      </c>
      <c r="J418" s="24" t="str">
        <f ca="1">IF(OR(E418="",E418="!!!",F418="NEW"),"",COUNTBLANK(OFFSET(A$1,,,SUMPRODUCT(MAX(ROW(E$2:E418)*(E418=E$2:E418)))))-COUNTBLANK(OFFSET(A$1,,,SUMPRODUCT(MAX(ROW(E$1:E417)*(E2=E$1:E417))))))</f>
        <v/>
      </c>
      <c r="K418" s="24" t="str">
        <f>IF(OR(E418="",E418="!!!",F418="NEW"),"",INDEX(J$1:J417,SUMPRODUCT(MAX(ROW(E$1:E417)*(E418=E$1:E417)))))</f>
        <v/>
      </c>
      <c r="L418" s="25"/>
    </row>
    <row r="419" spans="1:12" x14ac:dyDescent="0.2">
      <c r="A419" t="s">
        <v>866</v>
      </c>
      <c r="B419" s="26" t="s">
        <v>899</v>
      </c>
      <c r="C419" s="26" t="s">
        <v>805</v>
      </c>
      <c r="D419" s="26" t="s">
        <v>806</v>
      </c>
      <c r="E419" s="20" t="s">
        <v>1759</v>
      </c>
      <c r="F419" s="21" t="str">
        <f>IF(OR(E419="",E419="!!!"),"",IF(NOT(ISNA(VLOOKUP(E419,E$1:E418,1,FALSE()))),"OLD",IF(AND(E419&lt;&gt;"",E419&lt;&gt;"!!!"),"NEW","")))</f>
        <v>OLD</v>
      </c>
      <c r="G419" s="22" t="s">
        <v>1823</v>
      </c>
      <c r="H419" s="23" t="str">
        <f t="shared" ca="1" si="49"/>
        <v/>
      </c>
      <c r="I419" s="24" t="str">
        <f>IF(OR(E419="",E419="!!!",F419="NEW"),"",INDEX(B$2:B418,-1+SUMPRODUCT(MAX(ROW(E$2:E418)*(E419=E$2:E418)))))</f>
        <v>other</v>
      </c>
      <c r="J419" s="24">
        <f ca="1">IF(OR(E419="",E419="!!!",F419="NEW"),"",COUNTBLANK(OFFSET(A$1,,,SUMPRODUCT(MAX(ROW(E$2:E419)*(E419=E$2:E419)))))-COUNTBLANK(OFFSET(A$1,,,SUMPRODUCT(MAX(ROW(E$1:E418)*(E2=E$1:E418))))))</f>
        <v>0</v>
      </c>
      <c r="K419" s="24">
        <f ca="1">IF(OR(E419="",E419="!!!",F419="NEW"),"",INDEX(J$1:J418,SUMPRODUCT(MAX(ROW(E$1:E418)*(E419=E$1:E418)))))</f>
        <v>0</v>
      </c>
      <c r="L419" s="25"/>
    </row>
    <row r="420" spans="1:12" x14ac:dyDescent="0.2">
      <c r="A420" t="s">
        <v>1017</v>
      </c>
      <c r="B420" s="26" t="s">
        <v>871</v>
      </c>
      <c r="C420" s="26" t="s">
        <v>814</v>
      </c>
      <c r="E420" s="20" t="str">
        <f t="shared" si="48"/>
        <v/>
      </c>
      <c r="F420" s="21" t="str">
        <f>IF(OR(E420="",E420="!!!"),"",IF(NOT(ISNA(VLOOKUP(E420,E$1:E419,1,FALSE()))),"OLD",IF(AND(E420&lt;&gt;"",E420&lt;&gt;"!!!"),"NEW","")))</f>
        <v/>
      </c>
      <c r="G420" s="22" t="str">
        <f>IF(OR(E420="",E420="!!!"),"",IF(OR(J420=0,AND(J420=1,K420=1),AND(J420=1,I420="SBJ"),AND(J420=1,I420=0)),"?IN_FOCUS",IF(J420&lt;=2,"?ACTIVATED",IF(J420&lt;&gt;"","?FAMILIAR",IF(F420="NEW",IF(ISNA(VLOOKUP(E420,#REF!,1,FALSE())),"?TYPE_IDENTIFIABLE","?REFERENTIAL"),"_")))))</f>
        <v/>
      </c>
      <c r="H420" s="23" t="str">
        <f t="shared" ca="1" si="49"/>
        <v/>
      </c>
      <c r="I420" s="24" t="str">
        <f>IF(OR(E420="",E420="!!!",F420="NEW"),"",INDEX(B$2:B419,-1+SUMPRODUCT(MAX(ROW(E$2:E419)*(E420=E$2:E419)))))</f>
        <v/>
      </c>
      <c r="J420" s="24" t="str">
        <f ca="1">IF(OR(E420="",E420="!!!",F420="NEW"),"",COUNTBLANK(OFFSET(A$1,,,SUMPRODUCT(MAX(ROW(E$2:E420)*(E420=E$2:E420)))))-COUNTBLANK(OFFSET(A$1,,,SUMPRODUCT(MAX(ROW(E$1:E419)*(E2=E$1:E419))))))</f>
        <v/>
      </c>
      <c r="K420" s="24" t="str">
        <f>IF(OR(E420="",E420="!!!",F420="NEW"),"",INDEX(J$1:J419,SUMPRODUCT(MAX(ROW(E$1:E419)*(E420=E$1:E419)))))</f>
        <v/>
      </c>
      <c r="L420" s="25"/>
    </row>
    <row r="421" spans="1:12" x14ac:dyDescent="0.2">
      <c r="A421" t="s">
        <v>1018</v>
      </c>
      <c r="E421" s="20" t="str">
        <f t="shared" si="48"/>
        <v/>
      </c>
      <c r="F421" s="21" t="str">
        <f>IF(OR(E421="",E421="!!!"),"",IF(NOT(ISNA(VLOOKUP(E421,E$1:E420,1,FALSE()))),"OLD",IF(AND(E421&lt;&gt;"",E421&lt;&gt;"!!!"),"NEW","")))</f>
        <v/>
      </c>
      <c r="G421" s="22" t="str">
        <f>IF(OR(E421="",E421="!!!"),"",IF(OR(J421=0,AND(J421=1,K421=1),AND(J421=1,I421="SBJ"),AND(J421=1,I421=0)),"?IN_FOCUS",IF(J421&lt;=2,"?ACTIVATED",IF(J421&lt;&gt;"","?FAMILIAR",IF(F421="NEW",IF(ISNA(VLOOKUP(E421,#REF!,1,FALSE())),"?TYPE_IDENTIFIABLE","?REFERENTIAL"),"_")))))</f>
        <v/>
      </c>
      <c r="H421" s="23" t="str">
        <f t="shared" ca="1" si="49"/>
        <v/>
      </c>
      <c r="I421" s="24" t="str">
        <f>IF(OR(E421="",E421="!!!",F421="NEW"),"",INDEX(B$2:B420,-1+SUMPRODUCT(MAX(ROW(E$2:E420)*(E421=E$2:E420)))))</f>
        <v/>
      </c>
      <c r="J421" s="24" t="str">
        <f ca="1">IF(OR(E421="",E421="!!!",F421="NEW"),"",COUNTBLANK(OFFSET(A$1,,,SUMPRODUCT(MAX(ROW(E$2:E421)*(E421=E$2:E421)))))-COUNTBLANK(OFFSET(A$1,,,SUMPRODUCT(MAX(ROW(E$1:E420)*(E2=E$1:E420))))))</f>
        <v/>
      </c>
      <c r="K421" s="24" t="str">
        <f>IF(OR(E421="",E421="!!!",F421="NEW"),"",INDEX(J$1:J420,SUMPRODUCT(MAX(ROW(E$1:E420)*(E421=E$1:E420)))))</f>
        <v/>
      </c>
      <c r="L421" s="25"/>
    </row>
    <row r="422" spans="1:12" x14ac:dyDescent="0.2">
      <c r="A422" t="s">
        <v>1019</v>
      </c>
      <c r="E422" s="20" t="str">
        <f t="shared" si="48"/>
        <v/>
      </c>
      <c r="F422" s="21" t="str">
        <f>IF(OR(E422="",E422="!!!"),"",IF(NOT(ISNA(VLOOKUP(E422,E$1:E421,1,FALSE()))),"OLD",IF(AND(E422&lt;&gt;"",E422&lt;&gt;"!!!"),"NEW","")))</f>
        <v/>
      </c>
      <c r="G422" s="22" t="str">
        <f>IF(OR(E422="",E422="!!!"),"",IF(OR(J422=0,AND(J422=1,K422=1),AND(J422=1,I422="SBJ"),AND(J422=1,I422=0)),"?IN_FOCUS",IF(J422&lt;=2,"?ACTIVATED",IF(J422&lt;&gt;"","?FAMILIAR",IF(F422="NEW",IF(ISNA(VLOOKUP(E422,#REF!,1,FALSE())),"?TYPE_IDENTIFIABLE","?REFERENTIAL"),"_")))))</f>
        <v/>
      </c>
      <c r="H422" s="23" t="str">
        <f t="shared" ca="1" si="49"/>
        <v/>
      </c>
      <c r="I422" s="24" t="str">
        <f>IF(OR(E422="",E422="!!!",F422="NEW"),"",INDEX(B$2:B421,-1+SUMPRODUCT(MAX(ROW(E$2:E421)*(E422=E$2:E421)))))</f>
        <v/>
      </c>
      <c r="J422" s="24" t="str">
        <f ca="1">IF(OR(E422="",E422="!!!",F422="NEW"),"",COUNTBLANK(OFFSET(A$1,,,SUMPRODUCT(MAX(ROW(E$2:E422)*(E422=E$2:E422)))))-COUNTBLANK(OFFSET(A$1,,,SUMPRODUCT(MAX(ROW(E$1:E421)*(E2=E$1:E421))))))</f>
        <v/>
      </c>
      <c r="K422" s="24" t="str">
        <f>IF(OR(E422="",E422="!!!",F422="NEW"),"",INDEX(J$1:J421,SUMPRODUCT(MAX(ROW(E$1:E421)*(E422=E$1:E421)))))</f>
        <v/>
      </c>
      <c r="L422" s="25"/>
    </row>
    <row r="423" spans="1:12" x14ac:dyDescent="0.2">
      <c r="A423" t="s">
        <v>878</v>
      </c>
      <c r="E423" s="20" t="str">
        <f t="shared" si="48"/>
        <v/>
      </c>
      <c r="F423" s="21" t="str">
        <f>IF(OR(E423="",E423="!!!"),"",IF(NOT(ISNA(VLOOKUP(E423,E$1:E422,1,FALSE()))),"OLD",IF(AND(E423&lt;&gt;"",E423&lt;&gt;"!!!"),"NEW","")))</f>
        <v/>
      </c>
      <c r="G423" s="22" t="str">
        <f>IF(OR(E423="",E423="!!!"),"",IF(OR(J423=0,AND(J423=1,K423=1),AND(J423=1,I423="SBJ"),AND(J423=1,I423=0)),"?IN_FOCUS",IF(J423&lt;=2,"?ACTIVATED",IF(J423&lt;&gt;"","?FAMILIAR",IF(F423="NEW",IF(ISNA(VLOOKUP(E423,#REF!,1,FALSE())),"?TYPE_IDENTIFIABLE","?REFERENTIAL"),"_")))))</f>
        <v/>
      </c>
      <c r="H423" s="23" t="str">
        <f t="shared" ca="1" si="49"/>
        <v/>
      </c>
      <c r="I423" s="24" t="str">
        <f>IF(OR(E423="",E423="!!!",F423="NEW"),"",INDEX(B$2:B422,-1+SUMPRODUCT(MAX(ROW(E$2:E422)*(E423=E$2:E422)))))</f>
        <v/>
      </c>
      <c r="J423" s="24" t="str">
        <f ca="1">IF(OR(E423="",E423="!!!",F423="NEW"),"",COUNTBLANK(OFFSET(A$1,,,SUMPRODUCT(MAX(ROW(E$2:E423)*(E423=E$2:E423)))))-COUNTBLANK(OFFSET(A$1,,,SUMPRODUCT(MAX(ROW(E$1:E422)*(E2=E$1:E422))))))</f>
        <v/>
      </c>
      <c r="K423" s="24" t="str">
        <f>IF(OR(E423="",E423="!!!",F423="NEW"),"",INDEX(J$1:J422,SUMPRODUCT(MAX(ROW(E$1:E422)*(E423=E$1:E422)))))</f>
        <v/>
      </c>
      <c r="L423" s="25"/>
    </row>
    <row r="424" spans="1:12" x14ac:dyDescent="0.2">
      <c r="A424" t="s">
        <v>962</v>
      </c>
      <c r="E424" s="20" t="str">
        <f t="shared" si="48"/>
        <v/>
      </c>
      <c r="F424" s="21" t="str">
        <f>IF(OR(E424="",E424="!!!"),"",IF(NOT(ISNA(VLOOKUP(E424,E$1:E423,1,FALSE()))),"OLD",IF(AND(E424&lt;&gt;"",E424&lt;&gt;"!!!"),"NEW","")))</f>
        <v/>
      </c>
      <c r="G424" s="22" t="str">
        <f>IF(OR(E424="",E424="!!!"),"",IF(OR(J424=0,AND(J424=1,K424=1),AND(J424=1,I424="SBJ"),AND(J424=1,I424=0)),"?IN_FOCUS",IF(J424&lt;=2,"?ACTIVATED",IF(J424&lt;&gt;"","?FAMILIAR",IF(F424="NEW",IF(ISNA(VLOOKUP(E424,#REF!,1,FALSE())),"?TYPE_IDENTIFIABLE","?REFERENTIAL"),"_")))))</f>
        <v/>
      </c>
      <c r="H424" s="23" t="str">
        <f t="shared" ca="1" si="49"/>
        <v/>
      </c>
      <c r="I424" s="24" t="str">
        <f>IF(OR(E424="",E424="!!!",F424="NEW"),"",INDEX(B$2:B423,-1+SUMPRODUCT(MAX(ROW(E$2:E423)*(E424=E$2:E423)))))</f>
        <v/>
      </c>
      <c r="J424" s="24" t="str">
        <f ca="1">IF(OR(E424="",E424="!!!",F424="NEW"),"",COUNTBLANK(OFFSET(A$1,,,SUMPRODUCT(MAX(ROW(E$2:E424)*(E424=E$2:E424)))))-COUNTBLANK(OFFSET(A$1,,,SUMPRODUCT(MAX(ROW(E$1:E423)*(E2=E$1:E423))))))</f>
        <v/>
      </c>
      <c r="K424" s="24" t="str">
        <f>IF(OR(E424="",E424="!!!",F424="NEW"),"",INDEX(J$1:J423,SUMPRODUCT(MAX(ROW(E$1:E423)*(E424=E$1:E423)))))</f>
        <v/>
      </c>
      <c r="L424" s="25"/>
    </row>
    <row r="425" spans="1:12" x14ac:dyDescent="0.2">
      <c r="A425" t="s">
        <v>544</v>
      </c>
      <c r="E425" s="20" t="str">
        <f t="shared" si="48"/>
        <v/>
      </c>
      <c r="F425" s="21" t="str">
        <f>IF(OR(E425="",E425="!!!"),"",IF(NOT(ISNA(VLOOKUP(E425,E$1:E424,1,FALSE()))),"OLD",IF(AND(E425&lt;&gt;"",E425&lt;&gt;"!!!"),"NEW","")))</f>
        <v/>
      </c>
      <c r="G425" s="22" t="str">
        <f>IF(OR(E425="",E425="!!!"),"",IF(OR(J425=0,AND(J425=1,K425=1),AND(J425=1,I425="SBJ"),AND(J425=1,I425=0)),"?IN_FOCUS",IF(J425&lt;=2,"?ACTIVATED",IF(J425&lt;&gt;"","?FAMILIAR",IF(F425="NEW",IF(ISNA(VLOOKUP(E425,#REF!,1,FALSE())),"?TYPE_IDENTIFIABLE","?REFERENTIAL"),"_")))))</f>
        <v/>
      </c>
      <c r="H425" s="23" t="str">
        <f t="shared" ca="1" si="49"/>
        <v/>
      </c>
      <c r="I425" s="24" t="str">
        <f>IF(OR(E425="",E425="!!!",F425="NEW"),"",INDEX(B$2:B424,-1+SUMPRODUCT(MAX(ROW(E$2:E424)*(E425=E$2:E424)))))</f>
        <v/>
      </c>
      <c r="J425" s="24" t="str">
        <f ca="1">IF(OR(E425="",E425="!!!",F425="NEW"),"",COUNTBLANK(OFFSET(A$1,,,SUMPRODUCT(MAX(ROW(E$2:E425)*(E425=E$2:E425)))))-COUNTBLANK(OFFSET(A$1,,,SUMPRODUCT(MAX(ROW(E$1:E424)*(E2=E$1:E424))))))</f>
        <v/>
      </c>
      <c r="K425" s="24" t="str">
        <f>IF(OR(E425="",E425="!!!",F425="NEW"),"",INDEX(J$1:J424,SUMPRODUCT(MAX(ROW(E$1:E424)*(E425=E$1:E424)))))</f>
        <v/>
      </c>
      <c r="L425" s="25"/>
    </row>
    <row r="426" spans="1:12" x14ac:dyDescent="0.2">
      <c r="A426" t="s">
        <v>1020</v>
      </c>
      <c r="E426" s="20" t="str">
        <f t="shared" si="48"/>
        <v/>
      </c>
      <c r="F426" s="21" t="str">
        <f>IF(OR(E426="",E426="!!!"),"",IF(NOT(ISNA(VLOOKUP(E426,E$1:E425,1,FALSE()))),"OLD",IF(AND(E426&lt;&gt;"",E426&lt;&gt;"!!!"),"NEW","")))</f>
        <v/>
      </c>
      <c r="G426" s="22" t="str">
        <f>IF(OR(E426="",E426="!!!"),"",IF(OR(J426=0,AND(J426=1,K426=1),AND(J426=1,I426="SBJ"),AND(J426=1,I426=0)),"?IN_FOCUS",IF(J426&lt;=2,"?ACTIVATED",IF(J426&lt;&gt;"","?FAMILIAR",IF(F426="NEW",IF(ISNA(VLOOKUP(E426,#REF!,1,FALSE())),"?TYPE_IDENTIFIABLE","?REFERENTIAL"),"_")))))</f>
        <v/>
      </c>
      <c r="H426" s="23" t="str">
        <f t="shared" ca="1" si="49"/>
        <v/>
      </c>
      <c r="I426" s="24" t="str">
        <f>IF(OR(E426="",E426="!!!",F426="NEW"),"",INDEX(B$2:B425,-1+SUMPRODUCT(MAX(ROW(E$2:E425)*(E426=E$2:E425)))))</f>
        <v/>
      </c>
      <c r="J426" s="24" t="str">
        <f ca="1">IF(OR(E426="",E426="!!!",F426="NEW"),"",COUNTBLANK(OFFSET(A$1,,,SUMPRODUCT(MAX(ROW(E$2:E426)*(E426=E$2:E426)))))-COUNTBLANK(OFFSET(A$1,,,SUMPRODUCT(MAX(ROW(E$1:E425)*(E2=E$1:E425))))))</f>
        <v/>
      </c>
      <c r="K426" s="24" t="str">
        <f>IF(OR(E426="",E426="!!!",F426="NEW"),"",INDEX(J$1:J425,SUMPRODUCT(MAX(ROW(E$1:E425)*(E426=E$1:E425)))))</f>
        <v/>
      </c>
      <c r="L426" s="25"/>
    </row>
    <row r="427" spans="1:12" x14ac:dyDescent="0.2">
      <c r="A427" t="s">
        <v>1021</v>
      </c>
      <c r="E427" s="20" t="str">
        <f t="shared" si="48"/>
        <v/>
      </c>
      <c r="F427" s="21" t="str">
        <f>IF(OR(E427="",E427="!!!"),"",IF(NOT(ISNA(VLOOKUP(E427,E$1:E426,1,FALSE()))),"OLD",IF(AND(E427&lt;&gt;"",E427&lt;&gt;"!!!"),"NEW","")))</f>
        <v/>
      </c>
      <c r="G427" s="22" t="str">
        <f>IF(OR(E427="",E427="!!!"),"",IF(OR(J427=0,AND(J427=1,K427=1),AND(J427=1,I427="SBJ"),AND(J427=1,I427=0)),"?IN_FOCUS",IF(J427&lt;=2,"?ACTIVATED",IF(J427&lt;&gt;"","?FAMILIAR",IF(F427="NEW",IF(ISNA(VLOOKUP(E427,#REF!,1,FALSE())),"?TYPE_IDENTIFIABLE","?REFERENTIAL"),"_")))))</f>
        <v/>
      </c>
      <c r="H427" s="23" t="str">
        <f t="shared" ca="1" si="49"/>
        <v/>
      </c>
      <c r="I427" s="24" t="str">
        <f>IF(OR(E427="",E427="!!!",F427="NEW"),"",INDEX(B$2:B426,-1+SUMPRODUCT(MAX(ROW(E$2:E426)*(E427=E$2:E426)))))</f>
        <v/>
      </c>
      <c r="J427" s="24" t="str">
        <f ca="1">IF(OR(E427="",E427="!!!",F427="NEW"),"",COUNTBLANK(OFFSET(A$1,,,SUMPRODUCT(MAX(ROW(E$2:E427)*(E427=E$2:E427)))))-COUNTBLANK(OFFSET(A$1,,,SUMPRODUCT(MAX(ROW(E$1:E426)*(E2=E$1:E426))))))</f>
        <v/>
      </c>
      <c r="K427" s="24" t="str">
        <f>IF(OR(E427="",E427="!!!",F427="NEW"),"",INDEX(J$1:J426,SUMPRODUCT(MAX(ROW(E$1:E426)*(E427=E$1:E426)))))</f>
        <v/>
      </c>
      <c r="L427" s="25"/>
    </row>
    <row r="428" spans="1:12" x14ac:dyDescent="0.2">
      <c r="A428" t="s">
        <v>859</v>
      </c>
      <c r="E428" s="20" t="str">
        <f t="shared" si="48"/>
        <v/>
      </c>
      <c r="F428" s="21" t="str">
        <f>IF(OR(E428="",E428="!!!"),"",IF(NOT(ISNA(VLOOKUP(E428,E$1:E427,1,FALSE()))),"OLD",IF(AND(E428&lt;&gt;"",E428&lt;&gt;"!!!"),"NEW","")))</f>
        <v/>
      </c>
      <c r="G428" s="22" t="str">
        <f>IF(OR(E428="",E428="!!!"),"",IF(OR(J428=0,AND(J428=1,K428=1),AND(J428=1,I428="SBJ"),AND(J428=1,I428=0)),"?IN_FOCUS",IF(J428&lt;=2,"?ACTIVATED",IF(J428&lt;&gt;"","?FAMILIAR",IF(F428="NEW",IF(ISNA(VLOOKUP(E428,#REF!,1,FALSE())),"?TYPE_IDENTIFIABLE","?REFERENTIAL"),"_")))))</f>
        <v/>
      </c>
      <c r="H428" s="23" t="str">
        <f t="shared" ca="1" si="49"/>
        <v/>
      </c>
      <c r="I428" s="24" t="str">
        <f>IF(OR(E428="",E428="!!!",F428="NEW"),"",INDEX(B$2:B427,-1+SUMPRODUCT(MAX(ROW(E$2:E427)*(E428=E$2:E427)))))</f>
        <v/>
      </c>
      <c r="J428" s="24" t="str">
        <f ca="1">IF(OR(E428="",E428="!!!",F428="NEW"),"",COUNTBLANK(OFFSET(A$1,,,SUMPRODUCT(MAX(ROW(E$2:E428)*(E428=E$2:E428)))))-COUNTBLANK(OFFSET(A$1,,,SUMPRODUCT(MAX(ROW(E$1:E427)*(E2=E$1:E427))))))</f>
        <v/>
      </c>
      <c r="K428" s="24" t="str">
        <f>IF(OR(E428="",E428="!!!",F428="NEW"),"",INDEX(J$1:J427,SUMPRODUCT(MAX(ROW(E$1:E427)*(E428=E$1:E427)))))</f>
        <v/>
      </c>
      <c r="L428" s="25"/>
    </row>
    <row r="429" spans="1:12" x14ac:dyDescent="0.2">
      <c r="A429" t="s">
        <v>1022</v>
      </c>
      <c r="B429" s="26" t="s">
        <v>864</v>
      </c>
      <c r="C429" s="26" t="s">
        <v>814</v>
      </c>
      <c r="E429" s="20" t="str">
        <f t="shared" si="48"/>
        <v/>
      </c>
      <c r="F429" s="21"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49"/>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5"/>
    </row>
    <row r="430" spans="1:12" x14ac:dyDescent="0.2">
      <c r="A430" t="s">
        <v>802</v>
      </c>
      <c r="E430" s="20" t="str">
        <f t="shared" si="48"/>
        <v/>
      </c>
      <c r="F430" s="21" t="str">
        <f>IF(OR(E430="",E430="!!!"),"",IF(NOT(ISNA(VLOOKUP(E430,E$1:E429,1,FALSE()))),"OLD",IF(AND(E430&lt;&gt;"",E430&lt;&gt;"!!!"),"NEW","")))</f>
        <v/>
      </c>
      <c r="G430" s="22" t="str">
        <f>IF(OR(E430="",E430="!!!"),"",IF(OR(J430=0,AND(J430=1,K430=1),AND(J430=1,I430="SBJ"),AND(J430=1,I430=0)),"?IN_FOCUS",IF(J430&lt;=2,"?ACTIVATED",IF(J430&lt;&gt;"","?FAMILIAR",IF(F430="NEW",IF(ISNA(VLOOKUP(E430,#REF!,1,FALSE())),"?TYPE_IDENTIFIABLE","?REFERENTIAL"),"_")))))</f>
        <v/>
      </c>
      <c r="H430" s="23" t="str">
        <f t="shared" ca="1" si="49"/>
        <v/>
      </c>
      <c r="I430" s="24" t="str">
        <f>IF(OR(E430="",E430="!!!",F430="NEW"),"",INDEX(B$2:B429,-1+SUMPRODUCT(MAX(ROW(E$2:E429)*(E430=E$2:E429)))))</f>
        <v/>
      </c>
      <c r="J430" s="24" t="str">
        <f ca="1">IF(OR(E430="",E430="!!!",F430="NEW"),"",COUNTBLANK(OFFSET(A$1,,,SUMPRODUCT(MAX(ROW(E$2:E430)*(E430=E$2:E430)))))-COUNTBLANK(OFFSET(A$1,,,SUMPRODUCT(MAX(ROW(E$1:E429)*(E2=E$1:E429))))))</f>
        <v/>
      </c>
      <c r="K430" s="24" t="str">
        <f>IF(OR(E430="",E430="!!!",F430="NEW"),"",INDEX(J$1:J429,SUMPRODUCT(MAX(ROW(E$1:E429)*(E430=E$1:E429)))))</f>
        <v/>
      </c>
      <c r="L430" s="25"/>
    </row>
    <row r="431" spans="1:12" x14ac:dyDescent="0.2">
      <c r="A431" t="s">
        <v>866</v>
      </c>
      <c r="B431" s="26" t="s">
        <v>891</v>
      </c>
      <c r="C431" s="26" t="s">
        <v>805</v>
      </c>
      <c r="D431" s="26" t="s">
        <v>806</v>
      </c>
      <c r="E431" s="20" t="s">
        <v>1759</v>
      </c>
      <c r="F431" s="21" t="str">
        <f>IF(OR(E431="",E431="!!!"),"",IF(NOT(ISNA(VLOOKUP(E431,E$1:E430,1,FALSE()))),"OLD",IF(AND(E431&lt;&gt;"",E431&lt;&gt;"!!!"),"NEW","")))</f>
        <v>OLD</v>
      </c>
      <c r="G431" s="22" t="s">
        <v>1823</v>
      </c>
      <c r="H431" s="23" t="str">
        <f t="shared" ca="1" si="49"/>
        <v/>
      </c>
      <c r="I431" s="24" t="str">
        <f>IF(OR(E431="",E431="!!!",F431="NEW"),"",INDEX(B$2:B430,-1+SUMPRODUCT(MAX(ROW(E$2:E430)*(E431=E$2:E430)))))</f>
        <v>other_4</v>
      </c>
      <c r="J431" s="24">
        <f ca="1">IF(OR(E431="",E431="!!!",F431="NEW"),"",COUNTBLANK(OFFSET(A$1,,,SUMPRODUCT(MAX(ROW(E$2:E431)*(E431=E$2:E431)))))-COUNTBLANK(OFFSET(A$1,,,SUMPRODUCT(MAX(ROW(E$1:E430)*(E2=E$1:E430))))))</f>
        <v>0</v>
      </c>
      <c r="K431" s="24">
        <f ca="1">IF(OR(E431="",E431="!!!",F431="NEW"),"",INDEX(J$1:J430,SUMPRODUCT(MAX(ROW(E$1:E430)*(E431=E$1:E430)))))</f>
        <v>0</v>
      </c>
      <c r="L431" s="25"/>
    </row>
    <row r="432" spans="1:12" x14ac:dyDescent="0.2">
      <c r="A432" t="s">
        <v>309</v>
      </c>
      <c r="E432" s="20" t="str">
        <f t="shared" si="48"/>
        <v/>
      </c>
      <c r="F432" s="21" t="str">
        <f>IF(OR(E432="",E432="!!!"),"",IF(NOT(ISNA(VLOOKUP(E432,E$1:E431,1,FALSE()))),"OLD",IF(AND(E432&lt;&gt;"",E432&lt;&gt;"!!!"),"NEW","")))</f>
        <v/>
      </c>
      <c r="G432" s="22" t="str">
        <f>IF(OR(E432="",E432="!!!"),"",IF(OR(J432=0,AND(J432=1,K432=1),AND(J432=1,I432="SBJ"),AND(J432=1,I432=0)),"?IN_FOCUS",IF(J432&lt;=2,"?ACTIVATED",IF(J432&lt;&gt;"","?FAMILIAR",IF(F432="NEW",IF(ISNA(VLOOKUP(E432,#REF!,1,FALSE())),"?TYPE_IDENTIFIABLE","?REFERENTIAL"),"_")))))</f>
        <v/>
      </c>
      <c r="H432" s="23" t="str">
        <f t="shared" ca="1" si="49"/>
        <v/>
      </c>
      <c r="I432" s="24" t="str">
        <f>IF(OR(E432="",E432="!!!",F432="NEW"),"",INDEX(B$2:B431,-1+SUMPRODUCT(MAX(ROW(E$2:E431)*(E432=E$2:E431)))))</f>
        <v/>
      </c>
      <c r="J432" s="24" t="str">
        <f ca="1">IF(OR(E432="",E432="!!!",F432="NEW"),"",COUNTBLANK(OFFSET(A$1,,,SUMPRODUCT(MAX(ROW(E$2:E432)*(E432=E$2:E432)))))-COUNTBLANK(OFFSET(A$1,,,SUMPRODUCT(MAX(ROW(E$1:E431)*(E2=E$1:E431))))))</f>
        <v/>
      </c>
      <c r="K432" s="24" t="str">
        <f>IF(OR(E432="",E432="!!!",F432="NEW"),"",INDEX(J$1:J431,SUMPRODUCT(MAX(ROW(E$1:E431)*(E432=E$1:E431)))))</f>
        <v/>
      </c>
      <c r="L432" s="25"/>
    </row>
    <row r="433" spans="1:12" x14ac:dyDescent="0.2">
      <c r="A433" t="s">
        <v>999</v>
      </c>
      <c r="E433" s="20" t="str">
        <f t="shared" si="48"/>
        <v/>
      </c>
      <c r="F433" s="21" t="str">
        <f>IF(OR(E433="",E433="!!!"),"",IF(NOT(ISNA(VLOOKUP(E433,E$1:E432,1,FALSE()))),"OLD",IF(AND(E433&lt;&gt;"",E433&lt;&gt;"!!!"),"NEW","")))</f>
        <v/>
      </c>
      <c r="G433" s="22" t="str">
        <f>IF(OR(E433="",E433="!!!"),"",IF(OR(J433=0,AND(J433=1,K433=1),AND(J433=1,I433="SBJ"),AND(J433=1,I433=0)),"?IN_FOCUS",IF(J433&lt;=2,"?ACTIVATED",IF(J433&lt;&gt;"","?FAMILIAR",IF(F433="NEW",IF(ISNA(VLOOKUP(E433,#REF!,1,FALSE())),"?TYPE_IDENTIFIABLE","?REFERENTIAL"),"_")))))</f>
        <v/>
      </c>
      <c r="H433" s="23" t="str">
        <f t="shared" ca="1" si="49"/>
        <v/>
      </c>
      <c r="I433" s="24" t="str">
        <f>IF(OR(E433="",E433="!!!",F433="NEW"),"",INDEX(B$2:B432,-1+SUMPRODUCT(MAX(ROW(E$2:E432)*(E433=E$2:E432)))))</f>
        <v/>
      </c>
      <c r="J433" s="24" t="str">
        <f ca="1">IF(OR(E433="",E433="!!!",F433="NEW"),"",COUNTBLANK(OFFSET(A$1,,,SUMPRODUCT(MAX(ROW(E$2:E433)*(E433=E$2:E433)))))-COUNTBLANK(OFFSET(A$1,,,SUMPRODUCT(MAX(ROW(E$1:E432)*(E2=E$1:E432))))))</f>
        <v/>
      </c>
      <c r="K433" s="24" t="str">
        <f>IF(OR(E433="",E433="!!!",F433="NEW"),"",INDEX(J$1:J432,SUMPRODUCT(MAX(ROW(E$1:E432)*(E433=E$1:E432)))))</f>
        <v/>
      </c>
      <c r="L433" s="25"/>
    </row>
    <row r="434" spans="1:12" x14ac:dyDescent="0.2">
      <c r="A434" t="s">
        <v>973</v>
      </c>
      <c r="E434" s="20" t="str">
        <f t="shared" si="48"/>
        <v/>
      </c>
      <c r="F434" s="21" t="str">
        <f>IF(OR(E434="",E434="!!!"),"",IF(NOT(ISNA(VLOOKUP(E434,E$1:E433,1,FALSE()))),"OLD",IF(AND(E434&lt;&gt;"",E434&lt;&gt;"!!!"),"NEW","")))</f>
        <v/>
      </c>
      <c r="G434" s="22" t="str">
        <f>IF(OR(E434="",E434="!!!"),"",IF(OR(J434=0,AND(J434=1,K434=1),AND(J434=1,I434="SBJ"),AND(J434=1,I434=0)),"?IN_FOCUS",IF(J434&lt;=2,"?ACTIVATED",IF(J434&lt;&gt;"","?FAMILIAR",IF(F434="NEW",IF(ISNA(VLOOKUP(E434,#REF!,1,FALSE())),"?TYPE_IDENTIFIABLE","?REFERENTIAL"),"_")))))</f>
        <v/>
      </c>
      <c r="H434" s="23" t="str">
        <f t="shared" ca="1" si="49"/>
        <v/>
      </c>
      <c r="I434" s="24" t="str">
        <f>IF(OR(E434="",E434="!!!",F434="NEW"),"",INDEX(B$2:B433,-1+SUMPRODUCT(MAX(ROW(E$2:E433)*(E434=E$2:E433)))))</f>
        <v/>
      </c>
      <c r="J434" s="24" t="str">
        <f ca="1">IF(OR(E434="",E434="!!!",F434="NEW"),"",COUNTBLANK(OFFSET(A$1,,,SUMPRODUCT(MAX(ROW(E$2:E434)*(E434=E$2:E434)))))-COUNTBLANK(OFFSET(A$1,,,SUMPRODUCT(MAX(ROW(E$1:E433)*(E2=E$1:E433))))))</f>
        <v/>
      </c>
      <c r="K434" s="24" t="str">
        <f>IF(OR(E434="",E434="!!!",F434="NEW"),"",INDEX(J$1:J433,SUMPRODUCT(MAX(ROW(E$1:E433)*(E434=E$1:E433)))))</f>
        <v/>
      </c>
      <c r="L434" s="25"/>
    </row>
    <row r="435" spans="1:12" x14ac:dyDescent="0.2">
      <c r="A435" t="s">
        <v>821</v>
      </c>
      <c r="E435" s="20" t="str">
        <f t="shared" si="48"/>
        <v/>
      </c>
      <c r="F435" s="21" t="str">
        <f>IF(OR(E435="",E435="!!!"),"",IF(NOT(ISNA(VLOOKUP(E435,E$1:E434,1,FALSE()))),"OLD",IF(AND(E435&lt;&gt;"",E435&lt;&gt;"!!!"),"NEW","")))</f>
        <v/>
      </c>
      <c r="G435" s="22" t="str">
        <f>IF(OR(E435="",E435="!!!"),"",IF(OR(J435=0,AND(J435=1,K435=1),AND(J435=1,I435="SBJ"),AND(J435=1,I435=0)),"?IN_FOCUS",IF(J435&lt;=2,"?ACTIVATED",IF(J435&lt;&gt;"","?FAMILIAR",IF(F435="NEW",IF(ISNA(VLOOKUP(E435,#REF!,1,FALSE())),"?TYPE_IDENTIFIABLE","?REFERENTIAL"),"_")))))</f>
        <v/>
      </c>
      <c r="H435" s="23" t="str">
        <f t="shared" ca="1" si="49"/>
        <v/>
      </c>
      <c r="I435" s="24" t="str">
        <f>IF(OR(E435="",E435="!!!",F435="NEW"),"",INDEX(B$2:B434,-1+SUMPRODUCT(MAX(ROW(E$2:E434)*(E435=E$2:E434)))))</f>
        <v/>
      </c>
      <c r="J435" s="24" t="str">
        <f ca="1">IF(OR(E435="",E435="!!!",F435="NEW"),"",COUNTBLANK(OFFSET(A$1,,,SUMPRODUCT(MAX(ROW(E$2:E435)*(E435=E$2:E435)))))-COUNTBLANK(OFFSET(A$1,,,SUMPRODUCT(MAX(ROW(E$1:E434)*(E2=E$1:E434))))))</f>
        <v/>
      </c>
      <c r="K435" s="24" t="str">
        <f>IF(OR(E435="",E435="!!!",F435="NEW"),"",INDEX(J$1:J434,SUMPRODUCT(MAX(ROW(E$1:E434)*(E435=E$1:E434)))))</f>
        <v/>
      </c>
      <c r="L435" s="25"/>
    </row>
    <row r="436" spans="1:12" x14ac:dyDescent="0.2">
      <c r="A436" t="s">
        <v>902</v>
      </c>
      <c r="E436" s="20" t="str">
        <f t="shared" si="48"/>
        <v/>
      </c>
      <c r="F436" s="21" t="str">
        <f>IF(OR(E436="",E436="!!!"),"",IF(NOT(ISNA(VLOOKUP(E436,E$1:E435,1,FALSE()))),"OLD",IF(AND(E436&lt;&gt;"",E436&lt;&gt;"!!!"),"NEW","")))</f>
        <v/>
      </c>
      <c r="G436" s="22" t="str">
        <f>IF(OR(E436="",E436="!!!"),"",IF(OR(J436=0,AND(J436=1,K436=1),AND(J436=1,I436="SBJ"),AND(J436=1,I436=0)),"?IN_FOCUS",IF(J436&lt;=2,"?ACTIVATED",IF(J436&lt;&gt;"","?FAMILIAR",IF(F436="NEW",IF(ISNA(VLOOKUP(E436,#REF!,1,FALSE())),"?TYPE_IDENTIFIABLE","?REFERENTIAL"),"_")))))</f>
        <v/>
      </c>
      <c r="H436" s="23" t="str">
        <f t="shared" ca="1" si="49"/>
        <v/>
      </c>
      <c r="I436" s="24" t="str">
        <f>IF(OR(E436="",E436="!!!",F436="NEW"),"",INDEX(B$2:B435,-1+SUMPRODUCT(MAX(ROW(E$2:E435)*(E436=E$2:E435)))))</f>
        <v/>
      </c>
      <c r="J436" s="24" t="str">
        <f ca="1">IF(OR(E436="",E436="!!!",F436="NEW"),"",COUNTBLANK(OFFSET(A$1,,,SUMPRODUCT(MAX(ROW(E$2:E436)*(E436=E$2:E436)))))-COUNTBLANK(OFFSET(A$1,,,SUMPRODUCT(MAX(ROW(E$1:E435)*(E2=E$1:E435))))))</f>
        <v/>
      </c>
      <c r="K436" s="24" t="str">
        <f>IF(OR(E436="",E436="!!!",F436="NEW"),"",INDEX(J$1:J435,SUMPRODUCT(MAX(ROW(E$1:E435)*(E436=E$1:E435)))))</f>
        <v/>
      </c>
      <c r="L436" s="25"/>
    </row>
    <row r="438" spans="1:12" x14ac:dyDescent="0.2">
      <c r="A438" t="s">
        <v>900</v>
      </c>
      <c r="E438" s="20" t="str">
        <f>IF(D438="?OLD","!!!","")</f>
        <v/>
      </c>
      <c r="F438" s="21" t="str">
        <f>IF(OR(E438="",E438="!!!"),"",IF(NOT(ISNA(VLOOKUP(E438,E$1:E437,1,FALSE()))),"OLD",IF(AND(E438&lt;&gt;"",E438&lt;&gt;"!!!"),"NEW","")))</f>
        <v/>
      </c>
      <c r="G438" s="22" t="str">
        <f>IF(OR(E438="",E438="!!!"),"",IF(OR(J438=0,AND(J438=1,K438=1),AND(J438=1,I438="SBJ"),AND(J438=1,I438=0)),"?IN_FOCUS",IF(J438&lt;=2,"?ACTIVATED",IF(J438&lt;&gt;"","?FAMILIAR",IF(F438="NEW",IF(ISNA(VLOOKUP(E438,#REF!,1,FALSE())),"?TYPE_IDENTIFIABLE","?REFERENTIAL"),"_")))))</f>
        <v/>
      </c>
      <c r="H438" s="23" t="str">
        <f ca="1">IF(J438&lt;&gt;1,"",IF(I438="SBJ","CB","?"))</f>
        <v/>
      </c>
      <c r="I438" s="24" t="str">
        <f>IF(OR(E438="",E438="!!!",F438="NEW"),"",INDEX(B$2:B437,-1+SUMPRODUCT(MAX(ROW(E$2:E437)*(E438=E$2:E437)))))</f>
        <v/>
      </c>
      <c r="J438" s="24" t="str">
        <f ca="1">IF(OR(E438="",E438="!!!",F438="NEW"),"",COUNTBLANK(OFFSET(A$1,,,SUMPRODUCT(MAX(ROW(E$2:E438)*(E438=E$2:E438)))))-COUNTBLANK(OFFSET(A$1,,,SUMPRODUCT(MAX(ROW(E$1:E437)*(E2=E$1:E437))))))</f>
        <v/>
      </c>
      <c r="K438" s="24" t="str">
        <f>IF(OR(E438="",E438="!!!",F438="NEW"),"",INDEX(J$1:J437,SUMPRODUCT(MAX(ROW(E$1:E437)*(E438=E$1:E437)))))</f>
        <v/>
      </c>
      <c r="L438" s="25"/>
    </row>
    <row r="439" spans="1:12" x14ac:dyDescent="0.2">
      <c r="A439" t="s">
        <v>1023</v>
      </c>
    </row>
    <row r="440" spans="1:12" x14ac:dyDescent="0.2">
      <c r="A440" t="s">
        <v>902</v>
      </c>
      <c r="E440" s="20" t="str">
        <f t="shared" ref="E440:E448" si="50">IF(D440="?OLD","!!!","")</f>
        <v/>
      </c>
      <c r="F440" s="21" t="str">
        <f>IF(OR(E440="",E440="!!!"),"",IF(NOT(ISNA(VLOOKUP(E440,E$1:E439,1,FALSE()))),"OLD",IF(AND(E440&lt;&gt;"",E440&lt;&gt;"!!!"),"NEW","")))</f>
        <v/>
      </c>
      <c r="G440" s="22" t="str">
        <f>IF(OR(E440="",E440="!!!"),"",IF(OR(J440=0,AND(J440=1,K440=1),AND(J440=1,I440="SBJ"),AND(J440=1,I440=0)),"?IN_FOCUS",IF(J440&lt;=2,"?ACTIVATED",IF(J440&lt;&gt;"","?FAMILIAR",IF(F440="NEW",IF(ISNA(VLOOKUP(E440,#REF!,1,FALSE())),"?TYPE_IDENTIFIABLE","?REFERENTIAL"),"_")))))</f>
        <v/>
      </c>
      <c r="H440" s="23" t="str">
        <f t="shared" ref="H440:H448" ca="1" si="51">IF(J440&lt;&gt;1,"",IF(I440="SBJ","CB","?"))</f>
        <v/>
      </c>
      <c r="I440" s="24" t="str">
        <f>IF(OR(E440="",E440="!!!",F440="NEW"),"",INDEX(B$2:B439,-1+SUMPRODUCT(MAX(ROW(E$2:E439)*(E440=E$2:E439)))))</f>
        <v/>
      </c>
      <c r="J440" s="24" t="str">
        <f ca="1">IF(OR(E440="",E440="!!!",F440="NEW"),"",COUNTBLANK(OFFSET(A$1,,,SUMPRODUCT(MAX(ROW(E$2:E440)*(E440=E$2:E440)))))-COUNTBLANK(OFFSET(A$1,,,SUMPRODUCT(MAX(ROW(E$1:E439)*(E2=E$1:E439))))))</f>
        <v/>
      </c>
      <c r="K440" s="24" t="str">
        <f>IF(OR(E440="",E440="!!!",F440="NEW"),"",INDEX(J$1:J439,SUMPRODUCT(MAX(ROW(E$1:E439)*(E440=E$1:E439)))))</f>
        <v/>
      </c>
      <c r="L440" s="25"/>
    </row>
    <row r="441" spans="1:12" x14ac:dyDescent="0.2">
      <c r="A441" t="s">
        <v>827</v>
      </c>
      <c r="B441" s="26" t="s">
        <v>950</v>
      </c>
      <c r="C441" s="26" t="s">
        <v>987</v>
      </c>
      <c r="D441" s="26" t="s">
        <v>806</v>
      </c>
      <c r="E441" s="20" t="s">
        <v>1762</v>
      </c>
      <c r="F441" s="21" t="s">
        <v>1819</v>
      </c>
      <c r="G441" s="22" t="s">
        <v>1822</v>
      </c>
      <c r="H441" s="23" t="str">
        <f t="shared" ca="1" si="51"/>
        <v/>
      </c>
      <c r="I441" s="24" t="e">
        <f>IF(OR(E441="",E441="!!!",F441="NEW"),"",INDEX(B$2:B440,-1+SUMPRODUCT(MAX(ROW(E$2:E440)*(E441=E$2:E440)))))</f>
        <v>#VALUE!</v>
      </c>
      <c r="J441" s="24">
        <f ca="1">IF(OR(E441="",E441="!!!",F441="NEW"),"",COUNTBLANK(OFFSET(A$1,,,SUMPRODUCT(MAX(ROW(E$2:E441)*(E441=E$2:E441)))))-COUNTBLANK(OFFSET(A$1,,,SUMPRODUCT(MAX(ROW(E$1:E440)*(E2=E$1:E440))))))</f>
        <v>0</v>
      </c>
      <c r="K441" s="24" t="e">
        <f>IF(OR(E441="",E441="!!!",F441="NEW"),"",INDEX(J$1:J440,SUMPRODUCT(MAX(ROW(E$1:E440)*(E441=E$1:E440)))))</f>
        <v>#VALUE!</v>
      </c>
      <c r="L441" s="25"/>
    </row>
    <row r="442" spans="1:12" x14ac:dyDescent="0.2">
      <c r="A442" t="s">
        <v>898</v>
      </c>
      <c r="E442" s="20" t="str">
        <f t="shared" si="50"/>
        <v/>
      </c>
      <c r="F442" s="21" t="str">
        <f>IF(OR(E442="",E442="!!!"),"",IF(NOT(ISNA(VLOOKUP(E442,E$1:E441,1,FALSE()))),"OLD",IF(AND(E442&lt;&gt;"",E442&lt;&gt;"!!!"),"NEW","")))</f>
        <v/>
      </c>
      <c r="G442" s="22" t="str">
        <f>IF(OR(E442="",E442="!!!"),"",IF(OR(J442=0,AND(J442=1,K442=1),AND(J442=1,I442="SBJ"),AND(J442=1,I442=0)),"?IN_FOCUS",IF(J442&lt;=2,"?ACTIVATED",IF(J442&lt;&gt;"","?FAMILIAR",IF(F442="NEW",IF(ISNA(VLOOKUP(E442,#REF!,1,FALSE())),"?TYPE_IDENTIFIABLE","?REFERENTIAL"),"_")))))</f>
        <v/>
      </c>
      <c r="H442" s="23" t="str">
        <f t="shared" ca="1" si="51"/>
        <v/>
      </c>
      <c r="I442" s="24" t="str">
        <f>IF(OR(E442="",E442="!!!",F442="NEW"),"",INDEX(B$2:B441,-1+SUMPRODUCT(MAX(ROW(E$2:E441)*(E442=E$2:E441)))))</f>
        <v/>
      </c>
      <c r="J442" s="24" t="str">
        <f ca="1">IF(OR(E442="",E442="!!!",F442="NEW"),"",COUNTBLANK(OFFSET(A$1,,,SUMPRODUCT(MAX(ROW(E$2:E442)*(E442=E$2:E442)))))-COUNTBLANK(OFFSET(A$1,,,SUMPRODUCT(MAX(ROW(E$1:E441)*(E2=E$1:E441))))))</f>
        <v/>
      </c>
      <c r="K442" s="24" t="str">
        <f>IF(OR(E442="",E442="!!!",F442="NEW"),"",INDEX(J$1:J441,SUMPRODUCT(MAX(ROW(E$1:E441)*(E442=E$1:E441)))))</f>
        <v/>
      </c>
      <c r="L442" s="25"/>
    </row>
    <row r="443" spans="1:12" x14ac:dyDescent="0.2">
      <c r="A443" t="s">
        <v>1003</v>
      </c>
      <c r="E443" s="20" t="str">
        <f t="shared" si="50"/>
        <v/>
      </c>
      <c r="F443" s="21" t="str">
        <f>IF(OR(E443="",E443="!!!"),"",IF(NOT(ISNA(VLOOKUP(E443,E$1:E442,1,FALSE()))),"OLD",IF(AND(E443&lt;&gt;"",E443&lt;&gt;"!!!"),"NEW","")))</f>
        <v/>
      </c>
      <c r="G443" s="22" t="str">
        <f>IF(OR(E443="",E443="!!!"),"",IF(OR(J443=0,AND(J443=1,K443=1),AND(J443=1,I443="SBJ"),AND(J443=1,I443=0)),"?IN_FOCUS",IF(J443&lt;=2,"?ACTIVATED",IF(J443&lt;&gt;"","?FAMILIAR",IF(F443="NEW",IF(ISNA(VLOOKUP(E443,#REF!,1,FALSE())),"?TYPE_IDENTIFIABLE","?REFERENTIAL"),"_")))))</f>
        <v/>
      </c>
      <c r="H443" s="23" t="str">
        <f t="shared" ca="1" si="51"/>
        <v/>
      </c>
      <c r="I443" s="24" t="str">
        <f>IF(OR(E443="",E443="!!!",F443="NEW"),"",INDEX(B$2:B442,-1+SUMPRODUCT(MAX(ROW(E$2:E442)*(E443=E$2:E442)))))</f>
        <v/>
      </c>
      <c r="J443" s="24" t="str">
        <f ca="1">IF(OR(E443="",E443="!!!",F443="NEW"),"",COUNTBLANK(OFFSET(A$1,,,SUMPRODUCT(MAX(ROW(E$2:E443)*(E443=E$2:E443)))))-COUNTBLANK(OFFSET(A$1,,,SUMPRODUCT(MAX(ROW(E$1:E442)*(E2=E$1:E442))))))</f>
        <v/>
      </c>
      <c r="K443" s="24" t="str">
        <f>IF(OR(E443="",E443="!!!",F443="NEW"),"",INDEX(J$1:J442,SUMPRODUCT(MAX(ROW(E$1:E442)*(E443=E$1:E442)))))</f>
        <v/>
      </c>
      <c r="L443" s="25"/>
    </row>
    <row r="444" spans="1:12" x14ac:dyDescent="0.2">
      <c r="A444" t="s">
        <v>802</v>
      </c>
      <c r="E444" s="20" t="str">
        <f t="shared" si="50"/>
        <v/>
      </c>
      <c r="F444" s="21" t="str">
        <f>IF(OR(E444="",E444="!!!"),"",IF(NOT(ISNA(VLOOKUP(E444,E$1:E443,1,FALSE()))),"OLD",IF(AND(E444&lt;&gt;"",E444&lt;&gt;"!!!"),"NEW","")))</f>
        <v/>
      </c>
      <c r="G444" s="22" t="str">
        <f>IF(OR(E444="",E444="!!!"),"",IF(OR(J444=0,AND(J444=1,K444=1),AND(J444=1,I444="SBJ"),AND(J444=1,I444=0)),"?IN_FOCUS",IF(J444&lt;=2,"?ACTIVATED",IF(J444&lt;&gt;"","?FAMILIAR",IF(F444="NEW",IF(ISNA(VLOOKUP(E444,#REF!,1,FALSE())),"?TYPE_IDENTIFIABLE","?REFERENTIAL"),"_")))))</f>
        <v/>
      </c>
      <c r="H444" s="23" t="str">
        <f t="shared" ca="1" si="51"/>
        <v/>
      </c>
      <c r="I444" s="24" t="str">
        <f>IF(OR(E444="",E444="!!!",F444="NEW"),"",INDEX(B$2:B443,-1+SUMPRODUCT(MAX(ROW(E$2:E443)*(E444=E$2:E443)))))</f>
        <v/>
      </c>
      <c r="J444" s="24" t="str">
        <f ca="1">IF(OR(E444="",E444="!!!",F444="NEW"),"",COUNTBLANK(OFFSET(A$1,,,SUMPRODUCT(MAX(ROW(E$2:E444)*(E444=E$2:E444)))))-COUNTBLANK(OFFSET(A$1,,,SUMPRODUCT(MAX(ROW(E$1:E443)*(E2=E$1:E443))))))</f>
        <v/>
      </c>
      <c r="K444" s="24" t="str">
        <f>IF(OR(E444="",E444="!!!",F444="NEW"),"",INDEX(J$1:J443,SUMPRODUCT(MAX(ROW(E$1:E443)*(E444=E$1:E443)))))</f>
        <v/>
      </c>
      <c r="L444" s="25"/>
    </row>
    <row r="445" spans="1:12" x14ac:dyDescent="0.2">
      <c r="A445" t="s">
        <v>902</v>
      </c>
      <c r="E445" s="20" t="str">
        <f t="shared" si="50"/>
        <v/>
      </c>
      <c r="F445" s="21" t="str">
        <f>IF(OR(E445="",E445="!!!"),"",IF(NOT(ISNA(VLOOKUP(E445,E$1:E444,1,FALSE()))),"OLD",IF(AND(E445&lt;&gt;"",E445&lt;&gt;"!!!"),"NEW","")))</f>
        <v/>
      </c>
      <c r="G445" s="22" t="str">
        <f>IF(OR(E445="",E445="!!!"),"",IF(OR(J445=0,AND(J445=1,K445=1),AND(J445=1,I445="SBJ"),AND(J445=1,I445=0)),"?IN_FOCUS",IF(J445&lt;=2,"?ACTIVATED",IF(J445&lt;&gt;"","?FAMILIAR",IF(F445="NEW",IF(ISNA(VLOOKUP(E445,#REF!,1,FALSE())),"?TYPE_IDENTIFIABLE","?REFERENTIAL"),"_")))))</f>
        <v/>
      </c>
      <c r="H445" s="23" t="str">
        <f t="shared" ca="1" si="51"/>
        <v/>
      </c>
      <c r="I445" s="24" t="str">
        <f>IF(OR(E445="",E445="!!!",F445="NEW"),"",INDEX(B$2:B444,-1+SUMPRODUCT(MAX(ROW(E$2:E444)*(E445=E$2:E444)))))</f>
        <v/>
      </c>
      <c r="J445" s="24" t="str">
        <f ca="1">IF(OR(E445="",E445="!!!",F445="NEW"),"",COUNTBLANK(OFFSET(A$1,,,SUMPRODUCT(MAX(ROW(E$2:E445)*(E445=E$2:E445)))))-COUNTBLANK(OFFSET(A$1,,,SUMPRODUCT(MAX(ROW(E$1:E444)*(E2=E$1:E444))))))</f>
        <v/>
      </c>
      <c r="K445" s="24" t="str">
        <f>IF(OR(E445="",E445="!!!",F445="NEW"),"",INDEX(J$1:J444,SUMPRODUCT(MAX(ROW(E$1:E444)*(E445=E$1:E444)))))</f>
        <v/>
      </c>
      <c r="L445" s="25"/>
    </row>
    <row r="446" spans="1:12" x14ac:dyDescent="0.2">
      <c r="A446" t="s">
        <v>1024</v>
      </c>
      <c r="B446" s="26" t="s">
        <v>804</v>
      </c>
      <c r="C446" s="26" t="s">
        <v>805</v>
      </c>
      <c r="D446" s="26" t="s">
        <v>806</v>
      </c>
      <c r="E446" s="20" t="s">
        <v>1760</v>
      </c>
      <c r="F446" s="21" t="str">
        <f>IF(OR(E446="",E446="!!!"),"",IF(NOT(ISNA(VLOOKUP(E446,E$1:E445,1,FALSE()))),"OLD",IF(AND(E446&lt;&gt;"",E446&lt;&gt;"!!!"),"NEW","")))</f>
        <v>OLD</v>
      </c>
      <c r="G446" s="22" t="s">
        <v>1823</v>
      </c>
      <c r="H446" s="23" t="str">
        <f t="shared" ca="1" si="51"/>
        <v/>
      </c>
      <c r="I446" s="24" t="str">
        <f>IF(OR(E446="",E446="!!!",F446="NEW"),"",INDEX(B$2:B445,-1+SUMPRODUCT(MAX(ROW(E$2:E445)*(E446=E$2:E445)))))</f>
        <v>OBJ_2</v>
      </c>
      <c r="J446" s="24">
        <f ca="1">IF(OR(E446="",E446="!!!",F446="NEW"),"",COUNTBLANK(OFFSET(A$1,,,SUMPRODUCT(MAX(ROW(E$2:E446)*(E446=E$2:E446)))))-COUNTBLANK(OFFSET(A$1,,,SUMPRODUCT(MAX(ROW(E$1:E445)*(E2=E$1:E445))))))</f>
        <v>0</v>
      </c>
      <c r="K446" s="24">
        <f ca="1">IF(OR(E446="",E446="!!!",F446="NEW"),"",INDEX(J$1:J445,SUMPRODUCT(MAX(ROW(E$1:E445)*(E446=E$1:E445)))))</f>
        <v>0</v>
      </c>
      <c r="L446" s="25"/>
    </row>
    <row r="447" spans="1:12" x14ac:dyDescent="0.2">
      <c r="A447" t="s">
        <v>904</v>
      </c>
      <c r="E447" s="20" t="str">
        <f t="shared" si="50"/>
        <v/>
      </c>
      <c r="F447" s="21" t="str">
        <f>IF(OR(E447="",E447="!!!"),"",IF(NOT(ISNA(VLOOKUP(E447,E$1:E446,1,FALSE()))),"OLD",IF(AND(E447&lt;&gt;"",E447&lt;&gt;"!!!"),"NEW","")))</f>
        <v/>
      </c>
      <c r="G447" s="22" t="str">
        <f>IF(OR(E447="",E447="!!!"),"",IF(OR(J447=0,AND(J447=1,K447=1),AND(J447=1,I447="SBJ"),AND(J447=1,I447=0)),"?IN_FOCUS",IF(J447&lt;=2,"?ACTIVATED",IF(J447&lt;&gt;"","?FAMILIAR",IF(F447="NEW",IF(ISNA(VLOOKUP(E447,#REF!,1,FALSE())),"?TYPE_IDENTIFIABLE","?REFERENTIAL"),"_")))))</f>
        <v/>
      </c>
      <c r="H447" s="23" t="str">
        <f t="shared" ca="1" si="51"/>
        <v/>
      </c>
      <c r="I447" s="24" t="str">
        <f>IF(OR(E447="",E447="!!!",F447="NEW"),"",INDEX(B$2:B446,-1+SUMPRODUCT(MAX(ROW(E$2:E446)*(E447=E$2:E446)))))</f>
        <v/>
      </c>
      <c r="J447" s="24" t="str">
        <f ca="1">IF(OR(E447="",E447="!!!",F447="NEW"),"",COUNTBLANK(OFFSET(A$1,,,SUMPRODUCT(MAX(ROW(E$2:E447)*(E447=E$2:E447)))))-COUNTBLANK(OFFSET(A$1,,,SUMPRODUCT(MAX(ROW(E$1:E446)*(E2=E$1:E446))))))</f>
        <v/>
      </c>
      <c r="K447" s="24" t="str">
        <f>IF(OR(E447="",E447="!!!",F447="NEW"),"",INDEX(J$1:J446,SUMPRODUCT(MAX(ROW(E$1:E446)*(E447=E$1:E446)))))</f>
        <v/>
      </c>
      <c r="L447" s="25"/>
    </row>
    <row r="448" spans="1:12" x14ac:dyDescent="0.2">
      <c r="A448" t="s">
        <v>821</v>
      </c>
      <c r="E448" s="20" t="str">
        <f t="shared" si="50"/>
        <v/>
      </c>
      <c r="F448" s="21" t="str">
        <f>IF(OR(E448="",E448="!!!"),"",IF(NOT(ISNA(VLOOKUP(E448,E$1:E447,1,FALSE()))),"OLD",IF(AND(E448&lt;&gt;"",E448&lt;&gt;"!!!"),"NEW","")))</f>
        <v/>
      </c>
      <c r="G448" s="22" t="str">
        <f>IF(OR(E448="",E448="!!!"),"",IF(OR(J448=0,AND(J448=1,K448=1),AND(J448=1,I448="SBJ"),AND(J448=1,I448=0)),"?IN_FOCUS",IF(J448&lt;=2,"?ACTIVATED",IF(J448&lt;&gt;"","?FAMILIAR",IF(F448="NEW",IF(ISNA(VLOOKUP(E448,#REF!,1,FALSE())),"?TYPE_IDENTIFIABLE","?REFERENTIAL"),"_")))))</f>
        <v/>
      </c>
      <c r="H448" s="23" t="str">
        <f t="shared" ca="1" si="51"/>
        <v/>
      </c>
      <c r="I448" s="24" t="str">
        <f>IF(OR(E448="",E448="!!!",F448="NEW"),"",INDEX(B$2:B447,-1+SUMPRODUCT(MAX(ROW(E$2:E447)*(E448=E$2:E447)))))</f>
        <v/>
      </c>
      <c r="J448" s="24" t="str">
        <f ca="1">IF(OR(E448="",E448="!!!",F448="NEW"),"",COUNTBLANK(OFFSET(A$1,,,SUMPRODUCT(MAX(ROW(E$2:E448)*(E448=E$2:E448)))))-COUNTBLANK(OFFSET(A$1,,,SUMPRODUCT(MAX(ROW(E$1:E447)*(E2=E$1:E447))))))</f>
        <v/>
      </c>
      <c r="K448" s="24" t="str">
        <f>IF(OR(E448="",E448="!!!",F448="NEW"),"",INDEX(J$1:J447,SUMPRODUCT(MAX(ROW(E$1:E447)*(E448=E$1:E447)))))</f>
        <v/>
      </c>
      <c r="L448" s="25"/>
    </row>
    <row r="450" spans="1:12" x14ac:dyDescent="0.2">
      <c r="A450" t="s">
        <v>900</v>
      </c>
      <c r="E450" s="20" t="str">
        <f>IF(D450="?OLD","!!!","")</f>
        <v/>
      </c>
      <c r="F450" s="21" t="str">
        <f>IF(OR(E450="",E450="!!!"),"",IF(NOT(ISNA(VLOOKUP(E450,E$1:E449,1,FALSE()))),"OLD",IF(AND(E450&lt;&gt;"",E450&lt;&gt;"!!!"),"NEW","")))</f>
        <v/>
      </c>
      <c r="G450" s="22" t="str">
        <f>IF(OR(E450="",E450="!!!"),"",IF(OR(J450=0,AND(J450=1,K450=1),AND(J450=1,I450="SBJ"),AND(J450=1,I450=0)),"?IN_FOCUS",IF(J450&lt;=2,"?ACTIVATED",IF(J450&lt;&gt;"","?FAMILIAR",IF(F450="NEW",IF(ISNA(VLOOKUP(E450,#REF!,1,FALSE())),"?TYPE_IDENTIFIABLE","?REFERENTIAL"),"_")))))</f>
        <v/>
      </c>
      <c r="H450" s="23" t="str">
        <f ca="1">IF(J450&lt;&gt;1,"",IF(I450="SBJ","CB","?"))</f>
        <v/>
      </c>
      <c r="I450" s="24" t="str">
        <f>IF(OR(E450="",E450="!!!",F450="NEW"),"",INDEX(B$2:B449,-1+SUMPRODUCT(MAX(ROW(E$2:E449)*(E450=E$2:E449)))))</f>
        <v/>
      </c>
      <c r="J450" s="24" t="str">
        <f ca="1">IF(OR(E450="",E450="!!!",F450="NEW"),"",COUNTBLANK(OFFSET(A$1,,,SUMPRODUCT(MAX(ROW(E$2:E450)*(E450=E$2:E450)))))-COUNTBLANK(OFFSET(A$1,,,SUMPRODUCT(MAX(ROW(E$1:E449)*(E2=E$1:E449))))))</f>
        <v/>
      </c>
      <c r="K450" s="24" t="str">
        <f>IF(OR(E450="",E450="!!!",F450="NEW"),"",INDEX(J$1:J449,SUMPRODUCT(MAX(ROW(E$1:E449)*(E450=E$1:E449)))))</f>
        <v/>
      </c>
      <c r="L450" s="25"/>
    </row>
    <row r="451" spans="1:12" x14ac:dyDescent="0.2">
      <c r="A451" t="s">
        <v>1025</v>
      </c>
    </row>
    <row r="452" spans="1:12" x14ac:dyDescent="0.2">
      <c r="A452" t="s">
        <v>902</v>
      </c>
      <c r="E452" s="20" t="str">
        <f t="shared" ref="E452:E470" si="52">IF(D452="?OLD","!!!","")</f>
        <v/>
      </c>
      <c r="F452" s="21" t="str">
        <f>IF(OR(E452="",E452="!!!"),"",IF(NOT(ISNA(VLOOKUP(E452,E$1:E451,1,FALSE()))),"OLD",IF(AND(E452&lt;&gt;"",E452&lt;&gt;"!!!"),"NEW","")))</f>
        <v/>
      </c>
      <c r="G452" s="22" t="str">
        <f>IF(OR(E452="",E452="!!!"),"",IF(OR(J452=0,AND(J452=1,K452=1),AND(J452=1,I452="SBJ"),AND(J452=1,I452=0)),"?IN_FOCUS",IF(J452&lt;=2,"?ACTIVATED",IF(J452&lt;&gt;"","?FAMILIAR",IF(F452="NEW",IF(ISNA(VLOOKUP(E452,#REF!,1,FALSE())),"?TYPE_IDENTIFIABLE","?REFERENTIAL"),"_")))))</f>
        <v/>
      </c>
      <c r="H452" s="23" t="str">
        <f t="shared" ref="H452:H470" ca="1" si="53">IF(J452&lt;&gt;1,"",IF(I452="SBJ","CB","?"))</f>
        <v/>
      </c>
      <c r="I452" s="24" t="str">
        <f>IF(OR(E452="",E452="!!!",F452="NEW"),"",INDEX(B$2:B451,-1+SUMPRODUCT(MAX(ROW(E$2:E451)*(E452=E$2:E451)))))</f>
        <v/>
      </c>
      <c r="J452" s="24" t="str">
        <f ca="1">IF(OR(E452="",E452="!!!",F452="NEW"),"",COUNTBLANK(OFFSET(A$1,,,SUMPRODUCT(MAX(ROW(E$2:E452)*(E452=E$2:E452)))))-COUNTBLANK(OFFSET(A$1,,,SUMPRODUCT(MAX(ROW(E$1:E451)*(E2=E$1:E451))))))</f>
        <v/>
      </c>
      <c r="K452" s="24" t="str">
        <f>IF(OR(E452="",E452="!!!",F452="NEW"),"",INDEX(J$1:J451,SUMPRODUCT(MAX(ROW(E$1:E451)*(E452=E$1:E451)))))</f>
        <v/>
      </c>
      <c r="L452" s="25"/>
    </row>
    <row r="453" spans="1:12" x14ac:dyDescent="0.2">
      <c r="A453" t="s">
        <v>1026</v>
      </c>
      <c r="B453" s="26" t="s">
        <v>950</v>
      </c>
      <c r="C453" s="26" t="s">
        <v>805</v>
      </c>
      <c r="D453" s="26" t="s">
        <v>806</v>
      </c>
      <c r="E453" s="20" t="s">
        <v>1759</v>
      </c>
      <c r="F453" s="21" t="s">
        <v>1753</v>
      </c>
      <c r="G453" s="22" t="s">
        <v>1823</v>
      </c>
      <c r="H453" s="23" t="str">
        <f t="shared" ca="1" si="53"/>
        <v/>
      </c>
      <c r="I453" s="24" t="str">
        <f>IF(OR(E453="",E453="!!!",F453="NEW"),"",INDEX(B$2:B452,-1+SUMPRODUCT(MAX(ROW(E$2:E452)*(E453=E$2:E452)))))</f>
        <v>SBJ_3</v>
      </c>
      <c r="J453" s="24">
        <f ca="1">IF(OR(E453="",E453="!!!",F453="NEW"),"",COUNTBLANK(OFFSET(A$1,,,SUMPRODUCT(MAX(ROW(E$2:E453)*(E453=E$2:E453)))))-COUNTBLANK(OFFSET(A$1,,,SUMPRODUCT(MAX(ROW(E$1:E452)*(E2=E$1:E452))))))</f>
        <v>0</v>
      </c>
      <c r="K453" s="24">
        <f ca="1">IF(OR(E453="",E453="!!!",F453="NEW"),"",INDEX(J$1:J452,SUMPRODUCT(MAX(ROW(E$1:E452)*(E453=E$1:E452)))))</f>
        <v>0</v>
      </c>
      <c r="L453" s="25"/>
    </row>
    <row r="454" spans="1:12" x14ac:dyDescent="0.2">
      <c r="A454" t="s">
        <v>977</v>
      </c>
      <c r="E454" s="20" t="str">
        <f t="shared" si="52"/>
        <v/>
      </c>
      <c r="F454" s="21" t="str">
        <f>IF(OR(E454="",E454="!!!"),"",IF(NOT(ISNA(VLOOKUP(E454,E$1:E453,1,FALSE()))),"OLD",IF(AND(E454&lt;&gt;"",E454&lt;&gt;"!!!"),"NEW","")))</f>
        <v/>
      </c>
      <c r="G454" s="22" t="str">
        <f>IF(OR(E454="",E454="!!!"),"",IF(OR(J454=0,AND(J454=1,K454=1),AND(J454=1,I454="SBJ"),AND(J454=1,I454=0)),"?IN_FOCUS",IF(J454&lt;=2,"?ACTIVATED",IF(J454&lt;&gt;"","?FAMILIAR",IF(F454="NEW",IF(ISNA(VLOOKUP(E454,#REF!,1,FALSE())),"?TYPE_IDENTIFIABLE","?REFERENTIAL"),"_")))))</f>
        <v/>
      </c>
      <c r="H454" s="23" t="str">
        <f t="shared" ca="1" si="53"/>
        <v/>
      </c>
      <c r="I454" s="24" t="str">
        <f>IF(OR(E454="",E454="!!!",F454="NEW"),"",INDEX(B$2:B453,-1+SUMPRODUCT(MAX(ROW(E$2:E453)*(E454=E$2:E453)))))</f>
        <v/>
      </c>
      <c r="J454" s="24" t="str">
        <f ca="1">IF(OR(E454="",E454="!!!",F454="NEW"),"",COUNTBLANK(OFFSET(A$1,,,SUMPRODUCT(MAX(ROW(E$2:E454)*(E454=E$2:E454)))))-COUNTBLANK(OFFSET(A$1,,,SUMPRODUCT(MAX(ROW(E$1:E453)*(E2=E$1:E453))))))</f>
        <v/>
      </c>
      <c r="K454" s="24" t="str">
        <f>IF(OR(E454="",E454="!!!",F454="NEW"),"",INDEX(J$1:J453,SUMPRODUCT(MAX(ROW(E$1:E453)*(E454=E$1:E453)))))</f>
        <v/>
      </c>
      <c r="L454" s="25"/>
    </row>
    <row r="455" spans="1:12" x14ac:dyDescent="0.2">
      <c r="A455" t="s">
        <v>544</v>
      </c>
      <c r="E455" s="20" t="str">
        <f t="shared" si="52"/>
        <v/>
      </c>
      <c r="F455" s="21" t="str">
        <f>IF(OR(E455="",E455="!!!"),"",IF(NOT(ISNA(VLOOKUP(E455,E$1:E454,1,FALSE()))),"OLD",IF(AND(E455&lt;&gt;"",E455&lt;&gt;"!!!"),"NEW","")))</f>
        <v/>
      </c>
      <c r="G455" s="22" t="str">
        <f>IF(OR(E455="",E455="!!!"),"",IF(OR(J455=0,AND(J455=1,K455=1),AND(J455=1,I455="SBJ"),AND(J455=1,I455=0)),"?IN_FOCUS",IF(J455&lt;=2,"?ACTIVATED",IF(J455&lt;&gt;"","?FAMILIAR",IF(F455="NEW",IF(ISNA(VLOOKUP(E455,#REF!,1,FALSE())),"?TYPE_IDENTIFIABLE","?REFERENTIAL"),"_")))))</f>
        <v/>
      </c>
      <c r="H455" s="23" t="str">
        <f t="shared" ca="1" si="53"/>
        <v/>
      </c>
      <c r="I455" s="24" t="str">
        <f>IF(OR(E455="",E455="!!!",F455="NEW"),"",INDEX(B$2:B454,-1+SUMPRODUCT(MAX(ROW(E$2:E454)*(E455=E$2:E454)))))</f>
        <v/>
      </c>
      <c r="J455" s="24" t="str">
        <f ca="1">IF(OR(E455="",E455="!!!",F455="NEW"),"",COUNTBLANK(OFFSET(A$1,,,SUMPRODUCT(MAX(ROW(E$2:E455)*(E455=E$2:E455)))))-COUNTBLANK(OFFSET(A$1,,,SUMPRODUCT(MAX(ROW(E$1:E454)*(E2=E$1:E454))))))</f>
        <v/>
      </c>
      <c r="K455" s="24" t="str">
        <f>IF(OR(E455="",E455="!!!",F455="NEW"),"",INDEX(J$1:J454,SUMPRODUCT(MAX(ROW(E$1:E454)*(E455=E$1:E454)))))</f>
        <v/>
      </c>
      <c r="L455" s="25"/>
    </row>
    <row r="456" spans="1:12" x14ac:dyDescent="0.2">
      <c r="A456" t="s">
        <v>1020</v>
      </c>
      <c r="E456" s="20" t="str">
        <f t="shared" si="52"/>
        <v/>
      </c>
      <c r="F456" s="21" t="str">
        <f>IF(OR(E456="",E456="!!!"),"",IF(NOT(ISNA(VLOOKUP(E456,E$1:E455,1,FALSE()))),"OLD",IF(AND(E456&lt;&gt;"",E456&lt;&gt;"!!!"),"NEW","")))</f>
        <v/>
      </c>
      <c r="G456" s="22" t="str">
        <f>IF(OR(E456="",E456="!!!"),"",IF(OR(J456=0,AND(J456=1,K456=1),AND(J456=1,I456="SBJ"),AND(J456=1,I456=0)),"?IN_FOCUS",IF(J456&lt;=2,"?ACTIVATED",IF(J456&lt;&gt;"","?FAMILIAR",IF(F456="NEW",IF(ISNA(VLOOKUP(E456,#REF!,1,FALSE())),"?TYPE_IDENTIFIABLE","?REFERENTIAL"),"_")))))</f>
        <v/>
      </c>
      <c r="H456" s="23" t="str">
        <f t="shared" ca="1" si="53"/>
        <v/>
      </c>
      <c r="I456" s="24" t="str">
        <f>IF(OR(E456="",E456="!!!",F456="NEW"),"",INDEX(B$2:B455,-1+SUMPRODUCT(MAX(ROW(E$2:E455)*(E456=E$2:E455)))))</f>
        <v/>
      </c>
      <c r="J456" s="24" t="str">
        <f ca="1">IF(OR(E456="",E456="!!!",F456="NEW"),"",COUNTBLANK(OFFSET(A$1,,,SUMPRODUCT(MAX(ROW(E$2:E456)*(E456=E$2:E456)))))-COUNTBLANK(OFFSET(A$1,,,SUMPRODUCT(MAX(ROW(E$1:E455)*(E2=E$1:E455))))))</f>
        <v/>
      </c>
      <c r="K456" s="24" t="str">
        <f>IF(OR(E456="",E456="!!!",F456="NEW"),"",INDEX(J$1:J455,SUMPRODUCT(MAX(ROW(E$1:E455)*(E456=E$1:E455)))))</f>
        <v/>
      </c>
      <c r="L456" s="25"/>
    </row>
    <row r="457" spans="1:12" x14ac:dyDescent="0.2">
      <c r="A457" t="s">
        <v>1021</v>
      </c>
      <c r="E457" s="20" t="str">
        <f t="shared" si="52"/>
        <v/>
      </c>
      <c r="F457" s="21" t="str">
        <f>IF(OR(E457="",E457="!!!"),"",IF(NOT(ISNA(VLOOKUP(E457,E$1:E456,1,FALSE()))),"OLD",IF(AND(E457&lt;&gt;"",E457&lt;&gt;"!!!"),"NEW","")))</f>
        <v/>
      </c>
      <c r="G457" s="22" t="str">
        <f>IF(OR(E457="",E457="!!!"),"",IF(OR(J457=0,AND(J457=1,K457=1),AND(J457=1,I457="SBJ"),AND(J457=1,I457=0)),"?IN_FOCUS",IF(J457&lt;=2,"?ACTIVATED",IF(J457&lt;&gt;"","?FAMILIAR",IF(F457="NEW",IF(ISNA(VLOOKUP(E457,#REF!,1,FALSE())),"?TYPE_IDENTIFIABLE","?REFERENTIAL"),"_")))))</f>
        <v/>
      </c>
      <c r="H457" s="23" t="str">
        <f t="shared" ca="1" si="53"/>
        <v/>
      </c>
      <c r="I457" s="24" t="str">
        <f>IF(OR(E457="",E457="!!!",F457="NEW"),"",INDEX(B$2:B456,-1+SUMPRODUCT(MAX(ROW(E$2:E456)*(E457=E$2:E456)))))</f>
        <v/>
      </c>
      <c r="J457" s="24" t="str">
        <f ca="1">IF(OR(E457="",E457="!!!",F457="NEW"),"",COUNTBLANK(OFFSET(A$1,,,SUMPRODUCT(MAX(ROW(E$2:E457)*(E457=E$2:E457)))))-COUNTBLANK(OFFSET(A$1,,,SUMPRODUCT(MAX(ROW(E$1:E456)*(E2=E$1:E456))))))</f>
        <v/>
      </c>
      <c r="K457" s="24" t="str">
        <f>IF(OR(E457="",E457="!!!",F457="NEW"),"",INDEX(J$1:J456,SUMPRODUCT(MAX(ROW(E$1:E456)*(E457=E$1:E456)))))</f>
        <v/>
      </c>
      <c r="L457" s="25"/>
    </row>
    <row r="458" spans="1:12" x14ac:dyDescent="0.2">
      <c r="A458" t="s">
        <v>802</v>
      </c>
      <c r="E458" s="20" t="str">
        <f t="shared" si="52"/>
        <v/>
      </c>
      <c r="F458" s="21" t="str">
        <f>IF(OR(E458="",E458="!!!"),"",IF(NOT(ISNA(VLOOKUP(E458,E$1:E457,1,FALSE()))),"OLD",IF(AND(E458&lt;&gt;"",E458&lt;&gt;"!!!"),"NEW","")))</f>
        <v/>
      </c>
      <c r="G458" s="22" t="str">
        <f>IF(OR(E458="",E458="!!!"),"",IF(OR(J458=0,AND(J458=1,K458=1),AND(J458=1,I458="SBJ"),AND(J458=1,I458=0)),"?IN_FOCUS",IF(J458&lt;=2,"?ACTIVATED",IF(J458&lt;&gt;"","?FAMILIAR",IF(F458="NEW",IF(ISNA(VLOOKUP(E458,#REF!,1,FALSE())),"?TYPE_IDENTIFIABLE","?REFERENTIAL"),"_")))))</f>
        <v/>
      </c>
      <c r="H458" s="23" t="str">
        <f t="shared" ca="1" si="53"/>
        <v/>
      </c>
      <c r="I458" s="24" t="str">
        <f>IF(OR(E458="",E458="!!!",F458="NEW"),"",INDEX(B$2:B457,-1+SUMPRODUCT(MAX(ROW(E$2:E457)*(E458=E$2:E457)))))</f>
        <v/>
      </c>
      <c r="J458" s="24" t="str">
        <f ca="1">IF(OR(E458="",E458="!!!",F458="NEW"),"",COUNTBLANK(OFFSET(A$1,,,SUMPRODUCT(MAX(ROW(E$2:E458)*(E458=E$2:E458)))))-COUNTBLANK(OFFSET(A$1,,,SUMPRODUCT(MAX(ROW(E$1:E457)*(E2=E$1:E457))))))</f>
        <v/>
      </c>
      <c r="K458" s="24" t="str">
        <f>IF(OR(E458="",E458="!!!",F458="NEW"),"",INDEX(J$1:J457,SUMPRODUCT(MAX(ROW(E$1:E457)*(E458=E$1:E457)))))</f>
        <v/>
      </c>
      <c r="L458" s="25"/>
    </row>
    <row r="459" spans="1:12" x14ac:dyDescent="0.2">
      <c r="A459" t="s">
        <v>845</v>
      </c>
      <c r="E459" s="20" t="str">
        <f t="shared" si="52"/>
        <v/>
      </c>
      <c r="F459" s="21" t="str">
        <f>IF(OR(E459="",E459="!!!"),"",IF(NOT(ISNA(VLOOKUP(E459,E$1:E458,1,FALSE()))),"OLD",IF(AND(E459&lt;&gt;"",E459&lt;&gt;"!!!"),"NEW","")))</f>
        <v/>
      </c>
      <c r="G459" s="22" t="str">
        <f>IF(OR(E459="",E459="!!!"),"",IF(OR(J459=0,AND(J459=1,K459=1),AND(J459=1,I459="SBJ"),AND(J459=1,I459=0)),"?IN_FOCUS",IF(J459&lt;=2,"?ACTIVATED",IF(J459&lt;&gt;"","?FAMILIAR",IF(F459="NEW",IF(ISNA(VLOOKUP(E459,#REF!,1,FALSE())),"?TYPE_IDENTIFIABLE","?REFERENTIAL"),"_")))))</f>
        <v/>
      </c>
      <c r="H459" s="23" t="str">
        <f t="shared" ca="1" si="53"/>
        <v/>
      </c>
      <c r="I459" s="24" t="str">
        <f>IF(OR(E459="",E459="!!!",F459="NEW"),"",INDEX(B$2:B458,-1+SUMPRODUCT(MAX(ROW(E$2:E458)*(E459=E$2:E458)))))</f>
        <v/>
      </c>
      <c r="J459" s="24" t="str">
        <f ca="1">IF(OR(E459="",E459="!!!",F459="NEW"),"",COUNTBLANK(OFFSET(A$1,,,SUMPRODUCT(MAX(ROW(E$2:E459)*(E459=E$2:E459)))))-COUNTBLANK(OFFSET(A$1,,,SUMPRODUCT(MAX(ROW(E$1:E458)*(E2=E$1:E458))))))</f>
        <v/>
      </c>
      <c r="K459" s="24" t="str">
        <f>IF(OR(E459="",E459="!!!",F459="NEW"),"",INDEX(J$1:J458,SUMPRODUCT(MAX(ROW(E$1:E458)*(E459=E$1:E458)))))</f>
        <v/>
      </c>
      <c r="L459" s="25"/>
    </row>
    <row r="460" spans="1:12" x14ac:dyDescent="0.2">
      <c r="A460" t="s">
        <v>1027</v>
      </c>
      <c r="B460" s="26" t="s">
        <v>891</v>
      </c>
      <c r="C460" s="26" t="s">
        <v>847</v>
      </c>
      <c r="D460" s="26" t="s">
        <v>806</v>
      </c>
      <c r="E460" s="20" t="s">
        <v>1027</v>
      </c>
      <c r="F460" s="21" t="str">
        <f>IF(OR(E460="",E460="!!!"),"",IF(NOT(ISNA(VLOOKUP(E460,E$1:E459,1,FALSE()))),"OLD",IF(AND(E460&lt;&gt;"",E460&lt;&gt;"!!!"),"NEW","")))</f>
        <v>NEW</v>
      </c>
      <c r="G460" s="22" t="s">
        <v>1820</v>
      </c>
      <c r="H460" s="23" t="str">
        <f t="shared" ca="1" si="53"/>
        <v/>
      </c>
      <c r="I460" s="24" t="str">
        <f>IF(OR(E460="",E460="!!!",F460="NEW"),"",INDEX(B$2:B459,-1+SUMPRODUCT(MAX(ROW(E$2:E459)*(E460=E$2:E459)))))</f>
        <v/>
      </c>
      <c r="J460" s="24" t="str">
        <f ca="1">IF(OR(E460="",E460="!!!",F460="NEW"),"",COUNTBLANK(OFFSET(A$1,,,SUMPRODUCT(MAX(ROW(E$2:E460)*(E460=E$2:E460)))))-COUNTBLANK(OFFSET(A$1,,,SUMPRODUCT(MAX(ROW(E$1:E459)*(E2=E$1:E459))))))</f>
        <v/>
      </c>
      <c r="K460" s="24" t="str">
        <f>IF(OR(E460="",E460="!!!",F460="NEW"),"",INDEX(J$1:J459,SUMPRODUCT(MAX(ROW(E$1:E459)*(E460=E$1:E459)))))</f>
        <v/>
      </c>
      <c r="L460" s="25"/>
    </row>
    <row r="461" spans="1:12" x14ac:dyDescent="0.2">
      <c r="A461" t="s">
        <v>1028</v>
      </c>
      <c r="E461" s="20" t="str">
        <f t="shared" si="52"/>
        <v/>
      </c>
      <c r="F461" s="21" t="str">
        <f>IF(OR(E461="",E461="!!!"),"",IF(NOT(ISNA(VLOOKUP(E461,E$1:E460,1,FALSE()))),"OLD",IF(AND(E461&lt;&gt;"",E461&lt;&gt;"!!!"),"NEW","")))</f>
        <v/>
      </c>
      <c r="G461" s="22" t="str">
        <f>IF(OR(E461="",E461="!!!"),"",IF(OR(J461=0,AND(J461=1,K461=1),AND(J461=1,I461="SBJ"),AND(J461=1,I461=0)),"?IN_FOCUS",IF(J461&lt;=2,"?ACTIVATED",IF(J461&lt;&gt;"","?FAMILIAR",IF(F461="NEW",IF(ISNA(VLOOKUP(E461,#REF!,1,FALSE())),"?TYPE_IDENTIFIABLE","?REFERENTIAL"),"_")))))</f>
        <v/>
      </c>
      <c r="H461" s="23" t="str">
        <f t="shared" ca="1" si="53"/>
        <v/>
      </c>
      <c r="I461" s="24" t="str">
        <f>IF(OR(E461="",E461="!!!",F461="NEW"),"",INDEX(B$2:B460,-1+SUMPRODUCT(MAX(ROW(E$2:E460)*(E461=E$2:E460)))))</f>
        <v/>
      </c>
      <c r="J461" s="24" t="str">
        <f ca="1">IF(OR(E461="",E461="!!!",F461="NEW"),"",COUNTBLANK(OFFSET(A$1,,,SUMPRODUCT(MAX(ROW(E$2:E461)*(E461=E$2:E461)))))-COUNTBLANK(OFFSET(A$1,,,SUMPRODUCT(MAX(ROW(E$1:E460)*(E2=E$1:E460))))))</f>
        <v/>
      </c>
      <c r="K461" s="24" t="str">
        <f>IF(OR(E461="",E461="!!!",F461="NEW"),"",INDEX(J$1:J460,SUMPRODUCT(MAX(ROW(E$1:E460)*(E461=E$1:E460)))))</f>
        <v/>
      </c>
      <c r="L461" s="25"/>
    </row>
    <row r="462" spans="1:12" x14ac:dyDescent="0.2">
      <c r="A462" t="s">
        <v>920</v>
      </c>
      <c r="B462" s="26" t="s">
        <v>897</v>
      </c>
      <c r="C462" s="26" t="s">
        <v>817</v>
      </c>
      <c r="D462" s="26" t="s">
        <v>806</v>
      </c>
      <c r="E462" s="20"/>
      <c r="F462" s="21" t="s">
        <v>1793</v>
      </c>
      <c r="G462" s="22"/>
      <c r="H462" s="23" t="str">
        <f t="shared" ca="1" si="53"/>
        <v/>
      </c>
      <c r="I462" s="24" t="str">
        <f>IF(OR(E462="",E462="!!!",F462="NEW"),"",INDEX(B$2:B461,-1+SUMPRODUCT(MAX(ROW(E$2:E461)*(E462=E$2:E461)))))</f>
        <v/>
      </c>
      <c r="J462" s="24" t="str">
        <f ca="1">IF(OR(E462="",E462="!!!",F462="NEW"),"",COUNTBLANK(OFFSET(A$1,,,SUMPRODUCT(MAX(ROW(E$2:E462)*(E462=E$2:E462)))))-COUNTBLANK(OFFSET(A$1,,,SUMPRODUCT(MAX(ROW(E$1:E461)*(E2=E$1:E461))))))</f>
        <v/>
      </c>
      <c r="K462" s="24" t="str">
        <f>IF(OR(E462="",E462="!!!",F462="NEW"),"",INDEX(J$1:J461,SUMPRODUCT(MAX(ROW(E$1:E461)*(E462=E$1:E461)))))</f>
        <v/>
      </c>
      <c r="L462" s="25"/>
    </row>
    <row r="463" spans="1:12" x14ac:dyDescent="0.2">
      <c r="A463" t="s">
        <v>30</v>
      </c>
      <c r="B463" s="26" t="s">
        <v>899</v>
      </c>
      <c r="C463" s="26" t="s">
        <v>820</v>
      </c>
      <c r="D463" s="26" t="s">
        <v>806</v>
      </c>
      <c r="E463" s="20" t="s">
        <v>1763</v>
      </c>
      <c r="F463" s="21" t="str">
        <f>IF(OR(E463="",E463="!!!"),"",IF(NOT(ISNA(VLOOKUP(E463,E$1:E462,1,FALSE()))),"OLD",IF(AND(E463&lt;&gt;"",E463&lt;&gt;"!!!"),"NEW","")))</f>
        <v>NEW</v>
      </c>
      <c r="G463" s="22" t="s">
        <v>1820</v>
      </c>
      <c r="H463" s="23" t="str">
        <f t="shared" ca="1" si="53"/>
        <v/>
      </c>
      <c r="I463" s="24" t="str">
        <f>IF(OR(E463="",E463="!!!",F463="NEW"),"",INDEX(B$2:B462,-1+SUMPRODUCT(MAX(ROW(E$2:E462)*(E463=E$2:E462)))))</f>
        <v/>
      </c>
      <c r="J463" s="24" t="str">
        <f ca="1">IF(OR(E463="",E463="!!!",F463="NEW"),"",COUNTBLANK(OFFSET(A$1,,,SUMPRODUCT(MAX(ROW(E$2:E463)*(E463=E$2:E463)))))-COUNTBLANK(OFFSET(A$1,,,SUMPRODUCT(MAX(ROW(E$1:E462)*(E2=E$1:E462))))))</f>
        <v/>
      </c>
      <c r="K463" s="24" t="str">
        <f>IF(OR(E463="",E463="!!!",F463="NEW"),"",INDEX(J$1:J462,SUMPRODUCT(MAX(ROW(E$1:E462)*(E463=E$1:E462)))))</f>
        <v/>
      </c>
      <c r="L463" s="25"/>
    </row>
    <row r="464" spans="1:12" x14ac:dyDescent="0.2">
      <c r="A464" t="s">
        <v>1029</v>
      </c>
      <c r="E464" s="20" t="str">
        <f t="shared" si="52"/>
        <v/>
      </c>
      <c r="F464" s="21" t="str">
        <f>IF(OR(E464="",E464="!!!"),"",IF(NOT(ISNA(VLOOKUP(E464,E$1:E463,1,FALSE()))),"OLD",IF(AND(E464&lt;&gt;"",E464&lt;&gt;"!!!"),"NEW","")))</f>
        <v/>
      </c>
      <c r="G464" s="22" t="str">
        <f>IF(OR(E464="",E464="!!!"),"",IF(OR(J464=0,AND(J464=1,K464=1),AND(J464=1,I464="SBJ"),AND(J464=1,I464=0)),"?IN_FOCUS",IF(J464&lt;=2,"?ACTIVATED",IF(J464&lt;&gt;"","?FAMILIAR",IF(F464="NEW",IF(ISNA(VLOOKUP(E464,#REF!,1,FALSE())),"?TYPE_IDENTIFIABLE","?REFERENTIAL"),"_")))))</f>
        <v/>
      </c>
      <c r="H464" s="23" t="str">
        <f t="shared" ca="1" si="53"/>
        <v/>
      </c>
      <c r="I464" s="24" t="str">
        <f>IF(OR(E464="",E464="!!!",F464="NEW"),"",INDEX(B$2:B463,-1+SUMPRODUCT(MAX(ROW(E$2:E463)*(E464=E$2:E463)))))</f>
        <v/>
      </c>
      <c r="J464" s="24" t="str">
        <f ca="1">IF(OR(E464="",E464="!!!",F464="NEW"),"",COUNTBLANK(OFFSET(A$1,,,SUMPRODUCT(MAX(ROW(E$2:E464)*(E464=E$2:E464)))))-COUNTBLANK(OFFSET(A$1,,,SUMPRODUCT(MAX(ROW(E$1:E463)*(E2=E$1:E463))))))</f>
        <v/>
      </c>
      <c r="K464" s="24" t="str">
        <f>IF(OR(E464="",E464="!!!",F464="NEW"),"",INDEX(J$1:J463,SUMPRODUCT(MAX(ROW(E$1:E463)*(E464=E$1:E463)))))</f>
        <v/>
      </c>
      <c r="L464" s="25"/>
    </row>
    <row r="465" spans="1:12" x14ac:dyDescent="0.2">
      <c r="A465" t="s">
        <v>1030</v>
      </c>
      <c r="E465" s="20" t="str">
        <f t="shared" si="52"/>
        <v/>
      </c>
      <c r="F465" s="21" t="str">
        <f>IF(OR(E465="",E465="!!!"),"",IF(NOT(ISNA(VLOOKUP(E465,E$1:E464,1,FALSE()))),"OLD",IF(AND(E465&lt;&gt;"",E465&lt;&gt;"!!!"),"NEW","")))</f>
        <v/>
      </c>
      <c r="G465" s="22" t="str">
        <f>IF(OR(E465="",E465="!!!"),"",IF(OR(J465=0,AND(J465=1,K465=1),AND(J465=1,I465="SBJ"),AND(J465=1,I465=0)),"?IN_FOCUS",IF(J465&lt;=2,"?ACTIVATED",IF(J465&lt;&gt;"","?FAMILIAR",IF(F465="NEW",IF(ISNA(VLOOKUP(E465,#REF!,1,FALSE())),"?TYPE_IDENTIFIABLE","?REFERENTIAL"),"_")))))</f>
        <v/>
      </c>
      <c r="H465" s="23" t="str">
        <f t="shared" ca="1" si="53"/>
        <v/>
      </c>
      <c r="I465" s="24" t="str">
        <f>IF(OR(E465="",E465="!!!",F465="NEW"),"",INDEX(B$2:B464,-1+SUMPRODUCT(MAX(ROW(E$2:E464)*(E465=E$2:E464)))))</f>
        <v/>
      </c>
      <c r="J465" s="24" t="str">
        <f ca="1">IF(OR(E465="",E465="!!!",F465="NEW"),"",COUNTBLANK(OFFSET(A$1,,,SUMPRODUCT(MAX(ROW(E$2:E465)*(E465=E$2:E465)))))-COUNTBLANK(OFFSET(A$1,,,SUMPRODUCT(MAX(ROW(E$1:E464)*(E2=E$1:E464))))))</f>
        <v/>
      </c>
      <c r="K465" s="24" t="str">
        <f>IF(OR(E465="",E465="!!!",F465="NEW"),"",INDEX(J$1:J464,SUMPRODUCT(MAX(ROW(E$1:E464)*(E465=E$1:E464)))))</f>
        <v/>
      </c>
      <c r="L465" s="25"/>
    </row>
    <row r="466" spans="1:12" x14ac:dyDescent="0.2">
      <c r="A466" t="s">
        <v>802</v>
      </c>
      <c r="E466" s="20" t="str">
        <f t="shared" si="52"/>
        <v/>
      </c>
      <c r="F466" s="21" t="str">
        <f>IF(OR(E466="",E466="!!!"),"",IF(NOT(ISNA(VLOOKUP(E466,E$1:E465,1,FALSE()))),"OLD",IF(AND(E466&lt;&gt;"",E466&lt;&gt;"!!!"),"NEW","")))</f>
        <v/>
      </c>
      <c r="G466" s="22" t="str">
        <f>IF(OR(E466="",E466="!!!"),"",IF(OR(J466=0,AND(J466=1,K466=1),AND(J466=1,I466="SBJ"),AND(J466=1,I466=0)),"?IN_FOCUS",IF(J466&lt;=2,"?ACTIVATED",IF(J466&lt;&gt;"","?FAMILIAR",IF(F466="NEW",IF(ISNA(VLOOKUP(E466,#REF!,1,FALSE())),"?TYPE_IDENTIFIABLE","?REFERENTIAL"),"_")))))</f>
        <v/>
      </c>
      <c r="H466" s="23" t="str">
        <f t="shared" ca="1" si="53"/>
        <v/>
      </c>
      <c r="I466" s="24" t="str">
        <f>IF(OR(E466="",E466="!!!",F466="NEW"),"",INDEX(B$2:B465,-1+SUMPRODUCT(MAX(ROW(E$2:E465)*(E466=E$2:E465)))))</f>
        <v/>
      </c>
      <c r="J466" s="24" t="str">
        <f ca="1">IF(OR(E466="",E466="!!!",F466="NEW"),"",COUNTBLANK(OFFSET(A$1,,,SUMPRODUCT(MAX(ROW(E$2:E466)*(E466=E$2:E466)))))-COUNTBLANK(OFFSET(A$1,,,SUMPRODUCT(MAX(ROW(E$1:E465)*(E2=E$1:E465))))))</f>
        <v/>
      </c>
      <c r="K466" s="24" t="str">
        <f>IF(OR(E466="",E466="!!!",F466="NEW"),"",INDEX(J$1:J465,SUMPRODUCT(MAX(ROW(E$1:E465)*(E466=E$1:E465)))))</f>
        <v/>
      </c>
      <c r="L466" s="25"/>
    </row>
    <row r="467" spans="1:12" x14ac:dyDescent="0.2">
      <c r="A467" t="s">
        <v>1031</v>
      </c>
      <c r="E467" s="20" t="str">
        <f t="shared" si="52"/>
        <v/>
      </c>
      <c r="F467" s="21" t="str">
        <f>IF(OR(E467="",E467="!!!"),"",IF(NOT(ISNA(VLOOKUP(E467,E$1:E466,1,FALSE()))),"OLD",IF(AND(E467&lt;&gt;"",E467&lt;&gt;"!!!"),"NEW","")))</f>
        <v/>
      </c>
      <c r="G467" s="22" t="str">
        <f>IF(OR(E467="",E467="!!!"),"",IF(OR(J467=0,AND(J467=1,K467=1),AND(J467=1,I467="SBJ"),AND(J467=1,I467=0)),"?IN_FOCUS",IF(J467&lt;=2,"?ACTIVATED",IF(J467&lt;&gt;"","?FAMILIAR",IF(F467="NEW",IF(ISNA(VLOOKUP(E467,#REF!,1,FALSE())),"?TYPE_IDENTIFIABLE","?REFERENTIAL"),"_")))))</f>
        <v/>
      </c>
      <c r="H467" s="23" t="str">
        <f t="shared" ca="1" si="53"/>
        <v/>
      </c>
      <c r="I467" s="24" t="str">
        <f>IF(OR(E467="",E467="!!!",F467="NEW"),"",INDEX(B$2:B466,-1+SUMPRODUCT(MAX(ROW(E$2:E466)*(E467=E$2:E466)))))</f>
        <v/>
      </c>
      <c r="J467" s="24" t="str">
        <f ca="1">IF(OR(E467="",E467="!!!",F467="NEW"),"",COUNTBLANK(OFFSET(A$1,,,SUMPRODUCT(MAX(ROW(E$2:E467)*(E467=E$2:E467)))))-COUNTBLANK(OFFSET(A$1,,,SUMPRODUCT(MAX(ROW(E$1:E466)*(E2=E$1:E466))))))</f>
        <v/>
      </c>
      <c r="K467" s="24" t="str">
        <f>IF(OR(E467="",E467="!!!",F467="NEW"),"",INDEX(J$1:J466,SUMPRODUCT(MAX(ROW(E$1:E466)*(E467=E$1:E466)))))</f>
        <v/>
      </c>
      <c r="L467" s="25"/>
    </row>
    <row r="468" spans="1:12" x14ac:dyDescent="0.2">
      <c r="A468" t="s">
        <v>1032</v>
      </c>
      <c r="E468" s="20" t="str">
        <f t="shared" si="52"/>
        <v/>
      </c>
      <c r="F468" s="21" t="str">
        <f>IF(OR(E468="",E468="!!!"),"",IF(NOT(ISNA(VLOOKUP(E468,E$1:E467,1,FALSE()))),"OLD",IF(AND(E468&lt;&gt;"",E468&lt;&gt;"!!!"),"NEW","")))</f>
        <v/>
      </c>
      <c r="G468" s="22" t="str">
        <f>IF(OR(E468="",E468="!!!"),"",IF(OR(J468=0,AND(J468=1,K468=1),AND(J468=1,I468="SBJ"),AND(J468=1,I468=0)),"?IN_FOCUS",IF(J468&lt;=2,"?ACTIVATED",IF(J468&lt;&gt;"","?FAMILIAR",IF(F468="NEW",IF(ISNA(VLOOKUP(E468,#REF!,1,FALSE())),"?TYPE_IDENTIFIABLE","?REFERENTIAL"),"_")))))</f>
        <v/>
      </c>
      <c r="H468" s="23" t="str">
        <f t="shared" ca="1" si="53"/>
        <v/>
      </c>
      <c r="I468" s="24" t="str">
        <f>IF(OR(E468="",E468="!!!",F468="NEW"),"",INDEX(B$2:B467,-1+SUMPRODUCT(MAX(ROW(E$2:E467)*(E468=E$2:E467)))))</f>
        <v/>
      </c>
      <c r="J468" s="24" t="str">
        <f ca="1">IF(OR(E468="",E468="!!!",F468="NEW"),"",COUNTBLANK(OFFSET(A$1,,,SUMPRODUCT(MAX(ROW(E$2:E468)*(E468=E$2:E468)))))-COUNTBLANK(OFFSET(A$1,,,SUMPRODUCT(MAX(ROW(E$1:E467)*(E2=E$1:E467))))))</f>
        <v/>
      </c>
      <c r="K468" s="24" t="str">
        <f>IF(OR(E468="",E468="!!!",F468="NEW"),"",INDEX(J$1:J467,SUMPRODUCT(MAX(ROW(E$1:E467)*(E468=E$1:E467)))))</f>
        <v/>
      </c>
      <c r="L468" s="25"/>
    </row>
    <row r="469" spans="1:12" x14ac:dyDescent="0.2">
      <c r="A469" t="s">
        <v>821</v>
      </c>
      <c r="E469" s="20" t="str">
        <f t="shared" si="52"/>
        <v/>
      </c>
      <c r="F469" s="21" t="str">
        <f>IF(OR(E469="",E469="!!!"),"",IF(NOT(ISNA(VLOOKUP(E469,E$1:E468,1,FALSE()))),"OLD",IF(AND(E469&lt;&gt;"",E469&lt;&gt;"!!!"),"NEW","")))</f>
        <v/>
      </c>
      <c r="G469" s="22" t="str">
        <f>IF(OR(E469="",E469="!!!"),"",IF(OR(J469=0,AND(J469=1,K469=1),AND(J469=1,I469="SBJ"),AND(J469=1,I469=0)),"?IN_FOCUS",IF(J469&lt;=2,"?ACTIVATED",IF(J469&lt;&gt;"","?FAMILIAR",IF(F469="NEW",IF(ISNA(VLOOKUP(E469,#REF!,1,FALSE())),"?TYPE_IDENTIFIABLE","?REFERENTIAL"),"_")))))</f>
        <v/>
      </c>
      <c r="H469" s="23" t="str">
        <f t="shared" ca="1" si="53"/>
        <v/>
      </c>
      <c r="I469" s="24" t="str">
        <f>IF(OR(E469="",E469="!!!",F469="NEW"),"",INDEX(B$2:B468,-1+SUMPRODUCT(MAX(ROW(E$2:E468)*(E469=E$2:E468)))))</f>
        <v/>
      </c>
      <c r="J469" s="24" t="str">
        <f ca="1">IF(OR(E469="",E469="!!!",F469="NEW"),"",COUNTBLANK(OFFSET(A$1,,,SUMPRODUCT(MAX(ROW(E$2:E469)*(E469=E$2:E469)))))-COUNTBLANK(OFFSET(A$1,,,SUMPRODUCT(MAX(ROW(E$1:E468)*(E2=E$1:E468))))))</f>
        <v/>
      </c>
      <c r="K469" s="24" t="str">
        <f>IF(OR(E469="",E469="!!!",F469="NEW"),"",INDEX(J$1:J468,SUMPRODUCT(MAX(ROW(E$1:E468)*(E469=E$1:E468)))))</f>
        <v/>
      </c>
      <c r="L469" s="25"/>
    </row>
    <row r="470" spans="1:12" x14ac:dyDescent="0.2">
      <c r="A470" t="s">
        <v>902</v>
      </c>
      <c r="E470" s="20" t="str">
        <f t="shared" si="52"/>
        <v/>
      </c>
      <c r="F470" s="21" t="str">
        <f>IF(OR(E470="",E470="!!!"),"",IF(NOT(ISNA(VLOOKUP(E470,E$1:E469,1,FALSE()))),"OLD",IF(AND(E470&lt;&gt;"",E470&lt;&gt;"!!!"),"NEW","")))</f>
        <v/>
      </c>
      <c r="G470" s="22" t="str">
        <f>IF(OR(E470="",E470="!!!"),"",IF(OR(J470=0,AND(J470=1,K470=1),AND(J470=1,I470="SBJ"),AND(J470=1,I470=0)),"?IN_FOCUS",IF(J470&lt;=2,"?ACTIVATED",IF(J470&lt;&gt;"","?FAMILIAR",IF(F470="NEW",IF(ISNA(VLOOKUP(E470,#REF!,1,FALSE())),"?TYPE_IDENTIFIABLE","?REFERENTIAL"),"_")))))</f>
        <v/>
      </c>
      <c r="H470" s="23" t="str">
        <f t="shared" ca="1" si="53"/>
        <v/>
      </c>
      <c r="I470" s="24" t="str">
        <f>IF(OR(E470="",E470="!!!",F470="NEW"),"",INDEX(B$2:B469,-1+SUMPRODUCT(MAX(ROW(E$2:E469)*(E470=E$2:E469)))))</f>
        <v/>
      </c>
      <c r="J470" s="24" t="str">
        <f ca="1">IF(OR(E470="",E470="!!!",F470="NEW"),"",COUNTBLANK(OFFSET(A$1,,,SUMPRODUCT(MAX(ROW(E$2:E470)*(E470=E$2:E470)))))-COUNTBLANK(OFFSET(A$1,,,SUMPRODUCT(MAX(ROW(E$1:E469)*(E2=E$1:E469))))))</f>
        <v/>
      </c>
      <c r="K470" s="24" t="str">
        <f>IF(OR(E470="",E470="!!!",F470="NEW"),"",INDEX(J$1:J469,SUMPRODUCT(MAX(ROW(E$1:E469)*(E470=E$1:E469)))))</f>
        <v/>
      </c>
      <c r="L470" s="25"/>
    </row>
    <row r="472" spans="1:12" x14ac:dyDescent="0.2">
      <c r="A472" t="s">
        <v>900</v>
      </c>
      <c r="E472" s="20" t="str">
        <f>IF(D472="?OLD","!!!","")</f>
        <v/>
      </c>
      <c r="F472" s="21" t="str">
        <f>IF(OR(E472="",E472="!!!"),"",IF(NOT(ISNA(VLOOKUP(E472,E$1:E471,1,FALSE()))),"OLD",IF(AND(E472&lt;&gt;"",E472&lt;&gt;"!!!"),"NEW","")))</f>
        <v/>
      </c>
      <c r="G472" s="22" t="str">
        <f>IF(OR(E472="",E472="!!!"),"",IF(OR(J472=0,AND(J472=1,K472=1),AND(J472=1,I472="SBJ"),AND(J472=1,I472=0)),"?IN_FOCUS",IF(J472&lt;=2,"?ACTIVATED",IF(J472&lt;&gt;"","?FAMILIAR",IF(F472="NEW",IF(ISNA(VLOOKUP(E472,#REF!,1,FALSE())),"?TYPE_IDENTIFIABLE","?REFERENTIAL"),"_")))))</f>
        <v/>
      </c>
      <c r="H472" s="23" t="str">
        <f ca="1">IF(J472&lt;&gt;1,"",IF(I472="SBJ","CB","?"))</f>
        <v/>
      </c>
      <c r="I472" s="24" t="str">
        <f>IF(OR(E472="",E472="!!!",F472="NEW"),"",INDEX(B$2:B471,-1+SUMPRODUCT(MAX(ROW(E$2:E471)*(E472=E$2:E471)))))</f>
        <v/>
      </c>
      <c r="J472" s="24" t="str">
        <f ca="1">IF(OR(E472="",E472="!!!",F472="NEW"),"",COUNTBLANK(OFFSET(A$1,,,SUMPRODUCT(MAX(ROW(E$2:E472)*(E472=E$2:E472)))))-COUNTBLANK(OFFSET(A$1,,,SUMPRODUCT(MAX(ROW(E$1:E471)*(E2=E$1:E471))))))</f>
        <v/>
      </c>
      <c r="K472" s="24" t="str">
        <f>IF(OR(E472="",E472="!!!",F472="NEW"),"",INDEX(J$1:J471,SUMPRODUCT(MAX(ROW(E$1:E471)*(E472=E$1:E471)))))</f>
        <v/>
      </c>
      <c r="L472" s="25"/>
    </row>
    <row r="473" spans="1:12" x14ac:dyDescent="0.2">
      <c r="A473" t="s">
        <v>1033</v>
      </c>
    </row>
    <row r="474" spans="1:12" x14ac:dyDescent="0.2">
      <c r="A474" t="s">
        <v>1034</v>
      </c>
      <c r="E474" s="20" t="str">
        <f t="shared" ref="E474:E487" si="54">IF(D474="?OLD","!!!","")</f>
        <v/>
      </c>
      <c r="F474" s="21" t="str">
        <f>IF(OR(E474="",E474="!!!"),"",IF(NOT(ISNA(VLOOKUP(E474,E$1:E473,1,FALSE()))),"OLD",IF(AND(E474&lt;&gt;"",E474&lt;&gt;"!!!"),"NEW","")))</f>
        <v/>
      </c>
      <c r="G474" s="22" t="str">
        <f>IF(OR(E474="",E474="!!!"),"",IF(OR(J474=0,AND(J474=1,K474=1),AND(J474=1,I474="SBJ"),AND(J474=1,I474=0)),"?IN_FOCUS",IF(J474&lt;=2,"?ACTIVATED",IF(J474&lt;&gt;"","?FAMILIAR",IF(F474="NEW",IF(ISNA(VLOOKUP(E474,#REF!,1,FALSE())),"?TYPE_IDENTIFIABLE","?REFERENTIAL"),"_")))))</f>
        <v/>
      </c>
      <c r="H474" s="23" t="str">
        <f t="shared" ref="H474:H487" ca="1" si="55">IF(J474&lt;&gt;1,"",IF(I474="SBJ","CB","?"))</f>
        <v/>
      </c>
      <c r="I474" s="24" t="str">
        <f>IF(OR(E474="",E474="!!!",F474="NEW"),"",INDEX(B$2:B473,-1+SUMPRODUCT(MAX(ROW(E$2:E473)*(E474=E$2:E473)))))</f>
        <v/>
      </c>
      <c r="J474" s="24" t="str">
        <f ca="1">IF(OR(E474="",E474="!!!",F474="NEW"),"",COUNTBLANK(OFFSET(A$1,,,SUMPRODUCT(MAX(ROW(E$2:E474)*(E474=E$2:E474)))))-COUNTBLANK(OFFSET(A$1,,,SUMPRODUCT(MAX(ROW(E$1:E473)*(E2=E$1:E473))))))</f>
        <v/>
      </c>
      <c r="K474" s="24" t="str">
        <f>IF(OR(E474="",E474="!!!",F474="NEW"),"",INDEX(J$1:J473,SUMPRODUCT(MAX(ROW(E$1:E473)*(E474=E$1:E473)))))</f>
        <v/>
      </c>
      <c r="L474" s="25"/>
    </row>
    <row r="475" spans="1:12" x14ac:dyDescent="0.2">
      <c r="A475" t="s">
        <v>1035</v>
      </c>
      <c r="E475" s="20" t="str">
        <f t="shared" si="54"/>
        <v/>
      </c>
      <c r="F475" s="21" t="str">
        <f>IF(OR(E475="",E475="!!!"),"",IF(NOT(ISNA(VLOOKUP(E475,E$1:E474,1,FALSE()))),"OLD",IF(AND(E475&lt;&gt;"",E475&lt;&gt;"!!!"),"NEW","")))</f>
        <v/>
      </c>
      <c r="G475" s="22" t="str">
        <f>IF(OR(E475="",E475="!!!"),"",IF(OR(J475=0,AND(J475=1,K475=1),AND(J475=1,I475="SBJ"),AND(J475=1,I475=0)),"?IN_FOCUS",IF(J475&lt;=2,"?ACTIVATED",IF(J475&lt;&gt;"","?FAMILIAR",IF(F475="NEW",IF(ISNA(VLOOKUP(E475,#REF!,1,FALSE())),"?TYPE_IDENTIFIABLE","?REFERENTIAL"),"_")))))</f>
        <v/>
      </c>
      <c r="H475" s="23" t="str">
        <f t="shared" ca="1" si="55"/>
        <v/>
      </c>
      <c r="I475" s="24" t="str">
        <f>IF(OR(E475="",E475="!!!",F475="NEW"),"",INDEX(B$2:B474,-1+SUMPRODUCT(MAX(ROW(E$2:E474)*(E475=E$2:E474)))))</f>
        <v/>
      </c>
      <c r="J475" s="24" t="str">
        <f ca="1">IF(OR(E475="",E475="!!!",F475="NEW"),"",COUNTBLANK(OFFSET(A$1,,,SUMPRODUCT(MAX(ROW(E$2:E475)*(E475=E$2:E475)))))-COUNTBLANK(OFFSET(A$1,,,SUMPRODUCT(MAX(ROW(E$1:E474)*(E2=E$1:E474))))))</f>
        <v/>
      </c>
      <c r="K475" s="24" t="str">
        <f>IF(OR(E475="",E475="!!!",F475="NEW"),"",INDEX(J$1:J474,SUMPRODUCT(MAX(ROW(E$1:E474)*(E475=E$1:E474)))))</f>
        <v/>
      </c>
      <c r="L475" s="25"/>
    </row>
    <row r="476" spans="1:12" x14ac:dyDescent="0.2">
      <c r="A476" t="s">
        <v>1024</v>
      </c>
      <c r="B476" s="26" t="s">
        <v>804</v>
      </c>
      <c r="C476" s="26" t="s">
        <v>805</v>
      </c>
      <c r="D476" s="26" t="s">
        <v>806</v>
      </c>
      <c r="E476" s="20" t="s">
        <v>1760</v>
      </c>
      <c r="F476" s="21" t="str">
        <f>IF(OR(E476="",E476="!!!"),"",IF(NOT(ISNA(VLOOKUP(E476,E$1:E475,1,FALSE()))),"OLD",IF(AND(E476&lt;&gt;"",E476&lt;&gt;"!!!"),"NEW","")))</f>
        <v>OLD</v>
      </c>
      <c r="G476" s="22" t="s">
        <v>1823</v>
      </c>
      <c r="H476" s="23" t="str">
        <f t="shared" ca="1" si="55"/>
        <v/>
      </c>
      <c r="I476" s="24" t="str">
        <f>IF(OR(E476="",E476="!!!",F476="NEW"),"",INDEX(B$2:B475,-1+SUMPRODUCT(MAX(ROW(E$2:E475)*(E476=E$2:E475)))))</f>
        <v>SBJ</v>
      </c>
      <c r="J476" s="24">
        <f ca="1">IF(OR(E476="",E476="!!!",F476="NEW"),"",COUNTBLANK(OFFSET(A$1,,,SUMPRODUCT(MAX(ROW(E$2:E476)*(E476=E$2:E476)))))-COUNTBLANK(OFFSET(A$1,,,SUMPRODUCT(MAX(ROW(E$1:E475)*(E2=E$1:E475))))))</f>
        <v>0</v>
      </c>
      <c r="K476" s="24">
        <f ca="1">IF(OR(E476="",E476="!!!",F476="NEW"),"",INDEX(J$1:J475,SUMPRODUCT(MAX(ROW(E$1:E475)*(E476=E$1:E475)))))</f>
        <v>0</v>
      </c>
      <c r="L476" s="25"/>
    </row>
    <row r="477" spans="1:12" x14ac:dyDescent="0.2">
      <c r="A477" t="s">
        <v>1036</v>
      </c>
      <c r="E477" s="20" t="str">
        <f t="shared" si="54"/>
        <v/>
      </c>
      <c r="F477" s="21" t="str">
        <f>IF(OR(E477="",E477="!!!"),"",IF(NOT(ISNA(VLOOKUP(E477,E$1:E476,1,FALSE()))),"OLD",IF(AND(E477&lt;&gt;"",E477&lt;&gt;"!!!"),"NEW","")))</f>
        <v/>
      </c>
      <c r="G477" s="22" t="str">
        <f>IF(OR(E477="",E477="!!!"),"",IF(OR(J477=0,AND(J477=1,K477=1),AND(J477=1,I477="SBJ"),AND(J477=1,I477=0)),"?IN_FOCUS",IF(J477&lt;=2,"?ACTIVATED",IF(J477&lt;&gt;"","?FAMILIAR",IF(F477="NEW",IF(ISNA(VLOOKUP(E477,#REF!,1,FALSE())),"?TYPE_IDENTIFIABLE","?REFERENTIAL"),"_")))))</f>
        <v/>
      </c>
      <c r="H477" s="23" t="str">
        <f t="shared" ca="1" si="55"/>
        <v/>
      </c>
      <c r="I477" s="24" t="str">
        <f>IF(OR(E477="",E477="!!!",F477="NEW"),"",INDEX(B$2:B476,-1+SUMPRODUCT(MAX(ROW(E$2:E476)*(E477=E$2:E476)))))</f>
        <v/>
      </c>
      <c r="J477" s="24" t="str">
        <f ca="1">IF(OR(E477="",E477="!!!",F477="NEW"),"",COUNTBLANK(OFFSET(A$1,,,SUMPRODUCT(MAX(ROW(E$2:E477)*(E477=E$2:E477)))))-COUNTBLANK(OFFSET(A$1,,,SUMPRODUCT(MAX(ROW(E$1:E476)*(E2=E$1:E476))))))</f>
        <v/>
      </c>
      <c r="K477" s="24" t="str">
        <f>IF(OR(E477="",E477="!!!",F477="NEW"),"",INDEX(J$1:J476,SUMPRODUCT(MAX(ROW(E$1:E476)*(E477=E$1:E476)))))</f>
        <v/>
      </c>
      <c r="L477" s="25"/>
    </row>
    <row r="478" spans="1:12" x14ac:dyDescent="0.2">
      <c r="A478" t="s">
        <v>802</v>
      </c>
      <c r="E478" s="20" t="str">
        <f t="shared" si="54"/>
        <v/>
      </c>
      <c r="F478" s="21" t="str">
        <f>IF(OR(E478="",E478="!!!"),"",IF(NOT(ISNA(VLOOKUP(E478,E$1:E477,1,FALSE()))),"OLD",IF(AND(E478&lt;&gt;"",E478&lt;&gt;"!!!"),"NEW","")))</f>
        <v/>
      </c>
      <c r="G478" s="22" t="str">
        <f>IF(OR(E478="",E478="!!!"),"",IF(OR(J478=0,AND(J478=1,K478=1),AND(J478=1,I478="SBJ"),AND(J478=1,I478=0)),"?IN_FOCUS",IF(J478&lt;=2,"?ACTIVATED",IF(J478&lt;&gt;"","?FAMILIAR",IF(F478="NEW",IF(ISNA(VLOOKUP(E478,#REF!,1,FALSE())),"?TYPE_IDENTIFIABLE","?REFERENTIAL"),"_")))))</f>
        <v/>
      </c>
      <c r="H478" s="23" t="str">
        <f t="shared" ca="1" si="55"/>
        <v/>
      </c>
      <c r="I478" s="24" t="str">
        <f>IF(OR(E478="",E478="!!!",F478="NEW"),"",INDEX(B$2:B477,-1+SUMPRODUCT(MAX(ROW(E$2:E477)*(E478=E$2:E477)))))</f>
        <v/>
      </c>
      <c r="J478" s="24" t="str">
        <f ca="1">IF(OR(E478="",E478="!!!",F478="NEW"),"",COUNTBLANK(OFFSET(A$1,,,SUMPRODUCT(MAX(ROW(E$2:E478)*(E478=E$2:E478)))))-COUNTBLANK(OFFSET(A$1,,,SUMPRODUCT(MAX(ROW(E$1:E477)*(E2=E$1:E477))))))</f>
        <v/>
      </c>
      <c r="K478" s="24" t="str">
        <f>IF(OR(E478="",E478="!!!",F478="NEW"),"",INDEX(J$1:J477,SUMPRODUCT(MAX(ROW(E$1:E477)*(E478=E$1:E477)))))</f>
        <v/>
      </c>
      <c r="L478" s="25"/>
    </row>
    <row r="479" spans="1:12" x14ac:dyDescent="0.2">
      <c r="A479" t="s">
        <v>902</v>
      </c>
      <c r="E479" s="20" t="str">
        <f t="shared" si="54"/>
        <v/>
      </c>
      <c r="F479" s="21" t="str">
        <f>IF(OR(E479="",E479="!!!"),"",IF(NOT(ISNA(VLOOKUP(E479,E$1:E478,1,FALSE()))),"OLD",IF(AND(E479&lt;&gt;"",E479&lt;&gt;"!!!"),"NEW","")))</f>
        <v/>
      </c>
      <c r="G479" s="22" t="str">
        <f>IF(OR(E479="",E479="!!!"),"",IF(OR(J479=0,AND(J479=1,K479=1),AND(J479=1,I479="SBJ"),AND(J479=1,I479=0)),"?IN_FOCUS",IF(J479&lt;=2,"?ACTIVATED",IF(J479&lt;&gt;"","?FAMILIAR",IF(F479="NEW",IF(ISNA(VLOOKUP(E479,#REF!,1,FALSE())),"?TYPE_IDENTIFIABLE","?REFERENTIAL"),"_")))))</f>
        <v/>
      </c>
      <c r="H479" s="23" t="str">
        <f t="shared" ca="1" si="55"/>
        <v/>
      </c>
      <c r="I479" s="24" t="str">
        <f>IF(OR(E479="",E479="!!!",F479="NEW"),"",INDEX(B$2:B478,-1+SUMPRODUCT(MAX(ROW(E$2:E478)*(E479=E$2:E478)))))</f>
        <v/>
      </c>
      <c r="J479" s="24" t="str">
        <f ca="1">IF(OR(E479="",E479="!!!",F479="NEW"),"",COUNTBLANK(OFFSET(A$1,,,SUMPRODUCT(MAX(ROW(E$2:E479)*(E479=E$2:E479)))))-COUNTBLANK(OFFSET(A$1,,,SUMPRODUCT(MAX(ROW(E$1:E478)*(E2=E$1:E478))))))</f>
        <v/>
      </c>
      <c r="K479" s="24" t="str">
        <f>IF(OR(E479="",E479="!!!",F479="NEW"),"",INDEX(J$1:J478,SUMPRODUCT(MAX(ROW(E$1:E478)*(E479=E$1:E478)))))</f>
        <v/>
      </c>
      <c r="L479" s="25"/>
    </row>
    <row r="480" spans="1:12" x14ac:dyDescent="0.2">
      <c r="A480" t="s">
        <v>1026</v>
      </c>
      <c r="B480" s="26" t="s">
        <v>950</v>
      </c>
      <c r="C480" s="26" t="s">
        <v>805</v>
      </c>
      <c r="D480" s="26" t="s">
        <v>806</v>
      </c>
      <c r="E480" s="20" t="s">
        <v>1759</v>
      </c>
      <c r="F480" s="21" t="str">
        <f>IF(OR(E480="",E480="!!!"),"",IF(NOT(ISNA(VLOOKUP(E480,E$1:E479,1,FALSE()))),"OLD",IF(AND(E480&lt;&gt;"",E480&lt;&gt;"!!!"),"NEW","")))</f>
        <v>OLD</v>
      </c>
      <c r="G480" s="22" t="s">
        <v>1823</v>
      </c>
      <c r="H480" s="23" t="str">
        <f t="shared" ca="1" si="55"/>
        <v/>
      </c>
      <c r="I480" s="24" t="str">
        <f>IF(OR(E480="",E480="!!!",F480="NEW"),"",INDEX(B$2:B479,-1+SUMPRODUCT(MAX(ROW(E$2:E479)*(E480=E$2:E479)))))</f>
        <v>SBJ_2</v>
      </c>
      <c r="J480" s="24">
        <f ca="1">IF(OR(E480="",E480="!!!",F480="NEW"),"",COUNTBLANK(OFFSET(A$1,,,SUMPRODUCT(MAX(ROW(E$2:E480)*(E480=E$2:E480)))))-COUNTBLANK(OFFSET(A$1,,,SUMPRODUCT(MAX(ROW(E$1:E479)*(E2=E$1:E479))))))</f>
        <v>0</v>
      </c>
      <c r="K480" s="24">
        <f ca="1">IF(OR(E480="",E480="!!!",F480="NEW"),"",INDEX(J$1:J479,SUMPRODUCT(MAX(ROW(E$1:E479)*(E480=E$1:E479)))))</f>
        <v>0</v>
      </c>
      <c r="L480" s="25"/>
    </row>
    <row r="481" spans="1:12" x14ac:dyDescent="0.2">
      <c r="A481" t="s">
        <v>977</v>
      </c>
      <c r="E481" s="20" t="str">
        <f t="shared" si="54"/>
        <v/>
      </c>
      <c r="F481" s="21" t="str">
        <f>IF(OR(E481="",E481="!!!"),"",IF(NOT(ISNA(VLOOKUP(E481,E$1:E480,1,FALSE()))),"OLD",IF(AND(E481&lt;&gt;"",E481&lt;&gt;"!!!"),"NEW","")))</f>
        <v/>
      </c>
      <c r="G481" s="22" t="str">
        <f>IF(OR(E481="",E481="!!!"),"",IF(OR(J481=0,AND(J481=1,K481=1),AND(J481=1,I481="SBJ"),AND(J481=1,I481=0)),"?IN_FOCUS",IF(J481&lt;=2,"?ACTIVATED",IF(J481&lt;&gt;"","?FAMILIAR",IF(F481="NEW",IF(ISNA(VLOOKUP(E481,#REF!,1,FALSE())),"?TYPE_IDENTIFIABLE","?REFERENTIAL"),"_")))))</f>
        <v/>
      </c>
      <c r="H481" s="23" t="str">
        <f t="shared" ca="1" si="55"/>
        <v/>
      </c>
      <c r="I481" s="24" t="str">
        <f>IF(OR(E481="",E481="!!!",F481="NEW"),"",INDEX(B$2:B480,-1+SUMPRODUCT(MAX(ROW(E$2:E480)*(E481=E$2:E480)))))</f>
        <v/>
      </c>
      <c r="J481" s="24" t="str">
        <f ca="1">IF(OR(E481="",E481="!!!",F481="NEW"),"",COUNTBLANK(OFFSET(A$1,,,SUMPRODUCT(MAX(ROW(E$2:E481)*(E481=E$2:E481)))))-COUNTBLANK(OFFSET(A$1,,,SUMPRODUCT(MAX(ROW(E$1:E480)*(E2=E$1:E480))))))</f>
        <v/>
      </c>
      <c r="K481" s="24" t="str">
        <f>IF(OR(E481="",E481="!!!",F481="NEW"),"",INDEX(J$1:J480,SUMPRODUCT(MAX(ROW(E$1:E480)*(E481=E$1:E480)))))</f>
        <v/>
      </c>
      <c r="L481" s="25"/>
    </row>
    <row r="482" spans="1:12" x14ac:dyDescent="0.2">
      <c r="A482" t="s">
        <v>1037</v>
      </c>
      <c r="E482" s="20" t="str">
        <f t="shared" si="54"/>
        <v/>
      </c>
      <c r="F482" s="21" t="str">
        <f>IF(OR(E482="",E482="!!!"),"",IF(NOT(ISNA(VLOOKUP(E482,E$1:E481,1,FALSE()))),"OLD",IF(AND(E482&lt;&gt;"",E482&lt;&gt;"!!!"),"NEW","")))</f>
        <v/>
      </c>
      <c r="G482" s="22" t="str">
        <f>IF(OR(E482="",E482="!!!"),"",IF(OR(J482=0,AND(J482=1,K482=1),AND(J482=1,I482="SBJ"),AND(J482=1,I482=0)),"?IN_FOCUS",IF(J482&lt;=2,"?ACTIVATED",IF(J482&lt;&gt;"","?FAMILIAR",IF(F482="NEW",IF(ISNA(VLOOKUP(E482,#REF!,1,FALSE())),"?TYPE_IDENTIFIABLE","?REFERENTIAL"),"_")))))</f>
        <v/>
      </c>
      <c r="H482" s="23" t="str">
        <f t="shared" ca="1" si="55"/>
        <v/>
      </c>
      <c r="I482" s="24" t="str">
        <f>IF(OR(E482="",E482="!!!",F482="NEW"),"",INDEX(B$2:B481,-1+SUMPRODUCT(MAX(ROW(E$2:E481)*(E482=E$2:E481)))))</f>
        <v/>
      </c>
      <c r="J482" s="24" t="str">
        <f ca="1">IF(OR(E482="",E482="!!!",F482="NEW"),"",COUNTBLANK(OFFSET(A$1,,,SUMPRODUCT(MAX(ROW(E$2:E482)*(E482=E$2:E482)))))-COUNTBLANK(OFFSET(A$1,,,SUMPRODUCT(MAX(ROW(E$1:E481)*(E2=E$1:E481))))))</f>
        <v/>
      </c>
      <c r="K482" s="24" t="str">
        <f>IF(OR(E482="",E482="!!!",F482="NEW"),"",INDEX(J$1:J481,SUMPRODUCT(MAX(ROW(E$1:E481)*(E482=E$1:E481)))))</f>
        <v/>
      </c>
      <c r="L482" s="25"/>
    </row>
    <row r="483" spans="1:12" x14ac:dyDescent="0.2">
      <c r="A483" t="s">
        <v>809</v>
      </c>
      <c r="E483" s="20" t="str">
        <f t="shared" si="54"/>
        <v/>
      </c>
      <c r="F483" s="21" t="str">
        <f>IF(OR(E483="",E483="!!!"),"",IF(NOT(ISNA(VLOOKUP(E483,E$1:E482,1,FALSE()))),"OLD",IF(AND(E483&lt;&gt;"",E483&lt;&gt;"!!!"),"NEW","")))</f>
        <v/>
      </c>
      <c r="G483" s="22" t="str">
        <f>IF(OR(E483="",E483="!!!"),"",IF(OR(J483=0,AND(J483=1,K483=1),AND(J483=1,I483="SBJ"),AND(J483=1,I483=0)),"?IN_FOCUS",IF(J483&lt;=2,"?ACTIVATED",IF(J483&lt;&gt;"","?FAMILIAR",IF(F483="NEW",IF(ISNA(VLOOKUP(E483,#REF!,1,FALSE())),"?TYPE_IDENTIFIABLE","?REFERENTIAL"),"_")))))</f>
        <v/>
      </c>
      <c r="H483" s="23" t="str">
        <f t="shared" ca="1" si="55"/>
        <v/>
      </c>
      <c r="I483" s="24" t="str">
        <f>IF(OR(E483="",E483="!!!",F483="NEW"),"",INDEX(B$2:B482,-1+SUMPRODUCT(MAX(ROW(E$2:E482)*(E483=E$2:E482)))))</f>
        <v/>
      </c>
      <c r="J483" s="24" t="str">
        <f ca="1">IF(OR(E483="",E483="!!!",F483="NEW"),"",COUNTBLANK(OFFSET(A$1,,,SUMPRODUCT(MAX(ROW(E$2:E483)*(E483=E$2:E483)))))-COUNTBLANK(OFFSET(A$1,,,SUMPRODUCT(MAX(ROW(E$1:E482)*(E2=E$1:E482))))))</f>
        <v/>
      </c>
      <c r="K483" s="24" t="str">
        <f>IF(OR(E483="",E483="!!!",F483="NEW"),"",INDEX(J$1:J482,SUMPRODUCT(MAX(ROW(E$1:E482)*(E483=E$1:E482)))))</f>
        <v/>
      </c>
      <c r="L483" s="25"/>
    </row>
    <row r="484" spans="1:12" x14ac:dyDescent="0.2">
      <c r="A484" t="s">
        <v>1038</v>
      </c>
      <c r="B484" s="26" t="s">
        <v>819</v>
      </c>
      <c r="C484" s="26" t="s">
        <v>811</v>
      </c>
      <c r="E484" s="20" t="str">
        <f t="shared" si="54"/>
        <v/>
      </c>
      <c r="F484" s="21" t="str">
        <f>IF(OR(E484="",E484="!!!"),"",IF(NOT(ISNA(VLOOKUP(E484,E$1:E483,1,FALSE()))),"OLD",IF(AND(E484&lt;&gt;"",E484&lt;&gt;"!!!"),"NEW","")))</f>
        <v/>
      </c>
      <c r="G484" s="22" t="str">
        <f>IF(OR(E484="",E484="!!!"),"",IF(OR(J484=0,AND(J484=1,K484=1),AND(J484=1,I484="SBJ"),AND(J484=1,I484=0)),"?IN_FOCUS",IF(J484&lt;=2,"?ACTIVATED",IF(J484&lt;&gt;"","?FAMILIAR",IF(F484="NEW",IF(ISNA(VLOOKUP(E484,#REF!,1,FALSE())),"?TYPE_IDENTIFIABLE","?REFERENTIAL"),"_")))))</f>
        <v/>
      </c>
      <c r="H484" s="23" t="str">
        <f t="shared" ca="1" si="55"/>
        <v/>
      </c>
      <c r="I484" s="24" t="str">
        <f>IF(OR(E484="",E484="!!!",F484="NEW"),"",INDEX(B$2:B483,-1+SUMPRODUCT(MAX(ROW(E$2:E483)*(E484=E$2:E483)))))</f>
        <v/>
      </c>
      <c r="J484" s="24" t="str">
        <f ca="1">IF(OR(E484="",E484="!!!",F484="NEW"),"",COUNTBLANK(OFFSET(A$1,,,SUMPRODUCT(MAX(ROW(E$2:E484)*(E484=E$2:E484)))))-COUNTBLANK(OFFSET(A$1,,,SUMPRODUCT(MAX(ROW(E$1:E483)*(E2=E$1:E483))))))</f>
        <v/>
      </c>
      <c r="K484" s="24" t="str">
        <f>IF(OR(E484="",E484="!!!",F484="NEW"),"",INDEX(J$1:J483,SUMPRODUCT(MAX(ROW(E$1:E483)*(E484=E$1:E483)))))</f>
        <v/>
      </c>
      <c r="L484" s="25"/>
    </row>
    <row r="485" spans="1:12" x14ac:dyDescent="0.2">
      <c r="A485" t="s">
        <v>1039</v>
      </c>
      <c r="E485" s="20" t="str">
        <f t="shared" si="54"/>
        <v/>
      </c>
      <c r="F485" s="21" t="str">
        <f>IF(OR(E485="",E485="!!!"),"",IF(NOT(ISNA(VLOOKUP(E485,E$1:E484,1,FALSE()))),"OLD",IF(AND(E485&lt;&gt;"",E485&lt;&gt;"!!!"),"NEW","")))</f>
        <v/>
      </c>
      <c r="G485" s="22" t="str">
        <f>IF(OR(E485="",E485="!!!"),"",IF(OR(J485=0,AND(J485=1,K485=1),AND(J485=1,I485="SBJ"),AND(J485=1,I485=0)),"?IN_FOCUS",IF(J485&lt;=2,"?ACTIVATED",IF(J485&lt;&gt;"","?FAMILIAR",IF(F485="NEW",IF(ISNA(VLOOKUP(E485,#REF!,1,FALSE())),"?TYPE_IDENTIFIABLE","?REFERENTIAL"),"_")))))</f>
        <v/>
      </c>
      <c r="H485" s="23" t="str">
        <f t="shared" ca="1" si="55"/>
        <v/>
      </c>
      <c r="I485" s="24" t="str">
        <f>IF(OR(E485="",E485="!!!",F485="NEW"),"",INDEX(B$2:B484,-1+SUMPRODUCT(MAX(ROW(E$2:E484)*(E485=E$2:E484)))))</f>
        <v/>
      </c>
      <c r="J485" s="24" t="str">
        <f ca="1">IF(OR(E485="",E485="!!!",F485="NEW"),"",COUNTBLANK(OFFSET(A$1,,,SUMPRODUCT(MAX(ROW(E$2:E485)*(E485=E$2:E485)))))-COUNTBLANK(OFFSET(A$1,,,SUMPRODUCT(MAX(ROW(E$1:E484)*(E2=E$1:E484))))))</f>
        <v/>
      </c>
      <c r="K485" s="24" t="str">
        <f>IF(OR(E485="",E485="!!!",F485="NEW"),"",INDEX(J$1:J484,SUMPRODUCT(MAX(ROW(E$1:E484)*(E485=E$1:E484)))))</f>
        <v/>
      </c>
      <c r="L485" s="25"/>
    </row>
    <row r="486" spans="1:12" x14ac:dyDescent="0.2">
      <c r="A486" t="s">
        <v>1040</v>
      </c>
      <c r="E486" s="20" t="str">
        <f t="shared" si="54"/>
        <v/>
      </c>
      <c r="F486" s="21" t="str">
        <f>IF(OR(E486="",E486="!!!"),"",IF(NOT(ISNA(VLOOKUP(E486,E$1:E485,1,FALSE()))),"OLD",IF(AND(E486&lt;&gt;"",E486&lt;&gt;"!!!"),"NEW","")))</f>
        <v/>
      </c>
      <c r="G486" s="22" t="str">
        <f>IF(OR(E486="",E486="!!!"),"",IF(OR(J486=0,AND(J486=1,K486=1),AND(J486=1,I486="SBJ"),AND(J486=1,I486=0)),"?IN_FOCUS",IF(J486&lt;=2,"?ACTIVATED",IF(J486&lt;&gt;"","?FAMILIAR",IF(F486="NEW",IF(ISNA(VLOOKUP(E486,#REF!,1,FALSE())),"?TYPE_IDENTIFIABLE","?REFERENTIAL"),"_")))))</f>
        <v/>
      </c>
      <c r="H486" s="23" t="str">
        <f t="shared" ca="1" si="55"/>
        <v/>
      </c>
      <c r="I486" s="24" t="str">
        <f>IF(OR(E486="",E486="!!!",F486="NEW"),"",INDEX(B$2:B485,-1+SUMPRODUCT(MAX(ROW(E$2:E485)*(E486=E$2:E485)))))</f>
        <v/>
      </c>
      <c r="J486" s="24" t="str">
        <f ca="1">IF(OR(E486="",E486="!!!",F486="NEW"),"",COUNTBLANK(OFFSET(A$1,,,SUMPRODUCT(MAX(ROW(E$2:E486)*(E486=E$2:E486)))))-COUNTBLANK(OFFSET(A$1,,,SUMPRODUCT(MAX(ROW(E$1:E485)*(E2=E$1:E485))))))</f>
        <v/>
      </c>
      <c r="K486" s="24" t="str">
        <f>IF(OR(E486="",E486="!!!",F486="NEW"),"",INDEX(J$1:J485,SUMPRODUCT(MAX(ROW(E$1:E485)*(E486=E$1:E485)))))</f>
        <v/>
      </c>
      <c r="L486" s="25"/>
    </row>
    <row r="487" spans="1:12" x14ac:dyDescent="0.2">
      <c r="A487" t="s">
        <v>821</v>
      </c>
      <c r="E487" s="20" t="str">
        <f t="shared" si="54"/>
        <v/>
      </c>
      <c r="F487" s="21" t="str">
        <f>IF(OR(E487="",E487="!!!"),"",IF(NOT(ISNA(VLOOKUP(E487,E$1:E486,1,FALSE()))),"OLD",IF(AND(E487&lt;&gt;"",E487&lt;&gt;"!!!"),"NEW","")))</f>
        <v/>
      </c>
      <c r="G487" s="22" t="str">
        <f>IF(OR(E487="",E487="!!!"),"",IF(OR(J487=0,AND(J487=1,K487=1),AND(J487=1,I487="SBJ"),AND(J487=1,I487=0)),"?IN_FOCUS",IF(J487&lt;=2,"?ACTIVATED",IF(J487&lt;&gt;"","?FAMILIAR",IF(F487="NEW",IF(ISNA(VLOOKUP(E487,#REF!,1,FALSE())),"?TYPE_IDENTIFIABLE","?REFERENTIAL"),"_")))))</f>
        <v/>
      </c>
      <c r="H487" s="23" t="str">
        <f t="shared" ca="1" si="55"/>
        <v/>
      </c>
      <c r="I487" s="24" t="str">
        <f>IF(OR(E487="",E487="!!!",F487="NEW"),"",INDEX(B$2:B486,-1+SUMPRODUCT(MAX(ROW(E$2:E486)*(E487=E$2:E486)))))</f>
        <v/>
      </c>
      <c r="J487" s="24" t="str">
        <f ca="1">IF(OR(E487="",E487="!!!",F487="NEW"),"",COUNTBLANK(OFFSET(A$1,,,SUMPRODUCT(MAX(ROW(E$2:E487)*(E487=E$2:E487)))))-COUNTBLANK(OFFSET(A$1,,,SUMPRODUCT(MAX(ROW(E$1:E486)*(E2=E$1:E486))))))</f>
        <v/>
      </c>
      <c r="K487" s="24" t="str">
        <f>IF(OR(E487="",E487="!!!",F487="NEW"),"",INDEX(J$1:J486,SUMPRODUCT(MAX(ROW(E$1:E486)*(E487=E$1:E486)))))</f>
        <v/>
      </c>
      <c r="L487" s="25"/>
    </row>
    <row r="489" spans="1:12" x14ac:dyDescent="0.2">
      <c r="A489" t="s">
        <v>1041</v>
      </c>
    </row>
    <row r="490" spans="1:12" x14ac:dyDescent="0.2">
      <c r="A490" t="s">
        <v>827</v>
      </c>
      <c r="E490" s="20" t="str">
        <f>IF(D490="?OLD","!!!","")</f>
        <v/>
      </c>
      <c r="F490" s="21" t="str">
        <f>IF(OR(E490="",E490="!!!"),"",IF(NOT(ISNA(VLOOKUP(E490,E$1:E489,1,FALSE()))),"OLD",IF(AND(E490&lt;&gt;"",E490&lt;&gt;"!!!"),"NEW","")))</f>
        <v/>
      </c>
      <c r="G490" s="22" t="str">
        <f>IF(OR(E490="",E490="!!!"),"",IF(OR(J490=0,AND(J490=1,K490=1),AND(J490=1,I490="SBJ"),AND(J490=1,I490=0)),"?IN_FOCUS",IF(J490&lt;=2,"?ACTIVATED",IF(J490&lt;&gt;"","?FAMILIAR",IF(F490="NEW",IF(ISNA(VLOOKUP(E490,#REF!,1,FALSE())),"?TYPE_IDENTIFIABLE","?REFERENTIAL"),"_")))))</f>
        <v/>
      </c>
      <c r="H490" s="23" t="str">
        <f ca="1">IF(J490&lt;&gt;1,"",IF(I490="SBJ","CB","?"))</f>
        <v/>
      </c>
      <c r="I490" s="24" t="str">
        <f>IF(OR(E490="",E490="!!!",F490="NEW"),"",INDEX(B$2:B489,-1+SUMPRODUCT(MAX(ROW(E$2:E489)*(E490=E$2:E489)))))</f>
        <v/>
      </c>
      <c r="J490" s="24" t="str">
        <f ca="1">IF(OR(E490="",E490="!!!",F490="NEW"),"",COUNTBLANK(OFFSET(A$1,,,SUMPRODUCT(MAX(ROW(E$2:E490)*(E490=E$2:E490)))))-COUNTBLANK(OFFSET(A$1,,,SUMPRODUCT(MAX(ROW(E$1:E489)*(E2=E$1:E489))))))</f>
        <v/>
      </c>
      <c r="K490" s="24" t="str">
        <f>IF(OR(E490="",E490="!!!",F490="NEW"),"",INDEX(J$1:J489,SUMPRODUCT(MAX(ROW(E$1:E489)*(E490=E$1:E489)))))</f>
        <v/>
      </c>
      <c r="L490" s="25"/>
    </row>
    <row r="491" spans="1:12" x14ac:dyDescent="0.2">
      <c r="A491" t="s">
        <v>152</v>
      </c>
      <c r="E491" s="20" t="str">
        <f>IF(D491="?OLD","!!!","")</f>
        <v/>
      </c>
      <c r="F491" s="21" t="str">
        <f>IF(OR(E491="",E491="!!!"),"",IF(NOT(ISNA(VLOOKUP(E491,E$1:E490,1,FALSE()))),"OLD",IF(AND(E491&lt;&gt;"",E491&lt;&gt;"!!!"),"NEW","")))</f>
        <v/>
      </c>
      <c r="G491" s="22" t="str">
        <f>IF(OR(E491="",E491="!!!"),"",IF(OR(J491=0,AND(J491=1,K491=1),AND(J491=1,I491="SBJ"),AND(J491=1,I491=0)),"?IN_FOCUS",IF(J491&lt;=2,"?ACTIVATED",IF(J491&lt;&gt;"","?FAMILIAR",IF(F491="NEW",IF(ISNA(VLOOKUP(E491,#REF!,1,FALSE())),"?TYPE_IDENTIFIABLE","?REFERENTIAL"),"_")))))</f>
        <v/>
      </c>
      <c r="H491" s="23" t="str">
        <f ca="1">IF(J491&lt;&gt;1,"",IF(I491="SBJ","CB","?"))</f>
        <v/>
      </c>
      <c r="I491" s="24" t="str">
        <f>IF(OR(E491="",E491="!!!",F491="NEW"),"",INDEX(B$2:B490,-1+SUMPRODUCT(MAX(ROW(E$2:E490)*(E491=E$2:E490)))))</f>
        <v/>
      </c>
      <c r="J491" s="24" t="str">
        <f ca="1">IF(OR(E491="",E491="!!!",F491="NEW"),"",COUNTBLANK(OFFSET(A$1,,,SUMPRODUCT(MAX(ROW(E$2:E491)*(E491=E$2:E491)))))-COUNTBLANK(OFFSET(A$1,,,SUMPRODUCT(MAX(ROW(E$1:E490)*(E2=E$1:E490))))))</f>
        <v/>
      </c>
      <c r="K491" s="24" t="str">
        <f>IF(OR(E491="",E491="!!!",F491="NEW"),"",INDEX(J$1:J490,SUMPRODUCT(MAX(ROW(E$1:E490)*(E491=E$1:E490)))))</f>
        <v/>
      </c>
      <c r="L491" s="25"/>
    </row>
    <row r="492" spans="1:12" x14ac:dyDescent="0.2">
      <c r="A492" t="s">
        <v>985</v>
      </c>
      <c r="E492" s="20" t="str">
        <f>IF(D492="?OLD","!!!","")</f>
        <v/>
      </c>
      <c r="F492" s="21" t="str">
        <f>IF(OR(E492="",E492="!!!"),"",IF(NOT(ISNA(VLOOKUP(E492,E$1:E491,1,FALSE()))),"OLD",IF(AND(E492&lt;&gt;"",E492&lt;&gt;"!!!"),"NEW","")))</f>
        <v/>
      </c>
      <c r="G492" s="22" t="str">
        <f>IF(OR(E492="",E492="!!!"),"",IF(OR(J492=0,AND(J492=1,K492=1),AND(J492=1,I492="SBJ"),AND(J492=1,I492=0)),"?IN_FOCUS",IF(J492&lt;=2,"?ACTIVATED",IF(J492&lt;&gt;"","?FAMILIAR",IF(F492="NEW",IF(ISNA(VLOOKUP(E492,#REF!,1,FALSE())),"?TYPE_IDENTIFIABLE","?REFERENTIAL"),"_")))))</f>
        <v/>
      </c>
      <c r="H492" s="23" t="str">
        <f ca="1">IF(J492&lt;&gt;1,"",IF(I492="SBJ","CB","?"))</f>
        <v/>
      </c>
      <c r="I492" s="24" t="str">
        <f>IF(OR(E492="",E492="!!!",F492="NEW"),"",INDEX(B$2:B491,-1+SUMPRODUCT(MAX(ROW(E$2:E491)*(E492=E$2:E491)))))</f>
        <v/>
      </c>
      <c r="J492" s="24" t="str">
        <f ca="1">IF(OR(E492="",E492="!!!",F492="NEW"),"",COUNTBLANK(OFFSET(A$1,,,SUMPRODUCT(MAX(ROW(E$2:E492)*(E492=E$2:E492)))))-COUNTBLANK(OFFSET(A$1,,,SUMPRODUCT(MAX(ROW(E$1:E491)*(E2=E$1:E491))))))</f>
        <v/>
      </c>
      <c r="K492" s="24" t="str">
        <f>IF(OR(E492="",E492="!!!",F492="NEW"),"",INDEX(J$1:J491,SUMPRODUCT(MAX(ROW(E$1:E491)*(E492=E$1:E491)))))</f>
        <v/>
      </c>
      <c r="L492" s="25"/>
    </row>
    <row r="493" spans="1:12" x14ac:dyDescent="0.2">
      <c r="A493" t="s">
        <v>137</v>
      </c>
      <c r="B493" s="26" t="s">
        <v>819</v>
      </c>
      <c r="C493" s="26" t="s">
        <v>877</v>
      </c>
      <c r="D493" s="26" t="s">
        <v>806</v>
      </c>
      <c r="E493" s="20" t="s">
        <v>137</v>
      </c>
      <c r="F493" s="21" t="str">
        <f>IF(OR(E493="",E493="!!!"),"",IF(NOT(ISNA(VLOOKUP(E493,E$1:E492,1,FALSE()))),"OLD",IF(AND(E493&lt;&gt;"",E493&lt;&gt;"!!!"),"NEW","")))</f>
        <v>NEW</v>
      </c>
      <c r="G493" s="22" t="s">
        <v>1820</v>
      </c>
      <c r="H493" s="23" t="str">
        <f ca="1">IF(J493&lt;&gt;1,"",IF(I493="SBJ","CB","?"))</f>
        <v/>
      </c>
      <c r="I493" s="24" t="str">
        <f>IF(OR(E493="",E493="!!!",F493="NEW"),"",INDEX(B$2:B492,-1+SUMPRODUCT(MAX(ROW(E$2:E492)*(E493=E$2:E492)))))</f>
        <v/>
      </c>
      <c r="J493" s="24" t="str">
        <f ca="1">IF(OR(E493="",E493="!!!",F493="NEW"),"",COUNTBLANK(OFFSET(A$1,,,SUMPRODUCT(MAX(ROW(E$2:E493)*(E493=E$2:E493)))))-COUNTBLANK(OFFSET(A$1,,,SUMPRODUCT(MAX(ROW(E$1:E492)*(E2=E$1:E492))))))</f>
        <v/>
      </c>
      <c r="K493" s="24" t="str">
        <f>IF(OR(E493="",E493="!!!",F493="NEW"),"",INDEX(J$1:J492,SUMPRODUCT(MAX(ROW(E$1:E492)*(E493=E$1:E492)))))</f>
        <v/>
      </c>
      <c r="L493" s="25"/>
    </row>
    <row r="494" spans="1:12" x14ac:dyDescent="0.2">
      <c r="A494" t="s">
        <v>922</v>
      </c>
      <c r="E494" s="20" t="str">
        <f>IF(D494="?OLD","!!!","")</f>
        <v/>
      </c>
      <c r="F494" s="21" t="str">
        <f>IF(OR(E494="",E494="!!!"),"",IF(NOT(ISNA(VLOOKUP(E494,E$1:E493,1,FALSE()))),"OLD",IF(AND(E494&lt;&gt;"",E494&lt;&gt;"!!!"),"NEW","")))</f>
        <v/>
      </c>
      <c r="G494" s="22" t="str">
        <f>IF(OR(E494="",E494="!!!"),"",IF(OR(J494=0,AND(J494=1,K494=1),AND(J494=1,I494="SBJ"),AND(J494=1,I494=0)),"?IN_FOCUS",IF(J494&lt;=2,"?ACTIVATED",IF(J494&lt;&gt;"","?FAMILIAR",IF(F494="NEW",IF(ISNA(VLOOKUP(E494,#REF!,1,FALSE())),"?TYPE_IDENTIFIABLE","?REFERENTIAL"),"_")))))</f>
        <v/>
      </c>
      <c r="H494" s="23" t="str">
        <f ca="1">IF(J494&lt;&gt;1,"",IF(I494="SBJ","CB","?"))</f>
        <v/>
      </c>
      <c r="I494" s="24" t="str">
        <f>IF(OR(E494="",E494="!!!",F494="NEW"),"",INDEX(B$2:B493,-1+SUMPRODUCT(MAX(ROW(E$2:E493)*(E494=E$2:E493)))))</f>
        <v/>
      </c>
      <c r="J494" s="24" t="str">
        <f ca="1">IF(OR(E494="",E494="!!!",F494="NEW"),"",COUNTBLANK(OFFSET(A$1,,,SUMPRODUCT(MAX(ROW(E$2:E494)*(E494=E$2:E494)))))-COUNTBLANK(OFFSET(A$1,,,SUMPRODUCT(MAX(ROW(E$1:E493)*(E2=E$1:E493))))))</f>
        <v/>
      </c>
      <c r="K494" s="24" t="str">
        <f>IF(OR(E494="",E494="!!!",F494="NEW"),"",INDEX(J$1:J493,SUMPRODUCT(MAX(ROW(E$1:E493)*(E494=E$1:E493)))))</f>
        <v/>
      </c>
      <c r="L494" s="25"/>
    </row>
    <row r="496" spans="1:12" x14ac:dyDescent="0.2">
      <c r="A496" t="s">
        <v>900</v>
      </c>
      <c r="E496" s="20" t="str">
        <f>IF(D496="?OLD","!!!","")</f>
        <v/>
      </c>
      <c r="F496" s="21" t="str">
        <f>IF(OR(E496="",E496="!!!"),"",IF(NOT(ISNA(VLOOKUP(E496,E$1:E495,1,FALSE()))),"OLD",IF(AND(E496&lt;&gt;"",E496&lt;&gt;"!!!"),"NEW","")))</f>
        <v/>
      </c>
      <c r="G496" s="22" t="str">
        <f>IF(OR(E496="",E496="!!!"),"",IF(OR(J496=0,AND(J496=1,K496=1),AND(J496=1,I496="SBJ"),AND(J496=1,I496=0)),"?IN_FOCUS",IF(J496&lt;=2,"?ACTIVATED",IF(J496&lt;&gt;"","?FAMILIAR",IF(F496="NEW",IF(ISNA(VLOOKUP(E496,#REF!,1,FALSE())),"?TYPE_IDENTIFIABLE","?REFERENTIAL"),"_")))))</f>
        <v/>
      </c>
      <c r="H496" s="23" t="str">
        <f ca="1">IF(J496&lt;&gt;1,"",IF(I496="SBJ","CB","?"))</f>
        <v/>
      </c>
      <c r="I496" s="24" t="str">
        <f>IF(OR(E496="",E496="!!!",F496="NEW"),"",INDEX(B$2:B495,-1+SUMPRODUCT(MAX(ROW(E$2:E495)*(E496=E$2:E495)))))</f>
        <v/>
      </c>
      <c r="J496" s="24" t="str">
        <f ca="1">IF(OR(E496="",E496="!!!",F496="NEW"),"",COUNTBLANK(OFFSET(A$1,,,SUMPRODUCT(MAX(ROW(E$2:E496)*(E496=E$2:E496)))))-COUNTBLANK(OFFSET(A$1,,,SUMPRODUCT(MAX(ROW(E$1:E495)*(E2=E$1:E495))))))</f>
        <v/>
      </c>
      <c r="K496" s="24" t="str">
        <f>IF(OR(E496="",E496="!!!",F496="NEW"),"",INDEX(J$1:J495,SUMPRODUCT(MAX(ROW(E$1:E495)*(E496=E$1:E495)))))</f>
        <v/>
      </c>
      <c r="L496" s="25"/>
    </row>
    <row r="497" spans="1:12" x14ac:dyDescent="0.2">
      <c r="A497" t="s">
        <v>1042</v>
      </c>
    </row>
    <row r="498" spans="1:12" x14ac:dyDescent="0.2">
      <c r="A498" t="s">
        <v>1043</v>
      </c>
      <c r="E498" s="20" t="str">
        <f t="shared" ref="E498:E505" si="56">IF(D498="?OLD","!!!","")</f>
        <v/>
      </c>
      <c r="F498" s="21" t="str">
        <f>IF(OR(E498="",E498="!!!"),"",IF(NOT(ISNA(VLOOKUP(E498,E$1:E497,1,FALSE()))),"OLD",IF(AND(E498&lt;&gt;"",E498&lt;&gt;"!!!"),"NEW","")))</f>
        <v/>
      </c>
      <c r="G498" s="22" t="str">
        <f>IF(OR(E498="",E498="!!!"),"",IF(OR(J498=0,AND(J498=1,K498=1),AND(J498=1,I498="SBJ"),AND(J498=1,I498=0)),"?IN_FOCUS",IF(J498&lt;=2,"?ACTIVATED",IF(J498&lt;&gt;"","?FAMILIAR",IF(F498="NEW",IF(ISNA(VLOOKUP(E498,#REF!,1,FALSE())),"?TYPE_IDENTIFIABLE","?REFERENTIAL"),"_")))))</f>
        <v/>
      </c>
      <c r="H498" s="23" t="str">
        <f t="shared" ref="H498:H505" ca="1" si="57">IF(J498&lt;&gt;1,"",IF(I498="SBJ","CB","?"))</f>
        <v/>
      </c>
      <c r="I498" s="24" t="str">
        <f>IF(OR(E498="",E498="!!!",F498="NEW"),"",INDEX(B$2:B497,-1+SUMPRODUCT(MAX(ROW(E$2:E497)*(E498=E$2:E497)))))</f>
        <v/>
      </c>
      <c r="J498" s="24" t="str">
        <f ca="1">IF(OR(E498="",E498="!!!",F498="NEW"),"",COUNTBLANK(OFFSET(A$1,,,SUMPRODUCT(MAX(ROW(E$2:E498)*(E498=E$2:E498)))))-COUNTBLANK(OFFSET(A$1,,,SUMPRODUCT(MAX(ROW(E$1:E497)*(E2=E$1:E497))))))</f>
        <v/>
      </c>
      <c r="K498" s="24" t="str">
        <f>IF(OR(E498="",E498="!!!",F498="NEW"),"",INDEX(J$1:J497,SUMPRODUCT(MAX(ROW(E$1:E497)*(E498=E$1:E497)))))</f>
        <v/>
      </c>
      <c r="L498" s="25"/>
    </row>
    <row r="499" spans="1:12" x14ac:dyDescent="0.2">
      <c r="A499" t="s">
        <v>859</v>
      </c>
      <c r="E499" s="20" t="str">
        <f t="shared" si="56"/>
        <v/>
      </c>
      <c r="F499" s="21" t="str">
        <f>IF(OR(E499="",E499="!!!"),"",IF(NOT(ISNA(VLOOKUP(E499,E$1:E498,1,FALSE()))),"OLD",IF(AND(E499&lt;&gt;"",E499&lt;&gt;"!!!"),"NEW","")))</f>
        <v/>
      </c>
      <c r="G499" s="22" t="str">
        <f>IF(OR(E499="",E499="!!!"),"",IF(OR(J499=0,AND(J499=1,K499=1),AND(J499=1,I499="SBJ"),AND(J499=1,I499=0)),"?IN_FOCUS",IF(J499&lt;=2,"?ACTIVATED",IF(J499&lt;&gt;"","?FAMILIAR",IF(F499="NEW",IF(ISNA(VLOOKUP(E499,#REF!,1,FALSE())),"?TYPE_IDENTIFIABLE","?REFERENTIAL"),"_")))))</f>
        <v/>
      </c>
      <c r="H499" s="23" t="str">
        <f t="shared" ca="1" si="57"/>
        <v/>
      </c>
      <c r="I499" s="24" t="str">
        <f>IF(OR(E499="",E499="!!!",F499="NEW"),"",INDEX(B$2:B498,-1+SUMPRODUCT(MAX(ROW(E$2:E498)*(E499=E$2:E498)))))</f>
        <v/>
      </c>
      <c r="J499" s="24" t="str">
        <f ca="1">IF(OR(E499="",E499="!!!",F499="NEW"),"",COUNTBLANK(OFFSET(A$1,,,SUMPRODUCT(MAX(ROW(E$2:E499)*(E499=E$2:E499)))))-COUNTBLANK(OFFSET(A$1,,,SUMPRODUCT(MAX(ROW(E$1:E498)*(E2=E$1:E498))))))</f>
        <v/>
      </c>
      <c r="K499" s="24" t="str">
        <f>IF(OR(E499="",E499="!!!",F499="NEW"),"",INDEX(J$1:J498,SUMPRODUCT(MAX(ROW(E$1:E498)*(E499=E$1:E498)))))</f>
        <v/>
      </c>
      <c r="L499" s="25"/>
    </row>
    <row r="500" spans="1:12" x14ac:dyDescent="0.2">
      <c r="A500" t="s">
        <v>829</v>
      </c>
      <c r="E500" s="20" t="str">
        <f t="shared" si="56"/>
        <v/>
      </c>
      <c r="F500" s="21" t="str">
        <f>IF(OR(E500="",E500="!!!"),"",IF(NOT(ISNA(VLOOKUP(E500,E$1:E499,1,FALSE()))),"OLD",IF(AND(E500&lt;&gt;"",E500&lt;&gt;"!!!"),"NEW","")))</f>
        <v/>
      </c>
      <c r="G500" s="22" t="str">
        <f>IF(OR(E500="",E500="!!!"),"",IF(OR(J500=0,AND(J500=1,K500=1),AND(J500=1,I500="SBJ"),AND(J500=1,I500=0)),"?IN_FOCUS",IF(J500&lt;=2,"?ACTIVATED",IF(J500&lt;&gt;"","?FAMILIAR",IF(F500="NEW",IF(ISNA(VLOOKUP(E500,#REF!,1,FALSE())),"?TYPE_IDENTIFIABLE","?REFERENTIAL"),"_")))))</f>
        <v/>
      </c>
      <c r="H500" s="23" t="str">
        <f t="shared" ca="1" si="57"/>
        <v/>
      </c>
      <c r="I500" s="24" t="str">
        <f>IF(OR(E500="",E500="!!!",F500="NEW"),"",INDEX(B$2:B499,-1+SUMPRODUCT(MAX(ROW(E$2:E499)*(E500=E$2:E499)))))</f>
        <v/>
      </c>
      <c r="J500" s="24" t="str">
        <f ca="1">IF(OR(E500="",E500="!!!",F500="NEW"),"",COUNTBLANK(OFFSET(A$1,,,SUMPRODUCT(MAX(ROW(E$2:E500)*(E500=E$2:E500)))))-COUNTBLANK(OFFSET(A$1,,,SUMPRODUCT(MAX(ROW(E$1:E499)*(E2=E$1:E499))))))</f>
        <v/>
      </c>
      <c r="K500" s="24" t="str">
        <f>IF(OR(E500="",E500="!!!",F500="NEW"),"",INDEX(J$1:J499,SUMPRODUCT(MAX(ROW(E$1:E499)*(E500=E$1:E499)))))</f>
        <v/>
      </c>
      <c r="L500" s="25"/>
    </row>
    <row r="501" spans="1:12" x14ac:dyDescent="0.2">
      <c r="A501" t="s">
        <v>802</v>
      </c>
      <c r="E501" s="20" t="str">
        <f t="shared" si="56"/>
        <v/>
      </c>
      <c r="F501" s="21" t="str">
        <f>IF(OR(E501="",E501="!!!"),"",IF(NOT(ISNA(VLOOKUP(E501,E$1:E500,1,FALSE()))),"OLD",IF(AND(E501&lt;&gt;"",E501&lt;&gt;"!!!"),"NEW","")))</f>
        <v/>
      </c>
      <c r="G501" s="22" t="str">
        <f>IF(OR(E501="",E501="!!!"),"",IF(OR(J501=0,AND(J501=1,K501=1),AND(J501=1,I501="SBJ"),AND(J501=1,I501=0)),"?IN_FOCUS",IF(J501&lt;=2,"?ACTIVATED",IF(J501&lt;&gt;"","?FAMILIAR",IF(F501="NEW",IF(ISNA(VLOOKUP(E501,#REF!,1,FALSE())),"?TYPE_IDENTIFIABLE","?REFERENTIAL"),"_")))))</f>
        <v/>
      </c>
      <c r="H501" s="23" t="str">
        <f t="shared" ca="1" si="57"/>
        <v/>
      </c>
      <c r="I501" s="24" t="str">
        <f>IF(OR(E501="",E501="!!!",F501="NEW"),"",INDEX(B$2:B500,-1+SUMPRODUCT(MAX(ROW(E$2:E500)*(E501=E$2:E500)))))</f>
        <v/>
      </c>
      <c r="J501" s="24" t="str">
        <f ca="1">IF(OR(E501="",E501="!!!",F501="NEW"),"",COUNTBLANK(OFFSET(A$1,,,SUMPRODUCT(MAX(ROW(E$2:E501)*(E501=E$2:E501)))))-COUNTBLANK(OFFSET(A$1,,,SUMPRODUCT(MAX(ROW(E$1:E500)*(E2=E$1:E500))))))</f>
        <v/>
      </c>
      <c r="K501" s="24" t="str">
        <f>IF(OR(E501="",E501="!!!",F501="NEW"),"",INDEX(J$1:J500,SUMPRODUCT(MAX(ROW(E$1:E500)*(E501=E$1:E500)))))</f>
        <v/>
      </c>
      <c r="L501" s="25"/>
    </row>
    <row r="502" spans="1:12" x14ac:dyDescent="0.2">
      <c r="A502" t="s">
        <v>902</v>
      </c>
      <c r="E502" s="20" t="str">
        <f t="shared" si="56"/>
        <v/>
      </c>
      <c r="F502" s="21" t="str">
        <f>IF(OR(E502="",E502="!!!"),"",IF(NOT(ISNA(VLOOKUP(E502,E$1:E501,1,FALSE()))),"OLD",IF(AND(E502&lt;&gt;"",E502&lt;&gt;"!!!"),"NEW","")))</f>
        <v/>
      </c>
      <c r="G502" s="22" t="str">
        <f>IF(OR(E502="",E502="!!!"),"",IF(OR(J502=0,AND(J502=1,K502=1),AND(J502=1,I502="SBJ"),AND(J502=1,I502=0)),"?IN_FOCUS",IF(J502&lt;=2,"?ACTIVATED",IF(J502&lt;&gt;"","?FAMILIAR",IF(F502="NEW",IF(ISNA(VLOOKUP(E502,#REF!,1,FALSE())),"?TYPE_IDENTIFIABLE","?REFERENTIAL"),"_")))))</f>
        <v/>
      </c>
      <c r="H502" s="23" t="str">
        <f t="shared" ca="1" si="57"/>
        <v/>
      </c>
      <c r="I502" s="24" t="str">
        <f>IF(OR(E502="",E502="!!!",F502="NEW"),"",INDEX(B$2:B501,-1+SUMPRODUCT(MAX(ROW(E$2:E501)*(E502=E$2:E501)))))</f>
        <v/>
      </c>
      <c r="J502" s="24" t="str">
        <f ca="1">IF(OR(E502="",E502="!!!",F502="NEW"),"",COUNTBLANK(OFFSET(A$1,,,SUMPRODUCT(MAX(ROW(E$2:E502)*(E502=E$2:E502)))))-COUNTBLANK(OFFSET(A$1,,,SUMPRODUCT(MAX(ROW(E$1:E501)*(E2=E$1:E501))))))</f>
        <v/>
      </c>
      <c r="K502" s="24" t="str">
        <f>IF(OR(E502="",E502="!!!",F502="NEW"),"",INDEX(J$1:J501,SUMPRODUCT(MAX(ROW(E$1:E501)*(E502=E$1:E501)))))</f>
        <v/>
      </c>
      <c r="L502" s="25"/>
    </row>
    <row r="503" spans="1:12" x14ac:dyDescent="0.2">
      <c r="A503" t="s">
        <v>1024</v>
      </c>
      <c r="B503" s="26" t="s">
        <v>804</v>
      </c>
      <c r="C503" s="26" t="s">
        <v>805</v>
      </c>
      <c r="D503" s="26" t="s">
        <v>806</v>
      </c>
      <c r="E503" s="20" t="s">
        <v>1760</v>
      </c>
      <c r="F503" s="21" t="str">
        <f>IF(OR(E503="",E503="!!!"),"",IF(NOT(ISNA(VLOOKUP(E503,E$1:E502,1,FALSE()))),"OLD",IF(AND(E503&lt;&gt;"",E503&lt;&gt;"!!!"),"NEW","")))</f>
        <v>OLD</v>
      </c>
      <c r="G503" s="22" t="s">
        <v>1823</v>
      </c>
      <c r="H503" s="23" t="str">
        <f t="shared" ca="1" si="57"/>
        <v/>
      </c>
      <c r="I503" s="24" t="str">
        <f>IF(OR(E503="",E503="!!!",F503="NEW"),"",INDEX(B$2:B502,-1+SUMPRODUCT(MAX(ROW(E$2:E502)*(E503=E$2:E502)))))</f>
        <v>SBJ</v>
      </c>
      <c r="J503" s="24">
        <f ca="1">IF(OR(E503="",E503="!!!",F503="NEW"),"",COUNTBLANK(OFFSET(A$1,,,SUMPRODUCT(MAX(ROW(E$2:E503)*(E503=E$2:E503)))))-COUNTBLANK(OFFSET(A$1,,,SUMPRODUCT(MAX(ROW(E$1:E502)*(E2=E$1:E502))))))</f>
        <v>0</v>
      </c>
      <c r="K503" s="24">
        <f ca="1">IF(OR(E503="",E503="!!!",F503="NEW"),"",INDEX(J$1:J502,SUMPRODUCT(MAX(ROW(E$1:E502)*(E503=E$1:E502)))))</f>
        <v>0</v>
      </c>
      <c r="L503" s="25"/>
    </row>
    <row r="504" spans="1:12" x14ac:dyDescent="0.2">
      <c r="A504" t="s">
        <v>904</v>
      </c>
      <c r="E504" s="20" t="str">
        <f t="shared" si="56"/>
        <v/>
      </c>
      <c r="F504" s="21" t="str">
        <f>IF(OR(E504="",E504="!!!"),"",IF(NOT(ISNA(VLOOKUP(E504,E$1:E503,1,FALSE()))),"OLD",IF(AND(E504&lt;&gt;"",E504&lt;&gt;"!!!"),"NEW","")))</f>
        <v/>
      </c>
      <c r="G504" s="22" t="str">
        <f>IF(OR(E504="",E504="!!!"),"",IF(OR(J504=0,AND(J504=1,K504=1),AND(J504=1,I504="SBJ"),AND(J504=1,I504=0)),"?IN_FOCUS",IF(J504&lt;=2,"?ACTIVATED",IF(J504&lt;&gt;"","?FAMILIAR",IF(F504="NEW",IF(ISNA(VLOOKUP(E504,#REF!,1,FALSE())),"?TYPE_IDENTIFIABLE","?REFERENTIAL"),"_")))))</f>
        <v/>
      </c>
      <c r="H504" s="23" t="str">
        <f t="shared" ca="1" si="57"/>
        <v/>
      </c>
      <c r="I504" s="24" t="str">
        <f>IF(OR(E504="",E504="!!!",F504="NEW"),"",INDEX(B$2:B503,-1+SUMPRODUCT(MAX(ROW(E$2:E503)*(E504=E$2:E503)))))</f>
        <v/>
      </c>
      <c r="J504" s="24" t="str">
        <f ca="1">IF(OR(E504="",E504="!!!",F504="NEW"),"",COUNTBLANK(OFFSET(A$1,,,SUMPRODUCT(MAX(ROW(E$2:E504)*(E504=E$2:E504)))))-COUNTBLANK(OFFSET(A$1,,,SUMPRODUCT(MAX(ROW(E$1:E503)*(E2=E$1:E503))))))</f>
        <v/>
      </c>
      <c r="K504" s="24" t="str">
        <f>IF(OR(E504="",E504="!!!",F504="NEW"),"",INDEX(J$1:J503,SUMPRODUCT(MAX(ROW(E$1:E503)*(E504=E$1:E503)))))</f>
        <v/>
      </c>
      <c r="L504" s="25"/>
    </row>
    <row r="505" spans="1:12" x14ac:dyDescent="0.2">
      <c r="A505" t="s">
        <v>821</v>
      </c>
      <c r="E505" s="20" t="str">
        <f t="shared" si="56"/>
        <v/>
      </c>
      <c r="F505" s="21" t="str">
        <f>IF(OR(E505="",E505="!!!"),"",IF(NOT(ISNA(VLOOKUP(E505,E$1:E504,1,FALSE()))),"OLD",IF(AND(E505&lt;&gt;"",E505&lt;&gt;"!!!"),"NEW","")))</f>
        <v/>
      </c>
      <c r="G505" s="22" t="str">
        <f>IF(OR(E505="",E505="!!!"),"",IF(OR(J505=0,AND(J505=1,K505=1),AND(J505=1,I505="SBJ"),AND(J505=1,I505=0)),"?IN_FOCUS",IF(J505&lt;=2,"?ACTIVATED",IF(J505&lt;&gt;"","?FAMILIAR",IF(F505="NEW",IF(ISNA(VLOOKUP(E505,#REF!,1,FALSE())),"?TYPE_IDENTIFIABLE","?REFERENTIAL"),"_")))))</f>
        <v/>
      </c>
      <c r="H505" s="23" t="str">
        <f t="shared" ca="1" si="57"/>
        <v/>
      </c>
      <c r="I505" s="24" t="str">
        <f>IF(OR(E505="",E505="!!!",F505="NEW"),"",INDEX(B$2:B504,-1+SUMPRODUCT(MAX(ROW(E$2:E504)*(E505=E$2:E504)))))</f>
        <v/>
      </c>
      <c r="J505" s="24" t="str">
        <f ca="1">IF(OR(E505="",E505="!!!",F505="NEW"),"",COUNTBLANK(OFFSET(A$1,,,SUMPRODUCT(MAX(ROW(E$2:E505)*(E505=E$2:E505)))))-COUNTBLANK(OFFSET(A$1,,,SUMPRODUCT(MAX(ROW(E$1:E504)*(E2=E$1:E504))))))</f>
        <v/>
      </c>
      <c r="K505" s="24" t="str">
        <f>IF(OR(E505="",E505="!!!",F505="NEW"),"",INDEX(J$1:J504,SUMPRODUCT(MAX(ROW(E$1:E504)*(E505=E$1:E504)))))</f>
        <v/>
      </c>
      <c r="L505" s="25"/>
    </row>
    <row r="507" spans="1:12" x14ac:dyDescent="0.2">
      <c r="A507" t="s">
        <v>900</v>
      </c>
      <c r="E507" s="20" t="str">
        <f>IF(D507="?OLD","!!!","")</f>
        <v/>
      </c>
      <c r="F507" s="21" t="str">
        <f>IF(OR(E507="",E507="!!!"),"",IF(NOT(ISNA(VLOOKUP(E507,E$1:E506,1,FALSE()))),"OLD",IF(AND(E507&lt;&gt;"",E507&lt;&gt;"!!!"),"NEW","")))</f>
        <v/>
      </c>
      <c r="G507" s="22" t="str">
        <f>IF(OR(E507="",E507="!!!"),"",IF(OR(J507=0,AND(J507=1,K507=1),AND(J507=1,I507="SBJ"),AND(J507=1,I507=0)),"?IN_FOCUS",IF(J507&lt;=2,"?ACTIVATED",IF(J507&lt;&gt;"","?FAMILIAR",IF(F507="NEW",IF(ISNA(VLOOKUP(E507,#REF!,1,FALSE())),"?TYPE_IDENTIFIABLE","?REFERENTIAL"),"_")))))</f>
        <v/>
      </c>
      <c r="H507" s="23" t="str">
        <f ca="1">IF(J507&lt;&gt;1,"",IF(I507="SBJ","CB","?"))</f>
        <v/>
      </c>
      <c r="I507" s="24" t="str">
        <f>IF(OR(E507="",E507="!!!",F507="NEW"),"",INDEX(B$2:B506,-1+SUMPRODUCT(MAX(ROW(E$2:E506)*(E507=E$2:E506)))))</f>
        <v/>
      </c>
      <c r="J507" s="24" t="str">
        <f ca="1">IF(OR(E507="",E507="!!!",F507="NEW"),"",COUNTBLANK(OFFSET(A$1,,,SUMPRODUCT(MAX(ROW(E$2:E507)*(E507=E$2:E507)))))-COUNTBLANK(OFFSET(A$1,,,SUMPRODUCT(MAX(ROW(E$1:E506)*(E2=E$1:E506))))))</f>
        <v/>
      </c>
      <c r="K507" s="24" t="str">
        <f>IF(OR(E507="",E507="!!!",F507="NEW"),"",INDEX(J$1:J506,SUMPRODUCT(MAX(ROW(E$1:E506)*(E507=E$1:E506)))))</f>
        <v/>
      </c>
      <c r="L507" s="25"/>
    </row>
    <row r="508" spans="1:12" x14ac:dyDescent="0.2">
      <c r="A508" t="s">
        <v>1044</v>
      </c>
    </row>
    <row r="509" spans="1:12" x14ac:dyDescent="0.2">
      <c r="A509" t="s">
        <v>902</v>
      </c>
      <c r="E509" s="20" t="str">
        <f t="shared" ref="E509:E520" si="58">IF(D509="?OLD","!!!","")</f>
        <v/>
      </c>
      <c r="F509" s="21" t="str">
        <f>IF(OR(E509="",E509="!!!"),"",IF(NOT(ISNA(VLOOKUP(E509,E$1:E508,1,FALSE()))),"OLD",IF(AND(E509&lt;&gt;"",E509&lt;&gt;"!!!"),"NEW","")))</f>
        <v/>
      </c>
      <c r="G509" s="22" t="str">
        <f>IF(OR(E509="",E509="!!!"),"",IF(OR(J509=0,AND(J509=1,K509=1),AND(J509=1,I509="SBJ"),AND(J509=1,I509=0)),"?IN_FOCUS",IF(J509&lt;=2,"?ACTIVATED",IF(J509&lt;&gt;"","?FAMILIAR",IF(F509="NEW",IF(ISNA(VLOOKUP(E509,#REF!,1,FALSE())),"?TYPE_IDENTIFIABLE","?REFERENTIAL"),"_")))))</f>
        <v/>
      </c>
      <c r="H509" s="23" t="str">
        <f t="shared" ref="H509:H520" ca="1" si="59">IF(J509&lt;&gt;1,"",IF(I509="SBJ","CB","?"))</f>
        <v/>
      </c>
      <c r="I509" s="24" t="str">
        <f>IF(OR(E509="",E509="!!!",F509="NEW"),"",INDEX(B$2:B508,-1+SUMPRODUCT(MAX(ROW(E$2:E508)*(E509=E$2:E508)))))</f>
        <v/>
      </c>
      <c r="J509" s="24" t="str">
        <f ca="1">IF(OR(E509="",E509="!!!",F509="NEW"),"",COUNTBLANK(OFFSET(A$1,,,SUMPRODUCT(MAX(ROW(E$2:E509)*(E509=E$2:E509)))))-COUNTBLANK(OFFSET(A$1,,,SUMPRODUCT(MAX(ROW(E$1:E508)*(E2=E$1:E508))))))</f>
        <v/>
      </c>
      <c r="K509" s="24" t="str">
        <f>IF(OR(E509="",E509="!!!",F509="NEW"),"",INDEX(J$1:J508,SUMPRODUCT(MAX(ROW(E$1:E508)*(E509=E$1:E508)))))</f>
        <v/>
      </c>
      <c r="L509" s="25"/>
    </row>
    <row r="510" spans="1:12" x14ac:dyDescent="0.2">
      <c r="A510" t="s">
        <v>1045</v>
      </c>
      <c r="E510" s="20" t="str">
        <f t="shared" si="58"/>
        <v/>
      </c>
      <c r="F510" s="21" t="str">
        <f>IF(OR(E510="",E510="!!!"),"",IF(NOT(ISNA(VLOOKUP(E510,E$1:E509,1,FALSE()))),"OLD",IF(AND(E510&lt;&gt;"",E510&lt;&gt;"!!!"),"NEW","")))</f>
        <v/>
      </c>
      <c r="G510" s="22" t="str">
        <f>IF(OR(E510="",E510="!!!"),"",IF(OR(J510=0,AND(J510=1,K510=1),AND(J510=1,I510="SBJ"),AND(J510=1,I510=0)),"?IN_FOCUS",IF(J510&lt;=2,"?ACTIVATED",IF(J510&lt;&gt;"","?FAMILIAR",IF(F510="NEW",IF(ISNA(VLOOKUP(E510,#REF!,1,FALSE())),"?TYPE_IDENTIFIABLE","?REFERENTIAL"),"_")))))</f>
        <v/>
      </c>
      <c r="H510" s="23" t="str">
        <f t="shared" ca="1" si="59"/>
        <v/>
      </c>
      <c r="I510" s="24" t="str">
        <f>IF(OR(E510="",E510="!!!",F510="NEW"),"",INDEX(B$2:B509,-1+SUMPRODUCT(MAX(ROW(E$2:E509)*(E510=E$2:E509)))))</f>
        <v/>
      </c>
      <c r="J510" s="24" t="str">
        <f ca="1">IF(OR(E510="",E510="!!!",F510="NEW"),"",COUNTBLANK(OFFSET(A$1,,,SUMPRODUCT(MAX(ROW(E$2:E510)*(E510=E$2:E510)))))-COUNTBLANK(OFFSET(A$1,,,SUMPRODUCT(MAX(ROW(E$1:E509)*(E2=E$1:E509))))))</f>
        <v/>
      </c>
      <c r="K510" s="24" t="str">
        <f>IF(OR(E510="",E510="!!!",F510="NEW"),"",INDEX(J$1:J509,SUMPRODUCT(MAX(ROW(E$1:E509)*(E510=E$1:E509)))))</f>
        <v/>
      </c>
      <c r="L510" s="25"/>
    </row>
    <row r="511" spans="1:12" x14ac:dyDescent="0.2">
      <c r="A511" t="s">
        <v>815</v>
      </c>
      <c r="E511" s="20" t="str">
        <f t="shared" si="58"/>
        <v/>
      </c>
      <c r="F511" s="21" t="str">
        <f>IF(OR(E511="",E511="!!!"),"",IF(NOT(ISNA(VLOOKUP(E511,E$1:E510,1,FALSE()))),"OLD",IF(AND(E511&lt;&gt;"",E511&lt;&gt;"!!!"),"NEW","")))</f>
        <v/>
      </c>
      <c r="G511" s="22" t="str">
        <f>IF(OR(E511="",E511="!!!"),"",IF(OR(J511=0,AND(J511=1,K511=1),AND(J511=1,I511="SBJ"),AND(J511=1,I511=0)),"?IN_FOCUS",IF(J511&lt;=2,"?ACTIVATED",IF(J511&lt;&gt;"","?FAMILIAR",IF(F511="NEW",IF(ISNA(VLOOKUP(E511,#REF!,1,FALSE())),"?TYPE_IDENTIFIABLE","?REFERENTIAL"),"_")))))</f>
        <v/>
      </c>
      <c r="H511" s="23" t="str">
        <f t="shared" ca="1" si="59"/>
        <v/>
      </c>
      <c r="I511" s="24" t="str">
        <f>IF(OR(E511="",E511="!!!",F511="NEW"),"",INDEX(B$2:B510,-1+SUMPRODUCT(MAX(ROW(E$2:E510)*(E511=E$2:E510)))))</f>
        <v/>
      </c>
      <c r="J511" s="24" t="str">
        <f ca="1">IF(OR(E511="",E511="!!!",F511="NEW"),"",COUNTBLANK(OFFSET(A$1,,,SUMPRODUCT(MAX(ROW(E$2:E511)*(E511=E$2:E511)))))-COUNTBLANK(OFFSET(A$1,,,SUMPRODUCT(MAX(ROW(E$1:E510)*(E2=E$1:E510))))))</f>
        <v/>
      </c>
      <c r="K511" s="24" t="str">
        <f>IF(OR(E511="",E511="!!!",F511="NEW"),"",INDEX(J$1:J510,SUMPRODUCT(MAX(ROW(E$1:E510)*(E511=E$1:E510)))))</f>
        <v/>
      </c>
      <c r="L511" s="25"/>
    </row>
    <row r="512" spans="1:12" x14ac:dyDescent="0.2">
      <c r="A512" t="s">
        <v>845</v>
      </c>
      <c r="E512" s="20" t="str">
        <f t="shared" si="58"/>
        <v/>
      </c>
      <c r="F512" s="21" t="str">
        <f>IF(OR(E512="",E512="!!!"),"",IF(NOT(ISNA(VLOOKUP(E512,E$1:E511,1,FALSE()))),"OLD",IF(AND(E512&lt;&gt;"",E512&lt;&gt;"!!!"),"NEW","")))</f>
        <v/>
      </c>
      <c r="G512" s="22" t="str">
        <f>IF(OR(E512="",E512="!!!"),"",IF(OR(J512=0,AND(J512=1,K512=1),AND(J512=1,I512="SBJ"),AND(J512=1,I512=0)),"?IN_FOCUS",IF(J512&lt;=2,"?ACTIVATED",IF(J512&lt;&gt;"","?FAMILIAR",IF(F512="NEW",IF(ISNA(VLOOKUP(E512,#REF!,1,FALSE())),"?TYPE_IDENTIFIABLE","?REFERENTIAL"),"_")))))</f>
        <v/>
      </c>
      <c r="H512" s="23" t="str">
        <f t="shared" ca="1" si="59"/>
        <v/>
      </c>
      <c r="I512" s="24" t="str">
        <f>IF(OR(E512="",E512="!!!",F512="NEW"),"",INDEX(B$2:B511,-1+SUMPRODUCT(MAX(ROW(E$2:E511)*(E512=E$2:E511)))))</f>
        <v/>
      </c>
      <c r="J512" s="24" t="str">
        <f ca="1">IF(OR(E512="",E512="!!!",F512="NEW"),"",COUNTBLANK(OFFSET(A$1,,,SUMPRODUCT(MAX(ROW(E$2:E512)*(E512=E$2:E512)))))-COUNTBLANK(OFFSET(A$1,,,SUMPRODUCT(MAX(ROW(E$1:E511)*(E2=E$1:E511))))))</f>
        <v/>
      </c>
      <c r="K512" s="24" t="str">
        <f>IF(OR(E512="",E512="!!!",F512="NEW"),"",INDEX(J$1:J511,SUMPRODUCT(MAX(ROW(E$1:E511)*(E512=E$1:E511)))))</f>
        <v/>
      </c>
      <c r="L512" s="25"/>
    </row>
    <row r="513" spans="1:12" x14ac:dyDescent="0.2">
      <c r="A513" t="s">
        <v>1046</v>
      </c>
      <c r="B513" s="26" t="s">
        <v>813</v>
      </c>
      <c r="C513" s="26" t="s">
        <v>847</v>
      </c>
      <c r="D513" s="26" t="s">
        <v>806</v>
      </c>
      <c r="E513" s="20" t="s">
        <v>961</v>
      </c>
      <c r="F513" s="21" t="str">
        <f>IF(OR(E513="",E513="!!!"),"",IF(NOT(ISNA(VLOOKUP(E513,E$1:E512,1,FALSE()))),"OLD",IF(AND(E513&lt;&gt;"",E513&lt;&gt;"!!!"),"NEW","")))</f>
        <v>OLD</v>
      </c>
      <c r="G513" s="22" t="s">
        <v>1820</v>
      </c>
      <c r="H513" s="23" t="str">
        <f t="shared" ca="1" si="59"/>
        <v/>
      </c>
      <c r="I513" s="24" t="str">
        <f>IF(OR(E513="",E513="!!!",F513="NEW"),"",INDEX(B$2:B512,-1+SUMPRODUCT(MAX(ROW(E$2:E512)*(E513=E$2:E512)))))</f>
        <v>OBJ_3</v>
      </c>
      <c r="J513" s="24">
        <f ca="1">IF(OR(E513="",E513="!!!",F513="NEW"),"",COUNTBLANK(OFFSET(A$1,,,SUMPRODUCT(MAX(ROW(E$2:E513)*(E513=E$2:E513)))))-COUNTBLANK(OFFSET(A$1,,,SUMPRODUCT(MAX(ROW(E$1:E512)*(E2=E$1:E512))))))</f>
        <v>0</v>
      </c>
      <c r="K513" s="24">
        <f ca="1">IF(OR(E513="",E513="!!!",F513="NEW"),"",INDEX(J$1:J512,SUMPRODUCT(MAX(ROW(E$1:E512)*(E513=E$1:E512)))))</f>
        <v>0</v>
      </c>
      <c r="L513" s="25"/>
    </row>
    <row r="514" spans="1:12" x14ac:dyDescent="0.2">
      <c r="A514" t="s">
        <v>821</v>
      </c>
      <c r="E514" s="20" t="str">
        <f t="shared" si="58"/>
        <v/>
      </c>
      <c r="F514" s="21" t="str">
        <f>IF(OR(E514="",E514="!!!"),"",IF(NOT(ISNA(VLOOKUP(E514,E$1:E513,1,FALSE()))),"OLD",IF(AND(E514&lt;&gt;"",E514&lt;&gt;"!!!"),"NEW","")))</f>
        <v/>
      </c>
      <c r="G514" s="22" t="str">
        <f>IF(OR(E514="",E514="!!!"),"",IF(OR(J514=0,AND(J514=1,K514=1),AND(J514=1,I514="SBJ"),AND(J514=1,I514=0)),"?IN_FOCUS",IF(J514&lt;=2,"?ACTIVATED",IF(J514&lt;&gt;"","?FAMILIAR",IF(F514="NEW",IF(ISNA(VLOOKUP(E514,#REF!,1,FALSE())),"?TYPE_IDENTIFIABLE","?REFERENTIAL"),"_")))))</f>
        <v/>
      </c>
      <c r="H514" s="23" t="str">
        <f t="shared" ca="1" si="59"/>
        <v/>
      </c>
      <c r="I514" s="24" t="str">
        <f>IF(OR(E514="",E514="!!!",F514="NEW"),"",INDEX(B$2:B513,-1+SUMPRODUCT(MAX(ROW(E$2:E513)*(E514=E$2:E513)))))</f>
        <v/>
      </c>
      <c r="J514" s="24" t="str">
        <f ca="1">IF(OR(E514="",E514="!!!",F514="NEW"),"",COUNTBLANK(OFFSET(A$1,,,SUMPRODUCT(MAX(ROW(E$2:E514)*(E514=E$2:E514)))))-COUNTBLANK(OFFSET(A$1,,,SUMPRODUCT(MAX(ROW(E$1:E513)*(E2=E$1:E513))))))</f>
        <v/>
      </c>
      <c r="K514" s="24" t="str">
        <f>IF(OR(E514="",E514="!!!",F514="NEW"),"",INDEX(J$1:J513,SUMPRODUCT(MAX(ROW(E$1:E513)*(E514=E$1:E513)))))</f>
        <v/>
      </c>
      <c r="L514" s="25"/>
    </row>
    <row r="515" spans="1:12" x14ac:dyDescent="0.2">
      <c r="A515" t="s">
        <v>902</v>
      </c>
      <c r="E515" s="20" t="str">
        <f t="shared" si="58"/>
        <v/>
      </c>
      <c r="F515" s="21" t="str">
        <f>IF(OR(E515="",E515="!!!"),"",IF(NOT(ISNA(VLOOKUP(E515,E$1:E514,1,FALSE()))),"OLD",IF(AND(E515&lt;&gt;"",E515&lt;&gt;"!!!"),"NEW","")))</f>
        <v/>
      </c>
      <c r="G515" s="22" t="str">
        <f>IF(OR(E515="",E515="!!!"),"",IF(OR(J515=0,AND(J515=1,K515=1),AND(J515=1,I515="SBJ"),AND(J515=1,I515=0)),"?IN_FOCUS",IF(J515&lt;=2,"?ACTIVATED",IF(J515&lt;&gt;"","?FAMILIAR",IF(F515="NEW",IF(ISNA(VLOOKUP(E515,#REF!,1,FALSE())),"?TYPE_IDENTIFIABLE","?REFERENTIAL"),"_")))))</f>
        <v/>
      </c>
      <c r="H515" s="23" t="str">
        <f t="shared" ca="1" si="59"/>
        <v/>
      </c>
      <c r="I515" s="24" t="str">
        <f>IF(OR(E515="",E515="!!!",F515="NEW"),"",INDEX(B$2:B514,-1+SUMPRODUCT(MAX(ROW(E$2:E514)*(E515=E$2:E514)))))</f>
        <v/>
      </c>
      <c r="J515" s="24" t="str">
        <f ca="1">IF(OR(E515="",E515="!!!",F515="NEW"),"",COUNTBLANK(OFFSET(A$1,,,SUMPRODUCT(MAX(ROW(E$2:E515)*(E515=E$2:E515)))))-COUNTBLANK(OFFSET(A$1,,,SUMPRODUCT(MAX(ROW(E$1:E514)*(E2=E$1:E514))))))</f>
        <v/>
      </c>
      <c r="K515" s="24" t="str">
        <f>IF(OR(E515="",E515="!!!",F515="NEW"),"",INDEX(J$1:J514,SUMPRODUCT(MAX(ROW(E$1:E514)*(E515=E$1:E514)))))</f>
        <v/>
      </c>
      <c r="L515" s="25"/>
    </row>
    <row r="516" spans="1:12" x14ac:dyDescent="0.2">
      <c r="A516" t="s">
        <v>1043</v>
      </c>
      <c r="E516" s="20" t="str">
        <f t="shared" si="58"/>
        <v/>
      </c>
      <c r="F516" s="21" t="str">
        <f>IF(OR(E516="",E516="!!!"),"",IF(NOT(ISNA(VLOOKUP(E516,E$1:E515,1,FALSE()))),"OLD",IF(AND(E516&lt;&gt;"",E516&lt;&gt;"!!!"),"NEW","")))</f>
        <v/>
      </c>
      <c r="G516" s="22" t="str">
        <f>IF(OR(E516="",E516="!!!"),"",IF(OR(J516=0,AND(J516=1,K516=1),AND(J516=1,I516="SBJ"),AND(J516=1,I516=0)),"?IN_FOCUS",IF(J516&lt;=2,"?ACTIVATED",IF(J516&lt;&gt;"","?FAMILIAR",IF(F516="NEW",IF(ISNA(VLOOKUP(E516,#REF!,1,FALSE())),"?TYPE_IDENTIFIABLE","?REFERENTIAL"),"_")))))</f>
        <v/>
      </c>
      <c r="H516" s="23" t="str">
        <f t="shared" ca="1" si="59"/>
        <v/>
      </c>
      <c r="I516" s="24" t="str">
        <f>IF(OR(E516="",E516="!!!",F516="NEW"),"",INDEX(B$2:B515,-1+SUMPRODUCT(MAX(ROW(E$2:E515)*(E516=E$2:E515)))))</f>
        <v/>
      </c>
      <c r="J516" s="24" t="str">
        <f ca="1">IF(OR(E516="",E516="!!!",F516="NEW"),"",COUNTBLANK(OFFSET(A$1,,,SUMPRODUCT(MAX(ROW(E$2:E516)*(E516=E$2:E516)))))-COUNTBLANK(OFFSET(A$1,,,SUMPRODUCT(MAX(ROW(E$1:E515)*(E2=E$1:E515))))))</f>
        <v/>
      </c>
      <c r="K516" s="24" t="str">
        <f>IF(OR(E516="",E516="!!!",F516="NEW"),"",INDEX(J$1:J515,SUMPRODUCT(MAX(ROW(E$1:E515)*(E516=E$1:E515)))))</f>
        <v/>
      </c>
      <c r="L516" s="25"/>
    </row>
    <row r="517" spans="1:12" x14ac:dyDescent="0.2">
      <c r="A517" t="s">
        <v>859</v>
      </c>
      <c r="E517" s="20" t="str">
        <f t="shared" si="58"/>
        <v/>
      </c>
      <c r="F517" s="21" t="str">
        <f>IF(OR(E517="",E517="!!!"),"",IF(NOT(ISNA(VLOOKUP(E517,E$1:E516,1,FALSE()))),"OLD",IF(AND(E517&lt;&gt;"",E517&lt;&gt;"!!!"),"NEW","")))</f>
        <v/>
      </c>
      <c r="G517" s="22" t="str">
        <f>IF(OR(E517="",E517="!!!"),"",IF(OR(J517=0,AND(J517=1,K517=1),AND(J517=1,I517="SBJ"),AND(J517=1,I517=0)),"?IN_FOCUS",IF(J517&lt;=2,"?ACTIVATED",IF(J517&lt;&gt;"","?FAMILIAR",IF(F517="NEW",IF(ISNA(VLOOKUP(E517,#REF!,1,FALSE())),"?TYPE_IDENTIFIABLE","?REFERENTIAL"),"_")))))</f>
        <v/>
      </c>
      <c r="H517" s="23" t="str">
        <f t="shared" ca="1" si="59"/>
        <v/>
      </c>
      <c r="I517" s="24" t="str">
        <f>IF(OR(E517="",E517="!!!",F517="NEW"),"",INDEX(B$2:B516,-1+SUMPRODUCT(MAX(ROW(E$2:E516)*(E517=E$2:E516)))))</f>
        <v/>
      </c>
      <c r="J517" s="24" t="str">
        <f ca="1">IF(OR(E517="",E517="!!!",F517="NEW"),"",COUNTBLANK(OFFSET(A$1,,,SUMPRODUCT(MAX(ROW(E$2:E517)*(E517=E$2:E517)))))-COUNTBLANK(OFFSET(A$1,,,SUMPRODUCT(MAX(ROW(E$1:E516)*(E2=E$1:E516))))))</f>
        <v/>
      </c>
      <c r="K517" s="24" t="str">
        <f>IF(OR(E517="",E517="!!!",F517="NEW"),"",INDEX(J$1:J516,SUMPRODUCT(MAX(ROW(E$1:E516)*(E517=E$1:E516)))))</f>
        <v/>
      </c>
      <c r="L517" s="25"/>
    </row>
    <row r="518" spans="1:12" x14ac:dyDescent="0.2">
      <c r="A518" t="s">
        <v>829</v>
      </c>
      <c r="E518" s="20" t="str">
        <f t="shared" si="58"/>
        <v/>
      </c>
      <c r="F518" s="21" t="str">
        <f>IF(OR(E518="",E518="!!!"),"",IF(NOT(ISNA(VLOOKUP(E518,E$1:E517,1,FALSE()))),"OLD",IF(AND(E518&lt;&gt;"",E518&lt;&gt;"!!!"),"NEW","")))</f>
        <v/>
      </c>
      <c r="G518" s="22" t="str">
        <f>IF(OR(E518="",E518="!!!"),"",IF(OR(J518=0,AND(J518=1,K518=1),AND(J518=1,I518="SBJ"),AND(J518=1,I518=0)),"?IN_FOCUS",IF(J518&lt;=2,"?ACTIVATED",IF(J518&lt;&gt;"","?FAMILIAR",IF(F518="NEW",IF(ISNA(VLOOKUP(E518,#REF!,1,FALSE())),"?TYPE_IDENTIFIABLE","?REFERENTIAL"),"_")))))</f>
        <v/>
      </c>
      <c r="H518" s="23" t="str">
        <f t="shared" ca="1" si="59"/>
        <v/>
      </c>
      <c r="I518" s="24" t="str">
        <f>IF(OR(E518="",E518="!!!",F518="NEW"),"",INDEX(B$2:B517,-1+SUMPRODUCT(MAX(ROW(E$2:E517)*(E518=E$2:E517)))))</f>
        <v/>
      </c>
      <c r="J518" s="24" t="str">
        <f ca="1">IF(OR(E518="",E518="!!!",F518="NEW"),"",COUNTBLANK(OFFSET(A$1,,,SUMPRODUCT(MAX(ROW(E$2:E518)*(E518=E$2:E518)))))-COUNTBLANK(OFFSET(A$1,,,SUMPRODUCT(MAX(ROW(E$1:E517)*(E2=E$1:E517))))))</f>
        <v/>
      </c>
      <c r="K518" s="24" t="str">
        <f>IF(OR(E518="",E518="!!!",F518="NEW"),"",INDEX(J$1:J517,SUMPRODUCT(MAX(ROW(E$1:E517)*(E518=E$1:E517)))))</f>
        <v/>
      </c>
      <c r="L518" s="25"/>
    </row>
    <row r="519" spans="1:12" x14ac:dyDescent="0.2">
      <c r="A519" t="s">
        <v>802</v>
      </c>
      <c r="E519" s="20" t="str">
        <f t="shared" si="58"/>
        <v/>
      </c>
      <c r="F519" s="21" t="str">
        <f>IF(OR(E519="",E519="!!!"),"",IF(NOT(ISNA(VLOOKUP(E519,E$1:E518,1,FALSE()))),"OLD",IF(AND(E519&lt;&gt;"",E519&lt;&gt;"!!!"),"NEW","")))</f>
        <v/>
      </c>
      <c r="G519" s="22" t="str">
        <f>IF(OR(E519="",E519="!!!"),"",IF(OR(J519=0,AND(J519=1,K519=1),AND(J519=1,I519="SBJ"),AND(J519=1,I519=0)),"?IN_FOCUS",IF(J519&lt;=2,"?ACTIVATED",IF(J519&lt;&gt;"","?FAMILIAR",IF(F519="NEW",IF(ISNA(VLOOKUP(E519,#REF!,1,FALSE())),"?TYPE_IDENTIFIABLE","?REFERENTIAL"),"_")))))</f>
        <v/>
      </c>
      <c r="H519" s="23" t="str">
        <f t="shared" ca="1" si="59"/>
        <v/>
      </c>
      <c r="I519" s="24" t="str">
        <f>IF(OR(E519="",E519="!!!",F519="NEW"),"",INDEX(B$2:B518,-1+SUMPRODUCT(MAX(ROW(E$2:E518)*(E519=E$2:E518)))))</f>
        <v/>
      </c>
      <c r="J519" s="24" t="str">
        <f ca="1">IF(OR(E519="",E519="!!!",F519="NEW"),"",COUNTBLANK(OFFSET(A$1,,,SUMPRODUCT(MAX(ROW(E$2:E519)*(E519=E$2:E519)))))-COUNTBLANK(OFFSET(A$1,,,SUMPRODUCT(MAX(ROW(E$1:E518)*(E2=E$1:E518))))))</f>
        <v/>
      </c>
      <c r="K519" s="24" t="str">
        <f>IF(OR(E519="",E519="!!!",F519="NEW"),"",INDEX(J$1:J518,SUMPRODUCT(MAX(ROW(E$1:E518)*(E519=E$1:E518)))))</f>
        <v/>
      </c>
      <c r="L519" s="25"/>
    </row>
    <row r="520" spans="1:12" x14ac:dyDescent="0.2">
      <c r="A520" t="s">
        <v>144</v>
      </c>
      <c r="B520" s="26" t="s">
        <v>819</v>
      </c>
      <c r="C520" s="26" t="s">
        <v>814</v>
      </c>
      <c r="E520" s="20" t="str">
        <f t="shared" si="58"/>
        <v/>
      </c>
      <c r="F520" s="21" t="str">
        <f>IF(OR(E520="",E520="!!!"),"",IF(NOT(ISNA(VLOOKUP(E520,E$1:E519,1,FALSE()))),"OLD",IF(AND(E520&lt;&gt;"",E520&lt;&gt;"!!!"),"NEW","")))</f>
        <v/>
      </c>
      <c r="G520" s="22" t="str">
        <f>IF(OR(E520="",E520="!!!"),"",IF(OR(J520=0,AND(J520=1,K520=1),AND(J520=1,I520="SBJ"),AND(J520=1,I520=0)),"?IN_FOCUS",IF(J520&lt;=2,"?ACTIVATED",IF(J520&lt;&gt;"","?FAMILIAR",IF(F520="NEW",IF(ISNA(VLOOKUP(E520,#REF!,1,FALSE())),"?TYPE_IDENTIFIABLE","?REFERENTIAL"),"_")))))</f>
        <v/>
      </c>
      <c r="H520" s="23" t="str">
        <f t="shared" ca="1" si="59"/>
        <v/>
      </c>
      <c r="I520" s="24" t="str">
        <f>IF(OR(E520="",E520="!!!",F520="NEW"),"",INDEX(B$2:B519,-1+SUMPRODUCT(MAX(ROW(E$2:E519)*(E520=E$2:E519)))))</f>
        <v/>
      </c>
      <c r="J520" s="24" t="str">
        <f ca="1">IF(OR(E520="",E520="!!!",F520="NEW"),"",COUNTBLANK(OFFSET(A$1,,,SUMPRODUCT(MAX(ROW(E$2:E520)*(E520=E$2:E520)))))-COUNTBLANK(OFFSET(A$1,,,SUMPRODUCT(MAX(ROW(E$1:E519)*(E2=E$1:E519))))))</f>
        <v/>
      </c>
      <c r="K520" s="24" t="str">
        <f>IF(OR(E520="",E520="!!!",F520="NEW"),"",INDEX(J$1:J519,SUMPRODUCT(MAX(ROW(E$1:E519)*(E520=E$1:E519)))))</f>
        <v/>
      </c>
      <c r="L520" s="25"/>
    </row>
    <row r="522" spans="1:12" x14ac:dyDescent="0.2">
      <c r="A522" t="s">
        <v>900</v>
      </c>
      <c r="E522" s="20" t="str">
        <f>IF(D522="?OLD","!!!","")</f>
        <v/>
      </c>
      <c r="F522" s="21" t="str">
        <f>IF(OR(E522="",E522="!!!"),"",IF(NOT(ISNA(VLOOKUP(E522,E$1:E521,1,FALSE()))),"OLD",IF(AND(E522&lt;&gt;"",E522&lt;&gt;"!!!"),"NEW","")))</f>
        <v/>
      </c>
      <c r="G522" s="22" t="str">
        <f>IF(OR(E522="",E522="!!!"),"",IF(OR(J522=0,AND(J522=1,K522=1),AND(J522=1,I522="SBJ"),AND(J522=1,I522=0)),"?IN_FOCUS",IF(J522&lt;=2,"?ACTIVATED",IF(J522&lt;&gt;"","?FAMILIAR",IF(F522="NEW",IF(ISNA(VLOOKUP(E522,#REF!,1,FALSE())),"?TYPE_IDENTIFIABLE","?REFERENTIAL"),"_")))))</f>
        <v/>
      </c>
      <c r="H522" s="23" t="str">
        <f ca="1">IF(J522&lt;&gt;1,"",IF(I522="SBJ","CB","?"))</f>
        <v/>
      </c>
      <c r="I522" s="24" t="str">
        <f>IF(OR(E522="",E522="!!!",F522="NEW"),"",INDEX(B$2:B521,-1+SUMPRODUCT(MAX(ROW(E$2:E521)*(E522=E$2:E521)))))</f>
        <v/>
      </c>
      <c r="J522" s="24" t="str">
        <f ca="1">IF(OR(E522="",E522="!!!",F522="NEW"),"",COUNTBLANK(OFFSET(A$1,,,SUMPRODUCT(MAX(ROW(E$2:E522)*(E522=E$2:E522)))))-COUNTBLANK(OFFSET(A$1,,,SUMPRODUCT(MAX(ROW(E$1:E521)*(E2=E$1:E521))))))</f>
        <v/>
      </c>
      <c r="K522" s="24" t="str">
        <f>IF(OR(E522="",E522="!!!",F522="NEW"),"",INDEX(J$1:J521,SUMPRODUCT(MAX(ROW(E$1:E521)*(E522=E$1:E521)))))</f>
        <v/>
      </c>
      <c r="L522" s="25"/>
    </row>
    <row r="523" spans="1:12" x14ac:dyDescent="0.2">
      <c r="A523" t="s">
        <v>1047</v>
      </c>
    </row>
    <row r="524" spans="1:12" x14ac:dyDescent="0.2">
      <c r="A524" t="s">
        <v>902</v>
      </c>
      <c r="E524" s="20" t="str">
        <f>IF(D524="?OLD","!!!","")</f>
        <v/>
      </c>
      <c r="F524" s="21" t="str">
        <f>IF(OR(E524="",E524="!!!"),"",IF(NOT(ISNA(VLOOKUP(E524,E$1:E523,1,FALSE()))),"OLD",IF(AND(E524&lt;&gt;"",E524&lt;&gt;"!!!"),"NEW","")))</f>
        <v/>
      </c>
      <c r="G524" s="22" t="str">
        <f>IF(OR(E524="",E524="!!!"),"",IF(OR(J524=0,AND(J524=1,K524=1),AND(J524=1,I524="SBJ"),AND(J524=1,I524=0)),"?IN_FOCUS",IF(J524&lt;=2,"?ACTIVATED",IF(J524&lt;&gt;"","?FAMILIAR",IF(F524="NEW",IF(ISNA(VLOOKUP(E524,#REF!,1,FALSE())),"?TYPE_IDENTIFIABLE","?REFERENTIAL"),"_")))))</f>
        <v/>
      </c>
      <c r="H524" s="23" t="str">
        <f ca="1">IF(J524&lt;&gt;1,"",IF(I524="SBJ","CB","?"))</f>
        <v/>
      </c>
      <c r="I524" s="24" t="str">
        <f>IF(OR(E524="",E524="!!!",F524="NEW"),"",INDEX(B$2:B523,-1+SUMPRODUCT(MAX(ROW(E$2:E523)*(E524=E$2:E523)))))</f>
        <v/>
      </c>
      <c r="J524" s="24" t="str">
        <f ca="1">IF(OR(E524="",E524="!!!",F524="NEW"),"",COUNTBLANK(OFFSET(A$1,,,SUMPRODUCT(MAX(ROW(E$2:E524)*(E524=E$2:E524)))))-COUNTBLANK(OFFSET(A$1,,,SUMPRODUCT(MAX(ROW(E$1:E523)*(E2=E$1:E523))))))</f>
        <v/>
      </c>
      <c r="K524" s="24" t="str">
        <f>IF(OR(E524="",E524="!!!",F524="NEW"),"",INDEX(J$1:J523,SUMPRODUCT(MAX(ROW(E$1:E523)*(E524=E$1:E523)))))</f>
        <v/>
      </c>
      <c r="L524" s="25"/>
    </row>
    <row r="525" spans="1:12" x14ac:dyDescent="0.2">
      <c r="A525" t="s">
        <v>1043</v>
      </c>
      <c r="E525" s="20" t="str">
        <f>IF(D525="?OLD","!!!","")</f>
        <v/>
      </c>
      <c r="F525" s="21" t="str">
        <f>IF(OR(E525="",E525="!!!"),"",IF(NOT(ISNA(VLOOKUP(E525,E$1:E524,1,FALSE()))),"OLD",IF(AND(E525&lt;&gt;"",E525&lt;&gt;"!!!"),"NEW","")))</f>
        <v/>
      </c>
      <c r="G525" s="22" t="str">
        <f>IF(OR(E525="",E525="!!!"),"",IF(OR(J525=0,AND(J525=1,K525=1),AND(J525=1,I525="SBJ"),AND(J525=1,I525=0)),"?IN_FOCUS",IF(J525&lt;=2,"?ACTIVATED",IF(J525&lt;&gt;"","?FAMILIAR",IF(F525="NEW",IF(ISNA(VLOOKUP(E525,#REF!,1,FALSE())),"?TYPE_IDENTIFIABLE","?REFERENTIAL"),"_")))))</f>
        <v/>
      </c>
      <c r="H525" s="23" t="str">
        <f ca="1">IF(J525&lt;&gt;1,"",IF(I525="SBJ","CB","?"))</f>
        <v/>
      </c>
      <c r="I525" s="24" t="str">
        <f>IF(OR(E525="",E525="!!!",F525="NEW"),"",INDEX(B$2:B524,-1+SUMPRODUCT(MAX(ROW(E$2:E524)*(E525=E$2:E524)))))</f>
        <v/>
      </c>
      <c r="J525" s="24" t="str">
        <f ca="1">IF(OR(E525="",E525="!!!",F525="NEW"),"",COUNTBLANK(OFFSET(A$1,,,SUMPRODUCT(MAX(ROW(E$2:E525)*(E525=E$2:E525)))))-COUNTBLANK(OFFSET(A$1,,,SUMPRODUCT(MAX(ROW(E$1:E524)*(E2=E$1:E524))))))</f>
        <v/>
      </c>
      <c r="K525" s="24" t="str">
        <f>IF(OR(E525="",E525="!!!",F525="NEW"),"",INDEX(J$1:J524,SUMPRODUCT(MAX(ROW(E$1:E524)*(E525=E$1:E524)))))</f>
        <v/>
      </c>
      <c r="L525" s="25"/>
    </row>
    <row r="526" spans="1:12" x14ac:dyDescent="0.2">
      <c r="A526" t="s">
        <v>148</v>
      </c>
      <c r="B526" s="26" t="s">
        <v>819</v>
      </c>
      <c r="C526" s="26" t="s">
        <v>850</v>
      </c>
      <c r="E526" s="20" t="str">
        <f>IF(D526="?OLD","!!!","")</f>
        <v/>
      </c>
      <c r="F526" s="21" t="str">
        <f>IF(OR(E526="",E526="!!!"),"",IF(NOT(ISNA(VLOOKUP(E526,E$1:E525,1,FALSE()))),"OLD",IF(AND(E526&lt;&gt;"",E526&lt;&gt;"!!!"),"NEW","")))</f>
        <v/>
      </c>
      <c r="G526" s="22" t="str">
        <f>IF(OR(E526="",E526="!!!"),"",IF(OR(J526=0,AND(J526=1,K526=1),AND(J526=1,I526="SBJ"),AND(J526=1,I526=0)),"?IN_FOCUS",IF(J526&lt;=2,"?ACTIVATED",IF(J526&lt;&gt;"","?FAMILIAR",IF(F526="NEW",IF(ISNA(VLOOKUP(E526,#REF!,1,FALSE())),"?TYPE_IDENTIFIABLE","?REFERENTIAL"),"_")))))</f>
        <v/>
      </c>
      <c r="H526" s="23" t="str">
        <f ca="1">IF(J526&lt;&gt;1,"",IF(I526="SBJ","CB","?"))</f>
        <v/>
      </c>
      <c r="I526" s="24" t="str">
        <f>IF(OR(E526="",E526="!!!",F526="NEW"),"",INDEX(B$2:B525,-1+SUMPRODUCT(MAX(ROW(E$2:E525)*(E526=E$2:E525)))))</f>
        <v/>
      </c>
      <c r="J526" s="24" t="str">
        <f ca="1">IF(OR(E526="",E526="!!!",F526="NEW"),"",COUNTBLANK(OFFSET(A$1,,,SUMPRODUCT(MAX(ROW(E$2:E526)*(E526=E$2:E526)))))-COUNTBLANK(OFFSET(A$1,,,SUMPRODUCT(MAX(ROW(E$1:E525)*(E2=E$1:E525))))))</f>
        <v/>
      </c>
      <c r="K526" s="24" t="str">
        <f>IF(OR(E526="",E526="!!!",F526="NEW"),"",INDEX(J$1:J525,SUMPRODUCT(MAX(ROW(E$1:E525)*(E526=E$1:E525)))))</f>
        <v/>
      </c>
      <c r="L526" s="25"/>
    </row>
    <row r="527" spans="1:12" x14ac:dyDescent="0.2">
      <c r="A527" t="s">
        <v>922</v>
      </c>
      <c r="E527" s="20" t="str">
        <f>IF(D527="?OLD","!!!","")</f>
        <v/>
      </c>
      <c r="F527" s="21" t="str">
        <f>IF(OR(E527="",E527="!!!"),"",IF(NOT(ISNA(VLOOKUP(E527,E$1:E526,1,FALSE()))),"OLD",IF(AND(E527&lt;&gt;"",E527&lt;&gt;"!!!"),"NEW","")))</f>
        <v/>
      </c>
      <c r="G527" s="22" t="str">
        <f>IF(OR(E527="",E527="!!!"),"",IF(OR(J527=0,AND(J527=1,K527=1),AND(J527=1,I527="SBJ"),AND(J527=1,I527=0)),"?IN_FOCUS",IF(J527&lt;=2,"?ACTIVATED",IF(J527&lt;&gt;"","?FAMILIAR",IF(F527="NEW",IF(ISNA(VLOOKUP(E527,#REF!,1,FALSE())),"?TYPE_IDENTIFIABLE","?REFERENTIAL"),"_")))))</f>
        <v/>
      </c>
      <c r="H527" s="23" t="str">
        <f ca="1">IF(J527&lt;&gt;1,"",IF(I527="SBJ","CB","?"))</f>
        <v/>
      </c>
      <c r="I527" s="24" t="str">
        <f>IF(OR(E527="",E527="!!!",F527="NEW"),"",INDEX(B$2:B526,-1+SUMPRODUCT(MAX(ROW(E$2:E526)*(E527=E$2:E526)))))</f>
        <v/>
      </c>
      <c r="J527" s="24" t="str">
        <f ca="1">IF(OR(E527="",E527="!!!",F527="NEW"),"",COUNTBLANK(OFFSET(A$1,,,SUMPRODUCT(MAX(ROW(E$2:E527)*(E527=E$2:E527)))))-COUNTBLANK(OFFSET(A$1,,,SUMPRODUCT(MAX(ROW(E$1:E526)*(E2=E$1:E526))))))</f>
        <v/>
      </c>
      <c r="K527" s="24" t="str">
        <f>IF(OR(E527="",E527="!!!",F527="NEW"),"",INDEX(J$1:J526,SUMPRODUCT(MAX(ROW(E$1:E526)*(E527=E$1:E526)))))</f>
        <v/>
      </c>
      <c r="L527" s="25"/>
    </row>
    <row r="529" spans="1:12" x14ac:dyDescent="0.2">
      <c r="A529" t="s">
        <v>900</v>
      </c>
      <c r="E529" s="20" t="str">
        <f>IF(D529="?OLD","!!!","")</f>
        <v/>
      </c>
      <c r="F529" s="21" t="str">
        <f>IF(OR(E529="",E529="!!!"),"",IF(NOT(ISNA(VLOOKUP(E529,E$1:E528,1,FALSE()))),"OLD",IF(AND(E529&lt;&gt;"",E529&lt;&gt;"!!!"),"NEW","")))</f>
        <v/>
      </c>
      <c r="G529" s="22" t="str">
        <f>IF(OR(E529="",E529="!!!"),"",IF(OR(J529=0,AND(J529=1,K529=1),AND(J529=1,I529="SBJ"),AND(J529=1,I529=0)),"?IN_FOCUS",IF(J529&lt;=2,"?ACTIVATED",IF(J529&lt;&gt;"","?FAMILIAR",IF(F529="NEW",IF(ISNA(VLOOKUP(E529,#REF!,1,FALSE())),"?TYPE_IDENTIFIABLE","?REFERENTIAL"),"_")))))</f>
        <v/>
      </c>
      <c r="H529" s="23" t="str">
        <f ca="1">IF(J529&lt;&gt;1,"",IF(I529="SBJ","CB","?"))</f>
        <v/>
      </c>
      <c r="I529" s="24" t="str">
        <f>IF(OR(E529="",E529="!!!",F529="NEW"),"",INDEX(B$2:B528,-1+SUMPRODUCT(MAX(ROW(E$2:E528)*(E529=E$2:E528)))))</f>
        <v/>
      </c>
      <c r="J529" s="24" t="str">
        <f ca="1">IF(OR(E529="",E529="!!!",F529="NEW"),"",COUNTBLANK(OFFSET(A$1,,,SUMPRODUCT(MAX(ROW(E$2:E529)*(E529=E$2:E529)))))-COUNTBLANK(OFFSET(A$1,,,SUMPRODUCT(MAX(ROW(E$1:E528)*(E2=E$1:E528))))))</f>
        <v/>
      </c>
      <c r="K529" s="24" t="str">
        <f>IF(OR(E529="",E529="!!!",F529="NEW"),"",INDEX(J$1:J528,SUMPRODUCT(MAX(ROW(E$1:E528)*(E529=E$1:E528)))))</f>
        <v/>
      </c>
      <c r="L529" s="25"/>
    </row>
    <row r="530" spans="1:12" x14ac:dyDescent="0.2">
      <c r="A530" t="s">
        <v>1048</v>
      </c>
    </row>
    <row r="531" spans="1:12" x14ac:dyDescent="0.2">
      <c r="A531" t="s">
        <v>849</v>
      </c>
      <c r="B531" s="26" t="s">
        <v>810</v>
      </c>
      <c r="C531" s="26" t="s">
        <v>850</v>
      </c>
      <c r="E531" s="20" t="str">
        <f t="shared" ref="E531:E536" si="60">IF(D531="?OLD","!!!","")</f>
        <v/>
      </c>
      <c r="F531" s="21" t="str">
        <f>IF(OR(E531="",E531="!!!"),"",IF(NOT(ISNA(VLOOKUP(E531,E$1:E530,1,FALSE()))),"OLD",IF(AND(E531&lt;&gt;"",E531&lt;&gt;"!!!"),"NEW","")))</f>
        <v/>
      </c>
      <c r="G531" s="22" t="str">
        <f>IF(OR(E531="",E531="!!!"),"",IF(OR(J531=0,AND(J531=1,K531=1),AND(J531=1,I531="SBJ"),AND(J531=1,I531=0)),"?IN_FOCUS",IF(J531&lt;=2,"?ACTIVATED",IF(J531&lt;&gt;"","?FAMILIAR",IF(F531="NEW",IF(ISNA(VLOOKUP(E531,#REF!,1,FALSE())),"?TYPE_IDENTIFIABLE","?REFERENTIAL"),"_")))))</f>
        <v/>
      </c>
      <c r="H531" s="23" t="str">
        <f t="shared" ref="H531:H536" ca="1" si="61">IF(J531&lt;&gt;1,"",IF(I531="SBJ","CB","?"))</f>
        <v/>
      </c>
      <c r="I531" s="24" t="str">
        <f>IF(OR(E531="",E531="!!!",F531="NEW"),"",INDEX(B$2:B530,-1+SUMPRODUCT(MAX(ROW(E$2:E530)*(E531=E$2:E530)))))</f>
        <v/>
      </c>
      <c r="J531" s="24" t="str">
        <f ca="1">IF(OR(E531="",E531="!!!",F531="NEW"),"",COUNTBLANK(OFFSET(A$1,,,SUMPRODUCT(MAX(ROW(E$2:E531)*(E531=E$2:E531)))))-COUNTBLANK(OFFSET(A$1,,,SUMPRODUCT(MAX(ROW(E$1:E530)*(E2=E$1:E530))))))</f>
        <v/>
      </c>
      <c r="K531" s="24" t="str">
        <f>IF(OR(E531="",E531="!!!",F531="NEW"),"",INDEX(J$1:J530,SUMPRODUCT(MAX(ROW(E$1:E530)*(E531=E$1:E530)))))</f>
        <v/>
      </c>
      <c r="L531" s="25"/>
    </row>
    <row r="532" spans="1:12" x14ac:dyDescent="0.2">
      <c r="A532" t="s">
        <v>1018</v>
      </c>
      <c r="E532" s="20" t="str">
        <f t="shared" si="60"/>
        <v/>
      </c>
      <c r="F532" s="21" t="str">
        <f>IF(OR(E532="",E532="!!!"),"",IF(NOT(ISNA(VLOOKUP(E532,E$1:E531,1,FALSE()))),"OLD",IF(AND(E532&lt;&gt;"",E532&lt;&gt;"!!!"),"NEW","")))</f>
        <v/>
      </c>
      <c r="G532" s="22" t="str">
        <f>IF(OR(E532="",E532="!!!"),"",IF(OR(J532=0,AND(J532=1,K532=1),AND(J532=1,I532="SBJ"),AND(J532=1,I532=0)),"?IN_FOCUS",IF(J532&lt;=2,"?ACTIVATED",IF(J532&lt;&gt;"","?FAMILIAR",IF(F532="NEW",IF(ISNA(VLOOKUP(E532,#REF!,1,FALSE())),"?TYPE_IDENTIFIABLE","?REFERENTIAL"),"_")))))</f>
        <v/>
      </c>
      <c r="H532" s="23" t="str">
        <f t="shared" ca="1" si="61"/>
        <v/>
      </c>
      <c r="I532" s="24" t="str">
        <f>IF(OR(E532="",E532="!!!",F532="NEW"),"",INDEX(B$2:B531,-1+SUMPRODUCT(MAX(ROW(E$2:E531)*(E532=E$2:E531)))))</f>
        <v/>
      </c>
      <c r="J532" s="24" t="str">
        <f ca="1">IF(OR(E532="",E532="!!!",F532="NEW"),"",COUNTBLANK(OFFSET(A$1,,,SUMPRODUCT(MAX(ROW(E$2:E532)*(E532=E$2:E532)))))-COUNTBLANK(OFFSET(A$1,,,SUMPRODUCT(MAX(ROW(E$1:E531)*(E2=E$1:E531))))))</f>
        <v/>
      </c>
      <c r="K532" s="24" t="str">
        <f>IF(OR(E532="",E532="!!!",F532="NEW"),"",INDEX(J$1:J531,SUMPRODUCT(MAX(ROW(E$1:E531)*(E532=E$1:E531)))))</f>
        <v/>
      </c>
      <c r="L532" s="25"/>
    </row>
    <row r="533" spans="1:12" x14ac:dyDescent="0.2">
      <c r="A533" t="s">
        <v>866</v>
      </c>
      <c r="B533" s="26" t="s">
        <v>804</v>
      </c>
      <c r="C533" s="26" t="s">
        <v>805</v>
      </c>
      <c r="D533" s="26" t="s">
        <v>806</v>
      </c>
      <c r="E533" s="20" t="s">
        <v>1759</v>
      </c>
      <c r="F533" s="21" t="str">
        <f>IF(OR(E533="",E533="!!!"),"",IF(NOT(ISNA(VLOOKUP(E533,E$1:E532,1,FALSE()))),"OLD",IF(AND(E533&lt;&gt;"",E533&lt;&gt;"!!!"),"NEW","")))</f>
        <v>OLD</v>
      </c>
      <c r="G533" s="22" t="s">
        <v>1823</v>
      </c>
      <c r="H533" s="23" t="str">
        <f t="shared" ca="1" si="61"/>
        <v/>
      </c>
      <c r="I533" s="24" t="str">
        <f>IF(OR(E533="",E533="!!!",F533="NEW"),"",INDEX(B$2:B532,-1+SUMPRODUCT(MAX(ROW(E$2:E532)*(E533=E$2:E532)))))</f>
        <v>SBJ_2</v>
      </c>
      <c r="J533" s="24">
        <f ca="1">IF(OR(E533="",E533="!!!",F533="NEW"),"",COUNTBLANK(OFFSET(A$1,,,SUMPRODUCT(MAX(ROW(E$2:E533)*(E533=E$2:E533)))))-COUNTBLANK(OFFSET(A$1,,,SUMPRODUCT(MAX(ROW(E$1:E532)*(E2=E$1:E532))))))</f>
        <v>0</v>
      </c>
      <c r="K533" s="24">
        <f ca="1">IF(OR(E533="",E533="!!!",F533="NEW"),"",INDEX(J$1:J532,SUMPRODUCT(MAX(ROW(E$1:E532)*(E533=E$1:E532)))))</f>
        <v>0</v>
      </c>
      <c r="L533" s="25"/>
    </row>
    <row r="534" spans="1:12" x14ac:dyDescent="0.2">
      <c r="A534" t="s">
        <v>1049</v>
      </c>
      <c r="E534" s="20" t="str">
        <f t="shared" si="60"/>
        <v/>
      </c>
      <c r="F534" s="21" t="str">
        <f>IF(OR(E534="",E534="!!!"),"",IF(NOT(ISNA(VLOOKUP(E534,E$1:E533,1,FALSE()))),"OLD",IF(AND(E534&lt;&gt;"",E534&lt;&gt;"!!!"),"NEW","")))</f>
        <v/>
      </c>
      <c r="G534" s="22" t="str">
        <f>IF(OR(E534="",E534="!!!"),"",IF(OR(J534=0,AND(J534=1,K534=1),AND(J534=1,I534="SBJ"),AND(J534=1,I534=0)),"?IN_FOCUS",IF(J534&lt;=2,"?ACTIVATED",IF(J534&lt;&gt;"","?FAMILIAR",IF(F534="NEW",IF(ISNA(VLOOKUP(E534,#REF!,1,FALSE())),"?TYPE_IDENTIFIABLE","?REFERENTIAL"),"_")))))</f>
        <v/>
      </c>
      <c r="H534" s="23" t="str">
        <f t="shared" ca="1" si="61"/>
        <v/>
      </c>
      <c r="I534" s="24" t="str">
        <f>IF(OR(E534="",E534="!!!",F534="NEW"),"",INDEX(B$2:B533,-1+SUMPRODUCT(MAX(ROW(E$2:E533)*(E534=E$2:E533)))))</f>
        <v/>
      </c>
      <c r="J534" s="24" t="str">
        <f ca="1">IF(OR(E534="",E534="!!!",F534="NEW"),"",COUNTBLANK(OFFSET(A$1,,,SUMPRODUCT(MAX(ROW(E$2:E534)*(E534=E$2:E534)))))-COUNTBLANK(OFFSET(A$1,,,SUMPRODUCT(MAX(ROW(E$1:E533)*(E2=E$1:E533))))))</f>
        <v/>
      </c>
      <c r="K534" s="24" t="str">
        <f>IF(OR(E534="",E534="!!!",F534="NEW"),"",INDEX(J$1:J533,SUMPRODUCT(MAX(ROW(E$1:E533)*(E534=E$1:E533)))))</f>
        <v/>
      </c>
      <c r="L534" s="25"/>
    </row>
    <row r="535" spans="1:12" x14ac:dyDescent="0.2">
      <c r="A535" t="s">
        <v>922</v>
      </c>
      <c r="E535" s="20" t="str">
        <f t="shared" si="60"/>
        <v/>
      </c>
      <c r="F535" s="21" t="str">
        <f>IF(OR(E535="",E535="!!!"),"",IF(NOT(ISNA(VLOOKUP(E535,E$1:E534,1,FALSE()))),"OLD",IF(AND(E535&lt;&gt;"",E535&lt;&gt;"!!!"),"NEW","")))</f>
        <v/>
      </c>
      <c r="G535" s="22" t="str">
        <f>IF(OR(E535="",E535="!!!"),"",IF(OR(J535=0,AND(J535=1,K535=1),AND(J535=1,I535="SBJ"),AND(J535=1,I535=0)),"?IN_FOCUS",IF(J535&lt;=2,"?ACTIVATED",IF(J535&lt;&gt;"","?FAMILIAR",IF(F535="NEW",IF(ISNA(VLOOKUP(E535,#REF!,1,FALSE())),"?TYPE_IDENTIFIABLE","?REFERENTIAL"),"_")))))</f>
        <v/>
      </c>
      <c r="H535" s="23" t="str">
        <f t="shared" ca="1" si="61"/>
        <v/>
      </c>
      <c r="I535" s="24" t="str">
        <f>IF(OR(E535="",E535="!!!",F535="NEW"),"",INDEX(B$2:B534,-1+SUMPRODUCT(MAX(ROW(E$2:E534)*(E535=E$2:E534)))))</f>
        <v/>
      </c>
      <c r="J535" s="24" t="str">
        <f ca="1">IF(OR(E535="",E535="!!!",F535="NEW"),"",COUNTBLANK(OFFSET(A$1,,,SUMPRODUCT(MAX(ROW(E$2:E535)*(E535=E$2:E535)))))-COUNTBLANK(OFFSET(A$1,,,SUMPRODUCT(MAX(ROW(E$1:E534)*(E2=E$1:E534))))))</f>
        <v/>
      </c>
      <c r="K535" s="24" t="str">
        <f>IF(OR(E535="",E535="!!!",F535="NEW"),"",INDEX(J$1:J534,SUMPRODUCT(MAX(ROW(E$1:E534)*(E535=E$1:E534)))))</f>
        <v/>
      </c>
      <c r="L535" s="25"/>
    </row>
    <row r="536" spans="1:12" x14ac:dyDescent="0.2">
      <c r="A536" t="s">
        <v>902</v>
      </c>
      <c r="E536" s="20" t="str">
        <f t="shared" si="60"/>
        <v/>
      </c>
      <c r="F536" s="21" t="str">
        <f>IF(OR(E536="",E536="!!!"),"",IF(NOT(ISNA(VLOOKUP(E536,E$1:E535,1,FALSE()))),"OLD",IF(AND(E536&lt;&gt;"",E536&lt;&gt;"!!!"),"NEW","")))</f>
        <v/>
      </c>
      <c r="G536" s="22" t="str">
        <f>IF(OR(E536="",E536="!!!"),"",IF(OR(J536=0,AND(J536=1,K536=1),AND(J536=1,I536="SBJ"),AND(J536=1,I536=0)),"?IN_FOCUS",IF(J536&lt;=2,"?ACTIVATED",IF(J536&lt;&gt;"","?FAMILIAR",IF(F536="NEW",IF(ISNA(VLOOKUP(E536,#REF!,1,FALSE())),"?TYPE_IDENTIFIABLE","?REFERENTIAL"),"_")))))</f>
        <v/>
      </c>
      <c r="H536" s="23" t="str">
        <f t="shared" ca="1" si="61"/>
        <v/>
      </c>
      <c r="I536" s="24" t="str">
        <f>IF(OR(E536="",E536="!!!",F536="NEW"),"",INDEX(B$2:B535,-1+SUMPRODUCT(MAX(ROW(E$2:E535)*(E536=E$2:E535)))))</f>
        <v/>
      </c>
      <c r="J536" s="24" t="str">
        <f ca="1">IF(OR(E536="",E536="!!!",F536="NEW"),"",COUNTBLANK(OFFSET(A$1,,,SUMPRODUCT(MAX(ROW(E$2:E536)*(E536=E$2:E536)))))-COUNTBLANK(OFFSET(A$1,,,SUMPRODUCT(MAX(ROW(E$1:E535)*(E2=E$1:E535))))))</f>
        <v/>
      </c>
      <c r="K536" s="24" t="str">
        <f>IF(OR(E536="",E536="!!!",F536="NEW"),"",INDEX(J$1:J535,SUMPRODUCT(MAX(ROW(E$1:E535)*(E536=E$1:E535)))))</f>
        <v/>
      </c>
      <c r="L536" s="25"/>
    </row>
    <row r="538" spans="1:12" x14ac:dyDescent="0.2">
      <c r="A538" t="s">
        <v>900</v>
      </c>
      <c r="E538" s="20" t="str">
        <f>IF(D538="?OLD","!!!","")</f>
        <v/>
      </c>
      <c r="F538" s="21" t="str">
        <f>IF(OR(E538="",E538="!!!"),"",IF(NOT(ISNA(VLOOKUP(E538,E$1:E537,1,FALSE()))),"OLD",IF(AND(E538&lt;&gt;"",E538&lt;&gt;"!!!"),"NEW","")))</f>
        <v/>
      </c>
      <c r="G538" s="22" t="str">
        <f>IF(OR(E538="",E538="!!!"),"",IF(OR(J538=0,AND(J538=1,K538=1),AND(J538=1,I538="SBJ"),AND(J538=1,I538=0)),"?IN_FOCUS",IF(J538&lt;=2,"?ACTIVATED",IF(J538&lt;&gt;"","?FAMILIAR",IF(F538="NEW",IF(ISNA(VLOOKUP(E538,#REF!,1,FALSE())),"?TYPE_IDENTIFIABLE","?REFERENTIAL"),"_")))))</f>
        <v/>
      </c>
      <c r="H538" s="23" t="str">
        <f ca="1">IF(J538&lt;&gt;1,"",IF(I538="SBJ","CB","?"))</f>
        <v/>
      </c>
      <c r="I538" s="24" t="str">
        <f>IF(OR(E538="",E538="!!!",F538="NEW"),"",INDEX(B$2:B537,-1+SUMPRODUCT(MAX(ROW(E$2:E537)*(E538=E$2:E537)))))</f>
        <v/>
      </c>
      <c r="J538" s="24" t="str">
        <f ca="1">IF(OR(E538="",E538="!!!",F538="NEW"),"",COUNTBLANK(OFFSET(A$1,,,SUMPRODUCT(MAX(ROW(E$2:E538)*(E538=E$2:E538)))))-COUNTBLANK(OFFSET(A$1,,,SUMPRODUCT(MAX(ROW(E$1:E537)*(E2=E$1:E537))))))</f>
        <v/>
      </c>
      <c r="K538" s="24" t="str">
        <f>IF(OR(E538="",E538="!!!",F538="NEW"),"",INDEX(J$1:J537,SUMPRODUCT(MAX(ROW(E$1:E537)*(E538=E$1:E537)))))</f>
        <v/>
      </c>
      <c r="L538" s="25"/>
    </row>
    <row r="539" spans="1:12" x14ac:dyDescent="0.2">
      <c r="A539" t="s">
        <v>1050</v>
      </c>
    </row>
    <row r="540" spans="1:12" x14ac:dyDescent="0.2">
      <c r="A540" t="s">
        <v>902</v>
      </c>
      <c r="E540" s="20" t="str">
        <f t="shared" ref="E540:E547" si="62">IF(D540="?OLD","!!!","")</f>
        <v/>
      </c>
      <c r="F540" s="21" t="str">
        <f>IF(OR(E540="",E540="!!!"),"",IF(NOT(ISNA(VLOOKUP(E540,E$1:E539,1,FALSE()))),"OLD",IF(AND(E540&lt;&gt;"",E540&lt;&gt;"!!!"),"NEW","")))</f>
        <v/>
      </c>
      <c r="G540" s="22" t="str">
        <f>IF(OR(E540="",E540="!!!"),"",IF(OR(J540=0,AND(J540=1,K540=1),AND(J540=1,I540="SBJ"),AND(J540=1,I540=0)),"?IN_FOCUS",IF(J540&lt;=2,"?ACTIVATED",IF(J540&lt;&gt;"","?FAMILIAR",IF(F540="NEW",IF(ISNA(VLOOKUP(E540,#REF!,1,FALSE())),"?TYPE_IDENTIFIABLE","?REFERENTIAL"),"_")))))</f>
        <v/>
      </c>
      <c r="H540" s="23" t="str">
        <f t="shared" ref="H540:H547" ca="1" si="63">IF(J540&lt;&gt;1,"",IF(I540="SBJ","CB","?"))</f>
        <v/>
      </c>
      <c r="I540" s="24" t="str">
        <f>IF(OR(E540="",E540="!!!",F540="NEW"),"",INDEX(B$2:B539,-1+SUMPRODUCT(MAX(ROW(E$2:E539)*(E540=E$2:E539)))))</f>
        <v/>
      </c>
      <c r="J540" s="24" t="str">
        <f ca="1">IF(OR(E540="",E540="!!!",F540="NEW"),"",COUNTBLANK(OFFSET(A$1,,,SUMPRODUCT(MAX(ROW(E$2:E540)*(E540=E$2:E540)))))-COUNTBLANK(OFFSET(A$1,,,SUMPRODUCT(MAX(ROW(E$1:E539)*(E2=E$1:E539))))))</f>
        <v/>
      </c>
      <c r="K540" s="24" t="str">
        <f>IF(OR(E540="",E540="!!!",F540="NEW"),"",INDEX(J$1:J539,SUMPRODUCT(MAX(ROW(E$1:E539)*(E540=E$1:E539)))))</f>
        <v/>
      </c>
      <c r="L540" s="25"/>
    </row>
    <row r="541" spans="1:12" x14ac:dyDescent="0.2">
      <c r="A541" t="s">
        <v>1051</v>
      </c>
      <c r="E541" s="20" t="str">
        <f t="shared" si="62"/>
        <v/>
      </c>
      <c r="F541" s="21" t="str">
        <f>IF(OR(E541="",E541="!!!"),"",IF(NOT(ISNA(VLOOKUP(E541,E$1:E540,1,FALSE()))),"OLD",IF(AND(E541&lt;&gt;"",E541&lt;&gt;"!!!"),"NEW","")))</f>
        <v/>
      </c>
      <c r="G541" s="22" t="str">
        <f>IF(OR(E541="",E541="!!!"),"",IF(OR(J541=0,AND(J541=1,K541=1),AND(J541=1,I541="SBJ"),AND(J541=1,I541=0)),"?IN_FOCUS",IF(J541&lt;=2,"?ACTIVATED",IF(J541&lt;&gt;"","?FAMILIAR",IF(F541="NEW",IF(ISNA(VLOOKUP(E541,#REF!,1,FALSE())),"?TYPE_IDENTIFIABLE","?REFERENTIAL"),"_")))))</f>
        <v/>
      </c>
      <c r="H541" s="23" t="str">
        <f t="shared" ca="1" si="63"/>
        <v/>
      </c>
      <c r="I541" s="24" t="str">
        <f>IF(OR(E541="",E541="!!!",F541="NEW"),"",INDEX(B$2:B540,-1+SUMPRODUCT(MAX(ROW(E$2:E540)*(E541=E$2:E540)))))</f>
        <v/>
      </c>
      <c r="J541" s="24" t="str">
        <f ca="1">IF(OR(E541="",E541="!!!",F541="NEW"),"",COUNTBLANK(OFFSET(A$1,,,SUMPRODUCT(MAX(ROW(E$2:E541)*(E541=E$2:E541)))))-COUNTBLANK(OFFSET(A$1,,,SUMPRODUCT(MAX(ROW(E$1:E540)*(E2=E$1:E540))))))</f>
        <v/>
      </c>
      <c r="K541" s="24" t="str">
        <f>IF(OR(E541="",E541="!!!",F541="NEW"),"",INDEX(J$1:J540,SUMPRODUCT(MAX(ROW(E$1:E540)*(E541=E$1:E540)))))</f>
        <v/>
      </c>
      <c r="L541" s="25"/>
    </row>
    <row r="542" spans="1:12" x14ac:dyDescent="0.2">
      <c r="A542" t="s">
        <v>1052</v>
      </c>
      <c r="B542" s="26" t="s">
        <v>819</v>
      </c>
      <c r="C542" s="26" t="s">
        <v>814</v>
      </c>
      <c r="E542" s="20" t="str">
        <f t="shared" si="62"/>
        <v/>
      </c>
      <c r="F542" s="21" t="str">
        <f>IF(OR(E542="",E542="!!!"),"",IF(NOT(ISNA(VLOOKUP(E542,E$1:E541,1,FALSE()))),"OLD",IF(AND(E542&lt;&gt;"",E542&lt;&gt;"!!!"),"NEW","")))</f>
        <v/>
      </c>
      <c r="G542" s="22" t="str">
        <f>IF(OR(E542="",E542="!!!"),"",IF(OR(J542=0,AND(J542=1,K542=1),AND(J542=1,I542="SBJ"),AND(J542=1,I542=0)),"?IN_FOCUS",IF(J542&lt;=2,"?ACTIVATED",IF(J542&lt;&gt;"","?FAMILIAR",IF(F542="NEW",IF(ISNA(VLOOKUP(E542,#REF!,1,FALSE())),"?TYPE_IDENTIFIABLE","?REFERENTIAL"),"_")))))</f>
        <v/>
      </c>
      <c r="H542" s="23" t="str">
        <f t="shared" ca="1" si="63"/>
        <v/>
      </c>
      <c r="I542" s="24" t="str">
        <f>IF(OR(E542="",E542="!!!",F542="NEW"),"",INDEX(B$2:B541,-1+SUMPRODUCT(MAX(ROW(E$2:E541)*(E542=E$2:E541)))))</f>
        <v/>
      </c>
      <c r="J542" s="24" t="str">
        <f ca="1">IF(OR(E542="",E542="!!!",F542="NEW"),"",COUNTBLANK(OFFSET(A$1,,,SUMPRODUCT(MAX(ROW(E$2:E542)*(E542=E$2:E542)))))-COUNTBLANK(OFFSET(A$1,,,SUMPRODUCT(MAX(ROW(E$1:E541)*(E2=E$1:E541))))))</f>
        <v/>
      </c>
      <c r="K542" s="24" t="str">
        <f>IF(OR(E542="",E542="!!!",F542="NEW"),"",INDEX(J$1:J541,SUMPRODUCT(MAX(ROW(E$1:E541)*(E542=E$1:E541)))))</f>
        <v/>
      </c>
      <c r="L542" s="25"/>
    </row>
    <row r="543" spans="1:12" x14ac:dyDescent="0.2">
      <c r="A543" t="s">
        <v>802</v>
      </c>
      <c r="E543" s="20" t="str">
        <f t="shared" si="62"/>
        <v/>
      </c>
      <c r="F543" s="21" t="str">
        <f>IF(OR(E543="",E543="!!!"),"",IF(NOT(ISNA(VLOOKUP(E543,E$1:E542,1,FALSE()))),"OLD",IF(AND(E543&lt;&gt;"",E543&lt;&gt;"!!!"),"NEW","")))</f>
        <v/>
      </c>
      <c r="G543" s="22" t="str">
        <f>IF(OR(E543="",E543="!!!"),"",IF(OR(J543=0,AND(J543=1,K543=1),AND(J543=1,I543="SBJ"),AND(J543=1,I543=0)),"?IN_FOCUS",IF(J543&lt;=2,"?ACTIVATED",IF(J543&lt;&gt;"","?FAMILIAR",IF(F543="NEW",IF(ISNA(VLOOKUP(E543,#REF!,1,FALSE())),"?TYPE_IDENTIFIABLE","?REFERENTIAL"),"_")))))</f>
        <v/>
      </c>
      <c r="H543" s="23" t="str">
        <f t="shared" ca="1" si="63"/>
        <v/>
      </c>
      <c r="I543" s="24" t="str">
        <f>IF(OR(E543="",E543="!!!",F543="NEW"),"",INDEX(B$2:B542,-1+SUMPRODUCT(MAX(ROW(E$2:E542)*(E543=E$2:E542)))))</f>
        <v/>
      </c>
      <c r="J543" s="24" t="str">
        <f ca="1">IF(OR(E543="",E543="!!!",F543="NEW"),"",COUNTBLANK(OFFSET(A$1,,,SUMPRODUCT(MAX(ROW(E$2:E543)*(E543=E$2:E543)))))-COUNTBLANK(OFFSET(A$1,,,SUMPRODUCT(MAX(ROW(E$1:E542)*(E2=E$1:E542))))))</f>
        <v/>
      </c>
      <c r="K543" s="24" t="str">
        <f>IF(OR(E543="",E543="!!!",F543="NEW"),"",INDEX(J$1:J542,SUMPRODUCT(MAX(ROW(E$1:E542)*(E543=E$1:E542)))))</f>
        <v/>
      </c>
      <c r="L543" s="25"/>
    </row>
    <row r="544" spans="1:12" x14ac:dyDescent="0.2">
      <c r="A544" t="s">
        <v>902</v>
      </c>
      <c r="E544" s="20" t="str">
        <f t="shared" si="62"/>
        <v/>
      </c>
      <c r="F544" s="21" t="str">
        <f>IF(OR(E544="",E544="!!!"),"",IF(NOT(ISNA(VLOOKUP(E544,E$1:E543,1,FALSE()))),"OLD",IF(AND(E544&lt;&gt;"",E544&lt;&gt;"!!!"),"NEW","")))</f>
        <v/>
      </c>
      <c r="G544" s="22" t="str">
        <f>IF(OR(E544="",E544="!!!"),"",IF(OR(J544=0,AND(J544=1,K544=1),AND(J544=1,I544="SBJ"),AND(J544=1,I544=0)),"?IN_FOCUS",IF(J544&lt;=2,"?ACTIVATED",IF(J544&lt;&gt;"","?FAMILIAR",IF(F544="NEW",IF(ISNA(VLOOKUP(E544,#REF!,1,FALSE())),"?TYPE_IDENTIFIABLE","?REFERENTIAL"),"_")))))</f>
        <v/>
      </c>
      <c r="H544" s="23" t="str">
        <f t="shared" ca="1" si="63"/>
        <v/>
      </c>
      <c r="I544" s="24" t="str">
        <f>IF(OR(E544="",E544="!!!",F544="NEW"),"",INDEX(B$2:B543,-1+SUMPRODUCT(MAX(ROW(E$2:E543)*(E544=E$2:E543)))))</f>
        <v/>
      </c>
      <c r="J544" s="24" t="str">
        <f ca="1">IF(OR(E544="",E544="!!!",F544="NEW"),"",COUNTBLANK(OFFSET(A$1,,,SUMPRODUCT(MAX(ROW(E$2:E544)*(E544=E$2:E544)))))-COUNTBLANK(OFFSET(A$1,,,SUMPRODUCT(MAX(ROW(E$1:E543)*(E2=E$1:E543))))))</f>
        <v/>
      </c>
      <c r="K544" s="24" t="str">
        <f>IF(OR(E544="",E544="!!!",F544="NEW"),"",INDEX(J$1:J543,SUMPRODUCT(MAX(ROW(E$1:E543)*(E544=E$1:E543)))))</f>
        <v/>
      </c>
      <c r="L544" s="25"/>
    </row>
    <row r="545" spans="1:12" x14ac:dyDescent="0.2">
      <c r="A545" t="s">
        <v>1024</v>
      </c>
      <c r="B545" s="26" t="s">
        <v>804</v>
      </c>
      <c r="C545" s="26" t="s">
        <v>805</v>
      </c>
      <c r="D545" s="26" t="s">
        <v>806</v>
      </c>
      <c r="E545" s="20" t="s">
        <v>1760</v>
      </c>
      <c r="F545" s="21" t="str">
        <f>IF(OR(E545="",E545="!!!"),"",IF(NOT(ISNA(VLOOKUP(E545,E$1:E544,1,FALSE()))),"OLD",IF(AND(E545&lt;&gt;"",E545&lt;&gt;"!!!"),"NEW","")))</f>
        <v>OLD</v>
      </c>
      <c r="G545" s="22" t="s">
        <v>1823</v>
      </c>
      <c r="H545" s="23" t="str">
        <f t="shared" ca="1" si="63"/>
        <v/>
      </c>
      <c r="I545" s="24" t="str">
        <f>IF(OR(E545="",E545="!!!",F545="NEW"),"",INDEX(B$2:B544,-1+SUMPRODUCT(MAX(ROW(E$2:E544)*(E545=E$2:E544)))))</f>
        <v>SBJ</v>
      </c>
      <c r="J545" s="24">
        <f ca="1">IF(OR(E545="",E545="!!!",F545="NEW"),"",COUNTBLANK(OFFSET(A$1,,,SUMPRODUCT(MAX(ROW(E$2:E545)*(E545=E$2:E545)))))-COUNTBLANK(OFFSET(A$1,,,SUMPRODUCT(MAX(ROW(E$1:E544)*(E2=E$1:E544))))))</f>
        <v>0</v>
      </c>
      <c r="K545" s="24">
        <f ca="1">IF(OR(E545="",E545="!!!",F545="NEW"),"",INDEX(J$1:J544,SUMPRODUCT(MAX(ROW(E$1:E544)*(E545=E$1:E544)))))</f>
        <v>0</v>
      </c>
      <c r="L545" s="25"/>
    </row>
    <row r="546" spans="1:12" x14ac:dyDescent="0.2">
      <c r="A546" t="s">
        <v>904</v>
      </c>
      <c r="E546" s="20" t="str">
        <f t="shared" si="62"/>
        <v/>
      </c>
      <c r="F546" s="21" t="str">
        <f>IF(OR(E546="",E546="!!!"),"",IF(NOT(ISNA(VLOOKUP(E546,E$1:E545,1,FALSE()))),"OLD",IF(AND(E546&lt;&gt;"",E546&lt;&gt;"!!!"),"NEW","")))</f>
        <v/>
      </c>
      <c r="G546" s="22" t="str">
        <f>IF(OR(E546="",E546="!!!"),"",IF(OR(J546=0,AND(J546=1,K546=1),AND(J546=1,I546="SBJ"),AND(J546=1,I546=0)),"?IN_FOCUS",IF(J546&lt;=2,"?ACTIVATED",IF(J546&lt;&gt;"","?FAMILIAR",IF(F546="NEW",IF(ISNA(VLOOKUP(E546,#REF!,1,FALSE())),"?TYPE_IDENTIFIABLE","?REFERENTIAL"),"_")))))</f>
        <v/>
      </c>
      <c r="H546" s="23" t="str">
        <f t="shared" ca="1" si="63"/>
        <v/>
      </c>
      <c r="I546" s="24" t="str">
        <f>IF(OR(E546="",E546="!!!",F546="NEW"),"",INDEX(B$2:B545,-1+SUMPRODUCT(MAX(ROW(E$2:E545)*(E546=E$2:E545)))))</f>
        <v/>
      </c>
      <c r="J546" s="24" t="str">
        <f ca="1">IF(OR(E546="",E546="!!!",F546="NEW"),"",COUNTBLANK(OFFSET(A$1,,,SUMPRODUCT(MAX(ROW(E$2:E546)*(E546=E$2:E546)))))-COUNTBLANK(OFFSET(A$1,,,SUMPRODUCT(MAX(ROW(E$1:E545)*(E2=E$1:E545))))))</f>
        <v/>
      </c>
      <c r="K546" s="24" t="str">
        <f>IF(OR(E546="",E546="!!!",F546="NEW"),"",INDEX(J$1:J545,SUMPRODUCT(MAX(ROW(E$1:E545)*(E546=E$1:E545)))))</f>
        <v/>
      </c>
      <c r="L546" s="25"/>
    </row>
    <row r="547" spans="1:12" x14ac:dyDescent="0.2">
      <c r="A547" t="s">
        <v>821</v>
      </c>
      <c r="E547" s="20" t="str">
        <f t="shared" si="62"/>
        <v/>
      </c>
      <c r="F547" s="21" t="str">
        <f>IF(OR(E547="",E547="!!!"),"",IF(NOT(ISNA(VLOOKUP(E547,E$1:E546,1,FALSE()))),"OLD",IF(AND(E547&lt;&gt;"",E547&lt;&gt;"!!!"),"NEW","")))</f>
        <v/>
      </c>
      <c r="G547" s="22" t="str">
        <f>IF(OR(E547="",E547="!!!"),"",IF(OR(J547=0,AND(J547=1,K547=1),AND(J547=1,I547="SBJ"),AND(J547=1,I547=0)),"?IN_FOCUS",IF(J547&lt;=2,"?ACTIVATED",IF(J547&lt;&gt;"","?FAMILIAR",IF(F547="NEW",IF(ISNA(VLOOKUP(E547,#REF!,1,FALSE())),"?TYPE_IDENTIFIABLE","?REFERENTIAL"),"_")))))</f>
        <v/>
      </c>
      <c r="H547" s="23" t="str">
        <f t="shared" ca="1" si="63"/>
        <v/>
      </c>
      <c r="I547" s="24" t="str">
        <f>IF(OR(E547="",E547="!!!",F547="NEW"),"",INDEX(B$2:B546,-1+SUMPRODUCT(MAX(ROW(E$2:E546)*(E547=E$2:E546)))))</f>
        <v/>
      </c>
      <c r="J547" s="24" t="str">
        <f ca="1">IF(OR(E547="",E547="!!!",F547="NEW"),"",COUNTBLANK(OFFSET(A$1,,,SUMPRODUCT(MAX(ROW(E$2:E547)*(E547=E$2:E547)))))-COUNTBLANK(OFFSET(A$1,,,SUMPRODUCT(MAX(ROW(E$1:E546)*(E2=E$1:E546))))))</f>
        <v/>
      </c>
      <c r="K547" s="24" t="str">
        <f>IF(OR(E547="",E547="!!!",F547="NEW"),"",INDEX(J$1:J546,SUMPRODUCT(MAX(ROW(E$1:E546)*(E547=E$1:E546)))))</f>
        <v/>
      </c>
      <c r="L547" s="25"/>
    </row>
    <row r="549" spans="1:12" x14ac:dyDescent="0.2">
      <c r="A549" t="s">
        <v>900</v>
      </c>
      <c r="E549" s="20" t="str">
        <f>IF(D549="?OLD","!!!","")</f>
        <v/>
      </c>
      <c r="F549" s="21" t="str">
        <f>IF(OR(E549="",E549="!!!"),"",IF(NOT(ISNA(VLOOKUP(E549,E$1:E548,1,FALSE()))),"OLD",IF(AND(E549&lt;&gt;"",E549&lt;&gt;"!!!"),"NEW","")))</f>
        <v/>
      </c>
      <c r="G549" s="22" t="str">
        <f>IF(OR(E549="",E549="!!!"),"",IF(OR(J549=0,AND(J549=1,K549=1),AND(J549=1,I549="SBJ"),AND(J549=1,I549=0)),"?IN_FOCUS",IF(J549&lt;=2,"?ACTIVATED",IF(J549&lt;&gt;"","?FAMILIAR",IF(F549="NEW",IF(ISNA(VLOOKUP(E549,#REF!,1,FALSE())),"?TYPE_IDENTIFIABLE","?REFERENTIAL"),"_")))))</f>
        <v/>
      </c>
      <c r="H549" s="23" t="str">
        <f ca="1">IF(J549&lt;&gt;1,"",IF(I549="SBJ","CB","?"))</f>
        <v/>
      </c>
      <c r="I549" s="24" t="str">
        <f>IF(OR(E549="",E549="!!!",F549="NEW"),"",INDEX(B$2:B548,-1+SUMPRODUCT(MAX(ROW(E$2:E548)*(E549=E$2:E548)))))</f>
        <v/>
      </c>
      <c r="J549" s="24" t="str">
        <f ca="1">IF(OR(E549="",E549="!!!",F549="NEW"),"",COUNTBLANK(OFFSET(A$1,,,SUMPRODUCT(MAX(ROW(E$2:E549)*(E549=E$2:E549)))))-COUNTBLANK(OFFSET(A$1,,,SUMPRODUCT(MAX(ROW(E$1:E548)*(E2=E$1:E548))))))</f>
        <v/>
      </c>
      <c r="K549" s="24" t="str">
        <f>IF(OR(E549="",E549="!!!",F549="NEW"),"",INDEX(J$1:J548,SUMPRODUCT(MAX(ROW(E$1:E548)*(E549=E$1:E548)))))</f>
        <v/>
      </c>
      <c r="L549" s="25"/>
    </row>
    <row r="550" spans="1:12" x14ac:dyDescent="0.2">
      <c r="A550" t="s">
        <v>1053</v>
      </c>
    </row>
    <row r="551" spans="1:12" x14ac:dyDescent="0.2">
      <c r="A551" t="s">
        <v>902</v>
      </c>
      <c r="E551" s="20" t="str">
        <f t="shared" ref="E551:E557" si="64">IF(D551="?OLD","!!!","")</f>
        <v/>
      </c>
      <c r="F551" s="21" t="str">
        <f>IF(OR(E551="",E551="!!!"),"",IF(NOT(ISNA(VLOOKUP(E551,E$1:E550,1,FALSE()))),"OLD",IF(AND(E551&lt;&gt;"",E551&lt;&gt;"!!!"),"NEW","")))</f>
        <v/>
      </c>
      <c r="G551" s="22" t="str">
        <f>IF(OR(E551="",E551="!!!"),"",IF(OR(J551=0,AND(J551=1,K551=1),AND(J551=1,I551="SBJ"),AND(J551=1,I551=0)),"?IN_FOCUS",IF(J551&lt;=2,"?ACTIVATED",IF(J551&lt;&gt;"","?FAMILIAR",IF(F551="NEW",IF(ISNA(VLOOKUP(E551,#REF!,1,FALSE())),"?TYPE_IDENTIFIABLE","?REFERENTIAL"),"_")))))</f>
        <v/>
      </c>
      <c r="H551" s="23" t="str">
        <f t="shared" ref="H551:H557" ca="1" si="65">IF(J551&lt;&gt;1,"",IF(I551="SBJ","CB","?"))</f>
        <v/>
      </c>
      <c r="I551" s="24" t="str">
        <f>IF(OR(E551="",E551="!!!",F551="NEW"),"",INDEX(B$2:B550,-1+SUMPRODUCT(MAX(ROW(E$2:E550)*(E551=E$2:E550)))))</f>
        <v/>
      </c>
      <c r="J551" s="24" t="str">
        <f ca="1">IF(OR(E551="",E551="!!!",F551="NEW"),"",COUNTBLANK(OFFSET(A$1,,,SUMPRODUCT(MAX(ROW(E$2:E551)*(E551=E$2:E551)))))-COUNTBLANK(OFFSET(A$1,,,SUMPRODUCT(MAX(ROW(E$1:E550)*(E2=E$1:E550))))))</f>
        <v/>
      </c>
      <c r="K551" s="24" t="str">
        <f>IF(OR(E551="",E551="!!!",F551="NEW"),"",INDEX(J$1:J550,SUMPRODUCT(MAX(ROW(E$1:E550)*(E551=E$1:E550)))))</f>
        <v/>
      </c>
      <c r="L551" s="25"/>
    </row>
    <row r="552" spans="1:12" x14ac:dyDescent="0.2">
      <c r="A552" t="s">
        <v>1054</v>
      </c>
      <c r="E552" s="20" t="str">
        <f t="shared" si="64"/>
        <v/>
      </c>
      <c r="F552" s="21" t="str">
        <f>IF(OR(E552="",E552="!!!"),"",IF(NOT(ISNA(VLOOKUP(E552,E$1:E551,1,FALSE()))),"OLD",IF(AND(E552&lt;&gt;"",E552&lt;&gt;"!!!"),"NEW","")))</f>
        <v/>
      </c>
      <c r="G552" s="22" t="str">
        <f>IF(OR(E552="",E552="!!!"),"",IF(OR(J552=0,AND(J552=1,K552=1),AND(J552=1,I552="SBJ"),AND(J552=1,I552=0)),"?IN_FOCUS",IF(J552&lt;=2,"?ACTIVATED",IF(J552&lt;&gt;"","?FAMILIAR",IF(F552="NEW",IF(ISNA(VLOOKUP(E552,#REF!,1,FALSE())),"?TYPE_IDENTIFIABLE","?REFERENTIAL"),"_")))))</f>
        <v/>
      </c>
      <c r="H552" s="23" t="str">
        <f t="shared" ca="1" si="65"/>
        <v/>
      </c>
      <c r="I552" s="24" t="str">
        <f>IF(OR(E552="",E552="!!!",F552="NEW"),"",INDEX(B$2:B551,-1+SUMPRODUCT(MAX(ROW(E$2:E551)*(E552=E$2:E551)))))</f>
        <v/>
      </c>
      <c r="J552" s="24" t="str">
        <f ca="1">IF(OR(E552="",E552="!!!",F552="NEW"),"",COUNTBLANK(OFFSET(A$1,,,SUMPRODUCT(MAX(ROW(E$2:E552)*(E552=E$2:E552)))))-COUNTBLANK(OFFSET(A$1,,,SUMPRODUCT(MAX(ROW(E$1:E551)*(E2=E$1:E551))))))</f>
        <v/>
      </c>
      <c r="K552" s="24" t="str">
        <f>IF(OR(E552="",E552="!!!",F552="NEW"),"",INDEX(J$1:J551,SUMPRODUCT(MAX(ROW(E$1:E551)*(E552=E$1:E551)))))</f>
        <v/>
      </c>
      <c r="L552" s="25"/>
    </row>
    <row r="553" spans="1:12" x14ac:dyDescent="0.2">
      <c r="A553" t="s">
        <v>802</v>
      </c>
      <c r="E553" s="20" t="str">
        <f t="shared" si="64"/>
        <v/>
      </c>
      <c r="F553" s="21" t="str">
        <f>IF(OR(E553="",E553="!!!"),"",IF(NOT(ISNA(VLOOKUP(E553,E$1:E552,1,FALSE()))),"OLD",IF(AND(E553&lt;&gt;"",E553&lt;&gt;"!!!"),"NEW","")))</f>
        <v/>
      </c>
      <c r="G553" s="22" t="str">
        <f>IF(OR(E553="",E553="!!!"),"",IF(OR(J553=0,AND(J553=1,K553=1),AND(J553=1,I553="SBJ"),AND(J553=1,I553=0)),"?IN_FOCUS",IF(J553&lt;=2,"?ACTIVATED",IF(J553&lt;&gt;"","?FAMILIAR",IF(F553="NEW",IF(ISNA(VLOOKUP(E553,#REF!,1,FALSE())),"?TYPE_IDENTIFIABLE","?REFERENTIAL"),"_")))))</f>
        <v/>
      </c>
      <c r="H553" s="23" t="str">
        <f t="shared" ca="1" si="65"/>
        <v/>
      </c>
      <c r="I553" s="24" t="str">
        <f>IF(OR(E553="",E553="!!!",F553="NEW"),"",INDEX(B$2:B552,-1+SUMPRODUCT(MAX(ROW(E$2:E552)*(E553=E$2:E552)))))</f>
        <v/>
      </c>
      <c r="J553" s="24" t="str">
        <f ca="1">IF(OR(E553="",E553="!!!",F553="NEW"),"",COUNTBLANK(OFFSET(A$1,,,SUMPRODUCT(MAX(ROW(E$2:E553)*(E553=E$2:E553)))))-COUNTBLANK(OFFSET(A$1,,,SUMPRODUCT(MAX(ROW(E$1:E552)*(E2=E$1:E552))))))</f>
        <v/>
      </c>
      <c r="K553" s="24" t="str">
        <f>IF(OR(E553="",E553="!!!",F553="NEW"),"",INDEX(J$1:J552,SUMPRODUCT(MAX(ROW(E$1:E552)*(E553=E$1:E552)))))</f>
        <v/>
      </c>
      <c r="L553" s="25"/>
    </row>
    <row r="554" spans="1:12" x14ac:dyDescent="0.2">
      <c r="A554" t="s">
        <v>902</v>
      </c>
      <c r="E554" s="20" t="str">
        <f t="shared" si="64"/>
        <v/>
      </c>
      <c r="F554" s="21" t="str">
        <f>IF(OR(E554="",E554="!!!"),"",IF(NOT(ISNA(VLOOKUP(E554,E$1:E553,1,FALSE()))),"OLD",IF(AND(E554&lt;&gt;"",E554&lt;&gt;"!!!"),"NEW","")))</f>
        <v/>
      </c>
      <c r="G554" s="22" t="str">
        <f>IF(OR(E554="",E554="!!!"),"",IF(OR(J554=0,AND(J554=1,K554=1),AND(J554=1,I554="SBJ"),AND(J554=1,I554=0)),"?IN_FOCUS",IF(J554&lt;=2,"?ACTIVATED",IF(J554&lt;&gt;"","?FAMILIAR",IF(F554="NEW",IF(ISNA(VLOOKUP(E554,#REF!,1,FALSE())),"?TYPE_IDENTIFIABLE","?REFERENTIAL"),"_")))))</f>
        <v/>
      </c>
      <c r="H554" s="23" t="str">
        <f t="shared" ca="1" si="65"/>
        <v/>
      </c>
      <c r="I554" s="24" t="str">
        <f>IF(OR(E554="",E554="!!!",F554="NEW"),"",INDEX(B$2:B553,-1+SUMPRODUCT(MAX(ROW(E$2:E553)*(E554=E$2:E553)))))</f>
        <v/>
      </c>
      <c r="J554" s="24" t="str">
        <f ca="1">IF(OR(E554="",E554="!!!",F554="NEW"),"",COUNTBLANK(OFFSET(A$1,,,SUMPRODUCT(MAX(ROW(E$2:E554)*(E554=E$2:E554)))))-COUNTBLANK(OFFSET(A$1,,,SUMPRODUCT(MAX(ROW(E$1:E553)*(E2=E$1:E553))))))</f>
        <v/>
      </c>
      <c r="K554" s="24" t="str">
        <f>IF(OR(E554="",E554="!!!",F554="NEW"),"",INDEX(J$1:J553,SUMPRODUCT(MAX(ROW(E$1:E553)*(E554=E$1:E553)))))</f>
        <v/>
      </c>
      <c r="L554" s="25"/>
    </row>
    <row r="555" spans="1:12" x14ac:dyDescent="0.2">
      <c r="A555" t="s">
        <v>803</v>
      </c>
      <c r="B555" s="26" t="s">
        <v>804</v>
      </c>
      <c r="C555" s="26" t="s">
        <v>805</v>
      </c>
      <c r="D555" s="26" t="s">
        <v>806</v>
      </c>
      <c r="E555" s="20" t="s">
        <v>1747</v>
      </c>
      <c r="F555" s="21" t="s">
        <v>1753</v>
      </c>
      <c r="G555" s="22" t="s">
        <v>1823</v>
      </c>
      <c r="H555" s="23" t="str">
        <f t="shared" ca="1" si="65"/>
        <v/>
      </c>
      <c r="I555" s="24" t="str">
        <f>IF(OR(E555="",E555="!!!",F555="NEW"),"",INDEX(B$2:B554,-1+SUMPRODUCT(MAX(ROW(E$2:E554)*(E555=E$2:E554)))))</f>
        <v>SBJ</v>
      </c>
      <c r="J555" s="24">
        <f ca="1">IF(OR(E555="",E555="!!!",F555="NEW"),"",COUNTBLANK(OFFSET(A$1,,,SUMPRODUCT(MAX(ROW(E$2:E555)*(E555=E$2:E555)))))-COUNTBLANK(OFFSET(A$1,,,SUMPRODUCT(MAX(ROW(E$1:E554)*(E2=E$1:E554))))))</f>
        <v>0</v>
      </c>
      <c r="K555" s="24">
        <f ca="1">IF(OR(E555="",E555="!!!",F555="NEW"),"",INDEX(J$1:J554,SUMPRODUCT(MAX(ROW(E$1:E554)*(E555=E$1:E554)))))</f>
        <v>0</v>
      </c>
      <c r="L555" s="25"/>
    </row>
    <row r="556" spans="1:12" x14ac:dyDescent="0.2">
      <c r="A556" t="s">
        <v>904</v>
      </c>
      <c r="E556" s="20" t="str">
        <f t="shared" si="64"/>
        <v/>
      </c>
      <c r="F556" s="21" t="str">
        <f>IF(OR(E556="",E556="!!!"),"",IF(NOT(ISNA(VLOOKUP(E556,E$1:E555,1,FALSE()))),"OLD",IF(AND(E556&lt;&gt;"",E556&lt;&gt;"!!!"),"NEW","")))</f>
        <v/>
      </c>
      <c r="G556" s="22" t="str">
        <f>IF(OR(E556="",E556="!!!"),"",IF(OR(J556=0,AND(J556=1,K556=1),AND(J556=1,I556="SBJ"),AND(J556=1,I556=0)),"?IN_FOCUS",IF(J556&lt;=2,"?ACTIVATED",IF(J556&lt;&gt;"","?FAMILIAR",IF(F556="NEW",IF(ISNA(VLOOKUP(E556,#REF!,1,FALSE())),"?TYPE_IDENTIFIABLE","?REFERENTIAL"),"_")))))</f>
        <v/>
      </c>
      <c r="H556" s="23" t="str">
        <f t="shared" ca="1" si="65"/>
        <v/>
      </c>
      <c r="I556" s="24" t="str">
        <f>IF(OR(E556="",E556="!!!",F556="NEW"),"",INDEX(B$2:B555,-1+SUMPRODUCT(MAX(ROW(E$2:E555)*(E556=E$2:E555)))))</f>
        <v/>
      </c>
      <c r="J556" s="24" t="str">
        <f ca="1">IF(OR(E556="",E556="!!!",F556="NEW"),"",COUNTBLANK(OFFSET(A$1,,,SUMPRODUCT(MAX(ROW(E$2:E556)*(E556=E$2:E556)))))-COUNTBLANK(OFFSET(A$1,,,SUMPRODUCT(MAX(ROW(E$1:E555)*(E2=E$1:E555))))))</f>
        <v/>
      </c>
      <c r="K556" s="24" t="str">
        <f>IF(OR(E556="",E556="!!!",F556="NEW"),"",INDEX(J$1:J555,SUMPRODUCT(MAX(ROW(E$1:E555)*(E556=E$1:E555)))))</f>
        <v/>
      </c>
      <c r="L556" s="25"/>
    </row>
    <row r="557" spans="1:12" x14ac:dyDescent="0.2">
      <c r="A557" t="s">
        <v>821</v>
      </c>
      <c r="E557" s="20" t="str">
        <f t="shared" si="64"/>
        <v/>
      </c>
      <c r="F557" s="21" t="str">
        <f>IF(OR(E557="",E557="!!!"),"",IF(NOT(ISNA(VLOOKUP(E557,E$1:E556,1,FALSE()))),"OLD",IF(AND(E557&lt;&gt;"",E557&lt;&gt;"!!!"),"NEW","")))</f>
        <v/>
      </c>
      <c r="G557" s="22" t="str">
        <f>IF(OR(E557="",E557="!!!"),"",IF(OR(J557=0,AND(J557=1,K557=1),AND(J557=1,I557="SBJ"),AND(J557=1,I557=0)),"?IN_FOCUS",IF(J557&lt;=2,"?ACTIVATED",IF(J557&lt;&gt;"","?FAMILIAR",IF(F557="NEW",IF(ISNA(VLOOKUP(E557,#REF!,1,FALSE())),"?TYPE_IDENTIFIABLE","?REFERENTIAL"),"_")))))</f>
        <v/>
      </c>
      <c r="H557" s="23" t="str">
        <f t="shared" ca="1" si="65"/>
        <v/>
      </c>
      <c r="I557" s="24" t="str">
        <f>IF(OR(E557="",E557="!!!",F557="NEW"),"",INDEX(B$2:B556,-1+SUMPRODUCT(MAX(ROW(E$2:E556)*(E557=E$2:E556)))))</f>
        <v/>
      </c>
      <c r="J557" s="24" t="str">
        <f ca="1">IF(OR(E557="",E557="!!!",F557="NEW"),"",COUNTBLANK(OFFSET(A$1,,,SUMPRODUCT(MAX(ROW(E$2:E557)*(E557=E$2:E557)))))-COUNTBLANK(OFFSET(A$1,,,SUMPRODUCT(MAX(ROW(E$1:E556)*(E2=E$1:E556))))))</f>
        <v/>
      </c>
      <c r="K557" s="24" t="str">
        <f>IF(OR(E557="",E557="!!!",F557="NEW"),"",INDEX(J$1:J556,SUMPRODUCT(MAX(ROW(E$1:E556)*(E557=E$1:E556)))))</f>
        <v/>
      </c>
      <c r="L557" s="25"/>
    </row>
    <row r="559" spans="1:12" x14ac:dyDescent="0.2">
      <c r="A559" t="s">
        <v>1055</v>
      </c>
    </row>
    <row r="560" spans="1:12" x14ac:dyDescent="0.2">
      <c r="A560" t="s">
        <v>1056</v>
      </c>
      <c r="E560" s="20" t="str">
        <f>IF(D560="?OLD","!!!","")</f>
        <v/>
      </c>
      <c r="F560" s="21" t="str">
        <f>IF(OR(E560="",E560="!!!"),"",IF(NOT(ISNA(VLOOKUP(E560,E$1:E559,1,FALSE()))),"OLD",IF(AND(E560&lt;&gt;"",E560&lt;&gt;"!!!"),"NEW","")))</f>
        <v/>
      </c>
      <c r="G560" s="22" t="str">
        <f>IF(OR(E560="",E560="!!!"),"",IF(OR(J560=0,AND(J560=1,K560=1),AND(J560=1,I560="SBJ"),AND(J560=1,I560=0)),"?IN_FOCUS",IF(J560&lt;=2,"?ACTIVATED",IF(J560&lt;&gt;"","?FAMILIAR",IF(F560="NEW",IF(ISNA(VLOOKUP(E560,#REF!,1,FALSE())),"?TYPE_IDENTIFIABLE","?REFERENTIAL"),"_")))))</f>
        <v/>
      </c>
      <c r="H560" s="23" t="str">
        <f ca="1">IF(J560&lt;&gt;1,"",IF(I560="SBJ","CB","?"))</f>
        <v/>
      </c>
      <c r="I560" s="24" t="str">
        <f>IF(OR(E560="",E560="!!!",F560="NEW"),"",INDEX(B$2:B559,-1+SUMPRODUCT(MAX(ROW(E$2:E559)*(E560=E$2:E559)))))</f>
        <v/>
      </c>
      <c r="J560" s="24" t="str">
        <f ca="1">IF(OR(E560="",E560="!!!",F560="NEW"),"",COUNTBLANK(OFFSET(A$1,,,SUMPRODUCT(MAX(ROW(E$2:E560)*(E560=E$2:E560)))))-COUNTBLANK(OFFSET(A$1,,,SUMPRODUCT(MAX(ROW(E$1:E559)*(E2=E$1:E559))))))</f>
        <v/>
      </c>
      <c r="K560" s="24" t="str">
        <f>IF(OR(E560="",E560="!!!",F560="NEW"),"",INDEX(J$1:J559,SUMPRODUCT(MAX(ROW(E$1:E559)*(E560=E$1:E559)))))</f>
        <v/>
      </c>
      <c r="L560" s="25"/>
    </row>
    <row r="561" spans="1:12" x14ac:dyDescent="0.2">
      <c r="A561" t="s">
        <v>1057</v>
      </c>
      <c r="E561" s="20" t="str">
        <f>IF(D561="?OLD","!!!","")</f>
        <v/>
      </c>
      <c r="F561" s="21" t="str">
        <f>IF(OR(E561="",E561="!!!"),"",IF(NOT(ISNA(VLOOKUP(E561,E$1:E560,1,FALSE()))),"OLD",IF(AND(E561&lt;&gt;"",E561&lt;&gt;"!!!"),"NEW","")))</f>
        <v/>
      </c>
      <c r="G561" s="22" t="str">
        <f>IF(OR(E561="",E561="!!!"),"",IF(OR(J561=0,AND(J561=1,K561=1),AND(J561=1,I561="SBJ"),AND(J561=1,I561=0)),"?IN_FOCUS",IF(J561&lt;=2,"?ACTIVATED",IF(J561&lt;&gt;"","?FAMILIAR",IF(F561="NEW",IF(ISNA(VLOOKUP(E561,#REF!,1,FALSE())),"?TYPE_IDENTIFIABLE","?REFERENTIAL"),"_")))))</f>
        <v/>
      </c>
      <c r="H561" s="23" t="str">
        <f ca="1">IF(J561&lt;&gt;1,"",IF(I561="SBJ","CB","?"))</f>
        <v/>
      </c>
      <c r="I561" s="24" t="str">
        <f>IF(OR(E561="",E561="!!!",F561="NEW"),"",INDEX(B$2:B560,-1+SUMPRODUCT(MAX(ROW(E$2:E560)*(E561=E$2:E560)))))</f>
        <v/>
      </c>
      <c r="J561" s="24" t="str">
        <f ca="1">IF(OR(E561="",E561="!!!",F561="NEW"),"",COUNTBLANK(OFFSET(A$1,,,SUMPRODUCT(MAX(ROW(E$2:E561)*(E561=E$2:E561)))))-COUNTBLANK(OFFSET(A$1,,,SUMPRODUCT(MAX(ROW(E$1:E560)*(E2=E$1:E560))))))</f>
        <v/>
      </c>
      <c r="K561" s="24" t="str">
        <f>IF(OR(E561="",E561="!!!",F561="NEW"),"",INDEX(J$1:J560,SUMPRODUCT(MAX(ROW(E$1:E560)*(E561=E$1:E560)))))</f>
        <v/>
      </c>
      <c r="L561" s="25"/>
    </row>
    <row r="562" spans="1:12" x14ac:dyDescent="0.2">
      <c r="A562" t="s">
        <v>845</v>
      </c>
      <c r="E562" s="20" t="str">
        <f>IF(D562="?OLD","!!!","")</f>
        <v/>
      </c>
      <c r="F562" s="21" t="str">
        <f>IF(OR(E562="",E562="!!!"),"",IF(NOT(ISNA(VLOOKUP(E562,E$1:E561,1,FALSE()))),"OLD",IF(AND(E562&lt;&gt;"",E562&lt;&gt;"!!!"),"NEW","")))</f>
        <v/>
      </c>
      <c r="G562" s="22" t="str">
        <f>IF(OR(E562="",E562="!!!"),"",IF(OR(J562=0,AND(J562=1,K562=1),AND(J562=1,I562="SBJ"),AND(J562=1,I562=0)),"?IN_FOCUS",IF(J562&lt;=2,"?ACTIVATED",IF(J562&lt;&gt;"","?FAMILIAR",IF(F562="NEW",IF(ISNA(VLOOKUP(E562,#REF!,1,FALSE())),"?TYPE_IDENTIFIABLE","?REFERENTIAL"),"_")))))</f>
        <v/>
      </c>
      <c r="H562" s="23" t="str">
        <f ca="1">IF(J562&lt;&gt;1,"",IF(I562="SBJ","CB","?"))</f>
        <v/>
      </c>
      <c r="I562" s="24" t="str">
        <f>IF(OR(E562="",E562="!!!",F562="NEW"),"",INDEX(B$2:B561,-1+SUMPRODUCT(MAX(ROW(E$2:E561)*(E562=E$2:E561)))))</f>
        <v/>
      </c>
      <c r="J562" s="24" t="str">
        <f ca="1">IF(OR(E562="",E562="!!!",F562="NEW"),"",COUNTBLANK(OFFSET(A$1,,,SUMPRODUCT(MAX(ROW(E$2:E562)*(E562=E$2:E562)))))-COUNTBLANK(OFFSET(A$1,,,SUMPRODUCT(MAX(ROW(E$1:E561)*(E2=E$1:E561))))))</f>
        <v/>
      </c>
      <c r="K562" s="24" t="str">
        <f>IF(OR(E562="",E562="!!!",F562="NEW"),"",INDEX(J$1:J561,SUMPRODUCT(MAX(ROW(E$1:E561)*(E562=E$1:E561)))))</f>
        <v/>
      </c>
      <c r="L562" s="25"/>
    </row>
    <row r="563" spans="1:12" x14ac:dyDescent="0.2">
      <c r="A563" t="s">
        <v>1058</v>
      </c>
      <c r="B563" s="26" t="s">
        <v>810</v>
      </c>
      <c r="C563" s="26" t="s">
        <v>847</v>
      </c>
      <c r="D563" s="26" t="s">
        <v>806</v>
      </c>
      <c r="E563" s="20" t="s">
        <v>1058</v>
      </c>
      <c r="F563" s="21" t="str">
        <f>IF(OR(E563="",E563="!!!"),"",IF(NOT(ISNA(VLOOKUP(E563,E$1:E562,1,FALSE()))),"OLD",IF(AND(E563&lt;&gt;"",E563&lt;&gt;"!!!"),"NEW","")))</f>
        <v>NEW</v>
      </c>
      <c r="G563" s="22" t="s">
        <v>1820</v>
      </c>
      <c r="H563" s="23" t="str">
        <f ca="1">IF(J563&lt;&gt;1,"",IF(I563="SBJ","CB","?"))</f>
        <v/>
      </c>
      <c r="I563" s="24" t="str">
        <f>IF(OR(E563="",E563="!!!",F563="NEW"),"",INDEX(B$2:B562,-1+SUMPRODUCT(MAX(ROW(E$2:E562)*(E563=E$2:E562)))))</f>
        <v/>
      </c>
      <c r="J563" s="24" t="str">
        <f ca="1">IF(OR(E563="",E563="!!!",F563="NEW"),"",COUNTBLANK(OFFSET(A$1,,,SUMPRODUCT(MAX(ROW(E$2:E563)*(E563=E$2:E563)))))-COUNTBLANK(OFFSET(A$1,,,SUMPRODUCT(MAX(ROW(E$1:E562)*(E2=E$1:E562))))))</f>
        <v/>
      </c>
      <c r="K563" s="24" t="str">
        <f>IF(OR(E563="",E563="!!!",F563="NEW"),"",INDEX(J$1:J562,SUMPRODUCT(MAX(ROW(E$1:E562)*(E563=E$1:E562)))))</f>
        <v/>
      </c>
      <c r="L563" s="25"/>
    </row>
    <row r="564" spans="1:12" x14ac:dyDescent="0.2">
      <c r="A564" t="s">
        <v>821</v>
      </c>
      <c r="E564" s="20" t="str">
        <f>IF(D564="?OLD","!!!","")</f>
        <v/>
      </c>
      <c r="F564" s="21" t="str">
        <f>IF(OR(E564="",E564="!!!"),"",IF(NOT(ISNA(VLOOKUP(E564,E$1:E563,1,FALSE()))),"OLD",IF(AND(E564&lt;&gt;"",E564&lt;&gt;"!!!"),"NEW","")))</f>
        <v/>
      </c>
      <c r="G564" s="22" t="str">
        <f>IF(OR(E564="",E564="!!!"),"",IF(OR(J564=0,AND(J564=1,K564=1),AND(J564=1,I564="SBJ"),AND(J564=1,I564=0)),"?IN_FOCUS",IF(J564&lt;=2,"?ACTIVATED",IF(J564&lt;&gt;"","?FAMILIAR",IF(F564="NEW",IF(ISNA(VLOOKUP(E564,#REF!,1,FALSE())),"?TYPE_IDENTIFIABLE","?REFERENTIAL"),"_")))))</f>
        <v/>
      </c>
      <c r="H564" s="23" t="str">
        <f ca="1">IF(J564&lt;&gt;1,"",IF(I564="SBJ","CB","?"))</f>
        <v/>
      </c>
      <c r="I564" s="24" t="str">
        <f>IF(OR(E564="",E564="!!!",F564="NEW"),"",INDEX(B$2:B563,-1+SUMPRODUCT(MAX(ROW(E$2:E563)*(E564=E$2:E563)))))</f>
        <v/>
      </c>
      <c r="J564" s="24" t="str">
        <f ca="1">IF(OR(E564="",E564="!!!",F564="NEW"),"",COUNTBLANK(OFFSET(A$1,,,SUMPRODUCT(MAX(ROW(E$2:E564)*(E564=E$2:E564)))))-COUNTBLANK(OFFSET(A$1,,,SUMPRODUCT(MAX(ROW(E$1:E563)*(E2=E$1:E563))))))</f>
        <v/>
      </c>
      <c r="K564" s="24" t="str">
        <f>IF(OR(E564="",E564="!!!",F564="NEW"),"",INDEX(J$1:J563,SUMPRODUCT(MAX(ROW(E$1:E563)*(E564=E$1:E563)))))</f>
        <v/>
      </c>
      <c r="L564" s="25"/>
    </row>
    <row r="566" spans="1:12" x14ac:dyDescent="0.2">
      <c r="A566" t="s">
        <v>1059</v>
      </c>
    </row>
    <row r="567" spans="1:12" x14ac:dyDescent="0.2">
      <c r="A567" t="s">
        <v>1034</v>
      </c>
      <c r="E567" s="20" t="str">
        <f t="shared" ref="E567:E588" si="66">IF(D567="?OLD","!!!","")</f>
        <v/>
      </c>
      <c r="F567" s="21" t="str">
        <f>IF(OR(E567="",E567="!!!"),"",IF(NOT(ISNA(VLOOKUP(E567,E$1:E566,1,FALSE()))),"OLD",IF(AND(E567&lt;&gt;"",E567&lt;&gt;"!!!"),"NEW","")))</f>
        <v/>
      </c>
      <c r="G567" s="22" t="str">
        <f>IF(OR(E567="",E567="!!!"),"",IF(OR(J567=0,AND(J567=1,K567=1),AND(J567=1,I567="SBJ"),AND(J567=1,I567=0)),"?IN_FOCUS",IF(J567&lt;=2,"?ACTIVATED",IF(J567&lt;&gt;"","?FAMILIAR",IF(F567="NEW",IF(ISNA(VLOOKUP(E567,#REF!,1,FALSE())),"?TYPE_IDENTIFIABLE","?REFERENTIAL"),"_")))))</f>
        <v/>
      </c>
      <c r="H567" s="23" t="str">
        <f t="shared" ref="H567:H588" ca="1" si="67">IF(J567&lt;&gt;1,"",IF(I567="SBJ","CB","?"))</f>
        <v/>
      </c>
      <c r="I567" s="24" t="str">
        <f>IF(OR(E567="",E567="!!!",F567="NEW"),"",INDEX(B$2:B566,-1+SUMPRODUCT(MAX(ROW(E$2:E566)*(E567=E$2:E566)))))</f>
        <v/>
      </c>
      <c r="J567" s="24" t="str">
        <f ca="1">IF(OR(E567="",E567="!!!",F567="NEW"),"",COUNTBLANK(OFFSET(A$1,,,SUMPRODUCT(MAX(ROW(E$2:E567)*(E567=E$2:E567)))))-COUNTBLANK(OFFSET(A$1,,,SUMPRODUCT(MAX(ROW(E$1:E566)*(E2=E$1:E566))))))</f>
        <v/>
      </c>
      <c r="K567" s="24" t="str">
        <f>IF(OR(E567="",E567="!!!",F567="NEW"),"",INDEX(J$1:J566,SUMPRODUCT(MAX(ROW(E$1:E566)*(E567=E$1:E566)))))</f>
        <v/>
      </c>
      <c r="L567" s="25"/>
    </row>
    <row r="568" spans="1:12" x14ac:dyDescent="0.2">
      <c r="A568" t="s">
        <v>1060</v>
      </c>
      <c r="E568" s="20" t="str">
        <f t="shared" si="66"/>
        <v/>
      </c>
      <c r="F568" s="21" t="str">
        <f>IF(OR(E568="",E568="!!!"),"",IF(NOT(ISNA(VLOOKUP(E568,E$1:E567,1,FALSE()))),"OLD",IF(AND(E568&lt;&gt;"",E568&lt;&gt;"!!!"),"NEW","")))</f>
        <v/>
      </c>
      <c r="G568" s="22" t="str">
        <f>IF(OR(E568="",E568="!!!"),"",IF(OR(J568=0,AND(J568=1,K568=1),AND(J568=1,I568="SBJ"),AND(J568=1,I568=0)),"?IN_FOCUS",IF(J568&lt;=2,"?ACTIVATED",IF(J568&lt;&gt;"","?FAMILIAR",IF(F568="NEW",IF(ISNA(VLOOKUP(E568,#REF!,1,FALSE())),"?TYPE_IDENTIFIABLE","?REFERENTIAL"),"_")))))</f>
        <v/>
      </c>
      <c r="H568" s="23" t="str">
        <f t="shared" ca="1" si="67"/>
        <v/>
      </c>
      <c r="I568" s="24" t="str">
        <f>IF(OR(E568="",E568="!!!",F568="NEW"),"",INDEX(B$2:B567,-1+SUMPRODUCT(MAX(ROW(E$2:E567)*(E568=E$2:E567)))))</f>
        <v/>
      </c>
      <c r="J568" s="24" t="str">
        <f ca="1">IF(OR(E568="",E568="!!!",F568="NEW"),"",COUNTBLANK(OFFSET(A$1,,,SUMPRODUCT(MAX(ROW(E$2:E568)*(E568=E$2:E568)))))-COUNTBLANK(OFFSET(A$1,,,SUMPRODUCT(MAX(ROW(E$1:E567)*(E2=E$1:E567))))))</f>
        <v/>
      </c>
      <c r="K568" s="24" t="str">
        <f>IF(OR(E568="",E568="!!!",F568="NEW"),"",INDEX(J$1:J567,SUMPRODUCT(MAX(ROW(E$1:E567)*(E568=E$1:E567)))))</f>
        <v/>
      </c>
      <c r="L568" s="25"/>
    </row>
    <row r="569" spans="1:12" x14ac:dyDescent="0.2">
      <c r="A569" t="s">
        <v>1061</v>
      </c>
      <c r="B569" s="26" t="s">
        <v>819</v>
      </c>
      <c r="C569" s="26" t="s">
        <v>877</v>
      </c>
      <c r="D569" s="26" t="s">
        <v>806</v>
      </c>
      <c r="E569" s="20" t="s">
        <v>1061</v>
      </c>
      <c r="F569" s="21" t="str">
        <f>IF(OR(E569="",E569="!!!"),"",IF(NOT(ISNA(VLOOKUP(E569,E$1:E568,1,FALSE()))),"OLD",IF(AND(E569&lt;&gt;"",E569&lt;&gt;"!!!"),"NEW","")))</f>
        <v>NEW</v>
      </c>
      <c r="G569" s="22" t="s">
        <v>1820</v>
      </c>
      <c r="H569" s="23" t="str">
        <f t="shared" ca="1" si="67"/>
        <v/>
      </c>
      <c r="I569" s="24" t="str">
        <f>IF(OR(E569="",E569="!!!",F569="NEW"),"",INDEX(B$2:B568,-1+SUMPRODUCT(MAX(ROW(E$2:E568)*(E569=E$2:E568)))))</f>
        <v/>
      </c>
      <c r="J569" s="24" t="str">
        <f ca="1">IF(OR(E569="",E569="!!!",F569="NEW"),"",COUNTBLANK(OFFSET(A$1,,,SUMPRODUCT(MAX(ROW(E$2:E569)*(E569=E$2:E569)))))-COUNTBLANK(OFFSET(A$1,,,SUMPRODUCT(MAX(ROW(E$1:E568)*(E2=E$1:E568))))))</f>
        <v/>
      </c>
      <c r="K569" s="24" t="str">
        <f>IF(OR(E569="",E569="!!!",F569="NEW"),"",INDEX(J$1:J568,SUMPRODUCT(MAX(ROW(E$1:E568)*(E569=E$1:E568)))))</f>
        <v/>
      </c>
      <c r="L569" s="25"/>
    </row>
    <row r="570" spans="1:12" x14ac:dyDescent="0.2">
      <c r="A570" t="s">
        <v>802</v>
      </c>
      <c r="E570" s="20" t="str">
        <f t="shared" si="66"/>
        <v/>
      </c>
      <c r="F570" s="21" t="str">
        <f>IF(OR(E570="",E570="!!!"),"",IF(NOT(ISNA(VLOOKUP(E570,E$1:E569,1,FALSE()))),"OLD",IF(AND(E570&lt;&gt;"",E570&lt;&gt;"!!!"),"NEW","")))</f>
        <v/>
      </c>
      <c r="G570" s="22" t="str">
        <f>IF(OR(E570="",E570="!!!"),"",IF(OR(J570=0,AND(J570=1,K570=1),AND(J570=1,I570="SBJ"),AND(J570=1,I570=0)),"?IN_FOCUS",IF(J570&lt;=2,"?ACTIVATED",IF(J570&lt;&gt;"","?FAMILIAR",IF(F570="NEW",IF(ISNA(VLOOKUP(E570,#REF!,1,FALSE())),"?TYPE_IDENTIFIABLE","?REFERENTIAL"),"_")))))</f>
        <v/>
      </c>
      <c r="H570" s="23" t="str">
        <f t="shared" ca="1" si="67"/>
        <v/>
      </c>
      <c r="I570" s="24" t="str">
        <f>IF(OR(E570="",E570="!!!",F570="NEW"),"",INDEX(B$2:B569,-1+SUMPRODUCT(MAX(ROW(E$2:E569)*(E570=E$2:E569)))))</f>
        <v/>
      </c>
      <c r="J570" s="24" t="str">
        <f ca="1">IF(OR(E570="",E570="!!!",F570="NEW"),"",COUNTBLANK(OFFSET(A$1,,,SUMPRODUCT(MAX(ROW(E$2:E570)*(E570=E$2:E570)))))-COUNTBLANK(OFFSET(A$1,,,SUMPRODUCT(MAX(ROW(E$1:E569)*(E2=E$1:E569))))))</f>
        <v/>
      </c>
      <c r="K570" s="24" t="str">
        <f>IF(OR(E570="",E570="!!!",F570="NEW"),"",INDEX(J$1:J569,SUMPRODUCT(MAX(ROW(E$1:E569)*(E570=E$1:E569)))))</f>
        <v/>
      </c>
      <c r="L570" s="25"/>
    </row>
    <row r="571" spans="1:12" x14ac:dyDescent="0.2">
      <c r="A571" t="s">
        <v>803</v>
      </c>
      <c r="B571" s="26" t="s">
        <v>804</v>
      </c>
      <c r="C571" s="26" t="s">
        <v>805</v>
      </c>
      <c r="D571" s="26" t="s">
        <v>806</v>
      </c>
      <c r="E571" s="20" t="s">
        <v>1747</v>
      </c>
      <c r="F571" s="21" t="s">
        <v>1753</v>
      </c>
      <c r="G571" s="22" t="s">
        <v>1823</v>
      </c>
      <c r="H571" s="23" t="str">
        <f t="shared" ca="1" si="67"/>
        <v/>
      </c>
      <c r="I571" s="24" t="str">
        <f>IF(OR(E571="",E571="!!!",F571="NEW"),"",INDEX(B$2:B570,-1+SUMPRODUCT(MAX(ROW(E$2:E570)*(E571=E$2:E570)))))</f>
        <v>SBJ</v>
      </c>
      <c r="J571" s="24">
        <f ca="1">IF(OR(E571="",E571="!!!",F571="NEW"),"",COUNTBLANK(OFFSET(A$1,,,SUMPRODUCT(MAX(ROW(E$2:E571)*(E571=E$2:E571)))))-COUNTBLANK(OFFSET(A$1,,,SUMPRODUCT(MAX(ROW(E$1:E570)*(E2=E$1:E570))))))</f>
        <v>0</v>
      </c>
      <c r="K571" s="24">
        <f ca="1">IF(OR(E571="",E571="!!!",F571="NEW"),"",INDEX(J$1:J570,SUMPRODUCT(MAX(ROW(E$1:E570)*(E571=E$1:E570)))))</f>
        <v>0</v>
      </c>
      <c r="L571" s="25"/>
    </row>
    <row r="572" spans="1:12" x14ac:dyDescent="0.2">
      <c r="A572" t="s">
        <v>831</v>
      </c>
      <c r="E572" s="20" t="str">
        <f t="shared" si="66"/>
        <v/>
      </c>
      <c r="F572" s="21" t="str">
        <f>IF(OR(E572="",E572="!!!"),"",IF(NOT(ISNA(VLOOKUP(E572,E$1:E571,1,FALSE()))),"OLD",IF(AND(E572&lt;&gt;"",E572&lt;&gt;"!!!"),"NEW","")))</f>
        <v/>
      </c>
      <c r="G572" s="22" t="str">
        <f>IF(OR(E572="",E572="!!!"),"",IF(OR(J572=0,AND(J572=1,K572=1),AND(J572=1,I572="SBJ"),AND(J572=1,I572=0)),"?IN_FOCUS",IF(J572&lt;=2,"?ACTIVATED",IF(J572&lt;&gt;"","?FAMILIAR",IF(F572="NEW",IF(ISNA(VLOOKUP(E572,#REF!,1,FALSE())),"?TYPE_IDENTIFIABLE","?REFERENTIAL"),"_")))))</f>
        <v/>
      </c>
      <c r="H572" s="23" t="str">
        <f t="shared" ca="1" si="67"/>
        <v/>
      </c>
      <c r="I572" s="24" t="str">
        <f>IF(OR(E572="",E572="!!!",F572="NEW"),"",INDEX(B$2:B571,-1+SUMPRODUCT(MAX(ROW(E$2:E571)*(E572=E$2:E571)))))</f>
        <v/>
      </c>
      <c r="J572" s="24" t="str">
        <f ca="1">IF(OR(E572="",E572="!!!",F572="NEW"),"",COUNTBLANK(OFFSET(A$1,,,SUMPRODUCT(MAX(ROW(E$2:E572)*(E572=E$2:E572)))))-COUNTBLANK(OFFSET(A$1,,,SUMPRODUCT(MAX(ROW(E$1:E571)*(E2=E$1:E571))))))</f>
        <v/>
      </c>
      <c r="K572" s="24" t="str">
        <f>IF(OR(E572="",E572="!!!",F572="NEW"),"",INDEX(J$1:J571,SUMPRODUCT(MAX(ROW(E$1:E571)*(E572=E$1:E571)))))</f>
        <v/>
      </c>
      <c r="L572" s="25"/>
    </row>
    <row r="573" spans="1:12" x14ac:dyDescent="0.2">
      <c r="A573" t="s">
        <v>1062</v>
      </c>
      <c r="E573" s="20" t="str">
        <f t="shared" si="66"/>
        <v/>
      </c>
      <c r="F573" s="21" t="str">
        <f>IF(OR(E573="",E573="!!!"),"",IF(NOT(ISNA(VLOOKUP(E573,E$1:E572,1,FALSE()))),"OLD",IF(AND(E573&lt;&gt;"",E573&lt;&gt;"!!!"),"NEW","")))</f>
        <v/>
      </c>
      <c r="G573" s="22" t="str">
        <f>IF(OR(E573="",E573="!!!"),"",IF(OR(J573=0,AND(J573=1,K573=1),AND(J573=1,I573="SBJ"),AND(J573=1,I573=0)),"?IN_FOCUS",IF(J573&lt;=2,"?ACTIVATED",IF(J573&lt;&gt;"","?FAMILIAR",IF(F573="NEW",IF(ISNA(VLOOKUP(E573,#REF!,1,FALSE())),"?TYPE_IDENTIFIABLE","?REFERENTIAL"),"_")))))</f>
        <v/>
      </c>
      <c r="H573" s="23" t="str">
        <f t="shared" ca="1" si="67"/>
        <v/>
      </c>
      <c r="I573" s="24" t="str">
        <f>IF(OR(E573="",E573="!!!",F573="NEW"),"",INDEX(B$2:B572,-1+SUMPRODUCT(MAX(ROW(E$2:E572)*(E573=E$2:E572)))))</f>
        <v/>
      </c>
      <c r="J573" s="24" t="str">
        <f ca="1">IF(OR(E573="",E573="!!!",F573="NEW"),"",COUNTBLANK(OFFSET(A$1,,,SUMPRODUCT(MAX(ROW(E$2:E573)*(E573=E$2:E573)))))-COUNTBLANK(OFFSET(A$1,,,SUMPRODUCT(MAX(ROW(E$1:E572)*(E2=E$1:E572))))))</f>
        <v/>
      </c>
      <c r="K573" s="24" t="str">
        <f>IF(OR(E573="",E573="!!!",F573="NEW"),"",INDEX(J$1:J572,SUMPRODUCT(MAX(ROW(E$1:E572)*(E573=E$1:E572)))))</f>
        <v/>
      </c>
      <c r="L573" s="25"/>
    </row>
    <row r="574" spans="1:12" x14ac:dyDescent="0.2">
      <c r="A574" t="s">
        <v>815</v>
      </c>
      <c r="E574" s="20" t="str">
        <f t="shared" si="66"/>
        <v/>
      </c>
      <c r="F574" s="21" t="str">
        <f>IF(OR(E574="",E574="!!!"),"",IF(NOT(ISNA(VLOOKUP(E574,E$1:E573,1,FALSE()))),"OLD",IF(AND(E574&lt;&gt;"",E574&lt;&gt;"!!!"),"NEW","")))</f>
        <v/>
      </c>
      <c r="G574" s="22" t="str">
        <f>IF(OR(E574="",E574="!!!"),"",IF(OR(J574=0,AND(J574=1,K574=1),AND(J574=1,I574="SBJ"),AND(J574=1,I574=0)),"?IN_FOCUS",IF(J574&lt;=2,"?ACTIVATED",IF(J574&lt;&gt;"","?FAMILIAR",IF(F574="NEW",IF(ISNA(VLOOKUP(E574,#REF!,1,FALSE())),"?TYPE_IDENTIFIABLE","?REFERENTIAL"),"_")))))</f>
        <v/>
      </c>
      <c r="H574" s="23" t="str">
        <f t="shared" ca="1" si="67"/>
        <v/>
      </c>
      <c r="I574" s="24" t="str">
        <f>IF(OR(E574="",E574="!!!",F574="NEW"),"",INDEX(B$2:B573,-1+SUMPRODUCT(MAX(ROW(E$2:E573)*(E574=E$2:E573)))))</f>
        <v/>
      </c>
      <c r="J574" s="24" t="str">
        <f ca="1">IF(OR(E574="",E574="!!!",F574="NEW"),"",COUNTBLANK(OFFSET(A$1,,,SUMPRODUCT(MAX(ROW(E$2:E574)*(E574=E$2:E574)))))-COUNTBLANK(OFFSET(A$1,,,SUMPRODUCT(MAX(ROW(E$1:E573)*(E2=E$1:E573))))))</f>
        <v/>
      </c>
      <c r="K574" s="24" t="str">
        <f>IF(OR(E574="",E574="!!!",F574="NEW"),"",INDEX(J$1:J573,SUMPRODUCT(MAX(ROW(E$1:E573)*(E574=E$1:E573)))))</f>
        <v/>
      </c>
      <c r="L574" s="25"/>
    </row>
    <row r="575" spans="1:12" x14ac:dyDescent="0.2">
      <c r="A575" t="s">
        <v>1063</v>
      </c>
      <c r="B575" s="26" t="s">
        <v>819</v>
      </c>
      <c r="C575" s="26" t="s">
        <v>814</v>
      </c>
      <c r="E575" s="20" t="str">
        <f t="shared" si="66"/>
        <v/>
      </c>
      <c r="F575" s="21" t="str">
        <f>IF(OR(E575="",E575="!!!"),"",IF(NOT(ISNA(VLOOKUP(E575,E$1:E574,1,FALSE()))),"OLD",IF(AND(E575&lt;&gt;"",E575&lt;&gt;"!!!"),"NEW","")))</f>
        <v/>
      </c>
      <c r="G575" s="22" t="str">
        <f>IF(OR(E575="",E575="!!!"),"",IF(OR(J575=0,AND(J575=1,K575=1),AND(J575=1,I575="SBJ"),AND(J575=1,I575=0)),"?IN_FOCUS",IF(J575&lt;=2,"?ACTIVATED",IF(J575&lt;&gt;"","?FAMILIAR",IF(F575="NEW",IF(ISNA(VLOOKUP(E575,#REF!,1,FALSE())),"?TYPE_IDENTIFIABLE","?REFERENTIAL"),"_")))))</f>
        <v/>
      </c>
      <c r="H575" s="23" t="str">
        <f t="shared" ca="1" si="67"/>
        <v/>
      </c>
      <c r="I575" s="24" t="str">
        <f>IF(OR(E575="",E575="!!!",F575="NEW"),"",INDEX(B$2:B574,-1+SUMPRODUCT(MAX(ROW(E$2:E574)*(E575=E$2:E574)))))</f>
        <v/>
      </c>
      <c r="J575" s="24" t="str">
        <f ca="1">IF(OR(E575="",E575="!!!",F575="NEW"),"",COUNTBLANK(OFFSET(A$1,,,SUMPRODUCT(MAX(ROW(E$2:E575)*(E575=E$2:E575)))))-COUNTBLANK(OFFSET(A$1,,,SUMPRODUCT(MAX(ROW(E$1:E574)*(E2=E$1:E574))))))</f>
        <v/>
      </c>
      <c r="K575" s="24" t="str">
        <f>IF(OR(E575="",E575="!!!",F575="NEW"),"",INDEX(J$1:J574,SUMPRODUCT(MAX(ROW(E$1:E574)*(E575=E$1:E574)))))</f>
        <v/>
      </c>
      <c r="L575" s="25"/>
    </row>
    <row r="576" spans="1:12" x14ac:dyDescent="0.2">
      <c r="A576" t="s">
        <v>802</v>
      </c>
      <c r="E576" s="20" t="str">
        <f t="shared" si="66"/>
        <v/>
      </c>
      <c r="F576" s="21" t="str">
        <f>IF(OR(E576="",E576="!!!"),"",IF(NOT(ISNA(VLOOKUP(E576,E$1:E575,1,FALSE()))),"OLD",IF(AND(E576&lt;&gt;"",E576&lt;&gt;"!!!"),"NEW","")))</f>
        <v/>
      </c>
      <c r="G576" s="22" t="str">
        <f>IF(OR(E576="",E576="!!!"),"",IF(OR(J576=0,AND(J576=1,K576=1),AND(J576=1,I576="SBJ"),AND(J576=1,I576=0)),"?IN_FOCUS",IF(J576&lt;=2,"?ACTIVATED",IF(J576&lt;&gt;"","?FAMILIAR",IF(F576="NEW",IF(ISNA(VLOOKUP(E576,#REF!,1,FALSE())),"?TYPE_IDENTIFIABLE","?REFERENTIAL"),"_")))))</f>
        <v/>
      </c>
      <c r="H576" s="23" t="str">
        <f t="shared" ca="1" si="67"/>
        <v/>
      </c>
      <c r="I576" s="24" t="str">
        <f>IF(OR(E576="",E576="!!!",F576="NEW"),"",INDEX(B$2:B575,-1+SUMPRODUCT(MAX(ROW(E$2:E575)*(E576=E$2:E575)))))</f>
        <v/>
      </c>
      <c r="J576" s="24" t="str">
        <f ca="1">IF(OR(E576="",E576="!!!",F576="NEW"),"",COUNTBLANK(OFFSET(A$1,,,SUMPRODUCT(MAX(ROW(E$2:E576)*(E576=E$2:E576)))))-COUNTBLANK(OFFSET(A$1,,,SUMPRODUCT(MAX(ROW(E$1:E575)*(E2=E$1:E575))))))</f>
        <v/>
      </c>
      <c r="K576" s="24" t="str">
        <f>IF(OR(E576="",E576="!!!",F576="NEW"),"",INDEX(J$1:J575,SUMPRODUCT(MAX(ROW(E$1:E575)*(E576=E$1:E575)))))</f>
        <v/>
      </c>
      <c r="L576" s="25"/>
    </row>
    <row r="577" spans="1:12" x14ac:dyDescent="0.2">
      <c r="A577" t="s">
        <v>888</v>
      </c>
      <c r="E577" s="20" t="str">
        <f t="shared" si="66"/>
        <v/>
      </c>
      <c r="F577" s="21" t="str">
        <f>IF(OR(E577="",E577="!!!"),"",IF(NOT(ISNA(VLOOKUP(E577,E$1:E576,1,FALSE()))),"OLD",IF(AND(E577&lt;&gt;"",E577&lt;&gt;"!!!"),"NEW","")))</f>
        <v/>
      </c>
      <c r="G577" s="22" t="str">
        <f>IF(OR(E577="",E577="!!!"),"",IF(OR(J577=0,AND(J577=1,K577=1),AND(J577=1,I577="SBJ"),AND(J577=1,I577=0)),"?IN_FOCUS",IF(J577&lt;=2,"?ACTIVATED",IF(J577&lt;&gt;"","?FAMILIAR",IF(F577="NEW",IF(ISNA(VLOOKUP(E577,#REF!,1,FALSE())),"?TYPE_IDENTIFIABLE","?REFERENTIAL"),"_")))))</f>
        <v/>
      </c>
      <c r="H577" s="23" t="str">
        <f t="shared" ca="1" si="67"/>
        <v/>
      </c>
      <c r="I577" s="24" t="str">
        <f>IF(OR(E577="",E577="!!!",F577="NEW"),"",INDEX(B$2:B576,-1+SUMPRODUCT(MAX(ROW(E$2:E576)*(E577=E$2:E576)))))</f>
        <v/>
      </c>
      <c r="J577" s="24" t="str">
        <f ca="1">IF(OR(E577="",E577="!!!",F577="NEW"),"",COUNTBLANK(OFFSET(A$1,,,SUMPRODUCT(MAX(ROW(E$2:E577)*(E577=E$2:E577)))))-COUNTBLANK(OFFSET(A$1,,,SUMPRODUCT(MAX(ROW(E$1:E576)*(E2=E$1:E576))))))</f>
        <v/>
      </c>
      <c r="K577" s="24" t="str">
        <f>IF(OR(E577="",E577="!!!",F577="NEW"),"",INDEX(J$1:J576,SUMPRODUCT(MAX(ROW(E$1:E576)*(E577=E$1:E576)))))</f>
        <v/>
      </c>
      <c r="L577" s="25"/>
    </row>
    <row r="578" spans="1:12" x14ac:dyDescent="0.2">
      <c r="A578" t="s">
        <v>803</v>
      </c>
      <c r="B578" s="26" t="s">
        <v>950</v>
      </c>
      <c r="C578" s="26" t="s">
        <v>805</v>
      </c>
      <c r="D578" s="26" t="s">
        <v>806</v>
      </c>
      <c r="E578" s="20" t="s">
        <v>1747</v>
      </c>
      <c r="F578" s="21" t="s">
        <v>1753</v>
      </c>
      <c r="G578" s="22" t="s">
        <v>1823</v>
      </c>
      <c r="H578" s="23" t="str">
        <f t="shared" ca="1" si="67"/>
        <v/>
      </c>
      <c r="I578" s="24" t="str">
        <f>IF(OR(E578="",E578="!!!",F578="NEW"),"",INDEX(B$2:B577,-1+SUMPRODUCT(MAX(ROW(E$2:E577)*(E578=E$2:E577)))))</f>
        <v>SBJ</v>
      </c>
      <c r="J578" s="24">
        <f ca="1">IF(OR(E578="",E578="!!!",F578="NEW"),"",COUNTBLANK(OFFSET(A$1,,,SUMPRODUCT(MAX(ROW(E$2:E578)*(E578=E$2:E578)))))-COUNTBLANK(OFFSET(A$1,,,SUMPRODUCT(MAX(ROW(E$1:E577)*(E2=E$1:E577))))))</f>
        <v>0</v>
      </c>
      <c r="K578" s="24">
        <f ca="1">IF(OR(E578="",E578="!!!",F578="NEW"),"",INDEX(J$1:J577,SUMPRODUCT(MAX(ROW(E$1:E577)*(E578=E$1:E577)))))</f>
        <v>0</v>
      </c>
      <c r="L578" s="25"/>
    </row>
    <row r="579" spans="1:12" x14ac:dyDescent="0.2">
      <c r="A579" t="s">
        <v>1064</v>
      </c>
      <c r="E579" s="20" t="str">
        <f t="shared" si="66"/>
        <v/>
      </c>
      <c r="F579" s="21" t="str">
        <f>IF(OR(E579="",E579="!!!"),"",IF(NOT(ISNA(VLOOKUP(E579,E$1:E578,1,FALSE()))),"OLD",IF(AND(E579&lt;&gt;"",E579&lt;&gt;"!!!"),"NEW","")))</f>
        <v/>
      </c>
      <c r="G579" s="22" t="str">
        <f>IF(OR(E579="",E579="!!!"),"",IF(OR(J579=0,AND(J579=1,K579=1),AND(J579=1,I579="SBJ"),AND(J579=1,I579=0)),"?IN_FOCUS",IF(J579&lt;=2,"?ACTIVATED",IF(J579&lt;&gt;"","?FAMILIAR",IF(F579="NEW",IF(ISNA(VLOOKUP(E579,#REF!,1,FALSE())),"?TYPE_IDENTIFIABLE","?REFERENTIAL"),"_")))))</f>
        <v/>
      </c>
      <c r="H579" s="23" t="str">
        <f t="shared" ca="1" si="67"/>
        <v/>
      </c>
      <c r="I579" s="24" t="str">
        <f>IF(OR(E579="",E579="!!!",F579="NEW"),"",INDEX(B$2:B578,-1+SUMPRODUCT(MAX(ROW(E$2:E578)*(E579=E$2:E578)))))</f>
        <v/>
      </c>
      <c r="J579" s="24" t="str">
        <f ca="1">IF(OR(E579="",E579="!!!",F579="NEW"),"",COUNTBLANK(OFFSET(A$1,,,SUMPRODUCT(MAX(ROW(E$2:E579)*(E579=E$2:E579)))))-COUNTBLANK(OFFSET(A$1,,,SUMPRODUCT(MAX(ROW(E$1:E578)*(E2=E$1:E578))))))</f>
        <v/>
      </c>
      <c r="K579" s="24" t="str">
        <f>IF(OR(E579="",E579="!!!",F579="NEW"),"",INDEX(J$1:J578,SUMPRODUCT(MAX(ROW(E$1:E578)*(E579=E$1:E578)))))</f>
        <v/>
      </c>
      <c r="L579" s="25"/>
    </row>
    <row r="580" spans="1:12" x14ac:dyDescent="0.2">
      <c r="A580" t="s">
        <v>839</v>
      </c>
      <c r="E580" s="20" t="str">
        <f t="shared" si="66"/>
        <v/>
      </c>
      <c r="F580" s="21" t="str">
        <f>IF(OR(E580="",E580="!!!"),"",IF(NOT(ISNA(VLOOKUP(E580,E$1:E579,1,FALSE()))),"OLD",IF(AND(E580&lt;&gt;"",E580&lt;&gt;"!!!"),"NEW","")))</f>
        <v/>
      </c>
      <c r="G580" s="22" t="str">
        <f>IF(OR(E580="",E580="!!!"),"",IF(OR(J580=0,AND(J580=1,K580=1),AND(J580=1,I580="SBJ"),AND(J580=1,I580=0)),"?IN_FOCUS",IF(J580&lt;=2,"?ACTIVATED",IF(J580&lt;&gt;"","?FAMILIAR",IF(F580="NEW",IF(ISNA(VLOOKUP(E580,#REF!,1,FALSE())),"?TYPE_IDENTIFIABLE","?REFERENTIAL"),"_")))))</f>
        <v/>
      </c>
      <c r="H580" s="23" t="str">
        <f t="shared" ca="1" si="67"/>
        <v/>
      </c>
      <c r="I580" s="24" t="str">
        <f>IF(OR(E580="",E580="!!!",F580="NEW"),"",INDEX(B$2:B579,-1+SUMPRODUCT(MAX(ROW(E$2:E579)*(E580=E$2:E579)))))</f>
        <v/>
      </c>
      <c r="J580" s="24" t="str">
        <f ca="1">IF(OR(E580="",E580="!!!",F580="NEW"),"",COUNTBLANK(OFFSET(A$1,,,SUMPRODUCT(MAX(ROW(E$2:E580)*(E580=E$2:E580)))))-COUNTBLANK(OFFSET(A$1,,,SUMPRODUCT(MAX(ROW(E$1:E579)*(E2=E$1:E579))))))</f>
        <v/>
      </c>
      <c r="K580" s="24" t="str">
        <f>IF(OR(E580="",E580="!!!",F580="NEW"),"",INDEX(J$1:J579,SUMPRODUCT(MAX(ROW(E$1:E579)*(E580=E$1:E579)))))</f>
        <v/>
      </c>
      <c r="L580" s="25"/>
    </row>
    <row r="581" spans="1:12" x14ac:dyDescent="0.2">
      <c r="A581" t="s">
        <v>849</v>
      </c>
      <c r="B581" s="26" t="s">
        <v>938</v>
      </c>
      <c r="C581" s="26" t="s">
        <v>850</v>
      </c>
      <c r="E581" s="20" t="str">
        <f t="shared" si="66"/>
        <v/>
      </c>
      <c r="F581" s="21" t="str">
        <f>IF(OR(E581="",E581="!!!"),"",IF(NOT(ISNA(VLOOKUP(E581,E$1:E580,1,FALSE()))),"OLD",IF(AND(E581&lt;&gt;"",E581&lt;&gt;"!!!"),"NEW","")))</f>
        <v/>
      </c>
      <c r="G581" s="22" t="str">
        <f>IF(OR(E581="",E581="!!!"),"",IF(OR(J581=0,AND(J581=1,K581=1),AND(J581=1,I581="SBJ"),AND(J581=1,I581=0)),"?IN_FOCUS",IF(J581&lt;=2,"?ACTIVATED",IF(J581&lt;&gt;"","?FAMILIAR",IF(F581="NEW",IF(ISNA(VLOOKUP(E581,#REF!,1,FALSE())),"?TYPE_IDENTIFIABLE","?REFERENTIAL"),"_")))))</f>
        <v/>
      </c>
      <c r="H581" s="23" t="str">
        <f t="shared" ca="1" si="67"/>
        <v/>
      </c>
      <c r="I581" s="24" t="str">
        <f>IF(OR(E581="",E581="!!!",F581="NEW"),"",INDEX(B$2:B580,-1+SUMPRODUCT(MAX(ROW(E$2:E580)*(E581=E$2:E580)))))</f>
        <v/>
      </c>
      <c r="J581" s="24" t="str">
        <f ca="1">IF(OR(E581="",E581="!!!",F581="NEW"),"",COUNTBLANK(OFFSET(A$1,,,SUMPRODUCT(MAX(ROW(E$2:E581)*(E581=E$2:E581)))))-COUNTBLANK(OFFSET(A$1,,,SUMPRODUCT(MAX(ROW(E$1:E580)*(E2=E$1:E580))))))</f>
        <v/>
      </c>
      <c r="K581" s="24" t="str">
        <f>IF(OR(E581="",E581="!!!",F581="NEW"),"",INDEX(J$1:J580,SUMPRODUCT(MAX(ROW(E$1:E580)*(E581=E$1:E580)))))</f>
        <v/>
      </c>
      <c r="L581" s="25"/>
    </row>
    <row r="582" spans="1:12" x14ac:dyDescent="0.2">
      <c r="A582" t="s">
        <v>845</v>
      </c>
      <c r="E582" s="20" t="str">
        <f t="shared" si="66"/>
        <v/>
      </c>
      <c r="F582" s="21" t="str">
        <f>IF(OR(E582="",E582="!!!"),"",IF(NOT(ISNA(VLOOKUP(E582,E$1:E581,1,FALSE()))),"OLD",IF(AND(E582&lt;&gt;"",E582&lt;&gt;"!!!"),"NEW","")))</f>
        <v/>
      </c>
      <c r="G582" s="22" t="str">
        <f>IF(OR(E582="",E582="!!!"),"",IF(OR(J582=0,AND(J582=1,K582=1),AND(J582=1,I582="SBJ"),AND(J582=1,I582=0)),"?IN_FOCUS",IF(J582&lt;=2,"?ACTIVATED",IF(J582&lt;&gt;"","?FAMILIAR",IF(F582="NEW",IF(ISNA(VLOOKUP(E582,#REF!,1,FALSE())),"?TYPE_IDENTIFIABLE","?REFERENTIAL"),"_")))))</f>
        <v/>
      </c>
      <c r="H582" s="23" t="str">
        <f t="shared" ca="1" si="67"/>
        <v/>
      </c>
      <c r="I582" s="24" t="str">
        <f>IF(OR(E582="",E582="!!!",F582="NEW"),"",INDEX(B$2:B581,-1+SUMPRODUCT(MAX(ROW(E$2:E581)*(E582=E$2:E581)))))</f>
        <v/>
      </c>
      <c r="J582" s="24" t="str">
        <f ca="1">IF(OR(E582="",E582="!!!",F582="NEW"),"",COUNTBLANK(OFFSET(A$1,,,SUMPRODUCT(MAX(ROW(E$2:E582)*(E582=E$2:E582)))))-COUNTBLANK(OFFSET(A$1,,,SUMPRODUCT(MAX(ROW(E$1:E581)*(E2=E$1:E581))))))</f>
        <v/>
      </c>
      <c r="K582" s="24" t="str">
        <f>IF(OR(E582="",E582="!!!",F582="NEW"),"",INDEX(J$1:J581,SUMPRODUCT(MAX(ROW(E$1:E581)*(E582=E$1:E581)))))</f>
        <v/>
      </c>
      <c r="L582" s="25"/>
    </row>
    <row r="583" spans="1:12" ht="16" x14ac:dyDescent="0.2">
      <c r="A583" t="s">
        <v>1065</v>
      </c>
      <c r="B583" s="26" t="s">
        <v>944</v>
      </c>
      <c r="C583" s="26" t="s">
        <v>847</v>
      </c>
      <c r="D583" s="26" t="s">
        <v>806</v>
      </c>
      <c r="E583" s="20"/>
      <c r="F583" s="21" t="s">
        <v>1764</v>
      </c>
      <c r="G583" s="22" t="str">
        <f>IF(OR(E583="",E583="!!!"),"",IF(OR(J583=0,AND(J583=1,K583=1),AND(J583=1,I583="SBJ"),AND(J583=1,I583=0)),"?IN_FOCUS",IF(J583&lt;=2,"?ACTIVATED",IF(J583&lt;&gt;"","?FAMILIAR",IF(F583="NEW",IF(ISNA(VLOOKUP(E583,#REF!,1,FALSE())),"?TYPE_IDENTIFIABLE","?REFERENTIAL"),"_")))))</f>
        <v/>
      </c>
      <c r="H583" s="23" t="str">
        <f t="shared" ca="1" si="67"/>
        <v/>
      </c>
      <c r="I583" s="24" t="str">
        <f>IF(OR(E583="",E583="!!!",F583="NEW"),"",INDEX(B$2:B582,-1+SUMPRODUCT(MAX(ROW(E$2:E582)*(E583=E$2:E582)))))</f>
        <v/>
      </c>
      <c r="J583" s="24" t="str">
        <f ca="1">IF(OR(E583="",E583="!!!",F583="NEW"),"",COUNTBLANK(OFFSET(A$1,,,SUMPRODUCT(MAX(ROW(E$2:E583)*(E583=E$2:E583)))))-COUNTBLANK(OFFSET(A$1,,,SUMPRODUCT(MAX(ROW(E$1:E582)*(E2=E$1:E582))))))</f>
        <v/>
      </c>
      <c r="K583" s="24" t="str">
        <f>IF(OR(E583="",E583="!!!",F583="NEW"),"",INDEX(J$1:J582,SUMPRODUCT(MAX(ROW(E$1:E582)*(E583=E$1:E582)))))</f>
        <v/>
      </c>
      <c r="L583" s="25" t="s">
        <v>1765</v>
      </c>
    </row>
    <row r="584" spans="1:12" x14ac:dyDescent="0.2">
      <c r="A584" t="s">
        <v>963</v>
      </c>
      <c r="E584" s="20" t="str">
        <f t="shared" si="66"/>
        <v/>
      </c>
      <c r="F584" s="21" t="str">
        <f>IF(OR(E584="",E584="!!!"),"",IF(NOT(ISNA(VLOOKUP(E584,E$1:E583,1,FALSE()))),"OLD",IF(AND(E584&lt;&gt;"",E584&lt;&gt;"!!!"),"NEW","")))</f>
        <v/>
      </c>
      <c r="G584" s="22" t="str">
        <f>IF(OR(E584="",E584="!!!"),"",IF(OR(J584=0,AND(J584=1,K584=1),AND(J584=1,I584="SBJ"),AND(J584=1,I584=0)),"?IN_FOCUS",IF(J584&lt;=2,"?ACTIVATED",IF(J584&lt;&gt;"","?FAMILIAR",IF(F584="NEW",IF(ISNA(VLOOKUP(E584,#REF!,1,FALSE())),"?TYPE_IDENTIFIABLE","?REFERENTIAL"),"_")))))</f>
        <v/>
      </c>
      <c r="H584" s="23" t="str">
        <f t="shared" ca="1" si="67"/>
        <v/>
      </c>
      <c r="I584" s="24" t="str">
        <f>IF(OR(E584="",E584="!!!",F584="NEW"),"",INDEX(B$2:B583,-1+SUMPRODUCT(MAX(ROW(E$2:E583)*(E584=E$2:E583)))))</f>
        <v/>
      </c>
      <c r="J584" s="24" t="str">
        <f ca="1">IF(OR(E584="",E584="!!!",F584="NEW"),"",COUNTBLANK(OFFSET(A$1,,,SUMPRODUCT(MAX(ROW(E$2:E584)*(E584=E$2:E584)))))-COUNTBLANK(OFFSET(A$1,,,SUMPRODUCT(MAX(ROW(E$1:E583)*(E2=E$1:E583))))))</f>
        <v/>
      </c>
      <c r="K584" s="24" t="str">
        <f>IF(OR(E584="",E584="!!!",F584="NEW"),"",INDEX(J$1:J583,SUMPRODUCT(MAX(ROW(E$1:E583)*(E584=E$1:E583)))))</f>
        <v/>
      </c>
      <c r="L584" s="25"/>
    </row>
    <row r="585" spans="1:12" x14ac:dyDescent="0.2">
      <c r="A585" t="s">
        <v>809</v>
      </c>
      <c r="E585" s="20" t="str">
        <f t="shared" si="66"/>
        <v/>
      </c>
      <c r="F585" s="21" t="str">
        <f>IF(OR(E585="",E585="!!!"),"",IF(NOT(ISNA(VLOOKUP(E585,E$1:E584,1,FALSE()))),"OLD",IF(AND(E585&lt;&gt;"",E585&lt;&gt;"!!!"),"NEW","")))</f>
        <v/>
      </c>
      <c r="G585" s="22" t="str">
        <f>IF(OR(E585="",E585="!!!"),"",IF(OR(J585=0,AND(J585=1,K585=1),AND(J585=1,I585="SBJ"),AND(J585=1,I585=0)),"?IN_FOCUS",IF(J585&lt;=2,"?ACTIVATED",IF(J585&lt;&gt;"","?FAMILIAR",IF(F585="NEW",IF(ISNA(VLOOKUP(E585,#REF!,1,FALSE())),"?TYPE_IDENTIFIABLE","?REFERENTIAL"),"_")))))</f>
        <v/>
      </c>
      <c r="H585" s="23" t="str">
        <f t="shared" ca="1" si="67"/>
        <v/>
      </c>
      <c r="I585" s="24" t="str">
        <f>IF(OR(E585="",E585="!!!",F585="NEW"),"",INDEX(B$2:B584,-1+SUMPRODUCT(MAX(ROW(E$2:E584)*(E585=E$2:E584)))))</f>
        <v/>
      </c>
      <c r="J585" s="24" t="str">
        <f ca="1">IF(OR(E585="",E585="!!!",F585="NEW"),"",COUNTBLANK(OFFSET(A$1,,,SUMPRODUCT(MAX(ROW(E$2:E585)*(E585=E$2:E585)))))-COUNTBLANK(OFFSET(A$1,,,SUMPRODUCT(MAX(ROW(E$1:E584)*(E2=E$1:E584))))))</f>
        <v/>
      </c>
      <c r="K585" s="24" t="str">
        <f>IF(OR(E585="",E585="!!!",F585="NEW"),"",INDEX(J$1:J584,SUMPRODUCT(MAX(ROW(E$1:E584)*(E585=E$1:E584)))))</f>
        <v/>
      </c>
      <c r="L585" s="25"/>
    </row>
    <row r="586" spans="1:12" x14ac:dyDescent="0.2">
      <c r="A586" t="s">
        <v>102</v>
      </c>
      <c r="E586" s="20" t="str">
        <f t="shared" si="66"/>
        <v/>
      </c>
      <c r="F586" s="21" t="str">
        <f>IF(OR(E586="",E586="!!!"),"",IF(NOT(ISNA(VLOOKUP(E586,E$1:E585,1,FALSE()))),"OLD",IF(AND(E586&lt;&gt;"",E586&lt;&gt;"!!!"),"NEW","")))</f>
        <v/>
      </c>
      <c r="G586" s="22" t="str">
        <f>IF(OR(E586="",E586="!!!"),"",IF(OR(J586=0,AND(J586=1,K586=1),AND(J586=1,I586="SBJ"),AND(J586=1,I586=0)),"?IN_FOCUS",IF(J586&lt;=2,"?ACTIVATED",IF(J586&lt;&gt;"","?FAMILIAR",IF(F586="NEW",IF(ISNA(VLOOKUP(E586,#REF!,1,FALSE())),"?TYPE_IDENTIFIABLE","?REFERENTIAL"),"_")))))</f>
        <v/>
      </c>
      <c r="H586" s="23" t="str">
        <f t="shared" ca="1" si="67"/>
        <v/>
      </c>
      <c r="I586" s="24" t="str">
        <f>IF(OR(E586="",E586="!!!",F586="NEW"),"",INDEX(B$2:B585,-1+SUMPRODUCT(MAX(ROW(E$2:E585)*(E586=E$2:E585)))))</f>
        <v/>
      </c>
      <c r="J586" s="24" t="str">
        <f ca="1">IF(OR(E586="",E586="!!!",F586="NEW"),"",COUNTBLANK(OFFSET(A$1,,,SUMPRODUCT(MAX(ROW(E$2:E586)*(E586=E$2:E586)))))-COUNTBLANK(OFFSET(A$1,,,SUMPRODUCT(MAX(ROW(E$1:E585)*(E2=E$1:E585))))))</f>
        <v/>
      </c>
      <c r="K586" s="24" t="str">
        <f>IF(OR(E586="",E586="!!!",F586="NEW"),"",INDEX(J$1:J585,SUMPRODUCT(MAX(ROW(E$1:E585)*(E586=E$1:E585)))))</f>
        <v/>
      </c>
      <c r="L586" s="25"/>
    </row>
    <row r="587" spans="1:12" x14ac:dyDescent="0.2">
      <c r="A587" t="s">
        <v>1066</v>
      </c>
      <c r="B587" s="26" t="s">
        <v>864</v>
      </c>
      <c r="C587" s="26" t="s">
        <v>811</v>
      </c>
      <c r="E587" s="20" t="str">
        <f t="shared" si="66"/>
        <v/>
      </c>
      <c r="F587" s="21" t="str">
        <f>IF(OR(E587="",E587="!!!"),"",IF(NOT(ISNA(VLOOKUP(E587,E$1:E586,1,FALSE()))),"OLD",IF(AND(E587&lt;&gt;"",E587&lt;&gt;"!!!"),"NEW","")))</f>
        <v/>
      </c>
      <c r="G587" s="22" t="str">
        <f>IF(OR(E587="",E587="!!!"),"",IF(OR(J587=0,AND(J587=1,K587=1),AND(J587=1,I587="SBJ"),AND(J587=1,I587=0)),"?IN_FOCUS",IF(J587&lt;=2,"?ACTIVATED",IF(J587&lt;&gt;"","?FAMILIAR",IF(F587="NEW",IF(ISNA(VLOOKUP(E587,#REF!,1,FALSE())),"?TYPE_IDENTIFIABLE","?REFERENTIAL"),"_")))))</f>
        <v/>
      </c>
      <c r="H587" s="23" t="str">
        <f t="shared" ca="1" si="67"/>
        <v/>
      </c>
      <c r="I587" s="24" t="str">
        <f>IF(OR(E587="",E587="!!!",F587="NEW"),"",INDEX(B$2:B586,-1+SUMPRODUCT(MAX(ROW(E$2:E586)*(E587=E$2:E586)))))</f>
        <v/>
      </c>
      <c r="J587" s="24" t="str">
        <f ca="1">IF(OR(E587="",E587="!!!",F587="NEW"),"",COUNTBLANK(OFFSET(A$1,,,SUMPRODUCT(MAX(ROW(E$2:E587)*(E587=E$2:E587)))))-COUNTBLANK(OFFSET(A$1,,,SUMPRODUCT(MAX(ROW(E$1:E586)*(E2=E$1:E586))))))</f>
        <v/>
      </c>
      <c r="K587" s="24" t="str">
        <f>IF(OR(E587="",E587="!!!",F587="NEW"),"",INDEX(J$1:J586,SUMPRODUCT(MAX(ROW(E$1:E586)*(E587=E$1:E586)))))</f>
        <v/>
      </c>
      <c r="L587" s="25"/>
    </row>
    <row r="588" spans="1:12" x14ac:dyDescent="0.2">
      <c r="A588" t="s">
        <v>922</v>
      </c>
      <c r="E588" s="20" t="str">
        <f t="shared" si="66"/>
        <v/>
      </c>
      <c r="F588" s="21" t="str">
        <f>IF(OR(E588="",E588="!!!"),"",IF(NOT(ISNA(VLOOKUP(E588,E$1:E587,1,FALSE()))),"OLD",IF(AND(E588&lt;&gt;"",E588&lt;&gt;"!!!"),"NEW","")))</f>
        <v/>
      </c>
      <c r="G588" s="22" t="str">
        <f>IF(OR(E588="",E588="!!!"),"",IF(OR(J588=0,AND(J588=1,K588=1),AND(J588=1,I588="SBJ"),AND(J588=1,I588=0)),"?IN_FOCUS",IF(J588&lt;=2,"?ACTIVATED",IF(J588&lt;&gt;"","?FAMILIAR",IF(F588="NEW",IF(ISNA(VLOOKUP(E588,#REF!,1,FALSE())),"?TYPE_IDENTIFIABLE","?REFERENTIAL"),"_")))))</f>
        <v/>
      </c>
      <c r="H588" s="23" t="str">
        <f t="shared" ca="1" si="67"/>
        <v/>
      </c>
      <c r="I588" s="24" t="str">
        <f>IF(OR(E588="",E588="!!!",F588="NEW"),"",INDEX(B$2:B587,-1+SUMPRODUCT(MAX(ROW(E$2:E587)*(E588=E$2:E587)))))</f>
        <v/>
      </c>
      <c r="J588" s="24" t="str">
        <f ca="1">IF(OR(E588="",E588="!!!",F588="NEW"),"",COUNTBLANK(OFFSET(A$1,,,SUMPRODUCT(MAX(ROW(E$2:E588)*(E588=E$2:E588)))))-COUNTBLANK(OFFSET(A$1,,,SUMPRODUCT(MAX(ROW(E$1:E587)*(E2=E$1:E587))))))</f>
        <v/>
      </c>
      <c r="K588" s="24" t="str">
        <f>IF(OR(E588="",E588="!!!",F588="NEW"),"",INDEX(J$1:J587,SUMPRODUCT(MAX(ROW(E$1:E587)*(E588=E$1:E587)))))</f>
        <v/>
      </c>
      <c r="L588" s="25"/>
    </row>
    <row r="590" spans="1:12" x14ac:dyDescent="0.2">
      <c r="A590" t="s">
        <v>1067</v>
      </c>
    </row>
    <row r="591" spans="1:12" x14ac:dyDescent="0.2">
      <c r="A591" t="s">
        <v>801</v>
      </c>
      <c r="E591" s="20" t="str">
        <f t="shared" ref="E591:E604" si="68">IF(D591="?OLD","!!!","")</f>
        <v/>
      </c>
      <c r="F591" s="21" t="str">
        <f>IF(OR(E591="",E591="!!!"),"",IF(NOT(ISNA(VLOOKUP(E591,E$1:E590,1,FALSE()))),"OLD",IF(AND(E591&lt;&gt;"",E591&lt;&gt;"!!!"),"NEW","")))</f>
        <v/>
      </c>
      <c r="G591" s="22" t="str">
        <f>IF(OR(E591="",E591="!!!"),"",IF(OR(J591=0,AND(J591=1,K591=1),AND(J591=1,I591="SBJ"),AND(J591=1,I591=0)),"?IN_FOCUS",IF(J591&lt;=2,"?ACTIVATED",IF(J591&lt;&gt;"","?FAMILIAR",IF(F591="NEW",IF(ISNA(VLOOKUP(E591,#REF!,1,FALSE())),"?TYPE_IDENTIFIABLE","?REFERENTIAL"),"_")))))</f>
        <v/>
      </c>
      <c r="H591" s="23" t="str">
        <f t="shared" ref="H591:H604" ca="1" si="69">IF(J591&lt;&gt;1,"",IF(I591="SBJ","CB","?"))</f>
        <v/>
      </c>
      <c r="I591" s="24" t="str">
        <f>IF(OR(E591="",E591="!!!",F591="NEW"),"",INDEX(B$2:B590,-1+SUMPRODUCT(MAX(ROW(E$2:E590)*(E591=E$2:E590)))))</f>
        <v/>
      </c>
      <c r="J591" s="24" t="str">
        <f ca="1">IF(OR(E591="",E591="!!!",F591="NEW"),"",COUNTBLANK(OFFSET(A$1,,,SUMPRODUCT(MAX(ROW(E$2:E591)*(E591=E$2:E591)))))-COUNTBLANK(OFFSET(A$1,,,SUMPRODUCT(MAX(ROW(E$1:E590)*(E2=E$1:E590))))))</f>
        <v/>
      </c>
      <c r="K591" s="24" t="str">
        <f>IF(OR(E591="",E591="!!!",F591="NEW"),"",INDEX(J$1:J590,SUMPRODUCT(MAX(ROW(E$1:E590)*(E591=E$1:E590)))))</f>
        <v/>
      </c>
      <c r="L591" s="25"/>
    </row>
    <row r="592" spans="1:12" x14ac:dyDescent="0.2">
      <c r="A592" t="s">
        <v>845</v>
      </c>
      <c r="E592" s="20" t="str">
        <f t="shared" si="68"/>
        <v/>
      </c>
      <c r="F592" s="21" t="str">
        <f>IF(OR(E592="",E592="!!!"),"",IF(NOT(ISNA(VLOOKUP(E592,E$1:E591,1,FALSE()))),"OLD",IF(AND(E592&lt;&gt;"",E592&lt;&gt;"!!!"),"NEW","")))</f>
        <v/>
      </c>
      <c r="G592" s="22" t="str">
        <f>IF(OR(E592="",E592="!!!"),"",IF(OR(J592=0,AND(J592=1,K592=1),AND(J592=1,I592="SBJ"),AND(J592=1,I592=0)),"?IN_FOCUS",IF(J592&lt;=2,"?ACTIVATED",IF(J592&lt;&gt;"","?FAMILIAR",IF(F592="NEW",IF(ISNA(VLOOKUP(E592,#REF!,1,FALSE())),"?TYPE_IDENTIFIABLE","?REFERENTIAL"),"_")))))</f>
        <v/>
      </c>
      <c r="H592" s="23" t="str">
        <f t="shared" ca="1" si="69"/>
        <v/>
      </c>
      <c r="I592" s="24" t="str">
        <f>IF(OR(E592="",E592="!!!",F592="NEW"),"",INDEX(B$2:B591,-1+SUMPRODUCT(MAX(ROW(E$2:E591)*(E592=E$2:E591)))))</f>
        <v/>
      </c>
      <c r="J592" s="24" t="str">
        <f ca="1">IF(OR(E592="",E592="!!!",F592="NEW"),"",COUNTBLANK(OFFSET(A$1,,,SUMPRODUCT(MAX(ROW(E$2:E592)*(E592=E$2:E592)))))-COUNTBLANK(OFFSET(A$1,,,SUMPRODUCT(MAX(ROW(E$1:E591)*(E2=E$1:E591))))))</f>
        <v/>
      </c>
      <c r="K592" s="24" t="str">
        <f>IF(OR(E592="",E592="!!!",F592="NEW"),"",INDEX(J$1:J591,SUMPRODUCT(MAX(ROW(E$1:E591)*(E592=E$1:E591)))))</f>
        <v/>
      </c>
      <c r="L592" s="25"/>
    </row>
    <row r="593" spans="1:12" x14ac:dyDescent="0.2">
      <c r="A593" t="s">
        <v>1068</v>
      </c>
      <c r="E593" s="20" t="str">
        <f t="shared" si="68"/>
        <v/>
      </c>
      <c r="F593" s="21" t="str">
        <f>IF(OR(E593="",E593="!!!"),"",IF(NOT(ISNA(VLOOKUP(E593,E$1:E592,1,FALSE()))),"OLD",IF(AND(E593&lt;&gt;"",E593&lt;&gt;"!!!"),"NEW","")))</f>
        <v/>
      </c>
      <c r="G593" s="22" t="str">
        <f>IF(OR(E593="",E593="!!!"),"",IF(OR(J593=0,AND(J593=1,K593=1),AND(J593=1,I593="SBJ"),AND(J593=1,I593=0)),"?IN_FOCUS",IF(J593&lt;=2,"?ACTIVATED",IF(J593&lt;&gt;"","?FAMILIAR",IF(F593="NEW",IF(ISNA(VLOOKUP(E593,#REF!,1,FALSE())),"?TYPE_IDENTIFIABLE","?REFERENTIAL"),"_")))))</f>
        <v/>
      </c>
      <c r="H593" s="23" t="str">
        <f t="shared" ca="1" si="69"/>
        <v/>
      </c>
      <c r="I593" s="24" t="str">
        <f>IF(OR(E593="",E593="!!!",F593="NEW"),"",INDEX(B$2:B592,-1+SUMPRODUCT(MAX(ROW(E$2:E592)*(E593=E$2:E592)))))</f>
        <v/>
      </c>
      <c r="J593" s="24" t="str">
        <f ca="1">IF(OR(E593="",E593="!!!",F593="NEW"),"",COUNTBLANK(OFFSET(A$1,,,SUMPRODUCT(MAX(ROW(E$2:E593)*(E593=E$2:E593)))))-COUNTBLANK(OFFSET(A$1,,,SUMPRODUCT(MAX(ROW(E$1:E592)*(E2=E$1:E592))))))</f>
        <v/>
      </c>
      <c r="K593" s="24" t="str">
        <f>IF(OR(E593="",E593="!!!",F593="NEW"),"",INDEX(J$1:J592,SUMPRODUCT(MAX(ROW(E$1:E592)*(E593=E$1:E592)))))</f>
        <v/>
      </c>
      <c r="L593" s="25"/>
    </row>
    <row r="594" spans="1:12" x14ac:dyDescent="0.2">
      <c r="A594" t="s">
        <v>883</v>
      </c>
      <c r="B594" s="26" t="s">
        <v>813</v>
      </c>
      <c r="C594" s="26" t="s">
        <v>847</v>
      </c>
      <c r="D594" s="26" t="s">
        <v>806</v>
      </c>
      <c r="E594" s="20" t="s">
        <v>1766</v>
      </c>
      <c r="F594" s="21" t="str">
        <f>IF(OR(E594="",E594="!!!"),"",IF(NOT(ISNA(VLOOKUP(E594,E$1:E593,1,FALSE()))),"OLD",IF(AND(E594&lt;&gt;"",E594&lt;&gt;"!!!"),"NEW","")))</f>
        <v>NEW</v>
      </c>
      <c r="G594" s="22" t="s">
        <v>1820</v>
      </c>
      <c r="H594" s="23" t="str">
        <f t="shared" ca="1" si="69"/>
        <v/>
      </c>
      <c r="I594" s="24" t="str">
        <f>IF(OR(E594="",E594="!!!",F594="NEW"),"",INDEX(B$2:B593,-1+SUMPRODUCT(MAX(ROW(E$2:E593)*(E594=E$2:E593)))))</f>
        <v/>
      </c>
      <c r="J594" s="24" t="str">
        <f ca="1">IF(OR(E594="",E594="!!!",F594="NEW"),"",COUNTBLANK(OFFSET(A$1,,,SUMPRODUCT(MAX(ROW(E$2:E594)*(E594=E$2:E594)))))-COUNTBLANK(OFFSET(A$1,,,SUMPRODUCT(MAX(ROW(E$1:E593)*(E2=E$1:E593))))))</f>
        <v/>
      </c>
      <c r="K594" s="24" t="str">
        <f>IF(OR(E594="",E594="!!!",F594="NEW"),"",INDEX(J$1:J593,SUMPRODUCT(MAX(ROW(E$1:E593)*(E594=E$1:E593)))))</f>
        <v/>
      </c>
      <c r="L594" s="25"/>
    </row>
    <row r="595" spans="1:12" x14ac:dyDescent="0.2">
      <c r="A595" t="s">
        <v>802</v>
      </c>
      <c r="E595" s="20" t="str">
        <f t="shared" si="68"/>
        <v/>
      </c>
      <c r="F595" s="21" t="str">
        <f>IF(OR(E595="",E595="!!!"),"",IF(NOT(ISNA(VLOOKUP(E595,E$1:E594,1,FALSE()))),"OLD",IF(AND(E595&lt;&gt;"",E595&lt;&gt;"!!!"),"NEW","")))</f>
        <v/>
      </c>
      <c r="G595" s="22" t="str">
        <f>IF(OR(E595="",E595="!!!"),"",IF(OR(J595=0,AND(J595=1,K595=1),AND(J595=1,I595="SBJ"),AND(J595=1,I595=0)),"?IN_FOCUS",IF(J595&lt;=2,"?ACTIVATED",IF(J595&lt;&gt;"","?FAMILIAR",IF(F595="NEW",IF(ISNA(VLOOKUP(E595,#REF!,1,FALSE())),"?TYPE_IDENTIFIABLE","?REFERENTIAL"),"_")))))</f>
        <v/>
      </c>
      <c r="H595" s="23" t="str">
        <f t="shared" ca="1" si="69"/>
        <v/>
      </c>
      <c r="I595" s="24" t="str">
        <f>IF(OR(E595="",E595="!!!",F595="NEW"),"",INDEX(B$2:B594,-1+SUMPRODUCT(MAX(ROW(E$2:E594)*(E595=E$2:E594)))))</f>
        <v/>
      </c>
      <c r="J595" s="24" t="str">
        <f ca="1">IF(OR(E595="",E595="!!!",F595="NEW"),"",COUNTBLANK(OFFSET(A$1,,,SUMPRODUCT(MAX(ROW(E$2:E595)*(E595=E$2:E595)))))-COUNTBLANK(OFFSET(A$1,,,SUMPRODUCT(MAX(ROW(E$1:E594)*(E2=E$1:E594))))))</f>
        <v/>
      </c>
      <c r="K595" s="24" t="str">
        <f>IF(OR(E595="",E595="!!!",F595="NEW"),"",INDEX(J$1:J594,SUMPRODUCT(MAX(ROW(E$1:E594)*(E595=E$1:E594)))))</f>
        <v/>
      </c>
      <c r="L595" s="25"/>
    </row>
    <row r="596" spans="1:12" x14ac:dyDescent="0.2">
      <c r="A596" t="s">
        <v>1014</v>
      </c>
      <c r="E596" s="20" t="str">
        <f t="shared" si="68"/>
        <v/>
      </c>
      <c r="F596" s="21" t="str">
        <f>IF(OR(E596="",E596="!!!"),"",IF(NOT(ISNA(VLOOKUP(E596,E$1:E595,1,FALSE()))),"OLD",IF(AND(E596&lt;&gt;"",E596&lt;&gt;"!!!"),"NEW","")))</f>
        <v/>
      </c>
      <c r="G596" s="22" t="str">
        <f>IF(OR(E596="",E596="!!!"),"",IF(OR(J596=0,AND(J596=1,K596=1),AND(J596=1,I596="SBJ"),AND(J596=1,I596=0)),"?IN_FOCUS",IF(J596&lt;=2,"?ACTIVATED",IF(J596&lt;&gt;"","?FAMILIAR",IF(F596="NEW",IF(ISNA(VLOOKUP(E596,#REF!,1,FALSE())),"?TYPE_IDENTIFIABLE","?REFERENTIAL"),"_")))))</f>
        <v/>
      </c>
      <c r="H596" s="23" t="str">
        <f t="shared" ca="1" si="69"/>
        <v/>
      </c>
      <c r="I596" s="24" t="str">
        <f>IF(OR(E596="",E596="!!!",F596="NEW"),"",INDEX(B$2:B595,-1+SUMPRODUCT(MAX(ROW(E$2:E595)*(E596=E$2:E595)))))</f>
        <v/>
      </c>
      <c r="J596" s="24" t="str">
        <f ca="1">IF(OR(E596="",E596="!!!",F596="NEW"),"",COUNTBLANK(OFFSET(A$1,,,SUMPRODUCT(MAX(ROW(E$2:E596)*(E596=E$2:E596)))))-COUNTBLANK(OFFSET(A$1,,,SUMPRODUCT(MAX(ROW(E$1:E595)*(E2=E$1:E595))))))</f>
        <v/>
      </c>
      <c r="K596" s="24" t="str">
        <f>IF(OR(E596="",E596="!!!",F596="NEW"),"",INDEX(J$1:J595,SUMPRODUCT(MAX(ROW(E$1:E595)*(E596=E$1:E595)))))</f>
        <v/>
      </c>
      <c r="L596" s="25"/>
    </row>
    <row r="597" spans="1:12" x14ac:dyDescent="0.2">
      <c r="A597" t="s">
        <v>1009</v>
      </c>
      <c r="E597" s="20" t="str">
        <f t="shared" si="68"/>
        <v/>
      </c>
      <c r="F597" s="21" t="str">
        <f>IF(OR(E597="",E597="!!!"),"",IF(NOT(ISNA(VLOOKUP(E597,E$1:E596,1,FALSE()))),"OLD",IF(AND(E597&lt;&gt;"",E597&lt;&gt;"!!!"),"NEW","")))</f>
        <v/>
      </c>
      <c r="G597" s="22" t="str">
        <f>IF(OR(E597="",E597="!!!"),"",IF(OR(J597=0,AND(J597=1,K597=1),AND(J597=1,I597="SBJ"),AND(J597=1,I597=0)),"?IN_FOCUS",IF(J597&lt;=2,"?ACTIVATED",IF(J597&lt;&gt;"","?FAMILIAR",IF(F597="NEW",IF(ISNA(VLOOKUP(E597,#REF!,1,FALSE())),"?TYPE_IDENTIFIABLE","?REFERENTIAL"),"_")))))</f>
        <v/>
      </c>
      <c r="H597" s="23" t="str">
        <f t="shared" ca="1" si="69"/>
        <v/>
      </c>
      <c r="I597" s="24" t="str">
        <f>IF(OR(E597="",E597="!!!",F597="NEW"),"",INDEX(B$2:B596,-1+SUMPRODUCT(MAX(ROW(E$2:E596)*(E597=E$2:E596)))))</f>
        <v/>
      </c>
      <c r="J597" s="24" t="str">
        <f ca="1">IF(OR(E597="",E597="!!!",F597="NEW"),"",COUNTBLANK(OFFSET(A$1,,,SUMPRODUCT(MAX(ROW(E$2:E597)*(E597=E$2:E597)))))-COUNTBLANK(OFFSET(A$1,,,SUMPRODUCT(MAX(ROW(E$1:E596)*(E2=E$1:E596))))))</f>
        <v/>
      </c>
      <c r="K597" s="24" t="str">
        <f>IF(OR(E597="",E597="!!!",F597="NEW"),"",INDEX(J$1:J596,SUMPRODUCT(MAX(ROW(E$1:E596)*(E597=E$1:E596)))))</f>
        <v/>
      </c>
      <c r="L597" s="25"/>
    </row>
    <row r="598" spans="1:12" x14ac:dyDescent="0.2">
      <c r="A598" t="s">
        <v>845</v>
      </c>
      <c r="E598" s="20" t="str">
        <f t="shared" si="68"/>
        <v/>
      </c>
      <c r="F598" s="21" t="str">
        <f>IF(OR(E598="",E598="!!!"),"",IF(NOT(ISNA(VLOOKUP(E598,E$1:E597,1,FALSE()))),"OLD",IF(AND(E598&lt;&gt;"",E598&lt;&gt;"!!!"),"NEW","")))</f>
        <v/>
      </c>
      <c r="G598" s="22" t="str">
        <f>IF(OR(E598="",E598="!!!"),"",IF(OR(J598=0,AND(J598=1,K598=1),AND(J598=1,I598="SBJ"),AND(J598=1,I598=0)),"?IN_FOCUS",IF(J598&lt;=2,"?ACTIVATED",IF(J598&lt;&gt;"","?FAMILIAR",IF(F598="NEW",IF(ISNA(VLOOKUP(E598,#REF!,1,FALSE())),"?TYPE_IDENTIFIABLE","?REFERENTIAL"),"_")))))</f>
        <v/>
      </c>
      <c r="H598" s="23" t="str">
        <f t="shared" ca="1" si="69"/>
        <v/>
      </c>
      <c r="I598" s="24" t="str">
        <f>IF(OR(E598="",E598="!!!",F598="NEW"),"",INDEX(B$2:B597,-1+SUMPRODUCT(MAX(ROW(E$2:E597)*(E598=E$2:E597)))))</f>
        <v/>
      </c>
      <c r="J598" s="24" t="str">
        <f ca="1">IF(OR(E598="",E598="!!!",F598="NEW"),"",COUNTBLANK(OFFSET(A$1,,,SUMPRODUCT(MAX(ROW(E$2:E598)*(E598=E$2:E598)))))-COUNTBLANK(OFFSET(A$1,,,SUMPRODUCT(MAX(ROW(E$1:E597)*(E2=E$1:E597))))))</f>
        <v/>
      </c>
      <c r="K598" s="24" t="str">
        <f>IF(OR(E598="",E598="!!!",F598="NEW"),"",INDEX(J$1:J597,SUMPRODUCT(MAX(ROW(E$1:E597)*(E598=E$1:E597)))))</f>
        <v/>
      </c>
      <c r="L598" s="25"/>
    </row>
    <row r="599" spans="1:12" x14ac:dyDescent="0.2">
      <c r="A599" t="s">
        <v>896</v>
      </c>
      <c r="B599" s="26" t="s">
        <v>819</v>
      </c>
      <c r="C599" s="26" t="s">
        <v>847</v>
      </c>
      <c r="D599" s="26" t="s">
        <v>806</v>
      </c>
      <c r="E599" s="20" t="s">
        <v>896</v>
      </c>
      <c r="F599" s="21" t="str">
        <f>IF(OR(E599="",E599="!!!"),"",IF(NOT(ISNA(VLOOKUP(E599,E$1:E598,1,FALSE()))),"OLD",IF(AND(E599&lt;&gt;"",E599&lt;&gt;"!!!"),"NEW","")))</f>
        <v>OLD</v>
      </c>
      <c r="G599" s="22" t="s">
        <v>1822</v>
      </c>
      <c r="H599" s="23" t="str">
        <f t="shared" ca="1" si="69"/>
        <v/>
      </c>
      <c r="I599" s="24" t="str">
        <f>IF(OR(E599="",E599="!!!",F599="NEW"),"",INDEX(B$2:B598,-1+SUMPRODUCT(MAX(ROW(E$2:E598)*(E599=E$2:E598)))))</f>
        <v>other_2</v>
      </c>
      <c r="J599" s="24">
        <f ca="1">IF(OR(E599="",E599="!!!",F599="NEW"),"",COUNTBLANK(OFFSET(A$1,,,SUMPRODUCT(MAX(ROW(E$2:E599)*(E599=E$2:E599)))))-COUNTBLANK(OFFSET(A$1,,,SUMPRODUCT(MAX(ROW(E$1:E598)*(E2=E$1:E598))))))</f>
        <v>0</v>
      </c>
      <c r="K599" s="24" t="str">
        <f ca="1">IF(OR(E599="",E599="!!!",F599="NEW"),"",INDEX(J$1:J598,SUMPRODUCT(MAX(ROW(E$1:E598)*(E599=E$1:E598)))))</f>
        <v/>
      </c>
      <c r="L599" s="25"/>
    </row>
    <row r="600" spans="1:12" x14ac:dyDescent="0.2">
      <c r="A600" t="s">
        <v>802</v>
      </c>
      <c r="E600" s="20" t="str">
        <f t="shared" si="68"/>
        <v/>
      </c>
      <c r="F600" s="21" t="str">
        <f>IF(OR(E600="",E600="!!!"),"",IF(NOT(ISNA(VLOOKUP(E600,E$1:E599,1,FALSE()))),"OLD",IF(AND(E600&lt;&gt;"",E600&lt;&gt;"!!!"),"NEW","")))</f>
        <v/>
      </c>
      <c r="G600" s="22" t="str">
        <f>IF(OR(E600="",E600="!!!"),"",IF(OR(J600=0,AND(J600=1,K600=1),AND(J600=1,I600="SBJ"),AND(J600=1,I600=0)),"?IN_FOCUS",IF(J600&lt;=2,"?ACTIVATED",IF(J600&lt;&gt;"","?FAMILIAR",IF(F600="NEW",IF(ISNA(VLOOKUP(E600,#REF!,1,FALSE())),"?TYPE_IDENTIFIABLE","?REFERENTIAL"),"_")))))</f>
        <v/>
      </c>
      <c r="H600" s="23" t="str">
        <f t="shared" ca="1" si="69"/>
        <v/>
      </c>
      <c r="I600" s="24" t="str">
        <f>IF(OR(E600="",E600="!!!",F600="NEW"),"",INDEX(B$2:B599,-1+SUMPRODUCT(MAX(ROW(E$2:E599)*(E600=E$2:E599)))))</f>
        <v/>
      </c>
      <c r="J600" s="24" t="str">
        <f ca="1">IF(OR(E600="",E600="!!!",F600="NEW"),"",COUNTBLANK(OFFSET(A$1,,,SUMPRODUCT(MAX(ROW(E$2:E600)*(E600=E$2:E600)))))-COUNTBLANK(OFFSET(A$1,,,SUMPRODUCT(MAX(ROW(E$1:E599)*(E2=E$1:E599))))))</f>
        <v/>
      </c>
      <c r="K600" s="24" t="str">
        <f>IF(OR(E600="",E600="!!!",F600="NEW"),"",INDEX(J$1:J599,SUMPRODUCT(MAX(ROW(E$1:E599)*(E600=E$1:E599)))))</f>
        <v/>
      </c>
      <c r="L600" s="25"/>
    </row>
    <row r="601" spans="1:12" x14ac:dyDescent="0.2">
      <c r="A601" t="s">
        <v>803</v>
      </c>
      <c r="B601" s="26" t="s">
        <v>804</v>
      </c>
      <c r="C601" s="26" t="s">
        <v>805</v>
      </c>
      <c r="D601" s="26" t="s">
        <v>806</v>
      </c>
      <c r="E601" s="20" t="s">
        <v>1747</v>
      </c>
      <c r="F601" s="21" t="s">
        <v>1753</v>
      </c>
      <c r="G601" s="22" t="s">
        <v>1823</v>
      </c>
      <c r="H601" s="23" t="str">
        <f t="shared" ca="1" si="69"/>
        <v/>
      </c>
      <c r="I601" s="24" t="str">
        <f>IF(OR(E601="",E601="!!!",F601="NEW"),"",INDEX(B$2:B600,-1+SUMPRODUCT(MAX(ROW(E$2:E600)*(E601=E$2:E600)))))</f>
        <v>SBJ_2</v>
      </c>
      <c r="J601" s="24">
        <f ca="1">IF(OR(E601="",E601="!!!",F601="NEW"),"",COUNTBLANK(OFFSET(A$1,,,SUMPRODUCT(MAX(ROW(E$2:E601)*(E601=E$2:E601)))))-COUNTBLANK(OFFSET(A$1,,,SUMPRODUCT(MAX(ROW(E$1:E600)*(E2=E$1:E600))))))</f>
        <v>0</v>
      </c>
      <c r="K601" s="24">
        <f ca="1">IF(OR(E601="",E601="!!!",F601="NEW"),"",INDEX(J$1:J600,SUMPRODUCT(MAX(ROW(E$1:E600)*(E601=E$1:E600)))))</f>
        <v>0</v>
      </c>
      <c r="L601" s="25"/>
    </row>
    <row r="602" spans="1:12" x14ac:dyDescent="0.2">
      <c r="A602" t="s">
        <v>887</v>
      </c>
      <c r="E602" s="20" t="str">
        <f t="shared" si="68"/>
        <v/>
      </c>
      <c r="F602" s="21" t="str">
        <f>IF(OR(E602="",E602="!!!"),"",IF(NOT(ISNA(VLOOKUP(E602,E$1:E601,1,FALSE()))),"OLD",IF(AND(E602&lt;&gt;"",E602&lt;&gt;"!!!"),"NEW","")))</f>
        <v/>
      </c>
      <c r="G602" s="22" t="str">
        <f>IF(OR(E602="",E602="!!!"),"",IF(OR(J602=0,AND(J602=1,K602=1),AND(J602=1,I602="SBJ"),AND(J602=1,I602=0)),"?IN_FOCUS",IF(J602&lt;=2,"?ACTIVATED",IF(J602&lt;&gt;"","?FAMILIAR",IF(F602="NEW",IF(ISNA(VLOOKUP(E602,#REF!,1,FALSE())),"?TYPE_IDENTIFIABLE","?REFERENTIAL"),"_")))))</f>
        <v/>
      </c>
      <c r="H602" s="23" t="str">
        <f t="shared" ca="1" si="69"/>
        <v/>
      </c>
      <c r="I602" s="24" t="str">
        <f>IF(OR(E602="",E602="!!!",F602="NEW"),"",INDEX(B$2:B601,-1+SUMPRODUCT(MAX(ROW(E$2:E601)*(E602=E$2:E601)))))</f>
        <v/>
      </c>
      <c r="J602" s="24" t="str">
        <f ca="1">IF(OR(E602="",E602="!!!",F602="NEW"),"",COUNTBLANK(OFFSET(A$1,,,SUMPRODUCT(MAX(ROW(E$2:E602)*(E602=E$2:E602)))))-COUNTBLANK(OFFSET(A$1,,,SUMPRODUCT(MAX(ROW(E$1:E601)*(E2=E$1:E601))))))</f>
        <v/>
      </c>
      <c r="K602" s="24" t="str">
        <f>IF(OR(E602="",E602="!!!",F602="NEW"),"",INDEX(J$1:J601,SUMPRODUCT(MAX(ROW(E$1:E601)*(E602=E$1:E601)))))</f>
        <v/>
      </c>
      <c r="L602" s="25"/>
    </row>
    <row r="603" spans="1:12" x14ac:dyDescent="0.2">
      <c r="A603" t="s">
        <v>191</v>
      </c>
      <c r="B603" s="26" t="s">
        <v>810</v>
      </c>
      <c r="C603" s="26" t="s">
        <v>854</v>
      </c>
      <c r="D603" s="26" t="s">
        <v>806</v>
      </c>
      <c r="E603" s="20" t="s">
        <v>1760</v>
      </c>
      <c r="F603" s="21" t="str">
        <f>IF(OR(E603="",E603="!!!"),"",IF(NOT(ISNA(VLOOKUP(E603,E$1:E602,1,FALSE()))),"OLD",IF(AND(E603&lt;&gt;"",E603&lt;&gt;"!!!"),"NEW","")))</f>
        <v>OLD</v>
      </c>
      <c r="G603" s="22" t="s">
        <v>1822</v>
      </c>
      <c r="H603" s="23" t="str">
        <f t="shared" ca="1" si="69"/>
        <v/>
      </c>
      <c r="I603" s="24" t="str">
        <f>IF(OR(E603="",E603="!!!",F603="NEW"),"",INDEX(B$2:B602,-1+SUMPRODUCT(MAX(ROW(E$2:E602)*(E603=E$2:E602)))))</f>
        <v>SBJ</v>
      </c>
      <c r="J603" s="24">
        <f ca="1">IF(OR(E603="",E603="!!!",F603="NEW"),"",COUNTBLANK(OFFSET(A$1,,,SUMPRODUCT(MAX(ROW(E$2:E603)*(E603=E$2:E603)))))-COUNTBLANK(OFFSET(A$1,,,SUMPRODUCT(MAX(ROW(E$1:E602)*(E2=E$1:E602))))))</f>
        <v>0</v>
      </c>
      <c r="K603" s="24">
        <f ca="1">IF(OR(E603="",E603="!!!",F603="NEW"),"",INDEX(J$1:J602,SUMPRODUCT(MAX(ROW(E$1:E602)*(E603=E$1:E602)))))</f>
        <v>0</v>
      </c>
      <c r="L603" s="25"/>
    </row>
    <row r="604" spans="1:12" x14ac:dyDescent="0.2">
      <c r="A604" t="s">
        <v>821</v>
      </c>
      <c r="E604" s="20" t="str">
        <f t="shared" si="68"/>
        <v/>
      </c>
      <c r="F604" s="21" t="str">
        <f>IF(OR(E604="",E604="!!!"),"",IF(NOT(ISNA(VLOOKUP(E604,E$1:E603,1,FALSE()))),"OLD",IF(AND(E604&lt;&gt;"",E604&lt;&gt;"!!!"),"NEW","")))</f>
        <v/>
      </c>
      <c r="G604" s="22" t="str">
        <f>IF(OR(E604="",E604="!!!"),"",IF(OR(J604=0,AND(J604=1,K604=1),AND(J604=1,I604="SBJ"),AND(J604=1,I604=0)),"?IN_FOCUS",IF(J604&lt;=2,"?ACTIVATED",IF(J604&lt;&gt;"","?FAMILIAR",IF(F604="NEW",IF(ISNA(VLOOKUP(E604,#REF!,1,FALSE())),"?TYPE_IDENTIFIABLE","?REFERENTIAL"),"_")))))</f>
        <v/>
      </c>
      <c r="H604" s="23" t="str">
        <f t="shared" ca="1" si="69"/>
        <v/>
      </c>
      <c r="I604" s="24" t="str">
        <f>IF(OR(E604="",E604="!!!",F604="NEW"),"",INDEX(B$2:B603,-1+SUMPRODUCT(MAX(ROW(E$2:E603)*(E604=E$2:E603)))))</f>
        <v/>
      </c>
      <c r="J604" s="24" t="str">
        <f ca="1">IF(OR(E604="",E604="!!!",F604="NEW"),"",COUNTBLANK(OFFSET(A$1,,,SUMPRODUCT(MAX(ROW(E$2:E604)*(E604=E$2:E604)))))-COUNTBLANK(OFFSET(A$1,,,SUMPRODUCT(MAX(ROW(E$1:E603)*(E2=E$1:E603))))))</f>
        <v/>
      </c>
      <c r="K604" s="24" t="str">
        <f>IF(OR(E604="",E604="!!!",F604="NEW"),"",INDEX(J$1:J603,SUMPRODUCT(MAX(ROW(E$1:E603)*(E604=E$1:E603)))))</f>
        <v/>
      </c>
      <c r="L604" s="25"/>
    </row>
    <row r="606" spans="1:12" x14ac:dyDescent="0.2">
      <c r="A606" t="s">
        <v>900</v>
      </c>
      <c r="E606" s="20" t="str">
        <f>IF(D606="?OLD","!!!","")</f>
        <v/>
      </c>
      <c r="F606" s="21" t="str">
        <f>IF(OR(E606="",E606="!!!"),"",IF(NOT(ISNA(VLOOKUP(E606,E$1:E605,1,FALSE()))),"OLD",IF(AND(E606&lt;&gt;"",E606&lt;&gt;"!!!"),"NEW","")))</f>
        <v/>
      </c>
      <c r="G606" s="22" t="str">
        <f>IF(OR(E606="",E606="!!!"),"",IF(OR(J606=0,AND(J606=1,K606=1),AND(J606=1,I606="SBJ"),AND(J606=1,I606=0)),"?IN_FOCUS",IF(J606&lt;=2,"?ACTIVATED",IF(J606&lt;&gt;"","?FAMILIAR",IF(F606="NEW",IF(ISNA(VLOOKUP(E606,#REF!,1,FALSE())),"?TYPE_IDENTIFIABLE","?REFERENTIAL"),"_")))))</f>
        <v/>
      </c>
      <c r="H606" s="23" t="str">
        <f ca="1">IF(J606&lt;&gt;1,"",IF(I606="SBJ","CB","?"))</f>
        <v/>
      </c>
      <c r="I606" s="24" t="str">
        <f>IF(OR(E606="",E606="!!!",F606="NEW"),"",INDEX(B$2:B605,-1+SUMPRODUCT(MAX(ROW(E$2:E605)*(E606=E$2:E605)))))</f>
        <v/>
      </c>
      <c r="J606" s="24" t="str">
        <f ca="1">IF(OR(E606="",E606="!!!",F606="NEW"),"",COUNTBLANK(OFFSET(A$1,,,SUMPRODUCT(MAX(ROW(E$2:E606)*(E606=E$2:E606)))))-COUNTBLANK(OFFSET(A$1,,,SUMPRODUCT(MAX(ROW(E$1:E605)*(E2=E$1:E605))))))</f>
        <v/>
      </c>
      <c r="K606" s="24" t="str">
        <f>IF(OR(E606="",E606="!!!",F606="NEW"),"",INDEX(J$1:J605,SUMPRODUCT(MAX(ROW(E$1:E605)*(E606=E$1:E605)))))</f>
        <v/>
      </c>
      <c r="L606" s="25"/>
    </row>
    <row r="607" spans="1:12" x14ac:dyDescent="0.2">
      <c r="A607" t="s">
        <v>1069</v>
      </c>
    </row>
    <row r="608" spans="1:12" x14ac:dyDescent="0.2">
      <c r="A608" t="s">
        <v>803</v>
      </c>
      <c r="B608" s="26" t="s">
        <v>804</v>
      </c>
      <c r="C608" s="26" t="s">
        <v>805</v>
      </c>
      <c r="D608" s="26" t="s">
        <v>806</v>
      </c>
      <c r="E608" s="20" t="s">
        <v>1747</v>
      </c>
      <c r="F608" s="21" t="s">
        <v>1753</v>
      </c>
      <c r="G608" s="22" t="s">
        <v>1823</v>
      </c>
      <c r="H608" s="23" t="str">
        <f t="shared" ref="H608:H622" ca="1" si="70">IF(J608&lt;&gt;1,"",IF(I608="SBJ","CB","?"))</f>
        <v/>
      </c>
      <c r="I608" s="24" t="str">
        <f>IF(OR(E608="",E608="!!!",F608="NEW"),"",INDEX(B$2:B607,-1+SUMPRODUCT(MAX(ROW(E$2:E607)*(E608=E$2:E607)))))</f>
        <v>SBJ</v>
      </c>
      <c r="J608" s="24">
        <f ca="1">IF(OR(E608="",E608="!!!",F608="NEW"),"",COUNTBLANK(OFFSET(A$1,,,SUMPRODUCT(MAX(ROW(E$2:E608)*(E608=E$2:E608)))))-COUNTBLANK(OFFSET(A$1,,,SUMPRODUCT(MAX(ROW(E$1:E607)*(E2=E$1:E607))))))</f>
        <v>0</v>
      </c>
      <c r="K608" s="24">
        <f ca="1">IF(OR(E608="",E608="!!!",F608="NEW"),"",INDEX(J$1:J607,SUMPRODUCT(MAX(ROW(E$1:E607)*(E608=E$1:E607)))))</f>
        <v>0</v>
      </c>
      <c r="L608" s="25"/>
    </row>
    <row r="609" spans="1:12" x14ac:dyDescent="0.2">
      <c r="A609" t="s">
        <v>904</v>
      </c>
      <c r="E609" s="20" t="str">
        <f t="shared" ref="E609:E622" si="71">IF(D609="?OLD","!!!","")</f>
        <v/>
      </c>
      <c r="F609" s="21" t="str">
        <f>IF(OR(E609="",E609="!!!"),"",IF(NOT(ISNA(VLOOKUP(E609,E$1:E608,1,FALSE()))),"OLD",IF(AND(E609&lt;&gt;"",E609&lt;&gt;"!!!"),"NEW","")))</f>
        <v/>
      </c>
      <c r="G609" s="22" t="str">
        <f>IF(OR(E609="",E609="!!!"),"",IF(OR(J609=0,AND(J609=1,K609=1),AND(J609=1,I609="SBJ"),AND(J609=1,I609=0)),"?IN_FOCUS",IF(J609&lt;=2,"?ACTIVATED",IF(J609&lt;&gt;"","?FAMILIAR",IF(F609="NEW",IF(ISNA(VLOOKUP(E609,#REF!,1,FALSE())),"?TYPE_IDENTIFIABLE","?REFERENTIAL"),"_")))))</f>
        <v/>
      </c>
      <c r="H609" s="23" t="str">
        <f t="shared" ca="1" si="70"/>
        <v/>
      </c>
      <c r="I609" s="24" t="str">
        <f>IF(OR(E609="",E609="!!!",F609="NEW"),"",INDEX(B$2:B608,-1+SUMPRODUCT(MAX(ROW(E$2:E608)*(E609=E$2:E608)))))</f>
        <v/>
      </c>
      <c r="J609" s="24" t="str">
        <f ca="1">IF(OR(E609="",E609="!!!",F609="NEW"),"",COUNTBLANK(OFFSET(A$1,,,SUMPRODUCT(MAX(ROW(E$2:E609)*(E609=E$2:E609)))))-COUNTBLANK(OFFSET(A$1,,,SUMPRODUCT(MAX(ROW(E$1:E608)*(E2=E$1:E608))))))</f>
        <v/>
      </c>
      <c r="K609" s="24" t="str">
        <f>IF(OR(E609="",E609="!!!",F609="NEW"),"",INDEX(J$1:J608,SUMPRODUCT(MAX(ROW(E$1:E608)*(E609=E$1:E608)))))</f>
        <v/>
      </c>
      <c r="L609" s="25"/>
    </row>
    <row r="610" spans="1:12" x14ac:dyDescent="0.2">
      <c r="A610" t="s">
        <v>802</v>
      </c>
      <c r="E610" s="20" t="str">
        <f t="shared" si="71"/>
        <v/>
      </c>
      <c r="F610" s="21" t="str">
        <f>IF(OR(E610="",E610="!!!"),"",IF(NOT(ISNA(VLOOKUP(E610,E$1:E609,1,FALSE()))),"OLD",IF(AND(E610&lt;&gt;"",E610&lt;&gt;"!!!"),"NEW","")))</f>
        <v/>
      </c>
      <c r="G610" s="22" t="str">
        <f>IF(OR(E610="",E610="!!!"),"",IF(OR(J610=0,AND(J610=1,K610=1),AND(J610=1,I610="SBJ"),AND(J610=1,I610=0)),"?IN_FOCUS",IF(J610&lt;=2,"?ACTIVATED",IF(J610&lt;&gt;"","?FAMILIAR",IF(F610="NEW",IF(ISNA(VLOOKUP(E610,#REF!,1,FALSE())),"?TYPE_IDENTIFIABLE","?REFERENTIAL"),"_")))))</f>
        <v/>
      </c>
      <c r="H610" s="23" t="str">
        <f t="shared" ca="1" si="70"/>
        <v/>
      </c>
      <c r="I610" s="24" t="str">
        <f>IF(OR(E610="",E610="!!!",F610="NEW"),"",INDEX(B$2:B609,-1+SUMPRODUCT(MAX(ROW(E$2:E609)*(E610=E$2:E609)))))</f>
        <v/>
      </c>
      <c r="J610" s="24" t="str">
        <f ca="1">IF(OR(E610="",E610="!!!",F610="NEW"),"",COUNTBLANK(OFFSET(A$1,,,SUMPRODUCT(MAX(ROW(E$2:E610)*(E610=E$2:E610)))))-COUNTBLANK(OFFSET(A$1,,,SUMPRODUCT(MAX(ROW(E$1:E609)*(E2=E$1:E609))))))</f>
        <v/>
      </c>
      <c r="K610" s="24" t="str">
        <f>IF(OR(E610="",E610="!!!",F610="NEW"),"",INDEX(J$1:J609,SUMPRODUCT(MAX(ROW(E$1:E609)*(E610=E$1:E609)))))</f>
        <v/>
      </c>
      <c r="L610" s="25"/>
    </row>
    <row r="611" spans="1:12" x14ac:dyDescent="0.2">
      <c r="A611" t="s">
        <v>902</v>
      </c>
      <c r="E611" s="20" t="str">
        <f t="shared" si="71"/>
        <v/>
      </c>
      <c r="F611" s="21" t="str">
        <f>IF(OR(E611="",E611="!!!"),"",IF(NOT(ISNA(VLOOKUP(E611,E$1:E610,1,FALSE()))),"OLD",IF(AND(E611&lt;&gt;"",E611&lt;&gt;"!!!"),"NEW","")))</f>
        <v/>
      </c>
      <c r="G611" s="22" t="str">
        <f>IF(OR(E611="",E611="!!!"),"",IF(OR(J611=0,AND(J611=1,K611=1),AND(J611=1,I611="SBJ"),AND(J611=1,I611=0)),"?IN_FOCUS",IF(J611&lt;=2,"?ACTIVATED",IF(J611&lt;&gt;"","?FAMILIAR",IF(F611="NEW",IF(ISNA(VLOOKUP(E611,#REF!,1,FALSE())),"?TYPE_IDENTIFIABLE","?REFERENTIAL"),"_")))))</f>
        <v/>
      </c>
      <c r="H611" s="23" t="str">
        <f t="shared" ca="1" si="70"/>
        <v/>
      </c>
      <c r="I611" s="24" t="str">
        <f>IF(OR(E611="",E611="!!!",F611="NEW"),"",INDEX(B$2:B610,-1+SUMPRODUCT(MAX(ROW(E$2:E610)*(E611=E$2:E610)))))</f>
        <v/>
      </c>
      <c r="J611" s="24" t="str">
        <f ca="1">IF(OR(E611="",E611="!!!",F611="NEW"),"",COUNTBLANK(OFFSET(A$1,,,SUMPRODUCT(MAX(ROW(E$2:E611)*(E611=E$2:E611)))))-COUNTBLANK(OFFSET(A$1,,,SUMPRODUCT(MAX(ROW(E$1:E610)*(E2=E$1:E610))))))</f>
        <v/>
      </c>
      <c r="K611" s="24" t="str">
        <f>IF(OR(E611="",E611="!!!",F611="NEW"),"",INDEX(J$1:J610,SUMPRODUCT(MAX(ROW(E$1:E610)*(E611=E$1:E610)))))</f>
        <v/>
      </c>
      <c r="L611" s="25"/>
    </row>
    <row r="612" spans="1:12" x14ac:dyDescent="0.2">
      <c r="A612" t="s">
        <v>191</v>
      </c>
      <c r="B612" s="26" t="s">
        <v>950</v>
      </c>
      <c r="C612" s="26" t="s">
        <v>854</v>
      </c>
      <c r="D612" s="26" t="s">
        <v>806</v>
      </c>
      <c r="E612" s="20"/>
      <c r="F612" s="21"/>
      <c r="G612" s="22"/>
      <c r="H612" s="23" t="str">
        <f t="shared" ca="1" si="70"/>
        <v/>
      </c>
      <c r="I612" s="24" t="str">
        <f>IF(OR(E612="",E612="!!!",F612="NEW"),"",INDEX(B$2:B611,-1+SUMPRODUCT(MAX(ROW(E$2:E611)*(E612=E$2:E611)))))</f>
        <v/>
      </c>
      <c r="J612" s="24" t="str">
        <f ca="1">IF(OR(E612="",E612="!!!",F612="NEW"),"",COUNTBLANK(OFFSET(A$1,,,SUMPRODUCT(MAX(ROW(E$2:E612)*(E612=E$2:E612)))))-COUNTBLANK(OFFSET(A$1,,,SUMPRODUCT(MAX(ROW(E$1:E611)*(E2=E$1:E611))))))</f>
        <v/>
      </c>
      <c r="K612" s="24" t="str">
        <f>IF(OR(E612="",E612="!!!",F612="NEW"),"",INDEX(J$1:J611,SUMPRODUCT(MAX(ROW(E$1:E611)*(E612=E$1:E611)))))</f>
        <v/>
      </c>
      <c r="L612" s="25"/>
    </row>
    <row r="613" spans="1:12" x14ac:dyDescent="0.2">
      <c r="A613" t="s">
        <v>802</v>
      </c>
      <c r="E613" s="20" t="str">
        <f t="shared" si="71"/>
        <v/>
      </c>
      <c r="F613" s="21" t="str">
        <f>IF(OR(E613="",E613="!!!"),"",IF(NOT(ISNA(VLOOKUP(E613,E$1:E612,1,FALSE()))),"OLD",IF(AND(E613&lt;&gt;"",E613&lt;&gt;"!!!"),"NEW","")))</f>
        <v/>
      </c>
      <c r="G613" s="22" t="str">
        <f>IF(OR(E613="",E613="!!!"),"",IF(OR(J613=0,AND(J613=1,K613=1),AND(J613=1,I613="SBJ"),AND(J613=1,I613=0)),"?IN_FOCUS",IF(J613&lt;=2,"?ACTIVATED",IF(J613&lt;&gt;"","?FAMILIAR",IF(F613="NEW",IF(ISNA(VLOOKUP(E613,#REF!,1,FALSE())),"?TYPE_IDENTIFIABLE","?REFERENTIAL"),"_")))))</f>
        <v/>
      </c>
      <c r="H613" s="23" t="str">
        <f t="shared" ca="1" si="70"/>
        <v/>
      </c>
      <c r="I613" s="24" t="str">
        <f>IF(OR(E613="",E613="!!!",F613="NEW"),"",INDEX(B$2:B612,-1+SUMPRODUCT(MAX(ROW(E$2:E612)*(E613=E$2:E612)))))</f>
        <v/>
      </c>
      <c r="J613" s="24" t="str">
        <f ca="1">IF(OR(E613="",E613="!!!",F613="NEW"),"",COUNTBLANK(OFFSET(A$1,,,SUMPRODUCT(MAX(ROW(E$2:E613)*(E613=E$2:E613)))))-COUNTBLANK(OFFSET(A$1,,,SUMPRODUCT(MAX(ROW(E$1:E612)*(E2=E$1:E612))))))</f>
        <v/>
      </c>
      <c r="K613" s="24" t="str">
        <f>IF(OR(E613="",E613="!!!",F613="NEW"),"",INDEX(J$1:J612,SUMPRODUCT(MAX(ROW(E$1:E612)*(E613=E$1:E612)))))</f>
        <v/>
      </c>
      <c r="L613" s="25"/>
    </row>
    <row r="614" spans="1:12" x14ac:dyDescent="0.2">
      <c r="A614" t="s">
        <v>148</v>
      </c>
      <c r="B614" s="26" t="s">
        <v>819</v>
      </c>
      <c r="C614" s="26" t="s">
        <v>850</v>
      </c>
      <c r="E614" s="20" t="str">
        <f t="shared" si="71"/>
        <v/>
      </c>
      <c r="F614" s="21" t="str">
        <f>IF(OR(E614="",E614="!!!"),"",IF(NOT(ISNA(VLOOKUP(E614,E$1:E613,1,FALSE()))),"OLD",IF(AND(E614&lt;&gt;"",E614&lt;&gt;"!!!"),"NEW","")))</f>
        <v/>
      </c>
      <c r="G614" s="22" t="str">
        <f>IF(OR(E614="",E614="!!!"),"",IF(OR(J614=0,AND(J614=1,K614=1),AND(J614=1,I614="SBJ"),AND(J614=1,I614=0)),"?IN_FOCUS",IF(J614&lt;=2,"?ACTIVATED",IF(J614&lt;&gt;"","?FAMILIAR",IF(F614="NEW",IF(ISNA(VLOOKUP(E614,#REF!,1,FALSE())),"?TYPE_IDENTIFIABLE","?REFERENTIAL"),"_")))))</f>
        <v/>
      </c>
      <c r="H614" s="23" t="str">
        <f t="shared" ca="1" si="70"/>
        <v/>
      </c>
      <c r="I614" s="24" t="str">
        <f>IF(OR(E614="",E614="!!!",F614="NEW"),"",INDEX(B$2:B613,-1+SUMPRODUCT(MAX(ROW(E$2:E613)*(E614=E$2:E613)))))</f>
        <v/>
      </c>
      <c r="J614" s="24" t="str">
        <f ca="1">IF(OR(E614="",E614="!!!",F614="NEW"),"",COUNTBLANK(OFFSET(A$1,,,SUMPRODUCT(MAX(ROW(E$2:E614)*(E614=E$2:E614)))))-COUNTBLANK(OFFSET(A$1,,,SUMPRODUCT(MAX(ROW(E$1:E613)*(E2=E$1:E613))))))</f>
        <v/>
      </c>
      <c r="K614" s="24" t="str">
        <f>IF(OR(E614="",E614="!!!",F614="NEW"),"",INDEX(J$1:J613,SUMPRODUCT(MAX(ROW(E$1:E613)*(E614=E$1:E613)))))</f>
        <v/>
      </c>
      <c r="L614" s="25"/>
    </row>
    <row r="615" spans="1:12" x14ac:dyDescent="0.2">
      <c r="A615" t="s">
        <v>1018</v>
      </c>
      <c r="E615" s="20" t="str">
        <f t="shared" si="71"/>
        <v/>
      </c>
      <c r="F615" s="21" t="str">
        <f>IF(OR(E615="",E615="!!!"),"",IF(NOT(ISNA(VLOOKUP(E615,E$1:E614,1,FALSE()))),"OLD",IF(AND(E615&lt;&gt;"",E615&lt;&gt;"!!!"),"NEW","")))</f>
        <v/>
      </c>
      <c r="G615" s="22" t="str">
        <f>IF(OR(E615="",E615="!!!"),"",IF(OR(J615=0,AND(J615=1,K615=1),AND(J615=1,I615="SBJ"),AND(J615=1,I615=0)),"?IN_FOCUS",IF(J615&lt;=2,"?ACTIVATED",IF(J615&lt;&gt;"","?FAMILIAR",IF(F615="NEW",IF(ISNA(VLOOKUP(E615,#REF!,1,FALSE())),"?TYPE_IDENTIFIABLE","?REFERENTIAL"),"_")))))</f>
        <v/>
      </c>
      <c r="H615" s="23" t="str">
        <f t="shared" ca="1" si="70"/>
        <v/>
      </c>
      <c r="I615" s="24" t="str">
        <f>IF(OR(E615="",E615="!!!",F615="NEW"),"",INDEX(B$2:B614,-1+SUMPRODUCT(MAX(ROW(E$2:E614)*(E615=E$2:E614)))))</f>
        <v/>
      </c>
      <c r="J615" s="24" t="str">
        <f ca="1">IF(OR(E615="",E615="!!!",F615="NEW"),"",COUNTBLANK(OFFSET(A$1,,,SUMPRODUCT(MAX(ROW(E$2:E615)*(E615=E$2:E615)))))-COUNTBLANK(OFFSET(A$1,,,SUMPRODUCT(MAX(ROW(E$1:E614)*(E2=E$1:E614))))))</f>
        <v/>
      </c>
      <c r="K615" s="24" t="str">
        <f>IF(OR(E615="",E615="!!!",F615="NEW"),"",INDEX(J$1:J614,SUMPRODUCT(MAX(ROW(E$1:E614)*(E615=E$1:E614)))))</f>
        <v/>
      </c>
      <c r="L615" s="25"/>
    </row>
    <row r="616" spans="1:12" x14ac:dyDescent="0.2">
      <c r="A616" t="s">
        <v>1070</v>
      </c>
      <c r="E616" s="20" t="str">
        <f t="shared" si="71"/>
        <v/>
      </c>
      <c r="F616" s="21" t="str">
        <f>IF(OR(E616="",E616="!!!"),"",IF(NOT(ISNA(VLOOKUP(E616,E$1:E615,1,FALSE()))),"OLD",IF(AND(E616&lt;&gt;"",E616&lt;&gt;"!!!"),"NEW","")))</f>
        <v/>
      </c>
      <c r="G616" s="22" t="str">
        <f>IF(OR(E616="",E616="!!!"),"",IF(OR(J616=0,AND(J616=1,K616=1),AND(J616=1,I616="SBJ"),AND(J616=1,I616=0)),"?IN_FOCUS",IF(J616&lt;=2,"?ACTIVATED",IF(J616&lt;&gt;"","?FAMILIAR",IF(F616="NEW",IF(ISNA(VLOOKUP(E616,#REF!,1,FALSE())),"?TYPE_IDENTIFIABLE","?REFERENTIAL"),"_")))))</f>
        <v/>
      </c>
      <c r="H616" s="23" t="str">
        <f t="shared" ca="1" si="70"/>
        <v/>
      </c>
      <c r="I616" s="24" t="str">
        <f>IF(OR(E616="",E616="!!!",F616="NEW"),"",INDEX(B$2:B615,-1+SUMPRODUCT(MAX(ROW(E$2:E615)*(E616=E$2:E615)))))</f>
        <v/>
      </c>
      <c r="J616" s="24" t="str">
        <f ca="1">IF(OR(E616="",E616="!!!",F616="NEW"),"",COUNTBLANK(OFFSET(A$1,,,SUMPRODUCT(MAX(ROW(E$2:E616)*(E616=E$2:E616)))))-COUNTBLANK(OFFSET(A$1,,,SUMPRODUCT(MAX(ROW(E$1:E615)*(E2=E$1:E615))))))</f>
        <v/>
      </c>
      <c r="K616" s="24" t="str">
        <f>IF(OR(E616="",E616="!!!",F616="NEW"),"",INDEX(J$1:J615,SUMPRODUCT(MAX(ROW(E$1:E615)*(E616=E$1:E615)))))</f>
        <v/>
      </c>
      <c r="L616" s="25"/>
    </row>
    <row r="617" spans="1:12" x14ac:dyDescent="0.2">
      <c r="A617" t="s">
        <v>1071</v>
      </c>
      <c r="B617" s="26" t="s">
        <v>950</v>
      </c>
      <c r="C617" s="26" t="s">
        <v>884</v>
      </c>
      <c r="E617" s="20" t="str">
        <f t="shared" si="71"/>
        <v/>
      </c>
      <c r="F617" s="21" t="str">
        <f>IF(OR(E617="",E617="!!!"),"",IF(NOT(ISNA(VLOOKUP(E617,E$1:E616,1,FALSE()))),"OLD",IF(AND(E617&lt;&gt;"",E617&lt;&gt;"!!!"),"NEW","")))</f>
        <v/>
      </c>
      <c r="G617" s="22" t="str">
        <f>IF(OR(E617="",E617="!!!"),"",IF(OR(J617=0,AND(J617=1,K617=1),AND(J617=1,I617="SBJ"),AND(J617=1,I617=0)),"?IN_FOCUS",IF(J617&lt;=2,"?ACTIVATED",IF(J617&lt;&gt;"","?FAMILIAR",IF(F617="NEW",IF(ISNA(VLOOKUP(E617,#REF!,1,FALSE())),"?TYPE_IDENTIFIABLE","?REFERENTIAL"),"_")))))</f>
        <v/>
      </c>
      <c r="H617" s="23" t="str">
        <f t="shared" ca="1" si="70"/>
        <v/>
      </c>
      <c r="I617" s="24" t="str">
        <f>IF(OR(E617="",E617="!!!",F617="NEW"),"",INDEX(B$2:B616,-1+SUMPRODUCT(MAX(ROW(E$2:E616)*(E617=E$2:E616)))))</f>
        <v/>
      </c>
      <c r="J617" s="24" t="str">
        <f ca="1">IF(OR(E617="",E617="!!!",F617="NEW"),"",COUNTBLANK(OFFSET(A$1,,,SUMPRODUCT(MAX(ROW(E$2:E617)*(E617=E$2:E617)))))-COUNTBLANK(OFFSET(A$1,,,SUMPRODUCT(MAX(ROW(E$1:E616)*(E2=E$1:E616))))))</f>
        <v/>
      </c>
      <c r="K617" s="24" t="str">
        <f>IF(OR(E617="",E617="!!!",F617="NEW"),"",INDEX(J$1:J616,SUMPRODUCT(MAX(ROW(E$1:E616)*(E617=E$1:E616)))))</f>
        <v/>
      </c>
      <c r="L617" s="25"/>
    </row>
    <row r="618" spans="1:12" x14ac:dyDescent="0.2">
      <c r="A618" t="s">
        <v>812</v>
      </c>
      <c r="E618" s="20" t="str">
        <f t="shared" si="71"/>
        <v/>
      </c>
      <c r="F618" s="21" t="str">
        <f>IF(OR(E618="",E618="!!!"),"",IF(NOT(ISNA(VLOOKUP(E618,E$1:E617,1,FALSE()))),"OLD",IF(AND(E618&lt;&gt;"",E618&lt;&gt;"!!!"),"NEW","")))</f>
        <v/>
      </c>
      <c r="G618" s="22" t="str">
        <f>IF(OR(E618="",E618="!!!"),"",IF(OR(J618=0,AND(J618=1,K618=1),AND(J618=1,I618="SBJ"),AND(J618=1,I618=0)),"?IN_FOCUS",IF(J618&lt;=2,"?ACTIVATED",IF(J618&lt;&gt;"","?FAMILIAR",IF(F618="NEW",IF(ISNA(VLOOKUP(E618,#REF!,1,FALSE())),"?TYPE_IDENTIFIABLE","?REFERENTIAL"),"_")))))</f>
        <v/>
      </c>
      <c r="H618" s="23" t="str">
        <f t="shared" ca="1" si="70"/>
        <v/>
      </c>
      <c r="I618" s="24" t="str">
        <f>IF(OR(E618="",E618="!!!",F618="NEW"),"",INDEX(B$2:B617,-1+SUMPRODUCT(MAX(ROW(E$2:E617)*(E618=E$2:E617)))))</f>
        <v/>
      </c>
      <c r="J618" s="24" t="str">
        <f ca="1">IF(OR(E618="",E618="!!!",F618="NEW"),"",COUNTBLANK(OFFSET(A$1,,,SUMPRODUCT(MAX(ROW(E$2:E618)*(E618=E$2:E618)))))-COUNTBLANK(OFFSET(A$1,,,SUMPRODUCT(MAX(ROW(E$1:E617)*(E2=E$1:E617))))))</f>
        <v/>
      </c>
      <c r="K618" s="24" t="str">
        <f>IF(OR(E618="",E618="!!!",F618="NEW"),"",INDEX(J$1:J617,SUMPRODUCT(MAX(ROW(E$1:E617)*(E618=E$1:E617)))))</f>
        <v/>
      </c>
      <c r="L618" s="25"/>
    </row>
    <row r="619" spans="1:12" x14ac:dyDescent="0.2">
      <c r="A619" t="s">
        <v>102</v>
      </c>
      <c r="E619" s="20" t="str">
        <f t="shared" si="71"/>
        <v/>
      </c>
      <c r="F619" s="21" t="str">
        <f>IF(OR(E619="",E619="!!!"),"",IF(NOT(ISNA(VLOOKUP(E619,E$1:E618,1,FALSE()))),"OLD",IF(AND(E619&lt;&gt;"",E619&lt;&gt;"!!!"),"NEW","")))</f>
        <v/>
      </c>
      <c r="G619" s="22" t="str">
        <f>IF(OR(E619="",E619="!!!"),"",IF(OR(J619=0,AND(J619=1,K619=1),AND(J619=1,I619="SBJ"),AND(J619=1,I619=0)),"?IN_FOCUS",IF(J619&lt;=2,"?ACTIVATED",IF(J619&lt;&gt;"","?FAMILIAR",IF(F619="NEW",IF(ISNA(VLOOKUP(E619,#REF!,1,FALSE())),"?TYPE_IDENTIFIABLE","?REFERENTIAL"),"_")))))</f>
        <v/>
      </c>
      <c r="H619" s="23" t="str">
        <f t="shared" ca="1" si="70"/>
        <v/>
      </c>
      <c r="I619" s="24" t="str">
        <f>IF(OR(E619="",E619="!!!",F619="NEW"),"",INDEX(B$2:B618,-1+SUMPRODUCT(MAX(ROW(E$2:E618)*(E619=E$2:E618)))))</f>
        <v/>
      </c>
      <c r="J619" s="24" t="str">
        <f ca="1">IF(OR(E619="",E619="!!!",F619="NEW"),"",COUNTBLANK(OFFSET(A$1,,,SUMPRODUCT(MAX(ROW(E$2:E619)*(E619=E$2:E619)))))-COUNTBLANK(OFFSET(A$1,,,SUMPRODUCT(MAX(ROW(E$1:E618)*(E2=E$1:E618))))))</f>
        <v/>
      </c>
      <c r="K619" s="24" t="str">
        <f>IF(OR(E619="",E619="!!!",F619="NEW"),"",INDEX(J$1:J618,SUMPRODUCT(MAX(ROW(E$1:E618)*(E619=E$1:E618)))))</f>
        <v/>
      </c>
      <c r="L619" s="25"/>
    </row>
    <row r="620" spans="1:12" x14ac:dyDescent="0.2">
      <c r="A620" t="s">
        <v>1052</v>
      </c>
      <c r="B620" s="26" t="s">
        <v>864</v>
      </c>
      <c r="C620" s="26" t="s">
        <v>814</v>
      </c>
      <c r="E620" s="20" t="str">
        <f t="shared" si="71"/>
        <v/>
      </c>
      <c r="F620" s="21" t="str">
        <f>IF(OR(E620="",E620="!!!"),"",IF(NOT(ISNA(VLOOKUP(E620,E$1:E619,1,FALSE()))),"OLD",IF(AND(E620&lt;&gt;"",E620&lt;&gt;"!!!"),"NEW","")))</f>
        <v/>
      </c>
      <c r="G620" s="22" t="str">
        <f>IF(OR(E620="",E620="!!!"),"",IF(OR(J620=0,AND(J620=1,K620=1),AND(J620=1,I620="SBJ"),AND(J620=1,I620=0)),"?IN_FOCUS",IF(J620&lt;=2,"?ACTIVATED",IF(J620&lt;&gt;"","?FAMILIAR",IF(F620="NEW",IF(ISNA(VLOOKUP(E620,#REF!,1,FALSE())),"?TYPE_IDENTIFIABLE","?REFERENTIAL"),"_")))))</f>
        <v/>
      </c>
      <c r="H620" s="23" t="str">
        <f t="shared" ca="1" si="70"/>
        <v/>
      </c>
      <c r="I620" s="24" t="str">
        <f>IF(OR(E620="",E620="!!!",F620="NEW"),"",INDEX(B$2:B619,-1+SUMPRODUCT(MAX(ROW(E$2:E619)*(E620=E$2:E619)))))</f>
        <v/>
      </c>
      <c r="J620" s="24" t="str">
        <f ca="1">IF(OR(E620="",E620="!!!",F620="NEW"),"",COUNTBLANK(OFFSET(A$1,,,SUMPRODUCT(MAX(ROW(E$2:E620)*(E620=E$2:E620)))))-COUNTBLANK(OFFSET(A$1,,,SUMPRODUCT(MAX(ROW(E$1:E619)*(E2=E$1:E619))))))</f>
        <v/>
      </c>
      <c r="K620" s="24" t="str">
        <f>IF(OR(E620="",E620="!!!",F620="NEW"),"",INDEX(J$1:J619,SUMPRODUCT(MAX(ROW(E$1:E619)*(E620=E$1:E619)))))</f>
        <v/>
      </c>
      <c r="L620" s="25"/>
    </row>
    <row r="621" spans="1:12" x14ac:dyDescent="0.2">
      <c r="A621" t="s">
        <v>922</v>
      </c>
      <c r="E621" s="20" t="str">
        <f t="shared" si="71"/>
        <v/>
      </c>
      <c r="F621" s="21" t="str">
        <f>IF(OR(E621="",E621="!!!"),"",IF(NOT(ISNA(VLOOKUP(E621,E$1:E620,1,FALSE()))),"OLD",IF(AND(E621&lt;&gt;"",E621&lt;&gt;"!!!"),"NEW","")))</f>
        <v/>
      </c>
      <c r="G621" s="22" t="str">
        <f>IF(OR(E621="",E621="!!!"),"",IF(OR(J621=0,AND(J621=1,K621=1),AND(J621=1,I621="SBJ"),AND(J621=1,I621=0)),"?IN_FOCUS",IF(J621&lt;=2,"?ACTIVATED",IF(J621&lt;&gt;"","?FAMILIAR",IF(F621="NEW",IF(ISNA(VLOOKUP(E621,#REF!,1,FALSE())),"?TYPE_IDENTIFIABLE","?REFERENTIAL"),"_")))))</f>
        <v/>
      </c>
      <c r="H621" s="23" t="str">
        <f t="shared" ca="1" si="70"/>
        <v/>
      </c>
      <c r="I621" s="24" t="str">
        <f>IF(OR(E621="",E621="!!!",F621="NEW"),"",INDEX(B$2:B620,-1+SUMPRODUCT(MAX(ROW(E$2:E620)*(E621=E$2:E620)))))</f>
        <v/>
      </c>
      <c r="J621" s="24" t="str">
        <f ca="1">IF(OR(E621="",E621="!!!",F621="NEW"),"",COUNTBLANK(OFFSET(A$1,,,SUMPRODUCT(MAX(ROW(E$2:E621)*(E621=E$2:E621)))))-COUNTBLANK(OFFSET(A$1,,,SUMPRODUCT(MAX(ROW(E$1:E620)*(E2=E$1:E620))))))</f>
        <v/>
      </c>
      <c r="K621" s="24" t="str">
        <f>IF(OR(E621="",E621="!!!",F621="NEW"),"",INDEX(J$1:J620,SUMPRODUCT(MAX(ROW(E$1:E620)*(E621=E$1:E620)))))</f>
        <v/>
      </c>
      <c r="L621" s="25"/>
    </row>
    <row r="622" spans="1:12" x14ac:dyDescent="0.2">
      <c r="A622" t="s">
        <v>902</v>
      </c>
      <c r="E622" s="20" t="str">
        <f t="shared" si="71"/>
        <v/>
      </c>
      <c r="F622" s="21" t="str">
        <f>IF(OR(E622="",E622="!!!"),"",IF(NOT(ISNA(VLOOKUP(E622,E$1:E621,1,FALSE()))),"OLD",IF(AND(E622&lt;&gt;"",E622&lt;&gt;"!!!"),"NEW","")))</f>
        <v/>
      </c>
      <c r="G622" s="22" t="str">
        <f>IF(OR(E622="",E622="!!!"),"",IF(OR(J622=0,AND(J622=1,K622=1),AND(J622=1,I622="SBJ"),AND(J622=1,I622=0)),"?IN_FOCUS",IF(J622&lt;=2,"?ACTIVATED",IF(J622&lt;&gt;"","?FAMILIAR",IF(F622="NEW",IF(ISNA(VLOOKUP(E622,#REF!,1,FALSE())),"?TYPE_IDENTIFIABLE","?REFERENTIAL"),"_")))))</f>
        <v/>
      </c>
      <c r="H622" s="23" t="str">
        <f t="shared" ca="1" si="70"/>
        <v/>
      </c>
      <c r="I622" s="24" t="str">
        <f>IF(OR(E622="",E622="!!!",F622="NEW"),"",INDEX(B$2:B621,-1+SUMPRODUCT(MAX(ROW(E$2:E621)*(E622=E$2:E621)))))</f>
        <v/>
      </c>
      <c r="J622" s="24" t="str">
        <f ca="1">IF(OR(E622="",E622="!!!",F622="NEW"),"",COUNTBLANK(OFFSET(A$1,,,SUMPRODUCT(MAX(ROW(E$2:E622)*(E622=E$2:E622)))))-COUNTBLANK(OFFSET(A$1,,,SUMPRODUCT(MAX(ROW(E$1:E621)*(E2=E$1:E621))))))</f>
        <v/>
      </c>
      <c r="K622" s="24" t="str">
        <f>IF(OR(E622="",E622="!!!",F622="NEW"),"",INDEX(J$1:J621,SUMPRODUCT(MAX(ROW(E$1:E621)*(E622=E$1:E621)))))</f>
        <v/>
      </c>
      <c r="L622" s="25"/>
    </row>
    <row r="624" spans="1:12" x14ac:dyDescent="0.2">
      <c r="A624" t="s">
        <v>1072</v>
      </c>
    </row>
    <row r="625" spans="1:12" x14ac:dyDescent="0.2">
      <c r="A625" t="s">
        <v>1073</v>
      </c>
      <c r="B625" s="26" t="s">
        <v>804</v>
      </c>
      <c r="C625" s="26" t="s">
        <v>805</v>
      </c>
      <c r="D625" s="26" t="s">
        <v>806</v>
      </c>
      <c r="E625" s="20" t="s">
        <v>1760</v>
      </c>
      <c r="F625" s="21" t="str">
        <f>IF(OR(E625="",E625="!!!"),"",IF(NOT(ISNA(VLOOKUP(E625,E$1:E624,1,FALSE()))),"OLD",IF(AND(E625&lt;&gt;"",E625&lt;&gt;"!!!"),"NEW","")))</f>
        <v>OLD</v>
      </c>
      <c r="G625" s="22" t="s">
        <v>1823</v>
      </c>
      <c r="H625" s="23" t="str">
        <f t="shared" ref="H625:H631" ca="1" si="72">IF(J625&lt;&gt;1,"",IF(I625="SBJ","CB","?"))</f>
        <v/>
      </c>
      <c r="I625" s="24" t="str">
        <f>IF(OR(E625="",E625="!!!",F625="NEW"),"",INDEX(B$2:B624,-1+SUMPRODUCT(MAX(ROW(E$2:E624)*(E625=E$2:E624)))))</f>
        <v>OBJ</v>
      </c>
      <c r="J625" s="24">
        <f ca="1">IF(OR(E625="",E625="!!!",F625="NEW"),"",COUNTBLANK(OFFSET(A$1,,,SUMPRODUCT(MAX(ROW(E$2:E625)*(E625=E$2:E625)))))-COUNTBLANK(OFFSET(A$1,,,SUMPRODUCT(MAX(ROW(E$1:E624)*(E2=E$1:E624))))))</f>
        <v>0</v>
      </c>
      <c r="K625" s="24">
        <f ca="1">IF(OR(E625="",E625="!!!",F625="NEW"),"",INDEX(J$1:J624,SUMPRODUCT(MAX(ROW(E$1:E624)*(E625=E$1:E624)))))</f>
        <v>0</v>
      </c>
      <c r="L625" s="25"/>
    </row>
    <row r="626" spans="1:12" x14ac:dyDescent="0.2">
      <c r="A626" t="s">
        <v>904</v>
      </c>
      <c r="E626" s="20" t="str">
        <f t="shared" ref="E626:E631" si="73">IF(D626="?OLD","!!!","")</f>
        <v/>
      </c>
      <c r="F626" s="21" t="str">
        <f>IF(OR(E626="",E626="!!!"),"",IF(NOT(ISNA(VLOOKUP(E626,E$1:E625,1,FALSE()))),"OLD",IF(AND(E626&lt;&gt;"",E626&lt;&gt;"!!!"),"NEW","")))</f>
        <v/>
      </c>
      <c r="G626" s="22" t="str">
        <f>IF(OR(E626="",E626="!!!"),"",IF(OR(J626=0,AND(J626=1,K626=1),AND(J626=1,I626="SBJ"),AND(J626=1,I626=0)),"?IN_FOCUS",IF(J626&lt;=2,"?ACTIVATED",IF(J626&lt;&gt;"","?FAMILIAR",IF(F626="NEW",IF(ISNA(VLOOKUP(E626,#REF!,1,FALSE())),"?TYPE_IDENTIFIABLE","?REFERENTIAL"),"_")))))</f>
        <v/>
      </c>
      <c r="H626" s="23" t="str">
        <f t="shared" ca="1" si="72"/>
        <v/>
      </c>
      <c r="I626" s="24" t="str">
        <f>IF(OR(E626="",E626="!!!",F626="NEW"),"",INDEX(B$2:B625,-1+SUMPRODUCT(MAX(ROW(E$2:E625)*(E626=E$2:E625)))))</f>
        <v/>
      </c>
      <c r="J626" s="24" t="str">
        <f ca="1">IF(OR(E626="",E626="!!!",F626="NEW"),"",COUNTBLANK(OFFSET(A$1,,,SUMPRODUCT(MAX(ROW(E$2:E626)*(E626=E$2:E626)))))-COUNTBLANK(OFFSET(A$1,,,SUMPRODUCT(MAX(ROW(E$1:E625)*(E2=E$1:E625))))))</f>
        <v/>
      </c>
      <c r="K626" s="24" t="str">
        <f>IF(OR(E626="",E626="!!!",F626="NEW"),"",INDEX(J$1:J625,SUMPRODUCT(MAX(ROW(E$1:E625)*(E626=E$1:E625)))))</f>
        <v/>
      </c>
      <c r="L626" s="25"/>
    </row>
    <row r="627" spans="1:12" x14ac:dyDescent="0.2">
      <c r="A627" t="s">
        <v>1024</v>
      </c>
      <c r="B627" s="26" t="s">
        <v>950</v>
      </c>
      <c r="C627" s="26" t="s">
        <v>805</v>
      </c>
      <c r="D627" s="26" t="s">
        <v>806</v>
      </c>
      <c r="E627" s="20" t="s">
        <v>1760</v>
      </c>
      <c r="F627" s="21" t="str">
        <f>IF(OR(E627="",E627="!!!"),"",IF(NOT(ISNA(VLOOKUP(E627,E$1:E626,1,FALSE()))),"OLD",IF(AND(E627&lt;&gt;"",E627&lt;&gt;"!!!"),"NEW","")))</f>
        <v>OLD</v>
      </c>
      <c r="G627" s="22" t="s">
        <v>1823</v>
      </c>
      <c r="H627" s="23" t="str">
        <f t="shared" ca="1" si="72"/>
        <v/>
      </c>
      <c r="I627" s="24" t="str">
        <f>IF(OR(E627="",E627="!!!",F627="NEW"),"",INDEX(B$2:B626,-1+SUMPRODUCT(MAX(ROW(E$2:E626)*(E627=E$2:E626)))))</f>
        <v>SBJ</v>
      </c>
      <c r="J627" s="24">
        <f ca="1">IF(OR(E627="",E627="!!!",F627="NEW"),"",COUNTBLANK(OFFSET(A$1,,,SUMPRODUCT(MAX(ROW(E$2:E627)*(E627=E$2:E627)))))-COUNTBLANK(OFFSET(A$1,,,SUMPRODUCT(MAX(ROW(E$1:E626)*(E2=E$1:E626))))))</f>
        <v>0</v>
      </c>
      <c r="K627" s="24">
        <f ca="1">IF(OR(E627="",E627="!!!",F627="NEW"),"",INDEX(J$1:J626,SUMPRODUCT(MAX(ROW(E$1:E626)*(E627=E$1:E626)))))</f>
        <v>0</v>
      </c>
      <c r="L627" s="25"/>
    </row>
    <row r="628" spans="1:12" x14ac:dyDescent="0.2">
      <c r="A628" t="s">
        <v>1074</v>
      </c>
      <c r="E628" s="20" t="str">
        <f t="shared" si="73"/>
        <v/>
      </c>
      <c r="F628" s="21" t="str">
        <f>IF(OR(E628="",E628="!!!"),"",IF(NOT(ISNA(VLOOKUP(E628,E$1:E627,1,FALSE()))),"OLD",IF(AND(E628&lt;&gt;"",E628&lt;&gt;"!!!"),"NEW","")))</f>
        <v/>
      </c>
      <c r="G628" s="22"/>
      <c r="H628" s="23" t="str">
        <f t="shared" ca="1" si="72"/>
        <v/>
      </c>
      <c r="I628" s="24" t="str">
        <f>IF(OR(E628="",E628="!!!",F628="NEW"),"",INDEX(B$2:B627,-1+SUMPRODUCT(MAX(ROW(E$2:E627)*(E628=E$2:E627)))))</f>
        <v/>
      </c>
      <c r="J628" s="24" t="str">
        <f ca="1">IF(OR(E628="",E628="!!!",F628="NEW"),"",COUNTBLANK(OFFSET(A$1,,,SUMPRODUCT(MAX(ROW(E$2:E628)*(E628=E$2:E628)))))-COUNTBLANK(OFFSET(A$1,,,SUMPRODUCT(MAX(ROW(E$1:E627)*(E2=E$1:E627))))))</f>
        <v/>
      </c>
      <c r="K628" s="24" t="str">
        <f>IF(OR(E628="",E628="!!!",F628="NEW"),"",INDEX(J$1:J627,SUMPRODUCT(MAX(ROW(E$1:E627)*(E628=E$1:E627)))))</f>
        <v/>
      </c>
      <c r="L628" s="25"/>
    </row>
    <row r="629" spans="1:12" x14ac:dyDescent="0.2">
      <c r="A629" t="s">
        <v>999</v>
      </c>
      <c r="E629" s="20" t="str">
        <f t="shared" si="73"/>
        <v/>
      </c>
      <c r="F629" s="21" t="str">
        <f>IF(OR(E629="",E629="!!!"),"",IF(NOT(ISNA(VLOOKUP(E629,E$1:E628,1,FALSE()))),"OLD",IF(AND(E629&lt;&gt;"",E629&lt;&gt;"!!!"),"NEW","")))</f>
        <v/>
      </c>
      <c r="G629" s="22" t="str">
        <f>IF(OR(E629="",E629="!!!"),"",IF(OR(J629=0,AND(J629=1,K629=1),AND(J629=1,I629="SBJ"),AND(J629=1,I629=0)),"?IN_FOCUS",IF(J629&lt;=2,"?ACTIVATED",IF(J629&lt;&gt;"","?FAMILIAR",IF(F629="NEW",IF(ISNA(VLOOKUP(E629,#REF!,1,FALSE())),"?TYPE_IDENTIFIABLE","?REFERENTIAL"),"_")))))</f>
        <v/>
      </c>
      <c r="H629" s="23" t="str">
        <f t="shared" ca="1" si="72"/>
        <v/>
      </c>
      <c r="I629" s="24" t="str">
        <f>IF(OR(E629="",E629="!!!",F629="NEW"),"",INDEX(B$2:B628,-1+SUMPRODUCT(MAX(ROW(E$2:E628)*(E629=E$2:E628)))))</f>
        <v/>
      </c>
      <c r="J629" s="24" t="str">
        <f ca="1">IF(OR(E629="",E629="!!!",F629="NEW"),"",COUNTBLANK(OFFSET(A$1,,,SUMPRODUCT(MAX(ROW(E$2:E629)*(E629=E$2:E629)))))-COUNTBLANK(OFFSET(A$1,,,SUMPRODUCT(MAX(ROW(E$1:E628)*(E2=E$1:E628))))))</f>
        <v/>
      </c>
      <c r="K629" s="24" t="str">
        <f>IF(OR(E629="",E629="!!!",F629="NEW"),"",INDEX(J$1:J628,SUMPRODUCT(MAX(ROW(E$1:E628)*(E629=E$1:E628)))))</f>
        <v/>
      </c>
      <c r="L629" s="25"/>
    </row>
    <row r="630" spans="1:12" x14ac:dyDescent="0.2">
      <c r="A630" t="s">
        <v>13</v>
      </c>
      <c r="E630" s="20" t="str">
        <f t="shared" si="73"/>
        <v/>
      </c>
      <c r="F630" s="21" t="str">
        <f>IF(OR(E630="",E630="!!!"),"",IF(NOT(ISNA(VLOOKUP(E630,E$1:E629,1,FALSE()))),"OLD",IF(AND(E630&lt;&gt;"",E630&lt;&gt;"!!!"),"NEW","")))</f>
        <v/>
      </c>
      <c r="G630" s="22" t="str">
        <f>IF(OR(E630="",E630="!!!"),"",IF(OR(J630=0,AND(J630=1,K630=1),AND(J630=1,I630="SBJ"),AND(J630=1,I630=0)),"?IN_FOCUS",IF(J630&lt;=2,"?ACTIVATED",IF(J630&lt;&gt;"","?FAMILIAR",IF(F630="NEW",IF(ISNA(VLOOKUP(E630,#REF!,1,FALSE())),"?TYPE_IDENTIFIABLE","?REFERENTIAL"),"_")))))</f>
        <v/>
      </c>
      <c r="H630" s="23" t="str">
        <f t="shared" ca="1" si="72"/>
        <v/>
      </c>
      <c r="I630" s="24" t="str">
        <f>IF(OR(E630="",E630="!!!",F630="NEW"),"",INDEX(B$2:B629,-1+SUMPRODUCT(MAX(ROW(E$2:E629)*(E630=E$2:E629)))))</f>
        <v/>
      </c>
      <c r="J630" s="24" t="str">
        <f ca="1">IF(OR(E630="",E630="!!!",F630="NEW"),"",COUNTBLANK(OFFSET(A$1,,,SUMPRODUCT(MAX(ROW(E$2:E630)*(E630=E$2:E630)))))-COUNTBLANK(OFFSET(A$1,,,SUMPRODUCT(MAX(ROW(E$1:E629)*(E2=E$1:E629))))))</f>
        <v/>
      </c>
      <c r="K630" s="24" t="str">
        <f>IF(OR(E630="",E630="!!!",F630="NEW"),"",INDEX(J$1:J629,SUMPRODUCT(MAX(ROW(E$1:E629)*(E630=E$1:E629)))))</f>
        <v/>
      </c>
      <c r="L630" s="25"/>
    </row>
    <row r="631" spans="1:12" x14ac:dyDescent="0.2">
      <c r="A631" t="s">
        <v>821</v>
      </c>
      <c r="E631" s="20" t="str">
        <f t="shared" si="73"/>
        <v/>
      </c>
      <c r="F631" s="21" t="str">
        <f>IF(OR(E631="",E631="!!!"),"",IF(NOT(ISNA(VLOOKUP(E631,E$1:E630,1,FALSE()))),"OLD",IF(AND(E631&lt;&gt;"",E631&lt;&gt;"!!!"),"NEW","")))</f>
        <v/>
      </c>
      <c r="G631" s="22" t="str">
        <f>IF(OR(E631="",E631="!!!"),"",IF(OR(J631=0,AND(J631=1,K631=1),AND(J631=1,I631="SBJ"),AND(J631=1,I631=0)),"?IN_FOCUS",IF(J631&lt;=2,"?ACTIVATED",IF(J631&lt;&gt;"","?FAMILIAR",IF(F631="NEW",IF(ISNA(VLOOKUP(E631,#REF!,1,FALSE())),"?TYPE_IDENTIFIABLE","?REFERENTIAL"),"_")))))</f>
        <v/>
      </c>
      <c r="H631" s="23" t="str">
        <f t="shared" ca="1" si="72"/>
        <v/>
      </c>
      <c r="I631" s="24" t="str">
        <f>IF(OR(E631="",E631="!!!",F631="NEW"),"",INDEX(B$2:B630,-1+SUMPRODUCT(MAX(ROW(E$2:E630)*(E631=E$2:E630)))))</f>
        <v/>
      </c>
      <c r="J631" s="24" t="str">
        <f ca="1">IF(OR(E631="",E631="!!!",F631="NEW"),"",COUNTBLANK(OFFSET(A$1,,,SUMPRODUCT(MAX(ROW(E$2:E631)*(E631=E$2:E631)))))-COUNTBLANK(OFFSET(A$1,,,SUMPRODUCT(MAX(ROW(E$1:E630)*(E2=E$1:E630))))))</f>
        <v/>
      </c>
      <c r="K631" s="24" t="str">
        <f>IF(OR(E631="",E631="!!!",F631="NEW"),"",INDEX(J$1:J630,SUMPRODUCT(MAX(ROW(E$1:E630)*(E631=E$1:E630)))))</f>
        <v/>
      </c>
      <c r="L631" s="25"/>
    </row>
    <row r="633" spans="1:12" x14ac:dyDescent="0.2">
      <c r="A633" t="s">
        <v>1075</v>
      </c>
    </row>
    <row r="634" spans="1:12" x14ac:dyDescent="0.2">
      <c r="A634" t="s">
        <v>1073</v>
      </c>
      <c r="B634" s="26" t="s">
        <v>804</v>
      </c>
      <c r="C634" s="26" t="s">
        <v>805</v>
      </c>
      <c r="D634" s="26" t="s">
        <v>806</v>
      </c>
      <c r="E634" s="20" t="s">
        <v>1760</v>
      </c>
      <c r="F634" s="21" t="str">
        <f>IF(OR(E634="",E634="!!!"),"",IF(NOT(ISNA(VLOOKUP(E634,E$1:E633,1,FALSE()))),"OLD",IF(AND(E634&lt;&gt;"",E634&lt;&gt;"!!!"),"NEW","")))</f>
        <v>OLD</v>
      </c>
      <c r="G634" s="22" t="s">
        <v>1823</v>
      </c>
      <c r="H634" s="23" t="str">
        <f ca="1">IF(J634&lt;&gt;1,"",IF(I634="SBJ","CB","?"))</f>
        <v/>
      </c>
      <c r="I634" s="24" t="str">
        <f>IF(OR(E634="",E634="!!!",F634="NEW"),"",INDEX(B$2:B633,-1+SUMPRODUCT(MAX(ROW(E$2:E633)*(E634=E$2:E633)))))</f>
        <v>SBJ_2</v>
      </c>
      <c r="J634" s="24">
        <f ca="1">IF(OR(E634="",E634="!!!",F634="NEW"),"",COUNTBLANK(OFFSET(A$1,,,SUMPRODUCT(MAX(ROW(E$2:E634)*(E634=E$2:E634)))))-COUNTBLANK(OFFSET(A$1,,,SUMPRODUCT(MAX(ROW(E$1:E633)*(E2=E$1:E633))))))</f>
        <v>0</v>
      </c>
      <c r="K634" s="24">
        <f ca="1">IF(OR(E634="",E634="!!!",F634="NEW"),"",INDEX(J$1:J633,SUMPRODUCT(MAX(ROW(E$1:E633)*(E634=E$1:E633)))))</f>
        <v>0</v>
      </c>
      <c r="L634" s="25"/>
    </row>
    <row r="635" spans="1:12" x14ac:dyDescent="0.2">
      <c r="A635" t="s">
        <v>1076</v>
      </c>
      <c r="E635" s="20" t="str">
        <f>IF(D635="?OLD","!!!","")</f>
        <v/>
      </c>
      <c r="F635" s="21" t="str">
        <f>IF(OR(E635="",E635="!!!"),"",IF(NOT(ISNA(VLOOKUP(E635,E$1:E634,1,FALSE()))),"OLD",IF(AND(E635&lt;&gt;"",E635&lt;&gt;"!!!"),"NEW","")))</f>
        <v/>
      </c>
      <c r="G635" s="22" t="str">
        <f>IF(OR(E635="",E635="!!!"),"",IF(OR(J635=0,AND(J635=1,K635=1),AND(J635=1,I635="SBJ"),AND(J635=1,I635=0)),"?IN_FOCUS",IF(J635&lt;=2,"?ACTIVATED",IF(J635&lt;&gt;"","?FAMILIAR",IF(F635="NEW",IF(ISNA(VLOOKUP(E635,#REF!,1,FALSE())),"?TYPE_IDENTIFIABLE","?REFERENTIAL"),"_")))))</f>
        <v/>
      </c>
      <c r="H635" s="23" t="str">
        <f ca="1">IF(J635&lt;&gt;1,"",IF(I635="SBJ","CB","?"))</f>
        <v/>
      </c>
      <c r="I635" s="24" t="str">
        <f>IF(OR(E635="",E635="!!!",F635="NEW"),"",INDEX(B$2:B634,-1+SUMPRODUCT(MAX(ROW(E$2:E634)*(E635=E$2:E634)))))</f>
        <v/>
      </c>
      <c r="J635" s="24" t="str">
        <f ca="1">IF(OR(E635="",E635="!!!",F635="NEW"),"",COUNTBLANK(OFFSET(A$1,,,SUMPRODUCT(MAX(ROW(E$2:E635)*(E635=E$2:E635)))))-COUNTBLANK(OFFSET(A$1,,,SUMPRODUCT(MAX(ROW(E$1:E634)*(E2=E$1:E634))))))</f>
        <v/>
      </c>
      <c r="K635" s="24" t="str">
        <f>IF(OR(E635="",E635="!!!",F635="NEW"),"",INDEX(J$1:J634,SUMPRODUCT(MAX(ROW(E$1:E634)*(E635=E$1:E634)))))</f>
        <v/>
      </c>
      <c r="L635" s="25"/>
    </row>
    <row r="636" spans="1:12" x14ac:dyDescent="0.2">
      <c r="A636" t="s">
        <v>180</v>
      </c>
      <c r="E636" s="20" t="str">
        <f>IF(D636="?OLD","!!!","")</f>
        <v/>
      </c>
      <c r="F636" s="21" t="str">
        <f>IF(OR(E636="",E636="!!!"),"",IF(NOT(ISNA(VLOOKUP(E636,E$1:E635,1,FALSE()))),"OLD",IF(AND(E636&lt;&gt;"",E636&lt;&gt;"!!!"),"NEW","")))</f>
        <v/>
      </c>
      <c r="G636" s="22" t="str">
        <f>IF(OR(E636="",E636="!!!"),"",IF(OR(J636=0,AND(J636=1,K636=1),AND(J636=1,I636="SBJ"),AND(J636=1,I636=0)),"?IN_FOCUS",IF(J636&lt;=2,"?ACTIVATED",IF(J636&lt;&gt;"","?FAMILIAR",IF(F636="NEW",IF(ISNA(VLOOKUP(E636,#REF!,1,FALSE())),"?TYPE_IDENTIFIABLE","?REFERENTIAL"),"_")))))</f>
        <v/>
      </c>
      <c r="H636" s="23" t="str">
        <f ca="1">IF(J636&lt;&gt;1,"",IF(I636="SBJ","CB","?"))</f>
        <v/>
      </c>
      <c r="I636" s="24" t="str">
        <f>IF(OR(E636="",E636="!!!",F636="NEW"),"",INDEX(B$2:B635,-1+SUMPRODUCT(MAX(ROW(E$2:E635)*(E636=E$2:E635)))))</f>
        <v/>
      </c>
      <c r="J636" s="24" t="str">
        <f ca="1">IF(OR(E636="",E636="!!!",F636="NEW"),"",COUNTBLANK(OFFSET(A$1,,,SUMPRODUCT(MAX(ROW(E$2:E636)*(E636=E$2:E636)))))-COUNTBLANK(OFFSET(A$1,,,SUMPRODUCT(MAX(ROW(E$1:E635)*(E2=E$1:E635))))))</f>
        <v/>
      </c>
      <c r="K636" s="24" t="str">
        <f>IF(OR(E636="",E636="!!!",F636="NEW"),"",INDEX(J$1:J635,SUMPRODUCT(MAX(ROW(E$1:E635)*(E636=E$1:E635)))))</f>
        <v/>
      </c>
      <c r="L636" s="25"/>
    </row>
    <row r="637" spans="1:12" x14ac:dyDescent="0.2">
      <c r="A637" t="s">
        <v>1077</v>
      </c>
      <c r="E637" s="20" t="str">
        <f>IF(D637="?OLD","!!!","")</f>
        <v/>
      </c>
      <c r="F637" s="21" t="str">
        <f>IF(OR(E637="",E637="!!!"),"",IF(NOT(ISNA(VLOOKUP(E637,E$1:E636,1,FALSE()))),"OLD",IF(AND(E637&lt;&gt;"",E637&lt;&gt;"!!!"),"NEW","")))</f>
        <v/>
      </c>
      <c r="G637" s="22" t="str">
        <f>IF(OR(E637="",E637="!!!"),"",IF(OR(J637=0,AND(J637=1,K637=1),AND(J637=1,I637="SBJ"),AND(J637=1,I637=0)),"?IN_FOCUS",IF(J637&lt;=2,"?ACTIVATED",IF(J637&lt;&gt;"","?FAMILIAR",IF(F637="NEW",IF(ISNA(VLOOKUP(E637,#REF!,1,FALSE())),"?TYPE_IDENTIFIABLE","?REFERENTIAL"),"_")))))</f>
        <v/>
      </c>
      <c r="H637" s="23" t="str">
        <f ca="1">IF(J637&lt;&gt;1,"",IF(I637="SBJ","CB","?"))</f>
        <v/>
      </c>
      <c r="I637" s="24" t="str">
        <f>IF(OR(E637="",E637="!!!",F637="NEW"),"",INDEX(B$2:B636,-1+SUMPRODUCT(MAX(ROW(E$2:E636)*(E637=E$2:E636)))))</f>
        <v/>
      </c>
      <c r="J637" s="24" t="str">
        <f ca="1">IF(OR(E637="",E637="!!!",F637="NEW"),"",COUNTBLANK(OFFSET(A$1,,,SUMPRODUCT(MAX(ROW(E$2:E637)*(E637=E$2:E637)))))-COUNTBLANK(OFFSET(A$1,,,SUMPRODUCT(MAX(ROW(E$1:E636)*(E2=E$1:E636))))))</f>
        <v/>
      </c>
      <c r="K637" s="24" t="str">
        <f>IF(OR(E637="",E637="!!!",F637="NEW"),"",INDEX(J$1:J636,SUMPRODUCT(MAX(ROW(E$1:E636)*(E637=E$1:E636)))))</f>
        <v/>
      </c>
      <c r="L637" s="25"/>
    </row>
    <row r="638" spans="1:12" x14ac:dyDescent="0.2">
      <c r="A638" t="s">
        <v>821</v>
      </c>
      <c r="E638" s="20" t="str">
        <f>IF(D638="?OLD","!!!","")</f>
        <v/>
      </c>
      <c r="F638" s="21" t="str">
        <f>IF(OR(E638="",E638="!!!"),"",IF(NOT(ISNA(VLOOKUP(E638,E$1:E637,1,FALSE()))),"OLD",IF(AND(E638&lt;&gt;"",E638&lt;&gt;"!!!"),"NEW","")))</f>
        <v/>
      </c>
      <c r="G638" s="22" t="str">
        <f>IF(OR(E638="",E638="!!!"),"",IF(OR(J638=0,AND(J638=1,K638=1),AND(J638=1,I638="SBJ"),AND(J638=1,I638=0)),"?IN_FOCUS",IF(J638&lt;=2,"?ACTIVATED",IF(J638&lt;&gt;"","?FAMILIAR",IF(F638="NEW",IF(ISNA(VLOOKUP(E638,#REF!,1,FALSE())),"?TYPE_IDENTIFIABLE","?REFERENTIAL"),"_")))))</f>
        <v/>
      </c>
      <c r="H638" s="23" t="str">
        <f ca="1">IF(J638&lt;&gt;1,"",IF(I638="SBJ","CB","?"))</f>
        <v/>
      </c>
      <c r="I638" s="24" t="str">
        <f>IF(OR(E638="",E638="!!!",F638="NEW"),"",INDEX(B$2:B637,-1+SUMPRODUCT(MAX(ROW(E$2:E637)*(E638=E$2:E637)))))</f>
        <v/>
      </c>
      <c r="J638" s="24" t="str">
        <f ca="1">IF(OR(E638="",E638="!!!",F638="NEW"),"",COUNTBLANK(OFFSET(A$1,,,SUMPRODUCT(MAX(ROW(E$2:E638)*(E638=E$2:E638)))))-COUNTBLANK(OFFSET(A$1,,,SUMPRODUCT(MAX(ROW(E$1:E637)*(E2=E$1:E637))))))</f>
        <v/>
      </c>
      <c r="K638" s="24" t="str">
        <f>IF(OR(E638="",E638="!!!",F638="NEW"),"",INDEX(J$1:J637,SUMPRODUCT(MAX(ROW(E$1:E637)*(E638=E$1:E637)))))</f>
        <v/>
      </c>
      <c r="L638" s="25"/>
    </row>
    <row r="640" spans="1:12" x14ac:dyDescent="0.2">
      <c r="A640" t="s">
        <v>1078</v>
      </c>
    </row>
    <row r="641" spans="1:12" x14ac:dyDescent="0.2">
      <c r="A641" t="s">
        <v>1079</v>
      </c>
      <c r="E641" s="20" t="str">
        <f t="shared" ref="E641:E676" si="74">IF(D641="?OLD","!!!","")</f>
        <v/>
      </c>
      <c r="F641" s="21" t="str">
        <f>IF(OR(E641="",E641="!!!"),"",IF(NOT(ISNA(VLOOKUP(E641,E$1:E640,1,FALSE()))),"OLD",IF(AND(E641&lt;&gt;"",E641&lt;&gt;"!!!"),"NEW","")))</f>
        <v/>
      </c>
      <c r="G641" s="22" t="str">
        <f>IF(OR(E641="",E641="!!!"),"",IF(OR(J641=0,AND(J641=1,K641=1),AND(J641=1,I641="SBJ"),AND(J641=1,I641=0)),"?IN_FOCUS",IF(J641&lt;=2,"?ACTIVATED",IF(J641&lt;&gt;"","?FAMILIAR",IF(F641="NEW",IF(ISNA(VLOOKUP(E641,#REF!,1,FALSE())),"?TYPE_IDENTIFIABLE","?REFERENTIAL"),"_")))))</f>
        <v/>
      </c>
      <c r="H641" s="23" t="str">
        <f t="shared" ref="H641:H676" ca="1" si="75">IF(J641&lt;&gt;1,"",IF(I641="SBJ","CB","?"))</f>
        <v/>
      </c>
      <c r="I641" s="24" t="str">
        <f>IF(OR(E641="",E641="!!!",F641="NEW"),"",INDEX(B$2:B640,-1+SUMPRODUCT(MAX(ROW(E$2:E640)*(E641=E$2:E640)))))</f>
        <v/>
      </c>
      <c r="J641" s="24" t="str">
        <f ca="1">IF(OR(E641="",E641="!!!",F641="NEW"),"",COUNTBLANK(OFFSET(A$1,,,SUMPRODUCT(MAX(ROW(E$2:E641)*(E641=E$2:E641)))))-COUNTBLANK(OFFSET(A$1,,,SUMPRODUCT(MAX(ROW(E$1:E640)*(E2=E$1:E640))))))</f>
        <v/>
      </c>
      <c r="K641" s="24" t="str">
        <f>IF(OR(E641="",E641="!!!",F641="NEW"),"",INDEX(J$1:J640,SUMPRODUCT(MAX(ROW(E$1:E640)*(E641=E$1:E640)))))</f>
        <v/>
      </c>
      <c r="L641" s="25"/>
    </row>
    <row r="642" spans="1:12" x14ac:dyDescent="0.2">
      <c r="A642" t="s">
        <v>802</v>
      </c>
      <c r="E642" s="20" t="str">
        <f t="shared" si="74"/>
        <v/>
      </c>
      <c r="F642" s="21" t="str">
        <f>IF(OR(E642="",E642="!!!"),"",IF(NOT(ISNA(VLOOKUP(E642,E$1:E641,1,FALSE()))),"OLD",IF(AND(E642&lt;&gt;"",E642&lt;&gt;"!!!"),"NEW","")))</f>
        <v/>
      </c>
      <c r="G642" s="22" t="str">
        <f>IF(OR(E642="",E642="!!!"),"",IF(OR(J642=0,AND(J642=1,K642=1),AND(J642=1,I642="SBJ"),AND(J642=1,I642=0)),"?IN_FOCUS",IF(J642&lt;=2,"?ACTIVATED",IF(J642&lt;&gt;"","?FAMILIAR",IF(F642="NEW",IF(ISNA(VLOOKUP(E642,#REF!,1,FALSE())),"?TYPE_IDENTIFIABLE","?REFERENTIAL"),"_")))))</f>
        <v/>
      </c>
      <c r="H642" s="23" t="str">
        <f t="shared" ca="1" si="75"/>
        <v/>
      </c>
      <c r="I642" s="24" t="str">
        <f>IF(OR(E642="",E642="!!!",F642="NEW"),"",INDEX(B$2:B641,-1+SUMPRODUCT(MAX(ROW(E$2:E641)*(E642=E$2:E641)))))</f>
        <v/>
      </c>
      <c r="J642" s="24" t="str">
        <f ca="1">IF(OR(E642="",E642="!!!",F642="NEW"),"",COUNTBLANK(OFFSET(A$1,,,SUMPRODUCT(MAX(ROW(E$2:E642)*(E642=E$2:E642)))))-COUNTBLANK(OFFSET(A$1,,,SUMPRODUCT(MAX(ROW(E$1:E641)*(E2=E$1:E641))))))</f>
        <v/>
      </c>
      <c r="K642" s="24" t="str">
        <f>IF(OR(E642="",E642="!!!",F642="NEW"),"",INDEX(J$1:J641,SUMPRODUCT(MAX(ROW(E$1:E641)*(E642=E$1:E641)))))</f>
        <v/>
      </c>
      <c r="L642" s="25"/>
    </row>
    <row r="643" spans="1:12" x14ac:dyDescent="0.2">
      <c r="A643" t="s">
        <v>803</v>
      </c>
      <c r="B643" s="26" t="s">
        <v>804</v>
      </c>
      <c r="C643" s="26" t="s">
        <v>805</v>
      </c>
      <c r="D643" s="26" t="s">
        <v>806</v>
      </c>
      <c r="E643" s="20" t="s">
        <v>1747</v>
      </c>
      <c r="F643" s="21" t="s">
        <v>1753</v>
      </c>
      <c r="G643" s="22" t="s">
        <v>1823</v>
      </c>
      <c r="H643" s="23" t="str">
        <f t="shared" ca="1" si="75"/>
        <v/>
      </c>
      <c r="I643" s="24" t="str">
        <f>IF(OR(E643="",E643="!!!",F643="NEW"),"",INDEX(B$2:B642,-1+SUMPRODUCT(MAX(ROW(E$2:E642)*(E643=E$2:E642)))))</f>
        <v>SBJ</v>
      </c>
      <c r="J643" s="24">
        <f ca="1">IF(OR(E643="",E643="!!!",F643="NEW"),"",COUNTBLANK(OFFSET(A$1,,,SUMPRODUCT(MAX(ROW(E$2:E643)*(E643=E$2:E643)))))-COUNTBLANK(OFFSET(A$1,,,SUMPRODUCT(MAX(ROW(E$1:E642)*(E2=E$1:E642))))))</f>
        <v>0</v>
      </c>
      <c r="K643" s="24">
        <f ca="1">IF(OR(E643="",E643="!!!",F643="NEW"),"",INDEX(J$1:J642,SUMPRODUCT(MAX(ROW(E$1:E642)*(E643=E$1:E642)))))</f>
        <v>0</v>
      </c>
      <c r="L643" s="25"/>
    </row>
    <row r="644" spans="1:12" x14ac:dyDescent="0.2">
      <c r="A644" t="s">
        <v>984</v>
      </c>
      <c r="E644" s="20" t="str">
        <f t="shared" si="74"/>
        <v/>
      </c>
      <c r="F644" s="21" t="str">
        <f>IF(OR(E644="",E644="!!!"),"",IF(NOT(ISNA(VLOOKUP(E644,E$1:E643,1,FALSE()))),"OLD",IF(AND(E644&lt;&gt;"",E644&lt;&gt;"!!!"),"NEW","")))</f>
        <v/>
      </c>
      <c r="G644" s="22" t="str">
        <f>IF(OR(E644="",E644="!!!"),"",IF(OR(J644=0,AND(J644=1,K644=1),AND(J644=1,I644="SBJ"),AND(J644=1,I644=0)),"?IN_FOCUS",IF(J644&lt;=2,"?ACTIVATED",IF(J644&lt;&gt;"","?FAMILIAR",IF(F644="NEW",IF(ISNA(VLOOKUP(E644,#REF!,1,FALSE())),"?TYPE_IDENTIFIABLE","?REFERENTIAL"),"_")))))</f>
        <v/>
      </c>
      <c r="H644" s="23" t="str">
        <f t="shared" ca="1" si="75"/>
        <v/>
      </c>
      <c r="I644" s="24" t="str">
        <f>IF(OR(E644="",E644="!!!",F644="NEW"),"",INDEX(B$2:B643,-1+SUMPRODUCT(MAX(ROW(E$2:E643)*(E644=E$2:E643)))))</f>
        <v/>
      </c>
      <c r="J644" s="24" t="str">
        <f ca="1">IF(OR(E644="",E644="!!!",F644="NEW"),"",COUNTBLANK(OFFSET(A$1,,,SUMPRODUCT(MAX(ROW(E$2:E644)*(E644=E$2:E644)))))-COUNTBLANK(OFFSET(A$1,,,SUMPRODUCT(MAX(ROW(E$1:E643)*(E2=E$1:E643))))))</f>
        <v/>
      </c>
      <c r="K644" s="24" t="str">
        <f>IF(OR(E644="",E644="!!!",F644="NEW"),"",INDEX(J$1:J643,SUMPRODUCT(MAX(ROW(E$1:E643)*(E644=E$1:E643)))))</f>
        <v/>
      </c>
      <c r="L644" s="25"/>
    </row>
    <row r="645" spans="1:12" x14ac:dyDescent="0.2">
      <c r="A645" t="s">
        <v>844</v>
      </c>
      <c r="E645" s="20" t="str">
        <f t="shared" si="74"/>
        <v/>
      </c>
      <c r="F645" s="21" t="str">
        <f>IF(OR(E645="",E645="!!!"),"",IF(NOT(ISNA(VLOOKUP(E645,E$1:E644,1,FALSE()))),"OLD",IF(AND(E645&lt;&gt;"",E645&lt;&gt;"!!!"),"NEW","")))</f>
        <v/>
      </c>
      <c r="G645" s="22" t="str">
        <f>IF(OR(E645="",E645="!!!"),"",IF(OR(J645=0,AND(J645=1,K645=1),AND(J645=1,I645="SBJ"),AND(J645=1,I645=0)),"?IN_FOCUS",IF(J645&lt;=2,"?ACTIVATED",IF(J645&lt;&gt;"","?FAMILIAR",IF(F645="NEW",IF(ISNA(VLOOKUP(E645,#REF!,1,FALSE())),"?TYPE_IDENTIFIABLE","?REFERENTIAL"),"_")))))</f>
        <v/>
      </c>
      <c r="H645" s="23" t="str">
        <f t="shared" ca="1" si="75"/>
        <v/>
      </c>
      <c r="I645" s="24" t="str">
        <f>IF(OR(E645="",E645="!!!",F645="NEW"),"",INDEX(B$2:B644,-1+SUMPRODUCT(MAX(ROW(E$2:E644)*(E645=E$2:E644)))))</f>
        <v/>
      </c>
      <c r="J645" s="24" t="str">
        <f ca="1">IF(OR(E645="",E645="!!!",F645="NEW"),"",COUNTBLANK(OFFSET(A$1,,,SUMPRODUCT(MAX(ROW(E$2:E645)*(E645=E$2:E645)))))-COUNTBLANK(OFFSET(A$1,,,SUMPRODUCT(MAX(ROW(E$1:E644)*(E2=E$1:E644))))))</f>
        <v/>
      </c>
      <c r="K645" s="24" t="str">
        <f>IF(OR(E645="",E645="!!!",F645="NEW"),"",INDEX(J$1:J644,SUMPRODUCT(MAX(ROW(E$1:E644)*(E645=E$1:E644)))))</f>
        <v/>
      </c>
      <c r="L645" s="25"/>
    </row>
    <row r="646" spans="1:12" x14ac:dyDescent="0.2">
      <c r="A646" t="s">
        <v>845</v>
      </c>
      <c r="E646" s="20" t="str">
        <f t="shared" si="74"/>
        <v/>
      </c>
      <c r="F646" s="21" t="str">
        <f>IF(OR(E646="",E646="!!!"),"",IF(NOT(ISNA(VLOOKUP(E646,E$1:E645,1,FALSE()))),"OLD",IF(AND(E646&lt;&gt;"",E646&lt;&gt;"!!!"),"NEW","")))</f>
        <v/>
      </c>
      <c r="G646" s="22" t="str">
        <f>IF(OR(E646="",E646="!!!"),"",IF(OR(J646=0,AND(J646=1,K646=1),AND(J646=1,I646="SBJ"),AND(J646=1,I646=0)),"?IN_FOCUS",IF(J646&lt;=2,"?ACTIVATED",IF(J646&lt;&gt;"","?FAMILIAR",IF(F646="NEW",IF(ISNA(VLOOKUP(E646,#REF!,1,FALSE())),"?TYPE_IDENTIFIABLE","?REFERENTIAL"),"_")))))</f>
        <v/>
      </c>
      <c r="H646" s="23" t="str">
        <f t="shared" ca="1" si="75"/>
        <v/>
      </c>
      <c r="I646" s="24" t="str">
        <f>IF(OR(E646="",E646="!!!",F646="NEW"),"",INDEX(B$2:B645,-1+SUMPRODUCT(MAX(ROW(E$2:E645)*(E646=E$2:E645)))))</f>
        <v/>
      </c>
      <c r="J646" s="24" t="str">
        <f ca="1">IF(OR(E646="",E646="!!!",F646="NEW"),"",COUNTBLANK(OFFSET(A$1,,,SUMPRODUCT(MAX(ROW(E$2:E646)*(E646=E$2:E646)))))-COUNTBLANK(OFFSET(A$1,,,SUMPRODUCT(MAX(ROW(E$1:E645)*(E2=E$1:E645))))))</f>
        <v/>
      </c>
      <c r="K646" s="24" t="str">
        <f>IF(OR(E646="",E646="!!!",F646="NEW"),"",INDEX(J$1:J645,SUMPRODUCT(MAX(ROW(E$1:E645)*(E646=E$1:E645)))))</f>
        <v/>
      </c>
      <c r="L646" s="25"/>
    </row>
    <row r="647" spans="1:12" x14ac:dyDescent="0.2">
      <c r="A647" t="s">
        <v>1058</v>
      </c>
      <c r="B647" s="26" t="s">
        <v>819</v>
      </c>
      <c r="C647" s="26" t="s">
        <v>847</v>
      </c>
      <c r="D647" s="26" t="s">
        <v>806</v>
      </c>
      <c r="E647" s="20" t="s">
        <v>1058</v>
      </c>
      <c r="F647" s="21" t="str">
        <f>IF(OR(E647="",E647="!!!"),"",IF(NOT(ISNA(VLOOKUP(E647,E$1:E646,1,FALSE()))),"OLD",IF(AND(E647&lt;&gt;"",E647&lt;&gt;"!!!"),"NEW","")))</f>
        <v>OLD</v>
      </c>
      <c r="G647" s="22" t="s">
        <v>1822</v>
      </c>
      <c r="H647" s="23" t="str">
        <f t="shared" ca="1" si="75"/>
        <v/>
      </c>
      <c r="I647" s="24" t="str">
        <f>IF(OR(E647="",E647="!!!",F647="NEW"),"",INDEX(B$2:B646,-1+SUMPRODUCT(MAX(ROW(E$2:E646)*(E647=E$2:E646)))))</f>
        <v>OBJ</v>
      </c>
      <c r="J647" s="24">
        <f ca="1">IF(OR(E647="",E647="!!!",F647="NEW"),"",COUNTBLANK(OFFSET(A$1,,,SUMPRODUCT(MAX(ROW(E$2:E647)*(E647=E$2:E647)))))-COUNTBLANK(OFFSET(A$1,,,SUMPRODUCT(MAX(ROW(E$1:E646)*(E2=E$1:E646))))))</f>
        <v>0</v>
      </c>
      <c r="K647" s="24" t="str">
        <f ca="1">IF(OR(E647="",E647="!!!",F647="NEW"),"",INDEX(J$1:J646,SUMPRODUCT(MAX(ROW(E$1:E646)*(E647=E$1:E646)))))</f>
        <v/>
      </c>
      <c r="L647" s="25"/>
    </row>
    <row r="648" spans="1:12" x14ac:dyDescent="0.2">
      <c r="A648" t="s">
        <v>874</v>
      </c>
      <c r="E648" s="20" t="str">
        <f t="shared" si="74"/>
        <v/>
      </c>
      <c r="F648" s="21" t="str">
        <f>IF(OR(E648="",E648="!!!"),"",IF(NOT(ISNA(VLOOKUP(E648,E$1:E647,1,FALSE()))),"OLD",IF(AND(E648&lt;&gt;"",E648&lt;&gt;"!!!"),"NEW","")))</f>
        <v/>
      </c>
      <c r="G648" s="22" t="str">
        <f>IF(OR(E648="",E648="!!!"),"",IF(OR(J648=0,AND(J648=1,K648=1),AND(J648=1,I648="SBJ"),AND(J648=1,I648=0)),"?IN_FOCUS",IF(J648&lt;=2,"?ACTIVATED",IF(J648&lt;&gt;"","?FAMILIAR",IF(F648="NEW",IF(ISNA(VLOOKUP(E648,#REF!,1,FALSE())),"?TYPE_IDENTIFIABLE","?REFERENTIAL"),"_")))))</f>
        <v/>
      </c>
      <c r="H648" s="23" t="str">
        <f t="shared" ca="1" si="75"/>
        <v/>
      </c>
      <c r="I648" s="24" t="str">
        <f>IF(OR(E648="",E648="!!!",F648="NEW"),"",INDEX(B$2:B647,-1+SUMPRODUCT(MAX(ROW(E$2:E647)*(E648=E$2:E647)))))</f>
        <v/>
      </c>
      <c r="J648" s="24" t="str">
        <f ca="1">IF(OR(E648="",E648="!!!",F648="NEW"),"",COUNTBLANK(OFFSET(A$1,,,SUMPRODUCT(MAX(ROW(E$2:E648)*(E648=E$2:E648)))))-COUNTBLANK(OFFSET(A$1,,,SUMPRODUCT(MAX(ROW(E$1:E647)*(E2=E$1:E647))))))</f>
        <v/>
      </c>
      <c r="K648" s="24" t="str">
        <f>IF(OR(E648="",E648="!!!",F648="NEW"),"",INDEX(J$1:J647,SUMPRODUCT(MAX(ROW(E$1:E647)*(E648=E$1:E647)))))</f>
        <v/>
      </c>
      <c r="L648" s="25"/>
    </row>
    <row r="649" spans="1:12" x14ac:dyDescent="0.2">
      <c r="A649" t="s">
        <v>809</v>
      </c>
      <c r="E649" s="20" t="str">
        <f t="shared" si="74"/>
        <v/>
      </c>
      <c r="F649" s="21" t="str">
        <f>IF(OR(E649="",E649="!!!"),"",IF(NOT(ISNA(VLOOKUP(E649,E$1:E648,1,FALSE()))),"OLD",IF(AND(E649&lt;&gt;"",E649&lt;&gt;"!!!"),"NEW","")))</f>
        <v/>
      </c>
      <c r="G649" s="22" t="str">
        <f>IF(OR(E649="",E649="!!!"),"",IF(OR(J649=0,AND(J649=1,K649=1),AND(J649=1,I649="SBJ"),AND(J649=1,I649=0)),"?IN_FOCUS",IF(J649&lt;=2,"?ACTIVATED",IF(J649&lt;&gt;"","?FAMILIAR",IF(F649="NEW",IF(ISNA(VLOOKUP(E649,#REF!,1,FALSE())),"?TYPE_IDENTIFIABLE","?REFERENTIAL"),"_")))))</f>
        <v/>
      </c>
      <c r="H649" s="23" t="str">
        <f t="shared" ca="1" si="75"/>
        <v/>
      </c>
      <c r="I649" s="24" t="str">
        <f>IF(OR(E649="",E649="!!!",F649="NEW"),"",INDEX(B$2:B648,-1+SUMPRODUCT(MAX(ROW(E$2:E648)*(E649=E$2:E648)))))</f>
        <v/>
      </c>
      <c r="J649" s="24" t="str">
        <f ca="1">IF(OR(E649="",E649="!!!",F649="NEW"),"",COUNTBLANK(OFFSET(A$1,,,SUMPRODUCT(MAX(ROW(E$2:E649)*(E649=E$2:E649)))))-COUNTBLANK(OFFSET(A$1,,,SUMPRODUCT(MAX(ROW(E$1:E648)*(E2=E$1:E648))))))</f>
        <v/>
      </c>
      <c r="K649" s="24" t="str">
        <f>IF(OR(E649="",E649="!!!",F649="NEW"),"",INDEX(J$1:J648,SUMPRODUCT(MAX(ROW(E$1:E648)*(E649=E$1:E648)))))</f>
        <v/>
      </c>
      <c r="L649" s="25"/>
    </row>
    <row r="650" spans="1:12" x14ac:dyDescent="0.2">
      <c r="A650" t="s">
        <v>1080</v>
      </c>
      <c r="E650" s="20" t="str">
        <f t="shared" si="74"/>
        <v/>
      </c>
      <c r="F650" s="21" t="str">
        <f>IF(OR(E650="",E650="!!!"),"",IF(NOT(ISNA(VLOOKUP(E650,E$1:E649,1,FALSE()))),"OLD",IF(AND(E650&lt;&gt;"",E650&lt;&gt;"!!!"),"NEW","")))</f>
        <v/>
      </c>
      <c r="G650" s="22" t="str">
        <f>IF(OR(E650="",E650="!!!"),"",IF(OR(J650=0,AND(J650=1,K650=1),AND(J650=1,I650="SBJ"),AND(J650=1,I650=0)),"?IN_FOCUS",IF(J650&lt;=2,"?ACTIVATED",IF(J650&lt;&gt;"","?FAMILIAR",IF(F650="NEW",IF(ISNA(VLOOKUP(E650,#REF!,1,FALSE())),"?TYPE_IDENTIFIABLE","?REFERENTIAL"),"_")))))</f>
        <v/>
      </c>
      <c r="H650" s="23" t="str">
        <f t="shared" ca="1" si="75"/>
        <v/>
      </c>
      <c r="I650" s="24" t="str">
        <f>IF(OR(E650="",E650="!!!",F650="NEW"),"",INDEX(B$2:B649,-1+SUMPRODUCT(MAX(ROW(E$2:E649)*(E650=E$2:E649)))))</f>
        <v/>
      </c>
      <c r="J650" s="24" t="str">
        <f ca="1">IF(OR(E650="",E650="!!!",F650="NEW"),"",COUNTBLANK(OFFSET(A$1,,,SUMPRODUCT(MAX(ROW(E$2:E650)*(E650=E$2:E650)))))-COUNTBLANK(OFFSET(A$1,,,SUMPRODUCT(MAX(ROW(E$1:E649)*(E2=E$1:E649))))))</f>
        <v/>
      </c>
      <c r="K650" s="24" t="str">
        <f>IF(OR(E650="",E650="!!!",F650="NEW"),"",INDEX(J$1:J649,SUMPRODUCT(MAX(ROW(E$1:E649)*(E650=E$1:E649)))))</f>
        <v/>
      </c>
      <c r="L650" s="25"/>
    </row>
    <row r="651" spans="1:12" x14ac:dyDescent="0.2">
      <c r="A651" t="s">
        <v>1081</v>
      </c>
      <c r="B651" s="26" t="s">
        <v>819</v>
      </c>
      <c r="C651" s="26" t="s">
        <v>811</v>
      </c>
      <c r="E651" s="20" t="str">
        <f t="shared" si="74"/>
        <v/>
      </c>
      <c r="F651" s="21" t="str">
        <f>IF(OR(E651="",E651="!!!"),"",IF(NOT(ISNA(VLOOKUP(E651,E$1:E650,1,FALSE()))),"OLD",IF(AND(E651&lt;&gt;"",E651&lt;&gt;"!!!"),"NEW","")))</f>
        <v/>
      </c>
      <c r="G651" s="22" t="str">
        <f>IF(OR(E651="",E651="!!!"),"",IF(OR(J651=0,AND(J651=1,K651=1),AND(J651=1,I651="SBJ"),AND(J651=1,I651=0)),"?IN_FOCUS",IF(J651&lt;=2,"?ACTIVATED",IF(J651&lt;&gt;"","?FAMILIAR",IF(F651="NEW",IF(ISNA(VLOOKUP(E651,#REF!,1,FALSE())),"?TYPE_IDENTIFIABLE","?REFERENTIAL"),"_")))))</f>
        <v/>
      </c>
      <c r="H651" s="23" t="str">
        <f t="shared" ca="1" si="75"/>
        <v/>
      </c>
      <c r="I651" s="24" t="str">
        <f>IF(OR(E651="",E651="!!!",F651="NEW"),"",INDEX(B$2:B650,-1+SUMPRODUCT(MAX(ROW(E$2:E650)*(E651=E$2:E650)))))</f>
        <v/>
      </c>
      <c r="J651" s="24" t="str">
        <f ca="1">IF(OR(E651="",E651="!!!",F651="NEW"),"",COUNTBLANK(OFFSET(A$1,,,SUMPRODUCT(MAX(ROW(E$2:E651)*(E651=E$2:E651)))))-COUNTBLANK(OFFSET(A$1,,,SUMPRODUCT(MAX(ROW(E$1:E650)*(E2=E$1:E650))))))</f>
        <v/>
      </c>
      <c r="K651" s="24" t="str">
        <f>IF(OR(E651="",E651="!!!",F651="NEW"),"",INDEX(J$1:J650,SUMPRODUCT(MAX(ROW(E$1:E650)*(E651=E$1:E650)))))</f>
        <v/>
      </c>
      <c r="L651" s="25"/>
    </row>
    <row r="652" spans="1:12" x14ac:dyDescent="0.2">
      <c r="A652" t="s">
        <v>815</v>
      </c>
      <c r="E652" s="20" t="str">
        <f t="shared" si="74"/>
        <v/>
      </c>
      <c r="F652" s="21" t="str">
        <f>IF(OR(E652="",E652="!!!"),"",IF(NOT(ISNA(VLOOKUP(E652,E$1:E651,1,FALSE()))),"OLD",IF(AND(E652&lt;&gt;"",E652&lt;&gt;"!!!"),"NEW","")))</f>
        <v/>
      </c>
      <c r="G652" s="22" t="str">
        <f>IF(OR(E652="",E652="!!!"),"",IF(OR(J652=0,AND(J652=1,K652=1),AND(J652=1,I652="SBJ"),AND(J652=1,I652=0)),"?IN_FOCUS",IF(J652&lt;=2,"?ACTIVATED",IF(J652&lt;&gt;"","?FAMILIAR",IF(F652="NEW",IF(ISNA(VLOOKUP(E652,#REF!,1,FALSE())),"?TYPE_IDENTIFIABLE","?REFERENTIAL"),"_")))))</f>
        <v/>
      </c>
      <c r="H652" s="23" t="str">
        <f t="shared" ca="1" si="75"/>
        <v/>
      </c>
      <c r="I652" s="24" t="str">
        <f>IF(OR(E652="",E652="!!!",F652="NEW"),"",INDEX(B$2:B651,-1+SUMPRODUCT(MAX(ROW(E$2:E651)*(E652=E$2:E651)))))</f>
        <v/>
      </c>
      <c r="J652" s="24" t="str">
        <f ca="1">IF(OR(E652="",E652="!!!",F652="NEW"),"",COUNTBLANK(OFFSET(A$1,,,SUMPRODUCT(MAX(ROW(E$2:E652)*(E652=E$2:E652)))))-COUNTBLANK(OFFSET(A$1,,,SUMPRODUCT(MAX(ROW(E$1:E651)*(E2=E$1:E651))))))</f>
        <v/>
      </c>
      <c r="K652" s="24" t="str">
        <f>IF(OR(E652="",E652="!!!",F652="NEW"),"",INDEX(J$1:J651,SUMPRODUCT(MAX(ROW(E$1:E651)*(E652=E$1:E651)))))</f>
        <v/>
      </c>
      <c r="L652" s="25"/>
    </row>
    <row r="653" spans="1:12" x14ac:dyDescent="0.2">
      <c r="A653" t="s">
        <v>845</v>
      </c>
      <c r="E653" s="20" t="str">
        <f t="shared" si="74"/>
        <v/>
      </c>
      <c r="F653" s="21" t="str">
        <f>IF(OR(E653="",E653="!!!"),"",IF(NOT(ISNA(VLOOKUP(E653,E$1:E652,1,FALSE()))),"OLD",IF(AND(E653&lt;&gt;"",E653&lt;&gt;"!!!"),"NEW","")))</f>
        <v/>
      </c>
      <c r="G653" s="22" t="str">
        <f>IF(OR(E653="",E653="!!!"),"",IF(OR(J653=0,AND(J653=1,K653=1),AND(J653=1,I653="SBJ"),AND(J653=1,I653=0)),"?IN_FOCUS",IF(J653&lt;=2,"?ACTIVATED",IF(J653&lt;&gt;"","?FAMILIAR",IF(F653="NEW",IF(ISNA(VLOOKUP(E653,#REF!,1,FALSE())),"?TYPE_IDENTIFIABLE","?REFERENTIAL"),"_")))))</f>
        <v/>
      </c>
      <c r="H653" s="23" t="str">
        <f t="shared" ca="1" si="75"/>
        <v/>
      </c>
      <c r="I653" s="24" t="str">
        <f>IF(OR(E653="",E653="!!!",F653="NEW"),"",INDEX(B$2:B652,-1+SUMPRODUCT(MAX(ROW(E$2:E652)*(E653=E$2:E652)))))</f>
        <v/>
      </c>
      <c r="J653" s="24" t="str">
        <f ca="1">IF(OR(E653="",E653="!!!",F653="NEW"),"",COUNTBLANK(OFFSET(A$1,,,SUMPRODUCT(MAX(ROW(E$2:E653)*(E653=E$2:E653)))))-COUNTBLANK(OFFSET(A$1,,,SUMPRODUCT(MAX(ROW(E$1:E652)*(E2=E$1:E652))))))</f>
        <v/>
      </c>
      <c r="K653" s="24" t="str">
        <f>IF(OR(E653="",E653="!!!",F653="NEW"),"",INDEX(J$1:J652,SUMPRODUCT(MAX(ROW(E$1:E652)*(E653=E$1:E652)))))</f>
        <v/>
      </c>
      <c r="L653" s="25"/>
    </row>
    <row r="654" spans="1:12" x14ac:dyDescent="0.2">
      <c r="A654" t="s">
        <v>886</v>
      </c>
      <c r="B654" s="26" t="s">
        <v>819</v>
      </c>
      <c r="C654" s="26" t="s">
        <v>847</v>
      </c>
      <c r="D654" s="26" t="s">
        <v>806</v>
      </c>
      <c r="E654" s="20" t="s">
        <v>1759</v>
      </c>
      <c r="F654" s="21" t="str">
        <f>IF(OR(E654="",E654="!!!"),"",IF(NOT(ISNA(VLOOKUP(E654,E$1:E653,1,FALSE()))),"OLD",IF(AND(E654&lt;&gt;"",E654&lt;&gt;"!!!"),"NEW","")))</f>
        <v>OLD</v>
      </c>
      <c r="G654" s="22" t="s">
        <v>1822</v>
      </c>
      <c r="H654" s="23" t="str">
        <f t="shared" ca="1" si="75"/>
        <v/>
      </c>
      <c r="I654" s="24" t="str">
        <f>IF(OR(E654="",E654="!!!",F654="NEW"),"",INDEX(B$2:B653,-1+SUMPRODUCT(MAX(ROW(E$2:E653)*(E654=E$2:E653)))))</f>
        <v>SBJ</v>
      </c>
      <c r="J654" s="24">
        <f ca="1">IF(OR(E654="",E654="!!!",F654="NEW"),"",COUNTBLANK(OFFSET(A$1,,,SUMPRODUCT(MAX(ROW(E$2:E654)*(E654=E$2:E654)))))-COUNTBLANK(OFFSET(A$1,,,SUMPRODUCT(MAX(ROW(E$1:E653)*(E2=E$1:E653))))))</f>
        <v>0</v>
      </c>
      <c r="K654" s="24">
        <f ca="1">IF(OR(E654="",E654="!!!",F654="NEW"),"",INDEX(J$1:J653,SUMPRODUCT(MAX(ROW(E$1:E653)*(E654=E$1:E653)))))</f>
        <v>0</v>
      </c>
      <c r="L654" s="25"/>
    </row>
    <row r="655" spans="1:12" x14ac:dyDescent="0.2">
      <c r="A655" t="s">
        <v>1082</v>
      </c>
      <c r="E655" s="20" t="str">
        <f t="shared" si="74"/>
        <v/>
      </c>
      <c r="F655" s="21" t="str">
        <f>IF(OR(E655="",E655="!!!"),"",IF(NOT(ISNA(VLOOKUP(E655,E$1:E654,1,FALSE()))),"OLD",IF(AND(E655&lt;&gt;"",E655&lt;&gt;"!!!"),"NEW","")))</f>
        <v/>
      </c>
      <c r="G655" s="22" t="str">
        <f>IF(OR(E655="",E655="!!!"),"",IF(OR(J655=0,AND(J655=1,K655=1),AND(J655=1,I655="SBJ"),AND(J655=1,I655=0)),"?IN_FOCUS",IF(J655&lt;=2,"?ACTIVATED",IF(J655&lt;&gt;"","?FAMILIAR",IF(F655="NEW",IF(ISNA(VLOOKUP(E655,#REF!,1,FALSE())),"?TYPE_IDENTIFIABLE","?REFERENTIAL"),"_")))))</f>
        <v/>
      </c>
      <c r="H655" s="23" t="str">
        <f t="shared" ca="1" si="75"/>
        <v/>
      </c>
      <c r="I655" s="24" t="str">
        <f>IF(OR(E655="",E655="!!!",F655="NEW"),"",INDEX(B$2:B654,-1+SUMPRODUCT(MAX(ROW(E$2:E654)*(E655=E$2:E654)))))</f>
        <v/>
      </c>
      <c r="J655" s="24" t="str">
        <f ca="1">IF(OR(E655="",E655="!!!",F655="NEW"),"",COUNTBLANK(OFFSET(A$1,,,SUMPRODUCT(MAX(ROW(E$2:E655)*(E655=E$2:E655)))))-COUNTBLANK(OFFSET(A$1,,,SUMPRODUCT(MAX(ROW(E$1:E654)*(E2=E$1:E654))))))</f>
        <v/>
      </c>
      <c r="K655" s="24" t="str">
        <f>IF(OR(E655="",E655="!!!",F655="NEW"),"",INDEX(J$1:J654,SUMPRODUCT(MAX(ROW(E$1:E654)*(E655=E$1:E654)))))</f>
        <v/>
      </c>
      <c r="L655" s="25"/>
    </row>
    <row r="656" spans="1:12" x14ac:dyDescent="0.2">
      <c r="A656" t="s">
        <v>1083</v>
      </c>
      <c r="E656" s="20" t="str">
        <f t="shared" si="74"/>
        <v/>
      </c>
      <c r="F656" s="21" t="str">
        <f>IF(OR(E656="",E656="!!!"),"",IF(NOT(ISNA(VLOOKUP(E656,E$1:E655,1,FALSE()))),"OLD",IF(AND(E656&lt;&gt;"",E656&lt;&gt;"!!!"),"NEW","")))</f>
        <v/>
      </c>
      <c r="G656" s="22" t="str">
        <f>IF(OR(E656="",E656="!!!"),"",IF(OR(J656=0,AND(J656=1,K656=1),AND(J656=1,I656="SBJ"),AND(J656=1,I656=0)),"?IN_FOCUS",IF(J656&lt;=2,"?ACTIVATED",IF(J656&lt;&gt;"","?FAMILIAR",IF(F656="NEW",IF(ISNA(VLOOKUP(E656,#REF!,1,FALSE())),"?TYPE_IDENTIFIABLE","?REFERENTIAL"),"_")))))</f>
        <v/>
      </c>
      <c r="H656" s="23" t="str">
        <f t="shared" ca="1" si="75"/>
        <v/>
      </c>
      <c r="I656" s="24" t="str">
        <f>IF(OR(E656="",E656="!!!",F656="NEW"),"",INDEX(B$2:B655,-1+SUMPRODUCT(MAX(ROW(E$2:E655)*(E656=E$2:E655)))))</f>
        <v/>
      </c>
      <c r="J656" s="24" t="str">
        <f ca="1">IF(OR(E656="",E656="!!!",F656="NEW"),"",COUNTBLANK(OFFSET(A$1,,,SUMPRODUCT(MAX(ROW(E$2:E656)*(E656=E$2:E656)))))-COUNTBLANK(OFFSET(A$1,,,SUMPRODUCT(MAX(ROW(E$1:E655)*(E2=E$1:E655))))))</f>
        <v/>
      </c>
      <c r="K656" s="24" t="str">
        <f>IF(OR(E656="",E656="!!!",F656="NEW"),"",INDEX(J$1:J655,SUMPRODUCT(MAX(ROW(E$1:E655)*(E656=E$1:E655)))))</f>
        <v/>
      </c>
      <c r="L656" s="25"/>
    </row>
    <row r="657" spans="1:12" x14ac:dyDescent="0.2">
      <c r="A657" t="s">
        <v>829</v>
      </c>
      <c r="B657" s="26" t="s">
        <v>950</v>
      </c>
      <c r="C657" s="26" t="s">
        <v>884</v>
      </c>
      <c r="E657" s="20" t="str">
        <f t="shared" si="74"/>
        <v/>
      </c>
      <c r="F657" s="21" t="str">
        <f>IF(OR(E657="",E657="!!!"),"",IF(NOT(ISNA(VLOOKUP(E657,E$1:E656,1,FALSE()))),"OLD",IF(AND(E657&lt;&gt;"",E657&lt;&gt;"!!!"),"NEW","")))</f>
        <v/>
      </c>
      <c r="G657" s="22" t="str">
        <f>IF(OR(E657="",E657="!!!"),"",IF(OR(J657=0,AND(J657=1,K657=1),AND(J657=1,I657="SBJ"),AND(J657=1,I657=0)),"?IN_FOCUS",IF(J657&lt;=2,"?ACTIVATED",IF(J657&lt;&gt;"","?FAMILIAR",IF(F657="NEW",IF(ISNA(VLOOKUP(E657,#REF!,1,FALSE())),"?TYPE_IDENTIFIABLE","?REFERENTIAL"),"_")))))</f>
        <v/>
      </c>
      <c r="H657" s="23" t="str">
        <f t="shared" ca="1" si="75"/>
        <v/>
      </c>
      <c r="I657" s="24" t="str">
        <f>IF(OR(E657="",E657="!!!",F657="NEW"),"",INDEX(B$2:B656,-1+SUMPRODUCT(MAX(ROW(E$2:E656)*(E657=E$2:E656)))))</f>
        <v/>
      </c>
      <c r="J657" s="24" t="str">
        <f ca="1">IF(OR(E657="",E657="!!!",F657="NEW"),"",COUNTBLANK(OFFSET(A$1,,,SUMPRODUCT(MAX(ROW(E$2:E657)*(E657=E$2:E657)))))-COUNTBLANK(OFFSET(A$1,,,SUMPRODUCT(MAX(ROW(E$1:E656)*(E2=E$1:E656))))))</f>
        <v/>
      </c>
      <c r="K657" s="24" t="str">
        <f>IF(OR(E657="",E657="!!!",F657="NEW"),"",INDEX(J$1:J656,SUMPRODUCT(MAX(ROW(E$1:E656)*(E657=E$1:E656)))))</f>
        <v/>
      </c>
      <c r="L657" s="25"/>
    </row>
    <row r="658" spans="1:12" x14ac:dyDescent="0.2">
      <c r="A658" t="s">
        <v>867</v>
      </c>
      <c r="E658" s="20" t="str">
        <f t="shared" si="74"/>
        <v/>
      </c>
      <c r="F658" s="21" t="str">
        <f>IF(OR(E658="",E658="!!!"),"",IF(NOT(ISNA(VLOOKUP(E658,E$1:E657,1,FALSE()))),"OLD",IF(AND(E658&lt;&gt;"",E658&lt;&gt;"!!!"),"NEW","")))</f>
        <v/>
      </c>
      <c r="G658" s="22" t="str">
        <f>IF(OR(E658="",E658="!!!"),"",IF(OR(J658=0,AND(J658=1,K658=1),AND(J658=1,I658="SBJ"),AND(J658=1,I658=0)),"?IN_FOCUS",IF(J658&lt;=2,"?ACTIVATED",IF(J658&lt;&gt;"","?FAMILIAR",IF(F658="NEW",IF(ISNA(VLOOKUP(E658,#REF!,1,FALSE())),"?TYPE_IDENTIFIABLE","?REFERENTIAL"),"_")))))</f>
        <v/>
      </c>
      <c r="H658" s="23" t="str">
        <f t="shared" ca="1" si="75"/>
        <v/>
      </c>
      <c r="I658" s="24" t="str">
        <f>IF(OR(E658="",E658="!!!",F658="NEW"),"",INDEX(B$2:B657,-1+SUMPRODUCT(MAX(ROW(E$2:E657)*(E658=E$2:E657)))))</f>
        <v/>
      </c>
      <c r="J658" s="24" t="str">
        <f ca="1">IF(OR(E658="",E658="!!!",F658="NEW"),"",COUNTBLANK(OFFSET(A$1,,,SUMPRODUCT(MAX(ROW(E$2:E658)*(E658=E$2:E658)))))-COUNTBLANK(OFFSET(A$1,,,SUMPRODUCT(MAX(ROW(E$1:E657)*(E2=E$1:E657))))))</f>
        <v/>
      </c>
      <c r="K658" s="24" t="str">
        <f>IF(OR(E658="",E658="!!!",F658="NEW"),"",INDEX(J$1:J657,SUMPRODUCT(MAX(ROW(E$1:E657)*(E658=E$1:E657)))))</f>
        <v/>
      </c>
      <c r="L658" s="25"/>
    </row>
    <row r="659" spans="1:12" x14ac:dyDescent="0.2">
      <c r="A659" t="s">
        <v>1084</v>
      </c>
      <c r="E659" s="20" t="str">
        <f t="shared" si="74"/>
        <v/>
      </c>
      <c r="F659" s="21" t="str">
        <f>IF(OR(E659="",E659="!!!"),"",IF(NOT(ISNA(VLOOKUP(E659,E$1:E658,1,FALSE()))),"OLD",IF(AND(E659&lt;&gt;"",E659&lt;&gt;"!!!"),"NEW","")))</f>
        <v/>
      </c>
      <c r="G659" s="22" t="str">
        <f>IF(OR(E659="",E659="!!!"),"",IF(OR(J659=0,AND(J659=1,K659=1),AND(J659=1,I659="SBJ"),AND(J659=1,I659=0)),"?IN_FOCUS",IF(J659&lt;=2,"?ACTIVATED",IF(J659&lt;&gt;"","?FAMILIAR",IF(F659="NEW",IF(ISNA(VLOOKUP(E659,#REF!,1,FALSE())),"?TYPE_IDENTIFIABLE","?REFERENTIAL"),"_")))))</f>
        <v/>
      </c>
      <c r="H659" s="23" t="str">
        <f t="shared" ca="1" si="75"/>
        <v/>
      </c>
      <c r="I659" s="24" t="str">
        <f>IF(OR(E659="",E659="!!!",F659="NEW"),"",INDEX(B$2:B658,-1+SUMPRODUCT(MAX(ROW(E$2:E658)*(E659=E$2:E658)))))</f>
        <v/>
      </c>
      <c r="J659" s="24" t="str">
        <f ca="1">IF(OR(E659="",E659="!!!",F659="NEW"),"",COUNTBLANK(OFFSET(A$1,,,SUMPRODUCT(MAX(ROW(E$2:E659)*(E659=E$2:E659)))))-COUNTBLANK(OFFSET(A$1,,,SUMPRODUCT(MAX(ROW(E$1:E658)*(E2=E$1:E658))))))</f>
        <v/>
      </c>
      <c r="K659" s="24" t="str">
        <f>IF(OR(E659="",E659="!!!",F659="NEW"),"",INDEX(J$1:J658,SUMPRODUCT(MAX(ROW(E$1:E658)*(E659=E$1:E658)))))</f>
        <v/>
      </c>
      <c r="L659" s="25"/>
    </row>
    <row r="660" spans="1:12" x14ac:dyDescent="0.2">
      <c r="A660" t="s">
        <v>1085</v>
      </c>
      <c r="B660" s="26" t="s">
        <v>938</v>
      </c>
      <c r="C660" s="26" t="s">
        <v>805</v>
      </c>
      <c r="D660" s="26" t="s">
        <v>806</v>
      </c>
      <c r="E660" s="20" t="s">
        <v>1747</v>
      </c>
      <c r="F660" s="21" t="str">
        <f>IF(OR(E660="",E660="!!!"),"",IF(NOT(ISNA(VLOOKUP(E660,E$1:E659,1,FALSE()))),"OLD",IF(AND(E660&lt;&gt;"",E660&lt;&gt;"!!!"),"NEW","")))</f>
        <v>OLD</v>
      </c>
      <c r="G660" s="22" t="s">
        <v>1823</v>
      </c>
      <c r="H660" s="23" t="str">
        <f t="shared" ca="1" si="75"/>
        <v/>
      </c>
      <c r="I660" s="24" t="str">
        <f>IF(OR(E660="",E660="!!!",F660="NEW"),"",INDEX(B$2:B659,-1+SUMPRODUCT(MAX(ROW(E$2:E659)*(E660=E$2:E659)))))</f>
        <v>SBJ</v>
      </c>
      <c r="J660" s="24">
        <f ca="1">IF(OR(E660="",E660="!!!",F660="NEW"),"",COUNTBLANK(OFFSET(A$1,,,SUMPRODUCT(MAX(ROW(E$2:E660)*(E660=E$2:E660)))))-COUNTBLANK(OFFSET(A$1,,,SUMPRODUCT(MAX(ROW(E$1:E659)*(E2=E$1:E659))))))</f>
        <v>0</v>
      </c>
      <c r="K660" s="24">
        <f ca="1">IF(OR(E660="",E660="!!!",F660="NEW"),"",INDEX(J$1:J659,SUMPRODUCT(MAX(ROW(E$1:E659)*(E660=E$1:E659)))))</f>
        <v>0</v>
      </c>
      <c r="L660" s="25"/>
    </row>
    <row r="661" spans="1:12" x14ac:dyDescent="0.2">
      <c r="A661" t="s">
        <v>809</v>
      </c>
      <c r="E661" s="20" t="str">
        <f t="shared" si="74"/>
        <v/>
      </c>
      <c r="F661" s="21" t="str">
        <f>IF(OR(E661="",E661="!!!"),"",IF(NOT(ISNA(VLOOKUP(E661,E$1:E660,1,FALSE()))),"OLD",IF(AND(E661&lt;&gt;"",E661&lt;&gt;"!!!"),"NEW","")))</f>
        <v/>
      </c>
      <c r="G661" s="22" t="str">
        <f>IF(OR(E661="",E661="!!!"),"",IF(OR(J661=0,AND(J661=1,K661=1),AND(J661=1,I661="SBJ"),AND(J661=1,I661=0)),"?IN_FOCUS",IF(J661&lt;=2,"?ACTIVATED",IF(J661&lt;&gt;"","?FAMILIAR",IF(F661="NEW",IF(ISNA(VLOOKUP(E661,#REF!,1,FALSE())),"?TYPE_IDENTIFIABLE","?REFERENTIAL"),"_")))))</f>
        <v/>
      </c>
      <c r="H661" s="23" t="str">
        <f t="shared" ca="1" si="75"/>
        <v/>
      </c>
      <c r="I661" s="24" t="str">
        <f>IF(OR(E661="",E661="!!!",F661="NEW"),"",INDEX(B$2:B660,-1+SUMPRODUCT(MAX(ROW(E$2:E660)*(E661=E$2:E660)))))</f>
        <v/>
      </c>
      <c r="J661" s="24" t="str">
        <f ca="1">IF(OR(E661="",E661="!!!",F661="NEW"),"",COUNTBLANK(OFFSET(A$1,,,SUMPRODUCT(MAX(ROW(E$2:E661)*(E661=E$2:E661)))))-COUNTBLANK(OFFSET(A$1,,,SUMPRODUCT(MAX(ROW(E$1:E660)*(E2=E$1:E660))))))</f>
        <v/>
      </c>
      <c r="K661" s="24" t="str">
        <f>IF(OR(E661="",E661="!!!",F661="NEW"),"",INDEX(J$1:J660,SUMPRODUCT(MAX(ROW(E$1:E660)*(E661=E$1:E660)))))</f>
        <v/>
      </c>
      <c r="L661" s="25"/>
    </row>
    <row r="662" spans="1:12" x14ac:dyDescent="0.2">
      <c r="A662" t="s">
        <v>1016</v>
      </c>
      <c r="E662" s="20" t="str">
        <f t="shared" si="74"/>
        <v/>
      </c>
      <c r="F662" s="21" t="str">
        <f>IF(OR(E662="",E662="!!!"),"",IF(NOT(ISNA(VLOOKUP(E662,E$1:E661,1,FALSE()))),"OLD",IF(AND(E662&lt;&gt;"",E662&lt;&gt;"!!!"),"NEW","")))</f>
        <v/>
      </c>
      <c r="G662" s="22" t="str">
        <f>IF(OR(E662="",E662="!!!"),"",IF(OR(J662=0,AND(J662=1,K662=1),AND(J662=1,I662="SBJ"),AND(J662=1,I662=0)),"?IN_FOCUS",IF(J662&lt;=2,"?ACTIVATED",IF(J662&lt;&gt;"","?FAMILIAR",IF(F662="NEW",IF(ISNA(VLOOKUP(E662,#REF!,1,FALSE())),"?TYPE_IDENTIFIABLE","?REFERENTIAL"),"_")))))</f>
        <v/>
      </c>
      <c r="H662" s="23" t="str">
        <f t="shared" ca="1" si="75"/>
        <v/>
      </c>
      <c r="I662" s="24" t="str">
        <f>IF(OR(E662="",E662="!!!",F662="NEW"),"",INDEX(B$2:B661,-1+SUMPRODUCT(MAX(ROW(E$2:E661)*(E662=E$2:E661)))))</f>
        <v/>
      </c>
      <c r="J662" s="24" t="str">
        <f ca="1">IF(OR(E662="",E662="!!!",F662="NEW"),"",COUNTBLANK(OFFSET(A$1,,,SUMPRODUCT(MAX(ROW(E$2:E662)*(E662=E$2:E662)))))-COUNTBLANK(OFFSET(A$1,,,SUMPRODUCT(MAX(ROW(E$1:E661)*(E2=E$1:E661))))))</f>
        <v/>
      </c>
      <c r="K662" s="24" t="str">
        <f>IF(OR(E662="",E662="!!!",F662="NEW"),"",INDEX(J$1:J661,SUMPRODUCT(MAX(ROW(E$1:E661)*(E662=E$1:E661)))))</f>
        <v/>
      </c>
      <c r="L662" s="25"/>
    </row>
    <row r="663" spans="1:12" x14ac:dyDescent="0.2">
      <c r="A663" t="s">
        <v>1086</v>
      </c>
      <c r="B663" s="26" t="s">
        <v>938</v>
      </c>
      <c r="C663" s="26" t="s">
        <v>811</v>
      </c>
      <c r="E663" s="20" t="str">
        <f t="shared" si="74"/>
        <v/>
      </c>
      <c r="F663" s="21" t="str">
        <f>IF(OR(E663="",E663="!!!"),"",IF(NOT(ISNA(VLOOKUP(E663,E$1:E662,1,FALSE()))),"OLD",IF(AND(E663&lt;&gt;"",E663&lt;&gt;"!!!"),"NEW","")))</f>
        <v/>
      </c>
      <c r="G663" s="22" t="str">
        <f>IF(OR(E663="",E663="!!!"),"",IF(OR(J663=0,AND(J663=1,K663=1),AND(J663=1,I663="SBJ"),AND(J663=1,I663=0)),"?IN_FOCUS",IF(J663&lt;=2,"?ACTIVATED",IF(J663&lt;&gt;"","?FAMILIAR",IF(F663="NEW",IF(ISNA(VLOOKUP(E663,#REF!,1,FALSE())),"?TYPE_IDENTIFIABLE","?REFERENTIAL"),"_")))))</f>
        <v/>
      </c>
      <c r="H663" s="23" t="str">
        <f t="shared" ca="1" si="75"/>
        <v/>
      </c>
      <c r="I663" s="24" t="str">
        <f>IF(OR(E663="",E663="!!!",F663="NEW"),"",INDEX(B$2:B662,-1+SUMPRODUCT(MAX(ROW(E$2:E662)*(E663=E$2:E662)))))</f>
        <v/>
      </c>
      <c r="J663" s="24" t="str">
        <f ca="1">IF(OR(E663="",E663="!!!",F663="NEW"),"",COUNTBLANK(OFFSET(A$1,,,SUMPRODUCT(MAX(ROW(E$2:E663)*(E663=E$2:E663)))))-COUNTBLANK(OFFSET(A$1,,,SUMPRODUCT(MAX(ROW(E$1:E662)*(E2=E$1:E662))))))</f>
        <v/>
      </c>
      <c r="K663" s="24" t="str">
        <f>IF(OR(E663="",E663="!!!",F663="NEW"),"",INDEX(J$1:J662,SUMPRODUCT(MAX(ROW(E$1:E662)*(E663=E$1:E662)))))</f>
        <v/>
      </c>
      <c r="L663" s="25"/>
    </row>
    <row r="664" spans="1:12" x14ac:dyDescent="0.2">
      <c r="A664" t="s">
        <v>1087</v>
      </c>
      <c r="E664" s="20" t="str">
        <f t="shared" si="74"/>
        <v/>
      </c>
      <c r="F664" s="21" t="str">
        <f>IF(OR(E664="",E664="!!!"),"",IF(NOT(ISNA(VLOOKUP(E664,E$1:E663,1,FALSE()))),"OLD",IF(AND(E664&lt;&gt;"",E664&lt;&gt;"!!!"),"NEW","")))</f>
        <v/>
      </c>
      <c r="G664" s="22" t="str">
        <f>IF(OR(E664="",E664="!!!"),"",IF(OR(J664=0,AND(J664=1,K664=1),AND(J664=1,I664="SBJ"),AND(J664=1,I664=0)),"?IN_FOCUS",IF(J664&lt;=2,"?ACTIVATED",IF(J664&lt;&gt;"","?FAMILIAR",IF(F664="NEW",IF(ISNA(VLOOKUP(E664,#REF!,1,FALSE())),"?TYPE_IDENTIFIABLE","?REFERENTIAL"),"_")))))</f>
        <v/>
      </c>
      <c r="H664" s="23" t="str">
        <f t="shared" ca="1" si="75"/>
        <v/>
      </c>
      <c r="I664" s="24" t="str">
        <f>IF(OR(E664="",E664="!!!",F664="NEW"),"",INDEX(B$2:B663,-1+SUMPRODUCT(MAX(ROW(E$2:E663)*(E664=E$2:E663)))))</f>
        <v/>
      </c>
      <c r="J664" s="24" t="str">
        <f ca="1">IF(OR(E664="",E664="!!!",F664="NEW"),"",COUNTBLANK(OFFSET(A$1,,,SUMPRODUCT(MAX(ROW(E$2:E664)*(E664=E$2:E664)))))-COUNTBLANK(OFFSET(A$1,,,SUMPRODUCT(MAX(ROW(E$1:E663)*(E2=E$1:E663))))))</f>
        <v/>
      </c>
      <c r="K664" s="24" t="str">
        <f>IF(OR(E664="",E664="!!!",F664="NEW"),"",INDEX(J$1:J663,SUMPRODUCT(MAX(ROW(E$1:E663)*(E664=E$1:E663)))))</f>
        <v/>
      </c>
      <c r="L664" s="25"/>
    </row>
    <row r="665" spans="1:12" x14ac:dyDescent="0.2">
      <c r="A665" t="s">
        <v>1002</v>
      </c>
      <c r="E665" s="20" t="str">
        <f t="shared" si="74"/>
        <v/>
      </c>
      <c r="F665" s="21" t="str">
        <f>IF(OR(E665="",E665="!!!"),"",IF(NOT(ISNA(VLOOKUP(E665,E$1:E664,1,FALSE()))),"OLD",IF(AND(E665&lt;&gt;"",E665&lt;&gt;"!!!"),"NEW","")))</f>
        <v/>
      </c>
      <c r="G665" s="22" t="str">
        <f>IF(OR(E665="",E665="!!!"),"",IF(OR(J665=0,AND(J665=1,K665=1),AND(J665=1,I665="SBJ"),AND(J665=1,I665=0)),"?IN_FOCUS",IF(J665&lt;=2,"?ACTIVATED",IF(J665&lt;&gt;"","?FAMILIAR",IF(F665="NEW",IF(ISNA(VLOOKUP(E665,#REF!,1,FALSE())),"?TYPE_IDENTIFIABLE","?REFERENTIAL"),"_")))))</f>
        <v/>
      </c>
      <c r="H665" s="23" t="str">
        <f t="shared" ca="1" si="75"/>
        <v/>
      </c>
      <c r="I665" s="24" t="str">
        <f>IF(OR(E665="",E665="!!!",F665="NEW"),"",INDEX(B$2:B664,-1+SUMPRODUCT(MAX(ROW(E$2:E664)*(E665=E$2:E664)))))</f>
        <v/>
      </c>
      <c r="J665" s="24" t="str">
        <f ca="1">IF(OR(E665="",E665="!!!",F665="NEW"),"",COUNTBLANK(OFFSET(A$1,,,SUMPRODUCT(MAX(ROW(E$2:E665)*(E665=E$2:E665)))))-COUNTBLANK(OFFSET(A$1,,,SUMPRODUCT(MAX(ROW(E$1:E664)*(E2=E$1:E664))))))</f>
        <v/>
      </c>
      <c r="K665" s="24" t="str">
        <f>IF(OR(E665="",E665="!!!",F665="NEW"),"",INDEX(J$1:J664,SUMPRODUCT(MAX(ROW(E$1:E664)*(E665=E$1:E664)))))</f>
        <v/>
      </c>
      <c r="L665" s="25"/>
    </row>
    <row r="666" spans="1:12" x14ac:dyDescent="0.2">
      <c r="A666" t="s">
        <v>802</v>
      </c>
      <c r="E666" s="20" t="str">
        <f t="shared" si="74"/>
        <v/>
      </c>
      <c r="F666" s="21" t="str">
        <f>IF(OR(E666="",E666="!!!"),"",IF(NOT(ISNA(VLOOKUP(E666,E$1:E665,1,FALSE()))),"OLD",IF(AND(E666&lt;&gt;"",E666&lt;&gt;"!!!"),"NEW","")))</f>
        <v/>
      </c>
      <c r="G666" s="22" t="str">
        <f>IF(OR(E666="",E666="!!!"),"",IF(OR(J666=0,AND(J666=1,K666=1),AND(J666=1,I666="SBJ"),AND(J666=1,I666=0)),"?IN_FOCUS",IF(J666&lt;=2,"?ACTIVATED",IF(J666&lt;&gt;"","?FAMILIAR",IF(F666="NEW",IF(ISNA(VLOOKUP(E666,#REF!,1,FALSE())),"?TYPE_IDENTIFIABLE","?REFERENTIAL"),"_")))))</f>
        <v/>
      </c>
      <c r="H666" s="23" t="str">
        <f t="shared" ca="1" si="75"/>
        <v/>
      </c>
      <c r="I666" s="24" t="str">
        <f>IF(OR(E666="",E666="!!!",F666="NEW"),"",INDEX(B$2:B665,-1+SUMPRODUCT(MAX(ROW(E$2:E665)*(E666=E$2:E665)))))</f>
        <v/>
      </c>
      <c r="J666" s="24" t="str">
        <f ca="1">IF(OR(E666="",E666="!!!",F666="NEW"),"",COUNTBLANK(OFFSET(A$1,,,SUMPRODUCT(MAX(ROW(E$2:E666)*(E666=E$2:E666)))))-COUNTBLANK(OFFSET(A$1,,,SUMPRODUCT(MAX(ROW(E$1:E665)*(E2=E$1:E665))))))</f>
        <v/>
      </c>
      <c r="K666" s="24" t="str">
        <f>IF(OR(E666="",E666="!!!",F666="NEW"),"",INDEX(J$1:J665,SUMPRODUCT(MAX(ROW(E$1:E665)*(E666=E$1:E665)))))</f>
        <v/>
      </c>
      <c r="L666" s="25"/>
    </row>
    <row r="667" spans="1:12" x14ac:dyDescent="0.2">
      <c r="A667" t="s">
        <v>803</v>
      </c>
      <c r="B667" s="26" t="s">
        <v>950</v>
      </c>
      <c r="C667" s="26" t="s">
        <v>805</v>
      </c>
      <c r="D667" s="26" t="s">
        <v>806</v>
      </c>
      <c r="E667" s="20" t="s">
        <v>1747</v>
      </c>
      <c r="F667" s="21" t="s">
        <v>1753</v>
      </c>
      <c r="G667" s="22" t="s">
        <v>1823</v>
      </c>
      <c r="H667" s="23" t="str">
        <f t="shared" ca="1" si="75"/>
        <v/>
      </c>
      <c r="I667" s="24" t="str">
        <f>IF(OR(E667="",E667="!!!",F667="NEW"),"",INDEX(B$2:B666,-1+SUMPRODUCT(MAX(ROW(E$2:E666)*(E667=E$2:E666)))))</f>
        <v>OBJ_2</v>
      </c>
      <c r="J667" s="24">
        <f ca="1">IF(OR(E667="",E667="!!!",F667="NEW"),"",COUNTBLANK(OFFSET(A$1,,,SUMPRODUCT(MAX(ROW(E$2:E667)*(E667=E$2:E667)))))-COUNTBLANK(OFFSET(A$1,,,SUMPRODUCT(MAX(ROW(E$1:E666)*(E2=E$1:E666))))))</f>
        <v>0</v>
      </c>
      <c r="K667" s="24">
        <f ca="1">IF(OR(E667="",E667="!!!",F667="NEW"),"",INDEX(J$1:J666,SUMPRODUCT(MAX(ROW(E$1:E666)*(E667=E$1:E666)))))</f>
        <v>0</v>
      </c>
      <c r="L667" s="25"/>
    </row>
    <row r="668" spans="1:12" x14ac:dyDescent="0.2">
      <c r="A668" t="s">
        <v>984</v>
      </c>
      <c r="E668" s="20" t="str">
        <f t="shared" si="74"/>
        <v/>
      </c>
      <c r="F668" s="21" t="str">
        <f>IF(OR(E668="",E668="!!!"),"",IF(NOT(ISNA(VLOOKUP(E668,E$1:E667,1,FALSE()))),"OLD",IF(AND(E668&lt;&gt;"",E668&lt;&gt;"!!!"),"NEW","")))</f>
        <v/>
      </c>
      <c r="G668" s="22" t="str">
        <f>IF(OR(E668="",E668="!!!"),"",IF(OR(J668=0,AND(J668=1,K668=1),AND(J668=1,I668="SBJ"),AND(J668=1,I668=0)),"?IN_FOCUS",IF(J668&lt;=2,"?ACTIVATED",IF(J668&lt;&gt;"","?FAMILIAR",IF(F668="NEW",IF(ISNA(VLOOKUP(E668,#REF!,1,FALSE())),"?TYPE_IDENTIFIABLE","?REFERENTIAL"),"_")))))</f>
        <v/>
      </c>
      <c r="H668" s="23" t="str">
        <f t="shared" ca="1" si="75"/>
        <v/>
      </c>
      <c r="I668" s="24" t="str">
        <f>IF(OR(E668="",E668="!!!",F668="NEW"),"",INDEX(B$2:B667,-1+SUMPRODUCT(MAX(ROW(E$2:E667)*(E668=E$2:E667)))))</f>
        <v/>
      </c>
      <c r="J668" s="24" t="str">
        <f ca="1">IF(OR(E668="",E668="!!!",F668="NEW"),"",COUNTBLANK(OFFSET(A$1,,,SUMPRODUCT(MAX(ROW(E$2:E668)*(E668=E$2:E668)))))-COUNTBLANK(OFFSET(A$1,,,SUMPRODUCT(MAX(ROW(E$1:E667)*(E2=E$1:E667))))))</f>
        <v/>
      </c>
      <c r="K668" s="24" t="str">
        <f>IF(OR(E668="",E668="!!!",F668="NEW"),"",INDEX(J$1:J667,SUMPRODUCT(MAX(ROW(E$1:E667)*(E668=E$1:E667)))))</f>
        <v/>
      </c>
      <c r="L668" s="25"/>
    </row>
    <row r="669" spans="1:12" x14ac:dyDescent="0.2">
      <c r="A669" t="s">
        <v>844</v>
      </c>
      <c r="E669" s="20" t="str">
        <f t="shared" si="74"/>
        <v/>
      </c>
      <c r="F669" s="21" t="str">
        <f>IF(OR(E669="",E669="!!!"),"",IF(NOT(ISNA(VLOOKUP(E669,E$1:E668,1,FALSE()))),"OLD",IF(AND(E669&lt;&gt;"",E669&lt;&gt;"!!!"),"NEW","")))</f>
        <v/>
      </c>
      <c r="G669" s="22" t="str">
        <f>IF(OR(E669="",E669="!!!"),"",IF(OR(J669=0,AND(J669=1,K669=1),AND(J669=1,I669="SBJ"),AND(J669=1,I669=0)),"?IN_FOCUS",IF(J669&lt;=2,"?ACTIVATED",IF(J669&lt;&gt;"","?FAMILIAR",IF(F669="NEW",IF(ISNA(VLOOKUP(E669,#REF!,1,FALSE())),"?TYPE_IDENTIFIABLE","?REFERENTIAL"),"_")))))</f>
        <v/>
      </c>
      <c r="H669" s="23" t="str">
        <f t="shared" ca="1" si="75"/>
        <v/>
      </c>
      <c r="I669" s="24" t="str">
        <f>IF(OR(E669="",E669="!!!",F669="NEW"),"",INDEX(B$2:B668,-1+SUMPRODUCT(MAX(ROW(E$2:E668)*(E669=E$2:E668)))))</f>
        <v/>
      </c>
      <c r="J669" s="24" t="str">
        <f ca="1">IF(OR(E669="",E669="!!!",F669="NEW"),"",COUNTBLANK(OFFSET(A$1,,,SUMPRODUCT(MAX(ROW(E$2:E669)*(E669=E$2:E669)))))-COUNTBLANK(OFFSET(A$1,,,SUMPRODUCT(MAX(ROW(E$1:E668)*(E2=E$1:E668))))))</f>
        <v/>
      </c>
      <c r="K669" s="24" t="str">
        <f>IF(OR(E669="",E669="!!!",F669="NEW"),"",INDEX(J$1:J668,SUMPRODUCT(MAX(ROW(E$1:E668)*(E669=E$1:E668)))))</f>
        <v/>
      </c>
      <c r="L669" s="25"/>
    </row>
    <row r="670" spans="1:12" x14ac:dyDescent="0.2">
      <c r="A670" t="s">
        <v>845</v>
      </c>
      <c r="E670" s="20" t="str">
        <f t="shared" si="74"/>
        <v/>
      </c>
      <c r="F670" s="21" t="str">
        <f>IF(OR(E670="",E670="!!!"),"",IF(NOT(ISNA(VLOOKUP(E670,E$1:E669,1,FALSE()))),"OLD",IF(AND(E670&lt;&gt;"",E670&lt;&gt;"!!!"),"NEW","")))</f>
        <v/>
      </c>
      <c r="G670" s="22" t="str">
        <f>IF(OR(E670="",E670="!!!"),"",IF(OR(J670=0,AND(J670=1,K670=1),AND(J670=1,I670="SBJ"),AND(J670=1,I670=0)),"?IN_FOCUS",IF(J670&lt;=2,"?ACTIVATED",IF(J670&lt;&gt;"","?FAMILIAR",IF(F670="NEW",IF(ISNA(VLOOKUP(E670,#REF!,1,FALSE())),"?TYPE_IDENTIFIABLE","?REFERENTIAL"),"_")))))</f>
        <v/>
      </c>
      <c r="H670" s="23" t="str">
        <f t="shared" ca="1" si="75"/>
        <v/>
      </c>
      <c r="I670" s="24" t="str">
        <f>IF(OR(E670="",E670="!!!",F670="NEW"),"",INDEX(B$2:B669,-1+SUMPRODUCT(MAX(ROW(E$2:E669)*(E670=E$2:E669)))))</f>
        <v/>
      </c>
      <c r="J670" s="24" t="str">
        <f ca="1">IF(OR(E670="",E670="!!!",F670="NEW"),"",COUNTBLANK(OFFSET(A$1,,,SUMPRODUCT(MAX(ROW(E$2:E670)*(E670=E$2:E670)))))-COUNTBLANK(OFFSET(A$1,,,SUMPRODUCT(MAX(ROW(E$1:E669)*(E2=E$1:E669))))))</f>
        <v/>
      </c>
      <c r="K670" s="24" t="str">
        <f>IF(OR(E670="",E670="!!!",F670="NEW"),"",INDEX(J$1:J669,SUMPRODUCT(MAX(ROW(E$1:E669)*(E670=E$1:E669)))))</f>
        <v/>
      </c>
      <c r="L670" s="25"/>
    </row>
    <row r="671" spans="1:12" x14ac:dyDescent="0.2">
      <c r="A671" t="s">
        <v>1058</v>
      </c>
      <c r="B671" s="26" t="s">
        <v>813</v>
      </c>
      <c r="C671" s="26" t="s">
        <v>847</v>
      </c>
      <c r="D671" s="26" t="s">
        <v>806</v>
      </c>
      <c r="E671" s="20" t="s">
        <v>1058</v>
      </c>
      <c r="F671" s="21" t="str">
        <f>IF(OR(E671="",E671="!!!"),"",IF(NOT(ISNA(VLOOKUP(E671,E$1:E670,1,FALSE()))),"OLD",IF(AND(E671&lt;&gt;"",E671&lt;&gt;"!!!"),"NEW","")))</f>
        <v>OLD</v>
      </c>
      <c r="G671" s="22" t="s">
        <v>1822</v>
      </c>
      <c r="H671" s="23" t="str">
        <f t="shared" ca="1" si="75"/>
        <v/>
      </c>
      <c r="I671" s="24" t="str">
        <f>IF(OR(E671="",E671="!!!",F671="NEW"),"",INDEX(B$2:B670,-1+SUMPRODUCT(MAX(ROW(E$2:E670)*(E671=E$2:E670)))))</f>
        <v>other</v>
      </c>
      <c r="J671" s="24">
        <f ca="1">IF(OR(E671="",E671="!!!",F671="NEW"),"",COUNTBLANK(OFFSET(A$1,,,SUMPRODUCT(MAX(ROW(E$2:E671)*(E671=E$2:E671)))))-COUNTBLANK(OFFSET(A$1,,,SUMPRODUCT(MAX(ROW(E$1:E670)*(E2=E$1:E670))))))</f>
        <v>0</v>
      </c>
      <c r="K671" s="24">
        <f ca="1">IF(OR(E671="",E671="!!!",F671="NEW"),"",INDEX(J$1:J670,SUMPRODUCT(MAX(ROW(E$1:E670)*(E671=E$1:E670)))))</f>
        <v>0</v>
      </c>
      <c r="L671" s="25"/>
    </row>
    <row r="672" spans="1:12" x14ac:dyDescent="0.2">
      <c r="A672" t="s">
        <v>874</v>
      </c>
      <c r="E672" s="20" t="str">
        <f t="shared" si="74"/>
        <v/>
      </c>
      <c r="F672" s="21" t="str">
        <f>IF(OR(E672="",E672="!!!"),"",IF(NOT(ISNA(VLOOKUP(E672,E$1:E671,1,FALSE()))),"OLD",IF(AND(E672&lt;&gt;"",E672&lt;&gt;"!!!"),"NEW","")))</f>
        <v/>
      </c>
      <c r="G672" s="22" t="str">
        <f>IF(OR(E672="",E672="!!!"),"",IF(OR(J672=0,AND(J672=1,K672=1),AND(J672=1,I672="SBJ"),AND(J672=1,I672=0)),"?IN_FOCUS",IF(J672&lt;=2,"?ACTIVATED",IF(J672&lt;&gt;"","?FAMILIAR",IF(F672="NEW",IF(ISNA(VLOOKUP(E672,#REF!,1,FALSE())),"?TYPE_IDENTIFIABLE","?REFERENTIAL"),"_")))))</f>
        <v/>
      </c>
      <c r="H672" s="23" t="str">
        <f t="shared" ca="1" si="75"/>
        <v/>
      </c>
      <c r="I672" s="24" t="str">
        <f>IF(OR(E672="",E672="!!!",F672="NEW"),"",INDEX(B$2:B671,-1+SUMPRODUCT(MAX(ROW(E$2:E671)*(E672=E$2:E671)))))</f>
        <v/>
      </c>
      <c r="J672" s="24" t="str">
        <f ca="1">IF(OR(E672="",E672="!!!",F672="NEW"),"",COUNTBLANK(OFFSET(A$1,,,SUMPRODUCT(MAX(ROW(E$2:E672)*(E672=E$2:E672)))))-COUNTBLANK(OFFSET(A$1,,,SUMPRODUCT(MAX(ROW(E$1:E671)*(E2=E$1:E671))))))</f>
        <v/>
      </c>
      <c r="K672" s="24" t="str">
        <f>IF(OR(E672="",E672="!!!",F672="NEW"),"",INDEX(J$1:J671,SUMPRODUCT(MAX(ROW(E$1:E671)*(E672=E$1:E671)))))</f>
        <v/>
      </c>
      <c r="L672" s="25"/>
    </row>
    <row r="673" spans="1:12" x14ac:dyDescent="0.2">
      <c r="A673" t="s">
        <v>845</v>
      </c>
      <c r="E673" s="20" t="str">
        <f t="shared" si="74"/>
        <v/>
      </c>
      <c r="F673" s="21" t="str">
        <f>IF(OR(E673="",E673="!!!"),"",IF(NOT(ISNA(VLOOKUP(E673,E$1:E672,1,FALSE()))),"OLD",IF(AND(E673&lt;&gt;"",E673&lt;&gt;"!!!"),"NEW","")))</f>
        <v/>
      </c>
      <c r="G673" s="22" t="str">
        <f>IF(OR(E673="",E673="!!!"),"",IF(OR(J673=0,AND(J673=1,K673=1),AND(J673=1,I673="SBJ"),AND(J673=1,I673=0)),"?IN_FOCUS",IF(J673&lt;=2,"?ACTIVATED",IF(J673&lt;&gt;"","?FAMILIAR",IF(F673="NEW",IF(ISNA(VLOOKUP(E673,#REF!,1,FALSE())),"?TYPE_IDENTIFIABLE","?REFERENTIAL"),"_")))))</f>
        <v/>
      </c>
      <c r="H673" s="23" t="str">
        <f t="shared" ca="1" si="75"/>
        <v/>
      </c>
      <c r="I673" s="24" t="str">
        <f>IF(OR(E673="",E673="!!!",F673="NEW"),"",INDEX(B$2:B672,-1+SUMPRODUCT(MAX(ROW(E$2:E672)*(E673=E$2:E672)))))</f>
        <v/>
      </c>
      <c r="J673" s="24" t="str">
        <f ca="1">IF(OR(E673="",E673="!!!",F673="NEW"),"",COUNTBLANK(OFFSET(A$1,,,SUMPRODUCT(MAX(ROW(E$2:E673)*(E673=E$2:E673)))))-COUNTBLANK(OFFSET(A$1,,,SUMPRODUCT(MAX(ROW(E$1:E672)*(E2=E$1:E672))))))</f>
        <v/>
      </c>
      <c r="K673" s="24" t="str">
        <f>IF(OR(E673="",E673="!!!",F673="NEW"),"",INDEX(J$1:J672,SUMPRODUCT(MAX(ROW(E$1:E672)*(E673=E$1:E672)))))</f>
        <v/>
      </c>
      <c r="L673" s="25"/>
    </row>
    <row r="674" spans="1:12" x14ac:dyDescent="0.2">
      <c r="A674" t="s">
        <v>885</v>
      </c>
      <c r="E674" s="20" t="str">
        <f t="shared" si="74"/>
        <v/>
      </c>
      <c r="F674" s="21" t="str">
        <f>IF(OR(E674="",E674="!!!"),"",IF(NOT(ISNA(VLOOKUP(E674,E$1:E673,1,FALSE()))),"OLD",IF(AND(E674&lt;&gt;"",E674&lt;&gt;"!!!"),"NEW","")))</f>
        <v/>
      </c>
      <c r="G674" s="22" t="str">
        <f>IF(OR(E674="",E674="!!!"),"",IF(OR(J674=0,AND(J674=1,K674=1),AND(J674=1,I674="SBJ"),AND(J674=1,I674=0)),"?IN_FOCUS",IF(J674&lt;=2,"?ACTIVATED",IF(J674&lt;&gt;"","?FAMILIAR",IF(F674="NEW",IF(ISNA(VLOOKUP(E674,#REF!,1,FALSE())),"?TYPE_IDENTIFIABLE","?REFERENTIAL"),"_")))))</f>
        <v/>
      </c>
      <c r="H674" s="23" t="str">
        <f t="shared" ca="1" si="75"/>
        <v/>
      </c>
      <c r="I674" s="24" t="str">
        <f>IF(OR(E674="",E674="!!!",F674="NEW"),"",INDEX(B$2:B673,-1+SUMPRODUCT(MAX(ROW(E$2:E673)*(E674=E$2:E673)))))</f>
        <v/>
      </c>
      <c r="J674" s="24" t="str">
        <f ca="1">IF(OR(E674="",E674="!!!",F674="NEW"),"",COUNTBLANK(OFFSET(A$1,,,SUMPRODUCT(MAX(ROW(E$2:E674)*(E674=E$2:E674)))))-COUNTBLANK(OFFSET(A$1,,,SUMPRODUCT(MAX(ROW(E$1:E673)*(E2=E$1:E673))))))</f>
        <v/>
      </c>
      <c r="K674" s="24" t="str">
        <f>IF(OR(E674="",E674="!!!",F674="NEW"),"",INDEX(J$1:J673,SUMPRODUCT(MAX(ROW(E$1:E673)*(E674=E$1:E673)))))</f>
        <v/>
      </c>
      <c r="L674" s="25"/>
    </row>
    <row r="675" spans="1:12" x14ac:dyDescent="0.2">
      <c r="A675" t="s">
        <v>1088</v>
      </c>
      <c r="B675" s="26" t="s">
        <v>813</v>
      </c>
      <c r="C675" s="26" t="s">
        <v>814</v>
      </c>
      <c r="E675" s="20" t="s">
        <v>1828</v>
      </c>
      <c r="F675" s="21" t="str">
        <f>IF(OR(E675="",E675="!!!"),"",IF(NOT(ISNA(VLOOKUP(E675,E$1:E674,1,FALSE()))),"OLD",IF(AND(E675&lt;&gt;"",E675&lt;&gt;"!!!"),"NEW","")))</f>
        <v>NEW</v>
      </c>
      <c r="G675" s="22" t="s">
        <v>1824</v>
      </c>
      <c r="H675" s="23" t="str">
        <f t="shared" ca="1" si="75"/>
        <v/>
      </c>
      <c r="I675" s="24" t="str">
        <f>IF(OR(E675="",E675="!!!",F675="NEW"),"",INDEX(B$2:B674,-1+SUMPRODUCT(MAX(ROW(E$2:E674)*(E675=E$2:E674)))))</f>
        <v/>
      </c>
      <c r="J675" s="24" t="str">
        <f ca="1">IF(OR(E675="",E675="!!!",F675="NEW"),"",COUNTBLANK(OFFSET(A$1,,,SUMPRODUCT(MAX(ROW(E$2:E675)*(E675=E$2:E675)))))-COUNTBLANK(OFFSET(A$1,,,SUMPRODUCT(MAX(ROW(E$1:E674)*(E2=E$1:E674))))))</f>
        <v/>
      </c>
      <c r="K675" s="24" t="str">
        <f>IF(OR(E675="",E675="!!!",F675="NEW"),"",INDEX(J$1:J674,SUMPRODUCT(MAX(ROW(E$1:E674)*(E675=E$1:E674)))))</f>
        <v/>
      </c>
      <c r="L675" s="25"/>
    </row>
    <row r="676" spans="1:12" x14ac:dyDescent="0.2">
      <c r="A676" t="s">
        <v>821</v>
      </c>
      <c r="E676" s="20" t="str">
        <f t="shared" si="74"/>
        <v/>
      </c>
      <c r="F676" s="21" t="str">
        <f>IF(OR(E676="",E676="!!!"),"",IF(NOT(ISNA(VLOOKUP(E676,E$1:E675,1,FALSE()))),"OLD",IF(AND(E676&lt;&gt;"",E676&lt;&gt;"!!!"),"NEW","")))</f>
        <v/>
      </c>
      <c r="G676" s="22" t="str">
        <f>IF(OR(E676="",E676="!!!"),"",IF(OR(J676=0,AND(J676=1,K676=1),AND(J676=1,I676="SBJ"),AND(J676=1,I676=0)),"?IN_FOCUS",IF(J676&lt;=2,"?ACTIVATED",IF(J676&lt;&gt;"","?FAMILIAR",IF(F676="NEW",IF(ISNA(VLOOKUP(E676,#REF!,1,FALSE())),"?TYPE_IDENTIFIABLE","?REFERENTIAL"),"_")))))</f>
        <v/>
      </c>
      <c r="H676" s="23" t="str">
        <f t="shared" ca="1" si="75"/>
        <v/>
      </c>
      <c r="I676" s="24" t="str">
        <f>IF(OR(E676="",E676="!!!",F676="NEW"),"",INDEX(B$2:B675,-1+SUMPRODUCT(MAX(ROW(E$2:E675)*(E676=E$2:E675)))))</f>
        <v/>
      </c>
      <c r="J676" s="24" t="str">
        <f ca="1">IF(OR(E676="",E676="!!!",F676="NEW"),"",COUNTBLANK(OFFSET(A$1,,,SUMPRODUCT(MAX(ROW(E$2:E676)*(E676=E$2:E676)))))-COUNTBLANK(OFFSET(A$1,,,SUMPRODUCT(MAX(ROW(E$1:E675)*(E2=E$1:E675))))))</f>
        <v/>
      </c>
      <c r="K676" s="24" t="str">
        <f>IF(OR(E676="",E676="!!!",F676="NEW"),"",INDEX(J$1:J675,SUMPRODUCT(MAX(ROW(E$1:E675)*(E676=E$1:E675)))))</f>
        <v/>
      </c>
      <c r="L676" s="25"/>
    </row>
    <row r="678" spans="1:12" x14ac:dyDescent="0.2">
      <c r="A678" t="s">
        <v>1089</v>
      </c>
    </row>
    <row r="679" spans="1:12" x14ac:dyDescent="0.2">
      <c r="A679" t="s">
        <v>1012</v>
      </c>
      <c r="E679" s="20" t="str">
        <f t="shared" ref="E679:E685" si="76">IF(D679="?OLD","!!!","")</f>
        <v/>
      </c>
      <c r="F679" s="21" t="str">
        <f>IF(OR(E679="",E679="!!!"),"",IF(NOT(ISNA(VLOOKUP(E679,E$1:E678,1,FALSE()))),"OLD",IF(AND(E679&lt;&gt;"",E679&lt;&gt;"!!!"),"NEW","")))</f>
        <v/>
      </c>
      <c r="G679" s="22" t="str">
        <f>IF(OR(E679="",E679="!!!"),"",IF(OR(J679=0,AND(J679=1,K679=1),AND(J679=1,I679="SBJ"),AND(J679=1,I679=0)),"?IN_FOCUS",IF(J679&lt;=2,"?ACTIVATED",IF(J679&lt;&gt;"","?FAMILIAR",IF(F679="NEW",IF(ISNA(VLOOKUP(E679,#REF!,1,FALSE())),"?TYPE_IDENTIFIABLE","?REFERENTIAL"),"_")))))</f>
        <v/>
      </c>
      <c r="H679" s="23" t="str">
        <f t="shared" ref="H679:H685" ca="1" si="77">IF(J679&lt;&gt;1,"",IF(I679="SBJ","CB","?"))</f>
        <v/>
      </c>
      <c r="I679" s="24" t="str">
        <f>IF(OR(E679="",E679="!!!",F679="NEW"),"",INDEX(B$2:B678,-1+SUMPRODUCT(MAX(ROW(E$2:E678)*(E679=E$2:E678)))))</f>
        <v/>
      </c>
      <c r="J679" s="24" t="str">
        <f ca="1">IF(OR(E679="",E679="!!!",F679="NEW"),"",COUNTBLANK(OFFSET(A$1,,,SUMPRODUCT(MAX(ROW(E$2:E679)*(E679=E$2:E679)))))-COUNTBLANK(OFFSET(A$1,,,SUMPRODUCT(MAX(ROW(E$1:E678)*(E2=E$1:E678))))))</f>
        <v/>
      </c>
      <c r="K679" s="24" t="str">
        <f>IF(OR(E679="",E679="!!!",F679="NEW"),"",INDEX(J$1:J678,SUMPRODUCT(MAX(ROW(E$1:E678)*(E679=E$1:E678)))))</f>
        <v/>
      </c>
      <c r="L679" s="25"/>
    </row>
    <row r="680" spans="1:12" x14ac:dyDescent="0.2">
      <c r="A680" t="s">
        <v>898</v>
      </c>
      <c r="B680" s="26" t="s">
        <v>810</v>
      </c>
      <c r="C680" s="26" t="s">
        <v>805</v>
      </c>
      <c r="D680" s="26" t="s">
        <v>806</v>
      </c>
      <c r="E680" s="20" t="s">
        <v>1775</v>
      </c>
      <c r="F680" s="21" t="s">
        <v>1753</v>
      </c>
      <c r="G680" s="22" t="s">
        <v>1823</v>
      </c>
      <c r="H680" s="23" t="str">
        <f t="shared" ca="1" si="77"/>
        <v/>
      </c>
      <c r="I680" s="24" t="str">
        <f>IF(OR(E680="",E680="!!!",F680="NEW"),"",INDEX(B$2:B679,-1+SUMPRODUCT(MAX(ROW(E$2:E679)*(E680=E$2:E679)))))</f>
        <v>OBJ_2</v>
      </c>
      <c r="J680" s="24">
        <f ca="1">IF(OR(E680="",E680="!!!",F680="NEW"),"",COUNTBLANK(OFFSET(A$1,,,SUMPRODUCT(MAX(ROW(E$2:E680)*(E680=E$2:E680)))))-COUNTBLANK(OFFSET(A$1,,,SUMPRODUCT(MAX(ROW(E$1:E679)*(E2=E$1:E679))))))</f>
        <v>0</v>
      </c>
      <c r="K680" s="24">
        <f ca="1">IF(OR(E680="",E680="!!!",F680="NEW"),"",INDEX(J$1:J679,SUMPRODUCT(MAX(ROW(E$1:E679)*(E680=E$1:E679)))))</f>
        <v>0</v>
      </c>
      <c r="L680" s="25"/>
    </row>
    <row r="681" spans="1:12" x14ac:dyDescent="0.2">
      <c r="A681" t="s">
        <v>51</v>
      </c>
      <c r="E681" s="20" t="str">
        <f t="shared" si="76"/>
        <v/>
      </c>
      <c r="F681" s="21" t="str">
        <f>IF(OR(E681="",E681="!!!"),"",IF(NOT(ISNA(VLOOKUP(E681,E$1:E680,1,FALSE()))),"OLD",IF(AND(E681&lt;&gt;"",E681&lt;&gt;"!!!"),"NEW","")))</f>
        <v/>
      </c>
      <c r="G681" s="22" t="str">
        <f>IF(OR(E681="",E681="!!!"),"",IF(OR(J681=0,AND(J681=1,K681=1),AND(J681=1,I681="SBJ"),AND(J681=1,I681=0)),"?IN_FOCUS",IF(J681&lt;=2,"?ACTIVATED",IF(J681&lt;&gt;"","?FAMILIAR",IF(F681="NEW",IF(ISNA(VLOOKUP(E681,#REF!,1,FALSE())),"?TYPE_IDENTIFIABLE","?REFERENTIAL"),"_")))))</f>
        <v/>
      </c>
      <c r="H681" s="23" t="str">
        <f t="shared" ca="1" si="77"/>
        <v/>
      </c>
      <c r="I681" s="24" t="str">
        <f>IF(OR(E681="",E681="!!!",F681="NEW"),"",INDEX(B$2:B680,-1+SUMPRODUCT(MAX(ROW(E$2:E680)*(E681=E$2:E680)))))</f>
        <v/>
      </c>
      <c r="J681" s="24" t="str">
        <f ca="1">IF(OR(E681="",E681="!!!",F681="NEW"),"",COUNTBLANK(OFFSET(A$1,,,SUMPRODUCT(MAX(ROW(E$2:E681)*(E681=E$2:E681)))))-COUNTBLANK(OFFSET(A$1,,,SUMPRODUCT(MAX(ROW(E$1:E680)*(E2=E$1:E680))))))</f>
        <v/>
      </c>
      <c r="K681" s="24" t="str">
        <f>IF(OR(E681="",E681="!!!",F681="NEW"),"",INDEX(J$1:J680,SUMPRODUCT(MAX(ROW(E$1:E680)*(E681=E$1:E680)))))</f>
        <v/>
      </c>
      <c r="L681" s="25"/>
    </row>
    <row r="682" spans="1:12" x14ac:dyDescent="0.2">
      <c r="A682" t="s">
        <v>1013</v>
      </c>
      <c r="B682" s="26" t="s">
        <v>938</v>
      </c>
      <c r="C682" s="26" t="s">
        <v>805</v>
      </c>
      <c r="D682" s="26" t="s">
        <v>806</v>
      </c>
      <c r="E682" s="20" t="s">
        <v>1767</v>
      </c>
      <c r="F682" s="21" t="s">
        <v>1819</v>
      </c>
      <c r="G682" s="22" t="s">
        <v>1822</v>
      </c>
      <c r="H682" s="23" t="str">
        <f t="shared" ca="1" si="77"/>
        <v/>
      </c>
      <c r="I682" s="24" t="e">
        <f>IF(OR(E682="",E682="!!!",F682="NEW"),"",INDEX(B$2:B681,-1+SUMPRODUCT(MAX(ROW(E$2:E681)*(E682=E$2:E681)))))</f>
        <v>#VALUE!</v>
      </c>
      <c r="J682" s="24">
        <f ca="1">IF(OR(E682="",E682="!!!",F682="NEW"),"",COUNTBLANK(OFFSET(A$1,,,SUMPRODUCT(MAX(ROW(E$2:E682)*(E682=E$2:E682)))))-COUNTBLANK(OFFSET(A$1,,,SUMPRODUCT(MAX(ROW(E$1:E681)*(E2=E$1:E681))))))</f>
        <v>0</v>
      </c>
      <c r="K682" s="24" t="e">
        <f>IF(OR(E682="",E682="!!!",F682="NEW"),"",INDEX(J$1:J681,SUMPRODUCT(MAX(ROW(E$1:E681)*(E682=E$1:E681)))))</f>
        <v>#VALUE!</v>
      </c>
      <c r="L682" s="25"/>
    </row>
    <row r="683" spans="1:12" x14ac:dyDescent="0.2">
      <c r="A683" t="s">
        <v>191</v>
      </c>
      <c r="B683" s="26" t="s">
        <v>938</v>
      </c>
      <c r="C683" s="26" t="s">
        <v>854</v>
      </c>
      <c r="D683" s="26" t="s">
        <v>806</v>
      </c>
      <c r="E683" s="20" t="s">
        <v>1767</v>
      </c>
      <c r="F683" s="21" t="str">
        <f>IF(OR(E683="",E683="!!!"),"",IF(NOT(ISNA(VLOOKUP(E683,E$1:E682,1,FALSE()))),"OLD",IF(AND(E683&lt;&gt;"",E683&lt;&gt;"!!!"),"NEW","")))</f>
        <v>OLD</v>
      </c>
      <c r="G683" s="22" t="s">
        <v>1823</v>
      </c>
      <c r="H683" s="23" t="str">
        <f t="shared" ca="1" si="77"/>
        <v/>
      </c>
      <c r="I683" s="24" t="str">
        <f>IF(OR(E683="",E683="!!!",F683="NEW"),"",INDEX(B$2:B682,-1+SUMPRODUCT(MAX(ROW(E$2:E682)*(E683=E$2:E682)))))</f>
        <v>OBJ_2</v>
      </c>
      <c r="J683" s="24">
        <f ca="1">IF(OR(E683="",E683="!!!",F683="NEW"),"",COUNTBLANK(OFFSET(A$1,,,SUMPRODUCT(MAX(ROW(E$2:E683)*(E683=E$2:E683)))))-COUNTBLANK(OFFSET(A$1,,,SUMPRODUCT(MAX(ROW(E$1:E682)*(E2=E$1:E682))))))</f>
        <v>0</v>
      </c>
      <c r="K683" s="24">
        <f ca="1">IF(OR(E683="",E683="!!!",F683="NEW"),"",INDEX(J$1:J682,SUMPRODUCT(MAX(ROW(E$1:E682)*(E683=E$1:E682)))))</f>
        <v>0</v>
      </c>
      <c r="L683" s="25"/>
    </row>
    <row r="684" spans="1:12" x14ac:dyDescent="0.2">
      <c r="A684" t="s">
        <v>1090</v>
      </c>
      <c r="E684" s="20" t="str">
        <f t="shared" si="76"/>
        <v/>
      </c>
      <c r="F684" s="21" t="str">
        <f>IF(OR(E684="",E684="!!!"),"",IF(NOT(ISNA(VLOOKUP(E684,E$1:E683,1,FALSE()))),"OLD",IF(AND(E684&lt;&gt;"",E684&lt;&gt;"!!!"),"NEW","")))</f>
        <v/>
      </c>
      <c r="G684" s="22" t="str">
        <f>IF(OR(E684="",E684="!!!"),"",IF(OR(J684=0,AND(J684=1,K684=1),AND(J684=1,I684="SBJ"),AND(J684=1,I684=0)),"?IN_FOCUS",IF(J684&lt;=2,"?ACTIVATED",IF(J684&lt;&gt;"","?FAMILIAR",IF(F684="NEW",IF(ISNA(VLOOKUP(E684,#REF!,1,FALSE())),"?TYPE_IDENTIFIABLE","?REFERENTIAL"),"_")))))</f>
        <v/>
      </c>
      <c r="H684" s="23" t="str">
        <f t="shared" ca="1" si="77"/>
        <v/>
      </c>
      <c r="I684" s="24" t="str">
        <f>IF(OR(E684="",E684="!!!",F684="NEW"),"",INDEX(B$2:B683,-1+SUMPRODUCT(MAX(ROW(E$2:E683)*(E684=E$2:E683)))))</f>
        <v/>
      </c>
      <c r="J684" s="24" t="str">
        <f ca="1">IF(OR(E684="",E684="!!!",F684="NEW"),"",COUNTBLANK(OFFSET(A$1,,,SUMPRODUCT(MAX(ROW(E$2:E684)*(E684=E$2:E684)))))-COUNTBLANK(OFFSET(A$1,,,SUMPRODUCT(MAX(ROW(E$1:E683)*(E2=E$1:E683))))))</f>
        <v/>
      </c>
      <c r="K684" s="24" t="str">
        <f>IF(OR(E684="",E684="!!!",F684="NEW"),"",INDEX(J$1:J683,SUMPRODUCT(MAX(ROW(E$1:E683)*(E684=E$1:E683)))))</f>
        <v/>
      </c>
      <c r="L684" s="25"/>
    </row>
    <row r="685" spans="1:12" x14ac:dyDescent="0.2">
      <c r="A685" t="s">
        <v>821</v>
      </c>
      <c r="E685" s="20" t="str">
        <f t="shared" si="76"/>
        <v/>
      </c>
      <c r="F685" s="21" t="str">
        <f>IF(OR(E685="",E685="!!!"),"",IF(NOT(ISNA(VLOOKUP(E685,E$1:E684,1,FALSE()))),"OLD",IF(AND(E685&lt;&gt;"",E685&lt;&gt;"!!!"),"NEW","")))</f>
        <v/>
      </c>
      <c r="G685" s="22" t="str">
        <f>IF(OR(E685="",E685="!!!"),"",IF(OR(J685=0,AND(J685=1,K685=1),AND(J685=1,I685="SBJ"),AND(J685=1,I685=0)),"?IN_FOCUS",IF(J685&lt;=2,"?ACTIVATED",IF(J685&lt;&gt;"","?FAMILIAR",IF(F685="NEW",IF(ISNA(VLOOKUP(E685,#REF!,1,FALSE())),"?TYPE_IDENTIFIABLE","?REFERENTIAL"),"_")))))</f>
        <v/>
      </c>
      <c r="H685" s="23" t="str">
        <f t="shared" ca="1" si="77"/>
        <v/>
      </c>
      <c r="I685" s="24" t="str">
        <f>IF(OR(E685="",E685="!!!",F685="NEW"),"",INDEX(B$2:B684,-1+SUMPRODUCT(MAX(ROW(E$2:E684)*(E685=E$2:E684)))))</f>
        <v/>
      </c>
      <c r="J685" s="24" t="str">
        <f ca="1">IF(OR(E685="",E685="!!!",F685="NEW"),"",COUNTBLANK(OFFSET(A$1,,,SUMPRODUCT(MAX(ROW(E$2:E685)*(E685=E$2:E685)))))-COUNTBLANK(OFFSET(A$1,,,SUMPRODUCT(MAX(ROW(E$1:E684)*(E2=E$1:E684))))))</f>
        <v/>
      </c>
      <c r="K685" s="24" t="str">
        <f>IF(OR(E685="",E685="!!!",F685="NEW"),"",INDEX(J$1:J684,SUMPRODUCT(MAX(ROW(E$1:E684)*(E685=E$1:E684)))))</f>
        <v/>
      </c>
      <c r="L685" s="25"/>
    </row>
    <row r="687" spans="1:12" x14ac:dyDescent="0.2">
      <c r="A687" t="s">
        <v>900</v>
      </c>
      <c r="E687" s="20" t="str">
        <f>IF(D687="?OLD","!!!","")</f>
        <v/>
      </c>
      <c r="F687" s="21" t="str">
        <f>IF(OR(E687="",E687="!!!"),"",IF(NOT(ISNA(VLOOKUP(E687,E$1:E686,1,FALSE()))),"OLD",IF(AND(E687&lt;&gt;"",E687&lt;&gt;"!!!"),"NEW","")))</f>
        <v/>
      </c>
      <c r="G687" s="22" t="str">
        <f>IF(OR(E687="",E687="!!!"),"",IF(OR(J687=0,AND(J687=1,K687=1),AND(J687=1,I687="SBJ"),AND(J687=1,I687=0)),"?IN_FOCUS",IF(J687&lt;=2,"?ACTIVATED",IF(J687&lt;&gt;"","?FAMILIAR",IF(F687="NEW",IF(ISNA(VLOOKUP(E687,#REF!,1,FALSE())),"?TYPE_IDENTIFIABLE","?REFERENTIAL"),"_")))))</f>
        <v/>
      </c>
      <c r="H687" s="23" t="str">
        <f ca="1">IF(J687&lt;&gt;1,"",IF(I687="SBJ","CB","?"))</f>
        <v/>
      </c>
      <c r="I687" s="24" t="str">
        <f>IF(OR(E687="",E687="!!!",F687="NEW"),"",INDEX(B$2:B686,-1+SUMPRODUCT(MAX(ROW(E$2:E686)*(E687=E$2:E686)))))</f>
        <v/>
      </c>
      <c r="J687" s="24" t="str">
        <f ca="1">IF(OR(E687="",E687="!!!",F687="NEW"),"",COUNTBLANK(OFFSET(A$1,,,SUMPRODUCT(MAX(ROW(E$2:E687)*(E687=E$2:E687)))))-COUNTBLANK(OFFSET(A$1,,,SUMPRODUCT(MAX(ROW(E$1:E686)*(E2=E$1:E686))))))</f>
        <v/>
      </c>
      <c r="K687" s="24" t="str">
        <f>IF(OR(E687="",E687="!!!",F687="NEW"),"",INDEX(J$1:J686,SUMPRODUCT(MAX(ROW(E$1:E686)*(E687=E$1:E686)))))</f>
        <v/>
      </c>
      <c r="L687" s="25"/>
    </row>
    <row r="688" spans="1:12" x14ac:dyDescent="0.2">
      <c r="A688" t="s">
        <v>1091</v>
      </c>
    </row>
    <row r="689" spans="1:12" x14ac:dyDescent="0.2">
      <c r="A689" t="s">
        <v>902</v>
      </c>
      <c r="E689" s="20" t="str">
        <f t="shared" ref="E689:E705" si="78">IF(D689="?OLD","!!!","")</f>
        <v/>
      </c>
      <c r="F689" s="21" t="str">
        <f>IF(OR(E689="",E689="!!!"),"",IF(NOT(ISNA(VLOOKUP(E689,E$1:E688,1,FALSE()))),"OLD",IF(AND(E689&lt;&gt;"",E689&lt;&gt;"!!!"),"NEW","")))</f>
        <v/>
      </c>
      <c r="G689" s="22" t="str">
        <f>IF(OR(E689="",E689="!!!"),"",IF(OR(J689=0,AND(J689=1,K689=1),AND(J689=1,I689="SBJ"),AND(J689=1,I689=0)),"?IN_FOCUS",IF(J689&lt;=2,"?ACTIVATED",IF(J689&lt;&gt;"","?FAMILIAR",IF(F689="NEW",IF(ISNA(VLOOKUP(E689,#REF!,1,FALSE())),"?TYPE_IDENTIFIABLE","?REFERENTIAL"),"_")))))</f>
        <v/>
      </c>
      <c r="H689" s="23" t="str">
        <f t="shared" ref="H689:H705" ca="1" si="79">IF(J689&lt;&gt;1,"",IF(I689="SBJ","CB","?"))</f>
        <v/>
      </c>
      <c r="I689" s="24" t="str">
        <f>IF(OR(E689="",E689="!!!",F689="NEW"),"",INDEX(B$2:B688,-1+SUMPRODUCT(MAX(ROW(E$2:E688)*(E689=E$2:E688)))))</f>
        <v/>
      </c>
      <c r="J689" s="24" t="str">
        <f ca="1">IF(OR(E689="",E689="!!!",F689="NEW"),"",COUNTBLANK(OFFSET(A$1,,,SUMPRODUCT(MAX(ROW(E$2:E689)*(E689=E$2:E689)))))-COUNTBLANK(OFFSET(A$1,,,SUMPRODUCT(MAX(ROW(E$1:E688)*(E2=E$1:E688))))))</f>
        <v/>
      </c>
      <c r="K689" s="24" t="str">
        <f>IF(OR(E689="",E689="!!!",F689="NEW"),"",INDEX(J$1:J688,SUMPRODUCT(MAX(ROW(E$1:E688)*(E689=E$1:E688)))))</f>
        <v/>
      </c>
      <c r="L689" s="25"/>
    </row>
    <row r="690" spans="1:12" x14ac:dyDescent="0.2">
      <c r="A690" t="s">
        <v>191</v>
      </c>
      <c r="B690" s="26" t="s">
        <v>819</v>
      </c>
      <c r="C690" s="26" t="s">
        <v>854</v>
      </c>
      <c r="D690" s="26" t="s">
        <v>806</v>
      </c>
      <c r="E690" s="20"/>
      <c r="F690" s="21"/>
      <c r="G690" s="22"/>
      <c r="H690" s="23" t="str">
        <f t="shared" ca="1" si="79"/>
        <v/>
      </c>
      <c r="I690" s="24" t="str">
        <f>IF(OR(E690="",E690="!!!",F690="NEW"),"",INDEX(B$2:B689,-1+SUMPRODUCT(MAX(ROW(E$2:E689)*(E690=E$2:E689)))))</f>
        <v/>
      </c>
      <c r="J690" s="24" t="str">
        <f ca="1">IF(OR(E690="",E690="!!!",F690="NEW"),"",COUNTBLANK(OFFSET(A$1,,,SUMPRODUCT(MAX(ROW(E$2:E690)*(E690=E$2:E690)))))-COUNTBLANK(OFFSET(A$1,,,SUMPRODUCT(MAX(ROW(E$1:E689)*(E2=E$1:E689))))))</f>
        <v/>
      </c>
      <c r="K690" s="24" t="str">
        <f>IF(OR(E690="",E690="!!!",F690="NEW"),"",INDEX(J$1:J689,SUMPRODUCT(MAX(ROW(E$1:E689)*(E690=E$1:E689)))))</f>
        <v/>
      </c>
      <c r="L690" s="25"/>
    </row>
    <row r="691" spans="1:12" x14ac:dyDescent="0.2">
      <c r="A691" t="s">
        <v>802</v>
      </c>
      <c r="E691" s="20" t="str">
        <f t="shared" si="78"/>
        <v/>
      </c>
      <c r="F691" s="21" t="str">
        <f>IF(OR(E691="",E691="!!!"),"",IF(NOT(ISNA(VLOOKUP(E691,E$1:E690,1,FALSE()))),"OLD",IF(AND(E691&lt;&gt;"",E691&lt;&gt;"!!!"),"NEW","")))</f>
        <v/>
      </c>
      <c r="G691" s="22" t="str">
        <f>IF(OR(E691="",E691="!!!"),"",IF(OR(J691=0,AND(J691=1,K691=1),AND(J691=1,I691="SBJ"),AND(J691=1,I691=0)),"?IN_FOCUS",IF(J691&lt;=2,"?ACTIVATED",IF(J691&lt;&gt;"","?FAMILIAR",IF(F691="NEW",IF(ISNA(VLOOKUP(E691,#REF!,1,FALSE())),"?TYPE_IDENTIFIABLE","?REFERENTIAL"),"_")))))</f>
        <v/>
      </c>
      <c r="H691" s="23" t="str">
        <f t="shared" ca="1" si="79"/>
        <v/>
      </c>
      <c r="I691" s="24" t="str">
        <f>IF(OR(E691="",E691="!!!",F691="NEW"),"",INDEX(B$2:B690,-1+SUMPRODUCT(MAX(ROW(E$2:E690)*(E691=E$2:E690)))))</f>
        <v/>
      </c>
      <c r="J691" s="24" t="str">
        <f ca="1">IF(OR(E691="",E691="!!!",F691="NEW"),"",COUNTBLANK(OFFSET(A$1,,,SUMPRODUCT(MAX(ROW(E$2:E691)*(E691=E$2:E691)))))-COUNTBLANK(OFFSET(A$1,,,SUMPRODUCT(MAX(ROW(E$1:E690)*(E2=E$1:E690))))))</f>
        <v/>
      </c>
      <c r="K691" s="24" t="str">
        <f>IF(OR(E691="",E691="!!!",F691="NEW"),"",INDEX(J$1:J690,SUMPRODUCT(MAX(ROW(E$1:E690)*(E691=E$1:E690)))))</f>
        <v/>
      </c>
      <c r="L691" s="25"/>
    </row>
    <row r="692" spans="1:12" x14ac:dyDescent="0.2">
      <c r="A692" t="s">
        <v>902</v>
      </c>
      <c r="E692" s="20" t="str">
        <f t="shared" si="78"/>
        <v/>
      </c>
      <c r="F692" s="21" t="str">
        <f>IF(OR(E692="",E692="!!!"),"",IF(NOT(ISNA(VLOOKUP(E692,E$1:E691,1,FALSE()))),"OLD",IF(AND(E692&lt;&gt;"",E692&lt;&gt;"!!!"),"NEW","")))</f>
        <v/>
      </c>
      <c r="G692" s="22" t="str">
        <f>IF(OR(E692="",E692="!!!"),"",IF(OR(J692=0,AND(J692=1,K692=1),AND(J692=1,I692="SBJ"),AND(J692=1,I692=0)),"?IN_FOCUS",IF(J692&lt;=2,"?ACTIVATED",IF(J692&lt;&gt;"","?FAMILIAR",IF(F692="NEW",IF(ISNA(VLOOKUP(E692,#REF!,1,FALSE())),"?TYPE_IDENTIFIABLE","?REFERENTIAL"),"_")))))</f>
        <v/>
      </c>
      <c r="H692" s="23" t="str">
        <f t="shared" ca="1" si="79"/>
        <v/>
      </c>
      <c r="I692" s="24" t="str">
        <f>IF(OR(E692="",E692="!!!",F692="NEW"),"",INDEX(B$2:B691,-1+SUMPRODUCT(MAX(ROW(E$2:E691)*(E692=E$2:E691)))))</f>
        <v/>
      </c>
      <c r="J692" s="24" t="str">
        <f ca="1">IF(OR(E692="",E692="!!!",F692="NEW"),"",COUNTBLANK(OFFSET(A$1,,,SUMPRODUCT(MAX(ROW(E$2:E692)*(E692=E$2:E692)))))-COUNTBLANK(OFFSET(A$1,,,SUMPRODUCT(MAX(ROW(E$1:E691)*(E2=E$1:E691))))))</f>
        <v/>
      </c>
      <c r="K692" s="24" t="str">
        <f>IF(OR(E692="",E692="!!!",F692="NEW"),"",INDEX(J$1:J691,SUMPRODUCT(MAX(ROW(E$1:E691)*(E692=E$1:E691)))))</f>
        <v/>
      </c>
      <c r="L692" s="25"/>
    </row>
    <row r="693" spans="1:12" x14ac:dyDescent="0.2">
      <c r="A693" t="s">
        <v>803</v>
      </c>
      <c r="B693" s="26" t="s">
        <v>950</v>
      </c>
      <c r="C693" s="26" t="s">
        <v>805</v>
      </c>
      <c r="D693" s="26" t="s">
        <v>806</v>
      </c>
      <c r="E693" s="20" t="s">
        <v>1747</v>
      </c>
      <c r="F693" s="21" t="s">
        <v>1753</v>
      </c>
      <c r="G693" s="22" t="s">
        <v>1823</v>
      </c>
      <c r="H693" s="23" t="str">
        <f t="shared" ca="1" si="79"/>
        <v/>
      </c>
      <c r="I693" s="24" t="str">
        <f>IF(OR(E693="",E693="!!!",F693="NEW"),"",INDEX(B$2:B692,-1+SUMPRODUCT(MAX(ROW(E$2:E692)*(E693=E$2:E692)))))</f>
        <v>SBJ_2</v>
      </c>
      <c r="J693" s="24">
        <f ca="1">IF(OR(E693="",E693="!!!",F693="NEW"),"",COUNTBLANK(OFFSET(A$1,,,SUMPRODUCT(MAX(ROW(E$2:E693)*(E693=E$2:E693)))))-COUNTBLANK(OFFSET(A$1,,,SUMPRODUCT(MAX(ROW(E$1:E692)*(E2=E$1:E692))))))</f>
        <v>0</v>
      </c>
      <c r="K693" s="24">
        <f ca="1">IF(OR(E693="",E693="!!!",F693="NEW"),"",INDEX(J$1:J692,SUMPRODUCT(MAX(ROW(E$1:E692)*(E693=E$1:E692)))))</f>
        <v>0</v>
      </c>
      <c r="L693" s="25"/>
    </row>
    <row r="694" spans="1:12" x14ac:dyDescent="0.2">
      <c r="A694" t="s">
        <v>904</v>
      </c>
      <c r="E694" s="20" t="str">
        <f t="shared" si="78"/>
        <v/>
      </c>
      <c r="F694" s="21" t="str">
        <f>IF(OR(E694="",E694="!!!"),"",IF(NOT(ISNA(VLOOKUP(E694,E$1:E693,1,FALSE()))),"OLD",IF(AND(E694&lt;&gt;"",E694&lt;&gt;"!!!"),"NEW","")))</f>
        <v/>
      </c>
      <c r="G694" s="22" t="str">
        <f>IF(OR(E694="",E694="!!!"),"",IF(OR(J694=0,AND(J694=1,K694=1),AND(J694=1,I694="SBJ"),AND(J694=1,I694=0)),"?IN_FOCUS",IF(J694&lt;=2,"?ACTIVATED",IF(J694&lt;&gt;"","?FAMILIAR",IF(F694="NEW",IF(ISNA(VLOOKUP(E694,#REF!,1,FALSE())),"?TYPE_IDENTIFIABLE","?REFERENTIAL"),"_")))))</f>
        <v/>
      </c>
      <c r="H694" s="23" t="str">
        <f t="shared" ca="1" si="79"/>
        <v/>
      </c>
      <c r="I694" s="24" t="str">
        <f>IF(OR(E694="",E694="!!!",F694="NEW"),"",INDEX(B$2:B693,-1+SUMPRODUCT(MAX(ROW(E$2:E693)*(E694=E$2:E693)))))</f>
        <v/>
      </c>
      <c r="J694" s="24" t="str">
        <f ca="1">IF(OR(E694="",E694="!!!",F694="NEW"),"",COUNTBLANK(OFFSET(A$1,,,SUMPRODUCT(MAX(ROW(E$2:E694)*(E694=E$2:E694)))))-COUNTBLANK(OFFSET(A$1,,,SUMPRODUCT(MAX(ROW(E$1:E693)*(E2=E$1:E693))))))</f>
        <v/>
      </c>
      <c r="K694" s="24" t="str">
        <f>IF(OR(E694="",E694="!!!",F694="NEW"),"",INDEX(J$1:J693,SUMPRODUCT(MAX(ROW(E$1:E693)*(E694=E$1:E693)))))</f>
        <v/>
      </c>
      <c r="L694" s="25"/>
    </row>
    <row r="695" spans="1:12" x14ac:dyDescent="0.2">
      <c r="A695" t="s">
        <v>802</v>
      </c>
      <c r="E695" s="20" t="str">
        <f t="shared" si="78"/>
        <v/>
      </c>
      <c r="F695" s="21" t="str">
        <f>IF(OR(E695="",E695="!!!"),"",IF(NOT(ISNA(VLOOKUP(E695,E$1:E694,1,FALSE()))),"OLD",IF(AND(E695&lt;&gt;"",E695&lt;&gt;"!!!"),"NEW","")))</f>
        <v/>
      </c>
      <c r="G695" s="22" t="str">
        <f>IF(OR(E695="",E695="!!!"),"",IF(OR(J695=0,AND(J695=1,K695=1),AND(J695=1,I695="SBJ"),AND(J695=1,I695=0)),"?IN_FOCUS",IF(J695&lt;=2,"?ACTIVATED",IF(J695&lt;&gt;"","?FAMILIAR",IF(F695="NEW",IF(ISNA(VLOOKUP(E695,#REF!,1,FALSE())),"?TYPE_IDENTIFIABLE","?REFERENTIAL"),"_")))))</f>
        <v/>
      </c>
      <c r="H695" s="23" t="str">
        <f t="shared" ca="1" si="79"/>
        <v/>
      </c>
      <c r="I695" s="24" t="str">
        <f>IF(OR(E695="",E695="!!!",F695="NEW"),"",INDEX(B$2:B694,-1+SUMPRODUCT(MAX(ROW(E$2:E694)*(E695=E$2:E694)))))</f>
        <v/>
      </c>
      <c r="J695" s="24" t="str">
        <f ca="1">IF(OR(E695="",E695="!!!",F695="NEW"),"",COUNTBLANK(OFFSET(A$1,,,SUMPRODUCT(MAX(ROW(E$2:E695)*(E695=E$2:E695)))))-COUNTBLANK(OFFSET(A$1,,,SUMPRODUCT(MAX(ROW(E$1:E694)*(E2=E$1:E694))))))</f>
        <v/>
      </c>
      <c r="K695" s="24" t="str">
        <f>IF(OR(E695="",E695="!!!",F695="NEW"),"",INDEX(J$1:J694,SUMPRODUCT(MAX(ROW(E$1:E694)*(E695=E$1:E694)))))</f>
        <v/>
      </c>
      <c r="L695" s="25"/>
    </row>
    <row r="696" spans="1:12" x14ac:dyDescent="0.2">
      <c r="A696" t="s">
        <v>902</v>
      </c>
      <c r="E696" s="20" t="str">
        <f t="shared" si="78"/>
        <v/>
      </c>
      <c r="F696" s="21" t="str">
        <f>IF(OR(E696="",E696="!!!"),"",IF(NOT(ISNA(VLOOKUP(E696,E$1:E695,1,FALSE()))),"OLD",IF(AND(E696&lt;&gt;"",E696&lt;&gt;"!!!"),"NEW","")))</f>
        <v/>
      </c>
      <c r="G696" s="22" t="str">
        <f>IF(OR(E696="",E696="!!!"),"",IF(OR(J696=0,AND(J696=1,K696=1),AND(J696=1,I696="SBJ"),AND(J696=1,I696=0)),"?IN_FOCUS",IF(J696&lt;=2,"?ACTIVATED",IF(J696&lt;&gt;"","?FAMILIAR",IF(F696="NEW",IF(ISNA(VLOOKUP(E696,#REF!,1,FALSE())),"?TYPE_IDENTIFIABLE","?REFERENTIAL"),"_")))))</f>
        <v/>
      </c>
      <c r="H696" s="23" t="str">
        <f t="shared" ca="1" si="79"/>
        <v/>
      </c>
      <c r="I696" s="24" t="str">
        <f>IF(OR(E696="",E696="!!!",F696="NEW"),"",INDEX(B$2:B695,-1+SUMPRODUCT(MAX(ROW(E$2:E695)*(E696=E$2:E695)))))</f>
        <v/>
      </c>
      <c r="J696" s="24" t="str">
        <f ca="1">IF(OR(E696="",E696="!!!",F696="NEW"),"",COUNTBLANK(OFFSET(A$1,,,SUMPRODUCT(MAX(ROW(E$2:E696)*(E696=E$2:E696)))))-COUNTBLANK(OFFSET(A$1,,,SUMPRODUCT(MAX(ROW(E$1:E695)*(E2=E$1:E695))))))</f>
        <v/>
      </c>
      <c r="K696" s="24" t="str">
        <f>IF(OR(E696="",E696="!!!",F696="NEW"),"",INDEX(J$1:J695,SUMPRODUCT(MAX(ROW(E$1:E695)*(E696=E$1:E695)))))</f>
        <v/>
      </c>
      <c r="L696" s="25"/>
    </row>
    <row r="697" spans="1:12" x14ac:dyDescent="0.2">
      <c r="A697" t="s">
        <v>148</v>
      </c>
      <c r="B697" s="26" t="s">
        <v>813</v>
      </c>
      <c r="C697" s="26" t="s">
        <v>850</v>
      </c>
      <c r="E697" s="20" t="str">
        <f t="shared" si="78"/>
        <v/>
      </c>
      <c r="F697" s="21" t="str">
        <f>IF(OR(E697="",E697="!!!"),"",IF(NOT(ISNA(VLOOKUP(E697,E$1:E696,1,FALSE()))),"OLD",IF(AND(E697&lt;&gt;"",E697&lt;&gt;"!!!"),"NEW","")))</f>
        <v/>
      </c>
      <c r="G697" s="22" t="str">
        <f>IF(OR(E697="",E697="!!!"),"",IF(OR(J697=0,AND(J697=1,K697=1),AND(J697=1,I697="SBJ"),AND(J697=1,I697=0)),"?IN_FOCUS",IF(J697&lt;=2,"?ACTIVATED",IF(J697&lt;&gt;"","?FAMILIAR",IF(F697="NEW",IF(ISNA(VLOOKUP(E697,#REF!,1,FALSE())),"?TYPE_IDENTIFIABLE","?REFERENTIAL"),"_")))))</f>
        <v/>
      </c>
      <c r="H697" s="23" t="str">
        <f t="shared" ca="1" si="79"/>
        <v/>
      </c>
      <c r="I697" s="24" t="str">
        <f>IF(OR(E697="",E697="!!!",F697="NEW"),"",INDEX(B$2:B696,-1+SUMPRODUCT(MAX(ROW(E$2:E696)*(E697=E$2:E696)))))</f>
        <v/>
      </c>
      <c r="J697" s="24" t="str">
        <f ca="1">IF(OR(E697="",E697="!!!",F697="NEW"),"",COUNTBLANK(OFFSET(A$1,,,SUMPRODUCT(MAX(ROW(E$2:E697)*(E697=E$2:E697)))))-COUNTBLANK(OFFSET(A$1,,,SUMPRODUCT(MAX(ROW(E$1:E696)*(E2=E$1:E696))))))</f>
        <v/>
      </c>
      <c r="K697" s="24" t="str">
        <f>IF(OR(E697="",E697="!!!",F697="NEW"),"",INDEX(J$1:J696,SUMPRODUCT(MAX(ROW(E$1:E696)*(E697=E$1:E696)))))</f>
        <v/>
      </c>
      <c r="L697" s="25"/>
    </row>
    <row r="698" spans="1:12" x14ac:dyDescent="0.2">
      <c r="A698" t="s">
        <v>1018</v>
      </c>
      <c r="E698" s="20" t="str">
        <f t="shared" si="78"/>
        <v/>
      </c>
      <c r="F698" s="21" t="str">
        <f>IF(OR(E698="",E698="!!!"),"",IF(NOT(ISNA(VLOOKUP(E698,E$1:E697,1,FALSE()))),"OLD",IF(AND(E698&lt;&gt;"",E698&lt;&gt;"!!!"),"NEW","")))</f>
        <v/>
      </c>
      <c r="G698" s="22" t="str">
        <f>IF(OR(E698="",E698="!!!"),"",IF(OR(J698=0,AND(J698=1,K698=1),AND(J698=1,I698="SBJ"),AND(J698=1,I698=0)),"?IN_FOCUS",IF(J698&lt;=2,"?ACTIVATED",IF(J698&lt;&gt;"","?FAMILIAR",IF(F698="NEW",IF(ISNA(VLOOKUP(E698,#REF!,1,FALSE())),"?TYPE_IDENTIFIABLE","?REFERENTIAL"),"_")))))</f>
        <v/>
      </c>
      <c r="H698" s="23" t="str">
        <f t="shared" ca="1" si="79"/>
        <v/>
      </c>
      <c r="I698" s="24" t="str">
        <f>IF(OR(E698="",E698="!!!",F698="NEW"),"",INDEX(B$2:B697,-1+SUMPRODUCT(MAX(ROW(E$2:E697)*(E698=E$2:E697)))))</f>
        <v/>
      </c>
      <c r="J698" s="24" t="str">
        <f ca="1">IF(OR(E698="",E698="!!!",F698="NEW"),"",COUNTBLANK(OFFSET(A$1,,,SUMPRODUCT(MAX(ROW(E$2:E698)*(E698=E$2:E698)))))-COUNTBLANK(OFFSET(A$1,,,SUMPRODUCT(MAX(ROW(E$1:E697)*(E2=E$1:E697))))))</f>
        <v/>
      </c>
      <c r="K698" s="24" t="str">
        <f>IF(OR(E698="",E698="!!!",F698="NEW"),"",INDEX(J$1:J697,SUMPRODUCT(MAX(ROW(E$1:E697)*(E698=E$1:E697)))))</f>
        <v/>
      </c>
      <c r="L698" s="25"/>
    </row>
    <row r="699" spans="1:12" x14ac:dyDescent="0.2">
      <c r="A699" t="s">
        <v>1070</v>
      </c>
      <c r="E699" s="20" t="str">
        <f t="shared" si="78"/>
        <v/>
      </c>
      <c r="F699" s="21" t="str">
        <f>IF(OR(E699="",E699="!!!"),"",IF(NOT(ISNA(VLOOKUP(E699,E$1:E698,1,FALSE()))),"OLD",IF(AND(E699&lt;&gt;"",E699&lt;&gt;"!!!"),"NEW","")))</f>
        <v/>
      </c>
      <c r="G699" s="22" t="str">
        <f>IF(OR(E699="",E699="!!!"),"",IF(OR(J699=0,AND(J699=1,K699=1),AND(J699=1,I699="SBJ"),AND(J699=1,I699=0)),"?IN_FOCUS",IF(J699&lt;=2,"?ACTIVATED",IF(J699&lt;&gt;"","?FAMILIAR",IF(F699="NEW",IF(ISNA(VLOOKUP(E699,#REF!,1,FALSE())),"?TYPE_IDENTIFIABLE","?REFERENTIAL"),"_")))))</f>
        <v/>
      </c>
      <c r="H699" s="23" t="str">
        <f t="shared" ca="1" si="79"/>
        <v/>
      </c>
      <c r="I699" s="24" t="str">
        <f>IF(OR(E699="",E699="!!!",F699="NEW"),"",INDEX(B$2:B698,-1+SUMPRODUCT(MAX(ROW(E$2:E698)*(E699=E$2:E698)))))</f>
        <v/>
      </c>
      <c r="J699" s="24" t="str">
        <f ca="1">IF(OR(E699="",E699="!!!",F699="NEW"),"",COUNTBLANK(OFFSET(A$1,,,SUMPRODUCT(MAX(ROW(E$2:E699)*(E699=E$2:E699)))))-COUNTBLANK(OFFSET(A$1,,,SUMPRODUCT(MAX(ROW(E$1:E698)*(E2=E$1:E698))))))</f>
        <v/>
      </c>
      <c r="K699" s="24" t="str">
        <f>IF(OR(E699="",E699="!!!",F699="NEW"),"",INDEX(J$1:J698,SUMPRODUCT(MAX(ROW(E$1:E698)*(E699=E$1:E698)))))</f>
        <v/>
      </c>
      <c r="L699" s="25"/>
    </row>
    <row r="700" spans="1:12" x14ac:dyDescent="0.2">
      <c r="A700" t="s">
        <v>1071</v>
      </c>
      <c r="B700" s="26" t="s">
        <v>891</v>
      </c>
      <c r="C700" s="26" t="s">
        <v>884</v>
      </c>
      <c r="E700" s="20" t="str">
        <f t="shared" si="78"/>
        <v/>
      </c>
      <c r="F700" s="21" t="str">
        <f>IF(OR(E700="",E700="!!!"),"",IF(NOT(ISNA(VLOOKUP(E700,E$1:E699,1,FALSE()))),"OLD",IF(AND(E700&lt;&gt;"",E700&lt;&gt;"!!!"),"NEW","")))</f>
        <v/>
      </c>
      <c r="G700" s="22" t="str">
        <f>IF(OR(E700="",E700="!!!"),"",IF(OR(J700=0,AND(J700=1,K700=1),AND(J700=1,I700="SBJ"),AND(J700=1,I700=0)),"?IN_FOCUS",IF(J700&lt;=2,"?ACTIVATED",IF(J700&lt;&gt;"","?FAMILIAR",IF(F700="NEW",IF(ISNA(VLOOKUP(E700,#REF!,1,FALSE())),"?TYPE_IDENTIFIABLE","?REFERENTIAL"),"_")))))</f>
        <v/>
      </c>
      <c r="H700" s="23" t="str">
        <f t="shared" ca="1" si="79"/>
        <v/>
      </c>
      <c r="I700" s="24" t="str">
        <f>IF(OR(E700="",E700="!!!",F700="NEW"),"",INDEX(B$2:B699,-1+SUMPRODUCT(MAX(ROW(E$2:E699)*(E700=E$2:E699)))))</f>
        <v/>
      </c>
      <c r="J700" s="24" t="str">
        <f ca="1">IF(OR(E700="",E700="!!!",F700="NEW"),"",COUNTBLANK(OFFSET(A$1,,,SUMPRODUCT(MAX(ROW(E$2:E700)*(E700=E$2:E700)))))-COUNTBLANK(OFFSET(A$1,,,SUMPRODUCT(MAX(ROW(E$1:E699)*(E2=E$1:E699))))))</f>
        <v/>
      </c>
      <c r="K700" s="24" t="str">
        <f>IF(OR(E700="",E700="!!!",F700="NEW"),"",INDEX(J$1:J699,SUMPRODUCT(MAX(ROW(E$1:E699)*(E700=E$1:E699)))))</f>
        <v/>
      </c>
      <c r="L700" s="25"/>
    </row>
    <row r="701" spans="1:12" x14ac:dyDescent="0.2">
      <c r="A701" t="s">
        <v>812</v>
      </c>
      <c r="E701" s="20" t="str">
        <f t="shared" si="78"/>
        <v/>
      </c>
      <c r="F701" s="21" t="str">
        <f>IF(OR(E701="",E701="!!!"),"",IF(NOT(ISNA(VLOOKUP(E701,E$1:E700,1,FALSE()))),"OLD",IF(AND(E701&lt;&gt;"",E701&lt;&gt;"!!!"),"NEW","")))</f>
        <v/>
      </c>
      <c r="G701" s="22" t="str">
        <f>IF(OR(E701="",E701="!!!"),"",IF(OR(J701=0,AND(J701=1,K701=1),AND(J701=1,I701="SBJ"),AND(J701=1,I701=0)),"?IN_FOCUS",IF(J701&lt;=2,"?ACTIVATED",IF(J701&lt;&gt;"","?FAMILIAR",IF(F701="NEW",IF(ISNA(VLOOKUP(E701,#REF!,1,FALSE())),"?TYPE_IDENTIFIABLE","?REFERENTIAL"),"_")))))</f>
        <v/>
      </c>
      <c r="H701" s="23" t="str">
        <f t="shared" ca="1" si="79"/>
        <v/>
      </c>
      <c r="I701" s="24" t="str">
        <f>IF(OR(E701="",E701="!!!",F701="NEW"),"",INDEX(B$2:B700,-1+SUMPRODUCT(MAX(ROW(E$2:E700)*(E701=E$2:E700)))))</f>
        <v/>
      </c>
      <c r="J701" s="24" t="str">
        <f ca="1">IF(OR(E701="",E701="!!!",F701="NEW"),"",COUNTBLANK(OFFSET(A$1,,,SUMPRODUCT(MAX(ROW(E$2:E701)*(E701=E$2:E701)))))-COUNTBLANK(OFFSET(A$1,,,SUMPRODUCT(MAX(ROW(E$1:E700)*(E2=E$1:E700))))))</f>
        <v/>
      </c>
      <c r="K701" s="24" t="str">
        <f>IF(OR(E701="",E701="!!!",F701="NEW"),"",INDEX(J$1:J700,SUMPRODUCT(MAX(ROW(E$1:E700)*(E701=E$1:E700)))))</f>
        <v/>
      </c>
      <c r="L701" s="25"/>
    </row>
    <row r="702" spans="1:12" x14ac:dyDescent="0.2">
      <c r="A702" t="s">
        <v>102</v>
      </c>
      <c r="E702" s="20" t="str">
        <f t="shared" si="78"/>
        <v/>
      </c>
      <c r="F702" s="21" t="str">
        <f>IF(OR(E702="",E702="!!!"),"",IF(NOT(ISNA(VLOOKUP(E702,E$1:E701,1,FALSE()))),"OLD",IF(AND(E702&lt;&gt;"",E702&lt;&gt;"!!!"),"NEW","")))</f>
        <v/>
      </c>
      <c r="G702" s="22" t="str">
        <f>IF(OR(E702="",E702="!!!"),"",IF(OR(J702=0,AND(J702=1,K702=1),AND(J702=1,I702="SBJ"),AND(J702=1,I702=0)),"?IN_FOCUS",IF(J702&lt;=2,"?ACTIVATED",IF(J702&lt;&gt;"","?FAMILIAR",IF(F702="NEW",IF(ISNA(VLOOKUP(E702,#REF!,1,FALSE())),"?TYPE_IDENTIFIABLE","?REFERENTIAL"),"_")))))</f>
        <v/>
      </c>
      <c r="H702" s="23" t="str">
        <f t="shared" ca="1" si="79"/>
        <v/>
      </c>
      <c r="I702" s="24" t="str">
        <f>IF(OR(E702="",E702="!!!",F702="NEW"),"",INDEX(B$2:B701,-1+SUMPRODUCT(MAX(ROW(E$2:E701)*(E702=E$2:E701)))))</f>
        <v/>
      </c>
      <c r="J702" s="24" t="str">
        <f ca="1">IF(OR(E702="",E702="!!!",F702="NEW"),"",COUNTBLANK(OFFSET(A$1,,,SUMPRODUCT(MAX(ROW(E$2:E702)*(E702=E$2:E702)))))-COUNTBLANK(OFFSET(A$1,,,SUMPRODUCT(MAX(ROW(E$1:E701)*(E2=E$1:E701))))))</f>
        <v/>
      </c>
      <c r="K702" s="24" t="str">
        <f>IF(OR(E702="",E702="!!!",F702="NEW"),"",INDEX(J$1:J701,SUMPRODUCT(MAX(ROW(E$1:E701)*(E702=E$1:E701)))))</f>
        <v/>
      </c>
      <c r="L702" s="25"/>
    </row>
    <row r="703" spans="1:12" x14ac:dyDescent="0.2">
      <c r="A703" t="s">
        <v>1052</v>
      </c>
      <c r="B703" s="26" t="s">
        <v>899</v>
      </c>
      <c r="C703" s="26" t="s">
        <v>814</v>
      </c>
      <c r="E703" s="20" t="str">
        <f t="shared" si="78"/>
        <v/>
      </c>
      <c r="F703" s="21" t="str">
        <f>IF(OR(E703="",E703="!!!"),"",IF(NOT(ISNA(VLOOKUP(E703,E$1:E702,1,FALSE()))),"OLD",IF(AND(E703&lt;&gt;"",E703&lt;&gt;"!!!"),"NEW","")))</f>
        <v/>
      </c>
      <c r="G703" s="22" t="str">
        <f>IF(OR(E703="",E703="!!!"),"",IF(OR(J703=0,AND(J703=1,K703=1),AND(J703=1,I703="SBJ"),AND(J703=1,I703=0)),"?IN_FOCUS",IF(J703&lt;=2,"?ACTIVATED",IF(J703&lt;&gt;"","?FAMILIAR",IF(F703="NEW",IF(ISNA(VLOOKUP(E703,#REF!,1,FALSE())),"?TYPE_IDENTIFIABLE","?REFERENTIAL"),"_")))))</f>
        <v/>
      </c>
      <c r="H703" s="23" t="str">
        <f t="shared" ca="1" si="79"/>
        <v/>
      </c>
      <c r="I703" s="24" t="str">
        <f>IF(OR(E703="",E703="!!!",F703="NEW"),"",INDEX(B$2:B702,-1+SUMPRODUCT(MAX(ROW(E$2:E702)*(E703=E$2:E702)))))</f>
        <v/>
      </c>
      <c r="J703" s="24" t="str">
        <f ca="1">IF(OR(E703="",E703="!!!",F703="NEW"),"",COUNTBLANK(OFFSET(A$1,,,SUMPRODUCT(MAX(ROW(E$2:E703)*(E703=E$2:E703)))))-COUNTBLANK(OFFSET(A$1,,,SUMPRODUCT(MAX(ROW(E$1:E702)*(E2=E$1:E702))))))</f>
        <v/>
      </c>
      <c r="K703" s="24" t="str">
        <f>IF(OR(E703="",E703="!!!",F703="NEW"),"",INDEX(J$1:J702,SUMPRODUCT(MAX(ROW(E$1:E702)*(E703=E$1:E702)))))</f>
        <v/>
      </c>
      <c r="L703" s="25"/>
    </row>
    <row r="704" spans="1:12" x14ac:dyDescent="0.2">
      <c r="A704" t="s">
        <v>922</v>
      </c>
      <c r="E704" s="20" t="str">
        <f t="shared" si="78"/>
        <v/>
      </c>
      <c r="F704" s="21" t="str">
        <f>IF(OR(E704="",E704="!!!"),"",IF(NOT(ISNA(VLOOKUP(E704,E$1:E703,1,FALSE()))),"OLD",IF(AND(E704&lt;&gt;"",E704&lt;&gt;"!!!"),"NEW","")))</f>
        <v/>
      </c>
      <c r="G704" s="22" t="str">
        <f>IF(OR(E704="",E704="!!!"),"",IF(OR(J704=0,AND(J704=1,K704=1),AND(J704=1,I704="SBJ"),AND(J704=1,I704=0)),"?IN_FOCUS",IF(J704&lt;=2,"?ACTIVATED",IF(J704&lt;&gt;"","?FAMILIAR",IF(F704="NEW",IF(ISNA(VLOOKUP(E704,#REF!,1,FALSE())),"?TYPE_IDENTIFIABLE","?REFERENTIAL"),"_")))))</f>
        <v/>
      </c>
      <c r="H704" s="23" t="str">
        <f t="shared" ca="1" si="79"/>
        <v/>
      </c>
      <c r="I704" s="24" t="str">
        <f>IF(OR(E704="",E704="!!!",F704="NEW"),"",INDEX(B$2:B703,-1+SUMPRODUCT(MAX(ROW(E$2:E703)*(E704=E$2:E703)))))</f>
        <v/>
      </c>
      <c r="J704" s="24" t="str">
        <f ca="1">IF(OR(E704="",E704="!!!",F704="NEW"),"",COUNTBLANK(OFFSET(A$1,,,SUMPRODUCT(MAX(ROW(E$2:E704)*(E704=E$2:E704)))))-COUNTBLANK(OFFSET(A$1,,,SUMPRODUCT(MAX(ROW(E$1:E703)*(E2=E$1:E703))))))</f>
        <v/>
      </c>
      <c r="K704" s="24" t="str">
        <f>IF(OR(E704="",E704="!!!",F704="NEW"),"",INDEX(J$1:J703,SUMPRODUCT(MAX(ROW(E$1:E703)*(E704=E$1:E703)))))</f>
        <v/>
      </c>
      <c r="L704" s="25"/>
    </row>
    <row r="705" spans="1:12" x14ac:dyDescent="0.2">
      <c r="A705" t="s">
        <v>902</v>
      </c>
      <c r="E705" s="20" t="str">
        <f t="shared" si="78"/>
        <v/>
      </c>
      <c r="F705" s="21" t="str">
        <f>IF(OR(E705="",E705="!!!"),"",IF(NOT(ISNA(VLOOKUP(E705,E$1:E704,1,FALSE()))),"OLD",IF(AND(E705&lt;&gt;"",E705&lt;&gt;"!!!"),"NEW","")))</f>
        <v/>
      </c>
      <c r="G705" s="22" t="str">
        <f>IF(OR(E705="",E705="!!!"),"",IF(OR(J705=0,AND(J705=1,K705=1),AND(J705=1,I705="SBJ"),AND(J705=1,I705=0)),"?IN_FOCUS",IF(J705&lt;=2,"?ACTIVATED",IF(J705&lt;&gt;"","?FAMILIAR",IF(F705="NEW",IF(ISNA(VLOOKUP(E705,#REF!,1,FALSE())),"?TYPE_IDENTIFIABLE","?REFERENTIAL"),"_")))))</f>
        <v/>
      </c>
      <c r="H705" s="23" t="str">
        <f t="shared" ca="1" si="79"/>
        <v/>
      </c>
      <c r="I705" s="24" t="str">
        <f>IF(OR(E705="",E705="!!!",F705="NEW"),"",INDEX(B$2:B704,-1+SUMPRODUCT(MAX(ROW(E$2:E704)*(E705=E$2:E704)))))</f>
        <v/>
      </c>
      <c r="J705" s="24" t="str">
        <f ca="1">IF(OR(E705="",E705="!!!",F705="NEW"),"",COUNTBLANK(OFFSET(A$1,,,SUMPRODUCT(MAX(ROW(E$2:E705)*(E705=E$2:E705)))))-COUNTBLANK(OFFSET(A$1,,,SUMPRODUCT(MAX(ROW(E$1:E704)*(E2=E$1:E704))))))</f>
        <v/>
      </c>
      <c r="K705" s="24" t="str">
        <f>IF(OR(E705="",E705="!!!",F705="NEW"),"",INDEX(J$1:J704,SUMPRODUCT(MAX(ROW(E$1:E704)*(E705=E$1:E704)))))</f>
        <v/>
      </c>
      <c r="L705" s="25"/>
    </row>
    <row r="707" spans="1:12" x14ac:dyDescent="0.2">
      <c r="A707" t="s">
        <v>1092</v>
      </c>
    </row>
    <row r="708" spans="1:12" x14ac:dyDescent="0.2">
      <c r="A708" t="s">
        <v>1079</v>
      </c>
      <c r="E708" s="20" t="str">
        <f t="shared" ref="E708:E725" si="80">IF(D708="?OLD","!!!","")</f>
        <v/>
      </c>
      <c r="F708" s="21" t="str">
        <f>IF(OR(E708="",E708="!!!"),"",IF(NOT(ISNA(VLOOKUP(E708,E$1:E707,1,FALSE()))),"OLD",IF(AND(E708&lt;&gt;"",E708&lt;&gt;"!!!"),"NEW","")))</f>
        <v/>
      </c>
      <c r="G708" s="22" t="str">
        <f>IF(OR(E708="",E708="!!!"),"",IF(OR(J708=0,AND(J708=1,K708=1),AND(J708=1,I708="SBJ"),AND(J708=1,I708=0)),"?IN_FOCUS",IF(J708&lt;=2,"?ACTIVATED",IF(J708&lt;&gt;"","?FAMILIAR",IF(F708="NEW",IF(ISNA(VLOOKUP(E708,#REF!,1,FALSE())),"?TYPE_IDENTIFIABLE","?REFERENTIAL"),"_")))))</f>
        <v/>
      </c>
      <c r="H708" s="23" t="str">
        <f t="shared" ref="H708:H725" ca="1" si="81">IF(J708&lt;&gt;1,"",IF(I708="SBJ","CB","?"))</f>
        <v/>
      </c>
      <c r="I708" s="24" t="str">
        <f>IF(OR(E708="",E708="!!!",F708="NEW"),"",INDEX(B$2:B707,-1+SUMPRODUCT(MAX(ROW(E$2:E707)*(E708=E$2:E707)))))</f>
        <v/>
      </c>
      <c r="J708" s="24" t="str">
        <f ca="1">IF(OR(E708="",E708="!!!",F708="NEW"),"",COUNTBLANK(OFFSET(A$1,,,SUMPRODUCT(MAX(ROW(E$2:E708)*(E708=E$2:E708)))))-COUNTBLANK(OFFSET(A$1,,,SUMPRODUCT(MAX(ROW(E$1:E707)*(E2=E$1:E707))))))</f>
        <v/>
      </c>
      <c r="K708" s="24" t="str">
        <f>IF(OR(E708="",E708="!!!",F708="NEW"),"",INDEX(J$1:J707,SUMPRODUCT(MAX(ROW(E$1:E707)*(E708=E$1:E707)))))</f>
        <v/>
      </c>
      <c r="L708" s="25"/>
    </row>
    <row r="709" spans="1:12" x14ac:dyDescent="0.2">
      <c r="A709" t="s">
        <v>802</v>
      </c>
      <c r="E709" s="20" t="str">
        <f t="shared" si="80"/>
        <v/>
      </c>
      <c r="F709" s="21" t="str">
        <f>IF(OR(E709="",E709="!!!"),"",IF(NOT(ISNA(VLOOKUP(E709,E$1:E708,1,FALSE()))),"OLD",IF(AND(E709&lt;&gt;"",E709&lt;&gt;"!!!"),"NEW","")))</f>
        <v/>
      </c>
      <c r="G709" s="22" t="str">
        <f>IF(OR(E709="",E709="!!!"),"",IF(OR(J709=0,AND(J709=1,K709=1),AND(J709=1,I709="SBJ"),AND(J709=1,I709=0)),"?IN_FOCUS",IF(J709&lt;=2,"?ACTIVATED",IF(J709&lt;&gt;"","?FAMILIAR",IF(F709="NEW",IF(ISNA(VLOOKUP(E709,#REF!,1,FALSE())),"?TYPE_IDENTIFIABLE","?REFERENTIAL"),"_")))))</f>
        <v/>
      </c>
      <c r="H709" s="23" t="str">
        <f t="shared" ca="1" si="81"/>
        <v/>
      </c>
      <c r="I709" s="24" t="str">
        <f>IF(OR(E709="",E709="!!!",F709="NEW"),"",INDEX(B$2:B708,-1+SUMPRODUCT(MAX(ROW(E$2:E708)*(E709=E$2:E708)))))</f>
        <v/>
      </c>
      <c r="J709" s="24" t="str">
        <f ca="1">IF(OR(E709="",E709="!!!",F709="NEW"),"",COUNTBLANK(OFFSET(A$1,,,SUMPRODUCT(MAX(ROW(E$2:E709)*(E709=E$2:E709)))))-COUNTBLANK(OFFSET(A$1,,,SUMPRODUCT(MAX(ROW(E$1:E708)*(E2=E$1:E708))))))</f>
        <v/>
      </c>
      <c r="K709" s="24" t="str">
        <f>IF(OR(E709="",E709="!!!",F709="NEW"),"",INDEX(J$1:J708,SUMPRODUCT(MAX(ROW(E$1:E708)*(E709=E$1:E708)))))</f>
        <v/>
      </c>
      <c r="L709" s="25"/>
    </row>
    <row r="710" spans="1:12" x14ac:dyDescent="0.2">
      <c r="A710" t="s">
        <v>1024</v>
      </c>
      <c r="B710" s="26" t="s">
        <v>804</v>
      </c>
      <c r="C710" s="26" t="s">
        <v>805</v>
      </c>
      <c r="D710" s="26" t="s">
        <v>806</v>
      </c>
      <c r="E710" s="27" t="s">
        <v>1767</v>
      </c>
      <c r="F710" s="21" t="str">
        <f>IF(OR(E710="",E710="!!!"),"",IF(NOT(ISNA(VLOOKUP(E710,E$1:E709,1,FALSE()))),"OLD",IF(AND(E710&lt;&gt;"",E710&lt;&gt;"!!!"),"NEW","")))</f>
        <v>OLD</v>
      </c>
      <c r="G710" s="22" t="s">
        <v>1823</v>
      </c>
      <c r="H710" s="23" t="str">
        <f t="shared" ca="1" si="81"/>
        <v/>
      </c>
      <c r="I710" s="24" t="str">
        <f>IF(OR(E710="",E710="!!!",F710="NEW"),"",INDEX(B$2:B709,-1+SUMPRODUCT(MAX(ROW(E$2:E709)*(E710=E$2:E709)))))</f>
        <v>OBJ_2</v>
      </c>
      <c r="J710" s="24">
        <f ca="1">IF(OR(E710="",E710="!!!",F710="NEW"),"",COUNTBLANK(OFFSET(A$1,,,SUMPRODUCT(MAX(ROW(E$2:E710)*(E710=E$2:E710)))))-COUNTBLANK(OFFSET(A$1,,,SUMPRODUCT(MAX(ROW(E$1:E709)*(E2=E$1:E709))))))</f>
        <v>0</v>
      </c>
      <c r="K710" s="24">
        <f ca="1">IF(OR(E710="",E710="!!!",F710="NEW"),"",INDEX(J$1:J709,SUMPRODUCT(MAX(ROW(E$1:E709)*(E710=E$1:E709)))))</f>
        <v>0</v>
      </c>
      <c r="L710" s="25"/>
    </row>
    <row r="711" spans="1:12" x14ac:dyDescent="0.2">
      <c r="A711" t="s">
        <v>1093</v>
      </c>
      <c r="E711" s="20" t="str">
        <f t="shared" si="80"/>
        <v/>
      </c>
      <c r="F711" s="21" t="str">
        <f>IF(OR(E711="",E711="!!!"),"",IF(NOT(ISNA(VLOOKUP(E711,E$1:E710,1,FALSE()))),"OLD",IF(AND(E711&lt;&gt;"",E711&lt;&gt;"!!!"),"NEW","")))</f>
        <v/>
      </c>
      <c r="G711" s="22" t="str">
        <f>IF(OR(E711="",E711="!!!"),"",IF(OR(J711=0,AND(J711=1,K711=1),AND(J711=1,I711="SBJ"),AND(J711=1,I711=0)),"?IN_FOCUS",IF(J711&lt;=2,"?ACTIVATED",IF(J711&lt;&gt;"","?FAMILIAR",IF(F711="NEW",IF(ISNA(VLOOKUP(E711,#REF!,1,FALSE())),"?TYPE_IDENTIFIABLE","?REFERENTIAL"),"_")))))</f>
        <v/>
      </c>
      <c r="H711" s="23" t="str">
        <f t="shared" ca="1" si="81"/>
        <v/>
      </c>
      <c r="I711" s="24" t="str">
        <f>IF(OR(E711="",E711="!!!",F711="NEW"),"",INDEX(B$2:B710,-1+SUMPRODUCT(MAX(ROW(E$2:E710)*(E711=E$2:E710)))))</f>
        <v/>
      </c>
      <c r="J711" s="24" t="str">
        <f ca="1">IF(OR(E711="",E711="!!!",F711="NEW"),"",COUNTBLANK(OFFSET(A$1,,,SUMPRODUCT(MAX(ROW(E$2:E711)*(E711=E$2:E711)))))-COUNTBLANK(OFFSET(A$1,,,SUMPRODUCT(MAX(ROW(E$1:E710)*(E2=E$1:E710))))))</f>
        <v/>
      </c>
      <c r="K711" s="24" t="str">
        <f>IF(OR(E711="",E711="!!!",F711="NEW"),"",INDEX(J$1:J710,SUMPRODUCT(MAX(ROW(E$1:E710)*(E711=E$1:E710)))))</f>
        <v/>
      </c>
      <c r="L711" s="25"/>
    </row>
    <row r="712" spans="1:12" x14ac:dyDescent="0.2">
      <c r="A712" t="s">
        <v>1070</v>
      </c>
      <c r="E712" s="20" t="str">
        <f t="shared" si="80"/>
        <v/>
      </c>
      <c r="F712" s="21" t="str">
        <f>IF(OR(E712="",E712="!!!"),"",IF(NOT(ISNA(VLOOKUP(E712,E$1:E711,1,FALSE()))),"OLD",IF(AND(E712&lt;&gt;"",E712&lt;&gt;"!!!"),"NEW","")))</f>
        <v/>
      </c>
      <c r="G712" s="22" t="str">
        <f>IF(OR(E712="",E712="!!!"),"",IF(OR(J712=0,AND(J712=1,K712=1),AND(J712=1,I712="SBJ"),AND(J712=1,I712=0)),"?IN_FOCUS",IF(J712&lt;=2,"?ACTIVATED",IF(J712&lt;&gt;"","?FAMILIAR",IF(F712="NEW",IF(ISNA(VLOOKUP(E712,#REF!,1,FALSE())),"?TYPE_IDENTIFIABLE","?REFERENTIAL"),"_")))))</f>
        <v/>
      </c>
      <c r="H712" s="23" t="str">
        <f t="shared" ca="1" si="81"/>
        <v/>
      </c>
      <c r="I712" s="24" t="str">
        <f>IF(OR(E712="",E712="!!!",F712="NEW"),"",INDEX(B$2:B711,-1+SUMPRODUCT(MAX(ROW(E$2:E711)*(E712=E$2:E711)))))</f>
        <v/>
      </c>
      <c r="J712" s="24" t="str">
        <f ca="1">IF(OR(E712="",E712="!!!",F712="NEW"),"",COUNTBLANK(OFFSET(A$1,,,SUMPRODUCT(MAX(ROW(E$2:E712)*(E712=E$2:E712)))))-COUNTBLANK(OFFSET(A$1,,,SUMPRODUCT(MAX(ROW(E$1:E711)*(E2=E$1:E711))))))</f>
        <v/>
      </c>
      <c r="K712" s="24" t="str">
        <f>IF(OR(E712="",E712="!!!",F712="NEW"),"",INDEX(J$1:J711,SUMPRODUCT(MAX(ROW(E$1:E711)*(E712=E$1:E711)))))</f>
        <v/>
      </c>
      <c r="L712" s="25"/>
    </row>
    <row r="713" spans="1:12" x14ac:dyDescent="0.2">
      <c r="A713" t="s">
        <v>1094</v>
      </c>
      <c r="B713" s="26" t="s">
        <v>810</v>
      </c>
      <c r="C713" s="26" t="s">
        <v>884</v>
      </c>
      <c r="E713" s="20" t="str">
        <f t="shared" si="80"/>
        <v/>
      </c>
      <c r="F713" s="21" t="str">
        <f>IF(OR(E713="",E713="!!!"),"",IF(NOT(ISNA(VLOOKUP(E713,E$1:E712,1,FALSE()))),"OLD",IF(AND(E713&lt;&gt;"",E713&lt;&gt;"!!!"),"NEW","")))</f>
        <v/>
      </c>
      <c r="G713" s="22" t="str">
        <f>IF(OR(E713="",E713="!!!"),"",IF(OR(J713=0,AND(J713=1,K713=1),AND(J713=1,I713="SBJ"),AND(J713=1,I713=0)),"?IN_FOCUS",IF(J713&lt;=2,"?ACTIVATED",IF(J713&lt;&gt;"","?FAMILIAR",IF(F713="NEW",IF(ISNA(VLOOKUP(E713,#REF!,1,FALSE())),"?TYPE_IDENTIFIABLE","?REFERENTIAL"),"_")))))</f>
        <v/>
      </c>
      <c r="H713" s="23" t="str">
        <f t="shared" ca="1" si="81"/>
        <v/>
      </c>
      <c r="I713" s="24" t="str">
        <f>IF(OR(E713="",E713="!!!",F713="NEW"),"",INDEX(B$2:B712,-1+SUMPRODUCT(MAX(ROW(E$2:E712)*(E713=E$2:E712)))))</f>
        <v/>
      </c>
      <c r="J713" s="24" t="str">
        <f ca="1">IF(OR(E713="",E713="!!!",F713="NEW"),"",COUNTBLANK(OFFSET(A$1,,,SUMPRODUCT(MAX(ROW(E$2:E713)*(E713=E$2:E713)))))-COUNTBLANK(OFFSET(A$1,,,SUMPRODUCT(MAX(ROW(E$1:E712)*(E2=E$1:E712))))))</f>
        <v/>
      </c>
      <c r="K713" s="24" t="str">
        <f>IF(OR(E713="",E713="!!!",F713="NEW"),"",INDEX(J$1:J712,SUMPRODUCT(MAX(ROW(E$1:E712)*(E713=E$1:E712)))))</f>
        <v/>
      </c>
      <c r="L713" s="25"/>
    </row>
    <row r="714" spans="1:12" x14ac:dyDescent="0.2">
      <c r="A714" t="s">
        <v>888</v>
      </c>
      <c r="E714" s="20" t="str">
        <f t="shared" si="80"/>
        <v/>
      </c>
      <c r="F714" s="21" t="str">
        <f>IF(OR(E714="",E714="!!!"),"",IF(NOT(ISNA(VLOOKUP(E714,E$1:E713,1,FALSE()))),"OLD",IF(AND(E714&lt;&gt;"",E714&lt;&gt;"!!!"),"NEW","")))</f>
        <v/>
      </c>
      <c r="G714" s="22" t="str">
        <f>IF(OR(E714="",E714="!!!"),"",IF(OR(J714=0,AND(J714=1,K714=1),AND(J714=1,I714="SBJ"),AND(J714=1,I714=0)),"?IN_FOCUS",IF(J714&lt;=2,"?ACTIVATED",IF(J714&lt;&gt;"","?FAMILIAR",IF(F714="NEW",IF(ISNA(VLOOKUP(E714,#REF!,1,FALSE())),"?TYPE_IDENTIFIABLE","?REFERENTIAL"),"_")))))</f>
        <v/>
      </c>
      <c r="H714" s="23" t="str">
        <f t="shared" ca="1" si="81"/>
        <v/>
      </c>
      <c r="I714" s="24" t="str">
        <f>IF(OR(E714="",E714="!!!",F714="NEW"),"",INDEX(B$2:B713,-1+SUMPRODUCT(MAX(ROW(E$2:E713)*(E714=E$2:E713)))))</f>
        <v/>
      </c>
      <c r="J714" s="24" t="str">
        <f ca="1">IF(OR(E714="",E714="!!!",F714="NEW"),"",COUNTBLANK(OFFSET(A$1,,,SUMPRODUCT(MAX(ROW(E$2:E714)*(E714=E$2:E714)))))-COUNTBLANK(OFFSET(A$1,,,SUMPRODUCT(MAX(ROW(E$1:E713)*(E2=E$1:E713))))))</f>
        <v/>
      </c>
      <c r="K714" s="24" t="str">
        <f>IF(OR(E714="",E714="!!!",F714="NEW"),"",INDEX(J$1:J713,SUMPRODUCT(MAX(ROW(E$1:E713)*(E714=E$1:E713)))))</f>
        <v/>
      </c>
      <c r="L714" s="25"/>
    </row>
    <row r="715" spans="1:12" x14ac:dyDescent="0.2">
      <c r="A715" t="s">
        <v>1070</v>
      </c>
      <c r="E715" s="20" t="str">
        <f t="shared" si="80"/>
        <v/>
      </c>
      <c r="F715" s="21" t="str">
        <f>IF(OR(E715="",E715="!!!"),"",IF(NOT(ISNA(VLOOKUP(E715,E$1:E714,1,FALSE()))),"OLD",IF(AND(E715&lt;&gt;"",E715&lt;&gt;"!!!"),"NEW","")))</f>
        <v/>
      </c>
      <c r="G715" s="22" t="str">
        <f>IF(OR(E715="",E715="!!!"),"",IF(OR(J715=0,AND(J715=1,K715=1),AND(J715=1,I715="SBJ"),AND(J715=1,I715=0)),"?IN_FOCUS",IF(J715&lt;=2,"?ACTIVATED",IF(J715&lt;&gt;"","?FAMILIAR",IF(F715="NEW",IF(ISNA(VLOOKUP(E715,#REF!,1,FALSE())),"?TYPE_IDENTIFIABLE","?REFERENTIAL"),"_")))))</f>
        <v/>
      </c>
      <c r="H715" s="23" t="str">
        <f t="shared" ca="1" si="81"/>
        <v/>
      </c>
      <c r="I715" s="24" t="str">
        <f>IF(OR(E715="",E715="!!!",F715="NEW"),"",INDEX(B$2:B714,-1+SUMPRODUCT(MAX(ROW(E$2:E714)*(E715=E$2:E714)))))</f>
        <v/>
      </c>
      <c r="J715" s="24" t="str">
        <f ca="1">IF(OR(E715="",E715="!!!",F715="NEW"),"",COUNTBLANK(OFFSET(A$1,,,SUMPRODUCT(MAX(ROW(E$2:E715)*(E715=E$2:E715)))))-COUNTBLANK(OFFSET(A$1,,,SUMPRODUCT(MAX(ROW(E$1:E714)*(E2=E$1:E714))))))</f>
        <v/>
      </c>
      <c r="K715" s="24" t="str">
        <f>IF(OR(E715="",E715="!!!",F715="NEW"),"",INDEX(J$1:J714,SUMPRODUCT(MAX(ROW(E$1:E714)*(E715=E$1:E714)))))</f>
        <v/>
      </c>
      <c r="L715" s="25"/>
    </row>
    <row r="716" spans="1:12" x14ac:dyDescent="0.2">
      <c r="A716" t="s">
        <v>30</v>
      </c>
      <c r="E716" s="20" t="str">
        <f t="shared" si="80"/>
        <v/>
      </c>
      <c r="F716" s="21" t="str">
        <f>IF(OR(E716="",E716="!!!"),"",IF(NOT(ISNA(VLOOKUP(E716,E$1:E715,1,FALSE()))),"OLD",IF(AND(E716&lt;&gt;"",E716&lt;&gt;"!!!"),"NEW","")))</f>
        <v/>
      </c>
      <c r="G716" s="22" t="str">
        <f>IF(OR(E716="",E716="!!!"),"",IF(OR(J716=0,AND(J716=1,K716=1),AND(J716=1,I716="SBJ"),AND(J716=1,I716=0)),"?IN_FOCUS",IF(J716&lt;=2,"?ACTIVATED",IF(J716&lt;&gt;"","?FAMILIAR",IF(F716="NEW",IF(ISNA(VLOOKUP(E716,#REF!,1,FALSE())),"?TYPE_IDENTIFIABLE","?REFERENTIAL"),"_")))))</f>
        <v/>
      </c>
      <c r="H716" s="23" t="str">
        <f t="shared" ca="1" si="81"/>
        <v/>
      </c>
      <c r="I716" s="24" t="str">
        <f>IF(OR(E716="",E716="!!!",F716="NEW"),"",INDEX(B$2:B715,-1+SUMPRODUCT(MAX(ROW(E$2:E715)*(E716=E$2:E715)))))</f>
        <v/>
      </c>
      <c r="J716" s="24" t="str">
        <f ca="1">IF(OR(E716="",E716="!!!",F716="NEW"),"",COUNTBLANK(OFFSET(A$1,,,SUMPRODUCT(MAX(ROW(E$2:E716)*(E716=E$2:E716)))))-COUNTBLANK(OFFSET(A$1,,,SUMPRODUCT(MAX(ROW(E$1:E715)*(E2=E$1:E715))))))</f>
        <v/>
      </c>
      <c r="K716" s="24" t="str">
        <f>IF(OR(E716="",E716="!!!",F716="NEW"),"",INDEX(J$1:J715,SUMPRODUCT(MAX(ROW(E$1:E715)*(E716=E$1:E715)))))</f>
        <v/>
      </c>
      <c r="L716" s="25"/>
    </row>
    <row r="717" spans="1:12" x14ac:dyDescent="0.2">
      <c r="A717" t="s">
        <v>1095</v>
      </c>
      <c r="B717" s="26" t="s">
        <v>813</v>
      </c>
      <c r="C717" s="26" t="s">
        <v>884</v>
      </c>
      <c r="E717" s="20" t="str">
        <f t="shared" si="80"/>
        <v/>
      </c>
      <c r="F717" s="21" t="str">
        <f>IF(OR(E717="",E717="!!!"),"",IF(NOT(ISNA(VLOOKUP(E717,E$1:E716,1,FALSE()))),"OLD",IF(AND(E717&lt;&gt;"",E717&lt;&gt;"!!!"),"NEW","")))</f>
        <v/>
      </c>
      <c r="G717" s="22" t="str">
        <f>IF(OR(E717="",E717="!!!"),"",IF(OR(J717=0,AND(J717=1,K717=1),AND(J717=1,I717="SBJ"),AND(J717=1,I717=0)),"?IN_FOCUS",IF(J717&lt;=2,"?ACTIVATED",IF(J717&lt;&gt;"","?FAMILIAR",IF(F717="NEW",IF(ISNA(VLOOKUP(E717,#REF!,1,FALSE())),"?TYPE_IDENTIFIABLE","?REFERENTIAL"),"_")))))</f>
        <v/>
      </c>
      <c r="H717" s="23" t="str">
        <f t="shared" ca="1" si="81"/>
        <v/>
      </c>
      <c r="I717" s="24" t="str">
        <f>IF(OR(E717="",E717="!!!",F717="NEW"),"",INDEX(B$2:B716,-1+SUMPRODUCT(MAX(ROW(E$2:E716)*(E717=E$2:E716)))))</f>
        <v/>
      </c>
      <c r="J717" s="24" t="str">
        <f ca="1">IF(OR(E717="",E717="!!!",F717="NEW"),"",COUNTBLANK(OFFSET(A$1,,,SUMPRODUCT(MAX(ROW(E$2:E717)*(E717=E$2:E717)))))-COUNTBLANK(OFFSET(A$1,,,SUMPRODUCT(MAX(ROW(E$1:E716)*(E2=E$1:E716))))))</f>
        <v/>
      </c>
      <c r="K717" s="24" t="str">
        <f>IF(OR(E717="",E717="!!!",F717="NEW"),"",INDEX(J$1:J716,SUMPRODUCT(MAX(ROW(E$1:E716)*(E717=E$1:E716)))))</f>
        <v/>
      </c>
      <c r="L717" s="25"/>
    </row>
    <row r="718" spans="1:12" x14ac:dyDescent="0.2">
      <c r="A718" t="s">
        <v>802</v>
      </c>
      <c r="E718" s="20" t="str">
        <f t="shared" si="80"/>
        <v/>
      </c>
      <c r="F718" s="21" t="str">
        <f>IF(OR(E718="",E718="!!!"),"",IF(NOT(ISNA(VLOOKUP(E718,E$1:E717,1,FALSE()))),"OLD",IF(AND(E718&lt;&gt;"",E718&lt;&gt;"!!!"),"NEW","")))</f>
        <v/>
      </c>
      <c r="G718" s="22" t="str">
        <f>IF(OR(E718="",E718="!!!"),"",IF(OR(J718=0,AND(J718=1,K718=1),AND(J718=1,I718="SBJ"),AND(J718=1,I718=0)),"?IN_FOCUS",IF(J718&lt;=2,"?ACTIVATED",IF(J718&lt;&gt;"","?FAMILIAR",IF(F718="NEW",IF(ISNA(VLOOKUP(E718,#REF!,1,FALSE())),"?TYPE_IDENTIFIABLE","?REFERENTIAL"),"_")))))</f>
        <v/>
      </c>
      <c r="H718" s="23" t="str">
        <f t="shared" ca="1" si="81"/>
        <v/>
      </c>
      <c r="I718" s="24" t="str">
        <f>IF(OR(E718="",E718="!!!",F718="NEW"),"",INDEX(B$2:B717,-1+SUMPRODUCT(MAX(ROW(E$2:E717)*(E718=E$2:E717)))))</f>
        <v/>
      </c>
      <c r="J718" s="24" t="str">
        <f ca="1">IF(OR(E718="",E718="!!!",F718="NEW"),"",COUNTBLANK(OFFSET(A$1,,,SUMPRODUCT(MAX(ROW(E$2:E718)*(E718=E$2:E718)))))-COUNTBLANK(OFFSET(A$1,,,SUMPRODUCT(MAX(ROW(E$1:E717)*(E2=E$1:E717))))))</f>
        <v/>
      </c>
      <c r="K718" s="24" t="str">
        <f>IF(OR(E718="",E718="!!!",F718="NEW"),"",INDEX(J$1:J717,SUMPRODUCT(MAX(ROW(E$1:E717)*(E718=E$1:E717)))))</f>
        <v/>
      </c>
      <c r="L718" s="25"/>
    </row>
    <row r="719" spans="1:12" x14ac:dyDescent="0.2">
      <c r="A719" t="s">
        <v>888</v>
      </c>
      <c r="E719" s="20" t="str">
        <f t="shared" si="80"/>
        <v/>
      </c>
      <c r="F719" s="21" t="str">
        <f>IF(OR(E719="",E719="!!!"),"",IF(NOT(ISNA(VLOOKUP(E719,E$1:E718,1,FALSE()))),"OLD",IF(AND(E719&lt;&gt;"",E719&lt;&gt;"!!!"),"NEW","")))</f>
        <v/>
      </c>
      <c r="G719" s="22" t="str">
        <f>IF(OR(E719="",E719="!!!"),"",IF(OR(J719=0,AND(J719=1,K719=1),AND(J719=1,I719="SBJ"),AND(J719=1,I719=0)),"?IN_FOCUS",IF(J719&lt;=2,"?ACTIVATED",IF(J719&lt;&gt;"","?FAMILIAR",IF(F719="NEW",IF(ISNA(VLOOKUP(E719,#REF!,1,FALSE())),"?TYPE_IDENTIFIABLE","?REFERENTIAL"),"_")))))</f>
        <v/>
      </c>
      <c r="H719" s="23" t="str">
        <f t="shared" ca="1" si="81"/>
        <v/>
      </c>
      <c r="I719" s="24" t="str">
        <f>IF(OR(E719="",E719="!!!",F719="NEW"),"",INDEX(B$2:B718,-1+SUMPRODUCT(MAX(ROW(E$2:E718)*(E719=E$2:E718)))))</f>
        <v/>
      </c>
      <c r="J719" s="24" t="str">
        <f ca="1">IF(OR(E719="",E719="!!!",F719="NEW"),"",COUNTBLANK(OFFSET(A$1,,,SUMPRODUCT(MAX(ROW(E$2:E719)*(E719=E$2:E719)))))-COUNTBLANK(OFFSET(A$1,,,SUMPRODUCT(MAX(ROW(E$1:E718)*(E2=E$1:E718))))))</f>
        <v/>
      </c>
      <c r="K719" s="24" t="str">
        <f>IF(OR(E719="",E719="!!!",F719="NEW"),"",INDEX(J$1:J718,SUMPRODUCT(MAX(ROW(E$1:E718)*(E719=E$1:E718)))))</f>
        <v/>
      </c>
      <c r="L719" s="25"/>
    </row>
    <row r="720" spans="1:12" x14ac:dyDescent="0.2">
      <c r="A720" t="s">
        <v>1035</v>
      </c>
      <c r="E720" s="20" t="str">
        <f t="shared" si="80"/>
        <v/>
      </c>
      <c r="F720" s="21" t="str">
        <f>IF(OR(E720="",E720="!!!"),"",IF(NOT(ISNA(VLOOKUP(E720,E$1:E719,1,FALSE()))),"OLD",IF(AND(E720&lt;&gt;"",E720&lt;&gt;"!!!"),"NEW","")))</f>
        <v/>
      </c>
      <c r="G720" s="22" t="str">
        <f>IF(OR(E720="",E720="!!!"),"",IF(OR(J720=0,AND(J720=1,K720=1),AND(J720=1,I720="SBJ"),AND(J720=1,I720=0)),"?IN_FOCUS",IF(J720&lt;=2,"?ACTIVATED",IF(J720&lt;&gt;"","?FAMILIAR",IF(F720="NEW",IF(ISNA(VLOOKUP(E720,#REF!,1,FALSE())),"?TYPE_IDENTIFIABLE","?REFERENTIAL"),"_")))))</f>
        <v/>
      </c>
      <c r="H720" s="23" t="str">
        <f t="shared" ca="1" si="81"/>
        <v/>
      </c>
      <c r="I720" s="24" t="str">
        <f>IF(OR(E720="",E720="!!!",F720="NEW"),"",INDEX(B$2:B719,-1+SUMPRODUCT(MAX(ROW(E$2:E719)*(E720=E$2:E719)))))</f>
        <v/>
      </c>
      <c r="J720" s="24" t="str">
        <f ca="1">IF(OR(E720="",E720="!!!",F720="NEW"),"",COUNTBLANK(OFFSET(A$1,,,SUMPRODUCT(MAX(ROW(E$2:E720)*(E720=E$2:E720)))))-COUNTBLANK(OFFSET(A$1,,,SUMPRODUCT(MAX(ROW(E$1:E719)*(E2=E$1:E719))))))</f>
        <v/>
      </c>
      <c r="K720" s="24" t="str">
        <f>IF(OR(E720="",E720="!!!",F720="NEW"),"",INDEX(J$1:J719,SUMPRODUCT(MAX(ROW(E$1:E719)*(E720=E$1:E719)))))</f>
        <v/>
      </c>
      <c r="L720" s="25"/>
    </row>
    <row r="721" spans="1:12" x14ac:dyDescent="0.2">
      <c r="A721" t="s">
        <v>1024</v>
      </c>
      <c r="B721" s="26" t="s">
        <v>950</v>
      </c>
      <c r="C721" s="26" t="s">
        <v>805</v>
      </c>
      <c r="D721" s="26" t="s">
        <v>806</v>
      </c>
      <c r="E721" s="20" t="s">
        <v>1767</v>
      </c>
      <c r="F721" s="21" t="str">
        <f>IF(OR(E721="",E721="!!!"),"",IF(NOT(ISNA(VLOOKUP(E721,E$1:E720,1,FALSE()))),"OLD",IF(AND(E721&lt;&gt;"",E721&lt;&gt;"!!!"),"NEW","")))</f>
        <v>OLD</v>
      </c>
      <c r="G721" s="22" t="s">
        <v>1823</v>
      </c>
      <c r="H721" s="23" t="str">
        <f t="shared" ca="1" si="81"/>
        <v/>
      </c>
      <c r="I721" s="24" t="str">
        <f>IF(OR(E721="",E721="!!!",F721="NEW"),"",INDEX(B$2:B720,-1+SUMPRODUCT(MAX(ROW(E$2:E720)*(E721=E$2:E720)))))</f>
        <v>SBJ</v>
      </c>
      <c r="J721" s="24">
        <f ca="1">IF(OR(E721="",E721="!!!",F721="NEW"),"",COUNTBLANK(OFFSET(A$1,,,SUMPRODUCT(MAX(ROW(E$2:E721)*(E721=E$2:E721)))))-COUNTBLANK(OFFSET(A$1,,,SUMPRODUCT(MAX(ROW(E$1:E720)*(E2=E$1:E720))))))</f>
        <v>0</v>
      </c>
      <c r="K721" s="24">
        <f ca="1">IF(OR(E721="",E721="!!!",F721="NEW"),"",INDEX(J$1:J720,SUMPRODUCT(MAX(ROW(E$1:E720)*(E721=E$1:E720)))))</f>
        <v>0</v>
      </c>
      <c r="L721" s="25"/>
    </row>
    <row r="722" spans="1:12" x14ac:dyDescent="0.2">
      <c r="A722" t="s">
        <v>904</v>
      </c>
      <c r="E722" s="20" t="str">
        <f t="shared" si="80"/>
        <v/>
      </c>
      <c r="F722" s="21" t="str">
        <f>IF(OR(E722="",E722="!!!"),"",IF(NOT(ISNA(VLOOKUP(E722,E$1:E721,1,FALSE()))),"OLD",IF(AND(E722&lt;&gt;"",E722&lt;&gt;"!!!"),"NEW","")))</f>
        <v/>
      </c>
      <c r="G722" s="22" t="str">
        <f>IF(OR(E722="",E722="!!!"),"",IF(OR(J722=0,AND(J722=1,K722=1),AND(J722=1,I722="SBJ"),AND(J722=1,I722=0)),"?IN_FOCUS",IF(J722&lt;=2,"?ACTIVATED",IF(J722&lt;&gt;"","?FAMILIAR",IF(F722="NEW",IF(ISNA(VLOOKUP(E722,#REF!,1,FALSE())),"?TYPE_IDENTIFIABLE","?REFERENTIAL"),"_")))))</f>
        <v/>
      </c>
      <c r="H722" s="23" t="str">
        <f t="shared" ca="1" si="81"/>
        <v/>
      </c>
      <c r="I722" s="24" t="str">
        <f>IF(OR(E722="",E722="!!!",F722="NEW"),"",INDEX(B$2:B721,-1+SUMPRODUCT(MAX(ROW(E$2:E721)*(E722=E$2:E721)))))</f>
        <v/>
      </c>
      <c r="J722" s="24" t="str">
        <f ca="1">IF(OR(E722="",E722="!!!",F722="NEW"),"",COUNTBLANK(OFFSET(A$1,,,SUMPRODUCT(MAX(ROW(E$2:E722)*(E722=E$2:E722)))))-COUNTBLANK(OFFSET(A$1,,,SUMPRODUCT(MAX(ROW(E$1:E721)*(E2=E$1:E721))))))</f>
        <v/>
      </c>
      <c r="K722" s="24" t="str">
        <f>IF(OR(E722="",E722="!!!",F722="NEW"),"",INDEX(J$1:J721,SUMPRODUCT(MAX(ROW(E$1:E721)*(E722=E$1:E721)))))</f>
        <v/>
      </c>
      <c r="L722" s="25"/>
    </row>
    <row r="723" spans="1:12" x14ac:dyDescent="0.2">
      <c r="A723" t="s">
        <v>1096</v>
      </c>
      <c r="E723" s="20" t="str">
        <f t="shared" si="80"/>
        <v/>
      </c>
      <c r="F723" s="21" t="str">
        <f>IF(OR(E723="",E723="!!!"),"",IF(NOT(ISNA(VLOOKUP(E723,E$1:E722,1,FALSE()))),"OLD",IF(AND(E723&lt;&gt;"",E723&lt;&gt;"!!!"),"NEW","")))</f>
        <v/>
      </c>
      <c r="G723" s="22" t="str">
        <f>IF(OR(E723="",E723="!!!"),"",IF(OR(J723=0,AND(J723=1,K723=1),AND(J723=1,I723="SBJ"),AND(J723=1,I723=0)),"?IN_FOCUS",IF(J723&lt;=2,"?ACTIVATED",IF(J723&lt;&gt;"","?FAMILIAR",IF(F723="NEW",IF(ISNA(VLOOKUP(E723,#REF!,1,FALSE())),"?TYPE_IDENTIFIABLE","?REFERENTIAL"),"_")))))</f>
        <v/>
      </c>
      <c r="H723" s="23" t="str">
        <f t="shared" ca="1" si="81"/>
        <v/>
      </c>
      <c r="I723" s="24" t="str">
        <f>IF(OR(E723="",E723="!!!",F723="NEW"),"",INDEX(B$2:B722,-1+SUMPRODUCT(MAX(ROW(E$2:E722)*(E723=E$2:E722)))))</f>
        <v/>
      </c>
      <c r="J723" s="24" t="str">
        <f ca="1">IF(OR(E723="",E723="!!!",F723="NEW"),"",COUNTBLANK(OFFSET(A$1,,,SUMPRODUCT(MAX(ROW(E$2:E723)*(E723=E$2:E723)))))-COUNTBLANK(OFFSET(A$1,,,SUMPRODUCT(MAX(ROW(E$1:E722)*(E2=E$1:E722))))))</f>
        <v/>
      </c>
      <c r="K723" s="24" t="str">
        <f>IF(OR(E723="",E723="!!!",F723="NEW"),"",INDEX(J$1:J722,SUMPRODUCT(MAX(ROW(E$1:E722)*(E723=E$1:E722)))))</f>
        <v/>
      </c>
      <c r="L723" s="25"/>
    </row>
    <row r="724" spans="1:12" x14ac:dyDescent="0.2">
      <c r="A724" t="s">
        <v>1097</v>
      </c>
      <c r="B724" s="26" t="s">
        <v>938</v>
      </c>
      <c r="C724" s="26" t="s">
        <v>814</v>
      </c>
      <c r="E724" s="20" t="str">
        <f t="shared" si="80"/>
        <v/>
      </c>
      <c r="F724" s="21" t="str">
        <f>IF(OR(E724="",E724="!!!"),"",IF(NOT(ISNA(VLOOKUP(E724,E$1:E723,1,FALSE()))),"OLD",IF(AND(E724&lt;&gt;"",E724&lt;&gt;"!!!"),"NEW","")))</f>
        <v/>
      </c>
      <c r="G724" s="22" t="str">
        <f>IF(OR(E724="",E724="!!!"),"",IF(OR(J724=0,AND(J724=1,K724=1),AND(J724=1,I724="SBJ"),AND(J724=1,I724=0)),"?IN_FOCUS",IF(J724&lt;=2,"?ACTIVATED",IF(J724&lt;&gt;"","?FAMILIAR",IF(F724="NEW",IF(ISNA(VLOOKUP(E724,#REF!,1,FALSE())),"?TYPE_IDENTIFIABLE","?REFERENTIAL"),"_")))))</f>
        <v/>
      </c>
      <c r="H724" s="23" t="str">
        <f t="shared" ca="1" si="81"/>
        <v/>
      </c>
      <c r="I724" s="24" t="str">
        <f>IF(OR(E724="",E724="!!!",F724="NEW"),"",INDEX(B$2:B723,-1+SUMPRODUCT(MAX(ROW(E$2:E723)*(E724=E$2:E723)))))</f>
        <v/>
      </c>
      <c r="J724" s="24" t="str">
        <f ca="1">IF(OR(E724="",E724="!!!",F724="NEW"),"",COUNTBLANK(OFFSET(A$1,,,SUMPRODUCT(MAX(ROW(E$2:E724)*(E724=E$2:E724)))))-COUNTBLANK(OFFSET(A$1,,,SUMPRODUCT(MAX(ROW(E$1:E723)*(E2=E$1:E723))))))</f>
        <v/>
      </c>
      <c r="K724" s="24" t="str">
        <f>IF(OR(E724="",E724="!!!",F724="NEW"),"",INDEX(J$1:J723,SUMPRODUCT(MAX(ROW(E$1:E723)*(E724=E$1:E723)))))</f>
        <v/>
      </c>
      <c r="L724" s="25"/>
    </row>
    <row r="725" spans="1:12" x14ac:dyDescent="0.2">
      <c r="A725" t="s">
        <v>821</v>
      </c>
      <c r="E725" s="20" t="str">
        <f t="shared" si="80"/>
        <v/>
      </c>
      <c r="F725" s="21" t="str">
        <f>IF(OR(E725="",E725="!!!"),"",IF(NOT(ISNA(VLOOKUP(E725,E$1:E724,1,FALSE()))),"OLD",IF(AND(E725&lt;&gt;"",E725&lt;&gt;"!!!"),"NEW","")))</f>
        <v/>
      </c>
      <c r="G725" s="22" t="str">
        <f>IF(OR(E725="",E725="!!!"),"",IF(OR(J725=0,AND(J725=1,K725=1),AND(J725=1,I725="SBJ"),AND(J725=1,I725=0)),"?IN_FOCUS",IF(J725&lt;=2,"?ACTIVATED",IF(J725&lt;&gt;"","?FAMILIAR",IF(F725="NEW",IF(ISNA(VLOOKUP(E725,#REF!,1,FALSE())),"?TYPE_IDENTIFIABLE","?REFERENTIAL"),"_")))))</f>
        <v/>
      </c>
      <c r="H725" s="23" t="str">
        <f t="shared" ca="1" si="81"/>
        <v/>
      </c>
      <c r="I725" s="24" t="str">
        <f>IF(OR(E725="",E725="!!!",F725="NEW"),"",INDEX(B$2:B724,-1+SUMPRODUCT(MAX(ROW(E$2:E724)*(E725=E$2:E724)))))</f>
        <v/>
      </c>
      <c r="J725" s="24" t="str">
        <f ca="1">IF(OR(E725="",E725="!!!",F725="NEW"),"",COUNTBLANK(OFFSET(A$1,,,SUMPRODUCT(MAX(ROW(E$2:E725)*(E725=E$2:E725)))))-COUNTBLANK(OFFSET(A$1,,,SUMPRODUCT(MAX(ROW(E$1:E724)*(E2=E$1:E724))))))</f>
        <v/>
      </c>
      <c r="K725" s="24" t="str">
        <f>IF(OR(E725="",E725="!!!",F725="NEW"),"",INDEX(J$1:J724,SUMPRODUCT(MAX(ROW(E$1:E724)*(E725=E$1:E724)))))</f>
        <v/>
      </c>
      <c r="L725" s="25"/>
    </row>
    <row r="727" spans="1:12" x14ac:dyDescent="0.2">
      <c r="A727" t="s">
        <v>900</v>
      </c>
      <c r="E727" s="20" t="str">
        <f>IF(D727="?OLD","!!!","")</f>
        <v/>
      </c>
      <c r="F727" s="21" t="str">
        <f>IF(OR(E727="",E727="!!!"),"",IF(NOT(ISNA(VLOOKUP(E727,E$1:E726,1,FALSE()))),"OLD",IF(AND(E727&lt;&gt;"",E727&lt;&gt;"!!!"),"NEW","")))</f>
        <v/>
      </c>
      <c r="G727" s="22" t="str">
        <f>IF(OR(E727="",E727="!!!"),"",IF(OR(J727=0,AND(J727=1,K727=1),AND(J727=1,I727="SBJ"),AND(J727=1,I727=0)),"?IN_FOCUS",IF(J727&lt;=2,"?ACTIVATED",IF(J727&lt;&gt;"","?FAMILIAR",IF(F727="NEW",IF(ISNA(VLOOKUP(E727,#REF!,1,FALSE())),"?TYPE_IDENTIFIABLE","?REFERENTIAL"),"_")))))</f>
        <v/>
      </c>
      <c r="H727" s="23" t="str">
        <f ca="1">IF(J727&lt;&gt;1,"",IF(I727="SBJ","CB","?"))</f>
        <v/>
      </c>
      <c r="I727" s="24" t="str">
        <f>IF(OR(E727="",E727="!!!",F727="NEW"),"",INDEX(B$2:B726,-1+SUMPRODUCT(MAX(ROW(E$2:E726)*(E727=E$2:E726)))))</f>
        <v/>
      </c>
      <c r="J727" s="24" t="str">
        <f ca="1">IF(OR(E727="",E727="!!!",F727="NEW"),"",COUNTBLANK(OFFSET(A$1,,,SUMPRODUCT(MAX(ROW(E$2:E727)*(E727=E$2:E727)))))-COUNTBLANK(OFFSET(A$1,,,SUMPRODUCT(MAX(ROW(E$1:E726)*(E2=E$1:E726))))))</f>
        <v/>
      </c>
      <c r="K727" s="24" t="str">
        <f>IF(OR(E727="",E727="!!!",F727="NEW"),"",INDEX(J$1:J726,SUMPRODUCT(MAX(ROW(E$1:E726)*(E727=E$1:E726)))))</f>
        <v/>
      </c>
      <c r="L727" s="25"/>
    </row>
    <row r="728" spans="1:12" x14ac:dyDescent="0.2">
      <c r="A728" t="s">
        <v>1098</v>
      </c>
    </row>
    <row r="729" spans="1:12" x14ac:dyDescent="0.2">
      <c r="A729" t="s">
        <v>803</v>
      </c>
      <c r="B729" s="26" t="s">
        <v>804</v>
      </c>
      <c r="C729" s="26" t="s">
        <v>805</v>
      </c>
      <c r="D729" s="26" t="s">
        <v>806</v>
      </c>
      <c r="E729" s="20" t="s">
        <v>1747</v>
      </c>
      <c r="F729" s="21" t="s">
        <v>1753</v>
      </c>
      <c r="G729" s="22" t="s">
        <v>1823</v>
      </c>
      <c r="H729" s="23" t="str">
        <f t="shared" ref="H729:H736" ca="1" si="82">IF(J729&lt;&gt;1,"",IF(I729="SBJ","CB","?"))</f>
        <v/>
      </c>
      <c r="I729" s="24" t="str">
        <f>IF(OR(E729="",E729="!!!",F729="NEW"),"",INDEX(B$2:B728,-1+SUMPRODUCT(MAX(ROW(E$2:E728)*(E729=E$2:E728)))))</f>
        <v>SBJ_2</v>
      </c>
      <c r="J729" s="24">
        <f ca="1">IF(OR(E729="",E729="!!!",F729="NEW"),"",COUNTBLANK(OFFSET(A$1,,,SUMPRODUCT(MAX(ROW(E$2:E729)*(E729=E$2:E729)))))-COUNTBLANK(OFFSET(A$1,,,SUMPRODUCT(MAX(ROW(E$1:E728)*(E2=E$1:E728))))))</f>
        <v>0</v>
      </c>
      <c r="K729" s="24">
        <f ca="1">IF(OR(E729="",E729="!!!",F729="NEW"),"",INDEX(J$1:J728,SUMPRODUCT(MAX(ROW(E$1:E728)*(E729=E$1:E728)))))</f>
        <v>0</v>
      </c>
      <c r="L729" s="25"/>
    </row>
    <row r="730" spans="1:12" x14ac:dyDescent="0.2">
      <c r="A730" t="s">
        <v>904</v>
      </c>
      <c r="E730" s="20" t="str">
        <f t="shared" ref="E730:E736" si="83">IF(D730="?OLD","!!!","")</f>
        <v/>
      </c>
      <c r="F730" s="21" t="str">
        <f>IF(OR(E730="",E730="!!!"),"",IF(NOT(ISNA(VLOOKUP(E730,E$1:E729,1,FALSE()))),"OLD",IF(AND(E730&lt;&gt;"",E730&lt;&gt;"!!!"),"NEW","")))</f>
        <v/>
      </c>
      <c r="G730" s="22" t="str">
        <f>IF(OR(E730="",E730="!!!"),"",IF(OR(J730=0,AND(J730=1,K730=1),AND(J730=1,I730="SBJ"),AND(J730=1,I730=0)),"?IN_FOCUS",IF(J730&lt;=2,"?ACTIVATED",IF(J730&lt;&gt;"","?FAMILIAR",IF(F730="NEW",IF(ISNA(VLOOKUP(E730,#REF!,1,FALSE())),"?TYPE_IDENTIFIABLE","?REFERENTIAL"),"_")))))</f>
        <v/>
      </c>
      <c r="H730" s="23" t="str">
        <f t="shared" ca="1" si="82"/>
        <v/>
      </c>
      <c r="I730" s="24" t="str">
        <f>IF(OR(E730="",E730="!!!",F730="NEW"),"",INDEX(B$2:B729,-1+SUMPRODUCT(MAX(ROW(E$2:E729)*(E730=E$2:E729)))))</f>
        <v/>
      </c>
      <c r="J730" s="24" t="str">
        <f ca="1">IF(OR(E730="",E730="!!!",F730="NEW"),"",COUNTBLANK(OFFSET(A$1,,,SUMPRODUCT(MAX(ROW(E$2:E730)*(E730=E$2:E730)))))-COUNTBLANK(OFFSET(A$1,,,SUMPRODUCT(MAX(ROW(E$1:E729)*(E2=E$1:E729))))))</f>
        <v/>
      </c>
      <c r="K730" s="24" t="str">
        <f>IF(OR(E730="",E730="!!!",F730="NEW"),"",INDEX(J$1:J729,SUMPRODUCT(MAX(ROW(E$1:E729)*(E730=E$1:E729)))))</f>
        <v/>
      </c>
      <c r="L730" s="25"/>
    </row>
    <row r="731" spans="1:12" x14ac:dyDescent="0.2">
      <c r="A731" t="s">
        <v>802</v>
      </c>
      <c r="E731" s="20" t="str">
        <f t="shared" si="83"/>
        <v/>
      </c>
      <c r="F731" s="21" t="str">
        <f>IF(OR(E731="",E731="!!!"),"",IF(NOT(ISNA(VLOOKUP(E731,E$1:E730,1,FALSE()))),"OLD",IF(AND(E731&lt;&gt;"",E731&lt;&gt;"!!!"),"NEW","")))</f>
        <v/>
      </c>
      <c r="G731" s="22" t="str">
        <f>IF(OR(E731="",E731="!!!"),"",IF(OR(J731=0,AND(J731=1,K731=1),AND(J731=1,I731="SBJ"),AND(J731=1,I731=0)),"?IN_FOCUS",IF(J731&lt;=2,"?ACTIVATED",IF(J731&lt;&gt;"","?FAMILIAR",IF(F731="NEW",IF(ISNA(VLOOKUP(E731,#REF!,1,FALSE())),"?TYPE_IDENTIFIABLE","?REFERENTIAL"),"_")))))</f>
        <v/>
      </c>
      <c r="H731" s="23" t="str">
        <f t="shared" ca="1" si="82"/>
        <v/>
      </c>
      <c r="I731" s="24" t="str">
        <f>IF(OR(E731="",E731="!!!",F731="NEW"),"",INDEX(B$2:B730,-1+SUMPRODUCT(MAX(ROW(E$2:E730)*(E731=E$2:E730)))))</f>
        <v/>
      </c>
      <c r="J731" s="24" t="str">
        <f ca="1">IF(OR(E731="",E731="!!!",F731="NEW"),"",COUNTBLANK(OFFSET(A$1,,,SUMPRODUCT(MAX(ROW(E$2:E731)*(E731=E$2:E731)))))-COUNTBLANK(OFFSET(A$1,,,SUMPRODUCT(MAX(ROW(E$1:E730)*(E2=E$1:E730))))))</f>
        <v/>
      </c>
      <c r="K731" s="24" t="str">
        <f>IF(OR(E731="",E731="!!!",F731="NEW"),"",INDEX(J$1:J730,SUMPRODUCT(MAX(ROW(E$1:E730)*(E731=E$1:E730)))))</f>
        <v/>
      </c>
      <c r="L731" s="25"/>
    </row>
    <row r="732" spans="1:12" x14ac:dyDescent="0.2">
      <c r="A732" t="s">
        <v>902</v>
      </c>
      <c r="E732" s="20" t="str">
        <f t="shared" si="83"/>
        <v/>
      </c>
      <c r="F732" s="21" t="str">
        <f>IF(OR(E732="",E732="!!!"),"",IF(NOT(ISNA(VLOOKUP(E732,E$1:E731,1,FALSE()))),"OLD",IF(AND(E732&lt;&gt;"",E732&lt;&gt;"!!!"),"NEW","")))</f>
        <v/>
      </c>
      <c r="G732" s="22" t="str">
        <f>IF(OR(E732="",E732="!!!"),"",IF(OR(J732=0,AND(J732=1,K732=1),AND(J732=1,I732="SBJ"),AND(J732=1,I732=0)),"?IN_FOCUS",IF(J732&lt;=2,"?ACTIVATED",IF(J732&lt;&gt;"","?FAMILIAR",IF(F732="NEW",IF(ISNA(VLOOKUP(E732,#REF!,1,FALSE())),"?TYPE_IDENTIFIABLE","?REFERENTIAL"),"_")))))</f>
        <v/>
      </c>
      <c r="H732" s="23" t="str">
        <f t="shared" ca="1" si="82"/>
        <v/>
      </c>
      <c r="I732" s="24" t="str">
        <f>IF(OR(E732="",E732="!!!",F732="NEW"),"",INDEX(B$2:B731,-1+SUMPRODUCT(MAX(ROW(E$2:E731)*(E732=E$2:E731)))))</f>
        <v/>
      </c>
      <c r="J732" s="24" t="str">
        <f ca="1">IF(OR(E732="",E732="!!!",F732="NEW"),"",COUNTBLANK(OFFSET(A$1,,,SUMPRODUCT(MAX(ROW(E$2:E732)*(E732=E$2:E732)))))-COUNTBLANK(OFFSET(A$1,,,SUMPRODUCT(MAX(ROW(E$1:E731)*(E2=E$1:E731))))))</f>
        <v/>
      </c>
      <c r="K732" s="24" t="str">
        <f>IF(OR(E732="",E732="!!!",F732="NEW"),"",INDEX(J$1:J731,SUMPRODUCT(MAX(ROW(E$1:E731)*(E732=E$1:E731)))))</f>
        <v/>
      </c>
      <c r="L732" s="25"/>
    </row>
    <row r="733" spans="1:12" x14ac:dyDescent="0.2">
      <c r="A733" t="s">
        <v>1099</v>
      </c>
      <c r="E733" s="20" t="str">
        <f t="shared" si="83"/>
        <v/>
      </c>
      <c r="F733" s="21" t="str">
        <f>IF(OR(E733="",E733="!!!"),"",IF(NOT(ISNA(VLOOKUP(E733,E$1:E732,1,FALSE()))),"OLD",IF(AND(E733&lt;&gt;"",E733&lt;&gt;"!!!"),"NEW","")))</f>
        <v/>
      </c>
      <c r="G733" s="22" t="str">
        <f>IF(OR(E733="",E733="!!!"),"",IF(OR(J733=0,AND(J733=1,K733=1),AND(J733=1,I733="SBJ"),AND(J733=1,I733=0)),"?IN_FOCUS",IF(J733&lt;=2,"?ACTIVATED",IF(J733&lt;&gt;"","?FAMILIAR",IF(F733="NEW",IF(ISNA(VLOOKUP(E733,#REF!,1,FALSE())),"?TYPE_IDENTIFIABLE","?REFERENTIAL"),"_")))))</f>
        <v/>
      </c>
      <c r="H733" s="23" t="str">
        <f t="shared" ca="1" si="82"/>
        <v/>
      </c>
      <c r="I733" s="24" t="str">
        <f>IF(OR(E733="",E733="!!!",F733="NEW"),"",INDEX(B$2:B732,-1+SUMPRODUCT(MAX(ROW(E$2:E732)*(E733=E$2:E732)))))</f>
        <v/>
      </c>
      <c r="J733" s="24" t="str">
        <f ca="1">IF(OR(E733="",E733="!!!",F733="NEW"),"",COUNTBLANK(OFFSET(A$1,,,SUMPRODUCT(MAX(ROW(E$2:E733)*(E733=E$2:E733)))))-COUNTBLANK(OFFSET(A$1,,,SUMPRODUCT(MAX(ROW(E$1:E732)*(E2=E$1:E732))))))</f>
        <v/>
      </c>
      <c r="K733" s="24" t="str">
        <f>IF(OR(E733="",E733="!!!",F733="NEW"),"",INDEX(J$1:J732,SUMPRODUCT(MAX(ROW(E$1:E732)*(E733=E$1:E732)))))</f>
        <v/>
      </c>
      <c r="L733" s="25"/>
    </row>
    <row r="734" spans="1:12" x14ac:dyDescent="0.2">
      <c r="A734" t="s">
        <v>1097</v>
      </c>
      <c r="B734" s="26" t="s">
        <v>804</v>
      </c>
      <c r="C734" s="26" t="s">
        <v>814</v>
      </c>
      <c r="E734" s="20" t="str">
        <f t="shared" si="83"/>
        <v/>
      </c>
      <c r="F734" s="21" t="str">
        <f>IF(OR(E734="",E734="!!!"),"",IF(NOT(ISNA(VLOOKUP(E734,E$1:E733,1,FALSE()))),"OLD",IF(AND(E734&lt;&gt;"",E734&lt;&gt;"!!!"),"NEW","")))</f>
        <v/>
      </c>
      <c r="G734" s="22" t="str">
        <f>IF(OR(E734="",E734="!!!"),"",IF(OR(J734=0,AND(J734=1,K734=1),AND(J734=1,I734="SBJ"),AND(J734=1,I734=0)),"?IN_FOCUS",IF(J734&lt;=2,"?ACTIVATED",IF(J734&lt;&gt;"","?FAMILIAR",IF(F734="NEW",IF(ISNA(VLOOKUP(E734,#REF!,1,FALSE())),"?TYPE_IDENTIFIABLE","?REFERENTIAL"),"_")))))</f>
        <v/>
      </c>
      <c r="H734" s="23" t="str">
        <f t="shared" ca="1" si="82"/>
        <v/>
      </c>
      <c r="I734" s="24" t="str">
        <f>IF(OR(E734="",E734="!!!",F734="NEW"),"",INDEX(B$2:B733,-1+SUMPRODUCT(MAX(ROW(E$2:E733)*(E734=E$2:E733)))))</f>
        <v/>
      </c>
      <c r="J734" s="24" t="str">
        <f ca="1">IF(OR(E734="",E734="!!!",F734="NEW"),"",COUNTBLANK(OFFSET(A$1,,,SUMPRODUCT(MAX(ROW(E$2:E734)*(E734=E$2:E734)))))-COUNTBLANK(OFFSET(A$1,,,SUMPRODUCT(MAX(ROW(E$1:E733)*(E2=E$1:E733))))))</f>
        <v/>
      </c>
      <c r="K734" s="24" t="str">
        <f>IF(OR(E734="",E734="!!!",F734="NEW"),"",INDEX(J$1:J733,SUMPRODUCT(MAX(ROW(E$1:E733)*(E734=E$1:E733)))))</f>
        <v/>
      </c>
      <c r="L734" s="25"/>
    </row>
    <row r="735" spans="1:12" x14ac:dyDescent="0.2">
      <c r="A735" t="s">
        <v>922</v>
      </c>
      <c r="E735" s="20" t="str">
        <f t="shared" si="83"/>
        <v/>
      </c>
      <c r="F735" s="21" t="str">
        <f>IF(OR(E735="",E735="!!!"),"",IF(NOT(ISNA(VLOOKUP(E735,E$1:E734,1,FALSE()))),"OLD",IF(AND(E735&lt;&gt;"",E735&lt;&gt;"!!!"),"NEW","")))</f>
        <v/>
      </c>
      <c r="G735" s="22" t="str">
        <f>IF(OR(E735="",E735="!!!"),"",IF(OR(J735=0,AND(J735=1,K735=1),AND(J735=1,I735="SBJ"),AND(J735=1,I735=0)),"?IN_FOCUS",IF(J735&lt;=2,"?ACTIVATED",IF(J735&lt;&gt;"","?FAMILIAR",IF(F735="NEW",IF(ISNA(VLOOKUP(E735,#REF!,1,FALSE())),"?TYPE_IDENTIFIABLE","?REFERENTIAL"),"_")))))</f>
        <v/>
      </c>
      <c r="H735" s="23" t="str">
        <f t="shared" ca="1" si="82"/>
        <v/>
      </c>
      <c r="I735" s="24" t="str">
        <f>IF(OR(E735="",E735="!!!",F735="NEW"),"",INDEX(B$2:B734,-1+SUMPRODUCT(MAX(ROW(E$2:E734)*(E735=E$2:E734)))))</f>
        <v/>
      </c>
      <c r="J735" s="24" t="str">
        <f ca="1">IF(OR(E735="",E735="!!!",F735="NEW"),"",COUNTBLANK(OFFSET(A$1,,,SUMPRODUCT(MAX(ROW(E$2:E735)*(E735=E$2:E735)))))-COUNTBLANK(OFFSET(A$1,,,SUMPRODUCT(MAX(ROW(E$1:E734)*(E2=E$1:E734))))))</f>
        <v/>
      </c>
      <c r="K735" s="24" t="str">
        <f>IF(OR(E735="",E735="!!!",F735="NEW"),"",INDEX(J$1:J734,SUMPRODUCT(MAX(ROW(E$1:E734)*(E735=E$1:E734)))))</f>
        <v/>
      </c>
      <c r="L735" s="25"/>
    </row>
    <row r="736" spans="1:12" x14ac:dyDescent="0.2">
      <c r="A736" t="s">
        <v>902</v>
      </c>
      <c r="E736" s="20" t="str">
        <f t="shared" si="83"/>
        <v/>
      </c>
      <c r="F736" s="21" t="str">
        <f>IF(OR(E736="",E736="!!!"),"",IF(NOT(ISNA(VLOOKUP(E736,E$1:E735,1,FALSE()))),"OLD",IF(AND(E736&lt;&gt;"",E736&lt;&gt;"!!!"),"NEW","")))</f>
        <v/>
      </c>
      <c r="G736" s="22" t="str">
        <f>IF(OR(E736="",E736="!!!"),"",IF(OR(J736=0,AND(J736=1,K736=1),AND(J736=1,I736="SBJ"),AND(J736=1,I736=0)),"?IN_FOCUS",IF(J736&lt;=2,"?ACTIVATED",IF(J736&lt;&gt;"","?FAMILIAR",IF(F736="NEW",IF(ISNA(VLOOKUP(E736,#REF!,1,FALSE())),"?TYPE_IDENTIFIABLE","?REFERENTIAL"),"_")))))</f>
        <v/>
      </c>
      <c r="H736" s="23" t="str">
        <f t="shared" ca="1" si="82"/>
        <v/>
      </c>
      <c r="I736" s="24" t="str">
        <f>IF(OR(E736="",E736="!!!",F736="NEW"),"",INDEX(B$2:B735,-1+SUMPRODUCT(MAX(ROW(E$2:E735)*(E736=E$2:E735)))))</f>
        <v/>
      </c>
      <c r="J736" s="24" t="str">
        <f ca="1">IF(OR(E736="",E736="!!!",F736="NEW"),"",COUNTBLANK(OFFSET(A$1,,,SUMPRODUCT(MAX(ROW(E$2:E736)*(E736=E$2:E736)))))-COUNTBLANK(OFFSET(A$1,,,SUMPRODUCT(MAX(ROW(E$1:E735)*(E2=E$1:E735))))))</f>
        <v/>
      </c>
      <c r="K736" s="24" t="str">
        <f>IF(OR(E736="",E736="!!!",F736="NEW"),"",INDEX(J$1:J735,SUMPRODUCT(MAX(ROW(E$1:E735)*(E736=E$1:E735)))))</f>
        <v/>
      </c>
      <c r="L736" s="25"/>
    </row>
    <row r="738" spans="1:12" x14ac:dyDescent="0.2">
      <c r="A738" t="s">
        <v>900</v>
      </c>
      <c r="E738" s="20" t="str">
        <f>IF(D738="?OLD","!!!","")</f>
        <v/>
      </c>
      <c r="F738" s="21" t="str">
        <f>IF(OR(E738="",E738="!!!"),"",IF(NOT(ISNA(VLOOKUP(E738,E$1:E737,1,FALSE()))),"OLD",IF(AND(E738&lt;&gt;"",E738&lt;&gt;"!!!"),"NEW","")))</f>
        <v/>
      </c>
      <c r="G738" s="22" t="str">
        <f>IF(OR(E738="",E738="!!!"),"",IF(OR(J738=0,AND(J738=1,K738=1),AND(J738=1,I738="SBJ"),AND(J738=1,I738=0)),"?IN_FOCUS",IF(J738&lt;=2,"?ACTIVATED",IF(J738&lt;&gt;"","?FAMILIAR",IF(F738="NEW",IF(ISNA(VLOOKUP(E738,#REF!,1,FALSE())),"?TYPE_IDENTIFIABLE","?REFERENTIAL"),"_")))))</f>
        <v/>
      </c>
      <c r="H738" s="23" t="str">
        <f ca="1">IF(J738&lt;&gt;1,"",IF(I738="SBJ","CB","?"))</f>
        <v/>
      </c>
      <c r="I738" s="24" t="str">
        <f>IF(OR(E738="",E738="!!!",F738="NEW"),"",INDEX(B$2:B737,-1+SUMPRODUCT(MAX(ROW(E$2:E737)*(E738=E$2:E737)))))</f>
        <v/>
      </c>
      <c r="J738" s="24" t="str">
        <f ca="1">IF(OR(E738="",E738="!!!",F738="NEW"),"",COUNTBLANK(OFFSET(A$1,,,SUMPRODUCT(MAX(ROW(E$2:E738)*(E738=E$2:E738)))))-COUNTBLANK(OFFSET(A$1,,,SUMPRODUCT(MAX(ROW(E$1:E737)*(E2=E$1:E737))))))</f>
        <v/>
      </c>
      <c r="K738" s="24" t="str">
        <f>IF(OR(E738="",E738="!!!",F738="NEW"),"",INDEX(J$1:J737,SUMPRODUCT(MAX(ROW(E$1:E737)*(E738=E$1:E737)))))</f>
        <v/>
      </c>
      <c r="L738" s="25"/>
    </row>
    <row r="739" spans="1:12" x14ac:dyDescent="0.2">
      <c r="A739" t="s">
        <v>1100</v>
      </c>
    </row>
    <row r="740" spans="1:12" x14ac:dyDescent="0.2">
      <c r="A740" t="s">
        <v>1073</v>
      </c>
      <c r="B740" s="26" t="s">
        <v>804</v>
      </c>
      <c r="C740" s="26" t="s">
        <v>805</v>
      </c>
      <c r="D740" s="26" t="s">
        <v>806</v>
      </c>
      <c r="E740" s="20" t="s">
        <v>1767</v>
      </c>
      <c r="F740" s="21" t="str">
        <f>IF(OR(E740="",E740="!!!"),"",IF(NOT(ISNA(VLOOKUP(E740,E$1:E739,1,FALSE()))),"OLD",IF(AND(E740&lt;&gt;"",E740&lt;&gt;"!!!"),"NEW","")))</f>
        <v>OLD</v>
      </c>
      <c r="G740" s="22" t="s">
        <v>1823</v>
      </c>
      <c r="H740" s="23" t="str">
        <f t="shared" ref="H740:H761" ca="1" si="84">IF(J740&lt;&gt;1,"",IF(I740="SBJ","CB","?"))</f>
        <v/>
      </c>
      <c r="I740" s="24" t="str">
        <f>IF(OR(E740="",E740="!!!",F740="NEW"),"",INDEX(B$2:B739,-1+SUMPRODUCT(MAX(ROW(E$2:E739)*(E740=E$2:E739)))))</f>
        <v>SBJ_2</v>
      </c>
      <c r="J740" s="24">
        <f ca="1">IF(OR(E740="",E740="!!!",F740="NEW"),"",COUNTBLANK(OFFSET(A$1,,,SUMPRODUCT(MAX(ROW(E$2:E740)*(E740=E$2:E740)))))-COUNTBLANK(OFFSET(A$1,,,SUMPRODUCT(MAX(ROW(E$1:E739)*(E2=E$1:E739))))))</f>
        <v>0</v>
      </c>
      <c r="K740" s="24">
        <f ca="1">IF(OR(E740="",E740="!!!",F740="NEW"),"",INDEX(J$1:J739,SUMPRODUCT(MAX(ROW(E$1:E739)*(E740=E$1:E739)))))</f>
        <v>0</v>
      </c>
      <c r="L740" s="25"/>
    </row>
    <row r="741" spans="1:12" x14ac:dyDescent="0.2">
      <c r="A741" t="s">
        <v>904</v>
      </c>
      <c r="E741" s="20" t="str">
        <f t="shared" ref="E741:E761" si="85">IF(D741="?OLD","!!!","")</f>
        <v/>
      </c>
      <c r="F741" s="21" t="str">
        <f>IF(OR(E741="",E741="!!!"),"",IF(NOT(ISNA(VLOOKUP(E741,E$1:E740,1,FALSE()))),"OLD",IF(AND(E741&lt;&gt;"",E741&lt;&gt;"!!!"),"NEW","")))</f>
        <v/>
      </c>
      <c r="G741" s="22" t="str">
        <f>IF(OR(E741="",E741="!!!"),"",IF(OR(J741=0,AND(J741=1,K741=1),AND(J741=1,I741="SBJ"),AND(J741=1,I741=0)),"?IN_FOCUS",IF(J741&lt;=2,"?ACTIVATED",IF(J741&lt;&gt;"","?FAMILIAR",IF(F741="NEW",IF(ISNA(VLOOKUP(E741,#REF!,1,FALSE())),"?TYPE_IDENTIFIABLE","?REFERENTIAL"),"_")))))</f>
        <v/>
      </c>
      <c r="H741" s="23" t="str">
        <f t="shared" ca="1" si="84"/>
        <v/>
      </c>
      <c r="I741" s="24" t="str">
        <f>IF(OR(E741="",E741="!!!",F741="NEW"),"",INDEX(B$2:B740,-1+SUMPRODUCT(MAX(ROW(E$2:E740)*(E741=E$2:E740)))))</f>
        <v/>
      </c>
      <c r="J741" s="24" t="str">
        <f ca="1">IF(OR(E741="",E741="!!!",F741="NEW"),"",COUNTBLANK(OFFSET(A$1,,,SUMPRODUCT(MAX(ROW(E$2:E741)*(E741=E$2:E741)))))-COUNTBLANK(OFFSET(A$1,,,SUMPRODUCT(MAX(ROW(E$1:E740)*(E2=E$1:E740))))))</f>
        <v/>
      </c>
      <c r="K741" s="24" t="str">
        <f>IF(OR(E741="",E741="!!!",F741="NEW"),"",INDEX(J$1:J740,SUMPRODUCT(MAX(ROW(E$1:E740)*(E741=E$1:E740)))))</f>
        <v/>
      </c>
      <c r="L741" s="25"/>
    </row>
    <row r="742" spans="1:12" x14ac:dyDescent="0.2">
      <c r="A742" t="s">
        <v>802</v>
      </c>
      <c r="E742" s="20" t="str">
        <f t="shared" si="85"/>
        <v/>
      </c>
      <c r="F742" s="21" t="str">
        <f>IF(OR(E742="",E742="!!!"),"",IF(NOT(ISNA(VLOOKUP(E742,E$1:E741,1,FALSE()))),"OLD",IF(AND(E742&lt;&gt;"",E742&lt;&gt;"!!!"),"NEW","")))</f>
        <v/>
      </c>
      <c r="G742" s="22" t="str">
        <f>IF(OR(E742="",E742="!!!"),"",IF(OR(J742=0,AND(J742=1,K742=1),AND(J742=1,I742="SBJ"),AND(J742=1,I742=0)),"?IN_FOCUS",IF(J742&lt;=2,"?ACTIVATED",IF(J742&lt;&gt;"","?FAMILIAR",IF(F742="NEW",IF(ISNA(VLOOKUP(E742,#REF!,1,FALSE())),"?TYPE_IDENTIFIABLE","?REFERENTIAL"),"_")))))</f>
        <v/>
      </c>
      <c r="H742" s="23" t="str">
        <f t="shared" ca="1" si="84"/>
        <v/>
      </c>
      <c r="I742" s="24" t="str">
        <f>IF(OR(E742="",E742="!!!",F742="NEW"),"",INDEX(B$2:B741,-1+SUMPRODUCT(MAX(ROW(E$2:E741)*(E742=E$2:E741)))))</f>
        <v/>
      </c>
      <c r="J742" s="24" t="str">
        <f ca="1">IF(OR(E742="",E742="!!!",F742="NEW"),"",COUNTBLANK(OFFSET(A$1,,,SUMPRODUCT(MAX(ROW(E$2:E742)*(E742=E$2:E742)))))-COUNTBLANK(OFFSET(A$1,,,SUMPRODUCT(MAX(ROW(E$1:E741)*(E2=E$1:E741))))))</f>
        <v/>
      </c>
      <c r="K742" s="24" t="str">
        <f>IF(OR(E742="",E742="!!!",F742="NEW"),"",INDEX(J$1:J741,SUMPRODUCT(MAX(ROW(E$1:E741)*(E742=E$1:E741)))))</f>
        <v/>
      </c>
      <c r="L742" s="25"/>
    </row>
    <row r="743" spans="1:12" x14ac:dyDescent="0.2">
      <c r="A743" t="s">
        <v>902</v>
      </c>
      <c r="E743" s="20" t="str">
        <f t="shared" si="85"/>
        <v/>
      </c>
      <c r="F743" s="21" t="str">
        <f>IF(OR(E743="",E743="!!!"),"",IF(NOT(ISNA(VLOOKUP(E743,E$1:E742,1,FALSE()))),"OLD",IF(AND(E743&lt;&gt;"",E743&lt;&gt;"!!!"),"NEW","")))</f>
        <v/>
      </c>
      <c r="G743" s="22" t="str">
        <f>IF(OR(E743="",E743="!!!"),"",IF(OR(J743=0,AND(J743=1,K743=1),AND(J743=1,I743="SBJ"),AND(J743=1,I743=0)),"?IN_FOCUS",IF(J743&lt;=2,"?ACTIVATED",IF(J743&lt;&gt;"","?FAMILIAR",IF(F743="NEW",IF(ISNA(VLOOKUP(E743,#REF!,1,FALSE())),"?TYPE_IDENTIFIABLE","?REFERENTIAL"),"_")))))</f>
        <v/>
      </c>
      <c r="H743" s="23" t="str">
        <f t="shared" ca="1" si="84"/>
        <v/>
      </c>
      <c r="I743" s="24" t="str">
        <f>IF(OR(E743="",E743="!!!",F743="NEW"),"",INDEX(B$2:B742,-1+SUMPRODUCT(MAX(ROW(E$2:E742)*(E743=E$2:E742)))))</f>
        <v/>
      </c>
      <c r="J743" s="24" t="str">
        <f ca="1">IF(OR(E743="",E743="!!!",F743="NEW"),"",COUNTBLANK(OFFSET(A$1,,,SUMPRODUCT(MAX(ROW(E$2:E743)*(E743=E$2:E743)))))-COUNTBLANK(OFFSET(A$1,,,SUMPRODUCT(MAX(ROW(E$1:E742)*(E2=E$1:E742))))))</f>
        <v/>
      </c>
      <c r="K743" s="24" t="str">
        <f>IF(OR(E743="",E743="!!!",F743="NEW"),"",INDEX(J$1:J742,SUMPRODUCT(MAX(ROW(E$1:E742)*(E743=E$1:E742)))))</f>
        <v/>
      </c>
      <c r="L743" s="25"/>
    </row>
    <row r="744" spans="1:12" x14ac:dyDescent="0.2">
      <c r="A744" t="s">
        <v>1101</v>
      </c>
      <c r="E744" s="20" t="str">
        <f t="shared" si="85"/>
        <v/>
      </c>
      <c r="F744" s="21" t="str">
        <f>IF(OR(E744="",E744="!!!"),"",IF(NOT(ISNA(VLOOKUP(E744,E$1:E743,1,FALSE()))),"OLD",IF(AND(E744&lt;&gt;"",E744&lt;&gt;"!!!"),"NEW","")))</f>
        <v/>
      </c>
      <c r="G744" s="22" t="str">
        <f>IF(OR(E744="",E744="!!!"),"",IF(OR(J744=0,AND(J744=1,K744=1),AND(J744=1,I744="SBJ"),AND(J744=1,I744=0)),"?IN_FOCUS",IF(J744&lt;=2,"?ACTIVATED",IF(J744&lt;&gt;"","?FAMILIAR",IF(F744="NEW",IF(ISNA(VLOOKUP(E744,#REF!,1,FALSE())),"?TYPE_IDENTIFIABLE","?REFERENTIAL"),"_")))))</f>
        <v/>
      </c>
      <c r="H744" s="23" t="str">
        <f t="shared" ca="1" si="84"/>
        <v/>
      </c>
      <c r="I744" s="24" t="str">
        <f>IF(OR(E744="",E744="!!!",F744="NEW"),"",INDEX(B$2:B743,-1+SUMPRODUCT(MAX(ROW(E$2:E743)*(E744=E$2:E743)))))</f>
        <v/>
      </c>
      <c r="J744" s="24" t="str">
        <f ca="1">IF(OR(E744="",E744="!!!",F744="NEW"),"",COUNTBLANK(OFFSET(A$1,,,SUMPRODUCT(MAX(ROW(E$2:E744)*(E744=E$2:E744)))))-COUNTBLANK(OFFSET(A$1,,,SUMPRODUCT(MAX(ROW(E$1:E743)*(E2=E$1:E743))))))</f>
        <v/>
      </c>
      <c r="K744" s="24" t="str">
        <f>IF(OR(E744="",E744="!!!",F744="NEW"),"",INDEX(J$1:J743,SUMPRODUCT(MAX(ROW(E$1:E743)*(E744=E$1:E743)))))</f>
        <v/>
      </c>
      <c r="L744" s="25"/>
    </row>
    <row r="745" spans="1:12" x14ac:dyDescent="0.2">
      <c r="A745" t="s">
        <v>802</v>
      </c>
      <c r="E745" s="20" t="str">
        <f t="shared" si="85"/>
        <v/>
      </c>
      <c r="F745" s="21" t="str">
        <f>IF(OR(E745="",E745="!!!"),"",IF(NOT(ISNA(VLOOKUP(E745,E$1:E744,1,FALSE()))),"OLD",IF(AND(E745&lt;&gt;"",E745&lt;&gt;"!!!"),"NEW","")))</f>
        <v/>
      </c>
      <c r="G745" s="22" t="str">
        <f>IF(OR(E745="",E745="!!!"),"",IF(OR(J745=0,AND(J745=1,K745=1),AND(J745=1,I745="SBJ"),AND(J745=1,I745=0)),"?IN_FOCUS",IF(J745&lt;=2,"?ACTIVATED",IF(J745&lt;&gt;"","?FAMILIAR",IF(F745="NEW",IF(ISNA(VLOOKUP(E745,#REF!,1,FALSE())),"?TYPE_IDENTIFIABLE","?REFERENTIAL"),"_")))))</f>
        <v/>
      </c>
      <c r="H745" s="23" t="str">
        <f t="shared" ca="1" si="84"/>
        <v/>
      </c>
      <c r="I745" s="24" t="str">
        <f>IF(OR(E745="",E745="!!!",F745="NEW"),"",INDEX(B$2:B744,-1+SUMPRODUCT(MAX(ROW(E$2:E744)*(E745=E$2:E744)))))</f>
        <v/>
      </c>
      <c r="J745" s="24" t="str">
        <f ca="1">IF(OR(E745="",E745="!!!",F745="NEW"),"",COUNTBLANK(OFFSET(A$1,,,SUMPRODUCT(MAX(ROW(E$2:E745)*(E745=E$2:E745)))))-COUNTBLANK(OFFSET(A$1,,,SUMPRODUCT(MAX(ROW(E$1:E744)*(E2=E$1:E744))))))</f>
        <v/>
      </c>
      <c r="K745" s="24" t="str">
        <f>IF(OR(E745="",E745="!!!",F745="NEW"),"",INDEX(J$1:J744,SUMPRODUCT(MAX(ROW(E$1:E744)*(E745=E$1:E744)))))</f>
        <v/>
      </c>
      <c r="L745" s="25"/>
    </row>
    <row r="746" spans="1:12" x14ac:dyDescent="0.2">
      <c r="A746" t="s">
        <v>1102</v>
      </c>
      <c r="B746" s="26" t="s">
        <v>864</v>
      </c>
      <c r="C746" s="26" t="s">
        <v>814</v>
      </c>
      <c r="E746" s="20" t="str">
        <f t="shared" si="85"/>
        <v/>
      </c>
      <c r="F746" s="21" t="str">
        <f>IF(OR(E746="",E746="!!!"),"",IF(NOT(ISNA(VLOOKUP(E746,E$1:E745,1,FALSE()))),"OLD",IF(AND(E746&lt;&gt;"",E746&lt;&gt;"!!!"),"NEW","")))</f>
        <v/>
      </c>
      <c r="G746" s="22" t="str">
        <f>IF(OR(E746="",E746="!!!"),"",IF(OR(J746=0,AND(J746=1,K746=1),AND(J746=1,I746="SBJ"),AND(J746=1,I746=0)),"?IN_FOCUS",IF(J746&lt;=2,"?ACTIVATED",IF(J746&lt;&gt;"","?FAMILIAR",IF(F746="NEW",IF(ISNA(VLOOKUP(E746,#REF!,1,FALSE())),"?TYPE_IDENTIFIABLE","?REFERENTIAL"),"_")))))</f>
        <v/>
      </c>
      <c r="H746" s="23" t="str">
        <f t="shared" ca="1" si="84"/>
        <v/>
      </c>
      <c r="I746" s="24" t="str">
        <f>IF(OR(E746="",E746="!!!",F746="NEW"),"",INDEX(B$2:B745,-1+SUMPRODUCT(MAX(ROW(E$2:E745)*(E746=E$2:E745)))))</f>
        <v/>
      </c>
      <c r="J746" s="24" t="str">
        <f ca="1">IF(OR(E746="",E746="!!!",F746="NEW"),"",COUNTBLANK(OFFSET(A$1,,,SUMPRODUCT(MAX(ROW(E$2:E746)*(E746=E$2:E746)))))-COUNTBLANK(OFFSET(A$1,,,SUMPRODUCT(MAX(ROW(E$1:E745)*(E2=E$1:E745))))))</f>
        <v/>
      </c>
      <c r="K746" s="24" t="str">
        <f>IF(OR(E746="",E746="!!!",F746="NEW"),"",INDEX(J$1:J745,SUMPRODUCT(MAX(ROW(E$1:E745)*(E746=E$1:E745)))))</f>
        <v/>
      </c>
      <c r="L746" s="25"/>
    </row>
    <row r="747" spans="1:12" x14ac:dyDescent="0.2">
      <c r="A747" t="s">
        <v>802</v>
      </c>
      <c r="E747" s="20" t="str">
        <f t="shared" si="85"/>
        <v/>
      </c>
      <c r="F747" s="21" t="str">
        <f>IF(OR(E747="",E747="!!!"),"",IF(NOT(ISNA(VLOOKUP(E747,E$1:E746,1,FALSE()))),"OLD",IF(AND(E747&lt;&gt;"",E747&lt;&gt;"!!!"),"NEW","")))</f>
        <v/>
      </c>
      <c r="G747" s="22" t="str">
        <f>IF(OR(E747="",E747="!!!"),"",IF(OR(J747=0,AND(J747=1,K747=1),AND(J747=1,I747="SBJ"),AND(J747=1,I747=0)),"?IN_FOCUS",IF(J747&lt;=2,"?ACTIVATED",IF(J747&lt;&gt;"","?FAMILIAR",IF(F747="NEW",IF(ISNA(VLOOKUP(E747,#REF!,1,FALSE())),"?TYPE_IDENTIFIABLE","?REFERENTIAL"),"_")))))</f>
        <v/>
      </c>
      <c r="H747" s="23" t="str">
        <f t="shared" ca="1" si="84"/>
        <v/>
      </c>
      <c r="I747" s="24" t="str">
        <f>IF(OR(E747="",E747="!!!",F747="NEW"),"",INDEX(B$2:B746,-1+SUMPRODUCT(MAX(ROW(E$2:E746)*(E747=E$2:E746)))))</f>
        <v/>
      </c>
      <c r="J747" s="24" t="str">
        <f ca="1">IF(OR(E747="",E747="!!!",F747="NEW"),"",COUNTBLANK(OFFSET(A$1,,,SUMPRODUCT(MAX(ROW(E$2:E747)*(E747=E$2:E747)))))-COUNTBLANK(OFFSET(A$1,,,SUMPRODUCT(MAX(ROW(E$1:E746)*(E2=E$1:E746))))))</f>
        <v/>
      </c>
      <c r="K747" s="24" t="str">
        <f>IF(OR(E747="",E747="!!!",F747="NEW"),"",INDEX(J$1:J746,SUMPRODUCT(MAX(ROW(E$1:E746)*(E747=E$1:E746)))))</f>
        <v/>
      </c>
      <c r="L747" s="25"/>
    </row>
    <row r="748" spans="1:12" x14ac:dyDescent="0.2">
      <c r="A748" t="s">
        <v>1103</v>
      </c>
      <c r="B748" s="26" t="s">
        <v>864</v>
      </c>
      <c r="C748" s="26" t="s">
        <v>814</v>
      </c>
      <c r="E748" s="20" t="str">
        <f t="shared" si="85"/>
        <v/>
      </c>
      <c r="F748" s="21" t="str">
        <f>IF(OR(E748="",E748="!!!"),"",IF(NOT(ISNA(VLOOKUP(E748,E$1:E747,1,FALSE()))),"OLD",IF(AND(E748&lt;&gt;"",E748&lt;&gt;"!!!"),"NEW","")))</f>
        <v/>
      </c>
      <c r="G748" s="22" t="str">
        <f>IF(OR(E748="",E748="!!!"),"",IF(OR(J748=0,AND(J748=1,K748=1),AND(J748=1,I748="SBJ"),AND(J748=1,I748=0)),"?IN_FOCUS",IF(J748&lt;=2,"?ACTIVATED",IF(J748&lt;&gt;"","?FAMILIAR",IF(F748="NEW",IF(ISNA(VLOOKUP(E748,#REF!,1,FALSE())),"?TYPE_IDENTIFIABLE","?REFERENTIAL"),"_")))))</f>
        <v/>
      </c>
      <c r="H748" s="23" t="str">
        <f t="shared" ca="1" si="84"/>
        <v/>
      </c>
      <c r="I748" s="24" t="str">
        <f>IF(OR(E748="",E748="!!!",F748="NEW"),"",INDEX(B$2:B747,-1+SUMPRODUCT(MAX(ROW(E$2:E747)*(E748=E$2:E747)))))</f>
        <v/>
      </c>
      <c r="J748" s="24" t="str">
        <f ca="1">IF(OR(E748="",E748="!!!",F748="NEW"),"",COUNTBLANK(OFFSET(A$1,,,SUMPRODUCT(MAX(ROW(E$2:E748)*(E748=E$2:E748)))))-COUNTBLANK(OFFSET(A$1,,,SUMPRODUCT(MAX(ROW(E$1:E747)*(E2=E$1:E747))))))</f>
        <v/>
      </c>
      <c r="K748" s="24" t="str">
        <f>IF(OR(E748="",E748="!!!",F748="NEW"),"",INDEX(J$1:J747,SUMPRODUCT(MAX(ROW(E$1:E747)*(E748=E$1:E747)))))</f>
        <v/>
      </c>
      <c r="L748" s="25"/>
    </row>
    <row r="749" spans="1:12" x14ac:dyDescent="0.2">
      <c r="A749" t="s">
        <v>802</v>
      </c>
      <c r="E749" s="20" t="str">
        <f t="shared" si="85"/>
        <v/>
      </c>
      <c r="F749" s="21" t="str">
        <f>IF(OR(E749="",E749="!!!"),"",IF(NOT(ISNA(VLOOKUP(E749,E$1:E748,1,FALSE()))),"OLD",IF(AND(E749&lt;&gt;"",E749&lt;&gt;"!!!"),"NEW","")))</f>
        <v/>
      </c>
      <c r="G749" s="22" t="str">
        <f>IF(OR(E749="",E749="!!!"),"",IF(OR(J749=0,AND(J749=1,K749=1),AND(J749=1,I749="SBJ"),AND(J749=1,I749=0)),"?IN_FOCUS",IF(J749&lt;=2,"?ACTIVATED",IF(J749&lt;&gt;"","?FAMILIAR",IF(F749="NEW",IF(ISNA(VLOOKUP(E749,#REF!,1,FALSE())),"?TYPE_IDENTIFIABLE","?REFERENTIAL"),"_")))))</f>
        <v/>
      </c>
      <c r="H749" s="23" t="str">
        <f t="shared" ca="1" si="84"/>
        <v/>
      </c>
      <c r="I749" s="24" t="str">
        <f>IF(OR(E749="",E749="!!!",F749="NEW"),"",INDEX(B$2:B748,-1+SUMPRODUCT(MAX(ROW(E$2:E748)*(E749=E$2:E748)))))</f>
        <v/>
      </c>
      <c r="J749" s="24" t="str">
        <f ca="1">IF(OR(E749="",E749="!!!",F749="NEW"),"",COUNTBLANK(OFFSET(A$1,,,SUMPRODUCT(MAX(ROW(E$2:E749)*(E749=E$2:E749)))))-COUNTBLANK(OFFSET(A$1,,,SUMPRODUCT(MAX(ROW(E$1:E748)*(E2=E$1:E748))))))</f>
        <v/>
      </c>
      <c r="K749" s="24" t="str">
        <f>IF(OR(E749="",E749="!!!",F749="NEW"),"",INDEX(J$1:J748,SUMPRODUCT(MAX(ROW(E$1:E748)*(E749=E$1:E748)))))</f>
        <v/>
      </c>
      <c r="L749" s="25"/>
    </row>
    <row r="750" spans="1:12" x14ac:dyDescent="0.2">
      <c r="A750" t="s">
        <v>1104</v>
      </c>
      <c r="E750" s="20" t="str">
        <f t="shared" si="85"/>
        <v/>
      </c>
      <c r="F750" s="21" t="str">
        <f>IF(OR(E750="",E750="!!!"),"",IF(NOT(ISNA(VLOOKUP(E750,E$1:E749,1,FALSE()))),"OLD",IF(AND(E750&lt;&gt;"",E750&lt;&gt;"!!!"),"NEW","")))</f>
        <v/>
      </c>
      <c r="G750" s="22" t="str">
        <f>IF(OR(E750="",E750="!!!"),"",IF(OR(J750=0,AND(J750=1,K750=1),AND(J750=1,I750="SBJ"),AND(J750=1,I750=0)),"?IN_FOCUS",IF(J750&lt;=2,"?ACTIVATED",IF(J750&lt;&gt;"","?FAMILIAR",IF(F750="NEW",IF(ISNA(VLOOKUP(E750,#REF!,1,FALSE())),"?TYPE_IDENTIFIABLE","?REFERENTIAL"),"_")))))</f>
        <v/>
      </c>
      <c r="H750" s="23" t="str">
        <f t="shared" ca="1" si="84"/>
        <v/>
      </c>
      <c r="I750" s="24" t="str">
        <f>IF(OR(E750="",E750="!!!",F750="NEW"),"",INDEX(B$2:B749,-1+SUMPRODUCT(MAX(ROW(E$2:E749)*(E750=E$2:E749)))))</f>
        <v/>
      </c>
      <c r="J750" s="24" t="str">
        <f ca="1">IF(OR(E750="",E750="!!!",F750="NEW"),"",COUNTBLANK(OFFSET(A$1,,,SUMPRODUCT(MAX(ROW(E$2:E750)*(E750=E$2:E750)))))-COUNTBLANK(OFFSET(A$1,,,SUMPRODUCT(MAX(ROW(E$1:E749)*(E2=E$1:E749))))))</f>
        <v/>
      </c>
      <c r="K750" s="24" t="str">
        <f>IF(OR(E750="",E750="!!!",F750="NEW"),"",INDEX(J$1:J749,SUMPRODUCT(MAX(ROW(E$1:E749)*(E750=E$1:E749)))))</f>
        <v/>
      </c>
      <c r="L750" s="25"/>
    </row>
    <row r="751" spans="1:12" x14ac:dyDescent="0.2">
      <c r="A751" t="s">
        <v>1105</v>
      </c>
      <c r="B751" s="26" t="s">
        <v>864</v>
      </c>
      <c r="C751" s="26" t="s">
        <v>884</v>
      </c>
      <c r="E751" s="20" t="str">
        <f t="shared" si="85"/>
        <v/>
      </c>
      <c r="F751" s="21" t="str">
        <f>IF(OR(E751="",E751="!!!"),"",IF(NOT(ISNA(VLOOKUP(E751,E$1:E750,1,FALSE()))),"OLD",IF(AND(E751&lt;&gt;"",E751&lt;&gt;"!!!"),"NEW","")))</f>
        <v/>
      </c>
      <c r="G751" s="22" t="str">
        <f>IF(OR(E751="",E751="!!!"),"",IF(OR(J751=0,AND(J751=1,K751=1),AND(J751=1,I751="SBJ"),AND(J751=1,I751=0)),"?IN_FOCUS",IF(J751&lt;=2,"?ACTIVATED",IF(J751&lt;&gt;"","?FAMILIAR",IF(F751="NEW",IF(ISNA(VLOOKUP(E751,#REF!,1,FALSE())),"?TYPE_IDENTIFIABLE","?REFERENTIAL"),"_")))))</f>
        <v/>
      </c>
      <c r="H751" s="23" t="str">
        <f t="shared" ca="1" si="84"/>
        <v/>
      </c>
      <c r="I751" s="24" t="str">
        <f>IF(OR(E751="",E751="!!!",F751="NEW"),"",INDEX(B$2:B750,-1+SUMPRODUCT(MAX(ROW(E$2:E750)*(E751=E$2:E750)))))</f>
        <v/>
      </c>
      <c r="J751" s="24" t="str">
        <f ca="1">IF(OR(E751="",E751="!!!",F751="NEW"),"",COUNTBLANK(OFFSET(A$1,,,SUMPRODUCT(MAX(ROW(E$2:E751)*(E751=E$2:E751)))))-COUNTBLANK(OFFSET(A$1,,,SUMPRODUCT(MAX(ROW(E$1:E750)*(E2=E$1:E750))))))</f>
        <v/>
      </c>
      <c r="K751" s="24" t="str">
        <f>IF(OR(E751="",E751="!!!",F751="NEW"),"",INDEX(J$1:J750,SUMPRODUCT(MAX(ROW(E$1:E750)*(E751=E$1:E750)))))</f>
        <v/>
      </c>
      <c r="L751" s="25"/>
    </row>
    <row r="752" spans="1:12" x14ac:dyDescent="0.2">
      <c r="A752" t="s">
        <v>802</v>
      </c>
      <c r="E752" s="20" t="str">
        <f t="shared" si="85"/>
        <v/>
      </c>
      <c r="F752" s="21" t="str">
        <f>IF(OR(E752="",E752="!!!"),"",IF(NOT(ISNA(VLOOKUP(E752,E$1:E751,1,FALSE()))),"OLD",IF(AND(E752&lt;&gt;"",E752&lt;&gt;"!!!"),"NEW","")))</f>
        <v/>
      </c>
      <c r="G752" s="22" t="str">
        <f>IF(OR(E752="",E752="!!!"),"",IF(OR(J752=0,AND(J752=1,K752=1),AND(J752=1,I752="SBJ"),AND(J752=1,I752=0)),"?IN_FOCUS",IF(J752&lt;=2,"?ACTIVATED",IF(J752&lt;&gt;"","?FAMILIAR",IF(F752="NEW",IF(ISNA(VLOOKUP(E752,#REF!,1,FALSE())),"?TYPE_IDENTIFIABLE","?REFERENTIAL"),"_")))))</f>
        <v/>
      </c>
      <c r="H752" s="23" t="str">
        <f t="shared" ca="1" si="84"/>
        <v/>
      </c>
      <c r="I752" s="24" t="str">
        <f>IF(OR(E752="",E752="!!!",F752="NEW"),"",INDEX(B$2:B751,-1+SUMPRODUCT(MAX(ROW(E$2:E751)*(E752=E$2:E751)))))</f>
        <v/>
      </c>
      <c r="J752" s="24" t="str">
        <f ca="1">IF(OR(E752="",E752="!!!",F752="NEW"),"",COUNTBLANK(OFFSET(A$1,,,SUMPRODUCT(MAX(ROW(E$2:E752)*(E752=E$2:E752)))))-COUNTBLANK(OFFSET(A$1,,,SUMPRODUCT(MAX(ROW(E$1:E751)*(E2=E$1:E751))))))</f>
        <v/>
      </c>
      <c r="K752" s="24" t="str">
        <f>IF(OR(E752="",E752="!!!",F752="NEW"),"",INDEX(J$1:J751,SUMPRODUCT(MAX(ROW(E$1:E751)*(E752=E$1:E751)))))</f>
        <v/>
      </c>
      <c r="L752" s="25"/>
    </row>
    <row r="753" spans="1:12" x14ac:dyDescent="0.2">
      <c r="A753" t="s">
        <v>1106</v>
      </c>
      <c r="B753" s="26" t="s">
        <v>864</v>
      </c>
      <c r="C753" s="26" t="s">
        <v>814</v>
      </c>
      <c r="E753" s="20" t="str">
        <f t="shared" si="85"/>
        <v/>
      </c>
      <c r="F753" s="21" t="str">
        <f>IF(OR(E753="",E753="!!!"),"",IF(NOT(ISNA(VLOOKUP(E753,E$1:E752,1,FALSE()))),"OLD",IF(AND(E753&lt;&gt;"",E753&lt;&gt;"!!!"),"NEW","")))</f>
        <v/>
      </c>
      <c r="G753" s="22" t="str">
        <f>IF(OR(E753="",E753="!!!"),"",IF(OR(J753=0,AND(J753=1,K753=1),AND(J753=1,I753="SBJ"),AND(J753=1,I753=0)),"?IN_FOCUS",IF(J753&lt;=2,"?ACTIVATED",IF(J753&lt;&gt;"","?FAMILIAR",IF(F753="NEW",IF(ISNA(VLOOKUP(E753,#REF!,1,FALSE())),"?TYPE_IDENTIFIABLE","?REFERENTIAL"),"_")))))</f>
        <v/>
      </c>
      <c r="H753" s="23" t="str">
        <f t="shared" ca="1" si="84"/>
        <v/>
      </c>
      <c r="I753" s="24" t="str">
        <f>IF(OR(E753="",E753="!!!",F753="NEW"),"",INDEX(B$2:B752,-1+SUMPRODUCT(MAX(ROW(E$2:E752)*(E753=E$2:E752)))))</f>
        <v/>
      </c>
      <c r="J753" s="24" t="str">
        <f ca="1">IF(OR(E753="",E753="!!!",F753="NEW"),"",COUNTBLANK(OFFSET(A$1,,,SUMPRODUCT(MAX(ROW(E$2:E753)*(E753=E$2:E753)))))-COUNTBLANK(OFFSET(A$1,,,SUMPRODUCT(MAX(ROW(E$1:E752)*(E2=E$1:E752))))))</f>
        <v/>
      </c>
      <c r="K753" s="24" t="str">
        <f>IF(OR(E753="",E753="!!!",F753="NEW"),"",INDEX(J$1:J752,SUMPRODUCT(MAX(ROW(E$1:E752)*(E753=E$1:E752)))))</f>
        <v/>
      </c>
      <c r="L753" s="25"/>
    </row>
    <row r="754" spans="1:12" x14ac:dyDescent="0.2">
      <c r="A754" t="s">
        <v>802</v>
      </c>
      <c r="E754" s="20" t="str">
        <f t="shared" si="85"/>
        <v/>
      </c>
      <c r="F754" s="21" t="str">
        <f>IF(OR(E754="",E754="!!!"),"",IF(NOT(ISNA(VLOOKUP(E754,E$1:E753,1,FALSE()))),"OLD",IF(AND(E754&lt;&gt;"",E754&lt;&gt;"!!!"),"NEW","")))</f>
        <v/>
      </c>
      <c r="G754" s="22" t="str">
        <f>IF(OR(E754="",E754="!!!"),"",IF(OR(J754=0,AND(J754=1,K754=1),AND(J754=1,I754="SBJ"),AND(J754=1,I754=0)),"?IN_FOCUS",IF(J754&lt;=2,"?ACTIVATED",IF(J754&lt;&gt;"","?FAMILIAR",IF(F754="NEW",IF(ISNA(VLOOKUP(E754,#REF!,1,FALSE())),"?TYPE_IDENTIFIABLE","?REFERENTIAL"),"_")))))</f>
        <v/>
      </c>
      <c r="H754" s="23" t="str">
        <f t="shared" ca="1" si="84"/>
        <v/>
      </c>
      <c r="I754" s="24" t="str">
        <f>IF(OR(E754="",E754="!!!",F754="NEW"),"",INDEX(B$2:B753,-1+SUMPRODUCT(MAX(ROW(E$2:E753)*(E754=E$2:E753)))))</f>
        <v/>
      </c>
      <c r="J754" s="24" t="str">
        <f ca="1">IF(OR(E754="",E754="!!!",F754="NEW"),"",COUNTBLANK(OFFSET(A$1,,,SUMPRODUCT(MAX(ROW(E$2:E754)*(E754=E$2:E754)))))-COUNTBLANK(OFFSET(A$1,,,SUMPRODUCT(MAX(ROW(E$1:E753)*(E2=E$1:E753))))))</f>
        <v/>
      </c>
      <c r="K754" s="24" t="str">
        <f>IF(OR(E754="",E754="!!!",F754="NEW"),"",INDEX(J$1:J753,SUMPRODUCT(MAX(ROW(E$1:E753)*(E754=E$1:E753)))))</f>
        <v/>
      </c>
      <c r="L754" s="25"/>
    </row>
    <row r="755" spans="1:12" x14ac:dyDescent="0.2">
      <c r="A755" t="s">
        <v>1107</v>
      </c>
      <c r="E755" s="20" t="str">
        <f t="shared" si="85"/>
        <v/>
      </c>
      <c r="F755" s="21" t="str">
        <f>IF(OR(E755="",E755="!!!"),"",IF(NOT(ISNA(VLOOKUP(E755,E$1:E754,1,FALSE()))),"OLD",IF(AND(E755&lt;&gt;"",E755&lt;&gt;"!!!"),"NEW","")))</f>
        <v/>
      </c>
      <c r="G755" s="22" t="str">
        <f>IF(OR(E755="",E755="!!!"),"",IF(OR(J755=0,AND(J755=1,K755=1),AND(J755=1,I755="SBJ"),AND(J755=1,I755=0)),"?IN_FOCUS",IF(J755&lt;=2,"?ACTIVATED",IF(J755&lt;&gt;"","?FAMILIAR",IF(F755="NEW",IF(ISNA(VLOOKUP(E755,#REF!,1,FALSE())),"?TYPE_IDENTIFIABLE","?REFERENTIAL"),"_")))))</f>
        <v/>
      </c>
      <c r="H755" s="23" t="str">
        <f t="shared" ca="1" si="84"/>
        <v/>
      </c>
      <c r="I755" s="24" t="str">
        <f>IF(OR(E755="",E755="!!!",F755="NEW"),"",INDEX(B$2:B754,-1+SUMPRODUCT(MAX(ROW(E$2:E754)*(E755=E$2:E754)))))</f>
        <v/>
      </c>
      <c r="J755" s="24" t="str">
        <f ca="1">IF(OR(E755="",E755="!!!",F755="NEW"),"",COUNTBLANK(OFFSET(A$1,,,SUMPRODUCT(MAX(ROW(E$2:E755)*(E755=E$2:E755)))))-COUNTBLANK(OFFSET(A$1,,,SUMPRODUCT(MAX(ROW(E$1:E754)*(E2=E$1:E754))))))</f>
        <v/>
      </c>
      <c r="K755" s="24" t="str">
        <f>IF(OR(E755="",E755="!!!",F755="NEW"),"",INDEX(J$1:J754,SUMPRODUCT(MAX(ROW(E$1:E754)*(E755=E$1:E754)))))</f>
        <v/>
      </c>
      <c r="L755" s="25"/>
    </row>
    <row r="756" spans="1:12" x14ac:dyDescent="0.2">
      <c r="A756" t="s">
        <v>888</v>
      </c>
      <c r="E756" s="20" t="str">
        <f t="shared" si="85"/>
        <v/>
      </c>
      <c r="F756" s="21" t="str">
        <f>IF(OR(E756="",E756="!!!"),"",IF(NOT(ISNA(VLOOKUP(E756,E$1:E755,1,FALSE()))),"OLD",IF(AND(E756&lt;&gt;"",E756&lt;&gt;"!!!"),"NEW","")))</f>
        <v/>
      </c>
      <c r="G756" s="22" t="str">
        <f>IF(OR(E756="",E756="!!!"),"",IF(OR(J756=0,AND(J756=1,K756=1),AND(J756=1,I756="SBJ"),AND(J756=1,I756=0)),"?IN_FOCUS",IF(J756&lt;=2,"?ACTIVATED",IF(J756&lt;&gt;"","?FAMILIAR",IF(F756="NEW",IF(ISNA(VLOOKUP(E756,#REF!,1,FALSE())),"?TYPE_IDENTIFIABLE","?REFERENTIAL"),"_")))))</f>
        <v/>
      </c>
      <c r="H756" s="23" t="str">
        <f t="shared" ca="1" si="84"/>
        <v/>
      </c>
      <c r="I756" s="24" t="str">
        <f>IF(OR(E756="",E756="!!!",F756="NEW"),"",INDEX(B$2:B755,-1+SUMPRODUCT(MAX(ROW(E$2:E755)*(E756=E$2:E755)))))</f>
        <v/>
      </c>
      <c r="J756" s="24" t="str">
        <f ca="1">IF(OR(E756="",E756="!!!",F756="NEW"),"",COUNTBLANK(OFFSET(A$1,,,SUMPRODUCT(MAX(ROW(E$2:E756)*(E756=E$2:E756)))))-COUNTBLANK(OFFSET(A$1,,,SUMPRODUCT(MAX(ROW(E$1:E755)*(E2=E$1:E755))))))</f>
        <v/>
      </c>
      <c r="K756" s="24" t="str">
        <f>IF(OR(E756="",E756="!!!",F756="NEW"),"",INDEX(J$1:J755,SUMPRODUCT(MAX(ROW(E$1:E755)*(E756=E$1:E755)))))</f>
        <v/>
      </c>
      <c r="L756" s="25"/>
    </row>
    <row r="757" spans="1:12" x14ac:dyDescent="0.2">
      <c r="A757" t="s">
        <v>1108</v>
      </c>
      <c r="E757" s="20" t="str">
        <f t="shared" si="85"/>
        <v/>
      </c>
      <c r="F757" s="21" t="str">
        <f>IF(OR(E757="",E757="!!!"),"",IF(NOT(ISNA(VLOOKUP(E757,E$1:E756,1,FALSE()))),"OLD",IF(AND(E757&lt;&gt;"",E757&lt;&gt;"!!!"),"NEW","")))</f>
        <v/>
      </c>
      <c r="G757" s="22" t="str">
        <f>IF(OR(E757="",E757="!!!"),"",IF(OR(J757=0,AND(J757=1,K757=1),AND(J757=1,I757="SBJ"),AND(J757=1,I757=0)),"?IN_FOCUS",IF(J757&lt;=2,"?ACTIVATED",IF(J757&lt;&gt;"","?FAMILIAR",IF(F757="NEW",IF(ISNA(VLOOKUP(E757,#REF!,1,FALSE())),"?TYPE_IDENTIFIABLE","?REFERENTIAL"),"_")))))</f>
        <v/>
      </c>
      <c r="H757" s="23" t="str">
        <f t="shared" ca="1" si="84"/>
        <v/>
      </c>
      <c r="I757" s="24" t="str">
        <f>IF(OR(E757="",E757="!!!",F757="NEW"),"",INDEX(B$2:B756,-1+SUMPRODUCT(MAX(ROW(E$2:E756)*(E757=E$2:E756)))))</f>
        <v/>
      </c>
      <c r="J757" s="24" t="str">
        <f ca="1">IF(OR(E757="",E757="!!!",F757="NEW"),"",COUNTBLANK(OFFSET(A$1,,,SUMPRODUCT(MAX(ROW(E$2:E757)*(E757=E$2:E757)))))-COUNTBLANK(OFFSET(A$1,,,SUMPRODUCT(MAX(ROW(E$1:E756)*(E2=E$1:E756))))))</f>
        <v/>
      </c>
      <c r="K757" s="24" t="str">
        <f>IF(OR(E757="",E757="!!!",F757="NEW"),"",INDEX(J$1:J756,SUMPRODUCT(MAX(ROW(E$1:E756)*(E757=E$1:E756)))))</f>
        <v/>
      </c>
      <c r="L757" s="25"/>
    </row>
    <row r="758" spans="1:12" x14ac:dyDescent="0.2">
      <c r="A758" t="s">
        <v>1109</v>
      </c>
      <c r="E758" s="20" t="str">
        <f t="shared" si="85"/>
        <v/>
      </c>
      <c r="F758" s="21" t="str">
        <f>IF(OR(E758="",E758="!!!"),"",IF(NOT(ISNA(VLOOKUP(E758,E$1:E757,1,FALSE()))),"OLD",IF(AND(E758&lt;&gt;"",E758&lt;&gt;"!!!"),"NEW","")))</f>
        <v/>
      </c>
      <c r="G758" s="22" t="str">
        <f>IF(OR(E758="",E758="!!!"),"",IF(OR(J758=0,AND(J758=1,K758=1),AND(J758=1,I758="SBJ"),AND(J758=1,I758=0)),"?IN_FOCUS",IF(J758&lt;=2,"?ACTIVATED",IF(J758&lt;&gt;"","?FAMILIAR",IF(F758="NEW",IF(ISNA(VLOOKUP(E758,#REF!,1,FALSE())),"?TYPE_IDENTIFIABLE","?REFERENTIAL"),"_")))))</f>
        <v/>
      </c>
      <c r="H758" s="23" t="str">
        <f t="shared" ca="1" si="84"/>
        <v/>
      </c>
      <c r="I758" s="24" t="str">
        <f>IF(OR(E758="",E758="!!!",F758="NEW"),"",INDEX(B$2:B757,-1+SUMPRODUCT(MAX(ROW(E$2:E757)*(E758=E$2:E757)))))</f>
        <v/>
      </c>
      <c r="J758" s="24" t="str">
        <f ca="1">IF(OR(E758="",E758="!!!",F758="NEW"),"",COUNTBLANK(OFFSET(A$1,,,SUMPRODUCT(MAX(ROW(E$2:E758)*(E758=E$2:E758)))))-COUNTBLANK(OFFSET(A$1,,,SUMPRODUCT(MAX(ROW(E$1:E757)*(E2=E$1:E757))))))</f>
        <v/>
      </c>
      <c r="K758" s="24" t="str">
        <f>IF(OR(E758="",E758="!!!",F758="NEW"),"",INDEX(J$1:J757,SUMPRODUCT(MAX(ROW(E$1:E757)*(E758=E$1:E757)))))</f>
        <v/>
      </c>
      <c r="L758" s="25"/>
    </row>
    <row r="759" spans="1:12" x14ac:dyDescent="0.2">
      <c r="A759" t="s">
        <v>152</v>
      </c>
      <c r="B759" s="26" t="s">
        <v>864</v>
      </c>
      <c r="C759" s="26" t="s">
        <v>814</v>
      </c>
      <c r="E759" s="20" t="s">
        <v>152</v>
      </c>
      <c r="F759" s="21" t="str">
        <f>IF(OR(E759="",E759="!!!"),"",IF(NOT(ISNA(VLOOKUP(E759,E$1:E758,1,FALSE()))),"OLD",IF(AND(E759&lt;&gt;"",E759&lt;&gt;"!!!"),"NEW","")))</f>
        <v>NEW</v>
      </c>
      <c r="G759" s="22" t="s">
        <v>1827</v>
      </c>
      <c r="H759" s="23" t="str">
        <f t="shared" ca="1" si="84"/>
        <v/>
      </c>
      <c r="I759" s="24" t="str">
        <f>IF(OR(E759="",E759="!!!",F759="NEW"),"",INDEX(B$2:B758,-1+SUMPRODUCT(MAX(ROW(E$2:E758)*(E759=E$2:E758)))))</f>
        <v/>
      </c>
      <c r="J759" s="24" t="str">
        <f ca="1">IF(OR(E759="",E759="!!!",F759="NEW"),"",COUNTBLANK(OFFSET(A$1,,,SUMPRODUCT(MAX(ROW(E$2:E759)*(E759=E$2:E759)))))-COUNTBLANK(OFFSET(A$1,,,SUMPRODUCT(MAX(ROW(E$1:E758)*(E2=E$1:E758))))))</f>
        <v/>
      </c>
      <c r="K759" s="24" t="str">
        <f>IF(OR(E759="",E759="!!!",F759="NEW"),"",INDEX(J$1:J758,SUMPRODUCT(MAX(ROW(E$1:E758)*(E759=E$1:E758)))))</f>
        <v/>
      </c>
      <c r="L759" s="25"/>
    </row>
    <row r="760" spans="1:12" x14ac:dyDescent="0.2">
      <c r="A760" t="s">
        <v>821</v>
      </c>
      <c r="E760" s="20" t="str">
        <f t="shared" si="85"/>
        <v/>
      </c>
      <c r="F760" s="21" t="str">
        <f>IF(OR(E760="",E760="!!!"),"",IF(NOT(ISNA(VLOOKUP(E760,E$1:E759,1,FALSE()))),"OLD",IF(AND(E760&lt;&gt;"",E760&lt;&gt;"!!!"),"NEW","")))</f>
        <v/>
      </c>
      <c r="G760" s="22" t="str">
        <f>IF(OR(E760="",E760="!!!"),"",IF(OR(J760=0,AND(J760=1,K760=1),AND(J760=1,I760="SBJ"),AND(J760=1,I760=0)),"?IN_FOCUS",IF(J760&lt;=2,"?ACTIVATED",IF(J760&lt;&gt;"","?FAMILIAR",IF(F760="NEW",IF(ISNA(VLOOKUP(E760,#REF!,1,FALSE())),"?TYPE_IDENTIFIABLE","?REFERENTIAL"),"_")))))</f>
        <v/>
      </c>
      <c r="H760" s="23" t="str">
        <f t="shared" ca="1" si="84"/>
        <v/>
      </c>
      <c r="I760" s="24" t="str">
        <f>IF(OR(E760="",E760="!!!",F760="NEW"),"",INDEX(B$2:B759,-1+SUMPRODUCT(MAX(ROW(E$2:E759)*(E760=E$2:E759)))))</f>
        <v/>
      </c>
      <c r="J760" s="24" t="str">
        <f ca="1">IF(OR(E760="",E760="!!!",F760="NEW"),"",COUNTBLANK(OFFSET(A$1,,,SUMPRODUCT(MAX(ROW(E$2:E760)*(E760=E$2:E760)))))-COUNTBLANK(OFFSET(A$1,,,SUMPRODUCT(MAX(ROW(E$1:E759)*(E2=E$1:E759))))))</f>
        <v/>
      </c>
      <c r="K760" s="24" t="str">
        <f>IF(OR(E760="",E760="!!!",F760="NEW"),"",INDEX(J$1:J759,SUMPRODUCT(MAX(ROW(E$1:E759)*(E760=E$1:E759)))))</f>
        <v/>
      </c>
      <c r="L760" s="25"/>
    </row>
    <row r="761" spans="1:12" x14ac:dyDescent="0.2">
      <c r="A761" t="s">
        <v>902</v>
      </c>
      <c r="E761" s="20" t="str">
        <f t="shared" si="85"/>
        <v/>
      </c>
      <c r="F761" s="21" t="str">
        <f>IF(OR(E761="",E761="!!!"),"",IF(NOT(ISNA(VLOOKUP(E761,E$1:E760,1,FALSE()))),"OLD",IF(AND(E761&lt;&gt;"",E761&lt;&gt;"!!!"),"NEW","")))</f>
        <v/>
      </c>
      <c r="G761" s="22" t="str">
        <f>IF(OR(E761="",E761="!!!"),"",IF(OR(J761=0,AND(J761=1,K761=1),AND(J761=1,I761="SBJ"),AND(J761=1,I761=0)),"?IN_FOCUS",IF(J761&lt;=2,"?ACTIVATED",IF(J761&lt;&gt;"","?FAMILIAR",IF(F761="NEW",IF(ISNA(VLOOKUP(E761,#REF!,1,FALSE())),"?TYPE_IDENTIFIABLE","?REFERENTIAL"),"_")))))</f>
        <v/>
      </c>
      <c r="H761" s="23" t="str">
        <f t="shared" ca="1" si="84"/>
        <v/>
      </c>
      <c r="I761" s="24" t="str">
        <f>IF(OR(E761="",E761="!!!",F761="NEW"),"",INDEX(B$2:B760,-1+SUMPRODUCT(MAX(ROW(E$2:E760)*(E761=E$2:E760)))))</f>
        <v/>
      </c>
      <c r="J761" s="24" t="str">
        <f ca="1">IF(OR(E761="",E761="!!!",F761="NEW"),"",COUNTBLANK(OFFSET(A$1,,,SUMPRODUCT(MAX(ROW(E$2:E761)*(E761=E$2:E761)))))-COUNTBLANK(OFFSET(A$1,,,SUMPRODUCT(MAX(ROW(E$1:E760)*(E2=E$1:E760))))))</f>
        <v/>
      </c>
      <c r="K761" s="24" t="str">
        <f>IF(OR(E761="",E761="!!!",F761="NEW"),"",INDEX(J$1:J760,SUMPRODUCT(MAX(ROW(E$1:E760)*(E761=E$1:E760)))))</f>
        <v/>
      </c>
      <c r="L761" s="25"/>
    </row>
    <row r="763" spans="1:12" x14ac:dyDescent="0.2">
      <c r="A763" t="s">
        <v>900</v>
      </c>
      <c r="E763" s="20" t="str">
        <f>IF(D763="?OLD","!!!","")</f>
        <v/>
      </c>
      <c r="F763" s="21" t="str">
        <f>IF(OR(E763="",E763="!!!"),"",IF(NOT(ISNA(VLOOKUP(E763,E$1:E762,1,FALSE()))),"OLD",IF(AND(E763&lt;&gt;"",E763&lt;&gt;"!!!"),"NEW","")))</f>
        <v/>
      </c>
      <c r="G763" s="22" t="str">
        <f>IF(OR(E763="",E763="!!!"),"",IF(OR(J763=0,AND(J763=1,K763=1),AND(J763=1,I763="SBJ"),AND(J763=1,I763=0)),"?IN_FOCUS",IF(J763&lt;=2,"?ACTIVATED",IF(J763&lt;&gt;"","?FAMILIAR",IF(F763="NEW",IF(ISNA(VLOOKUP(E763,#REF!,1,FALSE())),"?TYPE_IDENTIFIABLE","?REFERENTIAL"),"_")))))</f>
        <v/>
      </c>
      <c r="H763" s="23" t="str">
        <f ca="1">IF(J763&lt;&gt;1,"",IF(I763="SBJ","CB","?"))</f>
        <v/>
      </c>
      <c r="I763" s="24" t="str">
        <f>IF(OR(E763="",E763="!!!",F763="NEW"),"",INDEX(B$2:B762,-1+SUMPRODUCT(MAX(ROW(E$2:E762)*(E763=E$2:E762)))))</f>
        <v/>
      </c>
      <c r="J763" s="24" t="str">
        <f ca="1">IF(OR(E763="",E763="!!!",F763="NEW"),"",COUNTBLANK(OFFSET(A$1,,,SUMPRODUCT(MAX(ROW(E$2:E763)*(E763=E$2:E763)))))-COUNTBLANK(OFFSET(A$1,,,SUMPRODUCT(MAX(ROW(E$1:E762)*(E2=E$1:E762))))))</f>
        <v/>
      </c>
      <c r="K763" s="24" t="str">
        <f>IF(OR(E763="",E763="!!!",F763="NEW"),"",INDEX(J$1:J762,SUMPRODUCT(MAX(ROW(E$1:E762)*(E763=E$1:E762)))))</f>
        <v/>
      </c>
      <c r="L763" s="25"/>
    </row>
    <row r="764" spans="1:12" x14ac:dyDescent="0.2">
      <c r="A764" t="s">
        <v>1110</v>
      </c>
    </row>
    <row r="765" spans="1:12" x14ac:dyDescent="0.2">
      <c r="A765" t="s">
        <v>803</v>
      </c>
      <c r="B765" s="26" t="s">
        <v>804</v>
      </c>
      <c r="C765" s="26" t="s">
        <v>805</v>
      </c>
      <c r="D765" s="26" t="s">
        <v>806</v>
      </c>
      <c r="E765" s="20" t="s">
        <v>1747</v>
      </c>
      <c r="F765" s="21" t="s">
        <v>1753</v>
      </c>
      <c r="G765" s="22" t="s">
        <v>1823</v>
      </c>
      <c r="H765" s="23" t="str">
        <f t="shared" ref="H765:H777" ca="1" si="86">IF(J765&lt;&gt;1,"",IF(I765="SBJ","CB","?"))</f>
        <v/>
      </c>
      <c r="I765" s="24" t="str">
        <f>IF(OR(E765="",E765="!!!",F765="NEW"),"",INDEX(B$2:B764,-1+SUMPRODUCT(MAX(ROW(E$2:E764)*(E765=E$2:E764)))))</f>
        <v>SBJ</v>
      </c>
      <c r="J765" s="24">
        <f ca="1">IF(OR(E765="",E765="!!!",F765="NEW"),"",COUNTBLANK(OFFSET(A$1,,,SUMPRODUCT(MAX(ROW(E$2:E765)*(E765=E$2:E765)))))-COUNTBLANK(OFFSET(A$1,,,SUMPRODUCT(MAX(ROW(E$1:E764)*(E2=E$1:E764))))))</f>
        <v>0</v>
      </c>
      <c r="K765" s="24">
        <f ca="1">IF(OR(E765="",E765="!!!",F765="NEW"),"",INDEX(J$1:J764,SUMPRODUCT(MAX(ROW(E$1:E764)*(E765=E$1:E764)))))</f>
        <v>0</v>
      </c>
      <c r="L765" s="25"/>
    </row>
    <row r="766" spans="1:12" x14ac:dyDescent="0.2">
      <c r="A766" t="s">
        <v>904</v>
      </c>
      <c r="E766" s="20" t="str">
        <f t="shared" ref="E766:E777" si="87">IF(D766="?OLD","!!!","")</f>
        <v/>
      </c>
      <c r="F766" s="21" t="str">
        <f>IF(OR(E766="",E766="!!!"),"",IF(NOT(ISNA(VLOOKUP(E766,E$1:E765,1,FALSE()))),"OLD",IF(AND(E766&lt;&gt;"",E766&lt;&gt;"!!!"),"NEW","")))</f>
        <v/>
      </c>
      <c r="G766" s="22" t="str">
        <f>IF(OR(E766="",E766="!!!"),"",IF(OR(J766=0,AND(J766=1,K766=1),AND(J766=1,I766="SBJ"),AND(J766=1,I766=0)),"?IN_FOCUS",IF(J766&lt;=2,"?ACTIVATED",IF(J766&lt;&gt;"","?FAMILIAR",IF(F766="NEW",IF(ISNA(VLOOKUP(E766,#REF!,1,FALSE())),"?TYPE_IDENTIFIABLE","?REFERENTIAL"),"_")))))</f>
        <v/>
      </c>
      <c r="H766" s="23" t="str">
        <f t="shared" ca="1" si="86"/>
        <v/>
      </c>
      <c r="I766" s="24" t="str">
        <f>IF(OR(E766="",E766="!!!",F766="NEW"),"",INDEX(B$2:B765,-1+SUMPRODUCT(MAX(ROW(E$2:E765)*(E766=E$2:E765)))))</f>
        <v/>
      </c>
      <c r="J766" s="24" t="str">
        <f ca="1">IF(OR(E766="",E766="!!!",F766="NEW"),"",COUNTBLANK(OFFSET(A$1,,,SUMPRODUCT(MAX(ROW(E$2:E766)*(E766=E$2:E766)))))-COUNTBLANK(OFFSET(A$1,,,SUMPRODUCT(MAX(ROW(E$1:E765)*(E2=E$1:E765))))))</f>
        <v/>
      </c>
      <c r="K766" s="24" t="str">
        <f>IF(OR(E766="",E766="!!!",F766="NEW"),"",INDEX(J$1:J765,SUMPRODUCT(MAX(ROW(E$1:E765)*(E766=E$1:E765)))))</f>
        <v/>
      </c>
      <c r="L766" s="25"/>
    </row>
    <row r="767" spans="1:12" x14ac:dyDescent="0.2">
      <c r="A767" t="s">
        <v>802</v>
      </c>
      <c r="E767" s="20" t="str">
        <f t="shared" si="87"/>
        <v/>
      </c>
      <c r="F767" s="21" t="str">
        <f>IF(OR(E767="",E767="!!!"),"",IF(NOT(ISNA(VLOOKUP(E767,E$1:E766,1,FALSE()))),"OLD",IF(AND(E767&lt;&gt;"",E767&lt;&gt;"!!!"),"NEW","")))</f>
        <v/>
      </c>
      <c r="G767" s="22" t="str">
        <f>IF(OR(E767="",E767="!!!"),"",IF(OR(J767=0,AND(J767=1,K767=1),AND(J767=1,I767="SBJ"),AND(J767=1,I767=0)),"?IN_FOCUS",IF(J767&lt;=2,"?ACTIVATED",IF(J767&lt;&gt;"","?FAMILIAR",IF(F767="NEW",IF(ISNA(VLOOKUP(E767,#REF!,1,FALSE())),"?TYPE_IDENTIFIABLE","?REFERENTIAL"),"_")))))</f>
        <v/>
      </c>
      <c r="H767" s="23" t="str">
        <f t="shared" ca="1" si="86"/>
        <v/>
      </c>
      <c r="I767" s="24" t="str">
        <f>IF(OR(E767="",E767="!!!",F767="NEW"),"",INDEX(B$2:B766,-1+SUMPRODUCT(MAX(ROW(E$2:E766)*(E767=E$2:E766)))))</f>
        <v/>
      </c>
      <c r="J767" s="24" t="str">
        <f ca="1">IF(OR(E767="",E767="!!!",F767="NEW"),"",COUNTBLANK(OFFSET(A$1,,,SUMPRODUCT(MAX(ROW(E$2:E767)*(E767=E$2:E767)))))-COUNTBLANK(OFFSET(A$1,,,SUMPRODUCT(MAX(ROW(E$1:E766)*(E2=E$1:E766))))))</f>
        <v/>
      </c>
      <c r="K767" s="24" t="str">
        <f>IF(OR(E767="",E767="!!!",F767="NEW"),"",INDEX(J$1:J766,SUMPRODUCT(MAX(ROW(E$1:E766)*(E767=E$1:E766)))))</f>
        <v/>
      </c>
      <c r="L767" s="25"/>
    </row>
    <row r="768" spans="1:12" x14ac:dyDescent="0.2">
      <c r="A768" t="s">
        <v>902</v>
      </c>
      <c r="E768" s="20" t="str">
        <f t="shared" si="87"/>
        <v/>
      </c>
      <c r="F768" s="21" t="str">
        <f>IF(OR(E768="",E768="!!!"),"",IF(NOT(ISNA(VLOOKUP(E768,E$1:E767,1,FALSE()))),"OLD",IF(AND(E768&lt;&gt;"",E768&lt;&gt;"!!!"),"NEW","")))</f>
        <v/>
      </c>
      <c r="G768" s="22" t="str">
        <f>IF(OR(E768="",E768="!!!"),"",IF(OR(J768=0,AND(J768=1,K768=1),AND(J768=1,I768="SBJ"),AND(J768=1,I768=0)),"?IN_FOCUS",IF(J768&lt;=2,"?ACTIVATED",IF(J768&lt;&gt;"","?FAMILIAR",IF(F768="NEW",IF(ISNA(VLOOKUP(E768,#REF!,1,FALSE())),"?TYPE_IDENTIFIABLE","?REFERENTIAL"),"_")))))</f>
        <v/>
      </c>
      <c r="H768" s="23" t="str">
        <f t="shared" ca="1" si="86"/>
        <v/>
      </c>
      <c r="I768" s="24" t="str">
        <f>IF(OR(E768="",E768="!!!",F768="NEW"),"",INDEX(B$2:B767,-1+SUMPRODUCT(MAX(ROW(E$2:E767)*(E768=E$2:E767)))))</f>
        <v/>
      </c>
      <c r="J768" s="24" t="str">
        <f ca="1">IF(OR(E768="",E768="!!!",F768="NEW"),"",COUNTBLANK(OFFSET(A$1,,,SUMPRODUCT(MAX(ROW(E$2:E768)*(E768=E$2:E768)))))-COUNTBLANK(OFFSET(A$1,,,SUMPRODUCT(MAX(ROW(E$1:E767)*(E2=E$1:E767))))))</f>
        <v/>
      </c>
      <c r="K768" s="24" t="str">
        <f>IF(OR(E768="",E768="!!!",F768="NEW"),"",INDEX(J$1:J767,SUMPRODUCT(MAX(ROW(E$1:E767)*(E768=E$1:E767)))))</f>
        <v/>
      </c>
      <c r="L768" s="25"/>
    </row>
    <row r="769" spans="1:12" x14ac:dyDescent="0.2">
      <c r="A769" t="s">
        <v>849</v>
      </c>
      <c r="B769" s="26" t="s">
        <v>864</v>
      </c>
      <c r="C769" s="26" t="s">
        <v>850</v>
      </c>
      <c r="E769" s="20" t="str">
        <f t="shared" si="87"/>
        <v/>
      </c>
      <c r="F769" s="21" t="str">
        <f>IF(OR(E769="",E769="!!!"),"",IF(NOT(ISNA(VLOOKUP(E769,E$1:E768,1,FALSE()))),"OLD",IF(AND(E769&lt;&gt;"",E769&lt;&gt;"!!!"),"NEW","")))</f>
        <v/>
      </c>
      <c r="G769" s="22" t="str">
        <f>IF(OR(E769="",E769="!!!"),"",IF(OR(J769=0,AND(J769=1,K769=1),AND(J769=1,I769="SBJ"),AND(J769=1,I769=0)),"?IN_FOCUS",IF(J769&lt;=2,"?ACTIVATED",IF(J769&lt;&gt;"","?FAMILIAR",IF(F769="NEW",IF(ISNA(VLOOKUP(E769,#REF!,1,FALSE())),"?TYPE_IDENTIFIABLE","?REFERENTIAL"),"_")))))</f>
        <v/>
      </c>
      <c r="H769" s="23" t="str">
        <f t="shared" ca="1" si="86"/>
        <v/>
      </c>
      <c r="I769" s="24" t="str">
        <f>IF(OR(E769="",E769="!!!",F769="NEW"),"",INDEX(B$2:B768,-1+SUMPRODUCT(MAX(ROW(E$2:E768)*(E769=E$2:E768)))))</f>
        <v/>
      </c>
      <c r="J769" s="24" t="str">
        <f ca="1">IF(OR(E769="",E769="!!!",F769="NEW"),"",COUNTBLANK(OFFSET(A$1,,,SUMPRODUCT(MAX(ROW(E$2:E769)*(E769=E$2:E769)))))-COUNTBLANK(OFFSET(A$1,,,SUMPRODUCT(MAX(ROW(E$1:E768)*(E2=E$1:E768))))))</f>
        <v/>
      </c>
      <c r="K769" s="24" t="str">
        <f>IF(OR(E769="",E769="!!!",F769="NEW"),"",INDEX(J$1:J768,SUMPRODUCT(MAX(ROW(E$1:E768)*(E769=E$1:E768)))))</f>
        <v/>
      </c>
      <c r="L769" s="25"/>
    </row>
    <row r="770" spans="1:12" x14ac:dyDescent="0.2">
      <c r="A770" t="s">
        <v>1111</v>
      </c>
      <c r="B770" s="26" t="s">
        <v>950</v>
      </c>
      <c r="C770" s="26" t="s">
        <v>820</v>
      </c>
      <c r="D770" s="26" t="s">
        <v>806</v>
      </c>
      <c r="E770" s="20" t="s">
        <v>1111</v>
      </c>
      <c r="F770" s="21" t="str">
        <f>IF(OR(E770="",E770="!!!"),"",IF(NOT(ISNA(VLOOKUP(E770,E$1:E769,1,FALSE()))),"OLD",IF(AND(E770&lt;&gt;"",E770&lt;&gt;"!!!"),"NEW","")))</f>
        <v>NEW</v>
      </c>
      <c r="G770" s="22" t="s">
        <v>1824</v>
      </c>
      <c r="H770" s="23" t="str">
        <f t="shared" ca="1" si="86"/>
        <v/>
      </c>
      <c r="I770" s="24" t="str">
        <f>IF(OR(E770="",E770="!!!",F770="NEW"),"",INDEX(B$2:B769,-1+SUMPRODUCT(MAX(ROW(E$2:E769)*(E770=E$2:E769)))))</f>
        <v/>
      </c>
      <c r="J770" s="24" t="str">
        <f ca="1">IF(OR(E770="",E770="!!!",F770="NEW"),"",COUNTBLANK(OFFSET(A$1,,,SUMPRODUCT(MAX(ROW(E$2:E770)*(E770=E$2:E770)))))-COUNTBLANK(OFFSET(A$1,,,SUMPRODUCT(MAX(ROW(E$1:E769)*(E2=E$1:E769))))))</f>
        <v/>
      </c>
      <c r="K770" s="24" t="str">
        <f>IF(OR(E770="",E770="!!!",F770="NEW"),"",INDEX(J$1:J769,SUMPRODUCT(MAX(ROW(E$1:E769)*(E770=E$1:E769)))))</f>
        <v/>
      </c>
      <c r="L770" s="25"/>
    </row>
    <row r="771" spans="1:12" x14ac:dyDescent="0.2">
      <c r="A771" t="s">
        <v>812</v>
      </c>
      <c r="E771" s="20" t="str">
        <f t="shared" si="87"/>
        <v/>
      </c>
      <c r="F771" s="21" t="str">
        <f>IF(OR(E771="",E771="!!!"),"",IF(NOT(ISNA(VLOOKUP(E771,E$1:E770,1,FALSE()))),"OLD",IF(AND(E771&lt;&gt;"",E771&lt;&gt;"!!!"),"NEW","")))</f>
        <v/>
      </c>
      <c r="G771" s="22" t="str">
        <f>IF(OR(E771="",E771="!!!"),"",IF(OR(J771=0,AND(J771=1,K771=1),AND(J771=1,I771="SBJ"),AND(J771=1,I771=0)),"?IN_FOCUS",IF(J771&lt;=2,"?ACTIVATED",IF(J771&lt;&gt;"","?FAMILIAR",IF(F771="NEW",IF(ISNA(VLOOKUP(E771,#REF!,1,FALSE())),"?TYPE_IDENTIFIABLE","?REFERENTIAL"),"_")))))</f>
        <v/>
      </c>
      <c r="H771" s="23" t="str">
        <f t="shared" ca="1" si="86"/>
        <v/>
      </c>
      <c r="I771" s="24" t="str">
        <f>IF(OR(E771="",E771="!!!",F771="NEW"),"",INDEX(B$2:B770,-1+SUMPRODUCT(MAX(ROW(E$2:E770)*(E771=E$2:E770)))))</f>
        <v/>
      </c>
      <c r="J771" s="24" t="str">
        <f ca="1">IF(OR(E771="",E771="!!!",F771="NEW"),"",COUNTBLANK(OFFSET(A$1,,,SUMPRODUCT(MAX(ROW(E$2:E771)*(E771=E$2:E771)))))-COUNTBLANK(OFFSET(A$1,,,SUMPRODUCT(MAX(ROW(E$1:E770)*(E2=E$1:E770))))))</f>
        <v/>
      </c>
      <c r="K771" s="24" t="str">
        <f>IF(OR(E771="",E771="!!!",F771="NEW"),"",INDEX(J$1:J770,SUMPRODUCT(MAX(ROW(E$1:E770)*(E771=E$1:E770)))))</f>
        <v/>
      </c>
      <c r="L771" s="25"/>
    </row>
    <row r="772" spans="1:12" x14ac:dyDescent="0.2">
      <c r="A772" t="s">
        <v>1112</v>
      </c>
      <c r="B772" s="26" t="s">
        <v>899</v>
      </c>
      <c r="C772" s="26" t="s">
        <v>817</v>
      </c>
      <c r="D772" s="26" t="s">
        <v>806</v>
      </c>
      <c r="E772" s="20"/>
      <c r="F772" s="21" t="s">
        <v>1793</v>
      </c>
      <c r="G772" s="22"/>
      <c r="H772" s="23" t="str">
        <f t="shared" ca="1" si="86"/>
        <v/>
      </c>
      <c r="I772" s="24" t="str">
        <f>IF(OR(E772="",E772="!!!",F772="NEW"),"",INDEX(B$2:B771,-1+SUMPRODUCT(MAX(ROW(E$2:E771)*(E772=E$2:E771)))))</f>
        <v/>
      </c>
      <c r="J772" s="24" t="str">
        <f ca="1">IF(OR(E772="",E772="!!!",F772="NEW"),"",COUNTBLANK(OFFSET(A$1,,,SUMPRODUCT(MAX(ROW(E$2:E772)*(E772=E$2:E772)))))-COUNTBLANK(OFFSET(A$1,,,SUMPRODUCT(MAX(ROW(E$1:E771)*(E2=E$1:E771))))))</f>
        <v/>
      </c>
      <c r="K772" s="24" t="str">
        <f>IF(OR(E772="",E772="!!!",F772="NEW"),"",INDEX(J$1:J771,SUMPRODUCT(MAX(ROW(E$1:E771)*(E772=E$1:E771)))))</f>
        <v/>
      </c>
      <c r="L772" s="25"/>
    </row>
    <row r="773" spans="1:12" x14ac:dyDescent="0.2">
      <c r="A773" t="s">
        <v>152</v>
      </c>
      <c r="B773" s="26" t="s">
        <v>864</v>
      </c>
      <c r="C773" s="26" t="s">
        <v>820</v>
      </c>
      <c r="D773" s="26" t="s">
        <v>806</v>
      </c>
      <c r="E773" s="20" t="s">
        <v>152</v>
      </c>
      <c r="F773" s="21" t="str">
        <f>IF(OR(E773="",E773="!!!"),"",IF(NOT(ISNA(VLOOKUP(E773,E$1:E772,1,FALSE()))),"OLD",IF(AND(E773&lt;&gt;"",E773&lt;&gt;"!!!"),"NEW","")))</f>
        <v>OLD</v>
      </c>
      <c r="G773" s="22" t="s">
        <v>1822</v>
      </c>
      <c r="H773" s="23" t="str">
        <f t="shared" ca="1" si="86"/>
        <v/>
      </c>
      <c r="I773" s="24" t="str">
        <f>IF(OR(E773="",E773="!!!",F773="NEW"),"",INDEX(B$2:B772,-1+SUMPRODUCT(MAX(ROW(E$2:E772)*(E773=E$2:E772)))))</f>
        <v>other_3</v>
      </c>
      <c r="J773" s="24">
        <f ca="1">IF(OR(E773="",E773="!!!",F773="NEW"),"",COUNTBLANK(OFFSET(A$1,,,SUMPRODUCT(MAX(ROW(E$2:E773)*(E773=E$2:E773)))))-COUNTBLANK(OFFSET(A$1,,,SUMPRODUCT(MAX(ROW(E$1:E772)*(E2=E$1:E772))))))</f>
        <v>0</v>
      </c>
      <c r="K773" s="24" t="str">
        <f ca="1">IF(OR(E773="",E773="!!!",F773="NEW"),"",INDEX(J$1:J772,SUMPRODUCT(MAX(ROW(E$1:E772)*(E773=E$1:E772)))))</f>
        <v/>
      </c>
      <c r="L773" s="25"/>
    </row>
    <row r="774" spans="1:12" x14ac:dyDescent="0.2">
      <c r="A774" t="s">
        <v>963</v>
      </c>
      <c r="E774" s="20" t="str">
        <f t="shared" si="87"/>
        <v/>
      </c>
      <c r="F774" s="21" t="str">
        <f>IF(OR(E774="",E774="!!!"),"",IF(NOT(ISNA(VLOOKUP(E774,E$1:E773,1,FALSE()))),"OLD",IF(AND(E774&lt;&gt;"",E774&lt;&gt;"!!!"),"NEW","")))</f>
        <v/>
      </c>
      <c r="G774" s="22" t="str">
        <f>IF(OR(E774="",E774="!!!"),"",IF(OR(J774=0,AND(J774=1,K774=1),AND(J774=1,I774="SBJ"),AND(J774=1,I774=0)),"?IN_FOCUS",IF(J774&lt;=2,"?ACTIVATED",IF(J774&lt;&gt;"","?FAMILIAR",IF(F774="NEW",IF(ISNA(VLOOKUP(E774,#REF!,1,FALSE())),"?TYPE_IDENTIFIABLE","?REFERENTIAL"),"_")))))</f>
        <v/>
      </c>
      <c r="H774" s="23" t="str">
        <f t="shared" ca="1" si="86"/>
        <v/>
      </c>
      <c r="I774" s="24" t="str">
        <f>IF(OR(E774="",E774="!!!",F774="NEW"),"",INDEX(B$2:B773,-1+SUMPRODUCT(MAX(ROW(E$2:E773)*(E774=E$2:E773)))))</f>
        <v/>
      </c>
      <c r="J774" s="24" t="str">
        <f ca="1">IF(OR(E774="",E774="!!!",F774="NEW"),"",COUNTBLANK(OFFSET(A$1,,,SUMPRODUCT(MAX(ROW(E$2:E774)*(E774=E$2:E774)))))-COUNTBLANK(OFFSET(A$1,,,SUMPRODUCT(MAX(ROW(E$1:E773)*(E2=E$1:E773))))))</f>
        <v/>
      </c>
      <c r="K774" s="24" t="str">
        <f>IF(OR(E774="",E774="!!!",F774="NEW"),"",INDEX(J$1:J773,SUMPRODUCT(MAX(ROW(E$1:E773)*(E774=E$1:E773)))))</f>
        <v/>
      </c>
      <c r="L774" s="25"/>
    </row>
    <row r="775" spans="1:12" x14ac:dyDescent="0.2">
      <c r="A775" t="s">
        <v>1096</v>
      </c>
      <c r="B775" s="26" t="s">
        <v>819</v>
      </c>
      <c r="C775" s="26" t="s">
        <v>814</v>
      </c>
      <c r="E775" s="20" t="str">
        <f t="shared" si="87"/>
        <v/>
      </c>
      <c r="F775" s="21" t="str">
        <f>IF(OR(E775="",E775="!!!"),"",IF(NOT(ISNA(VLOOKUP(E775,E$1:E774,1,FALSE()))),"OLD",IF(AND(E775&lt;&gt;"",E775&lt;&gt;"!!!"),"NEW","")))</f>
        <v/>
      </c>
      <c r="G775" s="22" t="str">
        <f>IF(OR(E775="",E775="!!!"),"",IF(OR(J775=0,AND(J775=1,K775=1),AND(J775=1,I775="SBJ"),AND(J775=1,I775=0)),"?IN_FOCUS",IF(J775&lt;=2,"?ACTIVATED",IF(J775&lt;&gt;"","?FAMILIAR",IF(F775="NEW",IF(ISNA(VLOOKUP(E775,#REF!,1,FALSE())),"?TYPE_IDENTIFIABLE","?REFERENTIAL"),"_")))))</f>
        <v/>
      </c>
      <c r="H775" s="23" t="str">
        <f t="shared" ca="1" si="86"/>
        <v/>
      </c>
      <c r="I775" s="24" t="str">
        <f>IF(OR(E775="",E775="!!!",F775="NEW"),"",INDEX(B$2:B774,-1+SUMPRODUCT(MAX(ROW(E$2:E774)*(E775=E$2:E774)))))</f>
        <v/>
      </c>
      <c r="J775" s="24" t="str">
        <f ca="1">IF(OR(E775="",E775="!!!",F775="NEW"),"",COUNTBLANK(OFFSET(A$1,,,SUMPRODUCT(MAX(ROW(E$2:E775)*(E775=E$2:E775)))))-COUNTBLANK(OFFSET(A$1,,,SUMPRODUCT(MAX(ROW(E$1:E774)*(E2=E$1:E774))))))</f>
        <v/>
      </c>
      <c r="K775" s="24" t="str">
        <f>IF(OR(E775="",E775="!!!",F775="NEW"),"",INDEX(J$1:J774,SUMPRODUCT(MAX(ROW(E$1:E774)*(E775=E$1:E774)))))</f>
        <v/>
      </c>
      <c r="L775" s="25"/>
    </row>
    <row r="776" spans="1:12" x14ac:dyDescent="0.2">
      <c r="A776" t="s">
        <v>922</v>
      </c>
      <c r="E776" s="20" t="str">
        <f t="shared" si="87"/>
        <v/>
      </c>
      <c r="F776" s="21" t="str">
        <f>IF(OR(E776="",E776="!!!"),"",IF(NOT(ISNA(VLOOKUP(E776,E$1:E775,1,FALSE()))),"OLD",IF(AND(E776&lt;&gt;"",E776&lt;&gt;"!!!"),"NEW","")))</f>
        <v/>
      </c>
      <c r="G776" s="22" t="str">
        <f>IF(OR(E776="",E776="!!!"),"",IF(OR(J776=0,AND(J776=1,K776=1),AND(J776=1,I776="SBJ"),AND(J776=1,I776=0)),"?IN_FOCUS",IF(J776&lt;=2,"?ACTIVATED",IF(J776&lt;&gt;"","?FAMILIAR",IF(F776="NEW",IF(ISNA(VLOOKUP(E776,#REF!,1,FALSE())),"?TYPE_IDENTIFIABLE","?REFERENTIAL"),"_")))))</f>
        <v/>
      </c>
      <c r="H776" s="23" t="str">
        <f t="shared" ca="1" si="86"/>
        <v/>
      </c>
      <c r="I776" s="24" t="str">
        <f>IF(OR(E776="",E776="!!!",F776="NEW"),"",INDEX(B$2:B775,-1+SUMPRODUCT(MAX(ROW(E$2:E775)*(E776=E$2:E775)))))</f>
        <v/>
      </c>
      <c r="J776" s="24" t="str">
        <f ca="1">IF(OR(E776="",E776="!!!",F776="NEW"),"",COUNTBLANK(OFFSET(A$1,,,SUMPRODUCT(MAX(ROW(E$2:E776)*(E776=E$2:E776)))))-COUNTBLANK(OFFSET(A$1,,,SUMPRODUCT(MAX(ROW(E$1:E775)*(E2=E$1:E775))))))</f>
        <v/>
      </c>
      <c r="K776" s="24" t="str">
        <f>IF(OR(E776="",E776="!!!",F776="NEW"),"",INDEX(J$1:J775,SUMPRODUCT(MAX(ROW(E$1:E775)*(E776=E$1:E775)))))</f>
        <v/>
      </c>
      <c r="L776" s="25"/>
    </row>
    <row r="777" spans="1:12" x14ac:dyDescent="0.2">
      <c r="A777" t="s">
        <v>902</v>
      </c>
      <c r="E777" s="20" t="str">
        <f t="shared" si="87"/>
        <v/>
      </c>
      <c r="F777" s="21" t="str">
        <f>IF(OR(E777="",E777="!!!"),"",IF(NOT(ISNA(VLOOKUP(E777,E$1:E776,1,FALSE()))),"OLD",IF(AND(E777&lt;&gt;"",E777&lt;&gt;"!!!"),"NEW","")))</f>
        <v/>
      </c>
      <c r="G777" s="22" t="str">
        <f>IF(OR(E777="",E777="!!!"),"",IF(OR(J777=0,AND(J777=1,K777=1),AND(J777=1,I777="SBJ"),AND(J777=1,I777=0)),"?IN_FOCUS",IF(J777&lt;=2,"?ACTIVATED",IF(J777&lt;&gt;"","?FAMILIAR",IF(F777="NEW",IF(ISNA(VLOOKUP(E777,#REF!,1,FALSE())),"?TYPE_IDENTIFIABLE","?REFERENTIAL"),"_")))))</f>
        <v/>
      </c>
      <c r="H777" s="23" t="str">
        <f t="shared" ca="1" si="86"/>
        <v/>
      </c>
      <c r="I777" s="24" t="str">
        <f>IF(OR(E777="",E777="!!!",F777="NEW"),"",INDEX(B$2:B776,-1+SUMPRODUCT(MAX(ROW(E$2:E776)*(E777=E$2:E776)))))</f>
        <v/>
      </c>
      <c r="J777" s="24" t="str">
        <f ca="1">IF(OR(E777="",E777="!!!",F777="NEW"),"",COUNTBLANK(OFFSET(A$1,,,SUMPRODUCT(MAX(ROW(E$2:E777)*(E777=E$2:E777)))))-COUNTBLANK(OFFSET(A$1,,,SUMPRODUCT(MAX(ROW(E$1:E776)*(E2=E$1:E776))))))</f>
        <v/>
      </c>
      <c r="K777" s="24" t="str">
        <f>IF(OR(E777="",E777="!!!",F777="NEW"),"",INDEX(J$1:J776,SUMPRODUCT(MAX(ROW(E$1:E776)*(E777=E$1:E776)))))</f>
        <v/>
      </c>
      <c r="L777" s="25"/>
    </row>
    <row r="779" spans="1:12" x14ac:dyDescent="0.2">
      <c r="A779" t="s">
        <v>1113</v>
      </c>
    </row>
    <row r="780" spans="1:12" x14ac:dyDescent="0.2">
      <c r="A780" t="s">
        <v>1114</v>
      </c>
      <c r="E780" s="20" t="str">
        <f t="shared" ref="E780:E787" si="88">IF(D780="?OLD","!!!","")</f>
        <v/>
      </c>
      <c r="F780" s="21" t="str">
        <f>IF(OR(E780="",E780="!!!"),"",IF(NOT(ISNA(VLOOKUP(E780,E$1:E779,1,FALSE()))),"OLD",IF(AND(E780&lt;&gt;"",E780&lt;&gt;"!!!"),"NEW","")))</f>
        <v/>
      </c>
      <c r="G780" s="22" t="str">
        <f>IF(OR(E780="",E780="!!!"),"",IF(OR(J780=0,AND(J780=1,K780=1),AND(J780=1,I780="SBJ"),AND(J780=1,I780=0)),"?IN_FOCUS",IF(J780&lt;=2,"?ACTIVATED",IF(J780&lt;&gt;"","?FAMILIAR",IF(F780="NEW",IF(ISNA(VLOOKUP(E780,#REF!,1,FALSE())),"?TYPE_IDENTIFIABLE","?REFERENTIAL"),"_")))))</f>
        <v/>
      </c>
      <c r="H780" s="23" t="str">
        <f t="shared" ref="H780:H787" ca="1" si="89">IF(J780&lt;&gt;1,"",IF(I780="SBJ","CB","?"))</f>
        <v/>
      </c>
      <c r="I780" s="24" t="str">
        <f>IF(OR(E780="",E780="!!!",F780="NEW"),"",INDEX(B$2:B779,-1+SUMPRODUCT(MAX(ROW(E$2:E779)*(E780=E$2:E779)))))</f>
        <v/>
      </c>
      <c r="J780" s="24" t="str">
        <f ca="1">IF(OR(E780="",E780="!!!",F780="NEW"),"",COUNTBLANK(OFFSET(A$1,,,SUMPRODUCT(MAX(ROW(E$2:E780)*(E780=E$2:E780)))))-COUNTBLANK(OFFSET(A$1,,,SUMPRODUCT(MAX(ROW(E$1:E779)*(E2=E$1:E779))))))</f>
        <v/>
      </c>
      <c r="K780" s="24" t="str">
        <f>IF(OR(E780="",E780="!!!",F780="NEW"),"",INDEX(J$1:J779,SUMPRODUCT(MAX(ROW(E$1:E779)*(E780=E$1:E779)))))</f>
        <v/>
      </c>
      <c r="L780" s="25"/>
    </row>
    <row r="781" spans="1:12" x14ac:dyDescent="0.2">
      <c r="A781" t="s">
        <v>802</v>
      </c>
      <c r="E781" s="20" t="str">
        <f t="shared" si="88"/>
        <v/>
      </c>
      <c r="F781" s="21" t="str">
        <f>IF(OR(E781="",E781="!!!"),"",IF(NOT(ISNA(VLOOKUP(E781,E$1:E780,1,FALSE()))),"OLD",IF(AND(E781&lt;&gt;"",E781&lt;&gt;"!!!"),"NEW","")))</f>
        <v/>
      </c>
      <c r="G781" s="22" t="str">
        <f>IF(OR(E781="",E781="!!!"),"",IF(OR(J781=0,AND(J781=1,K781=1),AND(J781=1,I781="SBJ"),AND(J781=1,I781=0)),"?IN_FOCUS",IF(J781&lt;=2,"?ACTIVATED",IF(J781&lt;&gt;"","?FAMILIAR",IF(F781="NEW",IF(ISNA(VLOOKUP(E781,#REF!,1,FALSE())),"?TYPE_IDENTIFIABLE","?REFERENTIAL"),"_")))))</f>
        <v/>
      </c>
      <c r="H781" s="23" t="str">
        <f t="shared" ca="1" si="89"/>
        <v/>
      </c>
      <c r="I781" s="24" t="str">
        <f>IF(OR(E781="",E781="!!!",F781="NEW"),"",INDEX(B$2:B780,-1+SUMPRODUCT(MAX(ROW(E$2:E780)*(E781=E$2:E780)))))</f>
        <v/>
      </c>
      <c r="J781" s="24" t="str">
        <f ca="1">IF(OR(E781="",E781="!!!",F781="NEW"),"",COUNTBLANK(OFFSET(A$1,,,SUMPRODUCT(MAX(ROW(E$2:E781)*(E781=E$2:E781)))))-COUNTBLANK(OFFSET(A$1,,,SUMPRODUCT(MAX(ROW(E$1:E780)*(E2=E$1:E780))))))</f>
        <v/>
      </c>
      <c r="K781" s="24" t="str">
        <f>IF(OR(E781="",E781="!!!",F781="NEW"),"",INDEX(J$1:J780,SUMPRODUCT(MAX(ROW(E$1:E780)*(E781=E$1:E780)))))</f>
        <v/>
      </c>
      <c r="L781" s="25"/>
    </row>
    <row r="782" spans="1:12" x14ac:dyDescent="0.2">
      <c r="A782" t="s">
        <v>866</v>
      </c>
      <c r="B782" s="26" t="s">
        <v>804</v>
      </c>
      <c r="C782" s="26" t="s">
        <v>805</v>
      </c>
      <c r="D782" s="26" t="s">
        <v>806</v>
      </c>
      <c r="E782" s="20"/>
      <c r="F782" s="21" t="s">
        <v>1764</v>
      </c>
      <c r="G782" s="22" t="str">
        <f>IF(OR(E782="",E782="!!!"),"",IF(OR(J782=0,AND(J782=1,K782=1),AND(J782=1,I782="SBJ"),AND(J782=1,I782=0)),"?IN_FOCUS",IF(J782&lt;=2,"?ACTIVATED",IF(J782&lt;&gt;"","?FAMILIAR",IF(F782="NEW",IF(ISNA(VLOOKUP(E782,#REF!,1,FALSE())),"?TYPE_IDENTIFIABLE","?REFERENTIAL"),"_")))))</f>
        <v/>
      </c>
      <c r="H782" s="23" t="str">
        <f t="shared" ca="1" si="89"/>
        <v/>
      </c>
      <c r="I782" s="24" t="str">
        <f>IF(OR(E782="",E782="!!!",F782="NEW"),"",INDEX(B$2:B781,-1+SUMPRODUCT(MAX(ROW(E$2:E781)*(E782=E$2:E781)))))</f>
        <v/>
      </c>
      <c r="J782" s="24" t="str">
        <f ca="1">IF(OR(E782="",E782="!!!",F782="NEW"),"",COUNTBLANK(OFFSET(A$1,,,SUMPRODUCT(MAX(ROW(E$2:E782)*(E782=E$2:E782)))))-COUNTBLANK(OFFSET(A$1,,,SUMPRODUCT(MAX(ROW(E$1:E781)*(E2=E$1:E781))))))</f>
        <v/>
      </c>
      <c r="K782" s="24" t="str">
        <f>IF(OR(E782="",E782="!!!",F782="NEW"),"",INDEX(J$1:J781,SUMPRODUCT(MAX(ROW(E$1:E781)*(E782=E$1:E781)))))</f>
        <v/>
      </c>
      <c r="L782" s="25"/>
    </row>
    <row r="783" spans="1:12" x14ac:dyDescent="0.2">
      <c r="A783" t="s">
        <v>13</v>
      </c>
      <c r="E783" s="20" t="str">
        <f t="shared" si="88"/>
        <v/>
      </c>
      <c r="F783" s="21" t="str">
        <f>IF(OR(E783="",E783="!!!"),"",IF(NOT(ISNA(VLOOKUP(E783,E$1:E782,1,FALSE()))),"OLD",IF(AND(E783&lt;&gt;"",E783&lt;&gt;"!!!"),"NEW","")))</f>
        <v/>
      </c>
      <c r="G783" s="22" t="str">
        <f>IF(OR(E783="",E783="!!!"),"",IF(OR(J783=0,AND(J783=1,K783=1),AND(J783=1,I783="SBJ"),AND(J783=1,I783=0)),"?IN_FOCUS",IF(J783&lt;=2,"?ACTIVATED",IF(J783&lt;&gt;"","?FAMILIAR",IF(F783="NEW",IF(ISNA(VLOOKUP(E783,#REF!,1,FALSE())),"?TYPE_IDENTIFIABLE","?REFERENTIAL"),"_")))))</f>
        <v/>
      </c>
      <c r="H783" s="23" t="str">
        <f t="shared" ca="1" si="89"/>
        <v/>
      </c>
      <c r="I783" s="24" t="str">
        <f>IF(OR(E783="",E783="!!!",F783="NEW"),"",INDEX(B$2:B782,-1+SUMPRODUCT(MAX(ROW(E$2:E782)*(E783=E$2:E782)))))</f>
        <v/>
      </c>
      <c r="J783" s="24" t="str">
        <f ca="1">IF(OR(E783="",E783="!!!",F783="NEW"),"",COUNTBLANK(OFFSET(A$1,,,SUMPRODUCT(MAX(ROW(E$2:E783)*(E783=E$2:E783)))))-COUNTBLANK(OFFSET(A$1,,,SUMPRODUCT(MAX(ROW(E$1:E782)*(E2=E$1:E782))))))</f>
        <v/>
      </c>
      <c r="K783" s="24" t="str">
        <f>IF(OR(E783="",E783="!!!",F783="NEW"),"",INDEX(J$1:J782,SUMPRODUCT(MAX(ROW(E$1:E782)*(E783=E$1:E782)))))</f>
        <v/>
      </c>
      <c r="L783" s="25"/>
    </row>
    <row r="784" spans="1:12" x14ac:dyDescent="0.2">
      <c r="A784" t="s">
        <v>802</v>
      </c>
      <c r="E784" s="20" t="str">
        <f t="shared" si="88"/>
        <v/>
      </c>
      <c r="F784" s="21" t="str">
        <f>IF(OR(E784="",E784="!!!"),"",IF(NOT(ISNA(VLOOKUP(E784,E$1:E783,1,FALSE()))),"OLD",IF(AND(E784&lt;&gt;"",E784&lt;&gt;"!!!"),"NEW","")))</f>
        <v/>
      </c>
      <c r="G784" s="22" t="str">
        <f>IF(OR(E784="",E784="!!!"),"",IF(OR(J784=0,AND(J784=1,K784=1),AND(J784=1,I784="SBJ"),AND(J784=1,I784=0)),"?IN_FOCUS",IF(J784&lt;=2,"?ACTIVATED",IF(J784&lt;&gt;"","?FAMILIAR",IF(F784="NEW",IF(ISNA(VLOOKUP(E784,#REF!,1,FALSE())),"?TYPE_IDENTIFIABLE","?REFERENTIAL"),"_")))))</f>
        <v/>
      </c>
      <c r="H784" s="23" t="str">
        <f t="shared" ca="1" si="89"/>
        <v/>
      </c>
      <c r="I784" s="24" t="str">
        <f>IF(OR(E784="",E784="!!!",F784="NEW"),"",INDEX(B$2:B783,-1+SUMPRODUCT(MAX(ROW(E$2:E783)*(E784=E$2:E783)))))</f>
        <v/>
      </c>
      <c r="J784" s="24" t="str">
        <f ca="1">IF(OR(E784="",E784="!!!",F784="NEW"),"",COUNTBLANK(OFFSET(A$1,,,SUMPRODUCT(MAX(ROW(E$2:E784)*(E784=E$2:E784)))))-COUNTBLANK(OFFSET(A$1,,,SUMPRODUCT(MAX(ROW(E$1:E783)*(E2=E$1:E783))))))</f>
        <v/>
      </c>
      <c r="K784" s="24" t="str">
        <f>IF(OR(E784="",E784="!!!",F784="NEW"),"",INDEX(J$1:J783,SUMPRODUCT(MAX(ROW(E$1:E783)*(E784=E$1:E783)))))</f>
        <v/>
      </c>
      <c r="L784" s="25"/>
    </row>
    <row r="785" spans="1:12" x14ac:dyDescent="0.2">
      <c r="A785" t="s">
        <v>825</v>
      </c>
      <c r="E785" s="20" t="str">
        <f t="shared" si="88"/>
        <v/>
      </c>
      <c r="F785" s="21" t="str">
        <f>IF(OR(E785="",E785="!!!"),"",IF(NOT(ISNA(VLOOKUP(E785,E$1:E784,1,FALSE()))),"OLD",IF(AND(E785&lt;&gt;"",E785&lt;&gt;"!!!"),"NEW","")))</f>
        <v/>
      </c>
      <c r="G785" s="22" t="str">
        <f>IF(OR(E785="",E785="!!!"),"",IF(OR(J785=0,AND(J785=1,K785=1),AND(J785=1,I785="SBJ"),AND(J785=1,I785=0)),"?IN_FOCUS",IF(J785&lt;=2,"?ACTIVATED",IF(J785&lt;&gt;"","?FAMILIAR",IF(F785="NEW",IF(ISNA(VLOOKUP(E785,#REF!,1,FALSE())),"?TYPE_IDENTIFIABLE","?REFERENTIAL"),"_")))))</f>
        <v/>
      </c>
      <c r="H785" s="23" t="str">
        <f t="shared" ca="1" si="89"/>
        <v/>
      </c>
      <c r="I785" s="24" t="str">
        <f>IF(OR(E785="",E785="!!!",F785="NEW"),"",INDEX(B$2:B784,-1+SUMPRODUCT(MAX(ROW(E$2:E784)*(E785=E$2:E784)))))</f>
        <v/>
      </c>
      <c r="J785" s="24" t="str">
        <f ca="1">IF(OR(E785="",E785="!!!",F785="NEW"),"",COUNTBLANK(OFFSET(A$1,,,SUMPRODUCT(MAX(ROW(E$2:E785)*(E785=E$2:E785)))))-COUNTBLANK(OFFSET(A$1,,,SUMPRODUCT(MAX(ROW(E$1:E784)*(E2=E$1:E784))))))</f>
        <v/>
      </c>
      <c r="K785" s="24" t="str">
        <f>IF(OR(E785="",E785="!!!",F785="NEW"),"",INDEX(J$1:J784,SUMPRODUCT(MAX(ROW(E$1:E784)*(E785=E$1:E784)))))</f>
        <v/>
      </c>
      <c r="L785" s="25"/>
    </row>
    <row r="786" spans="1:12" x14ac:dyDescent="0.2">
      <c r="A786" t="s">
        <v>941</v>
      </c>
      <c r="B786" s="26" t="s">
        <v>819</v>
      </c>
      <c r="C786" s="26" t="s">
        <v>884</v>
      </c>
      <c r="E786" s="20" t="str">
        <f t="shared" si="88"/>
        <v/>
      </c>
      <c r="F786" s="21" t="str">
        <f>IF(OR(E786="",E786="!!!"),"",IF(NOT(ISNA(VLOOKUP(E786,E$1:E785,1,FALSE()))),"OLD",IF(AND(E786&lt;&gt;"",E786&lt;&gt;"!!!"),"NEW","")))</f>
        <v/>
      </c>
      <c r="G786" s="22" t="str">
        <f>IF(OR(E786="",E786="!!!"),"",IF(OR(J786=0,AND(J786=1,K786=1),AND(J786=1,I786="SBJ"),AND(J786=1,I786=0)),"?IN_FOCUS",IF(J786&lt;=2,"?ACTIVATED",IF(J786&lt;&gt;"","?FAMILIAR",IF(F786="NEW",IF(ISNA(VLOOKUP(E786,#REF!,1,FALSE())),"?TYPE_IDENTIFIABLE","?REFERENTIAL"),"_")))))</f>
        <v/>
      </c>
      <c r="H786" s="23" t="str">
        <f t="shared" ca="1" si="89"/>
        <v/>
      </c>
      <c r="I786" s="24" t="str">
        <f>IF(OR(E786="",E786="!!!",F786="NEW"),"",INDEX(B$2:B785,-1+SUMPRODUCT(MAX(ROW(E$2:E785)*(E786=E$2:E785)))))</f>
        <v/>
      </c>
      <c r="J786" s="24" t="str">
        <f ca="1">IF(OR(E786="",E786="!!!",F786="NEW"),"",COUNTBLANK(OFFSET(A$1,,,SUMPRODUCT(MAX(ROW(E$2:E786)*(E786=E$2:E786)))))-COUNTBLANK(OFFSET(A$1,,,SUMPRODUCT(MAX(ROW(E$1:E785)*(E2=E$1:E785))))))</f>
        <v/>
      </c>
      <c r="K786" s="24" t="str">
        <f>IF(OR(E786="",E786="!!!",F786="NEW"),"",INDEX(J$1:J785,SUMPRODUCT(MAX(ROW(E$1:E785)*(E786=E$1:E785)))))</f>
        <v/>
      </c>
      <c r="L786" s="25"/>
    </row>
    <row r="787" spans="1:12" x14ac:dyDescent="0.2">
      <c r="A787" t="s">
        <v>821</v>
      </c>
      <c r="E787" s="20" t="str">
        <f t="shared" si="88"/>
        <v/>
      </c>
      <c r="F787" s="21" t="str">
        <f>IF(OR(E787="",E787="!!!"),"",IF(NOT(ISNA(VLOOKUP(E787,E$1:E786,1,FALSE()))),"OLD",IF(AND(E787&lt;&gt;"",E787&lt;&gt;"!!!"),"NEW","")))</f>
        <v/>
      </c>
      <c r="G787" s="22" t="str">
        <f>IF(OR(E787="",E787="!!!"),"",IF(OR(J787=0,AND(J787=1,K787=1),AND(J787=1,I787="SBJ"),AND(J787=1,I787=0)),"?IN_FOCUS",IF(J787&lt;=2,"?ACTIVATED",IF(J787&lt;&gt;"","?FAMILIAR",IF(F787="NEW",IF(ISNA(VLOOKUP(E787,#REF!,1,FALSE())),"?TYPE_IDENTIFIABLE","?REFERENTIAL"),"_")))))</f>
        <v/>
      </c>
      <c r="H787" s="23" t="str">
        <f t="shared" ca="1" si="89"/>
        <v/>
      </c>
      <c r="I787" s="24" t="str">
        <f>IF(OR(E787="",E787="!!!",F787="NEW"),"",INDEX(B$2:B786,-1+SUMPRODUCT(MAX(ROW(E$2:E786)*(E787=E$2:E786)))))</f>
        <v/>
      </c>
      <c r="J787" s="24" t="str">
        <f ca="1">IF(OR(E787="",E787="!!!",F787="NEW"),"",COUNTBLANK(OFFSET(A$1,,,SUMPRODUCT(MAX(ROW(E$2:E787)*(E787=E$2:E787)))))-COUNTBLANK(OFFSET(A$1,,,SUMPRODUCT(MAX(ROW(E$1:E786)*(E2=E$1:E786))))))</f>
        <v/>
      </c>
      <c r="K787" s="24" t="str">
        <f>IF(OR(E787="",E787="!!!",F787="NEW"),"",INDEX(J$1:J786,SUMPRODUCT(MAX(ROW(E$1:E786)*(E787=E$1:E786)))))</f>
        <v/>
      </c>
      <c r="L787" s="25"/>
    </row>
    <row r="789" spans="1:12" x14ac:dyDescent="0.2">
      <c r="A789" t="s">
        <v>900</v>
      </c>
      <c r="E789" s="20" t="str">
        <f>IF(D789="?OLD","!!!","")</f>
        <v/>
      </c>
      <c r="F789" s="21" t="str">
        <f>IF(OR(E789="",E789="!!!"),"",IF(NOT(ISNA(VLOOKUP(E789,E$1:E788,1,FALSE()))),"OLD",IF(AND(E789&lt;&gt;"",E789&lt;&gt;"!!!"),"NEW","")))</f>
        <v/>
      </c>
      <c r="G789" s="22" t="str">
        <f>IF(OR(E789="",E789="!!!"),"",IF(OR(J789=0,AND(J789=1,K789=1),AND(J789=1,I789="SBJ"),AND(J789=1,I789=0)),"?IN_FOCUS",IF(J789&lt;=2,"?ACTIVATED",IF(J789&lt;&gt;"","?FAMILIAR",IF(F789="NEW",IF(ISNA(VLOOKUP(E789,#REF!,1,FALSE())),"?TYPE_IDENTIFIABLE","?REFERENTIAL"),"_")))))</f>
        <v/>
      </c>
      <c r="H789" s="23" t="str">
        <f ca="1">IF(J789&lt;&gt;1,"",IF(I789="SBJ","CB","?"))</f>
        <v/>
      </c>
      <c r="I789" s="24" t="str">
        <f>IF(OR(E789="",E789="!!!",F789="NEW"),"",INDEX(B$2:B788,-1+SUMPRODUCT(MAX(ROW(E$2:E788)*(E789=E$2:E788)))))</f>
        <v/>
      </c>
      <c r="J789" s="24" t="str">
        <f ca="1">IF(OR(E789="",E789="!!!",F789="NEW"),"",COUNTBLANK(OFFSET(A$1,,,SUMPRODUCT(MAX(ROW(E$2:E789)*(E789=E$2:E789)))))-COUNTBLANK(OFFSET(A$1,,,SUMPRODUCT(MAX(ROW(E$1:E788)*(E2=E$1:E788))))))</f>
        <v/>
      </c>
      <c r="K789" s="24" t="str">
        <f>IF(OR(E789="",E789="!!!",F789="NEW"),"",INDEX(J$1:J788,SUMPRODUCT(MAX(ROW(E$1:E788)*(E789=E$1:E788)))))</f>
        <v/>
      </c>
      <c r="L789" s="25"/>
    </row>
    <row r="790" spans="1:12" x14ac:dyDescent="0.2">
      <c r="A790" t="s">
        <v>1115</v>
      </c>
    </row>
    <row r="791" spans="1:12" x14ac:dyDescent="0.2">
      <c r="A791" t="s">
        <v>902</v>
      </c>
      <c r="E791" s="20" t="str">
        <f t="shared" ref="E791:E803" si="90">IF(D791="?OLD","!!!","")</f>
        <v/>
      </c>
      <c r="F791" s="21" t="str">
        <f>IF(OR(E791="",E791="!!!"),"",IF(NOT(ISNA(VLOOKUP(E791,E$1:E790,1,FALSE()))),"OLD",IF(AND(E791&lt;&gt;"",E791&lt;&gt;"!!!"),"NEW","")))</f>
        <v/>
      </c>
      <c r="G791" s="22" t="str">
        <f>IF(OR(E791="",E791="!!!"),"",IF(OR(J791=0,AND(J791=1,K791=1),AND(J791=1,I791="SBJ"),AND(J791=1,I791=0)),"?IN_FOCUS",IF(J791&lt;=2,"?ACTIVATED",IF(J791&lt;&gt;"","?FAMILIAR",IF(F791="NEW",IF(ISNA(VLOOKUP(E791,#REF!,1,FALSE())),"?TYPE_IDENTIFIABLE","?REFERENTIAL"),"_")))))</f>
        <v/>
      </c>
      <c r="H791" s="23" t="str">
        <f t="shared" ref="H791:H803" ca="1" si="91">IF(J791&lt;&gt;1,"",IF(I791="SBJ","CB","?"))</f>
        <v/>
      </c>
      <c r="I791" s="24" t="str">
        <f>IF(OR(E791="",E791="!!!",F791="NEW"),"",INDEX(B$2:B790,-1+SUMPRODUCT(MAX(ROW(E$2:E790)*(E791=E$2:E790)))))</f>
        <v/>
      </c>
      <c r="J791" s="24" t="str">
        <f ca="1">IF(OR(E791="",E791="!!!",F791="NEW"),"",COUNTBLANK(OFFSET(A$1,,,SUMPRODUCT(MAX(ROW(E$2:E791)*(E791=E$2:E791)))))-COUNTBLANK(OFFSET(A$1,,,SUMPRODUCT(MAX(ROW(E$1:E790)*(E2=E$1:E790))))))</f>
        <v/>
      </c>
      <c r="K791" s="24" t="str">
        <f>IF(OR(E791="",E791="!!!",F791="NEW"),"",INDEX(J$1:J790,SUMPRODUCT(MAX(ROW(E$1:E790)*(E791=E$1:E790)))))</f>
        <v/>
      </c>
      <c r="L791" s="25"/>
    </row>
    <row r="792" spans="1:12" x14ac:dyDescent="0.2">
      <c r="A792" t="s">
        <v>1079</v>
      </c>
      <c r="E792" s="20" t="str">
        <f t="shared" si="90"/>
        <v/>
      </c>
      <c r="F792" s="21" t="str">
        <f>IF(OR(E792="",E792="!!!"),"",IF(NOT(ISNA(VLOOKUP(E792,E$1:E791,1,FALSE()))),"OLD",IF(AND(E792&lt;&gt;"",E792&lt;&gt;"!!!"),"NEW","")))</f>
        <v/>
      </c>
      <c r="G792" s="22" t="str">
        <f>IF(OR(E792="",E792="!!!"),"",IF(OR(J792=0,AND(J792=1,K792=1),AND(J792=1,I792="SBJ"),AND(J792=1,I792=0)),"?IN_FOCUS",IF(J792&lt;=2,"?ACTIVATED",IF(J792&lt;&gt;"","?FAMILIAR",IF(F792="NEW",IF(ISNA(VLOOKUP(E792,#REF!,1,FALSE())),"?TYPE_IDENTIFIABLE","?REFERENTIAL"),"_")))))</f>
        <v/>
      </c>
      <c r="H792" s="23" t="str">
        <f t="shared" ca="1" si="91"/>
        <v/>
      </c>
      <c r="I792" s="24" t="str">
        <f>IF(OR(E792="",E792="!!!",F792="NEW"),"",INDEX(B$2:B791,-1+SUMPRODUCT(MAX(ROW(E$2:E791)*(E792=E$2:E791)))))</f>
        <v/>
      </c>
      <c r="J792" s="24" t="str">
        <f ca="1">IF(OR(E792="",E792="!!!",F792="NEW"),"",COUNTBLANK(OFFSET(A$1,,,SUMPRODUCT(MAX(ROW(E$2:E792)*(E792=E$2:E792)))))-COUNTBLANK(OFFSET(A$1,,,SUMPRODUCT(MAX(ROW(E$1:E791)*(E2=E$1:E791))))))</f>
        <v/>
      </c>
      <c r="K792" s="24" t="str">
        <f>IF(OR(E792="",E792="!!!",F792="NEW"),"",INDEX(J$1:J791,SUMPRODUCT(MAX(ROW(E$1:E791)*(E792=E$1:E791)))))</f>
        <v/>
      </c>
      <c r="L792" s="25"/>
    </row>
    <row r="793" spans="1:12" x14ac:dyDescent="0.2">
      <c r="A793" t="s">
        <v>802</v>
      </c>
      <c r="E793" s="20" t="str">
        <f t="shared" si="90"/>
        <v/>
      </c>
      <c r="F793" s="21" t="str">
        <f>IF(OR(E793="",E793="!!!"),"",IF(NOT(ISNA(VLOOKUP(E793,E$1:E792,1,FALSE()))),"OLD",IF(AND(E793&lt;&gt;"",E793&lt;&gt;"!!!"),"NEW","")))</f>
        <v/>
      </c>
      <c r="G793" s="22" t="str">
        <f>IF(OR(E793="",E793="!!!"),"",IF(OR(J793=0,AND(J793=1,K793=1),AND(J793=1,I793="SBJ"),AND(J793=1,I793=0)),"?IN_FOCUS",IF(J793&lt;=2,"?ACTIVATED",IF(J793&lt;&gt;"","?FAMILIAR",IF(F793="NEW",IF(ISNA(VLOOKUP(E793,#REF!,1,FALSE())),"?TYPE_IDENTIFIABLE","?REFERENTIAL"),"_")))))</f>
        <v/>
      </c>
      <c r="H793" s="23" t="str">
        <f t="shared" ca="1" si="91"/>
        <v/>
      </c>
      <c r="I793" s="24" t="str">
        <f>IF(OR(E793="",E793="!!!",F793="NEW"),"",INDEX(B$2:B792,-1+SUMPRODUCT(MAX(ROW(E$2:E792)*(E793=E$2:E792)))))</f>
        <v/>
      </c>
      <c r="J793" s="24" t="str">
        <f ca="1">IF(OR(E793="",E793="!!!",F793="NEW"),"",COUNTBLANK(OFFSET(A$1,,,SUMPRODUCT(MAX(ROW(E$2:E793)*(E793=E$2:E793)))))-COUNTBLANK(OFFSET(A$1,,,SUMPRODUCT(MAX(ROW(E$1:E792)*(E2=E$1:E792))))))</f>
        <v/>
      </c>
      <c r="K793" s="24" t="str">
        <f>IF(OR(E793="",E793="!!!",F793="NEW"),"",INDEX(J$1:J792,SUMPRODUCT(MAX(ROW(E$1:E792)*(E793=E$1:E792)))))</f>
        <v/>
      </c>
      <c r="L793" s="25"/>
    </row>
    <row r="794" spans="1:12" x14ac:dyDescent="0.2">
      <c r="A794" t="s">
        <v>830</v>
      </c>
      <c r="B794" s="26" t="s">
        <v>950</v>
      </c>
      <c r="C794" s="26" t="s">
        <v>805</v>
      </c>
      <c r="D794" s="26" t="s">
        <v>806</v>
      </c>
      <c r="E794" s="20" t="s">
        <v>1111</v>
      </c>
      <c r="F794" s="21" t="str">
        <f>IF(OR(E794="",E794="!!!"),"",IF(NOT(ISNA(VLOOKUP(E794,E$1:E793,1,FALSE()))),"OLD",IF(AND(E794&lt;&gt;"",E794&lt;&gt;"!!!"),"NEW","")))</f>
        <v>OLD</v>
      </c>
      <c r="G794" s="22" t="s">
        <v>1823</v>
      </c>
      <c r="H794" s="23" t="str">
        <f t="shared" ca="1" si="91"/>
        <v/>
      </c>
      <c r="I794" s="24" t="str">
        <f>IF(OR(E794="",E794="!!!",F794="NEW"),"",INDEX(B$2:B793,-1+SUMPRODUCT(MAX(ROW(E$2:E793)*(E794=E$2:E793)))))</f>
        <v>SBJ_2</v>
      </c>
      <c r="J794" s="24">
        <f ca="1">IF(OR(E794="",E794="!!!",F794="NEW"),"",COUNTBLANK(OFFSET(A$1,,,SUMPRODUCT(MAX(ROW(E$2:E794)*(E794=E$2:E794)))))-COUNTBLANK(OFFSET(A$1,,,SUMPRODUCT(MAX(ROW(E$1:E793)*(E2=E$1:E793))))))</f>
        <v>0</v>
      </c>
      <c r="K794" s="24" t="str">
        <f ca="1">IF(OR(E794="",E794="!!!",F794="NEW"),"",INDEX(J$1:J793,SUMPRODUCT(MAX(ROW(E$1:E793)*(E794=E$1:E793)))))</f>
        <v/>
      </c>
      <c r="L794" s="25"/>
    </row>
    <row r="795" spans="1:12" x14ac:dyDescent="0.2">
      <c r="A795" t="s">
        <v>898</v>
      </c>
      <c r="E795" s="20" t="str">
        <f t="shared" si="90"/>
        <v/>
      </c>
      <c r="F795" s="21" t="str">
        <f>IF(OR(E795="",E795="!!!"),"",IF(NOT(ISNA(VLOOKUP(E795,E$1:E794,1,FALSE()))),"OLD",IF(AND(E795&lt;&gt;"",E795&lt;&gt;"!!!"),"NEW","")))</f>
        <v/>
      </c>
      <c r="G795" s="22" t="str">
        <f>IF(OR(E795="",E795="!!!"),"",IF(OR(J795=0,AND(J795=1,K795=1),AND(J795=1,I795="SBJ"),AND(J795=1,I795=0)),"?IN_FOCUS",IF(J795&lt;=2,"?ACTIVATED",IF(J795&lt;&gt;"","?FAMILIAR",IF(F795="NEW",IF(ISNA(VLOOKUP(E795,#REF!,1,FALSE())),"?TYPE_IDENTIFIABLE","?REFERENTIAL"),"_")))))</f>
        <v/>
      </c>
      <c r="H795" s="23" t="str">
        <f t="shared" ca="1" si="91"/>
        <v/>
      </c>
      <c r="I795" s="24" t="str">
        <f>IF(OR(E795="",E795="!!!",F795="NEW"),"",INDEX(B$2:B794,-1+SUMPRODUCT(MAX(ROW(E$2:E794)*(E795=E$2:E794)))))</f>
        <v/>
      </c>
      <c r="J795" s="24" t="str">
        <f ca="1">IF(OR(E795="",E795="!!!",F795="NEW"),"",COUNTBLANK(OFFSET(A$1,,,SUMPRODUCT(MAX(ROW(E$2:E795)*(E795=E$2:E795)))))-COUNTBLANK(OFFSET(A$1,,,SUMPRODUCT(MAX(ROW(E$1:E794)*(E2=E$1:E794))))))</f>
        <v/>
      </c>
      <c r="K795" s="24" t="str">
        <f>IF(OR(E795="",E795="!!!",F795="NEW"),"",INDEX(J$1:J794,SUMPRODUCT(MAX(ROW(E$1:E794)*(E795=E$1:E794)))))</f>
        <v/>
      </c>
      <c r="L795" s="25"/>
    </row>
    <row r="796" spans="1:12" x14ac:dyDescent="0.2">
      <c r="A796" t="s">
        <v>869</v>
      </c>
      <c r="E796" s="20" t="str">
        <f t="shared" si="90"/>
        <v/>
      </c>
      <c r="F796" s="21" t="str">
        <f>IF(OR(E796="",E796="!!!"),"",IF(NOT(ISNA(VLOOKUP(E796,E$1:E795,1,FALSE()))),"OLD",IF(AND(E796&lt;&gt;"",E796&lt;&gt;"!!!"),"NEW","")))</f>
        <v/>
      </c>
      <c r="G796" s="22" t="str">
        <f>IF(OR(E796="",E796="!!!"),"",IF(OR(J796=0,AND(J796=1,K796=1),AND(J796=1,I796="SBJ"),AND(J796=1,I796=0)),"?IN_FOCUS",IF(J796&lt;=2,"?ACTIVATED",IF(J796&lt;&gt;"","?FAMILIAR",IF(F796="NEW",IF(ISNA(VLOOKUP(E796,#REF!,1,FALSE())),"?TYPE_IDENTIFIABLE","?REFERENTIAL"),"_")))))</f>
        <v/>
      </c>
      <c r="H796" s="23" t="str">
        <f t="shared" ca="1" si="91"/>
        <v/>
      </c>
      <c r="I796" s="24" t="str">
        <f>IF(OR(E796="",E796="!!!",F796="NEW"),"",INDEX(B$2:B795,-1+SUMPRODUCT(MAX(ROW(E$2:E795)*(E796=E$2:E795)))))</f>
        <v/>
      </c>
      <c r="J796" s="24" t="str">
        <f ca="1">IF(OR(E796="",E796="!!!",F796="NEW"),"",COUNTBLANK(OFFSET(A$1,,,SUMPRODUCT(MAX(ROW(E$2:E796)*(E796=E$2:E796)))))-COUNTBLANK(OFFSET(A$1,,,SUMPRODUCT(MAX(ROW(E$1:E795)*(E2=E$1:E795))))))</f>
        <v/>
      </c>
      <c r="K796" s="24" t="str">
        <f>IF(OR(E796="",E796="!!!",F796="NEW"),"",INDEX(J$1:J795,SUMPRODUCT(MAX(ROW(E$1:E795)*(E796=E$1:E795)))))</f>
        <v/>
      </c>
      <c r="L796" s="25"/>
    </row>
    <row r="797" spans="1:12" x14ac:dyDescent="0.2">
      <c r="A797" t="s">
        <v>127</v>
      </c>
      <c r="E797" s="20" t="str">
        <f t="shared" si="90"/>
        <v/>
      </c>
      <c r="F797" s="21" t="str">
        <f>IF(OR(E797="",E797="!!!"),"",IF(NOT(ISNA(VLOOKUP(E797,E$1:E796,1,FALSE()))),"OLD",IF(AND(E797&lt;&gt;"",E797&lt;&gt;"!!!"),"NEW","")))</f>
        <v/>
      </c>
      <c r="G797" s="22" t="str">
        <f>IF(OR(E797="",E797="!!!"),"",IF(OR(J797=0,AND(J797=1,K797=1),AND(J797=1,I797="SBJ"),AND(J797=1,I797=0)),"?IN_FOCUS",IF(J797&lt;=2,"?ACTIVATED",IF(J797&lt;&gt;"","?FAMILIAR",IF(F797="NEW",IF(ISNA(VLOOKUP(E797,#REF!,1,FALSE())),"?TYPE_IDENTIFIABLE","?REFERENTIAL"),"_")))))</f>
        <v/>
      </c>
      <c r="H797" s="23" t="str">
        <f t="shared" ca="1" si="91"/>
        <v/>
      </c>
      <c r="I797" s="24" t="str">
        <f>IF(OR(E797="",E797="!!!",F797="NEW"),"",INDEX(B$2:B796,-1+SUMPRODUCT(MAX(ROW(E$2:E796)*(E797=E$2:E796)))))</f>
        <v/>
      </c>
      <c r="J797" s="24" t="str">
        <f ca="1">IF(OR(E797="",E797="!!!",F797="NEW"),"",COUNTBLANK(OFFSET(A$1,,,SUMPRODUCT(MAX(ROW(E$2:E797)*(E797=E$2:E797)))))-COUNTBLANK(OFFSET(A$1,,,SUMPRODUCT(MAX(ROW(E$1:E796)*(E2=E$1:E796))))))</f>
        <v/>
      </c>
      <c r="K797" s="24" t="str">
        <f>IF(OR(E797="",E797="!!!",F797="NEW"),"",INDEX(J$1:J796,SUMPRODUCT(MAX(ROW(E$1:E796)*(E797=E$1:E796)))))</f>
        <v/>
      </c>
      <c r="L797" s="25"/>
    </row>
    <row r="798" spans="1:12" x14ac:dyDescent="0.2">
      <c r="A798" t="s">
        <v>941</v>
      </c>
      <c r="B798" s="26" t="s">
        <v>819</v>
      </c>
      <c r="C798" s="26" t="s">
        <v>884</v>
      </c>
      <c r="E798" s="20" t="str">
        <f t="shared" si="90"/>
        <v/>
      </c>
      <c r="F798" s="21" t="str">
        <f>IF(OR(E798="",E798="!!!"),"",IF(NOT(ISNA(VLOOKUP(E798,E$1:E797,1,FALSE()))),"OLD",IF(AND(E798&lt;&gt;"",E798&lt;&gt;"!!!"),"NEW","")))</f>
        <v/>
      </c>
      <c r="G798" s="22" t="str">
        <f>IF(OR(E798="",E798="!!!"),"",IF(OR(J798=0,AND(J798=1,K798=1),AND(J798=1,I798="SBJ"),AND(J798=1,I798=0)),"?IN_FOCUS",IF(J798&lt;=2,"?ACTIVATED",IF(J798&lt;&gt;"","?FAMILIAR",IF(F798="NEW",IF(ISNA(VLOOKUP(E798,#REF!,1,FALSE())),"?TYPE_IDENTIFIABLE","?REFERENTIAL"),"_")))))</f>
        <v/>
      </c>
      <c r="H798" s="23" t="str">
        <f t="shared" ca="1" si="91"/>
        <v/>
      </c>
      <c r="I798" s="24" t="str">
        <f>IF(OR(E798="",E798="!!!",F798="NEW"),"",INDEX(B$2:B797,-1+SUMPRODUCT(MAX(ROW(E$2:E797)*(E798=E$2:E797)))))</f>
        <v/>
      </c>
      <c r="J798" s="24" t="str">
        <f ca="1">IF(OR(E798="",E798="!!!",F798="NEW"),"",COUNTBLANK(OFFSET(A$1,,,SUMPRODUCT(MAX(ROW(E$2:E798)*(E798=E$2:E798)))))-COUNTBLANK(OFFSET(A$1,,,SUMPRODUCT(MAX(ROW(E$1:E797)*(E2=E$1:E797))))))</f>
        <v/>
      </c>
      <c r="K798" s="24" t="str">
        <f>IF(OR(E798="",E798="!!!",F798="NEW"),"",INDEX(J$1:J797,SUMPRODUCT(MAX(ROW(E$1:E797)*(E798=E$1:E797)))))</f>
        <v/>
      </c>
      <c r="L798" s="25"/>
    </row>
    <row r="799" spans="1:12" x14ac:dyDescent="0.2">
      <c r="A799" t="s">
        <v>802</v>
      </c>
      <c r="E799" s="20" t="str">
        <f t="shared" si="90"/>
        <v/>
      </c>
      <c r="F799" s="21" t="str">
        <f>IF(OR(E799="",E799="!!!"),"",IF(NOT(ISNA(VLOOKUP(E799,E$1:E798,1,FALSE()))),"OLD",IF(AND(E799&lt;&gt;"",E799&lt;&gt;"!!!"),"NEW","")))</f>
        <v/>
      </c>
      <c r="G799" s="22" t="str">
        <f>IF(OR(E799="",E799="!!!"),"",IF(OR(J799=0,AND(J799=1,K799=1),AND(J799=1,I799="SBJ"),AND(J799=1,I799=0)),"?IN_FOCUS",IF(J799&lt;=2,"?ACTIVATED",IF(J799&lt;&gt;"","?FAMILIAR",IF(F799="NEW",IF(ISNA(VLOOKUP(E799,#REF!,1,FALSE())),"?TYPE_IDENTIFIABLE","?REFERENTIAL"),"_")))))</f>
        <v/>
      </c>
      <c r="H799" s="23" t="str">
        <f t="shared" ca="1" si="91"/>
        <v/>
      </c>
      <c r="I799" s="24" t="str">
        <f>IF(OR(E799="",E799="!!!",F799="NEW"),"",INDEX(B$2:B798,-1+SUMPRODUCT(MAX(ROW(E$2:E798)*(E799=E$2:E798)))))</f>
        <v/>
      </c>
      <c r="J799" s="24" t="str">
        <f ca="1">IF(OR(E799="",E799="!!!",F799="NEW"),"",COUNTBLANK(OFFSET(A$1,,,SUMPRODUCT(MAX(ROW(E$2:E799)*(E799=E$2:E799)))))-COUNTBLANK(OFFSET(A$1,,,SUMPRODUCT(MAX(ROW(E$1:E798)*(E2=E$1:E798))))))</f>
        <v/>
      </c>
      <c r="K799" s="24" t="str">
        <f>IF(OR(E799="",E799="!!!",F799="NEW"),"",INDEX(J$1:J798,SUMPRODUCT(MAX(ROW(E$1:E798)*(E799=E$1:E798)))))</f>
        <v/>
      </c>
      <c r="L799" s="25"/>
    </row>
    <row r="800" spans="1:12" x14ac:dyDescent="0.2">
      <c r="A800" t="s">
        <v>902</v>
      </c>
      <c r="E800" s="20" t="str">
        <f t="shared" si="90"/>
        <v/>
      </c>
      <c r="F800" s="21" t="str">
        <f>IF(OR(E800="",E800="!!!"),"",IF(NOT(ISNA(VLOOKUP(E800,E$1:E799,1,FALSE()))),"OLD",IF(AND(E800&lt;&gt;"",E800&lt;&gt;"!!!"),"NEW","")))</f>
        <v/>
      </c>
      <c r="G800" s="22" t="str">
        <f>IF(OR(E800="",E800="!!!"),"",IF(OR(J800=0,AND(J800=1,K800=1),AND(J800=1,I800="SBJ"),AND(J800=1,I800=0)),"?IN_FOCUS",IF(J800&lt;=2,"?ACTIVATED",IF(J800&lt;&gt;"","?FAMILIAR",IF(F800="NEW",IF(ISNA(VLOOKUP(E800,#REF!,1,FALSE())),"?TYPE_IDENTIFIABLE","?REFERENTIAL"),"_")))))</f>
        <v/>
      </c>
      <c r="H800" s="23" t="str">
        <f t="shared" ca="1" si="91"/>
        <v/>
      </c>
      <c r="I800" s="24" t="str">
        <f>IF(OR(E800="",E800="!!!",F800="NEW"),"",INDEX(B$2:B799,-1+SUMPRODUCT(MAX(ROW(E$2:E799)*(E800=E$2:E799)))))</f>
        <v/>
      </c>
      <c r="J800" s="24" t="str">
        <f ca="1">IF(OR(E800="",E800="!!!",F800="NEW"),"",COUNTBLANK(OFFSET(A$1,,,SUMPRODUCT(MAX(ROW(E$2:E800)*(E800=E$2:E800)))))-COUNTBLANK(OFFSET(A$1,,,SUMPRODUCT(MAX(ROW(E$1:E799)*(E2=E$1:E799))))))</f>
        <v/>
      </c>
      <c r="K800" s="24" t="str">
        <f>IF(OR(E800="",E800="!!!",F800="NEW"),"",INDEX(J$1:J799,SUMPRODUCT(MAX(ROW(E$1:E799)*(E800=E$1:E799)))))</f>
        <v/>
      </c>
      <c r="L800" s="25"/>
    </row>
    <row r="801" spans="1:12" x14ac:dyDescent="0.2">
      <c r="A801" t="s">
        <v>1024</v>
      </c>
      <c r="B801" s="26" t="s">
        <v>804</v>
      </c>
      <c r="C801" s="26" t="s">
        <v>805</v>
      </c>
      <c r="D801" s="26" t="s">
        <v>806</v>
      </c>
      <c r="E801" s="20" t="s">
        <v>1767</v>
      </c>
      <c r="F801" s="21" t="str">
        <f>IF(OR(E801="",E801="!!!"),"",IF(NOT(ISNA(VLOOKUP(E801,E$1:E800,1,FALSE()))),"OLD",IF(AND(E801&lt;&gt;"",E801&lt;&gt;"!!!"),"NEW","")))</f>
        <v>OLD</v>
      </c>
      <c r="G801" s="22" t="s">
        <v>1823</v>
      </c>
      <c r="H801" s="23" t="str">
        <f t="shared" ca="1" si="91"/>
        <v/>
      </c>
      <c r="I801" s="24" t="str">
        <f>IF(OR(E801="",E801="!!!",F801="NEW"),"",INDEX(B$2:B800,-1+SUMPRODUCT(MAX(ROW(E$2:E800)*(E801=E$2:E800)))))</f>
        <v>SBJ</v>
      </c>
      <c r="J801" s="24">
        <f ca="1">IF(OR(E801="",E801="!!!",F801="NEW"),"",COUNTBLANK(OFFSET(A$1,,,SUMPRODUCT(MAX(ROW(E$2:E801)*(E801=E$2:E801)))))-COUNTBLANK(OFFSET(A$1,,,SUMPRODUCT(MAX(ROW(E$1:E800)*(E2=E$1:E800))))))</f>
        <v>0</v>
      </c>
      <c r="K801" s="24">
        <f ca="1">IF(OR(E801="",E801="!!!",F801="NEW"),"",INDEX(J$1:J800,SUMPRODUCT(MAX(ROW(E$1:E800)*(E801=E$1:E800)))))</f>
        <v>0</v>
      </c>
      <c r="L801" s="25"/>
    </row>
    <row r="802" spans="1:12" x14ac:dyDescent="0.2">
      <c r="A802" t="s">
        <v>904</v>
      </c>
      <c r="E802" s="20" t="str">
        <f t="shared" si="90"/>
        <v/>
      </c>
      <c r="F802" s="21" t="str">
        <f>IF(OR(E802="",E802="!!!"),"",IF(NOT(ISNA(VLOOKUP(E802,E$1:E801,1,FALSE()))),"OLD",IF(AND(E802&lt;&gt;"",E802&lt;&gt;"!!!"),"NEW","")))</f>
        <v/>
      </c>
      <c r="G802" s="22" t="str">
        <f>IF(OR(E802="",E802="!!!"),"",IF(OR(J802=0,AND(J802=1,K802=1),AND(J802=1,I802="SBJ"),AND(J802=1,I802=0)),"?IN_FOCUS",IF(J802&lt;=2,"?ACTIVATED",IF(J802&lt;&gt;"","?FAMILIAR",IF(F802="NEW",IF(ISNA(VLOOKUP(E802,#REF!,1,FALSE())),"?TYPE_IDENTIFIABLE","?REFERENTIAL"),"_")))))</f>
        <v/>
      </c>
      <c r="H802" s="23" t="str">
        <f t="shared" ca="1" si="91"/>
        <v/>
      </c>
      <c r="I802" s="24" t="str">
        <f>IF(OR(E802="",E802="!!!",F802="NEW"),"",INDEX(B$2:B801,-1+SUMPRODUCT(MAX(ROW(E$2:E801)*(E802=E$2:E801)))))</f>
        <v/>
      </c>
      <c r="J802" s="24" t="str">
        <f ca="1">IF(OR(E802="",E802="!!!",F802="NEW"),"",COUNTBLANK(OFFSET(A$1,,,SUMPRODUCT(MAX(ROW(E$2:E802)*(E802=E$2:E802)))))-COUNTBLANK(OFFSET(A$1,,,SUMPRODUCT(MAX(ROW(E$1:E801)*(E2=E$1:E801))))))</f>
        <v/>
      </c>
      <c r="K802" s="24" t="str">
        <f>IF(OR(E802="",E802="!!!",F802="NEW"),"",INDEX(J$1:J801,SUMPRODUCT(MAX(ROW(E$1:E801)*(E802=E$1:E801)))))</f>
        <v/>
      </c>
      <c r="L802" s="25"/>
    </row>
    <row r="803" spans="1:12" x14ac:dyDescent="0.2">
      <c r="A803" t="s">
        <v>821</v>
      </c>
      <c r="E803" s="20" t="str">
        <f t="shared" si="90"/>
        <v/>
      </c>
      <c r="F803" s="21" t="str">
        <f>IF(OR(E803="",E803="!!!"),"",IF(NOT(ISNA(VLOOKUP(E803,E$1:E802,1,FALSE()))),"OLD",IF(AND(E803&lt;&gt;"",E803&lt;&gt;"!!!"),"NEW","")))</f>
        <v/>
      </c>
      <c r="G803" s="22" t="str">
        <f>IF(OR(E803="",E803="!!!"),"",IF(OR(J803=0,AND(J803=1,K803=1),AND(J803=1,I803="SBJ"),AND(J803=1,I803=0)),"?IN_FOCUS",IF(J803&lt;=2,"?ACTIVATED",IF(J803&lt;&gt;"","?FAMILIAR",IF(F803="NEW",IF(ISNA(VLOOKUP(E803,#REF!,1,FALSE())),"?TYPE_IDENTIFIABLE","?REFERENTIAL"),"_")))))</f>
        <v/>
      </c>
      <c r="H803" s="23" t="str">
        <f t="shared" ca="1" si="91"/>
        <v/>
      </c>
      <c r="I803" s="24" t="str">
        <f>IF(OR(E803="",E803="!!!",F803="NEW"),"",INDEX(B$2:B802,-1+SUMPRODUCT(MAX(ROW(E$2:E802)*(E803=E$2:E802)))))</f>
        <v/>
      </c>
      <c r="J803" s="24" t="str">
        <f ca="1">IF(OR(E803="",E803="!!!",F803="NEW"),"",COUNTBLANK(OFFSET(A$1,,,SUMPRODUCT(MAX(ROW(E$2:E803)*(E803=E$2:E803)))))-COUNTBLANK(OFFSET(A$1,,,SUMPRODUCT(MAX(ROW(E$1:E802)*(E2=E$1:E802))))))</f>
        <v/>
      </c>
      <c r="K803" s="24" t="str">
        <f>IF(OR(E803="",E803="!!!",F803="NEW"),"",INDEX(J$1:J802,SUMPRODUCT(MAX(ROW(E$1:E802)*(E803=E$1:E802)))))</f>
        <v/>
      </c>
      <c r="L803" s="25"/>
    </row>
    <row r="805" spans="1:12" x14ac:dyDescent="0.2">
      <c r="A805" t="s">
        <v>900</v>
      </c>
      <c r="E805" s="20" t="str">
        <f>IF(D805="?OLD","!!!","")</f>
        <v/>
      </c>
      <c r="F805" s="21" t="str">
        <f>IF(OR(E805="",E805="!!!"),"",IF(NOT(ISNA(VLOOKUP(E805,E$1:E804,1,FALSE()))),"OLD",IF(AND(E805&lt;&gt;"",E805&lt;&gt;"!!!"),"NEW","")))</f>
        <v/>
      </c>
      <c r="G805" s="22" t="str">
        <f>IF(OR(E805="",E805="!!!"),"",IF(OR(J805=0,AND(J805=1,K805=1),AND(J805=1,I805="SBJ"),AND(J805=1,I805=0)),"?IN_FOCUS",IF(J805&lt;=2,"?ACTIVATED",IF(J805&lt;&gt;"","?FAMILIAR",IF(F805="NEW",IF(ISNA(VLOOKUP(E805,#REF!,1,FALSE())),"?TYPE_IDENTIFIABLE","?REFERENTIAL"),"_")))))</f>
        <v/>
      </c>
      <c r="H805" s="23" t="str">
        <f ca="1">IF(J805&lt;&gt;1,"",IF(I805="SBJ","CB","?"))</f>
        <v/>
      </c>
      <c r="I805" s="24" t="str">
        <f>IF(OR(E805="",E805="!!!",F805="NEW"),"",INDEX(B$2:B804,-1+SUMPRODUCT(MAX(ROW(E$2:E804)*(E805=E$2:E804)))))</f>
        <v/>
      </c>
      <c r="J805" s="24" t="str">
        <f ca="1">IF(OR(E805="",E805="!!!",F805="NEW"),"",COUNTBLANK(OFFSET(A$1,,,SUMPRODUCT(MAX(ROW(E$2:E805)*(E805=E$2:E805)))))-COUNTBLANK(OFFSET(A$1,,,SUMPRODUCT(MAX(ROW(E$1:E804)*(E2=E$1:E804))))))</f>
        <v/>
      </c>
      <c r="K805" s="24" t="str">
        <f>IF(OR(E805="",E805="!!!",F805="NEW"),"",INDEX(J$1:J804,SUMPRODUCT(MAX(ROW(E$1:E804)*(E805=E$1:E804)))))</f>
        <v/>
      </c>
      <c r="L805" s="25"/>
    </row>
    <row r="806" spans="1:12" x14ac:dyDescent="0.2">
      <c r="A806" t="s">
        <v>1116</v>
      </c>
    </row>
    <row r="807" spans="1:12" x14ac:dyDescent="0.2">
      <c r="A807" t="s">
        <v>803</v>
      </c>
      <c r="B807" s="26" t="s">
        <v>804</v>
      </c>
      <c r="C807" s="26" t="s">
        <v>805</v>
      </c>
      <c r="D807" s="26" t="s">
        <v>806</v>
      </c>
      <c r="E807" s="20" t="s">
        <v>1747</v>
      </c>
      <c r="F807" s="21" t="s">
        <v>1753</v>
      </c>
      <c r="G807" s="22" t="s">
        <v>1823</v>
      </c>
      <c r="H807" s="23" t="str">
        <f t="shared" ref="H807:H822" ca="1" si="92">IF(J807&lt;&gt;1,"",IF(I807="SBJ","CB","?"))</f>
        <v/>
      </c>
      <c r="I807" s="24" t="str">
        <f>IF(OR(E807="",E807="!!!",F807="NEW"),"",INDEX(B$2:B806,-1+SUMPRODUCT(MAX(ROW(E$2:E806)*(E807=E$2:E806)))))</f>
        <v>SBJ</v>
      </c>
      <c r="J807" s="24">
        <f ca="1">IF(OR(E807="",E807="!!!",F807="NEW"),"",COUNTBLANK(OFFSET(A$1,,,SUMPRODUCT(MAX(ROW(E$2:E807)*(E807=E$2:E807)))))-COUNTBLANK(OFFSET(A$1,,,SUMPRODUCT(MAX(ROW(E$1:E806)*(E2=E$1:E806))))))</f>
        <v>0</v>
      </c>
      <c r="K807" s="24">
        <f ca="1">IF(OR(E807="",E807="!!!",F807="NEW"),"",INDEX(J$1:J806,SUMPRODUCT(MAX(ROW(E$1:E806)*(E807=E$1:E806)))))</f>
        <v>0</v>
      </c>
      <c r="L807" s="25"/>
    </row>
    <row r="808" spans="1:12" x14ac:dyDescent="0.2">
      <c r="A808" t="s">
        <v>904</v>
      </c>
      <c r="E808" s="20" t="str">
        <f t="shared" ref="E808:E822" si="93">IF(D808="?OLD","!!!","")</f>
        <v/>
      </c>
      <c r="F808" s="21" t="str">
        <f>IF(OR(E808="",E808="!!!"),"",IF(NOT(ISNA(VLOOKUP(E808,E$1:E807,1,FALSE()))),"OLD",IF(AND(E808&lt;&gt;"",E808&lt;&gt;"!!!"),"NEW","")))</f>
        <v/>
      </c>
      <c r="G808" s="22" t="str">
        <f>IF(OR(E808="",E808="!!!"),"",IF(OR(J808=0,AND(J808=1,K808=1),AND(J808=1,I808="SBJ"),AND(J808=1,I808=0)),"?IN_FOCUS",IF(J808&lt;=2,"?ACTIVATED",IF(J808&lt;&gt;"","?FAMILIAR",IF(F808="NEW",IF(ISNA(VLOOKUP(E808,#REF!,1,FALSE())),"?TYPE_IDENTIFIABLE","?REFERENTIAL"),"_")))))</f>
        <v/>
      </c>
      <c r="H808" s="23" t="str">
        <f t="shared" ca="1" si="92"/>
        <v/>
      </c>
      <c r="I808" s="24" t="str">
        <f>IF(OR(E808="",E808="!!!",F808="NEW"),"",INDEX(B$2:B807,-1+SUMPRODUCT(MAX(ROW(E$2:E807)*(E808=E$2:E807)))))</f>
        <v/>
      </c>
      <c r="J808" s="24" t="str">
        <f ca="1">IF(OR(E808="",E808="!!!",F808="NEW"),"",COUNTBLANK(OFFSET(A$1,,,SUMPRODUCT(MAX(ROW(E$2:E808)*(E808=E$2:E808)))))-COUNTBLANK(OFFSET(A$1,,,SUMPRODUCT(MAX(ROW(E$1:E807)*(E2=E$1:E807))))))</f>
        <v/>
      </c>
      <c r="K808" s="24" t="str">
        <f>IF(OR(E808="",E808="!!!",F808="NEW"),"",INDEX(J$1:J807,SUMPRODUCT(MAX(ROW(E$1:E807)*(E808=E$1:E807)))))</f>
        <v/>
      </c>
      <c r="L808" s="25"/>
    </row>
    <row r="809" spans="1:12" x14ac:dyDescent="0.2">
      <c r="A809" t="s">
        <v>802</v>
      </c>
      <c r="E809" s="20" t="str">
        <f t="shared" si="93"/>
        <v/>
      </c>
      <c r="F809" s="21" t="str">
        <f>IF(OR(E809="",E809="!!!"),"",IF(NOT(ISNA(VLOOKUP(E809,E$1:E808,1,FALSE()))),"OLD",IF(AND(E809&lt;&gt;"",E809&lt;&gt;"!!!"),"NEW","")))</f>
        <v/>
      </c>
      <c r="G809" s="22" t="str">
        <f>IF(OR(E809="",E809="!!!"),"",IF(OR(J809=0,AND(J809=1,K809=1),AND(J809=1,I809="SBJ"),AND(J809=1,I809=0)),"?IN_FOCUS",IF(J809&lt;=2,"?ACTIVATED",IF(J809&lt;&gt;"","?FAMILIAR",IF(F809="NEW",IF(ISNA(VLOOKUP(E809,#REF!,1,FALSE())),"?TYPE_IDENTIFIABLE","?REFERENTIAL"),"_")))))</f>
        <v/>
      </c>
      <c r="H809" s="23" t="str">
        <f t="shared" ca="1" si="92"/>
        <v/>
      </c>
      <c r="I809" s="24" t="str">
        <f>IF(OR(E809="",E809="!!!",F809="NEW"),"",INDEX(B$2:B808,-1+SUMPRODUCT(MAX(ROW(E$2:E808)*(E809=E$2:E808)))))</f>
        <v/>
      </c>
      <c r="J809" s="24" t="str">
        <f ca="1">IF(OR(E809="",E809="!!!",F809="NEW"),"",COUNTBLANK(OFFSET(A$1,,,SUMPRODUCT(MAX(ROW(E$2:E809)*(E809=E$2:E809)))))-COUNTBLANK(OFFSET(A$1,,,SUMPRODUCT(MAX(ROW(E$1:E808)*(E2=E$1:E808))))))</f>
        <v/>
      </c>
      <c r="K809" s="24" t="str">
        <f>IF(OR(E809="",E809="!!!",F809="NEW"),"",INDEX(J$1:J808,SUMPRODUCT(MAX(ROW(E$1:E808)*(E809=E$1:E808)))))</f>
        <v/>
      </c>
      <c r="L809" s="25"/>
    </row>
    <row r="810" spans="1:12" x14ac:dyDescent="0.2">
      <c r="A810" t="s">
        <v>902</v>
      </c>
      <c r="E810" s="20" t="str">
        <f t="shared" si="93"/>
        <v/>
      </c>
      <c r="F810" s="21" t="str">
        <f>IF(OR(E810="",E810="!!!"),"",IF(NOT(ISNA(VLOOKUP(E810,E$1:E809,1,FALSE()))),"OLD",IF(AND(E810&lt;&gt;"",E810&lt;&gt;"!!!"),"NEW","")))</f>
        <v/>
      </c>
      <c r="G810" s="22" t="str">
        <f>IF(OR(E810="",E810="!!!"),"",IF(OR(J810=0,AND(J810=1,K810=1),AND(J810=1,I810="SBJ"),AND(J810=1,I810=0)),"?IN_FOCUS",IF(J810&lt;=2,"?ACTIVATED",IF(J810&lt;&gt;"","?FAMILIAR",IF(F810="NEW",IF(ISNA(VLOOKUP(E810,#REF!,1,FALSE())),"?TYPE_IDENTIFIABLE","?REFERENTIAL"),"_")))))</f>
        <v/>
      </c>
      <c r="H810" s="23" t="str">
        <f t="shared" ca="1" si="92"/>
        <v/>
      </c>
      <c r="I810" s="24" t="str">
        <f>IF(OR(E810="",E810="!!!",F810="NEW"),"",INDEX(B$2:B809,-1+SUMPRODUCT(MAX(ROW(E$2:E809)*(E810=E$2:E809)))))</f>
        <v/>
      </c>
      <c r="J810" s="24" t="str">
        <f ca="1">IF(OR(E810="",E810="!!!",F810="NEW"),"",COUNTBLANK(OFFSET(A$1,,,SUMPRODUCT(MAX(ROW(E$2:E810)*(E810=E$2:E810)))))-COUNTBLANK(OFFSET(A$1,,,SUMPRODUCT(MAX(ROW(E$1:E809)*(E2=E$1:E809))))))</f>
        <v/>
      </c>
      <c r="K810" s="24" t="str">
        <f>IF(OR(E810="",E810="!!!",F810="NEW"),"",INDEX(J$1:J809,SUMPRODUCT(MAX(ROW(E$1:E809)*(E810=E$1:E809)))))</f>
        <v/>
      </c>
      <c r="L810" s="25"/>
    </row>
    <row r="811" spans="1:12" x14ac:dyDescent="0.2">
      <c r="A811" t="s">
        <v>191</v>
      </c>
      <c r="B811" s="26" t="s">
        <v>804</v>
      </c>
      <c r="C811" s="26" t="s">
        <v>854</v>
      </c>
      <c r="D811" s="26" t="s">
        <v>806</v>
      </c>
      <c r="E811" s="20"/>
      <c r="F811" s="21" t="str">
        <f>IF(OR(E811="",E811="!!!"),"",IF(NOT(ISNA(VLOOKUP(E811,E$1:E810,1,FALSE()))),"OLD",IF(AND(E811&lt;&gt;"",E811&lt;&gt;"!!!"),"NEW","")))</f>
        <v/>
      </c>
      <c r="G811" s="22"/>
      <c r="H811" s="23" t="str">
        <f t="shared" ca="1" si="92"/>
        <v/>
      </c>
      <c r="I811" s="24" t="str">
        <f>IF(OR(E811="",E811="!!!",F811="NEW"),"",INDEX(B$2:B810,-1+SUMPRODUCT(MAX(ROW(E$2:E810)*(E811=E$2:E810)))))</f>
        <v/>
      </c>
      <c r="J811" s="24" t="str">
        <f ca="1">IF(OR(E811="",E811="!!!",F811="NEW"),"",COUNTBLANK(OFFSET(A$1,,,SUMPRODUCT(MAX(ROW(E$2:E811)*(E811=E$2:E811)))))-COUNTBLANK(OFFSET(A$1,,,SUMPRODUCT(MAX(ROW(E$1:E810)*(E2=E$1:E810))))))</f>
        <v/>
      </c>
      <c r="K811" s="24" t="str">
        <f>IF(OR(E811="",E811="!!!",F811="NEW"),"",INDEX(J$1:J810,SUMPRODUCT(MAX(ROW(E$1:E810)*(E811=E$1:E810)))))</f>
        <v/>
      </c>
      <c r="L811" s="25"/>
    </row>
    <row r="812" spans="1:12" x14ac:dyDescent="0.2">
      <c r="A812" t="s">
        <v>802</v>
      </c>
      <c r="E812" s="20" t="str">
        <f t="shared" si="93"/>
        <v/>
      </c>
      <c r="F812" s="21" t="str">
        <f>IF(OR(E812="",E812="!!!"),"",IF(NOT(ISNA(VLOOKUP(E812,E$1:E811,1,FALSE()))),"OLD",IF(AND(E812&lt;&gt;"",E812&lt;&gt;"!!!"),"NEW","")))</f>
        <v/>
      </c>
      <c r="G812" s="22" t="str">
        <f>IF(OR(E812="",E812="!!!"),"",IF(OR(J812=0,AND(J812=1,K812=1),AND(J812=1,I812="SBJ"),AND(J812=1,I812=0)),"?IN_FOCUS",IF(J812&lt;=2,"?ACTIVATED",IF(J812&lt;&gt;"","?FAMILIAR",IF(F812="NEW",IF(ISNA(VLOOKUP(E812,#REF!,1,FALSE())),"?TYPE_IDENTIFIABLE","?REFERENTIAL"),"_")))))</f>
        <v/>
      </c>
      <c r="H812" s="23" t="str">
        <f t="shared" ca="1" si="92"/>
        <v/>
      </c>
      <c r="I812" s="24" t="str">
        <f>IF(OR(E812="",E812="!!!",F812="NEW"),"",INDEX(B$2:B811,-1+SUMPRODUCT(MAX(ROW(E$2:E811)*(E812=E$2:E811)))))</f>
        <v/>
      </c>
      <c r="J812" s="24" t="str">
        <f ca="1">IF(OR(E812="",E812="!!!",F812="NEW"),"",COUNTBLANK(OFFSET(A$1,,,SUMPRODUCT(MAX(ROW(E$2:E812)*(E812=E$2:E812)))))-COUNTBLANK(OFFSET(A$1,,,SUMPRODUCT(MAX(ROW(E$1:E811)*(E2=E$1:E811))))))</f>
        <v/>
      </c>
      <c r="K812" s="24" t="str">
        <f>IF(OR(E812="",E812="!!!",F812="NEW"),"",INDEX(J$1:J811,SUMPRODUCT(MAX(ROW(E$1:E811)*(E812=E$1:E811)))))</f>
        <v/>
      </c>
      <c r="L812" s="25"/>
    </row>
    <row r="813" spans="1:12" x14ac:dyDescent="0.2">
      <c r="A813" t="s">
        <v>148</v>
      </c>
      <c r="B813" s="26" t="s">
        <v>813</v>
      </c>
      <c r="C813" s="26" t="s">
        <v>850</v>
      </c>
      <c r="E813" s="20" t="str">
        <f t="shared" si="93"/>
        <v/>
      </c>
      <c r="F813" s="21" t="str">
        <f>IF(OR(E813="",E813="!!!"),"",IF(NOT(ISNA(VLOOKUP(E813,E$1:E812,1,FALSE()))),"OLD",IF(AND(E813&lt;&gt;"",E813&lt;&gt;"!!!"),"NEW","")))</f>
        <v/>
      </c>
      <c r="G813" s="22" t="str">
        <f>IF(OR(E813="",E813="!!!"),"",IF(OR(J813=0,AND(J813=1,K813=1),AND(J813=1,I813="SBJ"),AND(J813=1,I813=0)),"?IN_FOCUS",IF(J813&lt;=2,"?ACTIVATED",IF(J813&lt;&gt;"","?FAMILIAR",IF(F813="NEW",IF(ISNA(VLOOKUP(E813,#REF!,1,FALSE())),"?TYPE_IDENTIFIABLE","?REFERENTIAL"),"_")))))</f>
        <v/>
      </c>
      <c r="H813" s="23" t="str">
        <f t="shared" ca="1" si="92"/>
        <v/>
      </c>
      <c r="I813" s="24" t="str">
        <f>IF(OR(E813="",E813="!!!",F813="NEW"),"",INDEX(B$2:B812,-1+SUMPRODUCT(MAX(ROW(E$2:E812)*(E813=E$2:E812)))))</f>
        <v/>
      </c>
      <c r="J813" s="24" t="str">
        <f ca="1">IF(OR(E813="",E813="!!!",F813="NEW"),"",COUNTBLANK(OFFSET(A$1,,,SUMPRODUCT(MAX(ROW(E$2:E813)*(E813=E$2:E813)))))-COUNTBLANK(OFFSET(A$1,,,SUMPRODUCT(MAX(ROW(E$1:E812)*(E2=E$1:E812))))))</f>
        <v/>
      </c>
      <c r="K813" s="24" t="str">
        <f>IF(OR(E813="",E813="!!!",F813="NEW"),"",INDEX(J$1:J812,SUMPRODUCT(MAX(ROW(E$1:E812)*(E813=E$1:E812)))))</f>
        <v/>
      </c>
      <c r="L813" s="25"/>
    </row>
    <row r="814" spans="1:12" x14ac:dyDescent="0.2">
      <c r="A814" t="s">
        <v>898</v>
      </c>
      <c r="E814" s="20" t="str">
        <f t="shared" si="93"/>
        <v/>
      </c>
      <c r="F814" s="21" t="str">
        <f>IF(OR(E814="",E814="!!!"),"",IF(NOT(ISNA(VLOOKUP(E814,E$1:E813,1,FALSE()))),"OLD",IF(AND(E814&lt;&gt;"",E814&lt;&gt;"!!!"),"NEW","")))</f>
        <v/>
      </c>
      <c r="G814" s="22" t="str">
        <f>IF(OR(E814="",E814="!!!"),"",IF(OR(J814=0,AND(J814=1,K814=1),AND(J814=1,I814="SBJ"),AND(J814=1,I814=0)),"?IN_FOCUS",IF(J814&lt;=2,"?ACTIVATED",IF(J814&lt;&gt;"","?FAMILIAR",IF(F814="NEW",IF(ISNA(VLOOKUP(E814,#REF!,1,FALSE())),"?TYPE_IDENTIFIABLE","?REFERENTIAL"),"_")))))</f>
        <v/>
      </c>
      <c r="H814" s="23" t="str">
        <f t="shared" ca="1" si="92"/>
        <v/>
      </c>
      <c r="I814" s="24" t="str">
        <f>IF(OR(E814="",E814="!!!",F814="NEW"),"",INDEX(B$2:B813,-1+SUMPRODUCT(MAX(ROW(E$2:E813)*(E814=E$2:E813)))))</f>
        <v/>
      </c>
      <c r="J814" s="24" t="str">
        <f ca="1">IF(OR(E814="",E814="!!!",F814="NEW"),"",COUNTBLANK(OFFSET(A$1,,,SUMPRODUCT(MAX(ROW(E$2:E814)*(E814=E$2:E814)))))-COUNTBLANK(OFFSET(A$1,,,SUMPRODUCT(MAX(ROW(E$1:E813)*(E2=E$1:E813))))))</f>
        <v/>
      </c>
      <c r="K814" s="24" t="str">
        <f>IF(OR(E814="",E814="!!!",F814="NEW"),"",INDEX(J$1:J813,SUMPRODUCT(MAX(ROW(E$1:E813)*(E814=E$1:E813)))))</f>
        <v/>
      </c>
      <c r="L814" s="25"/>
    </row>
    <row r="815" spans="1:12" x14ac:dyDescent="0.2">
      <c r="A815" t="s">
        <v>102</v>
      </c>
      <c r="E815" s="20" t="str">
        <f t="shared" si="93"/>
        <v/>
      </c>
      <c r="F815" s="21" t="str">
        <f>IF(OR(E815="",E815="!!!"),"",IF(NOT(ISNA(VLOOKUP(E815,E$1:E814,1,FALSE()))),"OLD",IF(AND(E815&lt;&gt;"",E815&lt;&gt;"!!!"),"NEW","")))</f>
        <v/>
      </c>
      <c r="G815" s="22" t="str">
        <f>IF(OR(E815="",E815="!!!"),"",IF(OR(J815=0,AND(J815=1,K815=1),AND(J815=1,I815="SBJ"),AND(J815=1,I815=0)),"?IN_FOCUS",IF(J815&lt;=2,"?ACTIVATED",IF(J815&lt;&gt;"","?FAMILIAR",IF(F815="NEW",IF(ISNA(VLOOKUP(E815,#REF!,1,FALSE())),"?TYPE_IDENTIFIABLE","?REFERENTIAL"),"_")))))</f>
        <v/>
      </c>
      <c r="H815" s="23" t="str">
        <f t="shared" ca="1" si="92"/>
        <v/>
      </c>
      <c r="I815" s="24" t="str">
        <f>IF(OR(E815="",E815="!!!",F815="NEW"),"",INDEX(B$2:B814,-1+SUMPRODUCT(MAX(ROW(E$2:E814)*(E815=E$2:E814)))))</f>
        <v/>
      </c>
      <c r="J815" s="24" t="str">
        <f ca="1">IF(OR(E815="",E815="!!!",F815="NEW"),"",COUNTBLANK(OFFSET(A$1,,,SUMPRODUCT(MAX(ROW(E$2:E815)*(E815=E$2:E815)))))-COUNTBLANK(OFFSET(A$1,,,SUMPRODUCT(MAX(ROW(E$1:E814)*(E2=E$1:E814))))))</f>
        <v/>
      </c>
      <c r="K815" s="24" t="str">
        <f>IF(OR(E815="",E815="!!!",F815="NEW"),"",INDEX(J$1:J814,SUMPRODUCT(MAX(ROW(E$1:E814)*(E815=E$1:E814)))))</f>
        <v/>
      </c>
      <c r="L815" s="25"/>
    </row>
    <row r="816" spans="1:12" x14ac:dyDescent="0.2">
      <c r="A816" t="s">
        <v>869</v>
      </c>
      <c r="E816" s="20" t="str">
        <f t="shared" si="93"/>
        <v/>
      </c>
      <c r="F816" s="21" t="str">
        <f>IF(OR(E816="",E816="!!!"),"",IF(NOT(ISNA(VLOOKUP(E816,E$1:E815,1,FALSE()))),"OLD",IF(AND(E816&lt;&gt;"",E816&lt;&gt;"!!!"),"NEW","")))</f>
        <v/>
      </c>
      <c r="G816" s="22" t="str">
        <f>IF(OR(E816="",E816="!!!"),"",IF(OR(J816=0,AND(J816=1,K816=1),AND(J816=1,I816="SBJ"),AND(J816=1,I816=0)),"?IN_FOCUS",IF(J816&lt;=2,"?ACTIVATED",IF(J816&lt;&gt;"","?FAMILIAR",IF(F816="NEW",IF(ISNA(VLOOKUP(E816,#REF!,1,FALSE())),"?TYPE_IDENTIFIABLE","?REFERENTIAL"),"_")))))</f>
        <v/>
      </c>
      <c r="H816" s="23" t="str">
        <f t="shared" ca="1" si="92"/>
        <v/>
      </c>
      <c r="I816" s="24" t="str">
        <f>IF(OR(E816="",E816="!!!",F816="NEW"),"",INDEX(B$2:B815,-1+SUMPRODUCT(MAX(ROW(E$2:E815)*(E816=E$2:E815)))))</f>
        <v/>
      </c>
      <c r="J816" s="24" t="str">
        <f ca="1">IF(OR(E816="",E816="!!!",F816="NEW"),"",COUNTBLANK(OFFSET(A$1,,,SUMPRODUCT(MAX(ROW(E$2:E816)*(E816=E$2:E816)))))-COUNTBLANK(OFFSET(A$1,,,SUMPRODUCT(MAX(ROW(E$1:E815)*(E2=E$1:E815))))))</f>
        <v/>
      </c>
      <c r="K816" s="24" t="str">
        <f>IF(OR(E816="",E816="!!!",F816="NEW"),"",INDEX(J$1:J815,SUMPRODUCT(MAX(ROW(E$1:E815)*(E816=E$1:E815)))))</f>
        <v/>
      </c>
      <c r="L816" s="25"/>
    </row>
    <row r="817" spans="1:12" x14ac:dyDescent="0.2">
      <c r="A817" t="s">
        <v>1049</v>
      </c>
      <c r="E817" s="20" t="str">
        <f t="shared" si="93"/>
        <v/>
      </c>
      <c r="F817" s="21" t="str">
        <f>IF(OR(E817="",E817="!!!"),"",IF(NOT(ISNA(VLOOKUP(E817,E$1:E816,1,FALSE()))),"OLD",IF(AND(E817&lt;&gt;"",E817&lt;&gt;"!!!"),"NEW","")))</f>
        <v/>
      </c>
      <c r="G817" s="22" t="str">
        <f>IF(OR(E817="",E817="!!!"),"",IF(OR(J817=0,AND(J817=1,K817=1),AND(J817=1,I817="SBJ"),AND(J817=1,I817=0)),"?IN_FOCUS",IF(J817&lt;=2,"?ACTIVATED",IF(J817&lt;&gt;"","?FAMILIAR",IF(F817="NEW",IF(ISNA(VLOOKUP(E817,#REF!,1,FALSE())),"?TYPE_IDENTIFIABLE","?REFERENTIAL"),"_")))))</f>
        <v/>
      </c>
      <c r="H817" s="23" t="str">
        <f t="shared" ca="1" si="92"/>
        <v/>
      </c>
      <c r="I817" s="24" t="str">
        <f>IF(OR(E817="",E817="!!!",F817="NEW"),"",INDEX(B$2:B816,-1+SUMPRODUCT(MAX(ROW(E$2:E816)*(E817=E$2:E816)))))</f>
        <v/>
      </c>
      <c r="J817" s="24" t="str">
        <f ca="1">IF(OR(E817="",E817="!!!",F817="NEW"),"",COUNTBLANK(OFFSET(A$1,,,SUMPRODUCT(MAX(ROW(E$2:E817)*(E817=E$2:E817)))))-COUNTBLANK(OFFSET(A$1,,,SUMPRODUCT(MAX(ROW(E$1:E816)*(E2=E$1:E816))))))</f>
        <v/>
      </c>
      <c r="K817" s="24" t="str">
        <f>IF(OR(E817="",E817="!!!",F817="NEW"),"",INDEX(J$1:J816,SUMPRODUCT(MAX(ROW(E$1:E816)*(E817=E$1:E816)))))</f>
        <v/>
      </c>
      <c r="L817" s="25"/>
    </row>
    <row r="818" spans="1:12" x14ac:dyDescent="0.2">
      <c r="A818" t="s">
        <v>1096</v>
      </c>
      <c r="B818" s="26" t="s">
        <v>1117</v>
      </c>
      <c r="C818" s="26" t="s">
        <v>814</v>
      </c>
      <c r="E818" s="20" t="str">
        <f t="shared" si="93"/>
        <v/>
      </c>
      <c r="F818" s="21" t="str">
        <f>IF(OR(E818="",E818="!!!"),"",IF(NOT(ISNA(VLOOKUP(E818,E$1:E817,1,FALSE()))),"OLD",IF(AND(E818&lt;&gt;"",E818&lt;&gt;"!!!"),"NEW","")))</f>
        <v/>
      </c>
      <c r="G818" s="22" t="str">
        <f>IF(OR(E818="",E818="!!!"),"",IF(OR(J818=0,AND(J818=1,K818=1),AND(J818=1,I818="SBJ"),AND(J818=1,I818=0)),"?IN_FOCUS",IF(J818&lt;=2,"?ACTIVATED",IF(J818&lt;&gt;"","?FAMILIAR",IF(F818="NEW",IF(ISNA(VLOOKUP(E818,#REF!,1,FALSE())),"?TYPE_IDENTIFIABLE","?REFERENTIAL"),"_")))))</f>
        <v/>
      </c>
      <c r="H818" s="23" t="str">
        <f t="shared" ca="1" si="92"/>
        <v/>
      </c>
      <c r="I818" s="24" t="str">
        <f>IF(OR(E818="",E818="!!!",F818="NEW"),"",INDEX(B$2:B817,-1+SUMPRODUCT(MAX(ROW(E$2:E817)*(E818=E$2:E817)))))</f>
        <v/>
      </c>
      <c r="J818" s="24" t="str">
        <f ca="1">IF(OR(E818="",E818="!!!",F818="NEW"),"",COUNTBLANK(OFFSET(A$1,,,SUMPRODUCT(MAX(ROW(E$2:E818)*(E818=E$2:E818)))))-COUNTBLANK(OFFSET(A$1,,,SUMPRODUCT(MAX(ROW(E$1:E817)*(E2=E$1:E817))))))</f>
        <v/>
      </c>
      <c r="K818" s="24" t="str">
        <f>IF(OR(E818="",E818="!!!",F818="NEW"),"",INDEX(J$1:J817,SUMPRODUCT(MAX(ROW(E$1:E817)*(E818=E$1:E817)))))</f>
        <v/>
      </c>
      <c r="L818" s="25"/>
    </row>
    <row r="819" spans="1:12" x14ac:dyDescent="0.2">
      <c r="A819" t="s">
        <v>859</v>
      </c>
      <c r="E819" s="20" t="str">
        <f t="shared" si="93"/>
        <v/>
      </c>
      <c r="F819" s="21" t="str">
        <f>IF(OR(E819="",E819="!!!"),"",IF(NOT(ISNA(VLOOKUP(E819,E$1:E818,1,FALSE()))),"OLD",IF(AND(E819&lt;&gt;"",E819&lt;&gt;"!!!"),"NEW","")))</f>
        <v/>
      </c>
      <c r="G819" s="22" t="str">
        <f>IF(OR(E819="",E819="!!!"),"",IF(OR(J819=0,AND(J819=1,K819=1),AND(J819=1,I819="SBJ"),AND(J819=1,I819=0)),"?IN_FOCUS",IF(J819&lt;=2,"?ACTIVATED",IF(J819&lt;&gt;"","?FAMILIAR",IF(F819="NEW",IF(ISNA(VLOOKUP(E819,#REF!,1,FALSE())),"?TYPE_IDENTIFIABLE","?REFERENTIAL"),"_")))))</f>
        <v/>
      </c>
      <c r="H819" s="23" t="str">
        <f t="shared" ca="1" si="92"/>
        <v/>
      </c>
      <c r="I819" s="24" t="str">
        <f>IF(OR(E819="",E819="!!!",F819="NEW"),"",INDEX(B$2:B818,-1+SUMPRODUCT(MAX(ROW(E$2:E818)*(E819=E$2:E818)))))</f>
        <v/>
      </c>
      <c r="J819" s="24" t="str">
        <f ca="1">IF(OR(E819="",E819="!!!",F819="NEW"),"",COUNTBLANK(OFFSET(A$1,,,SUMPRODUCT(MAX(ROW(E$2:E819)*(E819=E$2:E819)))))-COUNTBLANK(OFFSET(A$1,,,SUMPRODUCT(MAX(ROW(E$1:E818)*(E2=E$1:E818))))))</f>
        <v/>
      </c>
      <c r="K819" s="24" t="str">
        <f>IF(OR(E819="",E819="!!!",F819="NEW"),"",INDEX(J$1:J818,SUMPRODUCT(MAX(ROW(E$1:E818)*(E819=E$1:E818)))))</f>
        <v/>
      </c>
      <c r="L819" s="25"/>
    </row>
    <row r="820" spans="1:12" x14ac:dyDescent="0.2">
      <c r="A820" t="s">
        <v>30</v>
      </c>
      <c r="B820" s="26" t="s">
        <v>897</v>
      </c>
      <c r="C820" s="26" t="s">
        <v>814</v>
      </c>
      <c r="E820" s="20" t="str">
        <f t="shared" si="93"/>
        <v/>
      </c>
      <c r="F820" s="21" t="str">
        <f>IF(OR(E820="",E820="!!!"),"",IF(NOT(ISNA(VLOOKUP(E820,E$1:E819,1,FALSE()))),"OLD",IF(AND(E820&lt;&gt;"",E820&lt;&gt;"!!!"),"NEW","")))</f>
        <v/>
      </c>
      <c r="G820" s="22" t="str">
        <f>IF(OR(E820="",E820="!!!"),"",IF(OR(J820=0,AND(J820=1,K820=1),AND(J820=1,I820="SBJ"),AND(J820=1,I820=0)),"?IN_FOCUS",IF(J820&lt;=2,"?ACTIVATED",IF(J820&lt;&gt;"","?FAMILIAR",IF(F820="NEW",IF(ISNA(VLOOKUP(E820,#REF!,1,FALSE())),"?TYPE_IDENTIFIABLE","?REFERENTIAL"),"_")))))</f>
        <v/>
      </c>
      <c r="H820" s="23" t="str">
        <f t="shared" ca="1" si="92"/>
        <v/>
      </c>
      <c r="I820" s="24" t="str">
        <f>IF(OR(E820="",E820="!!!",F820="NEW"),"",INDEX(B$2:B819,-1+SUMPRODUCT(MAX(ROW(E$2:E819)*(E820=E$2:E819)))))</f>
        <v/>
      </c>
      <c r="J820" s="24" t="str">
        <f ca="1">IF(OR(E820="",E820="!!!",F820="NEW"),"",COUNTBLANK(OFFSET(A$1,,,SUMPRODUCT(MAX(ROW(E$2:E820)*(E820=E$2:E820)))))-COUNTBLANK(OFFSET(A$1,,,SUMPRODUCT(MAX(ROW(E$1:E819)*(E2=E$1:E819))))))</f>
        <v/>
      </c>
      <c r="K820" s="24" t="str">
        <f>IF(OR(E820="",E820="!!!",F820="NEW"),"",INDEX(J$1:J819,SUMPRODUCT(MAX(ROW(E$1:E819)*(E820=E$1:E819)))))</f>
        <v/>
      </c>
      <c r="L820" s="25"/>
    </row>
    <row r="821" spans="1:12" x14ac:dyDescent="0.2">
      <c r="A821" t="s">
        <v>922</v>
      </c>
      <c r="E821" s="20" t="str">
        <f t="shared" si="93"/>
        <v/>
      </c>
      <c r="F821" s="21" t="str">
        <f>IF(OR(E821="",E821="!!!"),"",IF(NOT(ISNA(VLOOKUP(E821,E$1:E820,1,FALSE()))),"OLD",IF(AND(E821&lt;&gt;"",E821&lt;&gt;"!!!"),"NEW","")))</f>
        <v/>
      </c>
      <c r="G821" s="22" t="str">
        <f>IF(OR(E821="",E821="!!!"),"",IF(OR(J821=0,AND(J821=1,K821=1),AND(J821=1,I821="SBJ"),AND(J821=1,I821=0)),"?IN_FOCUS",IF(J821&lt;=2,"?ACTIVATED",IF(J821&lt;&gt;"","?FAMILIAR",IF(F821="NEW",IF(ISNA(VLOOKUP(E821,#REF!,1,FALSE())),"?TYPE_IDENTIFIABLE","?REFERENTIAL"),"_")))))</f>
        <v/>
      </c>
      <c r="H821" s="23" t="str">
        <f t="shared" ca="1" si="92"/>
        <v/>
      </c>
      <c r="I821" s="24" t="str">
        <f>IF(OR(E821="",E821="!!!",F821="NEW"),"",INDEX(B$2:B820,-1+SUMPRODUCT(MAX(ROW(E$2:E820)*(E821=E$2:E820)))))</f>
        <v/>
      </c>
      <c r="J821" s="24" t="str">
        <f ca="1">IF(OR(E821="",E821="!!!",F821="NEW"),"",COUNTBLANK(OFFSET(A$1,,,SUMPRODUCT(MAX(ROW(E$2:E821)*(E821=E$2:E821)))))-COUNTBLANK(OFFSET(A$1,,,SUMPRODUCT(MAX(ROW(E$1:E820)*(E2=E$1:E820))))))</f>
        <v/>
      </c>
      <c r="K821" s="24" t="str">
        <f>IF(OR(E821="",E821="!!!",F821="NEW"),"",INDEX(J$1:J820,SUMPRODUCT(MAX(ROW(E$1:E820)*(E821=E$1:E820)))))</f>
        <v/>
      </c>
      <c r="L821" s="25"/>
    </row>
    <row r="822" spans="1:12" x14ac:dyDescent="0.2">
      <c r="A822" t="s">
        <v>902</v>
      </c>
      <c r="E822" s="20" t="str">
        <f t="shared" si="93"/>
        <v/>
      </c>
      <c r="F822" s="21" t="str">
        <f>IF(OR(E822="",E822="!!!"),"",IF(NOT(ISNA(VLOOKUP(E822,E$1:E821,1,FALSE()))),"OLD",IF(AND(E822&lt;&gt;"",E822&lt;&gt;"!!!"),"NEW","")))</f>
        <v/>
      </c>
      <c r="G822" s="22" t="str">
        <f>IF(OR(E822="",E822="!!!"),"",IF(OR(J822=0,AND(J822=1,K822=1),AND(J822=1,I822="SBJ"),AND(J822=1,I822=0)),"?IN_FOCUS",IF(J822&lt;=2,"?ACTIVATED",IF(J822&lt;&gt;"","?FAMILIAR",IF(F822="NEW",IF(ISNA(VLOOKUP(E822,#REF!,1,FALSE())),"?TYPE_IDENTIFIABLE","?REFERENTIAL"),"_")))))</f>
        <v/>
      </c>
      <c r="H822" s="23" t="str">
        <f t="shared" ca="1" si="92"/>
        <v/>
      </c>
      <c r="I822" s="24" t="str">
        <f>IF(OR(E822="",E822="!!!",F822="NEW"),"",INDEX(B$2:B821,-1+SUMPRODUCT(MAX(ROW(E$2:E821)*(E822=E$2:E821)))))</f>
        <v/>
      </c>
      <c r="J822" s="24" t="str">
        <f ca="1">IF(OR(E822="",E822="!!!",F822="NEW"),"",COUNTBLANK(OFFSET(A$1,,,SUMPRODUCT(MAX(ROW(E$2:E822)*(E822=E$2:E822)))))-COUNTBLANK(OFFSET(A$1,,,SUMPRODUCT(MAX(ROW(E$1:E821)*(E2=E$1:E821))))))</f>
        <v/>
      </c>
      <c r="K822" s="24" t="str">
        <f>IF(OR(E822="",E822="!!!",F822="NEW"),"",INDEX(J$1:J821,SUMPRODUCT(MAX(ROW(E$1:E821)*(E822=E$1:E821)))))</f>
        <v/>
      </c>
      <c r="L822" s="25"/>
    </row>
    <row r="824" spans="1:12" x14ac:dyDescent="0.2">
      <c r="A824" t="s">
        <v>900</v>
      </c>
      <c r="E824" s="20" t="str">
        <f>IF(D824="?OLD","!!!","")</f>
        <v/>
      </c>
      <c r="F824" s="21" t="str">
        <f>IF(OR(E824="",E824="!!!"),"",IF(NOT(ISNA(VLOOKUP(E824,E$1:E823,1,FALSE()))),"OLD",IF(AND(E824&lt;&gt;"",E824&lt;&gt;"!!!"),"NEW","")))</f>
        <v/>
      </c>
      <c r="G824" s="22" t="str">
        <f>IF(OR(E824="",E824="!!!"),"",IF(OR(J824=0,AND(J824=1,K824=1),AND(J824=1,I824="SBJ"),AND(J824=1,I824=0)),"?IN_FOCUS",IF(J824&lt;=2,"?ACTIVATED",IF(J824&lt;&gt;"","?FAMILIAR",IF(F824="NEW",IF(ISNA(VLOOKUP(E824,#REF!,1,FALSE())),"?TYPE_IDENTIFIABLE","?REFERENTIAL"),"_")))))</f>
        <v/>
      </c>
      <c r="H824" s="23" t="str">
        <f ca="1">IF(J824&lt;&gt;1,"",IF(I824="SBJ","CB","?"))</f>
        <v/>
      </c>
      <c r="I824" s="24" t="str">
        <f>IF(OR(E824="",E824="!!!",F824="NEW"),"",INDEX(B$2:B823,-1+SUMPRODUCT(MAX(ROW(E$2:E823)*(E824=E$2:E823)))))</f>
        <v/>
      </c>
      <c r="J824" s="24" t="str">
        <f ca="1">IF(OR(E824="",E824="!!!",F824="NEW"),"",COUNTBLANK(OFFSET(A$1,,,SUMPRODUCT(MAX(ROW(E$2:E824)*(E824=E$2:E824)))))-COUNTBLANK(OFFSET(A$1,,,SUMPRODUCT(MAX(ROW(E$1:E823)*(E2=E$1:E823))))))</f>
        <v/>
      </c>
      <c r="K824" s="24" t="str">
        <f>IF(OR(E824="",E824="!!!",F824="NEW"),"",INDEX(J$1:J823,SUMPRODUCT(MAX(ROW(E$1:E823)*(E824=E$1:E823)))))</f>
        <v/>
      </c>
      <c r="L824" s="25"/>
    </row>
    <row r="825" spans="1:12" x14ac:dyDescent="0.2">
      <c r="A825" t="s">
        <v>1118</v>
      </c>
    </row>
    <row r="826" spans="1:12" x14ac:dyDescent="0.2">
      <c r="A826" t="s">
        <v>953</v>
      </c>
      <c r="E826" s="20" t="str">
        <f t="shared" ref="E826:E850" si="94">IF(D826="?OLD","!!!","")</f>
        <v/>
      </c>
      <c r="F826" s="21" t="str">
        <f>IF(OR(E826="",E826="!!!"),"",IF(NOT(ISNA(VLOOKUP(E826,E$1:E825,1,FALSE()))),"OLD",IF(AND(E826&lt;&gt;"",E826&lt;&gt;"!!!"),"NEW","")))</f>
        <v/>
      </c>
      <c r="G826" s="22" t="str">
        <f>IF(OR(E826="",E826="!!!"),"",IF(OR(J826=0,AND(J826=1,K826=1),AND(J826=1,I826="SBJ"),AND(J826=1,I826=0)),"?IN_FOCUS",IF(J826&lt;=2,"?ACTIVATED",IF(J826&lt;&gt;"","?FAMILIAR",IF(F826="NEW",IF(ISNA(VLOOKUP(E826,#REF!,1,FALSE())),"?TYPE_IDENTIFIABLE","?REFERENTIAL"),"_")))))</f>
        <v/>
      </c>
      <c r="H826" s="23" t="str">
        <f t="shared" ref="H826:H850" ca="1" si="95">IF(J826&lt;&gt;1,"",IF(I826="SBJ","CB","?"))</f>
        <v/>
      </c>
      <c r="I826" s="24" t="str">
        <f>IF(OR(E826="",E826="!!!",F826="NEW"),"",INDEX(B$2:B825,-1+SUMPRODUCT(MAX(ROW(E$2:E825)*(E826=E$2:E825)))))</f>
        <v/>
      </c>
      <c r="J826" s="24" t="str">
        <f ca="1">IF(OR(E826="",E826="!!!",F826="NEW"),"",COUNTBLANK(OFFSET(A$1,,,SUMPRODUCT(MAX(ROW(E$2:E826)*(E826=E$2:E826)))))-COUNTBLANK(OFFSET(A$1,,,SUMPRODUCT(MAX(ROW(E$1:E825)*(E2=E$1:E825))))))</f>
        <v/>
      </c>
      <c r="K826" s="24" t="str">
        <f>IF(OR(E826="",E826="!!!",F826="NEW"),"",INDEX(J$1:J825,SUMPRODUCT(MAX(ROW(E$1:E825)*(E826=E$1:E825)))))</f>
        <v/>
      </c>
      <c r="L826" s="25"/>
    </row>
    <row r="827" spans="1:12" x14ac:dyDescent="0.2">
      <c r="A827" t="s">
        <v>831</v>
      </c>
      <c r="E827" s="20" t="str">
        <f t="shared" si="94"/>
        <v/>
      </c>
      <c r="F827" s="21" t="str">
        <f>IF(OR(E827="",E827="!!!"),"",IF(NOT(ISNA(VLOOKUP(E827,E$1:E826,1,FALSE()))),"OLD",IF(AND(E827&lt;&gt;"",E827&lt;&gt;"!!!"),"NEW","")))</f>
        <v/>
      </c>
      <c r="G827" s="22" t="str">
        <f>IF(OR(E827="",E827="!!!"),"",IF(OR(J827=0,AND(J827=1,K827=1),AND(J827=1,I827="SBJ"),AND(J827=1,I827=0)),"?IN_FOCUS",IF(J827&lt;=2,"?ACTIVATED",IF(J827&lt;&gt;"","?FAMILIAR",IF(F827="NEW",IF(ISNA(VLOOKUP(E827,#REF!,1,FALSE())),"?TYPE_IDENTIFIABLE","?REFERENTIAL"),"_")))))</f>
        <v/>
      </c>
      <c r="H827" s="23" t="str">
        <f t="shared" ca="1" si="95"/>
        <v/>
      </c>
      <c r="I827" s="24" t="str">
        <f>IF(OR(E827="",E827="!!!",F827="NEW"),"",INDEX(B$2:B826,-1+SUMPRODUCT(MAX(ROW(E$2:E826)*(E827=E$2:E826)))))</f>
        <v/>
      </c>
      <c r="J827" s="24" t="str">
        <f ca="1">IF(OR(E827="",E827="!!!",F827="NEW"),"",COUNTBLANK(OFFSET(A$1,,,SUMPRODUCT(MAX(ROW(E$2:E827)*(E827=E$2:E827)))))-COUNTBLANK(OFFSET(A$1,,,SUMPRODUCT(MAX(ROW(E$1:E826)*(E2=E$1:E826))))))</f>
        <v/>
      </c>
      <c r="K827" s="24" t="str">
        <f>IF(OR(E827="",E827="!!!",F827="NEW"),"",INDEX(J$1:J826,SUMPRODUCT(MAX(ROW(E$1:E826)*(E827=E$1:E826)))))</f>
        <v/>
      </c>
      <c r="L827" s="25"/>
    </row>
    <row r="828" spans="1:12" x14ac:dyDescent="0.2">
      <c r="A828" t="s">
        <v>809</v>
      </c>
      <c r="E828" s="20" t="str">
        <f t="shared" si="94"/>
        <v/>
      </c>
      <c r="F828" s="21" t="str">
        <f>IF(OR(E828="",E828="!!!"),"",IF(NOT(ISNA(VLOOKUP(E828,E$1:E827,1,FALSE()))),"OLD",IF(AND(E828&lt;&gt;"",E828&lt;&gt;"!!!"),"NEW","")))</f>
        <v/>
      </c>
      <c r="G828" s="22" t="str">
        <f>IF(OR(E828="",E828="!!!"),"",IF(OR(J828=0,AND(J828=1,K828=1),AND(J828=1,I828="SBJ"),AND(J828=1,I828=0)),"?IN_FOCUS",IF(J828&lt;=2,"?ACTIVATED",IF(J828&lt;&gt;"","?FAMILIAR",IF(F828="NEW",IF(ISNA(VLOOKUP(E828,#REF!,1,FALSE())),"?TYPE_IDENTIFIABLE","?REFERENTIAL"),"_")))))</f>
        <v/>
      </c>
      <c r="H828" s="23" t="str">
        <f t="shared" ca="1" si="95"/>
        <v/>
      </c>
      <c r="I828" s="24" t="str">
        <f>IF(OR(E828="",E828="!!!",F828="NEW"),"",INDEX(B$2:B827,-1+SUMPRODUCT(MAX(ROW(E$2:E827)*(E828=E$2:E827)))))</f>
        <v/>
      </c>
      <c r="J828" s="24" t="str">
        <f ca="1">IF(OR(E828="",E828="!!!",F828="NEW"),"",COUNTBLANK(OFFSET(A$1,,,SUMPRODUCT(MAX(ROW(E$2:E828)*(E828=E$2:E828)))))-COUNTBLANK(OFFSET(A$1,,,SUMPRODUCT(MAX(ROW(E$1:E827)*(E2=E$1:E827))))))</f>
        <v/>
      </c>
      <c r="K828" s="24" t="str">
        <f>IF(OR(E828="",E828="!!!",F828="NEW"),"",INDEX(J$1:J827,SUMPRODUCT(MAX(ROW(E$1:E827)*(E828=E$1:E827)))))</f>
        <v/>
      </c>
      <c r="L828" s="25"/>
    </row>
    <row r="829" spans="1:12" x14ac:dyDescent="0.2">
      <c r="A829" t="s">
        <v>1119</v>
      </c>
      <c r="E829" s="20" t="str">
        <f t="shared" si="94"/>
        <v/>
      </c>
      <c r="F829" s="21" t="str">
        <f>IF(OR(E829="",E829="!!!"),"",IF(NOT(ISNA(VLOOKUP(E829,E$1:E828,1,FALSE()))),"OLD",IF(AND(E829&lt;&gt;"",E829&lt;&gt;"!!!"),"NEW","")))</f>
        <v/>
      </c>
      <c r="G829" s="22" t="str">
        <f>IF(OR(E829="",E829="!!!"),"",IF(OR(J829=0,AND(J829=1,K829=1),AND(J829=1,I829="SBJ"),AND(J829=1,I829=0)),"?IN_FOCUS",IF(J829&lt;=2,"?ACTIVATED",IF(J829&lt;&gt;"","?FAMILIAR",IF(F829="NEW",IF(ISNA(VLOOKUP(E829,#REF!,1,FALSE())),"?TYPE_IDENTIFIABLE","?REFERENTIAL"),"_")))))</f>
        <v/>
      </c>
      <c r="H829" s="23" t="str">
        <f t="shared" ca="1" si="95"/>
        <v/>
      </c>
      <c r="I829" s="24" t="str">
        <f>IF(OR(E829="",E829="!!!",F829="NEW"),"",INDEX(B$2:B828,-1+SUMPRODUCT(MAX(ROW(E$2:E828)*(E829=E$2:E828)))))</f>
        <v/>
      </c>
      <c r="J829" s="24" t="str">
        <f ca="1">IF(OR(E829="",E829="!!!",F829="NEW"),"",COUNTBLANK(OFFSET(A$1,,,SUMPRODUCT(MAX(ROW(E$2:E829)*(E829=E$2:E829)))))-COUNTBLANK(OFFSET(A$1,,,SUMPRODUCT(MAX(ROW(E$1:E828)*(E2=E$1:E828))))))</f>
        <v/>
      </c>
      <c r="K829" s="24" t="str">
        <f>IF(OR(E829="",E829="!!!",F829="NEW"),"",INDEX(J$1:J828,SUMPRODUCT(MAX(ROW(E$1:E828)*(E829=E$1:E828)))))</f>
        <v/>
      </c>
      <c r="L829" s="25"/>
    </row>
    <row r="830" spans="1:12" x14ac:dyDescent="0.2">
      <c r="A830" t="s">
        <v>1120</v>
      </c>
      <c r="B830" s="26" t="s">
        <v>804</v>
      </c>
      <c r="C830" s="26" t="s">
        <v>811</v>
      </c>
      <c r="E830" s="20" t="s">
        <v>1120</v>
      </c>
      <c r="F830" s="21" t="str">
        <f>IF(OR(E830="",E830="!!!"),"",IF(NOT(ISNA(VLOOKUP(E830,E$1:E829,1,FALSE()))),"OLD",IF(AND(E830&lt;&gt;"",E830&lt;&gt;"!!!"),"NEW","")))</f>
        <v>NEW</v>
      </c>
      <c r="G830" s="22" t="s">
        <v>1824</v>
      </c>
      <c r="H830" s="23" t="str">
        <f t="shared" ca="1" si="95"/>
        <v/>
      </c>
      <c r="I830" s="24" t="str">
        <f>IF(OR(E830="",E830="!!!",F830="NEW"),"",INDEX(B$2:B829,-1+SUMPRODUCT(MAX(ROW(E$2:E829)*(E830=E$2:E829)))))</f>
        <v/>
      </c>
      <c r="J830" s="24" t="str">
        <f ca="1">IF(OR(E830="",E830="!!!",F830="NEW"),"",COUNTBLANK(OFFSET(A$1,,,SUMPRODUCT(MAX(ROW(E$2:E830)*(E830=E$2:E830)))))-COUNTBLANK(OFFSET(A$1,,,SUMPRODUCT(MAX(ROW(E$1:E829)*(E2=E$1:E829))))))</f>
        <v/>
      </c>
      <c r="K830" s="24" t="str">
        <f>IF(OR(E830="",E830="!!!",F830="NEW"),"",INDEX(J$1:J829,SUMPRODUCT(MAX(ROW(E$1:E829)*(E830=E$1:E829)))))</f>
        <v/>
      </c>
      <c r="L830" s="25"/>
    </row>
    <row r="831" spans="1:12" x14ac:dyDescent="0.2">
      <c r="A831" t="s">
        <v>844</v>
      </c>
      <c r="E831" s="20" t="str">
        <f t="shared" si="94"/>
        <v/>
      </c>
      <c r="F831" s="21" t="str">
        <f>IF(OR(E831="",E831="!!!"),"",IF(NOT(ISNA(VLOOKUP(E831,E$1:E830,1,FALSE()))),"OLD",IF(AND(E831&lt;&gt;"",E831&lt;&gt;"!!!"),"NEW","")))</f>
        <v/>
      </c>
      <c r="G831" s="22" t="str">
        <f>IF(OR(E831="",E831="!!!"),"",IF(OR(J831=0,AND(J831=1,K831=1),AND(J831=1,I831="SBJ"),AND(J831=1,I831=0)),"?IN_FOCUS",IF(J831&lt;=2,"?ACTIVATED",IF(J831&lt;&gt;"","?FAMILIAR",IF(F831="NEW",IF(ISNA(VLOOKUP(E831,#REF!,1,FALSE())),"?TYPE_IDENTIFIABLE","?REFERENTIAL"),"_")))))</f>
        <v/>
      </c>
      <c r="H831" s="23" t="str">
        <f t="shared" ca="1" si="95"/>
        <v/>
      </c>
      <c r="I831" s="24" t="str">
        <f>IF(OR(E831="",E831="!!!",F831="NEW"),"",INDEX(B$2:B830,-1+SUMPRODUCT(MAX(ROW(E$2:E830)*(E831=E$2:E830)))))</f>
        <v/>
      </c>
      <c r="J831" s="24" t="str">
        <f ca="1">IF(OR(E831="",E831="!!!",F831="NEW"),"",COUNTBLANK(OFFSET(A$1,,,SUMPRODUCT(MAX(ROW(E$2:E831)*(E831=E$2:E831)))))-COUNTBLANK(OFFSET(A$1,,,SUMPRODUCT(MAX(ROW(E$1:E830)*(E2=E$1:E830))))))</f>
        <v/>
      </c>
      <c r="K831" s="24" t="str">
        <f>IF(OR(E831="",E831="!!!",F831="NEW"),"",INDEX(J$1:J830,SUMPRODUCT(MAX(ROW(E$1:E830)*(E831=E$1:E830)))))</f>
        <v/>
      </c>
      <c r="L831" s="25"/>
    </row>
    <row r="832" spans="1:12" x14ac:dyDescent="0.2">
      <c r="A832" t="s">
        <v>845</v>
      </c>
      <c r="E832" s="20" t="str">
        <f t="shared" si="94"/>
        <v/>
      </c>
      <c r="F832" s="21" t="str">
        <f>IF(OR(E832="",E832="!!!"),"",IF(NOT(ISNA(VLOOKUP(E832,E$1:E831,1,FALSE()))),"OLD",IF(AND(E832&lt;&gt;"",E832&lt;&gt;"!!!"),"NEW","")))</f>
        <v/>
      </c>
      <c r="G832" s="22" t="str">
        <f>IF(OR(E832="",E832="!!!"),"",IF(OR(J832=0,AND(J832=1,K832=1),AND(J832=1,I832="SBJ"),AND(J832=1,I832=0)),"?IN_FOCUS",IF(J832&lt;=2,"?ACTIVATED",IF(J832&lt;&gt;"","?FAMILIAR",IF(F832="NEW",IF(ISNA(VLOOKUP(E832,#REF!,1,FALSE())),"?TYPE_IDENTIFIABLE","?REFERENTIAL"),"_")))))</f>
        <v/>
      </c>
      <c r="H832" s="23" t="str">
        <f t="shared" ca="1" si="95"/>
        <v/>
      </c>
      <c r="I832" s="24" t="str">
        <f>IF(OR(E832="",E832="!!!",F832="NEW"),"",INDEX(B$2:B831,-1+SUMPRODUCT(MAX(ROW(E$2:E831)*(E832=E$2:E831)))))</f>
        <v/>
      </c>
      <c r="J832" s="24" t="str">
        <f ca="1">IF(OR(E832="",E832="!!!",F832="NEW"),"",COUNTBLANK(OFFSET(A$1,,,SUMPRODUCT(MAX(ROW(E$2:E832)*(E832=E$2:E832)))))-COUNTBLANK(OFFSET(A$1,,,SUMPRODUCT(MAX(ROW(E$1:E831)*(E2=E$1:E831))))))</f>
        <v/>
      </c>
      <c r="K832" s="24" t="str">
        <f>IF(OR(E832="",E832="!!!",F832="NEW"),"",INDEX(J$1:J831,SUMPRODUCT(MAX(ROW(E$1:E831)*(E832=E$1:E831)))))</f>
        <v/>
      </c>
      <c r="L832" s="25"/>
    </row>
    <row r="833" spans="1:12" x14ac:dyDescent="0.2">
      <c r="A833" t="s">
        <v>1121</v>
      </c>
      <c r="B833" s="26" t="s">
        <v>813</v>
      </c>
      <c r="C833" s="26" t="s">
        <v>847</v>
      </c>
      <c r="D833" s="26" t="s">
        <v>806</v>
      </c>
      <c r="E833" s="20" t="s">
        <v>1768</v>
      </c>
      <c r="F833" s="21" t="str">
        <f>IF(OR(E833="",E833="!!!"),"",IF(NOT(ISNA(VLOOKUP(E833,E$1:E832,1,FALSE()))),"OLD",IF(AND(E833&lt;&gt;"",E833&lt;&gt;"!!!"),"NEW","")))</f>
        <v>NEW</v>
      </c>
      <c r="G833" s="22" t="s">
        <v>1820</v>
      </c>
      <c r="H833" s="23" t="str">
        <f t="shared" ca="1" si="95"/>
        <v/>
      </c>
      <c r="I833" s="24" t="str">
        <f>IF(OR(E833="",E833="!!!",F833="NEW"),"",INDEX(B$2:B832,-1+SUMPRODUCT(MAX(ROW(E$2:E832)*(E833=E$2:E832)))))</f>
        <v/>
      </c>
      <c r="J833" s="24" t="str">
        <f ca="1">IF(OR(E833="",E833="!!!",F833="NEW"),"",COUNTBLANK(OFFSET(A$1,,,SUMPRODUCT(MAX(ROW(E$2:E833)*(E833=E$2:E833)))))-COUNTBLANK(OFFSET(A$1,,,SUMPRODUCT(MAX(ROW(E$1:E832)*(E2=E$1:E832))))))</f>
        <v/>
      </c>
      <c r="K833" s="24" t="str">
        <f>IF(OR(E833="",E833="!!!",F833="NEW"),"",INDEX(J$1:J832,SUMPRODUCT(MAX(ROW(E$1:E832)*(E833=E$1:E832)))))</f>
        <v/>
      </c>
      <c r="L833" s="25"/>
    </row>
    <row r="834" spans="1:12" x14ac:dyDescent="0.2">
      <c r="A834" t="s">
        <v>802</v>
      </c>
      <c r="E834" s="20" t="str">
        <f t="shared" si="94"/>
        <v/>
      </c>
      <c r="F834" s="21" t="str">
        <f>IF(OR(E834="",E834="!!!"),"",IF(NOT(ISNA(VLOOKUP(E834,E$1:E833,1,FALSE()))),"OLD",IF(AND(E834&lt;&gt;"",E834&lt;&gt;"!!!"),"NEW","")))</f>
        <v/>
      </c>
      <c r="G834" s="22" t="str">
        <f>IF(OR(E834="",E834="!!!"),"",IF(OR(J834=0,AND(J834=1,K834=1),AND(J834=1,I834="SBJ"),AND(J834=1,I834=0)),"?IN_FOCUS",IF(J834&lt;=2,"?ACTIVATED",IF(J834&lt;&gt;"","?FAMILIAR",IF(F834="NEW",IF(ISNA(VLOOKUP(E834,#REF!,1,FALSE())),"?TYPE_IDENTIFIABLE","?REFERENTIAL"),"_")))))</f>
        <v/>
      </c>
      <c r="H834" s="23" t="str">
        <f t="shared" ca="1" si="95"/>
        <v/>
      </c>
      <c r="I834" s="24" t="str">
        <f>IF(OR(E834="",E834="!!!",F834="NEW"),"",INDEX(B$2:B833,-1+SUMPRODUCT(MAX(ROW(E$2:E833)*(E834=E$2:E833)))))</f>
        <v/>
      </c>
      <c r="J834" s="24" t="str">
        <f ca="1">IF(OR(E834="",E834="!!!",F834="NEW"),"",COUNTBLANK(OFFSET(A$1,,,SUMPRODUCT(MAX(ROW(E$2:E834)*(E834=E$2:E834)))))-COUNTBLANK(OFFSET(A$1,,,SUMPRODUCT(MAX(ROW(E$1:E833)*(E2=E$1:E833))))))</f>
        <v/>
      </c>
      <c r="K834" s="24" t="str">
        <f>IF(OR(E834="",E834="!!!",F834="NEW"),"",INDEX(J$1:J833,SUMPRODUCT(MAX(ROW(E$1:E833)*(E834=E$1:E833)))))</f>
        <v/>
      </c>
      <c r="L834" s="25"/>
    </row>
    <row r="835" spans="1:12" x14ac:dyDescent="0.2">
      <c r="A835" t="s">
        <v>888</v>
      </c>
      <c r="E835" s="20" t="str">
        <f t="shared" si="94"/>
        <v/>
      </c>
      <c r="F835" s="21" t="str">
        <f>IF(OR(E835="",E835="!!!"),"",IF(NOT(ISNA(VLOOKUP(E835,E$1:E834,1,FALSE()))),"OLD",IF(AND(E835&lt;&gt;"",E835&lt;&gt;"!!!"),"NEW","")))</f>
        <v/>
      </c>
      <c r="G835" s="22" t="str">
        <f>IF(OR(E835="",E835="!!!"),"",IF(OR(J835=0,AND(J835=1,K835=1),AND(J835=1,I835="SBJ"),AND(J835=1,I835=0)),"?IN_FOCUS",IF(J835&lt;=2,"?ACTIVATED",IF(J835&lt;&gt;"","?FAMILIAR",IF(F835="NEW",IF(ISNA(VLOOKUP(E835,#REF!,1,FALSE())),"?TYPE_IDENTIFIABLE","?REFERENTIAL"),"_")))))</f>
        <v/>
      </c>
      <c r="H835" s="23" t="str">
        <f t="shared" ca="1" si="95"/>
        <v/>
      </c>
      <c r="I835" s="24" t="str">
        <f>IF(OR(E835="",E835="!!!",F835="NEW"),"",INDEX(B$2:B834,-1+SUMPRODUCT(MAX(ROW(E$2:E834)*(E835=E$2:E834)))))</f>
        <v/>
      </c>
      <c r="J835" s="24" t="str">
        <f ca="1">IF(OR(E835="",E835="!!!",F835="NEW"),"",COUNTBLANK(OFFSET(A$1,,,SUMPRODUCT(MAX(ROW(E$2:E835)*(E835=E$2:E835)))))-COUNTBLANK(OFFSET(A$1,,,SUMPRODUCT(MAX(ROW(E$1:E834)*(E2=E$1:E834))))))</f>
        <v/>
      </c>
      <c r="K835" s="24" t="str">
        <f>IF(OR(E835="",E835="!!!",F835="NEW"),"",INDEX(J$1:J834,SUMPRODUCT(MAX(ROW(E$1:E834)*(E835=E$1:E834)))))</f>
        <v/>
      </c>
      <c r="L835" s="25"/>
    </row>
    <row r="836" spans="1:12" x14ac:dyDescent="0.2">
      <c r="A836" t="s">
        <v>1024</v>
      </c>
      <c r="B836" s="26" t="s">
        <v>950</v>
      </c>
      <c r="C836" s="26" t="s">
        <v>805</v>
      </c>
      <c r="D836" s="26" t="s">
        <v>806</v>
      </c>
      <c r="E836" s="20" t="s">
        <v>1767</v>
      </c>
      <c r="F836" s="21" t="str">
        <f>IF(OR(E836="",E836="!!!"),"",IF(NOT(ISNA(VLOOKUP(E836,E$1:E835,1,FALSE()))),"OLD",IF(AND(E836&lt;&gt;"",E836&lt;&gt;"!!!"),"NEW","")))</f>
        <v>OLD</v>
      </c>
      <c r="G836" s="22" t="s">
        <v>1823</v>
      </c>
      <c r="H836" s="23" t="str">
        <f t="shared" ca="1" si="95"/>
        <v/>
      </c>
      <c r="I836" s="24" t="str">
        <f>IF(OR(E836="",E836="!!!",F836="NEW"),"",INDEX(B$2:B835,-1+SUMPRODUCT(MAX(ROW(E$2:E835)*(E836=E$2:E835)))))</f>
        <v>SBJ</v>
      </c>
      <c r="J836" s="24">
        <f ca="1">IF(OR(E836="",E836="!!!",F836="NEW"),"",COUNTBLANK(OFFSET(A$1,,,SUMPRODUCT(MAX(ROW(E$2:E836)*(E836=E$2:E836)))))-COUNTBLANK(OFFSET(A$1,,,SUMPRODUCT(MAX(ROW(E$1:E835)*(E2=E$1:E835))))))</f>
        <v>0</v>
      </c>
      <c r="K836" s="24">
        <f ca="1">IF(OR(E836="",E836="!!!",F836="NEW"),"",INDEX(J$1:J835,SUMPRODUCT(MAX(ROW(E$1:E835)*(E836=E$1:E835)))))</f>
        <v>0</v>
      </c>
      <c r="L836" s="25"/>
    </row>
    <row r="837" spans="1:12" x14ac:dyDescent="0.2">
      <c r="A837" t="s">
        <v>904</v>
      </c>
      <c r="E837" s="20" t="str">
        <f t="shared" si="94"/>
        <v/>
      </c>
      <c r="F837" s="21" t="str">
        <f>IF(OR(E837="",E837="!!!"),"",IF(NOT(ISNA(VLOOKUP(E837,E$1:E836,1,FALSE()))),"OLD",IF(AND(E837&lt;&gt;"",E837&lt;&gt;"!!!"),"NEW","")))</f>
        <v/>
      </c>
      <c r="G837" s="22" t="str">
        <f>IF(OR(E837="",E837="!!!"),"",IF(OR(J837=0,AND(J837=1,K837=1),AND(J837=1,I837="SBJ"),AND(J837=1,I837=0)),"?IN_FOCUS",IF(J837&lt;=2,"?ACTIVATED",IF(J837&lt;&gt;"","?FAMILIAR",IF(F837="NEW",IF(ISNA(VLOOKUP(E837,#REF!,1,FALSE())),"?TYPE_IDENTIFIABLE","?REFERENTIAL"),"_")))))</f>
        <v/>
      </c>
      <c r="H837" s="23" t="str">
        <f t="shared" ca="1" si="95"/>
        <v/>
      </c>
      <c r="I837" s="24" t="str">
        <f>IF(OR(E837="",E837="!!!",F837="NEW"),"",INDEX(B$2:B836,-1+SUMPRODUCT(MAX(ROW(E$2:E836)*(E837=E$2:E836)))))</f>
        <v/>
      </c>
      <c r="J837" s="24" t="str">
        <f ca="1">IF(OR(E837="",E837="!!!",F837="NEW"),"",COUNTBLANK(OFFSET(A$1,,,SUMPRODUCT(MAX(ROW(E$2:E837)*(E837=E$2:E837)))))-COUNTBLANK(OFFSET(A$1,,,SUMPRODUCT(MAX(ROW(E$1:E836)*(E2=E$1:E836))))))</f>
        <v/>
      </c>
      <c r="K837" s="24" t="str">
        <f>IF(OR(E837="",E837="!!!",F837="NEW"),"",INDEX(J$1:J836,SUMPRODUCT(MAX(ROW(E$1:E836)*(E837=E$1:E836)))))</f>
        <v/>
      </c>
      <c r="L837" s="25"/>
    </row>
    <row r="838" spans="1:12" x14ac:dyDescent="0.2">
      <c r="A838" t="s">
        <v>802</v>
      </c>
      <c r="E838" s="20" t="str">
        <f t="shared" si="94"/>
        <v/>
      </c>
      <c r="F838" s="21" t="str">
        <f>IF(OR(E838="",E838="!!!"),"",IF(NOT(ISNA(VLOOKUP(E838,E$1:E837,1,FALSE()))),"OLD",IF(AND(E838&lt;&gt;"",E838&lt;&gt;"!!!"),"NEW","")))</f>
        <v/>
      </c>
      <c r="G838" s="22" t="str">
        <f>IF(OR(E838="",E838="!!!"),"",IF(OR(J838=0,AND(J838=1,K838=1),AND(J838=1,I838="SBJ"),AND(J838=1,I838=0)),"?IN_FOCUS",IF(J838&lt;=2,"?ACTIVATED",IF(J838&lt;&gt;"","?FAMILIAR",IF(F838="NEW",IF(ISNA(VLOOKUP(E838,#REF!,1,FALSE())),"?TYPE_IDENTIFIABLE","?REFERENTIAL"),"_")))))</f>
        <v/>
      </c>
      <c r="H838" s="23" t="str">
        <f t="shared" ca="1" si="95"/>
        <v/>
      </c>
      <c r="I838" s="24" t="str">
        <f>IF(OR(E838="",E838="!!!",F838="NEW"),"",INDEX(B$2:B837,-1+SUMPRODUCT(MAX(ROW(E$2:E837)*(E838=E$2:E837)))))</f>
        <v/>
      </c>
      <c r="J838" s="24" t="str">
        <f ca="1">IF(OR(E838="",E838="!!!",F838="NEW"),"",COUNTBLANK(OFFSET(A$1,,,SUMPRODUCT(MAX(ROW(E$2:E838)*(E838=E$2:E838)))))-COUNTBLANK(OFFSET(A$1,,,SUMPRODUCT(MAX(ROW(E$1:E837)*(E2=E$1:E837))))))</f>
        <v/>
      </c>
      <c r="K838" s="24" t="str">
        <f>IF(OR(E838="",E838="!!!",F838="NEW"),"",INDEX(J$1:J837,SUMPRODUCT(MAX(ROW(E$1:E837)*(E838=E$1:E837)))))</f>
        <v/>
      </c>
      <c r="L838" s="25"/>
    </row>
    <row r="839" spans="1:12" x14ac:dyDescent="0.2">
      <c r="A839" t="s">
        <v>902</v>
      </c>
      <c r="E839" s="20" t="str">
        <f t="shared" si="94"/>
        <v/>
      </c>
      <c r="F839" s="21" t="str">
        <f>IF(OR(E839="",E839="!!!"),"",IF(NOT(ISNA(VLOOKUP(E839,E$1:E838,1,FALSE()))),"OLD",IF(AND(E839&lt;&gt;"",E839&lt;&gt;"!!!"),"NEW","")))</f>
        <v/>
      </c>
      <c r="G839" s="22" t="str">
        <f>IF(OR(E839="",E839="!!!"),"",IF(OR(J839=0,AND(J839=1,K839=1),AND(J839=1,I839="SBJ"),AND(J839=1,I839=0)),"?IN_FOCUS",IF(J839&lt;=2,"?ACTIVATED",IF(J839&lt;&gt;"","?FAMILIAR",IF(F839="NEW",IF(ISNA(VLOOKUP(E839,#REF!,1,FALSE())),"?TYPE_IDENTIFIABLE","?REFERENTIAL"),"_")))))</f>
        <v/>
      </c>
      <c r="H839" s="23" t="str">
        <f t="shared" ca="1" si="95"/>
        <v/>
      </c>
      <c r="I839" s="24" t="str">
        <f>IF(OR(E839="",E839="!!!",F839="NEW"),"",INDEX(B$2:B838,-1+SUMPRODUCT(MAX(ROW(E$2:E838)*(E839=E$2:E838)))))</f>
        <v/>
      </c>
      <c r="J839" s="24" t="str">
        <f ca="1">IF(OR(E839="",E839="!!!",F839="NEW"),"",COUNTBLANK(OFFSET(A$1,,,SUMPRODUCT(MAX(ROW(E$2:E839)*(E839=E$2:E839)))))-COUNTBLANK(OFFSET(A$1,,,SUMPRODUCT(MAX(ROW(E$1:E838)*(E2=E$1:E838))))))</f>
        <v/>
      </c>
      <c r="K839" s="24" t="str">
        <f>IF(OR(E839="",E839="!!!",F839="NEW"),"",INDEX(J$1:J838,SUMPRODUCT(MAX(ROW(E$1:E838)*(E839=E$1:E838)))))</f>
        <v/>
      </c>
      <c r="L839" s="25"/>
    </row>
    <row r="840" spans="1:12" x14ac:dyDescent="0.2">
      <c r="A840" t="s">
        <v>953</v>
      </c>
      <c r="E840" s="20" t="str">
        <f t="shared" si="94"/>
        <v/>
      </c>
      <c r="F840" s="21" t="str">
        <f>IF(OR(E840="",E840="!!!"),"",IF(NOT(ISNA(VLOOKUP(E840,E$1:E839,1,FALSE()))),"OLD",IF(AND(E840&lt;&gt;"",E840&lt;&gt;"!!!"),"NEW","")))</f>
        <v/>
      </c>
      <c r="G840" s="22" t="str">
        <f>IF(OR(E840="",E840="!!!"),"",IF(OR(J840=0,AND(J840=1,K840=1),AND(J840=1,I840="SBJ"),AND(J840=1,I840=0)),"?IN_FOCUS",IF(J840&lt;=2,"?ACTIVATED",IF(J840&lt;&gt;"","?FAMILIAR",IF(F840="NEW",IF(ISNA(VLOOKUP(E840,#REF!,1,FALSE())),"?TYPE_IDENTIFIABLE","?REFERENTIAL"),"_")))))</f>
        <v/>
      </c>
      <c r="H840" s="23" t="str">
        <f t="shared" ca="1" si="95"/>
        <v/>
      </c>
      <c r="I840" s="24" t="str">
        <f>IF(OR(E840="",E840="!!!",F840="NEW"),"",INDEX(B$2:B839,-1+SUMPRODUCT(MAX(ROW(E$2:E839)*(E840=E$2:E839)))))</f>
        <v/>
      </c>
      <c r="J840" s="24" t="str">
        <f ca="1">IF(OR(E840="",E840="!!!",F840="NEW"),"",COUNTBLANK(OFFSET(A$1,,,SUMPRODUCT(MAX(ROW(E$2:E840)*(E840=E$2:E840)))))-COUNTBLANK(OFFSET(A$1,,,SUMPRODUCT(MAX(ROW(E$1:E839)*(E2=E$1:E839))))))</f>
        <v/>
      </c>
      <c r="K840" s="24" t="str">
        <f>IF(OR(E840="",E840="!!!",F840="NEW"),"",INDEX(J$1:J839,SUMPRODUCT(MAX(ROW(E$1:E839)*(E840=E$1:E839)))))</f>
        <v/>
      </c>
      <c r="L840" s="25"/>
    </row>
    <row r="841" spans="1:12" x14ac:dyDescent="0.2">
      <c r="A841" t="s">
        <v>898</v>
      </c>
      <c r="E841" s="20" t="str">
        <f t="shared" si="94"/>
        <v/>
      </c>
      <c r="F841" s="21" t="str">
        <f>IF(OR(E841="",E841="!!!"),"",IF(NOT(ISNA(VLOOKUP(E841,E$1:E840,1,FALSE()))),"OLD",IF(AND(E841&lt;&gt;"",E841&lt;&gt;"!!!"),"NEW","")))</f>
        <v/>
      </c>
      <c r="G841" s="22" t="str">
        <f>IF(OR(E841="",E841="!!!"),"",IF(OR(J841=0,AND(J841=1,K841=1),AND(J841=1,I841="SBJ"),AND(J841=1,I841=0)),"?IN_FOCUS",IF(J841&lt;=2,"?ACTIVATED",IF(J841&lt;&gt;"","?FAMILIAR",IF(F841="NEW",IF(ISNA(VLOOKUP(E841,#REF!,1,FALSE())),"?TYPE_IDENTIFIABLE","?REFERENTIAL"),"_")))))</f>
        <v/>
      </c>
      <c r="H841" s="23" t="str">
        <f t="shared" ca="1" si="95"/>
        <v/>
      </c>
      <c r="I841" s="24" t="str">
        <f>IF(OR(E841="",E841="!!!",F841="NEW"),"",INDEX(B$2:B840,-1+SUMPRODUCT(MAX(ROW(E$2:E840)*(E841=E$2:E840)))))</f>
        <v/>
      </c>
      <c r="J841" s="24" t="str">
        <f ca="1">IF(OR(E841="",E841="!!!",F841="NEW"),"",COUNTBLANK(OFFSET(A$1,,,SUMPRODUCT(MAX(ROW(E$2:E841)*(E841=E$2:E841)))))-COUNTBLANK(OFFSET(A$1,,,SUMPRODUCT(MAX(ROW(E$1:E840)*(E2=E$1:E840))))))</f>
        <v/>
      </c>
      <c r="K841" s="24" t="str">
        <f>IF(OR(E841="",E841="!!!",F841="NEW"),"",INDEX(J$1:J840,SUMPRODUCT(MAX(ROW(E$1:E840)*(E841=E$1:E840)))))</f>
        <v/>
      </c>
      <c r="L841" s="25"/>
    </row>
    <row r="842" spans="1:12" x14ac:dyDescent="0.2">
      <c r="A842" t="s">
        <v>1014</v>
      </c>
      <c r="E842" s="20" t="str">
        <f t="shared" si="94"/>
        <v/>
      </c>
      <c r="F842" s="21" t="str">
        <f>IF(OR(E842="",E842="!!!"),"",IF(NOT(ISNA(VLOOKUP(E842,E$1:E841,1,FALSE()))),"OLD",IF(AND(E842&lt;&gt;"",E842&lt;&gt;"!!!"),"NEW","")))</f>
        <v/>
      </c>
      <c r="G842" s="22" t="str">
        <f>IF(OR(E842="",E842="!!!"),"",IF(OR(J842=0,AND(J842=1,K842=1),AND(J842=1,I842="SBJ"),AND(J842=1,I842=0)),"?IN_FOCUS",IF(J842&lt;=2,"?ACTIVATED",IF(J842&lt;&gt;"","?FAMILIAR",IF(F842="NEW",IF(ISNA(VLOOKUP(E842,#REF!,1,FALSE())),"?TYPE_IDENTIFIABLE","?REFERENTIAL"),"_")))))</f>
        <v/>
      </c>
      <c r="H842" s="23" t="str">
        <f t="shared" ca="1" si="95"/>
        <v/>
      </c>
      <c r="I842" s="24" t="str">
        <f>IF(OR(E842="",E842="!!!",F842="NEW"),"",INDEX(B$2:B841,-1+SUMPRODUCT(MAX(ROW(E$2:E841)*(E842=E$2:E841)))))</f>
        <v/>
      </c>
      <c r="J842" s="24" t="str">
        <f ca="1">IF(OR(E842="",E842="!!!",F842="NEW"),"",COUNTBLANK(OFFSET(A$1,,,SUMPRODUCT(MAX(ROW(E$2:E842)*(E842=E$2:E842)))))-COUNTBLANK(OFFSET(A$1,,,SUMPRODUCT(MAX(ROW(E$1:E841)*(E2=E$1:E841))))))</f>
        <v/>
      </c>
      <c r="K842" s="24" t="str">
        <f>IF(OR(E842="",E842="!!!",F842="NEW"),"",INDEX(J$1:J841,SUMPRODUCT(MAX(ROW(E$1:E841)*(E842=E$1:E841)))))</f>
        <v/>
      </c>
      <c r="L842" s="25"/>
    </row>
    <row r="843" spans="1:12" x14ac:dyDescent="0.2">
      <c r="A843" t="s">
        <v>1090</v>
      </c>
      <c r="E843" s="20" t="str">
        <f t="shared" si="94"/>
        <v/>
      </c>
      <c r="F843" s="21" t="str">
        <f>IF(OR(E843="",E843="!!!"),"",IF(NOT(ISNA(VLOOKUP(E843,E$1:E842,1,FALSE()))),"OLD",IF(AND(E843&lt;&gt;"",E843&lt;&gt;"!!!"),"NEW","")))</f>
        <v/>
      </c>
      <c r="G843" s="22" t="str">
        <f>IF(OR(E843="",E843="!!!"),"",IF(OR(J843=0,AND(J843=1,K843=1),AND(J843=1,I843="SBJ"),AND(J843=1,I843=0)),"?IN_FOCUS",IF(J843&lt;=2,"?ACTIVATED",IF(J843&lt;&gt;"","?FAMILIAR",IF(F843="NEW",IF(ISNA(VLOOKUP(E843,#REF!,1,FALSE())),"?TYPE_IDENTIFIABLE","?REFERENTIAL"),"_")))))</f>
        <v/>
      </c>
      <c r="H843" s="23" t="str">
        <f t="shared" ca="1" si="95"/>
        <v/>
      </c>
      <c r="I843" s="24" t="str">
        <f>IF(OR(E843="",E843="!!!",F843="NEW"),"",INDEX(B$2:B842,-1+SUMPRODUCT(MAX(ROW(E$2:E842)*(E843=E$2:E842)))))</f>
        <v/>
      </c>
      <c r="J843" s="24" t="str">
        <f ca="1">IF(OR(E843="",E843="!!!",F843="NEW"),"",COUNTBLANK(OFFSET(A$1,,,SUMPRODUCT(MAX(ROW(E$2:E843)*(E843=E$2:E843)))))-COUNTBLANK(OFFSET(A$1,,,SUMPRODUCT(MAX(ROW(E$1:E842)*(E2=E$1:E842))))))</f>
        <v/>
      </c>
      <c r="K843" s="24" t="str">
        <f>IF(OR(E843="",E843="!!!",F843="NEW"),"",INDEX(J$1:J842,SUMPRODUCT(MAX(ROW(E$1:E842)*(E843=E$1:E842)))))</f>
        <v/>
      </c>
      <c r="L843" s="25"/>
    </row>
    <row r="844" spans="1:12" x14ac:dyDescent="0.2">
      <c r="A844" t="s">
        <v>1122</v>
      </c>
      <c r="E844" s="20" t="str">
        <f t="shared" si="94"/>
        <v/>
      </c>
      <c r="F844" s="21" t="str">
        <f>IF(OR(E844="",E844="!!!"),"",IF(NOT(ISNA(VLOOKUP(E844,E$1:E843,1,FALSE()))),"OLD",IF(AND(E844&lt;&gt;"",E844&lt;&gt;"!!!"),"NEW","")))</f>
        <v/>
      </c>
      <c r="G844" s="22" t="str">
        <f>IF(OR(E844="",E844="!!!"),"",IF(OR(J844=0,AND(J844=1,K844=1),AND(J844=1,I844="SBJ"),AND(J844=1,I844=0)),"?IN_FOCUS",IF(J844&lt;=2,"?ACTIVATED",IF(J844&lt;&gt;"","?FAMILIAR",IF(F844="NEW",IF(ISNA(VLOOKUP(E844,#REF!,1,FALSE())),"?TYPE_IDENTIFIABLE","?REFERENTIAL"),"_")))))</f>
        <v/>
      </c>
      <c r="H844" s="23" t="str">
        <f t="shared" ca="1" si="95"/>
        <v/>
      </c>
      <c r="I844" s="24" t="str">
        <f>IF(OR(E844="",E844="!!!",F844="NEW"),"",INDEX(B$2:B843,-1+SUMPRODUCT(MAX(ROW(E$2:E843)*(E844=E$2:E843)))))</f>
        <v/>
      </c>
      <c r="J844" s="24" t="str">
        <f ca="1">IF(OR(E844="",E844="!!!",F844="NEW"),"",COUNTBLANK(OFFSET(A$1,,,SUMPRODUCT(MAX(ROW(E$2:E844)*(E844=E$2:E844)))))-COUNTBLANK(OFFSET(A$1,,,SUMPRODUCT(MAX(ROW(E$1:E843)*(E2=E$1:E843))))))</f>
        <v/>
      </c>
      <c r="K844" s="24" t="str">
        <f>IF(OR(E844="",E844="!!!",F844="NEW"),"",INDEX(J$1:J843,SUMPRODUCT(MAX(ROW(E$1:E843)*(E844=E$1:E843)))))</f>
        <v/>
      </c>
      <c r="L844" s="25"/>
    </row>
    <row r="845" spans="1:12" x14ac:dyDescent="0.2">
      <c r="A845" t="s">
        <v>1096</v>
      </c>
      <c r="B845" s="26" t="s">
        <v>891</v>
      </c>
      <c r="C845" s="26" t="s">
        <v>814</v>
      </c>
      <c r="E845" s="20" t="str">
        <f t="shared" si="94"/>
        <v/>
      </c>
      <c r="F845" s="21" t="str">
        <f>IF(OR(E845="",E845="!!!"),"",IF(NOT(ISNA(VLOOKUP(E845,E$1:E844,1,FALSE()))),"OLD",IF(AND(E845&lt;&gt;"",E845&lt;&gt;"!!!"),"NEW","")))</f>
        <v/>
      </c>
      <c r="G845" s="22" t="str">
        <f>IF(OR(E845="",E845="!!!"),"",IF(OR(J845=0,AND(J845=1,K845=1),AND(J845=1,I845="SBJ"),AND(J845=1,I845=0)),"?IN_FOCUS",IF(J845&lt;=2,"?ACTIVATED",IF(J845&lt;&gt;"","?FAMILIAR",IF(F845="NEW",IF(ISNA(VLOOKUP(E845,#REF!,1,FALSE())),"?TYPE_IDENTIFIABLE","?REFERENTIAL"),"_")))))</f>
        <v/>
      </c>
      <c r="H845" s="23" t="str">
        <f t="shared" ca="1" si="95"/>
        <v/>
      </c>
      <c r="I845" s="24" t="str">
        <f>IF(OR(E845="",E845="!!!",F845="NEW"),"",INDEX(B$2:B844,-1+SUMPRODUCT(MAX(ROW(E$2:E844)*(E845=E$2:E844)))))</f>
        <v/>
      </c>
      <c r="J845" s="24" t="str">
        <f ca="1">IF(OR(E845="",E845="!!!",F845="NEW"),"",COUNTBLANK(OFFSET(A$1,,,SUMPRODUCT(MAX(ROW(E$2:E845)*(E845=E$2:E845)))))-COUNTBLANK(OFFSET(A$1,,,SUMPRODUCT(MAX(ROW(E$1:E844)*(E2=E$1:E844))))))</f>
        <v/>
      </c>
      <c r="K845" s="24" t="str">
        <f>IF(OR(E845="",E845="!!!",F845="NEW"),"",INDEX(J$1:J844,SUMPRODUCT(MAX(ROW(E$1:E844)*(E845=E$1:E844)))))</f>
        <v/>
      </c>
      <c r="L845" s="25"/>
    </row>
    <row r="846" spans="1:12" x14ac:dyDescent="0.2">
      <c r="A846" t="s">
        <v>815</v>
      </c>
      <c r="E846" s="20" t="str">
        <f t="shared" si="94"/>
        <v/>
      </c>
      <c r="F846" s="21" t="str">
        <f>IF(OR(E846="",E846="!!!"),"",IF(NOT(ISNA(VLOOKUP(E846,E$1:E845,1,FALSE()))),"OLD",IF(AND(E846&lt;&gt;"",E846&lt;&gt;"!!!"),"NEW","")))</f>
        <v/>
      </c>
      <c r="G846" s="22" t="str">
        <f>IF(OR(E846="",E846="!!!"),"",IF(OR(J846=0,AND(J846=1,K846=1),AND(J846=1,I846="SBJ"),AND(J846=1,I846=0)),"?IN_FOCUS",IF(J846&lt;=2,"?ACTIVATED",IF(J846&lt;&gt;"","?FAMILIAR",IF(F846="NEW",IF(ISNA(VLOOKUP(E846,#REF!,1,FALSE())),"?TYPE_IDENTIFIABLE","?REFERENTIAL"),"_")))))</f>
        <v/>
      </c>
      <c r="H846" s="23" t="str">
        <f t="shared" ca="1" si="95"/>
        <v/>
      </c>
      <c r="I846" s="24" t="str">
        <f>IF(OR(E846="",E846="!!!",F846="NEW"),"",INDEX(B$2:B845,-1+SUMPRODUCT(MAX(ROW(E$2:E845)*(E846=E$2:E845)))))</f>
        <v/>
      </c>
      <c r="J846" s="24" t="str">
        <f ca="1">IF(OR(E846="",E846="!!!",F846="NEW"),"",COUNTBLANK(OFFSET(A$1,,,SUMPRODUCT(MAX(ROW(E$2:E846)*(E846=E$2:E846)))))-COUNTBLANK(OFFSET(A$1,,,SUMPRODUCT(MAX(ROW(E$1:E845)*(E2=E$1:E845))))))</f>
        <v/>
      </c>
      <c r="K846" s="24" t="str">
        <f>IF(OR(E846="",E846="!!!",F846="NEW"),"",INDEX(J$1:J845,SUMPRODUCT(MAX(ROW(E$1:E845)*(E846=E$1:E845)))))</f>
        <v/>
      </c>
      <c r="L846" s="25"/>
    </row>
    <row r="847" spans="1:12" x14ac:dyDescent="0.2">
      <c r="A847" t="s">
        <v>845</v>
      </c>
      <c r="E847" s="20" t="str">
        <f t="shared" si="94"/>
        <v/>
      </c>
      <c r="F847" s="21" t="str">
        <f>IF(OR(E847="",E847="!!!"),"",IF(NOT(ISNA(VLOOKUP(E847,E$1:E846,1,FALSE()))),"OLD",IF(AND(E847&lt;&gt;"",E847&lt;&gt;"!!!"),"NEW","")))</f>
        <v/>
      </c>
      <c r="G847" s="22" t="str">
        <f>IF(OR(E847="",E847="!!!"),"",IF(OR(J847=0,AND(J847=1,K847=1),AND(J847=1,I847="SBJ"),AND(J847=1,I847=0)),"?IN_FOCUS",IF(J847&lt;=2,"?ACTIVATED",IF(J847&lt;&gt;"","?FAMILIAR",IF(F847="NEW",IF(ISNA(VLOOKUP(E847,#REF!,1,FALSE())),"?TYPE_IDENTIFIABLE","?REFERENTIAL"),"_")))))</f>
        <v/>
      </c>
      <c r="H847" s="23" t="str">
        <f t="shared" ca="1" si="95"/>
        <v/>
      </c>
      <c r="I847" s="24" t="str">
        <f>IF(OR(E847="",E847="!!!",F847="NEW"),"",INDEX(B$2:B846,-1+SUMPRODUCT(MAX(ROW(E$2:E846)*(E847=E$2:E846)))))</f>
        <v/>
      </c>
      <c r="J847" s="24" t="str">
        <f ca="1">IF(OR(E847="",E847="!!!",F847="NEW"),"",COUNTBLANK(OFFSET(A$1,,,SUMPRODUCT(MAX(ROW(E$2:E847)*(E847=E$2:E847)))))-COUNTBLANK(OFFSET(A$1,,,SUMPRODUCT(MAX(ROW(E$1:E846)*(E2=E$1:E846))))))</f>
        <v/>
      </c>
      <c r="K847" s="24" t="str">
        <f>IF(OR(E847="",E847="!!!",F847="NEW"),"",INDEX(J$1:J846,SUMPRODUCT(MAX(ROW(E$1:E846)*(E847=E$1:E846)))))</f>
        <v/>
      </c>
      <c r="L847" s="25"/>
    </row>
    <row r="848" spans="1:12" x14ac:dyDescent="0.2">
      <c r="A848" t="s">
        <v>1038</v>
      </c>
      <c r="B848" s="26" t="s">
        <v>899</v>
      </c>
      <c r="C848" s="26" t="s">
        <v>847</v>
      </c>
      <c r="D848" s="26" t="s">
        <v>806</v>
      </c>
      <c r="E848" s="20" t="s">
        <v>1769</v>
      </c>
      <c r="F848" s="21" t="str">
        <f>IF(OR(E848="",E848="!!!"),"",IF(NOT(ISNA(VLOOKUP(E848,E$1:E847,1,FALSE()))),"OLD",IF(AND(E848&lt;&gt;"",E848&lt;&gt;"!!!"),"NEW","")))</f>
        <v>NEW</v>
      </c>
      <c r="G848" s="22" t="s">
        <v>1820</v>
      </c>
      <c r="H848" s="23" t="str">
        <f t="shared" ca="1" si="95"/>
        <v/>
      </c>
      <c r="I848" s="24" t="str">
        <f>IF(OR(E848="",E848="!!!",F848="NEW"),"",INDEX(B$2:B847,-1+SUMPRODUCT(MAX(ROW(E$2:E847)*(E848=E$2:E847)))))</f>
        <v/>
      </c>
      <c r="J848" s="24" t="str">
        <f ca="1">IF(OR(E848="",E848="!!!",F848="NEW"),"",COUNTBLANK(OFFSET(A$1,,,SUMPRODUCT(MAX(ROW(E$2:E848)*(E848=E$2:E848)))))-COUNTBLANK(OFFSET(A$1,,,SUMPRODUCT(MAX(ROW(E$1:E847)*(E2=E$1:E847))))))</f>
        <v/>
      </c>
      <c r="K848" s="24" t="str">
        <f>IF(OR(E848="",E848="!!!",F848="NEW"),"",INDEX(J$1:J847,SUMPRODUCT(MAX(ROW(E$1:E847)*(E848=E$1:E847)))))</f>
        <v/>
      </c>
      <c r="L848" s="25"/>
    </row>
    <row r="849" spans="1:12" x14ac:dyDescent="0.2">
      <c r="A849" t="s">
        <v>821</v>
      </c>
      <c r="E849" s="20" t="str">
        <f t="shared" si="94"/>
        <v/>
      </c>
      <c r="F849" s="21" t="str">
        <f>IF(OR(E849="",E849="!!!"),"",IF(NOT(ISNA(VLOOKUP(E849,E$1:E848,1,FALSE()))),"OLD",IF(AND(E849&lt;&gt;"",E849&lt;&gt;"!!!"),"NEW","")))</f>
        <v/>
      </c>
      <c r="G849" s="22" t="str">
        <f>IF(OR(E849="",E849="!!!"),"",IF(OR(J849=0,AND(J849=1,K849=1),AND(J849=1,I849="SBJ"),AND(J849=1,I849=0)),"?IN_FOCUS",IF(J849&lt;=2,"?ACTIVATED",IF(J849&lt;&gt;"","?FAMILIAR",IF(F849="NEW",IF(ISNA(VLOOKUP(E849,#REF!,1,FALSE())),"?TYPE_IDENTIFIABLE","?REFERENTIAL"),"_")))))</f>
        <v/>
      </c>
      <c r="H849" s="23" t="str">
        <f t="shared" ca="1" si="95"/>
        <v/>
      </c>
      <c r="I849" s="24" t="str">
        <f>IF(OR(E849="",E849="!!!",F849="NEW"),"",INDEX(B$2:B848,-1+SUMPRODUCT(MAX(ROW(E$2:E848)*(E849=E$2:E848)))))</f>
        <v/>
      </c>
      <c r="J849" s="24" t="str">
        <f ca="1">IF(OR(E849="",E849="!!!",F849="NEW"),"",COUNTBLANK(OFFSET(A$1,,,SUMPRODUCT(MAX(ROW(E$2:E849)*(E849=E$2:E849)))))-COUNTBLANK(OFFSET(A$1,,,SUMPRODUCT(MAX(ROW(E$1:E848)*(E2=E$1:E848))))))</f>
        <v/>
      </c>
      <c r="K849" s="24" t="str">
        <f>IF(OR(E849="",E849="!!!",F849="NEW"),"",INDEX(J$1:J848,SUMPRODUCT(MAX(ROW(E$1:E848)*(E849=E$1:E848)))))</f>
        <v/>
      </c>
      <c r="L849" s="25"/>
    </row>
    <row r="850" spans="1:12" x14ac:dyDescent="0.2">
      <c r="A850" t="s">
        <v>902</v>
      </c>
      <c r="E850" s="20" t="str">
        <f t="shared" si="94"/>
        <v/>
      </c>
      <c r="F850" s="21" t="str">
        <f>IF(OR(E850="",E850="!!!"),"",IF(NOT(ISNA(VLOOKUP(E850,E$1:E849,1,FALSE()))),"OLD",IF(AND(E850&lt;&gt;"",E850&lt;&gt;"!!!"),"NEW","")))</f>
        <v/>
      </c>
      <c r="G850" s="22" t="str">
        <f>IF(OR(E850="",E850="!!!"),"",IF(OR(J850=0,AND(J850=1,K850=1),AND(J850=1,I850="SBJ"),AND(J850=1,I850=0)),"?IN_FOCUS",IF(J850&lt;=2,"?ACTIVATED",IF(J850&lt;&gt;"","?FAMILIAR",IF(F850="NEW",IF(ISNA(VLOOKUP(E850,#REF!,1,FALSE())),"?TYPE_IDENTIFIABLE","?REFERENTIAL"),"_")))))</f>
        <v/>
      </c>
      <c r="H850" s="23" t="str">
        <f t="shared" ca="1" si="95"/>
        <v/>
      </c>
      <c r="I850" s="24" t="str">
        <f>IF(OR(E850="",E850="!!!",F850="NEW"),"",INDEX(B$2:B849,-1+SUMPRODUCT(MAX(ROW(E$2:E849)*(E850=E$2:E849)))))</f>
        <v/>
      </c>
      <c r="J850" s="24" t="str">
        <f ca="1">IF(OR(E850="",E850="!!!",F850="NEW"),"",COUNTBLANK(OFFSET(A$1,,,SUMPRODUCT(MAX(ROW(E$2:E850)*(E850=E$2:E850)))))-COUNTBLANK(OFFSET(A$1,,,SUMPRODUCT(MAX(ROW(E$1:E849)*(E2=E$1:E849))))))</f>
        <v/>
      </c>
      <c r="K850" s="24" t="str">
        <f>IF(OR(E850="",E850="!!!",F850="NEW"),"",INDEX(J$1:J849,SUMPRODUCT(MAX(ROW(E$1:E849)*(E850=E$1:E849)))))</f>
        <v/>
      </c>
      <c r="L850" s="25"/>
    </row>
    <row r="852" spans="1:12" x14ac:dyDescent="0.2">
      <c r="A852" t="s">
        <v>1123</v>
      </c>
    </row>
    <row r="853" spans="1:12" x14ac:dyDescent="0.2">
      <c r="A853" t="s">
        <v>803</v>
      </c>
      <c r="B853" s="26" t="s">
        <v>804</v>
      </c>
      <c r="C853" s="26" t="s">
        <v>805</v>
      </c>
      <c r="D853" s="26" t="s">
        <v>806</v>
      </c>
      <c r="E853" s="20" t="s">
        <v>1747</v>
      </c>
      <c r="F853" s="21" t="s">
        <v>1753</v>
      </c>
      <c r="G853" s="22" t="s">
        <v>1823</v>
      </c>
      <c r="H853" s="23" t="str">
        <f t="shared" ref="H853:H861" ca="1" si="96">IF(J853&lt;&gt;1,"",IF(I853="SBJ","CB","?"))</f>
        <v/>
      </c>
      <c r="I853" s="24" t="str">
        <f>IF(OR(E853="",E853="!!!",F853="NEW"),"",INDEX(B$2:B852,-1+SUMPRODUCT(MAX(ROW(E$2:E852)*(E853=E$2:E852)))))</f>
        <v>SBJ</v>
      </c>
      <c r="J853" s="24">
        <f ca="1">IF(OR(E853="",E853="!!!",F853="NEW"),"",COUNTBLANK(OFFSET(A$1,,,SUMPRODUCT(MAX(ROW(E$2:E853)*(E853=E$2:E853)))))-COUNTBLANK(OFFSET(A$1,,,SUMPRODUCT(MAX(ROW(E$1:E852)*(E2=E$1:E852))))))</f>
        <v>0</v>
      </c>
      <c r="K853" s="24">
        <f ca="1">IF(OR(E853="",E853="!!!",F853="NEW"),"",INDEX(J$1:J852,SUMPRODUCT(MAX(ROW(E$1:E852)*(E853=E$1:E852)))))</f>
        <v>0</v>
      </c>
      <c r="L853" s="25"/>
    </row>
    <row r="854" spans="1:12" x14ac:dyDescent="0.2">
      <c r="A854" t="s">
        <v>1124</v>
      </c>
      <c r="E854" s="20" t="str">
        <f t="shared" ref="E854:E861" si="97">IF(D854="?OLD","!!!","")</f>
        <v/>
      </c>
      <c r="F854" s="21" t="str">
        <f>IF(OR(E854="",E854="!!!"),"",IF(NOT(ISNA(VLOOKUP(E854,E$1:E853,1,FALSE()))),"OLD",IF(AND(E854&lt;&gt;"",E854&lt;&gt;"!!!"),"NEW","")))</f>
        <v/>
      </c>
      <c r="G854" s="22" t="str">
        <f>IF(OR(E854="",E854="!!!"),"",IF(OR(J854=0,AND(J854=1,K854=1),AND(J854=1,I854="SBJ"),AND(J854=1,I854=0)),"?IN_FOCUS",IF(J854&lt;=2,"?ACTIVATED",IF(J854&lt;&gt;"","?FAMILIAR",IF(F854="NEW",IF(ISNA(VLOOKUP(E854,#REF!,1,FALSE())),"?TYPE_IDENTIFIABLE","?REFERENTIAL"),"_")))))</f>
        <v/>
      </c>
      <c r="H854" s="23" t="str">
        <f t="shared" ca="1" si="96"/>
        <v/>
      </c>
      <c r="I854" s="24" t="str">
        <f>IF(OR(E854="",E854="!!!",F854="NEW"),"",INDEX(B$2:B853,-1+SUMPRODUCT(MAX(ROW(E$2:E853)*(E854=E$2:E853)))))</f>
        <v/>
      </c>
      <c r="J854" s="24" t="str">
        <f ca="1">IF(OR(E854="",E854="!!!",F854="NEW"),"",COUNTBLANK(OFFSET(A$1,,,SUMPRODUCT(MAX(ROW(E$2:E854)*(E854=E$2:E854)))))-COUNTBLANK(OFFSET(A$1,,,SUMPRODUCT(MAX(ROW(E$1:E853)*(E2=E$1:E853))))))</f>
        <v/>
      </c>
      <c r="K854" s="24" t="str">
        <f>IF(OR(E854="",E854="!!!",F854="NEW"),"",INDEX(J$1:J853,SUMPRODUCT(MAX(ROW(E$1:E853)*(E854=E$1:E853)))))</f>
        <v/>
      </c>
      <c r="L854" s="25"/>
    </row>
    <row r="855" spans="1:12" x14ac:dyDescent="0.2">
      <c r="A855" t="s">
        <v>1021</v>
      </c>
      <c r="E855" s="20" t="str">
        <f t="shared" si="97"/>
        <v/>
      </c>
      <c r="F855" s="21" t="str">
        <f>IF(OR(E855="",E855="!!!"),"",IF(NOT(ISNA(VLOOKUP(E855,E$1:E854,1,FALSE()))),"OLD",IF(AND(E855&lt;&gt;"",E855&lt;&gt;"!!!"),"NEW","")))</f>
        <v/>
      </c>
      <c r="G855" s="22" t="str">
        <f>IF(OR(E855="",E855="!!!"),"",IF(OR(J855=0,AND(J855=1,K855=1),AND(J855=1,I855="SBJ"),AND(J855=1,I855=0)),"?IN_FOCUS",IF(J855&lt;=2,"?ACTIVATED",IF(J855&lt;&gt;"","?FAMILIAR",IF(F855="NEW",IF(ISNA(VLOOKUP(E855,#REF!,1,FALSE())),"?TYPE_IDENTIFIABLE","?REFERENTIAL"),"_")))))</f>
        <v/>
      </c>
      <c r="H855" s="23" t="str">
        <f t="shared" ca="1" si="96"/>
        <v/>
      </c>
      <c r="I855" s="24" t="str">
        <f>IF(OR(E855="",E855="!!!",F855="NEW"),"",INDEX(B$2:B854,-1+SUMPRODUCT(MAX(ROW(E$2:E854)*(E855=E$2:E854)))))</f>
        <v/>
      </c>
      <c r="J855" s="24" t="str">
        <f ca="1">IF(OR(E855="",E855="!!!",F855="NEW"),"",COUNTBLANK(OFFSET(A$1,,,SUMPRODUCT(MAX(ROW(E$2:E855)*(E855=E$2:E855)))))-COUNTBLANK(OFFSET(A$1,,,SUMPRODUCT(MAX(ROW(E$1:E854)*(E2=E$1:E854))))))</f>
        <v/>
      </c>
      <c r="K855" s="24" t="str">
        <f>IF(OR(E855="",E855="!!!",F855="NEW"),"",INDEX(J$1:J854,SUMPRODUCT(MAX(ROW(E$1:E854)*(E855=E$1:E854)))))</f>
        <v/>
      </c>
      <c r="L855" s="25"/>
    </row>
    <row r="856" spans="1:12" x14ac:dyDescent="0.2">
      <c r="A856" t="s">
        <v>812</v>
      </c>
      <c r="E856" s="20" t="str">
        <f t="shared" si="97"/>
        <v/>
      </c>
      <c r="F856" s="21" t="str">
        <f>IF(OR(E856="",E856="!!!"),"",IF(NOT(ISNA(VLOOKUP(E856,E$1:E855,1,FALSE()))),"OLD",IF(AND(E856&lt;&gt;"",E856&lt;&gt;"!!!"),"NEW","")))</f>
        <v/>
      </c>
      <c r="G856" s="22" t="str">
        <f>IF(OR(E856="",E856="!!!"),"",IF(OR(J856=0,AND(J856=1,K856=1),AND(J856=1,I856="SBJ"),AND(J856=1,I856=0)),"?IN_FOCUS",IF(J856&lt;=2,"?ACTIVATED",IF(J856&lt;&gt;"","?FAMILIAR",IF(F856="NEW",IF(ISNA(VLOOKUP(E856,#REF!,1,FALSE())),"?TYPE_IDENTIFIABLE","?REFERENTIAL"),"_")))))</f>
        <v/>
      </c>
      <c r="H856" s="23" t="str">
        <f t="shared" ca="1" si="96"/>
        <v/>
      </c>
      <c r="I856" s="24" t="str">
        <f>IF(OR(E856="",E856="!!!",F856="NEW"),"",INDEX(B$2:B855,-1+SUMPRODUCT(MAX(ROW(E$2:E855)*(E856=E$2:E855)))))</f>
        <v/>
      </c>
      <c r="J856" s="24" t="str">
        <f ca="1">IF(OR(E856="",E856="!!!",F856="NEW"),"",COUNTBLANK(OFFSET(A$1,,,SUMPRODUCT(MAX(ROW(E$2:E856)*(E856=E$2:E856)))))-COUNTBLANK(OFFSET(A$1,,,SUMPRODUCT(MAX(ROW(E$1:E855)*(E2=E$1:E855))))))</f>
        <v/>
      </c>
      <c r="K856" s="24" t="str">
        <f>IF(OR(E856="",E856="!!!",F856="NEW"),"",INDEX(J$1:J855,SUMPRODUCT(MAX(ROW(E$1:E855)*(E856=E$1:E855)))))</f>
        <v/>
      </c>
      <c r="L856" s="25"/>
    </row>
    <row r="857" spans="1:12" x14ac:dyDescent="0.2">
      <c r="A857" t="s">
        <v>19</v>
      </c>
      <c r="B857" s="26" t="s">
        <v>819</v>
      </c>
      <c r="C857" s="26" t="s">
        <v>814</v>
      </c>
      <c r="E857" s="20" t="str">
        <f t="shared" si="97"/>
        <v/>
      </c>
      <c r="F857" s="21" t="str">
        <f>IF(OR(E857="",E857="!!!"),"",IF(NOT(ISNA(VLOOKUP(E857,E$1:E856,1,FALSE()))),"OLD",IF(AND(E857&lt;&gt;"",E857&lt;&gt;"!!!"),"NEW","")))</f>
        <v/>
      </c>
      <c r="G857" s="22" t="str">
        <f>IF(OR(E857="",E857="!!!"),"",IF(OR(J857=0,AND(J857=1,K857=1),AND(J857=1,I857="SBJ"),AND(J857=1,I857=0)),"?IN_FOCUS",IF(J857&lt;=2,"?ACTIVATED",IF(J857&lt;&gt;"","?FAMILIAR",IF(F857="NEW",IF(ISNA(VLOOKUP(E857,#REF!,1,FALSE())),"?TYPE_IDENTIFIABLE","?REFERENTIAL"),"_")))))</f>
        <v/>
      </c>
      <c r="H857" s="23" t="str">
        <f t="shared" ca="1" si="96"/>
        <v/>
      </c>
      <c r="I857" s="24" t="str">
        <f>IF(OR(E857="",E857="!!!",F857="NEW"),"",INDEX(B$2:B856,-1+SUMPRODUCT(MAX(ROW(E$2:E856)*(E857=E$2:E856)))))</f>
        <v/>
      </c>
      <c r="J857" s="24" t="str">
        <f ca="1">IF(OR(E857="",E857="!!!",F857="NEW"),"",COUNTBLANK(OFFSET(A$1,,,SUMPRODUCT(MAX(ROW(E$2:E857)*(E857=E$2:E857)))))-COUNTBLANK(OFFSET(A$1,,,SUMPRODUCT(MAX(ROW(E$1:E856)*(E2=E$1:E856))))))</f>
        <v/>
      </c>
      <c r="K857" s="24" t="str">
        <f>IF(OR(E857="",E857="!!!",F857="NEW"),"",INDEX(J$1:J856,SUMPRODUCT(MAX(ROW(E$1:E856)*(E857=E$1:E856)))))</f>
        <v/>
      </c>
      <c r="L857" s="25"/>
    </row>
    <row r="858" spans="1:12" x14ac:dyDescent="0.2">
      <c r="A858" t="s">
        <v>874</v>
      </c>
      <c r="E858" s="20" t="str">
        <f t="shared" si="97"/>
        <v/>
      </c>
      <c r="F858" s="21" t="str">
        <f>IF(OR(E858="",E858="!!!"),"",IF(NOT(ISNA(VLOOKUP(E858,E$1:E857,1,FALSE()))),"OLD",IF(AND(E858&lt;&gt;"",E858&lt;&gt;"!!!"),"NEW","")))</f>
        <v/>
      </c>
      <c r="G858" s="22" t="str">
        <f>IF(OR(E858="",E858="!!!"),"",IF(OR(J858=0,AND(J858=1,K858=1),AND(J858=1,I858="SBJ"),AND(J858=1,I858=0)),"?IN_FOCUS",IF(J858&lt;=2,"?ACTIVATED",IF(J858&lt;&gt;"","?FAMILIAR",IF(F858="NEW",IF(ISNA(VLOOKUP(E858,#REF!,1,FALSE())),"?TYPE_IDENTIFIABLE","?REFERENTIAL"),"_")))))</f>
        <v/>
      </c>
      <c r="H858" s="23" t="str">
        <f t="shared" ca="1" si="96"/>
        <v/>
      </c>
      <c r="I858" s="24" t="str">
        <f>IF(OR(E858="",E858="!!!",F858="NEW"),"",INDEX(B$2:B857,-1+SUMPRODUCT(MAX(ROW(E$2:E857)*(E858=E$2:E857)))))</f>
        <v/>
      </c>
      <c r="J858" s="24" t="str">
        <f ca="1">IF(OR(E858="",E858="!!!",F858="NEW"),"",COUNTBLANK(OFFSET(A$1,,,SUMPRODUCT(MAX(ROW(E$2:E858)*(E858=E$2:E858)))))-COUNTBLANK(OFFSET(A$1,,,SUMPRODUCT(MAX(ROW(E$1:E857)*(E2=E$1:E857))))))</f>
        <v/>
      </c>
      <c r="K858" s="24" t="str">
        <f>IF(OR(E858="",E858="!!!",F858="NEW"),"",INDEX(J$1:J857,SUMPRODUCT(MAX(ROW(E$1:E857)*(E858=E$1:E857)))))</f>
        <v/>
      </c>
      <c r="L858" s="25"/>
    </row>
    <row r="859" spans="1:12" x14ac:dyDescent="0.2">
      <c r="A859" t="s">
        <v>875</v>
      </c>
      <c r="E859" s="20" t="str">
        <f t="shared" si="97"/>
        <v/>
      </c>
      <c r="F859" s="21" t="str">
        <f>IF(OR(E859="",E859="!!!"),"",IF(NOT(ISNA(VLOOKUP(E859,E$1:E858,1,FALSE()))),"OLD",IF(AND(E859&lt;&gt;"",E859&lt;&gt;"!!!"),"NEW","")))</f>
        <v/>
      </c>
      <c r="G859" s="22" t="str">
        <f>IF(OR(E859="",E859="!!!"),"",IF(OR(J859=0,AND(J859=1,K859=1),AND(J859=1,I859="SBJ"),AND(J859=1,I859=0)),"?IN_FOCUS",IF(J859&lt;=2,"?ACTIVATED",IF(J859&lt;&gt;"","?FAMILIAR",IF(F859="NEW",IF(ISNA(VLOOKUP(E859,#REF!,1,FALSE())),"?TYPE_IDENTIFIABLE","?REFERENTIAL"),"_")))))</f>
        <v/>
      </c>
      <c r="H859" s="23" t="str">
        <f t="shared" ca="1" si="96"/>
        <v/>
      </c>
      <c r="I859" s="24" t="str">
        <f>IF(OR(E859="",E859="!!!",F859="NEW"),"",INDEX(B$2:B858,-1+SUMPRODUCT(MAX(ROW(E$2:E858)*(E859=E$2:E858)))))</f>
        <v/>
      </c>
      <c r="J859" s="24" t="str">
        <f ca="1">IF(OR(E859="",E859="!!!",F859="NEW"),"",COUNTBLANK(OFFSET(A$1,,,SUMPRODUCT(MAX(ROW(E$2:E859)*(E859=E$2:E859)))))-COUNTBLANK(OFFSET(A$1,,,SUMPRODUCT(MAX(ROW(E$1:E858)*(E2=E$1:E858))))))</f>
        <v/>
      </c>
      <c r="K859" s="24" t="str">
        <f>IF(OR(E859="",E859="!!!",F859="NEW"),"",INDEX(J$1:J858,SUMPRODUCT(MAX(ROW(E$1:E858)*(E859=E$1:E858)))))</f>
        <v/>
      </c>
      <c r="L859" s="25"/>
    </row>
    <row r="860" spans="1:12" x14ac:dyDescent="0.2">
      <c r="A860" t="s">
        <v>30</v>
      </c>
      <c r="B860" s="26" t="s">
        <v>813</v>
      </c>
      <c r="C860" s="26" t="s">
        <v>877</v>
      </c>
      <c r="D860" s="26" t="s">
        <v>806</v>
      </c>
      <c r="E860" s="20" t="s">
        <v>1763</v>
      </c>
      <c r="F860" s="21" t="str">
        <f>IF(OR(E860="",E860="!!!"),"",IF(NOT(ISNA(VLOOKUP(E860,E$1:E859,1,FALSE()))),"OLD",IF(AND(E860&lt;&gt;"",E860&lt;&gt;"!!!"),"NEW","")))</f>
        <v>OLD</v>
      </c>
      <c r="G860" s="22" t="s">
        <v>1822</v>
      </c>
      <c r="H860" s="23" t="str">
        <f t="shared" ca="1" si="96"/>
        <v/>
      </c>
      <c r="I860" s="24" t="str">
        <f>IF(OR(E860="",E860="!!!",F860="NEW"),"",INDEX(B$2:B859,-1+SUMPRODUCT(MAX(ROW(E$2:E859)*(E860=E$2:E859)))))</f>
        <v>other_4</v>
      </c>
      <c r="J860" s="24">
        <f ca="1">IF(OR(E860="",E860="!!!",F860="NEW"),"",COUNTBLANK(OFFSET(A$1,,,SUMPRODUCT(MAX(ROW(E$2:E860)*(E860=E$2:E860)))))-COUNTBLANK(OFFSET(A$1,,,SUMPRODUCT(MAX(ROW(E$1:E859)*(E2=E$1:E859))))))</f>
        <v>0</v>
      </c>
      <c r="K860" s="24" t="str">
        <f ca="1">IF(OR(E860="",E860="!!!",F860="NEW"),"",INDEX(J$1:J859,SUMPRODUCT(MAX(ROW(E$1:E859)*(E860=E$1:E859)))))</f>
        <v/>
      </c>
      <c r="L860" s="25"/>
    </row>
    <row r="861" spans="1:12" x14ac:dyDescent="0.2">
      <c r="A861" t="s">
        <v>821</v>
      </c>
      <c r="E861" s="20" t="str">
        <f t="shared" si="97"/>
        <v/>
      </c>
      <c r="F861" s="21" t="str">
        <f>IF(OR(E861="",E861="!!!"),"",IF(NOT(ISNA(VLOOKUP(E861,E$1:E860,1,FALSE()))),"OLD",IF(AND(E861&lt;&gt;"",E861&lt;&gt;"!!!"),"NEW","")))</f>
        <v/>
      </c>
      <c r="G861" s="22" t="str">
        <f>IF(OR(E861="",E861="!!!"),"",IF(OR(J861=0,AND(J861=1,K861=1),AND(J861=1,I861="SBJ"),AND(J861=1,I861=0)),"?IN_FOCUS",IF(J861&lt;=2,"?ACTIVATED",IF(J861&lt;&gt;"","?FAMILIAR",IF(F861="NEW",IF(ISNA(VLOOKUP(E861,#REF!,1,FALSE())),"?TYPE_IDENTIFIABLE","?REFERENTIAL"),"_")))))</f>
        <v/>
      </c>
      <c r="H861" s="23" t="str">
        <f t="shared" ca="1" si="96"/>
        <v/>
      </c>
      <c r="I861" s="24" t="str">
        <f>IF(OR(E861="",E861="!!!",F861="NEW"),"",INDEX(B$2:B860,-1+SUMPRODUCT(MAX(ROW(E$2:E860)*(E861=E$2:E860)))))</f>
        <v/>
      </c>
      <c r="J861" s="24" t="str">
        <f ca="1">IF(OR(E861="",E861="!!!",F861="NEW"),"",COUNTBLANK(OFFSET(A$1,,,SUMPRODUCT(MAX(ROW(E$2:E861)*(E861=E$2:E861)))))-COUNTBLANK(OFFSET(A$1,,,SUMPRODUCT(MAX(ROW(E$1:E860)*(E2=E$1:E860))))))</f>
        <v/>
      </c>
      <c r="K861" s="24" t="str">
        <f>IF(OR(E861="",E861="!!!",F861="NEW"),"",INDEX(J$1:J860,SUMPRODUCT(MAX(ROW(E$1:E860)*(E861=E$1:E860)))))</f>
        <v/>
      </c>
      <c r="L861" s="25"/>
    </row>
    <row r="863" spans="1:12" x14ac:dyDescent="0.2">
      <c r="A863" t="s">
        <v>1125</v>
      </c>
    </row>
    <row r="864" spans="1:12" x14ac:dyDescent="0.2">
      <c r="A864" t="s">
        <v>1126</v>
      </c>
      <c r="E864" s="20" t="str">
        <f t="shared" ref="E864:E880" si="98">IF(D864="?OLD","!!!","")</f>
        <v/>
      </c>
      <c r="F864" s="21" t="str">
        <f>IF(OR(E864="",E864="!!!"),"",IF(NOT(ISNA(VLOOKUP(E864,E$1:E863,1,FALSE()))),"OLD",IF(AND(E864&lt;&gt;"",E864&lt;&gt;"!!!"),"NEW","")))</f>
        <v/>
      </c>
      <c r="G864" s="22" t="str">
        <f>IF(OR(E864="",E864="!!!"),"",IF(OR(J864=0,AND(J864=1,K864=1),AND(J864=1,I864="SBJ"),AND(J864=1,I864=0)),"?IN_FOCUS",IF(J864&lt;=2,"?ACTIVATED",IF(J864&lt;&gt;"","?FAMILIAR",IF(F864="NEW",IF(ISNA(VLOOKUP(E864,#REF!,1,FALSE())),"?TYPE_IDENTIFIABLE","?REFERENTIAL"),"_")))))</f>
        <v/>
      </c>
      <c r="H864" s="23" t="str">
        <f t="shared" ref="H864:H880" ca="1" si="99">IF(J864&lt;&gt;1,"",IF(I864="SBJ","CB","?"))</f>
        <v/>
      </c>
      <c r="I864" s="24" t="str">
        <f>IF(OR(E864="",E864="!!!",F864="NEW"),"",INDEX(B$2:B863,-1+SUMPRODUCT(MAX(ROW(E$2:E863)*(E864=E$2:E863)))))</f>
        <v/>
      </c>
      <c r="J864" s="24" t="str">
        <f ca="1">IF(OR(E864="",E864="!!!",F864="NEW"),"",COUNTBLANK(OFFSET(A$1,,,SUMPRODUCT(MAX(ROW(E$2:E864)*(E864=E$2:E864)))))-COUNTBLANK(OFFSET(A$1,,,SUMPRODUCT(MAX(ROW(E$1:E863)*(E2=E$1:E863))))))</f>
        <v/>
      </c>
      <c r="K864" s="24" t="str">
        <f>IF(OR(E864="",E864="!!!",F864="NEW"),"",INDEX(J$1:J863,SUMPRODUCT(MAX(ROW(E$1:E863)*(E864=E$1:E863)))))</f>
        <v/>
      </c>
      <c r="L864" s="25"/>
    </row>
    <row r="865" spans="1:12" x14ac:dyDescent="0.2">
      <c r="A865" t="s">
        <v>802</v>
      </c>
      <c r="E865" s="20" t="str">
        <f t="shared" si="98"/>
        <v/>
      </c>
      <c r="F865" s="21" t="str">
        <f>IF(OR(E865="",E865="!!!"),"",IF(NOT(ISNA(VLOOKUP(E865,E$1:E864,1,FALSE()))),"OLD",IF(AND(E865&lt;&gt;"",E865&lt;&gt;"!!!"),"NEW","")))</f>
        <v/>
      </c>
      <c r="G865" s="22" t="str">
        <f>IF(OR(E865="",E865="!!!"),"",IF(OR(J865=0,AND(J865=1,K865=1),AND(J865=1,I865="SBJ"),AND(J865=1,I865=0)),"?IN_FOCUS",IF(J865&lt;=2,"?ACTIVATED",IF(J865&lt;&gt;"","?FAMILIAR",IF(F865="NEW",IF(ISNA(VLOOKUP(E865,#REF!,1,FALSE())),"?TYPE_IDENTIFIABLE","?REFERENTIAL"),"_")))))</f>
        <v/>
      </c>
      <c r="H865" s="23" t="str">
        <f t="shared" ca="1" si="99"/>
        <v/>
      </c>
      <c r="I865" s="24" t="str">
        <f>IF(OR(E865="",E865="!!!",F865="NEW"),"",INDEX(B$2:B864,-1+SUMPRODUCT(MAX(ROW(E$2:E864)*(E865=E$2:E864)))))</f>
        <v/>
      </c>
      <c r="J865" s="24" t="str">
        <f ca="1">IF(OR(E865="",E865="!!!",F865="NEW"),"",COUNTBLANK(OFFSET(A$1,,,SUMPRODUCT(MAX(ROW(E$2:E865)*(E865=E$2:E865)))))-COUNTBLANK(OFFSET(A$1,,,SUMPRODUCT(MAX(ROW(E$1:E864)*(E2=E$1:E864))))))</f>
        <v/>
      </c>
      <c r="K865" s="24" t="str">
        <f>IF(OR(E865="",E865="!!!",F865="NEW"),"",INDEX(J$1:J864,SUMPRODUCT(MAX(ROW(E$1:E864)*(E865=E$1:E864)))))</f>
        <v/>
      </c>
      <c r="L865" s="25"/>
    </row>
    <row r="866" spans="1:12" x14ac:dyDescent="0.2">
      <c r="A866" t="s">
        <v>1031</v>
      </c>
      <c r="E866" s="20" t="str">
        <f t="shared" si="98"/>
        <v/>
      </c>
      <c r="F866" s="21" t="str">
        <f>IF(OR(E866="",E866="!!!"),"",IF(NOT(ISNA(VLOOKUP(E866,E$1:E865,1,FALSE()))),"OLD",IF(AND(E866&lt;&gt;"",E866&lt;&gt;"!!!"),"NEW","")))</f>
        <v/>
      </c>
      <c r="G866" s="22" t="str">
        <f>IF(OR(E866="",E866="!!!"),"",IF(OR(J866=0,AND(J866=1,K866=1),AND(J866=1,I866="SBJ"),AND(J866=1,I866=0)),"?IN_FOCUS",IF(J866&lt;=2,"?ACTIVATED",IF(J866&lt;&gt;"","?FAMILIAR",IF(F866="NEW",IF(ISNA(VLOOKUP(E866,#REF!,1,FALSE())),"?TYPE_IDENTIFIABLE","?REFERENTIAL"),"_")))))</f>
        <v/>
      </c>
      <c r="H866" s="23" t="str">
        <f t="shared" ca="1" si="99"/>
        <v/>
      </c>
      <c r="I866" s="24" t="str">
        <f>IF(OR(E866="",E866="!!!",F866="NEW"),"",INDEX(B$2:B865,-1+SUMPRODUCT(MAX(ROW(E$2:E865)*(E866=E$2:E865)))))</f>
        <v/>
      </c>
      <c r="J866" s="24" t="str">
        <f ca="1">IF(OR(E866="",E866="!!!",F866="NEW"),"",COUNTBLANK(OFFSET(A$1,,,SUMPRODUCT(MAX(ROW(E$2:E866)*(E866=E$2:E866)))))-COUNTBLANK(OFFSET(A$1,,,SUMPRODUCT(MAX(ROW(E$1:E865)*(E2=E$1:E865))))))</f>
        <v/>
      </c>
      <c r="K866" s="24" t="str">
        <f>IF(OR(E866="",E866="!!!",F866="NEW"),"",INDEX(J$1:J865,SUMPRODUCT(MAX(ROW(E$1:E865)*(E866=E$1:E865)))))</f>
        <v/>
      </c>
      <c r="L866" s="25"/>
    </row>
    <row r="867" spans="1:12" x14ac:dyDescent="0.2">
      <c r="A867" t="s">
        <v>1127</v>
      </c>
      <c r="E867" s="20" t="str">
        <f t="shared" si="98"/>
        <v/>
      </c>
      <c r="F867" s="21" t="str">
        <f>IF(OR(E867="",E867="!!!"),"",IF(NOT(ISNA(VLOOKUP(E867,E$1:E866,1,FALSE()))),"OLD",IF(AND(E867&lt;&gt;"",E867&lt;&gt;"!!!"),"NEW","")))</f>
        <v/>
      </c>
      <c r="G867" s="22" t="str">
        <f>IF(OR(E867="",E867="!!!"),"",IF(OR(J867=0,AND(J867=1,K867=1),AND(J867=1,I867="SBJ"),AND(J867=1,I867=0)),"?IN_FOCUS",IF(J867&lt;=2,"?ACTIVATED",IF(J867&lt;&gt;"","?FAMILIAR",IF(F867="NEW",IF(ISNA(VLOOKUP(E867,#REF!,1,FALSE())),"?TYPE_IDENTIFIABLE","?REFERENTIAL"),"_")))))</f>
        <v/>
      </c>
      <c r="H867" s="23" t="str">
        <f t="shared" ca="1" si="99"/>
        <v/>
      </c>
      <c r="I867" s="24" t="str">
        <f>IF(OR(E867="",E867="!!!",F867="NEW"),"",INDEX(B$2:B866,-1+SUMPRODUCT(MAX(ROW(E$2:E866)*(E867=E$2:E866)))))</f>
        <v/>
      </c>
      <c r="J867" s="24" t="str">
        <f ca="1">IF(OR(E867="",E867="!!!",F867="NEW"),"",COUNTBLANK(OFFSET(A$1,,,SUMPRODUCT(MAX(ROW(E$2:E867)*(E867=E$2:E867)))))-COUNTBLANK(OFFSET(A$1,,,SUMPRODUCT(MAX(ROW(E$1:E866)*(E2=E$1:E866))))))</f>
        <v/>
      </c>
      <c r="K867" s="24" t="str">
        <f>IF(OR(E867="",E867="!!!",F867="NEW"),"",INDEX(J$1:J866,SUMPRODUCT(MAX(ROW(E$1:E866)*(E867=E$1:E866)))))</f>
        <v/>
      </c>
      <c r="L867" s="25"/>
    </row>
    <row r="868" spans="1:12" x14ac:dyDescent="0.2">
      <c r="A868" t="s">
        <v>803</v>
      </c>
      <c r="B868" s="26" t="s">
        <v>804</v>
      </c>
      <c r="C868" s="26" t="s">
        <v>805</v>
      </c>
      <c r="D868" s="26" t="s">
        <v>806</v>
      </c>
      <c r="E868" s="20" t="s">
        <v>1747</v>
      </c>
      <c r="F868" s="21" t="s">
        <v>1753</v>
      </c>
      <c r="G868" s="22" t="s">
        <v>1823</v>
      </c>
      <c r="H868" s="23" t="str">
        <f t="shared" ca="1" si="99"/>
        <v/>
      </c>
      <c r="I868" s="24" t="str">
        <f>IF(OR(E868="",E868="!!!",F868="NEW"),"",INDEX(B$2:B867,-1+SUMPRODUCT(MAX(ROW(E$2:E867)*(E868=E$2:E867)))))</f>
        <v>SBJ</v>
      </c>
      <c r="J868" s="24">
        <f ca="1">IF(OR(E868="",E868="!!!",F868="NEW"),"",COUNTBLANK(OFFSET(A$1,,,SUMPRODUCT(MAX(ROW(E$2:E868)*(E868=E$2:E868)))))-COUNTBLANK(OFFSET(A$1,,,SUMPRODUCT(MAX(ROW(E$1:E867)*(E2=E$1:E867))))))</f>
        <v>0</v>
      </c>
      <c r="K868" s="24">
        <f ca="1">IF(OR(E868="",E868="!!!",F868="NEW"),"",INDEX(J$1:J867,SUMPRODUCT(MAX(ROW(E$1:E867)*(E868=E$1:E867)))))</f>
        <v>0</v>
      </c>
      <c r="L868" s="25"/>
    </row>
    <row r="869" spans="1:12" x14ac:dyDescent="0.2">
      <c r="A869" t="s">
        <v>1128</v>
      </c>
      <c r="E869" s="20" t="str">
        <f t="shared" si="98"/>
        <v/>
      </c>
      <c r="F869" s="21" t="str">
        <f>IF(OR(E869="",E869="!!!"),"",IF(NOT(ISNA(VLOOKUP(E869,E$1:E868,1,FALSE()))),"OLD",IF(AND(E869&lt;&gt;"",E869&lt;&gt;"!!!"),"NEW","")))</f>
        <v/>
      </c>
      <c r="G869" s="22" t="str">
        <f>IF(OR(E869="",E869="!!!"),"",IF(OR(J869=0,AND(J869=1,K869=1),AND(J869=1,I869="SBJ"),AND(J869=1,I869=0)),"?IN_FOCUS",IF(J869&lt;=2,"?ACTIVATED",IF(J869&lt;&gt;"","?FAMILIAR",IF(F869="NEW",IF(ISNA(VLOOKUP(E869,#REF!,1,FALSE())),"?TYPE_IDENTIFIABLE","?REFERENTIAL"),"_")))))</f>
        <v/>
      </c>
      <c r="H869" s="23" t="str">
        <f t="shared" ca="1" si="99"/>
        <v/>
      </c>
      <c r="I869" s="24" t="str">
        <f>IF(OR(E869="",E869="!!!",F869="NEW"),"",INDEX(B$2:B868,-1+SUMPRODUCT(MAX(ROW(E$2:E868)*(E869=E$2:E868)))))</f>
        <v/>
      </c>
      <c r="J869" s="24" t="str">
        <f ca="1">IF(OR(E869="",E869="!!!",F869="NEW"),"",COUNTBLANK(OFFSET(A$1,,,SUMPRODUCT(MAX(ROW(E$2:E869)*(E869=E$2:E869)))))-COUNTBLANK(OFFSET(A$1,,,SUMPRODUCT(MAX(ROW(E$1:E868)*(E2=E$1:E868))))))</f>
        <v/>
      </c>
      <c r="K869" s="24" t="str">
        <f>IF(OR(E869="",E869="!!!",F869="NEW"),"",INDEX(J$1:J868,SUMPRODUCT(MAX(ROW(E$1:E868)*(E869=E$1:E868)))))</f>
        <v/>
      </c>
      <c r="L869" s="25"/>
    </row>
    <row r="870" spans="1:12" x14ac:dyDescent="0.2">
      <c r="A870" t="s">
        <v>1070</v>
      </c>
      <c r="E870" s="20" t="str">
        <f t="shared" si="98"/>
        <v/>
      </c>
      <c r="F870" s="21" t="str">
        <f>IF(OR(E870="",E870="!!!"),"",IF(NOT(ISNA(VLOOKUP(E870,E$1:E869,1,FALSE()))),"OLD",IF(AND(E870&lt;&gt;"",E870&lt;&gt;"!!!"),"NEW","")))</f>
        <v/>
      </c>
      <c r="G870" s="22" t="str">
        <f>IF(OR(E870="",E870="!!!"),"",IF(OR(J870=0,AND(J870=1,K870=1),AND(J870=1,I870="SBJ"),AND(J870=1,I870=0)),"?IN_FOCUS",IF(J870&lt;=2,"?ACTIVATED",IF(J870&lt;&gt;"","?FAMILIAR",IF(F870="NEW",IF(ISNA(VLOOKUP(E870,#REF!,1,FALSE())),"?TYPE_IDENTIFIABLE","?REFERENTIAL"),"_")))))</f>
        <v/>
      </c>
      <c r="H870" s="23" t="str">
        <f t="shared" ca="1" si="99"/>
        <v/>
      </c>
      <c r="I870" s="24" t="str">
        <f>IF(OR(E870="",E870="!!!",F870="NEW"),"",INDEX(B$2:B869,-1+SUMPRODUCT(MAX(ROW(E$2:E869)*(E870=E$2:E869)))))</f>
        <v/>
      </c>
      <c r="J870" s="24" t="str">
        <f ca="1">IF(OR(E870="",E870="!!!",F870="NEW"),"",COUNTBLANK(OFFSET(A$1,,,SUMPRODUCT(MAX(ROW(E$2:E870)*(E870=E$2:E870)))))-COUNTBLANK(OFFSET(A$1,,,SUMPRODUCT(MAX(ROW(E$1:E869)*(E2=E$1:E869))))))</f>
        <v/>
      </c>
      <c r="K870" s="24" t="str">
        <f>IF(OR(E870="",E870="!!!",F870="NEW"),"",INDEX(J$1:J869,SUMPRODUCT(MAX(ROW(E$1:E869)*(E870=E$1:E869)))))</f>
        <v/>
      </c>
      <c r="L870" s="25"/>
    </row>
    <row r="871" spans="1:12" x14ac:dyDescent="0.2">
      <c r="A871" t="s">
        <v>1129</v>
      </c>
      <c r="B871" s="26" t="s">
        <v>813</v>
      </c>
      <c r="C871" s="26" t="s">
        <v>814</v>
      </c>
      <c r="E871" s="20" t="str">
        <f t="shared" si="98"/>
        <v/>
      </c>
      <c r="F871" s="21" t="str">
        <f>IF(OR(E871="",E871="!!!"),"",IF(NOT(ISNA(VLOOKUP(E871,E$1:E870,1,FALSE()))),"OLD",IF(AND(E871&lt;&gt;"",E871&lt;&gt;"!!!"),"NEW","")))</f>
        <v/>
      </c>
      <c r="G871" s="22" t="str">
        <f>IF(OR(E871="",E871="!!!"),"",IF(OR(J871=0,AND(J871=1,K871=1),AND(J871=1,I871="SBJ"),AND(J871=1,I871=0)),"?IN_FOCUS",IF(J871&lt;=2,"?ACTIVATED",IF(J871&lt;&gt;"","?FAMILIAR",IF(F871="NEW",IF(ISNA(VLOOKUP(E871,#REF!,1,FALSE())),"?TYPE_IDENTIFIABLE","?REFERENTIAL"),"_")))))</f>
        <v/>
      </c>
      <c r="H871" s="23" t="str">
        <f t="shared" ca="1" si="99"/>
        <v/>
      </c>
      <c r="I871" s="24" t="str">
        <f>IF(OR(E871="",E871="!!!",F871="NEW"),"",INDEX(B$2:B870,-1+SUMPRODUCT(MAX(ROW(E$2:E870)*(E871=E$2:E870)))))</f>
        <v/>
      </c>
      <c r="J871" s="24" t="str">
        <f ca="1">IF(OR(E871="",E871="!!!",F871="NEW"),"",COUNTBLANK(OFFSET(A$1,,,SUMPRODUCT(MAX(ROW(E$2:E871)*(E871=E$2:E871)))))-COUNTBLANK(OFFSET(A$1,,,SUMPRODUCT(MAX(ROW(E$1:E870)*(E2=E$1:E870))))))</f>
        <v/>
      </c>
      <c r="K871" s="24" t="str">
        <f>IF(OR(E871="",E871="!!!",F871="NEW"),"",INDEX(J$1:J870,SUMPRODUCT(MAX(ROW(E$1:E870)*(E871=E$1:E870)))))</f>
        <v/>
      </c>
      <c r="L871" s="25"/>
    </row>
    <row r="872" spans="1:12" x14ac:dyDescent="0.2">
      <c r="A872" t="s">
        <v>16</v>
      </c>
      <c r="E872" s="20" t="str">
        <f t="shared" si="98"/>
        <v/>
      </c>
      <c r="F872" s="21" t="str">
        <f>IF(OR(E872="",E872="!!!"),"",IF(NOT(ISNA(VLOOKUP(E872,E$1:E871,1,FALSE()))),"OLD",IF(AND(E872&lt;&gt;"",E872&lt;&gt;"!!!"),"NEW","")))</f>
        <v/>
      </c>
      <c r="G872" s="22" t="str">
        <f>IF(OR(E872="",E872="!!!"),"",IF(OR(J872=0,AND(J872=1,K872=1),AND(J872=1,I872="SBJ"),AND(J872=1,I872=0)),"?IN_FOCUS",IF(J872&lt;=2,"?ACTIVATED",IF(J872&lt;&gt;"","?FAMILIAR",IF(F872="NEW",IF(ISNA(VLOOKUP(E872,#REF!,1,FALSE())),"?TYPE_IDENTIFIABLE","?REFERENTIAL"),"_")))))</f>
        <v/>
      </c>
      <c r="H872" s="23" t="str">
        <f t="shared" ca="1" si="99"/>
        <v/>
      </c>
      <c r="I872" s="24" t="str">
        <f>IF(OR(E872="",E872="!!!",F872="NEW"),"",INDEX(B$2:B871,-1+SUMPRODUCT(MAX(ROW(E$2:E871)*(E872=E$2:E871)))))</f>
        <v/>
      </c>
      <c r="J872" s="24" t="str">
        <f ca="1">IF(OR(E872="",E872="!!!",F872="NEW"),"",COUNTBLANK(OFFSET(A$1,,,SUMPRODUCT(MAX(ROW(E$2:E872)*(E872=E$2:E872)))))-COUNTBLANK(OFFSET(A$1,,,SUMPRODUCT(MAX(ROW(E$1:E871)*(E2=E$1:E871))))))</f>
        <v/>
      </c>
      <c r="K872" s="24" t="str">
        <f>IF(OR(E872="",E872="!!!",F872="NEW"),"",INDEX(J$1:J871,SUMPRODUCT(MAX(ROW(E$1:E871)*(E872=E$1:E871)))))</f>
        <v/>
      </c>
      <c r="L872" s="25"/>
    </row>
    <row r="873" spans="1:12" x14ac:dyDescent="0.2">
      <c r="A873" t="s">
        <v>1130</v>
      </c>
      <c r="E873" s="20" t="str">
        <f t="shared" si="98"/>
        <v/>
      </c>
      <c r="F873" s="21" t="str">
        <f>IF(OR(E873="",E873="!!!"),"",IF(NOT(ISNA(VLOOKUP(E873,E$1:E872,1,FALSE()))),"OLD",IF(AND(E873&lt;&gt;"",E873&lt;&gt;"!!!"),"NEW","")))</f>
        <v/>
      </c>
      <c r="G873" s="22" t="str">
        <f>IF(OR(E873="",E873="!!!"),"",IF(OR(J873=0,AND(J873=1,K873=1),AND(J873=1,I873="SBJ"),AND(J873=1,I873=0)),"?IN_FOCUS",IF(J873&lt;=2,"?ACTIVATED",IF(J873&lt;&gt;"","?FAMILIAR",IF(F873="NEW",IF(ISNA(VLOOKUP(E873,#REF!,1,FALSE())),"?TYPE_IDENTIFIABLE","?REFERENTIAL"),"_")))))</f>
        <v/>
      </c>
      <c r="H873" s="23" t="str">
        <f t="shared" ca="1" si="99"/>
        <v/>
      </c>
      <c r="I873" s="24" t="str">
        <f>IF(OR(E873="",E873="!!!",F873="NEW"),"",INDEX(B$2:B872,-1+SUMPRODUCT(MAX(ROW(E$2:E872)*(E873=E$2:E872)))))</f>
        <v/>
      </c>
      <c r="J873" s="24" t="str">
        <f ca="1">IF(OR(E873="",E873="!!!",F873="NEW"),"",COUNTBLANK(OFFSET(A$1,,,SUMPRODUCT(MAX(ROW(E$2:E873)*(E873=E$2:E873)))))-COUNTBLANK(OFFSET(A$1,,,SUMPRODUCT(MAX(ROW(E$1:E872)*(E2=E$1:E872))))))</f>
        <v/>
      </c>
      <c r="K873" s="24" t="str">
        <f>IF(OR(E873="",E873="!!!",F873="NEW"),"",INDEX(J$1:J872,SUMPRODUCT(MAX(ROW(E$1:E872)*(E873=E$1:E872)))))</f>
        <v/>
      </c>
      <c r="L873" s="25"/>
    </row>
    <row r="874" spans="1:12" x14ac:dyDescent="0.2">
      <c r="A874" t="s">
        <v>802</v>
      </c>
      <c r="E874" s="20" t="str">
        <f t="shared" si="98"/>
        <v/>
      </c>
      <c r="F874" s="21" t="str">
        <f>IF(OR(E874="",E874="!!!"),"",IF(NOT(ISNA(VLOOKUP(E874,E$1:E873,1,FALSE()))),"OLD",IF(AND(E874&lt;&gt;"",E874&lt;&gt;"!!!"),"NEW","")))</f>
        <v/>
      </c>
      <c r="G874" s="22" t="str">
        <f>IF(OR(E874="",E874="!!!"),"",IF(OR(J874=0,AND(J874=1,K874=1),AND(J874=1,I874="SBJ"),AND(J874=1,I874=0)),"?IN_FOCUS",IF(J874&lt;=2,"?ACTIVATED",IF(J874&lt;&gt;"","?FAMILIAR",IF(F874="NEW",IF(ISNA(VLOOKUP(E874,#REF!,1,FALSE())),"?TYPE_IDENTIFIABLE","?REFERENTIAL"),"_")))))</f>
        <v/>
      </c>
      <c r="H874" s="23" t="str">
        <f t="shared" ca="1" si="99"/>
        <v/>
      </c>
      <c r="I874" s="24" t="str">
        <f>IF(OR(E874="",E874="!!!",F874="NEW"),"",INDEX(B$2:B873,-1+SUMPRODUCT(MAX(ROW(E$2:E873)*(E874=E$2:E873)))))</f>
        <v/>
      </c>
      <c r="J874" s="24" t="str">
        <f ca="1">IF(OR(E874="",E874="!!!",F874="NEW"),"",COUNTBLANK(OFFSET(A$1,,,SUMPRODUCT(MAX(ROW(E$2:E874)*(E874=E$2:E874)))))-COUNTBLANK(OFFSET(A$1,,,SUMPRODUCT(MAX(ROW(E$1:E873)*(E2=E$1:E873))))))</f>
        <v/>
      </c>
      <c r="K874" s="24" t="str">
        <f>IF(OR(E874="",E874="!!!",F874="NEW"),"",INDEX(J$1:J873,SUMPRODUCT(MAX(ROW(E$1:E873)*(E874=E$1:E873)))))</f>
        <v/>
      </c>
      <c r="L874" s="25"/>
    </row>
    <row r="875" spans="1:12" x14ac:dyDescent="0.2">
      <c r="A875" t="s">
        <v>1131</v>
      </c>
      <c r="E875" s="20" t="str">
        <f t="shared" si="98"/>
        <v/>
      </c>
      <c r="F875" s="21" t="str">
        <f>IF(OR(E875="",E875="!!!"),"",IF(NOT(ISNA(VLOOKUP(E875,E$1:E874,1,FALSE()))),"OLD",IF(AND(E875&lt;&gt;"",E875&lt;&gt;"!!!"),"NEW","")))</f>
        <v/>
      </c>
      <c r="G875" s="22" t="str">
        <f>IF(OR(E875="",E875="!!!"),"",IF(OR(J875=0,AND(J875=1,K875=1),AND(J875=1,I875="SBJ"),AND(J875=1,I875=0)),"?IN_FOCUS",IF(J875&lt;=2,"?ACTIVATED",IF(J875&lt;&gt;"","?FAMILIAR",IF(F875="NEW",IF(ISNA(VLOOKUP(E875,#REF!,1,FALSE())),"?TYPE_IDENTIFIABLE","?REFERENTIAL"),"_")))))</f>
        <v/>
      </c>
      <c r="H875" s="23" t="str">
        <f t="shared" ca="1" si="99"/>
        <v/>
      </c>
      <c r="I875" s="24" t="str">
        <f>IF(OR(E875="",E875="!!!",F875="NEW"),"",INDEX(B$2:B874,-1+SUMPRODUCT(MAX(ROW(E$2:E874)*(E875=E$2:E874)))))</f>
        <v/>
      </c>
      <c r="J875" s="24" t="str">
        <f ca="1">IF(OR(E875="",E875="!!!",F875="NEW"),"",COUNTBLANK(OFFSET(A$1,,,SUMPRODUCT(MAX(ROW(E$2:E875)*(E875=E$2:E875)))))-COUNTBLANK(OFFSET(A$1,,,SUMPRODUCT(MAX(ROW(E$1:E874)*(E2=E$1:E874))))))</f>
        <v/>
      </c>
      <c r="K875" s="24" t="str">
        <f>IF(OR(E875="",E875="!!!",F875="NEW"),"",INDEX(J$1:J874,SUMPRODUCT(MAX(ROW(E$1:E874)*(E875=E$1:E874)))))</f>
        <v/>
      </c>
      <c r="L875" s="25"/>
    </row>
    <row r="876" spans="1:12" x14ac:dyDescent="0.2">
      <c r="A876" t="s">
        <v>16</v>
      </c>
      <c r="E876" s="20" t="str">
        <f t="shared" si="98"/>
        <v/>
      </c>
      <c r="F876" s="21" t="str">
        <f>IF(OR(E876="",E876="!!!"),"",IF(NOT(ISNA(VLOOKUP(E876,E$1:E875,1,FALSE()))),"OLD",IF(AND(E876&lt;&gt;"",E876&lt;&gt;"!!!"),"NEW","")))</f>
        <v/>
      </c>
      <c r="G876" s="22" t="str">
        <f>IF(OR(E876="",E876="!!!"),"",IF(OR(J876=0,AND(J876=1,K876=1),AND(J876=1,I876="SBJ"),AND(J876=1,I876=0)),"?IN_FOCUS",IF(J876&lt;=2,"?ACTIVATED",IF(J876&lt;&gt;"","?FAMILIAR",IF(F876="NEW",IF(ISNA(VLOOKUP(E876,#REF!,1,FALSE())),"?TYPE_IDENTIFIABLE","?REFERENTIAL"),"_")))))</f>
        <v/>
      </c>
      <c r="H876" s="23" t="str">
        <f t="shared" ca="1" si="99"/>
        <v/>
      </c>
      <c r="I876" s="24" t="str">
        <f>IF(OR(E876="",E876="!!!",F876="NEW"),"",INDEX(B$2:B875,-1+SUMPRODUCT(MAX(ROW(E$2:E875)*(E876=E$2:E875)))))</f>
        <v/>
      </c>
      <c r="J876" s="24" t="str">
        <f ca="1">IF(OR(E876="",E876="!!!",F876="NEW"),"",COUNTBLANK(OFFSET(A$1,,,SUMPRODUCT(MAX(ROW(E$2:E876)*(E876=E$2:E876)))))-COUNTBLANK(OFFSET(A$1,,,SUMPRODUCT(MAX(ROW(E$1:E875)*(E2=E$1:E875))))))</f>
        <v/>
      </c>
      <c r="K876" s="24" t="str">
        <f>IF(OR(E876="",E876="!!!",F876="NEW"),"",INDEX(J$1:J875,SUMPRODUCT(MAX(ROW(E$1:E875)*(E876=E$1:E875)))))</f>
        <v/>
      </c>
      <c r="L876" s="25"/>
    </row>
    <row r="877" spans="1:12" x14ac:dyDescent="0.2">
      <c r="A877" t="s">
        <v>825</v>
      </c>
      <c r="E877" s="20" t="str">
        <f t="shared" si="98"/>
        <v/>
      </c>
      <c r="F877" s="21" t="str">
        <f>IF(OR(E877="",E877="!!!"),"",IF(NOT(ISNA(VLOOKUP(E877,E$1:E876,1,FALSE()))),"OLD",IF(AND(E877&lt;&gt;"",E877&lt;&gt;"!!!"),"NEW","")))</f>
        <v/>
      </c>
      <c r="G877" s="22" t="str">
        <f>IF(OR(E877="",E877="!!!"),"",IF(OR(J877=0,AND(J877=1,K877=1),AND(J877=1,I877="SBJ"),AND(J877=1,I877=0)),"?IN_FOCUS",IF(J877&lt;=2,"?ACTIVATED",IF(J877&lt;&gt;"","?FAMILIAR",IF(F877="NEW",IF(ISNA(VLOOKUP(E877,#REF!,1,FALSE())),"?TYPE_IDENTIFIABLE","?REFERENTIAL"),"_")))))</f>
        <v/>
      </c>
      <c r="H877" s="23" t="str">
        <f t="shared" ca="1" si="99"/>
        <v/>
      </c>
      <c r="I877" s="24" t="str">
        <f>IF(OR(E877="",E877="!!!",F877="NEW"),"",INDEX(B$2:B876,-1+SUMPRODUCT(MAX(ROW(E$2:E876)*(E877=E$2:E876)))))</f>
        <v/>
      </c>
      <c r="J877" s="24" t="str">
        <f ca="1">IF(OR(E877="",E877="!!!",F877="NEW"),"",COUNTBLANK(OFFSET(A$1,,,SUMPRODUCT(MAX(ROW(E$2:E877)*(E877=E$2:E877)))))-COUNTBLANK(OFFSET(A$1,,,SUMPRODUCT(MAX(ROW(E$1:E876)*(E2=E$1:E876))))))</f>
        <v/>
      </c>
      <c r="K877" s="24" t="str">
        <f>IF(OR(E877="",E877="!!!",F877="NEW"),"",INDEX(J$1:J876,SUMPRODUCT(MAX(ROW(E$1:E876)*(E877=E$1:E876)))))</f>
        <v/>
      </c>
      <c r="L877" s="25"/>
    </row>
    <row r="878" spans="1:12" x14ac:dyDescent="0.2">
      <c r="A878" t="s">
        <v>1132</v>
      </c>
      <c r="E878" s="20" t="str">
        <f t="shared" si="98"/>
        <v/>
      </c>
      <c r="F878" s="21" t="str">
        <f>IF(OR(E878="",E878="!!!"),"",IF(NOT(ISNA(VLOOKUP(E878,E$1:E877,1,FALSE()))),"OLD",IF(AND(E878&lt;&gt;"",E878&lt;&gt;"!!!"),"NEW","")))</f>
        <v/>
      </c>
      <c r="G878" s="22" t="str">
        <f>IF(OR(E878="",E878="!!!"),"",IF(OR(J878=0,AND(J878=1,K878=1),AND(J878=1,I878="SBJ"),AND(J878=1,I878=0)),"?IN_FOCUS",IF(J878&lt;=2,"?ACTIVATED",IF(J878&lt;&gt;"","?FAMILIAR",IF(F878="NEW",IF(ISNA(VLOOKUP(E878,#REF!,1,FALSE())),"?TYPE_IDENTIFIABLE","?REFERENTIAL"),"_")))))</f>
        <v/>
      </c>
      <c r="H878" s="23" t="str">
        <f t="shared" ca="1" si="99"/>
        <v/>
      </c>
      <c r="I878" s="24" t="str">
        <f>IF(OR(E878="",E878="!!!",F878="NEW"),"",INDEX(B$2:B877,-1+SUMPRODUCT(MAX(ROW(E$2:E877)*(E878=E$2:E877)))))</f>
        <v/>
      </c>
      <c r="J878" s="24" t="str">
        <f ca="1">IF(OR(E878="",E878="!!!",F878="NEW"),"",COUNTBLANK(OFFSET(A$1,,,SUMPRODUCT(MAX(ROW(E$2:E878)*(E878=E$2:E878)))))-COUNTBLANK(OFFSET(A$1,,,SUMPRODUCT(MAX(ROW(E$1:E877)*(E2=E$1:E877))))))</f>
        <v/>
      </c>
      <c r="K878" s="24" t="str">
        <f>IF(OR(E878="",E878="!!!",F878="NEW"),"",INDEX(J$1:J877,SUMPRODUCT(MAX(ROW(E$1:E877)*(E878=E$1:E877)))))</f>
        <v/>
      </c>
      <c r="L878" s="25"/>
    </row>
    <row r="879" spans="1:12" x14ac:dyDescent="0.2">
      <c r="A879" t="s">
        <v>1133</v>
      </c>
      <c r="B879" s="26" t="s">
        <v>819</v>
      </c>
      <c r="C879" s="26" t="s">
        <v>884</v>
      </c>
      <c r="E879" s="20" t="str">
        <f t="shared" si="98"/>
        <v/>
      </c>
      <c r="F879" s="21" t="str">
        <f>IF(OR(E879="",E879="!!!"),"",IF(NOT(ISNA(VLOOKUP(E879,E$1:E878,1,FALSE()))),"OLD",IF(AND(E879&lt;&gt;"",E879&lt;&gt;"!!!"),"NEW","")))</f>
        <v/>
      </c>
      <c r="G879" s="22" t="str">
        <f>IF(OR(E879="",E879="!!!"),"",IF(OR(J879=0,AND(J879=1,K879=1),AND(J879=1,I879="SBJ"),AND(J879=1,I879=0)),"?IN_FOCUS",IF(J879&lt;=2,"?ACTIVATED",IF(J879&lt;&gt;"","?FAMILIAR",IF(F879="NEW",IF(ISNA(VLOOKUP(E879,#REF!,1,FALSE())),"?TYPE_IDENTIFIABLE","?REFERENTIAL"),"_")))))</f>
        <v/>
      </c>
      <c r="H879" s="23" t="str">
        <f t="shared" ca="1" si="99"/>
        <v/>
      </c>
      <c r="I879" s="24" t="str">
        <f>IF(OR(E879="",E879="!!!",F879="NEW"),"",INDEX(B$2:B878,-1+SUMPRODUCT(MAX(ROW(E$2:E878)*(E879=E$2:E878)))))</f>
        <v/>
      </c>
      <c r="J879" s="24" t="str">
        <f ca="1">IF(OR(E879="",E879="!!!",F879="NEW"),"",COUNTBLANK(OFFSET(A$1,,,SUMPRODUCT(MAX(ROW(E$2:E879)*(E879=E$2:E879)))))-COUNTBLANK(OFFSET(A$1,,,SUMPRODUCT(MAX(ROW(E$1:E878)*(E2=E$1:E878))))))</f>
        <v/>
      </c>
      <c r="K879" s="24" t="str">
        <f>IF(OR(E879="",E879="!!!",F879="NEW"),"",INDEX(J$1:J878,SUMPRODUCT(MAX(ROW(E$1:E878)*(E879=E$1:E878)))))</f>
        <v/>
      </c>
      <c r="L879" s="25"/>
    </row>
    <row r="880" spans="1:12" x14ac:dyDescent="0.2">
      <c r="A880" t="s">
        <v>821</v>
      </c>
      <c r="E880" s="20" t="str">
        <f t="shared" si="98"/>
        <v/>
      </c>
      <c r="F880" s="21" t="str">
        <f>IF(OR(E880="",E880="!!!"),"",IF(NOT(ISNA(VLOOKUP(E880,E$1:E879,1,FALSE()))),"OLD",IF(AND(E880&lt;&gt;"",E880&lt;&gt;"!!!"),"NEW","")))</f>
        <v/>
      </c>
      <c r="G880" s="22" t="str">
        <f>IF(OR(E880="",E880="!!!"),"",IF(OR(J880=0,AND(J880=1,K880=1),AND(J880=1,I880="SBJ"),AND(J880=1,I880=0)),"?IN_FOCUS",IF(J880&lt;=2,"?ACTIVATED",IF(J880&lt;&gt;"","?FAMILIAR",IF(F880="NEW",IF(ISNA(VLOOKUP(E880,#REF!,1,FALSE())),"?TYPE_IDENTIFIABLE","?REFERENTIAL"),"_")))))</f>
        <v/>
      </c>
      <c r="H880" s="23" t="str">
        <f t="shared" ca="1" si="99"/>
        <v/>
      </c>
      <c r="I880" s="24" t="str">
        <f>IF(OR(E880="",E880="!!!",F880="NEW"),"",INDEX(B$2:B879,-1+SUMPRODUCT(MAX(ROW(E$2:E879)*(E880=E$2:E879)))))</f>
        <v/>
      </c>
      <c r="J880" s="24" t="str">
        <f ca="1">IF(OR(E880="",E880="!!!",F880="NEW"),"",COUNTBLANK(OFFSET(A$1,,,SUMPRODUCT(MAX(ROW(E$2:E880)*(E880=E$2:E880)))))-COUNTBLANK(OFFSET(A$1,,,SUMPRODUCT(MAX(ROW(E$1:E879)*(E2=E$1:E879))))))</f>
        <v/>
      </c>
      <c r="K880" s="24" t="str">
        <f>IF(OR(E880="",E880="!!!",F880="NEW"),"",INDEX(J$1:J879,SUMPRODUCT(MAX(ROW(E$1:E879)*(E880=E$1:E879)))))</f>
        <v/>
      </c>
      <c r="L880" s="25"/>
    </row>
    <row r="882" spans="1:12" x14ac:dyDescent="0.2">
      <c r="A882" t="s">
        <v>1134</v>
      </c>
    </row>
    <row r="883" spans="1:12" x14ac:dyDescent="0.2">
      <c r="A883" t="s">
        <v>803</v>
      </c>
      <c r="B883" s="26" t="s">
        <v>804</v>
      </c>
      <c r="C883" s="26" t="s">
        <v>805</v>
      </c>
      <c r="D883" s="26" t="s">
        <v>806</v>
      </c>
      <c r="E883" s="20" t="s">
        <v>1747</v>
      </c>
      <c r="F883" s="21" t="s">
        <v>1753</v>
      </c>
      <c r="G883" s="22" t="s">
        <v>1823</v>
      </c>
      <c r="H883" s="23" t="str">
        <f ca="1">IF(J883&lt;&gt;1,"",IF(I883="SBJ","CB","?"))</f>
        <v/>
      </c>
      <c r="I883" s="24" t="str">
        <f>IF(OR(E883="",E883="!!!",F883="NEW"),"",INDEX(B$2:B882,-1+SUMPRODUCT(MAX(ROW(E$2:E882)*(E883=E$2:E882)))))</f>
        <v>SBJ</v>
      </c>
      <c r="J883" s="24">
        <f ca="1">IF(OR(E883="",E883="!!!",F883="NEW"),"",COUNTBLANK(OFFSET(A$1,,,SUMPRODUCT(MAX(ROW(E$2:E883)*(E883=E$2:E883)))))-COUNTBLANK(OFFSET(A$1,,,SUMPRODUCT(MAX(ROW(E$1:E882)*(E2=E$1:E882))))))</f>
        <v>0</v>
      </c>
      <c r="K883" s="24">
        <f ca="1">IF(OR(E883="",E883="!!!",F883="NEW"),"",INDEX(J$1:J882,SUMPRODUCT(MAX(ROW(E$1:E882)*(E883=E$1:E882)))))</f>
        <v>0</v>
      </c>
      <c r="L883" s="25"/>
    </row>
    <row r="884" spans="1:12" x14ac:dyDescent="0.2">
      <c r="A884" t="s">
        <v>1135</v>
      </c>
      <c r="E884" s="20" t="str">
        <f>IF(D884="?OLD","!!!","")</f>
        <v/>
      </c>
      <c r="F884" s="21" t="str">
        <f>IF(OR(E884="",E884="!!!"),"",IF(NOT(ISNA(VLOOKUP(E884,E$1:E883,1,FALSE()))),"OLD",IF(AND(E884&lt;&gt;"",E884&lt;&gt;"!!!"),"NEW","")))</f>
        <v/>
      </c>
      <c r="G884" s="22" t="str">
        <f>IF(OR(E884="",E884="!!!"),"",IF(OR(J884=0,AND(J884=1,K884=1),AND(J884=1,I884="SBJ"),AND(J884=1,I884=0)),"?IN_FOCUS",IF(J884&lt;=2,"?ACTIVATED",IF(J884&lt;&gt;"","?FAMILIAR",IF(F884="NEW",IF(ISNA(VLOOKUP(E884,#REF!,1,FALSE())),"?TYPE_IDENTIFIABLE","?REFERENTIAL"),"_")))))</f>
        <v/>
      </c>
      <c r="H884" s="23" t="str">
        <f ca="1">IF(J884&lt;&gt;1,"",IF(I884="SBJ","CB","?"))</f>
        <v/>
      </c>
      <c r="I884" s="24" t="str">
        <f>IF(OR(E884="",E884="!!!",F884="NEW"),"",INDEX(B$2:B883,-1+SUMPRODUCT(MAX(ROW(E$2:E883)*(E884=E$2:E883)))))</f>
        <v/>
      </c>
      <c r="J884" s="24" t="str">
        <f ca="1">IF(OR(E884="",E884="!!!",F884="NEW"),"",COUNTBLANK(OFFSET(A$1,,,SUMPRODUCT(MAX(ROW(E$2:E884)*(E884=E$2:E884)))))-COUNTBLANK(OFFSET(A$1,,,SUMPRODUCT(MAX(ROW(E$1:E883)*(E2=E$1:E883))))))</f>
        <v/>
      </c>
      <c r="K884" s="24" t="str">
        <f>IF(OR(E884="",E884="!!!",F884="NEW"),"",INDEX(J$1:J883,SUMPRODUCT(MAX(ROW(E$1:E883)*(E884=E$1:E883)))))</f>
        <v/>
      </c>
      <c r="L884" s="25"/>
    </row>
    <row r="885" spans="1:12" x14ac:dyDescent="0.2">
      <c r="A885" t="s">
        <v>1136</v>
      </c>
      <c r="E885" s="20" t="str">
        <f>IF(D885="?OLD","!!!","")</f>
        <v/>
      </c>
      <c r="F885" s="21" t="str">
        <f>IF(OR(E885="",E885="!!!"),"",IF(NOT(ISNA(VLOOKUP(E885,E$1:E884,1,FALSE()))),"OLD",IF(AND(E885&lt;&gt;"",E885&lt;&gt;"!!!"),"NEW","")))</f>
        <v/>
      </c>
      <c r="G885" s="22" t="str">
        <f>IF(OR(E885="",E885="!!!"),"",IF(OR(J885=0,AND(J885=1,K885=1),AND(J885=1,I885="SBJ"),AND(J885=1,I885=0)),"?IN_FOCUS",IF(J885&lt;=2,"?ACTIVATED",IF(J885&lt;&gt;"","?FAMILIAR",IF(F885="NEW",IF(ISNA(VLOOKUP(E885,#REF!,1,FALSE())),"?TYPE_IDENTIFIABLE","?REFERENTIAL"),"_")))))</f>
        <v/>
      </c>
      <c r="H885" s="23" t="str">
        <f ca="1">IF(J885&lt;&gt;1,"",IF(I885="SBJ","CB","?"))</f>
        <v/>
      </c>
      <c r="I885" s="24" t="str">
        <f>IF(OR(E885="",E885="!!!",F885="NEW"),"",INDEX(B$2:B884,-1+SUMPRODUCT(MAX(ROW(E$2:E884)*(E885=E$2:E884)))))</f>
        <v/>
      </c>
      <c r="J885" s="24" t="str">
        <f ca="1">IF(OR(E885="",E885="!!!",F885="NEW"),"",COUNTBLANK(OFFSET(A$1,,,SUMPRODUCT(MAX(ROW(E$2:E885)*(E885=E$2:E885)))))-COUNTBLANK(OFFSET(A$1,,,SUMPRODUCT(MAX(ROW(E$1:E884)*(E2=E$1:E884))))))</f>
        <v/>
      </c>
      <c r="K885" s="24" t="str">
        <f>IF(OR(E885="",E885="!!!",F885="NEW"),"",INDEX(J$1:J884,SUMPRODUCT(MAX(ROW(E$1:E884)*(E885=E$1:E884)))))</f>
        <v/>
      </c>
      <c r="L885" s="25"/>
    </row>
    <row r="886" spans="1:12" x14ac:dyDescent="0.2">
      <c r="A886" t="s">
        <v>821</v>
      </c>
      <c r="E886" s="20" t="str">
        <f>IF(D886="?OLD","!!!","")</f>
        <v/>
      </c>
      <c r="F886" s="21" t="str">
        <f>IF(OR(E886="",E886="!!!"),"",IF(NOT(ISNA(VLOOKUP(E886,E$1:E885,1,FALSE()))),"OLD",IF(AND(E886&lt;&gt;"",E886&lt;&gt;"!!!"),"NEW","")))</f>
        <v/>
      </c>
      <c r="G886" s="22" t="str">
        <f>IF(OR(E886="",E886="!!!"),"",IF(OR(J886=0,AND(J886=1,K886=1),AND(J886=1,I886="SBJ"),AND(J886=1,I886=0)),"?IN_FOCUS",IF(J886&lt;=2,"?ACTIVATED",IF(J886&lt;&gt;"","?FAMILIAR",IF(F886="NEW",IF(ISNA(VLOOKUP(E886,#REF!,1,FALSE())),"?TYPE_IDENTIFIABLE","?REFERENTIAL"),"_")))))</f>
        <v/>
      </c>
      <c r="H886" s="23" t="str">
        <f ca="1">IF(J886&lt;&gt;1,"",IF(I886="SBJ","CB","?"))</f>
        <v/>
      </c>
      <c r="I886" s="24" t="str">
        <f>IF(OR(E886="",E886="!!!",F886="NEW"),"",INDEX(B$2:B885,-1+SUMPRODUCT(MAX(ROW(E$2:E885)*(E886=E$2:E885)))))</f>
        <v/>
      </c>
      <c r="J886" s="24" t="str">
        <f ca="1">IF(OR(E886="",E886="!!!",F886="NEW"),"",COUNTBLANK(OFFSET(A$1,,,SUMPRODUCT(MAX(ROW(E$2:E886)*(E886=E$2:E886)))))-COUNTBLANK(OFFSET(A$1,,,SUMPRODUCT(MAX(ROW(E$1:E885)*(E2=E$1:E885))))))</f>
        <v/>
      </c>
      <c r="K886" s="24" t="str">
        <f>IF(OR(E886="",E886="!!!",F886="NEW"),"",INDEX(J$1:J885,SUMPRODUCT(MAX(ROW(E$1:E885)*(E886=E$1:E885)))))</f>
        <v/>
      </c>
      <c r="L886" s="25"/>
    </row>
    <row r="888" spans="1:12" x14ac:dyDescent="0.2">
      <c r="A888" t="s">
        <v>1137</v>
      </c>
    </row>
    <row r="889" spans="1:12" x14ac:dyDescent="0.2">
      <c r="A889" t="s">
        <v>1126</v>
      </c>
      <c r="E889" s="20" t="str">
        <f t="shared" ref="E889:E916" si="100">IF(D889="?OLD","!!!","")</f>
        <v/>
      </c>
      <c r="F889" s="21" t="str">
        <f>IF(OR(E889="",E889="!!!"),"",IF(NOT(ISNA(VLOOKUP(E889,E$1:E888,1,FALSE()))),"OLD",IF(AND(E889&lt;&gt;"",E889&lt;&gt;"!!!"),"NEW","")))</f>
        <v/>
      </c>
      <c r="G889" s="22" t="str">
        <f>IF(OR(E889="",E889="!!!"),"",IF(OR(J889=0,AND(J889=1,K889=1),AND(J889=1,I889="SBJ"),AND(J889=1,I889=0)),"?IN_FOCUS",IF(J889&lt;=2,"?ACTIVATED",IF(J889&lt;&gt;"","?FAMILIAR",IF(F889="NEW",IF(ISNA(VLOOKUP(E889,#REF!,1,FALSE())),"?TYPE_IDENTIFIABLE","?REFERENTIAL"),"_")))))</f>
        <v/>
      </c>
      <c r="H889" s="23" t="str">
        <f t="shared" ref="H889:H916" ca="1" si="101">IF(J889&lt;&gt;1,"",IF(I889="SBJ","CB","?"))</f>
        <v/>
      </c>
      <c r="I889" s="24" t="str">
        <f>IF(OR(E889="",E889="!!!",F889="NEW"),"",INDEX(B$2:B888,-1+SUMPRODUCT(MAX(ROW(E$2:E888)*(E889=E$2:E888)))))</f>
        <v/>
      </c>
      <c r="J889" s="24" t="str">
        <f ca="1">IF(OR(E889="",E889="!!!",F889="NEW"),"",COUNTBLANK(OFFSET(A$1,,,SUMPRODUCT(MAX(ROW(E$2:E889)*(E889=E$2:E889)))))-COUNTBLANK(OFFSET(A$1,,,SUMPRODUCT(MAX(ROW(E$1:E888)*(E2=E$1:E888))))))</f>
        <v/>
      </c>
      <c r="K889" s="24" t="str">
        <f>IF(OR(E889="",E889="!!!",F889="NEW"),"",INDEX(J$1:J888,SUMPRODUCT(MAX(ROW(E$1:E888)*(E889=E$1:E888)))))</f>
        <v/>
      </c>
      <c r="L889" s="25"/>
    </row>
    <row r="890" spans="1:12" x14ac:dyDescent="0.2">
      <c r="A890" t="s">
        <v>802</v>
      </c>
      <c r="E890" s="20" t="str">
        <f t="shared" si="100"/>
        <v/>
      </c>
      <c r="F890" s="21" t="str">
        <f>IF(OR(E890="",E890="!!!"),"",IF(NOT(ISNA(VLOOKUP(E890,E$1:E889,1,FALSE()))),"OLD",IF(AND(E890&lt;&gt;"",E890&lt;&gt;"!!!"),"NEW","")))</f>
        <v/>
      </c>
      <c r="G890" s="22" t="str">
        <f>IF(OR(E890="",E890="!!!"),"",IF(OR(J890=0,AND(J890=1,K890=1),AND(J890=1,I890="SBJ"),AND(J890=1,I890=0)),"?IN_FOCUS",IF(J890&lt;=2,"?ACTIVATED",IF(J890&lt;&gt;"","?FAMILIAR",IF(F890="NEW",IF(ISNA(VLOOKUP(E890,#REF!,1,FALSE())),"?TYPE_IDENTIFIABLE","?REFERENTIAL"),"_")))))</f>
        <v/>
      </c>
      <c r="H890" s="23" t="str">
        <f t="shared" ca="1" si="101"/>
        <v/>
      </c>
      <c r="I890" s="24" t="str">
        <f>IF(OR(E890="",E890="!!!",F890="NEW"),"",INDEX(B$2:B889,-1+SUMPRODUCT(MAX(ROW(E$2:E889)*(E890=E$2:E889)))))</f>
        <v/>
      </c>
      <c r="J890" s="24" t="str">
        <f ca="1">IF(OR(E890="",E890="!!!",F890="NEW"),"",COUNTBLANK(OFFSET(A$1,,,SUMPRODUCT(MAX(ROW(E$2:E890)*(E890=E$2:E890)))))-COUNTBLANK(OFFSET(A$1,,,SUMPRODUCT(MAX(ROW(E$1:E889)*(E2=E$1:E889))))))</f>
        <v/>
      </c>
      <c r="K890" s="24" t="str">
        <f>IF(OR(E890="",E890="!!!",F890="NEW"),"",INDEX(J$1:J889,SUMPRODUCT(MAX(ROW(E$1:E889)*(E890=E$1:E889)))))</f>
        <v/>
      </c>
      <c r="L890" s="25"/>
    </row>
    <row r="891" spans="1:12" x14ac:dyDescent="0.2">
      <c r="A891" t="s">
        <v>803</v>
      </c>
      <c r="B891" s="26" t="s">
        <v>804</v>
      </c>
      <c r="C891" s="26" t="s">
        <v>805</v>
      </c>
      <c r="D891" s="26" t="s">
        <v>806</v>
      </c>
      <c r="E891" s="20" t="s">
        <v>1747</v>
      </c>
      <c r="F891" s="21" t="s">
        <v>1753</v>
      </c>
      <c r="G891" s="22" t="s">
        <v>1823</v>
      </c>
      <c r="H891" s="23" t="str">
        <f t="shared" ca="1" si="101"/>
        <v/>
      </c>
      <c r="I891" s="24" t="str">
        <f>IF(OR(E891="",E891="!!!",F891="NEW"),"",INDEX(B$2:B890,-1+SUMPRODUCT(MAX(ROW(E$2:E890)*(E891=E$2:E890)))))</f>
        <v>SBJ</v>
      </c>
      <c r="J891" s="24">
        <f ca="1">IF(OR(E891="",E891="!!!",F891="NEW"),"",COUNTBLANK(OFFSET(A$1,,,SUMPRODUCT(MAX(ROW(E$2:E891)*(E891=E$2:E891)))))-COUNTBLANK(OFFSET(A$1,,,SUMPRODUCT(MAX(ROW(E$1:E890)*(E2=E$1:E890))))))</f>
        <v>0</v>
      </c>
      <c r="K891" s="24">
        <f ca="1">IF(OR(E891="",E891="!!!",F891="NEW"),"",INDEX(J$1:J890,SUMPRODUCT(MAX(ROW(E$1:E890)*(E891=E$1:E890)))))</f>
        <v>0</v>
      </c>
      <c r="L891" s="25"/>
    </row>
    <row r="892" spans="1:12" x14ac:dyDescent="0.2">
      <c r="A892" t="s">
        <v>1135</v>
      </c>
      <c r="E892" s="20" t="str">
        <f t="shared" si="100"/>
        <v/>
      </c>
      <c r="F892" s="21" t="str">
        <f>IF(OR(E892="",E892="!!!"),"",IF(NOT(ISNA(VLOOKUP(E892,E$1:E891,1,FALSE()))),"OLD",IF(AND(E892&lt;&gt;"",E892&lt;&gt;"!!!"),"NEW","")))</f>
        <v/>
      </c>
      <c r="G892" s="22" t="str">
        <f>IF(OR(E892="",E892="!!!"),"",IF(OR(J892=0,AND(J892=1,K892=1),AND(J892=1,I892="SBJ"),AND(J892=1,I892=0)),"?IN_FOCUS",IF(J892&lt;=2,"?ACTIVATED",IF(J892&lt;&gt;"","?FAMILIAR",IF(F892="NEW",IF(ISNA(VLOOKUP(E892,#REF!,1,FALSE())),"?TYPE_IDENTIFIABLE","?REFERENTIAL"),"_")))))</f>
        <v/>
      </c>
      <c r="H892" s="23" t="str">
        <f t="shared" ca="1" si="101"/>
        <v/>
      </c>
      <c r="I892" s="24" t="str">
        <f>IF(OR(E892="",E892="!!!",F892="NEW"),"",INDEX(B$2:B891,-1+SUMPRODUCT(MAX(ROW(E$2:E891)*(E892=E$2:E891)))))</f>
        <v/>
      </c>
      <c r="J892" s="24" t="str">
        <f ca="1">IF(OR(E892="",E892="!!!",F892="NEW"),"",COUNTBLANK(OFFSET(A$1,,,SUMPRODUCT(MAX(ROW(E$2:E892)*(E892=E$2:E892)))))-COUNTBLANK(OFFSET(A$1,,,SUMPRODUCT(MAX(ROW(E$1:E891)*(E2=E$1:E891))))))</f>
        <v/>
      </c>
      <c r="K892" s="24" t="str">
        <f>IF(OR(E892="",E892="!!!",F892="NEW"),"",INDEX(J$1:J891,SUMPRODUCT(MAX(ROW(E$1:E891)*(E892=E$1:E891)))))</f>
        <v/>
      </c>
      <c r="L892" s="25"/>
    </row>
    <row r="893" spans="1:12" x14ac:dyDescent="0.2">
      <c r="A893" t="s">
        <v>1124</v>
      </c>
      <c r="E893" s="20" t="str">
        <f t="shared" si="100"/>
        <v/>
      </c>
      <c r="F893" s="21" t="str">
        <f>IF(OR(E893="",E893="!!!"),"",IF(NOT(ISNA(VLOOKUP(E893,E$1:E892,1,FALSE()))),"OLD",IF(AND(E893&lt;&gt;"",E893&lt;&gt;"!!!"),"NEW","")))</f>
        <v/>
      </c>
      <c r="G893" s="22" t="str">
        <f>IF(OR(E893="",E893="!!!"),"",IF(OR(J893=0,AND(J893=1,K893=1),AND(J893=1,I893="SBJ"),AND(J893=1,I893=0)),"?IN_FOCUS",IF(J893&lt;=2,"?ACTIVATED",IF(J893&lt;&gt;"","?FAMILIAR",IF(F893="NEW",IF(ISNA(VLOOKUP(E893,#REF!,1,FALSE())),"?TYPE_IDENTIFIABLE","?REFERENTIAL"),"_")))))</f>
        <v/>
      </c>
      <c r="H893" s="23" t="str">
        <f t="shared" ca="1" si="101"/>
        <v/>
      </c>
      <c r="I893" s="24" t="str">
        <f>IF(OR(E893="",E893="!!!",F893="NEW"),"",INDEX(B$2:B892,-1+SUMPRODUCT(MAX(ROW(E$2:E892)*(E893=E$2:E892)))))</f>
        <v/>
      </c>
      <c r="J893" s="24" t="str">
        <f ca="1">IF(OR(E893="",E893="!!!",F893="NEW"),"",COUNTBLANK(OFFSET(A$1,,,SUMPRODUCT(MAX(ROW(E$2:E893)*(E893=E$2:E893)))))-COUNTBLANK(OFFSET(A$1,,,SUMPRODUCT(MAX(ROW(E$1:E892)*(E2=E$1:E892))))))</f>
        <v/>
      </c>
      <c r="K893" s="24" t="str">
        <f>IF(OR(E893="",E893="!!!",F893="NEW"),"",INDEX(J$1:J892,SUMPRODUCT(MAX(ROW(E$1:E892)*(E893=E$1:E892)))))</f>
        <v/>
      </c>
      <c r="L893" s="25"/>
    </row>
    <row r="894" spans="1:12" x14ac:dyDescent="0.2">
      <c r="A894" t="s">
        <v>1021</v>
      </c>
      <c r="E894" s="20" t="str">
        <f t="shared" si="100"/>
        <v/>
      </c>
      <c r="F894" s="21" t="str">
        <f>IF(OR(E894="",E894="!!!"),"",IF(NOT(ISNA(VLOOKUP(E894,E$1:E893,1,FALSE()))),"OLD",IF(AND(E894&lt;&gt;"",E894&lt;&gt;"!!!"),"NEW","")))</f>
        <v/>
      </c>
      <c r="G894" s="22" t="str">
        <f>IF(OR(E894="",E894="!!!"),"",IF(OR(J894=0,AND(J894=1,K894=1),AND(J894=1,I894="SBJ"),AND(J894=1,I894=0)),"?IN_FOCUS",IF(J894&lt;=2,"?ACTIVATED",IF(J894&lt;&gt;"","?FAMILIAR",IF(F894="NEW",IF(ISNA(VLOOKUP(E894,#REF!,1,FALSE())),"?TYPE_IDENTIFIABLE","?REFERENTIAL"),"_")))))</f>
        <v/>
      </c>
      <c r="H894" s="23" t="str">
        <f t="shared" ca="1" si="101"/>
        <v/>
      </c>
      <c r="I894" s="24" t="str">
        <f>IF(OR(E894="",E894="!!!",F894="NEW"),"",INDEX(B$2:B893,-1+SUMPRODUCT(MAX(ROW(E$2:E893)*(E894=E$2:E893)))))</f>
        <v/>
      </c>
      <c r="J894" s="24" t="str">
        <f ca="1">IF(OR(E894="",E894="!!!",F894="NEW"),"",COUNTBLANK(OFFSET(A$1,,,SUMPRODUCT(MAX(ROW(E$2:E894)*(E894=E$2:E894)))))-COUNTBLANK(OFFSET(A$1,,,SUMPRODUCT(MAX(ROW(E$1:E893)*(E2=E$1:E893))))))</f>
        <v/>
      </c>
      <c r="K894" s="24" t="str">
        <f>IF(OR(E894="",E894="!!!",F894="NEW"),"",INDEX(J$1:J893,SUMPRODUCT(MAX(ROW(E$1:E893)*(E894=E$1:E893)))))</f>
        <v/>
      </c>
      <c r="L894" s="25"/>
    </row>
    <row r="895" spans="1:12" x14ac:dyDescent="0.2">
      <c r="A895" t="s">
        <v>812</v>
      </c>
      <c r="E895" s="20" t="str">
        <f t="shared" si="100"/>
        <v/>
      </c>
      <c r="F895" s="21" t="str">
        <f>IF(OR(E895="",E895="!!!"),"",IF(NOT(ISNA(VLOOKUP(E895,E$1:E894,1,FALSE()))),"OLD",IF(AND(E895&lt;&gt;"",E895&lt;&gt;"!!!"),"NEW","")))</f>
        <v/>
      </c>
      <c r="G895" s="22" t="str">
        <f>IF(OR(E895="",E895="!!!"),"",IF(OR(J895=0,AND(J895=1,K895=1),AND(J895=1,I895="SBJ"),AND(J895=1,I895=0)),"?IN_FOCUS",IF(J895&lt;=2,"?ACTIVATED",IF(J895&lt;&gt;"","?FAMILIAR",IF(F895="NEW",IF(ISNA(VLOOKUP(E895,#REF!,1,FALSE())),"?TYPE_IDENTIFIABLE","?REFERENTIAL"),"_")))))</f>
        <v/>
      </c>
      <c r="H895" s="23" t="str">
        <f t="shared" ca="1" si="101"/>
        <v/>
      </c>
      <c r="I895" s="24" t="str">
        <f>IF(OR(E895="",E895="!!!",F895="NEW"),"",INDEX(B$2:B894,-1+SUMPRODUCT(MAX(ROW(E$2:E894)*(E895=E$2:E894)))))</f>
        <v/>
      </c>
      <c r="J895" s="24" t="str">
        <f ca="1">IF(OR(E895="",E895="!!!",F895="NEW"),"",COUNTBLANK(OFFSET(A$1,,,SUMPRODUCT(MAX(ROW(E$2:E895)*(E895=E$2:E895)))))-COUNTBLANK(OFFSET(A$1,,,SUMPRODUCT(MAX(ROW(E$1:E894)*(E2=E$1:E894))))))</f>
        <v/>
      </c>
      <c r="K895" s="24" t="str">
        <f>IF(OR(E895="",E895="!!!",F895="NEW"),"",INDEX(J$1:J894,SUMPRODUCT(MAX(ROW(E$1:E894)*(E895=E$1:E894)))))</f>
        <v/>
      </c>
      <c r="L895" s="25"/>
    </row>
    <row r="896" spans="1:12" x14ac:dyDescent="0.2">
      <c r="A896" t="s">
        <v>19</v>
      </c>
      <c r="B896" s="26" t="s">
        <v>819</v>
      </c>
      <c r="C896" s="26" t="s">
        <v>814</v>
      </c>
      <c r="E896" s="20" t="str">
        <f t="shared" si="100"/>
        <v/>
      </c>
      <c r="F896" s="21" t="str">
        <f>IF(OR(E896="",E896="!!!"),"",IF(NOT(ISNA(VLOOKUP(E896,E$1:E895,1,FALSE()))),"OLD",IF(AND(E896&lt;&gt;"",E896&lt;&gt;"!!!"),"NEW","")))</f>
        <v/>
      </c>
      <c r="G896" s="22" t="str">
        <f>IF(OR(E896="",E896="!!!"),"",IF(OR(J896=0,AND(J896=1,K896=1),AND(J896=1,I896="SBJ"),AND(J896=1,I896=0)),"?IN_FOCUS",IF(J896&lt;=2,"?ACTIVATED",IF(J896&lt;&gt;"","?FAMILIAR",IF(F896="NEW",IF(ISNA(VLOOKUP(E896,#REF!,1,FALSE())),"?TYPE_IDENTIFIABLE","?REFERENTIAL"),"_")))))</f>
        <v/>
      </c>
      <c r="H896" s="23" t="str">
        <f t="shared" ca="1" si="101"/>
        <v/>
      </c>
      <c r="I896" s="24" t="str">
        <f>IF(OR(E896="",E896="!!!",F896="NEW"),"",INDEX(B$2:B895,-1+SUMPRODUCT(MAX(ROW(E$2:E895)*(E896=E$2:E895)))))</f>
        <v/>
      </c>
      <c r="J896" s="24" t="str">
        <f ca="1">IF(OR(E896="",E896="!!!",F896="NEW"),"",COUNTBLANK(OFFSET(A$1,,,SUMPRODUCT(MAX(ROW(E$2:E896)*(E896=E$2:E896)))))-COUNTBLANK(OFFSET(A$1,,,SUMPRODUCT(MAX(ROW(E$1:E895)*(E2=E$1:E895))))))</f>
        <v/>
      </c>
      <c r="K896" s="24" t="str">
        <f>IF(OR(E896="",E896="!!!",F896="NEW"),"",INDEX(J$1:J895,SUMPRODUCT(MAX(ROW(E$1:E895)*(E896=E$1:E895)))))</f>
        <v/>
      </c>
      <c r="L896" s="25"/>
    </row>
    <row r="897" spans="1:12" x14ac:dyDescent="0.2">
      <c r="A897" t="s">
        <v>874</v>
      </c>
      <c r="E897" s="20" t="str">
        <f t="shared" si="100"/>
        <v/>
      </c>
      <c r="F897" s="21" t="str">
        <f>IF(OR(E897="",E897="!!!"),"",IF(NOT(ISNA(VLOOKUP(E897,E$1:E896,1,FALSE()))),"OLD",IF(AND(E897&lt;&gt;"",E897&lt;&gt;"!!!"),"NEW","")))</f>
        <v/>
      </c>
      <c r="G897" s="22" t="str">
        <f>IF(OR(E897="",E897="!!!"),"",IF(OR(J897=0,AND(J897=1,K897=1),AND(J897=1,I897="SBJ"),AND(J897=1,I897=0)),"?IN_FOCUS",IF(J897&lt;=2,"?ACTIVATED",IF(J897&lt;&gt;"","?FAMILIAR",IF(F897="NEW",IF(ISNA(VLOOKUP(E897,#REF!,1,FALSE())),"?TYPE_IDENTIFIABLE","?REFERENTIAL"),"_")))))</f>
        <v/>
      </c>
      <c r="H897" s="23" t="str">
        <f t="shared" ca="1" si="101"/>
        <v/>
      </c>
      <c r="I897" s="24" t="str">
        <f>IF(OR(E897="",E897="!!!",F897="NEW"),"",INDEX(B$2:B896,-1+SUMPRODUCT(MAX(ROW(E$2:E896)*(E897=E$2:E896)))))</f>
        <v/>
      </c>
      <c r="J897" s="24" t="str">
        <f ca="1">IF(OR(E897="",E897="!!!",F897="NEW"),"",COUNTBLANK(OFFSET(A$1,,,SUMPRODUCT(MAX(ROW(E$2:E897)*(E897=E$2:E897)))))-COUNTBLANK(OFFSET(A$1,,,SUMPRODUCT(MAX(ROW(E$1:E896)*(E2=E$1:E896))))))</f>
        <v/>
      </c>
      <c r="K897" s="24" t="str">
        <f>IF(OR(E897="",E897="!!!",F897="NEW"),"",INDEX(J$1:J896,SUMPRODUCT(MAX(ROW(E$1:E896)*(E897=E$1:E896)))))</f>
        <v/>
      </c>
      <c r="L897" s="25"/>
    </row>
    <row r="898" spans="1:12" x14ac:dyDescent="0.2">
      <c r="A898" t="s">
        <v>875</v>
      </c>
      <c r="E898" s="20" t="str">
        <f t="shared" si="100"/>
        <v/>
      </c>
      <c r="F898" s="21" t="str">
        <f>IF(OR(E898="",E898="!!!"),"",IF(NOT(ISNA(VLOOKUP(E898,E$1:E897,1,FALSE()))),"OLD",IF(AND(E898&lt;&gt;"",E898&lt;&gt;"!!!"),"NEW","")))</f>
        <v/>
      </c>
      <c r="G898" s="22" t="str">
        <f>IF(OR(E898="",E898="!!!"),"",IF(OR(J898=0,AND(J898=1,K898=1),AND(J898=1,I898="SBJ"),AND(J898=1,I898=0)),"?IN_FOCUS",IF(J898&lt;=2,"?ACTIVATED",IF(J898&lt;&gt;"","?FAMILIAR",IF(F898="NEW",IF(ISNA(VLOOKUP(E898,#REF!,1,FALSE())),"?TYPE_IDENTIFIABLE","?REFERENTIAL"),"_")))))</f>
        <v/>
      </c>
      <c r="H898" s="23" t="str">
        <f t="shared" ca="1" si="101"/>
        <v/>
      </c>
      <c r="I898" s="24" t="str">
        <f>IF(OR(E898="",E898="!!!",F898="NEW"),"",INDEX(B$2:B897,-1+SUMPRODUCT(MAX(ROW(E$2:E897)*(E898=E$2:E897)))))</f>
        <v/>
      </c>
      <c r="J898" s="24" t="str">
        <f ca="1">IF(OR(E898="",E898="!!!",F898="NEW"),"",COUNTBLANK(OFFSET(A$1,,,SUMPRODUCT(MAX(ROW(E$2:E898)*(E898=E$2:E898)))))-COUNTBLANK(OFFSET(A$1,,,SUMPRODUCT(MAX(ROW(E$1:E897)*(E2=E$1:E897))))))</f>
        <v/>
      </c>
      <c r="K898" s="24" t="str">
        <f>IF(OR(E898="",E898="!!!",F898="NEW"),"",INDEX(J$1:J897,SUMPRODUCT(MAX(ROW(E$1:E897)*(E898=E$1:E897)))))</f>
        <v/>
      </c>
      <c r="L898" s="25"/>
    </row>
    <row r="899" spans="1:12" x14ac:dyDescent="0.2">
      <c r="A899" t="s">
        <v>30</v>
      </c>
      <c r="B899" s="26" t="s">
        <v>813</v>
      </c>
      <c r="C899" s="26" t="s">
        <v>877</v>
      </c>
      <c r="D899" s="26" t="s">
        <v>806</v>
      </c>
      <c r="E899" s="20" t="s">
        <v>1763</v>
      </c>
      <c r="F899" s="21" t="str">
        <f>IF(OR(E899="",E899="!!!"),"",IF(NOT(ISNA(VLOOKUP(E899,E$1:E898,1,FALSE()))),"OLD",IF(AND(E899&lt;&gt;"",E899&lt;&gt;"!!!"),"NEW","")))</f>
        <v>OLD</v>
      </c>
      <c r="G899" s="22" t="s">
        <v>1822</v>
      </c>
      <c r="H899" s="23" t="str">
        <f t="shared" ca="1" si="101"/>
        <v/>
      </c>
      <c r="I899" s="24" t="str">
        <f>IF(OR(E899="",E899="!!!",F899="NEW"),"",INDEX(B$2:B898,-1+SUMPRODUCT(MAX(ROW(E$2:E898)*(E899=E$2:E898)))))</f>
        <v>other_2</v>
      </c>
      <c r="J899" s="24">
        <f ca="1">IF(OR(E899="",E899="!!!",F899="NEW"),"",COUNTBLANK(OFFSET(A$1,,,SUMPRODUCT(MAX(ROW(E$2:E899)*(E899=E$2:E899)))))-COUNTBLANK(OFFSET(A$1,,,SUMPRODUCT(MAX(ROW(E$1:E898)*(E2=E$1:E898))))))</f>
        <v>0</v>
      </c>
      <c r="K899" s="24">
        <f ca="1">IF(OR(E899="",E899="!!!",F899="NEW"),"",INDEX(J$1:J898,SUMPRODUCT(MAX(ROW(E$1:E898)*(E899=E$1:E898)))))</f>
        <v>0</v>
      </c>
      <c r="L899" s="25"/>
    </row>
    <row r="900" spans="1:12" x14ac:dyDescent="0.2">
      <c r="A900" t="s">
        <v>1127</v>
      </c>
      <c r="E900" s="20" t="str">
        <f t="shared" si="100"/>
        <v/>
      </c>
      <c r="F900" s="21" t="str">
        <f>IF(OR(E900="",E900="!!!"),"",IF(NOT(ISNA(VLOOKUP(E900,E$1:E899,1,FALSE()))),"OLD",IF(AND(E900&lt;&gt;"",E900&lt;&gt;"!!!"),"NEW","")))</f>
        <v/>
      </c>
      <c r="G900" s="22" t="str">
        <f>IF(OR(E900="",E900="!!!"),"",IF(OR(J900=0,AND(J900=1,K900=1),AND(J900=1,I900="SBJ"),AND(J900=1,I900=0)),"?IN_FOCUS",IF(J900&lt;=2,"?ACTIVATED",IF(J900&lt;&gt;"","?FAMILIAR",IF(F900="NEW",IF(ISNA(VLOOKUP(E900,#REF!,1,FALSE())),"?TYPE_IDENTIFIABLE","?REFERENTIAL"),"_")))))</f>
        <v/>
      </c>
      <c r="H900" s="23" t="str">
        <f t="shared" ca="1" si="101"/>
        <v/>
      </c>
      <c r="I900" s="24" t="str">
        <f>IF(OR(E900="",E900="!!!",F900="NEW"),"",INDEX(B$2:B899,-1+SUMPRODUCT(MAX(ROW(E$2:E899)*(E900=E$2:E899)))))</f>
        <v/>
      </c>
      <c r="J900" s="24" t="str">
        <f ca="1">IF(OR(E900="",E900="!!!",F900="NEW"),"",COUNTBLANK(OFFSET(A$1,,,SUMPRODUCT(MAX(ROW(E$2:E900)*(E900=E$2:E900)))))-COUNTBLANK(OFFSET(A$1,,,SUMPRODUCT(MAX(ROW(E$1:E899)*(E2=E$1:E899))))))</f>
        <v/>
      </c>
      <c r="K900" s="24" t="str">
        <f>IF(OR(E900="",E900="!!!",F900="NEW"),"",INDEX(J$1:J899,SUMPRODUCT(MAX(ROW(E$1:E899)*(E900=E$1:E899)))))</f>
        <v/>
      </c>
      <c r="L900" s="25"/>
    </row>
    <row r="901" spans="1:12" x14ac:dyDescent="0.2">
      <c r="A901" t="s">
        <v>802</v>
      </c>
      <c r="E901" s="20" t="str">
        <f t="shared" si="100"/>
        <v/>
      </c>
      <c r="F901" s="21" t="str">
        <f>IF(OR(E901="",E901="!!!"),"",IF(NOT(ISNA(VLOOKUP(E901,E$1:E900,1,FALSE()))),"OLD",IF(AND(E901&lt;&gt;"",E901&lt;&gt;"!!!"),"NEW","")))</f>
        <v/>
      </c>
      <c r="G901" s="22" t="str">
        <f>IF(OR(E901="",E901="!!!"),"",IF(OR(J901=0,AND(J901=1,K901=1),AND(J901=1,I901="SBJ"),AND(J901=1,I901=0)),"?IN_FOCUS",IF(J901&lt;=2,"?ACTIVATED",IF(J901&lt;&gt;"","?FAMILIAR",IF(F901="NEW",IF(ISNA(VLOOKUP(E901,#REF!,1,FALSE())),"?TYPE_IDENTIFIABLE","?REFERENTIAL"),"_")))))</f>
        <v/>
      </c>
      <c r="H901" s="23" t="str">
        <f t="shared" ca="1" si="101"/>
        <v/>
      </c>
      <c r="I901" s="24" t="str">
        <f>IF(OR(E901="",E901="!!!",F901="NEW"),"",INDEX(B$2:B900,-1+SUMPRODUCT(MAX(ROW(E$2:E900)*(E901=E$2:E900)))))</f>
        <v/>
      </c>
      <c r="J901" s="24" t="str">
        <f ca="1">IF(OR(E901="",E901="!!!",F901="NEW"),"",COUNTBLANK(OFFSET(A$1,,,SUMPRODUCT(MAX(ROW(E$2:E901)*(E901=E$2:E901)))))-COUNTBLANK(OFFSET(A$1,,,SUMPRODUCT(MAX(ROW(E$1:E900)*(E2=E$1:E900))))))</f>
        <v/>
      </c>
      <c r="K901" s="24" t="str">
        <f>IF(OR(E901="",E901="!!!",F901="NEW"),"",INDEX(J$1:J900,SUMPRODUCT(MAX(ROW(E$1:E900)*(E901=E$1:E900)))))</f>
        <v/>
      </c>
      <c r="L901" s="25"/>
    </row>
    <row r="902" spans="1:12" x14ac:dyDescent="0.2">
      <c r="A902" t="s">
        <v>803</v>
      </c>
      <c r="B902" s="26" t="s">
        <v>950</v>
      </c>
      <c r="C902" s="26" t="s">
        <v>805</v>
      </c>
      <c r="D902" s="26" t="s">
        <v>806</v>
      </c>
      <c r="E902" s="20" t="s">
        <v>1747</v>
      </c>
      <c r="F902" s="21" t="s">
        <v>1753</v>
      </c>
      <c r="G902" s="22" t="s">
        <v>1823</v>
      </c>
      <c r="H902" s="23" t="str">
        <f t="shared" ca="1" si="101"/>
        <v/>
      </c>
      <c r="I902" s="24" t="str">
        <f>IF(OR(E902="",E902="!!!",F902="NEW"),"",INDEX(B$2:B901,-1+SUMPRODUCT(MAX(ROW(E$2:E901)*(E902=E$2:E901)))))</f>
        <v>SBJ</v>
      </c>
      <c r="J902" s="24">
        <f ca="1">IF(OR(E902="",E902="!!!",F902="NEW"),"",COUNTBLANK(OFFSET(A$1,,,SUMPRODUCT(MAX(ROW(E$2:E902)*(E902=E$2:E902)))))-COUNTBLANK(OFFSET(A$1,,,SUMPRODUCT(MAX(ROW(E$1:E901)*(E2=E$1:E901))))))</f>
        <v>0</v>
      </c>
      <c r="K902" s="24">
        <f ca="1">IF(OR(E902="",E902="!!!",F902="NEW"),"",INDEX(J$1:J901,SUMPRODUCT(MAX(ROW(E$1:E901)*(E902=E$1:E901)))))</f>
        <v>0</v>
      </c>
      <c r="L902" s="25"/>
    </row>
    <row r="903" spans="1:12" x14ac:dyDescent="0.2">
      <c r="A903" t="s">
        <v>1138</v>
      </c>
      <c r="E903" s="20" t="str">
        <f t="shared" si="100"/>
        <v/>
      </c>
      <c r="F903" s="21" t="str">
        <f>IF(OR(E903="",E903="!!!"),"",IF(NOT(ISNA(VLOOKUP(E903,E$1:E902,1,FALSE()))),"OLD",IF(AND(E903&lt;&gt;"",E903&lt;&gt;"!!!"),"NEW","")))</f>
        <v/>
      </c>
      <c r="G903" s="22" t="str">
        <f>IF(OR(E903="",E903="!!!"),"",IF(OR(J903=0,AND(J903=1,K903=1),AND(J903=1,I903="SBJ"),AND(J903=1,I903=0)),"?IN_FOCUS",IF(J903&lt;=2,"?ACTIVATED",IF(J903&lt;&gt;"","?FAMILIAR",IF(F903="NEW",IF(ISNA(VLOOKUP(E903,#REF!,1,FALSE())),"?TYPE_IDENTIFIABLE","?REFERENTIAL"),"_")))))</f>
        <v/>
      </c>
      <c r="H903" s="23" t="str">
        <f t="shared" ca="1" si="101"/>
        <v/>
      </c>
      <c r="I903" s="24" t="str">
        <f>IF(OR(E903="",E903="!!!",F903="NEW"),"",INDEX(B$2:B902,-1+SUMPRODUCT(MAX(ROW(E$2:E902)*(E903=E$2:E902)))))</f>
        <v/>
      </c>
      <c r="J903" s="24" t="str">
        <f ca="1">IF(OR(E903="",E903="!!!",F903="NEW"),"",COUNTBLANK(OFFSET(A$1,,,SUMPRODUCT(MAX(ROW(E$2:E903)*(E903=E$2:E903)))))-COUNTBLANK(OFFSET(A$1,,,SUMPRODUCT(MAX(ROW(E$1:E902)*(E2=E$1:E902))))))</f>
        <v/>
      </c>
      <c r="K903" s="24" t="str">
        <f>IF(OR(E903="",E903="!!!",F903="NEW"),"",INDEX(J$1:J902,SUMPRODUCT(MAX(ROW(E$1:E902)*(E903=E$1:E902)))))</f>
        <v/>
      </c>
      <c r="L903" s="25"/>
    </row>
    <row r="904" spans="1:12" x14ac:dyDescent="0.2">
      <c r="A904" t="s">
        <v>859</v>
      </c>
      <c r="E904" s="20" t="str">
        <f t="shared" si="100"/>
        <v/>
      </c>
      <c r="F904" s="21" t="str">
        <f>IF(OR(E904="",E904="!!!"),"",IF(NOT(ISNA(VLOOKUP(E904,E$1:E903,1,FALSE()))),"OLD",IF(AND(E904&lt;&gt;"",E904&lt;&gt;"!!!"),"NEW","")))</f>
        <v/>
      </c>
      <c r="G904" s="22" t="str">
        <f>IF(OR(E904="",E904="!!!"),"",IF(OR(J904=0,AND(J904=1,K904=1),AND(J904=1,I904="SBJ"),AND(J904=1,I904=0)),"?IN_FOCUS",IF(J904&lt;=2,"?ACTIVATED",IF(J904&lt;&gt;"","?FAMILIAR",IF(F904="NEW",IF(ISNA(VLOOKUP(E904,#REF!,1,FALSE())),"?TYPE_IDENTIFIABLE","?REFERENTIAL"),"_")))))</f>
        <v/>
      </c>
      <c r="H904" s="23" t="str">
        <f t="shared" ca="1" si="101"/>
        <v/>
      </c>
      <c r="I904" s="24" t="str">
        <f>IF(OR(E904="",E904="!!!",F904="NEW"),"",INDEX(B$2:B903,-1+SUMPRODUCT(MAX(ROW(E$2:E903)*(E904=E$2:E903)))))</f>
        <v/>
      </c>
      <c r="J904" s="24" t="str">
        <f ca="1">IF(OR(E904="",E904="!!!",F904="NEW"),"",COUNTBLANK(OFFSET(A$1,,,SUMPRODUCT(MAX(ROW(E$2:E904)*(E904=E$2:E904)))))-COUNTBLANK(OFFSET(A$1,,,SUMPRODUCT(MAX(ROW(E$1:E903)*(E2=E$1:E903))))))</f>
        <v/>
      </c>
      <c r="K904" s="24" t="str">
        <f>IF(OR(E904="",E904="!!!",F904="NEW"),"",INDEX(J$1:J903,SUMPRODUCT(MAX(ROW(E$1:E903)*(E904=E$1:E903)))))</f>
        <v/>
      </c>
      <c r="L904" s="25"/>
    </row>
    <row r="905" spans="1:12" x14ac:dyDescent="0.2">
      <c r="A905" t="s">
        <v>1139</v>
      </c>
      <c r="B905" s="26" t="s">
        <v>813</v>
      </c>
      <c r="C905" s="26" t="s">
        <v>854</v>
      </c>
      <c r="D905" s="26" t="s">
        <v>806</v>
      </c>
      <c r="E905" s="20"/>
      <c r="F905" s="21" t="s">
        <v>1764</v>
      </c>
      <c r="G905" s="22" t="str">
        <f>IF(OR(E905="",E905="!!!"),"",IF(OR(J905=0,AND(J905=1,K905=1),AND(J905=1,I905="SBJ"),AND(J905=1,I905=0)),"?IN_FOCUS",IF(J905&lt;=2,"?ACTIVATED",IF(J905&lt;&gt;"","?FAMILIAR",IF(F905="NEW",IF(ISNA(VLOOKUP(E905,#REF!,1,FALSE())),"?TYPE_IDENTIFIABLE","?REFERENTIAL"),"_")))))</f>
        <v/>
      </c>
      <c r="H905" s="23" t="str">
        <f t="shared" ca="1" si="101"/>
        <v/>
      </c>
      <c r="I905" s="24" t="str">
        <f>IF(OR(E905="",E905="!!!",F905="NEW"),"",INDEX(B$2:B904,-1+SUMPRODUCT(MAX(ROW(E$2:E904)*(E905=E$2:E904)))))</f>
        <v/>
      </c>
      <c r="J905" s="24" t="str">
        <f ca="1">IF(OR(E905="",E905="!!!",F905="NEW"),"",COUNTBLANK(OFFSET(A$1,,,SUMPRODUCT(MAX(ROW(E$2:E905)*(E905=E$2:E905)))))-COUNTBLANK(OFFSET(A$1,,,SUMPRODUCT(MAX(ROW(E$1:E904)*(E2=E$1:E904))))))</f>
        <v/>
      </c>
      <c r="K905" s="24" t="str">
        <f>IF(OR(E905="",E905="!!!",F905="NEW"),"",INDEX(J$1:J904,SUMPRODUCT(MAX(ROW(E$1:E904)*(E905=E$1:E904)))))</f>
        <v/>
      </c>
      <c r="L905" s="25"/>
    </row>
    <row r="906" spans="1:12" x14ac:dyDescent="0.2">
      <c r="A906" t="s">
        <v>802</v>
      </c>
      <c r="E906" s="20" t="str">
        <f t="shared" si="100"/>
        <v/>
      </c>
      <c r="F906" s="21" t="str">
        <f>IF(OR(E906="",E906="!!!"),"",IF(NOT(ISNA(VLOOKUP(E906,E$1:E905,1,FALSE()))),"OLD",IF(AND(E906&lt;&gt;"",E906&lt;&gt;"!!!"),"NEW","")))</f>
        <v/>
      </c>
      <c r="G906" s="22" t="str">
        <f>IF(OR(E906="",E906="!!!"),"",IF(OR(J906=0,AND(J906=1,K906=1),AND(J906=1,I906="SBJ"),AND(J906=1,I906=0)),"?IN_FOCUS",IF(J906&lt;=2,"?ACTIVATED",IF(J906&lt;&gt;"","?FAMILIAR",IF(F906="NEW",IF(ISNA(VLOOKUP(E906,#REF!,1,FALSE())),"?TYPE_IDENTIFIABLE","?REFERENTIAL"),"_")))))</f>
        <v/>
      </c>
      <c r="H906" s="23" t="str">
        <f t="shared" ca="1" si="101"/>
        <v/>
      </c>
      <c r="I906" s="24" t="str">
        <f>IF(OR(E906="",E906="!!!",F906="NEW"),"",INDEX(B$2:B905,-1+SUMPRODUCT(MAX(ROW(E$2:E905)*(E906=E$2:E905)))))</f>
        <v/>
      </c>
      <c r="J906" s="24" t="str">
        <f ca="1">IF(OR(E906="",E906="!!!",F906="NEW"),"",COUNTBLANK(OFFSET(A$1,,,SUMPRODUCT(MAX(ROW(E$2:E906)*(E906=E$2:E906)))))-COUNTBLANK(OFFSET(A$1,,,SUMPRODUCT(MAX(ROW(E$1:E905)*(E2=E$1:E905))))))</f>
        <v/>
      </c>
      <c r="K906" s="24" t="str">
        <f>IF(OR(E906="",E906="!!!",F906="NEW"),"",INDEX(J$1:J905,SUMPRODUCT(MAX(ROW(E$1:E905)*(E906=E$1:E905)))))</f>
        <v/>
      </c>
      <c r="L906" s="25"/>
    </row>
    <row r="907" spans="1:12" x14ac:dyDescent="0.2">
      <c r="A907" t="s">
        <v>1140</v>
      </c>
      <c r="E907" s="20" t="str">
        <f t="shared" si="100"/>
        <v/>
      </c>
      <c r="F907" s="21" t="str">
        <f>IF(OR(E907="",E907="!!!"),"",IF(NOT(ISNA(VLOOKUP(E907,E$1:E906,1,FALSE()))),"OLD",IF(AND(E907&lt;&gt;"",E907&lt;&gt;"!!!"),"NEW","")))</f>
        <v/>
      </c>
      <c r="G907" s="22" t="str">
        <f>IF(OR(E907="",E907="!!!"),"",IF(OR(J907=0,AND(J907=1,K907=1),AND(J907=1,I907="SBJ"),AND(J907=1,I907=0)),"?IN_FOCUS",IF(J907&lt;=2,"?ACTIVATED",IF(J907&lt;&gt;"","?FAMILIAR",IF(F907="NEW",IF(ISNA(VLOOKUP(E907,#REF!,1,FALSE())),"?TYPE_IDENTIFIABLE","?REFERENTIAL"),"_")))))</f>
        <v/>
      </c>
      <c r="H907" s="23" t="str">
        <f t="shared" ca="1" si="101"/>
        <v/>
      </c>
      <c r="I907" s="24" t="str">
        <f>IF(OR(E907="",E907="!!!",F907="NEW"),"",INDEX(B$2:B906,-1+SUMPRODUCT(MAX(ROW(E$2:E906)*(E907=E$2:E906)))))</f>
        <v/>
      </c>
      <c r="J907" s="24" t="str">
        <f ca="1">IF(OR(E907="",E907="!!!",F907="NEW"),"",COUNTBLANK(OFFSET(A$1,,,SUMPRODUCT(MAX(ROW(E$2:E907)*(E907=E$2:E907)))))-COUNTBLANK(OFFSET(A$1,,,SUMPRODUCT(MAX(ROW(E$1:E906)*(E2=E$1:E906))))))</f>
        <v/>
      </c>
      <c r="K907" s="24" t="str">
        <f>IF(OR(E907="",E907="!!!",F907="NEW"),"",INDEX(J$1:J906,SUMPRODUCT(MAX(ROW(E$1:E906)*(E907=E$1:E906)))))</f>
        <v/>
      </c>
      <c r="L907" s="25"/>
    </row>
    <row r="908" spans="1:12" x14ac:dyDescent="0.2">
      <c r="A908" t="s">
        <v>1060</v>
      </c>
      <c r="E908" s="20" t="str">
        <f t="shared" si="100"/>
        <v/>
      </c>
      <c r="F908" s="21" t="str">
        <f>IF(OR(E908="",E908="!!!"),"",IF(NOT(ISNA(VLOOKUP(E908,E$1:E907,1,FALSE()))),"OLD",IF(AND(E908&lt;&gt;"",E908&lt;&gt;"!!!"),"NEW","")))</f>
        <v/>
      </c>
      <c r="G908" s="22" t="str">
        <f>IF(OR(E908="",E908="!!!"),"",IF(OR(J908=0,AND(J908=1,K908=1),AND(J908=1,I908="SBJ"),AND(J908=1,I908=0)),"?IN_FOCUS",IF(J908&lt;=2,"?ACTIVATED",IF(J908&lt;&gt;"","?FAMILIAR",IF(F908="NEW",IF(ISNA(VLOOKUP(E908,#REF!,1,FALSE())),"?TYPE_IDENTIFIABLE","?REFERENTIAL"),"_")))))</f>
        <v/>
      </c>
      <c r="H908" s="23" t="str">
        <f t="shared" ca="1" si="101"/>
        <v/>
      </c>
      <c r="I908" s="24" t="str">
        <f>IF(OR(E908="",E908="!!!",F908="NEW"),"",INDEX(B$2:B907,-1+SUMPRODUCT(MAX(ROW(E$2:E907)*(E908=E$2:E907)))))</f>
        <v/>
      </c>
      <c r="J908" s="24" t="str">
        <f ca="1">IF(OR(E908="",E908="!!!",F908="NEW"),"",COUNTBLANK(OFFSET(A$1,,,SUMPRODUCT(MAX(ROW(E$2:E908)*(E908=E$2:E908)))))-COUNTBLANK(OFFSET(A$1,,,SUMPRODUCT(MAX(ROW(E$1:E907)*(E2=E$1:E907))))))</f>
        <v/>
      </c>
      <c r="K908" s="24" t="str">
        <f>IF(OR(E908="",E908="!!!",F908="NEW"),"",INDEX(J$1:J907,SUMPRODUCT(MAX(ROW(E$1:E907)*(E908=E$1:E907)))))</f>
        <v/>
      </c>
      <c r="L908" s="25"/>
    </row>
    <row r="909" spans="1:12" x14ac:dyDescent="0.2">
      <c r="A909" t="s">
        <v>1141</v>
      </c>
      <c r="B909" s="26" t="s">
        <v>819</v>
      </c>
      <c r="C909" s="26" t="s">
        <v>877</v>
      </c>
      <c r="D909" s="26" t="s">
        <v>806</v>
      </c>
      <c r="E909" s="20" t="s">
        <v>1770</v>
      </c>
      <c r="F909" s="21" t="str">
        <f>IF(OR(E909="",E909="!!!"),"",IF(NOT(ISNA(VLOOKUP(E909,E$1:E908,1,FALSE()))),"OLD",IF(AND(E909&lt;&gt;"",E909&lt;&gt;"!!!"),"NEW","")))</f>
        <v>NEW</v>
      </c>
      <c r="G909" s="22" t="s">
        <v>1820</v>
      </c>
      <c r="H909" s="23" t="str">
        <f t="shared" ca="1" si="101"/>
        <v/>
      </c>
      <c r="I909" s="24" t="str">
        <f>IF(OR(E909="",E909="!!!",F909="NEW"),"",INDEX(B$2:B908,-1+SUMPRODUCT(MAX(ROW(E$2:E908)*(E909=E$2:E908)))))</f>
        <v/>
      </c>
      <c r="J909" s="24" t="str">
        <f ca="1">IF(OR(E909="",E909="!!!",F909="NEW"),"",COUNTBLANK(OFFSET(A$1,,,SUMPRODUCT(MAX(ROW(E$2:E909)*(E909=E$2:E909)))))-COUNTBLANK(OFFSET(A$1,,,SUMPRODUCT(MAX(ROW(E$1:E908)*(E2=E$1:E908))))))</f>
        <v/>
      </c>
      <c r="K909" s="24" t="str">
        <f>IF(OR(E909="",E909="!!!",F909="NEW"),"",INDEX(J$1:J908,SUMPRODUCT(MAX(ROW(E$1:E908)*(E909=E$1:E908)))))</f>
        <v/>
      </c>
      <c r="L909" s="25"/>
    </row>
    <row r="910" spans="1:12" x14ac:dyDescent="0.2">
      <c r="A910" t="s">
        <v>802</v>
      </c>
      <c r="E910" s="20" t="str">
        <f t="shared" si="100"/>
        <v/>
      </c>
      <c r="F910" s="21" t="str">
        <f>IF(OR(E910="",E910="!!!"),"",IF(NOT(ISNA(VLOOKUP(E910,E$1:E909,1,FALSE()))),"OLD",IF(AND(E910&lt;&gt;"",E910&lt;&gt;"!!!"),"NEW","")))</f>
        <v/>
      </c>
      <c r="G910" s="22" t="str">
        <f>IF(OR(E910="",E910="!!!"),"",IF(OR(J910=0,AND(J910=1,K910=1),AND(J910=1,I910="SBJ"),AND(J910=1,I910=0)),"?IN_FOCUS",IF(J910&lt;=2,"?ACTIVATED",IF(J910&lt;&gt;"","?FAMILIAR",IF(F910="NEW",IF(ISNA(VLOOKUP(E910,#REF!,1,FALSE())),"?TYPE_IDENTIFIABLE","?REFERENTIAL"),"_")))))</f>
        <v/>
      </c>
      <c r="H910" s="23" t="str">
        <f t="shared" ca="1" si="101"/>
        <v/>
      </c>
      <c r="I910" s="24" t="str">
        <f>IF(OR(E910="",E910="!!!",F910="NEW"),"",INDEX(B$2:B909,-1+SUMPRODUCT(MAX(ROW(E$2:E909)*(E910=E$2:E909)))))</f>
        <v/>
      </c>
      <c r="J910" s="24" t="str">
        <f ca="1">IF(OR(E910="",E910="!!!",F910="NEW"),"",COUNTBLANK(OFFSET(A$1,,,SUMPRODUCT(MAX(ROW(E$2:E910)*(E910=E$2:E910)))))-COUNTBLANK(OFFSET(A$1,,,SUMPRODUCT(MAX(ROW(E$1:E909)*(E2=E$1:E909))))))</f>
        <v/>
      </c>
      <c r="K910" s="24" t="str">
        <f>IF(OR(E910="",E910="!!!",F910="NEW"),"",INDEX(J$1:J909,SUMPRODUCT(MAX(ROW(E$1:E909)*(E910=E$1:E909)))))</f>
        <v/>
      </c>
      <c r="L910" s="25"/>
    </row>
    <row r="911" spans="1:12" x14ac:dyDescent="0.2">
      <c r="A911" t="s">
        <v>845</v>
      </c>
      <c r="E911" s="20" t="str">
        <f t="shared" si="100"/>
        <v/>
      </c>
      <c r="F911" s="21" t="str">
        <f>IF(OR(E911="",E911="!!!"),"",IF(NOT(ISNA(VLOOKUP(E911,E$1:E910,1,FALSE()))),"OLD",IF(AND(E911&lt;&gt;"",E911&lt;&gt;"!!!"),"NEW","")))</f>
        <v/>
      </c>
      <c r="G911" s="22" t="str">
        <f>IF(OR(E911="",E911="!!!"),"",IF(OR(J911=0,AND(J911=1,K911=1),AND(J911=1,I911="SBJ"),AND(J911=1,I911=0)),"?IN_FOCUS",IF(J911&lt;=2,"?ACTIVATED",IF(J911&lt;&gt;"","?FAMILIAR",IF(F911="NEW",IF(ISNA(VLOOKUP(E911,#REF!,1,FALSE())),"?TYPE_IDENTIFIABLE","?REFERENTIAL"),"_")))))</f>
        <v/>
      </c>
      <c r="H911" s="23" t="str">
        <f t="shared" ca="1" si="101"/>
        <v/>
      </c>
      <c r="I911" s="24" t="str">
        <f>IF(OR(E911="",E911="!!!",F911="NEW"),"",INDEX(B$2:B910,-1+SUMPRODUCT(MAX(ROW(E$2:E910)*(E911=E$2:E910)))))</f>
        <v/>
      </c>
      <c r="J911" s="24" t="str">
        <f ca="1">IF(OR(E911="",E911="!!!",F911="NEW"),"",COUNTBLANK(OFFSET(A$1,,,SUMPRODUCT(MAX(ROW(E$2:E911)*(E911=E$2:E911)))))-COUNTBLANK(OFFSET(A$1,,,SUMPRODUCT(MAX(ROW(E$1:E910)*(E2=E$1:E910))))))</f>
        <v/>
      </c>
      <c r="K911" s="24" t="str">
        <f>IF(OR(E911="",E911="!!!",F911="NEW"),"",INDEX(J$1:J910,SUMPRODUCT(MAX(ROW(E$1:E910)*(E911=E$1:E910)))))</f>
        <v/>
      </c>
      <c r="L911" s="25"/>
    </row>
    <row r="912" spans="1:12" x14ac:dyDescent="0.2">
      <c r="A912" t="s">
        <v>30</v>
      </c>
      <c r="B912" s="26" t="s">
        <v>950</v>
      </c>
      <c r="C912" s="26" t="s">
        <v>847</v>
      </c>
      <c r="D912" s="26" t="s">
        <v>806</v>
      </c>
      <c r="E912" s="20" t="s">
        <v>1763</v>
      </c>
      <c r="F912" s="21" t="str">
        <f>IF(OR(E912="",E912="!!!"),"",IF(NOT(ISNA(VLOOKUP(E912,E$1:E911,1,FALSE()))),"OLD",IF(AND(E912&lt;&gt;"",E912&lt;&gt;"!!!"),"NEW","")))</f>
        <v>OLD</v>
      </c>
      <c r="G912" s="22" t="s">
        <v>1823</v>
      </c>
      <c r="H912" s="23" t="str">
        <f t="shared" ca="1" si="101"/>
        <v/>
      </c>
      <c r="I912" s="24" t="str">
        <f>IF(OR(E912="",E912="!!!",F912="NEW"),"",INDEX(B$2:B911,-1+SUMPRODUCT(MAX(ROW(E$2:E911)*(E912=E$2:E911)))))</f>
        <v>other_2</v>
      </c>
      <c r="J912" s="24">
        <f ca="1">IF(OR(E912="",E912="!!!",F912="NEW"),"",COUNTBLANK(OFFSET(A$1,,,SUMPRODUCT(MAX(ROW(E$2:E912)*(E912=E$2:E912)))))-COUNTBLANK(OFFSET(A$1,,,SUMPRODUCT(MAX(ROW(E$1:E911)*(E2=E$1:E911))))))</f>
        <v>0</v>
      </c>
      <c r="K912" s="24">
        <f ca="1">IF(OR(E912="",E912="!!!",F912="NEW"),"",INDEX(J$1:J911,SUMPRODUCT(MAX(ROW(E$1:E911)*(E912=E$1:E911)))))</f>
        <v>0</v>
      </c>
      <c r="L912" s="25"/>
    </row>
    <row r="913" spans="1:12" x14ac:dyDescent="0.2">
      <c r="A913" t="s">
        <v>1142</v>
      </c>
      <c r="E913" s="20" t="str">
        <f t="shared" si="100"/>
        <v/>
      </c>
      <c r="F913" s="21" t="str">
        <f>IF(OR(E913="",E913="!!!"),"",IF(NOT(ISNA(VLOOKUP(E913,E$1:E912,1,FALSE()))),"OLD",IF(AND(E913&lt;&gt;"",E913&lt;&gt;"!!!"),"NEW","")))</f>
        <v/>
      </c>
      <c r="G913" s="22" t="str">
        <f>IF(OR(E913="",E913="!!!"),"",IF(OR(J913=0,AND(J913=1,K913=1),AND(J913=1,I913="SBJ"),AND(J913=1,I913=0)),"?IN_FOCUS",IF(J913&lt;=2,"?ACTIVATED",IF(J913&lt;&gt;"","?FAMILIAR",IF(F913="NEW",IF(ISNA(VLOOKUP(E913,#REF!,1,FALSE())),"?TYPE_IDENTIFIABLE","?REFERENTIAL"),"_")))))</f>
        <v/>
      </c>
      <c r="H913" s="23" t="str">
        <f t="shared" ca="1" si="101"/>
        <v/>
      </c>
      <c r="I913" s="24" t="str">
        <f>IF(OR(E913="",E913="!!!",F913="NEW"),"",INDEX(B$2:B912,-1+SUMPRODUCT(MAX(ROW(E$2:E912)*(E913=E$2:E912)))))</f>
        <v/>
      </c>
      <c r="J913" s="24" t="str">
        <f ca="1">IF(OR(E913="",E913="!!!",F913="NEW"),"",COUNTBLANK(OFFSET(A$1,,,SUMPRODUCT(MAX(ROW(E$2:E913)*(E913=E$2:E913)))))-COUNTBLANK(OFFSET(A$1,,,SUMPRODUCT(MAX(ROW(E$1:E912)*(E2=E$1:E912))))))</f>
        <v/>
      </c>
      <c r="K913" s="24" t="str">
        <f>IF(OR(E913="",E913="!!!",F913="NEW"),"",INDEX(J$1:J912,SUMPRODUCT(MAX(ROW(E$1:E912)*(E913=E$1:E912)))))</f>
        <v/>
      </c>
      <c r="L913" s="25"/>
    </row>
    <row r="914" spans="1:12" x14ac:dyDescent="0.2">
      <c r="A914" t="s">
        <v>833</v>
      </c>
      <c r="E914" s="20" t="str">
        <f t="shared" si="100"/>
        <v/>
      </c>
      <c r="F914" s="21" t="str">
        <f>IF(OR(E914="",E914="!!!"),"",IF(NOT(ISNA(VLOOKUP(E914,E$1:E913,1,FALSE()))),"OLD",IF(AND(E914&lt;&gt;"",E914&lt;&gt;"!!!"),"NEW","")))</f>
        <v/>
      </c>
      <c r="G914" s="22" t="str">
        <f>IF(OR(E914="",E914="!!!"),"",IF(OR(J914=0,AND(J914=1,K914=1),AND(J914=1,I914="SBJ"),AND(J914=1,I914=0)),"?IN_FOCUS",IF(J914&lt;=2,"?ACTIVATED",IF(J914&lt;&gt;"","?FAMILIAR",IF(F914="NEW",IF(ISNA(VLOOKUP(E914,#REF!,1,FALSE())),"?TYPE_IDENTIFIABLE","?REFERENTIAL"),"_")))))</f>
        <v/>
      </c>
      <c r="H914" s="23" t="str">
        <f t="shared" ca="1" si="101"/>
        <v/>
      </c>
      <c r="I914" s="24" t="str">
        <f>IF(OR(E914="",E914="!!!",F914="NEW"),"",INDEX(B$2:B913,-1+SUMPRODUCT(MAX(ROW(E$2:E913)*(E914=E$2:E913)))))</f>
        <v/>
      </c>
      <c r="J914" s="24" t="str">
        <f ca="1">IF(OR(E914="",E914="!!!",F914="NEW"),"",COUNTBLANK(OFFSET(A$1,,,SUMPRODUCT(MAX(ROW(E$2:E914)*(E914=E$2:E914)))))-COUNTBLANK(OFFSET(A$1,,,SUMPRODUCT(MAX(ROW(E$1:E913)*(E2=E$1:E913))))))</f>
        <v/>
      </c>
      <c r="K914" s="24" t="str">
        <f>IF(OR(E914="",E914="!!!",F914="NEW"),"",INDEX(J$1:J913,SUMPRODUCT(MAX(ROW(E$1:E913)*(E914=E$1:E913)))))</f>
        <v/>
      </c>
      <c r="L914" s="25"/>
    </row>
    <row r="915" spans="1:12" x14ac:dyDescent="0.2">
      <c r="A915" t="s">
        <v>1096</v>
      </c>
      <c r="B915" s="26" t="s">
        <v>813</v>
      </c>
      <c r="C915" s="26" t="s">
        <v>814</v>
      </c>
      <c r="E915" s="20" t="str">
        <f t="shared" si="100"/>
        <v/>
      </c>
      <c r="F915" s="21" t="str">
        <f>IF(OR(E915="",E915="!!!"),"",IF(NOT(ISNA(VLOOKUP(E915,E$1:E914,1,FALSE()))),"OLD",IF(AND(E915&lt;&gt;"",E915&lt;&gt;"!!!"),"NEW","")))</f>
        <v/>
      </c>
      <c r="G915" s="22" t="str">
        <f>IF(OR(E915="",E915="!!!"),"",IF(OR(J915=0,AND(J915=1,K915=1),AND(J915=1,I915="SBJ"),AND(J915=1,I915=0)),"?IN_FOCUS",IF(J915&lt;=2,"?ACTIVATED",IF(J915&lt;&gt;"","?FAMILIAR",IF(F915="NEW",IF(ISNA(VLOOKUP(E915,#REF!,1,FALSE())),"?TYPE_IDENTIFIABLE","?REFERENTIAL"),"_")))))</f>
        <v/>
      </c>
      <c r="H915" s="23" t="str">
        <f t="shared" ca="1" si="101"/>
        <v/>
      </c>
      <c r="I915" s="24" t="str">
        <f>IF(OR(E915="",E915="!!!",F915="NEW"),"",INDEX(B$2:B914,-1+SUMPRODUCT(MAX(ROW(E$2:E914)*(E915=E$2:E914)))))</f>
        <v/>
      </c>
      <c r="J915" s="24" t="str">
        <f ca="1">IF(OR(E915="",E915="!!!",F915="NEW"),"",COUNTBLANK(OFFSET(A$1,,,SUMPRODUCT(MAX(ROW(E$2:E915)*(E915=E$2:E915)))))-COUNTBLANK(OFFSET(A$1,,,SUMPRODUCT(MAX(ROW(E$1:E914)*(E2=E$1:E914))))))</f>
        <v/>
      </c>
      <c r="K915" s="24" t="str">
        <f>IF(OR(E915="",E915="!!!",F915="NEW"),"",INDEX(J$1:J914,SUMPRODUCT(MAX(ROW(E$1:E914)*(E915=E$1:E914)))))</f>
        <v/>
      </c>
      <c r="L915" s="25"/>
    </row>
    <row r="916" spans="1:12" x14ac:dyDescent="0.2">
      <c r="A916" t="s">
        <v>821</v>
      </c>
      <c r="E916" s="20" t="str">
        <f t="shared" si="100"/>
        <v/>
      </c>
      <c r="F916" s="21" t="str">
        <f>IF(OR(E916="",E916="!!!"),"",IF(NOT(ISNA(VLOOKUP(E916,E$1:E915,1,FALSE()))),"OLD",IF(AND(E916&lt;&gt;"",E916&lt;&gt;"!!!"),"NEW","")))</f>
        <v/>
      </c>
      <c r="G916" s="22" t="str">
        <f>IF(OR(E916="",E916="!!!"),"",IF(OR(J916=0,AND(J916=1,K916=1),AND(J916=1,I916="SBJ"),AND(J916=1,I916=0)),"?IN_FOCUS",IF(J916&lt;=2,"?ACTIVATED",IF(J916&lt;&gt;"","?FAMILIAR",IF(F916="NEW",IF(ISNA(VLOOKUP(E916,#REF!,1,FALSE())),"?TYPE_IDENTIFIABLE","?REFERENTIAL"),"_")))))</f>
        <v/>
      </c>
      <c r="H916" s="23" t="str">
        <f t="shared" ca="1" si="101"/>
        <v/>
      </c>
      <c r="I916" s="24" t="str">
        <f>IF(OR(E916="",E916="!!!",F916="NEW"),"",INDEX(B$2:B915,-1+SUMPRODUCT(MAX(ROW(E$2:E915)*(E916=E$2:E915)))))</f>
        <v/>
      </c>
      <c r="J916" s="24" t="str">
        <f ca="1">IF(OR(E916="",E916="!!!",F916="NEW"),"",COUNTBLANK(OFFSET(A$1,,,SUMPRODUCT(MAX(ROW(E$2:E916)*(E916=E$2:E916)))))-COUNTBLANK(OFFSET(A$1,,,SUMPRODUCT(MAX(ROW(E$1:E915)*(E2=E$1:E915))))))</f>
        <v/>
      </c>
      <c r="K916" s="24" t="str">
        <f>IF(OR(E916="",E916="!!!",F916="NEW"),"",INDEX(J$1:J915,SUMPRODUCT(MAX(ROW(E$1:E915)*(E916=E$1:E915)))))</f>
        <v/>
      </c>
      <c r="L916" s="25"/>
    </row>
    <row r="918" spans="1:12" x14ac:dyDescent="0.2">
      <c r="A918" t="s">
        <v>1143</v>
      </c>
    </row>
    <row r="919" spans="1:12" x14ac:dyDescent="0.2">
      <c r="A919" t="s">
        <v>1144</v>
      </c>
      <c r="E919" s="20" t="str">
        <f t="shared" ref="E919:E931" si="102">IF(D919="?OLD","!!!","")</f>
        <v/>
      </c>
      <c r="F919" s="21" t="str">
        <f>IF(OR(E919="",E919="!!!"),"",IF(NOT(ISNA(VLOOKUP(E919,E$1:E918,1,FALSE()))),"OLD",IF(AND(E919&lt;&gt;"",E919&lt;&gt;"!!!"),"NEW","")))</f>
        <v/>
      </c>
      <c r="G919" s="22" t="str">
        <f>IF(OR(E919="",E919="!!!"),"",IF(OR(J919=0,AND(J919=1,K919=1),AND(J919=1,I919="SBJ"),AND(J919=1,I919=0)),"?IN_FOCUS",IF(J919&lt;=2,"?ACTIVATED",IF(J919&lt;&gt;"","?FAMILIAR",IF(F919="NEW",IF(ISNA(VLOOKUP(E919,#REF!,1,FALSE())),"?TYPE_IDENTIFIABLE","?REFERENTIAL"),"_")))))</f>
        <v/>
      </c>
      <c r="H919" s="23" t="str">
        <f t="shared" ref="H919:H931" ca="1" si="103">IF(J919&lt;&gt;1,"",IF(I919="SBJ","CB","?"))</f>
        <v/>
      </c>
      <c r="I919" s="24" t="str">
        <f>IF(OR(E919="",E919="!!!",F919="NEW"),"",INDEX(B$2:B918,-1+SUMPRODUCT(MAX(ROW(E$2:E918)*(E919=E$2:E918)))))</f>
        <v/>
      </c>
      <c r="J919" s="24" t="str">
        <f ca="1">IF(OR(E919="",E919="!!!",F919="NEW"),"",COUNTBLANK(OFFSET(A$1,,,SUMPRODUCT(MAX(ROW(E$2:E919)*(E919=E$2:E919)))))-COUNTBLANK(OFFSET(A$1,,,SUMPRODUCT(MAX(ROW(E$1:E918)*(E2=E$1:E918))))))</f>
        <v/>
      </c>
      <c r="K919" s="24" t="str">
        <f>IF(OR(E919="",E919="!!!",F919="NEW"),"",INDEX(J$1:J918,SUMPRODUCT(MAX(ROW(E$1:E918)*(E919=E$1:E918)))))</f>
        <v/>
      </c>
      <c r="L919" s="25"/>
    </row>
    <row r="920" spans="1:12" x14ac:dyDescent="0.2">
      <c r="A920" t="s">
        <v>1145</v>
      </c>
      <c r="E920" s="20" t="str">
        <f t="shared" si="102"/>
        <v/>
      </c>
      <c r="F920" s="21" t="str">
        <f>IF(OR(E920="",E920="!!!"),"",IF(NOT(ISNA(VLOOKUP(E920,E$1:E919,1,FALSE()))),"OLD",IF(AND(E920&lt;&gt;"",E920&lt;&gt;"!!!"),"NEW","")))</f>
        <v/>
      </c>
      <c r="G920" s="22" t="str">
        <f>IF(OR(E920="",E920="!!!"),"",IF(OR(J920=0,AND(J920=1,K920=1),AND(J920=1,I920="SBJ"),AND(J920=1,I920=0)),"?IN_FOCUS",IF(J920&lt;=2,"?ACTIVATED",IF(J920&lt;&gt;"","?FAMILIAR",IF(F920="NEW",IF(ISNA(VLOOKUP(E920,#REF!,1,FALSE())),"?TYPE_IDENTIFIABLE","?REFERENTIAL"),"_")))))</f>
        <v/>
      </c>
      <c r="H920" s="23" t="str">
        <f t="shared" ca="1" si="103"/>
        <v/>
      </c>
      <c r="I920" s="24" t="str">
        <f>IF(OR(E920="",E920="!!!",F920="NEW"),"",INDEX(B$2:B919,-1+SUMPRODUCT(MAX(ROW(E$2:E919)*(E920=E$2:E919)))))</f>
        <v/>
      </c>
      <c r="J920" s="24" t="str">
        <f ca="1">IF(OR(E920="",E920="!!!",F920="NEW"),"",COUNTBLANK(OFFSET(A$1,,,SUMPRODUCT(MAX(ROW(E$2:E920)*(E920=E$2:E920)))))-COUNTBLANK(OFFSET(A$1,,,SUMPRODUCT(MAX(ROW(E$1:E919)*(E2=E$1:E919))))))</f>
        <v/>
      </c>
      <c r="K920" s="24" t="str">
        <f>IF(OR(E920="",E920="!!!",F920="NEW"),"",INDEX(J$1:J919,SUMPRODUCT(MAX(ROW(E$1:E919)*(E920=E$1:E919)))))</f>
        <v/>
      </c>
      <c r="L920" s="25"/>
    </row>
    <row r="921" spans="1:12" x14ac:dyDescent="0.2">
      <c r="A921" t="s">
        <v>30</v>
      </c>
      <c r="B921" s="26" t="s">
        <v>804</v>
      </c>
      <c r="C921" s="26" t="s">
        <v>877</v>
      </c>
      <c r="D921" s="26" t="s">
        <v>806</v>
      </c>
      <c r="E921" s="20" t="s">
        <v>1771</v>
      </c>
      <c r="F921" s="21" t="str">
        <f>IF(OR(E921="",E921="!!!"),"",IF(NOT(ISNA(VLOOKUP(E921,E$1:E920,1,FALSE()))),"OLD",IF(AND(E921&lt;&gt;"",E921&lt;&gt;"!!!"),"NEW","")))</f>
        <v>NEW</v>
      </c>
      <c r="G921" s="22" t="s">
        <v>1824</v>
      </c>
      <c r="H921" s="23" t="str">
        <f t="shared" ca="1" si="103"/>
        <v/>
      </c>
      <c r="I921" s="24" t="str">
        <f>IF(OR(E921="",E921="!!!",F921="NEW"),"",INDEX(B$2:B920,-1+SUMPRODUCT(MAX(ROW(E$2:E920)*(E921=E$2:E920)))))</f>
        <v/>
      </c>
      <c r="J921" s="24" t="str">
        <f ca="1">IF(OR(E921="",E921="!!!",F921="NEW"),"",COUNTBLANK(OFFSET(A$1,,,SUMPRODUCT(MAX(ROW(E$2:E921)*(E921=E$2:E921)))))-COUNTBLANK(OFFSET(A$1,,,SUMPRODUCT(MAX(ROW(E$1:E920)*(E2=E$1:E920))))))</f>
        <v/>
      </c>
      <c r="K921" s="24" t="str">
        <f>IF(OR(E921="",E921="!!!",F921="NEW"),"",INDEX(J$1:J920,SUMPRODUCT(MAX(ROW(E$1:E920)*(E921=E$1:E920)))))</f>
        <v/>
      </c>
      <c r="L921" s="25"/>
    </row>
    <row r="922" spans="1:12" x14ac:dyDescent="0.2">
      <c r="A922" t="s">
        <v>802</v>
      </c>
      <c r="E922" s="20" t="str">
        <f t="shared" si="102"/>
        <v/>
      </c>
      <c r="F922" s="21" t="str">
        <f>IF(OR(E922="",E922="!!!"),"",IF(NOT(ISNA(VLOOKUP(E922,E$1:E921,1,FALSE()))),"OLD",IF(AND(E922&lt;&gt;"",E922&lt;&gt;"!!!"),"NEW","")))</f>
        <v/>
      </c>
      <c r="G922" s="22" t="str">
        <f>IF(OR(E922="",E922="!!!"),"",IF(OR(J922=0,AND(J922=1,K922=1),AND(J922=1,I922="SBJ"),AND(J922=1,I922=0)),"?IN_FOCUS",IF(J922&lt;=2,"?ACTIVATED",IF(J922&lt;&gt;"","?FAMILIAR",IF(F922="NEW",IF(ISNA(VLOOKUP(E922,#REF!,1,FALSE())),"?TYPE_IDENTIFIABLE","?REFERENTIAL"),"_")))))</f>
        <v/>
      </c>
      <c r="H922" s="23" t="str">
        <f t="shared" ca="1" si="103"/>
        <v/>
      </c>
      <c r="I922" s="24" t="str">
        <f>IF(OR(E922="",E922="!!!",F922="NEW"),"",INDEX(B$2:B921,-1+SUMPRODUCT(MAX(ROW(E$2:E921)*(E922=E$2:E921)))))</f>
        <v/>
      </c>
      <c r="J922" s="24" t="str">
        <f ca="1">IF(OR(E922="",E922="!!!",F922="NEW"),"",COUNTBLANK(OFFSET(A$1,,,SUMPRODUCT(MAX(ROW(E$2:E922)*(E922=E$2:E922)))))-COUNTBLANK(OFFSET(A$1,,,SUMPRODUCT(MAX(ROW(E$1:E921)*(E2=E$1:E921))))))</f>
        <v/>
      </c>
      <c r="K922" s="24" t="str">
        <f>IF(OR(E922="",E922="!!!",F922="NEW"),"",INDEX(J$1:J921,SUMPRODUCT(MAX(ROW(E$1:E921)*(E922=E$1:E921)))))</f>
        <v/>
      </c>
      <c r="L922" s="25"/>
    </row>
    <row r="923" spans="1:12" x14ac:dyDescent="0.2">
      <c r="A923" t="s">
        <v>830</v>
      </c>
      <c r="B923" s="26" t="s">
        <v>804</v>
      </c>
      <c r="C923" s="26" t="s">
        <v>805</v>
      </c>
      <c r="D923" s="26" t="s">
        <v>806</v>
      </c>
      <c r="E923" s="20" t="s">
        <v>1771</v>
      </c>
      <c r="F923" s="21" t="str">
        <f>IF(OR(E923="",E923="!!!"),"",IF(NOT(ISNA(VLOOKUP(E923,E$1:E922,1,FALSE()))),"OLD",IF(AND(E923&lt;&gt;"",E923&lt;&gt;"!!!"),"NEW","")))</f>
        <v>OLD</v>
      </c>
      <c r="G923" s="22" t="s">
        <v>1823</v>
      </c>
      <c r="H923" s="23" t="str">
        <f t="shared" ca="1" si="103"/>
        <v/>
      </c>
      <c r="I923" s="24" t="str">
        <f>IF(OR(E923="",E923="!!!",F923="NEW"),"",INDEX(B$2:B922,-1+SUMPRODUCT(MAX(ROW(E$2:E922)*(E923=E$2:E922)))))</f>
        <v>SBJ</v>
      </c>
      <c r="J923" s="24">
        <f ca="1">IF(OR(E923="",E923="!!!",F923="NEW"),"",COUNTBLANK(OFFSET(A$1,,,SUMPRODUCT(MAX(ROW(E$2:E923)*(E923=E$2:E923)))))-COUNTBLANK(OFFSET(A$1,,,SUMPRODUCT(MAX(ROW(E$1:E922)*(E2=E$1:E922))))))</f>
        <v>0</v>
      </c>
      <c r="K923" s="24" t="str">
        <f ca="1">IF(OR(E923="",E923="!!!",F923="NEW"),"",INDEX(J$1:J922,SUMPRODUCT(MAX(ROW(E$1:E922)*(E923=E$1:E922)))))</f>
        <v/>
      </c>
      <c r="L923" s="25"/>
    </row>
    <row r="924" spans="1:12" x14ac:dyDescent="0.2">
      <c r="A924" t="s">
        <v>898</v>
      </c>
      <c r="E924" s="20" t="str">
        <f t="shared" si="102"/>
        <v/>
      </c>
      <c r="F924" s="21" t="str">
        <f>IF(OR(E924="",E924="!!!"),"",IF(NOT(ISNA(VLOOKUP(E924,E$1:E923,1,FALSE()))),"OLD",IF(AND(E924&lt;&gt;"",E924&lt;&gt;"!!!"),"NEW","")))</f>
        <v/>
      </c>
      <c r="G924" s="22" t="str">
        <f>IF(OR(E924="",E924="!!!"),"",IF(OR(J924=0,AND(J924=1,K924=1),AND(J924=1,I924="SBJ"),AND(J924=1,I924=0)),"?IN_FOCUS",IF(J924&lt;=2,"?ACTIVATED",IF(J924&lt;&gt;"","?FAMILIAR",IF(F924="NEW",IF(ISNA(VLOOKUP(E924,#REF!,1,FALSE())),"?TYPE_IDENTIFIABLE","?REFERENTIAL"),"_")))))</f>
        <v/>
      </c>
      <c r="H924" s="23" t="str">
        <f t="shared" ca="1" si="103"/>
        <v/>
      </c>
      <c r="I924" s="24" t="str">
        <f>IF(OR(E924="",E924="!!!",F924="NEW"),"",INDEX(B$2:B923,-1+SUMPRODUCT(MAX(ROW(E$2:E923)*(E924=E$2:E923)))))</f>
        <v/>
      </c>
      <c r="J924" s="24" t="str">
        <f ca="1">IF(OR(E924="",E924="!!!",F924="NEW"),"",COUNTBLANK(OFFSET(A$1,,,SUMPRODUCT(MAX(ROW(E$2:E924)*(E924=E$2:E924)))))-COUNTBLANK(OFFSET(A$1,,,SUMPRODUCT(MAX(ROW(E$1:E923)*(E2=E$1:E923))))))</f>
        <v/>
      </c>
      <c r="K924" s="24" t="str">
        <f>IF(OR(E924="",E924="!!!",F924="NEW"),"",INDEX(J$1:J923,SUMPRODUCT(MAX(ROW(E$1:E923)*(E924=E$1:E923)))))</f>
        <v/>
      </c>
      <c r="L924" s="25"/>
    </row>
    <row r="925" spans="1:12" x14ac:dyDescent="0.2">
      <c r="A925" t="s">
        <v>809</v>
      </c>
      <c r="E925" s="20" t="str">
        <f t="shared" si="102"/>
        <v/>
      </c>
      <c r="F925" s="21" t="str">
        <f>IF(OR(E925="",E925="!!!"),"",IF(NOT(ISNA(VLOOKUP(E925,E$1:E924,1,FALSE()))),"OLD",IF(AND(E925&lt;&gt;"",E925&lt;&gt;"!!!"),"NEW","")))</f>
        <v/>
      </c>
      <c r="G925" s="22" t="str">
        <f>IF(OR(E925="",E925="!!!"),"",IF(OR(J925=0,AND(J925=1,K925=1),AND(J925=1,I925="SBJ"),AND(J925=1,I925=0)),"?IN_FOCUS",IF(J925&lt;=2,"?ACTIVATED",IF(J925&lt;&gt;"","?FAMILIAR",IF(F925="NEW",IF(ISNA(VLOOKUP(E925,#REF!,1,FALSE())),"?TYPE_IDENTIFIABLE","?REFERENTIAL"),"_")))))</f>
        <v/>
      </c>
      <c r="H925" s="23" t="str">
        <f t="shared" ca="1" si="103"/>
        <v/>
      </c>
      <c r="I925" s="24" t="str">
        <f>IF(OR(E925="",E925="!!!",F925="NEW"),"",INDEX(B$2:B924,-1+SUMPRODUCT(MAX(ROW(E$2:E924)*(E925=E$2:E924)))))</f>
        <v/>
      </c>
      <c r="J925" s="24" t="str">
        <f ca="1">IF(OR(E925="",E925="!!!",F925="NEW"),"",COUNTBLANK(OFFSET(A$1,,,SUMPRODUCT(MAX(ROW(E$2:E925)*(E925=E$2:E925)))))-COUNTBLANK(OFFSET(A$1,,,SUMPRODUCT(MAX(ROW(E$1:E924)*(E2=E$1:E924))))))</f>
        <v/>
      </c>
      <c r="K925" s="24" t="str">
        <f>IF(OR(E925="",E925="!!!",F925="NEW"),"",INDEX(J$1:J924,SUMPRODUCT(MAX(ROW(E$1:E924)*(E925=E$1:E924)))))</f>
        <v/>
      </c>
      <c r="L925" s="25"/>
    </row>
    <row r="926" spans="1:12" x14ac:dyDescent="0.2">
      <c r="A926" t="s">
        <v>1146</v>
      </c>
      <c r="E926" s="20" t="str">
        <f t="shared" si="102"/>
        <v/>
      </c>
      <c r="F926" s="21" t="str">
        <f>IF(OR(E926="",E926="!!!"),"",IF(NOT(ISNA(VLOOKUP(E926,E$1:E925,1,FALSE()))),"OLD",IF(AND(E926&lt;&gt;"",E926&lt;&gt;"!!!"),"NEW","")))</f>
        <v/>
      </c>
      <c r="G926" s="22" t="str">
        <f>IF(OR(E926="",E926="!!!"),"",IF(OR(J926=0,AND(J926=1,K926=1),AND(J926=1,I926="SBJ"),AND(J926=1,I926=0)),"?IN_FOCUS",IF(J926&lt;=2,"?ACTIVATED",IF(J926&lt;&gt;"","?FAMILIAR",IF(F926="NEW",IF(ISNA(VLOOKUP(E926,#REF!,1,FALSE())),"?TYPE_IDENTIFIABLE","?REFERENTIAL"),"_")))))</f>
        <v/>
      </c>
      <c r="H926" s="23" t="str">
        <f t="shared" ca="1" si="103"/>
        <v/>
      </c>
      <c r="I926" s="24" t="str">
        <f>IF(OR(E926="",E926="!!!",F926="NEW"),"",INDEX(B$2:B925,-1+SUMPRODUCT(MAX(ROW(E$2:E925)*(E926=E$2:E925)))))</f>
        <v/>
      </c>
      <c r="J926" s="24" t="str">
        <f ca="1">IF(OR(E926="",E926="!!!",F926="NEW"),"",COUNTBLANK(OFFSET(A$1,,,SUMPRODUCT(MAX(ROW(E$2:E926)*(E926=E$2:E926)))))-COUNTBLANK(OFFSET(A$1,,,SUMPRODUCT(MAX(ROW(E$1:E925)*(E2=E$1:E925))))))</f>
        <v/>
      </c>
      <c r="K926" s="24" t="str">
        <f>IF(OR(E926="",E926="!!!",F926="NEW"),"",INDEX(J$1:J925,SUMPRODUCT(MAX(ROW(E$1:E925)*(E926=E$1:E925)))))</f>
        <v/>
      </c>
      <c r="L926" s="25"/>
    </row>
    <row r="927" spans="1:12" x14ac:dyDescent="0.2">
      <c r="A927" t="s">
        <v>1147</v>
      </c>
      <c r="B927" s="26" t="s">
        <v>819</v>
      </c>
      <c r="C927" s="26" t="s">
        <v>811</v>
      </c>
      <c r="E927" s="20" t="str">
        <f t="shared" si="102"/>
        <v/>
      </c>
      <c r="F927" s="21" t="str">
        <f>IF(OR(E927="",E927="!!!"),"",IF(NOT(ISNA(VLOOKUP(E927,E$1:E926,1,FALSE()))),"OLD",IF(AND(E927&lt;&gt;"",E927&lt;&gt;"!!!"),"NEW","")))</f>
        <v/>
      </c>
      <c r="G927" s="22" t="str">
        <f>IF(OR(E927="",E927="!!!"),"",IF(OR(J927=0,AND(J927=1,K927=1),AND(J927=1,I927="SBJ"),AND(J927=1,I927=0)),"?IN_FOCUS",IF(J927&lt;=2,"?ACTIVATED",IF(J927&lt;&gt;"","?FAMILIAR",IF(F927="NEW",IF(ISNA(VLOOKUP(E927,#REF!,1,FALSE())),"?TYPE_IDENTIFIABLE","?REFERENTIAL"),"_")))))</f>
        <v/>
      </c>
      <c r="H927" s="23" t="str">
        <f t="shared" ca="1" si="103"/>
        <v/>
      </c>
      <c r="I927" s="24" t="str">
        <f>IF(OR(E927="",E927="!!!",F927="NEW"),"",INDEX(B$2:B926,-1+SUMPRODUCT(MAX(ROW(E$2:E926)*(E927=E$2:E926)))))</f>
        <v/>
      </c>
      <c r="J927" s="24" t="str">
        <f ca="1">IF(OR(E927="",E927="!!!",F927="NEW"),"",COUNTBLANK(OFFSET(A$1,,,SUMPRODUCT(MAX(ROW(E$2:E927)*(E927=E$2:E927)))))-COUNTBLANK(OFFSET(A$1,,,SUMPRODUCT(MAX(ROW(E$1:E926)*(E2=E$1:E926))))))</f>
        <v/>
      </c>
      <c r="K927" s="24" t="str">
        <f>IF(OR(E927="",E927="!!!",F927="NEW"),"",INDEX(J$1:J926,SUMPRODUCT(MAX(ROW(E$1:E926)*(E927=E$1:E926)))))</f>
        <v/>
      </c>
      <c r="L927" s="25"/>
    </row>
    <row r="928" spans="1:12" x14ac:dyDescent="0.2">
      <c r="A928" t="s">
        <v>812</v>
      </c>
      <c r="E928" s="20" t="str">
        <f t="shared" si="102"/>
        <v/>
      </c>
      <c r="F928" s="21" t="str">
        <f>IF(OR(E928="",E928="!!!"),"",IF(NOT(ISNA(VLOOKUP(E928,E$1:E927,1,FALSE()))),"OLD",IF(AND(E928&lt;&gt;"",E928&lt;&gt;"!!!"),"NEW","")))</f>
        <v/>
      </c>
      <c r="G928" s="22" t="str">
        <f>IF(OR(E928="",E928="!!!"),"",IF(OR(J928=0,AND(J928=1,K928=1),AND(J928=1,I928="SBJ"),AND(J928=1,I928=0)),"?IN_FOCUS",IF(J928&lt;=2,"?ACTIVATED",IF(J928&lt;&gt;"","?FAMILIAR",IF(F928="NEW",IF(ISNA(VLOOKUP(E928,#REF!,1,FALSE())),"?TYPE_IDENTIFIABLE","?REFERENTIAL"),"_")))))</f>
        <v/>
      </c>
      <c r="H928" s="23" t="str">
        <f t="shared" ca="1" si="103"/>
        <v/>
      </c>
      <c r="I928" s="24" t="str">
        <f>IF(OR(E928="",E928="!!!",F928="NEW"),"",INDEX(B$2:B927,-1+SUMPRODUCT(MAX(ROW(E$2:E927)*(E928=E$2:E927)))))</f>
        <v/>
      </c>
      <c r="J928" s="24" t="str">
        <f ca="1">IF(OR(E928="",E928="!!!",F928="NEW"),"",COUNTBLANK(OFFSET(A$1,,,SUMPRODUCT(MAX(ROW(E$2:E928)*(E928=E$2:E928)))))-COUNTBLANK(OFFSET(A$1,,,SUMPRODUCT(MAX(ROW(E$1:E927)*(E2=E$1:E927))))))</f>
        <v/>
      </c>
      <c r="K928" s="24" t="str">
        <f>IF(OR(E928="",E928="!!!",F928="NEW"),"",INDEX(J$1:J927,SUMPRODUCT(MAX(ROW(E$1:E927)*(E928=E$1:E927)))))</f>
        <v/>
      </c>
      <c r="L928" s="25"/>
    </row>
    <row r="929" spans="1:12" x14ac:dyDescent="0.2">
      <c r="A929" t="s">
        <v>19</v>
      </c>
      <c r="E929" s="20" t="str">
        <f t="shared" si="102"/>
        <v/>
      </c>
      <c r="F929" s="21" t="str">
        <f>IF(OR(E929="",E929="!!!"),"",IF(NOT(ISNA(VLOOKUP(E929,E$1:E928,1,FALSE()))),"OLD",IF(AND(E929&lt;&gt;"",E929&lt;&gt;"!!!"),"NEW","")))</f>
        <v/>
      </c>
      <c r="G929" s="22" t="str">
        <f>IF(OR(E929="",E929="!!!"),"",IF(OR(J929=0,AND(J929=1,K929=1),AND(J929=1,I929="SBJ"),AND(J929=1,I929=0)),"?IN_FOCUS",IF(J929&lt;=2,"?ACTIVATED",IF(J929&lt;&gt;"","?FAMILIAR",IF(F929="NEW",IF(ISNA(VLOOKUP(E929,#REF!,1,FALSE())),"?TYPE_IDENTIFIABLE","?REFERENTIAL"),"_")))))</f>
        <v/>
      </c>
      <c r="H929" s="23" t="str">
        <f t="shared" ca="1" si="103"/>
        <v/>
      </c>
      <c r="I929" s="24" t="str">
        <f>IF(OR(E929="",E929="!!!",F929="NEW"),"",INDEX(B$2:B928,-1+SUMPRODUCT(MAX(ROW(E$2:E928)*(E929=E$2:E928)))))</f>
        <v/>
      </c>
      <c r="J929" s="24" t="str">
        <f ca="1">IF(OR(E929="",E929="!!!",F929="NEW"),"",COUNTBLANK(OFFSET(A$1,,,SUMPRODUCT(MAX(ROW(E$2:E929)*(E929=E$2:E929)))))-COUNTBLANK(OFFSET(A$1,,,SUMPRODUCT(MAX(ROW(E$1:E928)*(E2=E$1:E928))))))</f>
        <v/>
      </c>
      <c r="K929" s="24" t="str">
        <f>IF(OR(E929="",E929="!!!",F929="NEW"),"",INDEX(J$1:J928,SUMPRODUCT(MAX(ROW(E$1:E928)*(E929=E$1:E928)))))</f>
        <v/>
      </c>
      <c r="L929" s="25"/>
    </row>
    <row r="930" spans="1:12" x14ac:dyDescent="0.2">
      <c r="A930" t="s">
        <v>1148</v>
      </c>
      <c r="B930" s="26" t="s">
        <v>819</v>
      </c>
      <c r="C930" s="26" t="s">
        <v>814</v>
      </c>
      <c r="E930" s="20"/>
      <c r="F930" s="21"/>
      <c r="G930" s="22"/>
      <c r="H930" s="23" t="str">
        <f t="shared" ca="1" si="103"/>
        <v/>
      </c>
      <c r="I930" s="24" t="str">
        <f>IF(OR(E930="",E930="!!!",F930="NEW"),"",INDEX(B$2:B929,-1+SUMPRODUCT(MAX(ROW(E$2:E929)*(E930=E$2:E929)))))</f>
        <v/>
      </c>
      <c r="J930" s="24" t="str">
        <f ca="1">IF(OR(E930="",E930="!!!",F930="NEW"),"",COUNTBLANK(OFFSET(A$1,,,SUMPRODUCT(MAX(ROW(E$2:E930)*(E930=E$2:E930)))))-COUNTBLANK(OFFSET(A$1,,,SUMPRODUCT(MAX(ROW(E$1:E929)*(E2=E$1:E929))))))</f>
        <v/>
      </c>
      <c r="K930" s="24" t="str">
        <f>IF(OR(E930="",E930="!!!",F930="NEW"),"",INDEX(J$1:J929,SUMPRODUCT(MAX(ROW(E$1:E929)*(E930=E$1:E929)))))</f>
        <v/>
      </c>
      <c r="L930" s="25"/>
    </row>
    <row r="931" spans="1:12" x14ac:dyDescent="0.2">
      <c r="A931" t="s">
        <v>821</v>
      </c>
      <c r="E931" s="20" t="str">
        <f t="shared" si="102"/>
        <v/>
      </c>
      <c r="F931" s="21" t="str">
        <f>IF(OR(E931="",E931="!!!"),"",IF(NOT(ISNA(VLOOKUP(E931,E$1:E930,1,FALSE()))),"OLD",IF(AND(E931&lt;&gt;"",E931&lt;&gt;"!!!"),"NEW","")))</f>
        <v/>
      </c>
      <c r="G931" s="22" t="str">
        <f>IF(OR(E931="",E931="!!!"),"",IF(OR(J931=0,AND(J931=1,K931=1),AND(J931=1,I931="SBJ"),AND(J931=1,I931=0)),"?IN_FOCUS",IF(J931&lt;=2,"?ACTIVATED",IF(J931&lt;&gt;"","?FAMILIAR",IF(F931="NEW",IF(ISNA(VLOOKUP(E931,#REF!,1,FALSE())),"?TYPE_IDENTIFIABLE","?REFERENTIAL"),"_")))))</f>
        <v/>
      </c>
      <c r="H931" s="23" t="str">
        <f t="shared" ca="1" si="103"/>
        <v/>
      </c>
      <c r="I931" s="24" t="str">
        <f>IF(OR(E931="",E931="!!!",F931="NEW"),"",INDEX(B$2:B930,-1+SUMPRODUCT(MAX(ROW(E$2:E930)*(E931=E$2:E930)))))</f>
        <v/>
      </c>
      <c r="J931" s="24" t="str">
        <f ca="1">IF(OR(E931="",E931="!!!",F931="NEW"),"",COUNTBLANK(OFFSET(A$1,,,SUMPRODUCT(MAX(ROW(E$2:E931)*(E931=E$2:E931)))))-COUNTBLANK(OFFSET(A$1,,,SUMPRODUCT(MAX(ROW(E$1:E930)*(E2=E$1:E930))))))</f>
        <v/>
      </c>
      <c r="K931" s="24" t="str">
        <f>IF(OR(E931="",E931="!!!",F931="NEW"),"",INDEX(J$1:J930,SUMPRODUCT(MAX(ROW(E$1:E930)*(E931=E$1:E930)))))</f>
        <v/>
      </c>
      <c r="L931" s="25"/>
    </row>
    <row r="933" spans="1:12" x14ac:dyDescent="0.2">
      <c r="A933" t="s">
        <v>1149</v>
      </c>
    </row>
    <row r="934" spans="1:12" x14ac:dyDescent="0.2">
      <c r="A934" t="s">
        <v>837</v>
      </c>
      <c r="B934" s="26" t="s">
        <v>804</v>
      </c>
      <c r="C934" s="26" t="s">
        <v>805</v>
      </c>
      <c r="D934" s="26" t="s">
        <v>806</v>
      </c>
      <c r="E934" s="20" t="s">
        <v>1772</v>
      </c>
      <c r="F934" s="21" t="str">
        <f>IF(OR(E934="",E934="!!!"),"",IF(NOT(ISNA(VLOOKUP(E934,E$1:E933,1,FALSE()))),"OLD",IF(AND(E934&lt;&gt;"",E934&lt;&gt;"!!!"),"NEW","")))</f>
        <v>NEW</v>
      </c>
      <c r="G934" s="22" t="s">
        <v>1823</v>
      </c>
      <c r="H934" s="23" t="str">
        <f t="shared" ref="H934:H956" ca="1" si="104">IF(J934&lt;&gt;1,"",IF(I934="SBJ","CB","?"))</f>
        <v/>
      </c>
      <c r="I934" s="24" t="str">
        <f>IF(OR(E934="",E934="!!!",F934="NEW"),"",INDEX(B$2:B933,-1+SUMPRODUCT(MAX(ROW(E$2:E933)*(E934=E$2:E933)))))</f>
        <v/>
      </c>
      <c r="J934" s="24" t="str">
        <f ca="1">IF(OR(E934="",E934="!!!",F934="NEW"),"",COUNTBLANK(OFFSET(A$1,,,SUMPRODUCT(MAX(ROW(E$2:E934)*(E934=E$2:E934)))))-COUNTBLANK(OFFSET(A$1,,,SUMPRODUCT(MAX(ROW(E$1:E933)*(E2=E$1:E933))))))</f>
        <v/>
      </c>
      <c r="K934" s="24" t="str">
        <f>IF(OR(E934="",E934="!!!",F934="NEW"),"",INDEX(J$1:J933,SUMPRODUCT(MAX(ROW(E$1:E933)*(E934=E$1:E933)))))</f>
        <v/>
      </c>
      <c r="L934" s="25"/>
    </row>
    <row r="935" spans="1:12" x14ac:dyDescent="0.2">
      <c r="A935" t="s">
        <v>898</v>
      </c>
      <c r="E935" s="20" t="str">
        <f t="shared" ref="E935:E956" si="105">IF(D935="?OLD","!!!","")</f>
        <v/>
      </c>
      <c r="F935" s="21" t="str">
        <f>IF(OR(E935="",E935="!!!"),"",IF(NOT(ISNA(VLOOKUP(E935,E$1:E934,1,FALSE()))),"OLD",IF(AND(E935&lt;&gt;"",E935&lt;&gt;"!!!"),"NEW","")))</f>
        <v/>
      </c>
      <c r="G935" s="22" t="str">
        <f>IF(OR(E935="",E935="!!!"),"",IF(OR(J935=0,AND(J935=1,K935=1),AND(J935=1,I935="SBJ"),AND(J935=1,I935=0)),"?IN_FOCUS",IF(J935&lt;=2,"?ACTIVATED",IF(J935&lt;&gt;"","?FAMILIAR",IF(F935="NEW",IF(ISNA(VLOOKUP(E935,#REF!,1,FALSE())),"?TYPE_IDENTIFIABLE","?REFERENTIAL"),"_")))))</f>
        <v/>
      </c>
      <c r="H935" s="23" t="str">
        <f t="shared" ca="1" si="104"/>
        <v/>
      </c>
      <c r="I935" s="24" t="str">
        <f>IF(OR(E935="",E935="!!!",F935="NEW"),"",INDEX(B$2:B934,-1+SUMPRODUCT(MAX(ROW(E$2:E934)*(E935=E$2:E934)))))</f>
        <v/>
      </c>
      <c r="J935" s="24" t="str">
        <f ca="1">IF(OR(E935="",E935="!!!",F935="NEW"),"",COUNTBLANK(OFFSET(A$1,,,SUMPRODUCT(MAX(ROW(E$2:E935)*(E935=E$2:E935)))))-COUNTBLANK(OFFSET(A$1,,,SUMPRODUCT(MAX(ROW(E$1:E934)*(E2=E$1:E934))))))</f>
        <v/>
      </c>
      <c r="K935" s="24" t="str">
        <f>IF(OR(E935="",E935="!!!",F935="NEW"),"",INDEX(J$1:J934,SUMPRODUCT(MAX(ROW(E$1:E934)*(E935=E$1:E934)))))</f>
        <v/>
      </c>
      <c r="L935" s="25"/>
    </row>
    <row r="936" spans="1:12" x14ac:dyDescent="0.2">
      <c r="A936" t="s">
        <v>845</v>
      </c>
      <c r="E936" s="20" t="str">
        <f t="shared" si="105"/>
        <v/>
      </c>
      <c r="F936" s="21" t="str">
        <f>IF(OR(E936="",E936="!!!"),"",IF(NOT(ISNA(VLOOKUP(E936,E$1:E935,1,FALSE()))),"OLD",IF(AND(E936&lt;&gt;"",E936&lt;&gt;"!!!"),"NEW","")))</f>
        <v/>
      </c>
      <c r="G936" s="22" t="str">
        <f>IF(OR(E936="",E936="!!!"),"",IF(OR(J936=0,AND(J936=1,K936=1),AND(J936=1,I936="SBJ"),AND(J936=1,I936=0)),"?IN_FOCUS",IF(J936&lt;=2,"?ACTIVATED",IF(J936&lt;&gt;"","?FAMILIAR",IF(F936="NEW",IF(ISNA(VLOOKUP(E936,#REF!,1,FALSE())),"?TYPE_IDENTIFIABLE","?REFERENTIAL"),"_")))))</f>
        <v/>
      </c>
      <c r="H936" s="23" t="str">
        <f t="shared" ca="1" si="104"/>
        <v/>
      </c>
      <c r="I936" s="24" t="str">
        <f>IF(OR(E936="",E936="!!!",F936="NEW"),"",INDEX(B$2:B935,-1+SUMPRODUCT(MAX(ROW(E$2:E935)*(E936=E$2:E935)))))</f>
        <v/>
      </c>
      <c r="J936" s="24" t="str">
        <f ca="1">IF(OR(E936="",E936="!!!",F936="NEW"),"",COUNTBLANK(OFFSET(A$1,,,SUMPRODUCT(MAX(ROW(E$2:E936)*(E936=E$2:E936)))))-COUNTBLANK(OFFSET(A$1,,,SUMPRODUCT(MAX(ROW(E$1:E935)*(E2=E$1:E935))))))</f>
        <v/>
      </c>
      <c r="K936" s="24" t="str">
        <f>IF(OR(E936="",E936="!!!",F936="NEW"),"",INDEX(J$1:J935,SUMPRODUCT(MAX(ROW(E$1:E935)*(E936=E$1:E935)))))</f>
        <v/>
      </c>
      <c r="L936" s="25"/>
    </row>
    <row r="937" spans="1:12" x14ac:dyDescent="0.2">
      <c r="A937" t="s">
        <v>1150</v>
      </c>
      <c r="E937" s="20" t="str">
        <f t="shared" si="105"/>
        <v/>
      </c>
      <c r="F937" s="21" t="str">
        <f>IF(OR(E937="",E937="!!!"),"",IF(NOT(ISNA(VLOOKUP(E937,E$1:E936,1,FALSE()))),"OLD",IF(AND(E937&lt;&gt;"",E937&lt;&gt;"!!!"),"NEW","")))</f>
        <v/>
      </c>
      <c r="G937" s="22" t="str">
        <f>IF(OR(E937="",E937="!!!"),"",IF(OR(J937=0,AND(J937=1,K937=1),AND(J937=1,I937="SBJ"),AND(J937=1,I937=0)),"?IN_FOCUS",IF(J937&lt;=2,"?ACTIVATED",IF(J937&lt;&gt;"","?FAMILIAR",IF(F937="NEW",IF(ISNA(VLOOKUP(E937,#REF!,1,FALSE())),"?TYPE_IDENTIFIABLE","?REFERENTIAL"),"_")))))</f>
        <v/>
      </c>
      <c r="H937" s="23" t="str">
        <f t="shared" ca="1" si="104"/>
        <v/>
      </c>
      <c r="I937" s="24" t="str">
        <f>IF(OR(E937="",E937="!!!",F937="NEW"),"",INDEX(B$2:B936,-1+SUMPRODUCT(MAX(ROW(E$2:E936)*(E937=E$2:E936)))))</f>
        <v/>
      </c>
      <c r="J937" s="24" t="str">
        <f ca="1">IF(OR(E937="",E937="!!!",F937="NEW"),"",COUNTBLANK(OFFSET(A$1,,,SUMPRODUCT(MAX(ROW(E$2:E937)*(E937=E$2:E937)))))-COUNTBLANK(OFFSET(A$1,,,SUMPRODUCT(MAX(ROW(E$1:E936)*(E2=E$1:E936))))))</f>
        <v/>
      </c>
      <c r="K937" s="24" t="str">
        <f>IF(OR(E937="",E937="!!!",F937="NEW"),"",INDEX(J$1:J936,SUMPRODUCT(MAX(ROW(E$1:E936)*(E937=E$1:E936)))))</f>
        <v/>
      </c>
      <c r="L937" s="25"/>
    </row>
    <row r="938" spans="1:12" x14ac:dyDescent="0.2">
      <c r="A938" t="s">
        <v>1147</v>
      </c>
      <c r="B938" s="26" t="s">
        <v>819</v>
      </c>
      <c r="C938" s="26" t="s">
        <v>847</v>
      </c>
      <c r="D938" s="26" t="s">
        <v>806</v>
      </c>
      <c r="E938" s="20" t="s">
        <v>1773</v>
      </c>
      <c r="F938" s="21" t="str">
        <f>IF(OR(E938="",E938="!!!"),"",IF(NOT(ISNA(VLOOKUP(E938,E$1:E937,1,FALSE()))),"OLD",IF(AND(E938&lt;&gt;"",E938&lt;&gt;"!!!"),"NEW","")))</f>
        <v>NEW</v>
      </c>
      <c r="G938" s="22" t="s">
        <v>1820</v>
      </c>
      <c r="H938" s="23" t="str">
        <f t="shared" ca="1" si="104"/>
        <v/>
      </c>
      <c r="I938" s="24" t="str">
        <f>IF(OR(E938="",E938="!!!",F938="NEW"),"",INDEX(B$2:B937,-1+SUMPRODUCT(MAX(ROW(E$2:E937)*(E938=E$2:E937)))))</f>
        <v/>
      </c>
      <c r="J938" s="24" t="str">
        <f ca="1">IF(OR(E938="",E938="!!!",F938="NEW"),"",COUNTBLANK(OFFSET(A$1,,,SUMPRODUCT(MAX(ROW(E$2:E938)*(E938=E$2:E938)))))-COUNTBLANK(OFFSET(A$1,,,SUMPRODUCT(MAX(ROW(E$1:E937)*(E2=E$1:E937))))))</f>
        <v/>
      </c>
      <c r="K938" s="24" t="str">
        <f>IF(OR(E938="",E938="!!!",F938="NEW"),"",INDEX(J$1:J937,SUMPRODUCT(MAX(ROW(E$1:E937)*(E938=E$1:E937)))))</f>
        <v/>
      </c>
      <c r="L938" s="25"/>
    </row>
    <row r="939" spans="1:12" x14ac:dyDescent="0.2">
      <c r="A939" t="s">
        <v>802</v>
      </c>
      <c r="E939" s="20" t="str">
        <f t="shared" si="105"/>
        <v/>
      </c>
      <c r="F939" s="21" t="str">
        <f>IF(OR(E939="",E939="!!!"),"",IF(NOT(ISNA(VLOOKUP(E939,E$1:E938,1,FALSE()))),"OLD",IF(AND(E939&lt;&gt;"",E939&lt;&gt;"!!!"),"NEW","")))</f>
        <v/>
      </c>
      <c r="G939" s="22" t="str">
        <f>IF(OR(E939="",E939="!!!"),"",IF(OR(J939=0,AND(J939=1,K939=1),AND(J939=1,I939="SBJ"),AND(J939=1,I939=0)),"?IN_FOCUS",IF(J939&lt;=2,"?ACTIVATED",IF(J939&lt;&gt;"","?FAMILIAR",IF(F939="NEW",IF(ISNA(VLOOKUP(E939,#REF!,1,FALSE())),"?TYPE_IDENTIFIABLE","?REFERENTIAL"),"_")))))</f>
        <v/>
      </c>
      <c r="H939" s="23" t="str">
        <f t="shared" ca="1" si="104"/>
        <v/>
      </c>
      <c r="I939" s="24" t="str">
        <f>IF(OR(E939="",E939="!!!",F939="NEW"),"",INDEX(B$2:B938,-1+SUMPRODUCT(MAX(ROW(E$2:E938)*(E939=E$2:E938)))))</f>
        <v/>
      </c>
      <c r="J939" s="24" t="str">
        <f ca="1">IF(OR(E939="",E939="!!!",F939="NEW"),"",COUNTBLANK(OFFSET(A$1,,,SUMPRODUCT(MAX(ROW(E$2:E939)*(E939=E$2:E939)))))-COUNTBLANK(OFFSET(A$1,,,SUMPRODUCT(MAX(ROW(E$1:E938)*(E2=E$1:E938))))))</f>
        <v/>
      </c>
      <c r="K939" s="24" t="str">
        <f>IF(OR(E939="",E939="!!!",F939="NEW"),"",INDEX(J$1:J938,SUMPRODUCT(MAX(ROW(E$1:E938)*(E939=E$1:E938)))))</f>
        <v/>
      </c>
      <c r="L939" s="25"/>
    </row>
    <row r="940" spans="1:12" x14ac:dyDescent="0.2">
      <c r="A940" t="s">
        <v>845</v>
      </c>
      <c r="E940" s="20" t="str">
        <f t="shared" si="105"/>
        <v/>
      </c>
      <c r="F940" s="21" t="str">
        <f>IF(OR(E940="",E940="!!!"),"",IF(NOT(ISNA(VLOOKUP(E940,E$1:E939,1,FALSE()))),"OLD",IF(AND(E940&lt;&gt;"",E940&lt;&gt;"!!!"),"NEW","")))</f>
        <v/>
      </c>
      <c r="G940" s="22" t="str">
        <f>IF(OR(E940="",E940="!!!"),"",IF(OR(J940=0,AND(J940=1,K940=1),AND(J940=1,I940="SBJ"),AND(J940=1,I940=0)),"?IN_FOCUS",IF(J940&lt;=2,"?ACTIVATED",IF(J940&lt;&gt;"","?FAMILIAR",IF(F940="NEW",IF(ISNA(VLOOKUP(E940,#REF!,1,FALSE())),"?TYPE_IDENTIFIABLE","?REFERENTIAL"),"_")))))</f>
        <v/>
      </c>
      <c r="H940" s="23" t="str">
        <f t="shared" ca="1" si="104"/>
        <v/>
      </c>
      <c r="I940" s="24" t="str">
        <f>IF(OR(E940="",E940="!!!",F940="NEW"),"",INDEX(B$2:B939,-1+SUMPRODUCT(MAX(ROW(E$2:E939)*(E940=E$2:E939)))))</f>
        <v/>
      </c>
      <c r="J940" s="24" t="str">
        <f ca="1">IF(OR(E940="",E940="!!!",F940="NEW"),"",COUNTBLANK(OFFSET(A$1,,,SUMPRODUCT(MAX(ROW(E$2:E940)*(E940=E$2:E940)))))-COUNTBLANK(OFFSET(A$1,,,SUMPRODUCT(MAX(ROW(E$1:E939)*(E2=E$1:E939))))))</f>
        <v/>
      </c>
      <c r="K940" s="24" t="str">
        <f>IF(OR(E940="",E940="!!!",F940="NEW"),"",INDEX(J$1:J939,SUMPRODUCT(MAX(ROW(E$1:E939)*(E940=E$1:E939)))))</f>
        <v/>
      </c>
      <c r="L940" s="25"/>
    </row>
    <row r="941" spans="1:12" x14ac:dyDescent="0.2">
      <c r="A941" t="s">
        <v>1147</v>
      </c>
      <c r="B941" s="26" t="s">
        <v>813</v>
      </c>
      <c r="C941" s="26" t="s">
        <v>847</v>
      </c>
      <c r="D941" s="26" t="s">
        <v>806</v>
      </c>
      <c r="E941" s="20" t="s">
        <v>1773</v>
      </c>
      <c r="F941" s="21" t="str">
        <f>IF(OR(E941="",E941="!!!"),"",IF(NOT(ISNA(VLOOKUP(E941,E$1:E940,1,FALSE()))),"OLD",IF(AND(E941&lt;&gt;"",E941&lt;&gt;"!!!"),"NEW","")))</f>
        <v>OLD</v>
      </c>
      <c r="G941" s="22" t="s">
        <v>1823</v>
      </c>
      <c r="H941" s="23" t="str">
        <f t="shared" ca="1" si="104"/>
        <v/>
      </c>
      <c r="I941" s="24" t="str">
        <f>IF(OR(E941="",E941="!!!",F941="NEW"),"",INDEX(B$2:B940,-1+SUMPRODUCT(MAX(ROW(E$2:E940)*(E941=E$2:E940)))))</f>
        <v>other</v>
      </c>
      <c r="J941" s="24">
        <f ca="1">IF(OR(E941="",E941="!!!",F941="NEW"),"",COUNTBLANK(OFFSET(A$1,,,SUMPRODUCT(MAX(ROW(E$2:E941)*(E941=E$2:E941)))))-COUNTBLANK(OFFSET(A$1,,,SUMPRODUCT(MAX(ROW(E$1:E940)*(E2=E$1:E940))))))</f>
        <v>0</v>
      </c>
      <c r="K941" s="24" t="str">
        <f ca="1">IF(OR(E941="",E941="!!!",F941="NEW"),"",INDEX(J$1:J940,SUMPRODUCT(MAX(ROW(E$1:E940)*(E941=E$1:E940)))))</f>
        <v/>
      </c>
      <c r="L941" s="25"/>
    </row>
    <row r="942" spans="1:12" x14ac:dyDescent="0.2">
      <c r="A942" t="s">
        <v>1151</v>
      </c>
      <c r="E942" s="20" t="str">
        <f t="shared" si="105"/>
        <v/>
      </c>
      <c r="F942" s="21" t="str">
        <f>IF(OR(E942="",E942="!!!"),"",IF(NOT(ISNA(VLOOKUP(E942,E$1:E941,1,FALSE()))),"OLD",IF(AND(E942&lt;&gt;"",E942&lt;&gt;"!!!"),"NEW","")))</f>
        <v/>
      </c>
      <c r="G942" s="22" t="str">
        <f>IF(OR(E942="",E942="!!!"),"",IF(OR(J942=0,AND(J942=1,K942=1),AND(J942=1,I942="SBJ"),AND(J942=1,I942=0)),"?IN_FOCUS",IF(J942&lt;=2,"?ACTIVATED",IF(J942&lt;&gt;"","?FAMILIAR",IF(F942="NEW",IF(ISNA(VLOOKUP(E942,#REF!,1,FALSE())),"?TYPE_IDENTIFIABLE","?REFERENTIAL"),"_")))))</f>
        <v/>
      </c>
      <c r="H942" s="23" t="str">
        <f t="shared" ca="1" si="104"/>
        <v/>
      </c>
      <c r="I942" s="24" t="str">
        <f>IF(OR(E942="",E942="!!!",F942="NEW"),"",INDEX(B$2:B941,-1+SUMPRODUCT(MAX(ROW(E$2:E941)*(E942=E$2:E941)))))</f>
        <v/>
      </c>
      <c r="J942" s="24" t="str">
        <f ca="1">IF(OR(E942="",E942="!!!",F942="NEW"),"",COUNTBLANK(OFFSET(A$1,,,SUMPRODUCT(MAX(ROW(E$2:E942)*(E942=E$2:E942)))))-COUNTBLANK(OFFSET(A$1,,,SUMPRODUCT(MAX(ROW(E$1:E941)*(E2=E$1:E941))))))</f>
        <v/>
      </c>
      <c r="K942" s="24" t="str">
        <f>IF(OR(E942="",E942="!!!",F942="NEW"),"",INDEX(J$1:J941,SUMPRODUCT(MAX(ROW(E$1:E941)*(E942=E$1:E941)))))</f>
        <v/>
      </c>
      <c r="L942" s="25"/>
    </row>
    <row r="943" spans="1:12" x14ac:dyDescent="0.2">
      <c r="A943" t="s">
        <v>845</v>
      </c>
      <c r="E943" s="20" t="str">
        <f t="shared" si="105"/>
        <v/>
      </c>
      <c r="F943" s="21" t="str">
        <f>IF(OR(E943="",E943="!!!"),"",IF(NOT(ISNA(VLOOKUP(E943,E$1:E942,1,FALSE()))),"OLD",IF(AND(E943&lt;&gt;"",E943&lt;&gt;"!!!"),"NEW","")))</f>
        <v/>
      </c>
      <c r="G943" s="22" t="str">
        <f>IF(OR(E943="",E943="!!!"),"",IF(OR(J943=0,AND(J943=1,K943=1),AND(J943=1,I943="SBJ"),AND(J943=1,I943=0)),"?IN_FOCUS",IF(J943&lt;=2,"?ACTIVATED",IF(J943&lt;&gt;"","?FAMILIAR",IF(F943="NEW",IF(ISNA(VLOOKUP(E943,#REF!,1,FALSE())),"?TYPE_IDENTIFIABLE","?REFERENTIAL"),"_")))))</f>
        <v/>
      </c>
      <c r="H943" s="23" t="str">
        <f t="shared" ca="1" si="104"/>
        <v/>
      </c>
      <c r="I943" s="24" t="str">
        <f>IF(OR(E943="",E943="!!!",F943="NEW"),"",INDEX(B$2:B942,-1+SUMPRODUCT(MAX(ROW(E$2:E942)*(E943=E$2:E942)))))</f>
        <v/>
      </c>
      <c r="J943" s="24" t="str">
        <f ca="1">IF(OR(E943="",E943="!!!",F943="NEW"),"",COUNTBLANK(OFFSET(A$1,,,SUMPRODUCT(MAX(ROW(E$2:E943)*(E943=E$2:E943)))))-COUNTBLANK(OFFSET(A$1,,,SUMPRODUCT(MAX(ROW(E$1:E942)*(E2=E$1:E942))))))</f>
        <v/>
      </c>
      <c r="K943" s="24" t="str">
        <f>IF(OR(E943="",E943="!!!",F943="NEW"),"",INDEX(J$1:J942,SUMPRODUCT(MAX(ROW(E$1:E942)*(E943=E$1:E942)))))</f>
        <v/>
      </c>
      <c r="L943" s="25"/>
    </row>
    <row r="944" spans="1:12" x14ac:dyDescent="0.2">
      <c r="A944" t="s">
        <v>832</v>
      </c>
      <c r="E944" s="20" t="str">
        <f t="shared" si="105"/>
        <v/>
      </c>
      <c r="F944" s="21" t="str">
        <f>IF(OR(E944="",E944="!!!"),"",IF(NOT(ISNA(VLOOKUP(E944,E$1:E943,1,FALSE()))),"OLD",IF(AND(E944&lt;&gt;"",E944&lt;&gt;"!!!"),"NEW","")))</f>
        <v/>
      </c>
      <c r="G944" s="22" t="str">
        <f>IF(OR(E944="",E944="!!!"),"",IF(OR(J944=0,AND(J944=1,K944=1),AND(J944=1,I944="SBJ"),AND(J944=1,I944=0)),"?IN_FOCUS",IF(J944&lt;=2,"?ACTIVATED",IF(J944&lt;&gt;"","?FAMILIAR",IF(F944="NEW",IF(ISNA(VLOOKUP(E944,#REF!,1,FALSE())),"?TYPE_IDENTIFIABLE","?REFERENTIAL"),"_")))))</f>
        <v/>
      </c>
      <c r="H944" s="23" t="str">
        <f t="shared" ca="1" si="104"/>
        <v/>
      </c>
      <c r="I944" s="24" t="str">
        <f>IF(OR(E944="",E944="!!!",F944="NEW"),"",INDEX(B$2:B943,-1+SUMPRODUCT(MAX(ROW(E$2:E943)*(E944=E$2:E943)))))</f>
        <v/>
      </c>
      <c r="J944" s="24" t="str">
        <f ca="1">IF(OR(E944="",E944="!!!",F944="NEW"),"",COUNTBLANK(OFFSET(A$1,,,SUMPRODUCT(MAX(ROW(E$2:E944)*(E944=E$2:E944)))))-COUNTBLANK(OFFSET(A$1,,,SUMPRODUCT(MAX(ROW(E$1:E943)*(E2=E$1:E943))))))</f>
        <v/>
      </c>
      <c r="K944" s="24" t="str">
        <f>IF(OR(E944="",E944="!!!",F944="NEW"),"",INDEX(J$1:J943,SUMPRODUCT(MAX(ROW(E$1:E943)*(E944=E$1:E943)))))</f>
        <v/>
      </c>
      <c r="L944" s="25"/>
    </row>
    <row r="945" spans="1:12" x14ac:dyDescent="0.2">
      <c r="A945" t="s">
        <v>866</v>
      </c>
      <c r="B945" s="26" t="s">
        <v>910</v>
      </c>
      <c r="C945" s="26" t="s">
        <v>805</v>
      </c>
      <c r="D945" s="26" t="s">
        <v>806</v>
      </c>
      <c r="E945" s="20"/>
      <c r="F945" s="21" t="s">
        <v>1781</v>
      </c>
      <c r="G945" s="22" t="str">
        <f>IF(OR(E945="",E945="!!!"),"",IF(OR(J945=0,AND(J945=1,K945=1),AND(J945=1,I945="SBJ"),AND(J945=1,I945=0)),"?IN_FOCUS",IF(J945&lt;=2,"?ACTIVATED",IF(J945&lt;&gt;"","?FAMILIAR",IF(F945="NEW",IF(ISNA(VLOOKUP(E945,#REF!,1,FALSE())),"?TYPE_IDENTIFIABLE","?REFERENTIAL"),"_")))))</f>
        <v/>
      </c>
      <c r="H945" s="23" t="str">
        <f t="shared" ca="1" si="104"/>
        <v/>
      </c>
      <c r="I945" s="24" t="str">
        <f>IF(OR(E945="",E945="!!!",F945="NEW"),"",INDEX(B$2:B944,-1+SUMPRODUCT(MAX(ROW(E$2:E944)*(E945=E$2:E944)))))</f>
        <v/>
      </c>
      <c r="J945" s="24" t="str">
        <f ca="1">IF(OR(E945="",E945="!!!",F945="NEW"),"",COUNTBLANK(OFFSET(A$1,,,SUMPRODUCT(MAX(ROW(E$2:E945)*(E945=E$2:E945)))))-COUNTBLANK(OFFSET(A$1,,,SUMPRODUCT(MAX(ROW(E$1:E944)*(E2=E$1:E944))))))</f>
        <v/>
      </c>
      <c r="K945" s="24" t="str">
        <f>IF(OR(E945="",E945="!!!",F945="NEW"),"",INDEX(J$1:J944,SUMPRODUCT(MAX(ROW(E$1:E944)*(E945=E$1:E944)))))</f>
        <v/>
      </c>
      <c r="L945" s="25"/>
    </row>
    <row r="946" spans="1:12" x14ac:dyDescent="0.2">
      <c r="A946" t="s">
        <v>94</v>
      </c>
      <c r="E946" s="20" t="str">
        <f t="shared" si="105"/>
        <v/>
      </c>
      <c r="F946" s="21" t="str">
        <f>IF(OR(E946="",E946="!!!"),"",IF(NOT(ISNA(VLOOKUP(E946,E$1:E945,1,FALSE()))),"OLD",IF(AND(E946&lt;&gt;"",E946&lt;&gt;"!!!"),"NEW","")))</f>
        <v/>
      </c>
      <c r="G946" s="22" t="str">
        <f>IF(OR(E946="",E946="!!!"),"",IF(OR(J946=0,AND(J946=1,K946=1),AND(J946=1,I946="SBJ"),AND(J946=1,I946=0)),"?IN_FOCUS",IF(J946&lt;=2,"?ACTIVATED",IF(J946&lt;&gt;"","?FAMILIAR",IF(F946="NEW",IF(ISNA(VLOOKUP(E946,#REF!,1,FALSE())),"?TYPE_IDENTIFIABLE","?REFERENTIAL"),"_")))))</f>
        <v/>
      </c>
      <c r="H946" s="23" t="str">
        <f t="shared" ca="1" si="104"/>
        <v/>
      </c>
      <c r="I946" s="24" t="str">
        <f>IF(OR(E946="",E946="!!!",F946="NEW"),"",INDEX(B$2:B945,-1+SUMPRODUCT(MAX(ROW(E$2:E945)*(E946=E$2:E945)))))</f>
        <v/>
      </c>
      <c r="J946" s="24" t="str">
        <f ca="1">IF(OR(E946="",E946="!!!",F946="NEW"),"",COUNTBLANK(OFFSET(A$1,,,SUMPRODUCT(MAX(ROW(E$2:E946)*(E946=E$2:E946)))))-COUNTBLANK(OFFSET(A$1,,,SUMPRODUCT(MAX(ROW(E$1:E945)*(E2=E$1:E945))))))</f>
        <v/>
      </c>
      <c r="K946" s="24" t="str">
        <f>IF(OR(E946="",E946="!!!",F946="NEW"),"",INDEX(J$1:J945,SUMPRODUCT(MAX(ROW(E$1:E945)*(E946=E$1:E945)))))</f>
        <v/>
      </c>
      <c r="L946" s="25"/>
    </row>
    <row r="947" spans="1:12" x14ac:dyDescent="0.2">
      <c r="A947" t="s">
        <v>859</v>
      </c>
      <c r="E947" s="20" t="str">
        <f t="shared" si="105"/>
        <v/>
      </c>
      <c r="F947" s="21" t="str">
        <f>IF(OR(E947="",E947="!!!"),"",IF(NOT(ISNA(VLOOKUP(E947,E$1:E946,1,FALSE()))),"OLD",IF(AND(E947&lt;&gt;"",E947&lt;&gt;"!!!"),"NEW","")))</f>
        <v/>
      </c>
      <c r="G947" s="22" t="str">
        <f>IF(OR(E947="",E947="!!!"),"",IF(OR(J947=0,AND(J947=1,K947=1),AND(J947=1,I947="SBJ"),AND(J947=1,I947=0)),"?IN_FOCUS",IF(J947&lt;=2,"?ACTIVATED",IF(J947&lt;&gt;"","?FAMILIAR",IF(F947="NEW",IF(ISNA(VLOOKUP(E947,#REF!,1,FALSE())),"?TYPE_IDENTIFIABLE","?REFERENTIAL"),"_")))))</f>
        <v/>
      </c>
      <c r="H947" s="23" t="str">
        <f t="shared" ca="1" si="104"/>
        <v/>
      </c>
      <c r="I947" s="24" t="str">
        <f>IF(OR(E947="",E947="!!!",F947="NEW"),"",INDEX(B$2:B946,-1+SUMPRODUCT(MAX(ROW(E$2:E946)*(E947=E$2:E946)))))</f>
        <v/>
      </c>
      <c r="J947" s="24" t="str">
        <f ca="1">IF(OR(E947="",E947="!!!",F947="NEW"),"",COUNTBLANK(OFFSET(A$1,,,SUMPRODUCT(MAX(ROW(E$2:E947)*(E947=E$2:E947)))))-COUNTBLANK(OFFSET(A$1,,,SUMPRODUCT(MAX(ROW(E$1:E946)*(E2=E$1:E946))))))</f>
        <v/>
      </c>
      <c r="K947" s="24" t="str">
        <f>IF(OR(E947="",E947="!!!",F947="NEW"),"",INDEX(J$1:J946,SUMPRODUCT(MAX(ROW(E$1:E946)*(E947=E$1:E946)))))</f>
        <v/>
      </c>
      <c r="L947" s="25"/>
    </row>
    <row r="948" spans="1:12" x14ac:dyDescent="0.2">
      <c r="A948" t="s">
        <v>13</v>
      </c>
      <c r="E948" s="20" t="str">
        <f t="shared" si="105"/>
        <v/>
      </c>
      <c r="F948" s="21" t="str">
        <f>IF(OR(E948="",E948="!!!"),"",IF(NOT(ISNA(VLOOKUP(E948,E$1:E947,1,FALSE()))),"OLD",IF(AND(E948&lt;&gt;"",E948&lt;&gt;"!!!"),"NEW","")))</f>
        <v/>
      </c>
      <c r="G948" s="22" t="str">
        <f>IF(OR(E948="",E948="!!!"),"",IF(OR(J948=0,AND(J948=1,K948=1),AND(J948=1,I948="SBJ"),AND(J948=1,I948=0)),"?IN_FOCUS",IF(J948&lt;=2,"?ACTIVATED",IF(J948&lt;&gt;"","?FAMILIAR",IF(F948="NEW",IF(ISNA(VLOOKUP(E948,#REF!,1,FALSE())),"?TYPE_IDENTIFIABLE","?REFERENTIAL"),"_")))))</f>
        <v/>
      </c>
      <c r="H948" s="23" t="str">
        <f t="shared" ca="1" si="104"/>
        <v/>
      </c>
      <c r="I948" s="24" t="str">
        <f>IF(OR(E948="",E948="!!!",F948="NEW"),"",INDEX(B$2:B947,-1+SUMPRODUCT(MAX(ROW(E$2:E947)*(E948=E$2:E947)))))</f>
        <v/>
      </c>
      <c r="J948" s="24" t="str">
        <f ca="1">IF(OR(E948="",E948="!!!",F948="NEW"),"",COUNTBLANK(OFFSET(A$1,,,SUMPRODUCT(MAX(ROW(E$2:E948)*(E948=E$2:E948)))))-COUNTBLANK(OFFSET(A$1,,,SUMPRODUCT(MAX(ROW(E$1:E947)*(E2=E$1:E947))))))</f>
        <v/>
      </c>
      <c r="K948" s="24" t="str">
        <f>IF(OR(E948="",E948="!!!",F948="NEW"),"",INDEX(J$1:J947,SUMPRODUCT(MAX(ROW(E$1:E947)*(E948=E$1:E947)))))</f>
        <v/>
      </c>
      <c r="L948" s="25"/>
    </row>
    <row r="949" spans="1:12" x14ac:dyDescent="0.2">
      <c r="A949" t="s">
        <v>1112</v>
      </c>
      <c r="B949" s="26" t="s">
        <v>914</v>
      </c>
      <c r="C949" s="26" t="s">
        <v>817</v>
      </c>
      <c r="D949" s="26" t="s">
        <v>806</v>
      </c>
      <c r="E949" s="20"/>
      <c r="F949" s="21" t="s">
        <v>1793</v>
      </c>
      <c r="G949" s="22" t="str">
        <f>IF(OR(E949="",E949="!!!"),"",IF(OR(J949=0,AND(J949=1,K949=1),AND(J949=1,I949="SBJ"),AND(J949=1,I949=0)),"?IN_FOCUS",IF(J949&lt;=2,"?ACTIVATED",IF(J949&lt;&gt;"","?FAMILIAR",IF(F949="NEW",IF(ISNA(VLOOKUP(E949,#REF!,1,FALSE())),"?TYPE_IDENTIFIABLE","?REFERENTIAL"),"_")))))</f>
        <v/>
      </c>
      <c r="H949" s="23" t="str">
        <f t="shared" ca="1" si="104"/>
        <v/>
      </c>
      <c r="I949" s="24" t="str">
        <f>IF(OR(E949="",E949="!!!",F949="NEW"),"",INDEX(B$2:B948,-1+SUMPRODUCT(MAX(ROW(E$2:E948)*(E949=E$2:E948)))))</f>
        <v/>
      </c>
      <c r="J949" s="24" t="str">
        <f ca="1">IF(OR(E949="",E949="!!!",F949="NEW"),"",COUNTBLANK(OFFSET(A$1,,,SUMPRODUCT(MAX(ROW(E$2:E949)*(E949=E$2:E949)))))-COUNTBLANK(OFFSET(A$1,,,SUMPRODUCT(MAX(ROW(E$1:E948)*(E2=E$1:E948))))))</f>
        <v/>
      </c>
      <c r="K949" s="24" t="str">
        <f>IF(OR(E949="",E949="!!!",F949="NEW"),"",INDEX(J$1:J948,SUMPRODUCT(MAX(ROW(E$1:E948)*(E949=E$1:E948)))))</f>
        <v/>
      </c>
      <c r="L949" s="25"/>
    </row>
    <row r="950" spans="1:12" x14ac:dyDescent="0.2">
      <c r="A950" t="s">
        <v>30</v>
      </c>
      <c r="B950" s="26" t="s">
        <v>1152</v>
      </c>
      <c r="C950" s="26" t="s">
        <v>820</v>
      </c>
      <c r="D950" s="26" t="s">
        <v>806</v>
      </c>
      <c r="E950" s="20" t="s">
        <v>1771</v>
      </c>
      <c r="F950" s="21" t="str">
        <f>IF(OR(E950="",E950="!!!"),"",IF(NOT(ISNA(VLOOKUP(E950,E$1:E949,1,FALSE()))),"OLD",IF(AND(E950&lt;&gt;"",E950&lt;&gt;"!!!"),"NEW","")))</f>
        <v>OLD</v>
      </c>
      <c r="G950" s="22" t="s">
        <v>1822</v>
      </c>
      <c r="H950" s="23" t="str">
        <f t="shared" ca="1" si="104"/>
        <v/>
      </c>
      <c r="I950" s="24" t="str">
        <f>IF(OR(E950="",E950="!!!",F950="NEW"),"",INDEX(B$2:B949,-1+SUMPRODUCT(MAX(ROW(E$2:E949)*(E950=E$2:E949)))))</f>
        <v>SBJ</v>
      </c>
      <c r="J950" s="24">
        <f ca="1">IF(OR(E950="",E950="!!!",F950="NEW"),"",COUNTBLANK(OFFSET(A$1,,,SUMPRODUCT(MAX(ROW(E$2:E950)*(E950=E$2:E950)))))-COUNTBLANK(OFFSET(A$1,,,SUMPRODUCT(MAX(ROW(E$1:E949)*(E2=E$1:E949))))))</f>
        <v>0</v>
      </c>
      <c r="K950" s="24">
        <f ca="1">IF(OR(E950="",E950="!!!",F950="NEW"),"",INDEX(J$1:J949,SUMPRODUCT(MAX(ROW(E$1:E949)*(E950=E$1:E949)))))</f>
        <v>0</v>
      </c>
      <c r="L950" s="25"/>
    </row>
    <row r="951" spans="1:12" x14ac:dyDescent="0.2">
      <c r="A951" t="s">
        <v>802</v>
      </c>
      <c r="E951" s="20" t="str">
        <f t="shared" si="105"/>
        <v/>
      </c>
      <c r="F951" s="21" t="str">
        <f>IF(OR(E951="",E951="!!!"),"",IF(NOT(ISNA(VLOOKUP(E951,E$1:E950,1,FALSE()))),"OLD",IF(AND(E951&lt;&gt;"",E951&lt;&gt;"!!!"),"NEW","")))</f>
        <v/>
      </c>
      <c r="G951" s="22" t="str">
        <f>IF(OR(E951="",E951="!!!"),"",IF(OR(J951=0,AND(J951=1,K951=1),AND(J951=1,I951="SBJ"),AND(J951=1,I951=0)),"?IN_FOCUS",IF(J951&lt;=2,"?ACTIVATED",IF(J951&lt;&gt;"","?FAMILIAR",IF(F951="NEW",IF(ISNA(VLOOKUP(E951,#REF!,1,FALSE())),"?TYPE_IDENTIFIABLE","?REFERENTIAL"),"_")))))</f>
        <v/>
      </c>
      <c r="H951" s="23" t="str">
        <f t="shared" ca="1" si="104"/>
        <v/>
      </c>
      <c r="I951" s="24" t="str">
        <f>IF(OR(E951="",E951="!!!",F951="NEW"),"",INDEX(B$2:B950,-1+SUMPRODUCT(MAX(ROW(E$2:E950)*(E951=E$2:E950)))))</f>
        <v/>
      </c>
      <c r="J951" s="24" t="str">
        <f ca="1">IF(OR(E951="",E951="!!!",F951="NEW"),"",COUNTBLANK(OFFSET(A$1,,,SUMPRODUCT(MAX(ROW(E$2:E951)*(E951=E$2:E951)))))-COUNTBLANK(OFFSET(A$1,,,SUMPRODUCT(MAX(ROW(E$1:E950)*(E2=E$1:E950))))))</f>
        <v/>
      </c>
      <c r="K951" s="24" t="str">
        <f>IF(OR(E951="",E951="!!!",F951="NEW"),"",INDEX(J$1:J950,SUMPRODUCT(MAX(ROW(E$1:E950)*(E951=E$1:E950)))))</f>
        <v/>
      </c>
      <c r="L951" s="25"/>
    </row>
    <row r="952" spans="1:12" x14ac:dyDescent="0.2">
      <c r="A952" t="s">
        <v>866</v>
      </c>
      <c r="B952" s="26" t="s">
        <v>950</v>
      </c>
      <c r="C952" s="26" t="s">
        <v>805</v>
      </c>
      <c r="D952" s="26" t="s">
        <v>806</v>
      </c>
      <c r="E952" s="20"/>
      <c r="F952" s="21" t="s">
        <v>1781</v>
      </c>
      <c r="G952" s="22" t="str">
        <f>IF(OR(E952="",E952="!!!"),"",IF(OR(J952=0,AND(J952=1,K952=1),AND(J952=1,I952="SBJ"),AND(J952=1,I952=0)),"?IN_FOCUS",IF(J952&lt;=2,"?ACTIVATED",IF(J952&lt;&gt;"","?FAMILIAR",IF(F952="NEW",IF(ISNA(VLOOKUP(E952,#REF!,1,FALSE())),"?TYPE_IDENTIFIABLE","?REFERENTIAL"),"_")))))</f>
        <v/>
      </c>
      <c r="H952" s="23" t="str">
        <f t="shared" ca="1" si="104"/>
        <v/>
      </c>
      <c r="I952" s="24" t="str">
        <f>IF(OR(E952="",E952="!!!",F952="NEW"),"",INDEX(B$2:B951,-1+SUMPRODUCT(MAX(ROW(E$2:E951)*(E952=E$2:E951)))))</f>
        <v/>
      </c>
      <c r="J952" s="24" t="str">
        <f ca="1">IF(OR(E952="",E952="!!!",F952="NEW"),"",COUNTBLANK(OFFSET(A$1,,,SUMPRODUCT(MAX(ROW(E$2:E952)*(E952=E$2:E952)))))-COUNTBLANK(OFFSET(A$1,,,SUMPRODUCT(MAX(ROW(E$1:E951)*(E2=E$1:E951))))))</f>
        <v/>
      </c>
      <c r="K952" s="24" t="str">
        <f>IF(OR(E952="",E952="!!!",F952="NEW"),"",INDEX(J$1:J951,SUMPRODUCT(MAX(ROW(E$1:E951)*(E952=E$1:E951)))))</f>
        <v/>
      </c>
      <c r="L952" s="25"/>
    </row>
    <row r="953" spans="1:12" x14ac:dyDescent="0.2">
      <c r="A953" t="s">
        <v>19</v>
      </c>
      <c r="E953" s="20" t="str">
        <f t="shared" si="105"/>
        <v/>
      </c>
      <c r="F953" s="21" t="str">
        <f>IF(OR(E953="",E953="!!!"),"",IF(NOT(ISNA(VLOOKUP(E953,E$1:E952,1,FALSE()))),"OLD",IF(AND(E953&lt;&gt;"",E953&lt;&gt;"!!!"),"NEW","")))</f>
        <v/>
      </c>
      <c r="G953" s="22" t="str">
        <f>IF(OR(E953="",E953="!!!"),"",IF(OR(J953=0,AND(J953=1,K953=1),AND(J953=1,I953="SBJ"),AND(J953=1,I953=0)),"?IN_FOCUS",IF(J953&lt;=2,"?ACTIVATED",IF(J953&lt;&gt;"","?FAMILIAR",IF(F953="NEW",IF(ISNA(VLOOKUP(E953,#REF!,1,FALSE())),"?TYPE_IDENTIFIABLE","?REFERENTIAL"),"_")))))</f>
        <v/>
      </c>
      <c r="H953" s="23" t="str">
        <f t="shared" ca="1" si="104"/>
        <v/>
      </c>
      <c r="I953" s="24" t="str">
        <f>IF(OR(E953="",E953="!!!",F953="NEW"),"",INDEX(B$2:B952,-1+SUMPRODUCT(MAX(ROW(E$2:E952)*(E953=E$2:E952)))))</f>
        <v/>
      </c>
      <c r="J953" s="24" t="str">
        <f ca="1">IF(OR(E953="",E953="!!!",F953="NEW"),"",COUNTBLANK(OFFSET(A$1,,,SUMPRODUCT(MAX(ROW(E$2:E953)*(E953=E$2:E953)))))-COUNTBLANK(OFFSET(A$1,,,SUMPRODUCT(MAX(ROW(E$1:E952)*(E2=E$1:E952))))))</f>
        <v/>
      </c>
      <c r="K953" s="24" t="str">
        <f>IF(OR(E953="",E953="!!!",F953="NEW"),"",INDEX(J$1:J952,SUMPRODUCT(MAX(ROW(E$1:E952)*(E953=E$1:E952)))))</f>
        <v/>
      </c>
      <c r="L953" s="25"/>
    </row>
    <row r="954" spans="1:12" x14ac:dyDescent="0.2">
      <c r="A954" t="s">
        <v>845</v>
      </c>
      <c r="E954" s="20" t="str">
        <f t="shared" si="105"/>
        <v/>
      </c>
      <c r="F954" s="21" t="str">
        <f>IF(OR(E954="",E954="!!!"),"",IF(NOT(ISNA(VLOOKUP(E954,E$1:E953,1,FALSE()))),"OLD",IF(AND(E954&lt;&gt;"",E954&lt;&gt;"!!!"),"NEW","")))</f>
        <v/>
      </c>
      <c r="G954" s="22" t="str">
        <f>IF(OR(E954="",E954="!!!"),"",IF(OR(J954=0,AND(J954=1,K954=1),AND(J954=1,I954="SBJ"),AND(J954=1,I954=0)),"?IN_FOCUS",IF(J954&lt;=2,"?ACTIVATED",IF(J954&lt;&gt;"","?FAMILIAR",IF(F954="NEW",IF(ISNA(VLOOKUP(E954,#REF!,1,FALSE())),"?TYPE_IDENTIFIABLE","?REFERENTIAL"),"_")))))</f>
        <v/>
      </c>
      <c r="H954" s="23" t="str">
        <f t="shared" ca="1" si="104"/>
        <v/>
      </c>
      <c r="I954" s="24" t="str">
        <f>IF(OR(E954="",E954="!!!",F954="NEW"),"",INDEX(B$2:B953,-1+SUMPRODUCT(MAX(ROW(E$2:E953)*(E954=E$2:E953)))))</f>
        <v/>
      </c>
      <c r="J954" s="24" t="str">
        <f ca="1">IF(OR(E954="",E954="!!!",F954="NEW"),"",COUNTBLANK(OFFSET(A$1,,,SUMPRODUCT(MAX(ROW(E$2:E954)*(E954=E$2:E954)))))-COUNTBLANK(OFFSET(A$1,,,SUMPRODUCT(MAX(ROW(E$1:E953)*(E2=E$1:E953))))))</f>
        <v/>
      </c>
      <c r="K954" s="24" t="str">
        <f>IF(OR(E954="",E954="!!!",F954="NEW"),"",INDEX(J$1:J953,SUMPRODUCT(MAX(ROW(E$1:E953)*(E954=E$1:E953)))))</f>
        <v/>
      </c>
      <c r="L954" s="25"/>
    </row>
    <row r="955" spans="1:12" x14ac:dyDescent="0.2">
      <c r="A955" t="s">
        <v>30</v>
      </c>
      <c r="B955" s="26" t="s">
        <v>938</v>
      </c>
      <c r="C955" s="26" t="s">
        <v>847</v>
      </c>
      <c r="D955" s="26" t="s">
        <v>806</v>
      </c>
      <c r="E955" s="20" t="s">
        <v>1771</v>
      </c>
      <c r="F955" s="21" t="str">
        <f>IF(OR(E955="",E955="!!!"),"",IF(NOT(ISNA(VLOOKUP(E955,E$1:E954,1,FALSE()))),"OLD",IF(AND(E955&lt;&gt;"",E955&lt;&gt;"!!!"),"NEW","")))</f>
        <v>OLD</v>
      </c>
      <c r="G955" s="22" t="s">
        <v>1822</v>
      </c>
      <c r="H955" s="23" t="str">
        <f t="shared" ca="1" si="104"/>
        <v/>
      </c>
      <c r="I955" s="24" t="str">
        <f>IF(OR(E955="",E955="!!!",F955="NEW"),"",INDEX(B$2:B954,-1+SUMPRODUCT(MAX(ROW(E$2:E954)*(E955=E$2:E954)))))</f>
        <v>OBJ_6</v>
      </c>
      <c r="J955" s="24">
        <f ca="1">IF(OR(E955="",E955="!!!",F955="NEW"),"",COUNTBLANK(OFFSET(A$1,,,SUMPRODUCT(MAX(ROW(E$2:E955)*(E955=E$2:E955)))))-COUNTBLANK(OFFSET(A$1,,,SUMPRODUCT(MAX(ROW(E$1:E954)*(E2=E$1:E954))))))</f>
        <v>0</v>
      </c>
      <c r="K955" s="24">
        <f ca="1">IF(OR(E955="",E955="!!!",F955="NEW"),"",INDEX(J$1:J954,SUMPRODUCT(MAX(ROW(E$1:E954)*(E955=E$1:E954)))))</f>
        <v>0</v>
      </c>
      <c r="L955" s="25"/>
    </row>
    <row r="956" spans="1:12" x14ac:dyDescent="0.2">
      <c r="A956" t="s">
        <v>821</v>
      </c>
      <c r="E956" s="20" t="str">
        <f t="shared" si="105"/>
        <v/>
      </c>
      <c r="F956" s="21" t="str">
        <f>IF(OR(E956="",E956="!!!"),"",IF(NOT(ISNA(VLOOKUP(E956,E$1:E955,1,FALSE()))),"OLD",IF(AND(E956&lt;&gt;"",E956&lt;&gt;"!!!"),"NEW","")))</f>
        <v/>
      </c>
      <c r="G956" s="22" t="str">
        <f>IF(OR(E956="",E956="!!!"),"",IF(OR(J956=0,AND(J956=1,K956=1),AND(J956=1,I956="SBJ"),AND(J956=1,I956=0)),"?IN_FOCUS",IF(J956&lt;=2,"?ACTIVATED",IF(J956&lt;&gt;"","?FAMILIAR",IF(F956="NEW",IF(ISNA(VLOOKUP(E956,#REF!,1,FALSE())),"?TYPE_IDENTIFIABLE","?REFERENTIAL"),"_")))))</f>
        <v/>
      </c>
      <c r="H956" s="23" t="str">
        <f t="shared" ca="1" si="104"/>
        <v/>
      </c>
      <c r="I956" s="24" t="str">
        <f>IF(OR(E956="",E956="!!!",F956="NEW"),"",INDEX(B$2:B955,-1+SUMPRODUCT(MAX(ROW(E$2:E955)*(E956=E$2:E955)))))</f>
        <v/>
      </c>
      <c r="J956" s="24" t="str">
        <f ca="1">IF(OR(E956="",E956="!!!",F956="NEW"),"",COUNTBLANK(OFFSET(A$1,,,SUMPRODUCT(MAX(ROW(E$2:E956)*(E956=E$2:E956)))))-COUNTBLANK(OFFSET(A$1,,,SUMPRODUCT(MAX(ROW(E$1:E955)*(E2=E$1:E955))))))</f>
        <v/>
      </c>
      <c r="K956" s="24" t="str">
        <f>IF(OR(E956="",E956="!!!",F956="NEW"),"",INDEX(J$1:J955,SUMPRODUCT(MAX(ROW(E$1:E955)*(E956=E$1:E955)))))</f>
        <v/>
      </c>
      <c r="L956" s="25"/>
    </row>
    <row r="958" spans="1:12" x14ac:dyDescent="0.2">
      <c r="A958" t="s">
        <v>1153</v>
      </c>
    </row>
    <row r="959" spans="1:12" x14ac:dyDescent="0.2">
      <c r="A959" t="s">
        <v>803</v>
      </c>
      <c r="B959" s="26" t="s">
        <v>804</v>
      </c>
      <c r="C959" s="26" t="s">
        <v>805</v>
      </c>
      <c r="D959" s="26" t="s">
        <v>806</v>
      </c>
      <c r="E959" s="20" t="s">
        <v>1747</v>
      </c>
      <c r="F959" s="21" t="s">
        <v>1753</v>
      </c>
      <c r="G959" s="22" t="s">
        <v>1823</v>
      </c>
      <c r="H959" s="23" t="str">
        <f t="shared" ref="H959:H969" ca="1" si="106">IF(J959&lt;&gt;1,"",IF(I959="SBJ","CB","?"))</f>
        <v/>
      </c>
      <c r="I959" s="24" t="str">
        <f>IF(OR(E959="",E959="!!!",F959="NEW"),"",INDEX(B$2:B958,-1+SUMPRODUCT(MAX(ROW(E$2:E958)*(E959=E$2:E958)))))</f>
        <v>SBJ_2</v>
      </c>
      <c r="J959" s="24">
        <f ca="1">IF(OR(E959="",E959="!!!",F959="NEW"),"",COUNTBLANK(OFFSET(A$1,,,SUMPRODUCT(MAX(ROW(E$2:E959)*(E959=E$2:E959)))))-COUNTBLANK(OFFSET(A$1,,,SUMPRODUCT(MAX(ROW(E$1:E958)*(E2=E$1:E958))))))</f>
        <v>0</v>
      </c>
      <c r="K959" s="24">
        <f ca="1">IF(OR(E959="",E959="!!!",F959="NEW"),"",INDEX(J$1:J958,SUMPRODUCT(MAX(ROW(E$1:E958)*(E959=E$1:E958)))))</f>
        <v>0</v>
      </c>
      <c r="L959" s="25"/>
    </row>
    <row r="960" spans="1:12" x14ac:dyDescent="0.2">
      <c r="A960" t="s">
        <v>828</v>
      </c>
      <c r="E960" s="20" t="str">
        <f t="shared" ref="E960:E969" si="107">IF(D960="?OLD","!!!","")</f>
        <v/>
      </c>
      <c r="F960" s="21" t="str">
        <f>IF(OR(E960="",E960="!!!"),"",IF(NOT(ISNA(VLOOKUP(E960,E$1:E959,1,FALSE()))),"OLD",IF(AND(E960&lt;&gt;"",E960&lt;&gt;"!!!"),"NEW","")))</f>
        <v/>
      </c>
      <c r="G960" s="22" t="str">
        <f>IF(OR(E960="",E960="!!!"),"",IF(OR(J960=0,AND(J960=1,K960=1),AND(J960=1,I960="SBJ"),AND(J960=1,I960=0)),"?IN_FOCUS",IF(J960&lt;=2,"?ACTIVATED",IF(J960&lt;&gt;"","?FAMILIAR",IF(F960="NEW",IF(ISNA(VLOOKUP(E960,#REF!,1,FALSE())),"?TYPE_IDENTIFIABLE","?REFERENTIAL"),"_")))))</f>
        <v/>
      </c>
      <c r="H960" s="23" t="str">
        <f t="shared" ca="1" si="106"/>
        <v/>
      </c>
      <c r="I960" s="24" t="str">
        <f>IF(OR(E960="",E960="!!!",F960="NEW"),"",INDEX(B$2:B959,-1+SUMPRODUCT(MAX(ROW(E$2:E959)*(E960=E$2:E959)))))</f>
        <v/>
      </c>
      <c r="J960" s="24" t="str">
        <f ca="1">IF(OR(E960="",E960="!!!",F960="NEW"),"",COUNTBLANK(OFFSET(A$1,,,SUMPRODUCT(MAX(ROW(E$2:E960)*(E960=E$2:E960)))))-COUNTBLANK(OFFSET(A$1,,,SUMPRODUCT(MAX(ROW(E$1:E959)*(E2=E$1:E959))))))</f>
        <v/>
      </c>
      <c r="K960" s="24" t="str">
        <f>IF(OR(E960="",E960="!!!",F960="NEW"),"",INDEX(J$1:J959,SUMPRODUCT(MAX(ROW(E$1:E959)*(E960=E$1:E959)))))</f>
        <v/>
      </c>
      <c r="L960" s="25"/>
    </row>
    <row r="961" spans="1:12" x14ac:dyDescent="0.2">
      <c r="A961" t="s">
        <v>1154</v>
      </c>
      <c r="E961" s="20" t="str">
        <f t="shared" si="107"/>
        <v/>
      </c>
      <c r="F961" s="21" t="str">
        <f>IF(OR(E961="",E961="!!!"),"",IF(NOT(ISNA(VLOOKUP(E961,E$1:E960,1,FALSE()))),"OLD",IF(AND(E961&lt;&gt;"",E961&lt;&gt;"!!!"),"NEW","")))</f>
        <v/>
      </c>
      <c r="G961" s="22" t="str">
        <f>IF(OR(E961="",E961="!!!"),"",IF(OR(J961=0,AND(J961=1,K961=1),AND(J961=1,I961="SBJ"),AND(J961=1,I961=0)),"?IN_FOCUS",IF(J961&lt;=2,"?ACTIVATED",IF(J961&lt;&gt;"","?FAMILIAR",IF(F961="NEW",IF(ISNA(VLOOKUP(E961,#REF!,1,FALSE())),"?TYPE_IDENTIFIABLE","?REFERENTIAL"),"_")))))</f>
        <v/>
      </c>
      <c r="H961" s="23" t="str">
        <f t="shared" ca="1" si="106"/>
        <v/>
      </c>
      <c r="I961" s="24" t="str">
        <f>IF(OR(E961="",E961="!!!",F961="NEW"),"",INDEX(B$2:B960,-1+SUMPRODUCT(MAX(ROW(E$2:E960)*(E961=E$2:E960)))))</f>
        <v/>
      </c>
      <c r="J961" s="24" t="str">
        <f ca="1">IF(OR(E961="",E961="!!!",F961="NEW"),"",COUNTBLANK(OFFSET(A$1,,,SUMPRODUCT(MAX(ROW(E$2:E961)*(E961=E$2:E961)))))-COUNTBLANK(OFFSET(A$1,,,SUMPRODUCT(MAX(ROW(E$1:E960)*(E2=E$1:E960))))))</f>
        <v/>
      </c>
      <c r="K961" s="24" t="str">
        <f>IF(OR(E961="",E961="!!!",F961="NEW"),"",INDEX(J$1:J960,SUMPRODUCT(MAX(ROW(E$1:E960)*(E961=E$1:E960)))))</f>
        <v/>
      </c>
      <c r="L961" s="25"/>
    </row>
    <row r="962" spans="1:12" x14ac:dyDescent="0.2">
      <c r="A962" t="s">
        <v>830</v>
      </c>
      <c r="B962" s="26" t="s">
        <v>810</v>
      </c>
      <c r="C962" s="26" t="s">
        <v>805</v>
      </c>
      <c r="D962" s="26" t="s">
        <v>806</v>
      </c>
      <c r="E962" s="20" t="s">
        <v>1771</v>
      </c>
      <c r="F962" s="21" t="str">
        <f>IF(OR(E962="",E962="!!!"),"",IF(NOT(ISNA(VLOOKUP(E962,E$1:E961,1,FALSE()))),"OLD",IF(AND(E962&lt;&gt;"",E962&lt;&gt;"!!!"),"NEW","")))</f>
        <v>OLD</v>
      </c>
      <c r="G962" s="22" t="s">
        <v>1822</v>
      </c>
      <c r="H962" s="23" t="str">
        <f t="shared" ca="1" si="106"/>
        <v/>
      </c>
      <c r="I962" s="24" t="str">
        <f>IF(OR(E962="",E962="!!!",F962="NEW"),"",INDEX(B$2:B961,-1+SUMPRODUCT(MAX(ROW(E$2:E961)*(E962=E$2:E961)))))</f>
        <v>OBJ_2</v>
      </c>
      <c r="J962" s="24">
        <f ca="1">IF(OR(E962="",E962="!!!",F962="NEW"),"",COUNTBLANK(OFFSET(A$1,,,SUMPRODUCT(MAX(ROW(E$2:E962)*(E962=E$2:E962)))))-COUNTBLANK(OFFSET(A$1,,,SUMPRODUCT(MAX(ROW(E$1:E961)*(E2=E$1:E961))))))</f>
        <v>0</v>
      </c>
      <c r="K962" s="24">
        <f ca="1">IF(OR(E962="",E962="!!!",F962="NEW"),"",INDEX(J$1:J961,SUMPRODUCT(MAX(ROW(E$1:E961)*(E962=E$1:E961)))))</f>
        <v>0</v>
      </c>
      <c r="L962" s="25"/>
    </row>
    <row r="963" spans="1:12" x14ac:dyDescent="0.2">
      <c r="A963" t="s">
        <v>894</v>
      </c>
      <c r="E963" s="20" t="str">
        <f t="shared" si="107"/>
        <v/>
      </c>
      <c r="F963" s="21" t="str">
        <f>IF(OR(E963="",E963="!!!"),"",IF(NOT(ISNA(VLOOKUP(E963,E$1:E962,1,FALSE()))),"OLD",IF(AND(E963&lt;&gt;"",E963&lt;&gt;"!!!"),"NEW","")))</f>
        <v/>
      </c>
      <c r="G963" s="22" t="str">
        <f>IF(OR(E963="",E963="!!!"),"",IF(OR(J963=0,AND(J963=1,K963=1),AND(J963=1,I963="SBJ"),AND(J963=1,I963=0)),"?IN_FOCUS",IF(J963&lt;=2,"?ACTIVATED",IF(J963&lt;&gt;"","?FAMILIAR",IF(F963="NEW",IF(ISNA(VLOOKUP(E963,#REF!,1,FALSE())),"?TYPE_IDENTIFIABLE","?REFERENTIAL"),"_")))))</f>
        <v/>
      </c>
      <c r="H963" s="23" t="str">
        <f t="shared" ca="1" si="106"/>
        <v/>
      </c>
      <c r="I963" s="24" t="str">
        <f>IF(OR(E963="",E963="!!!",F963="NEW"),"",INDEX(B$2:B962,-1+SUMPRODUCT(MAX(ROW(E$2:E962)*(E963=E$2:E962)))))</f>
        <v/>
      </c>
      <c r="J963" s="24" t="str">
        <f ca="1">IF(OR(E963="",E963="!!!",F963="NEW"),"",COUNTBLANK(OFFSET(A$1,,,SUMPRODUCT(MAX(ROW(E$2:E963)*(E963=E$2:E963)))))-COUNTBLANK(OFFSET(A$1,,,SUMPRODUCT(MAX(ROW(E$1:E962)*(E2=E$1:E962))))))</f>
        <v/>
      </c>
      <c r="K963" s="24" t="str">
        <f>IF(OR(E963="",E963="!!!",F963="NEW"),"",INDEX(J$1:J962,SUMPRODUCT(MAX(ROW(E$1:E962)*(E963=E$1:E962)))))</f>
        <v/>
      </c>
      <c r="L963" s="25"/>
    </row>
    <row r="964" spans="1:12" x14ac:dyDescent="0.2">
      <c r="A964" t="s">
        <v>809</v>
      </c>
      <c r="E964" s="20" t="str">
        <f t="shared" si="107"/>
        <v/>
      </c>
      <c r="F964" s="21" t="str">
        <f>IF(OR(E964="",E964="!!!"),"",IF(NOT(ISNA(VLOOKUP(E964,E$1:E963,1,FALSE()))),"OLD",IF(AND(E964&lt;&gt;"",E964&lt;&gt;"!!!"),"NEW","")))</f>
        <v/>
      </c>
      <c r="G964" s="22" t="str">
        <f>IF(OR(E964="",E964="!!!"),"",IF(OR(J964=0,AND(J964=1,K964=1),AND(J964=1,I964="SBJ"),AND(J964=1,I964=0)),"?IN_FOCUS",IF(J964&lt;=2,"?ACTIVATED",IF(J964&lt;&gt;"","?FAMILIAR",IF(F964="NEW",IF(ISNA(VLOOKUP(E964,#REF!,1,FALSE())),"?TYPE_IDENTIFIABLE","?REFERENTIAL"),"_")))))</f>
        <v/>
      </c>
      <c r="H964" s="23" t="str">
        <f t="shared" ca="1" si="106"/>
        <v/>
      </c>
      <c r="I964" s="24" t="str">
        <f>IF(OR(E964="",E964="!!!",F964="NEW"),"",INDEX(B$2:B963,-1+SUMPRODUCT(MAX(ROW(E$2:E963)*(E964=E$2:E963)))))</f>
        <v/>
      </c>
      <c r="J964" s="24" t="str">
        <f ca="1">IF(OR(E964="",E964="!!!",F964="NEW"),"",COUNTBLANK(OFFSET(A$1,,,SUMPRODUCT(MAX(ROW(E$2:E964)*(E964=E$2:E964)))))-COUNTBLANK(OFFSET(A$1,,,SUMPRODUCT(MAX(ROW(E$1:E963)*(E2=E$1:E963))))))</f>
        <v/>
      </c>
      <c r="K964" s="24" t="str">
        <f>IF(OR(E964="",E964="!!!",F964="NEW"),"",INDEX(J$1:J963,SUMPRODUCT(MAX(ROW(E$1:E963)*(E964=E$1:E963)))))</f>
        <v/>
      </c>
      <c r="L964" s="25"/>
    </row>
    <row r="965" spans="1:12" x14ac:dyDescent="0.2">
      <c r="A965" t="s">
        <v>1155</v>
      </c>
      <c r="B965" s="26" t="s">
        <v>819</v>
      </c>
      <c r="C965" s="26" t="s">
        <v>811</v>
      </c>
      <c r="E965" s="20" t="s">
        <v>1155</v>
      </c>
      <c r="F965" s="21" t="str">
        <f>IF(OR(E965="",E965="!!!"),"",IF(NOT(ISNA(VLOOKUP(E965,E$1:E964,1,FALSE()))),"OLD",IF(AND(E965&lt;&gt;"",E965&lt;&gt;"!!!"),"NEW","")))</f>
        <v>NEW</v>
      </c>
      <c r="G965" s="22" t="s">
        <v>1827</v>
      </c>
      <c r="H965" s="23" t="str">
        <f t="shared" ca="1" si="106"/>
        <v/>
      </c>
      <c r="I965" s="24" t="str">
        <f>IF(OR(E965="",E965="!!!",F965="NEW"),"",INDEX(B$2:B964,-1+SUMPRODUCT(MAX(ROW(E$2:E964)*(E965=E$2:E964)))))</f>
        <v/>
      </c>
      <c r="J965" s="24" t="str">
        <f ca="1">IF(OR(E965="",E965="!!!",F965="NEW"),"",COUNTBLANK(OFFSET(A$1,,,SUMPRODUCT(MAX(ROW(E$2:E965)*(E965=E$2:E965)))))-COUNTBLANK(OFFSET(A$1,,,SUMPRODUCT(MAX(ROW(E$1:E964)*(E2=E$1:E964))))))</f>
        <v/>
      </c>
      <c r="K965" s="24" t="str">
        <f>IF(OR(E965="",E965="!!!",F965="NEW"),"",INDEX(J$1:J964,SUMPRODUCT(MAX(ROW(E$1:E964)*(E965=E$1:E964)))))</f>
        <v/>
      </c>
      <c r="L965" s="25"/>
    </row>
    <row r="966" spans="1:12" x14ac:dyDescent="0.2">
      <c r="A966" t="s">
        <v>815</v>
      </c>
      <c r="E966" s="20" t="str">
        <f t="shared" si="107"/>
        <v/>
      </c>
      <c r="F966" s="21" t="str">
        <f>IF(OR(E966="",E966="!!!"),"",IF(NOT(ISNA(VLOOKUP(E966,E$1:E965,1,FALSE()))),"OLD",IF(AND(E966&lt;&gt;"",E966&lt;&gt;"!!!"),"NEW","")))</f>
        <v/>
      </c>
      <c r="G966" s="22" t="str">
        <f>IF(OR(E966="",E966="!!!"),"",IF(OR(J966=0,AND(J966=1,K966=1),AND(J966=1,I966="SBJ"),AND(J966=1,I966=0)),"?IN_FOCUS",IF(J966&lt;=2,"?ACTIVATED",IF(J966&lt;&gt;"","?FAMILIAR",IF(F966="NEW",IF(ISNA(VLOOKUP(E966,#REF!,1,FALSE())),"?TYPE_IDENTIFIABLE","?REFERENTIAL"),"_")))))</f>
        <v/>
      </c>
      <c r="H966" s="23" t="str">
        <f t="shared" ca="1" si="106"/>
        <v/>
      </c>
      <c r="I966" s="24" t="str">
        <f>IF(OR(E966="",E966="!!!",F966="NEW"),"",INDEX(B$2:B965,-1+SUMPRODUCT(MAX(ROW(E$2:E965)*(E966=E$2:E965)))))</f>
        <v/>
      </c>
      <c r="J966" s="24" t="str">
        <f ca="1">IF(OR(E966="",E966="!!!",F966="NEW"),"",COUNTBLANK(OFFSET(A$1,,,SUMPRODUCT(MAX(ROW(E$2:E966)*(E966=E$2:E966)))))-COUNTBLANK(OFFSET(A$1,,,SUMPRODUCT(MAX(ROW(E$1:E965)*(E2=E$1:E965))))))</f>
        <v/>
      </c>
      <c r="K966" s="24" t="str">
        <f>IF(OR(E966="",E966="!!!",F966="NEW"),"",INDEX(J$1:J965,SUMPRODUCT(MAX(ROW(E$1:E965)*(E966=E$1:E965)))))</f>
        <v/>
      </c>
      <c r="L966" s="25"/>
    </row>
    <row r="967" spans="1:12" x14ac:dyDescent="0.2">
      <c r="A967" t="s">
        <v>1156</v>
      </c>
      <c r="E967" s="20" t="str">
        <f t="shared" si="107"/>
        <v/>
      </c>
      <c r="F967" s="21" t="str">
        <f>IF(OR(E967="",E967="!!!"),"",IF(NOT(ISNA(VLOOKUP(E967,E$1:E966,1,FALSE()))),"OLD",IF(AND(E967&lt;&gt;"",E967&lt;&gt;"!!!"),"NEW","")))</f>
        <v/>
      </c>
      <c r="G967" s="22" t="str">
        <f>IF(OR(E967="",E967="!!!"),"",IF(OR(J967=0,AND(J967=1,K967=1),AND(J967=1,I967="SBJ"),AND(J967=1,I967=0)),"?IN_FOCUS",IF(J967&lt;=2,"?ACTIVATED",IF(J967&lt;&gt;"","?FAMILIAR",IF(F967="NEW",IF(ISNA(VLOOKUP(E967,#REF!,1,FALSE())),"?TYPE_IDENTIFIABLE","?REFERENTIAL"),"_")))))</f>
        <v/>
      </c>
      <c r="H967" s="23" t="str">
        <f t="shared" ca="1" si="106"/>
        <v/>
      </c>
      <c r="I967" s="24" t="str">
        <f>IF(OR(E967="",E967="!!!",F967="NEW"),"",INDEX(B$2:B966,-1+SUMPRODUCT(MAX(ROW(E$2:E966)*(E967=E$2:E966)))))</f>
        <v/>
      </c>
      <c r="J967" s="24" t="str">
        <f ca="1">IF(OR(E967="",E967="!!!",F967="NEW"),"",COUNTBLANK(OFFSET(A$1,,,SUMPRODUCT(MAX(ROW(E$2:E967)*(E967=E$2:E967)))))-COUNTBLANK(OFFSET(A$1,,,SUMPRODUCT(MAX(ROW(E$1:E966)*(E2=E$1:E966))))))</f>
        <v/>
      </c>
      <c r="K967" s="24" t="str">
        <f>IF(OR(E967="",E967="!!!",F967="NEW"),"",INDEX(J$1:J966,SUMPRODUCT(MAX(ROW(E$1:E966)*(E967=E$1:E966)))))</f>
        <v/>
      </c>
      <c r="L967" s="25"/>
    </row>
    <row r="968" spans="1:12" x14ac:dyDescent="0.2">
      <c r="A968" t="s">
        <v>1157</v>
      </c>
      <c r="B968" s="26" t="s">
        <v>813</v>
      </c>
      <c r="C968" s="26" t="s">
        <v>854</v>
      </c>
      <c r="D968" s="26" t="s">
        <v>806</v>
      </c>
      <c r="E968" s="20" t="s">
        <v>1157</v>
      </c>
      <c r="F968" s="21" t="str">
        <f>IF(OR(E968="",E968="!!!"),"",IF(NOT(ISNA(VLOOKUP(E968,E$1:E967,1,FALSE()))),"OLD",IF(AND(E968&lt;&gt;"",E968&lt;&gt;"!!!"),"NEW","")))</f>
        <v>NEW</v>
      </c>
      <c r="G968" s="22" t="s">
        <v>1820</v>
      </c>
      <c r="H968" s="23" t="str">
        <f t="shared" ca="1" si="106"/>
        <v/>
      </c>
      <c r="I968" s="24" t="str">
        <f>IF(OR(E968="",E968="!!!",F968="NEW"),"",INDEX(B$2:B967,-1+SUMPRODUCT(MAX(ROW(E$2:E967)*(E968=E$2:E967)))))</f>
        <v/>
      </c>
      <c r="J968" s="24" t="str">
        <f ca="1">IF(OR(E968="",E968="!!!",F968="NEW"),"",COUNTBLANK(OFFSET(A$1,,,SUMPRODUCT(MAX(ROW(E$2:E968)*(E968=E$2:E968)))))-COUNTBLANK(OFFSET(A$1,,,SUMPRODUCT(MAX(ROW(E$1:E967)*(E2=E$1:E967))))))</f>
        <v/>
      </c>
      <c r="K968" s="24" t="str">
        <f>IF(OR(E968="",E968="!!!",F968="NEW"),"",INDEX(J$1:J967,SUMPRODUCT(MAX(ROW(E$1:E967)*(E968=E$1:E967)))))</f>
        <v/>
      </c>
      <c r="L968" s="25"/>
    </row>
    <row r="969" spans="1:12" x14ac:dyDescent="0.2">
      <c r="A969" t="s">
        <v>821</v>
      </c>
      <c r="E969" s="20" t="str">
        <f t="shared" si="107"/>
        <v/>
      </c>
      <c r="F969" s="21" t="str">
        <f>IF(OR(E969="",E969="!!!"),"",IF(NOT(ISNA(VLOOKUP(E969,E$1:E968,1,FALSE()))),"OLD",IF(AND(E969&lt;&gt;"",E969&lt;&gt;"!!!"),"NEW","")))</f>
        <v/>
      </c>
      <c r="G969" s="22" t="str">
        <f>IF(OR(E969="",E969="!!!"),"",IF(OR(J969=0,AND(J969=1,K969=1),AND(J969=1,I969="SBJ"),AND(J969=1,I969=0)),"?IN_FOCUS",IF(J969&lt;=2,"?ACTIVATED",IF(J969&lt;&gt;"","?FAMILIAR",IF(F969="NEW",IF(ISNA(VLOOKUP(E969,#REF!,1,FALSE())),"?TYPE_IDENTIFIABLE","?REFERENTIAL"),"_")))))</f>
        <v/>
      </c>
      <c r="H969" s="23" t="str">
        <f t="shared" ca="1" si="106"/>
        <v/>
      </c>
      <c r="I969" s="24" t="str">
        <f>IF(OR(E969="",E969="!!!",F969="NEW"),"",INDEX(B$2:B968,-1+SUMPRODUCT(MAX(ROW(E$2:E968)*(E969=E$2:E968)))))</f>
        <v/>
      </c>
      <c r="J969" s="24" t="str">
        <f ca="1">IF(OR(E969="",E969="!!!",F969="NEW"),"",COUNTBLANK(OFFSET(A$1,,,SUMPRODUCT(MAX(ROW(E$2:E969)*(E969=E$2:E969)))))-COUNTBLANK(OFFSET(A$1,,,SUMPRODUCT(MAX(ROW(E$1:E968)*(E2=E$1:E968))))))</f>
        <v/>
      </c>
      <c r="K969" s="24" t="str">
        <f>IF(OR(E969="",E969="!!!",F969="NEW"),"",INDEX(J$1:J968,SUMPRODUCT(MAX(ROW(E$1:E968)*(E969=E$1:E968)))))</f>
        <v/>
      </c>
      <c r="L969" s="25"/>
    </row>
    <row r="971" spans="1:12" x14ac:dyDescent="0.2">
      <c r="A971" t="s">
        <v>1158</v>
      </c>
    </row>
    <row r="972" spans="1:12" x14ac:dyDescent="0.2">
      <c r="A972" t="s">
        <v>968</v>
      </c>
      <c r="E972" s="20" t="str">
        <f t="shared" ref="E972:E985" si="108">IF(D972="?OLD","!!!","")</f>
        <v/>
      </c>
      <c r="F972" s="21" t="str">
        <f>IF(OR(E972="",E972="!!!"),"",IF(NOT(ISNA(VLOOKUP(E972,E$1:E971,1,FALSE()))),"OLD",IF(AND(E972&lt;&gt;"",E972&lt;&gt;"!!!"),"NEW","")))</f>
        <v/>
      </c>
      <c r="G972" s="22" t="str">
        <f>IF(OR(E972="",E972="!!!"),"",IF(OR(J972=0,AND(J972=1,K972=1),AND(J972=1,I972="SBJ"),AND(J972=1,I972=0)),"?IN_FOCUS",IF(J972&lt;=2,"?ACTIVATED",IF(J972&lt;&gt;"","?FAMILIAR",IF(F972="NEW",IF(ISNA(VLOOKUP(E972,#REF!,1,FALSE())),"?TYPE_IDENTIFIABLE","?REFERENTIAL"),"_")))))</f>
        <v/>
      </c>
      <c r="H972" s="23" t="str">
        <f t="shared" ref="H972:H985" ca="1" si="109">IF(J972&lt;&gt;1,"",IF(I972="SBJ","CB","?"))</f>
        <v/>
      </c>
      <c r="I972" s="24" t="str">
        <f>IF(OR(E972="",E972="!!!",F972="NEW"),"",INDEX(B$2:B971,-1+SUMPRODUCT(MAX(ROW(E$2:E971)*(E972=E$2:E971)))))</f>
        <v/>
      </c>
      <c r="J972" s="24" t="str">
        <f ca="1">IF(OR(E972="",E972="!!!",F972="NEW"),"",COUNTBLANK(OFFSET(A$1,,,SUMPRODUCT(MAX(ROW(E$2:E972)*(E972=E$2:E972)))))-COUNTBLANK(OFFSET(A$1,,,SUMPRODUCT(MAX(ROW(E$1:E971)*(E2=E$1:E971))))))</f>
        <v/>
      </c>
      <c r="K972" s="24" t="str">
        <f>IF(OR(E972="",E972="!!!",F972="NEW"),"",INDEX(J$1:J971,SUMPRODUCT(MAX(ROW(E$1:E971)*(E972=E$1:E971)))))</f>
        <v/>
      </c>
      <c r="L972" s="25"/>
    </row>
    <row r="973" spans="1:12" x14ac:dyDescent="0.2">
      <c r="A973" t="s">
        <v>1159</v>
      </c>
      <c r="E973" s="20" t="str">
        <f t="shared" si="108"/>
        <v/>
      </c>
      <c r="F973" s="21" t="str">
        <f>IF(OR(E973="",E973="!!!"),"",IF(NOT(ISNA(VLOOKUP(E973,E$1:E972,1,FALSE()))),"OLD",IF(AND(E973&lt;&gt;"",E973&lt;&gt;"!!!"),"NEW","")))</f>
        <v/>
      </c>
      <c r="G973" s="22" t="str">
        <f>IF(OR(E973="",E973="!!!"),"",IF(OR(J973=0,AND(J973=1,K973=1),AND(J973=1,I973="SBJ"),AND(J973=1,I973=0)),"?IN_FOCUS",IF(J973&lt;=2,"?ACTIVATED",IF(J973&lt;&gt;"","?FAMILIAR",IF(F973="NEW",IF(ISNA(VLOOKUP(E973,#REF!,1,FALSE())),"?TYPE_IDENTIFIABLE","?REFERENTIAL"),"_")))))</f>
        <v/>
      </c>
      <c r="H973" s="23" t="str">
        <f t="shared" ca="1" si="109"/>
        <v/>
      </c>
      <c r="I973" s="24" t="str">
        <f>IF(OR(E973="",E973="!!!",F973="NEW"),"",INDEX(B$2:B972,-1+SUMPRODUCT(MAX(ROW(E$2:E972)*(E973=E$2:E972)))))</f>
        <v/>
      </c>
      <c r="J973" s="24" t="str">
        <f ca="1">IF(OR(E973="",E973="!!!",F973="NEW"),"",COUNTBLANK(OFFSET(A$1,,,SUMPRODUCT(MAX(ROW(E$2:E973)*(E973=E$2:E973)))))-COUNTBLANK(OFFSET(A$1,,,SUMPRODUCT(MAX(ROW(E$1:E972)*(E2=E$1:E972))))))</f>
        <v/>
      </c>
      <c r="K973" s="24" t="str">
        <f>IF(OR(E973="",E973="!!!",F973="NEW"),"",INDEX(J$1:J972,SUMPRODUCT(MAX(ROW(E$1:E972)*(E973=E$1:E972)))))</f>
        <v/>
      </c>
      <c r="L973" s="25"/>
    </row>
    <row r="974" spans="1:12" x14ac:dyDescent="0.2">
      <c r="A974" t="s">
        <v>1160</v>
      </c>
      <c r="B974" s="26" t="s">
        <v>804</v>
      </c>
      <c r="C974" s="26" t="s">
        <v>811</v>
      </c>
      <c r="E974" s="20" t="s">
        <v>1774</v>
      </c>
      <c r="F974" s="21" t="str">
        <f>IF(OR(E974="",E974="!!!"),"",IF(NOT(ISNA(VLOOKUP(E974,E$1:E973,1,FALSE()))),"OLD",IF(AND(E974&lt;&gt;"",E974&lt;&gt;"!!!"),"NEW","")))</f>
        <v>NEW</v>
      </c>
      <c r="G974" s="22" t="s">
        <v>1824</v>
      </c>
      <c r="H974" s="23" t="str">
        <f t="shared" ca="1" si="109"/>
        <v/>
      </c>
      <c r="I974" s="24" t="str">
        <f>IF(OR(E974="",E974="!!!",F974="NEW"),"",INDEX(B$2:B973,-1+SUMPRODUCT(MAX(ROW(E$2:E973)*(E974=E$2:E973)))))</f>
        <v/>
      </c>
      <c r="J974" s="24" t="str">
        <f ca="1">IF(OR(E974="",E974="!!!",F974="NEW"),"",COUNTBLANK(OFFSET(A$1,,,SUMPRODUCT(MAX(ROW(E$2:E974)*(E974=E$2:E974)))))-COUNTBLANK(OFFSET(A$1,,,SUMPRODUCT(MAX(ROW(E$1:E973)*(E2=E$1:E973))))))</f>
        <v/>
      </c>
      <c r="K974" s="24" t="str">
        <f>IF(OR(E974="",E974="!!!",F974="NEW"),"",INDEX(J$1:J973,SUMPRODUCT(MAX(ROW(E$1:E973)*(E974=E$1:E973)))))</f>
        <v/>
      </c>
      <c r="L974" s="25"/>
    </row>
    <row r="975" spans="1:12" x14ac:dyDescent="0.2">
      <c r="A975" t="s">
        <v>1161</v>
      </c>
      <c r="E975" s="20" t="str">
        <f t="shared" si="108"/>
        <v/>
      </c>
      <c r="F975" s="21" t="str">
        <f>IF(OR(E975="",E975="!!!"),"",IF(NOT(ISNA(VLOOKUP(E975,E$1:E974,1,FALSE()))),"OLD",IF(AND(E975&lt;&gt;"",E975&lt;&gt;"!!!"),"NEW","")))</f>
        <v/>
      </c>
      <c r="G975" s="22" t="str">
        <f>IF(OR(E975="",E975="!!!"),"",IF(OR(J975=0,AND(J975=1,K975=1),AND(J975=1,I975="SBJ"),AND(J975=1,I975=0)),"?IN_FOCUS",IF(J975&lt;=2,"?ACTIVATED",IF(J975&lt;&gt;"","?FAMILIAR",IF(F975="NEW",IF(ISNA(VLOOKUP(E975,#REF!,1,FALSE())),"?TYPE_IDENTIFIABLE","?REFERENTIAL"),"_")))))</f>
        <v/>
      </c>
      <c r="H975" s="23" t="str">
        <f t="shared" ca="1" si="109"/>
        <v/>
      </c>
      <c r="I975" s="24" t="str">
        <f>IF(OR(E975="",E975="!!!",F975="NEW"),"",INDEX(B$2:B974,-1+SUMPRODUCT(MAX(ROW(E$2:E974)*(E975=E$2:E974)))))</f>
        <v/>
      </c>
      <c r="J975" s="24" t="str">
        <f ca="1">IF(OR(E975="",E975="!!!",F975="NEW"),"",COUNTBLANK(OFFSET(A$1,,,SUMPRODUCT(MAX(ROW(E$2:E975)*(E975=E$2:E975)))))-COUNTBLANK(OFFSET(A$1,,,SUMPRODUCT(MAX(ROW(E$1:E974)*(E2=E$1:E974))))))</f>
        <v/>
      </c>
      <c r="K975" s="24" t="str">
        <f>IF(OR(E975="",E975="!!!",F975="NEW"),"",INDEX(J$1:J974,SUMPRODUCT(MAX(ROW(E$1:E974)*(E975=E$1:E974)))))</f>
        <v/>
      </c>
      <c r="L975" s="25"/>
    </row>
    <row r="976" spans="1:12" x14ac:dyDescent="0.2">
      <c r="A976" t="s">
        <v>928</v>
      </c>
      <c r="E976" s="20" t="str">
        <f t="shared" si="108"/>
        <v/>
      </c>
      <c r="F976" s="21" t="str">
        <f>IF(OR(E976="",E976="!!!"),"",IF(NOT(ISNA(VLOOKUP(E976,E$1:E975,1,FALSE()))),"OLD",IF(AND(E976&lt;&gt;"",E976&lt;&gt;"!!!"),"NEW","")))</f>
        <v/>
      </c>
      <c r="G976" s="22" t="str">
        <f>IF(OR(E976="",E976="!!!"),"",IF(OR(J976=0,AND(J976=1,K976=1),AND(J976=1,I976="SBJ"),AND(J976=1,I976=0)),"?IN_FOCUS",IF(J976&lt;=2,"?ACTIVATED",IF(J976&lt;&gt;"","?FAMILIAR",IF(F976="NEW",IF(ISNA(VLOOKUP(E976,#REF!,1,FALSE())),"?TYPE_IDENTIFIABLE","?REFERENTIAL"),"_")))))</f>
        <v/>
      </c>
      <c r="H976" s="23" t="str">
        <f t="shared" ca="1" si="109"/>
        <v/>
      </c>
      <c r="I976" s="24" t="str">
        <f>IF(OR(E976="",E976="!!!",F976="NEW"),"",INDEX(B$2:B975,-1+SUMPRODUCT(MAX(ROW(E$2:E975)*(E976=E$2:E975)))))</f>
        <v/>
      </c>
      <c r="J976" s="24" t="str">
        <f ca="1">IF(OR(E976="",E976="!!!",F976="NEW"),"",COUNTBLANK(OFFSET(A$1,,,SUMPRODUCT(MAX(ROW(E$2:E976)*(E976=E$2:E976)))))-COUNTBLANK(OFFSET(A$1,,,SUMPRODUCT(MAX(ROW(E$1:E975)*(E2=E$1:E975))))))</f>
        <v/>
      </c>
      <c r="K976" s="24" t="str">
        <f>IF(OR(E976="",E976="!!!",F976="NEW"),"",INDEX(J$1:J975,SUMPRODUCT(MAX(ROW(E$1:E975)*(E976=E$1:E975)))))</f>
        <v/>
      </c>
      <c r="L976" s="25"/>
    </row>
    <row r="977" spans="1:12" x14ac:dyDescent="0.2">
      <c r="A977" t="s">
        <v>1162</v>
      </c>
      <c r="E977" s="20" t="str">
        <f t="shared" si="108"/>
        <v/>
      </c>
      <c r="F977" s="21" t="str">
        <f>IF(OR(E977="",E977="!!!"),"",IF(NOT(ISNA(VLOOKUP(E977,E$1:E976,1,FALSE()))),"OLD",IF(AND(E977&lt;&gt;"",E977&lt;&gt;"!!!"),"NEW","")))</f>
        <v/>
      </c>
      <c r="G977" s="22" t="str">
        <f>IF(OR(E977="",E977="!!!"),"",IF(OR(J977=0,AND(J977=1,K977=1),AND(J977=1,I977="SBJ"),AND(J977=1,I977=0)),"?IN_FOCUS",IF(J977&lt;=2,"?ACTIVATED",IF(J977&lt;&gt;"","?FAMILIAR",IF(F977="NEW",IF(ISNA(VLOOKUP(E977,#REF!,1,FALSE())),"?TYPE_IDENTIFIABLE","?REFERENTIAL"),"_")))))</f>
        <v/>
      </c>
      <c r="H977" s="23" t="str">
        <f t="shared" ca="1" si="109"/>
        <v/>
      </c>
      <c r="I977" s="24" t="str">
        <f>IF(OR(E977="",E977="!!!",F977="NEW"),"",INDEX(B$2:B976,-1+SUMPRODUCT(MAX(ROW(E$2:E976)*(E977=E$2:E976)))))</f>
        <v/>
      </c>
      <c r="J977" s="24" t="str">
        <f ca="1">IF(OR(E977="",E977="!!!",F977="NEW"),"",COUNTBLANK(OFFSET(A$1,,,SUMPRODUCT(MAX(ROW(E$2:E977)*(E977=E$2:E977)))))-COUNTBLANK(OFFSET(A$1,,,SUMPRODUCT(MAX(ROW(E$1:E976)*(E2=E$1:E976))))))</f>
        <v/>
      </c>
      <c r="K977" s="24" t="str">
        <f>IF(OR(E977="",E977="!!!",F977="NEW"),"",INDEX(J$1:J976,SUMPRODUCT(MAX(ROW(E$1:E976)*(E977=E$1:E976)))))</f>
        <v/>
      </c>
      <c r="L977" s="25"/>
    </row>
    <row r="978" spans="1:12" x14ac:dyDescent="0.2">
      <c r="A978" t="s">
        <v>869</v>
      </c>
      <c r="E978" s="20" t="str">
        <f t="shared" si="108"/>
        <v/>
      </c>
      <c r="F978" s="21" t="str">
        <f>IF(OR(E978="",E978="!!!"),"",IF(NOT(ISNA(VLOOKUP(E978,E$1:E977,1,FALSE()))),"OLD",IF(AND(E978&lt;&gt;"",E978&lt;&gt;"!!!"),"NEW","")))</f>
        <v/>
      </c>
      <c r="G978" s="22" t="str">
        <f>IF(OR(E978="",E978="!!!"),"",IF(OR(J978=0,AND(J978=1,K978=1),AND(J978=1,I978="SBJ"),AND(J978=1,I978=0)),"?IN_FOCUS",IF(J978&lt;=2,"?ACTIVATED",IF(J978&lt;&gt;"","?FAMILIAR",IF(F978="NEW",IF(ISNA(VLOOKUP(E978,#REF!,1,FALSE())),"?TYPE_IDENTIFIABLE","?REFERENTIAL"),"_")))))</f>
        <v/>
      </c>
      <c r="H978" s="23" t="str">
        <f t="shared" ca="1" si="109"/>
        <v/>
      </c>
      <c r="I978" s="24" t="str">
        <f>IF(OR(E978="",E978="!!!",F978="NEW"),"",INDEX(B$2:B977,-1+SUMPRODUCT(MAX(ROW(E$2:E977)*(E978=E$2:E977)))))</f>
        <v/>
      </c>
      <c r="J978" s="24" t="str">
        <f ca="1">IF(OR(E978="",E978="!!!",F978="NEW"),"",COUNTBLANK(OFFSET(A$1,,,SUMPRODUCT(MAX(ROW(E$2:E978)*(E978=E$2:E978)))))-COUNTBLANK(OFFSET(A$1,,,SUMPRODUCT(MAX(ROW(E$1:E977)*(E2=E$1:E977))))))</f>
        <v/>
      </c>
      <c r="K978" s="24" t="str">
        <f>IF(OR(E978="",E978="!!!",F978="NEW"),"",INDEX(J$1:J977,SUMPRODUCT(MAX(ROW(E$1:E977)*(E978=E$1:E977)))))</f>
        <v/>
      </c>
      <c r="L978" s="25"/>
    </row>
    <row r="979" spans="1:12" x14ac:dyDescent="0.2">
      <c r="A979" t="s">
        <v>875</v>
      </c>
      <c r="E979" s="20" t="str">
        <f t="shared" si="108"/>
        <v/>
      </c>
      <c r="F979" s="21" t="str">
        <f>IF(OR(E979="",E979="!!!"),"",IF(NOT(ISNA(VLOOKUP(E979,E$1:E978,1,FALSE()))),"OLD",IF(AND(E979&lt;&gt;"",E979&lt;&gt;"!!!"),"NEW","")))</f>
        <v/>
      </c>
      <c r="G979" s="22" t="str">
        <f>IF(OR(E979="",E979="!!!"),"",IF(OR(J979=0,AND(J979=1,K979=1),AND(J979=1,I979="SBJ"),AND(J979=1,I979=0)),"?IN_FOCUS",IF(J979&lt;=2,"?ACTIVATED",IF(J979&lt;&gt;"","?FAMILIAR",IF(F979="NEW",IF(ISNA(VLOOKUP(E979,#REF!,1,FALSE())),"?TYPE_IDENTIFIABLE","?REFERENTIAL"),"_")))))</f>
        <v/>
      </c>
      <c r="H979" s="23" t="str">
        <f t="shared" ca="1" si="109"/>
        <v/>
      </c>
      <c r="I979" s="24" t="str">
        <f>IF(OR(E979="",E979="!!!",F979="NEW"),"",INDEX(B$2:B978,-1+SUMPRODUCT(MAX(ROW(E$2:E978)*(E979=E$2:E978)))))</f>
        <v/>
      </c>
      <c r="J979" s="24" t="str">
        <f ca="1">IF(OR(E979="",E979="!!!",F979="NEW"),"",COUNTBLANK(OFFSET(A$1,,,SUMPRODUCT(MAX(ROW(E$2:E979)*(E979=E$2:E979)))))-COUNTBLANK(OFFSET(A$1,,,SUMPRODUCT(MAX(ROW(E$1:E978)*(E2=E$1:E978))))))</f>
        <v/>
      </c>
      <c r="K979" s="24" t="str">
        <f>IF(OR(E979="",E979="!!!",F979="NEW"),"",INDEX(J$1:J978,SUMPRODUCT(MAX(ROW(E$1:E978)*(E979=E$1:E978)))))</f>
        <v/>
      </c>
      <c r="L979" s="25"/>
    </row>
    <row r="980" spans="1:12" x14ac:dyDescent="0.2">
      <c r="A980" t="s">
        <v>30</v>
      </c>
      <c r="B980" s="26" t="s">
        <v>819</v>
      </c>
      <c r="C980" s="26" t="s">
        <v>877</v>
      </c>
      <c r="D980" s="26" t="s">
        <v>806</v>
      </c>
      <c r="E980" s="20" t="s">
        <v>1771</v>
      </c>
      <c r="F980" s="21" t="str">
        <f>IF(OR(E980="",E980="!!!"),"",IF(NOT(ISNA(VLOOKUP(E980,E$1:E979,1,FALSE()))),"OLD",IF(AND(E980&lt;&gt;"",E980&lt;&gt;"!!!"),"NEW","")))</f>
        <v>OLD</v>
      </c>
      <c r="G980" s="22" t="s">
        <v>1822</v>
      </c>
      <c r="H980" s="23" t="str">
        <f t="shared" ca="1" si="109"/>
        <v/>
      </c>
      <c r="I980" s="24" t="str">
        <f>IF(OR(E980="",E980="!!!",F980="NEW"),"",INDEX(B$2:B979,-1+SUMPRODUCT(MAX(ROW(E$2:E979)*(E980=E$2:E979)))))</f>
        <v>OBJ</v>
      </c>
      <c r="J980" s="24">
        <f ca="1">IF(OR(E980="",E980="!!!",F980="NEW"),"",COUNTBLANK(OFFSET(A$1,,,SUMPRODUCT(MAX(ROW(E$2:E980)*(E980=E$2:E980)))))-COUNTBLANK(OFFSET(A$1,,,SUMPRODUCT(MAX(ROW(E$1:E979)*(E2=E$1:E979))))))</f>
        <v>0</v>
      </c>
      <c r="K980" s="24">
        <f ca="1">IF(OR(E980="",E980="!!!",F980="NEW"),"",INDEX(J$1:J979,SUMPRODUCT(MAX(ROW(E$1:E979)*(E980=E$1:E979)))))</f>
        <v>0</v>
      </c>
      <c r="L980" s="25"/>
    </row>
    <row r="981" spans="1:12" x14ac:dyDescent="0.2">
      <c r="A981" t="s">
        <v>878</v>
      </c>
      <c r="E981" s="20" t="str">
        <f t="shared" si="108"/>
        <v/>
      </c>
      <c r="F981" s="21" t="str">
        <f>IF(OR(E981="",E981="!!!"),"",IF(NOT(ISNA(VLOOKUP(E981,E$1:E980,1,FALSE()))),"OLD",IF(AND(E981&lt;&gt;"",E981&lt;&gt;"!!!"),"NEW","")))</f>
        <v/>
      </c>
      <c r="G981" s="22" t="str">
        <f>IF(OR(E981="",E981="!!!"),"",IF(OR(J981=0,AND(J981=1,K981=1),AND(J981=1,I981="SBJ"),AND(J981=1,I981=0)),"?IN_FOCUS",IF(J981&lt;=2,"?ACTIVATED",IF(J981&lt;&gt;"","?FAMILIAR",IF(F981="NEW",IF(ISNA(VLOOKUP(E981,#REF!,1,FALSE())),"?TYPE_IDENTIFIABLE","?REFERENTIAL"),"_")))))</f>
        <v/>
      </c>
      <c r="H981" s="23" t="str">
        <f t="shared" ca="1" si="109"/>
        <v/>
      </c>
      <c r="I981" s="24" t="str">
        <f>IF(OR(E981="",E981="!!!",F981="NEW"),"",INDEX(B$2:B980,-1+SUMPRODUCT(MAX(ROW(E$2:E980)*(E981=E$2:E980)))))</f>
        <v/>
      </c>
      <c r="J981" s="24" t="str">
        <f ca="1">IF(OR(E981="",E981="!!!",F981="NEW"),"",COUNTBLANK(OFFSET(A$1,,,SUMPRODUCT(MAX(ROW(E$2:E981)*(E981=E$2:E981)))))-COUNTBLANK(OFFSET(A$1,,,SUMPRODUCT(MAX(ROW(E$1:E980)*(E2=E$1:E980))))))</f>
        <v/>
      </c>
      <c r="K981" s="24" t="str">
        <f>IF(OR(E981="",E981="!!!",F981="NEW"),"",INDEX(J$1:J980,SUMPRODUCT(MAX(ROW(E$1:E980)*(E981=E$1:E980)))))</f>
        <v/>
      </c>
      <c r="L981" s="25"/>
    </row>
    <row r="982" spans="1:12" x14ac:dyDescent="0.2">
      <c r="A982" t="s">
        <v>809</v>
      </c>
      <c r="E982" s="20" t="str">
        <f t="shared" si="108"/>
        <v/>
      </c>
      <c r="F982" s="21" t="str">
        <f>IF(OR(E982="",E982="!!!"),"",IF(NOT(ISNA(VLOOKUP(E982,E$1:E981,1,FALSE()))),"OLD",IF(AND(E982&lt;&gt;"",E982&lt;&gt;"!!!"),"NEW","")))</f>
        <v/>
      </c>
      <c r="G982" s="22" t="str">
        <f>IF(OR(E982="",E982="!!!"),"",IF(OR(J982=0,AND(J982=1,K982=1),AND(J982=1,I982="SBJ"),AND(J982=1,I982=0)),"?IN_FOCUS",IF(J982&lt;=2,"?ACTIVATED",IF(J982&lt;&gt;"","?FAMILIAR",IF(F982="NEW",IF(ISNA(VLOOKUP(E982,#REF!,1,FALSE())),"?TYPE_IDENTIFIABLE","?REFERENTIAL"),"_")))))</f>
        <v/>
      </c>
      <c r="H982" s="23" t="str">
        <f t="shared" ca="1" si="109"/>
        <v/>
      </c>
      <c r="I982" s="24" t="str">
        <f>IF(OR(E982="",E982="!!!",F982="NEW"),"",INDEX(B$2:B981,-1+SUMPRODUCT(MAX(ROW(E$2:E981)*(E982=E$2:E981)))))</f>
        <v/>
      </c>
      <c r="J982" s="24" t="str">
        <f ca="1">IF(OR(E982="",E982="!!!",F982="NEW"),"",COUNTBLANK(OFFSET(A$1,,,SUMPRODUCT(MAX(ROW(E$2:E982)*(E982=E$2:E982)))))-COUNTBLANK(OFFSET(A$1,,,SUMPRODUCT(MAX(ROW(E$1:E981)*(E2=E$1:E981))))))</f>
        <v/>
      </c>
      <c r="K982" s="24" t="str">
        <f>IF(OR(E982="",E982="!!!",F982="NEW"),"",INDEX(J$1:J981,SUMPRODUCT(MAX(ROW(E$1:E981)*(E982=E$1:E981)))))</f>
        <v/>
      </c>
      <c r="L982" s="25"/>
    </row>
    <row r="983" spans="1:12" x14ac:dyDescent="0.2">
      <c r="A983" t="s">
        <v>1119</v>
      </c>
      <c r="E983" s="20" t="str">
        <f t="shared" si="108"/>
        <v/>
      </c>
      <c r="F983" s="21" t="str">
        <f>IF(OR(E983="",E983="!!!"),"",IF(NOT(ISNA(VLOOKUP(E983,E$1:E982,1,FALSE()))),"OLD",IF(AND(E983&lt;&gt;"",E983&lt;&gt;"!!!"),"NEW","")))</f>
        <v/>
      </c>
      <c r="G983" s="22" t="str">
        <f>IF(OR(E983="",E983="!!!"),"",IF(OR(J983=0,AND(J983=1,K983=1),AND(J983=1,I983="SBJ"),AND(J983=1,I983=0)),"?IN_FOCUS",IF(J983&lt;=2,"?ACTIVATED",IF(J983&lt;&gt;"","?FAMILIAR",IF(F983="NEW",IF(ISNA(VLOOKUP(E983,#REF!,1,FALSE())),"?TYPE_IDENTIFIABLE","?REFERENTIAL"),"_")))))</f>
        <v/>
      </c>
      <c r="H983" s="23" t="str">
        <f t="shared" ca="1" si="109"/>
        <v/>
      </c>
      <c r="I983" s="24" t="str">
        <f>IF(OR(E983="",E983="!!!",F983="NEW"),"",INDEX(B$2:B982,-1+SUMPRODUCT(MAX(ROW(E$2:E982)*(E983=E$2:E982)))))</f>
        <v/>
      </c>
      <c r="J983" s="24" t="str">
        <f ca="1">IF(OR(E983="",E983="!!!",F983="NEW"),"",COUNTBLANK(OFFSET(A$1,,,SUMPRODUCT(MAX(ROW(E$2:E983)*(E983=E$2:E983)))))-COUNTBLANK(OFFSET(A$1,,,SUMPRODUCT(MAX(ROW(E$1:E982)*(E2=E$1:E982))))))</f>
        <v/>
      </c>
      <c r="K983" s="24" t="str">
        <f>IF(OR(E983="",E983="!!!",F983="NEW"),"",INDEX(J$1:J982,SUMPRODUCT(MAX(ROW(E$1:E982)*(E983=E$1:E982)))))</f>
        <v/>
      </c>
      <c r="L983" s="25"/>
    </row>
    <row r="984" spans="1:12" x14ac:dyDescent="0.2">
      <c r="A984" t="s">
        <v>1163</v>
      </c>
      <c r="B984" s="26" t="s">
        <v>819</v>
      </c>
      <c r="C984" s="26" t="s">
        <v>811</v>
      </c>
      <c r="E984" s="20" t="str">
        <f t="shared" si="108"/>
        <v/>
      </c>
      <c r="F984" s="21" t="str">
        <f>IF(OR(E984="",E984="!!!"),"",IF(NOT(ISNA(VLOOKUP(E984,E$1:E983,1,FALSE()))),"OLD",IF(AND(E984&lt;&gt;"",E984&lt;&gt;"!!!"),"NEW","")))</f>
        <v/>
      </c>
      <c r="G984" s="22" t="str">
        <f>IF(OR(E984="",E984="!!!"),"",IF(OR(J984=0,AND(J984=1,K984=1),AND(J984=1,I984="SBJ"),AND(J984=1,I984=0)),"?IN_FOCUS",IF(J984&lt;=2,"?ACTIVATED",IF(J984&lt;&gt;"","?FAMILIAR",IF(F984="NEW",IF(ISNA(VLOOKUP(E984,#REF!,1,FALSE())),"?TYPE_IDENTIFIABLE","?REFERENTIAL"),"_")))))</f>
        <v/>
      </c>
      <c r="H984" s="23" t="str">
        <f t="shared" ca="1" si="109"/>
        <v/>
      </c>
      <c r="I984" s="24" t="str">
        <f>IF(OR(E984="",E984="!!!",F984="NEW"),"",INDEX(B$2:B983,-1+SUMPRODUCT(MAX(ROW(E$2:E983)*(E984=E$2:E983)))))</f>
        <v/>
      </c>
      <c r="J984" s="24" t="str">
        <f ca="1">IF(OR(E984="",E984="!!!",F984="NEW"),"",COUNTBLANK(OFFSET(A$1,,,SUMPRODUCT(MAX(ROW(E$2:E984)*(E984=E$2:E984)))))-COUNTBLANK(OFFSET(A$1,,,SUMPRODUCT(MAX(ROW(E$1:E983)*(E2=E$1:E983))))))</f>
        <v/>
      </c>
      <c r="K984" s="24" t="str">
        <f>IF(OR(E984="",E984="!!!",F984="NEW"),"",INDEX(J$1:J983,SUMPRODUCT(MAX(ROW(E$1:E983)*(E984=E$1:E983)))))</f>
        <v/>
      </c>
      <c r="L984" s="25"/>
    </row>
    <row r="985" spans="1:12" x14ac:dyDescent="0.2">
      <c r="A985" t="s">
        <v>821</v>
      </c>
      <c r="E985" s="20" t="str">
        <f t="shared" si="108"/>
        <v/>
      </c>
      <c r="F985" s="21" t="str">
        <f>IF(OR(E985="",E985="!!!"),"",IF(NOT(ISNA(VLOOKUP(E985,E$1:E984,1,FALSE()))),"OLD",IF(AND(E985&lt;&gt;"",E985&lt;&gt;"!!!"),"NEW","")))</f>
        <v/>
      </c>
      <c r="G985" s="22" t="str">
        <f>IF(OR(E985="",E985="!!!"),"",IF(OR(J985=0,AND(J985=1,K985=1),AND(J985=1,I985="SBJ"),AND(J985=1,I985=0)),"?IN_FOCUS",IF(J985&lt;=2,"?ACTIVATED",IF(J985&lt;&gt;"","?FAMILIAR",IF(F985="NEW",IF(ISNA(VLOOKUP(E985,#REF!,1,FALSE())),"?TYPE_IDENTIFIABLE","?REFERENTIAL"),"_")))))</f>
        <v/>
      </c>
      <c r="H985" s="23" t="str">
        <f t="shared" ca="1" si="109"/>
        <v/>
      </c>
      <c r="I985" s="24" t="str">
        <f>IF(OR(E985="",E985="!!!",F985="NEW"),"",INDEX(B$2:B984,-1+SUMPRODUCT(MAX(ROW(E$2:E984)*(E985=E$2:E984)))))</f>
        <v/>
      </c>
      <c r="J985" s="24" t="str">
        <f ca="1">IF(OR(E985="",E985="!!!",F985="NEW"),"",COUNTBLANK(OFFSET(A$1,,,SUMPRODUCT(MAX(ROW(E$2:E985)*(E985=E$2:E985)))))-COUNTBLANK(OFFSET(A$1,,,SUMPRODUCT(MAX(ROW(E$1:E984)*(E2=E$1:E984))))))</f>
        <v/>
      </c>
      <c r="K985" s="24" t="str">
        <f>IF(OR(E985="",E985="!!!",F985="NEW"),"",INDEX(J$1:J984,SUMPRODUCT(MAX(ROW(E$1:E984)*(E985=E$1:E984)))))</f>
        <v/>
      </c>
      <c r="L985" s="25"/>
    </row>
    <row r="987" spans="1:12" x14ac:dyDescent="0.2">
      <c r="A987" t="s">
        <v>1164</v>
      </c>
    </row>
    <row r="988" spans="1:12" x14ac:dyDescent="0.2">
      <c r="A988" t="s">
        <v>1165</v>
      </c>
      <c r="B988" s="26" t="s">
        <v>804</v>
      </c>
      <c r="C988" s="26" t="s">
        <v>805</v>
      </c>
      <c r="D988" s="26" t="s">
        <v>806</v>
      </c>
      <c r="E988" s="20" t="s">
        <v>1774</v>
      </c>
      <c r="F988" s="21" t="str">
        <f>IF(OR(E988="",E988="!!!"),"",IF(NOT(ISNA(VLOOKUP(E988,E$1:E987,1,FALSE()))),"OLD",IF(AND(E988&lt;&gt;"",E988&lt;&gt;"!!!"),"NEW","")))</f>
        <v>OLD</v>
      </c>
      <c r="G988" s="22" t="s">
        <v>1823</v>
      </c>
      <c r="H988" s="23" t="str">
        <f t="shared" ref="H988:H994" ca="1" si="110">IF(J988&lt;&gt;1,"",IF(I988="SBJ","CB","?"))</f>
        <v/>
      </c>
      <c r="I988" s="24" t="str">
        <f>IF(OR(E988="",E988="!!!",F988="NEW"),"",INDEX(B$2:B987,-1+SUMPRODUCT(MAX(ROW(E$2:E987)*(E988=E$2:E987)))))</f>
        <v>SBJ</v>
      </c>
      <c r="J988" s="24">
        <f ca="1">IF(OR(E988="",E988="!!!",F988="NEW"),"",COUNTBLANK(OFFSET(A$1,,,SUMPRODUCT(MAX(ROW(E$2:E988)*(E988=E$2:E988)))))-COUNTBLANK(OFFSET(A$1,,,SUMPRODUCT(MAX(ROW(E$1:E987)*(E2=E$1:E987))))))</f>
        <v>0</v>
      </c>
      <c r="K988" s="24" t="str">
        <f ca="1">IF(OR(E988="",E988="!!!",F988="NEW"),"",INDEX(J$1:J987,SUMPRODUCT(MAX(ROW(E$1:E987)*(E988=E$1:E987)))))</f>
        <v/>
      </c>
      <c r="L988" s="25"/>
    </row>
    <row r="989" spans="1:12" x14ac:dyDescent="0.2">
      <c r="A989" t="s">
        <v>1147</v>
      </c>
      <c r="E989" s="20" t="str">
        <f t="shared" ref="E989:E994" si="111">IF(D989="?OLD","!!!","")</f>
        <v/>
      </c>
      <c r="F989" s="21" t="str">
        <f>IF(OR(E989="",E989="!!!"),"",IF(NOT(ISNA(VLOOKUP(E989,E$1:E988,1,FALSE()))),"OLD",IF(AND(E989&lt;&gt;"",E989&lt;&gt;"!!!"),"NEW","")))</f>
        <v/>
      </c>
      <c r="G989" s="22" t="str">
        <f>IF(OR(E989="",E989="!!!"),"",IF(OR(J989=0,AND(J989=1,K989=1),AND(J989=1,I989="SBJ"),AND(J989=1,I989=0)),"?IN_FOCUS",IF(J989&lt;=2,"?ACTIVATED",IF(J989&lt;&gt;"","?FAMILIAR",IF(F989="NEW",IF(ISNA(VLOOKUP(E989,#REF!,1,FALSE())),"?TYPE_IDENTIFIABLE","?REFERENTIAL"),"_")))))</f>
        <v/>
      </c>
      <c r="H989" s="23" t="str">
        <f t="shared" ca="1" si="110"/>
        <v/>
      </c>
      <c r="I989" s="24" t="str">
        <f>IF(OR(E989="",E989="!!!",F989="NEW"),"",INDEX(B$2:B988,-1+SUMPRODUCT(MAX(ROW(E$2:E988)*(E989=E$2:E988)))))</f>
        <v/>
      </c>
      <c r="J989" s="24" t="str">
        <f ca="1">IF(OR(E989="",E989="!!!",F989="NEW"),"",COUNTBLANK(OFFSET(A$1,,,SUMPRODUCT(MAX(ROW(E$2:E989)*(E989=E$2:E989)))))-COUNTBLANK(OFFSET(A$1,,,SUMPRODUCT(MAX(ROW(E$1:E988)*(E2=E$1:E988))))))</f>
        <v/>
      </c>
      <c r="K989" s="24" t="str">
        <f>IF(OR(E989="",E989="!!!",F989="NEW"),"",INDEX(J$1:J988,SUMPRODUCT(MAX(ROW(E$1:E988)*(E989=E$1:E988)))))</f>
        <v/>
      </c>
      <c r="L989" s="25"/>
    </row>
    <row r="990" spans="1:12" x14ac:dyDescent="0.2">
      <c r="A990" t="s">
        <v>812</v>
      </c>
      <c r="E990" s="20" t="str">
        <f t="shared" si="111"/>
        <v/>
      </c>
      <c r="F990" s="21" t="str">
        <f>IF(OR(E990="",E990="!!!"),"",IF(NOT(ISNA(VLOOKUP(E990,E$1:E989,1,FALSE()))),"OLD",IF(AND(E990&lt;&gt;"",E990&lt;&gt;"!!!"),"NEW","")))</f>
        <v/>
      </c>
      <c r="G990" s="22" t="str">
        <f>IF(OR(E990="",E990="!!!"),"",IF(OR(J990=0,AND(J990=1,K990=1),AND(J990=1,I990="SBJ"),AND(J990=1,I990=0)),"?IN_FOCUS",IF(J990&lt;=2,"?ACTIVATED",IF(J990&lt;&gt;"","?FAMILIAR",IF(F990="NEW",IF(ISNA(VLOOKUP(E990,#REF!,1,FALSE())),"?TYPE_IDENTIFIABLE","?REFERENTIAL"),"_")))))</f>
        <v/>
      </c>
      <c r="H990" s="23" t="str">
        <f t="shared" ca="1" si="110"/>
        <v/>
      </c>
      <c r="I990" s="24" t="str">
        <f>IF(OR(E990="",E990="!!!",F990="NEW"),"",INDEX(B$2:B989,-1+SUMPRODUCT(MAX(ROW(E$2:E989)*(E990=E$2:E989)))))</f>
        <v/>
      </c>
      <c r="J990" s="24" t="str">
        <f ca="1">IF(OR(E990="",E990="!!!",F990="NEW"),"",COUNTBLANK(OFFSET(A$1,,,SUMPRODUCT(MAX(ROW(E$2:E990)*(E990=E$2:E990)))))-COUNTBLANK(OFFSET(A$1,,,SUMPRODUCT(MAX(ROW(E$1:E989)*(E2=E$1:E989))))))</f>
        <v/>
      </c>
      <c r="K990" s="24" t="str">
        <f>IF(OR(E990="",E990="!!!",F990="NEW"),"",INDEX(J$1:J989,SUMPRODUCT(MAX(ROW(E$1:E989)*(E990=E$1:E989)))))</f>
        <v/>
      </c>
      <c r="L990" s="25"/>
    </row>
    <row r="991" spans="1:12" x14ac:dyDescent="0.2">
      <c r="A991" t="s">
        <v>251</v>
      </c>
      <c r="E991" s="20" t="str">
        <f t="shared" si="111"/>
        <v/>
      </c>
      <c r="F991" s="21" t="str">
        <f>IF(OR(E991="",E991="!!!"),"",IF(NOT(ISNA(VLOOKUP(E991,E$1:E990,1,FALSE()))),"OLD",IF(AND(E991&lt;&gt;"",E991&lt;&gt;"!!!"),"NEW","")))</f>
        <v/>
      </c>
      <c r="G991" s="22" t="str">
        <f>IF(OR(E991="",E991="!!!"),"",IF(OR(J991=0,AND(J991=1,K991=1),AND(J991=1,I991="SBJ"),AND(J991=1,I991=0)),"?IN_FOCUS",IF(J991&lt;=2,"?ACTIVATED",IF(J991&lt;&gt;"","?FAMILIAR",IF(F991="NEW",IF(ISNA(VLOOKUP(E991,#REF!,1,FALSE())),"?TYPE_IDENTIFIABLE","?REFERENTIAL"),"_")))))</f>
        <v/>
      </c>
      <c r="H991" s="23" t="str">
        <f t="shared" ca="1" si="110"/>
        <v/>
      </c>
      <c r="I991" s="24" t="str">
        <f>IF(OR(E991="",E991="!!!",F991="NEW"),"",INDEX(B$2:B990,-1+SUMPRODUCT(MAX(ROW(E$2:E990)*(E991=E$2:E990)))))</f>
        <v/>
      </c>
      <c r="J991" s="24" t="str">
        <f ca="1">IF(OR(E991="",E991="!!!",F991="NEW"),"",COUNTBLANK(OFFSET(A$1,,,SUMPRODUCT(MAX(ROW(E$2:E991)*(E991=E$2:E991)))))-COUNTBLANK(OFFSET(A$1,,,SUMPRODUCT(MAX(ROW(E$1:E990)*(E2=E$1:E990))))))</f>
        <v/>
      </c>
      <c r="K991" s="24" t="str">
        <f>IF(OR(E991="",E991="!!!",F991="NEW"),"",INDEX(J$1:J990,SUMPRODUCT(MAX(ROW(E$1:E990)*(E991=E$1:E990)))))</f>
        <v/>
      </c>
      <c r="L991" s="25"/>
    </row>
    <row r="992" spans="1:12" x14ac:dyDescent="0.2">
      <c r="A992" t="s">
        <v>913</v>
      </c>
      <c r="B992" s="26" t="s">
        <v>810</v>
      </c>
      <c r="C992" s="26" t="s">
        <v>805</v>
      </c>
      <c r="D992" s="26" t="s">
        <v>806</v>
      </c>
      <c r="E992" s="20" t="s">
        <v>1829</v>
      </c>
      <c r="F992" s="21" t="s">
        <v>1753</v>
      </c>
      <c r="G992" s="22" t="s">
        <v>1822</v>
      </c>
      <c r="H992" s="23" t="str">
        <f t="shared" ca="1" si="110"/>
        <v/>
      </c>
      <c r="I992" s="24" t="e">
        <f>IF(OR(E992="",E992="!!!",F992="NEW"),"",INDEX(B$2:B991,-1+SUMPRODUCT(MAX(ROW(E$2:E991)*(E992=E$2:E991)))))</f>
        <v>#VALUE!</v>
      </c>
      <c r="J992" s="24">
        <f ca="1">IF(OR(E992="",E992="!!!",F992="NEW"),"",COUNTBLANK(OFFSET(A$1,,,SUMPRODUCT(MAX(ROW(E$2:E992)*(E992=E$2:E992)))))-COUNTBLANK(OFFSET(A$1,,,SUMPRODUCT(MAX(ROW(E$1:E991)*(E2=E$1:E991))))))</f>
        <v>0</v>
      </c>
      <c r="K992" s="24" t="e">
        <f>IF(OR(E992="",E992="!!!",F992="NEW"),"",INDEX(J$1:J991,SUMPRODUCT(MAX(ROW(E$1:E991)*(E992=E$1:E991)))))</f>
        <v>#VALUE!</v>
      </c>
      <c r="L992" s="25"/>
    </row>
    <row r="993" spans="1:12" x14ac:dyDescent="0.2">
      <c r="A993" t="s">
        <v>1166</v>
      </c>
      <c r="E993" s="20" t="str">
        <f t="shared" si="111"/>
        <v/>
      </c>
      <c r="F993" s="21" t="str">
        <f>IF(OR(E993="",E993="!!!"),"",IF(NOT(ISNA(VLOOKUP(E993,E$1:E992,1,FALSE()))),"OLD",IF(AND(E993&lt;&gt;"",E993&lt;&gt;"!!!"),"NEW","")))</f>
        <v/>
      </c>
      <c r="G993" s="22" t="str">
        <f>IF(OR(E993="",E993="!!!"),"",IF(OR(J993=0,AND(J993=1,K993=1),AND(J993=1,I993="SBJ"),AND(J993=1,I993=0)),"?IN_FOCUS",IF(J993&lt;=2,"?ACTIVATED",IF(J993&lt;&gt;"","?FAMILIAR",IF(F993="NEW",IF(ISNA(VLOOKUP(E993,#REF!,1,FALSE())),"?TYPE_IDENTIFIABLE","?REFERENTIAL"),"_")))))</f>
        <v/>
      </c>
      <c r="H993" s="23" t="str">
        <f t="shared" ca="1" si="110"/>
        <v/>
      </c>
      <c r="I993" s="24" t="str">
        <f>IF(OR(E993="",E993="!!!",F993="NEW"),"",INDEX(B$2:B992,-1+SUMPRODUCT(MAX(ROW(E$2:E992)*(E993=E$2:E992)))))</f>
        <v/>
      </c>
      <c r="J993" s="24" t="str">
        <f ca="1">IF(OR(E993="",E993="!!!",F993="NEW"),"",COUNTBLANK(OFFSET(A$1,,,SUMPRODUCT(MAX(ROW(E$2:E993)*(E993=E$2:E993)))))-COUNTBLANK(OFFSET(A$1,,,SUMPRODUCT(MAX(ROW(E$1:E992)*(E2=E$1:E992))))))</f>
        <v/>
      </c>
      <c r="K993" s="24" t="str">
        <f>IF(OR(E993="",E993="!!!",F993="NEW"),"",INDEX(J$1:J992,SUMPRODUCT(MAX(ROW(E$1:E992)*(E993=E$1:E992)))))</f>
        <v/>
      </c>
      <c r="L993" s="25"/>
    </row>
    <row r="994" spans="1:12" x14ac:dyDescent="0.2">
      <c r="A994" t="s">
        <v>821</v>
      </c>
      <c r="E994" s="20" t="str">
        <f t="shared" si="111"/>
        <v/>
      </c>
      <c r="F994" s="21" t="str">
        <f>IF(OR(E994="",E994="!!!"),"",IF(NOT(ISNA(VLOOKUP(E994,E$1:E993,1,FALSE()))),"OLD",IF(AND(E994&lt;&gt;"",E994&lt;&gt;"!!!"),"NEW","")))</f>
        <v/>
      </c>
      <c r="G994" s="22" t="str">
        <f>IF(OR(E994="",E994="!!!"),"",IF(OR(J994=0,AND(J994=1,K994=1),AND(J994=1,I994="SBJ"),AND(J994=1,I994=0)),"?IN_FOCUS",IF(J994&lt;=2,"?ACTIVATED",IF(J994&lt;&gt;"","?FAMILIAR",IF(F994="NEW",IF(ISNA(VLOOKUP(E994,#REF!,1,FALSE())),"?TYPE_IDENTIFIABLE","?REFERENTIAL"),"_")))))</f>
        <v/>
      </c>
      <c r="H994" s="23" t="str">
        <f t="shared" ca="1" si="110"/>
        <v/>
      </c>
      <c r="I994" s="24" t="str">
        <f>IF(OR(E994="",E994="!!!",F994="NEW"),"",INDEX(B$2:B993,-1+SUMPRODUCT(MAX(ROW(E$2:E993)*(E994=E$2:E993)))))</f>
        <v/>
      </c>
      <c r="J994" s="24" t="str">
        <f ca="1">IF(OR(E994="",E994="!!!",F994="NEW"),"",COUNTBLANK(OFFSET(A$1,,,SUMPRODUCT(MAX(ROW(E$2:E994)*(E994=E$2:E994)))))-COUNTBLANK(OFFSET(A$1,,,SUMPRODUCT(MAX(ROW(E$1:E993)*(E2=E$1:E993))))))</f>
        <v/>
      </c>
      <c r="K994" s="24" t="str">
        <f>IF(OR(E994="",E994="!!!",F994="NEW"),"",INDEX(J$1:J993,SUMPRODUCT(MAX(ROW(E$1:E993)*(E994=E$1:E993)))))</f>
        <v/>
      </c>
      <c r="L994" s="25"/>
    </row>
    <row r="996" spans="1:12" x14ac:dyDescent="0.2">
      <c r="A996" t="s">
        <v>1167</v>
      </c>
    </row>
    <row r="997" spans="1:12" x14ac:dyDescent="0.2">
      <c r="A997" t="s">
        <v>837</v>
      </c>
      <c r="B997" s="26" t="s">
        <v>804</v>
      </c>
      <c r="C997" s="26" t="s">
        <v>805</v>
      </c>
      <c r="D997" s="26" t="s">
        <v>806</v>
      </c>
      <c r="E997" s="20" t="s">
        <v>1771</v>
      </c>
      <c r="F997" s="21" t="str">
        <f>IF(OR(E997="",E997="!!!"),"",IF(NOT(ISNA(VLOOKUP(E997,E$1:E996,1,FALSE()))),"OLD",IF(AND(E997&lt;&gt;"",E997&lt;&gt;"!!!"),"NEW","")))</f>
        <v>OLD</v>
      </c>
      <c r="G997" s="22" t="s">
        <v>1823</v>
      </c>
      <c r="H997" s="23" t="str">
        <f t="shared" ref="H997:H1010" ca="1" si="112">IF(J997&lt;&gt;1,"",IF(I997="SBJ","CB","?"))</f>
        <v/>
      </c>
      <c r="I997" s="24" t="str">
        <f>IF(OR(E997="",E997="!!!",F997="NEW"),"",INDEX(B$2:B996,-1+SUMPRODUCT(MAX(ROW(E$2:E996)*(E997=E$2:E996)))))</f>
        <v>other</v>
      </c>
      <c r="J997" s="24">
        <f ca="1">IF(OR(E997="",E997="!!!",F997="NEW"),"",COUNTBLANK(OFFSET(A$1,,,SUMPRODUCT(MAX(ROW(E$2:E997)*(E997=E$2:E997)))))-COUNTBLANK(OFFSET(A$1,,,SUMPRODUCT(MAX(ROW(E$1:E996)*(E2=E$1:E996))))))</f>
        <v>0</v>
      </c>
      <c r="K997" s="24">
        <f ca="1">IF(OR(E997="",E997="!!!",F997="NEW"),"",INDEX(J$1:J996,SUMPRODUCT(MAX(ROW(E$1:E996)*(E997=E$1:E996)))))</f>
        <v>0</v>
      </c>
      <c r="L997" s="25"/>
    </row>
    <row r="998" spans="1:12" x14ac:dyDescent="0.2">
      <c r="A998" t="s">
        <v>1168</v>
      </c>
      <c r="E998" s="20" t="str">
        <f t="shared" ref="E998:E1010" si="113">IF(D998="?OLD","!!!","")</f>
        <v/>
      </c>
      <c r="F998" s="21" t="str">
        <f>IF(OR(E998="",E998="!!!"),"",IF(NOT(ISNA(VLOOKUP(E998,E$1:E997,1,FALSE()))),"OLD",IF(AND(E998&lt;&gt;"",E998&lt;&gt;"!!!"),"NEW","")))</f>
        <v/>
      </c>
      <c r="G998" s="22" t="str">
        <f>IF(OR(E998="",E998="!!!"),"",IF(OR(J998=0,AND(J998=1,K998=1),AND(J998=1,I998="SBJ"),AND(J998=1,I998=0)),"?IN_FOCUS",IF(J998&lt;=2,"?ACTIVATED",IF(J998&lt;&gt;"","?FAMILIAR",IF(F998="NEW",IF(ISNA(VLOOKUP(E998,#REF!,1,FALSE())),"?TYPE_IDENTIFIABLE","?REFERENTIAL"),"_")))))</f>
        <v/>
      </c>
      <c r="H998" s="23" t="str">
        <f t="shared" ca="1" si="112"/>
        <v/>
      </c>
      <c r="I998" s="24" t="str">
        <f>IF(OR(E998="",E998="!!!",F998="NEW"),"",INDEX(B$2:B997,-1+SUMPRODUCT(MAX(ROW(E$2:E997)*(E998=E$2:E997)))))</f>
        <v/>
      </c>
      <c r="J998" s="24" t="str">
        <f ca="1">IF(OR(E998="",E998="!!!",F998="NEW"),"",COUNTBLANK(OFFSET(A$1,,,SUMPRODUCT(MAX(ROW(E$2:E998)*(E998=E$2:E998)))))-COUNTBLANK(OFFSET(A$1,,,SUMPRODUCT(MAX(ROW(E$1:E997)*(E2=E$1:E997))))))</f>
        <v/>
      </c>
      <c r="K998" s="24" t="str">
        <f>IF(OR(E998="",E998="!!!",F998="NEW"),"",INDEX(J$1:J997,SUMPRODUCT(MAX(ROW(E$1:E997)*(E998=E$1:E997)))))</f>
        <v/>
      </c>
      <c r="L998" s="25"/>
    </row>
    <row r="999" spans="1:12" x14ac:dyDescent="0.2">
      <c r="A999" t="s">
        <v>859</v>
      </c>
      <c r="E999" s="20" t="str">
        <f t="shared" si="113"/>
        <v/>
      </c>
      <c r="F999" s="21" t="str">
        <f>IF(OR(E999="",E999="!!!"),"",IF(NOT(ISNA(VLOOKUP(E999,E$1:E998,1,FALSE()))),"OLD",IF(AND(E999&lt;&gt;"",E999&lt;&gt;"!!!"),"NEW","")))</f>
        <v/>
      </c>
      <c r="G999" s="22" t="str">
        <f>IF(OR(E999="",E999="!!!"),"",IF(OR(J999=0,AND(J999=1,K999=1),AND(J999=1,I999="SBJ"),AND(J999=1,I999=0)),"?IN_FOCUS",IF(J999&lt;=2,"?ACTIVATED",IF(J999&lt;&gt;"","?FAMILIAR",IF(F999="NEW",IF(ISNA(VLOOKUP(E999,#REF!,1,FALSE())),"?TYPE_IDENTIFIABLE","?REFERENTIAL"),"_")))))</f>
        <v/>
      </c>
      <c r="H999" s="23" t="str">
        <f t="shared" ca="1" si="112"/>
        <v/>
      </c>
      <c r="I999" s="24" t="str">
        <f>IF(OR(E999="",E999="!!!",F999="NEW"),"",INDEX(B$2:B998,-1+SUMPRODUCT(MAX(ROW(E$2:E998)*(E999=E$2:E998)))))</f>
        <v/>
      </c>
      <c r="J999" s="24" t="str">
        <f ca="1">IF(OR(E999="",E999="!!!",F999="NEW"),"",COUNTBLANK(OFFSET(A$1,,,SUMPRODUCT(MAX(ROW(E$2:E999)*(E999=E$2:E999)))))-COUNTBLANK(OFFSET(A$1,,,SUMPRODUCT(MAX(ROW(E$1:E998)*(E2=E$1:E998))))))</f>
        <v/>
      </c>
      <c r="K999" s="24" t="str">
        <f>IF(OR(E999="",E999="!!!",F999="NEW"),"",INDEX(J$1:J998,SUMPRODUCT(MAX(ROW(E$1:E998)*(E999=E$1:E998)))))</f>
        <v/>
      </c>
      <c r="L999" s="25"/>
    </row>
    <row r="1000" spans="1:12" x14ac:dyDescent="0.2">
      <c r="A1000" t="s">
        <v>845</v>
      </c>
      <c r="E1000" s="20" t="str">
        <f t="shared" si="113"/>
        <v/>
      </c>
      <c r="F1000" s="21" t="str">
        <f>IF(OR(E1000="",E1000="!!!"),"",IF(NOT(ISNA(VLOOKUP(E1000,E$1:E999,1,FALSE()))),"OLD",IF(AND(E1000&lt;&gt;"",E1000&lt;&gt;"!!!"),"NEW","")))</f>
        <v/>
      </c>
      <c r="G1000" s="22" t="str">
        <f>IF(OR(E1000="",E1000="!!!"),"",IF(OR(J1000=0,AND(J1000=1,K1000=1),AND(J1000=1,I1000="SBJ"),AND(J1000=1,I1000=0)),"?IN_FOCUS",IF(J1000&lt;=2,"?ACTIVATED",IF(J1000&lt;&gt;"","?FAMILIAR",IF(F1000="NEW",IF(ISNA(VLOOKUP(E1000,#REF!,1,FALSE())),"?TYPE_IDENTIFIABLE","?REFERENTIAL"),"_")))))</f>
        <v/>
      </c>
      <c r="H1000" s="23" t="str">
        <f t="shared" ca="1" si="112"/>
        <v/>
      </c>
      <c r="I1000" s="24" t="str">
        <f>IF(OR(E1000="",E1000="!!!",F1000="NEW"),"",INDEX(B$2:B999,-1+SUMPRODUCT(MAX(ROW(E$2:E999)*(E1000=E$2:E999)))))</f>
        <v/>
      </c>
      <c r="J1000" s="24" t="str">
        <f ca="1">IF(OR(E1000="",E1000="!!!",F1000="NEW"),"",COUNTBLANK(OFFSET(A$1,,,SUMPRODUCT(MAX(ROW(E$2:E1000)*(E1000=E$2:E1000)))))-COUNTBLANK(OFFSET(A$1,,,SUMPRODUCT(MAX(ROW(E$1:E999)*(E2=E$1:E999))))))</f>
        <v/>
      </c>
      <c r="K1000" s="24" t="str">
        <f>IF(OR(E1000="",E1000="!!!",F1000="NEW"),"",INDEX(J$1:J999,SUMPRODUCT(MAX(ROW(E$1:E999)*(E1000=E$1:E999)))))</f>
        <v/>
      </c>
      <c r="L1000" s="25"/>
    </row>
    <row r="1001" spans="1:12" x14ac:dyDescent="0.2">
      <c r="A1001" t="s">
        <v>1169</v>
      </c>
      <c r="B1001" s="26" t="s">
        <v>819</v>
      </c>
      <c r="C1001" s="26" t="s">
        <v>847</v>
      </c>
      <c r="D1001" s="26" t="s">
        <v>806</v>
      </c>
      <c r="E1001" s="20" t="s">
        <v>1169</v>
      </c>
      <c r="F1001" s="21" t="str">
        <f>IF(OR(E1001="",E1001="!!!"),"",IF(NOT(ISNA(VLOOKUP(E1001,E$1:E1000,1,FALSE()))),"OLD",IF(AND(E1001&lt;&gt;"",E1001&lt;&gt;"!!!"),"NEW","")))</f>
        <v>NEW</v>
      </c>
      <c r="G1001" s="22" t="s">
        <v>1820</v>
      </c>
      <c r="H1001" s="23" t="str">
        <f t="shared" ca="1" si="112"/>
        <v/>
      </c>
      <c r="I1001" s="24" t="str">
        <f>IF(OR(E1001="",E1001="!!!",F1001="NEW"),"",INDEX(B$2:B1000,-1+SUMPRODUCT(MAX(ROW(E$2:E1000)*(E1001=E$2:E1000)))))</f>
        <v/>
      </c>
      <c r="J1001" s="24" t="str">
        <f ca="1">IF(OR(E1001="",E1001="!!!",F1001="NEW"),"",COUNTBLANK(OFFSET(A$1,,,SUMPRODUCT(MAX(ROW(E$2:E1001)*(E1001=E$2:E1001)))))-COUNTBLANK(OFFSET(A$1,,,SUMPRODUCT(MAX(ROW(E$1:E1000)*(E2=E$1:E1000))))))</f>
        <v/>
      </c>
      <c r="K1001" s="24" t="str">
        <f>IF(OR(E1001="",E1001="!!!",F1001="NEW"),"",INDEX(J$1:J1000,SUMPRODUCT(MAX(ROW(E$1:E1000)*(E1001=E$1:E1000)))))</f>
        <v/>
      </c>
      <c r="L1001" s="25"/>
    </row>
    <row r="1002" spans="1:12" x14ac:dyDescent="0.2">
      <c r="A1002" t="s">
        <v>809</v>
      </c>
      <c r="E1002" s="20" t="str">
        <f t="shared" si="113"/>
        <v/>
      </c>
      <c r="F1002" s="21" t="str">
        <f>IF(OR(E1002="",E1002="!!!"),"",IF(NOT(ISNA(VLOOKUP(E1002,E$1:E1001,1,FALSE()))),"OLD",IF(AND(E1002&lt;&gt;"",E1002&lt;&gt;"!!!"),"NEW","")))</f>
        <v/>
      </c>
      <c r="G1002" s="22" t="str">
        <f>IF(OR(E1002="",E1002="!!!"),"",IF(OR(J1002=0,AND(J1002=1,K1002=1),AND(J1002=1,I1002="SBJ"),AND(J1002=1,I1002=0)),"?IN_FOCUS",IF(J1002&lt;=2,"?ACTIVATED",IF(J1002&lt;&gt;"","?FAMILIAR",IF(F1002="NEW",IF(ISNA(VLOOKUP(E1002,#REF!,1,FALSE())),"?TYPE_IDENTIFIABLE","?REFERENTIAL"),"_")))))</f>
        <v/>
      </c>
      <c r="H1002" s="23" t="str">
        <f t="shared" ca="1" si="112"/>
        <v/>
      </c>
      <c r="I1002" s="24" t="str">
        <f>IF(OR(E1002="",E1002="!!!",F1002="NEW"),"",INDEX(B$2:B1001,-1+SUMPRODUCT(MAX(ROW(E$2:E1001)*(E1002=E$2:E1001)))))</f>
        <v/>
      </c>
      <c r="J1002" s="24" t="str">
        <f ca="1">IF(OR(E1002="",E1002="!!!",F1002="NEW"),"",COUNTBLANK(OFFSET(A$1,,,SUMPRODUCT(MAX(ROW(E$2:E1002)*(E1002=E$2:E1002)))))-COUNTBLANK(OFFSET(A$1,,,SUMPRODUCT(MAX(ROW(E$1:E1001)*(E2=E$1:E1001))))))</f>
        <v/>
      </c>
      <c r="K1002" s="24" t="str">
        <f>IF(OR(E1002="",E1002="!!!",F1002="NEW"),"",INDEX(J$1:J1001,SUMPRODUCT(MAX(ROW(E$1:E1001)*(E1002=E$1:E1001)))))</f>
        <v/>
      </c>
      <c r="L1002" s="25"/>
    </row>
    <row r="1003" spans="1:12" x14ac:dyDescent="0.2">
      <c r="A1003" t="s">
        <v>1170</v>
      </c>
      <c r="E1003" s="20" t="str">
        <f t="shared" si="113"/>
        <v/>
      </c>
      <c r="F1003" s="21" t="str">
        <f>IF(OR(E1003="",E1003="!!!"),"",IF(NOT(ISNA(VLOOKUP(E1003,E$1:E1002,1,FALSE()))),"OLD",IF(AND(E1003&lt;&gt;"",E1003&lt;&gt;"!!!"),"NEW","")))</f>
        <v/>
      </c>
      <c r="G1003" s="22" t="str">
        <f>IF(OR(E1003="",E1003="!!!"),"",IF(OR(J1003=0,AND(J1003=1,K1003=1),AND(J1003=1,I1003="SBJ"),AND(J1003=1,I1003=0)),"?IN_FOCUS",IF(J1003&lt;=2,"?ACTIVATED",IF(J1003&lt;&gt;"","?FAMILIAR",IF(F1003="NEW",IF(ISNA(VLOOKUP(E1003,#REF!,1,FALSE())),"?TYPE_IDENTIFIABLE","?REFERENTIAL"),"_")))))</f>
        <v/>
      </c>
      <c r="H1003" s="23" t="str">
        <f t="shared" ca="1" si="112"/>
        <v/>
      </c>
      <c r="I1003" s="24" t="str">
        <f>IF(OR(E1003="",E1003="!!!",F1003="NEW"),"",INDEX(B$2:B1002,-1+SUMPRODUCT(MAX(ROW(E$2:E1002)*(E1003=E$2:E1002)))))</f>
        <v/>
      </c>
      <c r="J1003" s="24" t="str">
        <f ca="1">IF(OR(E1003="",E1003="!!!",F1003="NEW"),"",COUNTBLANK(OFFSET(A$1,,,SUMPRODUCT(MAX(ROW(E$2:E1003)*(E1003=E$2:E1003)))))-COUNTBLANK(OFFSET(A$1,,,SUMPRODUCT(MAX(ROW(E$1:E1002)*(E2=E$1:E1002))))))</f>
        <v/>
      </c>
      <c r="K1003" s="24" t="str">
        <f>IF(OR(E1003="",E1003="!!!",F1003="NEW"),"",INDEX(J$1:J1002,SUMPRODUCT(MAX(ROW(E$1:E1002)*(E1003=E$1:E1002)))))</f>
        <v/>
      </c>
      <c r="L1003" s="25"/>
    </row>
    <row r="1004" spans="1:12" x14ac:dyDescent="0.2">
      <c r="A1004" t="s">
        <v>802</v>
      </c>
      <c r="E1004" s="20" t="str">
        <f t="shared" si="113"/>
        <v/>
      </c>
      <c r="F1004" s="21" t="str">
        <f>IF(OR(E1004="",E1004="!!!"),"",IF(NOT(ISNA(VLOOKUP(E1004,E$1:E1003,1,FALSE()))),"OLD",IF(AND(E1004&lt;&gt;"",E1004&lt;&gt;"!!!"),"NEW","")))</f>
        <v/>
      </c>
      <c r="G1004" s="22" t="str">
        <f>IF(OR(E1004="",E1004="!!!"),"",IF(OR(J1004=0,AND(J1004=1,K1004=1),AND(J1004=1,I1004="SBJ"),AND(J1004=1,I1004=0)),"?IN_FOCUS",IF(J1004&lt;=2,"?ACTIVATED",IF(J1004&lt;&gt;"","?FAMILIAR",IF(F1004="NEW",IF(ISNA(VLOOKUP(E1004,#REF!,1,FALSE())),"?TYPE_IDENTIFIABLE","?REFERENTIAL"),"_")))))</f>
        <v/>
      </c>
      <c r="H1004" s="23" t="str">
        <f t="shared" ca="1" si="112"/>
        <v/>
      </c>
      <c r="I1004" s="24" t="str">
        <f>IF(OR(E1004="",E1004="!!!",F1004="NEW"),"",INDEX(B$2:B1003,-1+SUMPRODUCT(MAX(ROW(E$2:E1003)*(E1004=E$2:E1003)))))</f>
        <v/>
      </c>
      <c r="J1004" s="24" t="str">
        <f ca="1">IF(OR(E1004="",E1004="!!!",F1004="NEW"),"",COUNTBLANK(OFFSET(A$1,,,SUMPRODUCT(MAX(ROW(E$2:E1004)*(E1004=E$2:E1004)))))-COUNTBLANK(OFFSET(A$1,,,SUMPRODUCT(MAX(ROW(E$1:E1003)*(E2=E$1:E1003))))))</f>
        <v/>
      </c>
      <c r="K1004" s="24" t="str">
        <f>IF(OR(E1004="",E1004="!!!",F1004="NEW"),"",INDEX(J$1:J1003,SUMPRODUCT(MAX(ROW(E$1:E1003)*(E1004=E$1:E1003)))))</f>
        <v/>
      </c>
      <c r="L1004" s="25"/>
    </row>
    <row r="1005" spans="1:12" x14ac:dyDescent="0.2">
      <c r="A1005" t="s">
        <v>954</v>
      </c>
      <c r="E1005" s="20" t="str">
        <f t="shared" si="113"/>
        <v/>
      </c>
      <c r="F1005" s="21" t="str">
        <f>IF(OR(E1005="",E1005="!!!"),"",IF(NOT(ISNA(VLOOKUP(E1005,E$1:E1004,1,FALSE()))),"OLD",IF(AND(E1005&lt;&gt;"",E1005&lt;&gt;"!!!"),"NEW","")))</f>
        <v/>
      </c>
      <c r="G1005" s="22" t="str">
        <f>IF(OR(E1005="",E1005="!!!"),"",IF(OR(J1005=0,AND(J1005=1,K1005=1),AND(J1005=1,I1005="SBJ"),AND(J1005=1,I1005=0)),"?IN_FOCUS",IF(J1005&lt;=2,"?ACTIVATED",IF(J1005&lt;&gt;"","?FAMILIAR",IF(F1005="NEW",IF(ISNA(VLOOKUP(E1005,#REF!,1,FALSE())),"?TYPE_IDENTIFIABLE","?REFERENTIAL"),"_")))))</f>
        <v/>
      </c>
      <c r="H1005" s="23" t="str">
        <f t="shared" ca="1" si="112"/>
        <v/>
      </c>
      <c r="I1005" s="24" t="str">
        <f>IF(OR(E1005="",E1005="!!!",F1005="NEW"),"",INDEX(B$2:B1004,-1+SUMPRODUCT(MAX(ROW(E$2:E1004)*(E1005=E$2:E1004)))))</f>
        <v/>
      </c>
      <c r="J1005" s="24" t="str">
        <f ca="1">IF(OR(E1005="",E1005="!!!",F1005="NEW"),"",COUNTBLANK(OFFSET(A$1,,,SUMPRODUCT(MAX(ROW(E$2:E1005)*(E1005=E$2:E1005)))))-COUNTBLANK(OFFSET(A$1,,,SUMPRODUCT(MAX(ROW(E$1:E1004)*(E2=E$1:E1004))))))</f>
        <v/>
      </c>
      <c r="K1005" s="24" t="str">
        <f>IF(OR(E1005="",E1005="!!!",F1005="NEW"),"",INDEX(J$1:J1004,SUMPRODUCT(MAX(ROW(E$1:E1004)*(E1005=E$1:E1004)))))</f>
        <v/>
      </c>
      <c r="L1005" s="25"/>
    </row>
    <row r="1006" spans="1:12" x14ac:dyDescent="0.2">
      <c r="A1006" t="s">
        <v>1171</v>
      </c>
      <c r="B1006" s="26" t="s">
        <v>813</v>
      </c>
      <c r="C1006" s="26" t="s">
        <v>811</v>
      </c>
      <c r="E1006" s="20" t="str">
        <f t="shared" si="113"/>
        <v/>
      </c>
      <c r="F1006" s="21" t="str">
        <f>IF(OR(E1006="",E1006="!!!"),"",IF(NOT(ISNA(VLOOKUP(E1006,E$1:E1005,1,FALSE()))),"OLD",IF(AND(E1006&lt;&gt;"",E1006&lt;&gt;"!!!"),"NEW","")))</f>
        <v/>
      </c>
      <c r="G1006" s="22" t="str">
        <f>IF(OR(E1006="",E1006="!!!"),"",IF(OR(J1006=0,AND(J1006=1,K1006=1),AND(J1006=1,I1006="SBJ"),AND(J1006=1,I1006=0)),"?IN_FOCUS",IF(J1006&lt;=2,"?ACTIVATED",IF(J1006&lt;&gt;"","?FAMILIAR",IF(F1006="NEW",IF(ISNA(VLOOKUP(E1006,#REF!,1,FALSE())),"?TYPE_IDENTIFIABLE","?REFERENTIAL"),"_")))))</f>
        <v/>
      </c>
      <c r="H1006" s="23" t="str">
        <f t="shared" ca="1" si="112"/>
        <v/>
      </c>
      <c r="I1006" s="24" t="str">
        <f>IF(OR(E1006="",E1006="!!!",F1006="NEW"),"",INDEX(B$2:B1005,-1+SUMPRODUCT(MAX(ROW(E$2:E1005)*(E1006=E$2:E1005)))))</f>
        <v/>
      </c>
      <c r="J1006" s="24" t="str">
        <f ca="1">IF(OR(E1006="",E1006="!!!",F1006="NEW"),"",COUNTBLANK(OFFSET(A$1,,,SUMPRODUCT(MAX(ROW(E$2:E1006)*(E1006=E$2:E1006)))))-COUNTBLANK(OFFSET(A$1,,,SUMPRODUCT(MAX(ROW(E$1:E1005)*(E2=E$1:E1005))))))</f>
        <v/>
      </c>
      <c r="K1006" s="24" t="str">
        <f>IF(OR(E1006="",E1006="!!!",F1006="NEW"),"",INDEX(J$1:J1005,SUMPRODUCT(MAX(ROW(E$1:E1005)*(E1006=E$1:E1005)))))</f>
        <v/>
      </c>
      <c r="L1006" s="25"/>
    </row>
    <row r="1007" spans="1:12" x14ac:dyDescent="0.2">
      <c r="A1007" t="s">
        <v>802</v>
      </c>
      <c r="E1007" s="20" t="str">
        <f t="shared" si="113"/>
        <v/>
      </c>
      <c r="F1007" s="21" t="str">
        <f>IF(OR(E1007="",E1007="!!!"),"",IF(NOT(ISNA(VLOOKUP(E1007,E$1:E1006,1,FALSE()))),"OLD",IF(AND(E1007&lt;&gt;"",E1007&lt;&gt;"!!!"),"NEW","")))</f>
        <v/>
      </c>
      <c r="G1007" s="22" t="str">
        <f>IF(OR(E1007="",E1007="!!!"),"",IF(OR(J1007=0,AND(J1007=1,K1007=1),AND(J1007=1,I1007="SBJ"),AND(J1007=1,I1007=0)),"?IN_FOCUS",IF(J1007&lt;=2,"?ACTIVATED",IF(J1007&lt;&gt;"","?FAMILIAR",IF(F1007="NEW",IF(ISNA(VLOOKUP(E1007,#REF!,1,FALSE())),"?TYPE_IDENTIFIABLE","?REFERENTIAL"),"_")))))</f>
        <v/>
      </c>
      <c r="H1007" s="23" t="str">
        <f t="shared" ca="1" si="112"/>
        <v/>
      </c>
      <c r="I1007" s="24" t="str">
        <f>IF(OR(E1007="",E1007="!!!",F1007="NEW"),"",INDEX(B$2:B1006,-1+SUMPRODUCT(MAX(ROW(E$2:E1006)*(E1007=E$2:E1006)))))</f>
        <v/>
      </c>
      <c r="J1007" s="24" t="str">
        <f ca="1">IF(OR(E1007="",E1007="!!!",F1007="NEW"),"",COUNTBLANK(OFFSET(A$1,,,SUMPRODUCT(MAX(ROW(E$2:E1007)*(E1007=E$2:E1007)))))-COUNTBLANK(OFFSET(A$1,,,SUMPRODUCT(MAX(ROW(E$1:E1006)*(E2=E$1:E1006))))))</f>
        <v/>
      </c>
      <c r="K1007" s="24" t="str">
        <f>IF(OR(E1007="",E1007="!!!",F1007="NEW"),"",INDEX(J$1:J1006,SUMPRODUCT(MAX(ROW(E$1:E1006)*(E1007=E$1:E1006)))))</f>
        <v/>
      </c>
      <c r="L1007" s="25"/>
    </row>
    <row r="1008" spans="1:12" x14ac:dyDescent="0.2">
      <c r="A1008" t="s">
        <v>1172</v>
      </c>
      <c r="E1008" s="20" t="str">
        <f t="shared" si="113"/>
        <v/>
      </c>
      <c r="F1008" s="21" t="str">
        <f>IF(OR(E1008="",E1008="!!!"),"",IF(NOT(ISNA(VLOOKUP(E1008,E$1:E1007,1,FALSE()))),"OLD",IF(AND(E1008&lt;&gt;"",E1008&lt;&gt;"!!!"),"NEW","")))</f>
        <v/>
      </c>
      <c r="G1008" s="22" t="str">
        <f>IF(OR(E1008="",E1008="!!!"),"",IF(OR(J1008=0,AND(J1008=1,K1008=1),AND(J1008=1,I1008="SBJ"),AND(J1008=1,I1008=0)),"?IN_FOCUS",IF(J1008&lt;=2,"?ACTIVATED",IF(J1008&lt;&gt;"","?FAMILIAR",IF(F1008="NEW",IF(ISNA(VLOOKUP(E1008,#REF!,1,FALSE())),"?TYPE_IDENTIFIABLE","?REFERENTIAL"),"_")))))</f>
        <v/>
      </c>
      <c r="H1008" s="23" t="str">
        <f t="shared" ca="1" si="112"/>
        <v/>
      </c>
      <c r="I1008" s="24" t="str">
        <f>IF(OR(E1008="",E1008="!!!",F1008="NEW"),"",INDEX(B$2:B1007,-1+SUMPRODUCT(MAX(ROW(E$2:E1007)*(E1008=E$2:E1007)))))</f>
        <v/>
      </c>
      <c r="J1008" s="24" t="str">
        <f ca="1">IF(OR(E1008="",E1008="!!!",F1008="NEW"),"",COUNTBLANK(OFFSET(A$1,,,SUMPRODUCT(MAX(ROW(E$2:E1008)*(E1008=E$2:E1008)))))-COUNTBLANK(OFFSET(A$1,,,SUMPRODUCT(MAX(ROW(E$1:E1007)*(E2=E$1:E1007))))))</f>
        <v/>
      </c>
      <c r="K1008" s="24" t="str">
        <f>IF(OR(E1008="",E1008="!!!",F1008="NEW"),"",INDEX(J$1:J1007,SUMPRODUCT(MAX(ROW(E$1:E1007)*(E1008=E$1:E1007)))))</f>
        <v/>
      </c>
      <c r="L1008" s="25"/>
    </row>
    <row r="1009" spans="1:12" x14ac:dyDescent="0.2">
      <c r="A1009" t="s">
        <v>1173</v>
      </c>
      <c r="B1009" s="26" t="s">
        <v>864</v>
      </c>
      <c r="C1009" s="26" t="s">
        <v>814</v>
      </c>
      <c r="E1009" s="20" t="str">
        <f t="shared" si="113"/>
        <v/>
      </c>
      <c r="F1009" s="21" t="str">
        <f>IF(OR(E1009="",E1009="!!!"),"",IF(NOT(ISNA(VLOOKUP(E1009,E$1:E1008,1,FALSE()))),"OLD",IF(AND(E1009&lt;&gt;"",E1009&lt;&gt;"!!!"),"NEW","")))</f>
        <v/>
      </c>
      <c r="G1009" s="22" t="str">
        <f>IF(OR(E1009="",E1009="!!!"),"",IF(OR(J1009=0,AND(J1009=1,K1009=1),AND(J1009=1,I1009="SBJ"),AND(J1009=1,I1009=0)),"?IN_FOCUS",IF(J1009&lt;=2,"?ACTIVATED",IF(J1009&lt;&gt;"","?FAMILIAR",IF(F1009="NEW",IF(ISNA(VLOOKUP(E1009,#REF!,1,FALSE())),"?TYPE_IDENTIFIABLE","?REFERENTIAL"),"_")))))</f>
        <v/>
      </c>
      <c r="H1009" s="23" t="str">
        <f t="shared" ca="1" si="112"/>
        <v/>
      </c>
      <c r="I1009" s="24" t="str">
        <f>IF(OR(E1009="",E1009="!!!",F1009="NEW"),"",INDEX(B$2:B1008,-1+SUMPRODUCT(MAX(ROW(E$2:E1008)*(E1009=E$2:E1008)))))</f>
        <v/>
      </c>
      <c r="J1009" s="24" t="str">
        <f ca="1">IF(OR(E1009="",E1009="!!!",F1009="NEW"),"",COUNTBLANK(OFFSET(A$1,,,SUMPRODUCT(MAX(ROW(E$2:E1009)*(E1009=E$2:E1009)))))-COUNTBLANK(OFFSET(A$1,,,SUMPRODUCT(MAX(ROW(E$1:E1008)*(E2=E$1:E1008))))))</f>
        <v/>
      </c>
      <c r="K1009" s="24" t="str">
        <f>IF(OR(E1009="",E1009="!!!",F1009="NEW"),"",INDEX(J$1:J1008,SUMPRODUCT(MAX(ROW(E$1:E1008)*(E1009=E$1:E1008)))))</f>
        <v/>
      </c>
      <c r="L1009" s="25"/>
    </row>
    <row r="1010" spans="1:12" x14ac:dyDescent="0.2">
      <c r="A1010" t="s">
        <v>821</v>
      </c>
      <c r="E1010" s="20" t="str">
        <f t="shared" si="113"/>
        <v/>
      </c>
      <c r="F1010" s="21" t="str">
        <f>IF(OR(E1010="",E1010="!!!"),"",IF(NOT(ISNA(VLOOKUP(E1010,E$1:E1009,1,FALSE()))),"OLD",IF(AND(E1010&lt;&gt;"",E1010&lt;&gt;"!!!"),"NEW","")))</f>
        <v/>
      </c>
      <c r="G1010" s="22" t="str">
        <f>IF(OR(E1010="",E1010="!!!"),"",IF(OR(J1010=0,AND(J1010=1,K1010=1),AND(J1010=1,I1010="SBJ"),AND(J1010=1,I1010=0)),"?IN_FOCUS",IF(J1010&lt;=2,"?ACTIVATED",IF(J1010&lt;&gt;"","?FAMILIAR",IF(F1010="NEW",IF(ISNA(VLOOKUP(E1010,#REF!,1,FALSE())),"?TYPE_IDENTIFIABLE","?REFERENTIAL"),"_")))))</f>
        <v/>
      </c>
      <c r="H1010" s="23" t="str">
        <f t="shared" ca="1" si="112"/>
        <v/>
      </c>
      <c r="I1010" s="24" t="str">
        <f>IF(OR(E1010="",E1010="!!!",F1010="NEW"),"",INDEX(B$2:B1009,-1+SUMPRODUCT(MAX(ROW(E$2:E1009)*(E1010=E$2:E1009)))))</f>
        <v/>
      </c>
      <c r="J1010" s="24" t="str">
        <f ca="1">IF(OR(E1010="",E1010="!!!",F1010="NEW"),"",COUNTBLANK(OFFSET(A$1,,,SUMPRODUCT(MAX(ROW(E$2:E1010)*(E1010=E$2:E1010)))))-COUNTBLANK(OFFSET(A$1,,,SUMPRODUCT(MAX(ROW(E$1:E1009)*(E2=E$1:E1009))))))</f>
        <v/>
      </c>
      <c r="K1010" s="24" t="str">
        <f>IF(OR(E1010="",E1010="!!!",F1010="NEW"),"",INDEX(J$1:J1009,SUMPRODUCT(MAX(ROW(E$1:E1009)*(E1010=E$1:E1009)))))</f>
        <v/>
      </c>
      <c r="L1010" s="25"/>
    </row>
    <row r="1012" spans="1:12" x14ac:dyDescent="0.2">
      <c r="A1012" t="s">
        <v>1174</v>
      </c>
    </row>
    <row r="1013" spans="1:12" x14ac:dyDescent="0.2">
      <c r="A1013" t="s">
        <v>1008</v>
      </c>
      <c r="E1013" s="20" t="str">
        <f t="shared" ref="E1013:E1018" si="114">IF(D1013="?OLD","!!!","")</f>
        <v/>
      </c>
      <c r="F1013" s="21" t="str">
        <f>IF(OR(E1013="",E1013="!!!"),"",IF(NOT(ISNA(VLOOKUP(E1013,E$1:E1012,1,FALSE()))),"OLD",IF(AND(E1013&lt;&gt;"",E1013&lt;&gt;"!!!"),"NEW","")))</f>
        <v/>
      </c>
      <c r="G1013" s="22" t="str">
        <f>IF(OR(E1013="",E1013="!!!"),"",IF(OR(J1013=0,AND(J1013=1,K1013=1),AND(J1013=1,I1013="SBJ"),AND(J1013=1,I1013=0)),"?IN_FOCUS",IF(J1013&lt;=2,"?ACTIVATED",IF(J1013&lt;&gt;"","?FAMILIAR",IF(F1013="NEW",IF(ISNA(VLOOKUP(E1013,#REF!,1,FALSE())),"?TYPE_IDENTIFIABLE","?REFERENTIAL"),"_")))))</f>
        <v/>
      </c>
      <c r="H1013" s="23" t="str">
        <f t="shared" ref="H1013:H1018" ca="1" si="115">IF(J1013&lt;&gt;1,"",IF(I1013="SBJ","CB","?"))</f>
        <v/>
      </c>
      <c r="I1013" s="24" t="str">
        <f>IF(OR(E1013="",E1013="!!!",F1013="NEW"),"",INDEX(B$2:B1012,-1+SUMPRODUCT(MAX(ROW(E$2:E1012)*(E1013=E$2:E1012)))))</f>
        <v/>
      </c>
      <c r="J1013" s="24" t="str">
        <f ca="1">IF(OR(E1013="",E1013="!!!",F1013="NEW"),"",COUNTBLANK(OFFSET(A$1,,,SUMPRODUCT(MAX(ROW(E$2:E1013)*(E1013=E$2:E1013)))))-COUNTBLANK(OFFSET(A$1,,,SUMPRODUCT(MAX(ROW(E$1:E1012)*(E2=E$1:E1012))))))</f>
        <v/>
      </c>
      <c r="K1013" s="24" t="str">
        <f>IF(OR(E1013="",E1013="!!!",F1013="NEW"),"",INDEX(J$1:J1012,SUMPRODUCT(MAX(ROW(E$1:E1012)*(E1013=E$1:E1012)))))</f>
        <v/>
      </c>
      <c r="L1013" s="25"/>
    </row>
    <row r="1014" spans="1:12" x14ac:dyDescent="0.2">
      <c r="A1014" t="s">
        <v>1175</v>
      </c>
      <c r="B1014" s="26" t="s">
        <v>804</v>
      </c>
      <c r="C1014" s="26" t="s">
        <v>847</v>
      </c>
      <c r="D1014" s="26" t="s">
        <v>806</v>
      </c>
      <c r="E1014" s="20" t="s">
        <v>1175</v>
      </c>
      <c r="F1014" s="21" t="str">
        <f>IF(OR(E1014="",E1014="!!!"),"",IF(NOT(ISNA(VLOOKUP(E1014,E$1:E1013,1,FALSE()))),"OLD",IF(AND(E1014&lt;&gt;"",E1014&lt;&gt;"!!!"),"NEW","")))</f>
        <v>NEW</v>
      </c>
      <c r="G1014" s="22" t="s">
        <v>1824</v>
      </c>
      <c r="H1014" s="23" t="str">
        <f t="shared" ca="1" si="115"/>
        <v/>
      </c>
      <c r="I1014" s="24" t="str">
        <f>IF(OR(E1014="",E1014="!!!",F1014="NEW"),"",INDEX(B$2:B1013,-1+SUMPRODUCT(MAX(ROW(E$2:E1013)*(E1014=E$2:E1013)))))</f>
        <v/>
      </c>
      <c r="J1014" s="24" t="str">
        <f ca="1">IF(OR(E1014="",E1014="!!!",F1014="NEW"),"",COUNTBLANK(OFFSET(A$1,,,SUMPRODUCT(MAX(ROW(E$2:E1014)*(E1014=E$2:E1014)))))-COUNTBLANK(OFFSET(A$1,,,SUMPRODUCT(MAX(ROW(E$1:E1013)*(E2=E$1:E1013))))))</f>
        <v/>
      </c>
      <c r="K1014" s="24" t="str">
        <f>IF(OR(E1014="",E1014="!!!",F1014="NEW"),"",INDEX(J$1:J1013,SUMPRODUCT(MAX(ROW(E$1:E1013)*(E1014=E$1:E1013)))))</f>
        <v/>
      </c>
      <c r="L1014" s="25"/>
    </row>
    <row r="1015" spans="1:12" x14ac:dyDescent="0.2">
      <c r="A1015" t="s">
        <v>1161</v>
      </c>
      <c r="E1015" s="20" t="str">
        <f t="shared" si="114"/>
        <v/>
      </c>
      <c r="F1015" s="21" t="str">
        <f>IF(OR(E1015="",E1015="!!!"),"",IF(NOT(ISNA(VLOOKUP(E1015,E$1:E1014,1,FALSE()))),"OLD",IF(AND(E1015&lt;&gt;"",E1015&lt;&gt;"!!!"),"NEW","")))</f>
        <v/>
      </c>
      <c r="G1015" s="22" t="str">
        <f>IF(OR(E1015="",E1015="!!!"),"",IF(OR(J1015=0,AND(J1015=1,K1015=1),AND(J1015=1,I1015="SBJ"),AND(J1015=1,I1015=0)),"?IN_FOCUS",IF(J1015&lt;=2,"?ACTIVATED",IF(J1015&lt;&gt;"","?FAMILIAR",IF(F1015="NEW",IF(ISNA(VLOOKUP(E1015,#REF!,1,FALSE())),"?TYPE_IDENTIFIABLE","?REFERENTIAL"),"_")))))</f>
        <v/>
      </c>
      <c r="H1015" s="23" t="str">
        <f t="shared" ca="1" si="115"/>
        <v/>
      </c>
      <c r="I1015" s="24" t="str">
        <f>IF(OR(E1015="",E1015="!!!",F1015="NEW"),"",INDEX(B$2:B1014,-1+SUMPRODUCT(MAX(ROW(E$2:E1014)*(E1015=E$2:E1014)))))</f>
        <v/>
      </c>
      <c r="J1015" s="24" t="str">
        <f ca="1">IF(OR(E1015="",E1015="!!!",F1015="NEW"),"",COUNTBLANK(OFFSET(A$1,,,SUMPRODUCT(MAX(ROW(E$2:E1015)*(E1015=E$2:E1015)))))-COUNTBLANK(OFFSET(A$1,,,SUMPRODUCT(MAX(ROW(E$1:E1014)*(E2=E$1:E1014))))))</f>
        <v/>
      </c>
      <c r="K1015" s="24" t="str">
        <f>IF(OR(E1015="",E1015="!!!",F1015="NEW"),"",INDEX(J$1:J1014,SUMPRODUCT(MAX(ROW(E$1:E1014)*(E1015=E$1:E1014)))))</f>
        <v/>
      </c>
      <c r="L1015" s="25"/>
    </row>
    <row r="1016" spans="1:12" x14ac:dyDescent="0.2">
      <c r="A1016" t="s">
        <v>1176</v>
      </c>
      <c r="E1016" s="20" t="str">
        <f t="shared" si="114"/>
        <v/>
      </c>
      <c r="F1016" s="21" t="str">
        <f>IF(OR(E1016="",E1016="!!!"),"",IF(NOT(ISNA(VLOOKUP(E1016,E$1:E1015,1,FALSE()))),"OLD",IF(AND(E1016&lt;&gt;"",E1016&lt;&gt;"!!!"),"NEW","")))</f>
        <v/>
      </c>
      <c r="G1016" s="22" t="str">
        <f>IF(OR(E1016="",E1016="!!!"),"",IF(OR(J1016=0,AND(J1016=1,K1016=1),AND(J1016=1,I1016="SBJ"),AND(J1016=1,I1016=0)),"?IN_FOCUS",IF(J1016&lt;=2,"?ACTIVATED",IF(J1016&lt;&gt;"","?FAMILIAR",IF(F1016="NEW",IF(ISNA(VLOOKUP(E1016,#REF!,1,FALSE())),"?TYPE_IDENTIFIABLE","?REFERENTIAL"),"_")))))</f>
        <v/>
      </c>
      <c r="H1016" s="23" t="str">
        <f t="shared" ca="1" si="115"/>
        <v/>
      </c>
      <c r="I1016" s="24" t="str">
        <f>IF(OR(E1016="",E1016="!!!",F1016="NEW"),"",INDEX(B$2:B1015,-1+SUMPRODUCT(MAX(ROW(E$2:E1015)*(E1016=E$2:E1015)))))</f>
        <v/>
      </c>
      <c r="J1016" s="24" t="str">
        <f ca="1">IF(OR(E1016="",E1016="!!!",F1016="NEW"),"",COUNTBLANK(OFFSET(A$1,,,SUMPRODUCT(MAX(ROW(E$2:E1016)*(E1016=E$2:E1016)))))-COUNTBLANK(OFFSET(A$1,,,SUMPRODUCT(MAX(ROW(E$1:E1015)*(E2=E$1:E1015))))))</f>
        <v/>
      </c>
      <c r="K1016" s="24" t="str">
        <f>IF(OR(E1016="",E1016="!!!",F1016="NEW"),"",INDEX(J$1:J1015,SUMPRODUCT(MAX(ROW(E$1:E1015)*(E1016=E$1:E1015)))))</f>
        <v/>
      </c>
      <c r="L1016" s="25"/>
    </row>
    <row r="1017" spans="1:12" x14ac:dyDescent="0.2">
      <c r="A1017" t="s">
        <v>830</v>
      </c>
      <c r="B1017" s="26" t="s">
        <v>810</v>
      </c>
      <c r="C1017" s="26" t="s">
        <v>805</v>
      </c>
      <c r="D1017" s="26" t="s">
        <v>806</v>
      </c>
      <c r="E1017" s="20" t="s">
        <v>1771</v>
      </c>
      <c r="F1017" s="21" t="str">
        <f>IF(OR(E1017="",E1017="!!!"),"",IF(NOT(ISNA(VLOOKUP(E1017,E$1:E1016,1,FALSE()))),"OLD",IF(AND(E1017&lt;&gt;"",E1017&lt;&gt;"!!!"),"NEW","")))</f>
        <v>OLD</v>
      </c>
      <c r="G1017" s="22" t="s">
        <v>1822</v>
      </c>
      <c r="H1017" s="23" t="str">
        <f t="shared" ca="1" si="115"/>
        <v/>
      </c>
      <c r="I1017" s="24" t="str">
        <f>IF(OR(E1017="",E1017="!!!",F1017="NEW"),"",INDEX(B$2:B1016,-1+SUMPRODUCT(MAX(ROW(E$2:E1016)*(E1017=E$2:E1016)))))</f>
        <v>SBJ</v>
      </c>
      <c r="J1017" s="24">
        <f ca="1">IF(OR(E1017="",E1017="!!!",F1017="NEW"),"",COUNTBLANK(OFFSET(A$1,,,SUMPRODUCT(MAX(ROW(E$2:E1017)*(E1017=E$2:E1017)))))-COUNTBLANK(OFFSET(A$1,,,SUMPRODUCT(MAX(ROW(E$1:E1016)*(E2=E$1:E1016))))))</f>
        <v>0</v>
      </c>
      <c r="K1017" s="24">
        <f ca="1">IF(OR(E1017="",E1017="!!!",F1017="NEW"),"",INDEX(J$1:J1016,SUMPRODUCT(MAX(ROW(E$1:E1016)*(E1017=E$1:E1016)))))</f>
        <v>0</v>
      </c>
      <c r="L1017" s="25"/>
    </row>
    <row r="1018" spans="1:12" x14ac:dyDescent="0.2">
      <c r="A1018" t="s">
        <v>821</v>
      </c>
      <c r="E1018" s="20" t="str">
        <f t="shared" si="114"/>
        <v/>
      </c>
      <c r="F1018" s="21" t="str">
        <f>IF(OR(E1018="",E1018="!!!"),"",IF(NOT(ISNA(VLOOKUP(E1018,E$1:E1017,1,FALSE()))),"OLD",IF(AND(E1018&lt;&gt;"",E1018&lt;&gt;"!!!"),"NEW","")))</f>
        <v/>
      </c>
      <c r="G1018" s="22" t="str">
        <f>IF(OR(E1018="",E1018="!!!"),"",IF(OR(J1018=0,AND(J1018=1,K1018=1),AND(J1018=1,I1018="SBJ"),AND(J1018=1,I1018=0)),"?IN_FOCUS",IF(J1018&lt;=2,"?ACTIVATED",IF(J1018&lt;&gt;"","?FAMILIAR",IF(F1018="NEW",IF(ISNA(VLOOKUP(E1018,#REF!,1,FALSE())),"?TYPE_IDENTIFIABLE","?REFERENTIAL"),"_")))))</f>
        <v/>
      </c>
      <c r="H1018" s="23" t="str">
        <f t="shared" ca="1" si="115"/>
        <v/>
      </c>
      <c r="I1018" s="24" t="str">
        <f>IF(OR(E1018="",E1018="!!!",F1018="NEW"),"",INDEX(B$2:B1017,-1+SUMPRODUCT(MAX(ROW(E$2:E1017)*(E1018=E$2:E1017)))))</f>
        <v/>
      </c>
      <c r="J1018" s="24" t="str">
        <f ca="1">IF(OR(E1018="",E1018="!!!",F1018="NEW"),"",COUNTBLANK(OFFSET(A$1,,,SUMPRODUCT(MAX(ROW(E$2:E1018)*(E1018=E$2:E1018)))))-COUNTBLANK(OFFSET(A$1,,,SUMPRODUCT(MAX(ROW(E$1:E1017)*(E2=E$1:E1017))))))</f>
        <v/>
      </c>
      <c r="K1018" s="24" t="str">
        <f>IF(OR(E1018="",E1018="!!!",F1018="NEW"),"",INDEX(J$1:J1017,SUMPRODUCT(MAX(ROW(E$1:E1017)*(E1018=E$1:E1017)))))</f>
        <v/>
      </c>
      <c r="L1018" s="25"/>
    </row>
    <row r="1020" spans="1:12" x14ac:dyDescent="0.2">
      <c r="A1020" t="s">
        <v>1177</v>
      </c>
    </row>
    <row r="1021" spans="1:12" x14ac:dyDescent="0.2">
      <c r="A1021" t="s">
        <v>1178</v>
      </c>
      <c r="E1021" s="20" t="str">
        <f>IF(D1021="?OLD","!!!","")</f>
        <v/>
      </c>
      <c r="F1021" s="21" t="str">
        <f>IF(OR(E1021="",E1021="!!!"),"",IF(NOT(ISNA(VLOOKUP(E1021,E$1:E1020,1,FALSE()))),"OLD",IF(AND(E1021&lt;&gt;"",E1021&lt;&gt;"!!!"),"NEW","")))</f>
        <v/>
      </c>
      <c r="G1021" s="22" t="str">
        <f>IF(OR(E1021="",E1021="!!!"),"",IF(OR(J1021=0,AND(J1021=1,K1021=1),AND(J1021=1,I1021="SBJ"),AND(J1021=1,I1021=0)),"?IN_FOCUS",IF(J1021&lt;=2,"?ACTIVATED",IF(J1021&lt;&gt;"","?FAMILIAR",IF(F1021="NEW",IF(ISNA(VLOOKUP(E1021,#REF!,1,FALSE())),"?TYPE_IDENTIFIABLE","?REFERENTIAL"),"_")))))</f>
        <v/>
      </c>
      <c r="H1021" s="23" t="str">
        <f ca="1">IF(J1021&lt;&gt;1,"",IF(I1021="SBJ","CB","?"))</f>
        <v/>
      </c>
      <c r="I1021" s="24" t="str">
        <f>IF(OR(E1021="",E1021="!!!",F1021="NEW"),"",INDEX(B$2:B1020,-1+SUMPRODUCT(MAX(ROW(E$2:E1020)*(E1021=E$2:E1020)))))</f>
        <v/>
      </c>
      <c r="J1021" s="24" t="str">
        <f ca="1">IF(OR(E1021="",E1021="!!!",F1021="NEW"),"",COUNTBLANK(OFFSET(A$1,,,SUMPRODUCT(MAX(ROW(E$2:E1021)*(E1021=E$2:E1021)))))-COUNTBLANK(OFFSET(A$1,,,SUMPRODUCT(MAX(ROW(E$1:E1020)*(E2=E$1:E1020))))))</f>
        <v/>
      </c>
      <c r="K1021" s="24" t="str">
        <f>IF(OR(E1021="",E1021="!!!",F1021="NEW"),"",INDEX(J$1:J1020,SUMPRODUCT(MAX(ROW(E$1:E1020)*(E1021=E$1:E1020)))))</f>
        <v/>
      </c>
      <c r="L1021" s="25"/>
    </row>
    <row r="1022" spans="1:12" x14ac:dyDescent="0.2">
      <c r="A1022" t="s">
        <v>1179</v>
      </c>
      <c r="E1022" s="20" t="str">
        <f>IF(D1022="?OLD","!!!","")</f>
        <v/>
      </c>
      <c r="F1022" s="21" t="str">
        <f>IF(OR(E1022="",E1022="!!!"),"",IF(NOT(ISNA(VLOOKUP(E1022,E$1:E1021,1,FALSE()))),"OLD",IF(AND(E1022&lt;&gt;"",E1022&lt;&gt;"!!!"),"NEW","")))</f>
        <v/>
      </c>
      <c r="G1022" s="22" t="str">
        <f>IF(OR(E1022="",E1022="!!!"),"",IF(OR(J1022=0,AND(J1022=1,K1022=1),AND(J1022=1,I1022="SBJ"),AND(J1022=1,I1022=0)),"?IN_FOCUS",IF(J1022&lt;=2,"?ACTIVATED",IF(J1022&lt;&gt;"","?FAMILIAR",IF(F1022="NEW",IF(ISNA(VLOOKUP(E1022,#REF!,1,FALSE())),"?TYPE_IDENTIFIABLE","?REFERENTIAL"),"_")))))</f>
        <v/>
      </c>
      <c r="H1022" s="23" t="str">
        <f ca="1">IF(J1022&lt;&gt;1,"",IF(I1022="SBJ","CB","?"))</f>
        <v/>
      </c>
      <c r="I1022" s="24" t="str">
        <f>IF(OR(E1022="",E1022="!!!",F1022="NEW"),"",INDEX(B$2:B1021,-1+SUMPRODUCT(MAX(ROW(E$2:E1021)*(E1022=E$2:E1021)))))</f>
        <v/>
      </c>
      <c r="J1022" s="24" t="str">
        <f ca="1">IF(OR(E1022="",E1022="!!!",F1022="NEW"),"",COUNTBLANK(OFFSET(A$1,,,SUMPRODUCT(MAX(ROW(E$2:E1022)*(E1022=E$2:E1022)))))-COUNTBLANK(OFFSET(A$1,,,SUMPRODUCT(MAX(ROW(E$1:E1021)*(E2=E$1:E1021))))))</f>
        <v/>
      </c>
      <c r="K1022" s="24" t="str">
        <f>IF(OR(E1022="",E1022="!!!",F1022="NEW"),"",INDEX(J$1:J1021,SUMPRODUCT(MAX(ROW(E$1:E1021)*(E1022=E$1:E1021)))))</f>
        <v/>
      </c>
      <c r="L1022" s="25"/>
    </row>
    <row r="1023" spans="1:12" x14ac:dyDescent="0.2">
      <c r="A1023" t="s">
        <v>263</v>
      </c>
      <c r="E1023" s="20" t="str">
        <f>IF(D1023="?OLD","!!!","")</f>
        <v/>
      </c>
      <c r="F1023" s="21" t="str">
        <f>IF(OR(E1023="",E1023="!!!"),"",IF(NOT(ISNA(VLOOKUP(E1023,E$1:E1022,1,FALSE()))),"OLD",IF(AND(E1023&lt;&gt;"",E1023&lt;&gt;"!!!"),"NEW","")))</f>
        <v/>
      </c>
      <c r="G1023" s="22" t="str">
        <f>IF(OR(E1023="",E1023="!!!"),"",IF(OR(J1023=0,AND(J1023=1,K1023=1),AND(J1023=1,I1023="SBJ"),AND(J1023=1,I1023=0)),"?IN_FOCUS",IF(J1023&lt;=2,"?ACTIVATED",IF(J1023&lt;&gt;"","?FAMILIAR",IF(F1023="NEW",IF(ISNA(VLOOKUP(E1023,#REF!,1,FALSE())),"?TYPE_IDENTIFIABLE","?REFERENTIAL"),"_")))))</f>
        <v/>
      </c>
      <c r="H1023" s="23" t="str">
        <f ca="1">IF(J1023&lt;&gt;1,"",IF(I1023="SBJ","CB","?"))</f>
        <v/>
      </c>
      <c r="I1023" s="24" t="str">
        <f>IF(OR(E1023="",E1023="!!!",F1023="NEW"),"",INDEX(B$2:B1022,-1+SUMPRODUCT(MAX(ROW(E$2:E1022)*(E1023=E$2:E1022)))))</f>
        <v/>
      </c>
      <c r="J1023" s="24" t="str">
        <f ca="1">IF(OR(E1023="",E1023="!!!",F1023="NEW"),"",COUNTBLANK(OFFSET(A$1,,,SUMPRODUCT(MAX(ROW(E$2:E1023)*(E1023=E$2:E1023)))))-COUNTBLANK(OFFSET(A$1,,,SUMPRODUCT(MAX(ROW(E$1:E1022)*(E2=E$1:E1022))))))</f>
        <v/>
      </c>
      <c r="K1023" s="24" t="str">
        <f>IF(OR(E1023="",E1023="!!!",F1023="NEW"),"",INDEX(J$1:J1022,SUMPRODUCT(MAX(ROW(E$1:E1022)*(E1023=E$1:E1022)))))</f>
        <v/>
      </c>
      <c r="L1023" s="25"/>
    </row>
    <row r="1024" spans="1:12" x14ac:dyDescent="0.2">
      <c r="A1024" t="s">
        <v>821</v>
      </c>
      <c r="E1024" s="20" t="str">
        <f>IF(D1024="?OLD","!!!","")</f>
        <v/>
      </c>
      <c r="F1024" s="21" t="str">
        <f>IF(OR(E1024="",E1024="!!!"),"",IF(NOT(ISNA(VLOOKUP(E1024,E$1:E1023,1,FALSE()))),"OLD",IF(AND(E1024&lt;&gt;"",E1024&lt;&gt;"!!!"),"NEW","")))</f>
        <v/>
      </c>
      <c r="G1024" s="22" t="str">
        <f>IF(OR(E1024="",E1024="!!!"),"",IF(OR(J1024=0,AND(J1024=1,K1024=1),AND(J1024=1,I1024="SBJ"),AND(J1024=1,I1024=0)),"?IN_FOCUS",IF(J1024&lt;=2,"?ACTIVATED",IF(J1024&lt;&gt;"","?FAMILIAR",IF(F1024="NEW",IF(ISNA(VLOOKUP(E1024,#REF!,1,FALSE())),"?TYPE_IDENTIFIABLE","?REFERENTIAL"),"_")))))</f>
        <v/>
      </c>
      <c r="H1024" s="23" t="str">
        <f ca="1">IF(J1024&lt;&gt;1,"",IF(I1024="SBJ","CB","?"))</f>
        <v/>
      </c>
      <c r="I1024" s="24" t="str">
        <f>IF(OR(E1024="",E1024="!!!",F1024="NEW"),"",INDEX(B$2:B1023,-1+SUMPRODUCT(MAX(ROW(E$2:E1023)*(E1024=E$2:E1023)))))</f>
        <v/>
      </c>
      <c r="J1024" s="24" t="str">
        <f ca="1">IF(OR(E1024="",E1024="!!!",F1024="NEW"),"",COUNTBLANK(OFFSET(A$1,,,SUMPRODUCT(MAX(ROW(E$2:E1024)*(E1024=E$2:E1024)))))-COUNTBLANK(OFFSET(A$1,,,SUMPRODUCT(MAX(ROW(E$1:E1023)*(E2=E$1:E1023))))))</f>
        <v/>
      </c>
      <c r="K1024" s="24" t="str">
        <f>IF(OR(E1024="",E1024="!!!",F1024="NEW"),"",INDEX(J$1:J1023,SUMPRODUCT(MAX(ROW(E$1:E1023)*(E1024=E$1:E1023)))))</f>
        <v/>
      </c>
      <c r="L1024" s="25"/>
    </row>
    <row r="1026" spans="1:12" x14ac:dyDescent="0.2">
      <c r="A1026" t="s">
        <v>1180</v>
      </c>
    </row>
    <row r="1027" spans="1:12" x14ac:dyDescent="0.2">
      <c r="A1027" t="s">
        <v>1181</v>
      </c>
      <c r="E1027" s="20" t="str">
        <f t="shared" ref="E1027:E1033" si="116">IF(D1027="?OLD","!!!","")</f>
        <v/>
      </c>
      <c r="F1027" s="21" t="str">
        <f>IF(OR(E1027="",E1027="!!!"),"",IF(NOT(ISNA(VLOOKUP(E1027,E$1:E1026,1,FALSE()))),"OLD",IF(AND(E1027&lt;&gt;"",E1027&lt;&gt;"!!!"),"NEW","")))</f>
        <v/>
      </c>
      <c r="G1027" s="22" t="str">
        <f>IF(OR(E1027="",E1027="!!!"),"",IF(OR(J1027=0,AND(J1027=1,K1027=1),AND(J1027=1,I1027="SBJ"),AND(J1027=1,I1027=0)),"?IN_FOCUS",IF(J1027&lt;=2,"?ACTIVATED",IF(J1027&lt;&gt;"","?FAMILIAR",IF(F1027="NEW",IF(ISNA(VLOOKUP(E1027,#REF!,1,FALSE())),"?TYPE_IDENTIFIABLE","?REFERENTIAL"),"_")))))</f>
        <v/>
      </c>
      <c r="H1027" s="23" t="str">
        <f t="shared" ref="H1027:H1033" ca="1" si="117">IF(J1027&lt;&gt;1,"",IF(I1027="SBJ","CB","?"))</f>
        <v/>
      </c>
      <c r="I1027" s="24" t="str">
        <f>IF(OR(E1027="",E1027="!!!",F1027="NEW"),"",INDEX(B$2:B1026,-1+SUMPRODUCT(MAX(ROW(E$2:E1026)*(E1027=E$2:E1026)))))</f>
        <v/>
      </c>
      <c r="J1027" s="24" t="str">
        <f ca="1">IF(OR(E1027="",E1027="!!!",F1027="NEW"),"",COUNTBLANK(OFFSET(A$1,,,SUMPRODUCT(MAX(ROW(E$2:E1027)*(E1027=E$2:E1027)))))-COUNTBLANK(OFFSET(A$1,,,SUMPRODUCT(MAX(ROW(E$1:E1026)*(E2=E$1:E1026))))))</f>
        <v/>
      </c>
      <c r="K1027" s="24" t="str">
        <f>IF(OR(E1027="",E1027="!!!",F1027="NEW"),"",INDEX(J$1:J1026,SUMPRODUCT(MAX(ROW(E$1:E1026)*(E1027=E$1:E1026)))))</f>
        <v/>
      </c>
      <c r="L1027" s="25"/>
    </row>
    <row r="1028" spans="1:12" x14ac:dyDescent="0.2">
      <c r="A1028" t="s">
        <v>802</v>
      </c>
      <c r="E1028" s="20" t="str">
        <f t="shared" si="116"/>
        <v/>
      </c>
      <c r="F1028" s="21" t="str">
        <f>IF(OR(E1028="",E1028="!!!"),"",IF(NOT(ISNA(VLOOKUP(E1028,E$1:E1027,1,FALSE()))),"OLD",IF(AND(E1028&lt;&gt;"",E1028&lt;&gt;"!!!"),"NEW","")))</f>
        <v/>
      </c>
      <c r="G1028" s="22" t="str">
        <f>IF(OR(E1028="",E1028="!!!"),"",IF(OR(J1028=0,AND(J1028=1,K1028=1),AND(J1028=1,I1028="SBJ"),AND(J1028=1,I1028=0)),"?IN_FOCUS",IF(J1028&lt;=2,"?ACTIVATED",IF(J1028&lt;&gt;"","?FAMILIAR",IF(F1028="NEW",IF(ISNA(VLOOKUP(E1028,#REF!,1,FALSE())),"?TYPE_IDENTIFIABLE","?REFERENTIAL"),"_")))))</f>
        <v/>
      </c>
      <c r="H1028" s="23" t="str">
        <f t="shared" ca="1" si="117"/>
        <v/>
      </c>
      <c r="I1028" s="24" t="str">
        <f>IF(OR(E1028="",E1028="!!!",F1028="NEW"),"",INDEX(B$2:B1027,-1+SUMPRODUCT(MAX(ROW(E$2:E1027)*(E1028=E$2:E1027)))))</f>
        <v/>
      </c>
      <c r="J1028" s="24" t="str">
        <f ca="1">IF(OR(E1028="",E1028="!!!",F1028="NEW"),"",COUNTBLANK(OFFSET(A$1,,,SUMPRODUCT(MAX(ROW(E$2:E1028)*(E1028=E$2:E1028)))))-COUNTBLANK(OFFSET(A$1,,,SUMPRODUCT(MAX(ROW(E$1:E1027)*(E2=E$1:E1027))))))</f>
        <v/>
      </c>
      <c r="K1028" s="24" t="str">
        <f>IF(OR(E1028="",E1028="!!!",F1028="NEW"),"",INDEX(J$1:J1027,SUMPRODUCT(MAX(ROW(E$1:E1027)*(E1028=E$1:E1027)))))</f>
        <v/>
      </c>
      <c r="L1028" s="25"/>
    </row>
    <row r="1029" spans="1:12" x14ac:dyDescent="0.2">
      <c r="A1029" t="s">
        <v>830</v>
      </c>
      <c r="B1029" s="26" t="s">
        <v>804</v>
      </c>
      <c r="C1029" s="26" t="s">
        <v>805</v>
      </c>
      <c r="D1029" s="26" t="s">
        <v>806</v>
      </c>
      <c r="E1029" s="20" t="s">
        <v>1771</v>
      </c>
      <c r="F1029" s="21" t="str">
        <f>IF(OR(E1029="",E1029="!!!"),"",IF(NOT(ISNA(VLOOKUP(E1029,E$1:E1028,1,FALSE()))),"OLD",IF(AND(E1029&lt;&gt;"",E1029&lt;&gt;"!!!"),"NEW","")))</f>
        <v>OLD</v>
      </c>
      <c r="G1029" s="22" t="s">
        <v>1823</v>
      </c>
      <c r="H1029" s="23" t="str">
        <f t="shared" ca="1" si="117"/>
        <v/>
      </c>
      <c r="I1029" s="24" t="str">
        <f>IF(OR(E1029="",E1029="!!!",F1029="NEW"),"",INDEX(B$2:B1028,-1+SUMPRODUCT(MAX(ROW(E$2:E1028)*(E1029=E$2:E1028)))))</f>
        <v>OBJ</v>
      </c>
      <c r="J1029" s="24">
        <f ca="1">IF(OR(E1029="",E1029="!!!",F1029="NEW"),"",COUNTBLANK(OFFSET(A$1,,,SUMPRODUCT(MAX(ROW(E$2:E1029)*(E1029=E$2:E1029)))))-COUNTBLANK(OFFSET(A$1,,,SUMPRODUCT(MAX(ROW(E$1:E1028)*(E2=E$1:E1028))))))</f>
        <v>0</v>
      </c>
      <c r="K1029" s="24">
        <f ca="1">IF(OR(E1029="",E1029="!!!",F1029="NEW"),"",INDEX(J$1:J1028,SUMPRODUCT(MAX(ROW(E$1:E1028)*(E1029=E$1:E1028)))))</f>
        <v>0</v>
      </c>
      <c r="L1029" s="25"/>
    </row>
    <row r="1030" spans="1:12" x14ac:dyDescent="0.2">
      <c r="A1030" t="s">
        <v>831</v>
      </c>
      <c r="E1030" s="20" t="str">
        <f t="shared" si="116"/>
        <v/>
      </c>
      <c r="F1030" s="21" t="str">
        <f>IF(OR(E1030="",E1030="!!!"),"",IF(NOT(ISNA(VLOOKUP(E1030,E$1:E1029,1,FALSE()))),"OLD",IF(AND(E1030&lt;&gt;"",E1030&lt;&gt;"!!!"),"NEW","")))</f>
        <v/>
      </c>
      <c r="G1030" s="22" t="str">
        <f>IF(OR(E1030="",E1030="!!!"),"",IF(OR(J1030=0,AND(J1030=1,K1030=1),AND(J1030=1,I1030="SBJ"),AND(J1030=1,I1030=0)),"?IN_FOCUS",IF(J1030&lt;=2,"?ACTIVATED",IF(J1030&lt;&gt;"","?FAMILIAR",IF(F1030="NEW",IF(ISNA(VLOOKUP(E1030,#REF!,1,FALSE())),"?TYPE_IDENTIFIABLE","?REFERENTIAL"),"_")))))</f>
        <v/>
      </c>
      <c r="H1030" s="23" t="str">
        <f t="shared" ca="1" si="117"/>
        <v/>
      </c>
      <c r="I1030" s="24" t="str">
        <f>IF(OR(E1030="",E1030="!!!",F1030="NEW"),"",INDEX(B$2:B1029,-1+SUMPRODUCT(MAX(ROW(E$2:E1029)*(E1030=E$2:E1029)))))</f>
        <v/>
      </c>
      <c r="J1030" s="24" t="str">
        <f ca="1">IF(OR(E1030="",E1030="!!!",F1030="NEW"),"",COUNTBLANK(OFFSET(A$1,,,SUMPRODUCT(MAX(ROW(E$2:E1030)*(E1030=E$2:E1030)))))-COUNTBLANK(OFFSET(A$1,,,SUMPRODUCT(MAX(ROW(E$1:E1029)*(E2=E$1:E1029))))))</f>
        <v/>
      </c>
      <c r="K1030" s="24" t="str">
        <f>IF(OR(E1030="",E1030="!!!",F1030="NEW"),"",INDEX(J$1:J1029,SUMPRODUCT(MAX(ROW(E$1:E1029)*(E1030=E$1:E1029)))))</f>
        <v/>
      </c>
      <c r="L1030" s="25"/>
    </row>
    <row r="1031" spans="1:12" x14ac:dyDescent="0.2">
      <c r="A1031" t="s">
        <v>1182</v>
      </c>
      <c r="E1031" s="20" t="str">
        <f t="shared" si="116"/>
        <v/>
      </c>
      <c r="F1031" s="21" t="str">
        <f>IF(OR(E1031="",E1031="!!!"),"",IF(NOT(ISNA(VLOOKUP(E1031,E$1:E1030,1,FALSE()))),"OLD",IF(AND(E1031&lt;&gt;"",E1031&lt;&gt;"!!!"),"NEW","")))</f>
        <v/>
      </c>
      <c r="G1031" s="22" t="str">
        <f>IF(OR(E1031="",E1031="!!!"),"",IF(OR(J1031=0,AND(J1031=1,K1031=1),AND(J1031=1,I1031="SBJ"),AND(J1031=1,I1031=0)),"?IN_FOCUS",IF(J1031&lt;=2,"?ACTIVATED",IF(J1031&lt;&gt;"","?FAMILIAR",IF(F1031="NEW",IF(ISNA(VLOOKUP(E1031,#REF!,1,FALSE())),"?TYPE_IDENTIFIABLE","?REFERENTIAL"),"_")))))</f>
        <v/>
      </c>
      <c r="H1031" s="23" t="str">
        <f t="shared" ca="1" si="117"/>
        <v/>
      </c>
      <c r="I1031" s="24" t="str">
        <f>IF(OR(E1031="",E1031="!!!",F1031="NEW"),"",INDEX(B$2:B1030,-1+SUMPRODUCT(MAX(ROW(E$2:E1030)*(E1031=E$2:E1030)))))</f>
        <v/>
      </c>
      <c r="J1031" s="24" t="str">
        <f ca="1">IF(OR(E1031="",E1031="!!!",F1031="NEW"),"",COUNTBLANK(OFFSET(A$1,,,SUMPRODUCT(MAX(ROW(E$2:E1031)*(E1031=E$2:E1031)))))-COUNTBLANK(OFFSET(A$1,,,SUMPRODUCT(MAX(ROW(E$1:E1030)*(E2=E$1:E1030))))))</f>
        <v/>
      </c>
      <c r="K1031" s="24" t="str">
        <f>IF(OR(E1031="",E1031="!!!",F1031="NEW"),"",INDEX(J$1:J1030,SUMPRODUCT(MAX(ROW(E$1:E1030)*(E1031=E$1:E1030)))))</f>
        <v/>
      </c>
      <c r="L1031" s="25"/>
    </row>
    <row r="1032" spans="1:12" x14ac:dyDescent="0.2">
      <c r="A1032" t="s">
        <v>1183</v>
      </c>
      <c r="E1032" s="20" t="str">
        <f t="shared" si="116"/>
        <v/>
      </c>
      <c r="F1032" s="21" t="str">
        <f>IF(OR(E1032="",E1032="!!!"),"",IF(NOT(ISNA(VLOOKUP(E1032,E$1:E1031,1,FALSE()))),"OLD",IF(AND(E1032&lt;&gt;"",E1032&lt;&gt;"!!!"),"NEW","")))</f>
        <v/>
      </c>
      <c r="G1032" s="22" t="str">
        <f>IF(OR(E1032="",E1032="!!!"),"",IF(OR(J1032=0,AND(J1032=1,K1032=1),AND(J1032=1,I1032="SBJ"),AND(J1032=1,I1032=0)),"?IN_FOCUS",IF(J1032&lt;=2,"?ACTIVATED",IF(J1032&lt;&gt;"","?FAMILIAR",IF(F1032="NEW",IF(ISNA(VLOOKUP(E1032,#REF!,1,FALSE())),"?TYPE_IDENTIFIABLE","?REFERENTIAL"),"_")))))</f>
        <v/>
      </c>
      <c r="H1032" s="23" t="str">
        <f t="shared" ca="1" si="117"/>
        <v/>
      </c>
      <c r="I1032" s="24" t="str">
        <f>IF(OR(E1032="",E1032="!!!",F1032="NEW"),"",INDEX(B$2:B1031,-1+SUMPRODUCT(MAX(ROW(E$2:E1031)*(E1032=E$2:E1031)))))</f>
        <v/>
      </c>
      <c r="J1032" s="24" t="str">
        <f ca="1">IF(OR(E1032="",E1032="!!!",F1032="NEW"),"",COUNTBLANK(OFFSET(A$1,,,SUMPRODUCT(MAX(ROW(E$2:E1032)*(E1032=E$2:E1032)))))-COUNTBLANK(OFFSET(A$1,,,SUMPRODUCT(MAX(ROW(E$1:E1031)*(E2=E$1:E1031))))))</f>
        <v/>
      </c>
      <c r="K1032" s="24" t="str">
        <f>IF(OR(E1032="",E1032="!!!",F1032="NEW"),"",INDEX(J$1:J1031,SUMPRODUCT(MAX(ROW(E$1:E1031)*(E1032=E$1:E1031)))))</f>
        <v/>
      </c>
      <c r="L1032" s="25"/>
    </row>
    <row r="1033" spans="1:12" x14ac:dyDescent="0.2">
      <c r="A1033" t="s">
        <v>821</v>
      </c>
      <c r="E1033" s="20" t="str">
        <f t="shared" si="116"/>
        <v/>
      </c>
      <c r="F1033" s="21" t="str">
        <f>IF(OR(E1033="",E1033="!!!"),"",IF(NOT(ISNA(VLOOKUP(E1033,E$1:E1032,1,FALSE()))),"OLD",IF(AND(E1033&lt;&gt;"",E1033&lt;&gt;"!!!"),"NEW","")))</f>
        <v/>
      </c>
      <c r="G1033" s="22" t="str">
        <f>IF(OR(E1033="",E1033="!!!"),"",IF(OR(J1033=0,AND(J1033=1,K1033=1),AND(J1033=1,I1033="SBJ"),AND(J1033=1,I1033=0)),"?IN_FOCUS",IF(J1033&lt;=2,"?ACTIVATED",IF(J1033&lt;&gt;"","?FAMILIAR",IF(F1033="NEW",IF(ISNA(VLOOKUP(E1033,#REF!,1,FALSE())),"?TYPE_IDENTIFIABLE","?REFERENTIAL"),"_")))))</f>
        <v/>
      </c>
      <c r="H1033" s="23" t="str">
        <f t="shared" ca="1" si="117"/>
        <v/>
      </c>
      <c r="I1033" s="24" t="str">
        <f>IF(OR(E1033="",E1033="!!!",F1033="NEW"),"",INDEX(B$2:B1032,-1+SUMPRODUCT(MAX(ROW(E$2:E1032)*(E1033=E$2:E1032)))))</f>
        <v/>
      </c>
      <c r="J1033" s="24" t="str">
        <f ca="1">IF(OR(E1033="",E1033="!!!",F1033="NEW"),"",COUNTBLANK(OFFSET(A$1,,,SUMPRODUCT(MAX(ROW(E$2:E1033)*(E1033=E$2:E1033)))))-COUNTBLANK(OFFSET(A$1,,,SUMPRODUCT(MAX(ROW(E$1:E1032)*(E2=E$1:E1032))))))</f>
        <v/>
      </c>
      <c r="K1033" s="24" t="str">
        <f>IF(OR(E1033="",E1033="!!!",F1033="NEW"),"",INDEX(J$1:J1032,SUMPRODUCT(MAX(ROW(E$1:E1032)*(E1033=E$1:E1032)))))</f>
        <v/>
      </c>
      <c r="L1033" s="25"/>
    </row>
    <row r="1035" spans="1:12" x14ac:dyDescent="0.2">
      <c r="A1035" t="s">
        <v>1184</v>
      </c>
    </row>
    <row r="1036" spans="1:12" x14ac:dyDescent="0.2">
      <c r="A1036" t="s">
        <v>1185</v>
      </c>
      <c r="B1036" s="26" t="s">
        <v>804</v>
      </c>
      <c r="C1036" s="26" t="s">
        <v>850</v>
      </c>
      <c r="E1036" s="20" t="str">
        <f t="shared" ref="E1036:E1048" si="118">IF(D1036="?OLD","!!!","")</f>
        <v/>
      </c>
      <c r="F1036" s="21" t="str">
        <f>IF(OR(E1036="",E1036="!!!"),"",IF(NOT(ISNA(VLOOKUP(E1036,E$1:E1035,1,FALSE()))),"OLD",IF(AND(E1036&lt;&gt;"",E1036&lt;&gt;"!!!"),"NEW","")))</f>
        <v/>
      </c>
      <c r="G1036" s="22" t="str">
        <f>IF(OR(E1036="",E1036="!!!"),"",IF(OR(J1036=0,AND(J1036=1,K1036=1),AND(J1036=1,I1036="SBJ"),AND(J1036=1,I1036=0)),"?IN_FOCUS",IF(J1036&lt;=2,"?ACTIVATED",IF(J1036&lt;&gt;"","?FAMILIAR",IF(F1036="NEW",IF(ISNA(VLOOKUP(E1036,#REF!,1,FALSE())),"?TYPE_IDENTIFIABLE","?REFERENTIAL"),"_")))))</f>
        <v/>
      </c>
      <c r="H1036" s="23" t="str">
        <f t="shared" ref="H1036:H1048" ca="1" si="119">IF(J1036&lt;&gt;1,"",IF(I1036="SBJ","CB","?"))</f>
        <v/>
      </c>
      <c r="I1036" s="24" t="str">
        <f>IF(OR(E1036="",E1036="!!!",F1036="NEW"),"",INDEX(B$2:B1035,-1+SUMPRODUCT(MAX(ROW(E$2:E1035)*(E1036=E$2:E1035)))))</f>
        <v/>
      </c>
      <c r="J1036" s="24" t="str">
        <f ca="1">IF(OR(E1036="",E1036="!!!",F1036="NEW"),"",COUNTBLANK(OFFSET(A$1,,,SUMPRODUCT(MAX(ROW(E$2:E1036)*(E1036=E$2:E1036)))))-COUNTBLANK(OFFSET(A$1,,,SUMPRODUCT(MAX(ROW(E$1:E1035)*(E2=E$1:E1035))))))</f>
        <v/>
      </c>
      <c r="K1036" s="24" t="str">
        <f>IF(OR(E1036="",E1036="!!!",F1036="NEW"),"",INDEX(J$1:J1035,SUMPRODUCT(MAX(ROW(E$1:E1035)*(E1036=E$1:E1035)))))</f>
        <v/>
      </c>
      <c r="L1036" s="25"/>
    </row>
    <row r="1037" spans="1:12" x14ac:dyDescent="0.2">
      <c r="A1037" t="s">
        <v>278</v>
      </c>
      <c r="E1037" s="20" t="str">
        <f t="shared" si="118"/>
        <v/>
      </c>
      <c r="F1037" s="21" t="str">
        <f>IF(OR(E1037="",E1037="!!!"),"",IF(NOT(ISNA(VLOOKUP(E1037,E$1:E1036,1,FALSE()))),"OLD",IF(AND(E1037&lt;&gt;"",E1037&lt;&gt;"!!!"),"NEW","")))</f>
        <v/>
      </c>
      <c r="G1037" s="22" t="str">
        <f>IF(OR(E1037="",E1037="!!!"),"",IF(OR(J1037=0,AND(J1037=1,K1037=1),AND(J1037=1,I1037="SBJ"),AND(J1037=1,I1037=0)),"?IN_FOCUS",IF(J1037&lt;=2,"?ACTIVATED",IF(J1037&lt;&gt;"","?FAMILIAR",IF(F1037="NEW",IF(ISNA(VLOOKUP(E1037,#REF!,1,FALSE())),"?TYPE_IDENTIFIABLE","?REFERENTIAL"),"_")))))</f>
        <v/>
      </c>
      <c r="H1037" s="23" t="str">
        <f t="shared" ca="1" si="119"/>
        <v/>
      </c>
      <c r="I1037" s="24" t="str">
        <f>IF(OR(E1037="",E1037="!!!",F1037="NEW"),"",INDEX(B$2:B1036,-1+SUMPRODUCT(MAX(ROW(E$2:E1036)*(E1037=E$2:E1036)))))</f>
        <v/>
      </c>
      <c r="J1037" s="24" t="str">
        <f ca="1">IF(OR(E1037="",E1037="!!!",F1037="NEW"),"",COUNTBLANK(OFFSET(A$1,,,SUMPRODUCT(MAX(ROW(E$2:E1037)*(E1037=E$2:E1037)))))-COUNTBLANK(OFFSET(A$1,,,SUMPRODUCT(MAX(ROW(E$1:E1036)*(E2=E$1:E1036))))))</f>
        <v/>
      </c>
      <c r="K1037" s="24" t="str">
        <f>IF(OR(E1037="",E1037="!!!",F1037="NEW"),"",INDEX(J$1:J1036,SUMPRODUCT(MAX(ROW(E$1:E1036)*(E1037=E$1:E1036)))))</f>
        <v/>
      </c>
      <c r="L1037" s="25"/>
    </row>
    <row r="1038" spans="1:12" x14ac:dyDescent="0.2">
      <c r="A1038" t="s">
        <v>273</v>
      </c>
      <c r="E1038" s="20" t="str">
        <f t="shared" si="118"/>
        <v/>
      </c>
      <c r="F1038" s="21" t="str">
        <f>IF(OR(E1038="",E1038="!!!"),"",IF(NOT(ISNA(VLOOKUP(E1038,E$1:E1037,1,FALSE()))),"OLD",IF(AND(E1038&lt;&gt;"",E1038&lt;&gt;"!!!"),"NEW","")))</f>
        <v/>
      </c>
      <c r="G1038" s="22" t="str">
        <f>IF(OR(E1038="",E1038="!!!"),"",IF(OR(J1038=0,AND(J1038=1,K1038=1),AND(J1038=1,I1038="SBJ"),AND(J1038=1,I1038=0)),"?IN_FOCUS",IF(J1038&lt;=2,"?ACTIVATED",IF(J1038&lt;&gt;"","?FAMILIAR",IF(F1038="NEW",IF(ISNA(VLOOKUP(E1038,#REF!,1,FALSE())),"?TYPE_IDENTIFIABLE","?REFERENTIAL"),"_")))))</f>
        <v/>
      </c>
      <c r="H1038" s="23" t="str">
        <f t="shared" ca="1" si="119"/>
        <v/>
      </c>
      <c r="I1038" s="24" t="str">
        <f>IF(OR(E1038="",E1038="!!!",F1038="NEW"),"",INDEX(B$2:B1037,-1+SUMPRODUCT(MAX(ROW(E$2:E1037)*(E1038=E$2:E1037)))))</f>
        <v/>
      </c>
      <c r="J1038" s="24" t="str">
        <f ca="1">IF(OR(E1038="",E1038="!!!",F1038="NEW"),"",COUNTBLANK(OFFSET(A$1,,,SUMPRODUCT(MAX(ROW(E$2:E1038)*(E1038=E$2:E1038)))))-COUNTBLANK(OFFSET(A$1,,,SUMPRODUCT(MAX(ROW(E$1:E1037)*(E2=E$1:E1037))))))</f>
        <v/>
      </c>
      <c r="K1038" s="24" t="str">
        <f>IF(OR(E1038="",E1038="!!!",F1038="NEW"),"",INDEX(J$1:J1037,SUMPRODUCT(MAX(ROW(E$1:E1037)*(E1038=E$1:E1037)))))</f>
        <v/>
      </c>
      <c r="L1038" s="25"/>
    </row>
    <row r="1039" spans="1:12" x14ac:dyDescent="0.2">
      <c r="A1039" t="s">
        <v>809</v>
      </c>
      <c r="E1039" s="20" t="str">
        <f t="shared" si="118"/>
        <v/>
      </c>
      <c r="F1039" s="21" t="str">
        <f>IF(OR(E1039="",E1039="!!!"),"",IF(NOT(ISNA(VLOOKUP(E1039,E$1:E1038,1,FALSE()))),"OLD",IF(AND(E1039&lt;&gt;"",E1039&lt;&gt;"!!!"),"NEW","")))</f>
        <v/>
      </c>
      <c r="G1039" s="22" t="str">
        <f>IF(OR(E1039="",E1039="!!!"),"",IF(OR(J1039=0,AND(J1039=1,K1039=1),AND(J1039=1,I1039="SBJ"),AND(J1039=1,I1039=0)),"?IN_FOCUS",IF(J1039&lt;=2,"?ACTIVATED",IF(J1039&lt;&gt;"","?FAMILIAR",IF(F1039="NEW",IF(ISNA(VLOOKUP(E1039,#REF!,1,FALSE())),"?TYPE_IDENTIFIABLE","?REFERENTIAL"),"_")))))</f>
        <v/>
      </c>
      <c r="H1039" s="23" t="str">
        <f t="shared" ca="1" si="119"/>
        <v/>
      </c>
      <c r="I1039" s="24" t="str">
        <f>IF(OR(E1039="",E1039="!!!",F1039="NEW"),"",INDEX(B$2:B1038,-1+SUMPRODUCT(MAX(ROW(E$2:E1038)*(E1039=E$2:E1038)))))</f>
        <v/>
      </c>
      <c r="J1039" s="24" t="str">
        <f ca="1">IF(OR(E1039="",E1039="!!!",F1039="NEW"),"",COUNTBLANK(OFFSET(A$1,,,SUMPRODUCT(MAX(ROW(E$2:E1039)*(E1039=E$2:E1039)))))-COUNTBLANK(OFFSET(A$1,,,SUMPRODUCT(MAX(ROW(E$1:E1038)*(E2=E$1:E1038))))))</f>
        <v/>
      </c>
      <c r="K1039" s="24" t="str">
        <f>IF(OR(E1039="",E1039="!!!",F1039="NEW"),"",INDEX(J$1:J1038,SUMPRODUCT(MAX(ROW(E$1:E1038)*(E1039=E$1:E1038)))))</f>
        <v/>
      </c>
      <c r="L1039" s="25"/>
    </row>
    <row r="1040" spans="1:12" x14ac:dyDescent="0.2">
      <c r="A1040" t="s">
        <v>30</v>
      </c>
      <c r="E1040" s="20" t="str">
        <f t="shared" si="118"/>
        <v/>
      </c>
      <c r="F1040" s="21" t="str">
        <f>IF(OR(E1040="",E1040="!!!"),"",IF(NOT(ISNA(VLOOKUP(E1040,E$1:E1039,1,FALSE()))),"OLD",IF(AND(E1040&lt;&gt;"",E1040&lt;&gt;"!!!"),"NEW","")))</f>
        <v/>
      </c>
      <c r="G1040" s="22" t="str">
        <f>IF(OR(E1040="",E1040="!!!"),"",IF(OR(J1040=0,AND(J1040=1,K1040=1),AND(J1040=1,I1040="SBJ"),AND(J1040=1,I1040=0)),"?IN_FOCUS",IF(J1040&lt;=2,"?ACTIVATED",IF(J1040&lt;&gt;"","?FAMILIAR",IF(F1040="NEW",IF(ISNA(VLOOKUP(E1040,#REF!,1,FALSE())),"?TYPE_IDENTIFIABLE","?REFERENTIAL"),"_")))))</f>
        <v/>
      </c>
      <c r="H1040" s="23" t="str">
        <f t="shared" ca="1" si="119"/>
        <v/>
      </c>
      <c r="I1040" s="24" t="str">
        <f>IF(OR(E1040="",E1040="!!!",F1040="NEW"),"",INDEX(B$2:B1039,-1+SUMPRODUCT(MAX(ROW(E$2:E1039)*(E1040=E$2:E1039)))))</f>
        <v/>
      </c>
      <c r="J1040" s="24" t="str">
        <f ca="1">IF(OR(E1040="",E1040="!!!",F1040="NEW"),"",COUNTBLANK(OFFSET(A$1,,,SUMPRODUCT(MAX(ROW(E$2:E1040)*(E1040=E$2:E1040)))))-COUNTBLANK(OFFSET(A$1,,,SUMPRODUCT(MAX(ROW(E$1:E1039)*(E2=E$1:E1039))))))</f>
        <v/>
      </c>
      <c r="K1040" s="24" t="str">
        <f>IF(OR(E1040="",E1040="!!!",F1040="NEW"),"",INDEX(J$1:J1039,SUMPRODUCT(MAX(ROW(E$1:E1039)*(E1040=E$1:E1039)))))</f>
        <v/>
      </c>
      <c r="L1040" s="25"/>
    </row>
    <row r="1041" spans="1:12" x14ac:dyDescent="0.2">
      <c r="A1041" t="s">
        <v>106</v>
      </c>
      <c r="B1041" s="26" t="s">
        <v>810</v>
      </c>
      <c r="C1041" s="26" t="s">
        <v>811</v>
      </c>
      <c r="E1041" s="20" t="str">
        <f t="shared" si="118"/>
        <v/>
      </c>
      <c r="F1041" s="21" t="str">
        <f>IF(OR(E1041="",E1041="!!!"),"",IF(NOT(ISNA(VLOOKUP(E1041,E$1:E1040,1,FALSE()))),"OLD",IF(AND(E1041&lt;&gt;"",E1041&lt;&gt;"!!!"),"NEW","")))</f>
        <v/>
      </c>
      <c r="G1041" s="22" t="str">
        <f>IF(OR(E1041="",E1041="!!!"),"",IF(OR(J1041=0,AND(J1041=1,K1041=1),AND(J1041=1,I1041="SBJ"),AND(J1041=1,I1041=0)),"?IN_FOCUS",IF(J1041&lt;=2,"?ACTIVATED",IF(J1041&lt;&gt;"","?FAMILIAR",IF(F1041="NEW",IF(ISNA(VLOOKUP(E1041,#REF!,1,FALSE())),"?TYPE_IDENTIFIABLE","?REFERENTIAL"),"_")))))</f>
        <v/>
      </c>
      <c r="H1041" s="23" t="str">
        <f t="shared" ca="1" si="119"/>
        <v/>
      </c>
      <c r="I1041" s="24" t="str">
        <f>IF(OR(E1041="",E1041="!!!",F1041="NEW"),"",INDEX(B$2:B1040,-1+SUMPRODUCT(MAX(ROW(E$2:E1040)*(E1041=E$2:E1040)))))</f>
        <v/>
      </c>
      <c r="J1041" s="24" t="str">
        <f ca="1">IF(OR(E1041="",E1041="!!!",F1041="NEW"),"",COUNTBLANK(OFFSET(A$1,,,SUMPRODUCT(MAX(ROW(E$2:E1041)*(E1041=E$2:E1041)))))-COUNTBLANK(OFFSET(A$1,,,SUMPRODUCT(MAX(ROW(E$1:E1040)*(E2=E$1:E1040))))))</f>
        <v/>
      </c>
      <c r="K1041" s="24" t="str">
        <f>IF(OR(E1041="",E1041="!!!",F1041="NEW"),"",INDEX(J$1:J1040,SUMPRODUCT(MAX(ROW(E$1:E1040)*(E1041=E$1:E1040)))))</f>
        <v/>
      </c>
      <c r="L1041" s="25"/>
    </row>
    <row r="1042" spans="1:12" x14ac:dyDescent="0.2">
      <c r="A1042" t="s">
        <v>868</v>
      </c>
      <c r="E1042" s="20" t="str">
        <f t="shared" si="118"/>
        <v/>
      </c>
      <c r="F1042" s="21" t="str">
        <f>IF(OR(E1042="",E1042="!!!"),"",IF(NOT(ISNA(VLOOKUP(E1042,E$1:E1041,1,FALSE()))),"OLD",IF(AND(E1042&lt;&gt;"",E1042&lt;&gt;"!!!"),"NEW","")))</f>
        <v/>
      </c>
      <c r="G1042" s="22" t="str">
        <f>IF(OR(E1042="",E1042="!!!"),"",IF(OR(J1042=0,AND(J1042=1,K1042=1),AND(J1042=1,I1042="SBJ"),AND(J1042=1,I1042=0)),"?IN_FOCUS",IF(J1042&lt;=2,"?ACTIVATED",IF(J1042&lt;&gt;"","?FAMILIAR",IF(F1042="NEW",IF(ISNA(VLOOKUP(E1042,#REF!,1,FALSE())),"?TYPE_IDENTIFIABLE","?REFERENTIAL"),"_")))))</f>
        <v/>
      </c>
      <c r="H1042" s="23" t="str">
        <f t="shared" ca="1" si="119"/>
        <v/>
      </c>
      <c r="I1042" s="24" t="str">
        <f>IF(OR(E1042="",E1042="!!!",F1042="NEW"),"",INDEX(B$2:B1041,-1+SUMPRODUCT(MAX(ROW(E$2:E1041)*(E1042=E$2:E1041)))))</f>
        <v/>
      </c>
      <c r="J1042" s="24" t="str">
        <f ca="1">IF(OR(E1042="",E1042="!!!",F1042="NEW"),"",COUNTBLANK(OFFSET(A$1,,,SUMPRODUCT(MAX(ROW(E$2:E1042)*(E1042=E$2:E1042)))))-COUNTBLANK(OFFSET(A$1,,,SUMPRODUCT(MAX(ROW(E$1:E1041)*(E2=E$1:E1041))))))</f>
        <v/>
      </c>
      <c r="K1042" s="24" t="str">
        <f>IF(OR(E1042="",E1042="!!!",F1042="NEW"),"",INDEX(J$1:J1041,SUMPRODUCT(MAX(ROW(E$1:E1041)*(E1042=E$1:E1041)))))</f>
        <v/>
      </c>
      <c r="L1042" s="25"/>
    </row>
    <row r="1043" spans="1:12" x14ac:dyDescent="0.2">
      <c r="A1043" t="s">
        <v>1140</v>
      </c>
      <c r="E1043" s="20" t="str">
        <f t="shared" si="118"/>
        <v/>
      </c>
      <c r="F1043" s="21" t="str">
        <f>IF(OR(E1043="",E1043="!!!"),"",IF(NOT(ISNA(VLOOKUP(E1043,E$1:E1042,1,FALSE()))),"OLD",IF(AND(E1043&lt;&gt;"",E1043&lt;&gt;"!!!"),"NEW","")))</f>
        <v/>
      </c>
      <c r="G1043" s="22" t="str">
        <f>IF(OR(E1043="",E1043="!!!"),"",IF(OR(J1043=0,AND(J1043=1,K1043=1),AND(J1043=1,I1043="SBJ"),AND(J1043=1,I1043=0)),"?IN_FOCUS",IF(J1043&lt;=2,"?ACTIVATED",IF(J1043&lt;&gt;"","?FAMILIAR",IF(F1043="NEW",IF(ISNA(VLOOKUP(E1043,#REF!,1,FALSE())),"?TYPE_IDENTIFIABLE","?REFERENTIAL"),"_")))))</f>
        <v/>
      </c>
      <c r="H1043" s="23" t="str">
        <f t="shared" ca="1" si="119"/>
        <v/>
      </c>
      <c r="I1043" s="24" t="str">
        <f>IF(OR(E1043="",E1043="!!!",F1043="NEW"),"",INDEX(B$2:B1042,-1+SUMPRODUCT(MAX(ROW(E$2:E1042)*(E1043=E$2:E1042)))))</f>
        <v/>
      </c>
      <c r="J1043" s="24" t="str">
        <f ca="1">IF(OR(E1043="",E1043="!!!",F1043="NEW"),"",COUNTBLANK(OFFSET(A$1,,,SUMPRODUCT(MAX(ROW(E$2:E1043)*(E1043=E$2:E1043)))))-COUNTBLANK(OFFSET(A$1,,,SUMPRODUCT(MAX(ROW(E$1:E1042)*(E2=E$1:E1042))))))</f>
        <v/>
      </c>
      <c r="K1043" s="24" t="str">
        <f>IF(OR(E1043="",E1043="!!!",F1043="NEW"),"",INDEX(J$1:J1042,SUMPRODUCT(MAX(ROW(E$1:E1042)*(E1043=E$1:E1042)))))</f>
        <v/>
      </c>
      <c r="L1043" s="25"/>
    </row>
    <row r="1044" spans="1:12" x14ac:dyDescent="0.2">
      <c r="A1044" t="s">
        <v>830</v>
      </c>
      <c r="B1044" s="26" t="s">
        <v>950</v>
      </c>
      <c r="C1044" s="26" t="s">
        <v>805</v>
      </c>
      <c r="D1044" s="26" t="s">
        <v>806</v>
      </c>
      <c r="E1044" s="20" t="s">
        <v>1771</v>
      </c>
      <c r="F1044" s="21" t="str">
        <f>IF(OR(E1044="",E1044="!!!"),"",IF(NOT(ISNA(VLOOKUP(E1044,E$1:E1043,1,FALSE()))),"OLD",IF(AND(E1044&lt;&gt;"",E1044&lt;&gt;"!!!"),"NEW","")))</f>
        <v>OLD</v>
      </c>
      <c r="G1044" s="22" t="s">
        <v>1822</v>
      </c>
      <c r="H1044" s="23" t="str">
        <f t="shared" ca="1" si="119"/>
        <v/>
      </c>
      <c r="I1044" s="24" t="str">
        <f>IF(OR(E1044="",E1044="!!!",F1044="NEW"),"",INDEX(B$2:B1043,-1+SUMPRODUCT(MAX(ROW(E$2:E1043)*(E1044=E$2:E1043)))))</f>
        <v>SBJ</v>
      </c>
      <c r="J1044" s="24">
        <f ca="1">IF(OR(E1044="",E1044="!!!",F1044="NEW"),"",COUNTBLANK(OFFSET(A$1,,,SUMPRODUCT(MAX(ROW(E$2:E1044)*(E1044=E$2:E1044)))))-COUNTBLANK(OFFSET(A$1,,,SUMPRODUCT(MAX(ROW(E$1:E1043)*(E2=E$1:E1043))))))</f>
        <v>0</v>
      </c>
      <c r="K1044" s="24">
        <f ca="1">IF(OR(E1044="",E1044="!!!",F1044="NEW"),"",INDEX(J$1:J1043,SUMPRODUCT(MAX(ROW(E$1:E1043)*(E1044=E$1:E1043)))))</f>
        <v>0</v>
      </c>
      <c r="L1044" s="25"/>
    </row>
    <row r="1045" spans="1:12" x14ac:dyDescent="0.2">
      <c r="A1045" t="s">
        <v>898</v>
      </c>
      <c r="E1045" s="20" t="str">
        <f t="shared" si="118"/>
        <v/>
      </c>
      <c r="F1045" s="21" t="str">
        <f>IF(OR(E1045="",E1045="!!!"),"",IF(NOT(ISNA(VLOOKUP(E1045,E$1:E1044,1,FALSE()))),"OLD",IF(AND(E1045&lt;&gt;"",E1045&lt;&gt;"!!!"),"NEW","")))</f>
        <v/>
      </c>
      <c r="G1045" s="22" t="str">
        <f>IF(OR(E1045="",E1045="!!!"),"",IF(OR(J1045=0,AND(J1045=1,K1045=1),AND(J1045=1,I1045="SBJ"),AND(J1045=1,I1045=0)),"?IN_FOCUS",IF(J1045&lt;=2,"?ACTIVATED",IF(J1045&lt;&gt;"","?FAMILIAR",IF(F1045="NEW",IF(ISNA(VLOOKUP(E1045,#REF!,1,FALSE())),"?TYPE_IDENTIFIABLE","?REFERENTIAL"),"_")))))</f>
        <v/>
      </c>
      <c r="H1045" s="23" t="str">
        <f t="shared" ca="1" si="119"/>
        <v/>
      </c>
      <c r="I1045" s="24" t="str">
        <f>IF(OR(E1045="",E1045="!!!",F1045="NEW"),"",INDEX(B$2:B1044,-1+SUMPRODUCT(MAX(ROW(E$2:E1044)*(E1045=E$2:E1044)))))</f>
        <v/>
      </c>
      <c r="J1045" s="24" t="str">
        <f ca="1">IF(OR(E1045="",E1045="!!!",F1045="NEW"),"",COUNTBLANK(OFFSET(A$1,,,SUMPRODUCT(MAX(ROW(E$2:E1045)*(E1045=E$2:E1045)))))-COUNTBLANK(OFFSET(A$1,,,SUMPRODUCT(MAX(ROW(E$1:E1044)*(E2=E$1:E1044))))))</f>
        <v/>
      </c>
      <c r="K1045" s="24" t="str">
        <f>IF(OR(E1045="",E1045="!!!",F1045="NEW"),"",INDEX(J$1:J1044,SUMPRODUCT(MAX(ROW(E$1:E1044)*(E1045=E$1:E1044)))))</f>
        <v/>
      </c>
      <c r="L1045" s="25"/>
    </row>
    <row r="1046" spans="1:12" x14ac:dyDescent="0.2">
      <c r="A1046" t="s">
        <v>928</v>
      </c>
      <c r="E1046" s="20" t="str">
        <f t="shared" si="118"/>
        <v/>
      </c>
      <c r="F1046" s="21" t="str">
        <f>IF(OR(E1046="",E1046="!!!"),"",IF(NOT(ISNA(VLOOKUP(E1046,E$1:E1045,1,FALSE()))),"OLD",IF(AND(E1046&lt;&gt;"",E1046&lt;&gt;"!!!"),"NEW","")))</f>
        <v/>
      </c>
      <c r="G1046" s="22" t="str">
        <f>IF(OR(E1046="",E1046="!!!"),"",IF(OR(J1046=0,AND(J1046=1,K1046=1),AND(J1046=1,I1046="SBJ"),AND(J1046=1,I1046=0)),"?IN_FOCUS",IF(J1046&lt;=2,"?ACTIVATED",IF(J1046&lt;&gt;"","?FAMILIAR",IF(F1046="NEW",IF(ISNA(VLOOKUP(E1046,#REF!,1,FALSE())),"?TYPE_IDENTIFIABLE","?REFERENTIAL"),"_")))))</f>
        <v/>
      </c>
      <c r="H1046" s="23" t="str">
        <f t="shared" ca="1" si="119"/>
        <v/>
      </c>
      <c r="I1046" s="24" t="str">
        <f>IF(OR(E1046="",E1046="!!!",F1046="NEW"),"",INDEX(B$2:B1045,-1+SUMPRODUCT(MAX(ROW(E$2:E1045)*(E1046=E$2:E1045)))))</f>
        <v/>
      </c>
      <c r="J1046" s="24" t="str">
        <f ca="1">IF(OR(E1046="",E1046="!!!",F1046="NEW"),"",COUNTBLANK(OFFSET(A$1,,,SUMPRODUCT(MAX(ROW(E$2:E1046)*(E1046=E$2:E1046)))))-COUNTBLANK(OFFSET(A$1,,,SUMPRODUCT(MAX(ROW(E$1:E1045)*(E2=E$1:E1045))))))</f>
        <v/>
      </c>
      <c r="K1046" s="24" t="str">
        <f>IF(OR(E1046="",E1046="!!!",F1046="NEW"),"",INDEX(J$1:J1045,SUMPRODUCT(MAX(ROW(E$1:E1045)*(E1046=E$1:E1045)))))</f>
        <v/>
      </c>
      <c r="L1046" s="25"/>
    </row>
    <row r="1047" spans="1:12" x14ac:dyDescent="0.2">
      <c r="A1047" t="s">
        <v>1176</v>
      </c>
      <c r="E1047" s="20" t="str">
        <f t="shared" si="118"/>
        <v/>
      </c>
      <c r="F1047" s="21" t="str">
        <f>IF(OR(E1047="",E1047="!!!"),"",IF(NOT(ISNA(VLOOKUP(E1047,E$1:E1046,1,FALSE()))),"OLD",IF(AND(E1047&lt;&gt;"",E1047&lt;&gt;"!!!"),"NEW","")))</f>
        <v/>
      </c>
      <c r="G1047" s="22" t="str">
        <f>IF(OR(E1047="",E1047="!!!"),"",IF(OR(J1047=0,AND(J1047=1,K1047=1),AND(J1047=1,I1047="SBJ"),AND(J1047=1,I1047=0)),"?IN_FOCUS",IF(J1047&lt;=2,"?ACTIVATED",IF(J1047&lt;&gt;"","?FAMILIAR",IF(F1047="NEW",IF(ISNA(VLOOKUP(E1047,#REF!,1,FALSE())),"?TYPE_IDENTIFIABLE","?REFERENTIAL"),"_")))))</f>
        <v/>
      </c>
      <c r="H1047" s="23" t="str">
        <f t="shared" ca="1" si="119"/>
        <v/>
      </c>
      <c r="I1047" s="24" t="str">
        <f>IF(OR(E1047="",E1047="!!!",F1047="NEW"),"",INDEX(B$2:B1046,-1+SUMPRODUCT(MAX(ROW(E$2:E1046)*(E1047=E$2:E1046)))))</f>
        <v/>
      </c>
      <c r="J1047" s="24" t="str">
        <f ca="1">IF(OR(E1047="",E1047="!!!",F1047="NEW"),"",COUNTBLANK(OFFSET(A$1,,,SUMPRODUCT(MAX(ROW(E$2:E1047)*(E1047=E$2:E1047)))))-COUNTBLANK(OFFSET(A$1,,,SUMPRODUCT(MAX(ROW(E$1:E1046)*(E2=E$1:E1046))))))</f>
        <v/>
      </c>
      <c r="K1047" s="24" t="str">
        <f>IF(OR(E1047="",E1047="!!!",F1047="NEW"),"",INDEX(J$1:J1046,SUMPRODUCT(MAX(ROW(E$1:E1046)*(E1047=E$1:E1046)))))</f>
        <v/>
      </c>
      <c r="L1047" s="25"/>
    </row>
    <row r="1048" spans="1:12" x14ac:dyDescent="0.2">
      <c r="A1048" t="s">
        <v>922</v>
      </c>
      <c r="E1048" s="20" t="str">
        <f t="shared" si="118"/>
        <v/>
      </c>
      <c r="F1048" s="21" t="str">
        <f>IF(OR(E1048="",E1048="!!!"),"",IF(NOT(ISNA(VLOOKUP(E1048,E$1:E1047,1,FALSE()))),"OLD",IF(AND(E1048&lt;&gt;"",E1048&lt;&gt;"!!!"),"NEW","")))</f>
        <v/>
      </c>
      <c r="G1048" s="22" t="str">
        <f>IF(OR(E1048="",E1048="!!!"),"",IF(OR(J1048=0,AND(J1048=1,K1048=1),AND(J1048=1,I1048="SBJ"),AND(J1048=1,I1048=0)),"?IN_FOCUS",IF(J1048&lt;=2,"?ACTIVATED",IF(J1048&lt;&gt;"","?FAMILIAR",IF(F1048="NEW",IF(ISNA(VLOOKUP(E1048,#REF!,1,FALSE())),"?TYPE_IDENTIFIABLE","?REFERENTIAL"),"_")))))</f>
        <v/>
      </c>
      <c r="H1048" s="23" t="str">
        <f t="shared" ca="1" si="119"/>
        <v/>
      </c>
      <c r="I1048" s="24" t="str">
        <f>IF(OR(E1048="",E1048="!!!",F1048="NEW"),"",INDEX(B$2:B1047,-1+SUMPRODUCT(MAX(ROW(E$2:E1047)*(E1048=E$2:E1047)))))</f>
        <v/>
      </c>
      <c r="J1048" s="24" t="str">
        <f ca="1">IF(OR(E1048="",E1048="!!!",F1048="NEW"),"",COUNTBLANK(OFFSET(A$1,,,SUMPRODUCT(MAX(ROW(E$2:E1048)*(E1048=E$2:E1048)))))-COUNTBLANK(OFFSET(A$1,,,SUMPRODUCT(MAX(ROW(E$1:E1047)*(E2=E$1:E1047))))))</f>
        <v/>
      </c>
      <c r="K1048" s="24" t="str">
        <f>IF(OR(E1048="",E1048="!!!",F1048="NEW"),"",INDEX(J$1:J1047,SUMPRODUCT(MAX(ROW(E$1:E1047)*(E1048=E$1:E1047)))))</f>
        <v/>
      </c>
      <c r="L1048" s="25"/>
    </row>
    <row r="1050" spans="1:12" x14ac:dyDescent="0.2">
      <c r="A1050" t="s">
        <v>1186</v>
      </c>
    </row>
    <row r="1051" spans="1:12" x14ac:dyDescent="0.2">
      <c r="A1051" t="s">
        <v>803</v>
      </c>
      <c r="B1051" s="26" t="s">
        <v>804</v>
      </c>
      <c r="C1051" s="26" t="s">
        <v>805</v>
      </c>
      <c r="D1051" s="26" t="s">
        <v>806</v>
      </c>
      <c r="E1051" s="20" t="s">
        <v>1747</v>
      </c>
      <c r="F1051" s="21" t="s">
        <v>1753</v>
      </c>
      <c r="G1051" s="22" t="s">
        <v>1823</v>
      </c>
      <c r="H1051" s="23" t="str">
        <f t="shared" ref="H1051:H1059" ca="1" si="120">IF(J1051&lt;&gt;1,"",IF(I1051="SBJ","CB","?"))</f>
        <v/>
      </c>
      <c r="I1051" s="24" t="str">
        <f>IF(OR(E1051="",E1051="!!!",F1051="NEW"),"",INDEX(B$2:B1050,-1+SUMPRODUCT(MAX(ROW(E$2:E1050)*(E1051=E$2:E1050)))))</f>
        <v>SBJ</v>
      </c>
      <c r="J1051" s="24">
        <f ca="1">IF(OR(E1051="",E1051="!!!",F1051="NEW"),"",COUNTBLANK(OFFSET(A$1,,,SUMPRODUCT(MAX(ROW(E$2:E1051)*(E1051=E$2:E1051)))))-COUNTBLANK(OFFSET(A$1,,,SUMPRODUCT(MAX(ROW(E$1:E1050)*(E2=E$1:E1050))))))</f>
        <v>0</v>
      </c>
      <c r="K1051" s="24">
        <f ca="1">IF(OR(E1051="",E1051="!!!",F1051="NEW"),"",INDEX(J$1:J1050,SUMPRODUCT(MAX(ROW(E$1:E1050)*(E1051=E$1:E1050)))))</f>
        <v>0</v>
      </c>
      <c r="L1051" s="25"/>
    </row>
    <row r="1052" spans="1:12" x14ac:dyDescent="0.2">
      <c r="A1052" t="s">
        <v>1187</v>
      </c>
      <c r="E1052" s="20" t="str">
        <f t="shared" ref="E1052:E1059" si="121">IF(D1052="?OLD","!!!","")</f>
        <v/>
      </c>
      <c r="F1052" s="21" t="str">
        <f>IF(OR(E1052="",E1052="!!!"),"",IF(NOT(ISNA(VLOOKUP(E1052,E$1:E1051,1,FALSE()))),"OLD",IF(AND(E1052&lt;&gt;"",E1052&lt;&gt;"!!!"),"NEW","")))</f>
        <v/>
      </c>
      <c r="G1052" s="22" t="str">
        <f>IF(OR(E1052="",E1052="!!!"),"",IF(OR(J1052=0,AND(J1052=1,K1052=1),AND(J1052=1,I1052="SBJ"),AND(J1052=1,I1052=0)),"?IN_FOCUS",IF(J1052&lt;=2,"?ACTIVATED",IF(J1052&lt;&gt;"","?FAMILIAR",IF(F1052="NEW",IF(ISNA(VLOOKUP(E1052,#REF!,1,FALSE())),"?TYPE_IDENTIFIABLE","?REFERENTIAL"),"_")))))</f>
        <v/>
      </c>
      <c r="H1052" s="23" t="str">
        <f t="shared" ca="1" si="120"/>
        <v/>
      </c>
      <c r="I1052" s="24" t="str">
        <f>IF(OR(E1052="",E1052="!!!",F1052="NEW"),"",INDEX(B$2:B1051,-1+SUMPRODUCT(MAX(ROW(E$2:E1051)*(E1052=E$2:E1051)))))</f>
        <v/>
      </c>
      <c r="J1052" s="24" t="str">
        <f ca="1">IF(OR(E1052="",E1052="!!!",F1052="NEW"),"",COUNTBLANK(OFFSET(A$1,,,SUMPRODUCT(MAX(ROW(E$2:E1052)*(E1052=E$2:E1052)))))-COUNTBLANK(OFFSET(A$1,,,SUMPRODUCT(MAX(ROW(E$1:E1051)*(E2=E$1:E1051))))))</f>
        <v/>
      </c>
      <c r="K1052" s="24" t="str">
        <f>IF(OR(E1052="",E1052="!!!",F1052="NEW"),"",INDEX(J$1:J1051,SUMPRODUCT(MAX(ROW(E$1:E1051)*(E1052=E$1:E1051)))))</f>
        <v/>
      </c>
      <c r="L1052" s="25"/>
    </row>
    <row r="1053" spans="1:12" x14ac:dyDescent="0.2">
      <c r="A1053" t="s">
        <v>999</v>
      </c>
      <c r="E1053" s="20" t="str">
        <f t="shared" si="121"/>
        <v/>
      </c>
      <c r="F1053" s="21" t="str">
        <f>IF(OR(E1053="",E1053="!!!"),"",IF(NOT(ISNA(VLOOKUP(E1053,E$1:E1052,1,FALSE()))),"OLD",IF(AND(E1053&lt;&gt;"",E1053&lt;&gt;"!!!"),"NEW","")))</f>
        <v/>
      </c>
      <c r="G1053" s="22" t="str">
        <f>IF(OR(E1053="",E1053="!!!"),"",IF(OR(J1053=0,AND(J1053=1,K1053=1),AND(J1053=1,I1053="SBJ"),AND(J1053=1,I1053=0)),"?IN_FOCUS",IF(J1053&lt;=2,"?ACTIVATED",IF(J1053&lt;&gt;"","?FAMILIAR",IF(F1053="NEW",IF(ISNA(VLOOKUP(E1053,#REF!,1,FALSE())),"?TYPE_IDENTIFIABLE","?REFERENTIAL"),"_")))))</f>
        <v/>
      </c>
      <c r="H1053" s="23" t="str">
        <f t="shared" ca="1" si="120"/>
        <v/>
      </c>
      <c r="I1053" s="24" t="str">
        <f>IF(OR(E1053="",E1053="!!!",F1053="NEW"),"",INDEX(B$2:B1052,-1+SUMPRODUCT(MAX(ROW(E$2:E1052)*(E1053=E$2:E1052)))))</f>
        <v/>
      </c>
      <c r="J1053" s="24" t="str">
        <f ca="1">IF(OR(E1053="",E1053="!!!",F1053="NEW"),"",COUNTBLANK(OFFSET(A$1,,,SUMPRODUCT(MAX(ROW(E$2:E1053)*(E1053=E$2:E1053)))))-COUNTBLANK(OFFSET(A$1,,,SUMPRODUCT(MAX(ROW(E$1:E1052)*(E2=E$1:E1052))))))</f>
        <v/>
      </c>
      <c r="K1053" s="24" t="str">
        <f>IF(OR(E1053="",E1053="!!!",F1053="NEW"),"",INDEX(J$1:J1052,SUMPRODUCT(MAX(ROW(E$1:E1052)*(E1053=E$1:E1052)))))</f>
        <v/>
      </c>
      <c r="L1053" s="25"/>
    </row>
    <row r="1054" spans="1:12" x14ac:dyDescent="0.2">
      <c r="A1054" t="s">
        <v>802</v>
      </c>
      <c r="E1054" s="20" t="str">
        <f t="shared" si="121"/>
        <v/>
      </c>
      <c r="F1054" s="21" t="str">
        <f>IF(OR(E1054="",E1054="!!!"),"",IF(NOT(ISNA(VLOOKUP(E1054,E$1:E1053,1,FALSE()))),"OLD",IF(AND(E1054&lt;&gt;"",E1054&lt;&gt;"!!!"),"NEW","")))</f>
        <v/>
      </c>
      <c r="G1054" s="22" t="str">
        <f>IF(OR(E1054="",E1054="!!!"),"",IF(OR(J1054=0,AND(J1054=1,K1054=1),AND(J1054=1,I1054="SBJ"),AND(J1054=1,I1054=0)),"?IN_FOCUS",IF(J1054&lt;=2,"?ACTIVATED",IF(J1054&lt;&gt;"","?FAMILIAR",IF(F1054="NEW",IF(ISNA(VLOOKUP(E1054,#REF!,1,FALSE())),"?TYPE_IDENTIFIABLE","?REFERENTIAL"),"_")))))</f>
        <v/>
      </c>
      <c r="H1054" s="23" t="str">
        <f t="shared" ca="1" si="120"/>
        <v/>
      </c>
      <c r="I1054" s="24" t="str">
        <f>IF(OR(E1054="",E1054="!!!",F1054="NEW"),"",INDEX(B$2:B1053,-1+SUMPRODUCT(MAX(ROW(E$2:E1053)*(E1054=E$2:E1053)))))</f>
        <v/>
      </c>
      <c r="J1054" s="24" t="str">
        <f ca="1">IF(OR(E1054="",E1054="!!!",F1054="NEW"),"",COUNTBLANK(OFFSET(A$1,,,SUMPRODUCT(MAX(ROW(E$2:E1054)*(E1054=E$2:E1054)))))-COUNTBLANK(OFFSET(A$1,,,SUMPRODUCT(MAX(ROW(E$1:E1053)*(E2=E$1:E1053))))))</f>
        <v/>
      </c>
      <c r="K1054" s="24" t="str">
        <f>IF(OR(E1054="",E1054="!!!",F1054="NEW"),"",INDEX(J$1:J1053,SUMPRODUCT(MAX(ROW(E$1:E1053)*(E1054=E$1:E1053)))))</f>
        <v/>
      </c>
      <c r="L1054" s="25"/>
    </row>
    <row r="1055" spans="1:12" x14ac:dyDescent="0.2">
      <c r="A1055" t="s">
        <v>1188</v>
      </c>
      <c r="E1055" s="20" t="str">
        <f t="shared" si="121"/>
        <v/>
      </c>
      <c r="F1055" s="21" t="str">
        <f>IF(OR(E1055="",E1055="!!!"),"",IF(NOT(ISNA(VLOOKUP(E1055,E$1:E1054,1,FALSE()))),"OLD",IF(AND(E1055&lt;&gt;"",E1055&lt;&gt;"!!!"),"NEW","")))</f>
        <v/>
      </c>
      <c r="G1055" s="22" t="str">
        <f>IF(OR(E1055="",E1055="!!!"),"",IF(OR(J1055=0,AND(J1055=1,K1055=1),AND(J1055=1,I1055="SBJ"),AND(J1055=1,I1055=0)),"?IN_FOCUS",IF(J1055&lt;=2,"?ACTIVATED",IF(J1055&lt;&gt;"","?FAMILIAR",IF(F1055="NEW",IF(ISNA(VLOOKUP(E1055,#REF!,1,FALSE())),"?TYPE_IDENTIFIABLE","?REFERENTIAL"),"_")))))</f>
        <v/>
      </c>
      <c r="H1055" s="23" t="str">
        <f t="shared" ca="1" si="120"/>
        <v/>
      </c>
      <c r="I1055" s="24" t="str">
        <f>IF(OR(E1055="",E1055="!!!",F1055="NEW"),"",INDEX(B$2:B1054,-1+SUMPRODUCT(MAX(ROW(E$2:E1054)*(E1055=E$2:E1054)))))</f>
        <v/>
      </c>
      <c r="J1055" s="24" t="str">
        <f ca="1">IF(OR(E1055="",E1055="!!!",F1055="NEW"),"",COUNTBLANK(OFFSET(A$1,,,SUMPRODUCT(MAX(ROW(E$2:E1055)*(E1055=E$2:E1055)))))-COUNTBLANK(OFFSET(A$1,,,SUMPRODUCT(MAX(ROW(E$1:E1054)*(E2=E$1:E1054))))))</f>
        <v/>
      </c>
      <c r="K1055" s="24" t="str">
        <f>IF(OR(E1055="",E1055="!!!",F1055="NEW"),"",INDEX(J$1:J1054,SUMPRODUCT(MAX(ROW(E$1:E1054)*(E1055=E$1:E1054)))))</f>
        <v/>
      </c>
      <c r="L1055" s="25"/>
    </row>
    <row r="1056" spans="1:12" x14ac:dyDescent="0.2">
      <c r="A1056" t="s">
        <v>875</v>
      </c>
      <c r="E1056" s="20" t="str">
        <f t="shared" si="121"/>
        <v/>
      </c>
      <c r="F1056" s="21" t="str">
        <f>IF(OR(E1056="",E1056="!!!"),"",IF(NOT(ISNA(VLOOKUP(E1056,E$1:E1055,1,FALSE()))),"OLD",IF(AND(E1056&lt;&gt;"",E1056&lt;&gt;"!!!"),"NEW","")))</f>
        <v/>
      </c>
      <c r="G1056" s="22" t="str">
        <f>IF(OR(E1056="",E1056="!!!"),"",IF(OR(J1056=0,AND(J1056=1,K1056=1),AND(J1056=1,I1056="SBJ"),AND(J1056=1,I1056=0)),"?IN_FOCUS",IF(J1056&lt;=2,"?ACTIVATED",IF(J1056&lt;&gt;"","?FAMILIAR",IF(F1056="NEW",IF(ISNA(VLOOKUP(E1056,#REF!,1,FALSE())),"?TYPE_IDENTIFIABLE","?REFERENTIAL"),"_")))))</f>
        <v/>
      </c>
      <c r="H1056" s="23" t="str">
        <f t="shared" ca="1" si="120"/>
        <v/>
      </c>
      <c r="I1056" s="24" t="str">
        <f>IF(OR(E1056="",E1056="!!!",F1056="NEW"),"",INDEX(B$2:B1055,-1+SUMPRODUCT(MAX(ROW(E$2:E1055)*(E1056=E$2:E1055)))))</f>
        <v/>
      </c>
      <c r="J1056" s="24" t="str">
        <f ca="1">IF(OR(E1056="",E1056="!!!",F1056="NEW"),"",COUNTBLANK(OFFSET(A$1,,,SUMPRODUCT(MAX(ROW(E$2:E1056)*(E1056=E$2:E1056)))))-COUNTBLANK(OFFSET(A$1,,,SUMPRODUCT(MAX(ROW(E$1:E1055)*(E2=E$1:E1055))))))</f>
        <v/>
      </c>
      <c r="K1056" s="24" t="str">
        <f>IF(OR(E1056="",E1056="!!!",F1056="NEW"),"",INDEX(J$1:J1055,SUMPRODUCT(MAX(ROW(E$1:E1055)*(E1056=E$1:E1055)))))</f>
        <v/>
      </c>
      <c r="L1056" s="25"/>
    </row>
    <row r="1057" spans="1:12" x14ac:dyDescent="0.2">
      <c r="A1057" t="s">
        <v>1189</v>
      </c>
      <c r="B1057" s="26" t="s">
        <v>950</v>
      </c>
      <c r="C1057" s="26" t="s">
        <v>877</v>
      </c>
      <c r="D1057" s="26" t="s">
        <v>806</v>
      </c>
      <c r="E1057" s="20" t="s">
        <v>1175</v>
      </c>
      <c r="F1057" s="21" t="str">
        <f>IF(OR(E1057="",E1057="!!!"),"",IF(NOT(ISNA(VLOOKUP(E1057,E$1:E1056,1,FALSE()))),"OLD",IF(AND(E1057&lt;&gt;"",E1057&lt;&gt;"!!!"),"NEW","")))</f>
        <v>OLD</v>
      </c>
      <c r="G1057" s="22" t="s">
        <v>1823</v>
      </c>
      <c r="H1057" s="23" t="str">
        <f t="shared" ca="1" si="120"/>
        <v/>
      </c>
      <c r="I1057" s="24" t="str">
        <f>IF(OR(E1057="",E1057="!!!",F1057="NEW"),"",INDEX(B$2:B1056,-1+SUMPRODUCT(MAX(ROW(E$2:E1056)*(E1057=E$2:E1056)))))</f>
        <v>SBJ</v>
      </c>
      <c r="J1057" s="24">
        <f ca="1">IF(OR(E1057="",E1057="!!!",F1057="NEW"),"",COUNTBLANK(OFFSET(A$1,,,SUMPRODUCT(MAX(ROW(E$2:E1057)*(E1057=E$2:E1057)))))-COUNTBLANK(OFFSET(A$1,,,SUMPRODUCT(MAX(ROW(E$1:E1056)*(E2=E$1:E1056))))))</f>
        <v>0</v>
      </c>
      <c r="K1057" s="24" t="str">
        <f ca="1">IF(OR(E1057="",E1057="!!!",F1057="NEW"),"",INDEX(J$1:J1056,SUMPRODUCT(MAX(ROW(E$1:E1056)*(E1057=E$1:E1056)))))</f>
        <v/>
      </c>
      <c r="L1057" s="25"/>
    </row>
    <row r="1058" spans="1:12" x14ac:dyDescent="0.2">
      <c r="A1058" t="s">
        <v>278</v>
      </c>
      <c r="E1058" s="20" t="str">
        <f t="shared" si="121"/>
        <v/>
      </c>
      <c r="F1058" s="21" t="str">
        <f>IF(OR(E1058="",E1058="!!!"),"",IF(NOT(ISNA(VLOOKUP(E1058,E$1:E1057,1,FALSE()))),"OLD",IF(AND(E1058&lt;&gt;"",E1058&lt;&gt;"!!!"),"NEW","")))</f>
        <v/>
      </c>
      <c r="G1058" s="22" t="str">
        <f>IF(OR(E1058="",E1058="!!!"),"",IF(OR(J1058=0,AND(J1058=1,K1058=1),AND(J1058=1,I1058="SBJ"),AND(J1058=1,I1058=0)),"?IN_FOCUS",IF(J1058&lt;=2,"?ACTIVATED",IF(J1058&lt;&gt;"","?FAMILIAR",IF(F1058="NEW",IF(ISNA(VLOOKUP(E1058,#REF!,1,FALSE())),"?TYPE_IDENTIFIABLE","?REFERENTIAL"),"_")))))</f>
        <v/>
      </c>
      <c r="H1058" s="23" t="str">
        <f t="shared" ca="1" si="120"/>
        <v/>
      </c>
      <c r="I1058" s="24" t="str">
        <f>IF(OR(E1058="",E1058="!!!",F1058="NEW"),"",INDEX(B$2:B1057,-1+SUMPRODUCT(MAX(ROW(E$2:E1057)*(E1058=E$2:E1057)))))</f>
        <v/>
      </c>
      <c r="J1058" s="24" t="str">
        <f ca="1">IF(OR(E1058="",E1058="!!!",F1058="NEW"),"",COUNTBLANK(OFFSET(A$1,,,SUMPRODUCT(MAX(ROW(E$2:E1058)*(E1058=E$2:E1058)))))-COUNTBLANK(OFFSET(A$1,,,SUMPRODUCT(MAX(ROW(E$1:E1057)*(E2=E$1:E1057))))))</f>
        <v/>
      </c>
      <c r="K1058" s="24" t="str">
        <f>IF(OR(E1058="",E1058="!!!",F1058="NEW"),"",INDEX(J$1:J1057,SUMPRODUCT(MAX(ROW(E$1:E1057)*(E1058=E$1:E1057)))))</f>
        <v/>
      </c>
      <c r="L1058" s="25"/>
    </row>
    <row r="1059" spans="1:12" x14ac:dyDescent="0.2">
      <c r="A1059" t="s">
        <v>821</v>
      </c>
      <c r="E1059" s="20" t="str">
        <f t="shared" si="121"/>
        <v/>
      </c>
      <c r="F1059" s="21" t="str">
        <f>IF(OR(E1059="",E1059="!!!"),"",IF(NOT(ISNA(VLOOKUP(E1059,E$1:E1058,1,FALSE()))),"OLD",IF(AND(E1059&lt;&gt;"",E1059&lt;&gt;"!!!"),"NEW","")))</f>
        <v/>
      </c>
      <c r="G1059" s="22" t="str">
        <f>IF(OR(E1059="",E1059="!!!"),"",IF(OR(J1059=0,AND(J1059=1,K1059=1),AND(J1059=1,I1059="SBJ"),AND(J1059=1,I1059=0)),"?IN_FOCUS",IF(J1059&lt;=2,"?ACTIVATED",IF(J1059&lt;&gt;"","?FAMILIAR",IF(F1059="NEW",IF(ISNA(VLOOKUP(E1059,#REF!,1,FALSE())),"?TYPE_IDENTIFIABLE","?REFERENTIAL"),"_")))))</f>
        <v/>
      </c>
      <c r="H1059" s="23" t="str">
        <f t="shared" ca="1" si="120"/>
        <v/>
      </c>
      <c r="I1059" s="24" t="str">
        <f>IF(OR(E1059="",E1059="!!!",F1059="NEW"),"",INDEX(B$2:B1058,-1+SUMPRODUCT(MAX(ROW(E$2:E1058)*(E1059=E$2:E1058)))))</f>
        <v/>
      </c>
      <c r="J1059" s="24" t="str">
        <f ca="1">IF(OR(E1059="",E1059="!!!",F1059="NEW"),"",COUNTBLANK(OFFSET(A$1,,,SUMPRODUCT(MAX(ROW(E$2:E1059)*(E1059=E$2:E1059)))))-COUNTBLANK(OFFSET(A$1,,,SUMPRODUCT(MAX(ROW(E$1:E1058)*(E2=E$1:E1058))))))</f>
        <v/>
      </c>
      <c r="K1059" s="24" t="str">
        <f>IF(OR(E1059="",E1059="!!!",F1059="NEW"),"",INDEX(J$1:J1058,SUMPRODUCT(MAX(ROW(E$1:E1058)*(E1059=E$1:E1058)))))</f>
        <v/>
      </c>
      <c r="L1059" s="25"/>
    </row>
    <row r="1061" spans="1:12" x14ac:dyDescent="0.2">
      <c r="A1061" t="s">
        <v>1190</v>
      </c>
    </row>
    <row r="1062" spans="1:12" x14ac:dyDescent="0.2">
      <c r="A1062" t="s">
        <v>1012</v>
      </c>
      <c r="E1062" s="20" t="str">
        <f t="shared" ref="E1062:E1073" si="122">IF(D1062="?OLD","!!!","")</f>
        <v/>
      </c>
      <c r="F1062" s="21" t="str">
        <f>IF(OR(E1062="",E1062="!!!"),"",IF(NOT(ISNA(VLOOKUP(E1062,E$1:E1061,1,FALSE()))),"OLD",IF(AND(E1062&lt;&gt;"",E1062&lt;&gt;"!!!"),"NEW","")))</f>
        <v/>
      </c>
      <c r="G1062" s="22" t="str">
        <f>IF(OR(E1062="",E1062="!!!"),"",IF(OR(J1062=0,AND(J1062=1,K1062=1),AND(J1062=1,I1062="SBJ"),AND(J1062=1,I1062=0)),"?IN_FOCUS",IF(J1062&lt;=2,"?ACTIVATED",IF(J1062&lt;&gt;"","?FAMILIAR",IF(F1062="NEW",IF(ISNA(VLOOKUP(E1062,#REF!,1,FALSE())),"?TYPE_IDENTIFIABLE","?REFERENTIAL"),"_")))))</f>
        <v/>
      </c>
      <c r="H1062" s="23" t="str">
        <f t="shared" ref="H1062:H1073" ca="1" si="123">IF(J1062&lt;&gt;1,"",IF(I1062="SBJ","CB","?"))</f>
        <v/>
      </c>
      <c r="I1062" s="24" t="str">
        <f>IF(OR(E1062="",E1062="!!!",F1062="NEW"),"",INDEX(B$2:B1061,-1+SUMPRODUCT(MAX(ROW(E$2:E1061)*(E1062=E$2:E1061)))))</f>
        <v/>
      </c>
      <c r="J1062" s="24" t="str">
        <f ca="1">IF(OR(E1062="",E1062="!!!",F1062="NEW"),"",COUNTBLANK(OFFSET(A$1,,,SUMPRODUCT(MAX(ROW(E$2:E1062)*(E1062=E$2:E1062)))))-COUNTBLANK(OFFSET(A$1,,,SUMPRODUCT(MAX(ROW(E$1:E1061)*(E2=E$1:E1061))))))</f>
        <v/>
      </c>
      <c r="K1062" s="24" t="str">
        <f>IF(OR(E1062="",E1062="!!!",F1062="NEW"),"",INDEX(J$1:J1061,SUMPRODUCT(MAX(ROW(E$1:E1061)*(E1062=E$1:E1061)))))</f>
        <v/>
      </c>
      <c r="L1062" s="25"/>
    </row>
    <row r="1063" spans="1:12" x14ac:dyDescent="0.2">
      <c r="A1063" t="s">
        <v>898</v>
      </c>
      <c r="B1063" s="26" t="s">
        <v>810</v>
      </c>
      <c r="C1063" s="26" t="s">
        <v>805</v>
      </c>
      <c r="D1063" s="26" t="s">
        <v>806</v>
      </c>
      <c r="E1063" s="20" t="s">
        <v>1775</v>
      </c>
      <c r="F1063" s="21" t="s">
        <v>1753</v>
      </c>
      <c r="G1063" s="22" t="s">
        <v>1823</v>
      </c>
      <c r="H1063" s="23" t="str">
        <f t="shared" ca="1" si="123"/>
        <v/>
      </c>
      <c r="I1063" s="24" t="str">
        <f>IF(OR(E1063="",E1063="!!!",F1063="NEW"),"",INDEX(B$2:B1062,-1+SUMPRODUCT(MAX(ROW(E$2:E1062)*(E1063=E$2:E1062)))))</f>
        <v>OBJ</v>
      </c>
      <c r="J1063" s="24">
        <f ca="1">IF(OR(E1063="",E1063="!!!",F1063="NEW"),"",COUNTBLANK(OFFSET(A$1,,,SUMPRODUCT(MAX(ROW(E$2:E1063)*(E1063=E$2:E1063)))))-COUNTBLANK(OFFSET(A$1,,,SUMPRODUCT(MAX(ROW(E$1:E1062)*(E2=E$1:E1062))))))</f>
        <v>0</v>
      </c>
      <c r="K1063" s="24">
        <f ca="1">IF(OR(E1063="",E1063="!!!",F1063="NEW"),"",INDEX(J$1:J1062,SUMPRODUCT(MAX(ROW(E$1:E1062)*(E1063=E$1:E1062)))))</f>
        <v>0</v>
      </c>
      <c r="L1063" s="25"/>
    </row>
    <row r="1064" spans="1:12" x14ac:dyDescent="0.2">
      <c r="A1064" t="s">
        <v>51</v>
      </c>
      <c r="E1064" s="20" t="str">
        <f t="shared" si="122"/>
        <v/>
      </c>
      <c r="F1064" s="21" t="str">
        <f>IF(OR(E1064="",E1064="!!!"),"",IF(NOT(ISNA(VLOOKUP(E1064,E$1:E1063,1,FALSE()))),"OLD",IF(AND(E1064&lt;&gt;"",E1064&lt;&gt;"!!!"),"NEW","")))</f>
        <v/>
      </c>
      <c r="G1064" s="22" t="str">
        <f>IF(OR(E1064="",E1064="!!!"),"",IF(OR(J1064=0,AND(J1064=1,K1064=1),AND(J1064=1,I1064="SBJ"),AND(J1064=1,I1064=0)),"?IN_FOCUS",IF(J1064&lt;=2,"?ACTIVATED",IF(J1064&lt;&gt;"","?FAMILIAR",IF(F1064="NEW",IF(ISNA(VLOOKUP(E1064,#REF!,1,FALSE())),"?TYPE_IDENTIFIABLE","?REFERENTIAL"),"_")))))</f>
        <v/>
      </c>
      <c r="H1064" s="23" t="str">
        <f t="shared" ca="1" si="123"/>
        <v/>
      </c>
      <c r="I1064" s="24" t="str">
        <f>IF(OR(E1064="",E1064="!!!",F1064="NEW"),"",INDEX(B$2:B1063,-1+SUMPRODUCT(MAX(ROW(E$2:E1063)*(E1064=E$2:E1063)))))</f>
        <v/>
      </c>
      <c r="J1064" s="24" t="str">
        <f ca="1">IF(OR(E1064="",E1064="!!!",F1064="NEW"),"",COUNTBLANK(OFFSET(A$1,,,SUMPRODUCT(MAX(ROW(E$2:E1064)*(E1064=E$2:E1064)))))-COUNTBLANK(OFFSET(A$1,,,SUMPRODUCT(MAX(ROW(E$1:E1063)*(E2=E$1:E1063))))))</f>
        <v/>
      </c>
      <c r="K1064" s="24" t="str">
        <f>IF(OR(E1064="",E1064="!!!",F1064="NEW"),"",INDEX(J$1:J1063,SUMPRODUCT(MAX(ROW(E$1:E1063)*(E1064=E$1:E1063)))))</f>
        <v/>
      </c>
      <c r="L1064" s="25"/>
    </row>
    <row r="1065" spans="1:12" x14ac:dyDescent="0.2">
      <c r="A1065" t="s">
        <v>1013</v>
      </c>
      <c r="B1065" s="26" t="s">
        <v>938</v>
      </c>
      <c r="C1065" s="26" t="s">
        <v>805</v>
      </c>
      <c r="D1065" s="26" t="s">
        <v>806</v>
      </c>
      <c r="E1065" s="20" t="s">
        <v>1175</v>
      </c>
      <c r="F1065" s="21" t="str">
        <f>IF(OR(E1065="",E1065="!!!"),"",IF(NOT(ISNA(VLOOKUP(E1065,E$1:E1064,1,FALSE()))),"OLD",IF(AND(E1065&lt;&gt;"",E1065&lt;&gt;"!!!"),"NEW","")))</f>
        <v>OLD</v>
      </c>
      <c r="G1065" s="22" t="s">
        <v>1822</v>
      </c>
      <c r="H1065" s="23" t="str">
        <f t="shared" ca="1" si="123"/>
        <v/>
      </c>
      <c r="I1065" s="24" t="str">
        <f>IF(OR(E1065="",E1065="!!!",F1065="NEW"),"",INDEX(B$2:B1064,-1+SUMPRODUCT(MAX(ROW(E$2:E1064)*(E1065=E$2:E1064)))))</f>
        <v>SBJ_2</v>
      </c>
      <c r="J1065" s="24">
        <f ca="1">IF(OR(E1065="",E1065="!!!",F1065="NEW"),"",COUNTBLANK(OFFSET(A$1,,,SUMPRODUCT(MAX(ROW(E$2:E1065)*(E1065=E$2:E1065)))))-COUNTBLANK(OFFSET(A$1,,,SUMPRODUCT(MAX(ROW(E$1:E1064)*(E2=E$1:E1064))))))</f>
        <v>0</v>
      </c>
      <c r="K1065" s="24">
        <f ca="1">IF(OR(E1065="",E1065="!!!",F1065="NEW"),"",INDEX(J$1:J1064,SUMPRODUCT(MAX(ROW(E$1:E1064)*(E1065=E$1:E1064)))))</f>
        <v>0</v>
      </c>
      <c r="L1065" s="25"/>
    </row>
    <row r="1066" spans="1:12" x14ac:dyDescent="0.2">
      <c r="A1066" t="s">
        <v>1191</v>
      </c>
      <c r="E1066" s="20" t="str">
        <f t="shared" si="122"/>
        <v/>
      </c>
      <c r="F1066" s="21" t="str">
        <f>IF(OR(E1066="",E1066="!!!"),"",IF(NOT(ISNA(VLOOKUP(E1066,E$1:E1065,1,FALSE()))),"OLD",IF(AND(E1066&lt;&gt;"",E1066&lt;&gt;"!!!"),"NEW","")))</f>
        <v/>
      </c>
      <c r="G1066" s="22" t="str">
        <f>IF(OR(E1066="",E1066="!!!"),"",IF(OR(J1066=0,AND(J1066=1,K1066=1),AND(J1066=1,I1066="SBJ"),AND(J1066=1,I1066=0)),"?IN_FOCUS",IF(J1066&lt;=2,"?ACTIVATED",IF(J1066&lt;&gt;"","?FAMILIAR",IF(F1066="NEW",IF(ISNA(VLOOKUP(E1066,#REF!,1,FALSE())),"?TYPE_IDENTIFIABLE","?REFERENTIAL"),"_")))))</f>
        <v/>
      </c>
      <c r="H1066" s="23" t="str">
        <f t="shared" ca="1" si="123"/>
        <v/>
      </c>
      <c r="I1066" s="24" t="str">
        <f>IF(OR(E1066="",E1066="!!!",F1066="NEW"),"",INDEX(B$2:B1065,-1+SUMPRODUCT(MAX(ROW(E$2:E1065)*(E1066=E$2:E1065)))))</f>
        <v/>
      </c>
      <c r="J1066" s="24" t="str">
        <f ca="1">IF(OR(E1066="",E1066="!!!",F1066="NEW"),"",COUNTBLANK(OFFSET(A$1,,,SUMPRODUCT(MAX(ROW(E$2:E1066)*(E1066=E$2:E1066)))))-COUNTBLANK(OFFSET(A$1,,,SUMPRODUCT(MAX(ROW(E$1:E1065)*(E2=E$1:E1065))))))</f>
        <v/>
      </c>
      <c r="K1066" s="24" t="str">
        <f>IF(OR(E1066="",E1066="!!!",F1066="NEW"),"",INDEX(J$1:J1065,SUMPRODUCT(MAX(ROW(E$1:E1065)*(E1066=E$1:E1065)))))</f>
        <v/>
      </c>
      <c r="L1066" s="25"/>
    </row>
    <row r="1067" spans="1:12" x14ac:dyDescent="0.2">
      <c r="A1067" t="s">
        <v>16</v>
      </c>
      <c r="E1067" s="20" t="str">
        <f t="shared" si="122"/>
        <v/>
      </c>
      <c r="F1067" s="21" t="str">
        <f>IF(OR(E1067="",E1067="!!!"),"",IF(NOT(ISNA(VLOOKUP(E1067,E$1:E1066,1,FALSE()))),"OLD",IF(AND(E1067&lt;&gt;"",E1067&lt;&gt;"!!!"),"NEW","")))</f>
        <v/>
      </c>
      <c r="G1067" s="22" t="str">
        <f>IF(OR(E1067="",E1067="!!!"),"",IF(OR(J1067=0,AND(J1067=1,K1067=1),AND(J1067=1,I1067="SBJ"),AND(J1067=1,I1067=0)),"?IN_FOCUS",IF(J1067&lt;=2,"?ACTIVATED",IF(J1067&lt;&gt;"","?FAMILIAR",IF(F1067="NEW",IF(ISNA(VLOOKUP(E1067,#REF!,1,FALSE())),"?TYPE_IDENTIFIABLE","?REFERENTIAL"),"_")))))</f>
        <v/>
      </c>
      <c r="H1067" s="23" t="str">
        <f t="shared" ca="1" si="123"/>
        <v/>
      </c>
      <c r="I1067" s="24" t="str">
        <f>IF(OR(E1067="",E1067="!!!",F1067="NEW"),"",INDEX(B$2:B1066,-1+SUMPRODUCT(MAX(ROW(E$2:E1066)*(E1067=E$2:E1066)))))</f>
        <v/>
      </c>
      <c r="J1067" s="24" t="str">
        <f ca="1">IF(OR(E1067="",E1067="!!!",F1067="NEW"),"",COUNTBLANK(OFFSET(A$1,,,SUMPRODUCT(MAX(ROW(E$2:E1067)*(E1067=E$2:E1067)))))-COUNTBLANK(OFFSET(A$1,,,SUMPRODUCT(MAX(ROW(E$1:E1066)*(E2=E$1:E1066))))))</f>
        <v/>
      </c>
      <c r="K1067" s="24" t="str">
        <f>IF(OR(E1067="",E1067="!!!",F1067="NEW"),"",INDEX(J$1:J1066,SUMPRODUCT(MAX(ROW(E$1:E1066)*(E1067=E$1:E1066)))))</f>
        <v/>
      </c>
      <c r="L1067" s="25"/>
    </row>
    <row r="1068" spans="1:12" x14ac:dyDescent="0.2">
      <c r="A1068" t="s">
        <v>1135</v>
      </c>
      <c r="E1068" s="20" t="str">
        <f t="shared" si="122"/>
        <v/>
      </c>
      <c r="F1068" s="21" t="str">
        <f>IF(OR(E1068="",E1068="!!!"),"",IF(NOT(ISNA(VLOOKUP(E1068,E$1:E1067,1,FALSE()))),"OLD",IF(AND(E1068&lt;&gt;"",E1068&lt;&gt;"!!!"),"NEW","")))</f>
        <v/>
      </c>
      <c r="G1068" s="22" t="str">
        <f>IF(OR(E1068="",E1068="!!!"),"",IF(OR(J1068=0,AND(J1068=1,K1068=1),AND(J1068=1,I1068="SBJ"),AND(J1068=1,I1068=0)),"?IN_FOCUS",IF(J1068&lt;=2,"?ACTIVATED",IF(J1068&lt;&gt;"","?FAMILIAR",IF(F1068="NEW",IF(ISNA(VLOOKUP(E1068,#REF!,1,FALSE())),"?TYPE_IDENTIFIABLE","?REFERENTIAL"),"_")))))</f>
        <v/>
      </c>
      <c r="H1068" s="23" t="str">
        <f t="shared" ca="1" si="123"/>
        <v/>
      </c>
      <c r="I1068" s="24" t="str">
        <f>IF(OR(E1068="",E1068="!!!",F1068="NEW"),"",INDEX(B$2:B1067,-1+SUMPRODUCT(MAX(ROW(E$2:E1067)*(E1068=E$2:E1067)))))</f>
        <v/>
      </c>
      <c r="J1068" s="24" t="str">
        <f ca="1">IF(OR(E1068="",E1068="!!!",F1068="NEW"),"",COUNTBLANK(OFFSET(A$1,,,SUMPRODUCT(MAX(ROW(E$2:E1068)*(E1068=E$2:E1068)))))-COUNTBLANK(OFFSET(A$1,,,SUMPRODUCT(MAX(ROW(E$1:E1067)*(E2=E$1:E1067))))))</f>
        <v/>
      </c>
      <c r="K1068" s="24" t="str">
        <f>IF(OR(E1068="",E1068="!!!",F1068="NEW"),"",INDEX(J$1:J1067,SUMPRODUCT(MAX(ROW(E$1:E1067)*(E1068=E$1:E1067)))))</f>
        <v/>
      </c>
      <c r="L1068" s="25"/>
    </row>
    <row r="1069" spans="1:12" x14ac:dyDescent="0.2">
      <c r="A1069" t="s">
        <v>1192</v>
      </c>
      <c r="B1069" s="26" t="s">
        <v>864</v>
      </c>
      <c r="C1069" s="26" t="s">
        <v>817</v>
      </c>
      <c r="D1069" s="26" t="s">
        <v>806</v>
      </c>
      <c r="E1069" s="20"/>
      <c r="F1069" s="21" t="s">
        <v>1793</v>
      </c>
      <c r="G1069" s="22"/>
      <c r="H1069" s="23" t="str">
        <f t="shared" ca="1" si="123"/>
        <v/>
      </c>
      <c r="I1069" s="24" t="str">
        <f>IF(OR(E1069="",E1069="!!!",F1069="NEW"),"",INDEX(B$2:B1068,-1+SUMPRODUCT(MAX(ROW(E$2:E1068)*(E1069=E$2:E1068)))))</f>
        <v/>
      </c>
      <c r="J1069" s="24" t="str">
        <f ca="1">IF(OR(E1069="",E1069="!!!",F1069="NEW"),"",COUNTBLANK(OFFSET(A$1,,,SUMPRODUCT(MAX(ROW(E$2:E1069)*(E1069=E$2:E1069)))))-COUNTBLANK(OFFSET(A$1,,,SUMPRODUCT(MAX(ROW(E$1:E1068)*(E2=E$1:E1068))))))</f>
        <v/>
      </c>
      <c r="K1069" s="24" t="str">
        <f>IF(OR(E1069="",E1069="!!!",F1069="NEW"),"",INDEX(J$1:J1068,SUMPRODUCT(MAX(ROW(E$1:E1068)*(E1069=E$1:E1068)))))</f>
        <v/>
      </c>
      <c r="L1069" s="25"/>
    </row>
    <row r="1070" spans="1:12" x14ac:dyDescent="0.2">
      <c r="A1070" t="s">
        <v>1193</v>
      </c>
      <c r="B1070" s="26" t="s">
        <v>950</v>
      </c>
      <c r="C1070" s="26" t="s">
        <v>820</v>
      </c>
      <c r="D1070" s="26" t="s">
        <v>806</v>
      </c>
      <c r="E1070" s="20" t="s">
        <v>1193</v>
      </c>
      <c r="F1070" s="21" t="str">
        <f>IF(OR(E1070="",E1070="!!!"),"",IF(NOT(ISNA(VLOOKUP(E1070,E$1:E1069,1,FALSE()))),"OLD",IF(AND(E1070&lt;&gt;"",E1070&lt;&gt;"!!!"),"NEW","")))</f>
        <v>NEW</v>
      </c>
      <c r="G1070" s="22" t="s">
        <v>1820</v>
      </c>
      <c r="H1070" s="23" t="str">
        <f t="shared" ca="1" si="123"/>
        <v/>
      </c>
      <c r="I1070" s="24" t="str">
        <f>IF(OR(E1070="",E1070="!!!",F1070="NEW"),"",INDEX(B$2:B1069,-1+SUMPRODUCT(MAX(ROW(E$2:E1069)*(E1070=E$2:E1069)))))</f>
        <v/>
      </c>
      <c r="J1070" s="24" t="str">
        <f ca="1">IF(OR(E1070="",E1070="!!!",F1070="NEW"),"",COUNTBLANK(OFFSET(A$1,,,SUMPRODUCT(MAX(ROW(E$2:E1070)*(E1070=E$2:E1070)))))-COUNTBLANK(OFFSET(A$1,,,SUMPRODUCT(MAX(ROW(E$1:E1069)*(E2=E$1:E1069))))))</f>
        <v/>
      </c>
      <c r="K1070" s="24" t="str">
        <f>IF(OR(E1070="",E1070="!!!",F1070="NEW"),"",INDEX(J$1:J1069,SUMPRODUCT(MAX(ROW(E$1:E1069)*(E1070=E$1:E1069)))))</f>
        <v/>
      </c>
      <c r="L1070" s="25"/>
    </row>
    <row r="1071" spans="1:12" x14ac:dyDescent="0.2">
      <c r="A1071" t="s">
        <v>963</v>
      </c>
      <c r="E1071" s="20" t="str">
        <f t="shared" si="122"/>
        <v/>
      </c>
      <c r="F1071" s="21" t="str">
        <f>IF(OR(E1071="",E1071="!!!"),"",IF(NOT(ISNA(VLOOKUP(E1071,E$1:E1070,1,FALSE()))),"OLD",IF(AND(E1071&lt;&gt;"",E1071&lt;&gt;"!!!"),"NEW","")))</f>
        <v/>
      </c>
      <c r="G1071" s="22" t="str">
        <f>IF(OR(E1071="",E1071="!!!"),"",IF(OR(J1071=0,AND(J1071=1,K1071=1),AND(J1071=1,I1071="SBJ"),AND(J1071=1,I1071=0)),"?IN_FOCUS",IF(J1071&lt;=2,"?ACTIVATED",IF(J1071&lt;&gt;"","?FAMILIAR",IF(F1071="NEW",IF(ISNA(VLOOKUP(E1071,#REF!,1,FALSE())),"?TYPE_IDENTIFIABLE","?REFERENTIAL"),"_")))))</f>
        <v/>
      </c>
      <c r="H1071" s="23" t="str">
        <f t="shared" ca="1" si="123"/>
        <v/>
      </c>
      <c r="I1071" s="24" t="str">
        <f>IF(OR(E1071="",E1071="!!!",F1071="NEW"),"",INDEX(B$2:B1070,-1+SUMPRODUCT(MAX(ROW(E$2:E1070)*(E1071=E$2:E1070)))))</f>
        <v/>
      </c>
      <c r="J1071" s="24" t="str">
        <f ca="1">IF(OR(E1071="",E1071="!!!",F1071="NEW"),"",COUNTBLANK(OFFSET(A$1,,,SUMPRODUCT(MAX(ROW(E$2:E1071)*(E1071=E$2:E1071)))))-COUNTBLANK(OFFSET(A$1,,,SUMPRODUCT(MAX(ROW(E$1:E1070)*(E2=E$1:E1070))))))</f>
        <v/>
      </c>
      <c r="K1071" s="24" t="str">
        <f>IF(OR(E1071="",E1071="!!!",F1071="NEW"),"",INDEX(J$1:J1070,SUMPRODUCT(MAX(ROW(E$1:E1070)*(E1071=E$1:E1070)))))</f>
        <v/>
      </c>
      <c r="L1071" s="25"/>
    </row>
    <row r="1072" spans="1:12" x14ac:dyDescent="0.2">
      <c r="A1072" t="s">
        <v>1191</v>
      </c>
      <c r="B1072" s="26" t="s">
        <v>819</v>
      </c>
      <c r="C1072" s="26" t="s">
        <v>854</v>
      </c>
      <c r="D1072" s="26" t="s">
        <v>806</v>
      </c>
      <c r="E1072" s="20" t="s">
        <v>1175</v>
      </c>
      <c r="F1072" s="21" t="str">
        <f>IF(OR(E1072="",E1072="!!!"),"",IF(NOT(ISNA(VLOOKUP(E1072,E$1:E1071,1,FALSE()))),"OLD",IF(AND(E1072&lt;&gt;"",E1072&lt;&gt;"!!!"),"NEW","")))</f>
        <v>OLD</v>
      </c>
      <c r="G1072" s="22" t="s">
        <v>1824</v>
      </c>
      <c r="H1072" s="23" t="str">
        <f t="shared" ca="1" si="123"/>
        <v/>
      </c>
      <c r="I1072" s="24" t="str">
        <f>IF(OR(E1072="",E1072="!!!",F1072="NEW"),"",INDEX(B$2:B1071,-1+SUMPRODUCT(MAX(ROW(E$2:E1071)*(E1072=E$2:E1071)))))</f>
        <v>OBJ_2</v>
      </c>
      <c r="J1072" s="24">
        <f ca="1">IF(OR(E1072="",E1072="!!!",F1072="NEW"),"",COUNTBLANK(OFFSET(A$1,,,SUMPRODUCT(MAX(ROW(E$2:E1072)*(E1072=E$2:E1072)))))-COUNTBLANK(OFFSET(A$1,,,SUMPRODUCT(MAX(ROW(E$1:E1071)*(E2=E$1:E1071))))))</f>
        <v>0</v>
      </c>
      <c r="K1072" s="24">
        <f ca="1">IF(OR(E1072="",E1072="!!!",F1072="NEW"),"",INDEX(J$1:J1071,SUMPRODUCT(MAX(ROW(E$1:E1071)*(E1072=E$1:E1071)))))</f>
        <v>0</v>
      </c>
      <c r="L1072" s="25"/>
    </row>
    <row r="1073" spans="1:12" x14ac:dyDescent="0.2">
      <c r="A1073" t="s">
        <v>821</v>
      </c>
      <c r="E1073" s="20" t="str">
        <f t="shared" si="122"/>
        <v/>
      </c>
      <c r="F1073" s="21" t="str">
        <f>IF(OR(E1073="",E1073="!!!"),"",IF(NOT(ISNA(VLOOKUP(E1073,E$1:E1072,1,FALSE()))),"OLD",IF(AND(E1073&lt;&gt;"",E1073&lt;&gt;"!!!"),"NEW","")))</f>
        <v/>
      </c>
      <c r="G1073" s="22" t="str">
        <f>IF(OR(E1073="",E1073="!!!"),"",IF(OR(J1073=0,AND(J1073=1,K1073=1),AND(J1073=1,I1073="SBJ"),AND(J1073=1,I1073=0)),"?IN_FOCUS",IF(J1073&lt;=2,"?ACTIVATED",IF(J1073&lt;&gt;"","?FAMILIAR",IF(F1073="NEW",IF(ISNA(VLOOKUP(E1073,#REF!,1,FALSE())),"?TYPE_IDENTIFIABLE","?REFERENTIAL"),"_")))))</f>
        <v/>
      </c>
      <c r="H1073" s="23" t="str">
        <f t="shared" ca="1" si="123"/>
        <v/>
      </c>
      <c r="I1073" s="24" t="str">
        <f>IF(OR(E1073="",E1073="!!!",F1073="NEW"),"",INDEX(B$2:B1072,-1+SUMPRODUCT(MAX(ROW(E$2:E1072)*(E1073=E$2:E1072)))))</f>
        <v/>
      </c>
      <c r="J1073" s="24" t="str">
        <f ca="1">IF(OR(E1073="",E1073="!!!",F1073="NEW"),"",COUNTBLANK(OFFSET(A$1,,,SUMPRODUCT(MAX(ROW(E$2:E1073)*(E1073=E$2:E1073)))))-COUNTBLANK(OFFSET(A$1,,,SUMPRODUCT(MAX(ROW(E$1:E1072)*(E2=E$1:E1072))))))</f>
        <v/>
      </c>
      <c r="K1073" s="24" t="str">
        <f>IF(OR(E1073="",E1073="!!!",F1073="NEW"),"",INDEX(J$1:J1072,SUMPRODUCT(MAX(ROW(E$1:E1072)*(E1073=E$1:E1072)))))</f>
        <v/>
      </c>
      <c r="L1073" s="25"/>
    </row>
    <row r="1075" spans="1:12" x14ac:dyDescent="0.2">
      <c r="A1075" t="s">
        <v>1194</v>
      </c>
    </row>
    <row r="1076" spans="1:12" x14ac:dyDescent="0.2">
      <c r="A1076" t="s">
        <v>1034</v>
      </c>
      <c r="E1076" s="20" t="str">
        <f t="shared" ref="E1076:E1104" si="124">IF(D1076="?OLD","!!!","")</f>
        <v/>
      </c>
      <c r="F1076" s="21" t="str">
        <f>IF(OR(E1076="",E1076="!!!"),"",IF(NOT(ISNA(VLOOKUP(E1076,E$1:E1075,1,FALSE()))),"OLD",IF(AND(E1076&lt;&gt;"",E1076&lt;&gt;"!!!"),"NEW","")))</f>
        <v/>
      </c>
      <c r="G1076" s="22" t="str">
        <f>IF(OR(E1076="",E1076="!!!"),"",IF(OR(J1076=0,AND(J1076=1,K1076=1),AND(J1076=1,I1076="SBJ"),AND(J1076=1,I1076=0)),"?IN_FOCUS",IF(J1076&lt;=2,"?ACTIVATED",IF(J1076&lt;&gt;"","?FAMILIAR",IF(F1076="NEW",IF(ISNA(VLOOKUP(E1076,#REF!,1,FALSE())),"?TYPE_IDENTIFIABLE","?REFERENTIAL"),"_")))))</f>
        <v/>
      </c>
      <c r="H1076" s="23" t="str">
        <f t="shared" ref="H1076:H1104" ca="1" si="125">IF(J1076&lt;&gt;1,"",IF(I1076="SBJ","CB","?"))</f>
        <v/>
      </c>
      <c r="I1076" s="24" t="str">
        <f>IF(OR(E1076="",E1076="!!!",F1076="NEW"),"",INDEX(B$2:B1075,-1+SUMPRODUCT(MAX(ROW(E$2:E1075)*(E1076=E$2:E1075)))))</f>
        <v/>
      </c>
      <c r="J1076" s="24" t="str">
        <f ca="1">IF(OR(E1076="",E1076="!!!",F1076="NEW"),"",COUNTBLANK(OFFSET(A$1,,,SUMPRODUCT(MAX(ROW(E$2:E1076)*(E1076=E$2:E1076)))))-COUNTBLANK(OFFSET(A$1,,,SUMPRODUCT(MAX(ROW(E$1:E1075)*(E2=E$1:E1075))))))</f>
        <v/>
      </c>
      <c r="K1076" s="24" t="str">
        <f>IF(OR(E1076="",E1076="!!!",F1076="NEW"),"",INDEX(J$1:J1075,SUMPRODUCT(MAX(ROW(E$1:E1075)*(E1076=E$1:E1075)))))</f>
        <v/>
      </c>
      <c r="L1076" s="25"/>
    </row>
    <row r="1077" spans="1:12" x14ac:dyDescent="0.2">
      <c r="A1077" t="s">
        <v>1083</v>
      </c>
      <c r="E1077" s="20" t="str">
        <f t="shared" si="124"/>
        <v/>
      </c>
      <c r="F1077" s="21" t="str">
        <f>IF(OR(E1077="",E1077="!!!"),"",IF(NOT(ISNA(VLOOKUP(E1077,E$1:E1076,1,FALSE()))),"OLD",IF(AND(E1077&lt;&gt;"",E1077&lt;&gt;"!!!"),"NEW","")))</f>
        <v/>
      </c>
      <c r="G1077" s="22" t="str">
        <f>IF(OR(E1077="",E1077="!!!"),"",IF(OR(J1077=0,AND(J1077=1,K1077=1),AND(J1077=1,I1077="SBJ"),AND(J1077=1,I1077=0)),"?IN_FOCUS",IF(J1077&lt;=2,"?ACTIVATED",IF(J1077&lt;&gt;"","?FAMILIAR",IF(F1077="NEW",IF(ISNA(VLOOKUP(E1077,#REF!,1,FALSE())),"?TYPE_IDENTIFIABLE","?REFERENTIAL"),"_")))))</f>
        <v/>
      </c>
      <c r="H1077" s="23" t="str">
        <f t="shared" ca="1" si="125"/>
        <v/>
      </c>
      <c r="I1077" s="24" t="str">
        <f>IF(OR(E1077="",E1077="!!!",F1077="NEW"),"",INDEX(B$2:B1076,-1+SUMPRODUCT(MAX(ROW(E$2:E1076)*(E1077=E$2:E1076)))))</f>
        <v/>
      </c>
      <c r="J1077" s="24" t="str">
        <f ca="1">IF(OR(E1077="",E1077="!!!",F1077="NEW"),"",COUNTBLANK(OFFSET(A$1,,,SUMPRODUCT(MAX(ROW(E$2:E1077)*(E1077=E$2:E1077)))))-COUNTBLANK(OFFSET(A$1,,,SUMPRODUCT(MAX(ROW(E$1:E1076)*(E2=E$1:E1076))))))</f>
        <v/>
      </c>
      <c r="K1077" s="24" t="str">
        <f>IF(OR(E1077="",E1077="!!!",F1077="NEW"),"",INDEX(J$1:J1076,SUMPRODUCT(MAX(ROW(E$1:E1076)*(E1077=E$1:E1076)))))</f>
        <v/>
      </c>
      <c r="L1077" s="25"/>
    </row>
    <row r="1078" spans="1:12" x14ac:dyDescent="0.2">
      <c r="A1078" t="s">
        <v>802</v>
      </c>
      <c r="E1078" s="20" t="str">
        <f t="shared" si="124"/>
        <v/>
      </c>
      <c r="F1078" s="21" t="str">
        <f>IF(OR(E1078="",E1078="!!!"),"",IF(NOT(ISNA(VLOOKUP(E1078,E$1:E1077,1,FALSE()))),"OLD",IF(AND(E1078&lt;&gt;"",E1078&lt;&gt;"!!!"),"NEW","")))</f>
        <v/>
      </c>
      <c r="G1078" s="22" t="str">
        <f>IF(OR(E1078="",E1078="!!!"),"",IF(OR(J1078=0,AND(J1078=1,K1078=1),AND(J1078=1,I1078="SBJ"),AND(J1078=1,I1078=0)),"?IN_FOCUS",IF(J1078&lt;=2,"?ACTIVATED",IF(J1078&lt;&gt;"","?FAMILIAR",IF(F1078="NEW",IF(ISNA(VLOOKUP(E1078,#REF!,1,FALSE())),"?TYPE_IDENTIFIABLE","?REFERENTIAL"),"_")))))</f>
        <v/>
      </c>
      <c r="H1078" s="23" t="str">
        <f t="shared" ca="1" si="125"/>
        <v/>
      </c>
      <c r="I1078" s="24" t="str">
        <f>IF(OR(E1078="",E1078="!!!",F1078="NEW"),"",INDEX(B$2:B1077,-1+SUMPRODUCT(MAX(ROW(E$2:E1077)*(E1078=E$2:E1077)))))</f>
        <v/>
      </c>
      <c r="J1078" s="24" t="str">
        <f ca="1">IF(OR(E1078="",E1078="!!!",F1078="NEW"),"",COUNTBLANK(OFFSET(A$1,,,SUMPRODUCT(MAX(ROW(E$2:E1078)*(E1078=E$2:E1078)))))-COUNTBLANK(OFFSET(A$1,,,SUMPRODUCT(MAX(ROW(E$1:E1077)*(E2=E$1:E1077))))))</f>
        <v/>
      </c>
      <c r="K1078" s="24" t="str">
        <f>IF(OR(E1078="",E1078="!!!",F1078="NEW"),"",INDEX(J$1:J1077,SUMPRODUCT(MAX(ROW(E$1:E1077)*(E1078=E$1:E1077)))))</f>
        <v/>
      </c>
      <c r="L1078" s="25"/>
    </row>
    <row r="1079" spans="1:12" x14ac:dyDescent="0.2">
      <c r="A1079" t="s">
        <v>1024</v>
      </c>
      <c r="B1079" s="26" t="s">
        <v>804</v>
      </c>
      <c r="C1079" s="26" t="s">
        <v>805</v>
      </c>
      <c r="D1079" s="26" t="s">
        <v>806</v>
      </c>
      <c r="E1079" s="20" t="s">
        <v>1175</v>
      </c>
      <c r="F1079" s="21" t="str">
        <f>IF(OR(E1079="",E1079="!!!"),"",IF(NOT(ISNA(VLOOKUP(E1079,E$1:E1078,1,FALSE()))),"OLD",IF(AND(E1079&lt;&gt;"",E1079&lt;&gt;"!!!"),"NEW","")))</f>
        <v>OLD</v>
      </c>
      <c r="G1079" s="22" t="s">
        <v>1823</v>
      </c>
      <c r="H1079" s="23" t="str">
        <f t="shared" ca="1" si="125"/>
        <v/>
      </c>
      <c r="I1079" s="24" t="str">
        <f>IF(OR(E1079="",E1079="!!!",F1079="NEW"),"",INDEX(B$2:B1078,-1+SUMPRODUCT(MAX(ROW(E$2:E1078)*(E1079=E$2:E1078)))))</f>
        <v>other</v>
      </c>
      <c r="J1079" s="24">
        <f ca="1">IF(OR(E1079="",E1079="!!!",F1079="NEW"),"",COUNTBLANK(OFFSET(A$1,,,SUMPRODUCT(MAX(ROW(E$2:E1079)*(E1079=E$2:E1079)))))-COUNTBLANK(OFFSET(A$1,,,SUMPRODUCT(MAX(ROW(E$1:E1078)*(E2=E$1:E1078))))))</f>
        <v>0</v>
      </c>
      <c r="K1079" s="24">
        <f ca="1">IF(OR(E1079="",E1079="!!!",F1079="NEW"),"",INDEX(J$1:J1078,SUMPRODUCT(MAX(ROW(E$1:E1078)*(E1079=E$1:E1078)))))</f>
        <v>0</v>
      </c>
      <c r="L1079" s="25"/>
    </row>
    <row r="1080" spans="1:12" x14ac:dyDescent="0.2">
      <c r="A1080" t="s">
        <v>1074</v>
      </c>
      <c r="E1080" s="20" t="str">
        <f t="shared" si="124"/>
        <v/>
      </c>
      <c r="F1080" s="21" t="str">
        <f>IF(OR(E1080="",E1080="!!!"),"",IF(NOT(ISNA(VLOOKUP(E1080,E$1:E1079,1,FALSE()))),"OLD",IF(AND(E1080&lt;&gt;"",E1080&lt;&gt;"!!!"),"NEW","")))</f>
        <v/>
      </c>
      <c r="G1080" s="22" t="str">
        <f>IF(OR(E1080="",E1080="!!!"),"",IF(OR(J1080=0,AND(J1080=1,K1080=1),AND(J1080=1,I1080="SBJ"),AND(J1080=1,I1080=0)),"?IN_FOCUS",IF(J1080&lt;=2,"?ACTIVATED",IF(J1080&lt;&gt;"","?FAMILIAR",IF(F1080="NEW",IF(ISNA(VLOOKUP(E1080,#REF!,1,FALSE())),"?TYPE_IDENTIFIABLE","?REFERENTIAL"),"_")))))</f>
        <v/>
      </c>
      <c r="H1080" s="23" t="str">
        <f t="shared" ca="1" si="125"/>
        <v/>
      </c>
      <c r="I1080" s="24" t="str">
        <f>IF(OR(E1080="",E1080="!!!",F1080="NEW"),"",INDEX(B$2:B1079,-1+SUMPRODUCT(MAX(ROW(E$2:E1079)*(E1080=E$2:E1079)))))</f>
        <v/>
      </c>
      <c r="J1080" s="24" t="str">
        <f ca="1">IF(OR(E1080="",E1080="!!!",F1080="NEW"),"",COUNTBLANK(OFFSET(A$1,,,SUMPRODUCT(MAX(ROW(E$2:E1080)*(E1080=E$2:E1080)))))-COUNTBLANK(OFFSET(A$1,,,SUMPRODUCT(MAX(ROW(E$1:E1079)*(E2=E$1:E1079))))))</f>
        <v/>
      </c>
      <c r="K1080" s="24" t="str">
        <f>IF(OR(E1080="",E1080="!!!",F1080="NEW"),"",INDEX(J$1:J1079,SUMPRODUCT(MAX(ROW(E$1:E1079)*(E1080=E$1:E1079)))))</f>
        <v/>
      </c>
      <c r="L1080" s="25"/>
    </row>
    <row r="1081" spans="1:12" x14ac:dyDescent="0.2">
      <c r="A1081" t="s">
        <v>999</v>
      </c>
      <c r="E1081" s="20" t="str">
        <f t="shared" si="124"/>
        <v/>
      </c>
      <c r="F1081" s="21" t="str">
        <f>IF(OR(E1081="",E1081="!!!"),"",IF(NOT(ISNA(VLOOKUP(E1081,E$1:E1080,1,FALSE()))),"OLD",IF(AND(E1081&lt;&gt;"",E1081&lt;&gt;"!!!"),"NEW","")))</f>
        <v/>
      </c>
      <c r="G1081" s="22" t="str">
        <f>IF(OR(E1081="",E1081="!!!"),"",IF(OR(J1081=0,AND(J1081=1,K1081=1),AND(J1081=1,I1081="SBJ"),AND(J1081=1,I1081=0)),"?IN_FOCUS",IF(J1081&lt;=2,"?ACTIVATED",IF(J1081&lt;&gt;"","?FAMILIAR",IF(F1081="NEW",IF(ISNA(VLOOKUP(E1081,#REF!,1,FALSE())),"?TYPE_IDENTIFIABLE","?REFERENTIAL"),"_")))))</f>
        <v/>
      </c>
      <c r="H1081" s="23" t="str">
        <f t="shared" ca="1" si="125"/>
        <v/>
      </c>
      <c r="I1081" s="24" t="str">
        <f>IF(OR(E1081="",E1081="!!!",F1081="NEW"),"",INDEX(B$2:B1080,-1+SUMPRODUCT(MAX(ROW(E$2:E1080)*(E1081=E$2:E1080)))))</f>
        <v/>
      </c>
      <c r="J1081" s="24" t="str">
        <f ca="1">IF(OR(E1081="",E1081="!!!",F1081="NEW"),"",COUNTBLANK(OFFSET(A$1,,,SUMPRODUCT(MAX(ROW(E$2:E1081)*(E1081=E$2:E1081)))))-COUNTBLANK(OFFSET(A$1,,,SUMPRODUCT(MAX(ROW(E$1:E1080)*(E2=E$1:E1080))))))</f>
        <v/>
      </c>
      <c r="K1081" s="24" t="str">
        <f>IF(OR(E1081="",E1081="!!!",F1081="NEW"),"",INDEX(J$1:J1080,SUMPRODUCT(MAX(ROW(E$1:E1080)*(E1081=E$1:E1080)))))</f>
        <v/>
      </c>
      <c r="L1081" s="25"/>
    </row>
    <row r="1082" spans="1:12" x14ac:dyDescent="0.2">
      <c r="A1082" t="s">
        <v>1195</v>
      </c>
      <c r="E1082" s="20" t="str">
        <f t="shared" si="124"/>
        <v/>
      </c>
      <c r="F1082" s="21" t="str">
        <f>IF(OR(E1082="",E1082="!!!"),"",IF(NOT(ISNA(VLOOKUP(E1082,E$1:E1081,1,FALSE()))),"OLD",IF(AND(E1082&lt;&gt;"",E1082&lt;&gt;"!!!"),"NEW","")))</f>
        <v/>
      </c>
      <c r="G1082" s="22" t="str">
        <f>IF(OR(E1082="",E1082="!!!"),"",IF(OR(J1082=0,AND(J1082=1,K1082=1),AND(J1082=1,I1082="SBJ"),AND(J1082=1,I1082=0)),"?IN_FOCUS",IF(J1082&lt;=2,"?ACTIVATED",IF(J1082&lt;&gt;"","?FAMILIAR",IF(F1082="NEW",IF(ISNA(VLOOKUP(E1082,#REF!,1,FALSE())),"?TYPE_IDENTIFIABLE","?REFERENTIAL"),"_")))))</f>
        <v/>
      </c>
      <c r="H1082" s="23" t="str">
        <f t="shared" ca="1" si="125"/>
        <v/>
      </c>
      <c r="I1082" s="24" t="str">
        <f>IF(OR(E1082="",E1082="!!!",F1082="NEW"),"",INDEX(B$2:B1081,-1+SUMPRODUCT(MAX(ROW(E$2:E1081)*(E1082=E$2:E1081)))))</f>
        <v/>
      </c>
      <c r="J1082" s="24" t="str">
        <f ca="1">IF(OR(E1082="",E1082="!!!",F1082="NEW"),"",COUNTBLANK(OFFSET(A$1,,,SUMPRODUCT(MAX(ROW(E$2:E1082)*(E1082=E$2:E1082)))))-COUNTBLANK(OFFSET(A$1,,,SUMPRODUCT(MAX(ROW(E$1:E1081)*(E2=E$1:E1081))))))</f>
        <v/>
      </c>
      <c r="K1082" s="24" t="str">
        <f>IF(OR(E1082="",E1082="!!!",F1082="NEW"),"",INDEX(J$1:J1081,SUMPRODUCT(MAX(ROW(E$1:E1081)*(E1082=E$1:E1081)))))</f>
        <v/>
      </c>
      <c r="L1082" s="25"/>
    </row>
    <row r="1083" spans="1:12" x14ac:dyDescent="0.2">
      <c r="A1083" t="s">
        <v>845</v>
      </c>
      <c r="E1083" s="20" t="str">
        <f t="shared" si="124"/>
        <v/>
      </c>
      <c r="F1083" s="21" t="str">
        <f>IF(OR(E1083="",E1083="!!!"),"",IF(NOT(ISNA(VLOOKUP(E1083,E$1:E1082,1,FALSE()))),"OLD",IF(AND(E1083&lt;&gt;"",E1083&lt;&gt;"!!!"),"NEW","")))</f>
        <v/>
      </c>
      <c r="G1083" s="22" t="str">
        <f>IF(OR(E1083="",E1083="!!!"),"",IF(OR(J1083=0,AND(J1083=1,K1083=1),AND(J1083=1,I1083="SBJ"),AND(J1083=1,I1083=0)),"?IN_FOCUS",IF(J1083&lt;=2,"?ACTIVATED",IF(J1083&lt;&gt;"","?FAMILIAR",IF(F1083="NEW",IF(ISNA(VLOOKUP(E1083,#REF!,1,FALSE())),"?TYPE_IDENTIFIABLE","?REFERENTIAL"),"_")))))</f>
        <v/>
      </c>
      <c r="H1083" s="23" t="str">
        <f t="shared" ca="1" si="125"/>
        <v/>
      </c>
      <c r="I1083" s="24" t="str">
        <f>IF(OR(E1083="",E1083="!!!",F1083="NEW"),"",INDEX(B$2:B1082,-1+SUMPRODUCT(MAX(ROW(E$2:E1082)*(E1083=E$2:E1082)))))</f>
        <v/>
      </c>
      <c r="J1083" s="24" t="str">
        <f ca="1">IF(OR(E1083="",E1083="!!!",F1083="NEW"),"",COUNTBLANK(OFFSET(A$1,,,SUMPRODUCT(MAX(ROW(E$2:E1083)*(E1083=E$2:E1083)))))-COUNTBLANK(OFFSET(A$1,,,SUMPRODUCT(MAX(ROW(E$1:E1082)*(E2=E$1:E1082))))))</f>
        <v/>
      </c>
      <c r="K1083" s="24" t="str">
        <f>IF(OR(E1083="",E1083="!!!",F1083="NEW"),"",INDEX(J$1:J1082,SUMPRODUCT(MAX(ROW(E$1:E1082)*(E1083=E$1:E1082)))))</f>
        <v/>
      </c>
      <c r="L1083" s="25"/>
    </row>
    <row r="1084" spans="1:12" x14ac:dyDescent="0.2">
      <c r="A1084" t="s">
        <v>30</v>
      </c>
      <c r="B1084" s="26" t="s">
        <v>810</v>
      </c>
      <c r="C1084" s="26" t="s">
        <v>847</v>
      </c>
      <c r="D1084" s="26" t="s">
        <v>806</v>
      </c>
      <c r="E1084" s="20" t="s">
        <v>1771</v>
      </c>
      <c r="F1084" s="21" t="str">
        <f>IF(OR(E1084="",E1084="!!!"),"",IF(NOT(ISNA(VLOOKUP(E1084,E$1:E1083,1,FALSE()))),"OLD",IF(AND(E1084&lt;&gt;"",E1084&lt;&gt;"!!!"),"NEW","")))</f>
        <v>OLD</v>
      </c>
      <c r="G1084" s="22" t="s">
        <v>1822</v>
      </c>
      <c r="H1084" s="23" t="str">
        <f t="shared" ca="1" si="125"/>
        <v/>
      </c>
      <c r="I1084" s="24" t="str">
        <f>IF(OR(E1084="",E1084="!!!",F1084="NEW"),"",INDEX(B$2:B1083,-1+SUMPRODUCT(MAX(ROW(E$2:E1083)*(E1084=E$2:E1083)))))</f>
        <v>SBJ_2</v>
      </c>
      <c r="J1084" s="24">
        <f ca="1">IF(OR(E1084="",E1084="!!!",F1084="NEW"),"",COUNTBLANK(OFFSET(A$1,,,SUMPRODUCT(MAX(ROW(E$2:E1084)*(E1084=E$2:E1084)))))-COUNTBLANK(OFFSET(A$1,,,SUMPRODUCT(MAX(ROW(E$1:E1083)*(E2=E$1:E1083))))))</f>
        <v>0</v>
      </c>
      <c r="K1084" s="24">
        <f ca="1">IF(OR(E1084="",E1084="!!!",F1084="NEW"),"",INDEX(J$1:J1083,SUMPRODUCT(MAX(ROW(E$1:E1083)*(E1084=E$1:E1083)))))</f>
        <v>0</v>
      </c>
      <c r="L1084" s="25"/>
    </row>
    <row r="1085" spans="1:12" x14ac:dyDescent="0.2">
      <c r="A1085" t="s">
        <v>802</v>
      </c>
      <c r="E1085" s="20" t="str">
        <f t="shared" si="124"/>
        <v/>
      </c>
      <c r="F1085" s="21" t="str">
        <f>IF(OR(E1085="",E1085="!!!"),"",IF(NOT(ISNA(VLOOKUP(E1085,E$1:E1084,1,FALSE()))),"OLD",IF(AND(E1085&lt;&gt;"",E1085&lt;&gt;"!!!"),"NEW","")))</f>
        <v/>
      </c>
      <c r="G1085" s="22" t="str">
        <f>IF(OR(E1085="",E1085="!!!"),"",IF(OR(J1085=0,AND(J1085=1,K1085=1),AND(J1085=1,I1085="SBJ"),AND(J1085=1,I1085=0)),"?IN_FOCUS",IF(J1085&lt;=2,"?ACTIVATED",IF(J1085&lt;&gt;"","?FAMILIAR",IF(F1085="NEW",IF(ISNA(VLOOKUP(E1085,#REF!,1,FALSE())),"?TYPE_IDENTIFIABLE","?REFERENTIAL"),"_")))))</f>
        <v/>
      </c>
      <c r="H1085" s="23" t="str">
        <f t="shared" ca="1" si="125"/>
        <v/>
      </c>
      <c r="I1085" s="24" t="str">
        <f>IF(OR(E1085="",E1085="!!!",F1085="NEW"),"",INDEX(B$2:B1084,-1+SUMPRODUCT(MAX(ROW(E$2:E1084)*(E1085=E$2:E1084)))))</f>
        <v/>
      </c>
      <c r="J1085" s="24" t="str">
        <f ca="1">IF(OR(E1085="",E1085="!!!",F1085="NEW"),"",COUNTBLANK(OFFSET(A$1,,,SUMPRODUCT(MAX(ROW(E$2:E1085)*(E1085=E$2:E1085)))))-COUNTBLANK(OFFSET(A$1,,,SUMPRODUCT(MAX(ROW(E$1:E1084)*(E2=E$1:E1084))))))</f>
        <v/>
      </c>
      <c r="K1085" s="24" t="str">
        <f>IF(OR(E1085="",E1085="!!!",F1085="NEW"),"",INDEX(J$1:J1084,SUMPRODUCT(MAX(ROW(E$1:E1084)*(E1085=E$1:E1084)))))</f>
        <v/>
      </c>
      <c r="L1085" s="25"/>
    </row>
    <row r="1086" spans="1:12" x14ac:dyDescent="0.2">
      <c r="A1086" t="s">
        <v>888</v>
      </c>
      <c r="E1086" s="20" t="str">
        <f t="shared" si="124"/>
        <v/>
      </c>
      <c r="F1086" s="21" t="str">
        <f>IF(OR(E1086="",E1086="!!!"),"",IF(NOT(ISNA(VLOOKUP(E1086,E$1:E1085,1,FALSE()))),"OLD",IF(AND(E1086&lt;&gt;"",E1086&lt;&gt;"!!!"),"NEW","")))</f>
        <v/>
      </c>
      <c r="G1086" s="22" t="str">
        <f>IF(OR(E1086="",E1086="!!!"),"",IF(OR(J1086=0,AND(J1086=1,K1086=1),AND(J1086=1,I1086="SBJ"),AND(J1086=1,I1086=0)),"?IN_FOCUS",IF(J1086&lt;=2,"?ACTIVATED",IF(J1086&lt;&gt;"","?FAMILIAR",IF(F1086="NEW",IF(ISNA(VLOOKUP(E1086,#REF!,1,FALSE())),"?TYPE_IDENTIFIABLE","?REFERENTIAL"),"_")))))</f>
        <v/>
      </c>
      <c r="H1086" s="23" t="str">
        <f t="shared" ca="1" si="125"/>
        <v/>
      </c>
      <c r="I1086" s="24" t="str">
        <f>IF(OR(E1086="",E1086="!!!",F1086="NEW"),"",INDEX(B$2:B1085,-1+SUMPRODUCT(MAX(ROW(E$2:E1085)*(E1086=E$2:E1085)))))</f>
        <v/>
      </c>
      <c r="J1086" s="24" t="str">
        <f ca="1">IF(OR(E1086="",E1086="!!!",F1086="NEW"),"",COUNTBLANK(OFFSET(A$1,,,SUMPRODUCT(MAX(ROW(E$2:E1086)*(E1086=E$2:E1086)))))-COUNTBLANK(OFFSET(A$1,,,SUMPRODUCT(MAX(ROW(E$1:E1085)*(E2=E$1:E1085))))))</f>
        <v/>
      </c>
      <c r="K1086" s="24" t="str">
        <f>IF(OR(E1086="",E1086="!!!",F1086="NEW"),"",INDEX(J$1:J1085,SUMPRODUCT(MAX(ROW(E$1:E1085)*(E1086=E$1:E1085)))))</f>
        <v/>
      </c>
      <c r="L1086" s="25"/>
    </row>
    <row r="1087" spans="1:12" x14ac:dyDescent="0.2">
      <c r="A1087" t="s">
        <v>1024</v>
      </c>
      <c r="B1087" s="26" t="s">
        <v>891</v>
      </c>
      <c r="C1087" s="26" t="s">
        <v>805</v>
      </c>
      <c r="D1087" s="26" t="s">
        <v>806</v>
      </c>
      <c r="E1087" s="20" t="s">
        <v>1175</v>
      </c>
      <c r="F1087" s="21" t="str">
        <f>IF(OR(E1087="",E1087="!!!"),"",IF(NOT(ISNA(VLOOKUP(E1087,E$1:E1086,1,FALSE()))),"OLD",IF(AND(E1087&lt;&gt;"",E1087&lt;&gt;"!!!"),"NEW","")))</f>
        <v>OLD</v>
      </c>
      <c r="G1087" s="22" t="s">
        <v>1823</v>
      </c>
      <c r="H1087" s="23" t="str">
        <f t="shared" ca="1" si="125"/>
        <v/>
      </c>
      <c r="I1087" s="24" t="str">
        <f>IF(OR(E1087="",E1087="!!!",F1087="NEW"),"",INDEX(B$2:B1086,-1+SUMPRODUCT(MAX(ROW(E$2:E1086)*(E1087=E$2:E1086)))))</f>
        <v>SBJ</v>
      </c>
      <c r="J1087" s="24">
        <f ca="1">IF(OR(E1087="",E1087="!!!",F1087="NEW"),"",COUNTBLANK(OFFSET(A$1,,,SUMPRODUCT(MAX(ROW(E$2:E1087)*(E1087=E$2:E1087)))))-COUNTBLANK(OFFSET(A$1,,,SUMPRODUCT(MAX(ROW(E$1:E1086)*(E2=E$1:E1086))))))</f>
        <v>0</v>
      </c>
      <c r="K1087" s="24">
        <f ca="1">IF(OR(E1087="",E1087="!!!",F1087="NEW"),"",INDEX(J$1:J1086,SUMPRODUCT(MAX(ROW(E$1:E1086)*(E1087=E$1:E1086)))))</f>
        <v>0</v>
      </c>
      <c r="L1087" s="25"/>
    </row>
    <row r="1088" spans="1:12" x14ac:dyDescent="0.2">
      <c r="A1088" t="s">
        <v>898</v>
      </c>
      <c r="E1088" s="20" t="str">
        <f t="shared" si="124"/>
        <v/>
      </c>
      <c r="F1088" s="21" t="str">
        <f>IF(OR(E1088="",E1088="!!!"),"",IF(NOT(ISNA(VLOOKUP(E1088,E$1:E1087,1,FALSE()))),"OLD",IF(AND(E1088&lt;&gt;"",E1088&lt;&gt;"!!!"),"NEW","")))</f>
        <v/>
      </c>
      <c r="G1088" s="22" t="str">
        <f>IF(OR(E1088="",E1088="!!!"),"",IF(OR(J1088=0,AND(J1088=1,K1088=1),AND(J1088=1,I1088="SBJ"),AND(J1088=1,I1088=0)),"?IN_FOCUS",IF(J1088&lt;=2,"?ACTIVATED",IF(J1088&lt;&gt;"","?FAMILIAR",IF(F1088="NEW",IF(ISNA(VLOOKUP(E1088,#REF!,1,FALSE())),"?TYPE_IDENTIFIABLE","?REFERENTIAL"),"_")))))</f>
        <v/>
      </c>
      <c r="H1088" s="23" t="str">
        <f t="shared" ca="1" si="125"/>
        <v/>
      </c>
      <c r="I1088" s="24" t="str">
        <f>IF(OR(E1088="",E1088="!!!",F1088="NEW"),"",INDEX(B$2:B1087,-1+SUMPRODUCT(MAX(ROW(E$2:E1087)*(E1088=E$2:E1087)))))</f>
        <v/>
      </c>
      <c r="J1088" s="24" t="str">
        <f ca="1">IF(OR(E1088="",E1088="!!!",F1088="NEW"),"",COUNTBLANK(OFFSET(A$1,,,SUMPRODUCT(MAX(ROW(E$2:E1088)*(E1088=E$2:E1088)))))-COUNTBLANK(OFFSET(A$1,,,SUMPRODUCT(MAX(ROW(E$1:E1087)*(E2=E$1:E1087))))))</f>
        <v/>
      </c>
      <c r="K1088" s="24" t="str">
        <f>IF(OR(E1088="",E1088="!!!",F1088="NEW"),"",INDEX(J$1:J1087,SUMPRODUCT(MAX(ROW(E$1:E1087)*(E1088=E$1:E1087)))))</f>
        <v/>
      </c>
      <c r="L1088" s="25"/>
    </row>
    <row r="1089" spans="1:12" x14ac:dyDescent="0.2">
      <c r="A1089" t="s">
        <v>1031</v>
      </c>
      <c r="E1089" s="20" t="str">
        <f t="shared" si="124"/>
        <v/>
      </c>
      <c r="F1089" s="21" t="str">
        <f>IF(OR(E1089="",E1089="!!!"),"",IF(NOT(ISNA(VLOOKUP(E1089,E$1:E1088,1,FALSE()))),"OLD",IF(AND(E1089&lt;&gt;"",E1089&lt;&gt;"!!!"),"NEW","")))</f>
        <v/>
      </c>
      <c r="G1089" s="22" t="str">
        <f>IF(OR(E1089="",E1089="!!!"),"",IF(OR(J1089=0,AND(J1089=1,K1089=1),AND(J1089=1,I1089="SBJ"),AND(J1089=1,I1089=0)),"?IN_FOCUS",IF(J1089&lt;=2,"?ACTIVATED",IF(J1089&lt;&gt;"","?FAMILIAR",IF(F1089="NEW",IF(ISNA(VLOOKUP(E1089,#REF!,1,FALSE())),"?TYPE_IDENTIFIABLE","?REFERENTIAL"),"_")))))</f>
        <v/>
      </c>
      <c r="H1089" s="23" t="str">
        <f t="shared" ca="1" si="125"/>
        <v/>
      </c>
      <c r="I1089" s="24" t="str">
        <f>IF(OR(E1089="",E1089="!!!",F1089="NEW"),"",INDEX(B$2:B1088,-1+SUMPRODUCT(MAX(ROW(E$2:E1088)*(E1089=E$2:E1088)))))</f>
        <v/>
      </c>
      <c r="J1089" s="24" t="str">
        <f ca="1">IF(OR(E1089="",E1089="!!!",F1089="NEW"),"",COUNTBLANK(OFFSET(A$1,,,SUMPRODUCT(MAX(ROW(E$2:E1089)*(E1089=E$2:E1089)))))-COUNTBLANK(OFFSET(A$1,,,SUMPRODUCT(MAX(ROW(E$1:E1088)*(E2=E$1:E1088))))))</f>
        <v/>
      </c>
      <c r="K1089" s="24" t="str">
        <f>IF(OR(E1089="",E1089="!!!",F1089="NEW"),"",INDEX(J$1:J1088,SUMPRODUCT(MAX(ROW(E$1:E1088)*(E1089=E$1:E1088)))))</f>
        <v/>
      </c>
      <c r="L1089" s="25"/>
    </row>
    <row r="1090" spans="1:12" x14ac:dyDescent="0.2">
      <c r="A1090" t="s">
        <v>809</v>
      </c>
      <c r="E1090" s="20" t="str">
        <f t="shared" si="124"/>
        <v/>
      </c>
      <c r="F1090" s="21" t="str">
        <f>IF(OR(E1090="",E1090="!!!"),"",IF(NOT(ISNA(VLOOKUP(E1090,E$1:E1089,1,FALSE()))),"OLD",IF(AND(E1090&lt;&gt;"",E1090&lt;&gt;"!!!"),"NEW","")))</f>
        <v/>
      </c>
      <c r="G1090" s="22" t="str">
        <f>IF(OR(E1090="",E1090="!!!"),"",IF(OR(J1090=0,AND(J1090=1,K1090=1),AND(J1090=1,I1090="SBJ"),AND(J1090=1,I1090=0)),"?IN_FOCUS",IF(J1090&lt;=2,"?ACTIVATED",IF(J1090&lt;&gt;"","?FAMILIAR",IF(F1090="NEW",IF(ISNA(VLOOKUP(E1090,#REF!,1,FALSE())),"?TYPE_IDENTIFIABLE","?REFERENTIAL"),"_")))))</f>
        <v/>
      </c>
      <c r="H1090" s="23" t="str">
        <f t="shared" ca="1" si="125"/>
        <v/>
      </c>
      <c r="I1090" s="24" t="str">
        <f>IF(OR(E1090="",E1090="!!!",F1090="NEW"),"",INDEX(B$2:B1089,-1+SUMPRODUCT(MAX(ROW(E$2:E1089)*(E1090=E$2:E1089)))))</f>
        <v/>
      </c>
      <c r="J1090" s="24" t="str">
        <f ca="1">IF(OR(E1090="",E1090="!!!",F1090="NEW"),"",COUNTBLANK(OFFSET(A$1,,,SUMPRODUCT(MAX(ROW(E$2:E1090)*(E1090=E$2:E1090)))))-COUNTBLANK(OFFSET(A$1,,,SUMPRODUCT(MAX(ROW(E$1:E1089)*(E2=E$1:E1089))))))</f>
        <v/>
      </c>
      <c r="K1090" s="24" t="str">
        <f>IF(OR(E1090="",E1090="!!!",F1090="NEW"),"",INDEX(J$1:J1089,SUMPRODUCT(MAX(ROW(E$1:E1089)*(E1090=E$1:E1089)))))</f>
        <v/>
      </c>
      <c r="L1090" s="25"/>
    </row>
    <row r="1091" spans="1:12" x14ac:dyDescent="0.2">
      <c r="A1091" t="s">
        <v>1175</v>
      </c>
      <c r="B1091" s="26" t="s">
        <v>813</v>
      </c>
      <c r="C1091" s="26" t="s">
        <v>811</v>
      </c>
      <c r="E1091" s="20" t="str">
        <f t="shared" si="124"/>
        <v/>
      </c>
      <c r="F1091" s="21" t="str">
        <f>IF(OR(E1091="",E1091="!!!"),"",IF(NOT(ISNA(VLOOKUP(E1091,E$1:E1090,1,FALSE()))),"OLD",IF(AND(E1091&lt;&gt;"",E1091&lt;&gt;"!!!"),"NEW","")))</f>
        <v/>
      </c>
      <c r="G1091" s="22" t="str">
        <f>IF(OR(E1091="",E1091="!!!"),"",IF(OR(J1091=0,AND(J1091=1,K1091=1),AND(J1091=1,I1091="SBJ"),AND(J1091=1,I1091=0)),"?IN_FOCUS",IF(J1091&lt;=2,"?ACTIVATED",IF(J1091&lt;&gt;"","?FAMILIAR",IF(F1091="NEW",IF(ISNA(VLOOKUP(E1091,#REF!,1,FALSE())),"?TYPE_IDENTIFIABLE","?REFERENTIAL"),"_")))))</f>
        <v/>
      </c>
      <c r="H1091" s="23" t="str">
        <f t="shared" ca="1" si="125"/>
        <v/>
      </c>
      <c r="I1091" s="24" t="str">
        <f>IF(OR(E1091="",E1091="!!!",F1091="NEW"),"",INDEX(B$2:B1090,-1+SUMPRODUCT(MAX(ROW(E$2:E1090)*(E1091=E$2:E1090)))))</f>
        <v/>
      </c>
      <c r="J1091" s="24" t="str">
        <f ca="1">IF(OR(E1091="",E1091="!!!",F1091="NEW"),"",COUNTBLANK(OFFSET(A$1,,,SUMPRODUCT(MAX(ROW(E$2:E1091)*(E1091=E$2:E1091)))))-COUNTBLANK(OFFSET(A$1,,,SUMPRODUCT(MAX(ROW(E$1:E1090)*(E2=E$1:E1090))))))</f>
        <v/>
      </c>
      <c r="K1091" s="24" t="str">
        <f>IF(OR(E1091="",E1091="!!!",F1091="NEW"),"",INDEX(J$1:J1090,SUMPRODUCT(MAX(ROW(E$1:E1090)*(E1091=E$1:E1090)))))</f>
        <v/>
      </c>
      <c r="L1091" s="25"/>
    </row>
    <row r="1092" spans="1:12" x14ac:dyDescent="0.2">
      <c r="A1092" t="s">
        <v>802</v>
      </c>
      <c r="E1092" s="20" t="str">
        <f t="shared" si="124"/>
        <v/>
      </c>
      <c r="F1092" s="21" t="str">
        <f>IF(OR(E1092="",E1092="!!!"),"",IF(NOT(ISNA(VLOOKUP(E1092,E$1:E1091,1,FALSE()))),"OLD",IF(AND(E1092&lt;&gt;"",E1092&lt;&gt;"!!!"),"NEW","")))</f>
        <v/>
      </c>
      <c r="G1092" s="22" t="str">
        <f>IF(OR(E1092="",E1092="!!!"),"",IF(OR(J1092=0,AND(J1092=1,K1092=1),AND(J1092=1,I1092="SBJ"),AND(J1092=1,I1092=0)),"?IN_FOCUS",IF(J1092&lt;=2,"?ACTIVATED",IF(J1092&lt;&gt;"","?FAMILIAR",IF(F1092="NEW",IF(ISNA(VLOOKUP(E1092,#REF!,1,FALSE())),"?TYPE_IDENTIFIABLE","?REFERENTIAL"),"_")))))</f>
        <v/>
      </c>
      <c r="H1092" s="23" t="str">
        <f t="shared" ca="1" si="125"/>
        <v/>
      </c>
      <c r="I1092" s="24" t="str">
        <f>IF(OR(E1092="",E1092="!!!",F1092="NEW"),"",INDEX(B$2:B1091,-1+SUMPRODUCT(MAX(ROW(E$2:E1091)*(E1092=E$2:E1091)))))</f>
        <v/>
      </c>
      <c r="J1092" s="24" t="str">
        <f ca="1">IF(OR(E1092="",E1092="!!!",F1092="NEW"),"",COUNTBLANK(OFFSET(A$1,,,SUMPRODUCT(MAX(ROW(E$2:E1092)*(E1092=E$2:E1092)))))-COUNTBLANK(OFFSET(A$1,,,SUMPRODUCT(MAX(ROW(E$1:E1091)*(E2=E$1:E1091))))))</f>
        <v/>
      </c>
      <c r="K1092" s="24" t="str">
        <f>IF(OR(E1092="",E1092="!!!",F1092="NEW"),"",INDEX(J$1:J1091,SUMPRODUCT(MAX(ROW(E$1:E1091)*(E1092=E$1:E1091)))))</f>
        <v/>
      </c>
      <c r="L1092" s="25"/>
    </row>
    <row r="1093" spans="1:12" x14ac:dyDescent="0.2">
      <c r="A1093" t="s">
        <v>894</v>
      </c>
      <c r="E1093" s="20" t="str">
        <f t="shared" si="124"/>
        <v/>
      </c>
      <c r="F1093" s="21" t="str">
        <f>IF(OR(E1093="",E1093="!!!"),"",IF(NOT(ISNA(VLOOKUP(E1093,E$1:E1092,1,FALSE()))),"OLD",IF(AND(E1093&lt;&gt;"",E1093&lt;&gt;"!!!"),"NEW","")))</f>
        <v/>
      </c>
      <c r="G1093" s="22" t="str">
        <f>IF(OR(E1093="",E1093="!!!"),"",IF(OR(J1093=0,AND(J1093=1,K1093=1),AND(J1093=1,I1093="SBJ"),AND(J1093=1,I1093=0)),"?IN_FOCUS",IF(J1093&lt;=2,"?ACTIVATED",IF(J1093&lt;&gt;"","?FAMILIAR",IF(F1093="NEW",IF(ISNA(VLOOKUP(E1093,#REF!,1,FALSE())),"?TYPE_IDENTIFIABLE","?REFERENTIAL"),"_")))))</f>
        <v/>
      </c>
      <c r="H1093" s="23" t="str">
        <f t="shared" ca="1" si="125"/>
        <v/>
      </c>
      <c r="I1093" s="24" t="str">
        <f>IF(OR(E1093="",E1093="!!!",F1093="NEW"),"",INDEX(B$2:B1092,-1+SUMPRODUCT(MAX(ROW(E$2:E1092)*(E1093=E$2:E1092)))))</f>
        <v/>
      </c>
      <c r="J1093" s="24" t="str">
        <f ca="1">IF(OR(E1093="",E1093="!!!",F1093="NEW"),"",COUNTBLANK(OFFSET(A$1,,,SUMPRODUCT(MAX(ROW(E$2:E1093)*(E1093=E$2:E1093)))))-COUNTBLANK(OFFSET(A$1,,,SUMPRODUCT(MAX(ROW(E$1:E1092)*(E2=E$1:E1092))))))</f>
        <v/>
      </c>
      <c r="K1093" s="24" t="str">
        <f>IF(OR(E1093="",E1093="!!!",F1093="NEW"),"",INDEX(J$1:J1092,SUMPRODUCT(MAX(ROW(E$1:E1092)*(E1093=E$1:E1092)))))</f>
        <v/>
      </c>
      <c r="L1093" s="25"/>
    </row>
    <row r="1094" spans="1:12" x14ac:dyDescent="0.2">
      <c r="A1094" t="s">
        <v>1196</v>
      </c>
      <c r="E1094" s="20" t="str">
        <f t="shared" si="124"/>
        <v/>
      </c>
      <c r="F1094" s="21" t="str">
        <f>IF(OR(E1094="",E1094="!!!"),"",IF(NOT(ISNA(VLOOKUP(E1094,E$1:E1093,1,FALSE()))),"OLD",IF(AND(E1094&lt;&gt;"",E1094&lt;&gt;"!!!"),"NEW","")))</f>
        <v/>
      </c>
      <c r="G1094" s="22" t="str">
        <f>IF(OR(E1094="",E1094="!!!"),"",IF(OR(J1094=0,AND(J1094=1,K1094=1),AND(J1094=1,I1094="SBJ"),AND(J1094=1,I1094=0)),"?IN_FOCUS",IF(J1094&lt;=2,"?ACTIVATED",IF(J1094&lt;&gt;"","?FAMILIAR",IF(F1094="NEW",IF(ISNA(VLOOKUP(E1094,#REF!,1,FALSE())),"?TYPE_IDENTIFIABLE","?REFERENTIAL"),"_")))))</f>
        <v/>
      </c>
      <c r="H1094" s="23" t="str">
        <f t="shared" ca="1" si="125"/>
        <v/>
      </c>
      <c r="I1094" s="24" t="str">
        <f>IF(OR(E1094="",E1094="!!!",F1094="NEW"),"",INDEX(B$2:B1093,-1+SUMPRODUCT(MAX(ROW(E$2:E1093)*(E1094=E$2:E1093)))))</f>
        <v/>
      </c>
      <c r="J1094" s="24" t="str">
        <f ca="1">IF(OR(E1094="",E1094="!!!",F1094="NEW"),"",COUNTBLANK(OFFSET(A$1,,,SUMPRODUCT(MAX(ROW(E$2:E1094)*(E1094=E$2:E1094)))))-COUNTBLANK(OFFSET(A$1,,,SUMPRODUCT(MAX(ROW(E$1:E1093)*(E2=E$1:E1093))))))</f>
        <v/>
      </c>
      <c r="K1094" s="24" t="str">
        <f>IF(OR(E1094="",E1094="!!!",F1094="NEW"),"",INDEX(J$1:J1093,SUMPRODUCT(MAX(ROW(E$1:E1093)*(E1094=E$1:E1093)))))</f>
        <v/>
      </c>
      <c r="L1094" s="25"/>
    </row>
    <row r="1095" spans="1:12" x14ac:dyDescent="0.2">
      <c r="A1095" t="s">
        <v>815</v>
      </c>
      <c r="E1095" s="20" t="str">
        <f t="shared" si="124"/>
        <v/>
      </c>
      <c r="F1095" s="21" t="str">
        <f>IF(OR(E1095="",E1095="!!!"),"",IF(NOT(ISNA(VLOOKUP(E1095,E$1:E1094,1,FALSE()))),"OLD",IF(AND(E1095&lt;&gt;"",E1095&lt;&gt;"!!!"),"NEW","")))</f>
        <v/>
      </c>
      <c r="G1095" s="22" t="str">
        <f>IF(OR(E1095="",E1095="!!!"),"",IF(OR(J1095=0,AND(J1095=1,K1095=1),AND(J1095=1,I1095="SBJ"),AND(J1095=1,I1095=0)),"?IN_FOCUS",IF(J1095&lt;=2,"?ACTIVATED",IF(J1095&lt;&gt;"","?FAMILIAR",IF(F1095="NEW",IF(ISNA(VLOOKUP(E1095,#REF!,1,FALSE())),"?TYPE_IDENTIFIABLE","?REFERENTIAL"),"_")))))</f>
        <v/>
      </c>
      <c r="H1095" s="23" t="str">
        <f t="shared" ca="1" si="125"/>
        <v/>
      </c>
      <c r="I1095" s="24" t="str">
        <f>IF(OR(E1095="",E1095="!!!",F1095="NEW"),"",INDEX(B$2:B1094,-1+SUMPRODUCT(MAX(ROW(E$2:E1094)*(E1095=E$2:E1094)))))</f>
        <v/>
      </c>
      <c r="J1095" s="24" t="str">
        <f ca="1">IF(OR(E1095="",E1095="!!!",F1095="NEW"),"",COUNTBLANK(OFFSET(A$1,,,SUMPRODUCT(MAX(ROW(E$2:E1095)*(E1095=E$2:E1095)))))-COUNTBLANK(OFFSET(A$1,,,SUMPRODUCT(MAX(ROW(E$1:E1094)*(E2=E$1:E1094))))))</f>
        <v/>
      </c>
      <c r="K1095" s="24" t="str">
        <f>IF(OR(E1095="",E1095="!!!",F1095="NEW"),"",INDEX(J$1:J1094,SUMPRODUCT(MAX(ROW(E$1:E1094)*(E1095=E$1:E1094)))))</f>
        <v/>
      </c>
      <c r="L1095" s="25"/>
    </row>
    <row r="1096" spans="1:12" x14ac:dyDescent="0.2">
      <c r="A1096" t="s">
        <v>845</v>
      </c>
      <c r="E1096" s="20" t="str">
        <f t="shared" si="124"/>
        <v/>
      </c>
      <c r="F1096" s="21" t="str">
        <f>IF(OR(E1096="",E1096="!!!"),"",IF(NOT(ISNA(VLOOKUP(E1096,E$1:E1095,1,FALSE()))),"OLD",IF(AND(E1096&lt;&gt;"",E1096&lt;&gt;"!!!"),"NEW","")))</f>
        <v/>
      </c>
      <c r="G1096" s="22" t="str">
        <f>IF(OR(E1096="",E1096="!!!"),"",IF(OR(J1096=0,AND(J1096=1,K1096=1),AND(J1096=1,I1096="SBJ"),AND(J1096=1,I1096=0)),"?IN_FOCUS",IF(J1096&lt;=2,"?ACTIVATED",IF(J1096&lt;&gt;"","?FAMILIAR",IF(F1096="NEW",IF(ISNA(VLOOKUP(E1096,#REF!,1,FALSE())),"?TYPE_IDENTIFIABLE","?REFERENTIAL"),"_")))))</f>
        <v/>
      </c>
      <c r="H1096" s="23" t="str">
        <f t="shared" ca="1" si="125"/>
        <v/>
      </c>
      <c r="I1096" s="24" t="str">
        <f>IF(OR(E1096="",E1096="!!!",F1096="NEW"),"",INDEX(B$2:B1095,-1+SUMPRODUCT(MAX(ROW(E$2:E1095)*(E1096=E$2:E1095)))))</f>
        <v/>
      </c>
      <c r="J1096" s="24" t="str">
        <f ca="1">IF(OR(E1096="",E1096="!!!",F1096="NEW"),"",COUNTBLANK(OFFSET(A$1,,,SUMPRODUCT(MAX(ROW(E$2:E1096)*(E1096=E$2:E1096)))))-COUNTBLANK(OFFSET(A$1,,,SUMPRODUCT(MAX(ROW(E$1:E1095)*(E2=E$1:E1095))))))</f>
        <v/>
      </c>
      <c r="K1096" s="24" t="str">
        <f>IF(OR(E1096="",E1096="!!!",F1096="NEW"),"",INDEX(J$1:J1095,SUMPRODUCT(MAX(ROW(E$1:E1095)*(E1096=E$1:E1095)))))</f>
        <v/>
      </c>
      <c r="L1096" s="25"/>
    </row>
    <row r="1097" spans="1:12" x14ac:dyDescent="0.2">
      <c r="A1097" t="s">
        <v>1197</v>
      </c>
      <c r="B1097" s="26" t="s">
        <v>819</v>
      </c>
      <c r="C1097" s="26" t="s">
        <v>847</v>
      </c>
      <c r="D1097" s="26" t="s">
        <v>806</v>
      </c>
      <c r="E1097" s="20" t="s">
        <v>1197</v>
      </c>
      <c r="F1097" s="21" t="str">
        <f>IF(OR(E1097="",E1097="!!!"),"",IF(NOT(ISNA(VLOOKUP(E1097,E$1:E1096,1,FALSE()))),"OLD",IF(AND(E1097&lt;&gt;"",E1097&lt;&gt;"!!!"),"NEW","")))</f>
        <v>NEW</v>
      </c>
      <c r="G1097" s="22" t="s">
        <v>1820</v>
      </c>
      <c r="H1097" s="23" t="str">
        <f t="shared" ca="1" si="125"/>
        <v/>
      </c>
      <c r="I1097" s="24" t="str">
        <f>IF(OR(E1097="",E1097="!!!",F1097="NEW"),"",INDEX(B$2:B1096,-1+SUMPRODUCT(MAX(ROW(E$2:E1096)*(E1097=E$2:E1096)))))</f>
        <v/>
      </c>
      <c r="J1097" s="24" t="str">
        <f ca="1">IF(OR(E1097="",E1097="!!!",F1097="NEW"),"",COUNTBLANK(OFFSET(A$1,,,SUMPRODUCT(MAX(ROW(E$2:E1097)*(E1097=E$2:E1097)))))-COUNTBLANK(OFFSET(A$1,,,SUMPRODUCT(MAX(ROW(E$1:E1096)*(E2=E$1:E1096))))))</f>
        <v/>
      </c>
      <c r="K1097" s="24" t="str">
        <f>IF(OR(E1097="",E1097="!!!",F1097="NEW"),"",INDEX(J$1:J1096,SUMPRODUCT(MAX(ROW(E$1:E1096)*(E1097=E$1:E1096)))))</f>
        <v/>
      </c>
      <c r="L1097" s="25"/>
    </row>
    <row r="1098" spans="1:12" x14ac:dyDescent="0.2">
      <c r="A1098" t="s">
        <v>1060</v>
      </c>
      <c r="E1098" s="20" t="str">
        <f t="shared" si="124"/>
        <v/>
      </c>
      <c r="F1098" s="21" t="str">
        <f>IF(OR(E1098="",E1098="!!!"),"",IF(NOT(ISNA(VLOOKUP(E1098,E$1:E1097,1,FALSE()))),"OLD",IF(AND(E1098&lt;&gt;"",E1098&lt;&gt;"!!!"),"NEW","")))</f>
        <v/>
      </c>
      <c r="G1098" s="22" t="str">
        <f>IF(OR(E1098="",E1098="!!!"),"",IF(OR(J1098=0,AND(J1098=1,K1098=1),AND(J1098=1,I1098="SBJ"),AND(J1098=1,I1098=0)),"?IN_FOCUS",IF(J1098&lt;=2,"?ACTIVATED",IF(J1098&lt;&gt;"","?FAMILIAR",IF(F1098="NEW",IF(ISNA(VLOOKUP(E1098,#REF!,1,FALSE())),"?TYPE_IDENTIFIABLE","?REFERENTIAL"),"_")))))</f>
        <v/>
      </c>
      <c r="H1098" s="23" t="str">
        <f t="shared" ca="1" si="125"/>
        <v/>
      </c>
      <c r="I1098" s="24" t="str">
        <f>IF(OR(E1098="",E1098="!!!",F1098="NEW"),"",INDEX(B$2:B1097,-1+SUMPRODUCT(MAX(ROW(E$2:E1097)*(E1098=E$2:E1097)))))</f>
        <v/>
      </c>
      <c r="J1098" s="24" t="str">
        <f ca="1">IF(OR(E1098="",E1098="!!!",F1098="NEW"),"",COUNTBLANK(OFFSET(A$1,,,SUMPRODUCT(MAX(ROW(E$2:E1098)*(E1098=E$2:E1098)))))-COUNTBLANK(OFFSET(A$1,,,SUMPRODUCT(MAX(ROW(E$1:E1097)*(E2=E$1:E1097))))))</f>
        <v/>
      </c>
      <c r="K1098" s="24" t="str">
        <f>IF(OR(E1098="",E1098="!!!",F1098="NEW"),"",INDEX(J$1:J1097,SUMPRODUCT(MAX(ROW(E$1:E1097)*(E1098=E$1:E1097)))))</f>
        <v/>
      </c>
      <c r="L1098" s="25"/>
    </row>
    <row r="1099" spans="1:12" x14ac:dyDescent="0.2">
      <c r="A1099" t="s">
        <v>866</v>
      </c>
      <c r="B1099" s="26" t="s">
        <v>891</v>
      </c>
      <c r="C1099" s="26" t="s">
        <v>805</v>
      </c>
      <c r="D1099" s="26" t="s">
        <v>806</v>
      </c>
      <c r="E1099" s="20" t="s">
        <v>1761</v>
      </c>
      <c r="F1099" s="21" t="str">
        <f>IF(OR(E1099="",E1099="!!!"),"",IF(NOT(ISNA(VLOOKUP(E1099,E$1:E1098,1,FALSE()))),"OLD",IF(AND(E1099&lt;&gt;"",E1099&lt;&gt;"!!!"),"NEW","")))</f>
        <v>NEW</v>
      </c>
      <c r="G1099" s="22" t="s">
        <v>1823</v>
      </c>
      <c r="H1099" s="23" t="str">
        <f t="shared" ca="1" si="125"/>
        <v/>
      </c>
      <c r="I1099" s="24" t="str">
        <f>IF(OR(E1099="",E1099="!!!",F1099="NEW"),"",INDEX(B$2:B1098,-1+SUMPRODUCT(MAX(ROW(E$2:E1098)*(E1099=E$2:E1098)))))</f>
        <v/>
      </c>
      <c r="J1099" s="24" t="str">
        <f ca="1">IF(OR(E1099="",E1099="!!!",F1099="NEW"),"",COUNTBLANK(OFFSET(A$1,,,SUMPRODUCT(MAX(ROW(E$2:E1099)*(E1099=E$2:E1099)))))-COUNTBLANK(OFFSET(A$1,,,SUMPRODUCT(MAX(ROW(E$1:E1098)*(E2=E$1:E1098))))))</f>
        <v/>
      </c>
      <c r="K1099" s="24" t="str">
        <f>IF(OR(E1099="",E1099="!!!",F1099="NEW"),"",INDEX(J$1:J1098,SUMPRODUCT(MAX(ROW(E$1:E1098)*(E1099=E$1:E1098)))))</f>
        <v/>
      </c>
      <c r="L1099" s="25"/>
    </row>
    <row r="1100" spans="1:12" x14ac:dyDescent="0.2">
      <c r="A1100" t="s">
        <v>888</v>
      </c>
      <c r="E1100" s="20" t="str">
        <f t="shared" si="124"/>
        <v/>
      </c>
      <c r="F1100" s="21" t="str">
        <f>IF(OR(E1100="",E1100="!!!"),"",IF(NOT(ISNA(VLOOKUP(E1100,E$1:E1099,1,FALSE()))),"OLD",IF(AND(E1100&lt;&gt;"",E1100&lt;&gt;"!!!"),"NEW","")))</f>
        <v/>
      </c>
      <c r="G1100" s="22" t="str">
        <f>IF(OR(E1100="",E1100="!!!"),"",IF(OR(J1100=0,AND(J1100=1,K1100=1),AND(J1100=1,I1100="SBJ"),AND(J1100=1,I1100=0)),"?IN_FOCUS",IF(J1100&lt;=2,"?ACTIVATED",IF(J1100&lt;&gt;"","?FAMILIAR",IF(F1100="NEW",IF(ISNA(VLOOKUP(E1100,#REF!,1,FALSE())),"?TYPE_IDENTIFIABLE","?REFERENTIAL"),"_")))))</f>
        <v/>
      </c>
      <c r="H1100" s="23" t="str">
        <f t="shared" ca="1" si="125"/>
        <v/>
      </c>
      <c r="I1100" s="24" t="str">
        <f>IF(OR(E1100="",E1100="!!!",F1100="NEW"),"",INDEX(B$2:B1099,-1+SUMPRODUCT(MAX(ROW(E$2:E1099)*(E1100=E$2:E1099)))))</f>
        <v/>
      </c>
      <c r="J1100" s="24" t="str">
        <f ca="1">IF(OR(E1100="",E1100="!!!",F1100="NEW"),"",COUNTBLANK(OFFSET(A$1,,,SUMPRODUCT(MAX(ROW(E$2:E1100)*(E1100=E$2:E1100)))))-COUNTBLANK(OFFSET(A$1,,,SUMPRODUCT(MAX(ROW(E$1:E1099)*(E2=E$1:E1099))))))</f>
        <v/>
      </c>
      <c r="K1100" s="24" t="str">
        <f>IF(OR(E1100="",E1100="!!!",F1100="NEW"),"",INDEX(J$1:J1099,SUMPRODUCT(MAX(ROW(E$1:E1099)*(E1100=E$1:E1099)))))</f>
        <v/>
      </c>
      <c r="L1100" s="25"/>
    </row>
    <row r="1101" spans="1:12" x14ac:dyDescent="0.2">
      <c r="A1101" t="s">
        <v>803</v>
      </c>
      <c r="B1101" s="26" t="s">
        <v>899</v>
      </c>
      <c r="C1101" s="26" t="s">
        <v>805</v>
      </c>
      <c r="D1101" s="26" t="s">
        <v>806</v>
      </c>
      <c r="E1101" s="20" t="s">
        <v>1747</v>
      </c>
      <c r="F1101" s="21" t="s">
        <v>1753</v>
      </c>
      <c r="G1101" s="22" t="s">
        <v>1823</v>
      </c>
      <c r="H1101" s="23" t="str">
        <f t="shared" ca="1" si="125"/>
        <v/>
      </c>
      <c r="I1101" s="24" t="str">
        <f>IF(OR(E1101="",E1101="!!!",F1101="NEW"),"",INDEX(B$2:B1100,-1+SUMPRODUCT(MAX(ROW(E$2:E1100)*(E1101=E$2:E1100)))))</f>
        <v>SBJ</v>
      </c>
      <c r="J1101" s="24">
        <f ca="1">IF(OR(E1101="",E1101="!!!",F1101="NEW"),"",COUNTBLANK(OFFSET(A$1,,,SUMPRODUCT(MAX(ROW(E$2:E1101)*(E1101=E$2:E1101)))))-COUNTBLANK(OFFSET(A$1,,,SUMPRODUCT(MAX(ROW(E$1:E1100)*(E2=E$1:E1100))))))</f>
        <v>0</v>
      </c>
      <c r="K1101" s="24">
        <f ca="1">IF(OR(E1101="",E1101="!!!",F1101="NEW"),"",INDEX(J$1:J1100,SUMPRODUCT(MAX(ROW(E$1:E1100)*(E1101=E$1:E1100)))))</f>
        <v>0</v>
      </c>
      <c r="L1101" s="25"/>
    </row>
    <row r="1102" spans="1:12" x14ac:dyDescent="0.2">
      <c r="A1102" t="s">
        <v>1198</v>
      </c>
      <c r="E1102" s="20" t="str">
        <f t="shared" si="124"/>
        <v/>
      </c>
      <c r="F1102" s="21" t="str">
        <f>IF(OR(E1102="",E1102="!!!"),"",IF(NOT(ISNA(VLOOKUP(E1102,E$1:E1101,1,FALSE()))),"OLD",IF(AND(E1102&lt;&gt;"",E1102&lt;&gt;"!!!"),"NEW","")))</f>
        <v/>
      </c>
      <c r="G1102" s="22" t="str">
        <f>IF(OR(E1102="",E1102="!!!"),"",IF(OR(J1102=0,AND(J1102=1,K1102=1),AND(J1102=1,I1102="SBJ"),AND(J1102=1,I1102=0)),"?IN_FOCUS",IF(J1102&lt;=2,"?ACTIVATED",IF(J1102&lt;&gt;"","?FAMILIAR",IF(F1102="NEW",IF(ISNA(VLOOKUP(E1102,#REF!,1,FALSE())),"?TYPE_IDENTIFIABLE","?REFERENTIAL"),"_")))))</f>
        <v/>
      </c>
      <c r="H1102" s="23" t="str">
        <f t="shared" ca="1" si="125"/>
        <v/>
      </c>
      <c r="I1102" s="24" t="str">
        <f>IF(OR(E1102="",E1102="!!!",F1102="NEW"),"",INDEX(B$2:B1101,-1+SUMPRODUCT(MAX(ROW(E$2:E1101)*(E1102=E$2:E1101)))))</f>
        <v/>
      </c>
      <c r="J1102" s="24" t="str">
        <f ca="1">IF(OR(E1102="",E1102="!!!",F1102="NEW"),"",COUNTBLANK(OFFSET(A$1,,,SUMPRODUCT(MAX(ROW(E$2:E1102)*(E1102=E$2:E1102)))))-COUNTBLANK(OFFSET(A$1,,,SUMPRODUCT(MAX(ROW(E$1:E1101)*(E2=E$1:E1101))))))</f>
        <v/>
      </c>
      <c r="K1102" s="24" t="str">
        <f>IF(OR(E1102="",E1102="!!!",F1102="NEW"),"",INDEX(J$1:J1101,SUMPRODUCT(MAX(ROW(E$1:E1101)*(E1102=E$1:E1101)))))</f>
        <v/>
      </c>
      <c r="L1102" s="25"/>
    </row>
    <row r="1103" spans="1:12" x14ac:dyDescent="0.2">
      <c r="A1103" t="s">
        <v>830</v>
      </c>
      <c r="B1103" s="26" t="s">
        <v>871</v>
      </c>
      <c r="C1103" s="26" t="s">
        <v>805</v>
      </c>
      <c r="D1103" s="26" t="s">
        <v>806</v>
      </c>
      <c r="E1103" s="20" t="s">
        <v>1175</v>
      </c>
      <c r="F1103" s="21" t="str">
        <f>IF(OR(E1103="",E1103="!!!"),"",IF(NOT(ISNA(VLOOKUP(E1103,E$1:E1102,1,FALSE()))),"OLD",IF(AND(E1103&lt;&gt;"",E1103&lt;&gt;"!!!"),"NEW","")))</f>
        <v>OLD</v>
      </c>
      <c r="G1103" s="22" t="s">
        <v>1823</v>
      </c>
      <c r="H1103" s="23" t="str">
        <f t="shared" ca="1" si="125"/>
        <v/>
      </c>
      <c r="I1103" s="24" t="str">
        <f>IF(OR(E1103="",E1103="!!!",F1103="NEW"),"",INDEX(B$2:B1102,-1+SUMPRODUCT(MAX(ROW(E$2:E1102)*(E1103=E$2:E1102)))))</f>
        <v>SBJ_3</v>
      </c>
      <c r="J1103" s="24">
        <f ca="1">IF(OR(E1103="",E1103="!!!",F1103="NEW"),"",COUNTBLANK(OFFSET(A$1,,,SUMPRODUCT(MAX(ROW(E$2:E1103)*(E1103=E$2:E1103)))))-COUNTBLANK(OFFSET(A$1,,,SUMPRODUCT(MAX(ROW(E$1:E1102)*(E2=E$1:E1102))))))</f>
        <v>0</v>
      </c>
      <c r="K1103" s="24">
        <f ca="1">IF(OR(E1103="",E1103="!!!",F1103="NEW"),"",INDEX(J$1:J1102,SUMPRODUCT(MAX(ROW(E$1:E1102)*(E1103=E$1:E1102)))))</f>
        <v>0</v>
      </c>
      <c r="L1103" s="25"/>
    </row>
    <row r="1104" spans="1:12" x14ac:dyDescent="0.2">
      <c r="A1104" t="s">
        <v>821</v>
      </c>
      <c r="E1104" s="20" t="str">
        <f t="shared" si="124"/>
        <v/>
      </c>
      <c r="F1104" s="21" t="str">
        <f>IF(OR(E1104="",E1104="!!!"),"",IF(NOT(ISNA(VLOOKUP(E1104,E$1:E1103,1,FALSE()))),"OLD",IF(AND(E1104&lt;&gt;"",E1104&lt;&gt;"!!!"),"NEW","")))</f>
        <v/>
      </c>
      <c r="G1104" s="22" t="str">
        <f>IF(OR(E1104="",E1104="!!!"),"",IF(OR(J1104=0,AND(J1104=1,K1104=1),AND(J1104=1,I1104="SBJ"),AND(J1104=1,I1104=0)),"?IN_FOCUS",IF(J1104&lt;=2,"?ACTIVATED",IF(J1104&lt;&gt;"","?FAMILIAR",IF(F1104="NEW",IF(ISNA(VLOOKUP(E1104,#REF!,1,FALSE())),"?TYPE_IDENTIFIABLE","?REFERENTIAL"),"_")))))</f>
        <v/>
      </c>
      <c r="H1104" s="23" t="str">
        <f t="shared" ca="1" si="125"/>
        <v/>
      </c>
      <c r="I1104" s="24" t="str">
        <f>IF(OR(E1104="",E1104="!!!",F1104="NEW"),"",INDEX(B$2:B1103,-1+SUMPRODUCT(MAX(ROW(E$2:E1103)*(E1104=E$2:E1103)))))</f>
        <v/>
      </c>
      <c r="J1104" s="24" t="str">
        <f ca="1">IF(OR(E1104="",E1104="!!!",F1104="NEW"),"",COUNTBLANK(OFFSET(A$1,,,SUMPRODUCT(MAX(ROW(E$2:E1104)*(E1104=E$2:E1104)))))-COUNTBLANK(OFFSET(A$1,,,SUMPRODUCT(MAX(ROW(E$1:E1103)*(E2=E$1:E1103))))))</f>
        <v/>
      </c>
      <c r="K1104" s="24" t="str">
        <f>IF(OR(E1104="",E1104="!!!",F1104="NEW"),"",INDEX(J$1:J1103,SUMPRODUCT(MAX(ROW(E$1:E1103)*(E1104=E$1:E1103)))))</f>
        <v/>
      </c>
      <c r="L1104" s="25"/>
    </row>
    <row r="1106" spans="1:12" x14ac:dyDescent="0.2">
      <c r="A1106" t="s">
        <v>1199</v>
      </c>
    </row>
    <row r="1107" spans="1:12" x14ac:dyDescent="0.2">
      <c r="A1107" t="s">
        <v>1073</v>
      </c>
      <c r="B1107" s="26" t="s">
        <v>804</v>
      </c>
      <c r="C1107" s="26" t="s">
        <v>805</v>
      </c>
      <c r="D1107" s="26" t="s">
        <v>806</v>
      </c>
      <c r="E1107" s="20" t="s">
        <v>1175</v>
      </c>
      <c r="F1107" s="21" t="str">
        <f>IF(OR(E1107="",E1107="!!!"),"",IF(NOT(ISNA(VLOOKUP(E1107,E$1:E1106,1,FALSE()))),"OLD",IF(AND(E1107&lt;&gt;"",E1107&lt;&gt;"!!!"),"NEW","")))</f>
        <v>OLD</v>
      </c>
      <c r="G1107" s="22" t="s">
        <v>1823</v>
      </c>
      <c r="H1107" s="23" t="str">
        <f t="shared" ref="H1107:H1115" ca="1" si="126">IF(J1107&lt;&gt;1,"",IF(I1107="SBJ","CB","?"))</f>
        <v/>
      </c>
      <c r="I1107" s="24" t="str">
        <f>IF(OR(E1107="",E1107="!!!",F1107="NEW"),"",INDEX(B$2:B1106,-1+SUMPRODUCT(MAX(ROW(E$2:E1106)*(E1107=E$2:E1106)))))</f>
        <v>OBJ_3</v>
      </c>
      <c r="J1107" s="24">
        <f ca="1">IF(OR(E1107="",E1107="!!!",F1107="NEW"),"",COUNTBLANK(OFFSET(A$1,,,SUMPRODUCT(MAX(ROW(E$2:E1107)*(E1107=E$2:E1107)))))-COUNTBLANK(OFFSET(A$1,,,SUMPRODUCT(MAX(ROW(E$1:E1106)*(E2=E$1:E1106))))))</f>
        <v>0</v>
      </c>
      <c r="K1107" s="24">
        <f ca="1">IF(OR(E1107="",E1107="!!!",F1107="NEW"),"",INDEX(J$1:J1106,SUMPRODUCT(MAX(ROW(E$1:E1106)*(E1107=E$1:E1106)))))</f>
        <v>0</v>
      </c>
      <c r="L1107" s="25"/>
    </row>
    <row r="1108" spans="1:12" x14ac:dyDescent="0.2">
      <c r="A1108" t="s">
        <v>898</v>
      </c>
      <c r="E1108" s="20" t="str">
        <f t="shared" ref="E1108:E1115" si="127">IF(D1108="?OLD","!!!","")</f>
        <v/>
      </c>
      <c r="F1108" s="21" t="str">
        <f>IF(OR(E1108="",E1108="!!!"),"",IF(NOT(ISNA(VLOOKUP(E1108,E$1:E1107,1,FALSE()))),"OLD",IF(AND(E1108&lt;&gt;"",E1108&lt;&gt;"!!!"),"NEW","")))</f>
        <v/>
      </c>
      <c r="G1108" s="22" t="str">
        <f>IF(OR(E1108="",E1108="!!!"),"",IF(OR(J1108=0,AND(J1108=1,K1108=1),AND(J1108=1,I1108="SBJ"),AND(J1108=1,I1108=0)),"?IN_FOCUS",IF(J1108&lt;=2,"?ACTIVATED",IF(J1108&lt;&gt;"","?FAMILIAR",IF(F1108="NEW",IF(ISNA(VLOOKUP(E1108,#REF!,1,FALSE())),"?TYPE_IDENTIFIABLE","?REFERENTIAL"),"_")))))</f>
        <v/>
      </c>
      <c r="H1108" s="23" t="str">
        <f t="shared" ca="1" si="126"/>
        <v/>
      </c>
      <c r="I1108" s="24" t="str">
        <f>IF(OR(E1108="",E1108="!!!",F1108="NEW"),"",INDEX(B$2:B1107,-1+SUMPRODUCT(MAX(ROW(E$2:E1107)*(E1108=E$2:E1107)))))</f>
        <v/>
      </c>
      <c r="J1108" s="24" t="str">
        <f ca="1">IF(OR(E1108="",E1108="!!!",F1108="NEW"),"",COUNTBLANK(OFFSET(A$1,,,SUMPRODUCT(MAX(ROW(E$2:E1108)*(E1108=E$2:E1108)))))-COUNTBLANK(OFFSET(A$1,,,SUMPRODUCT(MAX(ROW(E$1:E1107)*(E2=E$1:E1107))))))</f>
        <v/>
      </c>
      <c r="K1108" s="24" t="str">
        <f>IF(OR(E1108="",E1108="!!!",F1108="NEW"),"",INDEX(J$1:J1107,SUMPRODUCT(MAX(ROW(E$1:E1107)*(E1108=E$1:E1107)))))</f>
        <v/>
      </c>
      <c r="L1108" s="25"/>
    </row>
    <row r="1109" spans="1:12" x14ac:dyDescent="0.2">
      <c r="A1109" t="s">
        <v>809</v>
      </c>
      <c r="E1109" s="20" t="str">
        <f t="shared" si="127"/>
        <v/>
      </c>
      <c r="F1109" s="21" t="str">
        <f>IF(OR(E1109="",E1109="!!!"),"",IF(NOT(ISNA(VLOOKUP(E1109,E$1:E1108,1,FALSE()))),"OLD",IF(AND(E1109&lt;&gt;"",E1109&lt;&gt;"!!!"),"NEW","")))</f>
        <v/>
      </c>
      <c r="G1109" s="22" t="str">
        <f>IF(OR(E1109="",E1109="!!!"),"",IF(OR(J1109=0,AND(J1109=1,K1109=1),AND(J1109=1,I1109="SBJ"),AND(J1109=1,I1109=0)),"?IN_FOCUS",IF(J1109&lt;=2,"?ACTIVATED",IF(J1109&lt;&gt;"","?FAMILIAR",IF(F1109="NEW",IF(ISNA(VLOOKUP(E1109,#REF!,1,FALSE())),"?TYPE_IDENTIFIABLE","?REFERENTIAL"),"_")))))</f>
        <v/>
      </c>
      <c r="H1109" s="23" t="str">
        <f t="shared" ca="1" si="126"/>
        <v/>
      </c>
      <c r="I1109" s="24" t="str">
        <f>IF(OR(E1109="",E1109="!!!",F1109="NEW"),"",INDEX(B$2:B1108,-1+SUMPRODUCT(MAX(ROW(E$2:E1108)*(E1109=E$2:E1108)))))</f>
        <v/>
      </c>
      <c r="J1109" s="24" t="str">
        <f ca="1">IF(OR(E1109="",E1109="!!!",F1109="NEW"),"",COUNTBLANK(OFFSET(A$1,,,SUMPRODUCT(MAX(ROW(E$2:E1109)*(E1109=E$2:E1109)))))-COUNTBLANK(OFFSET(A$1,,,SUMPRODUCT(MAX(ROW(E$1:E1108)*(E2=E$1:E1108))))))</f>
        <v/>
      </c>
      <c r="K1109" s="24" t="str">
        <f>IF(OR(E1109="",E1109="!!!",F1109="NEW"),"",INDEX(J$1:J1108,SUMPRODUCT(MAX(ROW(E$1:E1108)*(E1109=E$1:E1108)))))</f>
        <v/>
      </c>
      <c r="L1109" s="25"/>
    </row>
    <row r="1110" spans="1:12" x14ac:dyDescent="0.2">
      <c r="A1110" t="s">
        <v>1088</v>
      </c>
      <c r="B1110" s="26" t="s">
        <v>819</v>
      </c>
      <c r="C1110" s="26" t="s">
        <v>811</v>
      </c>
      <c r="E1110" s="20" t="str">
        <f t="shared" si="127"/>
        <v/>
      </c>
      <c r="F1110" s="21" t="str">
        <f>IF(OR(E1110="",E1110="!!!"),"",IF(NOT(ISNA(VLOOKUP(E1110,E$1:E1109,1,FALSE()))),"OLD",IF(AND(E1110&lt;&gt;"",E1110&lt;&gt;"!!!"),"NEW","")))</f>
        <v/>
      </c>
      <c r="G1110" s="22" t="str">
        <f>IF(OR(E1110="",E1110="!!!"),"",IF(OR(J1110=0,AND(J1110=1,K1110=1),AND(J1110=1,I1110="SBJ"),AND(J1110=1,I1110=0)),"?IN_FOCUS",IF(J1110&lt;=2,"?ACTIVATED",IF(J1110&lt;&gt;"","?FAMILIAR",IF(F1110="NEW",IF(ISNA(VLOOKUP(E1110,#REF!,1,FALSE())),"?TYPE_IDENTIFIABLE","?REFERENTIAL"),"_")))))</f>
        <v/>
      </c>
      <c r="H1110" s="23" t="str">
        <f t="shared" ca="1" si="126"/>
        <v/>
      </c>
      <c r="I1110" s="24" t="str">
        <f>IF(OR(E1110="",E1110="!!!",F1110="NEW"),"",INDEX(B$2:B1109,-1+SUMPRODUCT(MAX(ROW(E$2:E1109)*(E1110=E$2:E1109)))))</f>
        <v/>
      </c>
      <c r="J1110" s="24" t="str">
        <f ca="1">IF(OR(E1110="",E1110="!!!",F1110="NEW"),"",COUNTBLANK(OFFSET(A$1,,,SUMPRODUCT(MAX(ROW(E$2:E1110)*(E1110=E$2:E1110)))))-COUNTBLANK(OFFSET(A$1,,,SUMPRODUCT(MAX(ROW(E$1:E1109)*(E2=E$1:E1109))))))</f>
        <v/>
      </c>
      <c r="K1110" s="24" t="str">
        <f>IF(OR(E1110="",E1110="!!!",F1110="NEW"),"",INDEX(J$1:J1109,SUMPRODUCT(MAX(ROW(E$1:E1109)*(E1110=E$1:E1109)))))</f>
        <v/>
      </c>
      <c r="L1110" s="25"/>
    </row>
    <row r="1111" spans="1:12" x14ac:dyDescent="0.2">
      <c r="A1111" t="s">
        <v>894</v>
      </c>
      <c r="E1111" s="20" t="str">
        <f t="shared" si="127"/>
        <v/>
      </c>
      <c r="F1111" s="21" t="str">
        <f>IF(OR(E1111="",E1111="!!!"),"",IF(NOT(ISNA(VLOOKUP(E1111,E$1:E1110,1,FALSE()))),"OLD",IF(AND(E1111&lt;&gt;"",E1111&lt;&gt;"!!!"),"NEW","")))</f>
        <v/>
      </c>
      <c r="G1111" s="22" t="str">
        <f>IF(OR(E1111="",E1111="!!!"),"",IF(OR(J1111=0,AND(J1111=1,K1111=1),AND(J1111=1,I1111="SBJ"),AND(J1111=1,I1111=0)),"?IN_FOCUS",IF(J1111&lt;=2,"?ACTIVATED",IF(J1111&lt;&gt;"","?FAMILIAR",IF(F1111="NEW",IF(ISNA(VLOOKUP(E1111,#REF!,1,FALSE())),"?TYPE_IDENTIFIABLE","?REFERENTIAL"),"_")))))</f>
        <v/>
      </c>
      <c r="H1111" s="23" t="str">
        <f t="shared" ca="1" si="126"/>
        <v/>
      </c>
      <c r="I1111" s="24" t="str">
        <f>IF(OR(E1111="",E1111="!!!",F1111="NEW"),"",INDEX(B$2:B1110,-1+SUMPRODUCT(MAX(ROW(E$2:E1110)*(E1111=E$2:E1110)))))</f>
        <v/>
      </c>
      <c r="J1111" s="24" t="str">
        <f ca="1">IF(OR(E1111="",E1111="!!!",F1111="NEW"),"",COUNTBLANK(OFFSET(A$1,,,SUMPRODUCT(MAX(ROW(E$2:E1111)*(E1111=E$2:E1111)))))-COUNTBLANK(OFFSET(A$1,,,SUMPRODUCT(MAX(ROW(E$1:E1110)*(E2=E$1:E1110))))))</f>
        <v/>
      </c>
      <c r="K1111" s="24" t="str">
        <f>IF(OR(E1111="",E1111="!!!",F1111="NEW"),"",INDEX(J$1:J1110,SUMPRODUCT(MAX(ROW(E$1:E1110)*(E1111=E$1:E1110)))))</f>
        <v/>
      </c>
      <c r="L1111" s="25"/>
    </row>
    <row r="1112" spans="1:12" x14ac:dyDescent="0.2">
      <c r="A1112" t="s">
        <v>1200</v>
      </c>
      <c r="E1112" s="20" t="str">
        <f t="shared" si="127"/>
        <v/>
      </c>
      <c r="F1112" s="21" t="str">
        <f>IF(OR(E1112="",E1112="!!!"),"",IF(NOT(ISNA(VLOOKUP(E1112,E$1:E1111,1,FALSE()))),"OLD",IF(AND(E1112&lt;&gt;"",E1112&lt;&gt;"!!!"),"NEW","")))</f>
        <v/>
      </c>
      <c r="G1112" s="22" t="str">
        <f>IF(OR(E1112="",E1112="!!!"),"",IF(OR(J1112=0,AND(J1112=1,K1112=1),AND(J1112=1,I1112="SBJ"),AND(J1112=1,I1112=0)),"?IN_FOCUS",IF(J1112&lt;=2,"?ACTIVATED",IF(J1112&lt;&gt;"","?FAMILIAR",IF(F1112="NEW",IF(ISNA(VLOOKUP(E1112,#REF!,1,FALSE())),"?TYPE_IDENTIFIABLE","?REFERENTIAL"),"_")))))</f>
        <v/>
      </c>
      <c r="H1112" s="23" t="str">
        <f t="shared" ca="1" si="126"/>
        <v/>
      </c>
      <c r="I1112" s="24" t="str">
        <f>IF(OR(E1112="",E1112="!!!",F1112="NEW"),"",INDEX(B$2:B1111,-1+SUMPRODUCT(MAX(ROW(E$2:E1111)*(E1112=E$2:E1111)))))</f>
        <v/>
      </c>
      <c r="J1112" s="24" t="str">
        <f ca="1">IF(OR(E1112="",E1112="!!!",F1112="NEW"),"",COUNTBLANK(OFFSET(A$1,,,SUMPRODUCT(MAX(ROW(E$2:E1112)*(E1112=E$2:E1112)))))-COUNTBLANK(OFFSET(A$1,,,SUMPRODUCT(MAX(ROW(E$1:E1111)*(E2=E$1:E1111))))))</f>
        <v/>
      </c>
      <c r="K1112" s="24" t="str">
        <f>IF(OR(E1112="",E1112="!!!",F1112="NEW"),"",INDEX(J$1:J1111,SUMPRODUCT(MAX(ROW(E$1:E1111)*(E1112=E$1:E1111)))))</f>
        <v/>
      </c>
      <c r="L1112" s="25"/>
    </row>
    <row r="1113" spans="1:12" x14ac:dyDescent="0.2">
      <c r="A1113" t="s">
        <v>1201</v>
      </c>
      <c r="E1113" s="20" t="str">
        <f t="shared" si="127"/>
        <v/>
      </c>
      <c r="F1113" s="21" t="str">
        <f>IF(OR(E1113="",E1113="!!!"),"",IF(NOT(ISNA(VLOOKUP(E1113,E$1:E1112,1,FALSE()))),"OLD",IF(AND(E1113&lt;&gt;"",E1113&lt;&gt;"!!!"),"NEW","")))</f>
        <v/>
      </c>
      <c r="G1113" s="22" t="str">
        <f>IF(OR(E1113="",E1113="!!!"),"",IF(OR(J1113=0,AND(J1113=1,K1113=1),AND(J1113=1,I1113="SBJ"),AND(J1113=1,I1113=0)),"?IN_FOCUS",IF(J1113&lt;=2,"?ACTIVATED",IF(J1113&lt;&gt;"","?FAMILIAR",IF(F1113="NEW",IF(ISNA(VLOOKUP(E1113,#REF!,1,FALSE())),"?TYPE_IDENTIFIABLE","?REFERENTIAL"),"_")))))</f>
        <v/>
      </c>
      <c r="H1113" s="23" t="str">
        <f t="shared" ca="1" si="126"/>
        <v/>
      </c>
      <c r="I1113" s="24" t="str">
        <f>IF(OR(E1113="",E1113="!!!",F1113="NEW"),"",INDEX(B$2:B1112,-1+SUMPRODUCT(MAX(ROW(E$2:E1112)*(E1113=E$2:E1112)))))</f>
        <v/>
      </c>
      <c r="J1113" s="24" t="str">
        <f ca="1">IF(OR(E1113="",E1113="!!!",F1113="NEW"),"",COUNTBLANK(OFFSET(A$1,,,SUMPRODUCT(MAX(ROW(E$2:E1113)*(E1113=E$2:E1113)))))-COUNTBLANK(OFFSET(A$1,,,SUMPRODUCT(MAX(ROW(E$1:E1112)*(E2=E$1:E1112))))))</f>
        <v/>
      </c>
      <c r="K1113" s="24" t="str">
        <f>IF(OR(E1113="",E1113="!!!",F1113="NEW"),"",INDEX(J$1:J1112,SUMPRODUCT(MAX(ROW(E$1:E1112)*(E1113=E$1:E1112)))))</f>
        <v/>
      </c>
      <c r="L1113" s="25"/>
    </row>
    <row r="1114" spans="1:12" x14ac:dyDescent="0.2">
      <c r="A1114" t="s">
        <v>1202</v>
      </c>
      <c r="B1114" s="26" t="s">
        <v>819</v>
      </c>
      <c r="C1114" s="26" t="s">
        <v>854</v>
      </c>
      <c r="D1114" s="26" t="s">
        <v>806</v>
      </c>
      <c r="E1114" s="20" t="s">
        <v>1776</v>
      </c>
      <c r="F1114" s="21" t="str">
        <f>IF(OR(E1114="",E1114="!!!"),"",IF(NOT(ISNA(VLOOKUP(E1114,E$1:E1113,1,FALSE()))),"OLD",IF(AND(E1114&lt;&gt;"",E1114&lt;&gt;"!!!"),"NEW","")))</f>
        <v>NEW</v>
      </c>
      <c r="G1114" s="22" t="s">
        <v>1824</v>
      </c>
      <c r="H1114" s="23" t="str">
        <f t="shared" ca="1" si="126"/>
        <v/>
      </c>
      <c r="I1114" s="24" t="str">
        <f>IF(OR(E1114="",E1114="!!!",F1114="NEW"),"",INDEX(B$2:B1113,-1+SUMPRODUCT(MAX(ROW(E$2:E1113)*(E1114=E$2:E1113)))))</f>
        <v/>
      </c>
      <c r="J1114" s="24" t="str">
        <f ca="1">IF(OR(E1114="",E1114="!!!",F1114="NEW"),"",COUNTBLANK(OFFSET(A$1,,,SUMPRODUCT(MAX(ROW(E$2:E1114)*(E1114=E$2:E1114)))))-COUNTBLANK(OFFSET(A$1,,,SUMPRODUCT(MAX(ROW(E$1:E1113)*(E2=E$1:E1113))))))</f>
        <v/>
      </c>
      <c r="K1114" s="24" t="str">
        <f>IF(OR(E1114="",E1114="!!!",F1114="NEW"),"",INDEX(J$1:J1113,SUMPRODUCT(MAX(ROW(E$1:E1113)*(E1114=E$1:E1113)))))</f>
        <v/>
      </c>
      <c r="L1114" s="25"/>
    </row>
    <row r="1115" spans="1:12" x14ac:dyDescent="0.2">
      <c r="A1115" t="s">
        <v>821</v>
      </c>
      <c r="E1115" s="20" t="str">
        <f t="shared" si="127"/>
        <v/>
      </c>
      <c r="F1115" s="21" t="str">
        <f>IF(OR(E1115="",E1115="!!!"),"",IF(NOT(ISNA(VLOOKUP(E1115,E$1:E1114,1,FALSE()))),"OLD",IF(AND(E1115&lt;&gt;"",E1115&lt;&gt;"!!!"),"NEW","")))</f>
        <v/>
      </c>
      <c r="G1115" s="22" t="str">
        <f>IF(OR(E1115="",E1115="!!!"),"",IF(OR(J1115=0,AND(J1115=1,K1115=1),AND(J1115=1,I1115="SBJ"),AND(J1115=1,I1115=0)),"?IN_FOCUS",IF(J1115&lt;=2,"?ACTIVATED",IF(J1115&lt;&gt;"","?FAMILIAR",IF(F1115="NEW",IF(ISNA(VLOOKUP(E1115,#REF!,1,FALSE())),"?TYPE_IDENTIFIABLE","?REFERENTIAL"),"_")))))</f>
        <v/>
      </c>
      <c r="H1115" s="23" t="str">
        <f t="shared" ca="1" si="126"/>
        <v/>
      </c>
      <c r="I1115" s="24" t="str">
        <f>IF(OR(E1115="",E1115="!!!",F1115="NEW"),"",INDEX(B$2:B1114,-1+SUMPRODUCT(MAX(ROW(E$2:E1114)*(E1115=E$2:E1114)))))</f>
        <v/>
      </c>
      <c r="J1115" s="24" t="str">
        <f ca="1">IF(OR(E1115="",E1115="!!!",F1115="NEW"),"",COUNTBLANK(OFFSET(A$1,,,SUMPRODUCT(MAX(ROW(E$2:E1115)*(E1115=E$2:E1115)))))-COUNTBLANK(OFFSET(A$1,,,SUMPRODUCT(MAX(ROW(E$1:E1114)*(E2=E$1:E1114))))))</f>
        <v/>
      </c>
      <c r="K1115" s="24" t="str">
        <f>IF(OR(E1115="",E1115="!!!",F1115="NEW"),"",INDEX(J$1:J1114,SUMPRODUCT(MAX(ROW(E$1:E1114)*(E1115=E$1:E1114)))))</f>
        <v/>
      </c>
      <c r="L1115" s="25"/>
    </row>
    <row r="1117" spans="1:12" x14ac:dyDescent="0.2">
      <c r="A1117" t="s">
        <v>1203</v>
      </c>
    </row>
    <row r="1118" spans="1:12" x14ac:dyDescent="0.2">
      <c r="A1118" t="s">
        <v>837</v>
      </c>
      <c r="B1118" s="26" t="s">
        <v>804</v>
      </c>
      <c r="C1118" s="26" t="s">
        <v>805</v>
      </c>
      <c r="D1118" s="26" t="s">
        <v>806</v>
      </c>
      <c r="E1118" s="20" t="s">
        <v>1776</v>
      </c>
      <c r="F1118" s="21" t="str">
        <f>IF(OR(E1118="",E1118="!!!"),"",IF(NOT(ISNA(VLOOKUP(E1118,E$1:E1117,1,FALSE()))),"OLD",IF(AND(E1118&lt;&gt;"",E1118&lt;&gt;"!!!"),"NEW","")))</f>
        <v>OLD</v>
      </c>
      <c r="G1118" s="22" t="s">
        <v>1823</v>
      </c>
      <c r="H1118" s="23" t="str">
        <f t="shared" ref="H1118:H1129" ca="1" si="128">IF(J1118&lt;&gt;1,"",IF(I1118="SBJ","CB","?"))</f>
        <v/>
      </c>
      <c r="I1118" s="24" t="str">
        <f>IF(OR(E1118="",E1118="!!!",F1118="NEW"),"",INDEX(B$2:B1117,-1+SUMPRODUCT(MAX(ROW(E$2:E1117)*(E1118=E$2:E1117)))))</f>
        <v>other</v>
      </c>
      <c r="J1118" s="24">
        <f ca="1">IF(OR(E1118="",E1118="!!!",F1118="NEW"),"",COUNTBLANK(OFFSET(A$1,,,SUMPRODUCT(MAX(ROW(E$2:E1118)*(E1118=E$2:E1118)))))-COUNTBLANK(OFFSET(A$1,,,SUMPRODUCT(MAX(ROW(E$1:E1117)*(E2=E$1:E1117))))))</f>
        <v>0</v>
      </c>
      <c r="K1118" s="24" t="str">
        <f ca="1">IF(OR(E1118="",E1118="!!!",F1118="NEW"),"",INDEX(J$1:J1117,SUMPRODUCT(MAX(ROW(E$1:E1117)*(E1118=E$1:E1117)))))</f>
        <v/>
      </c>
      <c r="L1118" s="25"/>
    </row>
    <row r="1119" spans="1:12" x14ac:dyDescent="0.2">
      <c r="A1119" t="s">
        <v>898</v>
      </c>
      <c r="E1119" s="20" t="str">
        <f t="shared" ref="E1119:E1129" si="129">IF(D1119="?OLD","!!!","")</f>
        <v/>
      </c>
      <c r="F1119" s="21" t="str">
        <f>IF(OR(E1119="",E1119="!!!"),"",IF(NOT(ISNA(VLOOKUP(E1119,E$1:E1118,1,FALSE()))),"OLD",IF(AND(E1119&lt;&gt;"",E1119&lt;&gt;"!!!"),"NEW","")))</f>
        <v/>
      </c>
      <c r="G1119" s="22" t="str">
        <f>IF(OR(E1119="",E1119="!!!"),"",IF(OR(J1119=0,AND(J1119=1,K1119=1),AND(J1119=1,I1119="SBJ"),AND(J1119=1,I1119=0)),"?IN_FOCUS",IF(J1119&lt;=2,"?ACTIVATED",IF(J1119&lt;&gt;"","?FAMILIAR",IF(F1119="NEW",IF(ISNA(VLOOKUP(E1119,#REF!,1,FALSE())),"?TYPE_IDENTIFIABLE","?REFERENTIAL"),"_")))))</f>
        <v/>
      </c>
      <c r="H1119" s="23" t="str">
        <f t="shared" ca="1" si="128"/>
        <v/>
      </c>
      <c r="I1119" s="24" t="str">
        <f>IF(OR(E1119="",E1119="!!!",F1119="NEW"),"",INDEX(B$2:B1118,-1+SUMPRODUCT(MAX(ROW(E$2:E1118)*(E1119=E$2:E1118)))))</f>
        <v/>
      </c>
      <c r="J1119" s="24" t="str">
        <f ca="1">IF(OR(E1119="",E1119="!!!",F1119="NEW"),"",COUNTBLANK(OFFSET(A$1,,,SUMPRODUCT(MAX(ROW(E$2:E1119)*(E1119=E$2:E1119)))))-COUNTBLANK(OFFSET(A$1,,,SUMPRODUCT(MAX(ROW(E$1:E1118)*(E2=E$1:E1118))))))</f>
        <v/>
      </c>
      <c r="K1119" s="24" t="str">
        <f>IF(OR(E1119="",E1119="!!!",F1119="NEW"),"",INDEX(J$1:J1118,SUMPRODUCT(MAX(ROW(E$1:E1118)*(E1119=E$1:E1118)))))</f>
        <v/>
      </c>
      <c r="L1119" s="25"/>
    </row>
    <row r="1120" spans="1:12" x14ac:dyDescent="0.2">
      <c r="A1120" t="s">
        <v>809</v>
      </c>
      <c r="E1120" s="20" t="str">
        <f t="shared" si="129"/>
        <v/>
      </c>
      <c r="F1120" s="21" t="str">
        <f>IF(OR(E1120="",E1120="!!!"),"",IF(NOT(ISNA(VLOOKUP(E1120,E$1:E1119,1,FALSE()))),"OLD",IF(AND(E1120&lt;&gt;"",E1120&lt;&gt;"!!!"),"NEW","")))</f>
        <v/>
      </c>
      <c r="G1120" s="22" t="str">
        <f>IF(OR(E1120="",E1120="!!!"),"",IF(OR(J1120=0,AND(J1120=1,K1120=1),AND(J1120=1,I1120="SBJ"),AND(J1120=1,I1120=0)),"?IN_FOCUS",IF(J1120&lt;=2,"?ACTIVATED",IF(J1120&lt;&gt;"","?FAMILIAR",IF(F1120="NEW",IF(ISNA(VLOOKUP(E1120,#REF!,1,FALSE())),"?TYPE_IDENTIFIABLE","?REFERENTIAL"),"_")))))</f>
        <v/>
      </c>
      <c r="H1120" s="23" t="str">
        <f t="shared" ca="1" si="128"/>
        <v/>
      </c>
      <c r="I1120" s="24" t="str">
        <f>IF(OR(E1120="",E1120="!!!",F1120="NEW"),"",INDEX(B$2:B1119,-1+SUMPRODUCT(MAX(ROW(E$2:E1119)*(E1120=E$2:E1119)))))</f>
        <v/>
      </c>
      <c r="J1120" s="24" t="str">
        <f ca="1">IF(OR(E1120="",E1120="!!!",F1120="NEW"),"",COUNTBLANK(OFFSET(A$1,,,SUMPRODUCT(MAX(ROW(E$2:E1120)*(E1120=E$2:E1120)))))-COUNTBLANK(OFFSET(A$1,,,SUMPRODUCT(MAX(ROW(E$1:E1119)*(E2=E$1:E1119))))))</f>
        <v/>
      </c>
      <c r="K1120" s="24" t="str">
        <f>IF(OR(E1120="",E1120="!!!",F1120="NEW"),"",INDEX(J$1:J1119,SUMPRODUCT(MAX(ROW(E$1:E1119)*(E1120=E$1:E1119)))))</f>
        <v/>
      </c>
      <c r="L1120" s="25"/>
    </row>
    <row r="1121" spans="1:12" x14ac:dyDescent="0.2">
      <c r="A1121" t="s">
        <v>30</v>
      </c>
      <c r="E1121" s="20" t="str">
        <f t="shared" si="129"/>
        <v/>
      </c>
      <c r="F1121" s="21" t="str">
        <f>IF(OR(E1121="",E1121="!!!"),"",IF(NOT(ISNA(VLOOKUP(E1121,E$1:E1120,1,FALSE()))),"OLD",IF(AND(E1121&lt;&gt;"",E1121&lt;&gt;"!!!"),"NEW","")))</f>
        <v/>
      </c>
      <c r="G1121" s="22" t="str">
        <f>IF(OR(E1121="",E1121="!!!"),"",IF(OR(J1121=0,AND(J1121=1,K1121=1),AND(J1121=1,I1121="SBJ"),AND(J1121=1,I1121=0)),"?IN_FOCUS",IF(J1121&lt;=2,"?ACTIVATED",IF(J1121&lt;&gt;"","?FAMILIAR",IF(F1121="NEW",IF(ISNA(VLOOKUP(E1121,#REF!,1,FALSE())),"?TYPE_IDENTIFIABLE","?REFERENTIAL"),"_")))))</f>
        <v/>
      </c>
      <c r="H1121" s="23" t="str">
        <f t="shared" ca="1" si="128"/>
        <v/>
      </c>
      <c r="I1121" s="24" t="str">
        <f>IF(OR(E1121="",E1121="!!!",F1121="NEW"),"",INDEX(B$2:B1120,-1+SUMPRODUCT(MAX(ROW(E$2:E1120)*(E1121=E$2:E1120)))))</f>
        <v/>
      </c>
      <c r="J1121" s="24" t="str">
        <f ca="1">IF(OR(E1121="",E1121="!!!",F1121="NEW"),"",COUNTBLANK(OFFSET(A$1,,,SUMPRODUCT(MAX(ROW(E$2:E1121)*(E1121=E$2:E1121)))))-COUNTBLANK(OFFSET(A$1,,,SUMPRODUCT(MAX(ROW(E$1:E1120)*(E2=E$1:E1120))))))</f>
        <v/>
      </c>
      <c r="K1121" s="24" t="str">
        <f>IF(OR(E1121="",E1121="!!!",F1121="NEW"),"",INDEX(J$1:J1120,SUMPRODUCT(MAX(ROW(E$1:E1120)*(E1121=E$1:E1120)))))</f>
        <v/>
      </c>
      <c r="L1121" s="25"/>
    </row>
    <row r="1122" spans="1:12" x14ac:dyDescent="0.2">
      <c r="A1122" t="s">
        <v>530</v>
      </c>
      <c r="B1122" s="26" t="s">
        <v>819</v>
      </c>
      <c r="C1122" s="26" t="s">
        <v>811</v>
      </c>
      <c r="E1122" s="20" t="str">
        <f t="shared" si="129"/>
        <v/>
      </c>
      <c r="F1122" s="21" t="str">
        <f>IF(OR(E1122="",E1122="!!!"),"",IF(NOT(ISNA(VLOOKUP(E1122,E$1:E1121,1,FALSE()))),"OLD",IF(AND(E1122&lt;&gt;"",E1122&lt;&gt;"!!!"),"NEW","")))</f>
        <v/>
      </c>
      <c r="G1122" s="22" t="str">
        <f>IF(OR(E1122="",E1122="!!!"),"",IF(OR(J1122=0,AND(J1122=1,K1122=1),AND(J1122=1,I1122="SBJ"),AND(J1122=1,I1122=0)),"?IN_FOCUS",IF(J1122&lt;=2,"?ACTIVATED",IF(J1122&lt;&gt;"","?FAMILIAR",IF(F1122="NEW",IF(ISNA(VLOOKUP(E1122,#REF!,1,FALSE())),"?TYPE_IDENTIFIABLE","?REFERENTIAL"),"_")))))</f>
        <v/>
      </c>
      <c r="H1122" s="23" t="str">
        <f t="shared" ca="1" si="128"/>
        <v/>
      </c>
      <c r="I1122" s="24" t="str">
        <f>IF(OR(E1122="",E1122="!!!",F1122="NEW"),"",INDEX(B$2:B1121,-1+SUMPRODUCT(MAX(ROW(E$2:E1121)*(E1122=E$2:E1121)))))</f>
        <v/>
      </c>
      <c r="J1122" s="24" t="str">
        <f ca="1">IF(OR(E1122="",E1122="!!!",F1122="NEW"),"",COUNTBLANK(OFFSET(A$1,,,SUMPRODUCT(MAX(ROW(E$2:E1122)*(E1122=E$2:E1122)))))-COUNTBLANK(OFFSET(A$1,,,SUMPRODUCT(MAX(ROW(E$1:E1121)*(E2=E$1:E1121))))))</f>
        <v/>
      </c>
      <c r="K1122" s="24" t="str">
        <f>IF(OR(E1122="",E1122="!!!",F1122="NEW"),"",INDEX(J$1:J1121,SUMPRODUCT(MAX(ROW(E$1:E1121)*(E1122=E$1:E1121)))))</f>
        <v/>
      </c>
      <c r="L1122" s="25"/>
    </row>
    <row r="1123" spans="1:12" x14ac:dyDescent="0.2">
      <c r="A1123" t="s">
        <v>815</v>
      </c>
      <c r="E1123" s="20" t="str">
        <f t="shared" si="129"/>
        <v/>
      </c>
      <c r="F1123" s="21" t="str">
        <f>IF(OR(E1123="",E1123="!!!"),"",IF(NOT(ISNA(VLOOKUP(E1123,E$1:E1122,1,FALSE()))),"OLD",IF(AND(E1123&lt;&gt;"",E1123&lt;&gt;"!!!"),"NEW","")))</f>
        <v/>
      </c>
      <c r="G1123" s="22" t="str">
        <f>IF(OR(E1123="",E1123="!!!"),"",IF(OR(J1123=0,AND(J1123=1,K1123=1),AND(J1123=1,I1123="SBJ"),AND(J1123=1,I1123=0)),"?IN_FOCUS",IF(J1123&lt;=2,"?ACTIVATED",IF(J1123&lt;&gt;"","?FAMILIAR",IF(F1123="NEW",IF(ISNA(VLOOKUP(E1123,#REF!,1,FALSE())),"?TYPE_IDENTIFIABLE","?REFERENTIAL"),"_")))))</f>
        <v/>
      </c>
      <c r="H1123" s="23" t="str">
        <f t="shared" ca="1" si="128"/>
        <v/>
      </c>
      <c r="I1123" s="24" t="str">
        <f>IF(OR(E1123="",E1123="!!!",F1123="NEW"),"",INDEX(B$2:B1122,-1+SUMPRODUCT(MAX(ROW(E$2:E1122)*(E1123=E$2:E1122)))))</f>
        <v/>
      </c>
      <c r="J1123" s="24" t="str">
        <f ca="1">IF(OR(E1123="",E1123="!!!",F1123="NEW"),"",COUNTBLANK(OFFSET(A$1,,,SUMPRODUCT(MAX(ROW(E$2:E1123)*(E1123=E$2:E1123)))))-COUNTBLANK(OFFSET(A$1,,,SUMPRODUCT(MAX(ROW(E$1:E1122)*(E2=E$1:E1122))))))</f>
        <v/>
      </c>
      <c r="K1123" s="24" t="str">
        <f>IF(OR(E1123="",E1123="!!!",F1123="NEW"),"",INDEX(J$1:J1122,SUMPRODUCT(MAX(ROW(E$1:E1122)*(E1123=E$1:E1122)))))</f>
        <v/>
      </c>
      <c r="L1123" s="25"/>
    </row>
    <row r="1124" spans="1:12" x14ac:dyDescent="0.2">
      <c r="A1124" t="s">
        <v>845</v>
      </c>
      <c r="E1124" s="20" t="str">
        <f t="shared" si="129"/>
        <v/>
      </c>
      <c r="F1124" s="21" t="str">
        <f>IF(OR(E1124="",E1124="!!!"),"",IF(NOT(ISNA(VLOOKUP(E1124,E$1:E1123,1,FALSE()))),"OLD",IF(AND(E1124&lt;&gt;"",E1124&lt;&gt;"!!!"),"NEW","")))</f>
        <v/>
      </c>
      <c r="G1124" s="22" t="str">
        <f>IF(OR(E1124="",E1124="!!!"),"",IF(OR(J1124=0,AND(J1124=1,K1124=1),AND(J1124=1,I1124="SBJ"),AND(J1124=1,I1124=0)),"?IN_FOCUS",IF(J1124&lt;=2,"?ACTIVATED",IF(J1124&lt;&gt;"","?FAMILIAR",IF(F1124="NEW",IF(ISNA(VLOOKUP(E1124,#REF!,1,FALSE())),"?TYPE_IDENTIFIABLE","?REFERENTIAL"),"_")))))</f>
        <v/>
      </c>
      <c r="H1124" s="23" t="str">
        <f t="shared" ca="1" si="128"/>
        <v/>
      </c>
      <c r="I1124" s="24" t="str">
        <f>IF(OR(E1124="",E1124="!!!",F1124="NEW"),"",INDEX(B$2:B1123,-1+SUMPRODUCT(MAX(ROW(E$2:E1123)*(E1124=E$2:E1123)))))</f>
        <v/>
      </c>
      <c r="J1124" s="24" t="str">
        <f ca="1">IF(OR(E1124="",E1124="!!!",F1124="NEW"),"",COUNTBLANK(OFFSET(A$1,,,SUMPRODUCT(MAX(ROW(E$2:E1124)*(E1124=E$2:E1124)))))-COUNTBLANK(OFFSET(A$1,,,SUMPRODUCT(MAX(ROW(E$1:E1123)*(E2=E$1:E1123))))))</f>
        <v/>
      </c>
      <c r="K1124" s="24" t="str">
        <f>IF(OR(E1124="",E1124="!!!",F1124="NEW"),"",INDEX(J$1:J1123,SUMPRODUCT(MAX(ROW(E$1:E1123)*(E1124=E$1:E1123)))))</f>
        <v/>
      </c>
      <c r="L1124" s="25"/>
    </row>
    <row r="1125" spans="1:12" x14ac:dyDescent="0.2">
      <c r="A1125" t="s">
        <v>1204</v>
      </c>
      <c r="E1125" s="20" t="str">
        <f t="shared" si="129"/>
        <v/>
      </c>
      <c r="F1125" s="21" t="str">
        <f>IF(OR(E1125="",E1125="!!!"),"",IF(NOT(ISNA(VLOOKUP(E1125,E$1:E1124,1,FALSE()))),"OLD",IF(AND(E1125&lt;&gt;"",E1125&lt;&gt;"!!!"),"NEW","")))</f>
        <v/>
      </c>
      <c r="G1125" s="22" t="str">
        <f>IF(OR(E1125="",E1125="!!!"),"",IF(OR(J1125=0,AND(J1125=1,K1125=1),AND(J1125=1,I1125="SBJ"),AND(J1125=1,I1125=0)),"?IN_FOCUS",IF(J1125&lt;=2,"?ACTIVATED",IF(J1125&lt;&gt;"","?FAMILIAR",IF(F1125="NEW",IF(ISNA(VLOOKUP(E1125,#REF!,1,FALSE())),"?TYPE_IDENTIFIABLE","?REFERENTIAL"),"_")))))</f>
        <v/>
      </c>
      <c r="H1125" s="23" t="str">
        <f t="shared" ca="1" si="128"/>
        <v/>
      </c>
      <c r="I1125" s="24" t="str">
        <f>IF(OR(E1125="",E1125="!!!",F1125="NEW"),"",INDEX(B$2:B1124,-1+SUMPRODUCT(MAX(ROW(E$2:E1124)*(E1125=E$2:E1124)))))</f>
        <v/>
      </c>
      <c r="J1125" s="24" t="str">
        <f ca="1">IF(OR(E1125="",E1125="!!!",F1125="NEW"),"",COUNTBLANK(OFFSET(A$1,,,SUMPRODUCT(MAX(ROW(E$2:E1125)*(E1125=E$2:E1125)))))-COUNTBLANK(OFFSET(A$1,,,SUMPRODUCT(MAX(ROW(E$1:E1124)*(E2=E$1:E1124))))))</f>
        <v/>
      </c>
      <c r="K1125" s="24" t="str">
        <f>IF(OR(E1125="",E1125="!!!",F1125="NEW"),"",INDEX(J$1:J1124,SUMPRODUCT(MAX(ROW(E$1:E1124)*(E1125=E$1:E1124)))))</f>
        <v/>
      </c>
      <c r="L1125" s="25"/>
    </row>
    <row r="1126" spans="1:12" x14ac:dyDescent="0.2">
      <c r="A1126" t="s">
        <v>1205</v>
      </c>
      <c r="B1126" s="26" t="s">
        <v>819</v>
      </c>
      <c r="C1126" s="26" t="s">
        <v>820</v>
      </c>
      <c r="D1126" s="26" t="s">
        <v>806</v>
      </c>
      <c r="E1126" s="20" t="s">
        <v>1205</v>
      </c>
      <c r="F1126" s="21" t="str">
        <f>IF(OR(E1126="",E1126="!!!"),"",IF(NOT(ISNA(VLOOKUP(E1126,E$1:E1125,1,FALSE()))),"OLD",IF(AND(E1126&lt;&gt;"",E1126&lt;&gt;"!!!"),"NEW","")))</f>
        <v>NEW</v>
      </c>
      <c r="G1126" s="22" t="s">
        <v>1820</v>
      </c>
      <c r="H1126" s="23" t="str">
        <f t="shared" ca="1" si="128"/>
        <v/>
      </c>
      <c r="I1126" s="24" t="str">
        <f>IF(OR(E1126="",E1126="!!!",F1126="NEW"),"",INDEX(B$2:B1125,-1+SUMPRODUCT(MAX(ROW(E$2:E1125)*(E1126=E$2:E1125)))))</f>
        <v/>
      </c>
      <c r="J1126" s="24" t="str">
        <f ca="1">IF(OR(E1126="",E1126="!!!",F1126="NEW"),"",COUNTBLANK(OFFSET(A$1,,,SUMPRODUCT(MAX(ROW(E$2:E1126)*(E1126=E$2:E1126)))))-COUNTBLANK(OFFSET(A$1,,,SUMPRODUCT(MAX(ROW(E$1:E1125)*(E2=E$1:E1125))))))</f>
        <v/>
      </c>
      <c r="K1126" s="24" t="str">
        <f>IF(OR(E1126="",E1126="!!!",F1126="NEW"),"",INDEX(J$1:J1125,SUMPRODUCT(MAX(ROW(E$1:E1125)*(E1126=E$1:E1125)))))</f>
        <v/>
      </c>
      <c r="L1126" s="25"/>
    </row>
    <row r="1127" spans="1:12" x14ac:dyDescent="0.2">
      <c r="A1127" t="s">
        <v>812</v>
      </c>
      <c r="E1127" s="20" t="str">
        <f t="shared" si="129"/>
        <v/>
      </c>
      <c r="F1127" s="21" t="str">
        <f>IF(OR(E1127="",E1127="!!!"),"",IF(NOT(ISNA(VLOOKUP(E1127,E$1:E1126,1,FALSE()))),"OLD",IF(AND(E1127&lt;&gt;"",E1127&lt;&gt;"!!!"),"NEW","")))</f>
        <v/>
      </c>
      <c r="G1127" s="22" t="str">
        <f>IF(OR(E1127="",E1127="!!!"),"",IF(OR(J1127=0,AND(J1127=1,K1127=1),AND(J1127=1,I1127="SBJ"),AND(J1127=1,I1127=0)),"?IN_FOCUS",IF(J1127&lt;=2,"?ACTIVATED",IF(J1127&lt;&gt;"","?FAMILIAR",IF(F1127="NEW",IF(ISNA(VLOOKUP(E1127,#REF!,1,FALSE())),"?TYPE_IDENTIFIABLE","?REFERENTIAL"),"_")))))</f>
        <v/>
      </c>
      <c r="H1127" s="23" t="str">
        <f t="shared" ca="1" si="128"/>
        <v/>
      </c>
      <c r="I1127" s="24" t="str">
        <f>IF(OR(E1127="",E1127="!!!",F1127="NEW"),"",INDEX(B$2:B1126,-1+SUMPRODUCT(MAX(ROW(E$2:E1126)*(E1127=E$2:E1126)))))</f>
        <v/>
      </c>
      <c r="J1127" s="24" t="str">
        <f ca="1">IF(OR(E1127="",E1127="!!!",F1127="NEW"),"",COUNTBLANK(OFFSET(A$1,,,SUMPRODUCT(MAX(ROW(E$2:E1127)*(E1127=E$2:E1127)))))-COUNTBLANK(OFFSET(A$1,,,SUMPRODUCT(MAX(ROW(E$1:E1126)*(E2=E$1:E1126))))))</f>
        <v/>
      </c>
      <c r="K1127" s="24" t="str">
        <f>IF(OR(E1127="",E1127="!!!",F1127="NEW"),"",INDEX(J$1:J1126,SUMPRODUCT(MAX(ROW(E$1:E1126)*(E1127=E$1:E1126)))))</f>
        <v/>
      </c>
      <c r="L1127" s="25"/>
    </row>
    <row r="1128" spans="1:12" x14ac:dyDescent="0.2">
      <c r="A1128" t="s">
        <v>1157</v>
      </c>
      <c r="B1128" s="26" t="s">
        <v>813</v>
      </c>
      <c r="C1128" s="26" t="s">
        <v>854</v>
      </c>
      <c r="D1128" s="26" t="s">
        <v>806</v>
      </c>
      <c r="E1128" s="20" t="s">
        <v>1157</v>
      </c>
      <c r="F1128" s="21" t="str">
        <f>IF(OR(E1128="",E1128="!!!"),"",IF(NOT(ISNA(VLOOKUP(E1128,E$1:E1127,1,FALSE()))),"OLD",IF(AND(E1128&lt;&gt;"",E1128&lt;&gt;"!!!"),"NEW","")))</f>
        <v>OLD</v>
      </c>
      <c r="G1128" s="22" t="s">
        <v>1820</v>
      </c>
      <c r="H1128" s="23" t="str">
        <f t="shared" ca="1" si="128"/>
        <v/>
      </c>
      <c r="I1128" s="24" t="str">
        <f>IF(OR(E1128="",E1128="!!!",F1128="NEW"),"",INDEX(B$2:B1127,-1+SUMPRODUCT(MAX(ROW(E$2:E1127)*(E1128=E$2:E1127)))))</f>
        <v>other_2</v>
      </c>
      <c r="J1128" s="24">
        <f ca="1">IF(OR(E1128="",E1128="!!!",F1128="NEW"),"",COUNTBLANK(OFFSET(A$1,,,SUMPRODUCT(MAX(ROW(E$2:E1128)*(E1128=E$2:E1128)))))-COUNTBLANK(OFFSET(A$1,,,SUMPRODUCT(MAX(ROW(E$1:E1127)*(E2=E$1:E1127))))))</f>
        <v>0</v>
      </c>
      <c r="K1128" s="24" t="str">
        <f ca="1">IF(OR(E1128="",E1128="!!!",F1128="NEW"),"",INDEX(J$1:J1127,SUMPRODUCT(MAX(ROW(E$1:E1127)*(E1128=E$1:E1127)))))</f>
        <v/>
      </c>
      <c r="L1128" s="25"/>
    </row>
    <row r="1129" spans="1:12" x14ac:dyDescent="0.2">
      <c r="A1129" t="s">
        <v>821</v>
      </c>
      <c r="E1129" s="20" t="str">
        <f t="shared" si="129"/>
        <v/>
      </c>
      <c r="F1129" s="21" t="str">
        <f>IF(OR(E1129="",E1129="!!!"),"",IF(NOT(ISNA(VLOOKUP(E1129,E$1:E1128,1,FALSE()))),"OLD",IF(AND(E1129&lt;&gt;"",E1129&lt;&gt;"!!!"),"NEW","")))</f>
        <v/>
      </c>
      <c r="G1129" s="22" t="str">
        <f>IF(OR(E1129="",E1129="!!!"),"",IF(OR(J1129=0,AND(J1129=1,K1129=1),AND(J1129=1,I1129="SBJ"),AND(J1129=1,I1129=0)),"?IN_FOCUS",IF(J1129&lt;=2,"?ACTIVATED",IF(J1129&lt;&gt;"","?FAMILIAR",IF(F1129="NEW",IF(ISNA(VLOOKUP(E1129,#REF!,1,FALSE())),"?TYPE_IDENTIFIABLE","?REFERENTIAL"),"_")))))</f>
        <v/>
      </c>
      <c r="H1129" s="23" t="str">
        <f t="shared" ca="1" si="128"/>
        <v/>
      </c>
      <c r="I1129" s="24" t="str">
        <f>IF(OR(E1129="",E1129="!!!",F1129="NEW"),"",INDEX(B$2:B1128,-1+SUMPRODUCT(MAX(ROW(E$2:E1128)*(E1129=E$2:E1128)))))</f>
        <v/>
      </c>
      <c r="J1129" s="24" t="str">
        <f ca="1">IF(OR(E1129="",E1129="!!!",F1129="NEW"),"",COUNTBLANK(OFFSET(A$1,,,SUMPRODUCT(MAX(ROW(E$2:E1129)*(E1129=E$2:E1129)))))-COUNTBLANK(OFFSET(A$1,,,SUMPRODUCT(MAX(ROW(E$1:E1128)*(E2=E$1:E1128))))))</f>
        <v/>
      </c>
      <c r="K1129" s="24" t="str">
        <f>IF(OR(E1129="",E1129="!!!",F1129="NEW"),"",INDEX(J$1:J1128,SUMPRODUCT(MAX(ROW(E$1:E1128)*(E1129=E$1:E1128)))))</f>
        <v/>
      </c>
      <c r="L1129" s="25"/>
    </row>
    <row r="1131" spans="1:12" x14ac:dyDescent="0.2">
      <c r="A1131" t="s">
        <v>1206</v>
      </c>
    </row>
    <row r="1132" spans="1:12" x14ac:dyDescent="0.2">
      <c r="A1132" t="s">
        <v>837</v>
      </c>
      <c r="B1132" s="26" t="s">
        <v>804</v>
      </c>
      <c r="C1132" s="26" t="s">
        <v>805</v>
      </c>
      <c r="D1132" s="26" t="s">
        <v>806</v>
      </c>
      <c r="E1132" s="20" t="s">
        <v>1776</v>
      </c>
      <c r="F1132" s="21" t="str">
        <f>IF(OR(E1132="",E1132="!!!"),"",IF(NOT(ISNA(VLOOKUP(E1132,E$1:E1131,1,FALSE()))),"OLD",IF(AND(E1132&lt;&gt;"",E1132&lt;&gt;"!!!"),"NEW","")))</f>
        <v>OLD</v>
      </c>
      <c r="G1132" s="22" t="s">
        <v>1823</v>
      </c>
      <c r="H1132" s="23" t="str">
        <f t="shared" ref="H1132:H1141" ca="1" si="130">IF(J1132&lt;&gt;1,"",IF(I1132="SBJ","CB","?"))</f>
        <v/>
      </c>
      <c r="I1132" s="24" t="str">
        <f>IF(OR(E1132="",E1132="!!!",F1132="NEW"),"",INDEX(B$2:B1131,-1+SUMPRODUCT(MAX(ROW(E$2:E1131)*(E1132=E$2:E1131)))))</f>
        <v>SBJ</v>
      </c>
      <c r="J1132" s="24">
        <f ca="1">IF(OR(E1132="",E1132="!!!",F1132="NEW"),"",COUNTBLANK(OFFSET(A$1,,,SUMPRODUCT(MAX(ROW(E$2:E1132)*(E1132=E$2:E1132)))))-COUNTBLANK(OFFSET(A$1,,,SUMPRODUCT(MAX(ROW(E$1:E1131)*(E2=E$1:E1131))))))</f>
        <v>0</v>
      </c>
      <c r="K1132" s="24">
        <f ca="1">IF(OR(E1132="",E1132="!!!",F1132="NEW"),"",INDEX(J$1:J1131,SUMPRODUCT(MAX(ROW(E$1:E1131)*(E1132=E$1:E1131)))))</f>
        <v>0</v>
      </c>
      <c r="L1132" s="25"/>
    </row>
    <row r="1133" spans="1:12" x14ac:dyDescent="0.2">
      <c r="A1133" t="s">
        <v>898</v>
      </c>
      <c r="E1133" s="20" t="str">
        <f t="shared" ref="E1133:E1141" si="131">IF(D1133="?OLD","!!!","")</f>
        <v/>
      </c>
      <c r="F1133" s="21" t="str">
        <f>IF(OR(E1133="",E1133="!!!"),"",IF(NOT(ISNA(VLOOKUP(E1133,E$1:E1132,1,FALSE()))),"OLD",IF(AND(E1133&lt;&gt;"",E1133&lt;&gt;"!!!"),"NEW","")))</f>
        <v/>
      </c>
      <c r="G1133" s="22" t="str">
        <f>IF(OR(E1133="",E1133="!!!"),"",IF(OR(J1133=0,AND(J1133=1,K1133=1),AND(J1133=1,I1133="SBJ"),AND(J1133=1,I1133=0)),"?IN_FOCUS",IF(J1133&lt;=2,"?ACTIVATED",IF(J1133&lt;&gt;"","?FAMILIAR",IF(F1133="NEW",IF(ISNA(VLOOKUP(E1133,#REF!,1,FALSE())),"?TYPE_IDENTIFIABLE","?REFERENTIAL"),"_")))))</f>
        <v/>
      </c>
      <c r="H1133" s="23" t="str">
        <f t="shared" ca="1" si="130"/>
        <v/>
      </c>
      <c r="I1133" s="24" t="str">
        <f>IF(OR(E1133="",E1133="!!!",F1133="NEW"),"",INDEX(B$2:B1132,-1+SUMPRODUCT(MAX(ROW(E$2:E1132)*(E1133=E$2:E1132)))))</f>
        <v/>
      </c>
      <c r="J1133" s="24" t="str">
        <f ca="1">IF(OR(E1133="",E1133="!!!",F1133="NEW"),"",COUNTBLANK(OFFSET(A$1,,,SUMPRODUCT(MAX(ROW(E$2:E1133)*(E1133=E$2:E1133)))))-COUNTBLANK(OFFSET(A$1,,,SUMPRODUCT(MAX(ROW(E$1:E1132)*(E2=E$1:E1132))))))</f>
        <v/>
      </c>
      <c r="K1133" s="24" t="str">
        <f>IF(OR(E1133="",E1133="!!!",F1133="NEW"),"",INDEX(J$1:J1132,SUMPRODUCT(MAX(ROW(E$1:E1132)*(E1133=E$1:E1132)))))</f>
        <v/>
      </c>
      <c r="L1133" s="25"/>
    </row>
    <row r="1134" spans="1:12" x14ac:dyDescent="0.2">
      <c r="A1134" t="s">
        <v>894</v>
      </c>
      <c r="E1134" s="20" t="str">
        <f t="shared" si="131"/>
        <v/>
      </c>
      <c r="F1134" s="21" t="str">
        <f>IF(OR(E1134="",E1134="!!!"),"",IF(NOT(ISNA(VLOOKUP(E1134,E$1:E1133,1,FALSE()))),"OLD",IF(AND(E1134&lt;&gt;"",E1134&lt;&gt;"!!!"),"NEW","")))</f>
        <v/>
      </c>
      <c r="G1134" s="22" t="str">
        <f>IF(OR(E1134="",E1134="!!!"),"",IF(OR(J1134=0,AND(J1134=1,K1134=1),AND(J1134=1,I1134="SBJ"),AND(J1134=1,I1134=0)),"?IN_FOCUS",IF(J1134&lt;=2,"?ACTIVATED",IF(J1134&lt;&gt;"","?FAMILIAR",IF(F1134="NEW",IF(ISNA(VLOOKUP(E1134,#REF!,1,FALSE())),"?TYPE_IDENTIFIABLE","?REFERENTIAL"),"_")))))</f>
        <v/>
      </c>
      <c r="H1134" s="23" t="str">
        <f t="shared" ca="1" si="130"/>
        <v/>
      </c>
      <c r="I1134" s="24" t="str">
        <f>IF(OR(E1134="",E1134="!!!",F1134="NEW"),"",INDEX(B$2:B1133,-1+SUMPRODUCT(MAX(ROW(E$2:E1133)*(E1134=E$2:E1133)))))</f>
        <v/>
      </c>
      <c r="J1134" s="24" t="str">
        <f ca="1">IF(OR(E1134="",E1134="!!!",F1134="NEW"),"",COUNTBLANK(OFFSET(A$1,,,SUMPRODUCT(MAX(ROW(E$2:E1134)*(E1134=E$2:E1134)))))-COUNTBLANK(OFFSET(A$1,,,SUMPRODUCT(MAX(ROW(E$1:E1133)*(E2=E$1:E1133))))))</f>
        <v/>
      </c>
      <c r="K1134" s="24" t="str">
        <f>IF(OR(E1134="",E1134="!!!",F1134="NEW"),"",INDEX(J$1:J1133,SUMPRODUCT(MAX(ROW(E$1:E1133)*(E1134=E$1:E1133)))))</f>
        <v/>
      </c>
      <c r="L1134" s="25"/>
    </row>
    <row r="1135" spans="1:12" x14ac:dyDescent="0.2">
      <c r="A1135" t="s">
        <v>845</v>
      </c>
      <c r="E1135" s="20" t="str">
        <f t="shared" si="131"/>
        <v/>
      </c>
      <c r="F1135" s="21" t="str">
        <f>IF(OR(E1135="",E1135="!!!"),"",IF(NOT(ISNA(VLOOKUP(E1135,E$1:E1134,1,FALSE()))),"OLD",IF(AND(E1135&lt;&gt;"",E1135&lt;&gt;"!!!"),"NEW","")))</f>
        <v/>
      </c>
      <c r="G1135" s="22" t="str">
        <f>IF(OR(E1135="",E1135="!!!"),"",IF(OR(J1135=0,AND(J1135=1,K1135=1),AND(J1135=1,I1135="SBJ"),AND(J1135=1,I1135=0)),"?IN_FOCUS",IF(J1135&lt;=2,"?ACTIVATED",IF(J1135&lt;&gt;"","?FAMILIAR",IF(F1135="NEW",IF(ISNA(VLOOKUP(E1135,#REF!,1,FALSE())),"?TYPE_IDENTIFIABLE","?REFERENTIAL"),"_")))))</f>
        <v/>
      </c>
      <c r="H1135" s="23" t="str">
        <f t="shared" ca="1" si="130"/>
        <v/>
      </c>
      <c r="I1135" s="24" t="str">
        <f>IF(OR(E1135="",E1135="!!!",F1135="NEW"),"",INDEX(B$2:B1134,-1+SUMPRODUCT(MAX(ROW(E$2:E1134)*(E1135=E$2:E1134)))))</f>
        <v/>
      </c>
      <c r="J1135" s="24" t="str">
        <f ca="1">IF(OR(E1135="",E1135="!!!",F1135="NEW"),"",COUNTBLANK(OFFSET(A$1,,,SUMPRODUCT(MAX(ROW(E$2:E1135)*(E1135=E$2:E1135)))))-COUNTBLANK(OFFSET(A$1,,,SUMPRODUCT(MAX(ROW(E$1:E1134)*(E2=E$1:E1134))))))</f>
        <v/>
      </c>
      <c r="K1135" s="24" t="str">
        <f>IF(OR(E1135="",E1135="!!!",F1135="NEW"),"",INDEX(J$1:J1134,SUMPRODUCT(MAX(ROW(E$1:E1134)*(E1135=E$1:E1134)))))</f>
        <v/>
      </c>
      <c r="L1135" s="25"/>
    </row>
    <row r="1136" spans="1:12" x14ac:dyDescent="0.2">
      <c r="A1136" t="s">
        <v>1207</v>
      </c>
      <c r="B1136" s="26" t="s">
        <v>819</v>
      </c>
      <c r="C1136" s="26" t="s">
        <v>847</v>
      </c>
      <c r="D1136" s="26" t="s">
        <v>806</v>
      </c>
      <c r="E1136" s="20" t="s">
        <v>1207</v>
      </c>
      <c r="F1136" s="21" t="str">
        <f>IF(OR(E1136="",E1136="!!!"),"",IF(NOT(ISNA(VLOOKUP(E1136,E$1:E1135,1,FALSE()))),"OLD",IF(AND(E1136&lt;&gt;"",E1136&lt;&gt;"!!!"),"NEW","")))</f>
        <v>NEW</v>
      </c>
      <c r="G1136" s="22" t="s">
        <v>1820</v>
      </c>
      <c r="H1136" s="23" t="str">
        <f t="shared" ca="1" si="130"/>
        <v/>
      </c>
      <c r="I1136" s="24" t="str">
        <f>IF(OR(E1136="",E1136="!!!",F1136="NEW"),"",INDEX(B$2:B1135,-1+SUMPRODUCT(MAX(ROW(E$2:E1135)*(E1136=E$2:E1135)))))</f>
        <v/>
      </c>
      <c r="J1136" s="24" t="str">
        <f ca="1">IF(OR(E1136="",E1136="!!!",F1136="NEW"),"",COUNTBLANK(OFFSET(A$1,,,SUMPRODUCT(MAX(ROW(E$2:E1136)*(E1136=E$2:E1136)))))-COUNTBLANK(OFFSET(A$1,,,SUMPRODUCT(MAX(ROW(E$1:E1135)*(E2=E$1:E1135))))))</f>
        <v/>
      </c>
      <c r="K1136" s="24" t="str">
        <f>IF(OR(E1136="",E1136="!!!",F1136="NEW"),"",INDEX(J$1:J1135,SUMPRODUCT(MAX(ROW(E$1:E1135)*(E1136=E$1:E1135)))))</f>
        <v/>
      </c>
      <c r="L1136" s="25"/>
    </row>
    <row r="1137" spans="1:12" x14ac:dyDescent="0.2">
      <c r="A1137" t="s">
        <v>812</v>
      </c>
      <c r="E1137" s="20" t="str">
        <f t="shared" si="131"/>
        <v/>
      </c>
      <c r="F1137" s="21" t="str">
        <f>IF(OR(E1137="",E1137="!!!"),"",IF(NOT(ISNA(VLOOKUP(E1137,E$1:E1136,1,FALSE()))),"OLD",IF(AND(E1137&lt;&gt;"",E1137&lt;&gt;"!!!"),"NEW","")))</f>
        <v/>
      </c>
      <c r="G1137" s="22" t="str">
        <f>IF(OR(E1137="",E1137="!!!"),"",IF(OR(J1137=0,AND(J1137=1,K1137=1),AND(J1137=1,I1137="SBJ"),AND(J1137=1,I1137=0)),"?IN_FOCUS",IF(J1137&lt;=2,"?ACTIVATED",IF(J1137&lt;&gt;"","?FAMILIAR",IF(F1137="NEW",IF(ISNA(VLOOKUP(E1137,#REF!,1,FALSE())),"?TYPE_IDENTIFIABLE","?REFERENTIAL"),"_")))))</f>
        <v/>
      </c>
      <c r="H1137" s="23" t="str">
        <f t="shared" ca="1" si="130"/>
        <v/>
      </c>
      <c r="I1137" s="24" t="str">
        <f>IF(OR(E1137="",E1137="!!!",F1137="NEW"),"",INDEX(B$2:B1136,-1+SUMPRODUCT(MAX(ROW(E$2:E1136)*(E1137=E$2:E1136)))))</f>
        <v/>
      </c>
      <c r="J1137" s="24" t="str">
        <f ca="1">IF(OR(E1137="",E1137="!!!",F1137="NEW"),"",COUNTBLANK(OFFSET(A$1,,,SUMPRODUCT(MAX(ROW(E$2:E1137)*(E1137=E$2:E1137)))))-COUNTBLANK(OFFSET(A$1,,,SUMPRODUCT(MAX(ROW(E$1:E1136)*(E2=E$1:E1136))))))</f>
        <v/>
      </c>
      <c r="K1137" s="24" t="str">
        <f>IF(OR(E1137="",E1137="!!!",F1137="NEW"),"",INDEX(J$1:J1136,SUMPRODUCT(MAX(ROW(E$1:E1136)*(E1137=E$1:E1136)))))</f>
        <v/>
      </c>
      <c r="L1137" s="25"/>
    </row>
    <row r="1138" spans="1:12" x14ac:dyDescent="0.2">
      <c r="A1138" t="s">
        <v>845</v>
      </c>
      <c r="E1138" s="20" t="str">
        <f t="shared" si="131"/>
        <v/>
      </c>
      <c r="F1138" s="21" t="str">
        <f>IF(OR(E1138="",E1138="!!!"),"",IF(NOT(ISNA(VLOOKUP(E1138,E$1:E1137,1,FALSE()))),"OLD",IF(AND(E1138&lt;&gt;"",E1138&lt;&gt;"!!!"),"NEW","")))</f>
        <v/>
      </c>
      <c r="G1138" s="22" t="str">
        <f>IF(OR(E1138="",E1138="!!!"),"",IF(OR(J1138=0,AND(J1138=1,K1138=1),AND(J1138=1,I1138="SBJ"),AND(J1138=1,I1138=0)),"?IN_FOCUS",IF(J1138&lt;=2,"?ACTIVATED",IF(J1138&lt;&gt;"","?FAMILIAR",IF(F1138="NEW",IF(ISNA(VLOOKUP(E1138,#REF!,1,FALSE())),"?TYPE_IDENTIFIABLE","?REFERENTIAL"),"_")))))</f>
        <v/>
      </c>
      <c r="H1138" s="23" t="str">
        <f t="shared" ca="1" si="130"/>
        <v/>
      </c>
      <c r="I1138" s="24" t="str">
        <f>IF(OR(E1138="",E1138="!!!",F1138="NEW"),"",INDEX(B$2:B1137,-1+SUMPRODUCT(MAX(ROW(E$2:E1137)*(E1138=E$2:E1137)))))</f>
        <v/>
      </c>
      <c r="J1138" s="24" t="str">
        <f ca="1">IF(OR(E1138="",E1138="!!!",F1138="NEW"),"",COUNTBLANK(OFFSET(A$1,,,SUMPRODUCT(MAX(ROW(E$2:E1138)*(E1138=E$2:E1138)))))-COUNTBLANK(OFFSET(A$1,,,SUMPRODUCT(MAX(ROW(E$1:E1137)*(E2=E$1:E1137))))))</f>
        <v/>
      </c>
      <c r="K1138" s="24" t="str">
        <f>IF(OR(E1138="",E1138="!!!",F1138="NEW"),"",INDEX(J$1:J1137,SUMPRODUCT(MAX(ROW(E$1:E1137)*(E1138=E$1:E1137)))))</f>
        <v/>
      </c>
      <c r="L1138" s="25"/>
    </row>
    <row r="1139" spans="1:12" x14ac:dyDescent="0.2">
      <c r="A1139" t="s">
        <v>1208</v>
      </c>
      <c r="E1139" s="20" t="str">
        <f t="shared" si="131"/>
        <v/>
      </c>
      <c r="F1139" s="21" t="str">
        <f>IF(OR(E1139="",E1139="!!!"),"",IF(NOT(ISNA(VLOOKUP(E1139,E$1:E1138,1,FALSE()))),"OLD",IF(AND(E1139&lt;&gt;"",E1139&lt;&gt;"!!!"),"NEW","")))</f>
        <v/>
      </c>
      <c r="G1139" s="22" t="str">
        <f>IF(OR(E1139="",E1139="!!!"),"",IF(OR(J1139=0,AND(J1139=1,K1139=1),AND(J1139=1,I1139="SBJ"),AND(J1139=1,I1139=0)),"?IN_FOCUS",IF(J1139&lt;=2,"?ACTIVATED",IF(J1139&lt;&gt;"","?FAMILIAR",IF(F1139="NEW",IF(ISNA(VLOOKUP(E1139,#REF!,1,FALSE())),"?TYPE_IDENTIFIABLE","?REFERENTIAL"),"_")))))</f>
        <v/>
      </c>
      <c r="H1139" s="23" t="str">
        <f t="shared" ca="1" si="130"/>
        <v/>
      </c>
      <c r="I1139" s="24" t="str">
        <f>IF(OR(E1139="",E1139="!!!",F1139="NEW"),"",INDEX(B$2:B1138,-1+SUMPRODUCT(MAX(ROW(E$2:E1138)*(E1139=E$2:E1138)))))</f>
        <v/>
      </c>
      <c r="J1139" s="24" t="str">
        <f ca="1">IF(OR(E1139="",E1139="!!!",F1139="NEW"),"",COUNTBLANK(OFFSET(A$1,,,SUMPRODUCT(MAX(ROW(E$2:E1139)*(E1139=E$2:E1139)))))-COUNTBLANK(OFFSET(A$1,,,SUMPRODUCT(MAX(ROW(E$1:E1138)*(E2=E$1:E1138))))))</f>
        <v/>
      </c>
      <c r="K1139" s="24" t="str">
        <f>IF(OR(E1139="",E1139="!!!",F1139="NEW"),"",INDEX(J$1:J1138,SUMPRODUCT(MAX(ROW(E$1:E1138)*(E1139=E$1:E1138)))))</f>
        <v/>
      </c>
      <c r="L1139" s="25"/>
    </row>
    <row r="1140" spans="1:12" x14ac:dyDescent="0.2">
      <c r="A1140" t="s">
        <v>1209</v>
      </c>
      <c r="B1140" s="26" t="s">
        <v>819</v>
      </c>
      <c r="C1140" s="26" t="s">
        <v>847</v>
      </c>
      <c r="D1140" s="26" t="s">
        <v>806</v>
      </c>
      <c r="E1140" s="20" t="s">
        <v>1209</v>
      </c>
      <c r="F1140" s="21" t="str">
        <f>IF(OR(E1140="",E1140="!!!"),"",IF(NOT(ISNA(VLOOKUP(E1140,E$1:E1139,1,FALSE()))),"OLD",IF(AND(E1140&lt;&gt;"",E1140&lt;&gt;"!!!"),"NEW","")))</f>
        <v>NEW</v>
      </c>
      <c r="G1140" s="22" t="s">
        <v>1824</v>
      </c>
      <c r="H1140" s="23" t="str">
        <f t="shared" ca="1" si="130"/>
        <v/>
      </c>
      <c r="I1140" s="24" t="str">
        <f>IF(OR(E1140="",E1140="!!!",F1140="NEW"),"",INDEX(B$2:B1139,-1+SUMPRODUCT(MAX(ROW(E$2:E1139)*(E1140=E$2:E1139)))))</f>
        <v/>
      </c>
      <c r="J1140" s="24" t="str">
        <f ca="1">IF(OR(E1140="",E1140="!!!",F1140="NEW"),"",COUNTBLANK(OFFSET(A$1,,,SUMPRODUCT(MAX(ROW(E$2:E1140)*(E1140=E$2:E1140)))))-COUNTBLANK(OFFSET(A$1,,,SUMPRODUCT(MAX(ROW(E$1:E1139)*(E2=E$1:E1139))))))</f>
        <v/>
      </c>
      <c r="K1140" s="24" t="str">
        <f>IF(OR(E1140="",E1140="!!!",F1140="NEW"),"",INDEX(J$1:J1139,SUMPRODUCT(MAX(ROW(E$1:E1139)*(E1140=E$1:E1139)))))</f>
        <v/>
      </c>
      <c r="L1140" s="25"/>
    </row>
    <row r="1141" spans="1:12" x14ac:dyDescent="0.2">
      <c r="A1141" t="s">
        <v>821</v>
      </c>
      <c r="E1141" s="20" t="str">
        <f t="shared" si="131"/>
        <v/>
      </c>
      <c r="F1141" s="21" t="str">
        <f>IF(OR(E1141="",E1141="!!!"),"",IF(NOT(ISNA(VLOOKUP(E1141,E$1:E1140,1,FALSE()))),"OLD",IF(AND(E1141&lt;&gt;"",E1141&lt;&gt;"!!!"),"NEW","")))</f>
        <v/>
      </c>
      <c r="G1141" s="22" t="str">
        <f>IF(OR(E1141="",E1141="!!!"),"",IF(OR(J1141=0,AND(J1141=1,K1141=1),AND(J1141=1,I1141="SBJ"),AND(J1141=1,I1141=0)),"?IN_FOCUS",IF(J1141&lt;=2,"?ACTIVATED",IF(J1141&lt;&gt;"","?FAMILIAR",IF(F1141="NEW",IF(ISNA(VLOOKUP(E1141,#REF!,1,FALSE())),"?TYPE_IDENTIFIABLE","?REFERENTIAL"),"_")))))</f>
        <v/>
      </c>
      <c r="H1141" s="23" t="str">
        <f t="shared" ca="1" si="130"/>
        <v/>
      </c>
      <c r="I1141" s="24" t="str">
        <f>IF(OR(E1141="",E1141="!!!",F1141="NEW"),"",INDEX(B$2:B1140,-1+SUMPRODUCT(MAX(ROW(E$2:E1140)*(E1141=E$2:E1140)))))</f>
        <v/>
      </c>
      <c r="J1141" s="24" t="str">
        <f ca="1">IF(OR(E1141="",E1141="!!!",F1141="NEW"),"",COUNTBLANK(OFFSET(A$1,,,SUMPRODUCT(MAX(ROW(E$2:E1141)*(E1141=E$2:E1141)))))-COUNTBLANK(OFFSET(A$1,,,SUMPRODUCT(MAX(ROW(E$1:E1140)*(E2=E$1:E1140))))))</f>
        <v/>
      </c>
      <c r="K1141" s="24" t="str">
        <f>IF(OR(E1141="",E1141="!!!",F1141="NEW"),"",INDEX(J$1:J1140,SUMPRODUCT(MAX(ROW(E$1:E1140)*(E1141=E$1:E1140)))))</f>
        <v/>
      </c>
      <c r="L1141" s="25"/>
    </row>
    <row r="1143" spans="1:12" x14ac:dyDescent="0.2">
      <c r="A1143" t="s">
        <v>1210</v>
      </c>
    </row>
    <row r="1144" spans="1:12" x14ac:dyDescent="0.2">
      <c r="A1144" t="s">
        <v>1211</v>
      </c>
      <c r="E1144" s="20" t="str">
        <f t="shared" ref="E1144:E1157" si="132">IF(D1144="?OLD","!!!","")</f>
        <v/>
      </c>
      <c r="F1144" s="21" t="str">
        <f>IF(OR(E1144="",E1144="!!!"),"",IF(NOT(ISNA(VLOOKUP(E1144,E$1:E1143,1,FALSE()))),"OLD",IF(AND(E1144&lt;&gt;"",E1144&lt;&gt;"!!!"),"NEW","")))</f>
        <v/>
      </c>
      <c r="G1144" s="22" t="str">
        <f>IF(OR(E1144="",E1144="!!!"),"",IF(OR(J1144=0,AND(J1144=1,K1144=1),AND(J1144=1,I1144="SBJ"),AND(J1144=1,I1144=0)),"?IN_FOCUS",IF(J1144&lt;=2,"?ACTIVATED",IF(J1144&lt;&gt;"","?FAMILIAR",IF(F1144="NEW",IF(ISNA(VLOOKUP(E1144,#REF!,1,FALSE())),"?TYPE_IDENTIFIABLE","?REFERENTIAL"),"_")))))</f>
        <v/>
      </c>
      <c r="H1144" s="23" t="str">
        <f t="shared" ref="H1144:H1157" ca="1" si="133">IF(J1144&lt;&gt;1,"",IF(I1144="SBJ","CB","?"))</f>
        <v/>
      </c>
      <c r="I1144" s="24" t="str">
        <f>IF(OR(E1144="",E1144="!!!",F1144="NEW"),"",INDEX(B$2:B1143,-1+SUMPRODUCT(MAX(ROW(E$2:E1143)*(E1144=E$2:E1143)))))</f>
        <v/>
      </c>
      <c r="J1144" s="24" t="str">
        <f ca="1">IF(OR(E1144="",E1144="!!!",F1144="NEW"),"",COUNTBLANK(OFFSET(A$1,,,SUMPRODUCT(MAX(ROW(E$2:E1144)*(E1144=E$2:E1144)))))-COUNTBLANK(OFFSET(A$1,,,SUMPRODUCT(MAX(ROW(E$1:E1143)*(E2=E$1:E1143))))))</f>
        <v/>
      </c>
      <c r="K1144" s="24" t="str">
        <f>IF(OR(E1144="",E1144="!!!",F1144="NEW"),"",INDEX(J$1:J1143,SUMPRODUCT(MAX(ROW(E$1:E1143)*(E1144=E$1:E1143)))))</f>
        <v/>
      </c>
      <c r="L1144" s="25"/>
    </row>
    <row r="1145" spans="1:12" x14ac:dyDescent="0.2">
      <c r="A1145" t="s">
        <v>845</v>
      </c>
      <c r="E1145" s="20" t="str">
        <f t="shared" si="132"/>
        <v/>
      </c>
      <c r="F1145" s="21" t="str">
        <f>IF(OR(E1145="",E1145="!!!"),"",IF(NOT(ISNA(VLOOKUP(E1145,E$1:E1144,1,FALSE()))),"OLD",IF(AND(E1145&lt;&gt;"",E1145&lt;&gt;"!!!"),"NEW","")))</f>
        <v/>
      </c>
      <c r="G1145" s="22" t="str">
        <f>IF(OR(E1145="",E1145="!!!"),"",IF(OR(J1145=0,AND(J1145=1,K1145=1),AND(J1145=1,I1145="SBJ"),AND(J1145=1,I1145=0)),"?IN_FOCUS",IF(J1145&lt;=2,"?ACTIVATED",IF(J1145&lt;&gt;"","?FAMILIAR",IF(F1145="NEW",IF(ISNA(VLOOKUP(E1145,#REF!,1,FALSE())),"?TYPE_IDENTIFIABLE","?REFERENTIAL"),"_")))))</f>
        <v/>
      </c>
      <c r="H1145" s="23" t="str">
        <f t="shared" ca="1" si="133"/>
        <v/>
      </c>
      <c r="I1145" s="24" t="str">
        <f>IF(OR(E1145="",E1145="!!!",F1145="NEW"),"",INDEX(B$2:B1144,-1+SUMPRODUCT(MAX(ROW(E$2:E1144)*(E1145=E$2:E1144)))))</f>
        <v/>
      </c>
      <c r="J1145" s="24" t="str">
        <f ca="1">IF(OR(E1145="",E1145="!!!",F1145="NEW"),"",COUNTBLANK(OFFSET(A$1,,,SUMPRODUCT(MAX(ROW(E$2:E1145)*(E1145=E$2:E1145)))))-COUNTBLANK(OFFSET(A$1,,,SUMPRODUCT(MAX(ROW(E$1:E1144)*(E2=E$1:E1144))))))</f>
        <v/>
      </c>
      <c r="K1145" s="24" t="str">
        <f>IF(OR(E1145="",E1145="!!!",F1145="NEW"),"",INDEX(J$1:J1144,SUMPRODUCT(MAX(ROW(E$1:E1144)*(E1145=E$1:E1144)))))</f>
        <v/>
      </c>
      <c r="L1145" s="25"/>
    </row>
    <row r="1146" spans="1:12" x14ac:dyDescent="0.2">
      <c r="A1146" t="s">
        <v>1212</v>
      </c>
      <c r="B1146" s="26" t="s">
        <v>819</v>
      </c>
      <c r="C1146" s="26" t="s">
        <v>847</v>
      </c>
      <c r="D1146" s="26" t="s">
        <v>806</v>
      </c>
      <c r="E1146" s="20" t="s">
        <v>1212</v>
      </c>
      <c r="F1146" s="21" t="str">
        <f>IF(OR(E1146="",E1146="!!!"),"",IF(NOT(ISNA(VLOOKUP(E1146,E$1:E1145,1,FALSE()))),"OLD",IF(AND(E1146&lt;&gt;"",E1146&lt;&gt;"!!!"),"NEW","")))</f>
        <v>NEW</v>
      </c>
      <c r="G1146" s="22" t="s">
        <v>1820</v>
      </c>
      <c r="H1146" s="23" t="str">
        <f t="shared" ca="1" si="133"/>
        <v/>
      </c>
      <c r="I1146" s="24" t="str">
        <f>IF(OR(E1146="",E1146="!!!",F1146="NEW"),"",INDEX(B$2:B1145,-1+SUMPRODUCT(MAX(ROW(E$2:E1145)*(E1146=E$2:E1145)))))</f>
        <v/>
      </c>
      <c r="J1146" s="24" t="str">
        <f ca="1">IF(OR(E1146="",E1146="!!!",F1146="NEW"),"",COUNTBLANK(OFFSET(A$1,,,SUMPRODUCT(MAX(ROW(E$2:E1146)*(E1146=E$2:E1146)))))-COUNTBLANK(OFFSET(A$1,,,SUMPRODUCT(MAX(ROW(E$1:E1145)*(E2=E$1:E1145))))))</f>
        <v/>
      </c>
      <c r="K1146" s="24" t="str">
        <f>IF(OR(E1146="",E1146="!!!",F1146="NEW"),"",INDEX(J$1:J1145,SUMPRODUCT(MAX(ROW(E$1:E1145)*(E1146=E$1:E1145)))))</f>
        <v/>
      </c>
      <c r="L1146" s="25"/>
    </row>
    <row r="1147" spans="1:12" x14ac:dyDescent="0.2">
      <c r="A1147" t="s">
        <v>802</v>
      </c>
      <c r="E1147" s="20" t="str">
        <f t="shared" si="132"/>
        <v/>
      </c>
      <c r="F1147" s="21" t="str">
        <f>IF(OR(E1147="",E1147="!!!"),"",IF(NOT(ISNA(VLOOKUP(E1147,E$1:E1146,1,FALSE()))),"OLD",IF(AND(E1147&lt;&gt;"",E1147&lt;&gt;"!!!"),"NEW","")))</f>
        <v/>
      </c>
      <c r="G1147" s="22" t="str">
        <f>IF(OR(E1147="",E1147="!!!"),"",IF(OR(J1147=0,AND(J1147=1,K1147=1),AND(J1147=1,I1147="SBJ"),AND(J1147=1,I1147=0)),"?IN_FOCUS",IF(J1147&lt;=2,"?ACTIVATED",IF(J1147&lt;&gt;"","?FAMILIAR",IF(F1147="NEW",IF(ISNA(VLOOKUP(E1147,#REF!,1,FALSE())),"?TYPE_IDENTIFIABLE","?REFERENTIAL"),"_")))))</f>
        <v/>
      </c>
      <c r="H1147" s="23" t="str">
        <f t="shared" ca="1" si="133"/>
        <v/>
      </c>
      <c r="I1147" s="24" t="str">
        <f>IF(OR(E1147="",E1147="!!!",F1147="NEW"),"",INDEX(B$2:B1146,-1+SUMPRODUCT(MAX(ROW(E$2:E1146)*(E1147=E$2:E1146)))))</f>
        <v/>
      </c>
      <c r="J1147" s="24" t="str">
        <f ca="1">IF(OR(E1147="",E1147="!!!",F1147="NEW"),"",COUNTBLANK(OFFSET(A$1,,,SUMPRODUCT(MAX(ROW(E$2:E1147)*(E1147=E$2:E1147)))))-COUNTBLANK(OFFSET(A$1,,,SUMPRODUCT(MAX(ROW(E$1:E1146)*(E2=E$1:E1146))))))</f>
        <v/>
      </c>
      <c r="K1147" s="24" t="str">
        <f>IF(OR(E1147="",E1147="!!!",F1147="NEW"),"",INDEX(J$1:J1146,SUMPRODUCT(MAX(ROW(E$1:E1146)*(E1147=E$1:E1146)))))</f>
        <v/>
      </c>
      <c r="L1147" s="25"/>
    </row>
    <row r="1148" spans="1:12" x14ac:dyDescent="0.2">
      <c r="A1148" t="s">
        <v>845</v>
      </c>
      <c r="E1148" s="20" t="str">
        <f t="shared" si="132"/>
        <v/>
      </c>
      <c r="F1148" s="21" t="str">
        <f>IF(OR(E1148="",E1148="!!!"),"",IF(NOT(ISNA(VLOOKUP(E1148,E$1:E1147,1,FALSE()))),"OLD",IF(AND(E1148&lt;&gt;"",E1148&lt;&gt;"!!!"),"NEW","")))</f>
        <v/>
      </c>
      <c r="G1148" s="22" t="str">
        <f>IF(OR(E1148="",E1148="!!!"),"",IF(OR(J1148=0,AND(J1148=1,K1148=1),AND(J1148=1,I1148="SBJ"),AND(J1148=1,I1148=0)),"?IN_FOCUS",IF(J1148&lt;=2,"?ACTIVATED",IF(J1148&lt;&gt;"","?FAMILIAR",IF(F1148="NEW",IF(ISNA(VLOOKUP(E1148,#REF!,1,FALSE())),"?TYPE_IDENTIFIABLE","?REFERENTIAL"),"_")))))</f>
        <v/>
      </c>
      <c r="H1148" s="23" t="str">
        <f t="shared" ca="1" si="133"/>
        <v/>
      </c>
      <c r="I1148" s="24" t="str">
        <f>IF(OR(E1148="",E1148="!!!",F1148="NEW"),"",INDEX(B$2:B1147,-1+SUMPRODUCT(MAX(ROW(E$2:E1147)*(E1148=E$2:E1147)))))</f>
        <v/>
      </c>
      <c r="J1148" s="24" t="str">
        <f ca="1">IF(OR(E1148="",E1148="!!!",F1148="NEW"),"",COUNTBLANK(OFFSET(A$1,,,SUMPRODUCT(MAX(ROW(E$2:E1148)*(E1148=E$2:E1148)))))-COUNTBLANK(OFFSET(A$1,,,SUMPRODUCT(MAX(ROW(E$1:E1147)*(E2=E$1:E1147))))))</f>
        <v/>
      </c>
      <c r="K1148" s="24" t="str">
        <f>IF(OR(E1148="",E1148="!!!",F1148="NEW"),"",INDEX(J$1:J1147,SUMPRODUCT(MAX(ROW(E$1:E1147)*(E1148=E$1:E1147)))))</f>
        <v/>
      </c>
      <c r="L1148" s="25"/>
    </row>
    <row r="1149" spans="1:12" x14ac:dyDescent="0.2">
      <c r="A1149" t="s">
        <v>530</v>
      </c>
      <c r="B1149" s="26" t="s">
        <v>804</v>
      </c>
      <c r="C1149" s="26" t="s">
        <v>847</v>
      </c>
      <c r="D1149" s="26" t="s">
        <v>806</v>
      </c>
      <c r="E1149" s="20" t="s">
        <v>1776</v>
      </c>
      <c r="F1149" s="21" t="str">
        <f>IF(OR(E1149="",E1149="!!!"),"",IF(NOT(ISNA(VLOOKUP(E1149,E$1:E1148,1,FALSE()))),"OLD",IF(AND(E1149&lt;&gt;"",E1149&lt;&gt;"!!!"),"NEW","")))</f>
        <v>OLD</v>
      </c>
      <c r="G1149" s="22" t="s">
        <v>1823</v>
      </c>
      <c r="H1149" s="23" t="str">
        <f t="shared" ca="1" si="133"/>
        <v/>
      </c>
      <c r="I1149" s="24" t="str">
        <f>IF(OR(E1149="",E1149="!!!",F1149="NEW"),"",INDEX(B$2:B1148,-1+SUMPRODUCT(MAX(ROW(E$2:E1148)*(E1149=E$2:E1148)))))</f>
        <v>SBJ</v>
      </c>
      <c r="J1149" s="24">
        <f ca="1">IF(OR(E1149="",E1149="!!!",F1149="NEW"),"",COUNTBLANK(OFFSET(A$1,,,SUMPRODUCT(MAX(ROW(E$2:E1149)*(E1149=E$2:E1149)))))-COUNTBLANK(OFFSET(A$1,,,SUMPRODUCT(MAX(ROW(E$1:E1148)*(E2=E$1:E1148))))))</f>
        <v>0</v>
      </c>
      <c r="K1149" s="24">
        <f ca="1">IF(OR(E1149="",E1149="!!!",F1149="NEW"),"",INDEX(J$1:J1148,SUMPRODUCT(MAX(ROW(E$1:E1148)*(E1149=E$1:E1148)))))</f>
        <v>0</v>
      </c>
      <c r="L1149" s="25"/>
    </row>
    <row r="1150" spans="1:12" x14ac:dyDescent="0.2">
      <c r="A1150" t="s">
        <v>831</v>
      </c>
      <c r="E1150" s="20" t="str">
        <f t="shared" si="132"/>
        <v/>
      </c>
      <c r="F1150" s="21" t="str">
        <f>IF(OR(E1150="",E1150="!!!"),"",IF(NOT(ISNA(VLOOKUP(E1150,E$1:E1149,1,FALSE()))),"OLD",IF(AND(E1150&lt;&gt;"",E1150&lt;&gt;"!!!"),"NEW","")))</f>
        <v/>
      </c>
      <c r="G1150" s="22" t="str">
        <f>IF(OR(E1150="",E1150="!!!"),"",IF(OR(J1150=0,AND(J1150=1,K1150=1),AND(J1150=1,I1150="SBJ"),AND(J1150=1,I1150=0)),"?IN_FOCUS",IF(J1150&lt;=2,"?ACTIVATED",IF(J1150&lt;&gt;"","?FAMILIAR",IF(F1150="NEW",IF(ISNA(VLOOKUP(E1150,#REF!,1,FALSE())),"?TYPE_IDENTIFIABLE","?REFERENTIAL"),"_")))))</f>
        <v/>
      </c>
      <c r="H1150" s="23" t="str">
        <f t="shared" ca="1" si="133"/>
        <v/>
      </c>
      <c r="I1150" s="24" t="str">
        <f>IF(OR(E1150="",E1150="!!!",F1150="NEW"),"",INDEX(B$2:B1149,-1+SUMPRODUCT(MAX(ROW(E$2:E1149)*(E1150=E$2:E1149)))))</f>
        <v/>
      </c>
      <c r="J1150" s="24" t="str">
        <f ca="1">IF(OR(E1150="",E1150="!!!",F1150="NEW"),"",COUNTBLANK(OFFSET(A$1,,,SUMPRODUCT(MAX(ROW(E$2:E1150)*(E1150=E$2:E1150)))))-COUNTBLANK(OFFSET(A$1,,,SUMPRODUCT(MAX(ROW(E$1:E1149)*(E2=E$1:E1149))))))</f>
        <v/>
      </c>
      <c r="K1150" s="24" t="str">
        <f>IF(OR(E1150="",E1150="!!!",F1150="NEW"),"",INDEX(J$1:J1149,SUMPRODUCT(MAX(ROW(E$1:E1149)*(E1150=E$1:E1149)))))</f>
        <v/>
      </c>
      <c r="L1150" s="25"/>
    </row>
    <row r="1151" spans="1:12" x14ac:dyDescent="0.2">
      <c r="A1151" t="s">
        <v>815</v>
      </c>
      <c r="E1151" s="20" t="str">
        <f t="shared" si="132"/>
        <v/>
      </c>
      <c r="F1151" s="21" t="str">
        <f>IF(OR(E1151="",E1151="!!!"),"",IF(NOT(ISNA(VLOOKUP(E1151,E$1:E1150,1,FALSE()))),"OLD",IF(AND(E1151&lt;&gt;"",E1151&lt;&gt;"!!!"),"NEW","")))</f>
        <v/>
      </c>
      <c r="G1151" s="22" t="str">
        <f>IF(OR(E1151="",E1151="!!!"),"",IF(OR(J1151=0,AND(J1151=1,K1151=1),AND(J1151=1,I1151="SBJ"),AND(J1151=1,I1151=0)),"?IN_FOCUS",IF(J1151&lt;=2,"?ACTIVATED",IF(J1151&lt;&gt;"","?FAMILIAR",IF(F1151="NEW",IF(ISNA(VLOOKUP(E1151,#REF!,1,FALSE())),"?TYPE_IDENTIFIABLE","?REFERENTIAL"),"_")))))</f>
        <v/>
      </c>
      <c r="H1151" s="23" t="str">
        <f t="shared" ca="1" si="133"/>
        <v/>
      </c>
      <c r="I1151" s="24" t="str">
        <f>IF(OR(E1151="",E1151="!!!",F1151="NEW"),"",INDEX(B$2:B1150,-1+SUMPRODUCT(MAX(ROW(E$2:E1150)*(E1151=E$2:E1150)))))</f>
        <v/>
      </c>
      <c r="J1151" s="24" t="str">
        <f ca="1">IF(OR(E1151="",E1151="!!!",F1151="NEW"),"",COUNTBLANK(OFFSET(A$1,,,SUMPRODUCT(MAX(ROW(E$2:E1151)*(E1151=E$2:E1151)))))-COUNTBLANK(OFFSET(A$1,,,SUMPRODUCT(MAX(ROW(E$1:E1150)*(E2=E$1:E1150))))))</f>
        <v/>
      </c>
      <c r="K1151" s="24" t="str">
        <f>IF(OR(E1151="",E1151="!!!",F1151="NEW"),"",INDEX(J$1:J1150,SUMPRODUCT(MAX(ROW(E$1:E1150)*(E1151=E$1:E1150)))))</f>
        <v/>
      </c>
      <c r="L1151" s="25"/>
    </row>
    <row r="1152" spans="1:12" x14ac:dyDescent="0.2">
      <c r="A1152" t="s">
        <v>845</v>
      </c>
      <c r="E1152" s="20" t="str">
        <f t="shared" si="132"/>
        <v/>
      </c>
      <c r="F1152" s="21" t="str">
        <f>IF(OR(E1152="",E1152="!!!"),"",IF(NOT(ISNA(VLOOKUP(E1152,E$1:E1151,1,FALSE()))),"OLD",IF(AND(E1152&lt;&gt;"",E1152&lt;&gt;"!!!"),"NEW","")))</f>
        <v/>
      </c>
      <c r="G1152" s="22" t="str">
        <f>IF(OR(E1152="",E1152="!!!"),"",IF(OR(J1152=0,AND(J1152=1,K1152=1),AND(J1152=1,I1152="SBJ"),AND(J1152=1,I1152=0)),"?IN_FOCUS",IF(J1152&lt;=2,"?ACTIVATED",IF(J1152&lt;&gt;"","?FAMILIAR",IF(F1152="NEW",IF(ISNA(VLOOKUP(E1152,#REF!,1,FALSE())),"?TYPE_IDENTIFIABLE","?REFERENTIAL"),"_")))))</f>
        <v/>
      </c>
      <c r="H1152" s="23" t="str">
        <f t="shared" ca="1" si="133"/>
        <v/>
      </c>
      <c r="I1152" s="24" t="str">
        <f>IF(OR(E1152="",E1152="!!!",F1152="NEW"),"",INDEX(B$2:B1151,-1+SUMPRODUCT(MAX(ROW(E$2:E1151)*(E1152=E$2:E1151)))))</f>
        <v/>
      </c>
      <c r="J1152" s="24" t="str">
        <f ca="1">IF(OR(E1152="",E1152="!!!",F1152="NEW"),"",COUNTBLANK(OFFSET(A$1,,,SUMPRODUCT(MAX(ROW(E$2:E1152)*(E1152=E$2:E1152)))))-COUNTBLANK(OFFSET(A$1,,,SUMPRODUCT(MAX(ROW(E$1:E1151)*(E2=E$1:E1151))))))</f>
        <v/>
      </c>
      <c r="K1152" s="24" t="str">
        <f>IF(OR(E1152="",E1152="!!!",F1152="NEW"),"",INDEX(J$1:J1151,SUMPRODUCT(MAX(ROW(E$1:E1151)*(E1152=E$1:E1151)))))</f>
        <v/>
      </c>
      <c r="L1152" s="25"/>
    </row>
    <row r="1153" spans="1:12" x14ac:dyDescent="0.2">
      <c r="A1153" t="s">
        <v>1213</v>
      </c>
      <c r="B1153" s="26" t="s">
        <v>819</v>
      </c>
      <c r="C1153" s="26" t="s">
        <v>820</v>
      </c>
      <c r="D1153" s="26" t="s">
        <v>806</v>
      </c>
      <c r="E1153" s="20" t="s">
        <v>1777</v>
      </c>
      <c r="F1153" s="21" t="str">
        <f>IF(OR(E1153="",E1153="!!!"),"",IF(NOT(ISNA(VLOOKUP(E1153,E$1:E1152,1,FALSE()))),"OLD",IF(AND(E1153&lt;&gt;"",E1153&lt;&gt;"!!!"),"NEW","")))</f>
        <v>NEW</v>
      </c>
      <c r="G1153" s="22" t="s">
        <v>1824</v>
      </c>
      <c r="H1153" s="23" t="str">
        <f t="shared" ca="1" si="133"/>
        <v/>
      </c>
      <c r="I1153" s="24" t="str">
        <f>IF(OR(E1153="",E1153="!!!",F1153="NEW"),"",INDEX(B$2:B1152,-1+SUMPRODUCT(MAX(ROW(E$2:E1152)*(E1153=E$2:E1152)))))</f>
        <v/>
      </c>
      <c r="J1153" s="24" t="str">
        <f ca="1">IF(OR(E1153="",E1153="!!!",F1153="NEW"),"",COUNTBLANK(OFFSET(A$1,,,SUMPRODUCT(MAX(ROW(E$2:E1153)*(E1153=E$2:E1153)))))-COUNTBLANK(OFFSET(A$1,,,SUMPRODUCT(MAX(ROW(E$1:E1152)*(E2=E$1:E1152))))))</f>
        <v/>
      </c>
      <c r="K1153" s="24" t="str">
        <f>IF(OR(E1153="",E1153="!!!",F1153="NEW"),"",INDEX(J$1:J1152,SUMPRODUCT(MAX(ROW(E$1:E1152)*(E1153=E$1:E1152)))))</f>
        <v/>
      </c>
      <c r="L1153" s="25"/>
    </row>
    <row r="1154" spans="1:12" x14ac:dyDescent="0.2">
      <c r="A1154" t="s">
        <v>812</v>
      </c>
      <c r="E1154" s="20" t="str">
        <f t="shared" si="132"/>
        <v/>
      </c>
      <c r="F1154" s="21" t="str">
        <f>IF(OR(E1154="",E1154="!!!"),"",IF(NOT(ISNA(VLOOKUP(E1154,E$1:E1153,1,FALSE()))),"OLD",IF(AND(E1154&lt;&gt;"",E1154&lt;&gt;"!!!"),"NEW","")))</f>
        <v/>
      </c>
      <c r="G1154" s="22" t="str">
        <f>IF(OR(E1154="",E1154="!!!"),"",IF(OR(J1154=0,AND(J1154=1,K1154=1),AND(J1154=1,I1154="SBJ"),AND(J1154=1,I1154=0)),"?IN_FOCUS",IF(J1154&lt;=2,"?ACTIVATED",IF(J1154&lt;&gt;"","?FAMILIAR",IF(F1154="NEW",IF(ISNA(VLOOKUP(E1154,#REF!,1,FALSE())),"?TYPE_IDENTIFIABLE","?REFERENTIAL"),"_")))))</f>
        <v/>
      </c>
      <c r="H1154" s="23" t="str">
        <f t="shared" ca="1" si="133"/>
        <v/>
      </c>
      <c r="I1154" s="24" t="str">
        <f>IF(OR(E1154="",E1154="!!!",F1154="NEW"),"",INDEX(B$2:B1153,-1+SUMPRODUCT(MAX(ROW(E$2:E1153)*(E1154=E$2:E1153)))))</f>
        <v/>
      </c>
      <c r="J1154" s="24" t="str">
        <f ca="1">IF(OR(E1154="",E1154="!!!",F1154="NEW"),"",COUNTBLANK(OFFSET(A$1,,,SUMPRODUCT(MAX(ROW(E$2:E1154)*(E1154=E$2:E1154)))))-COUNTBLANK(OFFSET(A$1,,,SUMPRODUCT(MAX(ROW(E$1:E1153)*(E2=E$1:E1153))))))</f>
        <v/>
      </c>
      <c r="K1154" s="24" t="str">
        <f>IF(OR(E1154="",E1154="!!!",F1154="NEW"),"",INDEX(J$1:J1153,SUMPRODUCT(MAX(ROW(E$1:E1153)*(E1154=E$1:E1153)))))</f>
        <v/>
      </c>
      <c r="L1154" s="25"/>
    </row>
    <row r="1155" spans="1:12" x14ac:dyDescent="0.2">
      <c r="A1155" t="s">
        <v>845</v>
      </c>
      <c r="E1155" s="20" t="str">
        <f t="shared" si="132"/>
        <v/>
      </c>
      <c r="F1155" s="21" t="str">
        <f>IF(OR(E1155="",E1155="!!!"),"",IF(NOT(ISNA(VLOOKUP(E1155,E$1:E1154,1,FALSE()))),"OLD",IF(AND(E1155&lt;&gt;"",E1155&lt;&gt;"!!!"),"NEW","")))</f>
        <v/>
      </c>
      <c r="G1155" s="22" t="str">
        <f>IF(OR(E1155="",E1155="!!!"),"",IF(OR(J1155=0,AND(J1155=1,K1155=1),AND(J1155=1,I1155="SBJ"),AND(J1155=1,I1155=0)),"?IN_FOCUS",IF(J1155&lt;=2,"?ACTIVATED",IF(J1155&lt;&gt;"","?FAMILIAR",IF(F1155="NEW",IF(ISNA(VLOOKUP(E1155,#REF!,1,FALSE())),"?TYPE_IDENTIFIABLE","?REFERENTIAL"),"_")))))</f>
        <v/>
      </c>
      <c r="H1155" s="23" t="str">
        <f t="shared" ca="1" si="133"/>
        <v/>
      </c>
      <c r="I1155" s="24" t="str">
        <f>IF(OR(E1155="",E1155="!!!",F1155="NEW"),"",INDEX(B$2:B1154,-1+SUMPRODUCT(MAX(ROW(E$2:E1154)*(E1155=E$2:E1154)))))</f>
        <v/>
      </c>
      <c r="J1155" s="24" t="str">
        <f ca="1">IF(OR(E1155="",E1155="!!!",F1155="NEW"),"",COUNTBLANK(OFFSET(A$1,,,SUMPRODUCT(MAX(ROW(E$2:E1155)*(E1155=E$2:E1155)))))-COUNTBLANK(OFFSET(A$1,,,SUMPRODUCT(MAX(ROW(E$1:E1154)*(E2=E$1:E1154))))))</f>
        <v/>
      </c>
      <c r="K1155" s="24" t="str">
        <f>IF(OR(E1155="",E1155="!!!",F1155="NEW"),"",INDEX(J$1:J1154,SUMPRODUCT(MAX(ROW(E$1:E1154)*(E1155=E$1:E1154)))))</f>
        <v/>
      </c>
      <c r="L1155" s="25"/>
    </row>
    <row r="1156" spans="1:12" x14ac:dyDescent="0.2">
      <c r="A1156" t="s">
        <v>1214</v>
      </c>
      <c r="B1156" s="26" t="s">
        <v>819</v>
      </c>
      <c r="C1156" s="26" t="s">
        <v>854</v>
      </c>
      <c r="D1156" s="26" t="s">
        <v>806</v>
      </c>
      <c r="E1156" s="20" t="s">
        <v>1214</v>
      </c>
      <c r="F1156" s="21" t="str">
        <f>IF(OR(E1156="",E1156="!!!"),"",IF(NOT(ISNA(VLOOKUP(E1156,E$1:E1155,1,FALSE()))),"OLD",IF(AND(E1156&lt;&gt;"",E1156&lt;&gt;"!!!"),"NEW","")))</f>
        <v>NEW</v>
      </c>
      <c r="G1156" s="22" t="s">
        <v>1824</v>
      </c>
      <c r="H1156" s="23" t="str">
        <f t="shared" ca="1" si="133"/>
        <v/>
      </c>
      <c r="I1156" s="24" t="str">
        <f>IF(OR(E1156="",E1156="!!!",F1156="NEW"),"",INDEX(B$2:B1155,-1+SUMPRODUCT(MAX(ROW(E$2:E1155)*(E1156=E$2:E1155)))))</f>
        <v/>
      </c>
      <c r="J1156" s="24" t="str">
        <f ca="1">IF(OR(E1156="",E1156="!!!",F1156="NEW"),"",COUNTBLANK(OFFSET(A$1,,,SUMPRODUCT(MAX(ROW(E$2:E1156)*(E1156=E$2:E1156)))))-COUNTBLANK(OFFSET(A$1,,,SUMPRODUCT(MAX(ROW(E$1:E1155)*(E2=E$1:E1155))))))</f>
        <v/>
      </c>
      <c r="K1156" s="24" t="str">
        <f>IF(OR(E1156="",E1156="!!!",F1156="NEW"),"",INDEX(J$1:J1155,SUMPRODUCT(MAX(ROW(E$1:E1155)*(E1156=E$1:E1155)))))</f>
        <v/>
      </c>
      <c r="L1156" s="25"/>
    </row>
    <row r="1157" spans="1:12" x14ac:dyDescent="0.2">
      <c r="A1157" t="s">
        <v>821</v>
      </c>
      <c r="E1157" s="20" t="str">
        <f t="shared" si="132"/>
        <v/>
      </c>
      <c r="F1157" s="21" t="str">
        <f>IF(OR(E1157="",E1157="!!!"),"",IF(NOT(ISNA(VLOOKUP(E1157,E$1:E1156,1,FALSE()))),"OLD",IF(AND(E1157&lt;&gt;"",E1157&lt;&gt;"!!!"),"NEW","")))</f>
        <v/>
      </c>
      <c r="G1157" s="22" t="str">
        <f>IF(OR(E1157="",E1157="!!!"),"",IF(OR(J1157=0,AND(J1157=1,K1157=1),AND(J1157=1,I1157="SBJ"),AND(J1157=1,I1157=0)),"?IN_FOCUS",IF(J1157&lt;=2,"?ACTIVATED",IF(J1157&lt;&gt;"","?FAMILIAR",IF(F1157="NEW",IF(ISNA(VLOOKUP(E1157,#REF!,1,FALSE())),"?TYPE_IDENTIFIABLE","?REFERENTIAL"),"_")))))</f>
        <v/>
      </c>
      <c r="H1157" s="23" t="str">
        <f t="shared" ca="1" si="133"/>
        <v/>
      </c>
      <c r="I1157" s="24" t="str">
        <f>IF(OR(E1157="",E1157="!!!",F1157="NEW"),"",INDEX(B$2:B1156,-1+SUMPRODUCT(MAX(ROW(E$2:E1156)*(E1157=E$2:E1156)))))</f>
        <v/>
      </c>
      <c r="J1157" s="24" t="str">
        <f ca="1">IF(OR(E1157="",E1157="!!!",F1157="NEW"),"",COUNTBLANK(OFFSET(A$1,,,SUMPRODUCT(MAX(ROW(E$2:E1157)*(E1157=E$2:E1157)))))-COUNTBLANK(OFFSET(A$1,,,SUMPRODUCT(MAX(ROW(E$1:E1156)*(E2=E$1:E1156))))))</f>
        <v/>
      </c>
      <c r="K1157" s="24" t="str">
        <f>IF(OR(E1157="",E1157="!!!",F1157="NEW"),"",INDEX(J$1:J1156,SUMPRODUCT(MAX(ROW(E$1:E1156)*(E1157=E$1:E1156)))))</f>
        <v/>
      </c>
      <c r="L1157" s="25"/>
    </row>
    <row r="1159" spans="1:12" x14ac:dyDescent="0.2">
      <c r="A1159" t="s">
        <v>1215</v>
      </c>
    </row>
    <row r="1160" spans="1:12" x14ac:dyDescent="0.2">
      <c r="A1160" t="s">
        <v>1216</v>
      </c>
      <c r="B1160" s="26" t="s">
        <v>804</v>
      </c>
      <c r="C1160" s="26" t="s">
        <v>805</v>
      </c>
      <c r="D1160" s="26" t="s">
        <v>806</v>
      </c>
      <c r="E1160" s="20" t="s">
        <v>1214</v>
      </c>
      <c r="F1160" s="21" t="str">
        <f>IF(OR(E1160="",E1160="!!!"),"",IF(NOT(ISNA(VLOOKUP(E1160,E$1:E1159,1,FALSE()))),"OLD",IF(AND(E1160&lt;&gt;"",E1160&lt;&gt;"!!!"),"NEW","")))</f>
        <v>OLD</v>
      </c>
      <c r="G1160" s="22" t="s">
        <v>1823</v>
      </c>
      <c r="H1160" s="23" t="str">
        <f t="shared" ref="H1160:H1169" ca="1" si="134">IF(J1160&lt;&gt;1,"",IF(I1160="SBJ","CB","?"))</f>
        <v/>
      </c>
      <c r="I1160" s="24" t="str">
        <f>IF(OR(E1160="",E1160="!!!",F1160="NEW"),"",INDEX(B$2:B1159,-1+SUMPRODUCT(MAX(ROW(E$2:E1159)*(E1160=E$2:E1159)))))</f>
        <v>other</v>
      </c>
      <c r="J1160" s="24">
        <f ca="1">IF(OR(E1160="",E1160="!!!",F1160="NEW"),"",COUNTBLANK(OFFSET(A$1,,,SUMPRODUCT(MAX(ROW(E$2:E1160)*(E1160=E$2:E1160)))))-COUNTBLANK(OFFSET(A$1,,,SUMPRODUCT(MAX(ROW(E$1:E1159)*(E2=E$1:E1159))))))</f>
        <v>0</v>
      </c>
      <c r="K1160" s="24" t="str">
        <f ca="1">IF(OR(E1160="",E1160="!!!",F1160="NEW"),"",INDEX(J$1:J1159,SUMPRODUCT(MAX(ROW(E$1:E1159)*(E1160=E$1:E1159)))))</f>
        <v/>
      </c>
      <c r="L1160" s="25"/>
    </row>
    <row r="1161" spans="1:12" x14ac:dyDescent="0.2">
      <c r="A1161" t="s">
        <v>858</v>
      </c>
      <c r="E1161" s="20" t="str">
        <f t="shared" ref="E1161:E1169" si="135">IF(D1161="?OLD","!!!","")</f>
        <v/>
      </c>
      <c r="F1161" s="21" t="str">
        <f>IF(OR(E1161="",E1161="!!!"),"",IF(NOT(ISNA(VLOOKUP(E1161,E$1:E1160,1,FALSE()))),"OLD",IF(AND(E1161&lt;&gt;"",E1161&lt;&gt;"!!!"),"NEW","")))</f>
        <v/>
      </c>
      <c r="G1161" s="22" t="str">
        <f>IF(OR(E1161="",E1161="!!!"),"",IF(OR(J1161=0,AND(J1161=1,K1161=1),AND(J1161=1,I1161="SBJ"),AND(J1161=1,I1161=0)),"?IN_FOCUS",IF(J1161&lt;=2,"?ACTIVATED",IF(J1161&lt;&gt;"","?FAMILIAR",IF(F1161="NEW",IF(ISNA(VLOOKUP(E1161,#REF!,1,FALSE())),"?TYPE_IDENTIFIABLE","?REFERENTIAL"),"_")))))</f>
        <v/>
      </c>
      <c r="H1161" s="23" t="str">
        <f t="shared" ca="1" si="134"/>
        <v/>
      </c>
      <c r="I1161" s="24" t="str">
        <f>IF(OR(E1161="",E1161="!!!",F1161="NEW"),"",INDEX(B$2:B1160,-1+SUMPRODUCT(MAX(ROW(E$2:E1160)*(E1161=E$2:E1160)))))</f>
        <v/>
      </c>
      <c r="J1161" s="24" t="str">
        <f ca="1">IF(OR(E1161="",E1161="!!!",F1161="NEW"),"",COUNTBLANK(OFFSET(A$1,,,SUMPRODUCT(MAX(ROW(E$2:E1161)*(E1161=E$2:E1161)))))-COUNTBLANK(OFFSET(A$1,,,SUMPRODUCT(MAX(ROW(E$1:E1160)*(E2=E$1:E1160))))))</f>
        <v/>
      </c>
      <c r="K1161" s="24" t="str">
        <f>IF(OR(E1161="",E1161="!!!",F1161="NEW"),"",INDEX(J$1:J1160,SUMPRODUCT(MAX(ROW(E$1:E1160)*(E1161=E$1:E1160)))))</f>
        <v/>
      </c>
      <c r="L1161" s="25"/>
    </row>
    <row r="1162" spans="1:12" x14ac:dyDescent="0.2">
      <c r="A1162" t="s">
        <v>1217</v>
      </c>
      <c r="E1162" s="20" t="str">
        <f t="shared" si="135"/>
        <v/>
      </c>
      <c r="F1162" s="21" t="str">
        <f>IF(OR(E1162="",E1162="!!!"),"",IF(NOT(ISNA(VLOOKUP(E1162,E$1:E1161,1,FALSE()))),"OLD",IF(AND(E1162&lt;&gt;"",E1162&lt;&gt;"!!!"),"NEW","")))</f>
        <v/>
      </c>
      <c r="G1162" s="22" t="str">
        <f>IF(OR(E1162="",E1162="!!!"),"",IF(OR(J1162=0,AND(J1162=1,K1162=1),AND(J1162=1,I1162="SBJ"),AND(J1162=1,I1162=0)),"?IN_FOCUS",IF(J1162&lt;=2,"?ACTIVATED",IF(J1162&lt;&gt;"","?FAMILIAR",IF(F1162="NEW",IF(ISNA(VLOOKUP(E1162,#REF!,1,FALSE())),"?TYPE_IDENTIFIABLE","?REFERENTIAL"),"_")))))</f>
        <v/>
      </c>
      <c r="H1162" s="23" t="str">
        <f t="shared" ca="1" si="134"/>
        <v/>
      </c>
      <c r="I1162" s="24" t="str">
        <f>IF(OR(E1162="",E1162="!!!",F1162="NEW"),"",INDEX(B$2:B1161,-1+SUMPRODUCT(MAX(ROW(E$2:E1161)*(E1162=E$2:E1161)))))</f>
        <v/>
      </c>
      <c r="J1162" s="24" t="str">
        <f ca="1">IF(OR(E1162="",E1162="!!!",F1162="NEW"),"",COUNTBLANK(OFFSET(A$1,,,SUMPRODUCT(MAX(ROW(E$2:E1162)*(E1162=E$2:E1162)))))-COUNTBLANK(OFFSET(A$1,,,SUMPRODUCT(MAX(ROW(E$1:E1161)*(E2=E$1:E1161))))))</f>
        <v/>
      </c>
      <c r="K1162" s="24" t="str">
        <f>IF(OR(E1162="",E1162="!!!",F1162="NEW"),"",INDEX(J$1:J1161,SUMPRODUCT(MAX(ROW(E$1:E1161)*(E1162=E$1:E1161)))))</f>
        <v/>
      </c>
      <c r="L1162" s="25"/>
    </row>
    <row r="1163" spans="1:12" x14ac:dyDescent="0.2">
      <c r="A1163" t="s">
        <v>1218</v>
      </c>
      <c r="B1163" s="26" t="s">
        <v>810</v>
      </c>
      <c r="C1163" s="26" t="s">
        <v>814</v>
      </c>
      <c r="E1163" s="20"/>
      <c r="F1163" s="21" t="str">
        <f>IF(OR(E1163="",E1163="!!!"),"",IF(NOT(ISNA(VLOOKUP(E1163,E$1:E1162,1,FALSE()))),"OLD",IF(AND(E1163&lt;&gt;"",E1163&lt;&gt;"!!!"),"NEW","")))</f>
        <v/>
      </c>
      <c r="G1163" s="22" t="str">
        <f>IF(OR(E1163="",E1163="!!!"),"",IF(OR(J1163=0,AND(J1163=1,K1163=1),AND(J1163=1,I1163="SBJ"),AND(J1163=1,I1163=0)),"?IN_FOCUS",IF(J1163&lt;=2,"?ACTIVATED",IF(J1163&lt;&gt;"","?FAMILIAR",IF(F1163="NEW",IF(ISNA(VLOOKUP(E1163,#REF!,1,FALSE())),"?TYPE_IDENTIFIABLE","?REFERENTIAL"),"_")))))</f>
        <v/>
      </c>
      <c r="H1163" s="23" t="str">
        <f t="shared" ca="1" si="134"/>
        <v/>
      </c>
      <c r="I1163" s="24" t="str">
        <f>IF(OR(E1163="",E1163="!!!",F1163="NEW"),"",INDEX(B$2:B1162,-1+SUMPRODUCT(MAX(ROW(E$2:E1162)*(E1163=E$2:E1162)))))</f>
        <v/>
      </c>
      <c r="J1163" s="24" t="str">
        <f ca="1">IF(OR(E1163="",E1163="!!!",F1163="NEW"),"",COUNTBLANK(OFFSET(A$1,,,SUMPRODUCT(MAX(ROW(E$2:E1163)*(E1163=E$2:E1163)))))-COUNTBLANK(OFFSET(A$1,,,SUMPRODUCT(MAX(ROW(E$1:E1162)*(E2=E$1:E1162))))))</f>
        <v/>
      </c>
      <c r="K1163" s="24" t="str">
        <f>IF(OR(E1163="",E1163="!!!",F1163="NEW"),"",INDEX(J$1:J1162,SUMPRODUCT(MAX(ROW(E$1:E1162)*(E1163=E$1:E1162)))))</f>
        <v/>
      </c>
      <c r="L1163" s="25"/>
    </row>
    <row r="1164" spans="1:12" x14ac:dyDescent="0.2">
      <c r="A1164" t="s">
        <v>844</v>
      </c>
      <c r="E1164" s="20" t="str">
        <f t="shared" si="135"/>
        <v/>
      </c>
      <c r="F1164" s="21" t="str">
        <f>IF(OR(E1164="",E1164="!!!"),"",IF(NOT(ISNA(VLOOKUP(E1164,E$1:E1163,1,FALSE()))),"OLD",IF(AND(E1164&lt;&gt;"",E1164&lt;&gt;"!!!"),"NEW","")))</f>
        <v/>
      </c>
      <c r="G1164" s="22" t="str">
        <f>IF(OR(E1164="",E1164="!!!"),"",IF(OR(J1164=0,AND(J1164=1,K1164=1),AND(J1164=1,I1164="SBJ"),AND(J1164=1,I1164=0)),"?IN_FOCUS",IF(J1164&lt;=2,"?ACTIVATED",IF(J1164&lt;&gt;"","?FAMILIAR",IF(F1164="NEW",IF(ISNA(VLOOKUP(E1164,#REF!,1,FALSE())),"?TYPE_IDENTIFIABLE","?REFERENTIAL"),"_")))))</f>
        <v/>
      </c>
      <c r="H1164" s="23" t="str">
        <f t="shared" ca="1" si="134"/>
        <v/>
      </c>
      <c r="I1164" s="24" t="str">
        <f>IF(OR(E1164="",E1164="!!!",F1164="NEW"),"",INDEX(B$2:B1163,-1+SUMPRODUCT(MAX(ROW(E$2:E1163)*(E1164=E$2:E1163)))))</f>
        <v/>
      </c>
      <c r="J1164" s="24" t="str">
        <f ca="1">IF(OR(E1164="",E1164="!!!",F1164="NEW"),"",COUNTBLANK(OFFSET(A$1,,,SUMPRODUCT(MAX(ROW(E$2:E1164)*(E1164=E$2:E1164)))))-COUNTBLANK(OFFSET(A$1,,,SUMPRODUCT(MAX(ROW(E$1:E1163)*(E2=E$1:E1163))))))</f>
        <v/>
      </c>
      <c r="K1164" s="24" t="str">
        <f>IF(OR(E1164="",E1164="!!!",F1164="NEW"),"",INDEX(J$1:J1163,SUMPRODUCT(MAX(ROW(E$1:E1163)*(E1164=E$1:E1163)))))</f>
        <v/>
      </c>
      <c r="L1164" s="25"/>
    </row>
    <row r="1165" spans="1:12" x14ac:dyDescent="0.2">
      <c r="A1165" t="s">
        <v>148</v>
      </c>
      <c r="B1165" s="26" t="s">
        <v>950</v>
      </c>
      <c r="C1165" s="26" t="s">
        <v>850</v>
      </c>
      <c r="E1165" s="20" t="str">
        <f t="shared" si="135"/>
        <v/>
      </c>
      <c r="F1165" s="21" t="str">
        <f>IF(OR(E1165="",E1165="!!!"),"",IF(NOT(ISNA(VLOOKUP(E1165,E$1:E1164,1,FALSE()))),"OLD",IF(AND(E1165&lt;&gt;"",E1165&lt;&gt;"!!!"),"NEW","")))</f>
        <v/>
      </c>
      <c r="G1165" s="22" t="str">
        <f>IF(OR(E1165="",E1165="!!!"),"",IF(OR(J1165=0,AND(J1165=1,K1165=1),AND(J1165=1,I1165="SBJ"),AND(J1165=1,I1165=0)),"?IN_FOCUS",IF(J1165&lt;=2,"?ACTIVATED",IF(J1165&lt;&gt;"","?FAMILIAR",IF(F1165="NEW",IF(ISNA(VLOOKUP(E1165,#REF!,1,FALSE())),"?TYPE_IDENTIFIABLE","?REFERENTIAL"),"_")))))</f>
        <v/>
      </c>
      <c r="H1165" s="23" t="str">
        <f t="shared" ca="1" si="134"/>
        <v/>
      </c>
      <c r="I1165" s="24" t="str">
        <f>IF(OR(E1165="",E1165="!!!",F1165="NEW"),"",INDEX(B$2:B1164,-1+SUMPRODUCT(MAX(ROW(E$2:E1164)*(E1165=E$2:E1164)))))</f>
        <v/>
      </c>
      <c r="J1165" s="24" t="str">
        <f ca="1">IF(OR(E1165="",E1165="!!!",F1165="NEW"),"",COUNTBLANK(OFFSET(A$1,,,SUMPRODUCT(MAX(ROW(E$2:E1165)*(E1165=E$2:E1165)))))-COUNTBLANK(OFFSET(A$1,,,SUMPRODUCT(MAX(ROW(E$1:E1164)*(E2=E$1:E1164))))))</f>
        <v/>
      </c>
      <c r="K1165" s="24" t="str">
        <f>IF(OR(E1165="",E1165="!!!",F1165="NEW"),"",INDEX(J$1:J1164,SUMPRODUCT(MAX(ROW(E$1:E1164)*(E1165=E$1:E1164)))))</f>
        <v/>
      </c>
      <c r="L1165" s="25"/>
    </row>
    <row r="1166" spans="1:12" x14ac:dyDescent="0.2">
      <c r="A1166" t="s">
        <v>831</v>
      </c>
      <c r="E1166" s="20" t="str">
        <f t="shared" si="135"/>
        <v/>
      </c>
      <c r="F1166" s="21" t="str">
        <f>IF(OR(E1166="",E1166="!!!"),"",IF(NOT(ISNA(VLOOKUP(E1166,E$1:E1165,1,FALSE()))),"OLD",IF(AND(E1166&lt;&gt;"",E1166&lt;&gt;"!!!"),"NEW","")))</f>
        <v/>
      </c>
      <c r="G1166" s="22" t="str">
        <f>IF(OR(E1166="",E1166="!!!"),"",IF(OR(J1166=0,AND(J1166=1,K1166=1),AND(J1166=1,I1166="SBJ"),AND(J1166=1,I1166=0)),"?IN_FOCUS",IF(J1166&lt;=2,"?ACTIVATED",IF(J1166&lt;&gt;"","?FAMILIAR",IF(F1166="NEW",IF(ISNA(VLOOKUP(E1166,#REF!,1,FALSE())),"?TYPE_IDENTIFIABLE","?REFERENTIAL"),"_")))))</f>
        <v/>
      </c>
      <c r="H1166" s="23" t="str">
        <f t="shared" ca="1" si="134"/>
        <v/>
      </c>
      <c r="I1166" s="24" t="str">
        <f>IF(OR(E1166="",E1166="!!!",F1166="NEW"),"",INDEX(B$2:B1165,-1+SUMPRODUCT(MAX(ROW(E$2:E1165)*(E1166=E$2:E1165)))))</f>
        <v/>
      </c>
      <c r="J1166" s="24" t="str">
        <f ca="1">IF(OR(E1166="",E1166="!!!",F1166="NEW"),"",COUNTBLANK(OFFSET(A$1,,,SUMPRODUCT(MAX(ROW(E$2:E1166)*(E1166=E$2:E1166)))))-COUNTBLANK(OFFSET(A$1,,,SUMPRODUCT(MAX(ROW(E$1:E1165)*(E2=E$1:E1165))))))</f>
        <v/>
      </c>
      <c r="K1166" s="24" t="str">
        <f>IF(OR(E1166="",E1166="!!!",F1166="NEW"),"",INDEX(J$1:J1165,SUMPRODUCT(MAX(ROW(E$1:E1165)*(E1166=E$1:E1165)))))</f>
        <v/>
      </c>
      <c r="L1166" s="25"/>
    </row>
    <row r="1167" spans="1:12" x14ac:dyDescent="0.2">
      <c r="A1167" t="s">
        <v>1219</v>
      </c>
      <c r="E1167" s="20" t="str">
        <f t="shared" si="135"/>
        <v/>
      </c>
      <c r="F1167" s="21" t="str">
        <f>IF(OR(E1167="",E1167="!!!"),"",IF(NOT(ISNA(VLOOKUP(E1167,E$1:E1166,1,FALSE()))),"OLD",IF(AND(E1167&lt;&gt;"",E1167&lt;&gt;"!!!"),"NEW","")))</f>
        <v/>
      </c>
      <c r="G1167" s="22" t="str">
        <f>IF(OR(E1167="",E1167="!!!"),"",IF(OR(J1167=0,AND(J1167=1,K1167=1),AND(J1167=1,I1167="SBJ"),AND(J1167=1,I1167=0)),"?IN_FOCUS",IF(J1167&lt;=2,"?ACTIVATED",IF(J1167&lt;&gt;"","?FAMILIAR",IF(F1167="NEW",IF(ISNA(VLOOKUP(E1167,#REF!,1,FALSE())),"?TYPE_IDENTIFIABLE","?REFERENTIAL"),"_")))))</f>
        <v/>
      </c>
      <c r="H1167" s="23" t="str">
        <f t="shared" ca="1" si="134"/>
        <v/>
      </c>
      <c r="I1167" s="24" t="str">
        <f>IF(OR(E1167="",E1167="!!!",F1167="NEW"),"",INDEX(B$2:B1166,-1+SUMPRODUCT(MAX(ROW(E$2:E1166)*(E1167=E$2:E1166)))))</f>
        <v/>
      </c>
      <c r="J1167" s="24" t="str">
        <f ca="1">IF(OR(E1167="",E1167="!!!",F1167="NEW"),"",COUNTBLANK(OFFSET(A$1,,,SUMPRODUCT(MAX(ROW(E$2:E1167)*(E1167=E$2:E1167)))))-COUNTBLANK(OFFSET(A$1,,,SUMPRODUCT(MAX(ROW(E$1:E1166)*(E2=E$1:E1166))))))</f>
        <v/>
      </c>
      <c r="K1167" s="24" t="str">
        <f>IF(OR(E1167="",E1167="!!!",F1167="NEW"),"",INDEX(J$1:J1166,SUMPRODUCT(MAX(ROW(E$1:E1166)*(E1167=E$1:E1166)))))</f>
        <v/>
      </c>
      <c r="L1167" s="25"/>
    </row>
    <row r="1168" spans="1:12" x14ac:dyDescent="0.2">
      <c r="A1168" t="s">
        <v>1220</v>
      </c>
      <c r="B1168" s="26" t="s">
        <v>819</v>
      </c>
      <c r="C1168" s="26" t="s">
        <v>814</v>
      </c>
      <c r="E1168" s="20" t="str">
        <f t="shared" si="135"/>
        <v/>
      </c>
      <c r="F1168" s="21" t="str">
        <f>IF(OR(E1168="",E1168="!!!"),"",IF(NOT(ISNA(VLOOKUP(E1168,E$1:E1167,1,FALSE()))),"OLD",IF(AND(E1168&lt;&gt;"",E1168&lt;&gt;"!!!"),"NEW","")))</f>
        <v/>
      </c>
      <c r="G1168" s="22" t="str">
        <f>IF(OR(E1168="",E1168="!!!"),"",IF(OR(J1168=0,AND(J1168=1,K1168=1),AND(J1168=1,I1168="SBJ"),AND(J1168=1,I1168=0)),"?IN_FOCUS",IF(J1168&lt;=2,"?ACTIVATED",IF(J1168&lt;&gt;"","?FAMILIAR",IF(F1168="NEW",IF(ISNA(VLOOKUP(E1168,#REF!,1,FALSE())),"?TYPE_IDENTIFIABLE","?REFERENTIAL"),"_")))))</f>
        <v/>
      </c>
      <c r="H1168" s="23" t="str">
        <f t="shared" ca="1" si="134"/>
        <v/>
      </c>
      <c r="I1168" s="24" t="str">
        <f>IF(OR(E1168="",E1168="!!!",F1168="NEW"),"",INDEX(B$2:B1167,-1+SUMPRODUCT(MAX(ROW(E$2:E1167)*(E1168=E$2:E1167)))))</f>
        <v/>
      </c>
      <c r="J1168" s="24" t="str">
        <f ca="1">IF(OR(E1168="",E1168="!!!",F1168="NEW"),"",COUNTBLANK(OFFSET(A$1,,,SUMPRODUCT(MAX(ROW(E$2:E1168)*(E1168=E$2:E1168)))))-COUNTBLANK(OFFSET(A$1,,,SUMPRODUCT(MAX(ROW(E$1:E1167)*(E2=E$1:E1167))))))</f>
        <v/>
      </c>
      <c r="K1168" s="24" t="str">
        <f>IF(OR(E1168="",E1168="!!!",F1168="NEW"),"",INDEX(J$1:J1167,SUMPRODUCT(MAX(ROW(E$1:E1167)*(E1168=E$1:E1167)))))</f>
        <v/>
      </c>
      <c r="L1168" s="25"/>
    </row>
    <row r="1169" spans="1:12" x14ac:dyDescent="0.2">
      <c r="A1169" t="s">
        <v>821</v>
      </c>
      <c r="E1169" s="20" t="str">
        <f t="shared" si="135"/>
        <v/>
      </c>
      <c r="F1169" s="21" t="str">
        <f>IF(OR(E1169="",E1169="!!!"),"",IF(NOT(ISNA(VLOOKUP(E1169,E$1:E1168,1,FALSE()))),"OLD",IF(AND(E1169&lt;&gt;"",E1169&lt;&gt;"!!!"),"NEW","")))</f>
        <v/>
      </c>
      <c r="G1169" s="22" t="str">
        <f>IF(OR(E1169="",E1169="!!!"),"",IF(OR(J1169=0,AND(J1169=1,K1169=1),AND(J1169=1,I1169="SBJ"),AND(J1169=1,I1169=0)),"?IN_FOCUS",IF(J1169&lt;=2,"?ACTIVATED",IF(J1169&lt;&gt;"","?FAMILIAR",IF(F1169="NEW",IF(ISNA(VLOOKUP(E1169,#REF!,1,FALSE())),"?TYPE_IDENTIFIABLE","?REFERENTIAL"),"_")))))</f>
        <v/>
      </c>
      <c r="H1169" s="23" t="str">
        <f t="shared" ca="1" si="134"/>
        <v/>
      </c>
      <c r="I1169" s="24" t="str">
        <f>IF(OR(E1169="",E1169="!!!",F1169="NEW"),"",INDEX(B$2:B1168,-1+SUMPRODUCT(MAX(ROW(E$2:E1168)*(E1169=E$2:E1168)))))</f>
        <v/>
      </c>
      <c r="J1169" s="24" t="str">
        <f ca="1">IF(OR(E1169="",E1169="!!!",F1169="NEW"),"",COUNTBLANK(OFFSET(A$1,,,SUMPRODUCT(MAX(ROW(E$2:E1169)*(E1169=E$2:E1169)))))-COUNTBLANK(OFFSET(A$1,,,SUMPRODUCT(MAX(ROW(E$1:E1168)*(E2=E$1:E1168))))))</f>
        <v/>
      </c>
      <c r="K1169" s="24" t="str">
        <f>IF(OR(E1169="",E1169="!!!",F1169="NEW"),"",INDEX(J$1:J1168,SUMPRODUCT(MAX(ROW(E$1:E1168)*(E1169=E$1:E1168)))))</f>
        <v/>
      </c>
      <c r="L1169" s="25"/>
    </row>
    <row r="1171" spans="1:12" x14ac:dyDescent="0.2">
      <c r="A1171" t="s">
        <v>1221</v>
      </c>
    </row>
    <row r="1172" spans="1:12" x14ac:dyDescent="0.2">
      <c r="A1172" t="s">
        <v>1216</v>
      </c>
      <c r="B1172" s="26" t="s">
        <v>804</v>
      </c>
      <c r="C1172" s="26" t="s">
        <v>805</v>
      </c>
      <c r="D1172" s="26" t="s">
        <v>806</v>
      </c>
      <c r="E1172" s="20" t="s">
        <v>1214</v>
      </c>
      <c r="F1172" s="21" t="str">
        <f>IF(OR(E1172="",E1172="!!!"),"",IF(NOT(ISNA(VLOOKUP(E1172,E$1:E1171,1,FALSE()))),"OLD",IF(AND(E1172&lt;&gt;"",E1172&lt;&gt;"!!!"),"NEW","")))</f>
        <v>OLD</v>
      </c>
      <c r="G1172" s="22" t="s">
        <v>1823</v>
      </c>
      <c r="H1172" s="23" t="str">
        <f t="shared" ref="H1172:H1179" ca="1" si="136">IF(J1172&lt;&gt;1,"",IF(I1172="SBJ","CB","?"))</f>
        <v/>
      </c>
      <c r="I1172" s="24" t="str">
        <f>IF(OR(E1172="",E1172="!!!",F1172="NEW"),"",INDEX(B$2:B1171,-1+SUMPRODUCT(MAX(ROW(E$2:E1171)*(E1172=E$2:E1171)))))</f>
        <v>SBJ</v>
      </c>
      <c r="J1172" s="24">
        <f ca="1">IF(OR(E1172="",E1172="!!!",F1172="NEW"),"",COUNTBLANK(OFFSET(A$1,,,SUMPRODUCT(MAX(ROW(E$2:E1172)*(E1172=E$2:E1172)))))-COUNTBLANK(OFFSET(A$1,,,SUMPRODUCT(MAX(ROW(E$1:E1171)*(E2=E$1:E1171))))))</f>
        <v>0</v>
      </c>
      <c r="K1172" s="24">
        <f ca="1">IF(OR(E1172="",E1172="!!!",F1172="NEW"),"",INDEX(J$1:J1171,SUMPRODUCT(MAX(ROW(E$1:E1171)*(E1172=E$1:E1171)))))</f>
        <v>0</v>
      </c>
      <c r="L1172" s="25"/>
    </row>
    <row r="1173" spans="1:12" x14ac:dyDescent="0.2">
      <c r="A1173" t="s">
        <v>1074</v>
      </c>
      <c r="E1173" s="20" t="str">
        <f t="shared" ref="E1173:E1179" si="137">IF(D1173="?OLD","!!!","")</f>
        <v/>
      </c>
      <c r="F1173" s="21" t="str">
        <f>IF(OR(E1173="",E1173="!!!"),"",IF(NOT(ISNA(VLOOKUP(E1173,E$1:E1172,1,FALSE()))),"OLD",IF(AND(E1173&lt;&gt;"",E1173&lt;&gt;"!!!"),"NEW","")))</f>
        <v/>
      </c>
      <c r="G1173" s="22" t="str">
        <f>IF(OR(E1173="",E1173="!!!"),"",IF(OR(J1173=0,AND(J1173=1,K1173=1),AND(J1173=1,I1173="SBJ"),AND(J1173=1,I1173=0)),"?IN_FOCUS",IF(J1173&lt;=2,"?ACTIVATED",IF(J1173&lt;&gt;"","?FAMILIAR",IF(F1173="NEW",IF(ISNA(VLOOKUP(E1173,#REF!,1,FALSE())),"?TYPE_IDENTIFIABLE","?REFERENTIAL"),"_")))))</f>
        <v/>
      </c>
      <c r="H1173" s="23" t="str">
        <f t="shared" ca="1" si="136"/>
        <v/>
      </c>
      <c r="I1173" s="24" t="str">
        <f>IF(OR(E1173="",E1173="!!!",F1173="NEW"),"",INDEX(B$2:B1172,-1+SUMPRODUCT(MAX(ROW(E$2:E1172)*(E1173=E$2:E1172)))))</f>
        <v/>
      </c>
      <c r="J1173" s="24" t="str">
        <f ca="1">IF(OR(E1173="",E1173="!!!",F1173="NEW"),"",COUNTBLANK(OFFSET(A$1,,,SUMPRODUCT(MAX(ROW(E$2:E1173)*(E1173=E$2:E1173)))))-COUNTBLANK(OFFSET(A$1,,,SUMPRODUCT(MAX(ROW(E$1:E1172)*(E2=E$1:E1172))))))</f>
        <v/>
      </c>
      <c r="K1173" s="24" t="str">
        <f>IF(OR(E1173="",E1173="!!!",F1173="NEW"),"",INDEX(J$1:J1172,SUMPRODUCT(MAX(ROW(E$1:E1172)*(E1173=E$1:E1172)))))</f>
        <v/>
      </c>
      <c r="L1173" s="25"/>
    </row>
    <row r="1174" spans="1:12" x14ac:dyDescent="0.2">
      <c r="A1174" t="s">
        <v>830</v>
      </c>
      <c r="B1174" s="26" t="s">
        <v>810</v>
      </c>
      <c r="C1174" s="26" t="s">
        <v>805</v>
      </c>
      <c r="D1174" s="26" t="s">
        <v>806</v>
      </c>
      <c r="E1174" s="20" t="s">
        <v>1778</v>
      </c>
      <c r="F1174" s="21" t="str">
        <f>IF(OR(E1174="",E1174="!!!"),"",IF(NOT(ISNA(VLOOKUP(E1174,E$1:E1173,1,FALSE()))),"OLD",IF(AND(E1174&lt;&gt;"",E1174&lt;&gt;"!!!"),"NEW","")))</f>
        <v>NEW</v>
      </c>
      <c r="G1174" s="22" t="s">
        <v>1822</v>
      </c>
      <c r="H1174" s="23" t="str">
        <f t="shared" ca="1" si="136"/>
        <v/>
      </c>
      <c r="I1174" s="24" t="str">
        <f>IF(OR(E1174="",E1174="!!!",F1174="NEW"),"",INDEX(B$2:B1173,-1+SUMPRODUCT(MAX(ROW(E$2:E1173)*(E1174=E$2:E1173)))))</f>
        <v/>
      </c>
      <c r="J1174" s="24" t="str">
        <f ca="1">IF(OR(E1174="",E1174="!!!",F1174="NEW"),"",COUNTBLANK(OFFSET(A$1,,,SUMPRODUCT(MAX(ROW(E$2:E1174)*(E1174=E$2:E1174)))))-COUNTBLANK(OFFSET(A$1,,,SUMPRODUCT(MAX(ROW(E$1:E1173)*(E2=E$1:E1173))))))</f>
        <v/>
      </c>
      <c r="K1174" s="24" t="str">
        <f>IF(OR(E1174="",E1174="!!!",F1174="NEW"),"",INDEX(J$1:J1173,SUMPRODUCT(MAX(ROW(E$1:E1173)*(E1174=E$1:E1173)))))</f>
        <v/>
      </c>
      <c r="L1174" s="25"/>
    </row>
    <row r="1175" spans="1:12" x14ac:dyDescent="0.2">
      <c r="A1175" t="s">
        <v>1222</v>
      </c>
      <c r="E1175" s="20" t="str">
        <f t="shared" si="137"/>
        <v/>
      </c>
      <c r="F1175" s="21" t="str">
        <f>IF(OR(E1175="",E1175="!!!"),"",IF(NOT(ISNA(VLOOKUP(E1175,E$1:E1174,1,FALSE()))),"OLD",IF(AND(E1175&lt;&gt;"",E1175&lt;&gt;"!!!"),"NEW","")))</f>
        <v/>
      </c>
      <c r="G1175" s="22" t="str">
        <f>IF(OR(E1175="",E1175="!!!"),"",IF(OR(J1175=0,AND(J1175=1,K1175=1),AND(J1175=1,I1175="SBJ"),AND(J1175=1,I1175=0)),"?IN_FOCUS",IF(J1175&lt;=2,"?ACTIVATED",IF(J1175&lt;&gt;"","?FAMILIAR",IF(F1175="NEW",IF(ISNA(VLOOKUP(E1175,#REF!,1,FALSE())),"?TYPE_IDENTIFIABLE","?REFERENTIAL"),"_")))))</f>
        <v/>
      </c>
      <c r="H1175" s="23" t="str">
        <f t="shared" ca="1" si="136"/>
        <v/>
      </c>
      <c r="I1175" s="24" t="str">
        <f>IF(OR(E1175="",E1175="!!!",F1175="NEW"),"",INDEX(B$2:B1174,-1+SUMPRODUCT(MAX(ROW(E$2:E1174)*(E1175=E$2:E1174)))))</f>
        <v/>
      </c>
      <c r="J1175" s="24" t="str">
        <f ca="1">IF(OR(E1175="",E1175="!!!",F1175="NEW"),"",COUNTBLANK(OFFSET(A$1,,,SUMPRODUCT(MAX(ROW(E$2:E1175)*(E1175=E$2:E1175)))))-COUNTBLANK(OFFSET(A$1,,,SUMPRODUCT(MAX(ROW(E$1:E1174)*(E2=E$1:E1174))))))</f>
        <v/>
      </c>
      <c r="K1175" s="24" t="str">
        <f>IF(OR(E1175="",E1175="!!!",F1175="NEW"),"",INDEX(J$1:J1174,SUMPRODUCT(MAX(ROW(E$1:E1174)*(E1175=E$1:E1174)))))</f>
        <v/>
      </c>
      <c r="L1175" s="25"/>
    </row>
    <row r="1176" spans="1:12" x14ac:dyDescent="0.2">
      <c r="A1176" t="s">
        <v>1223</v>
      </c>
      <c r="E1176" s="20" t="str">
        <f t="shared" si="137"/>
        <v/>
      </c>
      <c r="F1176" s="21" t="str">
        <f>IF(OR(E1176="",E1176="!!!"),"",IF(NOT(ISNA(VLOOKUP(E1176,E$1:E1175,1,FALSE()))),"OLD",IF(AND(E1176&lt;&gt;"",E1176&lt;&gt;"!!!"),"NEW","")))</f>
        <v/>
      </c>
      <c r="G1176" s="22" t="str">
        <f>IF(OR(E1176="",E1176="!!!"),"",IF(OR(J1176=0,AND(J1176=1,K1176=1),AND(J1176=1,I1176="SBJ"),AND(J1176=1,I1176=0)),"?IN_FOCUS",IF(J1176&lt;=2,"?ACTIVATED",IF(J1176&lt;&gt;"","?FAMILIAR",IF(F1176="NEW",IF(ISNA(VLOOKUP(E1176,#REF!,1,FALSE())),"?TYPE_IDENTIFIABLE","?REFERENTIAL"),"_")))))</f>
        <v/>
      </c>
      <c r="H1176" s="23" t="str">
        <f t="shared" ca="1" si="136"/>
        <v/>
      </c>
      <c r="I1176" s="24" t="str">
        <f>IF(OR(E1176="",E1176="!!!",F1176="NEW"),"",INDEX(B$2:B1175,-1+SUMPRODUCT(MAX(ROW(E$2:E1175)*(E1176=E$2:E1175)))))</f>
        <v/>
      </c>
      <c r="J1176" s="24" t="str">
        <f ca="1">IF(OR(E1176="",E1176="!!!",F1176="NEW"),"",COUNTBLANK(OFFSET(A$1,,,SUMPRODUCT(MAX(ROW(E$2:E1176)*(E1176=E$2:E1176)))))-COUNTBLANK(OFFSET(A$1,,,SUMPRODUCT(MAX(ROW(E$1:E1175)*(E2=E$1:E1175))))))</f>
        <v/>
      </c>
      <c r="K1176" s="24" t="str">
        <f>IF(OR(E1176="",E1176="!!!",F1176="NEW"),"",INDEX(J$1:J1175,SUMPRODUCT(MAX(ROW(E$1:E1175)*(E1176=E$1:E1175)))))</f>
        <v/>
      </c>
      <c r="L1176" s="25"/>
    </row>
    <row r="1177" spans="1:12" x14ac:dyDescent="0.2">
      <c r="A1177" t="s">
        <v>845</v>
      </c>
      <c r="E1177" s="20" t="str">
        <f t="shared" si="137"/>
        <v/>
      </c>
      <c r="F1177" s="21" t="str">
        <f>IF(OR(E1177="",E1177="!!!"),"",IF(NOT(ISNA(VLOOKUP(E1177,E$1:E1176,1,FALSE()))),"OLD",IF(AND(E1177&lt;&gt;"",E1177&lt;&gt;"!!!"),"NEW","")))</f>
        <v/>
      </c>
      <c r="G1177" s="22" t="str">
        <f>IF(OR(E1177="",E1177="!!!"),"",IF(OR(J1177=0,AND(J1177=1,K1177=1),AND(J1177=1,I1177="SBJ"),AND(J1177=1,I1177=0)),"?IN_FOCUS",IF(J1177&lt;=2,"?ACTIVATED",IF(J1177&lt;&gt;"","?FAMILIAR",IF(F1177="NEW",IF(ISNA(VLOOKUP(E1177,#REF!,1,FALSE())),"?TYPE_IDENTIFIABLE","?REFERENTIAL"),"_")))))</f>
        <v/>
      </c>
      <c r="H1177" s="23" t="str">
        <f t="shared" ca="1" si="136"/>
        <v/>
      </c>
      <c r="I1177" s="24" t="str">
        <f>IF(OR(E1177="",E1177="!!!",F1177="NEW"),"",INDEX(B$2:B1176,-1+SUMPRODUCT(MAX(ROW(E$2:E1176)*(E1177=E$2:E1176)))))</f>
        <v/>
      </c>
      <c r="J1177" s="24" t="str">
        <f ca="1">IF(OR(E1177="",E1177="!!!",F1177="NEW"),"",COUNTBLANK(OFFSET(A$1,,,SUMPRODUCT(MAX(ROW(E$2:E1177)*(E1177=E$2:E1177)))))-COUNTBLANK(OFFSET(A$1,,,SUMPRODUCT(MAX(ROW(E$1:E1176)*(E2=E$1:E1176))))))</f>
        <v/>
      </c>
      <c r="K1177" s="24" t="str">
        <f>IF(OR(E1177="",E1177="!!!",F1177="NEW"),"",INDEX(J$1:J1176,SUMPRODUCT(MAX(ROW(E$1:E1176)*(E1177=E$1:E1176)))))</f>
        <v/>
      </c>
      <c r="L1177" s="25"/>
    </row>
    <row r="1178" spans="1:12" x14ac:dyDescent="0.2">
      <c r="A1178" t="s">
        <v>1224</v>
      </c>
      <c r="B1178" s="26" t="s">
        <v>938</v>
      </c>
      <c r="C1178" s="26" t="s">
        <v>847</v>
      </c>
      <c r="D1178" s="26" t="s">
        <v>806</v>
      </c>
      <c r="E1178" s="20" t="s">
        <v>1220</v>
      </c>
      <c r="F1178" s="21" t="str">
        <f>IF(OR(E1178="",E1178="!!!"),"",IF(NOT(ISNA(VLOOKUP(E1178,E$1:E1177,1,FALSE()))),"OLD",IF(AND(E1178&lt;&gt;"",E1178&lt;&gt;"!!!"),"NEW","")))</f>
        <v>NEW</v>
      </c>
      <c r="G1178" s="22" t="s">
        <v>1820</v>
      </c>
      <c r="H1178" s="23" t="str">
        <f t="shared" ca="1" si="136"/>
        <v/>
      </c>
      <c r="I1178" s="24" t="str">
        <f>IF(OR(E1178="",E1178="!!!",F1178="NEW"),"",INDEX(B$2:B1177,-1+SUMPRODUCT(MAX(ROW(E$2:E1177)*(E1178=E$2:E1177)))))</f>
        <v/>
      </c>
      <c r="J1178" s="24" t="str">
        <f ca="1">IF(OR(E1178="",E1178="!!!",F1178="NEW"),"",COUNTBLANK(OFFSET(A$1,,,SUMPRODUCT(MAX(ROW(E$2:E1178)*(E1178=E$2:E1178)))))-COUNTBLANK(OFFSET(A$1,,,SUMPRODUCT(MAX(ROW(E$1:E1177)*(E2=E$1:E1177))))))</f>
        <v/>
      </c>
      <c r="K1178" s="24" t="str">
        <f>IF(OR(E1178="",E1178="!!!",F1178="NEW"),"",INDEX(J$1:J1177,SUMPRODUCT(MAX(ROW(E$1:E1177)*(E1178=E$1:E1177)))))</f>
        <v/>
      </c>
      <c r="L1178" s="25"/>
    </row>
    <row r="1179" spans="1:12" x14ac:dyDescent="0.2">
      <c r="A1179" t="s">
        <v>821</v>
      </c>
      <c r="E1179" s="20" t="str">
        <f t="shared" si="137"/>
        <v/>
      </c>
      <c r="F1179" s="21" t="str">
        <f>IF(OR(E1179="",E1179="!!!"),"",IF(NOT(ISNA(VLOOKUP(E1179,E$1:E1178,1,FALSE()))),"OLD",IF(AND(E1179&lt;&gt;"",E1179&lt;&gt;"!!!"),"NEW","")))</f>
        <v/>
      </c>
      <c r="G1179" s="22" t="str">
        <f>IF(OR(E1179="",E1179="!!!"),"",IF(OR(J1179=0,AND(J1179=1,K1179=1),AND(J1179=1,I1179="SBJ"),AND(J1179=1,I1179=0)),"?IN_FOCUS",IF(J1179&lt;=2,"?ACTIVATED",IF(J1179&lt;&gt;"","?FAMILIAR",IF(F1179="NEW",IF(ISNA(VLOOKUP(E1179,#REF!,1,FALSE())),"?TYPE_IDENTIFIABLE","?REFERENTIAL"),"_")))))</f>
        <v/>
      </c>
      <c r="H1179" s="23" t="str">
        <f t="shared" ca="1" si="136"/>
        <v/>
      </c>
      <c r="I1179" s="24" t="str">
        <f>IF(OR(E1179="",E1179="!!!",F1179="NEW"),"",INDEX(B$2:B1178,-1+SUMPRODUCT(MAX(ROW(E$2:E1178)*(E1179=E$2:E1178)))))</f>
        <v/>
      </c>
      <c r="J1179" s="24" t="str">
        <f ca="1">IF(OR(E1179="",E1179="!!!",F1179="NEW"),"",COUNTBLANK(OFFSET(A$1,,,SUMPRODUCT(MAX(ROW(E$2:E1179)*(E1179=E$2:E1179)))))-COUNTBLANK(OFFSET(A$1,,,SUMPRODUCT(MAX(ROW(E$1:E1178)*(E2=E$1:E1178))))))</f>
        <v/>
      </c>
      <c r="K1179" s="24" t="str">
        <f>IF(OR(E1179="",E1179="!!!",F1179="NEW"),"",INDEX(J$1:J1178,SUMPRODUCT(MAX(ROW(E$1:E1178)*(E1179=E$1:E1178)))))</f>
        <v/>
      </c>
      <c r="L1179" s="25"/>
    </row>
    <row r="1181" spans="1:12" x14ac:dyDescent="0.2">
      <c r="A1181" t="s">
        <v>1225</v>
      </c>
    </row>
    <row r="1182" spans="1:12" x14ac:dyDescent="0.2">
      <c r="A1182" t="s">
        <v>1216</v>
      </c>
      <c r="B1182" s="26" t="s">
        <v>804</v>
      </c>
      <c r="C1182" s="26" t="s">
        <v>805</v>
      </c>
      <c r="D1182" s="26" t="s">
        <v>806</v>
      </c>
      <c r="E1182" s="20" t="s">
        <v>1214</v>
      </c>
      <c r="F1182" s="21" t="str">
        <f>IF(OR(E1182="",E1182="!!!"),"",IF(NOT(ISNA(VLOOKUP(E1182,E$1:E1181,1,FALSE()))),"OLD",IF(AND(E1182&lt;&gt;"",E1182&lt;&gt;"!!!"),"NEW","")))</f>
        <v>OLD</v>
      </c>
      <c r="G1182" s="22" t="s">
        <v>1823</v>
      </c>
      <c r="H1182" s="23" t="str">
        <f t="shared" ref="H1182:H1202" ca="1" si="138">IF(J1182&lt;&gt;1,"",IF(I1182="SBJ","CB","?"))</f>
        <v/>
      </c>
      <c r="I1182" s="24" t="str">
        <f>IF(OR(E1182="",E1182="!!!",F1182="NEW"),"",INDEX(B$2:B1181,-1+SUMPRODUCT(MAX(ROW(E$2:E1181)*(E1182=E$2:E1181)))))</f>
        <v>SBJ</v>
      </c>
      <c r="J1182" s="24">
        <f ca="1">IF(OR(E1182="",E1182="!!!",F1182="NEW"),"",COUNTBLANK(OFFSET(A$1,,,SUMPRODUCT(MAX(ROW(E$2:E1182)*(E1182=E$2:E1182)))))-COUNTBLANK(OFFSET(A$1,,,SUMPRODUCT(MAX(ROW(E$1:E1181)*(E2=E$1:E1181))))))</f>
        <v>0</v>
      </c>
      <c r="K1182" s="24">
        <f ca="1">IF(OR(E1182="",E1182="!!!",F1182="NEW"),"",INDEX(J$1:J1181,SUMPRODUCT(MAX(ROW(E$1:E1181)*(E1182=E$1:E1181)))))</f>
        <v>0</v>
      </c>
      <c r="L1182" s="25"/>
    </row>
    <row r="1183" spans="1:12" x14ac:dyDescent="0.2">
      <c r="A1183" t="s">
        <v>1226</v>
      </c>
      <c r="E1183" s="20" t="str">
        <f t="shared" ref="E1183:E1202" si="139">IF(D1183="?OLD","!!!","")</f>
        <v/>
      </c>
      <c r="F1183" s="21" t="str">
        <f>IF(OR(E1183="",E1183="!!!"),"",IF(NOT(ISNA(VLOOKUP(E1183,E$1:E1182,1,FALSE()))),"OLD",IF(AND(E1183&lt;&gt;"",E1183&lt;&gt;"!!!"),"NEW","")))</f>
        <v/>
      </c>
      <c r="G1183" s="22" t="str">
        <f>IF(OR(E1183="",E1183="!!!"),"",IF(OR(J1183=0,AND(J1183=1,K1183=1),AND(J1183=1,I1183="SBJ"),AND(J1183=1,I1183=0)),"?IN_FOCUS",IF(J1183&lt;=2,"?ACTIVATED",IF(J1183&lt;&gt;"","?FAMILIAR",IF(F1183="NEW",IF(ISNA(VLOOKUP(E1183,#REF!,1,FALSE())),"?TYPE_IDENTIFIABLE","?REFERENTIAL"),"_")))))</f>
        <v/>
      </c>
      <c r="H1183" s="23" t="str">
        <f t="shared" ca="1" si="138"/>
        <v/>
      </c>
      <c r="I1183" s="24" t="str">
        <f>IF(OR(E1183="",E1183="!!!",F1183="NEW"),"",INDEX(B$2:B1182,-1+SUMPRODUCT(MAX(ROW(E$2:E1182)*(E1183=E$2:E1182)))))</f>
        <v/>
      </c>
      <c r="J1183" s="24" t="str">
        <f ca="1">IF(OR(E1183="",E1183="!!!",F1183="NEW"),"",COUNTBLANK(OFFSET(A$1,,,SUMPRODUCT(MAX(ROW(E$2:E1183)*(E1183=E$2:E1183)))))-COUNTBLANK(OFFSET(A$1,,,SUMPRODUCT(MAX(ROW(E$1:E1182)*(E2=E$1:E1182))))))</f>
        <v/>
      </c>
      <c r="K1183" s="24" t="str">
        <f>IF(OR(E1183="",E1183="!!!",F1183="NEW"),"",INDEX(J$1:J1182,SUMPRODUCT(MAX(ROW(E$1:E1182)*(E1183=E$1:E1182)))))</f>
        <v/>
      </c>
      <c r="L1183" s="25"/>
    </row>
    <row r="1184" spans="1:12" x14ac:dyDescent="0.2">
      <c r="A1184" t="s">
        <v>875</v>
      </c>
      <c r="E1184" s="20" t="str">
        <f t="shared" si="139"/>
        <v/>
      </c>
      <c r="F1184" s="21" t="str">
        <f>IF(OR(E1184="",E1184="!!!"),"",IF(NOT(ISNA(VLOOKUP(E1184,E$1:E1183,1,FALSE()))),"OLD",IF(AND(E1184&lt;&gt;"",E1184&lt;&gt;"!!!"),"NEW","")))</f>
        <v/>
      </c>
      <c r="G1184" s="22" t="str">
        <f>IF(OR(E1184="",E1184="!!!"),"",IF(OR(J1184=0,AND(J1184=1,K1184=1),AND(J1184=1,I1184="SBJ"),AND(J1184=1,I1184=0)),"?IN_FOCUS",IF(J1184&lt;=2,"?ACTIVATED",IF(J1184&lt;&gt;"","?FAMILIAR",IF(F1184="NEW",IF(ISNA(VLOOKUP(E1184,#REF!,1,FALSE())),"?TYPE_IDENTIFIABLE","?REFERENTIAL"),"_")))))</f>
        <v/>
      </c>
      <c r="H1184" s="23" t="str">
        <f t="shared" ca="1" si="138"/>
        <v/>
      </c>
      <c r="I1184" s="24" t="str">
        <f>IF(OR(E1184="",E1184="!!!",F1184="NEW"),"",INDEX(B$2:B1183,-1+SUMPRODUCT(MAX(ROW(E$2:E1183)*(E1184=E$2:E1183)))))</f>
        <v/>
      </c>
      <c r="J1184" s="24" t="str">
        <f ca="1">IF(OR(E1184="",E1184="!!!",F1184="NEW"),"",COUNTBLANK(OFFSET(A$1,,,SUMPRODUCT(MAX(ROW(E$2:E1184)*(E1184=E$2:E1184)))))-COUNTBLANK(OFFSET(A$1,,,SUMPRODUCT(MAX(ROW(E$1:E1183)*(E2=E$1:E1183))))))</f>
        <v/>
      </c>
      <c r="K1184" s="24" t="str">
        <f>IF(OR(E1184="",E1184="!!!",F1184="NEW"),"",INDEX(J$1:J1183,SUMPRODUCT(MAX(ROW(E$1:E1183)*(E1184=E$1:E1183)))))</f>
        <v/>
      </c>
      <c r="L1184" s="25"/>
    </row>
    <row r="1185" spans="1:12" x14ac:dyDescent="0.2">
      <c r="A1185" t="s">
        <v>1227</v>
      </c>
      <c r="E1185" s="20" t="str">
        <f t="shared" si="139"/>
        <v/>
      </c>
      <c r="F1185" s="21" t="str">
        <f>IF(OR(E1185="",E1185="!!!"),"",IF(NOT(ISNA(VLOOKUP(E1185,E$1:E1184,1,FALSE()))),"OLD",IF(AND(E1185&lt;&gt;"",E1185&lt;&gt;"!!!"),"NEW","")))</f>
        <v/>
      </c>
      <c r="G1185" s="22" t="str">
        <f>IF(OR(E1185="",E1185="!!!"),"",IF(OR(J1185=0,AND(J1185=1,K1185=1),AND(J1185=1,I1185="SBJ"),AND(J1185=1,I1185=0)),"?IN_FOCUS",IF(J1185&lt;=2,"?ACTIVATED",IF(J1185&lt;&gt;"","?FAMILIAR",IF(F1185="NEW",IF(ISNA(VLOOKUP(E1185,#REF!,1,FALSE())),"?TYPE_IDENTIFIABLE","?REFERENTIAL"),"_")))))</f>
        <v/>
      </c>
      <c r="H1185" s="23" t="str">
        <f t="shared" ca="1" si="138"/>
        <v/>
      </c>
      <c r="I1185" s="24" t="str">
        <f>IF(OR(E1185="",E1185="!!!",F1185="NEW"),"",INDEX(B$2:B1184,-1+SUMPRODUCT(MAX(ROW(E$2:E1184)*(E1185=E$2:E1184)))))</f>
        <v/>
      </c>
      <c r="J1185" s="24" t="str">
        <f ca="1">IF(OR(E1185="",E1185="!!!",F1185="NEW"),"",COUNTBLANK(OFFSET(A$1,,,SUMPRODUCT(MAX(ROW(E$2:E1185)*(E1185=E$2:E1185)))))-COUNTBLANK(OFFSET(A$1,,,SUMPRODUCT(MAX(ROW(E$1:E1184)*(E2=E$1:E1184))))))</f>
        <v/>
      </c>
      <c r="K1185" s="24" t="str">
        <f>IF(OR(E1185="",E1185="!!!",F1185="NEW"),"",INDEX(J$1:J1184,SUMPRODUCT(MAX(ROW(E$1:E1184)*(E1185=E$1:E1184)))))</f>
        <v/>
      </c>
      <c r="L1185" s="25"/>
    </row>
    <row r="1186" spans="1:12" x14ac:dyDescent="0.2">
      <c r="A1186" t="s">
        <v>1228</v>
      </c>
      <c r="B1186" s="26" t="s">
        <v>810</v>
      </c>
      <c r="C1186" s="26" t="s">
        <v>877</v>
      </c>
      <c r="D1186" s="26" t="s">
        <v>806</v>
      </c>
      <c r="E1186" s="20"/>
      <c r="F1186" s="21" t="str">
        <f>IF(OR(E1186="",E1186="!!!"),"",IF(NOT(ISNA(VLOOKUP(E1186,E$1:E1185,1,FALSE()))),"OLD",IF(AND(E1186&lt;&gt;"",E1186&lt;&gt;"!!!"),"NEW","")))</f>
        <v/>
      </c>
      <c r="G1186" s="22"/>
      <c r="H1186" s="23" t="str">
        <f t="shared" ca="1" si="138"/>
        <v/>
      </c>
      <c r="I1186" s="24" t="str">
        <f>IF(OR(E1186="",E1186="!!!",F1186="NEW"),"",INDEX(B$2:B1185,-1+SUMPRODUCT(MAX(ROW(E$2:E1185)*(E1186=E$2:E1185)))))</f>
        <v/>
      </c>
      <c r="J1186" s="24" t="str">
        <f ca="1">IF(OR(E1186="",E1186="!!!",F1186="NEW"),"",COUNTBLANK(OFFSET(A$1,,,SUMPRODUCT(MAX(ROW(E$2:E1186)*(E1186=E$2:E1186)))))-COUNTBLANK(OFFSET(A$1,,,SUMPRODUCT(MAX(ROW(E$1:E1185)*(E2=E$1:E1185))))))</f>
        <v/>
      </c>
      <c r="K1186" s="24" t="str">
        <f>IF(OR(E1186="",E1186="!!!",F1186="NEW"),"",INDEX(J$1:J1185,SUMPRODUCT(MAX(ROW(E$1:E1185)*(E1186=E$1:E1185)))))</f>
        <v/>
      </c>
      <c r="L1186" s="25"/>
    </row>
    <row r="1187" spans="1:12" x14ac:dyDescent="0.2">
      <c r="A1187" t="s">
        <v>812</v>
      </c>
      <c r="E1187" s="20" t="str">
        <f t="shared" si="139"/>
        <v/>
      </c>
      <c r="F1187" s="21" t="str">
        <f>IF(OR(E1187="",E1187="!!!"),"",IF(NOT(ISNA(VLOOKUP(E1187,E$1:E1186,1,FALSE()))),"OLD",IF(AND(E1187&lt;&gt;"",E1187&lt;&gt;"!!!"),"NEW","")))</f>
        <v/>
      </c>
      <c r="G1187" s="22" t="str">
        <f>IF(OR(E1187="",E1187="!!!"),"",IF(OR(J1187=0,AND(J1187=1,K1187=1),AND(J1187=1,I1187="SBJ"),AND(J1187=1,I1187=0)),"?IN_FOCUS",IF(J1187&lt;=2,"?ACTIVATED",IF(J1187&lt;&gt;"","?FAMILIAR",IF(F1187="NEW",IF(ISNA(VLOOKUP(E1187,#REF!,1,FALSE())),"?TYPE_IDENTIFIABLE","?REFERENTIAL"),"_")))))</f>
        <v/>
      </c>
      <c r="H1187" s="23" t="str">
        <f t="shared" ca="1" si="138"/>
        <v/>
      </c>
      <c r="I1187" s="24" t="str">
        <f>IF(OR(E1187="",E1187="!!!",F1187="NEW"),"",INDEX(B$2:B1186,-1+SUMPRODUCT(MAX(ROW(E$2:E1186)*(E1187=E$2:E1186)))))</f>
        <v/>
      </c>
      <c r="J1187" s="24" t="str">
        <f ca="1">IF(OR(E1187="",E1187="!!!",F1187="NEW"),"",COUNTBLANK(OFFSET(A$1,,,SUMPRODUCT(MAX(ROW(E$2:E1187)*(E1187=E$2:E1187)))))-COUNTBLANK(OFFSET(A$1,,,SUMPRODUCT(MAX(ROW(E$1:E1186)*(E2=E$1:E1186))))))</f>
        <v/>
      </c>
      <c r="K1187" s="24" t="str">
        <f>IF(OR(E1187="",E1187="!!!",F1187="NEW"),"",INDEX(J$1:J1186,SUMPRODUCT(MAX(ROW(E$1:E1186)*(E1187=E$1:E1186)))))</f>
        <v/>
      </c>
      <c r="L1187" s="25"/>
    </row>
    <row r="1188" spans="1:12" x14ac:dyDescent="0.2">
      <c r="A1188" t="s">
        <v>1229</v>
      </c>
      <c r="B1188" s="26" t="s">
        <v>813</v>
      </c>
      <c r="C1188" s="26" t="s">
        <v>814</v>
      </c>
      <c r="E1188" s="20" t="s">
        <v>1229</v>
      </c>
      <c r="F1188" s="21" t="str">
        <f>IF(OR(E1188="",E1188="!!!"),"",IF(NOT(ISNA(VLOOKUP(E1188,E$1:E1187,1,FALSE()))),"OLD",IF(AND(E1188&lt;&gt;"",E1188&lt;&gt;"!!!"),"NEW","")))</f>
        <v>NEW</v>
      </c>
      <c r="G1188" s="22" t="s">
        <v>1824</v>
      </c>
      <c r="H1188" s="23" t="str">
        <f t="shared" ca="1" si="138"/>
        <v/>
      </c>
      <c r="I1188" s="24" t="str">
        <f>IF(OR(E1188="",E1188="!!!",F1188="NEW"),"",INDEX(B$2:B1187,-1+SUMPRODUCT(MAX(ROW(E$2:E1187)*(E1188=E$2:E1187)))))</f>
        <v/>
      </c>
      <c r="J1188" s="24" t="str">
        <f ca="1">IF(OR(E1188="",E1188="!!!",F1188="NEW"),"",COUNTBLANK(OFFSET(A$1,,,SUMPRODUCT(MAX(ROW(E$2:E1188)*(E1188=E$2:E1188)))))-COUNTBLANK(OFFSET(A$1,,,SUMPRODUCT(MAX(ROW(E$1:E1187)*(E2=E$1:E1187))))))</f>
        <v/>
      </c>
      <c r="K1188" s="24" t="str">
        <f>IF(OR(E1188="",E1188="!!!",F1188="NEW"),"",INDEX(J$1:J1187,SUMPRODUCT(MAX(ROW(E$1:E1187)*(E1188=E$1:E1187)))))</f>
        <v/>
      </c>
      <c r="L1188" s="25"/>
    </row>
    <row r="1189" spans="1:12" x14ac:dyDescent="0.2">
      <c r="A1189" t="s">
        <v>802</v>
      </c>
      <c r="E1189" s="20" t="str">
        <f t="shared" si="139"/>
        <v/>
      </c>
      <c r="F1189" s="21" t="str">
        <f>IF(OR(E1189="",E1189="!!!"),"",IF(NOT(ISNA(VLOOKUP(E1189,E$1:E1188,1,FALSE()))),"OLD",IF(AND(E1189&lt;&gt;"",E1189&lt;&gt;"!!!"),"NEW","")))</f>
        <v/>
      </c>
      <c r="G1189" s="22" t="str">
        <f>IF(OR(E1189="",E1189="!!!"),"",IF(OR(J1189=0,AND(J1189=1,K1189=1),AND(J1189=1,I1189="SBJ"),AND(J1189=1,I1189=0)),"?IN_FOCUS",IF(J1189&lt;=2,"?ACTIVATED",IF(J1189&lt;&gt;"","?FAMILIAR",IF(F1189="NEW",IF(ISNA(VLOOKUP(E1189,#REF!,1,FALSE())),"?TYPE_IDENTIFIABLE","?REFERENTIAL"),"_")))))</f>
        <v/>
      </c>
      <c r="H1189" s="23" t="str">
        <f t="shared" ca="1" si="138"/>
        <v/>
      </c>
      <c r="I1189" s="24" t="str">
        <f>IF(OR(E1189="",E1189="!!!",F1189="NEW"),"",INDEX(B$2:B1188,-1+SUMPRODUCT(MAX(ROW(E$2:E1188)*(E1189=E$2:E1188)))))</f>
        <v/>
      </c>
      <c r="J1189" s="24" t="str">
        <f ca="1">IF(OR(E1189="",E1189="!!!",F1189="NEW"),"",COUNTBLANK(OFFSET(A$1,,,SUMPRODUCT(MAX(ROW(E$2:E1189)*(E1189=E$2:E1189)))))-COUNTBLANK(OFFSET(A$1,,,SUMPRODUCT(MAX(ROW(E$1:E1188)*(E2=E$1:E1188))))))</f>
        <v/>
      </c>
      <c r="K1189" s="24" t="str">
        <f>IF(OR(E1189="",E1189="!!!",F1189="NEW"),"",INDEX(J$1:J1188,SUMPRODUCT(MAX(ROW(E$1:E1188)*(E1189=E$1:E1188)))))</f>
        <v/>
      </c>
      <c r="L1189" s="25"/>
    </row>
    <row r="1190" spans="1:12" x14ac:dyDescent="0.2">
      <c r="A1190" t="s">
        <v>888</v>
      </c>
      <c r="E1190" s="20" t="str">
        <f t="shared" si="139"/>
        <v/>
      </c>
      <c r="F1190" s="21" t="str">
        <f>IF(OR(E1190="",E1190="!!!"),"",IF(NOT(ISNA(VLOOKUP(E1190,E$1:E1189,1,FALSE()))),"OLD",IF(AND(E1190&lt;&gt;"",E1190&lt;&gt;"!!!"),"NEW","")))</f>
        <v/>
      </c>
      <c r="G1190" s="22" t="str">
        <f>IF(OR(E1190="",E1190="!!!"),"",IF(OR(J1190=0,AND(J1190=1,K1190=1),AND(J1190=1,I1190="SBJ"),AND(J1190=1,I1190=0)),"?IN_FOCUS",IF(J1190&lt;=2,"?ACTIVATED",IF(J1190&lt;&gt;"","?FAMILIAR",IF(F1190="NEW",IF(ISNA(VLOOKUP(E1190,#REF!,1,FALSE())),"?TYPE_IDENTIFIABLE","?REFERENTIAL"),"_")))))</f>
        <v/>
      </c>
      <c r="H1190" s="23" t="str">
        <f t="shared" ca="1" si="138"/>
        <v/>
      </c>
      <c r="I1190" s="24" t="str">
        <f>IF(OR(E1190="",E1190="!!!",F1190="NEW"),"",INDEX(B$2:B1189,-1+SUMPRODUCT(MAX(ROW(E$2:E1189)*(E1190=E$2:E1189)))))</f>
        <v/>
      </c>
      <c r="J1190" s="24" t="str">
        <f ca="1">IF(OR(E1190="",E1190="!!!",F1190="NEW"),"",COUNTBLANK(OFFSET(A$1,,,SUMPRODUCT(MAX(ROW(E$2:E1190)*(E1190=E$2:E1190)))))-COUNTBLANK(OFFSET(A$1,,,SUMPRODUCT(MAX(ROW(E$1:E1189)*(E2=E$1:E1189))))))</f>
        <v/>
      </c>
      <c r="K1190" s="24" t="str">
        <f>IF(OR(E1190="",E1190="!!!",F1190="NEW"),"",INDEX(J$1:J1189,SUMPRODUCT(MAX(ROW(E$1:E1189)*(E1190=E$1:E1189)))))</f>
        <v/>
      </c>
      <c r="L1190" s="25"/>
    </row>
    <row r="1191" spans="1:12" x14ac:dyDescent="0.2">
      <c r="A1191" t="s">
        <v>949</v>
      </c>
      <c r="B1191" s="26" t="s">
        <v>950</v>
      </c>
      <c r="C1191" s="26" t="s">
        <v>805</v>
      </c>
      <c r="D1191" s="26" t="s">
        <v>806</v>
      </c>
      <c r="E1191" s="20" t="s">
        <v>1214</v>
      </c>
      <c r="F1191" s="21" t="str">
        <f>IF(OR(E1191="",E1191="!!!"),"",IF(NOT(ISNA(VLOOKUP(E1191,E$1:E1190,1,FALSE()))),"OLD",IF(AND(E1191&lt;&gt;"",E1191&lt;&gt;"!!!"),"NEW","")))</f>
        <v>OLD</v>
      </c>
      <c r="G1191" s="22" t="s">
        <v>1823</v>
      </c>
      <c r="H1191" s="23" t="str">
        <f t="shared" ca="1" si="138"/>
        <v/>
      </c>
      <c r="I1191" s="24" t="str">
        <f>IF(OR(E1191="",E1191="!!!",F1191="NEW"),"",INDEX(B$2:B1190,-1+SUMPRODUCT(MAX(ROW(E$2:E1190)*(E1191=E$2:E1190)))))</f>
        <v>SBJ</v>
      </c>
      <c r="J1191" s="24">
        <f ca="1">IF(OR(E1191="",E1191="!!!",F1191="NEW"),"",COUNTBLANK(OFFSET(A$1,,,SUMPRODUCT(MAX(ROW(E$2:E1191)*(E1191=E$2:E1191)))))-COUNTBLANK(OFFSET(A$1,,,SUMPRODUCT(MAX(ROW(E$1:E1190)*(E2=E$1:E1190))))))</f>
        <v>0</v>
      </c>
      <c r="K1191" s="24">
        <f ca="1">IF(OR(E1191="",E1191="!!!",F1191="NEW"),"",INDEX(J$1:J1190,SUMPRODUCT(MAX(ROW(E$1:E1190)*(E1191=E$1:E1190)))))</f>
        <v>0</v>
      </c>
      <c r="L1191" s="25"/>
    </row>
    <row r="1192" spans="1:12" x14ac:dyDescent="0.2">
      <c r="A1192" t="s">
        <v>1230</v>
      </c>
      <c r="E1192" s="20" t="str">
        <f t="shared" si="139"/>
        <v/>
      </c>
      <c r="F1192" s="21" t="str">
        <f>IF(OR(E1192="",E1192="!!!"),"",IF(NOT(ISNA(VLOOKUP(E1192,E$1:E1191,1,FALSE()))),"OLD",IF(AND(E1192&lt;&gt;"",E1192&lt;&gt;"!!!"),"NEW","")))</f>
        <v/>
      </c>
      <c r="G1192" s="22" t="str">
        <f>IF(OR(E1192="",E1192="!!!"),"",IF(OR(J1192=0,AND(J1192=1,K1192=1),AND(J1192=1,I1192="SBJ"),AND(J1192=1,I1192=0)),"?IN_FOCUS",IF(J1192&lt;=2,"?ACTIVATED",IF(J1192&lt;&gt;"","?FAMILIAR",IF(F1192="NEW",IF(ISNA(VLOOKUP(E1192,#REF!,1,FALSE())),"?TYPE_IDENTIFIABLE","?REFERENTIAL"),"_")))))</f>
        <v/>
      </c>
      <c r="H1192" s="23" t="str">
        <f t="shared" ca="1" si="138"/>
        <v/>
      </c>
      <c r="I1192" s="24" t="str">
        <f>IF(OR(E1192="",E1192="!!!",F1192="NEW"),"",INDEX(B$2:B1191,-1+SUMPRODUCT(MAX(ROW(E$2:E1191)*(E1192=E$2:E1191)))))</f>
        <v/>
      </c>
      <c r="J1192" s="24" t="str">
        <f ca="1">IF(OR(E1192="",E1192="!!!",F1192="NEW"),"",COUNTBLANK(OFFSET(A$1,,,SUMPRODUCT(MAX(ROW(E$2:E1192)*(E1192=E$2:E1192)))))-COUNTBLANK(OFFSET(A$1,,,SUMPRODUCT(MAX(ROW(E$1:E1191)*(E2=E$1:E1191))))))</f>
        <v/>
      </c>
      <c r="K1192" s="24" t="str">
        <f>IF(OR(E1192="",E1192="!!!",F1192="NEW"),"",INDEX(J$1:J1191,SUMPRODUCT(MAX(ROW(E$1:E1191)*(E1192=E$1:E1191)))))</f>
        <v/>
      </c>
      <c r="L1192" s="25"/>
    </row>
    <row r="1193" spans="1:12" x14ac:dyDescent="0.2">
      <c r="A1193" t="s">
        <v>1231</v>
      </c>
      <c r="B1193" s="26" t="s">
        <v>938</v>
      </c>
      <c r="C1193" s="26" t="s">
        <v>814</v>
      </c>
      <c r="E1193" s="20" t="str">
        <f t="shared" si="139"/>
        <v/>
      </c>
      <c r="F1193" s="21" t="str">
        <f>IF(OR(E1193="",E1193="!!!"),"",IF(NOT(ISNA(VLOOKUP(E1193,E$1:E1192,1,FALSE()))),"OLD",IF(AND(E1193&lt;&gt;"",E1193&lt;&gt;"!!!"),"NEW","")))</f>
        <v/>
      </c>
      <c r="G1193" s="22" t="str">
        <f>IF(OR(E1193="",E1193="!!!"),"",IF(OR(J1193=0,AND(J1193=1,K1193=1),AND(J1193=1,I1193="SBJ"),AND(J1193=1,I1193=0)),"?IN_FOCUS",IF(J1193&lt;=2,"?ACTIVATED",IF(J1193&lt;&gt;"","?FAMILIAR",IF(F1193="NEW",IF(ISNA(VLOOKUP(E1193,#REF!,1,FALSE())),"?TYPE_IDENTIFIABLE","?REFERENTIAL"),"_")))))</f>
        <v/>
      </c>
      <c r="H1193" s="23" t="str">
        <f t="shared" ca="1" si="138"/>
        <v/>
      </c>
      <c r="I1193" s="24" t="str">
        <f>IF(OR(E1193="",E1193="!!!",F1193="NEW"),"",INDEX(B$2:B1192,-1+SUMPRODUCT(MAX(ROW(E$2:E1192)*(E1193=E$2:E1192)))))</f>
        <v/>
      </c>
      <c r="J1193" s="24" t="str">
        <f ca="1">IF(OR(E1193="",E1193="!!!",F1193="NEW"),"",COUNTBLANK(OFFSET(A$1,,,SUMPRODUCT(MAX(ROW(E$2:E1193)*(E1193=E$2:E1193)))))-COUNTBLANK(OFFSET(A$1,,,SUMPRODUCT(MAX(ROW(E$1:E1192)*(E2=E$1:E1192))))))</f>
        <v/>
      </c>
      <c r="K1193" s="24" t="str">
        <f>IF(OR(E1193="",E1193="!!!",F1193="NEW"),"",INDEX(J$1:J1192,SUMPRODUCT(MAX(ROW(E$1:E1192)*(E1193=E$1:E1192)))))</f>
        <v/>
      </c>
      <c r="L1193" s="25"/>
    </row>
    <row r="1194" spans="1:12" x14ac:dyDescent="0.2">
      <c r="A1194" t="s">
        <v>1057</v>
      </c>
      <c r="E1194" s="20" t="str">
        <f t="shared" si="139"/>
        <v/>
      </c>
      <c r="F1194" s="21" t="str">
        <f>IF(OR(E1194="",E1194="!!!"),"",IF(NOT(ISNA(VLOOKUP(E1194,E$1:E1193,1,FALSE()))),"OLD",IF(AND(E1194&lt;&gt;"",E1194&lt;&gt;"!!!"),"NEW","")))</f>
        <v/>
      </c>
      <c r="G1194" s="22" t="str">
        <f>IF(OR(E1194="",E1194="!!!"),"",IF(OR(J1194=0,AND(J1194=1,K1194=1),AND(J1194=1,I1194="SBJ"),AND(J1194=1,I1194=0)),"?IN_FOCUS",IF(J1194&lt;=2,"?ACTIVATED",IF(J1194&lt;&gt;"","?FAMILIAR",IF(F1194="NEW",IF(ISNA(VLOOKUP(E1194,#REF!,1,FALSE())),"?TYPE_IDENTIFIABLE","?REFERENTIAL"),"_")))))</f>
        <v/>
      </c>
      <c r="H1194" s="23" t="str">
        <f t="shared" ca="1" si="138"/>
        <v/>
      </c>
      <c r="I1194" s="24" t="str">
        <f>IF(OR(E1194="",E1194="!!!",F1194="NEW"),"",INDEX(B$2:B1193,-1+SUMPRODUCT(MAX(ROW(E$2:E1193)*(E1194=E$2:E1193)))))</f>
        <v/>
      </c>
      <c r="J1194" s="24" t="str">
        <f ca="1">IF(OR(E1194="",E1194="!!!",F1194="NEW"),"",COUNTBLANK(OFFSET(A$1,,,SUMPRODUCT(MAX(ROW(E$2:E1194)*(E1194=E$2:E1194)))))-COUNTBLANK(OFFSET(A$1,,,SUMPRODUCT(MAX(ROW(E$1:E1193)*(E2=E$1:E1193))))))</f>
        <v/>
      </c>
      <c r="K1194" s="24" t="str">
        <f>IF(OR(E1194="",E1194="!!!",F1194="NEW"),"",INDEX(J$1:J1193,SUMPRODUCT(MAX(ROW(E$1:E1193)*(E1194=E$1:E1193)))))</f>
        <v/>
      </c>
      <c r="L1194" s="25"/>
    </row>
    <row r="1195" spans="1:12" x14ac:dyDescent="0.2">
      <c r="A1195" t="s">
        <v>845</v>
      </c>
      <c r="E1195" s="20" t="str">
        <f t="shared" si="139"/>
        <v/>
      </c>
      <c r="F1195" s="21" t="str">
        <f>IF(OR(E1195="",E1195="!!!"),"",IF(NOT(ISNA(VLOOKUP(E1195,E$1:E1194,1,FALSE()))),"OLD",IF(AND(E1195&lt;&gt;"",E1195&lt;&gt;"!!!"),"NEW","")))</f>
        <v/>
      </c>
      <c r="G1195" s="22" t="str">
        <f>IF(OR(E1195="",E1195="!!!"),"",IF(OR(J1195=0,AND(J1195=1,K1195=1),AND(J1195=1,I1195="SBJ"),AND(J1195=1,I1195=0)),"?IN_FOCUS",IF(J1195&lt;=2,"?ACTIVATED",IF(J1195&lt;&gt;"","?FAMILIAR",IF(F1195="NEW",IF(ISNA(VLOOKUP(E1195,#REF!,1,FALSE())),"?TYPE_IDENTIFIABLE","?REFERENTIAL"),"_")))))</f>
        <v/>
      </c>
      <c r="H1195" s="23" t="str">
        <f t="shared" ca="1" si="138"/>
        <v/>
      </c>
      <c r="I1195" s="24" t="str">
        <f>IF(OR(E1195="",E1195="!!!",F1195="NEW"),"",INDEX(B$2:B1194,-1+SUMPRODUCT(MAX(ROW(E$2:E1194)*(E1195=E$2:E1194)))))</f>
        <v/>
      </c>
      <c r="J1195" s="24" t="str">
        <f ca="1">IF(OR(E1195="",E1195="!!!",F1195="NEW"),"",COUNTBLANK(OFFSET(A$1,,,SUMPRODUCT(MAX(ROW(E$2:E1195)*(E1195=E$2:E1195)))))-COUNTBLANK(OFFSET(A$1,,,SUMPRODUCT(MAX(ROW(E$1:E1194)*(E2=E$1:E1194))))))</f>
        <v/>
      </c>
      <c r="K1195" s="24" t="str">
        <f>IF(OR(E1195="",E1195="!!!",F1195="NEW"),"",INDEX(J$1:J1194,SUMPRODUCT(MAX(ROW(E$1:E1194)*(E1195=E$1:E1194)))))</f>
        <v/>
      </c>
      <c r="L1195" s="25"/>
    </row>
    <row r="1196" spans="1:12" x14ac:dyDescent="0.2">
      <c r="A1196" t="s">
        <v>1224</v>
      </c>
      <c r="B1196" s="26" t="s">
        <v>813</v>
      </c>
      <c r="C1196" s="26" t="s">
        <v>847</v>
      </c>
      <c r="D1196" s="26" t="s">
        <v>806</v>
      </c>
      <c r="E1196" s="20" t="s">
        <v>1220</v>
      </c>
      <c r="F1196" s="21" t="str">
        <f>IF(OR(E1196="",E1196="!!!"),"",IF(NOT(ISNA(VLOOKUP(E1196,E$1:E1195,1,FALSE()))),"OLD",IF(AND(E1196&lt;&gt;"",E1196&lt;&gt;"!!!"),"NEW","")))</f>
        <v>OLD</v>
      </c>
      <c r="G1196" s="22" t="s">
        <v>1822</v>
      </c>
      <c r="H1196" s="23" t="str">
        <f t="shared" ca="1" si="138"/>
        <v/>
      </c>
      <c r="I1196" s="24" t="str">
        <f>IF(OR(E1196="",E1196="!!!",F1196="NEW"),"",INDEX(B$2:B1195,-1+SUMPRODUCT(MAX(ROW(E$2:E1195)*(E1196=E$2:E1195)))))</f>
        <v>OBJ_2</v>
      </c>
      <c r="J1196" s="24">
        <f ca="1">IF(OR(E1196="",E1196="!!!",F1196="NEW"),"",COUNTBLANK(OFFSET(A$1,,,SUMPRODUCT(MAX(ROW(E$2:E1196)*(E1196=E$2:E1196)))))-COUNTBLANK(OFFSET(A$1,,,SUMPRODUCT(MAX(ROW(E$1:E1195)*(E2=E$1:E1195))))))</f>
        <v>0</v>
      </c>
      <c r="K1196" s="24" t="str">
        <f ca="1">IF(OR(E1196="",E1196="!!!",F1196="NEW"),"",INDEX(J$1:J1195,SUMPRODUCT(MAX(ROW(E$1:E1195)*(E1196=E$1:E1195)))))</f>
        <v/>
      </c>
      <c r="L1196" s="25"/>
    </row>
    <row r="1197" spans="1:12" x14ac:dyDescent="0.2">
      <c r="A1197" t="s">
        <v>888</v>
      </c>
      <c r="E1197" s="20" t="str">
        <f t="shared" si="139"/>
        <v/>
      </c>
      <c r="F1197" s="21" t="str">
        <f>IF(OR(E1197="",E1197="!!!"),"",IF(NOT(ISNA(VLOOKUP(E1197,E$1:E1196,1,FALSE()))),"OLD",IF(AND(E1197&lt;&gt;"",E1197&lt;&gt;"!!!"),"NEW","")))</f>
        <v/>
      </c>
      <c r="G1197" s="22" t="str">
        <f>IF(OR(E1197="",E1197="!!!"),"",IF(OR(J1197=0,AND(J1197=1,K1197=1),AND(J1197=1,I1197="SBJ"),AND(J1197=1,I1197=0)),"?IN_FOCUS",IF(J1197&lt;=2,"?ACTIVATED",IF(J1197&lt;&gt;"","?FAMILIAR",IF(F1197="NEW",IF(ISNA(VLOOKUP(E1197,#REF!,1,FALSE())),"?TYPE_IDENTIFIABLE","?REFERENTIAL"),"_")))))</f>
        <v/>
      </c>
      <c r="H1197" s="23" t="str">
        <f t="shared" ca="1" si="138"/>
        <v/>
      </c>
      <c r="I1197" s="24" t="str">
        <f>IF(OR(E1197="",E1197="!!!",F1197="NEW"),"",INDEX(B$2:B1196,-1+SUMPRODUCT(MAX(ROW(E$2:E1196)*(E1197=E$2:E1196)))))</f>
        <v/>
      </c>
      <c r="J1197" s="24" t="str">
        <f ca="1">IF(OR(E1197="",E1197="!!!",F1197="NEW"),"",COUNTBLANK(OFFSET(A$1,,,SUMPRODUCT(MAX(ROW(E$2:E1197)*(E1197=E$2:E1197)))))-COUNTBLANK(OFFSET(A$1,,,SUMPRODUCT(MAX(ROW(E$1:E1196)*(E2=E$1:E1196))))))</f>
        <v/>
      </c>
      <c r="K1197" s="24" t="str">
        <f>IF(OR(E1197="",E1197="!!!",F1197="NEW"),"",INDEX(J$1:J1196,SUMPRODUCT(MAX(ROW(E$1:E1196)*(E1197=E$1:E1196)))))</f>
        <v/>
      </c>
      <c r="L1197" s="25"/>
    </row>
    <row r="1198" spans="1:12" x14ac:dyDescent="0.2">
      <c r="A1198" t="s">
        <v>1021</v>
      </c>
      <c r="E1198" s="20" t="str">
        <f t="shared" si="139"/>
        <v/>
      </c>
      <c r="F1198" s="21" t="str">
        <f>IF(OR(E1198="",E1198="!!!"),"",IF(NOT(ISNA(VLOOKUP(E1198,E$1:E1197,1,FALSE()))),"OLD",IF(AND(E1198&lt;&gt;"",E1198&lt;&gt;"!!!"),"NEW","")))</f>
        <v/>
      </c>
      <c r="G1198" s="22" t="str">
        <f>IF(OR(E1198="",E1198="!!!"),"",IF(OR(J1198=0,AND(J1198=1,K1198=1),AND(J1198=1,I1198="SBJ"),AND(J1198=1,I1198=0)),"?IN_FOCUS",IF(J1198&lt;=2,"?ACTIVATED",IF(J1198&lt;&gt;"","?FAMILIAR",IF(F1198="NEW",IF(ISNA(VLOOKUP(E1198,#REF!,1,FALSE())),"?TYPE_IDENTIFIABLE","?REFERENTIAL"),"_")))))</f>
        <v/>
      </c>
      <c r="H1198" s="23" t="str">
        <f t="shared" ca="1" si="138"/>
        <v/>
      </c>
      <c r="I1198" s="24" t="str">
        <f>IF(OR(E1198="",E1198="!!!",F1198="NEW"),"",INDEX(B$2:B1197,-1+SUMPRODUCT(MAX(ROW(E$2:E1197)*(E1198=E$2:E1197)))))</f>
        <v/>
      </c>
      <c r="J1198" s="24" t="str">
        <f ca="1">IF(OR(E1198="",E1198="!!!",F1198="NEW"),"",COUNTBLANK(OFFSET(A$1,,,SUMPRODUCT(MAX(ROW(E$2:E1198)*(E1198=E$2:E1198)))))-COUNTBLANK(OFFSET(A$1,,,SUMPRODUCT(MAX(ROW(E$1:E1197)*(E2=E$1:E1197))))))</f>
        <v/>
      </c>
      <c r="K1198" s="24" t="str">
        <f>IF(OR(E1198="",E1198="!!!",F1198="NEW"),"",INDEX(J$1:J1197,SUMPRODUCT(MAX(ROW(E$1:E1197)*(E1198=E$1:E1197)))))</f>
        <v/>
      </c>
      <c r="L1198" s="25"/>
    </row>
    <row r="1199" spans="1:12" x14ac:dyDescent="0.2">
      <c r="A1199" t="s">
        <v>1109</v>
      </c>
      <c r="E1199" s="20" t="str">
        <f t="shared" si="139"/>
        <v/>
      </c>
      <c r="F1199" s="21" t="str">
        <f>IF(OR(E1199="",E1199="!!!"),"",IF(NOT(ISNA(VLOOKUP(E1199,E$1:E1198,1,FALSE()))),"OLD",IF(AND(E1199&lt;&gt;"",E1199&lt;&gt;"!!!"),"NEW","")))</f>
        <v/>
      </c>
      <c r="G1199" s="22" t="str">
        <f>IF(OR(E1199="",E1199="!!!"),"",IF(OR(J1199=0,AND(J1199=1,K1199=1),AND(J1199=1,I1199="SBJ"),AND(J1199=1,I1199=0)),"?IN_FOCUS",IF(J1199&lt;=2,"?ACTIVATED",IF(J1199&lt;&gt;"","?FAMILIAR",IF(F1199="NEW",IF(ISNA(VLOOKUP(E1199,#REF!,1,FALSE())),"?TYPE_IDENTIFIABLE","?REFERENTIAL"),"_")))))</f>
        <v/>
      </c>
      <c r="H1199" s="23" t="str">
        <f t="shared" ca="1" si="138"/>
        <v/>
      </c>
      <c r="I1199" s="24" t="str">
        <f>IF(OR(E1199="",E1199="!!!",F1199="NEW"),"",INDEX(B$2:B1198,-1+SUMPRODUCT(MAX(ROW(E$2:E1198)*(E1199=E$2:E1198)))))</f>
        <v/>
      </c>
      <c r="J1199" s="24" t="str">
        <f ca="1">IF(OR(E1199="",E1199="!!!",F1199="NEW"),"",COUNTBLANK(OFFSET(A$1,,,SUMPRODUCT(MAX(ROW(E$2:E1199)*(E1199=E$2:E1199)))))-COUNTBLANK(OFFSET(A$1,,,SUMPRODUCT(MAX(ROW(E$1:E1198)*(E2=E$1:E1198))))))</f>
        <v/>
      </c>
      <c r="K1199" s="24" t="str">
        <f>IF(OR(E1199="",E1199="!!!",F1199="NEW"),"",INDEX(J$1:J1198,SUMPRODUCT(MAX(ROW(E$1:E1198)*(E1199=E$1:E1198)))))</f>
        <v/>
      </c>
      <c r="L1199" s="25"/>
    </row>
    <row r="1200" spans="1:12" x14ac:dyDescent="0.2">
      <c r="A1200" t="s">
        <v>845</v>
      </c>
      <c r="E1200" s="20" t="str">
        <f t="shared" si="139"/>
        <v/>
      </c>
      <c r="F1200" s="21" t="str">
        <f>IF(OR(E1200="",E1200="!!!"),"",IF(NOT(ISNA(VLOOKUP(E1200,E$1:E1199,1,FALSE()))),"OLD",IF(AND(E1200&lt;&gt;"",E1200&lt;&gt;"!!!"),"NEW","")))</f>
        <v/>
      </c>
      <c r="G1200" s="22" t="str">
        <f>IF(OR(E1200="",E1200="!!!"),"",IF(OR(J1200=0,AND(J1200=1,K1200=1),AND(J1200=1,I1200="SBJ"),AND(J1200=1,I1200=0)),"?IN_FOCUS",IF(J1200&lt;=2,"?ACTIVATED",IF(J1200&lt;&gt;"","?FAMILIAR",IF(F1200="NEW",IF(ISNA(VLOOKUP(E1200,#REF!,1,FALSE())),"?TYPE_IDENTIFIABLE","?REFERENTIAL"),"_")))))</f>
        <v/>
      </c>
      <c r="H1200" s="23" t="str">
        <f t="shared" ca="1" si="138"/>
        <v/>
      </c>
      <c r="I1200" s="24" t="str">
        <f>IF(OR(E1200="",E1200="!!!",F1200="NEW"),"",INDEX(B$2:B1199,-1+SUMPRODUCT(MAX(ROW(E$2:E1199)*(E1200=E$2:E1199)))))</f>
        <v/>
      </c>
      <c r="J1200" s="24" t="str">
        <f ca="1">IF(OR(E1200="",E1200="!!!",F1200="NEW"),"",COUNTBLANK(OFFSET(A$1,,,SUMPRODUCT(MAX(ROW(E$2:E1200)*(E1200=E$2:E1200)))))-COUNTBLANK(OFFSET(A$1,,,SUMPRODUCT(MAX(ROW(E$1:E1199)*(E2=E$1:E1199))))))</f>
        <v/>
      </c>
      <c r="K1200" s="24" t="str">
        <f>IF(OR(E1200="",E1200="!!!",F1200="NEW"),"",INDEX(J$1:J1199,SUMPRODUCT(MAX(ROW(E$1:E1199)*(E1200=E$1:E1199)))))</f>
        <v/>
      </c>
      <c r="L1200" s="25"/>
    </row>
    <row r="1201" spans="1:12" x14ac:dyDescent="0.2">
      <c r="A1201" t="s">
        <v>1209</v>
      </c>
      <c r="B1201" s="26" t="s">
        <v>813</v>
      </c>
      <c r="C1201" s="26" t="s">
        <v>847</v>
      </c>
      <c r="D1201" s="26" t="s">
        <v>806</v>
      </c>
      <c r="E1201" s="20" t="s">
        <v>1209</v>
      </c>
      <c r="F1201" s="21" t="str">
        <f>IF(OR(E1201="",E1201="!!!"),"",IF(NOT(ISNA(VLOOKUP(E1201,E$1:E1200,1,FALSE()))),"OLD",IF(AND(E1201&lt;&gt;"",E1201&lt;&gt;"!!!"),"NEW","")))</f>
        <v>OLD</v>
      </c>
      <c r="G1201" s="22" t="s">
        <v>1822</v>
      </c>
      <c r="H1201" s="23" t="str">
        <f t="shared" ca="1" si="138"/>
        <v/>
      </c>
      <c r="I1201" s="24" t="str">
        <f>IF(OR(E1201="",E1201="!!!",F1201="NEW"),"",INDEX(B$2:B1200,-1+SUMPRODUCT(MAX(ROW(E$2:E1200)*(E1201=E$2:E1200)))))</f>
        <v>other</v>
      </c>
      <c r="J1201" s="24">
        <f ca="1">IF(OR(E1201="",E1201="!!!",F1201="NEW"),"",COUNTBLANK(OFFSET(A$1,,,SUMPRODUCT(MAX(ROW(E$2:E1201)*(E1201=E$2:E1201)))))-COUNTBLANK(OFFSET(A$1,,,SUMPRODUCT(MAX(ROW(E$1:E1200)*(E2=E$1:E1200))))))</f>
        <v>0</v>
      </c>
      <c r="K1201" s="24" t="str">
        <f ca="1">IF(OR(E1201="",E1201="!!!",F1201="NEW"),"",INDEX(J$1:J1200,SUMPRODUCT(MAX(ROW(E$1:E1200)*(E1201=E$1:E1200)))))</f>
        <v/>
      </c>
      <c r="L1201" s="25"/>
    </row>
    <row r="1202" spans="1:12" x14ac:dyDescent="0.2">
      <c r="A1202" t="s">
        <v>821</v>
      </c>
      <c r="E1202" s="20" t="str">
        <f t="shared" si="139"/>
        <v/>
      </c>
      <c r="F1202" s="21" t="str">
        <f>IF(OR(E1202="",E1202="!!!"),"",IF(NOT(ISNA(VLOOKUP(E1202,E$1:E1201,1,FALSE()))),"OLD",IF(AND(E1202&lt;&gt;"",E1202&lt;&gt;"!!!"),"NEW","")))</f>
        <v/>
      </c>
      <c r="G1202" s="22" t="str">
        <f>IF(OR(E1202="",E1202="!!!"),"",IF(OR(J1202=0,AND(J1202=1,K1202=1),AND(J1202=1,I1202="SBJ"),AND(J1202=1,I1202=0)),"?IN_FOCUS",IF(J1202&lt;=2,"?ACTIVATED",IF(J1202&lt;&gt;"","?FAMILIAR",IF(F1202="NEW",IF(ISNA(VLOOKUP(E1202,#REF!,1,FALSE())),"?TYPE_IDENTIFIABLE","?REFERENTIAL"),"_")))))</f>
        <v/>
      </c>
      <c r="H1202" s="23" t="str">
        <f t="shared" ca="1" si="138"/>
        <v/>
      </c>
      <c r="I1202" s="24" t="str">
        <f>IF(OR(E1202="",E1202="!!!",F1202="NEW"),"",INDEX(B$2:B1201,-1+SUMPRODUCT(MAX(ROW(E$2:E1201)*(E1202=E$2:E1201)))))</f>
        <v/>
      </c>
      <c r="J1202" s="24" t="str">
        <f ca="1">IF(OR(E1202="",E1202="!!!",F1202="NEW"),"",COUNTBLANK(OFFSET(A$1,,,SUMPRODUCT(MAX(ROW(E$2:E1202)*(E1202=E$2:E1202)))))-COUNTBLANK(OFFSET(A$1,,,SUMPRODUCT(MAX(ROW(E$1:E1201)*(E2=E$1:E1201))))))</f>
        <v/>
      </c>
      <c r="K1202" s="24" t="str">
        <f>IF(OR(E1202="",E1202="!!!",F1202="NEW"),"",INDEX(J$1:J1201,SUMPRODUCT(MAX(ROW(E$1:E1201)*(E1202=E$1:E1201)))))</f>
        <v/>
      </c>
      <c r="L1202" s="25"/>
    </row>
    <row r="1204" spans="1:12" x14ac:dyDescent="0.2">
      <c r="A1204" t="s">
        <v>1232</v>
      </c>
    </row>
    <row r="1205" spans="1:12" x14ac:dyDescent="0.2">
      <c r="A1205" t="s">
        <v>1079</v>
      </c>
      <c r="E1205" s="20" t="str">
        <f t="shared" ref="E1205:E1216" si="140">IF(D1205="?OLD","!!!","")</f>
        <v/>
      </c>
      <c r="F1205" s="21" t="str">
        <f>IF(OR(E1205="",E1205="!!!"),"",IF(NOT(ISNA(VLOOKUP(E1205,E$1:E1204,1,FALSE()))),"OLD",IF(AND(E1205&lt;&gt;"",E1205&lt;&gt;"!!!"),"NEW","")))</f>
        <v/>
      </c>
      <c r="G1205" s="22" t="str">
        <f>IF(OR(E1205="",E1205="!!!"),"",IF(OR(J1205=0,AND(J1205=1,K1205=1),AND(J1205=1,I1205="SBJ"),AND(J1205=1,I1205=0)),"?IN_FOCUS",IF(J1205&lt;=2,"?ACTIVATED",IF(J1205&lt;&gt;"","?FAMILIAR",IF(F1205="NEW",IF(ISNA(VLOOKUP(E1205,#REF!,1,FALSE())),"?TYPE_IDENTIFIABLE","?REFERENTIAL"),"_")))))</f>
        <v/>
      </c>
      <c r="H1205" s="23" t="str">
        <f t="shared" ref="H1205:H1216" ca="1" si="141">IF(J1205&lt;&gt;1,"",IF(I1205="SBJ","CB","?"))</f>
        <v/>
      </c>
      <c r="I1205" s="24" t="str">
        <f>IF(OR(E1205="",E1205="!!!",F1205="NEW"),"",INDEX(B$2:B1204,-1+SUMPRODUCT(MAX(ROW(E$2:E1204)*(E1205=E$2:E1204)))))</f>
        <v/>
      </c>
      <c r="J1205" s="24" t="str">
        <f ca="1">IF(OR(E1205="",E1205="!!!",F1205="NEW"),"",COUNTBLANK(OFFSET(A$1,,,SUMPRODUCT(MAX(ROW(E$2:E1205)*(E1205=E$2:E1205)))))-COUNTBLANK(OFFSET(A$1,,,SUMPRODUCT(MAX(ROW(E$1:E1204)*(E2=E$1:E1204))))))</f>
        <v/>
      </c>
      <c r="K1205" s="24" t="str">
        <f>IF(OR(E1205="",E1205="!!!",F1205="NEW"),"",INDEX(J$1:J1204,SUMPRODUCT(MAX(ROW(E$1:E1204)*(E1205=E$1:E1204)))))</f>
        <v/>
      </c>
      <c r="L1205" s="25"/>
    </row>
    <row r="1206" spans="1:12" x14ac:dyDescent="0.2">
      <c r="A1206" t="s">
        <v>802</v>
      </c>
      <c r="E1206" s="20" t="str">
        <f t="shared" si="140"/>
        <v/>
      </c>
      <c r="F1206" s="21" t="str">
        <f>IF(OR(E1206="",E1206="!!!"),"",IF(NOT(ISNA(VLOOKUP(E1206,E$1:E1205,1,FALSE()))),"OLD",IF(AND(E1206&lt;&gt;"",E1206&lt;&gt;"!!!"),"NEW","")))</f>
        <v/>
      </c>
      <c r="G1206" s="22" t="str">
        <f>IF(OR(E1206="",E1206="!!!"),"",IF(OR(J1206=0,AND(J1206=1,K1206=1),AND(J1206=1,I1206="SBJ"),AND(J1206=1,I1206=0)),"?IN_FOCUS",IF(J1206&lt;=2,"?ACTIVATED",IF(J1206&lt;&gt;"","?FAMILIAR",IF(F1206="NEW",IF(ISNA(VLOOKUP(E1206,#REF!,1,FALSE())),"?TYPE_IDENTIFIABLE","?REFERENTIAL"),"_")))))</f>
        <v/>
      </c>
      <c r="H1206" s="23" t="str">
        <f t="shared" ca="1" si="141"/>
        <v/>
      </c>
      <c r="I1206" s="24" t="str">
        <f>IF(OR(E1206="",E1206="!!!",F1206="NEW"),"",INDEX(B$2:B1205,-1+SUMPRODUCT(MAX(ROW(E$2:E1205)*(E1206=E$2:E1205)))))</f>
        <v/>
      </c>
      <c r="J1206" s="24" t="str">
        <f ca="1">IF(OR(E1206="",E1206="!!!",F1206="NEW"),"",COUNTBLANK(OFFSET(A$1,,,SUMPRODUCT(MAX(ROW(E$2:E1206)*(E1206=E$2:E1206)))))-COUNTBLANK(OFFSET(A$1,,,SUMPRODUCT(MAX(ROW(E$1:E1205)*(E2=E$1:E1205))))))</f>
        <v/>
      </c>
      <c r="K1206" s="24" t="str">
        <f>IF(OR(E1206="",E1206="!!!",F1206="NEW"),"",INDEX(J$1:J1205,SUMPRODUCT(MAX(ROW(E$1:E1205)*(E1206=E$1:E1205)))))</f>
        <v/>
      </c>
      <c r="L1206" s="25"/>
    </row>
    <row r="1207" spans="1:12" x14ac:dyDescent="0.2">
      <c r="A1207" t="s">
        <v>949</v>
      </c>
      <c r="B1207" s="26" t="s">
        <v>804</v>
      </c>
      <c r="C1207" s="26" t="s">
        <v>805</v>
      </c>
      <c r="D1207" s="26" t="s">
        <v>806</v>
      </c>
      <c r="E1207" s="20" t="s">
        <v>1214</v>
      </c>
      <c r="F1207" s="21" t="str">
        <f>IF(OR(E1207="",E1207="!!!"),"",IF(NOT(ISNA(VLOOKUP(E1207,E$1:E1206,1,FALSE()))),"OLD",IF(AND(E1207&lt;&gt;"",E1207&lt;&gt;"!!!"),"NEW","")))</f>
        <v>OLD</v>
      </c>
      <c r="G1207" s="22" t="s">
        <v>1823</v>
      </c>
      <c r="H1207" s="23" t="str">
        <f t="shared" ca="1" si="141"/>
        <v/>
      </c>
      <c r="I1207" s="24" t="str">
        <f>IF(OR(E1207="",E1207="!!!",F1207="NEW"),"",INDEX(B$2:B1206,-1+SUMPRODUCT(MAX(ROW(E$2:E1206)*(E1207=E$2:E1206)))))</f>
        <v>SBJ_2</v>
      </c>
      <c r="J1207" s="24">
        <f ca="1">IF(OR(E1207="",E1207="!!!",F1207="NEW"),"",COUNTBLANK(OFFSET(A$1,,,SUMPRODUCT(MAX(ROW(E$2:E1207)*(E1207=E$2:E1207)))))-COUNTBLANK(OFFSET(A$1,,,SUMPRODUCT(MAX(ROW(E$1:E1206)*(E2=E$1:E1206))))))</f>
        <v>0</v>
      </c>
      <c r="K1207" s="24">
        <f ca="1">IF(OR(E1207="",E1207="!!!",F1207="NEW"),"",INDEX(J$1:J1206,SUMPRODUCT(MAX(ROW(E$1:E1206)*(E1207=E$1:E1206)))))</f>
        <v>0</v>
      </c>
      <c r="L1207" s="25"/>
    </row>
    <row r="1208" spans="1:12" x14ac:dyDescent="0.2">
      <c r="A1208" t="s">
        <v>867</v>
      </c>
      <c r="E1208" s="20" t="str">
        <f t="shared" si="140"/>
        <v/>
      </c>
      <c r="F1208" s="21" t="str">
        <f>IF(OR(E1208="",E1208="!!!"),"",IF(NOT(ISNA(VLOOKUP(E1208,E$1:E1207,1,FALSE()))),"OLD",IF(AND(E1208&lt;&gt;"",E1208&lt;&gt;"!!!"),"NEW","")))</f>
        <v/>
      </c>
      <c r="G1208" s="22" t="str">
        <f>IF(OR(E1208="",E1208="!!!"),"",IF(OR(J1208=0,AND(J1208=1,K1208=1),AND(J1208=1,I1208="SBJ"),AND(J1208=1,I1208=0)),"?IN_FOCUS",IF(J1208&lt;=2,"?ACTIVATED",IF(J1208&lt;&gt;"","?FAMILIAR",IF(F1208="NEW",IF(ISNA(VLOOKUP(E1208,#REF!,1,FALSE())),"?TYPE_IDENTIFIABLE","?REFERENTIAL"),"_")))))</f>
        <v/>
      </c>
      <c r="H1208" s="23" t="str">
        <f t="shared" ca="1" si="141"/>
        <v/>
      </c>
      <c r="I1208" s="24" t="str">
        <f>IF(OR(E1208="",E1208="!!!",F1208="NEW"),"",INDEX(B$2:B1207,-1+SUMPRODUCT(MAX(ROW(E$2:E1207)*(E1208=E$2:E1207)))))</f>
        <v/>
      </c>
      <c r="J1208" s="24" t="str">
        <f ca="1">IF(OR(E1208="",E1208="!!!",F1208="NEW"),"",COUNTBLANK(OFFSET(A$1,,,SUMPRODUCT(MAX(ROW(E$2:E1208)*(E1208=E$2:E1208)))))-COUNTBLANK(OFFSET(A$1,,,SUMPRODUCT(MAX(ROW(E$1:E1207)*(E2=E$1:E1207))))))</f>
        <v/>
      </c>
      <c r="K1208" s="24" t="str">
        <f>IF(OR(E1208="",E1208="!!!",F1208="NEW"),"",INDEX(J$1:J1207,SUMPRODUCT(MAX(ROW(E$1:E1207)*(E1208=E$1:E1207)))))</f>
        <v/>
      </c>
      <c r="L1208" s="25"/>
    </row>
    <row r="1209" spans="1:12" x14ac:dyDescent="0.2">
      <c r="A1209" t="s">
        <v>999</v>
      </c>
      <c r="E1209" s="20" t="str">
        <f t="shared" si="140"/>
        <v/>
      </c>
      <c r="F1209" s="21" t="str">
        <f>IF(OR(E1209="",E1209="!!!"),"",IF(NOT(ISNA(VLOOKUP(E1209,E$1:E1208,1,FALSE()))),"OLD",IF(AND(E1209&lt;&gt;"",E1209&lt;&gt;"!!!"),"NEW","")))</f>
        <v/>
      </c>
      <c r="G1209" s="22" t="str">
        <f>IF(OR(E1209="",E1209="!!!"),"",IF(OR(J1209=0,AND(J1209=1,K1209=1),AND(J1209=1,I1209="SBJ"),AND(J1209=1,I1209=0)),"?IN_FOCUS",IF(J1209&lt;=2,"?ACTIVATED",IF(J1209&lt;&gt;"","?FAMILIAR",IF(F1209="NEW",IF(ISNA(VLOOKUP(E1209,#REF!,1,FALSE())),"?TYPE_IDENTIFIABLE","?REFERENTIAL"),"_")))))</f>
        <v/>
      </c>
      <c r="H1209" s="23" t="str">
        <f t="shared" ca="1" si="141"/>
        <v/>
      </c>
      <c r="I1209" s="24" t="str">
        <f>IF(OR(E1209="",E1209="!!!",F1209="NEW"),"",INDEX(B$2:B1208,-1+SUMPRODUCT(MAX(ROW(E$2:E1208)*(E1209=E$2:E1208)))))</f>
        <v/>
      </c>
      <c r="J1209" s="24" t="str">
        <f ca="1">IF(OR(E1209="",E1209="!!!",F1209="NEW"),"",COUNTBLANK(OFFSET(A$1,,,SUMPRODUCT(MAX(ROW(E$2:E1209)*(E1209=E$2:E1209)))))-COUNTBLANK(OFFSET(A$1,,,SUMPRODUCT(MAX(ROW(E$1:E1208)*(E2=E$1:E1208))))))</f>
        <v/>
      </c>
      <c r="K1209" s="24" t="str">
        <f>IF(OR(E1209="",E1209="!!!",F1209="NEW"),"",INDEX(J$1:J1208,SUMPRODUCT(MAX(ROW(E$1:E1208)*(E1209=E$1:E1208)))))</f>
        <v/>
      </c>
      <c r="L1209" s="25"/>
    </row>
    <row r="1210" spans="1:12" x14ac:dyDescent="0.2">
      <c r="A1210" t="s">
        <v>273</v>
      </c>
      <c r="E1210" s="20" t="str">
        <f t="shared" si="140"/>
        <v/>
      </c>
      <c r="F1210" s="21" t="str">
        <f>IF(OR(E1210="",E1210="!!!"),"",IF(NOT(ISNA(VLOOKUP(E1210,E$1:E1209,1,FALSE()))),"OLD",IF(AND(E1210&lt;&gt;"",E1210&lt;&gt;"!!!"),"NEW","")))</f>
        <v/>
      </c>
      <c r="G1210" s="22" t="str">
        <f>IF(OR(E1210="",E1210="!!!"),"",IF(OR(J1210=0,AND(J1210=1,K1210=1),AND(J1210=1,I1210="SBJ"),AND(J1210=1,I1210=0)),"?IN_FOCUS",IF(J1210&lt;=2,"?ACTIVATED",IF(J1210&lt;&gt;"","?FAMILIAR",IF(F1210="NEW",IF(ISNA(VLOOKUP(E1210,#REF!,1,FALSE())),"?TYPE_IDENTIFIABLE","?REFERENTIAL"),"_")))))</f>
        <v/>
      </c>
      <c r="H1210" s="23" t="str">
        <f t="shared" ca="1" si="141"/>
        <v/>
      </c>
      <c r="I1210" s="24" t="str">
        <f>IF(OR(E1210="",E1210="!!!",F1210="NEW"),"",INDEX(B$2:B1209,-1+SUMPRODUCT(MAX(ROW(E$2:E1209)*(E1210=E$2:E1209)))))</f>
        <v/>
      </c>
      <c r="J1210" s="24" t="str">
        <f ca="1">IF(OR(E1210="",E1210="!!!",F1210="NEW"),"",COUNTBLANK(OFFSET(A$1,,,SUMPRODUCT(MAX(ROW(E$2:E1210)*(E1210=E$2:E1210)))))-COUNTBLANK(OFFSET(A$1,,,SUMPRODUCT(MAX(ROW(E$1:E1209)*(E2=E$1:E1209))))))</f>
        <v/>
      </c>
      <c r="K1210" s="24" t="str">
        <f>IF(OR(E1210="",E1210="!!!",F1210="NEW"),"",INDEX(J$1:J1209,SUMPRODUCT(MAX(ROW(E$1:E1209)*(E1210=E$1:E1209)))))</f>
        <v/>
      </c>
      <c r="L1210" s="25"/>
    </row>
    <row r="1211" spans="1:12" x14ac:dyDescent="0.2">
      <c r="A1211" t="s">
        <v>830</v>
      </c>
      <c r="B1211" s="26" t="s">
        <v>810</v>
      </c>
      <c r="C1211" s="26" t="s">
        <v>805</v>
      </c>
      <c r="D1211" s="26" t="s">
        <v>806</v>
      </c>
      <c r="E1211" s="20" t="s">
        <v>1779</v>
      </c>
      <c r="F1211" s="21" t="str">
        <f>IF(OR(E1211="",E1211="!!!"),"",IF(NOT(ISNA(VLOOKUP(E1211,E$1:E1210,1,FALSE()))),"OLD",IF(AND(E1211&lt;&gt;"",E1211&lt;&gt;"!!!"),"NEW","")))</f>
        <v>NEW</v>
      </c>
      <c r="G1211" s="22" t="s">
        <v>1822</v>
      </c>
      <c r="H1211" s="23" t="str">
        <f t="shared" ca="1" si="141"/>
        <v/>
      </c>
      <c r="I1211" s="24" t="str">
        <f>IF(OR(E1211="",E1211="!!!",F1211="NEW"),"",INDEX(B$2:B1210,-1+SUMPRODUCT(MAX(ROW(E$2:E1210)*(E1211=E$2:E1210)))))</f>
        <v/>
      </c>
      <c r="J1211" s="24" t="str">
        <f ca="1">IF(OR(E1211="",E1211="!!!",F1211="NEW"),"",COUNTBLANK(OFFSET(A$1,,,SUMPRODUCT(MAX(ROW(E$2:E1211)*(E1211=E$2:E1211)))))-COUNTBLANK(OFFSET(A$1,,,SUMPRODUCT(MAX(ROW(E$1:E1210)*(E2=E$1:E1210))))))</f>
        <v/>
      </c>
      <c r="K1211" s="24" t="str">
        <f>IF(OR(E1211="",E1211="!!!",F1211="NEW"),"",INDEX(J$1:J1210,SUMPRODUCT(MAX(ROW(E$1:E1210)*(E1211=E$1:E1210)))))</f>
        <v/>
      </c>
      <c r="L1211" s="25"/>
    </row>
    <row r="1212" spans="1:12" x14ac:dyDescent="0.2">
      <c r="A1212" t="s">
        <v>1233</v>
      </c>
      <c r="E1212" s="20" t="str">
        <f t="shared" si="140"/>
        <v/>
      </c>
      <c r="F1212" s="21" t="str">
        <f>IF(OR(E1212="",E1212="!!!"),"",IF(NOT(ISNA(VLOOKUP(E1212,E$1:E1211,1,FALSE()))),"OLD",IF(AND(E1212&lt;&gt;"",E1212&lt;&gt;"!!!"),"NEW","")))</f>
        <v/>
      </c>
      <c r="G1212" s="22" t="str">
        <f>IF(OR(E1212="",E1212="!!!"),"",IF(OR(J1212=0,AND(J1212=1,K1212=1),AND(J1212=1,I1212="SBJ"),AND(J1212=1,I1212=0)),"?IN_FOCUS",IF(J1212&lt;=2,"?ACTIVATED",IF(J1212&lt;&gt;"","?FAMILIAR",IF(F1212="NEW",IF(ISNA(VLOOKUP(E1212,#REF!,1,FALSE())),"?TYPE_IDENTIFIABLE","?REFERENTIAL"),"_")))))</f>
        <v/>
      </c>
      <c r="H1212" s="23" t="str">
        <f t="shared" ca="1" si="141"/>
        <v/>
      </c>
      <c r="I1212" s="24" t="str">
        <f>IF(OR(E1212="",E1212="!!!",F1212="NEW"),"",INDEX(B$2:B1211,-1+SUMPRODUCT(MAX(ROW(E$2:E1211)*(E1212=E$2:E1211)))))</f>
        <v/>
      </c>
      <c r="J1212" s="24" t="str">
        <f ca="1">IF(OR(E1212="",E1212="!!!",F1212="NEW"),"",COUNTBLANK(OFFSET(A$1,,,SUMPRODUCT(MAX(ROW(E$2:E1212)*(E1212=E$2:E1212)))))-COUNTBLANK(OFFSET(A$1,,,SUMPRODUCT(MAX(ROW(E$1:E1211)*(E2=E$1:E1211))))))</f>
        <v/>
      </c>
      <c r="K1212" s="24" t="str">
        <f>IF(OR(E1212="",E1212="!!!",F1212="NEW"),"",INDEX(J$1:J1211,SUMPRODUCT(MAX(ROW(E$1:E1211)*(E1212=E$1:E1211)))))</f>
        <v/>
      </c>
      <c r="L1212" s="25"/>
    </row>
    <row r="1213" spans="1:12" x14ac:dyDescent="0.2">
      <c r="A1213" t="s">
        <v>802</v>
      </c>
      <c r="E1213" s="20" t="str">
        <f t="shared" si="140"/>
        <v/>
      </c>
      <c r="F1213" s="21" t="str">
        <f>IF(OR(E1213="",E1213="!!!"),"",IF(NOT(ISNA(VLOOKUP(E1213,E$1:E1212,1,FALSE()))),"OLD",IF(AND(E1213&lt;&gt;"",E1213&lt;&gt;"!!!"),"NEW","")))</f>
        <v/>
      </c>
      <c r="G1213" s="22" t="str">
        <f>IF(OR(E1213="",E1213="!!!"),"",IF(OR(J1213=0,AND(J1213=1,K1213=1),AND(J1213=1,I1213="SBJ"),AND(J1213=1,I1213=0)),"?IN_FOCUS",IF(J1213&lt;=2,"?ACTIVATED",IF(J1213&lt;&gt;"","?FAMILIAR",IF(F1213="NEW",IF(ISNA(VLOOKUP(E1213,#REF!,1,FALSE())),"?TYPE_IDENTIFIABLE","?REFERENTIAL"),"_")))))</f>
        <v/>
      </c>
      <c r="H1213" s="23" t="str">
        <f t="shared" ca="1" si="141"/>
        <v/>
      </c>
      <c r="I1213" s="24" t="str">
        <f>IF(OR(E1213="",E1213="!!!",F1213="NEW"),"",INDEX(B$2:B1212,-1+SUMPRODUCT(MAX(ROW(E$2:E1212)*(E1213=E$2:E1212)))))</f>
        <v/>
      </c>
      <c r="J1213" s="24" t="str">
        <f ca="1">IF(OR(E1213="",E1213="!!!",F1213="NEW"),"",COUNTBLANK(OFFSET(A$1,,,SUMPRODUCT(MAX(ROW(E$2:E1213)*(E1213=E$2:E1213)))))-COUNTBLANK(OFFSET(A$1,,,SUMPRODUCT(MAX(ROW(E$1:E1212)*(E2=E$1:E1212))))))</f>
        <v/>
      </c>
      <c r="K1213" s="24" t="str">
        <f>IF(OR(E1213="",E1213="!!!",F1213="NEW"),"",INDEX(J$1:J1212,SUMPRODUCT(MAX(ROW(E$1:E1212)*(E1213=E$1:E1212)))))</f>
        <v/>
      </c>
      <c r="L1213" s="25"/>
    </row>
    <row r="1214" spans="1:12" x14ac:dyDescent="0.2">
      <c r="A1214" t="s">
        <v>1031</v>
      </c>
      <c r="E1214" s="20" t="str">
        <f t="shared" si="140"/>
        <v/>
      </c>
      <c r="F1214" s="21" t="str">
        <f>IF(OR(E1214="",E1214="!!!"),"",IF(NOT(ISNA(VLOOKUP(E1214,E$1:E1213,1,FALSE()))),"OLD",IF(AND(E1214&lt;&gt;"",E1214&lt;&gt;"!!!"),"NEW","")))</f>
        <v/>
      </c>
      <c r="G1214" s="22" t="str">
        <f>IF(OR(E1214="",E1214="!!!"),"",IF(OR(J1214=0,AND(J1214=1,K1214=1),AND(J1214=1,I1214="SBJ"),AND(J1214=1,I1214=0)),"?IN_FOCUS",IF(J1214&lt;=2,"?ACTIVATED",IF(J1214&lt;&gt;"","?FAMILIAR",IF(F1214="NEW",IF(ISNA(VLOOKUP(E1214,#REF!,1,FALSE())),"?TYPE_IDENTIFIABLE","?REFERENTIAL"),"_")))))</f>
        <v/>
      </c>
      <c r="H1214" s="23" t="str">
        <f t="shared" ca="1" si="141"/>
        <v/>
      </c>
      <c r="I1214" s="24" t="str">
        <f>IF(OR(E1214="",E1214="!!!",F1214="NEW"),"",INDEX(B$2:B1213,-1+SUMPRODUCT(MAX(ROW(E$2:E1213)*(E1214=E$2:E1213)))))</f>
        <v/>
      </c>
      <c r="J1214" s="24" t="str">
        <f ca="1">IF(OR(E1214="",E1214="!!!",F1214="NEW"),"",COUNTBLANK(OFFSET(A$1,,,SUMPRODUCT(MAX(ROW(E$2:E1214)*(E1214=E$2:E1214)))))-COUNTBLANK(OFFSET(A$1,,,SUMPRODUCT(MAX(ROW(E$1:E1213)*(E2=E$1:E1213))))))</f>
        <v/>
      </c>
      <c r="K1214" s="24" t="str">
        <f>IF(OR(E1214="",E1214="!!!",F1214="NEW"),"",INDEX(J$1:J1213,SUMPRODUCT(MAX(ROW(E$1:E1213)*(E1214=E$1:E1213)))))</f>
        <v/>
      </c>
      <c r="L1214" s="25"/>
    </row>
    <row r="1215" spans="1:12" x14ac:dyDescent="0.2">
      <c r="A1215" t="s">
        <v>1234</v>
      </c>
      <c r="E1215" s="20" t="str">
        <f t="shared" si="140"/>
        <v/>
      </c>
      <c r="F1215" s="21" t="str">
        <f>IF(OR(E1215="",E1215="!!!"),"",IF(NOT(ISNA(VLOOKUP(E1215,E$1:E1214,1,FALSE()))),"OLD",IF(AND(E1215&lt;&gt;"",E1215&lt;&gt;"!!!"),"NEW","")))</f>
        <v/>
      </c>
      <c r="G1215" s="22" t="str">
        <f>IF(OR(E1215="",E1215="!!!"),"",IF(OR(J1215=0,AND(J1215=1,K1215=1),AND(J1215=1,I1215="SBJ"),AND(J1215=1,I1215=0)),"?IN_FOCUS",IF(J1215&lt;=2,"?ACTIVATED",IF(J1215&lt;&gt;"","?FAMILIAR",IF(F1215="NEW",IF(ISNA(VLOOKUP(E1215,#REF!,1,FALSE())),"?TYPE_IDENTIFIABLE","?REFERENTIAL"),"_")))))</f>
        <v/>
      </c>
      <c r="H1215" s="23" t="str">
        <f t="shared" ca="1" si="141"/>
        <v/>
      </c>
      <c r="I1215" s="24" t="str">
        <f>IF(OR(E1215="",E1215="!!!",F1215="NEW"),"",INDEX(B$2:B1214,-1+SUMPRODUCT(MAX(ROW(E$2:E1214)*(E1215=E$2:E1214)))))</f>
        <v/>
      </c>
      <c r="J1215" s="24" t="str">
        <f ca="1">IF(OR(E1215="",E1215="!!!",F1215="NEW"),"",COUNTBLANK(OFFSET(A$1,,,SUMPRODUCT(MAX(ROW(E$2:E1215)*(E1215=E$2:E1215)))))-COUNTBLANK(OFFSET(A$1,,,SUMPRODUCT(MAX(ROW(E$1:E1214)*(E2=E$1:E1214))))))</f>
        <v/>
      </c>
      <c r="K1215" s="24" t="str">
        <f>IF(OR(E1215="",E1215="!!!",F1215="NEW"),"",INDEX(J$1:J1214,SUMPRODUCT(MAX(ROW(E$1:E1214)*(E1215=E$1:E1214)))))</f>
        <v/>
      </c>
      <c r="L1215" s="25"/>
    </row>
    <row r="1216" spans="1:12" x14ac:dyDescent="0.2">
      <c r="A1216" t="s">
        <v>821</v>
      </c>
      <c r="E1216" s="20" t="str">
        <f t="shared" si="140"/>
        <v/>
      </c>
      <c r="F1216" s="21" t="str">
        <f>IF(OR(E1216="",E1216="!!!"),"",IF(NOT(ISNA(VLOOKUP(E1216,E$1:E1215,1,FALSE()))),"OLD",IF(AND(E1216&lt;&gt;"",E1216&lt;&gt;"!!!"),"NEW","")))</f>
        <v/>
      </c>
      <c r="G1216" s="22" t="str">
        <f>IF(OR(E1216="",E1216="!!!"),"",IF(OR(J1216=0,AND(J1216=1,K1216=1),AND(J1216=1,I1216="SBJ"),AND(J1216=1,I1216=0)),"?IN_FOCUS",IF(J1216&lt;=2,"?ACTIVATED",IF(J1216&lt;&gt;"","?FAMILIAR",IF(F1216="NEW",IF(ISNA(VLOOKUP(E1216,#REF!,1,FALSE())),"?TYPE_IDENTIFIABLE","?REFERENTIAL"),"_")))))</f>
        <v/>
      </c>
      <c r="H1216" s="23" t="str">
        <f t="shared" ca="1" si="141"/>
        <v/>
      </c>
      <c r="I1216" s="24" t="str">
        <f>IF(OR(E1216="",E1216="!!!",F1216="NEW"),"",INDEX(B$2:B1215,-1+SUMPRODUCT(MAX(ROW(E$2:E1215)*(E1216=E$2:E1215)))))</f>
        <v/>
      </c>
      <c r="J1216" s="24" t="str">
        <f ca="1">IF(OR(E1216="",E1216="!!!",F1216="NEW"),"",COUNTBLANK(OFFSET(A$1,,,SUMPRODUCT(MAX(ROW(E$2:E1216)*(E1216=E$2:E1216)))))-COUNTBLANK(OFFSET(A$1,,,SUMPRODUCT(MAX(ROW(E$1:E1215)*(E2=E$1:E1215))))))</f>
        <v/>
      </c>
      <c r="K1216" s="24" t="str">
        <f>IF(OR(E1216="",E1216="!!!",F1216="NEW"),"",INDEX(J$1:J1215,SUMPRODUCT(MAX(ROW(E$1:E1215)*(E1216=E$1:E1215)))))</f>
        <v/>
      </c>
      <c r="L1216" s="25"/>
    </row>
    <row r="1218" spans="1:12" x14ac:dyDescent="0.2">
      <c r="A1218" t="s">
        <v>1235</v>
      </c>
    </row>
    <row r="1219" spans="1:12" x14ac:dyDescent="0.2">
      <c r="A1219" t="s">
        <v>1034</v>
      </c>
      <c r="E1219" s="20" t="str">
        <f t="shared" ref="E1219:E1226" si="142">IF(D1219="?OLD","!!!","")</f>
        <v/>
      </c>
      <c r="F1219" s="21" t="str">
        <f>IF(OR(E1219="",E1219="!!!"),"",IF(NOT(ISNA(VLOOKUP(E1219,E$1:E1218,1,FALSE()))),"OLD",IF(AND(E1219&lt;&gt;"",E1219&lt;&gt;"!!!"),"NEW","")))</f>
        <v/>
      </c>
      <c r="G1219" s="22" t="str">
        <f>IF(OR(E1219="",E1219="!!!"),"",IF(OR(J1219=0,AND(J1219=1,K1219=1),AND(J1219=1,I1219="SBJ"),AND(J1219=1,I1219=0)),"?IN_FOCUS",IF(J1219&lt;=2,"?ACTIVATED",IF(J1219&lt;&gt;"","?FAMILIAR",IF(F1219="NEW",IF(ISNA(VLOOKUP(E1219,#REF!,1,FALSE())),"?TYPE_IDENTIFIABLE","?REFERENTIAL"),"_")))))</f>
        <v/>
      </c>
      <c r="H1219" s="23" t="str">
        <f t="shared" ref="H1219:H1226" ca="1" si="143">IF(J1219&lt;&gt;1,"",IF(I1219="SBJ","CB","?"))</f>
        <v/>
      </c>
      <c r="I1219" s="24" t="str">
        <f>IF(OR(E1219="",E1219="!!!",F1219="NEW"),"",INDEX(B$2:B1218,-1+SUMPRODUCT(MAX(ROW(E$2:E1218)*(E1219=E$2:E1218)))))</f>
        <v/>
      </c>
      <c r="J1219" s="24" t="str">
        <f ca="1">IF(OR(E1219="",E1219="!!!",F1219="NEW"),"",COUNTBLANK(OFFSET(A$1,,,SUMPRODUCT(MAX(ROW(E$2:E1219)*(E1219=E$2:E1219)))))-COUNTBLANK(OFFSET(A$1,,,SUMPRODUCT(MAX(ROW(E$1:E1218)*(E2=E$1:E1218))))))</f>
        <v/>
      </c>
      <c r="K1219" s="24" t="str">
        <f>IF(OR(E1219="",E1219="!!!",F1219="NEW"),"",INDEX(J$1:J1218,SUMPRODUCT(MAX(ROW(E$1:E1218)*(E1219=E$1:E1218)))))</f>
        <v/>
      </c>
      <c r="L1219" s="25"/>
    </row>
    <row r="1220" spans="1:12" x14ac:dyDescent="0.2">
      <c r="A1220" t="s">
        <v>1236</v>
      </c>
      <c r="E1220" s="20" t="str">
        <f t="shared" si="142"/>
        <v/>
      </c>
      <c r="F1220" s="21" t="str">
        <f>IF(OR(E1220="",E1220="!!!"),"",IF(NOT(ISNA(VLOOKUP(E1220,E$1:E1219,1,FALSE()))),"OLD",IF(AND(E1220&lt;&gt;"",E1220&lt;&gt;"!!!"),"NEW","")))</f>
        <v/>
      </c>
      <c r="G1220" s="22" t="str">
        <f>IF(OR(E1220="",E1220="!!!"),"",IF(OR(J1220=0,AND(J1220=1,K1220=1),AND(J1220=1,I1220="SBJ"),AND(J1220=1,I1220=0)),"?IN_FOCUS",IF(J1220&lt;=2,"?ACTIVATED",IF(J1220&lt;&gt;"","?FAMILIAR",IF(F1220="NEW",IF(ISNA(VLOOKUP(E1220,#REF!,1,FALSE())),"?TYPE_IDENTIFIABLE","?REFERENTIAL"),"_")))))</f>
        <v/>
      </c>
      <c r="H1220" s="23" t="str">
        <f t="shared" ca="1" si="143"/>
        <v/>
      </c>
      <c r="I1220" s="24" t="str">
        <f>IF(OR(E1220="",E1220="!!!",F1220="NEW"),"",INDEX(B$2:B1219,-1+SUMPRODUCT(MAX(ROW(E$2:E1219)*(E1220=E$2:E1219)))))</f>
        <v/>
      </c>
      <c r="J1220" s="24" t="str">
        <f ca="1">IF(OR(E1220="",E1220="!!!",F1220="NEW"),"",COUNTBLANK(OFFSET(A$1,,,SUMPRODUCT(MAX(ROW(E$2:E1220)*(E1220=E$2:E1220)))))-COUNTBLANK(OFFSET(A$1,,,SUMPRODUCT(MAX(ROW(E$1:E1219)*(E2=E$1:E1219))))))</f>
        <v/>
      </c>
      <c r="K1220" s="24" t="str">
        <f>IF(OR(E1220="",E1220="!!!",F1220="NEW"),"",INDEX(J$1:J1219,SUMPRODUCT(MAX(ROW(E$1:E1219)*(E1220=E$1:E1219)))))</f>
        <v/>
      </c>
      <c r="L1220" s="25"/>
    </row>
    <row r="1221" spans="1:12" x14ac:dyDescent="0.2">
      <c r="A1221" t="s">
        <v>802</v>
      </c>
      <c r="E1221" s="20" t="str">
        <f t="shared" si="142"/>
        <v/>
      </c>
      <c r="F1221" s="21" t="str">
        <f>IF(OR(E1221="",E1221="!!!"),"",IF(NOT(ISNA(VLOOKUP(E1221,E$1:E1220,1,FALSE()))),"OLD",IF(AND(E1221&lt;&gt;"",E1221&lt;&gt;"!!!"),"NEW","")))</f>
        <v/>
      </c>
      <c r="G1221" s="22" t="str">
        <f>IF(OR(E1221="",E1221="!!!"),"",IF(OR(J1221=0,AND(J1221=1,K1221=1),AND(J1221=1,I1221="SBJ"),AND(J1221=1,I1221=0)),"?IN_FOCUS",IF(J1221&lt;=2,"?ACTIVATED",IF(J1221&lt;&gt;"","?FAMILIAR",IF(F1221="NEW",IF(ISNA(VLOOKUP(E1221,#REF!,1,FALSE())),"?TYPE_IDENTIFIABLE","?REFERENTIAL"),"_")))))</f>
        <v/>
      </c>
      <c r="H1221" s="23" t="str">
        <f t="shared" ca="1" si="143"/>
        <v/>
      </c>
      <c r="I1221" s="24" t="str">
        <f>IF(OR(E1221="",E1221="!!!",F1221="NEW"),"",INDEX(B$2:B1220,-1+SUMPRODUCT(MAX(ROW(E$2:E1220)*(E1221=E$2:E1220)))))</f>
        <v/>
      </c>
      <c r="J1221" s="24" t="str">
        <f ca="1">IF(OR(E1221="",E1221="!!!",F1221="NEW"),"",COUNTBLANK(OFFSET(A$1,,,SUMPRODUCT(MAX(ROW(E$2:E1221)*(E1221=E$2:E1221)))))-COUNTBLANK(OFFSET(A$1,,,SUMPRODUCT(MAX(ROW(E$1:E1220)*(E2=E$1:E1220))))))</f>
        <v/>
      </c>
      <c r="K1221" s="24" t="str">
        <f>IF(OR(E1221="",E1221="!!!",F1221="NEW"),"",INDEX(J$1:J1220,SUMPRODUCT(MAX(ROW(E$1:E1220)*(E1221=E$1:E1220)))))</f>
        <v/>
      </c>
      <c r="L1221" s="25"/>
    </row>
    <row r="1222" spans="1:12" x14ac:dyDescent="0.2">
      <c r="A1222" t="s">
        <v>830</v>
      </c>
      <c r="B1222" s="26" t="s">
        <v>804</v>
      </c>
      <c r="C1222" s="26" t="s">
        <v>805</v>
      </c>
      <c r="D1222" s="26" t="s">
        <v>806</v>
      </c>
      <c r="E1222" s="20" t="s">
        <v>1779</v>
      </c>
      <c r="F1222" s="21" t="str">
        <f>IF(OR(E1222="",E1222="!!!"),"",IF(NOT(ISNA(VLOOKUP(E1222,E$1:E1221,1,FALSE()))),"OLD",IF(AND(E1222&lt;&gt;"",E1222&lt;&gt;"!!!"),"NEW","")))</f>
        <v>OLD</v>
      </c>
      <c r="G1222" s="22" t="s">
        <v>1823</v>
      </c>
      <c r="H1222" s="23" t="str">
        <f t="shared" ca="1" si="143"/>
        <v/>
      </c>
      <c r="I1222" s="24" t="str">
        <f>IF(OR(E1222="",E1222="!!!",F1222="NEW"),"",INDEX(B$2:B1221,-1+SUMPRODUCT(MAX(ROW(E$2:E1221)*(E1222=E$2:E1221)))))</f>
        <v>OBJ</v>
      </c>
      <c r="J1222" s="24">
        <f ca="1">IF(OR(E1222="",E1222="!!!",F1222="NEW"),"",COUNTBLANK(OFFSET(A$1,,,SUMPRODUCT(MAX(ROW(E$2:E1222)*(E1222=E$2:E1222)))))-COUNTBLANK(OFFSET(A$1,,,SUMPRODUCT(MAX(ROW(E$1:E1221)*(E2=E$1:E1221))))))</f>
        <v>0</v>
      </c>
      <c r="K1222" s="24" t="str">
        <f ca="1">IF(OR(E1222="",E1222="!!!",F1222="NEW"),"",INDEX(J$1:J1221,SUMPRODUCT(MAX(ROW(E$1:E1221)*(E1222=E$1:E1221)))))</f>
        <v/>
      </c>
      <c r="L1222" s="25"/>
    </row>
    <row r="1223" spans="1:12" x14ac:dyDescent="0.2">
      <c r="A1223" t="s">
        <v>831</v>
      </c>
      <c r="E1223" s="20" t="str">
        <f t="shared" si="142"/>
        <v/>
      </c>
      <c r="F1223" s="21" t="str">
        <f>IF(OR(E1223="",E1223="!!!"),"",IF(NOT(ISNA(VLOOKUP(E1223,E$1:E1222,1,FALSE()))),"OLD",IF(AND(E1223&lt;&gt;"",E1223&lt;&gt;"!!!"),"NEW","")))</f>
        <v/>
      </c>
      <c r="G1223" s="22" t="str">
        <f>IF(OR(E1223="",E1223="!!!"),"",IF(OR(J1223=0,AND(J1223=1,K1223=1),AND(J1223=1,I1223="SBJ"),AND(J1223=1,I1223=0)),"?IN_FOCUS",IF(J1223&lt;=2,"?ACTIVATED",IF(J1223&lt;&gt;"","?FAMILIAR",IF(F1223="NEW",IF(ISNA(VLOOKUP(E1223,#REF!,1,FALSE())),"?TYPE_IDENTIFIABLE","?REFERENTIAL"),"_")))))</f>
        <v/>
      </c>
      <c r="H1223" s="23" t="str">
        <f t="shared" ca="1" si="143"/>
        <v/>
      </c>
      <c r="I1223" s="24" t="str">
        <f>IF(OR(E1223="",E1223="!!!",F1223="NEW"),"",INDEX(B$2:B1222,-1+SUMPRODUCT(MAX(ROW(E$2:E1222)*(E1223=E$2:E1222)))))</f>
        <v/>
      </c>
      <c r="J1223" s="24" t="str">
        <f ca="1">IF(OR(E1223="",E1223="!!!",F1223="NEW"),"",COUNTBLANK(OFFSET(A$1,,,SUMPRODUCT(MAX(ROW(E$2:E1223)*(E1223=E$2:E1223)))))-COUNTBLANK(OFFSET(A$1,,,SUMPRODUCT(MAX(ROW(E$1:E1222)*(E2=E$1:E1222))))))</f>
        <v/>
      </c>
      <c r="K1223" s="24" t="str">
        <f>IF(OR(E1223="",E1223="!!!",F1223="NEW"),"",INDEX(J$1:J1222,SUMPRODUCT(MAX(ROW(E$1:E1222)*(E1223=E$1:E1222)))))</f>
        <v/>
      </c>
      <c r="L1223" s="25"/>
    </row>
    <row r="1224" spans="1:12" x14ac:dyDescent="0.2">
      <c r="A1224" t="s">
        <v>809</v>
      </c>
      <c r="E1224" s="20" t="str">
        <f t="shared" si="142"/>
        <v/>
      </c>
      <c r="F1224" s="21" t="str">
        <f>IF(OR(E1224="",E1224="!!!"),"",IF(NOT(ISNA(VLOOKUP(E1224,E$1:E1223,1,FALSE()))),"OLD",IF(AND(E1224&lt;&gt;"",E1224&lt;&gt;"!!!"),"NEW","")))</f>
        <v/>
      </c>
      <c r="G1224" s="22" t="str">
        <f>IF(OR(E1224="",E1224="!!!"),"",IF(OR(J1224=0,AND(J1224=1,K1224=1),AND(J1224=1,I1224="SBJ"),AND(J1224=1,I1224=0)),"?IN_FOCUS",IF(J1224&lt;=2,"?ACTIVATED",IF(J1224&lt;&gt;"","?FAMILIAR",IF(F1224="NEW",IF(ISNA(VLOOKUP(E1224,#REF!,1,FALSE())),"?TYPE_IDENTIFIABLE","?REFERENTIAL"),"_")))))</f>
        <v/>
      </c>
      <c r="H1224" s="23" t="str">
        <f t="shared" ca="1" si="143"/>
        <v/>
      </c>
      <c r="I1224" s="24" t="str">
        <f>IF(OR(E1224="",E1224="!!!",F1224="NEW"),"",INDEX(B$2:B1223,-1+SUMPRODUCT(MAX(ROW(E$2:E1223)*(E1224=E$2:E1223)))))</f>
        <v/>
      </c>
      <c r="J1224" s="24" t="str">
        <f ca="1">IF(OR(E1224="",E1224="!!!",F1224="NEW"),"",COUNTBLANK(OFFSET(A$1,,,SUMPRODUCT(MAX(ROW(E$2:E1224)*(E1224=E$2:E1224)))))-COUNTBLANK(OFFSET(A$1,,,SUMPRODUCT(MAX(ROW(E$1:E1223)*(E2=E$1:E1223))))))</f>
        <v/>
      </c>
      <c r="K1224" s="24" t="str">
        <f>IF(OR(E1224="",E1224="!!!",F1224="NEW"),"",INDEX(J$1:J1223,SUMPRODUCT(MAX(ROW(E$1:E1223)*(E1224=E$1:E1223)))))</f>
        <v/>
      </c>
      <c r="L1224" s="25"/>
    </row>
    <row r="1225" spans="1:12" x14ac:dyDescent="0.2">
      <c r="A1225" t="s">
        <v>1237</v>
      </c>
      <c r="B1225" s="26" t="s">
        <v>819</v>
      </c>
      <c r="C1225" s="26" t="s">
        <v>811</v>
      </c>
      <c r="E1225" s="20" t="str">
        <f t="shared" si="142"/>
        <v/>
      </c>
      <c r="F1225" s="21" t="str">
        <f>IF(OR(E1225="",E1225="!!!"),"",IF(NOT(ISNA(VLOOKUP(E1225,E$1:E1224,1,FALSE()))),"OLD",IF(AND(E1225&lt;&gt;"",E1225&lt;&gt;"!!!"),"NEW","")))</f>
        <v/>
      </c>
      <c r="G1225" s="22" t="str">
        <f>IF(OR(E1225="",E1225="!!!"),"",IF(OR(J1225=0,AND(J1225=1,K1225=1),AND(J1225=1,I1225="SBJ"),AND(J1225=1,I1225=0)),"?IN_FOCUS",IF(J1225&lt;=2,"?ACTIVATED",IF(J1225&lt;&gt;"","?FAMILIAR",IF(F1225="NEW",IF(ISNA(VLOOKUP(E1225,#REF!,1,FALSE())),"?TYPE_IDENTIFIABLE","?REFERENTIAL"),"_")))))</f>
        <v/>
      </c>
      <c r="H1225" s="23" t="str">
        <f t="shared" ca="1" si="143"/>
        <v/>
      </c>
      <c r="I1225" s="24" t="str">
        <f>IF(OR(E1225="",E1225="!!!",F1225="NEW"),"",INDEX(B$2:B1224,-1+SUMPRODUCT(MAX(ROW(E$2:E1224)*(E1225=E$2:E1224)))))</f>
        <v/>
      </c>
      <c r="J1225" s="24" t="str">
        <f ca="1">IF(OR(E1225="",E1225="!!!",F1225="NEW"),"",COUNTBLANK(OFFSET(A$1,,,SUMPRODUCT(MAX(ROW(E$2:E1225)*(E1225=E$2:E1225)))))-COUNTBLANK(OFFSET(A$1,,,SUMPRODUCT(MAX(ROW(E$1:E1224)*(E2=E$1:E1224))))))</f>
        <v/>
      </c>
      <c r="K1225" s="24" t="str">
        <f>IF(OR(E1225="",E1225="!!!",F1225="NEW"),"",INDEX(J$1:J1224,SUMPRODUCT(MAX(ROW(E$1:E1224)*(E1225=E$1:E1224)))))</f>
        <v/>
      </c>
      <c r="L1225" s="25"/>
    </row>
    <row r="1226" spans="1:12" x14ac:dyDescent="0.2">
      <c r="A1226" t="s">
        <v>821</v>
      </c>
      <c r="E1226" s="20" t="str">
        <f t="shared" si="142"/>
        <v/>
      </c>
      <c r="F1226" s="21" t="str">
        <f>IF(OR(E1226="",E1226="!!!"),"",IF(NOT(ISNA(VLOOKUP(E1226,E$1:E1225,1,FALSE()))),"OLD",IF(AND(E1226&lt;&gt;"",E1226&lt;&gt;"!!!"),"NEW","")))</f>
        <v/>
      </c>
      <c r="G1226" s="22" t="str">
        <f>IF(OR(E1226="",E1226="!!!"),"",IF(OR(J1226=0,AND(J1226=1,K1226=1),AND(J1226=1,I1226="SBJ"),AND(J1226=1,I1226=0)),"?IN_FOCUS",IF(J1226&lt;=2,"?ACTIVATED",IF(J1226&lt;&gt;"","?FAMILIAR",IF(F1226="NEW",IF(ISNA(VLOOKUP(E1226,#REF!,1,FALSE())),"?TYPE_IDENTIFIABLE","?REFERENTIAL"),"_")))))</f>
        <v/>
      </c>
      <c r="H1226" s="23" t="str">
        <f t="shared" ca="1" si="143"/>
        <v/>
      </c>
      <c r="I1226" s="24" t="str">
        <f>IF(OR(E1226="",E1226="!!!",F1226="NEW"),"",INDEX(B$2:B1225,-1+SUMPRODUCT(MAX(ROW(E$2:E1225)*(E1226=E$2:E1225)))))</f>
        <v/>
      </c>
      <c r="J1226" s="24" t="str">
        <f ca="1">IF(OR(E1226="",E1226="!!!",F1226="NEW"),"",COUNTBLANK(OFFSET(A$1,,,SUMPRODUCT(MAX(ROW(E$2:E1226)*(E1226=E$2:E1226)))))-COUNTBLANK(OFFSET(A$1,,,SUMPRODUCT(MAX(ROW(E$1:E1225)*(E2=E$1:E1225))))))</f>
        <v/>
      </c>
      <c r="K1226" s="24" t="str">
        <f>IF(OR(E1226="",E1226="!!!",F1226="NEW"),"",INDEX(J$1:J1225,SUMPRODUCT(MAX(ROW(E$1:E1225)*(E1226=E$1:E1225)))))</f>
        <v/>
      </c>
      <c r="L1226" s="25"/>
    </row>
    <row r="1228" spans="1:12" x14ac:dyDescent="0.2">
      <c r="A1228" t="s">
        <v>1238</v>
      </c>
    </row>
    <row r="1229" spans="1:12" x14ac:dyDescent="0.2">
      <c r="A1229" t="s">
        <v>837</v>
      </c>
      <c r="B1229" s="26" t="s">
        <v>804</v>
      </c>
      <c r="C1229" s="26" t="s">
        <v>805</v>
      </c>
      <c r="D1229" s="26" t="s">
        <v>806</v>
      </c>
      <c r="E1229" s="20" t="s">
        <v>1779</v>
      </c>
      <c r="F1229" s="21" t="str">
        <f>IF(OR(E1229="",E1229="!!!"),"",IF(NOT(ISNA(VLOOKUP(E1229,E$1:E1228,1,FALSE()))),"OLD",IF(AND(E1229&lt;&gt;"",E1229&lt;&gt;"!!!"),"NEW","")))</f>
        <v>OLD</v>
      </c>
      <c r="G1229" s="22" t="s">
        <v>1823</v>
      </c>
      <c r="H1229" s="23" t="str">
        <f t="shared" ref="H1229:H1249" ca="1" si="144">IF(J1229&lt;&gt;1,"",IF(I1229="SBJ","CB","?"))</f>
        <v/>
      </c>
      <c r="I1229" s="24" t="str">
        <f>IF(OR(E1229="",E1229="!!!",F1229="NEW"),"",INDEX(B$2:B1228,-1+SUMPRODUCT(MAX(ROW(E$2:E1228)*(E1229=E$2:E1228)))))</f>
        <v>SBJ</v>
      </c>
      <c r="J1229" s="24">
        <f ca="1">IF(OR(E1229="",E1229="!!!",F1229="NEW"),"",COUNTBLANK(OFFSET(A$1,,,SUMPRODUCT(MAX(ROW(E$2:E1229)*(E1229=E$2:E1229)))))-COUNTBLANK(OFFSET(A$1,,,SUMPRODUCT(MAX(ROW(E$1:E1228)*(E2=E$1:E1228))))))</f>
        <v>0</v>
      </c>
      <c r="K1229" s="24">
        <f ca="1">IF(OR(E1229="",E1229="!!!",F1229="NEW"),"",INDEX(J$1:J1228,SUMPRODUCT(MAX(ROW(E$1:E1228)*(E1229=E$1:E1228)))))</f>
        <v>0</v>
      </c>
      <c r="L1229" s="25"/>
    </row>
    <row r="1230" spans="1:12" x14ac:dyDescent="0.2">
      <c r="A1230" t="s">
        <v>1239</v>
      </c>
      <c r="E1230" s="20" t="str">
        <f t="shared" ref="E1230:E1249" si="145">IF(D1230="?OLD","!!!","")</f>
        <v/>
      </c>
      <c r="F1230" s="21" t="str">
        <f>IF(OR(E1230="",E1230="!!!"),"",IF(NOT(ISNA(VLOOKUP(E1230,E$1:E1229,1,FALSE()))),"OLD",IF(AND(E1230&lt;&gt;"",E1230&lt;&gt;"!!!"),"NEW","")))</f>
        <v/>
      </c>
      <c r="G1230" s="22" t="str">
        <f>IF(OR(E1230="",E1230="!!!"),"",IF(OR(J1230=0,AND(J1230=1,K1230=1),AND(J1230=1,I1230="SBJ"),AND(J1230=1,I1230=0)),"?IN_FOCUS",IF(J1230&lt;=2,"?ACTIVATED",IF(J1230&lt;&gt;"","?FAMILIAR",IF(F1230="NEW",IF(ISNA(VLOOKUP(E1230,#REF!,1,FALSE())),"?TYPE_IDENTIFIABLE","?REFERENTIAL"),"_")))))</f>
        <v/>
      </c>
      <c r="H1230" s="23" t="str">
        <f t="shared" ca="1" si="144"/>
        <v/>
      </c>
      <c r="I1230" s="24" t="str">
        <f>IF(OR(E1230="",E1230="!!!",F1230="NEW"),"",INDEX(B$2:B1229,-1+SUMPRODUCT(MAX(ROW(E$2:E1229)*(E1230=E$2:E1229)))))</f>
        <v/>
      </c>
      <c r="J1230" s="24" t="str">
        <f ca="1">IF(OR(E1230="",E1230="!!!",F1230="NEW"),"",COUNTBLANK(OFFSET(A$1,,,SUMPRODUCT(MAX(ROW(E$2:E1230)*(E1230=E$2:E1230)))))-COUNTBLANK(OFFSET(A$1,,,SUMPRODUCT(MAX(ROW(E$1:E1229)*(E2=E$1:E1229))))))</f>
        <v/>
      </c>
      <c r="K1230" s="24" t="str">
        <f>IF(OR(E1230="",E1230="!!!",F1230="NEW"),"",INDEX(J$1:J1229,SUMPRODUCT(MAX(ROW(E$1:E1229)*(E1230=E$1:E1229)))))</f>
        <v/>
      </c>
      <c r="L1230" s="25"/>
    </row>
    <row r="1231" spans="1:12" x14ac:dyDescent="0.2">
      <c r="A1231" t="s">
        <v>833</v>
      </c>
      <c r="E1231" s="20" t="str">
        <f t="shared" si="145"/>
        <v/>
      </c>
      <c r="F1231" s="21" t="str">
        <f>IF(OR(E1231="",E1231="!!!"),"",IF(NOT(ISNA(VLOOKUP(E1231,E$1:E1230,1,FALSE()))),"OLD",IF(AND(E1231&lt;&gt;"",E1231&lt;&gt;"!!!"),"NEW","")))</f>
        <v/>
      </c>
      <c r="G1231" s="22" t="str">
        <f>IF(OR(E1231="",E1231="!!!"),"",IF(OR(J1231=0,AND(J1231=1,K1231=1),AND(J1231=1,I1231="SBJ"),AND(J1231=1,I1231=0)),"?IN_FOCUS",IF(J1231&lt;=2,"?ACTIVATED",IF(J1231&lt;&gt;"","?FAMILIAR",IF(F1231="NEW",IF(ISNA(VLOOKUP(E1231,#REF!,1,FALSE())),"?TYPE_IDENTIFIABLE","?REFERENTIAL"),"_")))))</f>
        <v/>
      </c>
      <c r="H1231" s="23" t="str">
        <f t="shared" ca="1" si="144"/>
        <v/>
      </c>
      <c r="I1231" s="24" t="str">
        <f>IF(OR(E1231="",E1231="!!!",F1231="NEW"),"",INDEX(B$2:B1230,-1+SUMPRODUCT(MAX(ROW(E$2:E1230)*(E1231=E$2:E1230)))))</f>
        <v/>
      </c>
      <c r="J1231" s="24" t="str">
        <f ca="1">IF(OR(E1231="",E1231="!!!",F1231="NEW"),"",COUNTBLANK(OFFSET(A$1,,,SUMPRODUCT(MAX(ROW(E$2:E1231)*(E1231=E$2:E1231)))))-COUNTBLANK(OFFSET(A$1,,,SUMPRODUCT(MAX(ROW(E$1:E1230)*(E2=E$1:E1230))))))</f>
        <v/>
      </c>
      <c r="K1231" s="24" t="str">
        <f>IF(OR(E1231="",E1231="!!!",F1231="NEW"),"",INDEX(J$1:J1230,SUMPRODUCT(MAX(ROW(E$1:E1230)*(E1231=E$1:E1230)))))</f>
        <v/>
      </c>
      <c r="L1231" s="25"/>
    </row>
    <row r="1232" spans="1:12" x14ac:dyDescent="0.2">
      <c r="A1232" t="s">
        <v>355</v>
      </c>
      <c r="E1232" s="20" t="str">
        <f t="shared" si="145"/>
        <v/>
      </c>
      <c r="F1232" s="21" t="str">
        <f>IF(OR(E1232="",E1232="!!!"),"",IF(NOT(ISNA(VLOOKUP(E1232,E$1:E1231,1,FALSE()))),"OLD",IF(AND(E1232&lt;&gt;"",E1232&lt;&gt;"!!!"),"NEW","")))</f>
        <v/>
      </c>
      <c r="G1232" s="22" t="str">
        <f>IF(OR(E1232="",E1232="!!!"),"",IF(OR(J1232=0,AND(J1232=1,K1232=1),AND(J1232=1,I1232="SBJ"),AND(J1232=1,I1232=0)),"?IN_FOCUS",IF(J1232&lt;=2,"?ACTIVATED",IF(J1232&lt;&gt;"","?FAMILIAR",IF(F1232="NEW",IF(ISNA(VLOOKUP(E1232,#REF!,1,FALSE())),"?TYPE_IDENTIFIABLE","?REFERENTIAL"),"_")))))</f>
        <v/>
      </c>
      <c r="H1232" s="23" t="str">
        <f t="shared" ca="1" si="144"/>
        <v/>
      </c>
      <c r="I1232" s="24" t="str">
        <f>IF(OR(E1232="",E1232="!!!",F1232="NEW"),"",INDEX(B$2:B1231,-1+SUMPRODUCT(MAX(ROW(E$2:E1231)*(E1232=E$2:E1231)))))</f>
        <v/>
      </c>
      <c r="J1232" s="24" t="str">
        <f ca="1">IF(OR(E1232="",E1232="!!!",F1232="NEW"),"",COUNTBLANK(OFFSET(A$1,,,SUMPRODUCT(MAX(ROW(E$2:E1232)*(E1232=E$2:E1232)))))-COUNTBLANK(OFFSET(A$1,,,SUMPRODUCT(MAX(ROW(E$1:E1231)*(E2=E$1:E1231))))))</f>
        <v/>
      </c>
      <c r="K1232" s="24" t="str">
        <f>IF(OR(E1232="",E1232="!!!",F1232="NEW"),"",INDEX(J$1:J1231,SUMPRODUCT(MAX(ROW(E$1:E1231)*(E1232=E$1:E1231)))))</f>
        <v/>
      </c>
      <c r="L1232" s="25"/>
    </row>
    <row r="1233" spans="1:12" x14ac:dyDescent="0.2">
      <c r="A1233" t="s">
        <v>941</v>
      </c>
      <c r="B1233" s="26" t="s">
        <v>819</v>
      </c>
      <c r="C1233" s="26" t="s">
        <v>884</v>
      </c>
      <c r="E1233" s="20" t="str">
        <f t="shared" si="145"/>
        <v/>
      </c>
      <c r="F1233" s="21" t="str">
        <f>IF(OR(E1233="",E1233="!!!"),"",IF(NOT(ISNA(VLOOKUP(E1233,E$1:E1232,1,FALSE()))),"OLD",IF(AND(E1233&lt;&gt;"",E1233&lt;&gt;"!!!"),"NEW","")))</f>
        <v/>
      </c>
      <c r="G1233" s="22" t="str">
        <f>IF(OR(E1233="",E1233="!!!"),"",IF(OR(J1233=0,AND(J1233=1,K1233=1),AND(J1233=1,I1233="SBJ"),AND(J1233=1,I1233=0)),"?IN_FOCUS",IF(J1233&lt;=2,"?ACTIVATED",IF(J1233&lt;&gt;"","?FAMILIAR",IF(F1233="NEW",IF(ISNA(VLOOKUP(E1233,#REF!,1,FALSE())),"?TYPE_IDENTIFIABLE","?REFERENTIAL"),"_")))))</f>
        <v/>
      </c>
      <c r="H1233" s="23" t="str">
        <f t="shared" ca="1" si="144"/>
        <v/>
      </c>
      <c r="I1233" s="24" t="str">
        <f>IF(OR(E1233="",E1233="!!!",F1233="NEW"),"",INDEX(B$2:B1232,-1+SUMPRODUCT(MAX(ROW(E$2:E1232)*(E1233=E$2:E1232)))))</f>
        <v/>
      </c>
      <c r="J1233" s="24" t="str">
        <f ca="1">IF(OR(E1233="",E1233="!!!",F1233="NEW"),"",COUNTBLANK(OFFSET(A$1,,,SUMPRODUCT(MAX(ROW(E$2:E1233)*(E1233=E$2:E1233)))))-COUNTBLANK(OFFSET(A$1,,,SUMPRODUCT(MAX(ROW(E$1:E1232)*(E2=E$1:E1232))))))</f>
        <v/>
      </c>
      <c r="K1233" s="24" t="str">
        <f>IF(OR(E1233="",E1233="!!!",F1233="NEW"),"",INDEX(J$1:J1232,SUMPRODUCT(MAX(ROW(E$1:E1232)*(E1233=E$1:E1232)))))</f>
        <v/>
      </c>
      <c r="L1233" s="25"/>
    </row>
    <row r="1234" spans="1:12" x14ac:dyDescent="0.2">
      <c r="A1234" t="s">
        <v>812</v>
      </c>
      <c r="E1234" s="20" t="str">
        <f t="shared" si="145"/>
        <v/>
      </c>
      <c r="F1234" s="21" t="str">
        <f>IF(OR(E1234="",E1234="!!!"),"",IF(NOT(ISNA(VLOOKUP(E1234,E$1:E1233,1,FALSE()))),"OLD",IF(AND(E1234&lt;&gt;"",E1234&lt;&gt;"!!!"),"NEW","")))</f>
        <v/>
      </c>
      <c r="G1234" s="22" t="str">
        <f>IF(OR(E1234="",E1234="!!!"),"",IF(OR(J1234=0,AND(J1234=1,K1234=1),AND(J1234=1,I1234="SBJ"),AND(J1234=1,I1234=0)),"?IN_FOCUS",IF(J1234&lt;=2,"?ACTIVATED",IF(J1234&lt;&gt;"","?FAMILIAR",IF(F1234="NEW",IF(ISNA(VLOOKUP(E1234,#REF!,1,FALSE())),"?TYPE_IDENTIFIABLE","?REFERENTIAL"),"_")))))</f>
        <v/>
      </c>
      <c r="H1234" s="23" t="str">
        <f t="shared" ca="1" si="144"/>
        <v/>
      </c>
      <c r="I1234" s="24" t="str">
        <f>IF(OR(E1234="",E1234="!!!",F1234="NEW"),"",INDEX(B$2:B1233,-1+SUMPRODUCT(MAX(ROW(E$2:E1233)*(E1234=E$2:E1233)))))</f>
        <v/>
      </c>
      <c r="J1234" s="24" t="str">
        <f ca="1">IF(OR(E1234="",E1234="!!!",F1234="NEW"),"",COUNTBLANK(OFFSET(A$1,,,SUMPRODUCT(MAX(ROW(E$2:E1234)*(E1234=E$2:E1234)))))-COUNTBLANK(OFFSET(A$1,,,SUMPRODUCT(MAX(ROW(E$1:E1233)*(E2=E$1:E1233))))))</f>
        <v/>
      </c>
      <c r="K1234" s="24" t="str">
        <f>IF(OR(E1234="",E1234="!!!",F1234="NEW"),"",INDEX(J$1:J1233,SUMPRODUCT(MAX(ROW(E$1:E1233)*(E1234=E$1:E1233)))))</f>
        <v/>
      </c>
      <c r="L1234" s="25"/>
    </row>
    <row r="1235" spans="1:12" x14ac:dyDescent="0.2">
      <c r="A1235" t="s">
        <v>845</v>
      </c>
      <c r="E1235" s="20" t="str">
        <f t="shared" si="145"/>
        <v/>
      </c>
      <c r="F1235" s="21" t="str">
        <f>IF(OR(E1235="",E1235="!!!"),"",IF(NOT(ISNA(VLOOKUP(E1235,E$1:E1234,1,FALSE()))),"OLD",IF(AND(E1235&lt;&gt;"",E1235&lt;&gt;"!!!"),"NEW","")))</f>
        <v/>
      </c>
      <c r="G1235" s="22" t="str">
        <f>IF(OR(E1235="",E1235="!!!"),"",IF(OR(J1235=0,AND(J1235=1,K1235=1),AND(J1235=1,I1235="SBJ"),AND(J1235=1,I1235=0)),"?IN_FOCUS",IF(J1235&lt;=2,"?ACTIVATED",IF(J1235&lt;&gt;"","?FAMILIAR",IF(F1235="NEW",IF(ISNA(VLOOKUP(E1235,#REF!,1,FALSE())),"?TYPE_IDENTIFIABLE","?REFERENTIAL"),"_")))))</f>
        <v/>
      </c>
      <c r="H1235" s="23" t="str">
        <f t="shared" ca="1" si="144"/>
        <v/>
      </c>
      <c r="I1235" s="24" t="str">
        <f>IF(OR(E1235="",E1235="!!!",F1235="NEW"),"",INDEX(B$2:B1234,-1+SUMPRODUCT(MAX(ROW(E$2:E1234)*(E1235=E$2:E1234)))))</f>
        <v/>
      </c>
      <c r="J1235" s="24" t="str">
        <f ca="1">IF(OR(E1235="",E1235="!!!",F1235="NEW"),"",COUNTBLANK(OFFSET(A$1,,,SUMPRODUCT(MAX(ROW(E$2:E1235)*(E1235=E$2:E1235)))))-COUNTBLANK(OFFSET(A$1,,,SUMPRODUCT(MAX(ROW(E$1:E1234)*(E2=E$1:E1234))))))</f>
        <v/>
      </c>
      <c r="K1235" s="24" t="str">
        <f>IF(OR(E1235="",E1235="!!!",F1235="NEW"),"",INDEX(J$1:J1234,SUMPRODUCT(MAX(ROW(E$1:E1234)*(E1235=E$1:E1234)))))</f>
        <v/>
      </c>
      <c r="L1235" s="25"/>
    </row>
    <row r="1236" spans="1:12" x14ac:dyDescent="0.2">
      <c r="A1236" t="s">
        <v>1240</v>
      </c>
      <c r="B1236" s="26" t="s">
        <v>813</v>
      </c>
      <c r="C1236" s="26" t="s">
        <v>847</v>
      </c>
      <c r="D1236" s="26" t="s">
        <v>806</v>
      </c>
      <c r="E1236" s="20" t="s">
        <v>1240</v>
      </c>
      <c r="F1236" s="21" t="str">
        <f>IF(OR(E1236="",E1236="!!!"),"",IF(NOT(ISNA(VLOOKUP(E1236,E$1:E1235,1,FALSE()))),"OLD",IF(AND(E1236&lt;&gt;"",E1236&lt;&gt;"!!!"),"NEW","")))</f>
        <v>NEW</v>
      </c>
      <c r="G1236" s="22" t="s">
        <v>1820</v>
      </c>
      <c r="H1236" s="23" t="str">
        <f t="shared" ca="1" si="144"/>
        <v/>
      </c>
      <c r="I1236" s="24" t="str">
        <f>IF(OR(E1236="",E1236="!!!",F1236="NEW"),"",INDEX(B$2:B1235,-1+SUMPRODUCT(MAX(ROW(E$2:E1235)*(E1236=E$2:E1235)))))</f>
        <v/>
      </c>
      <c r="J1236" s="24" t="str">
        <f ca="1">IF(OR(E1236="",E1236="!!!",F1236="NEW"),"",COUNTBLANK(OFFSET(A$1,,,SUMPRODUCT(MAX(ROW(E$2:E1236)*(E1236=E$2:E1236)))))-COUNTBLANK(OFFSET(A$1,,,SUMPRODUCT(MAX(ROW(E$1:E1235)*(E2=E$1:E1235))))))</f>
        <v/>
      </c>
      <c r="K1236" s="24" t="str">
        <f>IF(OR(E1236="",E1236="!!!",F1236="NEW"),"",INDEX(J$1:J1235,SUMPRODUCT(MAX(ROW(E$1:E1235)*(E1236=E$1:E1235)))))</f>
        <v/>
      </c>
      <c r="L1236" s="25"/>
    </row>
    <row r="1237" spans="1:12" x14ac:dyDescent="0.2">
      <c r="A1237" t="s">
        <v>802</v>
      </c>
      <c r="E1237" s="20" t="str">
        <f t="shared" si="145"/>
        <v/>
      </c>
      <c r="F1237" s="21" t="str">
        <f>IF(OR(E1237="",E1237="!!!"),"",IF(NOT(ISNA(VLOOKUP(E1237,E$1:E1236,1,FALSE()))),"OLD",IF(AND(E1237&lt;&gt;"",E1237&lt;&gt;"!!!"),"NEW","")))</f>
        <v/>
      </c>
      <c r="G1237" s="22" t="str">
        <f>IF(OR(E1237="",E1237="!!!"),"",IF(OR(J1237=0,AND(J1237=1,K1237=1),AND(J1237=1,I1237="SBJ"),AND(J1237=1,I1237=0)),"?IN_FOCUS",IF(J1237&lt;=2,"?ACTIVATED",IF(J1237&lt;&gt;"","?FAMILIAR",IF(F1237="NEW",IF(ISNA(VLOOKUP(E1237,#REF!,1,FALSE())),"?TYPE_IDENTIFIABLE","?REFERENTIAL"),"_")))))</f>
        <v/>
      </c>
      <c r="H1237" s="23" t="str">
        <f t="shared" ca="1" si="144"/>
        <v/>
      </c>
      <c r="I1237" s="24" t="str">
        <f>IF(OR(E1237="",E1237="!!!",F1237="NEW"),"",INDEX(B$2:B1236,-1+SUMPRODUCT(MAX(ROW(E$2:E1236)*(E1237=E$2:E1236)))))</f>
        <v/>
      </c>
      <c r="J1237" s="24" t="str">
        <f ca="1">IF(OR(E1237="",E1237="!!!",F1237="NEW"),"",COUNTBLANK(OFFSET(A$1,,,SUMPRODUCT(MAX(ROW(E$2:E1237)*(E1237=E$2:E1237)))))-COUNTBLANK(OFFSET(A$1,,,SUMPRODUCT(MAX(ROW(E$1:E1236)*(E2=E$1:E1236))))))</f>
        <v/>
      </c>
      <c r="K1237" s="24" t="str">
        <f>IF(OR(E1237="",E1237="!!!",F1237="NEW"),"",INDEX(J$1:J1236,SUMPRODUCT(MAX(ROW(E$1:E1236)*(E1237=E$1:E1236)))))</f>
        <v/>
      </c>
      <c r="L1237" s="25"/>
    </row>
    <row r="1238" spans="1:12" x14ac:dyDescent="0.2">
      <c r="A1238" t="s">
        <v>1241</v>
      </c>
      <c r="B1238" s="26" t="s">
        <v>891</v>
      </c>
      <c r="E1238" s="20" t="str">
        <f t="shared" si="145"/>
        <v/>
      </c>
      <c r="F1238" s="21" t="str">
        <f>IF(OR(E1238="",E1238="!!!"),"",IF(NOT(ISNA(VLOOKUP(E1238,E$1:E1237,1,FALSE()))),"OLD",IF(AND(E1238&lt;&gt;"",E1238&lt;&gt;"!!!"),"NEW","")))</f>
        <v/>
      </c>
      <c r="G1238" s="22" t="str">
        <f>IF(OR(E1238="",E1238="!!!"),"",IF(OR(J1238=0,AND(J1238=1,K1238=1),AND(J1238=1,I1238="SBJ"),AND(J1238=1,I1238=0)),"?IN_FOCUS",IF(J1238&lt;=2,"?ACTIVATED",IF(J1238&lt;&gt;"","?FAMILIAR",IF(F1238="NEW",IF(ISNA(VLOOKUP(E1238,#REF!,1,FALSE())),"?TYPE_IDENTIFIABLE","?REFERENTIAL"),"_")))))</f>
        <v/>
      </c>
      <c r="H1238" s="23" t="str">
        <f t="shared" ca="1" si="144"/>
        <v/>
      </c>
      <c r="I1238" s="24" t="str">
        <f>IF(OR(E1238="",E1238="!!!",F1238="NEW"),"",INDEX(B$2:B1237,-1+SUMPRODUCT(MAX(ROW(E$2:E1237)*(E1238=E$2:E1237)))))</f>
        <v/>
      </c>
      <c r="J1238" s="24" t="str">
        <f ca="1">IF(OR(E1238="",E1238="!!!",F1238="NEW"),"",COUNTBLANK(OFFSET(A$1,,,SUMPRODUCT(MAX(ROW(E$2:E1238)*(E1238=E$2:E1238)))))-COUNTBLANK(OFFSET(A$1,,,SUMPRODUCT(MAX(ROW(E$1:E1237)*(E2=E$1:E1237))))))</f>
        <v/>
      </c>
      <c r="K1238" s="24" t="str">
        <f>IF(OR(E1238="",E1238="!!!",F1238="NEW"),"",INDEX(J$1:J1237,SUMPRODUCT(MAX(ROW(E$1:E1237)*(E1238=E$1:E1237)))))</f>
        <v/>
      </c>
      <c r="L1238" s="25"/>
    </row>
    <row r="1239" spans="1:12" x14ac:dyDescent="0.2">
      <c r="A1239" t="s">
        <v>802</v>
      </c>
      <c r="E1239" s="20" t="str">
        <f t="shared" si="145"/>
        <v/>
      </c>
      <c r="F1239" s="21" t="str">
        <f>IF(OR(E1239="",E1239="!!!"),"",IF(NOT(ISNA(VLOOKUP(E1239,E$1:E1238,1,FALSE()))),"OLD",IF(AND(E1239&lt;&gt;"",E1239&lt;&gt;"!!!"),"NEW","")))</f>
        <v/>
      </c>
      <c r="G1239" s="22" t="str">
        <f>IF(OR(E1239="",E1239="!!!"),"",IF(OR(J1239=0,AND(J1239=1,K1239=1),AND(J1239=1,I1239="SBJ"),AND(J1239=1,I1239=0)),"?IN_FOCUS",IF(J1239&lt;=2,"?ACTIVATED",IF(J1239&lt;&gt;"","?FAMILIAR",IF(F1239="NEW",IF(ISNA(VLOOKUP(E1239,#REF!,1,FALSE())),"?TYPE_IDENTIFIABLE","?REFERENTIAL"),"_")))))</f>
        <v/>
      </c>
      <c r="H1239" s="23" t="str">
        <f t="shared" ca="1" si="144"/>
        <v/>
      </c>
      <c r="I1239" s="24" t="str">
        <f>IF(OR(E1239="",E1239="!!!",F1239="NEW"),"",INDEX(B$2:B1238,-1+SUMPRODUCT(MAX(ROW(E$2:E1238)*(E1239=E$2:E1238)))))</f>
        <v/>
      </c>
      <c r="J1239" s="24" t="str">
        <f ca="1">IF(OR(E1239="",E1239="!!!",F1239="NEW"),"",COUNTBLANK(OFFSET(A$1,,,SUMPRODUCT(MAX(ROW(E$2:E1239)*(E1239=E$2:E1239)))))-COUNTBLANK(OFFSET(A$1,,,SUMPRODUCT(MAX(ROW(E$1:E1238)*(E2=E$1:E1238))))))</f>
        <v/>
      </c>
      <c r="K1239" s="24" t="str">
        <f>IF(OR(E1239="",E1239="!!!",F1239="NEW"),"",INDEX(J$1:J1238,SUMPRODUCT(MAX(ROW(E$1:E1238)*(E1239=E$1:E1238)))))</f>
        <v/>
      </c>
      <c r="L1239" s="25"/>
    </row>
    <row r="1240" spans="1:12" x14ac:dyDescent="0.2">
      <c r="A1240" t="s">
        <v>878</v>
      </c>
      <c r="E1240" s="20" t="str">
        <f t="shared" si="145"/>
        <v/>
      </c>
      <c r="F1240" s="21" t="str">
        <f>IF(OR(E1240="",E1240="!!!"),"",IF(NOT(ISNA(VLOOKUP(E1240,E$1:E1239,1,FALSE()))),"OLD",IF(AND(E1240&lt;&gt;"",E1240&lt;&gt;"!!!"),"NEW","")))</f>
        <v/>
      </c>
      <c r="G1240" s="22" t="str">
        <f>IF(OR(E1240="",E1240="!!!"),"",IF(OR(J1240=0,AND(J1240=1,K1240=1),AND(J1240=1,I1240="SBJ"),AND(J1240=1,I1240=0)),"?IN_FOCUS",IF(J1240&lt;=2,"?ACTIVATED",IF(J1240&lt;&gt;"","?FAMILIAR",IF(F1240="NEW",IF(ISNA(VLOOKUP(E1240,#REF!,1,FALSE())),"?TYPE_IDENTIFIABLE","?REFERENTIAL"),"_")))))</f>
        <v/>
      </c>
      <c r="H1240" s="23" t="str">
        <f t="shared" ca="1" si="144"/>
        <v/>
      </c>
      <c r="I1240" s="24" t="str">
        <f>IF(OR(E1240="",E1240="!!!",F1240="NEW"),"",INDEX(B$2:B1239,-1+SUMPRODUCT(MAX(ROW(E$2:E1239)*(E1240=E$2:E1239)))))</f>
        <v/>
      </c>
      <c r="J1240" s="24" t="str">
        <f ca="1">IF(OR(E1240="",E1240="!!!",F1240="NEW"),"",COUNTBLANK(OFFSET(A$1,,,SUMPRODUCT(MAX(ROW(E$2:E1240)*(E1240=E$2:E1240)))))-COUNTBLANK(OFFSET(A$1,,,SUMPRODUCT(MAX(ROW(E$1:E1239)*(E2=E$1:E1239))))))</f>
        <v/>
      </c>
      <c r="K1240" s="24" t="str">
        <f>IF(OR(E1240="",E1240="!!!",F1240="NEW"),"",INDEX(J$1:J1239,SUMPRODUCT(MAX(ROW(E$1:E1239)*(E1240=E$1:E1239)))))</f>
        <v/>
      </c>
      <c r="L1240" s="25"/>
    </row>
    <row r="1241" spans="1:12" x14ac:dyDescent="0.2">
      <c r="A1241" t="s">
        <v>875</v>
      </c>
      <c r="E1241" s="20" t="str">
        <f t="shared" si="145"/>
        <v/>
      </c>
      <c r="F1241" s="21" t="str">
        <f>IF(OR(E1241="",E1241="!!!"),"",IF(NOT(ISNA(VLOOKUP(E1241,E$1:E1240,1,FALSE()))),"OLD",IF(AND(E1241&lt;&gt;"",E1241&lt;&gt;"!!!"),"NEW","")))</f>
        <v/>
      </c>
      <c r="G1241" s="22" t="str">
        <f>IF(OR(E1241="",E1241="!!!"),"",IF(OR(J1241=0,AND(J1241=1,K1241=1),AND(J1241=1,I1241="SBJ"),AND(J1241=1,I1241=0)),"?IN_FOCUS",IF(J1241&lt;=2,"?ACTIVATED",IF(J1241&lt;&gt;"","?FAMILIAR",IF(F1241="NEW",IF(ISNA(VLOOKUP(E1241,#REF!,1,FALSE())),"?TYPE_IDENTIFIABLE","?REFERENTIAL"),"_")))))</f>
        <v/>
      </c>
      <c r="H1241" s="23" t="str">
        <f t="shared" ca="1" si="144"/>
        <v/>
      </c>
      <c r="I1241" s="24" t="str">
        <f>IF(OR(E1241="",E1241="!!!",F1241="NEW"),"",INDEX(B$2:B1240,-1+SUMPRODUCT(MAX(ROW(E$2:E1240)*(E1241=E$2:E1240)))))</f>
        <v/>
      </c>
      <c r="J1241" s="24" t="str">
        <f ca="1">IF(OR(E1241="",E1241="!!!",F1241="NEW"),"",COUNTBLANK(OFFSET(A$1,,,SUMPRODUCT(MAX(ROW(E$2:E1241)*(E1241=E$2:E1241)))))-COUNTBLANK(OFFSET(A$1,,,SUMPRODUCT(MAX(ROW(E$1:E1240)*(E2=E$1:E1240))))))</f>
        <v/>
      </c>
      <c r="K1241" s="24" t="str">
        <f>IF(OR(E1241="",E1241="!!!",F1241="NEW"),"",INDEX(J$1:J1240,SUMPRODUCT(MAX(ROW(E$1:E1240)*(E1241=E$1:E1240)))))</f>
        <v/>
      </c>
      <c r="L1241" s="25"/>
    </row>
    <row r="1242" spans="1:12" x14ac:dyDescent="0.2">
      <c r="A1242" t="s">
        <v>1242</v>
      </c>
      <c r="B1242" s="26" t="s">
        <v>864</v>
      </c>
      <c r="C1242" s="26" t="s">
        <v>877</v>
      </c>
      <c r="D1242" s="26" t="s">
        <v>806</v>
      </c>
      <c r="E1242" s="20" t="s">
        <v>1776</v>
      </c>
      <c r="F1242" s="21" t="str">
        <f>IF(OR(E1242="",E1242="!!!"),"",IF(NOT(ISNA(VLOOKUP(E1242,E$1:E1241,1,FALSE()))),"OLD",IF(AND(E1242&lt;&gt;"",E1242&lt;&gt;"!!!"),"NEW","")))</f>
        <v>OLD</v>
      </c>
      <c r="G1242" s="22" t="s">
        <v>1822</v>
      </c>
      <c r="H1242" s="23" t="str">
        <f t="shared" ca="1" si="144"/>
        <v/>
      </c>
      <c r="I1242" s="24" t="str">
        <f>IF(OR(E1242="",E1242="!!!",F1242="NEW"),"",INDEX(B$2:B1241,-1+SUMPRODUCT(MAX(ROW(E$2:E1241)*(E1242=E$2:E1241)))))</f>
        <v>SBJ</v>
      </c>
      <c r="J1242" s="24">
        <f ca="1">IF(OR(E1242="",E1242="!!!",F1242="NEW"),"",COUNTBLANK(OFFSET(A$1,,,SUMPRODUCT(MAX(ROW(E$2:E1242)*(E1242=E$2:E1242)))))-COUNTBLANK(OFFSET(A$1,,,SUMPRODUCT(MAX(ROW(E$1:E1241)*(E2=E$1:E1241))))))</f>
        <v>0</v>
      </c>
      <c r="K1242" s="24">
        <f ca="1">IF(OR(E1242="",E1242="!!!",F1242="NEW"),"",INDEX(J$1:J1241,SUMPRODUCT(MAX(ROW(E$1:E1241)*(E1242=E$1:E1241)))))</f>
        <v>0</v>
      </c>
      <c r="L1242" s="25"/>
    </row>
    <row r="1243" spans="1:12" x14ac:dyDescent="0.2">
      <c r="A1243" t="s">
        <v>802</v>
      </c>
      <c r="E1243" s="20" t="str">
        <f t="shared" si="145"/>
        <v/>
      </c>
      <c r="F1243" s="21" t="str">
        <f>IF(OR(E1243="",E1243="!!!"),"",IF(NOT(ISNA(VLOOKUP(E1243,E$1:E1242,1,FALSE()))),"OLD",IF(AND(E1243&lt;&gt;"",E1243&lt;&gt;"!!!"),"NEW","")))</f>
        <v/>
      </c>
      <c r="G1243" s="22" t="str">
        <f>IF(OR(E1243="",E1243="!!!"),"",IF(OR(J1243=0,AND(J1243=1,K1243=1),AND(J1243=1,I1243="SBJ"),AND(J1243=1,I1243=0)),"?IN_FOCUS",IF(J1243&lt;=2,"?ACTIVATED",IF(J1243&lt;&gt;"","?FAMILIAR",IF(F1243="NEW",IF(ISNA(VLOOKUP(E1243,#REF!,1,FALSE())),"?TYPE_IDENTIFIABLE","?REFERENTIAL"),"_")))))</f>
        <v/>
      </c>
      <c r="H1243" s="23" t="str">
        <f t="shared" ca="1" si="144"/>
        <v/>
      </c>
      <c r="I1243" s="24" t="str">
        <f>IF(OR(E1243="",E1243="!!!",F1243="NEW"),"",INDEX(B$2:B1242,-1+SUMPRODUCT(MAX(ROW(E$2:E1242)*(E1243=E$2:E1242)))))</f>
        <v/>
      </c>
      <c r="J1243" s="24" t="str">
        <f ca="1">IF(OR(E1243="",E1243="!!!",F1243="NEW"),"",COUNTBLANK(OFFSET(A$1,,,SUMPRODUCT(MAX(ROW(E$2:E1243)*(E1243=E$2:E1243)))))-COUNTBLANK(OFFSET(A$1,,,SUMPRODUCT(MAX(ROW(E$1:E1242)*(E2=E$1:E1242))))))</f>
        <v/>
      </c>
      <c r="K1243" s="24" t="str">
        <f>IF(OR(E1243="",E1243="!!!",F1243="NEW"),"",INDEX(J$1:J1242,SUMPRODUCT(MAX(ROW(E$1:E1242)*(E1243=E$1:E1242)))))</f>
        <v/>
      </c>
      <c r="L1243" s="25"/>
    </row>
    <row r="1244" spans="1:12" x14ac:dyDescent="0.2">
      <c r="A1244" t="s">
        <v>963</v>
      </c>
      <c r="E1244" s="20" t="str">
        <f t="shared" si="145"/>
        <v/>
      </c>
      <c r="F1244" s="21" t="str">
        <f>IF(OR(E1244="",E1244="!!!"),"",IF(NOT(ISNA(VLOOKUP(E1244,E$1:E1243,1,FALSE()))),"OLD",IF(AND(E1244&lt;&gt;"",E1244&lt;&gt;"!!!"),"NEW","")))</f>
        <v/>
      </c>
      <c r="G1244" s="22" t="str">
        <f>IF(OR(E1244="",E1244="!!!"),"",IF(OR(J1244=0,AND(J1244=1,K1244=1),AND(J1244=1,I1244="SBJ"),AND(J1244=1,I1244=0)),"?IN_FOCUS",IF(J1244&lt;=2,"?ACTIVATED",IF(J1244&lt;&gt;"","?FAMILIAR",IF(F1244="NEW",IF(ISNA(VLOOKUP(E1244,#REF!,1,FALSE())),"?TYPE_IDENTIFIABLE","?REFERENTIAL"),"_")))))</f>
        <v/>
      </c>
      <c r="H1244" s="23" t="str">
        <f t="shared" ca="1" si="144"/>
        <v/>
      </c>
      <c r="I1244" s="24" t="str">
        <f>IF(OR(E1244="",E1244="!!!",F1244="NEW"),"",INDEX(B$2:B1243,-1+SUMPRODUCT(MAX(ROW(E$2:E1243)*(E1244=E$2:E1243)))))</f>
        <v/>
      </c>
      <c r="J1244" s="24" t="str">
        <f ca="1">IF(OR(E1244="",E1244="!!!",F1244="NEW"),"",COUNTBLANK(OFFSET(A$1,,,SUMPRODUCT(MAX(ROW(E$2:E1244)*(E1244=E$2:E1244)))))-COUNTBLANK(OFFSET(A$1,,,SUMPRODUCT(MAX(ROW(E$1:E1243)*(E2=E$1:E1243))))))</f>
        <v/>
      </c>
      <c r="K1244" s="24" t="str">
        <f>IF(OR(E1244="",E1244="!!!",F1244="NEW"),"",INDEX(J$1:J1243,SUMPRODUCT(MAX(ROW(E$1:E1243)*(E1244=E$1:E1243)))))</f>
        <v/>
      </c>
      <c r="L1244" s="25"/>
    </row>
    <row r="1245" spans="1:12" x14ac:dyDescent="0.2">
      <c r="A1245" t="s">
        <v>809</v>
      </c>
      <c r="E1245" s="20" t="str">
        <f t="shared" si="145"/>
        <v/>
      </c>
      <c r="F1245" s="21" t="str">
        <f>IF(OR(E1245="",E1245="!!!"),"",IF(NOT(ISNA(VLOOKUP(E1245,E$1:E1244,1,FALSE()))),"OLD",IF(AND(E1245&lt;&gt;"",E1245&lt;&gt;"!!!"),"NEW","")))</f>
        <v/>
      </c>
      <c r="G1245" s="22" t="str">
        <f>IF(OR(E1245="",E1245="!!!"),"",IF(OR(J1245=0,AND(J1245=1,K1245=1),AND(J1245=1,I1245="SBJ"),AND(J1245=1,I1245=0)),"?IN_FOCUS",IF(J1245&lt;=2,"?ACTIVATED",IF(J1245&lt;&gt;"","?FAMILIAR",IF(F1245="NEW",IF(ISNA(VLOOKUP(E1245,#REF!,1,FALSE())),"?TYPE_IDENTIFIABLE","?REFERENTIAL"),"_")))))</f>
        <v/>
      </c>
      <c r="H1245" s="23" t="str">
        <f t="shared" ca="1" si="144"/>
        <v/>
      </c>
      <c r="I1245" s="24" t="str">
        <f>IF(OR(E1245="",E1245="!!!",F1245="NEW"),"",INDEX(B$2:B1244,-1+SUMPRODUCT(MAX(ROW(E$2:E1244)*(E1245=E$2:E1244)))))</f>
        <v/>
      </c>
      <c r="J1245" s="24" t="str">
        <f ca="1">IF(OR(E1245="",E1245="!!!",F1245="NEW"),"",COUNTBLANK(OFFSET(A$1,,,SUMPRODUCT(MAX(ROW(E$2:E1245)*(E1245=E$2:E1245)))))-COUNTBLANK(OFFSET(A$1,,,SUMPRODUCT(MAX(ROW(E$1:E1244)*(E2=E$1:E1244))))))</f>
        <v/>
      </c>
      <c r="K1245" s="24" t="str">
        <f>IF(OR(E1245="",E1245="!!!",F1245="NEW"),"",INDEX(J$1:J1244,SUMPRODUCT(MAX(ROW(E$1:E1244)*(E1245=E$1:E1244)))))</f>
        <v/>
      </c>
      <c r="L1245" s="25"/>
    </row>
    <row r="1246" spans="1:12" x14ac:dyDescent="0.2">
      <c r="A1246" t="s">
        <v>86</v>
      </c>
      <c r="B1246" s="26" t="s">
        <v>813</v>
      </c>
      <c r="C1246" s="26" t="s">
        <v>811</v>
      </c>
      <c r="E1246" s="20" t="str">
        <f t="shared" si="145"/>
        <v/>
      </c>
      <c r="F1246" s="21" t="str">
        <f>IF(OR(E1246="",E1246="!!!"),"",IF(NOT(ISNA(VLOOKUP(E1246,E$1:E1245,1,FALSE()))),"OLD",IF(AND(E1246&lt;&gt;"",E1246&lt;&gt;"!!!"),"NEW","")))</f>
        <v/>
      </c>
      <c r="G1246" s="22" t="str">
        <f>IF(OR(E1246="",E1246="!!!"),"",IF(OR(J1246=0,AND(J1246=1,K1246=1),AND(J1246=1,I1246="SBJ"),AND(J1246=1,I1246=0)),"?IN_FOCUS",IF(J1246&lt;=2,"?ACTIVATED",IF(J1246&lt;&gt;"","?FAMILIAR",IF(F1246="NEW",IF(ISNA(VLOOKUP(E1246,#REF!,1,FALSE())),"?TYPE_IDENTIFIABLE","?REFERENTIAL"),"_")))))</f>
        <v/>
      </c>
      <c r="H1246" s="23" t="str">
        <f t="shared" ca="1" si="144"/>
        <v/>
      </c>
      <c r="I1246" s="24" t="str">
        <f>IF(OR(E1246="",E1246="!!!",F1246="NEW"),"",INDEX(B$2:B1245,-1+SUMPRODUCT(MAX(ROW(E$2:E1245)*(E1246=E$2:E1245)))))</f>
        <v/>
      </c>
      <c r="J1246" s="24" t="str">
        <f ca="1">IF(OR(E1246="",E1246="!!!",F1246="NEW"),"",COUNTBLANK(OFFSET(A$1,,,SUMPRODUCT(MAX(ROW(E$2:E1246)*(E1246=E$2:E1246)))))-COUNTBLANK(OFFSET(A$1,,,SUMPRODUCT(MAX(ROW(E$1:E1245)*(E2=E$1:E1245))))))</f>
        <v/>
      </c>
      <c r="K1246" s="24" t="str">
        <f>IF(OR(E1246="",E1246="!!!",F1246="NEW"),"",INDEX(J$1:J1245,SUMPRODUCT(MAX(ROW(E$1:E1245)*(E1246=E$1:E1245)))))</f>
        <v/>
      </c>
      <c r="L1246" s="25"/>
    </row>
    <row r="1247" spans="1:12" x14ac:dyDescent="0.2">
      <c r="A1247" t="s">
        <v>812</v>
      </c>
      <c r="E1247" s="20" t="str">
        <f t="shared" si="145"/>
        <v/>
      </c>
      <c r="F1247" s="21" t="str">
        <f>IF(OR(E1247="",E1247="!!!"),"",IF(NOT(ISNA(VLOOKUP(E1247,E$1:E1246,1,FALSE()))),"OLD",IF(AND(E1247&lt;&gt;"",E1247&lt;&gt;"!!!"),"NEW","")))</f>
        <v/>
      </c>
      <c r="G1247" s="22" t="str">
        <f>IF(OR(E1247="",E1247="!!!"),"",IF(OR(J1247=0,AND(J1247=1,K1247=1),AND(J1247=1,I1247="SBJ"),AND(J1247=1,I1247=0)),"?IN_FOCUS",IF(J1247&lt;=2,"?ACTIVATED",IF(J1247&lt;&gt;"","?FAMILIAR",IF(F1247="NEW",IF(ISNA(VLOOKUP(E1247,#REF!,1,FALSE())),"?TYPE_IDENTIFIABLE","?REFERENTIAL"),"_")))))</f>
        <v/>
      </c>
      <c r="H1247" s="23" t="str">
        <f t="shared" ca="1" si="144"/>
        <v/>
      </c>
      <c r="I1247" s="24" t="str">
        <f>IF(OR(E1247="",E1247="!!!",F1247="NEW"),"",INDEX(B$2:B1246,-1+SUMPRODUCT(MAX(ROW(E$2:E1246)*(E1247=E$2:E1246)))))</f>
        <v/>
      </c>
      <c r="J1247" s="24" t="str">
        <f ca="1">IF(OR(E1247="",E1247="!!!",F1247="NEW"),"",COUNTBLANK(OFFSET(A$1,,,SUMPRODUCT(MAX(ROW(E$2:E1247)*(E1247=E$2:E1247)))))-COUNTBLANK(OFFSET(A$1,,,SUMPRODUCT(MAX(ROW(E$1:E1246)*(E2=E$1:E1246))))))</f>
        <v/>
      </c>
      <c r="K1247" s="24" t="str">
        <f>IF(OR(E1247="",E1247="!!!",F1247="NEW"),"",INDEX(J$1:J1246,SUMPRODUCT(MAX(ROW(E$1:E1246)*(E1247=E$1:E1246)))))</f>
        <v/>
      </c>
      <c r="L1247" s="25"/>
    </row>
    <row r="1248" spans="1:12" x14ac:dyDescent="0.2">
      <c r="A1248" t="s">
        <v>1240</v>
      </c>
      <c r="B1248" s="26" t="s">
        <v>864</v>
      </c>
      <c r="C1248" s="26" t="s">
        <v>814</v>
      </c>
      <c r="E1248" s="20" t="str">
        <f t="shared" si="145"/>
        <v/>
      </c>
      <c r="F1248" s="21" t="str">
        <f>IF(OR(E1248="",E1248="!!!"),"",IF(NOT(ISNA(VLOOKUP(E1248,E$1:E1247,1,FALSE()))),"OLD",IF(AND(E1248&lt;&gt;"",E1248&lt;&gt;"!!!"),"NEW","")))</f>
        <v/>
      </c>
      <c r="G1248" s="22" t="str">
        <f>IF(OR(E1248="",E1248="!!!"),"",IF(OR(J1248=0,AND(J1248=1,K1248=1),AND(J1248=1,I1248="SBJ"),AND(J1248=1,I1248=0)),"?IN_FOCUS",IF(J1248&lt;=2,"?ACTIVATED",IF(J1248&lt;&gt;"","?FAMILIAR",IF(F1248="NEW",IF(ISNA(VLOOKUP(E1248,#REF!,1,FALSE())),"?TYPE_IDENTIFIABLE","?REFERENTIAL"),"_")))))</f>
        <v/>
      </c>
      <c r="H1248" s="23" t="str">
        <f t="shared" ca="1" si="144"/>
        <v/>
      </c>
      <c r="I1248" s="24" t="str">
        <f>IF(OR(E1248="",E1248="!!!",F1248="NEW"),"",INDEX(B$2:B1247,-1+SUMPRODUCT(MAX(ROW(E$2:E1247)*(E1248=E$2:E1247)))))</f>
        <v/>
      </c>
      <c r="J1248" s="24" t="str">
        <f ca="1">IF(OR(E1248="",E1248="!!!",F1248="NEW"),"",COUNTBLANK(OFFSET(A$1,,,SUMPRODUCT(MAX(ROW(E$2:E1248)*(E1248=E$2:E1248)))))-COUNTBLANK(OFFSET(A$1,,,SUMPRODUCT(MAX(ROW(E$1:E1247)*(E2=E$1:E1247))))))</f>
        <v/>
      </c>
      <c r="K1248" s="24" t="str">
        <f>IF(OR(E1248="",E1248="!!!",F1248="NEW"),"",INDEX(J$1:J1247,SUMPRODUCT(MAX(ROW(E$1:E1247)*(E1248=E$1:E1247)))))</f>
        <v/>
      </c>
      <c r="L1248" s="25"/>
    </row>
    <row r="1249" spans="1:12" x14ac:dyDescent="0.2">
      <c r="A1249" t="s">
        <v>821</v>
      </c>
      <c r="E1249" s="20" t="str">
        <f t="shared" si="145"/>
        <v/>
      </c>
      <c r="F1249" s="21" t="str">
        <f>IF(OR(E1249="",E1249="!!!"),"",IF(NOT(ISNA(VLOOKUP(E1249,E$1:E1248,1,FALSE()))),"OLD",IF(AND(E1249&lt;&gt;"",E1249&lt;&gt;"!!!"),"NEW","")))</f>
        <v/>
      </c>
      <c r="G1249" s="22" t="str">
        <f>IF(OR(E1249="",E1249="!!!"),"",IF(OR(J1249=0,AND(J1249=1,K1249=1),AND(J1249=1,I1249="SBJ"),AND(J1249=1,I1249=0)),"?IN_FOCUS",IF(J1249&lt;=2,"?ACTIVATED",IF(J1249&lt;&gt;"","?FAMILIAR",IF(F1249="NEW",IF(ISNA(VLOOKUP(E1249,#REF!,1,FALSE())),"?TYPE_IDENTIFIABLE","?REFERENTIAL"),"_")))))</f>
        <v/>
      </c>
      <c r="H1249" s="23" t="str">
        <f t="shared" ca="1" si="144"/>
        <v/>
      </c>
      <c r="I1249" s="24" t="str">
        <f>IF(OR(E1249="",E1249="!!!",F1249="NEW"),"",INDEX(B$2:B1248,-1+SUMPRODUCT(MAX(ROW(E$2:E1248)*(E1249=E$2:E1248)))))</f>
        <v/>
      </c>
      <c r="J1249" s="24" t="str">
        <f ca="1">IF(OR(E1249="",E1249="!!!",F1249="NEW"),"",COUNTBLANK(OFFSET(A$1,,,SUMPRODUCT(MAX(ROW(E$2:E1249)*(E1249=E$2:E1249)))))-COUNTBLANK(OFFSET(A$1,,,SUMPRODUCT(MAX(ROW(E$1:E1248)*(E2=E$1:E1248))))))</f>
        <v/>
      </c>
      <c r="K1249" s="24" t="str">
        <f>IF(OR(E1249="",E1249="!!!",F1249="NEW"),"",INDEX(J$1:J1248,SUMPRODUCT(MAX(ROW(E$1:E1248)*(E1249=E$1:E1248)))))</f>
        <v/>
      </c>
      <c r="L1249" s="25"/>
    </row>
    <row r="1251" spans="1:12" x14ac:dyDescent="0.2">
      <c r="A1251" t="s">
        <v>1243</v>
      </c>
    </row>
    <row r="1252" spans="1:12" x14ac:dyDescent="0.2">
      <c r="A1252" t="s">
        <v>1034</v>
      </c>
      <c r="E1252" s="20" t="str">
        <f t="shared" ref="E1252:E1267" si="146">IF(D1252="?OLD","!!!","")</f>
        <v/>
      </c>
      <c r="F1252" s="21" t="str">
        <f>IF(OR(E1252="",E1252="!!!"),"",IF(NOT(ISNA(VLOOKUP(E1252,E$1:E1251,1,FALSE()))),"OLD",IF(AND(E1252&lt;&gt;"",E1252&lt;&gt;"!!!"),"NEW","")))</f>
        <v/>
      </c>
      <c r="G1252" s="22" t="str">
        <f>IF(OR(E1252="",E1252="!!!"),"",IF(OR(J1252=0,AND(J1252=1,K1252=1),AND(J1252=1,I1252="SBJ"),AND(J1252=1,I1252=0)),"?IN_FOCUS",IF(J1252&lt;=2,"?ACTIVATED",IF(J1252&lt;&gt;"","?FAMILIAR",IF(F1252="NEW",IF(ISNA(VLOOKUP(E1252,#REF!,1,FALSE())),"?TYPE_IDENTIFIABLE","?REFERENTIAL"),"_")))))</f>
        <v/>
      </c>
      <c r="H1252" s="23" t="str">
        <f t="shared" ref="H1252:H1267" ca="1" si="147">IF(J1252&lt;&gt;1,"",IF(I1252="SBJ","CB","?"))</f>
        <v/>
      </c>
      <c r="I1252" s="24" t="str">
        <f>IF(OR(E1252="",E1252="!!!",F1252="NEW"),"",INDEX(B$2:B1251,-1+SUMPRODUCT(MAX(ROW(E$2:E1251)*(E1252=E$2:E1251)))))</f>
        <v/>
      </c>
      <c r="J1252" s="24" t="str">
        <f ca="1">IF(OR(E1252="",E1252="!!!",F1252="NEW"),"",COUNTBLANK(OFFSET(A$1,,,SUMPRODUCT(MAX(ROW(E$2:E1252)*(E1252=E$2:E1252)))))-COUNTBLANK(OFFSET(A$1,,,SUMPRODUCT(MAX(ROW(E$1:E1251)*(E2=E$1:E1251))))))</f>
        <v/>
      </c>
      <c r="K1252" s="24" t="str">
        <f>IF(OR(E1252="",E1252="!!!",F1252="NEW"),"",INDEX(J$1:J1251,SUMPRODUCT(MAX(ROW(E$1:E1251)*(E1252=E$1:E1251)))))</f>
        <v/>
      </c>
      <c r="L1252" s="25"/>
    </row>
    <row r="1253" spans="1:12" x14ac:dyDescent="0.2">
      <c r="A1253" t="s">
        <v>544</v>
      </c>
      <c r="E1253" s="20" t="str">
        <f t="shared" si="146"/>
        <v/>
      </c>
      <c r="F1253" s="21" t="str">
        <f>IF(OR(E1253="",E1253="!!!"),"",IF(NOT(ISNA(VLOOKUP(E1253,E$1:E1252,1,FALSE()))),"OLD",IF(AND(E1253&lt;&gt;"",E1253&lt;&gt;"!!!"),"NEW","")))</f>
        <v/>
      </c>
      <c r="G1253" s="22" t="str">
        <f>IF(OR(E1253="",E1253="!!!"),"",IF(OR(J1253=0,AND(J1253=1,K1253=1),AND(J1253=1,I1253="SBJ"),AND(J1253=1,I1253=0)),"?IN_FOCUS",IF(J1253&lt;=2,"?ACTIVATED",IF(J1253&lt;&gt;"","?FAMILIAR",IF(F1253="NEW",IF(ISNA(VLOOKUP(E1253,#REF!,1,FALSE())),"?TYPE_IDENTIFIABLE","?REFERENTIAL"),"_")))))</f>
        <v/>
      </c>
      <c r="H1253" s="23" t="str">
        <f t="shared" ca="1" si="147"/>
        <v/>
      </c>
      <c r="I1253" s="24" t="str">
        <f>IF(OR(E1253="",E1253="!!!",F1253="NEW"),"",INDEX(B$2:B1252,-1+SUMPRODUCT(MAX(ROW(E$2:E1252)*(E1253=E$2:E1252)))))</f>
        <v/>
      </c>
      <c r="J1253" s="24" t="str">
        <f ca="1">IF(OR(E1253="",E1253="!!!",F1253="NEW"),"",COUNTBLANK(OFFSET(A$1,,,SUMPRODUCT(MAX(ROW(E$2:E1253)*(E1253=E$2:E1253)))))-COUNTBLANK(OFFSET(A$1,,,SUMPRODUCT(MAX(ROW(E$1:E1252)*(E2=E$1:E1252))))))</f>
        <v/>
      </c>
      <c r="K1253" s="24" t="str">
        <f>IF(OR(E1253="",E1253="!!!",F1253="NEW"),"",INDEX(J$1:J1252,SUMPRODUCT(MAX(ROW(E$1:E1252)*(E1253=E$1:E1252)))))</f>
        <v/>
      </c>
      <c r="L1253" s="25"/>
    </row>
    <row r="1254" spans="1:12" x14ac:dyDescent="0.2">
      <c r="A1254" t="s">
        <v>815</v>
      </c>
      <c r="E1254" s="20" t="str">
        <f t="shared" si="146"/>
        <v/>
      </c>
      <c r="F1254" s="21" t="str">
        <f>IF(OR(E1254="",E1254="!!!"),"",IF(NOT(ISNA(VLOOKUP(E1254,E$1:E1253,1,FALSE()))),"OLD",IF(AND(E1254&lt;&gt;"",E1254&lt;&gt;"!!!"),"NEW","")))</f>
        <v/>
      </c>
      <c r="G1254" s="22" t="str">
        <f>IF(OR(E1254="",E1254="!!!"),"",IF(OR(J1254=0,AND(J1254=1,K1254=1),AND(J1254=1,I1254="SBJ"),AND(J1254=1,I1254=0)),"?IN_FOCUS",IF(J1254&lt;=2,"?ACTIVATED",IF(J1254&lt;&gt;"","?FAMILIAR",IF(F1254="NEW",IF(ISNA(VLOOKUP(E1254,#REF!,1,FALSE())),"?TYPE_IDENTIFIABLE","?REFERENTIAL"),"_")))))</f>
        <v/>
      </c>
      <c r="H1254" s="23" t="str">
        <f t="shared" ca="1" si="147"/>
        <v/>
      </c>
      <c r="I1254" s="24" t="str">
        <f>IF(OR(E1254="",E1254="!!!",F1254="NEW"),"",INDEX(B$2:B1253,-1+SUMPRODUCT(MAX(ROW(E$2:E1253)*(E1254=E$2:E1253)))))</f>
        <v/>
      </c>
      <c r="J1254" s="24" t="str">
        <f ca="1">IF(OR(E1254="",E1254="!!!",F1254="NEW"),"",COUNTBLANK(OFFSET(A$1,,,SUMPRODUCT(MAX(ROW(E$2:E1254)*(E1254=E$2:E1254)))))-COUNTBLANK(OFFSET(A$1,,,SUMPRODUCT(MAX(ROW(E$1:E1253)*(E2=E$1:E1253))))))</f>
        <v/>
      </c>
      <c r="K1254" s="24" t="str">
        <f>IF(OR(E1254="",E1254="!!!",F1254="NEW"),"",INDEX(J$1:J1253,SUMPRODUCT(MAX(ROW(E$1:E1253)*(E1254=E$1:E1253)))))</f>
        <v/>
      </c>
      <c r="L1254" s="25"/>
    </row>
    <row r="1255" spans="1:12" x14ac:dyDescent="0.2">
      <c r="A1255" t="s">
        <v>1244</v>
      </c>
      <c r="E1255" s="20" t="str">
        <f t="shared" si="146"/>
        <v/>
      </c>
      <c r="F1255" s="21" t="str">
        <f>IF(OR(E1255="",E1255="!!!"),"",IF(NOT(ISNA(VLOOKUP(E1255,E$1:E1254,1,FALSE()))),"OLD",IF(AND(E1255&lt;&gt;"",E1255&lt;&gt;"!!!"),"NEW","")))</f>
        <v/>
      </c>
      <c r="G1255" s="22" t="str">
        <f>IF(OR(E1255="",E1255="!!!"),"",IF(OR(J1255=0,AND(J1255=1,K1255=1),AND(J1255=1,I1255="SBJ"),AND(J1255=1,I1255=0)),"?IN_FOCUS",IF(J1255&lt;=2,"?ACTIVATED",IF(J1255&lt;&gt;"","?FAMILIAR",IF(F1255="NEW",IF(ISNA(VLOOKUP(E1255,#REF!,1,FALSE())),"?TYPE_IDENTIFIABLE","?REFERENTIAL"),"_")))))</f>
        <v/>
      </c>
      <c r="H1255" s="23" t="str">
        <f t="shared" ca="1" si="147"/>
        <v/>
      </c>
      <c r="I1255" s="24" t="str">
        <f>IF(OR(E1255="",E1255="!!!",F1255="NEW"),"",INDEX(B$2:B1254,-1+SUMPRODUCT(MAX(ROW(E$2:E1254)*(E1255=E$2:E1254)))))</f>
        <v/>
      </c>
      <c r="J1255" s="24" t="str">
        <f ca="1">IF(OR(E1255="",E1255="!!!",F1255="NEW"),"",COUNTBLANK(OFFSET(A$1,,,SUMPRODUCT(MAX(ROW(E$2:E1255)*(E1255=E$2:E1255)))))-COUNTBLANK(OFFSET(A$1,,,SUMPRODUCT(MAX(ROW(E$1:E1254)*(E2=E$1:E1254))))))</f>
        <v/>
      </c>
      <c r="K1255" s="24" t="str">
        <f>IF(OR(E1255="",E1255="!!!",F1255="NEW"),"",INDEX(J$1:J1254,SUMPRODUCT(MAX(ROW(E$1:E1254)*(E1255=E$1:E1254)))))</f>
        <v/>
      </c>
      <c r="L1255" s="25"/>
    </row>
    <row r="1256" spans="1:12" x14ac:dyDescent="0.2">
      <c r="A1256" t="s">
        <v>802</v>
      </c>
      <c r="E1256" s="20" t="str">
        <f t="shared" si="146"/>
        <v/>
      </c>
      <c r="F1256" s="21" t="str">
        <f>IF(OR(E1256="",E1256="!!!"),"",IF(NOT(ISNA(VLOOKUP(E1256,E$1:E1255,1,FALSE()))),"OLD",IF(AND(E1256&lt;&gt;"",E1256&lt;&gt;"!!!"),"NEW","")))</f>
        <v/>
      </c>
      <c r="G1256" s="22" t="str">
        <f>IF(OR(E1256="",E1256="!!!"),"",IF(OR(J1256=0,AND(J1256=1,K1256=1),AND(J1256=1,I1256="SBJ"),AND(J1256=1,I1256=0)),"?IN_FOCUS",IF(J1256&lt;=2,"?ACTIVATED",IF(J1256&lt;&gt;"","?FAMILIAR",IF(F1256="NEW",IF(ISNA(VLOOKUP(E1256,#REF!,1,FALSE())),"?TYPE_IDENTIFIABLE","?REFERENTIAL"),"_")))))</f>
        <v/>
      </c>
      <c r="H1256" s="23" t="str">
        <f t="shared" ca="1" si="147"/>
        <v/>
      </c>
      <c r="I1256" s="24" t="str">
        <f>IF(OR(E1256="",E1256="!!!",F1256="NEW"),"",INDEX(B$2:B1255,-1+SUMPRODUCT(MAX(ROW(E$2:E1255)*(E1256=E$2:E1255)))))</f>
        <v/>
      </c>
      <c r="J1256" s="24" t="str">
        <f ca="1">IF(OR(E1256="",E1256="!!!",F1256="NEW"),"",COUNTBLANK(OFFSET(A$1,,,SUMPRODUCT(MAX(ROW(E$2:E1256)*(E1256=E$2:E1256)))))-COUNTBLANK(OFFSET(A$1,,,SUMPRODUCT(MAX(ROW(E$1:E1255)*(E2=E$1:E1255))))))</f>
        <v/>
      </c>
      <c r="K1256" s="24" t="str">
        <f>IF(OR(E1256="",E1256="!!!",F1256="NEW"),"",INDEX(J$1:J1255,SUMPRODUCT(MAX(ROW(E$1:E1255)*(E1256=E$1:E1255)))))</f>
        <v/>
      </c>
      <c r="L1256" s="25"/>
    </row>
    <row r="1257" spans="1:12" x14ac:dyDescent="0.2">
      <c r="A1257" t="s">
        <v>809</v>
      </c>
      <c r="E1257" s="20" t="str">
        <f t="shared" si="146"/>
        <v/>
      </c>
      <c r="F1257" s="21" t="str">
        <f>IF(OR(E1257="",E1257="!!!"),"",IF(NOT(ISNA(VLOOKUP(E1257,E$1:E1256,1,FALSE()))),"OLD",IF(AND(E1257&lt;&gt;"",E1257&lt;&gt;"!!!"),"NEW","")))</f>
        <v/>
      </c>
      <c r="G1257" s="22" t="str">
        <f>IF(OR(E1257="",E1257="!!!"),"",IF(OR(J1257=0,AND(J1257=1,K1257=1),AND(J1257=1,I1257="SBJ"),AND(J1257=1,I1257=0)),"?IN_FOCUS",IF(J1257&lt;=2,"?ACTIVATED",IF(J1257&lt;&gt;"","?FAMILIAR",IF(F1257="NEW",IF(ISNA(VLOOKUP(E1257,#REF!,1,FALSE())),"?TYPE_IDENTIFIABLE","?REFERENTIAL"),"_")))))</f>
        <v/>
      </c>
      <c r="H1257" s="23" t="str">
        <f t="shared" ca="1" si="147"/>
        <v/>
      </c>
      <c r="I1257" s="24" t="str">
        <f>IF(OR(E1257="",E1257="!!!",F1257="NEW"),"",INDEX(B$2:B1256,-1+SUMPRODUCT(MAX(ROW(E$2:E1256)*(E1257=E$2:E1256)))))</f>
        <v/>
      </c>
      <c r="J1257" s="24" t="str">
        <f ca="1">IF(OR(E1257="",E1257="!!!",F1257="NEW"),"",COUNTBLANK(OFFSET(A$1,,,SUMPRODUCT(MAX(ROW(E$2:E1257)*(E1257=E$2:E1257)))))-COUNTBLANK(OFFSET(A$1,,,SUMPRODUCT(MAX(ROW(E$1:E1256)*(E2=E$1:E1256))))))</f>
        <v/>
      </c>
      <c r="K1257" s="24" t="str">
        <f>IF(OR(E1257="",E1257="!!!",F1257="NEW"),"",INDEX(J$1:J1256,SUMPRODUCT(MAX(ROW(E$1:E1256)*(E1257=E$1:E1256)))))</f>
        <v/>
      </c>
      <c r="L1257" s="25"/>
    </row>
    <row r="1258" spans="1:12" x14ac:dyDescent="0.2">
      <c r="A1258" t="s">
        <v>1245</v>
      </c>
      <c r="E1258" s="20" t="str">
        <f t="shared" si="146"/>
        <v/>
      </c>
      <c r="F1258" s="21" t="str">
        <f>IF(OR(E1258="",E1258="!!!"),"",IF(NOT(ISNA(VLOOKUP(E1258,E$1:E1257,1,FALSE()))),"OLD",IF(AND(E1258&lt;&gt;"",E1258&lt;&gt;"!!!"),"NEW","")))</f>
        <v/>
      </c>
      <c r="G1258" s="22" t="str">
        <f>IF(OR(E1258="",E1258="!!!"),"",IF(OR(J1258=0,AND(J1258=1,K1258=1),AND(J1258=1,I1258="SBJ"),AND(J1258=1,I1258=0)),"?IN_FOCUS",IF(J1258&lt;=2,"?ACTIVATED",IF(J1258&lt;&gt;"","?FAMILIAR",IF(F1258="NEW",IF(ISNA(VLOOKUP(E1258,#REF!,1,FALSE())),"?TYPE_IDENTIFIABLE","?REFERENTIAL"),"_")))))</f>
        <v/>
      </c>
      <c r="H1258" s="23" t="str">
        <f t="shared" ca="1" si="147"/>
        <v/>
      </c>
      <c r="I1258" s="24" t="str">
        <f>IF(OR(E1258="",E1258="!!!",F1258="NEW"),"",INDEX(B$2:B1257,-1+SUMPRODUCT(MAX(ROW(E$2:E1257)*(E1258=E$2:E1257)))))</f>
        <v/>
      </c>
      <c r="J1258" s="24" t="str">
        <f ca="1">IF(OR(E1258="",E1258="!!!",F1258="NEW"),"",COUNTBLANK(OFFSET(A$1,,,SUMPRODUCT(MAX(ROW(E$2:E1258)*(E1258=E$2:E1258)))))-COUNTBLANK(OFFSET(A$1,,,SUMPRODUCT(MAX(ROW(E$1:E1257)*(E2=E$1:E1257))))))</f>
        <v/>
      </c>
      <c r="K1258" s="24" t="str">
        <f>IF(OR(E1258="",E1258="!!!",F1258="NEW"),"",INDEX(J$1:J1257,SUMPRODUCT(MAX(ROW(E$1:E1257)*(E1258=E$1:E1257)))))</f>
        <v/>
      </c>
      <c r="L1258" s="25"/>
    </row>
    <row r="1259" spans="1:12" x14ac:dyDescent="0.2">
      <c r="A1259" t="s">
        <v>886</v>
      </c>
      <c r="B1259" s="26" t="s">
        <v>804</v>
      </c>
      <c r="C1259" s="26" t="s">
        <v>811</v>
      </c>
      <c r="E1259" s="20" t="s">
        <v>1780</v>
      </c>
      <c r="F1259" s="21" t="str">
        <f>IF(OR(E1259="",E1259="!!!"),"",IF(NOT(ISNA(VLOOKUP(E1259,E$1:E1258,1,FALSE()))),"OLD",IF(AND(E1259&lt;&gt;"",E1259&lt;&gt;"!!!"),"NEW","")))</f>
        <v>NEW</v>
      </c>
      <c r="G1259" s="22" t="s">
        <v>1824</v>
      </c>
      <c r="H1259" s="23" t="str">
        <f t="shared" ca="1" si="147"/>
        <v/>
      </c>
      <c r="I1259" s="24" t="str">
        <f>IF(OR(E1259="",E1259="!!!",F1259="NEW"),"",INDEX(B$2:B1258,-1+SUMPRODUCT(MAX(ROW(E$2:E1258)*(E1259=E$2:E1258)))))</f>
        <v/>
      </c>
      <c r="J1259" s="24" t="str">
        <f ca="1">IF(OR(E1259="",E1259="!!!",F1259="NEW"),"",COUNTBLANK(OFFSET(A$1,,,SUMPRODUCT(MAX(ROW(E$2:E1259)*(E1259=E$2:E1259)))))-COUNTBLANK(OFFSET(A$1,,,SUMPRODUCT(MAX(ROW(E$1:E1258)*(E2=E$1:E1258))))))</f>
        <v/>
      </c>
      <c r="K1259" s="24" t="str">
        <f>IF(OR(E1259="",E1259="!!!",F1259="NEW"),"",INDEX(J$1:J1258,SUMPRODUCT(MAX(ROW(E$1:E1258)*(E1259=E$1:E1258)))))</f>
        <v/>
      </c>
      <c r="L1259" s="25"/>
    </row>
    <row r="1260" spans="1:12" x14ac:dyDescent="0.2">
      <c r="A1260" t="s">
        <v>874</v>
      </c>
      <c r="E1260" s="20" t="str">
        <f t="shared" si="146"/>
        <v/>
      </c>
      <c r="F1260" s="21" t="str">
        <f>IF(OR(E1260="",E1260="!!!"),"",IF(NOT(ISNA(VLOOKUP(E1260,E$1:E1259,1,FALSE()))),"OLD",IF(AND(E1260&lt;&gt;"",E1260&lt;&gt;"!!!"),"NEW","")))</f>
        <v/>
      </c>
      <c r="G1260" s="22" t="str">
        <f>IF(OR(E1260="",E1260="!!!"),"",IF(OR(J1260=0,AND(J1260=1,K1260=1),AND(J1260=1,I1260="SBJ"),AND(J1260=1,I1260=0)),"?IN_FOCUS",IF(J1260&lt;=2,"?ACTIVATED",IF(J1260&lt;&gt;"","?FAMILIAR",IF(F1260="NEW",IF(ISNA(VLOOKUP(E1260,#REF!,1,FALSE())),"?TYPE_IDENTIFIABLE","?REFERENTIAL"),"_")))))</f>
        <v/>
      </c>
      <c r="H1260" s="23" t="str">
        <f t="shared" ca="1" si="147"/>
        <v/>
      </c>
      <c r="I1260" s="24" t="str">
        <f>IF(OR(E1260="",E1260="!!!",F1260="NEW"),"",INDEX(B$2:B1259,-1+SUMPRODUCT(MAX(ROW(E$2:E1259)*(E1260=E$2:E1259)))))</f>
        <v/>
      </c>
      <c r="J1260" s="24" t="str">
        <f ca="1">IF(OR(E1260="",E1260="!!!",F1260="NEW"),"",COUNTBLANK(OFFSET(A$1,,,SUMPRODUCT(MAX(ROW(E$2:E1260)*(E1260=E$2:E1260)))))-COUNTBLANK(OFFSET(A$1,,,SUMPRODUCT(MAX(ROW(E$1:E1259)*(E2=E$1:E1259))))))</f>
        <v/>
      </c>
      <c r="K1260" s="24" t="str">
        <f>IF(OR(E1260="",E1260="!!!",F1260="NEW"),"",INDEX(J$1:J1259,SUMPRODUCT(MAX(ROW(E$1:E1259)*(E1260=E$1:E1259)))))</f>
        <v/>
      </c>
      <c r="L1260" s="25"/>
    </row>
    <row r="1261" spans="1:12" x14ac:dyDescent="0.2">
      <c r="A1261" t="s">
        <v>895</v>
      </c>
      <c r="E1261" s="20" t="str">
        <f t="shared" si="146"/>
        <v/>
      </c>
      <c r="F1261" s="21" t="str">
        <f>IF(OR(E1261="",E1261="!!!"),"",IF(NOT(ISNA(VLOOKUP(E1261,E$1:E1260,1,FALSE()))),"OLD",IF(AND(E1261&lt;&gt;"",E1261&lt;&gt;"!!!"),"NEW","")))</f>
        <v/>
      </c>
      <c r="G1261" s="22" t="str">
        <f>IF(OR(E1261="",E1261="!!!"),"",IF(OR(J1261=0,AND(J1261=1,K1261=1),AND(J1261=1,I1261="SBJ"),AND(J1261=1,I1261=0)),"?IN_FOCUS",IF(J1261&lt;=2,"?ACTIVATED",IF(J1261&lt;&gt;"","?FAMILIAR",IF(F1261="NEW",IF(ISNA(VLOOKUP(E1261,#REF!,1,FALSE())),"?TYPE_IDENTIFIABLE","?REFERENTIAL"),"_")))))</f>
        <v/>
      </c>
      <c r="H1261" s="23" t="str">
        <f t="shared" ca="1" si="147"/>
        <v/>
      </c>
      <c r="I1261" s="24" t="str">
        <f>IF(OR(E1261="",E1261="!!!",F1261="NEW"),"",INDEX(B$2:B1260,-1+SUMPRODUCT(MAX(ROW(E$2:E1260)*(E1261=E$2:E1260)))))</f>
        <v/>
      </c>
      <c r="J1261" s="24" t="str">
        <f ca="1">IF(OR(E1261="",E1261="!!!",F1261="NEW"),"",COUNTBLANK(OFFSET(A$1,,,SUMPRODUCT(MAX(ROW(E$2:E1261)*(E1261=E$2:E1261)))))-COUNTBLANK(OFFSET(A$1,,,SUMPRODUCT(MAX(ROW(E$1:E1260)*(E2=E$1:E1260))))))</f>
        <v/>
      </c>
      <c r="K1261" s="24" t="str">
        <f>IF(OR(E1261="",E1261="!!!",F1261="NEW"),"",INDEX(J$1:J1260,SUMPRODUCT(MAX(ROW(E$1:E1260)*(E1261=E$1:E1260)))))</f>
        <v/>
      </c>
      <c r="L1261" s="25"/>
    </row>
    <row r="1262" spans="1:12" x14ac:dyDescent="0.2">
      <c r="A1262" t="s">
        <v>1246</v>
      </c>
      <c r="E1262" s="20" t="str">
        <f t="shared" si="146"/>
        <v/>
      </c>
      <c r="F1262" s="21" t="str">
        <f>IF(OR(E1262="",E1262="!!!"),"",IF(NOT(ISNA(VLOOKUP(E1262,E$1:E1261,1,FALSE()))),"OLD",IF(AND(E1262&lt;&gt;"",E1262&lt;&gt;"!!!"),"NEW","")))</f>
        <v/>
      </c>
      <c r="G1262" s="22" t="str">
        <f>IF(OR(E1262="",E1262="!!!"),"",IF(OR(J1262=0,AND(J1262=1,K1262=1),AND(J1262=1,I1262="SBJ"),AND(J1262=1,I1262=0)),"?IN_FOCUS",IF(J1262&lt;=2,"?ACTIVATED",IF(J1262&lt;&gt;"","?FAMILIAR",IF(F1262="NEW",IF(ISNA(VLOOKUP(E1262,#REF!,1,FALSE())),"?TYPE_IDENTIFIABLE","?REFERENTIAL"),"_")))))</f>
        <v/>
      </c>
      <c r="H1262" s="23" t="str">
        <f t="shared" ca="1" si="147"/>
        <v/>
      </c>
      <c r="I1262" s="24" t="str">
        <f>IF(OR(E1262="",E1262="!!!",F1262="NEW"),"",INDEX(B$2:B1261,-1+SUMPRODUCT(MAX(ROW(E$2:E1261)*(E1262=E$2:E1261)))))</f>
        <v/>
      </c>
      <c r="J1262" s="24" t="str">
        <f ca="1">IF(OR(E1262="",E1262="!!!",F1262="NEW"),"",COUNTBLANK(OFFSET(A$1,,,SUMPRODUCT(MAX(ROW(E$2:E1262)*(E1262=E$2:E1262)))))-COUNTBLANK(OFFSET(A$1,,,SUMPRODUCT(MAX(ROW(E$1:E1261)*(E2=E$1:E1261))))))</f>
        <v/>
      </c>
      <c r="K1262" s="24" t="str">
        <f>IF(OR(E1262="",E1262="!!!",F1262="NEW"),"",INDEX(J$1:J1261,SUMPRODUCT(MAX(ROW(E$1:E1261)*(E1262=E$1:E1261)))))</f>
        <v/>
      </c>
      <c r="L1262" s="25"/>
    </row>
    <row r="1263" spans="1:12" x14ac:dyDescent="0.2">
      <c r="A1263" t="s">
        <v>1247</v>
      </c>
      <c r="B1263" s="26" t="s">
        <v>813</v>
      </c>
      <c r="C1263" s="26" t="s">
        <v>811</v>
      </c>
      <c r="E1263" s="20" t="str">
        <f t="shared" si="146"/>
        <v/>
      </c>
      <c r="F1263" s="21" t="str">
        <f>IF(OR(E1263="",E1263="!!!"),"",IF(NOT(ISNA(VLOOKUP(E1263,E$1:E1262,1,FALSE()))),"OLD",IF(AND(E1263&lt;&gt;"",E1263&lt;&gt;"!!!"),"NEW","")))</f>
        <v/>
      </c>
      <c r="G1263" s="22" t="str">
        <f>IF(OR(E1263="",E1263="!!!"),"",IF(OR(J1263=0,AND(J1263=1,K1263=1),AND(J1263=1,I1263="SBJ"),AND(J1263=1,I1263=0)),"?IN_FOCUS",IF(J1263&lt;=2,"?ACTIVATED",IF(J1263&lt;&gt;"","?FAMILIAR",IF(F1263="NEW",IF(ISNA(VLOOKUP(E1263,#REF!,1,FALSE())),"?TYPE_IDENTIFIABLE","?REFERENTIAL"),"_")))))</f>
        <v/>
      </c>
      <c r="H1263" s="23" t="str">
        <f t="shared" ca="1" si="147"/>
        <v/>
      </c>
      <c r="I1263" s="24" t="str">
        <f>IF(OR(E1263="",E1263="!!!",F1263="NEW"),"",INDEX(B$2:B1262,-1+SUMPRODUCT(MAX(ROW(E$2:E1262)*(E1263=E$2:E1262)))))</f>
        <v/>
      </c>
      <c r="J1263" s="24" t="str">
        <f ca="1">IF(OR(E1263="",E1263="!!!",F1263="NEW"),"",COUNTBLANK(OFFSET(A$1,,,SUMPRODUCT(MAX(ROW(E$2:E1263)*(E1263=E$2:E1263)))))-COUNTBLANK(OFFSET(A$1,,,SUMPRODUCT(MAX(ROW(E$1:E1262)*(E2=E$1:E1262))))))</f>
        <v/>
      </c>
      <c r="K1263" s="24" t="str">
        <f>IF(OR(E1263="",E1263="!!!",F1263="NEW"),"",INDEX(J$1:J1262,SUMPRODUCT(MAX(ROW(E$1:E1262)*(E1263=E$1:E1262)))))</f>
        <v/>
      </c>
      <c r="L1263" s="25"/>
    </row>
    <row r="1264" spans="1:12" x14ac:dyDescent="0.2">
      <c r="A1264" t="s">
        <v>1248</v>
      </c>
      <c r="E1264" s="20" t="str">
        <f t="shared" si="146"/>
        <v/>
      </c>
      <c r="F1264" s="21" t="str">
        <f>IF(OR(E1264="",E1264="!!!"),"",IF(NOT(ISNA(VLOOKUP(E1264,E$1:E1263,1,FALSE()))),"OLD",IF(AND(E1264&lt;&gt;"",E1264&lt;&gt;"!!!"),"NEW","")))</f>
        <v/>
      </c>
      <c r="G1264" s="22" t="str">
        <f>IF(OR(E1264="",E1264="!!!"),"",IF(OR(J1264=0,AND(J1264=1,K1264=1),AND(J1264=1,I1264="SBJ"),AND(J1264=1,I1264=0)),"?IN_FOCUS",IF(J1264&lt;=2,"?ACTIVATED",IF(J1264&lt;&gt;"","?FAMILIAR",IF(F1264="NEW",IF(ISNA(VLOOKUP(E1264,#REF!,1,FALSE())),"?TYPE_IDENTIFIABLE","?REFERENTIAL"),"_")))))</f>
        <v/>
      </c>
      <c r="H1264" s="23" t="str">
        <f t="shared" ca="1" si="147"/>
        <v/>
      </c>
      <c r="I1264" s="24" t="str">
        <f>IF(OR(E1264="",E1264="!!!",F1264="NEW"),"",INDEX(B$2:B1263,-1+SUMPRODUCT(MAX(ROW(E$2:E1263)*(E1264=E$2:E1263)))))</f>
        <v/>
      </c>
      <c r="J1264" s="24" t="str">
        <f ca="1">IF(OR(E1264="",E1264="!!!",F1264="NEW"),"",COUNTBLANK(OFFSET(A$1,,,SUMPRODUCT(MAX(ROW(E$2:E1264)*(E1264=E$2:E1264)))))-COUNTBLANK(OFFSET(A$1,,,SUMPRODUCT(MAX(ROW(E$1:E1263)*(E2=E$1:E1263))))))</f>
        <v/>
      </c>
      <c r="K1264" s="24" t="str">
        <f>IF(OR(E1264="",E1264="!!!",F1264="NEW"),"",INDEX(J$1:J1263,SUMPRODUCT(MAX(ROW(E$1:E1263)*(E1264=E$1:E1263)))))</f>
        <v/>
      </c>
      <c r="L1264" s="25"/>
    </row>
    <row r="1265" spans="1:12" x14ac:dyDescent="0.2">
      <c r="A1265" t="s">
        <v>845</v>
      </c>
      <c r="E1265" s="20" t="str">
        <f t="shared" si="146"/>
        <v/>
      </c>
      <c r="F1265" s="21" t="str">
        <f>IF(OR(E1265="",E1265="!!!"),"",IF(NOT(ISNA(VLOOKUP(E1265,E$1:E1264,1,FALSE()))),"OLD",IF(AND(E1265&lt;&gt;"",E1265&lt;&gt;"!!!"),"NEW","")))</f>
        <v/>
      </c>
      <c r="G1265" s="22" t="str">
        <f>IF(OR(E1265="",E1265="!!!"),"",IF(OR(J1265=0,AND(J1265=1,K1265=1),AND(J1265=1,I1265="SBJ"),AND(J1265=1,I1265=0)),"?IN_FOCUS",IF(J1265&lt;=2,"?ACTIVATED",IF(J1265&lt;&gt;"","?FAMILIAR",IF(F1265="NEW",IF(ISNA(VLOOKUP(E1265,#REF!,1,FALSE())),"?TYPE_IDENTIFIABLE","?REFERENTIAL"),"_")))))</f>
        <v/>
      </c>
      <c r="H1265" s="23" t="str">
        <f t="shared" ca="1" si="147"/>
        <v/>
      </c>
      <c r="I1265" s="24" t="str">
        <f>IF(OR(E1265="",E1265="!!!",F1265="NEW"),"",INDEX(B$2:B1264,-1+SUMPRODUCT(MAX(ROW(E$2:E1264)*(E1265=E$2:E1264)))))</f>
        <v/>
      </c>
      <c r="J1265" s="24" t="str">
        <f ca="1">IF(OR(E1265="",E1265="!!!",F1265="NEW"),"",COUNTBLANK(OFFSET(A$1,,,SUMPRODUCT(MAX(ROW(E$2:E1265)*(E1265=E$2:E1265)))))-COUNTBLANK(OFFSET(A$1,,,SUMPRODUCT(MAX(ROW(E$1:E1264)*(E2=E$1:E1264))))))</f>
        <v/>
      </c>
      <c r="K1265" s="24" t="str">
        <f>IF(OR(E1265="",E1265="!!!",F1265="NEW"),"",INDEX(J$1:J1264,SUMPRODUCT(MAX(ROW(E$1:E1264)*(E1265=E$1:E1264)))))</f>
        <v/>
      </c>
      <c r="L1265" s="25"/>
    </row>
    <row r="1266" spans="1:12" x14ac:dyDescent="0.2">
      <c r="A1266" t="s">
        <v>1224</v>
      </c>
      <c r="B1266" s="26" t="s">
        <v>810</v>
      </c>
      <c r="C1266" s="26" t="s">
        <v>847</v>
      </c>
      <c r="D1266" s="26" t="s">
        <v>806</v>
      </c>
      <c r="E1266" s="20" t="s">
        <v>1776</v>
      </c>
      <c r="F1266" s="21" t="str">
        <f>IF(OR(E1266="",E1266="!!!"),"",IF(NOT(ISNA(VLOOKUP(E1266,E$1:E1265,1,FALSE()))),"OLD",IF(AND(E1266&lt;&gt;"",E1266&lt;&gt;"!!!"),"NEW","")))</f>
        <v>OLD</v>
      </c>
      <c r="G1266" s="22" t="s">
        <v>1822</v>
      </c>
      <c r="H1266" s="23" t="str">
        <f t="shared" ca="1" si="147"/>
        <v/>
      </c>
      <c r="I1266" s="24" t="str">
        <f>IF(OR(E1266="",E1266="!!!",F1266="NEW"),"",INDEX(B$2:B1265,-1+SUMPRODUCT(MAX(ROW(E$2:E1265)*(E1266=E$2:E1265)))))</f>
        <v>other_3</v>
      </c>
      <c r="J1266" s="24">
        <f ca="1">IF(OR(E1266="",E1266="!!!",F1266="NEW"),"",COUNTBLANK(OFFSET(A$1,,,SUMPRODUCT(MAX(ROW(E$2:E1266)*(E1266=E$2:E1266)))))-COUNTBLANK(OFFSET(A$1,,,SUMPRODUCT(MAX(ROW(E$1:E1265)*(E2=E$1:E1265))))))</f>
        <v>0</v>
      </c>
      <c r="K1266" s="24">
        <f ca="1">IF(OR(E1266="",E1266="!!!",F1266="NEW"),"",INDEX(J$1:J1265,SUMPRODUCT(MAX(ROW(E$1:E1265)*(E1266=E$1:E1265)))))</f>
        <v>0</v>
      </c>
      <c r="L1266" s="25"/>
    </row>
    <row r="1267" spans="1:12" x14ac:dyDescent="0.2">
      <c r="A1267" t="s">
        <v>821</v>
      </c>
      <c r="E1267" s="20" t="str">
        <f t="shared" si="146"/>
        <v/>
      </c>
      <c r="F1267" s="21" t="str">
        <f>IF(OR(E1267="",E1267="!!!"),"",IF(NOT(ISNA(VLOOKUP(E1267,E$1:E1266,1,FALSE()))),"OLD",IF(AND(E1267&lt;&gt;"",E1267&lt;&gt;"!!!"),"NEW","")))</f>
        <v/>
      </c>
      <c r="G1267" s="22" t="str">
        <f>IF(OR(E1267="",E1267="!!!"),"",IF(OR(J1267=0,AND(J1267=1,K1267=1),AND(J1267=1,I1267="SBJ"),AND(J1267=1,I1267=0)),"?IN_FOCUS",IF(J1267&lt;=2,"?ACTIVATED",IF(J1267&lt;&gt;"","?FAMILIAR",IF(F1267="NEW",IF(ISNA(VLOOKUP(E1267,#REF!,1,FALSE())),"?TYPE_IDENTIFIABLE","?REFERENTIAL"),"_")))))</f>
        <v/>
      </c>
      <c r="H1267" s="23" t="str">
        <f t="shared" ca="1" si="147"/>
        <v/>
      </c>
      <c r="I1267" s="24" t="str">
        <f>IF(OR(E1267="",E1267="!!!",F1267="NEW"),"",INDEX(B$2:B1266,-1+SUMPRODUCT(MAX(ROW(E$2:E1266)*(E1267=E$2:E1266)))))</f>
        <v/>
      </c>
      <c r="J1267" s="24" t="str">
        <f ca="1">IF(OR(E1267="",E1267="!!!",F1267="NEW"),"",COUNTBLANK(OFFSET(A$1,,,SUMPRODUCT(MAX(ROW(E$2:E1267)*(E1267=E$2:E1267)))))-COUNTBLANK(OFFSET(A$1,,,SUMPRODUCT(MAX(ROW(E$1:E1266)*(E2=E$1:E1266))))))</f>
        <v/>
      </c>
      <c r="K1267" s="24" t="str">
        <f>IF(OR(E1267="",E1267="!!!",F1267="NEW"),"",INDEX(J$1:J1266,SUMPRODUCT(MAX(ROW(E$1:E1266)*(E1267=E$1:E1266)))))</f>
        <v/>
      </c>
      <c r="L1267" s="25"/>
    </row>
    <row r="1269" spans="1:12" x14ac:dyDescent="0.2">
      <c r="A1269" t="s">
        <v>1249</v>
      </c>
    </row>
    <row r="1270" spans="1:12" x14ac:dyDescent="0.2">
      <c r="A1270" t="s">
        <v>849</v>
      </c>
      <c r="B1270" s="26" t="s">
        <v>810</v>
      </c>
      <c r="C1270" s="26" t="s">
        <v>850</v>
      </c>
      <c r="E1270" s="20" t="str">
        <f>IF(D1270="?OLD","!!!","")</f>
        <v/>
      </c>
      <c r="F1270" s="21" t="str">
        <f>IF(OR(E1270="",E1270="!!!"),"",IF(NOT(ISNA(VLOOKUP(E1270,E$1:E1269,1,FALSE()))),"OLD",IF(AND(E1270&lt;&gt;"",E1270&lt;&gt;"!!!"),"NEW","")))</f>
        <v/>
      </c>
      <c r="G1270" s="22" t="str">
        <f>IF(OR(E1270="",E1270="!!!"),"",IF(OR(J1270=0,AND(J1270=1,K1270=1),AND(J1270=1,I1270="SBJ"),AND(J1270=1,I1270=0)),"?IN_FOCUS",IF(J1270&lt;=2,"?ACTIVATED",IF(J1270&lt;&gt;"","?FAMILIAR",IF(F1270="NEW",IF(ISNA(VLOOKUP(E1270,#REF!,1,FALSE())),"?TYPE_IDENTIFIABLE","?REFERENTIAL"),"_")))))</f>
        <v/>
      </c>
      <c r="H1270" s="23" t="str">
        <f ca="1">IF(J1270&lt;&gt;1,"",IF(I1270="SBJ","CB","?"))</f>
        <v/>
      </c>
      <c r="I1270" s="24" t="str">
        <f>IF(OR(E1270="",E1270="!!!",F1270="NEW"),"",INDEX(B$2:B1269,-1+SUMPRODUCT(MAX(ROW(E$2:E1269)*(E1270=E$2:E1269)))))</f>
        <v/>
      </c>
      <c r="J1270" s="24" t="str">
        <f ca="1">IF(OR(E1270="",E1270="!!!",F1270="NEW"),"",COUNTBLANK(OFFSET(A$1,,,SUMPRODUCT(MAX(ROW(E$2:E1270)*(E1270=E$2:E1270)))))-COUNTBLANK(OFFSET(A$1,,,SUMPRODUCT(MAX(ROW(E$1:E1269)*(E2=E$1:E1269))))))</f>
        <v/>
      </c>
      <c r="K1270" s="24" t="str">
        <f>IF(OR(E1270="",E1270="!!!",F1270="NEW"),"",INDEX(J$1:J1269,SUMPRODUCT(MAX(ROW(E$1:E1269)*(E1270=E$1:E1269)))))</f>
        <v/>
      </c>
      <c r="L1270" s="25"/>
    </row>
    <row r="1271" spans="1:12" x14ac:dyDescent="0.2">
      <c r="A1271" t="s">
        <v>1074</v>
      </c>
      <c r="E1271" s="20" t="str">
        <f>IF(D1271="?OLD","!!!","")</f>
        <v/>
      </c>
      <c r="F1271" s="21" t="str">
        <f>IF(OR(E1271="",E1271="!!!"),"",IF(NOT(ISNA(VLOOKUP(E1271,E$1:E1270,1,FALSE()))),"OLD",IF(AND(E1271&lt;&gt;"",E1271&lt;&gt;"!!!"),"NEW","")))</f>
        <v/>
      </c>
      <c r="G1271" s="22" t="str">
        <f>IF(OR(E1271="",E1271="!!!"),"",IF(OR(J1271=0,AND(J1271=1,K1271=1),AND(J1271=1,I1271="SBJ"),AND(J1271=1,I1271=0)),"?IN_FOCUS",IF(J1271&lt;=2,"?ACTIVATED",IF(J1271&lt;&gt;"","?FAMILIAR",IF(F1271="NEW",IF(ISNA(VLOOKUP(E1271,#REF!,1,FALSE())),"?TYPE_IDENTIFIABLE","?REFERENTIAL"),"_")))))</f>
        <v/>
      </c>
      <c r="H1271" s="23" t="str">
        <f ca="1">IF(J1271&lt;&gt;1,"",IF(I1271="SBJ","CB","?"))</f>
        <v/>
      </c>
      <c r="I1271" s="24" t="str">
        <f>IF(OR(E1271="",E1271="!!!",F1271="NEW"),"",INDEX(B$2:B1270,-1+SUMPRODUCT(MAX(ROW(E$2:E1270)*(E1271=E$2:E1270)))))</f>
        <v/>
      </c>
      <c r="J1271" s="24" t="str">
        <f ca="1">IF(OR(E1271="",E1271="!!!",F1271="NEW"),"",COUNTBLANK(OFFSET(A$1,,,SUMPRODUCT(MAX(ROW(E$2:E1271)*(E1271=E$2:E1271)))))-COUNTBLANK(OFFSET(A$1,,,SUMPRODUCT(MAX(ROW(E$1:E1270)*(E2=E$1:E1270))))))</f>
        <v/>
      </c>
      <c r="K1271" s="24" t="str">
        <f>IF(OR(E1271="",E1271="!!!",F1271="NEW"),"",INDEX(J$1:J1270,SUMPRODUCT(MAX(ROW(E$1:E1270)*(E1271=E$1:E1270)))))</f>
        <v/>
      </c>
      <c r="L1271" s="25"/>
    </row>
    <row r="1272" spans="1:12" x14ac:dyDescent="0.2">
      <c r="A1272" t="s">
        <v>949</v>
      </c>
      <c r="B1272" s="26" t="s">
        <v>804</v>
      </c>
      <c r="C1272" s="26" t="s">
        <v>805</v>
      </c>
      <c r="D1272" s="26" t="s">
        <v>806</v>
      </c>
      <c r="E1272" s="20" t="s">
        <v>1780</v>
      </c>
      <c r="F1272" s="21" t="str">
        <f>IF(OR(E1272="",E1272="!!!"),"",IF(NOT(ISNA(VLOOKUP(E1272,E$1:E1271,1,FALSE()))),"OLD",IF(AND(E1272&lt;&gt;"",E1272&lt;&gt;"!!!"),"NEW","")))</f>
        <v>OLD</v>
      </c>
      <c r="G1272" s="22" t="s">
        <v>1823</v>
      </c>
      <c r="H1272" s="23" t="str">
        <f ca="1">IF(J1272&lt;&gt;1,"",IF(I1272="SBJ","CB","?"))</f>
        <v/>
      </c>
      <c r="I1272" s="24" t="str">
        <f>IF(OR(E1272="",E1272="!!!",F1272="NEW"),"",INDEX(B$2:B1271,-1+SUMPRODUCT(MAX(ROW(E$2:E1271)*(E1272=E$2:E1271)))))</f>
        <v>SBJ</v>
      </c>
      <c r="J1272" s="24">
        <f ca="1">IF(OR(E1272="",E1272="!!!",F1272="NEW"),"",COUNTBLANK(OFFSET(A$1,,,SUMPRODUCT(MAX(ROW(E$2:E1272)*(E1272=E$2:E1272)))))-COUNTBLANK(OFFSET(A$1,,,SUMPRODUCT(MAX(ROW(E$1:E1271)*(E2=E$1:E1271))))))</f>
        <v>0</v>
      </c>
      <c r="K1272" s="24" t="str">
        <f ca="1">IF(OR(E1272="",E1272="!!!",F1272="NEW"),"",INDEX(J$1:J1271,SUMPRODUCT(MAX(ROW(E$1:E1271)*(E1272=E$1:E1271)))))</f>
        <v/>
      </c>
      <c r="L1272" s="25"/>
    </row>
    <row r="1273" spans="1:12" x14ac:dyDescent="0.2">
      <c r="A1273" t="s">
        <v>309</v>
      </c>
      <c r="E1273" s="20" t="str">
        <f>IF(D1273="?OLD","!!!","")</f>
        <v/>
      </c>
      <c r="F1273" s="21" t="str">
        <f>IF(OR(E1273="",E1273="!!!"),"",IF(NOT(ISNA(VLOOKUP(E1273,E$1:E1272,1,FALSE()))),"OLD",IF(AND(E1273&lt;&gt;"",E1273&lt;&gt;"!!!"),"NEW","")))</f>
        <v/>
      </c>
      <c r="G1273" s="22" t="str">
        <f>IF(OR(E1273="",E1273="!!!"),"",IF(OR(J1273=0,AND(J1273=1,K1273=1),AND(J1273=1,I1273="SBJ"),AND(J1273=1,I1273=0)),"?IN_FOCUS",IF(J1273&lt;=2,"?ACTIVATED",IF(J1273&lt;&gt;"","?FAMILIAR",IF(F1273="NEW",IF(ISNA(VLOOKUP(E1273,#REF!,1,FALSE())),"?TYPE_IDENTIFIABLE","?REFERENTIAL"),"_")))))</f>
        <v/>
      </c>
      <c r="H1273" s="23" t="str">
        <f ca="1">IF(J1273&lt;&gt;1,"",IF(I1273="SBJ","CB","?"))</f>
        <v/>
      </c>
      <c r="I1273" s="24" t="str">
        <f>IF(OR(E1273="",E1273="!!!",F1273="NEW"),"",INDEX(B$2:B1272,-1+SUMPRODUCT(MAX(ROW(E$2:E1272)*(E1273=E$2:E1272)))))</f>
        <v/>
      </c>
      <c r="J1273" s="24" t="str">
        <f ca="1">IF(OR(E1273="",E1273="!!!",F1273="NEW"),"",COUNTBLANK(OFFSET(A$1,,,SUMPRODUCT(MAX(ROW(E$2:E1273)*(E1273=E$2:E1273)))))-COUNTBLANK(OFFSET(A$1,,,SUMPRODUCT(MAX(ROW(E$1:E1272)*(E2=E$1:E1272))))))</f>
        <v/>
      </c>
      <c r="K1273" s="24" t="str">
        <f>IF(OR(E1273="",E1273="!!!",F1273="NEW"),"",INDEX(J$1:J1272,SUMPRODUCT(MAX(ROW(E$1:E1272)*(E1273=E$1:E1272)))))</f>
        <v/>
      </c>
      <c r="L1273" s="25"/>
    </row>
    <row r="1274" spans="1:12" x14ac:dyDescent="0.2">
      <c r="A1274" t="s">
        <v>922</v>
      </c>
      <c r="E1274" s="20" t="str">
        <f>IF(D1274="?OLD","!!!","")</f>
        <v/>
      </c>
      <c r="F1274" s="21" t="str">
        <f>IF(OR(E1274="",E1274="!!!"),"",IF(NOT(ISNA(VLOOKUP(E1274,E$1:E1273,1,FALSE()))),"OLD",IF(AND(E1274&lt;&gt;"",E1274&lt;&gt;"!!!"),"NEW","")))</f>
        <v/>
      </c>
      <c r="G1274" s="22" t="str">
        <f>IF(OR(E1274="",E1274="!!!"),"",IF(OR(J1274=0,AND(J1274=1,K1274=1),AND(J1274=1,I1274="SBJ"),AND(J1274=1,I1274=0)),"?IN_FOCUS",IF(J1274&lt;=2,"?ACTIVATED",IF(J1274&lt;&gt;"","?FAMILIAR",IF(F1274="NEW",IF(ISNA(VLOOKUP(E1274,#REF!,1,FALSE())),"?TYPE_IDENTIFIABLE","?REFERENTIAL"),"_")))))</f>
        <v/>
      </c>
      <c r="H1274" s="23" t="str">
        <f ca="1">IF(J1274&lt;&gt;1,"",IF(I1274="SBJ","CB","?"))</f>
        <v/>
      </c>
      <c r="I1274" s="24" t="str">
        <f>IF(OR(E1274="",E1274="!!!",F1274="NEW"),"",INDEX(B$2:B1273,-1+SUMPRODUCT(MAX(ROW(E$2:E1273)*(E1274=E$2:E1273)))))</f>
        <v/>
      </c>
      <c r="J1274" s="24" t="str">
        <f ca="1">IF(OR(E1274="",E1274="!!!",F1274="NEW"),"",COUNTBLANK(OFFSET(A$1,,,SUMPRODUCT(MAX(ROW(E$2:E1274)*(E1274=E$2:E1274)))))-COUNTBLANK(OFFSET(A$1,,,SUMPRODUCT(MAX(ROW(E$1:E1273)*(E2=E$1:E1273))))))</f>
        <v/>
      </c>
      <c r="K1274" s="24" t="str">
        <f>IF(OR(E1274="",E1274="!!!",F1274="NEW"),"",INDEX(J$1:J1273,SUMPRODUCT(MAX(ROW(E$1:E1273)*(E1274=E$1:E1273)))))</f>
        <v/>
      </c>
      <c r="L1274" s="25"/>
    </row>
    <row r="1276" spans="1:12" x14ac:dyDescent="0.2">
      <c r="A1276" t="s">
        <v>1250</v>
      </c>
    </row>
    <row r="1277" spans="1:12" x14ac:dyDescent="0.2">
      <c r="A1277" t="s">
        <v>1216</v>
      </c>
      <c r="B1277" s="26" t="s">
        <v>804</v>
      </c>
      <c r="C1277" s="26" t="s">
        <v>805</v>
      </c>
      <c r="D1277" s="26" t="s">
        <v>806</v>
      </c>
      <c r="E1277" s="20" t="s">
        <v>1780</v>
      </c>
      <c r="F1277" s="21" t="str">
        <f>IF(OR(E1277="",E1277="!!!"),"",IF(NOT(ISNA(VLOOKUP(E1277,E$1:E1276,1,FALSE()))),"OLD",IF(AND(E1277&lt;&gt;"",E1277&lt;&gt;"!!!"),"NEW","")))</f>
        <v>OLD</v>
      </c>
      <c r="G1277" s="22" t="s">
        <v>1823</v>
      </c>
      <c r="H1277" s="23" t="str">
        <f t="shared" ref="H1277:H1283" ca="1" si="148">IF(J1277&lt;&gt;1,"",IF(I1277="SBJ","CB","?"))</f>
        <v/>
      </c>
      <c r="I1277" s="24" t="str">
        <f>IF(OR(E1277="",E1277="!!!",F1277="NEW"),"",INDEX(B$2:B1276,-1+SUMPRODUCT(MAX(ROW(E$2:E1276)*(E1277=E$2:E1276)))))</f>
        <v>SBJ</v>
      </c>
      <c r="J1277" s="24">
        <f ca="1">IF(OR(E1277="",E1277="!!!",F1277="NEW"),"",COUNTBLANK(OFFSET(A$1,,,SUMPRODUCT(MAX(ROW(E$2:E1277)*(E1277=E$2:E1277)))))-COUNTBLANK(OFFSET(A$1,,,SUMPRODUCT(MAX(ROW(E$1:E1276)*(E2=E$1:E1276))))))</f>
        <v>0</v>
      </c>
      <c r="K1277" s="24">
        <f ca="1">IF(OR(E1277="",E1277="!!!",F1277="NEW"),"",INDEX(J$1:J1276,SUMPRODUCT(MAX(ROW(E$1:E1276)*(E1277=E$1:E1276)))))</f>
        <v>0</v>
      </c>
      <c r="L1277" s="25"/>
    </row>
    <row r="1278" spans="1:12" x14ac:dyDescent="0.2">
      <c r="A1278" t="s">
        <v>1251</v>
      </c>
      <c r="E1278" s="20" t="str">
        <f t="shared" ref="E1278:E1283" si="149">IF(D1278="?OLD","!!!","")</f>
        <v/>
      </c>
      <c r="F1278" s="21" t="str">
        <f>IF(OR(E1278="",E1278="!!!"),"",IF(NOT(ISNA(VLOOKUP(E1278,E$1:E1277,1,FALSE()))),"OLD",IF(AND(E1278&lt;&gt;"",E1278&lt;&gt;"!!!"),"NEW","")))</f>
        <v/>
      </c>
      <c r="G1278" s="22" t="str">
        <f>IF(OR(E1278="",E1278="!!!"),"",IF(OR(J1278=0,AND(J1278=1,K1278=1),AND(J1278=1,I1278="SBJ"),AND(J1278=1,I1278=0)),"?IN_FOCUS",IF(J1278&lt;=2,"?ACTIVATED",IF(J1278&lt;&gt;"","?FAMILIAR",IF(F1278="NEW",IF(ISNA(VLOOKUP(E1278,#REF!,1,FALSE())),"?TYPE_IDENTIFIABLE","?REFERENTIAL"),"_")))))</f>
        <v/>
      </c>
      <c r="H1278" s="23" t="str">
        <f t="shared" ca="1" si="148"/>
        <v/>
      </c>
      <c r="I1278" s="24" t="str">
        <f>IF(OR(E1278="",E1278="!!!",F1278="NEW"),"",INDEX(B$2:B1277,-1+SUMPRODUCT(MAX(ROW(E$2:E1277)*(E1278=E$2:E1277)))))</f>
        <v/>
      </c>
      <c r="J1278" s="24" t="str">
        <f ca="1">IF(OR(E1278="",E1278="!!!",F1278="NEW"),"",COUNTBLANK(OFFSET(A$1,,,SUMPRODUCT(MAX(ROW(E$2:E1278)*(E1278=E$2:E1278)))))-COUNTBLANK(OFFSET(A$1,,,SUMPRODUCT(MAX(ROW(E$1:E1277)*(E2=E$1:E1277))))))</f>
        <v/>
      </c>
      <c r="K1278" s="24" t="str">
        <f>IF(OR(E1278="",E1278="!!!",F1278="NEW"),"",INDEX(J$1:J1277,SUMPRODUCT(MAX(ROW(E$1:E1277)*(E1278=E$1:E1277)))))</f>
        <v/>
      </c>
      <c r="L1278" s="25"/>
    </row>
    <row r="1279" spans="1:12" x14ac:dyDescent="0.2">
      <c r="A1279" t="s">
        <v>845</v>
      </c>
      <c r="E1279" s="20" t="str">
        <f t="shared" si="149"/>
        <v/>
      </c>
      <c r="F1279" s="21" t="str">
        <f>IF(OR(E1279="",E1279="!!!"),"",IF(NOT(ISNA(VLOOKUP(E1279,E$1:E1278,1,FALSE()))),"OLD",IF(AND(E1279&lt;&gt;"",E1279&lt;&gt;"!!!"),"NEW","")))</f>
        <v/>
      </c>
      <c r="G1279" s="22" t="str">
        <f>IF(OR(E1279="",E1279="!!!"),"",IF(OR(J1279=0,AND(J1279=1,K1279=1),AND(J1279=1,I1279="SBJ"),AND(J1279=1,I1279=0)),"?IN_FOCUS",IF(J1279&lt;=2,"?ACTIVATED",IF(J1279&lt;&gt;"","?FAMILIAR",IF(F1279="NEW",IF(ISNA(VLOOKUP(E1279,#REF!,1,FALSE())),"?TYPE_IDENTIFIABLE","?REFERENTIAL"),"_")))))</f>
        <v/>
      </c>
      <c r="H1279" s="23" t="str">
        <f t="shared" ca="1" si="148"/>
        <v/>
      </c>
      <c r="I1279" s="24" t="str">
        <f>IF(OR(E1279="",E1279="!!!",F1279="NEW"),"",INDEX(B$2:B1278,-1+SUMPRODUCT(MAX(ROW(E$2:E1278)*(E1279=E$2:E1278)))))</f>
        <v/>
      </c>
      <c r="J1279" s="24" t="str">
        <f ca="1">IF(OR(E1279="",E1279="!!!",F1279="NEW"),"",COUNTBLANK(OFFSET(A$1,,,SUMPRODUCT(MAX(ROW(E$2:E1279)*(E1279=E$2:E1279)))))-COUNTBLANK(OFFSET(A$1,,,SUMPRODUCT(MAX(ROW(E$1:E1278)*(E2=E$1:E1278))))))</f>
        <v/>
      </c>
      <c r="K1279" s="24" t="str">
        <f>IF(OR(E1279="",E1279="!!!",F1279="NEW"),"",INDEX(J$1:J1278,SUMPRODUCT(MAX(ROW(E$1:E1278)*(E1279=E$1:E1278)))))</f>
        <v/>
      </c>
      <c r="L1279" s="25"/>
    </row>
    <row r="1280" spans="1:12" x14ac:dyDescent="0.2">
      <c r="A1280" t="s">
        <v>1252</v>
      </c>
      <c r="B1280" s="26" t="s">
        <v>810</v>
      </c>
      <c r="C1280" s="26" t="s">
        <v>847</v>
      </c>
      <c r="D1280" s="26" t="s">
        <v>806</v>
      </c>
      <c r="E1280" s="20" t="s">
        <v>1252</v>
      </c>
      <c r="F1280" s="21" t="str">
        <f>IF(OR(E1280="",E1280="!!!"),"",IF(NOT(ISNA(VLOOKUP(E1280,E$1:E1279,1,FALSE()))),"OLD",IF(AND(E1280&lt;&gt;"",E1280&lt;&gt;"!!!"),"NEW","")))</f>
        <v>NEW</v>
      </c>
      <c r="G1280" s="22" t="s">
        <v>1820</v>
      </c>
      <c r="H1280" s="23" t="str">
        <f t="shared" ca="1" si="148"/>
        <v/>
      </c>
      <c r="I1280" s="24" t="str">
        <f>IF(OR(E1280="",E1280="!!!",F1280="NEW"),"",INDEX(B$2:B1279,-1+SUMPRODUCT(MAX(ROW(E$2:E1279)*(E1280=E$2:E1279)))))</f>
        <v/>
      </c>
      <c r="J1280" s="24" t="str">
        <f ca="1">IF(OR(E1280="",E1280="!!!",F1280="NEW"),"",COUNTBLANK(OFFSET(A$1,,,SUMPRODUCT(MAX(ROW(E$2:E1280)*(E1280=E$2:E1280)))))-COUNTBLANK(OFFSET(A$1,,,SUMPRODUCT(MAX(ROW(E$1:E1279)*(E2=E$1:E1279))))))</f>
        <v/>
      </c>
      <c r="K1280" s="24" t="str">
        <f>IF(OR(E1280="",E1280="!!!",F1280="NEW"),"",INDEX(J$1:J1279,SUMPRODUCT(MAX(ROW(E$1:E1279)*(E1280=E$1:E1279)))))</f>
        <v/>
      </c>
      <c r="L1280" s="25"/>
    </row>
    <row r="1281" spans="1:12" x14ac:dyDescent="0.2">
      <c r="A1281" t="s">
        <v>812</v>
      </c>
      <c r="E1281" s="20" t="str">
        <f t="shared" si="149"/>
        <v/>
      </c>
      <c r="F1281" s="21" t="str">
        <f>IF(OR(E1281="",E1281="!!!"),"",IF(NOT(ISNA(VLOOKUP(E1281,E$1:E1280,1,FALSE()))),"OLD",IF(AND(E1281&lt;&gt;"",E1281&lt;&gt;"!!!"),"NEW","")))</f>
        <v/>
      </c>
      <c r="G1281" s="22" t="str">
        <f>IF(OR(E1281="",E1281="!!!"),"",IF(OR(J1281=0,AND(J1281=1,K1281=1),AND(J1281=1,I1281="SBJ"),AND(J1281=1,I1281=0)),"?IN_FOCUS",IF(J1281&lt;=2,"?ACTIVATED",IF(J1281&lt;&gt;"","?FAMILIAR",IF(F1281="NEW",IF(ISNA(VLOOKUP(E1281,#REF!,1,FALSE())),"?TYPE_IDENTIFIABLE","?REFERENTIAL"),"_")))))</f>
        <v/>
      </c>
      <c r="H1281" s="23" t="str">
        <f t="shared" ca="1" si="148"/>
        <v/>
      </c>
      <c r="I1281" s="24" t="str">
        <f>IF(OR(E1281="",E1281="!!!",F1281="NEW"),"",INDEX(B$2:B1280,-1+SUMPRODUCT(MAX(ROW(E$2:E1280)*(E1281=E$2:E1280)))))</f>
        <v/>
      </c>
      <c r="J1281" s="24" t="str">
        <f ca="1">IF(OR(E1281="",E1281="!!!",F1281="NEW"),"",COUNTBLANK(OFFSET(A$1,,,SUMPRODUCT(MAX(ROW(E$2:E1281)*(E1281=E$2:E1281)))))-COUNTBLANK(OFFSET(A$1,,,SUMPRODUCT(MAX(ROW(E$1:E1280)*(E2=E$1:E1280))))))</f>
        <v/>
      </c>
      <c r="K1281" s="24" t="str">
        <f>IF(OR(E1281="",E1281="!!!",F1281="NEW"),"",INDEX(J$1:J1280,SUMPRODUCT(MAX(ROW(E$1:E1280)*(E1281=E$1:E1280)))))</f>
        <v/>
      </c>
      <c r="L1281" s="25"/>
    </row>
    <row r="1282" spans="1:12" x14ac:dyDescent="0.2">
      <c r="A1282" t="s">
        <v>1231</v>
      </c>
      <c r="B1282" s="26" t="s">
        <v>813</v>
      </c>
      <c r="C1282" s="26" t="s">
        <v>814</v>
      </c>
      <c r="E1282" s="20" t="str">
        <f t="shared" si="149"/>
        <v/>
      </c>
      <c r="F1282" s="21" t="str">
        <f>IF(OR(E1282="",E1282="!!!"),"",IF(NOT(ISNA(VLOOKUP(E1282,E$1:E1281,1,FALSE()))),"OLD",IF(AND(E1282&lt;&gt;"",E1282&lt;&gt;"!!!"),"NEW","")))</f>
        <v/>
      </c>
      <c r="G1282" s="22" t="str">
        <f>IF(OR(E1282="",E1282="!!!"),"",IF(OR(J1282=0,AND(J1282=1,K1282=1),AND(J1282=1,I1282="SBJ"),AND(J1282=1,I1282=0)),"?IN_FOCUS",IF(J1282&lt;=2,"?ACTIVATED",IF(J1282&lt;&gt;"","?FAMILIAR",IF(F1282="NEW",IF(ISNA(VLOOKUP(E1282,#REF!,1,FALSE())),"?TYPE_IDENTIFIABLE","?REFERENTIAL"),"_")))))</f>
        <v/>
      </c>
      <c r="H1282" s="23" t="str">
        <f t="shared" ca="1" si="148"/>
        <v/>
      </c>
      <c r="I1282" s="24" t="str">
        <f>IF(OR(E1282="",E1282="!!!",F1282="NEW"),"",INDEX(B$2:B1281,-1+SUMPRODUCT(MAX(ROW(E$2:E1281)*(E1282=E$2:E1281)))))</f>
        <v/>
      </c>
      <c r="J1282" s="24" t="str">
        <f ca="1">IF(OR(E1282="",E1282="!!!",F1282="NEW"),"",COUNTBLANK(OFFSET(A$1,,,SUMPRODUCT(MAX(ROW(E$2:E1282)*(E1282=E$2:E1282)))))-COUNTBLANK(OFFSET(A$1,,,SUMPRODUCT(MAX(ROW(E$1:E1281)*(E2=E$1:E1281))))))</f>
        <v/>
      </c>
      <c r="K1282" s="24" t="str">
        <f>IF(OR(E1282="",E1282="!!!",F1282="NEW"),"",INDEX(J$1:J1281,SUMPRODUCT(MAX(ROW(E$1:E1281)*(E1282=E$1:E1281)))))</f>
        <v/>
      </c>
      <c r="L1282" s="25"/>
    </row>
    <row r="1283" spans="1:12" x14ac:dyDescent="0.2">
      <c r="A1283" t="s">
        <v>821</v>
      </c>
      <c r="E1283" s="20" t="str">
        <f t="shared" si="149"/>
        <v/>
      </c>
      <c r="F1283" s="21" t="str">
        <f>IF(OR(E1283="",E1283="!!!"),"",IF(NOT(ISNA(VLOOKUP(E1283,E$1:E1282,1,FALSE()))),"OLD",IF(AND(E1283&lt;&gt;"",E1283&lt;&gt;"!!!"),"NEW","")))</f>
        <v/>
      </c>
      <c r="G1283" s="22" t="str">
        <f>IF(OR(E1283="",E1283="!!!"),"",IF(OR(J1283=0,AND(J1283=1,K1283=1),AND(J1283=1,I1283="SBJ"),AND(J1283=1,I1283=0)),"?IN_FOCUS",IF(J1283&lt;=2,"?ACTIVATED",IF(J1283&lt;&gt;"","?FAMILIAR",IF(F1283="NEW",IF(ISNA(VLOOKUP(E1283,#REF!,1,FALSE())),"?TYPE_IDENTIFIABLE","?REFERENTIAL"),"_")))))</f>
        <v/>
      </c>
      <c r="H1283" s="23" t="str">
        <f t="shared" ca="1" si="148"/>
        <v/>
      </c>
      <c r="I1283" s="24" t="str">
        <f>IF(OR(E1283="",E1283="!!!",F1283="NEW"),"",INDEX(B$2:B1282,-1+SUMPRODUCT(MAX(ROW(E$2:E1282)*(E1283=E$2:E1282)))))</f>
        <v/>
      </c>
      <c r="J1283" s="24" t="str">
        <f ca="1">IF(OR(E1283="",E1283="!!!",F1283="NEW"),"",COUNTBLANK(OFFSET(A$1,,,SUMPRODUCT(MAX(ROW(E$2:E1283)*(E1283=E$2:E1283)))))-COUNTBLANK(OFFSET(A$1,,,SUMPRODUCT(MAX(ROW(E$1:E1282)*(E2=E$1:E1282))))))</f>
        <v/>
      </c>
      <c r="K1283" s="24" t="str">
        <f>IF(OR(E1283="",E1283="!!!",F1283="NEW"),"",INDEX(J$1:J1282,SUMPRODUCT(MAX(ROW(E$1:E1282)*(E1283=E$1:E1282)))))</f>
        <v/>
      </c>
      <c r="L1283" s="25"/>
    </row>
    <row r="1285" spans="1:12" x14ac:dyDescent="0.2">
      <c r="A1285" t="s">
        <v>1253</v>
      </c>
    </row>
    <row r="1286" spans="1:12" x14ac:dyDescent="0.2">
      <c r="A1286" t="s">
        <v>1216</v>
      </c>
      <c r="B1286" s="26" t="s">
        <v>804</v>
      </c>
      <c r="C1286" s="26" t="s">
        <v>805</v>
      </c>
      <c r="D1286" s="26" t="s">
        <v>806</v>
      </c>
      <c r="E1286" s="20" t="s">
        <v>1780</v>
      </c>
      <c r="F1286" s="21" t="str">
        <f>IF(OR(E1286="",E1286="!!!"),"",IF(NOT(ISNA(VLOOKUP(E1286,E$1:E1285,1,FALSE()))),"OLD",IF(AND(E1286&lt;&gt;"",E1286&lt;&gt;"!!!"),"NEW","")))</f>
        <v>OLD</v>
      </c>
      <c r="G1286" s="22" t="s">
        <v>1823</v>
      </c>
      <c r="H1286" s="23" t="str">
        <f t="shared" ref="H1286:H1291" ca="1" si="150">IF(J1286&lt;&gt;1,"",IF(I1286="SBJ","CB","?"))</f>
        <v/>
      </c>
      <c r="I1286" s="24" t="str">
        <f>IF(OR(E1286="",E1286="!!!",F1286="NEW"),"",INDEX(B$2:B1285,-1+SUMPRODUCT(MAX(ROW(E$2:E1285)*(E1286=E$2:E1285)))))</f>
        <v>SBJ</v>
      </c>
      <c r="J1286" s="24">
        <f ca="1">IF(OR(E1286="",E1286="!!!",F1286="NEW"),"",COUNTBLANK(OFFSET(A$1,,,SUMPRODUCT(MAX(ROW(E$2:E1286)*(E1286=E$2:E1286)))))-COUNTBLANK(OFFSET(A$1,,,SUMPRODUCT(MAX(ROW(E$1:E1285)*(E2=E$1:E1285))))))</f>
        <v>0</v>
      </c>
      <c r="K1286" s="24">
        <f ca="1">IF(OR(E1286="",E1286="!!!",F1286="NEW"),"",INDEX(J$1:J1285,SUMPRODUCT(MAX(ROW(E$1:E1285)*(E1286=E$1:E1285)))))</f>
        <v>0</v>
      </c>
      <c r="L1286" s="25"/>
    </row>
    <row r="1287" spans="1:12" x14ac:dyDescent="0.2">
      <c r="A1287" t="s">
        <v>1254</v>
      </c>
      <c r="E1287" s="20" t="str">
        <f t="shared" ref="E1287:E1291" si="151">IF(D1287="?OLD","!!!","")</f>
        <v/>
      </c>
      <c r="F1287" s="21" t="str">
        <f>IF(OR(E1287="",E1287="!!!"),"",IF(NOT(ISNA(VLOOKUP(E1287,E$1:E1286,1,FALSE()))),"OLD",IF(AND(E1287&lt;&gt;"",E1287&lt;&gt;"!!!"),"NEW","")))</f>
        <v/>
      </c>
      <c r="G1287" s="22" t="str">
        <f>IF(OR(E1287="",E1287="!!!"),"",IF(OR(J1287=0,AND(J1287=1,K1287=1),AND(J1287=1,I1287="SBJ"),AND(J1287=1,I1287=0)),"?IN_FOCUS",IF(J1287&lt;=2,"?ACTIVATED",IF(J1287&lt;&gt;"","?FAMILIAR",IF(F1287="NEW",IF(ISNA(VLOOKUP(E1287,#REF!,1,FALSE())),"?TYPE_IDENTIFIABLE","?REFERENTIAL"),"_")))))</f>
        <v/>
      </c>
      <c r="H1287" s="23" t="str">
        <f t="shared" ca="1" si="150"/>
        <v/>
      </c>
      <c r="I1287" s="24" t="str">
        <f>IF(OR(E1287="",E1287="!!!",F1287="NEW"),"",INDEX(B$2:B1286,-1+SUMPRODUCT(MAX(ROW(E$2:E1286)*(E1287=E$2:E1286)))))</f>
        <v/>
      </c>
      <c r="J1287" s="24" t="str">
        <f ca="1">IF(OR(E1287="",E1287="!!!",F1287="NEW"),"",COUNTBLANK(OFFSET(A$1,,,SUMPRODUCT(MAX(ROW(E$2:E1287)*(E1287=E$2:E1287)))))-COUNTBLANK(OFFSET(A$1,,,SUMPRODUCT(MAX(ROW(E$1:E1286)*(E2=E$1:E1286))))))</f>
        <v/>
      </c>
      <c r="K1287" s="24" t="str">
        <f>IF(OR(E1287="",E1287="!!!",F1287="NEW"),"",INDEX(J$1:J1286,SUMPRODUCT(MAX(ROW(E$1:E1286)*(E1287=E$1:E1286)))))</f>
        <v/>
      </c>
      <c r="L1287" s="25"/>
    </row>
    <row r="1288" spans="1:12" x14ac:dyDescent="0.2">
      <c r="A1288" t="s">
        <v>1255</v>
      </c>
      <c r="E1288" s="20" t="str">
        <f t="shared" si="151"/>
        <v/>
      </c>
      <c r="F1288" s="21" t="str">
        <f>IF(OR(E1288="",E1288="!!!"),"",IF(NOT(ISNA(VLOOKUP(E1288,E$1:E1287,1,FALSE()))),"OLD",IF(AND(E1288&lt;&gt;"",E1288&lt;&gt;"!!!"),"NEW","")))</f>
        <v/>
      </c>
      <c r="G1288" s="22" t="str">
        <f>IF(OR(E1288="",E1288="!!!"),"",IF(OR(J1288=0,AND(J1288=1,K1288=1),AND(J1288=1,I1288="SBJ"),AND(J1288=1,I1288=0)),"?IN_FOCUS",IF(J1288&lt;=2,"?ACTIVATED",IF(J1288&lt;&gt;"","?FAMILIAR",IF(F1288="NEW",IF(ISNA(VLOOKUP(E1288,#REF!,1,FALSE())),"?TYPE_IDENTIFIABLE","?REFERENTIAL"),"_")))))</f>
        <v/>
      </c>
      <c r="H1288" s="23" t="str">
        <f t="shared" ca="1" si="150"/>
        <v/>
      </c>
      <c r="I1288" s="24" t="str">
        <f>IF(OR(E1288="",E1288="!!!",F1288="NEW"),"",INDEX(B$2:B1287,-1+SUMPRODUCT(MAX(ROW(E$2:E1287)*(E1288=E$2:E1287)))))</f>
        <v/>
      </c>
      <c r="J1288" s="24" t="str">
        <f ca="1">IF(OR(E1288="",E1288="!!!",F1288="NEW"),"",COUNTBLANK(OFFSET(A$1,,,SUMPRODUCT(MAX(ROW(E$2:E1288)*(E1288=E$2:E1288)))))-COUNTBLANK(OFFSET(A$1,,,SUMPRODUCT(MAX(ROW(E$1:E1287)*(E2=E$1:E1287))))))</f>
        <v/>
      </c>
      <c r="K1288" s="24" t="str">
        <f>IF(OR(E1288="",E1288="!!!",F1288="NEW"),"",INDEX(J$1:J1287,SUMPRODUCT(MAX(ROW(E$1:E1287)*(E1288=E$1:E1287)))))</f>
        <v/>
      </c>
      <c r="L1288" s="25"/>
    </row>
    <row r="1289" spans="1:12" x14ac:dyDescent="0.2">
      <c r="A1289" t="s">
        <v>845</v>
      </c>
      <c r="E1289" s="20" t="str">
        <f t="shared" si="151"/>
        <v/>
      </c>
      <c r="F1289" s="21" t="str">
        <f>IF(OR(E1289="",E1289="!!!"),"",IF(NOT(ISNA(VLOOKUP(E1289,E$1:E1288,1,FALSE()))),"OLD",IF(AND(E1289&lt;&gt;"",E1289&lt;&gt;"!!!"),"NEW","")))</f>
        <v/>
      </c>
      <c r="G1289" s="22" t="str">
        <f>IF(OR(E1289="",E1289="!!!"),"",IF(OR(J1289=0,AND(J1289=1,K1289=1),AND(J1289=1,I1289="SBJ"),AND(J1289=1,I1289=0)),"?IN_FOCUS",IF(J1289&lt;=2,"?ACTIVATED",IF(J1289&lt;&gt;"","?FAMILIAR",IF(F1289="NEW",IF(ISNA(VLOOKUP(E1289,#REF!,1,FALSE())),"?TYPE_IDENTIFIABLE","?REFERENTIAL"),"_")))))</f>
        <v/>
      </c>
      <c r="H1289" s="23" t="str">
        <f t="shared" ca="1" si="150"/>
        <v/>
      </c>
      <c r="I1289" s="24" t="str">
        <f>IF(OR(E1289="",E1289="!!!",F1289="NEW"),"",INDEX(B$2:B1288,-1+SUMPRODUCT(MAX(ROW(E$2:E1288)*(E1289=E$2:E1288)))))</f>
        <v/>
      </c>
      <c r="J1289" s="24" t="str">
        <f ca="1">IF(OR(E1289="",E1289="!!!",F1289="NEW"),"",COUNTBLANK(OFFSET(A$1,,,SUMPRODUCT(MAX(ROW(E$2:E1289)*(E1289=E$2:E1289)))))-COUNTBLANK(OFFSET(A$1,,,SUMPRODUCT(MAX(ROW(E$1:E1288)*(E2=E$1:E1288))))))</f>
        <v/>
      </c>
      <c r="K1289" s="24" t="str">
        <f>IF(OR(E1289="",E1289="!!!",F1289="NEW"),"",INDEX(J$1:J1288,SUMPRODUCT(MAX(ROW(E$1:E1288)*(E1289=E$1:E1288)))))</f>
        <v/>
      </c>
      <c r="L1289" s="25"/>
    </row>
    <row r="1290" spans="1:12" x14ac:dyDescent="0.2">
      <c r="A1290" t="s">
        <v>1256</v>
      </c>
      <c r="B1290" s="26" t="s">
        <v>810</v>
      </c>
      <c r="C1290" s="26" t="s">
        <v>847</v>
      </c>
      <c r="D1290" s="26" t="s">
        <v>806</v>
      </c>
      <c r="E1290" s="20"/>
      <c r="F1290" s="21" t="s">
        <v>1764</v>
      </c>
      <c r="G1290" s="22" t="str">
        <f>IF(OR(E1290="",E1290="!!!"),"",IF(OR(J1290=0,AND(J1290=1,K1290=1),AND(J1290=1,I1290="SBJ"),AND(J1290=1,I1290=0)),"?IN_FOCUS",IF(J1290&lt;=2,"?ACTIVATED",IF(J1290&lt;&gt;"","?FAMILIAR",IF(F1290="NEW",IF(ISNA(VLOOKUP(E1290,#REF!,1,FALSE())),"?TYPE_IDENTIFIABLE","?REFERENTIAL"),"_")))))</f>
        <v/>
      </c>
      <c r="H1290" s="23" t="str">
        <f t="shared" ca="1" si="150"/>
        <v/>
      </c>
      <c r="I1290" s="24" t="str">
        <f>IF(OR(E1290="",E1290="!!!",F1290="NEW"),"",INDEX(B$2:B1289,-1+SUMPRODUCT(MAX(ROW(E$2:E1289)*(E1290=E$2:E1289)))))</f>
        <v/>
      </c>
      <c r="J1290" s="24" t="str">
        <f ca="1">IF(OR(E1290="",E1290="!!!",F1290="NEW"),"",COUNTBLANK(OFFSET(A$1,,,SUMPRODUCT(MAX(ROW(E$2:E1290)*(E1290=E$2:E1290)))))-COUNTBLANK(OFFSET(A$1,,,SUMPRODUCT(MAX(ROW(E$1:E1289)*(E2=E$1:E1289))))))</f>
        <v/>
      </c>
      <c r="K1290" s="24" t="str">
        <f>IF(OR(E1290="",E1290="!!!",F1290="NEW"),"",INDEX(J$1:J1289,SUMPRODUCT(MAX(ROW(E$1:E1289)*(E1290=E$1:E1289)))))</f>
        <v/>
      </c>
      <c r="L1290" s="25"/>
    </row>
    <row r="1291" spans="1:12" x14ac:dyDescent="0.2">
      <c r="A1291" t="s">
        <v>821</v>
      </c>
      <c r="E1291" s="20" t="str">
        <f t="shared" si="151"/>
        <v/>
      </c>
      <c r="F1291" s="21" t="str">
        <f>IF(OR(E1291="",E1291="!!!"),"",IF(NOT(ISNA(VLOOKUP(E1291,E$1:E1290,1,FALSE()))),"OLD",IF(AND(E1291&lt;&gt;"",E1291&lt;&gt;"!!!"),"NEW","")))</f>
        <v/>
      </c>
      <c r="G1291" s="22" t="str">
        <f>IF(OR(E1291="",E1291="!!!"),"",IF(OR(J1291=0,AND(J1291=1,K1291=1),AND(J1291=1,I1291="SBJ"),AND(J1291=1,I1291=0)),"?IN_FOCUS",IF(J1291&lt;=2,"?ACTIVATED",IF(J1291&lt;&gt;"","?FAMILIAR",IF(F1291="NEW",IF(ISNA(VLOOKUP(E1291,#REF!,1,FALSE())),"?TYPE_IDENTIFIABLE","?REFERENTIAL"),"_")))))</f>
        <v/>
      </c>
      <c r="H1291" s="23" t="str">
        <f t="shared" ca="1" si="150"/>
        <v/>
      </c>
      <c r="I1291" s="24" t="str">
        <f>IF(OR(E1291="",E1291="!!!",F1291="NEW"),"",INDEX(B$2:B1290,-1+SUMPRODUCT(MAX(ROW(E$2:E1290)*(E1291=E$2:E1290)))))</f>
        <v/>
      </c>
      <c r="J1291" s="24" t="str">
        <f ca="1">IF(OR(E1291="",E1291="!!!",F1291="NEW"),"",COUNTBLANK(OFFSET(A$1,,,SUMPRODUCT(MAX(ROW(E$2:E1291)*(E1291=E$2:E1291)))))-COUNTBLANK(OFFSET(A$1,,,SUMPRODUCT(MAX(ROW(E$1:E1290)*(E2=E$1:E1290))))))</f>
        <v/>
      </c>
      <c r="K1291" s="24" t="str">
        <f>IF(OR(E1291="",E1291="!!!",F1291="NEW"),"",INDEX(J$1:J1290,SUMPRODUCT(MAX(ROW(E$1:E1290)*(E1291=E$1:E1290)))))</f>
        <v/>
      </c>
      <c r="L1291" s="25"/>
    </row>
    <row r="1293" spans="1:12" x14ac:dyDescent="0.2">
      <c r="A1293" t="s">
        <v>1257</v>
      </c>
    </row>
    <row r="1294" spans="1:12" x14ac:dyDescent="0.2">
      <c r="A1294" t="s">
        <v>1258</v>
      </c>
      <c r="E1294" s="20" t="str">
        <f t="shared" ref="E1294:E1309" si="152">IF(D1294="?OLD","!!!","")</f>
        <v/>
      </c>
      <c r="F1294" s="21" t="str">
        <f>IF(OR(E1294="",E1294="!!!"),"",IF(NOT(ISNA(VLOOKUP(E1294,E$1:E1293,1,FALSE()))),"OLD",IF(AND(E1294&lt;&gt;"",E1294&lt;&gt;"!!!"),"NEW","")))</f>
        <v/>
      </c>
      <c r="G1294" s="22" t="str">
        <f>IF(OR(E1294="",E1294="!!!"),"",IF(OR(J1294=0,AND(J1294=1,K1294=1),AND(J1294=1,I1294="SBJ"),AND(J1294=1,I1294=0)),"?IN_FOCUS",IF(J1294&lt;=2,"?ACTIVATED",IF(J1294&lt;&gt;"","?FAMILIAR",IF(F1294="NEW",IF(ISNA(VLOOKUP(E1294,#REF!,1,FALSE())),"?TYPE_IDENTIFIABLE","?REFERENTIAL"),"_")))))</f>
        <v/>
      </c>
      <c r="H1294" s="23" t="str">
        <f t="shared" ref="H1294:H1309" ca="1" si="153">IF(J1294&lt;&gt;1,"",IF(I1294="SBJ","CB","?"))</f>
        <v/>
      </c>
      <c r="I1294" s="24" t="str">
        <f>IF(OR(E1294="",E1294="!!!",F1294="NEW"),"",INDEX(B$2:B1293,-1+SUMPRODUCT(MAX(ROW(E$2:E1293)*(E1294=E$2:E1293)))))</f>
        <v/>
      </c>
      <c r="J1294" s="24" t="str">
        <f ca="1">IF(OR(E1294="",E1294="!!!",F1294="NEW"),"",COUNTBLANK(OFFSET(A$1,,,SUMPRODUCT(MAX(ROW(E$2:E1294)*(E1294=E$2:E1294)))))-COUNTBLANK(OFFSET(A$1,,,SUMPRODUCT(MAX(ROW(E$1:E1293)*(E2=E$1:E1293))))))</f>
        <v/>
      </c>
      <c r="K1294" s="24" t="str">
        <f>IF(OR(E1294="",E1294="!!!",F1294="NEW"),"",INDEX(J$1:J1293,SUMPRODUCT(MAX(ROW(E$1:E1293)*(E1294=E$1:E1293)))))</f>
        <v/>
      </c>
      <c r="L1294" s="25"/>
    </row>
    <row r="1295" spans="1:12" x14ac:dyDescent="0.2">
      <c r="A1295" t="s">
        <v>812</v>
      </c>
      <c r="E1295" s="20" t="str">
        <f t="shared" si="152"/>
        <v/>
      </c>
      <c r="F1295" s="21" t="str">
        <f>IF(OR(E1295="",E1295="!!!"),"",IF(NOT(ISNA(VLOOKUP(E1295,E$1:E1294,1,FALSE()))),"OLD",IF(AND(E1295&lt;&gt;"",E1295&lt;&gt;"!!!"),"NEW","")))</f>
        <v/>
      </c>
      <c r="G1295" s="22" t="str">
        <f>IF(OR(E1295="",E1295="!!!"),"",IF(OR(J1295=0,AND(J1295=1,K1295=1),AND(J1295=1,I1295="SBJ"),AND(J1295=1,I1295=0)),"?IN_FOCUS",IF(J1295&lt;=2,"?ACTIVATED",IF(J1295&lt;&gt;"","?FAMILIAR",IF(F1295="NEW",IF(ISNA(VLOOKUP(E1295,#REF!,1,FALSE())),"?TYPE_IDENTIFIABLE","?REFERENTIAL"),"_")))))</f>
        <v/>
      </c>
      <c r="H1295" s="23" t="str">
        <f t="shared" ca="1" si="153"/>
        <v/>
      </c>
      <c r="I1295" s="24" t="str">
        <f>IF(OR(E1295="",E1295="!!!",F1295="NEW"),"",INDEX(B$2:B1294,-1+SUMPRODUCT(MAX(ROW(E$2:E1294)*(E1295=E$2:E1294)))))</f>
        <v/>
      </c>
      <c r="J1295" s="24" t="str">
        <f ca="1">IF(OR(E1295="",E1295="!!!",F1295="NEW"),"",COUNTBLANK(OFFSET(A$1,,,SUMPRODUCT(MAX(ROW(E$2:E1295)*(E1295=E$2:E1295)))))-COUNTBLANK(OFFSET(A$1,,,SUMPRODUCT(MAX(ROW(E$1:E1294)*(E2=E$1:E1294))))))</f>
        <v/>
      </c>
      <c r="K1295" s="24" t="str">
        <f>IF(OR(E1295="",E1295="!!!",F1295="NEW"),"",INDEX(J$1:J1294,SUMPRODUCT(MAX(ROW(E$1:E1294)*(E1295=E$1:E1294)))))</f>
        <v/>
      </c>
      <c r="L1295" s="25"/>
    </row>
    <row r="1296" spans="1:12" x14ac:dyDescent="0.2">
      <c r="A1296" t="s">
        <v>1259</v>
      </c>
      <c r="E1296" s="20" t="str">
        <f t="shared" si="152"/>
        <v/>
      </c>
      <c r="F1296" s="21" t="str">
        <f>IF(OR(E1296="",E1296="!!!"),"",IF(NOT(ISNA(VLOOKUP(E1296,E$1:E1295,1,FALSE()))),"OLD",IF(AND(E1296&lt;&gt;"",E1296&lt;&gt;"!!!"),"NEW","")))</f>
        <v/>
      </c>
      <c r="G1296" s="22" t="str">
        <f>IF(OR(E1296="",E1296="!!!"),"",IF(OR(J1296=0,AND(J1296=1,K1296=1),AND(J1296=1,I1296="SBJ"),AND(J1296=1,I1296=0)),"?IN_FOCUS",IF(J1296&lt;=2,"?ACTIVATED",IF(J1296&lt;&gt;"","?FAMILIAR",IF(F1296="NEW",IF(ISNA(VLOOKUP(E1296,#REF!,1,FALSE())),"?TYPE_IDENTIFIABLE","?REFERENTIAL"),"_")))))</f>
        <v/>
      </c>
      <c r="H1296" s="23" t="str">
        <f t="shared" ca="1" si="153"/>
        <v/>
      </c>
      <c r="I1296" s="24" t="str">
        <f>IF(OR(E1296="",E1296="!!!",F1296="NEW"),"",INDEX(B$2:B1295,-1+SUMPRODUCT(MAX(ROW(E$2:E1295)*(E1296=E$2:E1295)))))</f>
        <v/>
      </c>
      <c r="J1296" s="24" t="str">
        <f ca="1">IF(OR(E1296="",E1296="!!!",F1296="NEW"),"",COUNTBLANK(OFFSET(A$1,,,SUMPRODUCT(MAX(ROW(E$2:E1296)*(E1296=E$2:E1296)))))-COUNTBLANK(OFFSET(A$1,,,SUMPRODUCT(MAX(ROW(E$1:E1295)*(E2=E$1:E1295))))))</f>
        <v/>
      </c>
      <c r="K1296" s="24" t="str">
        <f>IF(OR(E1296="",E1296="!!!",F1296="NEW"),"",INDEX(J$1:J1295,SUMPRODUCT(MAX(ROW(E$1:E1295)*(E1296=E$1:E1295)))))</f>
        <v/>
      </c>
      <c r="L1296" s="25"/>
    </row>
    <row r="1297" spans="1:12" x14ac:dyDescent="0.2">
      <c r="A1297" t="s">
        <v>1231</v>
      </c>
      <c r="B1297" s="26" t="s">
        <v>938</v>
      </c>
      <c r="C1297" s="26" t="s">
        <v>814</v>
      </c>
      <c r="E1297" s="20" t="str">
        <f t="shared" si="152"/>
        <v/>
      </c>
      <c r="F1297" s="21" t="str">
        <f>IF(OR(E1297="",E1297="!!!"),"",IF(NOT(ISNA(VLOOKUP(E1297,E$1:E1296,1,FALSE()))),"OLD",IF(AND(E1297&lt;&gt;"",E1297&lt;&gt;"!!!"),"NEW","")))</f>
        <v/>
      </c>
      <c r="G1297" s="22" t="str">
        <f>IF(OR(E1297="",E1297="!!!"),"",IF(OR(J1297=0,AND(J1297=1,K1297=1),AND(J1297=1,I1297="SBJ"),AND(J1297=1,I1297=0)),"?IN_FOCUS",IF(J1297&lt;=2,"?ACTIVATED",IF(J1297&lt;&gt;"","?FAMILIAR",IF(F1297="NEW",IF(ISNA(VLOOKUP(E1297,#REF!,1,FALSE())),"?TYPE_IDENTIFIABLE","?REFERENTIAL"),"_")))))</f>
        <v/>
      </c>
      <c r="H1297" s="23" t="str">
        <f t="shared" ca="1" si="153"/>
        <v/>
      </c>
      <c r="I1297" s="24" t="str">
        <f>IF(OR(E1297="",E1297="!!!",F1297="NEW"),"",INDEX(B$2:B1296,-1+SUMPRODUCT(MAX(ROW(E$2:E1296)*(E1297=E$2:E1296)))))</f>
        <v/>
      </c>
      <c r="J1297" s="24" t="str">
        <f ca="1">IF(OR(E1297="",E1297="!!!",F1297="NEW"),"",COUNTBLANK(OFFSET(A$1,,,SUMPRODUCT(MAX(ROW(E$2:E1297)*(E1297=E$2:E1297)))))-COUNTBLANK(OFFSET(A$1,,,SUMPRODUCT(MAX(ROW(E$1:E1296)*(E2=E$1:E1296))))))</f>
        <v/>
      </c>
      <c r="K1297" s="24" t="str">
        <f>IF(OR(E1297="",E1297="!!!",F1297="NEW"),"",INDEX(J$1:J1296,SUMPRODUCT(MAX(ROW(E$1:E1296)*(E1297=E$1:E1296)))))</f>
        <v/>
      </c>
      <c r="L1297" s="25"/>
    </row>
    <row r="1298" spans="1:12" x14ac:dyDescent="0.2">
      <c r="A1298" t="s">
        <v>1021</v>
      </c>
      <c r="E1298" s="20" t="str">
        <f t="shared" si="152"/>
        <v/>
      </c>
      <c r="F1298" s="21" t="str">
        <f>IF(OR(E1298="",E1298="!!!"),"",IF(NOT(ISNA(VLOOKUP(E1298,E$1:E1297,1,FALSE()))),"OLD",IF(AND(E1298&lt;&gt;"",E1298&lt;&gt;"!!!"),"NEW","")))</f>
        <v/>
      </c>
      <c r="G1298" s="22" t="str">
        <f>IF(OR(E1298="",E1298="!!!"),"",IF(OR(J1298=0,AND(J1298=1,K1298=1),AND(J1298=1,I1298="SBJ"),AND(J1298=1,I1298=0)),"?IN_FOCUS",IF(J1298&lt;=2,"?ACTIVATED",IF(J1298&lt;&gt;"","?FAMILIAR",IF(F1298="NEW",IF(ISNA(VLOOKUP(E1298,#REF!,1,FALSE())),"?TYPE_IDENTIFIABLE","?REFERENTIAL"),"_")))))</f>
        <v/>
      </c>
      <c r="H1298" s="23" t="str">
        <f t="shared" ca="1" si="153"/>
        <v/>
      </c>
      <c r="I1298" s="24" t="str">
        <f>IF(OR(E1298="",E1298="!!!",F1298="NEW"),"",INDEX(B$2:B1297,-1+SUMPRODUCT(MAX(ROW(E$2:E1297)*(E1298=E$2:E1297)))))</f>
        <v/>
      </c>
      <c r="J1298" s="24" t="str">
        <f ca="1">IF(OR(E1298="",E1298="!!!",F1298="NEW"),"",COUNTBLANK(OFFSET(A$1,,,SUMPRODUCT(MAX(ROW(E$2:E1298)*(E1298=E$2:E1298)))))-COUNTBLANK(OFFSET(A$1,,,SUMPRODUCT(MAX(ROW(E$1:E1297)*(E2=E$1:E1297))))))</f>
        <v/>
      </c>
      <c r="K1298" s="24" t="str">
        <f>IF(OR(E1298="",E1298="!!!",F1298="NEW"),"",INDEX(J$1:J1297,SUMPRODUCT(MAX(ROW(E$1:E1297)*(E1298=E$1:E1297)))))</f>
        <v/>
      </c>
      <c r="L1298" s="25"/>
    </row>
    <row r="1299" spans="1:12" x14ac:dyDescent="0.2">
      <c r="A1299" t="s">
        <v>802</v>
      </c>
      <c r="E1299" s="20" t="str">
        <f t="shared" si="152"/>
        <v/>
      </c>
      <c r="F1299" s="21" t="str">
        <f>IF(OR(E1299="",E1299="!!!"),"",IF(NOT(ISNA(VLOOKUP(E1299,E$1:E1298,1,FALSE()))),"OLD",IF(AND(E1299&lt;&gt;"",E1299&lt;&gt;"!!!"),"NEW","")))</f>
        <v/>
      </c>
      <c r="G1299" s="22" t="str">
        <f>IF(OR(E1299="",E1299="!!!"),"",IF(OR(J1299=0,AND(J1299=1,K1299=1),AND(J1299=1,I1299="SBJ"),AND(J1299=1,I1299=0)),"?IN_FOCUS",IF(J1299&lt;=2,"?ACTIVATED",IF(J1299&lt;&gt;"","?FAMILIAR",IF(F1299="NEW",IF(ISNA(VLOOKUP(E1299,#REF!,1,FALSE())),"?TYPE_IDENTIFIABLE","?REFERENTIAL"),"_")))))</f>
        <v/>
      </c>
      <c r="H1299" s="23" t="str">
        <f t="shared" ca="1" si="153"/>
        <v/>
      </c>
      <c r="I1299" s="24" t="str">
        <f>IF(OR(E1299="",E1299="!!!",F1299="NEW"),"",INDEX(B$2:B1298,-1+SUMPRODUCT(MAX(ROW(E$2:E1298)*(E1299=E$2:E1298)))))</f>
        <v/>
      </c>
      <c r="J1299" s="24" t="str">
        <f ca="1">IF(OR(E1299="",E1299="!!!",F1299="NEW"),"",COUNTBLANK(OFFSET(A$1,,,SUMPRODUCT(MAX(ROW(E$2:E1299)*(E1299=E$2:E1299)))))-COUNTBLANK(OFFSET(A$1,,,SUMPRODUCT(MAX(ROW(E$1:E1298)*(E2=E$1:E1298))))))</f>
        <v/>
      </c>
      <c r="K1299" s="24" t="str">
        <f>IF(OR(E1299="",E1299="!!!",F1299="NEW"),"",INDEX(J$1:J1298,SUMPRODUCT(MAX(ROW(E$1:E1298)*(E1299=E$1:E1298)))))</f>
        <v/>
      </c>
      <c r="L1299" s="25"/>
    </row>
    <row r="1300" spans="1:12" x14ac:dyDescent="0.2">
      <c r="A1300" t="s">
        <v>949</v>
      </c>
      <c r="B1300" s="26" t="s">
        <v>804</v>
      </c>
      <c r="C1300" s="26" t="s">
        <v>805</v>
      </c>
      <c r="D1300" s="26" t="s">
        <v>806</v>
      </c>
      <c r="E1300" s="20" t="s">
        <v>1780</v>
      </c>
      <c r="F1300" s="21" t="str">
        <f>IF(OR(E1300="",E1300="!!!"),"",IF(NOT(ISNA(VLOOKUP(E1300,E$1:E1299,1,FALSE()))),"OLD",IF(AND(E1300&lt;&gt;"",E1300&lt;&gt;"!!!"),"NEW","")))</f>
        <v>OLD</v>
      </c>
      <c r="G1300" s="22" t="s">
        <v>1823</v>
      </c>
      <c r="H1300" s="23" t="str">
        <f t="shared" ca="1" si="153"/>
        <v/>
      </c>
      <c r="I1300" s="24" t="str">
        <f>IF(OR(E1300="",E1300="!!!",F1300="NEW"),"",INDEX(B$2:B1299,-1+SUMPRODUCT(MAX(ROW(E$2:E1299)*(E1300=E$2:E1299)))))</f>
        <v>SBJ</v>
      </c>
      <c r="J1300" s="24">
        <f ca="1">IF(OR(E1300="",E1300="!!!",F1300="NEW"),"",COUNTBLANK(OFFSET(A$1,,,SUMPRODUCT(MAX(ROW(E$2:E1300)*(E1300=E$2:E1300)))))-COUNTBLANK(OFFSET(A$1,,,SUMPRODUCT(MAX(ROW(E$1:E1299)*(E2=E$1:E1299))))))</f>
        <v>0</v>
      </c>
      <c r="K1300" s="24">
        <f ca="1">IF(OR(E1300="",E1300="!!!",F1300="NEW"),"",INDEX(J$1:J1299,SUMPRODUCT(MAX(ROW(E$1:E1299)*(E1300=E$1:E1299)))))</f>
        <v>0</v>
      </c>
      <c r="L1300" s="25"/>
    </row>
    <row r="1301" spans="1:12" x14ac:dyDescent="0.2">
      <c r="A1301" t="s">
        <v>1260</v>
      </c>
      <c r="E1301" s="20" t="str">
        <f t="shared" si="152"/>
        <v/>
      </c>
      <c r="F1301" s="21" t="str">
        <f>IF(OR(E1301="",E1301="!!!"),"",IF(NOT(ISNA(VLOOKUP(E1301,E$1:E1300,1,FALSE()))),"OLD",IF(AND(E1301&lt;&gt;"",E1301&lt;&gt;"!!!"),"NEW","")))</f>
        <v/>
      </c>
      <c r="G1301" s="22" t="str">
        <f>IF(OR(E1301="",E1301="!!!"),"",IF(OR(J1301=0,AND(J1301=1,K1301=1),AND(J1301=1,I1301="SBJ"),AND(J1301=1,I1301=0)),"?IN_FOCUS",IF(J1301&lt;=2,"?ACTIVATED",IF(J1301&lt;&gt;"","?FAMILIAR",IF(F1301="NEW",IF(ISNA(VLOOKUP(E1301,#REF!,1,FALSE())),"?TYPE_IDENTIFIABLE","?REFERENTIAL"),"_")))))</f>
        <v/>
      </c>
      <c r="H1301" s="23" t="str">
        <f t="shared" ca="1" si="153"/>
        <v/>
      </c>
      <c r="I1301" s="24" t="str">
        <f>IF(OR(E1301="",E1301="!!!",F1301="NEW"),"",INDEX(B$2:B1300,-1+SUMPRODUCT(MAX(ROW(E$2:E1300)*(E1301=E$2:E1300)))))</f>
        <v/>
      </c>
      <c r="J1301" s="24" t="str">
        <f ca="1">IF(OR(E1301="",E1301="!!!",F1301="NEW"),"",COUNTBLANK(OFFSET(A$1,,,SUMPRODUCT(MAX(ROW(E$2:E1301)*(E1301=E$2:E1301)))))-COUNTBLANK(OFFSET(A$1,,,SUMPRODUCT(MAX(ROW(E$1:E1300)*(E2=E$1:E1300))))))</f>
        <v/>
      </c>
      <c r="K1301" s="24" t="str">
        <f>IF(OR(E1301="",E1301="!!!",F1301="NEW"),"",INDEX(J$1:J1300,SUMPRODUCT(MAX(ROW(E$1:E1300)*(E1301=E$1:E1300)))))</f>
        <v/>
      </c>
      <c r="L1301" s="25"/>
    </row>
    <row r="1302" spans="1:12" x14ac:dyDescent="0.2">
      <c r="A1302" t="s">
        <v>845</v>
      </c>
      <c r="E1302" s="20" t="str">
        <f t="shared" si="152"/>
        <v/>
      </c>
      <c r="F1302" s="21" t="str">
        <f>IF(OR(E1302="",E1302="!!!"),"",IF(NOT(ISNA(VLOOKUP(E1302,E$1:E1301,1,FALSE()))),"OLD",IF(AND(E1302&lt;&gt;"",E1302&lt;&gt;"!!!"),"NEW","")))</f>
        <v/>
      </c>
      <c r="G1302" s="22" t="str">
        <f>IF(OR(E1302="",E1302="!!!"),"",IF(OR(J1302=0,AND(J1302=1,K1302=1),AND(J1302=1,I1302="SBJ"),AND(J1302=1,I1302=0)),"?IN_FOCUS",IF(J1302&lt;=2,"?ACTIVATED",IF(J1302&lt;&gt;"","?FAMILIAR",IF(F1302="NEW",IF(ISNA(VLOOKUP(E1302,#REF!,1,FALSE())),"?TYPE_IDENTIFIABLE","?REFERENTIAL"),"_")))))</f>
        <v/>
      </c>
      <c r="H1302" s="23" t="str">
        <f t="shared" ca="1" si="153"/>
        <v/>
      </c>
      <c r="I1302" s="24" t="str">
        <f>IF(OR(E1302="",E1302="!!!",F1302="NEW"),"",INDEX(B$2:B1301,-1+SUMPRODUCT(MAX(ROW(E$2:E1301)*(E1302=E$2:E1301)))))</f>
        <v/>
      </c>
      <c r="J1302" s="24" t="str">
        <f ca="1">IF(OR(E1302="",E1302="!!!",F1302="NEW"),"",COUNTBLANK(OFFSET(A$1,,,SUMPRODUCT(MAX(ROW(E$2:E1302)*(E1302=E$2:E1302)))))-COUNTBLANK(OFFSET(A$1,,,SUMPRODUCT(MAX(ROW(E$1:E1301)*(E2=E$1:E1301))))))</f>
        <v/>
      </c>
      <c r="K1302" s="24" t="str">
        <f>IF(OR(E1302="",E1302="!!!",F1302="NEW"),"",INDEX(J$1:J1301,SUMPRODUCT(MAX(ROW(E$1:E1301)*(E1302=E$1:E1301)))))</f>
        <v/>
      </c>
      <c r="L1302" s="25"/>
    </row>
    <row r="1303" spans="1:12" x14ac:dyDescent="0.2">
      <c r="A1303" t="s">
        <v>1261</v>
      </c>
      <c r="B1303" s="26" t="s">
        <v>810</v>
      </c>
      <c r="C1303" s="26" t="s">
        <v>847</v>
      </c>
      <c r="D1303" s="26" t="s">
        <v>806</v>
      </c>
      <c r="E1303" s="20" t="s">
        <v>1261</v>
      </c>
      <c r="F1303" s="21" t="str">
        <f>IF(OR(E1303="",E1303="!!!"),"",IF(NOT(ISNA(VLOOKUP(E1303,E$1:E1302,1,FALSE()))),"OLD",IF(AND(E1303&lt;&gt;"",E1303&lt;&gt;"!!!"),"NEW","")))</f>
        <v>NEW</v>
      </c>
      <c r="G1303" s="22" t="s">
        <v>1820</v>
      </c>
      <c r="H1303" s="23" t="str">
        <f t="shared" ca="1" si="153"/>
        <v/>
      </c>
      <c r="I1303" s="24" t="str">
        <f>IF(OR(E1303="",E1303="!!!",F1303="NEW"),"",INDEX(B$2:B1302,-1+SUMPRODUCT(MAX(ROW(E$2:E1302)*(E1303=E$2:E1302)))))</f>
        <v/>
      </c>
      <c r="J1303" s="24" t="str">
        <f ca="1">IF(OR(E1303="",E1303="!!!",F1303="NEW"),"",COUNTBLANK(OFFSET(A$1,,,SUMPRODUCT(MAX(ROW(E$2:E1303)*(E1303=E$2:E1303)))))-COUNTBLANK(OFFSET(A$1,,,SUMPRODUCT(MAX(ROW(E$1:E1302)*(E2=E$1:E1302))))))</f>
        <v/>
      </c>
      <c r="K1303" s="24" t="str">
        <f>IF(OR(E1303="",E1303="!!!",F1303="NEW"),"",INDEX(J$1:J1302,SUMPRODUCT(MAX(ROW(E$1:E1302)*(E1303=E$1:E1302)))))</f>
        <v/>
      </c>
      <c r="L1303" s="25"/>
    </row>
    <row r="1304" spans="1:12" x14ac:dyDescent="0.2">
      <c r="A1304" t="s">
        <v>859</v>
      </c>
      <c r="E1304" s="20" t="str">
        <f t="shared" si="152"/>
        <v/>
      </c>
      <c r="F1304" s="21" t="str">
        <f>IF(OR(E1304="",E1304="!!!"),"",IF(NOT(ISNA(VLOOKUP(E1304,E$1:E1303,1,FALSE()))),"OLD",IF(AND(E1304&lt;&gt;"",E1304&lt;&gt;"!!!"),"NEW","")))</f>
        <v/>
      </c>
      <c r="G1304" s="22" t="str">
        <f>IF(OR(E1304="",E1304="!!!"),"",IF(OR(J1304=0,AND(J1304=1,K1304=1),AND(J1304=1,I1304="SBJ"),AND(J1304=1,I1304=0)),"?IN_FOCUS",IF(J1304&lt;=2,"?ACTIVATED",IF(J1304&lt;&gt;"","?FAMILIAR",IF(F1304="NEW",IF(ISNA(VLOOKUP(E1304,#REF!,1,FALSE())),"?TYPE_IDENTIFIABLE","?REFERENTIAL"),"_")))))</f>
        <v/>
      </c>
      <c r="H1304" s="23" t="str">
        <f t="shared" ca="1" si="153"/>
        <v/>
      </c>
      <c r="I1304" s="24" t="str">
        <f>IF(OR(E1304="",E1304="!!!",F1304="NEW"),"",INDEX(B$2:B1303,-1+SUMPRODUCT(MAX(ROW(E$2:E1303)*(E1304=E$2:E1303)))))</f>
        <v/>
      </c>
      <c r="J1304" s="24" t="str">
        <f ca="1">IF(OR(E1304="",E1304="!!!",F1304="NEW"),"",COUNTBLANK(OFFSET(A$1,,,SUMPRODUCT(MAX(ROW(E$2:E1304)*(E1304=E$2:E1304)))))-COUNTBLANK(OFFSET(A$1,,,SUMPRODUCT(MAX(ROW(E$1:E1303)*(E2=E$1:E1303))))))</f>
        <v/>
      </c>
      <c r="K1304" s="24" t="str">
        <f>IF(OR(E1304="",E1304="!!!",F1304="NEW"),"",INDEX(J$1:J1303,SUMPRODUCT(MAX(ROW(E$1:E1303)*(E1304=E$1:E1303)))))</f>
        <v/>
      </c>
      <c r="L1304" s="25"/>
    </row>
    <row r="1305" spans="1:12" x14ac:dyDescent="0.2">
      <c r="A1305" t="s">
        <v>1262</v>
      </c>
      <c r="E1305" s="20" t="str">
        <f t="shared" si="152"/>
        <v/>
      </c>
      <c r="F1305" s="21" t="str">
        <f>IF(OR(E1305="",E1305="!!!"),"",IF(NOT(ISNA(VLOOKUP(E1305,E$1:E1304,1,FALSE()))),"OLD",IF(AND(E1305&lt;&gt;"",E1305&lt;&gt;"!!!"),"NEW","")))</f>
        <v/>
      </c>
      <c r="G1305" s="22" t="str">
        <f>IF(OR(E1305="",E1305="!!!"),"",IF(OR(J1305=0,AND(J1305=1,K1305=1),AND(J1305=1,I1305="SBJ"),AND(J1305=1,I1305=0)),"?IN_FOCUS",IF(J1305&lt;=2,"?ACTIVATED",IF(J1305&lt;&gt;"","?FAMILIAR",IF(F1305="NEW",IF(ISNA(VLOOKUP(E1305,#REF!,1,FALSE())),"?TYPE_IDENTIFIABLE","?REFERENTIAL"),"_")))))</f>
        <v/>
      </c>
      <c r="H1305" s="23" t="str">
        <f t="shared" ca="1" si="153"/>
        <v/>
      </c>
      <c r="I1305" s="24" t="str">
        <f>IF(OR(E1305="",E1305="!!!",F1305="NEW"),"",INDEX(B$2:B1304,-1+SUMPRODUCT(MAX(ROW(E$2:E1304)*(E1305=E$2:E1304)))))</f>
        <v/>
      </c>
      <c r="J1305" s="24" t="str">
        <f ca="1">IF(OR(E1305="",E1305="!!!",F1305="NEW"),"",COUNTBLANK(OFFSET(A$1,,,SUMPRODUCT(MAX(ROW(E$2:E1305)*(E1305=E$2:E1305)))))-COUNTBLANK(OFFSET(A$1,,,SUMPRODUCT(MAX(ROW(E$1:E1304)*(E2=E$1:E1304))))))</f>
        <v/>
      </c>
      <c r="K1305" s="24" t="str">
        <f>IF(OR(E1305="",E1305="!!!",F1305="NEW"),"",INDEX(J$1:J1304,SUMPRODUCT(MAX(ROW(E$1:E1304)*(E1305=E$1:E1304)))))</f>
        <v/>
      </c>
      <c r="L1305" s="25"/>
    </row>
    <row r="1306" spans="1:12" x14ac:dyDescent="0.2">
      <c r="A1306" t="s">
        <v>1231</v>
      </c>
      <c r="B1306" s="26" t="s">
        <v>938</v>
      </c>
      <c r="C1306" s="26" t="s">
        <v>814</v>
      </c>
      <c r="E1306" s="20" t="str">
        <f t="shared" si="152"/>
        <v/>
      </c>
      <c r="F1306" s="21" t="str">
        <f>IF(OR(E1306="",E1306="!!!"),"",IF(NOT(ISNA(VLOOKUP(E1306,E$1:E1305,1,FALSE()))),"OLD",IF(AND(E1306&lt;&gt;"",E1306&lt;&gt;"!!!"),"NEW","")))</f>
        <v/>
      </c>
      <c r="G1306" s="22" t="str">
        <f>IF(OR(E1306="",E1306="!!!"),"",IF(OR(J1306=0,AND(J1306=1,K1306=1),AND(J1306=1,I1306="SBJ"),AND(J1306=1,I1306=0)),"?IN_FOCUS",IF(J1306&lt;=2,"?ACTIVATED",IF(J1306&lt;&gt;"","?FAMILIAR",IF(F1306="NEW",IF(ISNA(VLOOKUP(E1306,#REF!,1,FALSE())),"?TYPE_IDENTIFIABLE","?REFERENTIAL"),"_")))))</f>
        <v/>
      </c>
      <c r="H1306" s="23" t="str">
        <f t="shared" ca="1" si="153"/>
        <v/>
      </c>
      <c r="I1306" s="24" t="str">
        <f>IF(OR(E1306="",E1306="!!!",F1306="NEW"),"",INDEX(B$2:B1305,-1+SUMPRODUCT(MAX(ROW(E$2:E1305)*(E1306=E$2:E1305)))))</f>
        <v/>
      </c>
      <c r="J1306" s="24" t="str">
        <f ca="1">IF(OR(E1306="",E1306="!!!",F1306="NEW"),"",COUNTBLANK(OFFSET(A$1,,,SUMPRODUCT(MAX(ROW(E$2:E1306)*(E1306=E$2:E1306)))))-COUNTBLANK(OFFSET(A$1,,,SUMPRODUCT(MAX(ROW(E$1:E1305)*(E2=E$1:E1305))))))</f>
        <v/>
      </c>
      <c r="K1306" s="24" t="str">
        <f>IF(OR(E1306="",E1306="!!!",F1306="NEW"),"",INDEX(J$1:J1305,SUMPRODUCT(MAX(ROW(E$1:E1305)*(E1306=E$1:E1305)))))</f>
        <v/>
      </c>
      <c r="L1306" s="25"/>
    </row>
    <row r="1307" spans="1:12" x14ac:dyDescent="0.2">
      <c r="A1307" t="s">
        <v>1263</v>
      </c>
      <c r="E1307" s="20" t="str">
        <f t="shared" si="152"/>
        <v/>
      </c>
      <c r="F1307" s="21" t="str">
        <f>IF(OR(E1307="",E1307="!!!"),"",IF(NOT(ISNA(VLOOKUP(E1307,E$1:E1306,1,FALSE()))),"OLD",IF(AND(E1307&lt;&gt;"",E1307&lt;&gt;"!!!"),"NEW","")))</f>
        <v/>
      </c>
      <c r="G1307" s="22" t="str">
        <f>IF(OR(E1307="",E1307="!!!"),"",IF(OR(J1307=0,AND(J1307=1,K1307=1),AND(J1307=1,I1307="SBJ"),AND(J1307=1,I1307=0)),"?IN_FOCUS",IF(J1307&lt;=2,"?ACTIVATED",IF(J1307&lt;&gt;"","?FAMILIAR",IF(F1307="NEW",IF(ISNA(VLOOKUP(E1307,#REF!,1,FALSE())),"?TYPE_IDENTIFIABLE","?REFERENTIAL"),"_")))))</f>
        <v/>
      </c>
      <c r="H1307" s="23" t="str">
        <f t="shared" ca="1" si="153"/>
        <v/>
      </c>
      <c r="I1307" s="24" t="str">
        <f>IF(OR(E1307="",E1307="!!!",F1307="NEW"),"",INDEX(B$2:B1306,-1+SUMPRODUCT(MAX(ROW(E$2:E1306)*(E1307=E$2:E1306)))))</f>
        <v/>
      </c>
      <c r="J1307" s="24" t="str">
        <f ca="1">IF(OR(E1307="",E1307="!!!",F1307="NEW"),"",COUNTBLANK(OFFSET(A$1,,,SUMPRODUCT(MAX(ROW(E$2:E1307)*(E1307=E$2:E1307)))))-COUNTBLANK(OFFSET(A$1,,,SUMPRODUCT(MAX(ROW(E$1:E1306)*(E2=E$1:E1306))))))</f>
        <v/>
      </c>
      <c r="K1307" s="24" t="str">
        <f>IF(OR(E1307="",E1307="!!!",F1307="NEW"),"",INDEX(J$1:J1306,SUMPRODUCT(MAX(ROW(E$1:E1306)*(E1307=E$1:E1306)))))</f>
        <v/>
      </c>
      <c r="L1307" s="25"/>
    </row>
    <row r="1308" spans="1:12" x14ac:dyDescent="0.2">
      <c r="A1308" t="s">
        <v>815</v>
      </c>
      <c r="E1308" s="20" t="str">
        <f t="shared" si="152"/>
        <v/>
      </c>
      <c r="F1308" s="21" t="str">
        <f>IF(OR(E1308="",E1308="!!!"),"",IF(NOT(ISNA(VLOOKUP(E1308,E$1:E1307,1,FALSE()))),"OLD",IF(AND(E1308&lt;&gt;"",E1308&lt;&gt;"!!!"),"NEW","")))</f>
        <v/>
      </c>
      <c r="G1308" s="22" t="str">
        <f>IF(OR(E1308="",E1308="!!!"),"",IF(OR(J1308=0,AND(J1308=1,K1308=1),AND(J1308=1,I1308="SBJ"),AND(J1308=1,I1308=0)),"?IN_FOCUS",IF(J1308&lt;=2,"?ACTIVATED",IF(J1308&lt;&gt;"","?FAMILIAR",IF(F1308="NEW",IF(ISNA(VLOOKUP(E1308,#REF!,1,FALSE())),"?TYPE_IDENTIFIABLE","?REFERENTIAL"),"_")))))</f>
        <v/>
      </c>
      <c r="H1308" s="23" t="str">
        <f t="shared" ca="1" si="153"/>
        <v/>
      </c>
      <c r="I1308" s="24" t="str">
        <f>IF(OR(E1308="",E1308="!!!",F1308="NEW"),"",INDEX(B$2:B1307,-1+SUMPRODUCT(MAX(ROW(E$2:E1307)*(E1308=E$2:E1307)))))</f>
        <v/>
      </c>
      <c r="J1308" s="24" t="str">
        <f ca="1">IF(OR(E1308="",E1308="!!!",F1308="NEW"),"",COUNTBLANK(OFFSET(A$1,,,SUMPRODUCT(MAX(ROW(E$2:E1308)*(E1308=E$2:E1308)))))-COUNTBLANK(OFFSET(A$1,,,SUMPRODUCT(MAX(ROW(E$1:E1307)*(E2=E$1:E1307))))))</f>
        <v/>
      </c>
      <c r="K1308" s="24" t="str">
        <f>IF(OR(E1308="",E1308="!!!",F1308="NEW"),"",INDEX(J$1:J1307,SUMPRODUCT(MAX(ROW(E$1:E1307)*(E1308=E$1:E1307)))))</f>
        <v/>
      </c>
      <c r="L1308" s="25"/>
    </row>
    <row r="1309" spans="1:12" x14ac:dyDescent="0.2">
      <c r="A1309" t="s">
        <v>821</v>
      </c>
      <c r="E1309" s="20" t="str">
        <f t="shared" si="152"/>
        <v/>
      </c>
      <c r="F1309" s="21" t="str">
        <f>IF(OR(E1309="",E1309="!!!"),"",IF(NOT(ISNA(VLOOKUP(E1309,E$1:E1308,1,FALSE()))),"OLD",IF(AND(E1309&lt;&gt;"",E1309&lt;&gt;"!!!"),"NEW","")))</f>
        <v/>
      </c>
      <c r="G1309" s="22" t="str">
        <f>IF(OR(E1309="",E1309="!!!"),"",IF(OR(J1309=0,AND(J1309=1,K1309=1),AND(J1309=1,I1309="SBJ"),AND(J1309=1,I1309=0)),"?IN_FOCUS",IF(J1309&lt;=2,"?ACTIVATED",IF(J1309&lt;&gt;"","?FAMILIAR",IF(F1309="NEW",IF(ISNA(VLOOKUP(E1309,#REF!,1,FALSE())),"?TYPE_IDENTIFIABLE","?REFERENTIAL"),"_")))))</f>
        <v/>
      </c>
      <c r="H1309" s="23" t="str">
        <f t="shared" ca="1" si="153"/>
        <v/>
      </c>
      <c r="I1309" s="24" t="str">
        <f>IF(OR(E1309="",E1309="!!!",F1309="NEW"),"",INDEX(B$2:B1308,-1+SUMPRODUCT(MAX(ROW(E$2:E1308)*(E1309=E$2:E1308)))))</f>
        <v/>
      </c>
      <c r="J1309" s="24" t="str">
        <f ca="1">IF(OR(E1309="",E1309="!!!",F1309="NEW"),"",COUNTBLANK(OFFSET(A$1,,,SUMPRODUCT(MAX(ROW(E$2:E1309)*(E1309=E$2:E1309)))))-COUNTBLANK(OFFSET(A$1,,,SUMPRODUCT(MAX(ROW(E$1:E1308)*(E2=E$1:E1308))))))</f>
        <v/>
      </c>
      <c r="K1309" s="24" t="str">
        <f>IF(OR(E1309="",E1309="!!!",F1309="NEW"),"",INDEX(J$1:J1308,SUMPRODUCT(MAX(ROW(E$1:E1308)*(E1309=E$1:E1308)))))</f>
        <v/>
      </c>
      <c r="L1309" s="25"/>
    </row>
    <row r="1311" spans="1:12" x14ac:dyDescent="0.2">
      <c r="A1311" t="s">
        <v>1264</v>
      </c>
    </row>
    <row r="1312" spans="1:12" x14ac:dyDescent="0.2">
      <c r="A1312" t="s">
        <v>1216</v>
      </c>
      <c r="B1312" s="26" t="s">
        <v>804</v>
      </c>
      <c r="C1312" s="26" t="s">
        <v>805</v>
      </c>
      <c r="D1312" s="26" t="s">
        <v>806</v>
      </c>
      <c r="E1312" s="20" t="s">
        <v>1780</v>
      </c>
      <c r="F1312" s="21" t="str">
        <f>IF(OR(E1312="",E1312="!!!"),"",IF(NOT(ISNA(VLOOKUP(E1312,E$1:E1311,1,FALSE()))),"OLD",IF(AND(E1312&lt;&gt;"",E1312&lt;&gt;"!!!"),"NEW","")))</f>
        <v>OLD</v>
      </c>
      <c r="G1312" s="22" t="s">
        <v>1823</v>
      </c>
      <c r="H1312" s="23" t="str">
        <f ca="1">IF(J1312&lt;&gt;1,"",IF(I1312="SBJ","CB","?"))</f>
        <v/>
      </c>
      <c r="I1312" s="24" t="str">
        <f>IF(OR(E1312="",E1312="!!!",F1312="NEW"),"",INDEX(B$2:B1311,-1+SUMPRODUCT(MAX(ROW(E$2:E1311)*(E1312=E$2:E1311)))))</f>
        <v>SBJ</v>
      </c>
      <c r="J1312" s="24">
        <f ca="1">IF(OR(E1312="",E1312="!!!",F1312="NEW"),"",COUNTBLANK(OFFSET(A$1,,,SUMPRODUCT(MAX(ROW(E$2:E1312)*(E1312=E$2:E1312)))))-COUNTBLANK(OFFSET(A$1,,,SUMPRODUCT(MAX(ROW(E$1:E1311)*(E2=E$1:E1311))))))</f>
        <v>0</v>
      </c>
      <c r="K1312" s="24">
        <f ca="1">IF(OR(E1312="",E1312="!!!",F1312="NEW"),"",INDEX(J$1:J1311,SUMPRODUCT(MAX(ROW(E$1:E1311)*(E1312=E$1:E1311)))))</f>
        <v>0</v>
      </c>
      <c r="L1312" s="25"/>
    </row>
    <row r="1313" spans="1:12" x14ac:dyDescent="0.2">
      <c r="A1313" t="s">
        <v>1265</v>
      </c>
      <c r="E1313" s="20" t="str">
        <f>IF(D1313="?OLD","!!!","")</f>
        <v/>
      </c>
      <c r="F1313" s="21" t="str">
        <f>IF(OR(E1313="",E1313="!!!"),"",IF(NOT(ISNA(VLOOKUP(E1313,E$1:E1312,1,FALSE()))),"OLD",IF(AND(E1313&lt;&gt;"",E1313&lt;&gt;"!!!"),"NEW","")))</f>
        <v/>
      </c>
      <c r="G1313" s="22" t="str">
        <f>IF(OR(E1313="",E1313="!!!"),"",IF(OR(J1313=0,AND(J1313=1,K1313=1),AND(J1313=1,I1313="SBJ"),AND(J1313=1,I1313=0)),"?IN_FOCUS",IF(J1313&lt;=2,"?ACTIVATED",IF(J1313&lt;&gt;"","?FAMILIAR",IF(F1313="NEW",IF(ISNA(VLOOKUP(E1313,#REF!,1,FALSE())),"?TYPE_IDENTIFIABLE","?REFERENTIAL"),"_")))))</f>
        <v/>
      </c>
      <c r="H1313" s="23" t="str">
        <f ca="1">IF(J1313&lt;&gt;1,"",IF(I1313="SBJ","CB","?"))</f>
        <v/>
      </c>
      <c r="I1313" s="24" t="str">
        <f>IF(OR(E1313="",E1313="!!!",F1313="NEW"),"",INDEX(B$2:B1312,-1+SUMPRODUCT(MAX(ROW(E$2:E1312)*(E1313=E$2:E1312)))))</f>
        <v/>
      </c>
      <c r="J1313" s="24" t="str">
        <f ca="1">IF(OR(E1313="",E1313="!!!",F1313="NEW"),"",COUNTBLANK(OFFSET(A$1,,,SUMPRODUCT(MAX(ROW(E$2:E1313)*(E1313=E$2:E1313)))))-COUNTBLANK(OFFSET(A$1,,,SUMPRODUCT(MAX(ROW(E$1:E1312)*(E2=E$1:E1312))))))</f>
        <v/>
      </c>
      <c r="K1313" s="24" t="str">
        <f>IF(OR(E1313="",E1313="!!!",F1313="NEW"),"",INDEX(J$1:J1312,SUMPRODUCT(MAX(ROW(E$1:E1312)*(E1313=E$1:E1312)))))</f>
        <v/>
      </c>
      <c r="L1313" s="25"/>
    </row>
    <row r="1314" spans="1:12" x14ac:dyDescent="0.2">
      <c r="A1314" t="s">
        <v>845</v>
      </c>
      <c r="E1314" s="20" t="str">
        <f>IF(D1314="?OLD","!!!","")</f>
        <v/>
      </c>
      <c r="F1314" s="21" t="str">
        <f>IF(OR(E1314="",E1314="!!!"),"",IF(NOT(ISNA(VLOOKUP(E1314,E$1:E1313,1,FALSE()))),"OLD",IF(AND(E1314&lt;&gt;"",E1314&lt;&gt;"!!!"),"NEW","")))</f>
        <v/>
      </c>
      <c r="G1314" s="22" t="str">
        <f>IF(OR(E1314="",E1314="!!!"),"",IF(OR(J1314=0,AND(J1314=1,K1314=1),AND(J1314=1,I1314="SBJ"),AND(J1314=1,I1314=0)),"?IN_FOCUS",IF(J1314&lt;=2,"?ACTIVATED",IF(J1314&lt;&gt;"","?FAMILIAR",IF(F1314="NEW",IF(ISNA(VLOOKUP(E1314,#REF!,1,FALSE())),"?TYPE_IDENTIFIABLE","?REFERENTIAL"),"_")))))</f>
        <v/>
      </c>
      <c r="H1314" s="23" t="str">
        <f ca="1">IF(J1314&lt;&gt;1,"",IF(I1314="SBJ","CB","?"))</f>
        <v/>
      </c>
      <c r="I1314" s="24" t="str">
        <f>IF(OR(E1314="",E1314="!!!",F1314="NEW"),"",INDEX(B$2:B1313,-1+SUMPRODUCT(MAX(ROW(E$2:E1313)*(E1314=E$2:E1313)))))</f>
        <v/>
      </c>
      <c r="J1314" s="24" t="str">
        <f ca="1">IF(OR(E1314="",E1314="!!!",F1314="NEW"),"",COUNTBLANK(OFFSET(A$1,,,SUMPRODUCT(MAX(ROW(E$2:E1314)*(E1314=E$2:E1314)))))-COUNTBLANK(OFFSET(A$1,,,SUMPRODUCT(MAX(ROW(E$1:E1313)*(E2=E$1:E1313))))))</f>
        <v/>
      </c>
      <c r="K1314" s="24" t="str">
        <f>IF(OR(E1314="",E1314="!!!",F1314="NEW"),"",INDEX(J$1:J1313,SUMPRODUCT(MAX(ROW(E$1:E1313)*(E1314=E$1:E1313)))))</f>
        <v/>
      </c>
      <c r="L1314" s="25"/>
    </row>
    <row r="1315" spans="1:12" x14ac:dyDescent="0.2">
      <c r="A1315" t="s">
        <v>1229</v>
      </c>
      <c r="B1315" s="26" t="s">
        <v>810</v>
      </c>
      <c r="C1315" s="26" t="s">
        <v>847</v>
      </c>
      <c r="D1315" s="26" t="s">
        <v>806</v>
      </c>
      <c r="E1315" s="20" t="s">
        <v>1229</v>
      </c>
      <c r="F1315" s="21" t="str">
        <f>IF(OR(E1315="",E1315="!!!"),"",IF(NOT(ISNA(VLOOKUP(E1315,E$1:E1314,1,FALSE()))),"OLD",IF(AND(E1315&lt;&gt;"",E1315&lt;&gt;"!!!"),"NEW","")))</f>
        <v>OLD</v>
      </c>
      <c r="G1315" s="22" t="s">
        <v>1822</v>
      </c>
      <c r="H1315" s="23" t="str">
        <f ca="1">IF(J1315&lt;&gt;1,"",IF(I1315="SBJ","CB","?"))</f>
        <v/>
      </c>
      <c r="I1315" s="24" t="str">
        <f>IF(OR(E1315="",E1315="!!!",F1315="NEW"),"",INDEX(B$2:B1314,-1+SUMPRODUCT(MAX(ROW(E$2:E1314)*(E1315=E$2:E1314)))))</f>
        <v>other_2</v>
      </c>
      <c r="J1315" s="24">
        <f ca="1">IF(OR(E1315="",E1315="!!!",F1315="NEW"),"",COUNTBLANK(OFFSET(A$1,,,SUMPRODUCT(MAX(ROW(E$2:E1315)*(E1315=E$2:E1315)))))-COUNTBLANK(OFFSET(A$1,,,SUMPRODUCT(MAX(ROW(E$1:E1314)*(E2=E$1:E1314))))))</f>
        <v>0</v>
      </c>
      <c r="K1315" s="24" t="str">
        <f ca="1">IF(OR(E1315="",E1315="!!!",F1315="NEW"),"",INDEX(J$1:J1314,SUMPRODUCT(MAX(ROW(E$1:E1314)*(E1315=E$1:E1314)))))</f>
        <v/>
      </c>
      <c r="L1315" s="25"/>
    </row>
    <row r="1316" spans="1:12" x14ac:dyDescent="0.2">
      <c r="A1316" t="s">
        <v>821</v>
      </c>
      <c r="E1316" s="20" t="str">
        <f>IF(D1316="?OLD","!!!","")</f>
        <v/>
      </c>
      <c r="F1316" s="21" t="str">
        <f>IF(OR(E1316="",E1316="!!!"),"",IF(NOT(ISNA(VLOOKUP(E1316,E$1:E1315,1,FALSE()))),"OLD",IF(AND(E1316&lt;&gt;"",E1316&lt;&gt;"!!!"),"NEW","")))</f>
        <v/>
      </c>
      <c r="G1316" s="22" t="str">
        <f>IF(OR(E1316="",E1316="!!!"),"",IF(OR(J1316=0,AND(J1316=1,K1316=1),AND(J1316=1,I1316="SBJ"),AND(J1316=1,I1316=0)),"?IN_FOCUS",IF(J1316&lt;=2,"?ACTIVATED",IF(J1316&lt;&gt;"","?FAMILIAR",IF(F1316="NEW",IF(ISNA(VLOOKUP(E1316,#REF!,1,FALSE())),"?TYPE_IDENTIFIABLE","?REFERENTIAL"),"_")))))</f>
        <v/>
      </c>
      <c r="H1316" s="23" t="str">
        <f ca="1">IF(J1316&lt;&gt;1,"",IF(I1316="SBJ","CB","?"))</f>
        <v/>
      </c>
      <c r="I1316" s="24" t="str">
        <f>IF(OR(E1316="",E1316="!!!",F1316="NEW"),"",INDEX(B$2:B1315,-1+SUMPRODUCT(MAX(ROW(E$2:E1315)*(E1316=E$2:E1315)))))</f>
        <v/>
      </c>
      <c r="J1316" s="24" t="str">
        <f ca="1">IF(OR(E1316="",E1316="!!!",F1316="NEW"),"",COUNTBLANK(OFFSET(A$1,,,SUMPRODUCT(MAX(ROW(E$2:E1316)*(E1316=E$2:E1316)))))-COUNTBLANK(OFFSET(A$1,,,SUMPRODUCT(MAX(ROW(E$1:E1315)*(E2=E$1:E1315))))))</f>
        <v/>
      </c>
      <c r="K1316" s="24" t="str">
        <f>IF(OR(E1316="",E1316="!!!",F1316="NEW"),"",INDEX(J$1:J1315,SUMPRODUCT(MAX(ROW(E$1:E1315)*(E1316=E$1:E1315)))))</f>
        <v/>
      </c>
      <c r="L1316" s="25"/>
    </row>
    <row r="1318" spans="1:12" x14ac:dyDescent="0.2">
      <c r="A1318" t="s">
        <v>1266</v>
      </c>
    </row>
    <row r="1319" spans="1:12" x14ac:dyDescent="0.2">
      <c r="A1319" t="s">
        <v>1216</v>
      </c>
      <c r="B1319" s="26" t="s">
        <v>804</v>
      </c>
      <c r="C1319" s="26" t="s">
        <v>805</v>
      </c>
      <c r="D1319" s="26" t="s">
        <v>806</v>
      </c>
      <c r="E1319" s="20" t="s">
        <v>1780</v>
      </c>
      <c r="F1319" s="21" t="str">
        <f>IF(OR(E1319="",E1319="!!!"),"",IF(NOT(ISNA(VLOOKUP(E1319,E$1:E1318,1,FALSE()))),"OLD",IF(AND(E1319&lt;&gt;"",E1319&lt;&gt;"!!!"),"NEW","")))</f>
        <v>OLD</v>
      </c>
      <c r="G1319" s="22" t="s">
        <v>1823</v>
      </c>
      <c r="H1319" s="23" t="str">
        <f t="shared" ref="H1319:H1350" ca="1" si="154">IF(J1319&lt;&gt;1,"",IF(I1319="SBJ","CB","?"))</f>
        <v/>
      </c>
      <c r="I1319" s="24" t="str">
        <f>IF(OR(E1319="",E1319="!!!",F1319="NEW"),"",INDEX(B$2:B1318,-1+SUMPRODUCT(MAX(ROW(E$2:E1318)*(E1319=E$2:E1318)))))</f>
        <v>SBJ</v>
      </c>
      <c r="J1319" s="24">
        <f ca="1">IF(OR(E1319="",E1319="!!!",F1319="NEW"),"",COUNTBLANK(OFFSET(A$1,,,SUMPRODUCT(MAX(ROW(E$2:E1319)*(E1319=E$2:E1319)))))-COUNTBLANK(OFFSET(A$1,,,SUMPRODUCT(MAX(ROW(E$1:E1318)*(E2=E$1:E1318))))))</f>
        <v>0</v>
      </c>
      <c r="K1319" s="24">
        <f ca="1">IF(OR(E1319="",E1319="!!!",F1319="NEW"),"",INDEX(J$1:J1318,SUMPRODUCT(MAX(ROW(E$1:E1318)*(E1319=E$1:E1318)))))</f>
        <v>0</v>
      </c>
      <c r="L1319" s="25"/>
    </row>
    <row r="1320" spans="1:12" x14ac:dyDescent="0.2">
      <c r="A1320" t="s">
        <v>1267</v>
      </c>
      <c r="E1320" s="20" t="str">
        <f t="shared" ref="E1320:E1350" si="155">IF(D1320="?OLD","!!!","")</f>
        <v/>
      </c>
      <c r="F1320" s="21" t="str">
        <f>IF(OR(E1320="",E1320="!!!"),"",IF(NOT(ISNA(VLOOKUP(E1320,E$1:E1319,1,FALSE()))),"OLD",IF(AND(E1320&lt;&gt;"",E1320&lt;&gt;"!!!"),"NEW","")))</f>
        <v/>
      </c>
      <c r="G1320" s="22" t="str">
        <f>IF(OR(E1320="",E1320="!!!"),"",IF(OR(J1320=0,AND(J1320=1,K1320=1),AND(J1320=1,I1320="SBJ"),AND(J1320=1,I1320=0)),"?IN_FOCUS",IF(J1320&lt;=2,"?ACTIVATED",IF(J1320&lt;&gt;"","?FAMILIAR",IF(F1320="NEW",IF(ISNA(VLOOKUP(E1320,#REF!,1,FALSE())),"?TYPE_IDENTIFIABLE","?REFERENTIAL"),"_")))))</f>
        <v/>
      </c>
      <c r="H1320" s="23" t="str">
        <f t="shared" ca="1" si="154"/>
        <v/>
      </c>
      <c r="I1320" s="24" t="str">
        <f>IF(OR(E1320="",E1320="!!!",F1320="NEW"),"",INDEX(B$2:B1319,-1+SUMPRODUCT(MAX(ROW(E$2:E1319)*(E1320=E$2:E1319)))))</f>
        <v/>
      </c>
      <c r="J1320" s="24" t="str">
        <f ca="1">IF(OR(E1320="",E1320="!!!",F1320="NEW"),"",COUNTBLANK(OFFSET(A$1,,,SUMPRODUCT(MAX(ROW(E$2:E1320)*(E1320=E$2:E1320)))))-COUNTBLANK(OFFSET(A$1,,,SUMPRODUCT(MAX(ROW(E$1:E1319)*(E2=E$1:E1319))))))</f>
        <v/>
      </c>
      <c r="K1320" s="24" t="str">
        <f>IF(OR(E1320="",E1320="!!!",F1320="NEW"),"",INDEX(J$1:J1319,SUMPRODUCT(MAX(ROW(E$1:E1319)*(E1320=E$1:E1319)))))</f>
        <v/>
      </c>
      <c r="L1320" s="25"/>
    </row>
    <row r="1321" spans="1:12" x14ac:dyDescent="0.2">
      <c r="A1321" t="s">
        <v>809</v>
      </c>
      <c r="E1321" s="20" t="str">
        <f t="shared" si="155"/>
        <v/>
      </c>
      <c r="F1321" s="21" t="str">
        <f>IF(OR(E1321="",E1321="!!!"),"",IF(NOT(ISNA(VLOOKUP(E1321,E$1:E1320,1,FALSE()))),"OLD",IF(AND(E1321&lt;&gt;"",E1321&lt;&gt;"!!!"),"NEW","")))</f>
        <v/>
      </c>
      <c r="G1321" s="22" t="str">
        <f>IF(OR(E1321="",E1321="!!!"),"",IF(OR(J1321=0,AND(J1321=1,K1321=1),AND(J1321=1,I1321="SBJ"),AND(J1321=1,I1321=0)),"?IN_FOCUS",IF(J1321&lt;=2,"?ACTIVATED",IF(J1321&lt;&gt;"","?FAMILIAR",IF(F1321="NEW",IF(ISNA(VLOOKUP(E1321,#REF!,1,FALSE())),"?TYPE_IDENTIFIABLE","?REFERENTIAL"),"_")))))</f>
        <v/>
      </c>
      <c r="H1321" s="23" t="str">
        <f t="shared" ca="1" si="154"/>
        <v/>
      </c>
      <c r="I1321" s="24" t="str">
        <f>IF(OR(E1321="",E1321="!!!",F1321="NEW"),"",INDEX(B$2:B1320,-1+SUMPRODUCT(MAX(ROW(E$2:E1320)*(E1321=E$2:E1320)))))</f>
        <v/>
      </c>
      <c r="J1321" s="24" t="str">
        <f ca="1">IF(OR(E1321="",E1321="!!!",F1321="NEW"),"",COUNTBLANK(OFFSET(A$1,,,SUMPRODUCT(MAX(ROW(E$2:E1321)*(E1321=E$2:E1321)))))-COUNTBLANK(OFFSET(A$1,,,SUMPRODUCT(MAX(ROW(E$1:E1320)*(E2=E$1:E1320))))))</f>
        <v/>
      </c>
      <c r="K1321" s="24" t="str">
        <f>IF(OR(E1321="",E1321="!!!",F1321="NEW"),"",INDEX(J$1:J1320,SUMPRODUCT(MAX(ROW(E$1:E1320)*(E1321=E$1:E1320)))))</f>
        <v/>
      </c>
      <c r="L1321" s="25"/>
    </row>
    <row r="1322" spans="1:12" x14ac:dyDescent="0.2">
      <c r="A1322" t="s">
        <v>1268</v>
      </c>
      <c r="E1322" s="20" t="str">
        <f t="shared" si="155"/>
        <v/>
      </c>
      <c r="F1322" s="21" t="str">
        <f>IF(OR(E1322="",E1322="!!!"),"",IF(NOT(ISNA(VLOOKUP(E1322,E$1:E1321,1,FALSE()))),"OLD",IF(AND(E1322&lt;&gt;"",E1322&lt;&gt;"!!!"),"NEW","")))</f>
        <v/>
      </c>
      <c r="G1322" s="22" t="str">
        <f>IF(OR(E1322="",E1322="!!!"),"",IF(OR(J1322=0,AND(J1322=1,K1322=1),AND(J1322=1,I1322="SBJ"),AND(J1322=1,I1322=0)),"?IN_FOCUS",IF(J1322&lt;=2,"?ACTIVATED",IF(J1322&lt;&gt;"","?FAMILIAR",IF(F1322="NEW",IF(ISNA(VLOOKUP(E1322,#REF!,1,FALSE())),"?TYPE_IDENTIFIABLE","?REFERENTIAL"),"_")))))</f>
        <v/>
      </c>
      <c r="H1322" s="23" t="str">
        <f t="shared" ca="1" si="154"/>
        <v/>
      </c>
      <c r="I1322" s="24" t="str">
        <f>IF(OR(E1322="",E1322="!!!",F1322="NEW"),"",INDEX(B$2:B1321,-1+SUMPRODUCT(MAX(ROW(E$2:E1321)*(E1322=E$2:E1321)))))</f>
        <v/>
      </c>
      <c r="J1322" s="24" t="str">
        <f ca="1">IF(OR(E1322="",E1322="!!!",F1322="NEW"),"",COUNTBLANK(OFFSET(A$1,,,SUMPRODUCT(MAX(ROW(E$2:E1322)*(E1322=E$2:E1322)))))-COUNTBLANK(OFFSET(A$1,,,SUMPRODUCT(MAX(ROW(E$1:E1321)*(E2=E$1:E1321))))))</f>
        <v/>
      </c>
      <c r="K1322" s="24" t="str">
        <f>IF(OR(E1322="",E1322="!!!",F1322="NEW"),"",INDEX(J$1:J1321,SUMPRODUCT(MAX(ROW(E$1:E1321)*(E1322=E$1:E1321)))))</f>
        <v/>
      </c>
      <c r="L1322" s="25"/>
    </row>
    <row r="1323" spans="1:12" x14ac:dyDescent="0.2">
      <c r="A1323" t="s">
        <v>16</v>
      </c>
      <c r="E1323" s="20" t="str">
        <f t="shared" si="155"/>
        <v/>
      </c>
      <c r="F1323" s="21" t="str">
        <f>IF(OR(E1323="",E1323="!!!"),"",IF(NOT(ISNA(VLOOKUP(E1323,E$1:E1322,1,FALSE()))),"OLD",IF(AND(E1323&lt;&gt;"",E1323&lt;&gt;"!!!"),"NEW","")))</f>
        <v/>
      </c>
      <c r="G1323" s="22" t="str">
        <f>IF(OR(E1323="",E1323="!!!"),"",IF(OR(J1323=0,AND(J1323=1,K1323=1),AND(J1323=1,I1323="SBJ"),AND(J1323=1,I1323=0)),"?IN_FOCUS",IF(J1323&lt;=2,"?ACTIVATED",IF(J1323&lt;&gt;"","?FAMILIAR",IF(F1323="NEW",IF(ISNA(VLOOKUP(E1323,#REF!,1,FALSE())),"?TYPE_IDENTIFIABLE","?REFERENTIAL"),"_")))))</f>
        <v/>
      </c>
      <c r="H1323" s="23" t="str">
        <f t="shared" ca="1" si="154"/>
        <v/>
      </c>
      <c r="I1323" s="24" t="str">
        <f>IF(OR(E1323="",E1323="!!!",F1323="NEW"),"",INDEX(B$2:B1322,-1+SUMPRODUCT(MAX(ROW(E$2:E1322)*(E1323=E$2:E1322)))))</f>
        <v/>
      </c>
      <c r="J1323" s="24" t="str">
        <f ca="1">IF(OR(E1323="",E1323="!!!",F1323="NEW"),"",COUNTBLANK(OFFSET(A$1,,,SUMPRODUCT(MAX(ROW(E$2:E1323)*(E1323=E$2:E1323)))))-COUNTBLANK(OFFSET(A$1,,,SUMPRODUCT(MAX(ROW(E$1:E1322)*(E2=E$1:E1322))))))</f>
        <v/>
      </c>
      <c r="K1323" s="24" t="str">
        <f>IF(OR(E1323="",E1323="!!!",F1323="NEW"),"",INDEX(J$1:J1322,SUMPRODUCT(MAX(ROW(E$1:E1322)*(E1323=E$1:E1322)))))</f>
        <v/>
      </c>
      <c r="L1323" s="25"/>
    </row>
    <row r="1324" spans="1:12" x14ac:dyDescent="0.2">
      <c r="A1324" t="s">
        <v>1269</v>
      </c>
      <c r="E1324" s="20" t="str">
        <f t="shared" si="155"/>
        <v/>
      </c>
      <c r="F1324" s="21" t="str">
        <f>IF(OR(E1324="",E1324="!!!"),"",IF(NOT(ISNA(VLOOKUP(E1324,E$1:E1323,1,FALSE()))),"OLD",IF(AND(E1324&lt;&gt;"",E1324&lt;&gt;"!!!"),"NEW","")))</f>
        <v/>
      </c>
      <c r="G1324" s="22" t="str">
        <f>IF(OR(E1324="",E1324="!!!"),"",IF(OR(J1324=0,AND(J1324=1,K1324=1),AND(J1324=1,I1324="SBJ"),AND(J1324=1,I1324=0)),"?IN_FOCUS",IF(J1324&lt;=2,"?ACTIVATED",IF(J1324&lt;&gt;"","?FAMILIAR",IF(F1324="NEW",IF(ISNA(VLOOKUP(E1324,#REF!,1,FALSE())),"?TYPE_IDENTIFIABLE","?REFERENTIAL"),"_")))))</f>
        <v/>
      </c>
      <c r="H1324" s="23" t="str">
        <f t="shared" ca="1" si="154"/>
        <v/>
      </c>
      <c r="I1324" s="24" t="str">
        <f>IF(OR(E1324="",E1324="!!!",F1324="NEW"),"",INDEX(B$2:B1323,-1+SUMPRODUCT(MAX(ROW(E$2:E1323)*(E1324=E$2:E1323)))))</f>
        <v/>
      </c>
      <c r="J1324" s="24" t="str">
        <f ca="1">IF(OR(E1324="",E1324="!!!",F1324="NEW"),"",COUNTBLANK(OFFSET(A$1,,,SUMPRODUCT(MAX(ROW(E$2:E1324)*(E1324=E$2:E1324)))))-COUNTBLANK(OFFSET(A$1,,,SUMPRODUCT(MAX(ROW(E$1:E1323)*(E2=E$1:E1323))))))</f>
        <v/>
      </c>
      <c r="K1324" s="24" t="str">
        <f>IF(OR(E1324="",E1324="!!!",F1324="NEW"),"",INDEX(J$1:J1323,SUMPRODUCT(MAX(ROW(E$1:E1323)*(E1324=E$1:E1323)))))</f>
        <v/>
      </c>
      <c r="L1324" s="25"/>
    </row>
    <row r="1325" spans="1:12" x14ac:dyDescent="0.2">
      <c r="A1325" t="s">
        <v>30</v>
      </c>
      <c r="E1325" s="20" t="str">
        <f t="shared" si="155"/>
        <v/>
      </c>
      <c r="F1325" s="21" t="str">
        <f>IF(OR(E1325="",E1325="!!!"),"",IF(NOT(ISNA(VLOOKUP(E1325,E$1:E1324,1,FALSE()))),"OLD",IF(AND(E1325&lt;&gt;"",E1325&lt;&gt;"!!!"),"NEW","")))</f>
        <v/>
      </c>
      <c r="G1325" s="22" t="str">
        <f>IF(OR(E1325="",E1325="!!!"),"",IF(OR(J1325=0,AND(J1325=1,K1325=1),AND(J1325=1,I1325="SBJ"),AND(J1325=1,I1325=0)),"?IN_FOCUS",IF(J1325&lt;=2,"?ACTIVATED",IF(J1325&lt;&gt;"","?FAMILIAR",IF(F1325="NEW",IF(ISNA(VLOOKUP(E1325,#REF!,1,FALSE())),"?TYPE_IDENTIFIABLE","?REFERENTIAL"),"_")))))</f>
        <v/>
      </c>
      <c r="H1325" s="23" t="str">
        <f t="shared" ca="1" si="154"/>
        <v/>
      </c>
      <c r="I1325" s="24" t="str">
        <f>IF(OR(E1325="",E1325="!!!",F1325="NEW"),"",INDEX(B$2:B1324,-1+SUMPRODUCT(MAX(ROW(E$2:E1324)*(E1325=E$2:E1324)))))</f>
        <v/>
      </c>
      <c r="J1325" s="24" t="str">
        <f ca="1">IF(OR(E1325="",E1325="!!!",F1325="NEW"),"",COUNTBLANK(OFFSET(A$1,,,SUMPRODUCT(MAX(ROW(E$2:E1325)*(E1325=E$2:E1325)))))-COUNTBLANK(OFFSET(A$1,,,SUMPRODUCT(MAX(ROW(E$1:E1324)*(E2=E$1:E1324))))))</f>
        <v/>
      </c>
      <c r="K1325" s="24" t="str">
        <f>IF(OR(E1325="",E1325="!!!",F1325="NEW"),"",INDEX(J$1:J1324,SUMPRODUCT(MAX(ROW(E$1:E1324)*(E1325=E$1:E1324)))))</f>
        <v/>
      </c>
      <c r="L1325" s="25"/>
    </row>
    <row r="1326" spans="1:12" x14ac:dyDescent="0.2">
      <c r="A1326" t="s">
        <v>530</v>
      </c>
      <c r="B1326" s="26" t="s">
        <v>810</v>
      </c>
      <c r="C1326" s="26" t="s">
        <v>811</v>
      </c>
      <c r="E1326" s="20" t="str">
        <f t="shared" si="155"/>
        <v/>
      </c>
      <c r="F1326" s="21" t="str">
        <f>IF(OR(E1326="",E1326="!!!"),"",IF(NOT(ISNA(VLOOKUP(E1326,E$1:E1325,1,FALSE()))),"OLD",IF(AND(E1326&lt;&gt;"",E1326&lt;&gt;"!!!"),"NEW","")))</f>
        <v/>
      </c>
      <c r="G1326" s="22" t="str">
        <f>IF(OR(E1326="",E1326="!!!"),"",IF(OR(J1326=0,AND(J1326=1,K1326=1),AND(J1326=1,I1326="SBJ"),AND(J1326=1,I1326=0)),"?IN_FOCUS",IF(J1326&lt;=2,"?ACTIVATED",IF(J1326&lt;&gt;"","?FAMILIAR",IF(F1326="NEW",IF(ISNA(VLOOKUP(E1326,#REF!,1,FALSE())),"?TYPE_IDENTIFIABLE","?REFERENTIAL"),"_")))))</f>
        <v/>
      </c>
      <c r="H1326" s="23" t="str">
        <f t="shared" ca="1" si="154"/>
        <v/>
      </c>
      <c r="I1326" s="24" t="str">
        <f>IF(OR(E1326="",E1326="!!!",F1326="NEW"),"",INDEX(B$2:B1325,-1+SUMPRODUCT(MAX(ROW(E$2:E1325)*(E1326=E$2:E1325)))))</f>
        <v/>
      </c>
      <c r="J1326" s="24" t="str">
        <f ca="1">IF(OR(E1326="",E1326="!!!",F1326="NEW"),"",COUNTBLANK(OFFSET(A$1,,,SUMPRODUCT(MAX(ROW(E$2:E1326)*(E1326=E$2:E1326)))))-COUNTBLANK(OFFSET(A$1,,,SUMPRODUCT(MAX(ROW(E$1:E1325)*(E2=E$1:E1325))))))</f>
        <v/>
      </c>
      <c r="K1326" s="24" t="str">
        <f>IF(OR(E1326="",E1326="!!!",F1326="NEW"),"",INDEX(J$1:J1325,SUMPRODUCT(MAX(ROW(E$1:E1325)*(E1326=E$1:E1325)))))</f>
        <v/>
      </c>
      <c r="L1326" s="25"/>
    </row>
    <row r="1327" spans="1:12" x14ac:dyDescent="0.2">
      <c r="A1327" t="s">
        <v>16</v>
      </c>
      <c r="E1327" s="20" t="str">
        <f t="shared" si="155"/>
        <v/>
      </c>
      <c r="F1327" s="21" t="str">
        <f>IF(OR(E1327="",E1327="!!!"),"",IF(NOT(ISNA(VLOOKUP(E1327,E$1:E1326,1,FALSE()))),"OLD",IF(AND(E1327&lt;&gt;"",E1327&lt;&gt;"!!!"),"NEW","")))</f>
        <v/>
      </c>
      <c r="G1327" s="22" t="str">
        <f>IF(OR(E1327="",E1327="!!!"),"",IF(OR(J1327=0,AND(J1327=1,K1327=1),AND(J1327=1,I1327="SBJ"),AND(J1327=1,I1327=0)),"?IN_FOCUS",IF(J1327&lt;=2,"?ACTIVATED",IF(J1327&lt;&gt;"","?FAMILIAR",IF(F1327="NEW",IF(ISNA(VLOOKUP(E1327,#REF!,1,FALSE())),"?TYPE_IDENTIFIABLE","?REFERENTIAL"),"_")))))</f>
        <v/>
      </c>
      <c r="H1327" s="23" t="str">
        <f t="shared" ca="1" si="154"/>
        <v/>
      </c>
      <c r="I1327" s="24" t="str">
        <f>IF(OR(E1327="",E1327="!!!",F1327="NEW"),"",INDEX(B$2:B1326,-1+SUMPRODUCT(MAX(ROW(E$2:E1326)*(E1327=E$2:E1326)))))</f>
        <v/>
      </c>
      <c r="J1327" s="24" t="str">
        <f ca="1">IF(OR(E1327="",E1327="!!!",F1327="NEW"),"",COUNTBLANK(OFFSET(A$1,,,SUMPRODUCT(MAX(ROW(E$2:E1327)*(E1327=E$2:E1327)))))-COUNTBLANK(OFFSET(A$1,,,SUMPRODUCT(MAX(ROW(E$1:E1326)*(E2=E$1:E1326))))))</f>
        <v/>
      </c>
      <c r="K1327" s="24" t="str">
        <f>IF(OR(E1327="",E1327="!!!",F1327="NEW"),"",INDEX(J$1:J1326,SUMPRODUCT(MAX(ROW(E$1:E1326)*(E1327=E$1:E1326)))))</f>
        <v/>
      </c>
      <c r="L1327" s="25"/>
    </row>
    <row r="1328" spans="1:12" x14ac:dyDescent="0.2">
      <c r="A1328" t="s">
        <v>1270</v>
      </c>
      <c r="B1328" s="26" t="s">
        <v>813</v>
      </c>
      <c r="C1328" s="26" t="s">
        <v>814</v>
      </c>
      <c r="E1328" s="20" t="str">
        <f t="shared" si="155"/>
        <v/>
      </c>
      <c r="F1328" s="21" t="str">
        <f>IF(OR(E1328="",E1328="!!!"),"",IF(NOT(ISNA(VLOOKUP(E1328,E$1:E1327,1,FALSE()))),"OLD",IF(AND(E1328&lt;&gt;"",E1328&lt;&gt;"!!!"),"NEW","")))</f>
        <v/>
      </c>
      <c r="G1328" s="22" t="str">
        <f>IF(OR(E1328="",E1328="!!!"),"",IF(OR(J1328=0,AND(J1328=1,K1328=1),AND(J1328=1,I1328="SBJ"),AND(J1328=1,I1328=0)),"?IN_FOCUS",IF(J1328&lt;=2,"?ACTIVATED",IF(J1328&lt;&gt;"","?FAMILIAR",IF(F1328="NEW",IF(ISNA(VLOOKUP(E1328,#REF!,1,FALSE())),"?TYPE_IDENTIFIABLE","?REFERENTIAL"),"_")))))</f>
        <v/>
      </c>
      <c r="H1328" s="23" t="str">
        <f t="shared" ca="1" si="154"/>
        <v/>
      </c>
      <c r="I1328" s="24" t="str">
        <f>IF(OR(E1328="",E1328="!!!",F1328="NEW"),"",INDEX(B$2:B1327,-1+SUMPRODUCT(MAX(ROW(E$2:E1327)*(E1328=E$2:E1327)))))</f>
        <v/>
      </c>
      <c r="J1328" s="24" t="str">
        <f ca="1">IF(OR(E1328="",E1328="!!!",F1328="NEW"),"",COUNTBLANK(OFFSET(A$1,,,SUMPRODUCT(MAX(ROW(E$2:E1328)*(E1328=E$2:E1328)))))-COUNTBLANK(OFFSET(A$1,,,SUMPRODUCT(MAX(ROW(E$1:E1327)*(E2=E$1:E1327))))))</f>
        <v/>
      </c>
      <c r="K1328" s="24" t="str">
        <f>IF(OR(E1328="",E1328="!!!",F1328="NEW"),"",INDEX(J$1:J1327,SUMPRODUCT(MAX(ROW(E$1:E1327)*(E1328=E$1:E1327)))))</f>
        <v/>
      </c>
      <c r="L1328" s="25"/>
    </row>
    <row r="1329" spans="1:12" x14ac:dyDescent="0.2">
      <c r="A1329" t="s">
        <v>802</v>
      </c>
      <c r="E1329" s="20" t="str">
        <f t="shared" si="155"/>
        <v/>
      </c>
      <c r="F1329" s="21" t="str">
        <f>IF(OR(E1329="",E1329="!!!"),"",IF(NOT(ISNA(VLOOKUP(E1329,E$1:E1328,1,FALSE()))),"OLD",IF(AND(E1329&lt;&gt;"",E1329&lt;&gt;"!!!"),"NEW","")))</f>
        <v/>
      </c>
      <c r="G1329" s="22" t="str">
        <f>IF(OR(E1329="",E1329="!!!"),"",IF(OR(J1329=0,AND(J1329=1,K1329=1),AND(J1329=1,I1329="SBJ"),AND(J1329=1,I1329=0)),"?IN_FOCUS",IF(J1329&lt;=2,"?ACTIVATED",IF(J1329&lt;&gt;"","?FAMILIAR",IF(F1329="NEW",IF(ISNA(VLOOKUP(E1329,#REF!,1,FALSE())),"?TYPE_IDENTIFIABLE","?REFERENTIAL"),"_")))))</f>
        <v/>
      </c>
      <c r="H1329" s="23" t="str">
        <f t="shared" ca="1" si="154"/>
        <v/>
      </c>
      <c r="I1329" s="24" t="str">
        <f>IF(OR(E1329="",E1329="!!!",F1329="NEW"),"",INDEX(B$2:B1328,-1+SUMPRODUCT(MAX(ROW(E$2:E1328)*(E1329=E$2:E1328)))))</f>
        <v/>
      </c>
      <c r="J1329" s="24" t="str">
        <f ca="1">IF(OR(E1329="",E1329="!!!",F1329="NEW"),"",COUNTBLANK(OFFSET(A$1,,,SUMPRODUCT(MAX(ROW(E$2:E1329)*(E1329=E$2:E1329)))))-COUNTBLANK(OFFSET(A$1,,,SUMPRODUCT(MAX(ROW(E$1:E1328)*(E2=E$1:E1328))))))</f>
        <v/>
      </c>
      <c r="K1329" s="24" t="str">
        <f>IF(OR(E1329="",E1329="!!!",F1329="NEW"),"",INDEX(J$1:J1328,SUMPRODUCT(MAX(ROW(E$1:E1328)*(E1329=E$1:E1328)))))</f>
        <v/>
      </c>
      <c r="L1329" s="25"/>
    </row>
    <row r="1330" spans="1:12" x14ac:dyDescent="0.2">
      <c r="A1330" t="s">
        <v>1271</v>
      </c>
      <c r="B1330" s="26" t="s">
        <v>864</v>
      </c>
      <c r="C1330" s="26" t="s">
        <v>814</v>
      </c>
      <c r="E1330" s="20" t="str">
        <f t="shared" si="155"/>
        <v/>
      </c>
      <c r="F1330" s="21" t="str">
        <f>IF(OR(E1330="",E1330="!!!"),"",IF(NOT(ISNA(VLOOKUP(E1330,E$1:E1329,1,FALSE()))),"OLD",IF(AND(E1330&lt;&gt;"",E1330&lt;&gt;"!!!"),"NEW","")))</f>
        <v/>
      </c>
      <c r="G1330" s="22" t="str">
        <f>IF(OR(E1330="",E1330="!!!"),"",IF(OR(J1330=0,AND(J1330=1,K1330=1),AND(J1330=1,I1330="SBJ"),AND(J1330=1,I1330=0)),"?IN_FOCUS",IF(J1330&lt;=2,"?ACTIVATED",IF(J1330&lt;&gt;"","?FAMILIAR",IF(F1330="NEW",IF(ISNA(VLOOKUP(E1330,#REF!,1,FALSE())),"?TYPE_IDENTIFIABLE","?REFERENTIAL"),"_")))))</f>
        <v/>
      </c>
      <c r="H1330" s="23" t="str">
        <f t="shared" ca="1" si="154"/>
        <v/>
      </c>
      <c r="I1330" s="24" t="str">
        <f>IF(OR(E1330="",E1330="!!!",F1330="NEW"),"",INDEX(B$2:B1329,-1+SUMPRODUCT(MAX(ROW(E$2:E1329)*(E1330=E$2:E1329)))))</f>
        <v/>
      </c>
      <c r="J1330" s="24" t="str">
        <f ca="1">IF(OR(E1330="",E1330="!!!",F1330="NEW"),"",COUNTBLANK(OFFSET(A$1,,,SUMPRODUCT(MAX(ROW(E$2:E1330)*(E1330=E$2:E1330)))))-COUNTBLANK(OFFSET(A$1,,,SUMPRODUCT(MAX(ROW(E$1:E1329)*(E2=E$1:E1329))))))</f>
        <v/>
      </c>
      <c r="K1330" s="24" t="str">
        <f>IF(OR(E1330="",E1330="!!!",F1330="NEW"),"",INDEX(J$1:J1329,SUMPRODUCT(MAX(ROW(E$1:E1329)*(E1330=E$1:E1329)))))</f>
        <v/>
      </c>
      <c r="L1330" s="25"/>
    </row>
    <row r="1331" spans="1:12" x14ac:dyDescent="0.2">
      <c r="A1331" t="s">
        <v>802</v>
      </c>
      <c r="E1331" s="20" t="str">
        <f t="shared" si="155"/>
        <v/>
      </c>
      <c r="F1331" s="21" t="str">
        <f>IF(OR(E1331="",E1331="!!!"),"",IF(NOT(ISNA(VLOOKUP(E1331,E$1:E1330,1,FALSE()))),"OLD",IF(AND(E1331&lt;&gt;"",E1331&lt;&gt;"!!!"),"NEW","")))</f>
        <v/>
      </c>
      <c r="G1331" s="22" t="str">
        <f>IF(OR(E1331="",E1331="!!!"),"",IF(OR(J1331=0,AND(J1331=1,K1331=1),AND(J1331=1,I1331="SBJ"),AND(J1331=1,I1331=0)),"?IN_FOCUS",IF(J1331&lt;=2,"?ACTIVATED",IF(J1331&lt;&gt;"","?FAMILIAR",IF(F1331="NEW",IF(ISNA(VLOOKUP(E1331,#REF!,1,FALSE())),"?TYPE_IDENTIFIABLE","?REFERENTIAL"),"_")))))</f>
        <v/>
      </c>
      <c r="H1331" s="23" t="str">
        <f t="shared" ca="1" si="154"/>
        <v/>
      </c>
      <c r="I1331" s="24" t="str">
        <f>IF(OR(E1331="",E1331="!!!",F1331="NEW"),"",INDEX(B$2:B1330,-1+SUMPRODUCT(MAX(ROW(E$2:E1330)*(E1331=E$2:E1330)))))</f>
        <v/>
      </c>
      <c r="J1331" s="24" t="str">
        <f ca="1">IF(OR(E1331="",E1331="!!!",F1331="NEW"),"",COUNTBLANK(OFFSET(A$1,,,SUMPRODUCT(MAX(ROW(E$2:E1331)*(E1331=E$2:E1331)))))-COUNTBLANK(OFFSET(A$1,,,SUMPRODUCT(MAX(ROW(E$1:E1330)*(E2=E$1:E1330))))))</f>
        <v/>
      </c>
      <c r="K1331" s="24" t="str">
        <f>IF(OR(E1331="",E1331="!!!",F1331="NEW"),"",INDEX(J$1:J1330,SUMPRODUCT(MAX(ROW(E$1:E1330)*(E1331=E$1:E1330)))))</f>
        <v/>
      </c>
      <c r="L1331" s="25"/>
    </row>
    <row r="1332" spans="1:12" x14ac:dyDescent="0.2">
      <c r="A1332" t="s">
        <v>1272</v>
      </c>
      <c r="B1332" s="26" t="s">
        <v>819</v>
      </c>
      <c r="C1332" s="26" t="s">
        <v>814</v>
      </c>
      <c r="E1332" s="20" t="str">
        <f t="shared" si="155"/>
        <v/>
      </c>
      <c r="F1332" s="21" t="str">
        <f>IF(OR(E1332="",E1332="!!!"),"",IF(NOT(ISNA(VLOOKUP(E1332,E$1:E1331,1,FALSE()))),"OLD",IF(AND(E1332&lt;&gt;"",E1332&lt;&gt;"!!!"),"NEW","")))</f>
        <v/>
      </c>
      <c r="G1332" s="22" t="str">
        <f>IF(OR(E1332="",E1332="!!!"),"",IF(OR(J1332=0,AND(J1332=1,K1332=1),AND(J1332=1,I1332="SBJ"),AND(J1332=1,I1332=0)),"?IN_FOCUS",IF(J1332&lt;=2,"?ACTIVATED",IF(J1332&lt;&gt;"","?FAMILIAR",IF(F1332="NEW",IF(ISNA(VLOOKUP(E1332,#REF!,1,FALSE())),"?TYPE_IDENTIFIABLE","?REFERENTIAL"),"_")))))</f>
        <v/>
      </c>
      <c r="H1332" s="23" t="str">
        <f t="shared" ca="1" si="154"/>
        <v/>
      </c>
      <c r="I1332" s="24" t="str">
        <f>IF(OR(E1332="",E1332="!!!",F1332="NEW"),"",INDEX(B$2:B1331,-1+SUMPRODUCT(MAX(ROW(E$2:E1331)*(E1332=E$2:E1331)))))</f>
        <v/>
      </c>
      <c r="J1332" s="24" t="str">
        <f ca="1">IF(OR(E1332="",E1332="!!!",F1332="NEW"),"",COUNTBLANK(OFFSET(A$1,,,SUMPRODUCT(MAX(ROW(E$2:E1332)*(E1332=E$2:E1332)))))-COUNTBLANK(OFFSET(A$1,,,SUMPRODUCT(MAX(ROW(E$1:E1331)*(E2=E$1:E1331))))))</f>
        <v/>
      </c>
      <c r="K1332" s="24" t="str">
        <f>IF(OR(E1332="",E1332="!!!",F1332="NEW"),"",INDEX(J$1:J1331,SUMPRODUCT(MAX(ROW(E$1:E1331)*(E1332=E$1:E1331)))))</f>
        <v/>
      </c>
      <c r="L1332" s="25"/>
    </row>
    <row r="1333" spans="1:12" x14ac:dyDescent="0.2">
      <c r="A1333" t="s">
        <v>802</v>
      </c>
      <c r="E1333" s="20" t="str">
        <f t="shared" si="155"/>
        <v/>
      </c>
      <c r="F1333" s="21" t="str">
        <f>IF(OR(E1333="",E1333="!!!"),"",IF(NOT(ISNA(VLOOKUP(E1333,E$1:E1332,1,FALSE()))),"OLD",IF(AND(E1333&lt;&gt;"",E1333&lt;&gt;"!!!"),"NEW","")))</f>
        <v/>
      </c>
      <c r="G1333" s="22" t="str">
        <f>IF(OR(E1333="",E1333="!!!"),"",IF(OR(J1333=0,AND(J1333=1,K1333=1),AND(J1333=1,I1333="SBJ"),AND(J1333=1,I1333=0)),"?IN_FOCUS",IF(J1333&lt;=2,"?ACTIVATED",IF(J1333&lt;&gt;"","?FAMILIAR",IF(F1333="NEW",IF(ISNA(VLOOKUP(E1333,#REF!,1,FALSE())),"?TYPE_IDENTIFIABLE","?REFERENTIAL"),"_")))))</f>
        <v/>
      </c>
      <c r="H1333" s="23" t="str">
        <f t="shared" ca="1" si="154"/>
        <v/>
      </c>
      <c r="I1333" s="24" t="str">
        <f>IF(OR(E1333="",E1333="!!!",F1333="NEW"),"",INDEX(B$2:B1332,-1+SUMPRODUCT(MAX(ROW(E$2:E1332)*(E1333=E$2:E1332)))))</f>
        <v/>
      </c>
      <c r="J1333" s="24" t="str">
        <f ca="1">IF(OR(E1333="",E1333="!!!",F1333="NEW"),"",COUNTBLANK(OFFSET(A$1,,,SUMPRODUCT(MAX(ROW(E$2:E1333)*(E1333=E$2:E1333)))))-COUNTBLANK(OFFSET(A$1,,,SUMPRODUCT(MAX(ROW(E$1:E1332)*(E2=E$1:E1332))))))</f>
        <v/>
      </c>
      <c r="K1333" s="24" t="str">
        <f>IF(OR(E1333="",E1333="!!!",F1333="NEW"),"",INDEX(J$1:J1332,SUMPRODUCT(MAX(ROW(E$1:E1332)*(E1333=E$1:E1332)))))</f>
        <v/>
      </c>
      <c r="L1333" s="25"/>
    </row>
    <row r="1334" spans="1:12" x14ac:dyDescent="0.2">
      <c r="A1334" t="s">
        <v>1273</v>
      </c>
      <c r="B1334" s="26" t="s">
        <v>819</v>
      </c>
      <c r="C1334" s="26" t="s">
        <v>814</v>
      </c>
      <c r="E1334" s="20" t="str">
        <f t="shared" si="155"/>
        <v/>
      </c>
      <c r="F1334" s="21" t="str">
        <f>IF(OR(E1334="",E1334="!!!"),"",IF(NOT(ISNA(VLOOKUP(E1334,E$1:E1333,1,FALSE()))),"OLD",IF(AND(E1334&lt;&gt;"",E1334&lt;&gt;"!!!"),"NEW","")))</f>
        <v/>
      </c>
      <c r="G1334" s="22" t="str">
        <f>IF(OR(E1334="",E1334="!!!"),"",IF(OR(J1334=0,AND(J1334=1,K1334=1),AND(J1334=1,I1334="SBJ"),AND(J1334=1,I1334=0)),"?IN_FOCUS",IF(J1334&lt;=2,"?ACTIVATED",IF(J1334&lt;&gt;"","?FAMILIAR",IF(F1334="NEW",IF(ISNA(VLOOKUP(E1334,#REF!,1,FALSE())),"?TYPE_IDENTIFIABLE","?REFERENTIAL"),"_")))))</f>
        <v/>
      </c>
      <c r="H1334" s="23" t="str">
        <f t="shared" ca="1" si="154"/>
        <v/>
      </c>
      <c r="I1334" s="24" t="str">
        <f>IF(OR(E1334="",E1334="!!!",F1334="NEW"),"",INDEX(B$2:B1333,-1+SUMPRODUCT(MAX(ROW(E$2:E1333)*(E1334=E$2:E1333)))))</f>
        <v/>
      </c>
      <c r="J1334" s="24" t="str">
        <f ca="1">IF(OR(E1334="",E1334="!!!",F1334="NEW"),"",COUNTBLANK(OFFSET(A$1,,,SUMPRODUCT(MAX(ROW(E$2:E1334)*(E1334=E$2:E1334)))))-COUNTBLANK(OFFSET(A$1,,,SUMPRODUCT(MAX(ROW(E$1:E1333)*(E2=E$1:E1333))))))</f>
        <v/>
      </c>
      <c r="K1334" s="24" t="str">
        <f>IF(OR(E1334="",E1334="!!!",F1334="NEW"),"",INDEX(J$1:J1333,SUMPRODUCT(MAX(ROW(E$1:E1333)*(E1334=E$1:E1333)))))</f>
        <v/>
      </c>
      <c r="L1334" s="25"/>
    </row>
    <row r="1335" spans="1:12" x14ac:dyDescent="0.2">
      <c r="A1335" t="s">
        <v>16</v>
      </c>
      <c r="E1335" s="20" t="str">
        <f t="shared" si="155"/>
        <v/>
      </c>
      <c r="F1335" s="21" t="str">
        <f>IF(OR(E1335="",E1335="!!!"),"",IF(NOT(ISNA(VLOOKUP(E1335,E$1:E1334,1,FALSE()))),"OLD",IF(AND(E1335&lt;&gt;"",E1335&lt;&gt;"!!!"),"NEW","")))</f>
        <v/>
      </c>
      <c r="G1335" s="22" t="str">
        <f>IF(OR(E1335="",E1335="!!!"),"",IF(OR(J1335=0,AND(J1335=1,K1335=1),AND(J1335=1,I1335="SBJ"),AND(J1335=1,I1335=0)),"?IN_FOCUS",IF(J1335&lt;=2,"?ACTIVATED",IF(J1335&lt;&gt;"","?FAMILIAR",IF(F1335="NEW",IF(ISNA(VLOOKUP(E1335,#REF!,1,FALSE())),"?TYPE_IDENTIFIABLE","?REFERENTIAL"),"_")))))</f>
        <v/>
      </c>
      <c r="H1335" s="23" t="str">
        <f t="shared" ca="1" si="154"/>
        <v/>
      </c>
      <c r="I1335" s="24" t="str">
        <f>IF(OR(E1335="",E1335="!!!",F1335="NEW"),"",INDEX(B$2:B1334,-1+SUMPRODUCT(MAX(ROW(E$2:E1334)*(E1335=E$2:E1334)))))</f>
        <v/>
      </c>
      <c r="J1335" s="24" t="str">
        <f ca="1">IF(OR(E1335="",E1335="!!!",F1335="NEW"),"",COUNTBLANK(OFFSET(A$1,,,SUMPRODUCT(MAX(ROW(E$2:E1335)*(E1335=E$2:E1335)))))-COUNTBLANK(OFFSET(A$1,,,SUMPRODUCT(MAX(ROW(E$1:E1334)*(E2=E$1:E1334))))))</f>
        <v/>
      </c>
      <c r="K1335" s="24" t="str">
        <f>IF(OR(E1335="",E1335="!!!",F1335="NEW"),"",INDEX(J$1:J1334,SUMPRODUCT(MAX(ROW(E$1:E1334)*(E1335=E$1:E1334)))))</f>
        <v/>
      </c>
      <c r="L1335" s="25"/>
    </row>
    <row r="1336" spans="1:12" x14ac:dyDescent="0.2">
      <c r="A1336" t="s">
        <v>888</v>
      </c>
      <c r="E1336" s="20" t="str">
        <f t="shared" si="155"/>
        <v/>
      </c>
      <c r="F1336" s="21" t="str">
        <f>IF(OR(E1336="",E1336="!!!"),"",IF(NOT(ISNA(VLOOKUP(E1336,E$1:E1335,1,FALSE()))),"OLD",IF(AND(E1336&lt;&gt;"",E1336&lt;&gt;"!!!"),"NEW","")))</f>
        <v/>
      </c>
      <c r="G1336" s="22" t="str">
        <f>IF(OR(E1336="",E1336="!!!"),"",IF(OR(J1336=0,AND(J1336=1,K1336=1),AND(J1336=1,I1336="SBJ"),AND(J1336=1,I1336=0)),"?IN_FOCUS",IF(J1336&lt;=2,"?ACTIVATED",IF(J1336&lt;&gt;"","?FAMILIAR",IF(F1336="NEW",IF(ISNA(VLOOKUP(E1336,#REF!,1,FALSE())),"?TYPE_IDENTIFIABLE","?REFERENTIAL"),"_")))))</f>
        <v/>
      </c>
      <c r="H1336" s="23" t="str">
        <f t="shared" ca="1" si="154"/>
        <v/>
      </c>
      <c r="I1336" s="24" t="str">
        <f>IF(OR(E1336="",E1336="!!!",F1336="NEW"),"",INDEX(B$2:B1335,-1+SUMPRODUCT(MAX(ROW(E$2:E1335)*(E1336=E$2:E1335)))))</f>
        <v/>
      </c>
      <c r="J1336" s="24" t="str">
        <f ca="1">IF(OR(E1336="",E1336="!!!",F1336="NEW"),"",COUNTBLANK(OFFSET(A$1,,,SUMPRODUCT(MAX(ROW(E$2:E1336)*(E1336=E$2:E1336)))))-COUNTBLANK(OFFSET(A$1,,,SUMPRODUCT(MAX(ROW(E$1:E1335)*(E2=E$1:E1335))))))</f>
        <v/>
      </c>
      <c r="K1336" s="24" t="str">
        <f>IF(OR(E1336="",E1336="!!!",F1336="NEW"),"",INDEX(J$1:J1335,SUMPRODUCT(MAX(ROW(E$1:E1335)*(E1336=E$1:E1335)))))</f>
        <v/>
      </c>
      <c r="L1336" s="25"/>
    </row>
    <row r="1337" spans="1:12" x14ac:dyDescent="0.2">
      <c r="A1337" t="s">
        <v>815</v>
      </c>
      <c r="E1337" s="20" t="str">
        <f t="shared" si="155"/>
        <v/>
      </c>
      <c r="F1337" s="21" t="str">
        <f>IF(OR(E1337="",E1337="!!!"),"",IF(NOT(ISNA(VLOOKUP(E1337,E$1:E1336,1,FALSE()))),"OLD",IF(AND(E1337&lt;&gt;"",E1337&lt;&gt;"!!!"),"NEW","")))</f>
        <v/>
      </c>
      <c r="G1337" s="22" t="str">
        <f>IF(OR(E1337="",E1337="!!!"),"",IF(OR(J1337=0,AND(J1337=1,K1337=1),AND(J1337=1,I1337="SBJ"),AND(J1337=1,I1337=0)),"?IN_FOCUS",IF(J1337&lt;=2,"?ACTIVATED",IF(J1337&lt;&gt;"","?FAMILIAR",IF(F1337="NEW",IF(ISNA(VLOOKUP(E1337,#REF!,1,FALSE())),"?TYPE_IDENTIFIABLE","?REFERENTIAL"),"_")))))</f>
        <v/>
      </c>
      <c r="H1337" s="23" t="str">
        <f t="shared" ca="1" si="154"/>
        <v/>
      </c>
      <c r="I1337" s="24" t="str">
        <f>IF(OR(E1337="",E1337="!!!",F1337="NEW"),"",INDEX(B$2:B1336,-1+SUMPRODUCT(MAX(ROW(E$2:E1336)*(E1337=E$2:E1336)))))</f>
        <v/>
      </c>
      <c r="J1337" s="24" t="str">
        <f ca="1">IF(OR(E1337="",E1337="!!!",F1337="NEW"),"",COUNTBLANK(OFFSET(A$1,,,SUMPRODUCT(MAX(ROW(E$2:E1337)*(E1337=E$2:E1337)))))-COUNTBLANK(OFFSET(A$1,,,SUMPRODUCT(MAX(ROW(E$1:E1336)*(E2=E$1:E1336))))))</f>
        <v/>
      </c>
      <c r="K1337" s="24" t="str">
        <f>IF(OR(E1337="",E1337="!!!",F1337="NEW"),"",INDEX(J$1:J1336,SUMPRODUCT(MAX(ROW(E$1:E1336)*(E1337=E$1:E1336)))))</f>
        <v/>
      </c>
      <c r="L1337" s="25"/>
    </row>
    <row r="1338" spans="1:12" x14ac:dyDescent="0.2">
      <c r="A1338" t="s">
        <v>845</v>
      </c>
      <c r="E1338" s="20" t="str">
        <f t="shared" si="155"/>
        <v/>
      </c>
      <c r="F1338" s="21" t="str">
        <f>IF(OR(E1338="",E1338="!!!"),"",IF(NOT(ISNA(VLOOKUP(E1338,E$1:E1337,1,FALSE()))),"OLD",IF(AND(E1338&lt;&gt;"",E1338&lt;&gt;"!!!"),"NEW","")))</f>
        <v/>
      </c>
      <c r="G1338" s="22" t="str">
        <f>IF(OR(E1338="",E1338="!!!"),"",IF(OR(J1338=0,AND(J1338=1,K1338=1),AND(J1338=1,I1338="SBJ"),AND(J1338=1,I1338=0)),"?IN_FOCUS",IF(J1338&lt;=2,"?ACTIVATED",IF(J1338&lt;&gt;"","?FAMILIAR",IF(F1338="NEW",IF(ISNA(VLOOKUP(E1338,#REF!,1,FALSE())),"?TYPE_IDENTIFIABLE","?REFERENTIAL"),"_")))))</f>
        <v/>
      </c>
      <c r="H1338" s="23" t="str">
        <f t="shared" ca="1" si="154"/>
        <v/>
      </c>
      <c r="I1338" s="24" t="str">
        <f>IF(OR(E1338="",E1338="!!!",F1338="NEW"),"",INDEX(B$2:B1337,-1+SUMPRODUCT(MAX(ROW(E$2:E1337)*(E1338=E$2:E1337)))))</f>
        <v/>
      </c>
      <c r="J1338" s="24" t="str">
        <f ca="1">IF(OR(E1338="",E1338="!!!",F1338="NEW"),"",COUNTBLANK(OFFSET(A$1,,,SUMPRODUCT(MAX(ROW(E$2:E1338)*(E1338=E$2:E1338)))))-COUNTBLANK(OFFSET(A$1,,,SUMPRODUCT(MAX(ROW(E$1:E1337)*(E2=E$1:E1337))))))</f>
        <v/>
      </c>
      <c r="K1338" s="24" t="str">
        <f>IF(OR(E1338="",E1338="!!!",F1338="NEW"),"",INDEX(J$1:J1337,SUMPRODUCT(MAX(ROW(E$1:E1337)*(E1338=E$1:E1337)))))</f>
        <v/>
      </c>
      <c r="L1338" s="25"/>
    </row>
    <row r="1339" spans="1:12" x14ac:dyDescent="0.2">
      <c r="A1339" t="s">
        <v>1274</v>
      </c>
      <c r="B1339" s="26" t="s">
        <v>819</v>
      </c>
      <c r="C1339" s="26" t="s">
        <v>847</v>
      </c>
      <c r="D1339" s="26" t="s">
        <v>806</v>
      </c>
      <c r="E1339" s="20" t="s">
        <v>1274</v>
      </c>
      <c r="F1339" s="21" t="str">
        <f>IF(OR(E1339="",E1339="!!!"),"",IF(NOT(ISNA(VLOOKUP(E1339,E$1:E1338,1,FALSE()))),"OLD",IF(AND(E1339&lt;&gt;"",E1339&lt;&gt;"!!!"),"NEW","")))</f>
        <v>NEW</v>
      </c>
      <c r="G1339" s="22" t="s">
        <v>1824</v>
      </c>
      <c r="H1339" s="23" t="str">
        <f t="shared" ca="1" si="154"/>
        <v/>
      </c>
      <c r="I1339" s="24" t="str">
        <f>IF(OR(E1339="",E1339="!!!",F1339="NEW"),"",INDEX(B$2:B1338,-1+SUMPRODUCT(MAX(ROW(E$2:E1338)*(E1339=E$2:E1338)))))</f>
        <v/>
      </c>
      <c r="J1339" s="24" t="str">
        <f ca="1">IF(OR(E1339="",E1339="!!!",F1339="NEW"),"",COUNTBLANK(OFFSET(A$1,,,SUMPRODUCT(MAX(ROW(E$2:E1339)*(E1339=E$2:E1339)))))-COUNTBLANK(OFFSET(A$1,,,SUMPRODUCT(MAX(ROW(E$1:E1338)*(E2=E$1:E1338))))))</f>
        <v/>
      </c>
      <c r="K1339" s="24" t="str">
        <f>IF(OR(E1339="",E1339="!!!",F1339="NEW"),"",INDEX(J$1:J1338,SUMPRODUCT(MAX(ROW(E$1:E1338)*(E1339=E$1:E1338)))))</f>
        <v/>
      </c>
      <c r="L1339" s="25"/>
    </row>
    <row r="1340" spans="1:12" x14ac:dyDescent="0.2">
      <c r="A1340" t="s">
        <v>802</v>
      </c>
      <c r="E1340" s="20" t="str">
        <f t="shared" si="155"/>
        <v/>
      </c>
      <c r="F1340" s="21" t="str">
        <f>IF(OR(E1340="",E1340="!!!"),"",IF(NOT(ISNA(VLOOKUP(E1340,E$1:E1339,1,FALSE()))),"OLD",IF(AND(E1340&lt;&gt;"",E1340&lt;&gt;"!!!"),"NEW","")))</f>
        <v/>
      </c>
      <c r="G1340" s="22" t="str">
        <f>IF(OR(E1340="",E1340="!!!"),"",IF(OR(J1340=0,AND(J1340=1,K1340=1),AND(J1340=1,I1340="SBJ"),AND(J1340=1,I1340=0)),"?IN_FOCUS",IF(J1340&lt;=2,"?ACTIVATED",IF(J1340&lt;&gt;"","?FAMILIAR",IF(F1340="NEW",IF(ISNA(VLOOKUP(E1340,#REF!,1,FALSE())),"?TYPE_IDENTIFIABLE","?REFERENTIAL"),"_")))))</f>
        <v/>
      </c>
      <c r="H1340" s="23" t="str">
        <f t="shared" ca="1" si="154"/>
        <v/>
      </c>
      <c r="I1340" s="24" t="str">
        <f>IF(OR(E1340="",E1340="!!!",F1340="NEW"),"",INDEX(B$2:B1339,-1+SUMPRODUCT(MAX(ROW(E$2:E1339)*(E1340=E$2:E1339)))))</f>
        <v/>
      </c>
      <c r="J1340" s="24" t="str">
        <f ca="1">IF(OR(E1340="",E1340="!!!",F1340="NEW"),"",COUNTBLANK(OFFSET(A$1,,,SUMPRODUCT(MAX(ROW(E$2:E1340)*(E1340=E$2:E1340)))))-COUNTBLANK(OFFSET(A$1,,,SUMPRODUCT(MAX(ROW(E$1:E1339)*(E2=E$1:E1339))))))</f>
        <v/>
      </c>
      <c r="K1340" s="24" t="str">
        <f>IF(OR(E1340="",E1340="!!!",F1340="NEW"),"",INDEX(J$1:J1339,SUMPRODUCT(MAX(ROW(E$1:E1339)*(E1340=E$1:E1339)))))</f>
        <v/>
      </c>
      <c r="L1340" s="25"/>
    </row>
    <row r="1341" spans="1:12" x14ac:dyDescent="0.2">
      <c r="A1341" t="s">
        <v>1191</v>
      </c>
      <c r="B1341" s="26" t="s">
        <v>813</v>
      </c>
      <c r="C1341" s="26" t="s">
        <v>854</v>
      </c>
      <c r="D1341" s="26" t="s">
        <v>806</v>
      </c>
      <c r="E1341" s="20" t="s">
        <v>1175</v>
      </c>
      <c r="F1341" s="21" t="str">
        <f>IF(OR(E1341="",E1341="!!!"),"",IF(NOT(ISNA(VLOOKUP(E1341,E$1:E1340,1,FALSE()))),"OLD",IF(AND(E1341&lt;&gt;"",E1341&lt;&gt;"!!!"),"NEW","")))</f>
        <v>OLD</v>
      </c>
      <c r="G1341" s="22" t="s">
        <v>1823</v>
      </c>
      <c r="H1341" s="23" t="str">
        <f t="shared" ca="1" si="154"/>
        <v/>
      </c>
      <c r="I1341" s="24" t="str">
        <f>IF(OR(E1341="",E1341="!!!",F1341="NEW"),"",INDEX(B$2:B1340,-1+SUMPRODUCT(MAX(ROW(E$2:E1340)*(E1341=E$2:E1340)))))</f>
        <v>SBJ</v>
      </c>
      <c r="J1341" s="24">
        <f ca="1">IF(OR(E1341="",E1341="!!!",F1341="NEW"),"",COUNTBLANK(OFFSET(A$1,,,SUMPRODUCT(MAX(ROW(E$2:E1341)*(E1341=E$2:E1341)))))-COUNTBLANK(OFFSET(A$1,,,SUMPRODUCT(MAX(ROW(E$1:E1340)*(E2=E$1:E1340))))))</f>
        <v>0</v>
      </c>
      <c r="K1341" s="24">
        <f ca="1">IF(OR(E1341="",E1341="!!!",F1341="NEW"),"",INDEX(J$1:J1340,SUMPRODUCT(MAX(ROW(E$1:E1340)*(E1341=E$1:E1340)))))</f>
        <v>0</v>
      </c>
      <c r="L1341" s="25"/>
    </row>
    <row r="1342" spans="1:12" x14ac:dyDescent="0.2">
      <c r="A1342" t="s">
        <v>888</v>
      </c>
      <c r="E1342" s="20" t="str">
        <f t="shared" si="155"/>
        <v/>
      </c>
      <c r="F1342" s="21" t="str">
        <f>IF(OR(E1342="",E1342="!!!"),"",IF(NOT(ISNA(VLOOKUP(E1342,E$1:E1341,1,FALSE()))),"OLD",IF(AND(E1342&lt;&gt;"",E1342&lt;&gt;"!!!"),"NEW","")))</f>
        <v/>
      </c>
      <c r="G1342" s="22" t="str">
        <f>IF(OR(E1342="",E1342="!!!"),"",IF(OR(J1342=0,AND(J1342=1,K1342=1),AND(J1342=1,I1342="SBJ"),AND(J1342=1,I1342=0)),"?IN_FOCUS",IF(J1342&lt;=2,"?ACTIVATED",IF(J1342&lt;&gt;"","?FAMILIAR",IF(F1342="NEW",IF(ISNA(VLOOKUP(E1342,#REF!,1,FALSE())),"?TYPE_IDENTIFIABLE","?REFERENTIAL"),"_")))))</f>
        <v/>
      </c>
      <c r="H1342" s="23" t="str">
        <f t="shared" ca="1" si="154"/>
        <v/>
      </c>
      <c r="I1342" s="24" t="str">
        <f>IF(OR(E1342="",E1342="!!!",F1342="NEW"),"",INDEX(B$2:B1341,-1+SUMPRODUCT(MAX(ROW(E$2:E1341)*(E1342=E$2:E1341)))))</f>
        <v/>
      </c>
      <c r="J1342" s="24" t="str">
        <f ca="1">IF(OR(E1342="",E1342="!!!",F1342="NEW"),"",COUNTBLANK(OFFSET(A$1,,,SUMPRODUCT(MAX(ROW(E$2:E1342)*(E1342=E$2:E1342)))))-COUNTBLANK(OFFSET(A$1,,,SUMPRODUCT(MAX(ROW(E$1:E1341)*(E2=E$1:E1341))))))</f>
        <v/>
      </c>
      <c r="K1342" s="24" t="str">
        <f>IF(OR(E1342="",E1342="!!!",F1342="NEW"),"",INDEX(J$1:J1341,SUMPRODUCT(MAX(ROW(E$1:E1341)*(E1342=E$1:E1341)))))</f>
        <v/>
      </c>
      <c r="L1342" s="25"/>
    </row>
    <row r="1343" spans="1:12" x14ac:dyDescent="0.2">
      <c r="A1343" t="s">
        <v>875</v>
      </c>
      <c r="E1343" s="20" t="str">
        <f t="shared" si="155"/>
        <v/>
      </c>
      <c r="F1343" s="21" t="str">
        <f>IF(OR(E1343="",E1343="!!!"),"",IF(NOT(ISNA(VLOOKUP(E1343,E$1:E1342,1,FALSE()))),"OLD",IF(AND(E1343&lt;&gt;"",E1343&lt;&gt;"!!!"),"NEW","")))</f>
        <v/>
      </c>
      <c r="G1343" s="22" t="str">
        <f>IF(OR(E1343="",E1343="!!!"),"",IF(OR(J1343=0,AND(J1343=1,K1343=1),AND(J1343=1,I1343="SBJ"),AND(J1343=1,I1343=0)),"?IN_FOCUS",IF(J1343&lt;=2,"?ACTIVATED",IF(J1343&lt;&gt;"","?FAMILIAR",IF(F1343="NEW",IF(ISNA(VLOOKUP(E1343,#REF!,1,FALSE())),"?TYPE_IDENTIFIABLE","?REFERENTIAL"),"_")))))</f>
        <v/>
      </c>
      <c r="H1343" s="23" t="str">
        <f t="shared" ca="1" si="154"/>
        <v/>
      </c>
      <c r="I1343" s="24" t="str">
        <f>IF(OR(E1343="",E1343="!!!",F1343="NEW"),"",INDEX(B$2:B1342,-1+SUMPRODUCT(MAX(ROW(E$2:E1342)*(E1343=E$2:E1342)))))</f>
        <v/>
      </c>
      <c r="J1343" s="24" t="str">
        <f ca="1">IF(OR(E1343="",E1343="!!!",F1343="NEW"),"",COUNTBLANK(OFFSET(A$1,,,SUMPRODUCT(MAX(ROW(E$2:E1343)*(E1343=E$2:E1343)))))-COUNTBLANK(OFFSET(A$1,,,SUMPRODUCT(MAX(ROW(E$1:E1342)*(E2=E$1:E1342))))))</f>
        <v/>
      </c>
      <c r="K1343" s="24" t="str">
        <f>IF(OR(E1343="",E1343="!!!",F1343="NEW"),"",INDEX(J$1:J1342,SUMPRODUCT(MAX(ROW(E$1:E1342)*(E1343=E$1:E1342)))))</f>
        <v/>
      </c>
      <c r="L1343" s="25"/>
    </row>
    <row r="1344" spans="1:12" x14ac:dyDescent="0.2">
      <c r="A1344" t="s">
        <v>886</v>
      </c>
      <c r="B1344" s="26" t="s">
        <v>891</v>
      </c>
      <c r="C1344" s="26" t="s">
        <v>877</v>
      </c>
      <c r="D1344" s="26" t="s">
        <v>806</v>
      </c>
      <c r="E1344" s="20" t="s">
        <v>1780</v>
      </c>
      <c r="F1344" s="21" t="str">
        <f>IF(OR(E1344="",E1344="!!!"),"",IF(NOT(ISNA(VLOOKUP(E1344,E$1:E1343,1,FALSE()))),"OLD",IF(AND(E1344&lt;&gt;"",E1344&lt;&gt;"!!!"),"NEW","")))</f>
        <v>OLD</v>
      </c>
      <c r="G1344" s="22" t="s">
        <v>1823</v>
      </c>
      <c r="H1344" s="23" t="str">
        <f t="shared" ca="1" si="154"/>
        <v/>
      </c>
      <c r="I1344" s="24" t="str">
        <f>IF(OR(E1344="",E1344="!!!",F1344="NEW"),"",INDEX(B$2:B1343,-1+SUMPRODUCT(MAX(ROW(E$2:E1343)*(E1344=E$2:E1343)))))</f>
        <v>SBJ</v>
      </c>
      <c r="J1344" s="24">
        <f ca="1">IF(OR(E1344="",E1344="!!!",F1344="NEW"),"",COUNTBLANK(OFFSET(A$1,,,SUMPRODUCT(MAX(ROW(E$2:E1344)*(E1344=E$2:E1344)))))-COUNTBLANK(OFFSET(A$1,,,SUMPRODUCT(MAX(ROW(E$1:E1343)*(E2=E$1:E1343))))))</f>
        <v>0</v>
      </c>
      <c r="K1344" s="24">
        <f ca="1">IF(OR(E1344="",E1344="!!!",F1344="NEW"),"",INDEX(J$1:J1343,SUMPRODUCT(MAX(ROW(E$1:E1343)*(E1344=E$1:E1343)))))</f>
        <v>0</v>
      </c>
      <c r="L1344" s="25"/>
    </row>
    <row r="1345" spans="1:12" x14ac:dyDescent="0.2">
      <c r="A1345" t="s">
        <v>1275</v>
      </c>
      <c r="E1345" s="20" t="str">
        <f t="shared" si="155"/>
        <v/>
      </c>
      <c r="F1345" s="21" t="str">
        <f>IF(OR(E1345="",E1345="!!!"),"",IF(NOT(ISNA(VLOOKUP(E1345,E$1:E1344,1,FALSE()))),"OLD",IF(AND(E1345&lt;&gt;"",E1345&lt;&gt;"!!!"),"NEW","")))</f>
        <v/>
      </c>
      <c r="G1345" s="22" t="str">
        <f>IF(OR(E1345="",E1345="!!!"),"",IF(OR(J1345=0,AND(J1345=1,K1345=1),AND(J1345=1,I1345="SBJ"),AND(J1345=1,I1345=0)),"?IN_FOCUS",IF(J1345&lt;=2,"?ACTIVATED",IF(J1345&lt;&gt;"","?FAMILIAR",IF(F1345="NEW",IF(ISNA(VLOOKUP(E1345,#REF!,1,FALSE())),"?TYPE_IDENTIFIABLE","?REFERENTIAL"),"_")))))</f>
        <v/>
      </c>
      <c r="H1345" s="23" t="str">
        <f t="shared" ca="1" si="154"/>
        <v/>
      </c>
      <c r="I1345" s="24" t="str">
        <f>IF(OR(E1345="",E1345="!!!",F1345="NEW"),"",INDEX(B$2:B1344,-1+SUMPRODUCT(MAX(ROW(E$2:E1344)*(E1345=E$2:E1344)))))</f>
        <v/>
      </c>
      <c r="J1345" s="24" t="str">
        <f ca="1">IF(OR(E1345="",E1345="!!!",F1345="NEW"),"",COUNTBLANK(OFFSET(A$1,,,SUMPRODUCT(MAX(ROW(E$2:E1345)*(E1345=E$2:E1345)))))-COUNTBLANK(OFFSET(A$1,,,SUMPRODUCT(MAX(ROW(E$1:E1344)*(E2=E$1:E1344))))))</f>
        <v/>
      </c>
      <c r="K1345" s="24" t="str">
        <f>IF(OR(E1345="",E1345="!!!",F1345="NEW"),"",INDEX(J$1:J1344,SUMPRODUCT(MAX(ROW(E$1:E1344)*(E1345=E$1:E1344)))))</f>
        <v/>
      </c>
      <c r="L1345" s="25"/>
    </row>
    <row r="1346" spans="1:12" x14ac:dyDescent="0.2">
      <c r="A1346" t="s">
        <v>1251</v>
      </c>
      <c r="E1346" s="20" t="str">
        <f t="shared" si="155"/>
        <v/>
      </c>
      <c r="F1346" s="21" t="str">
        <f>IF(OR(E1346="",E1346="!!!"),"",IF(NOT(ISNA(VLOOKUP(E1346,E$1:E1345,1,FALSE()))),"OLD",IF(AND(E1346&lt;&gt;"",E1346&lt;&gt;"!!!"),"NEW","")))</f>
        <v/>
      </c>
      <c r="G1346" s="22" t="str">
        <f>IF(OR(E1346="",E1346="!!!"),"",IF(OR(J1346=0,AND(J1346=1,K1346=1),AND(J1346=1,I1346="SBJ"),AND(J1346=1,I1346=0)),"?IN_FOCUS",IF(J1346&lt;=2,"?ACTIVATED",IF(J1346&lt;&gt;"","?FAMILIAR",IF(F1346="NEW",IF(ISNA(VLOOKUP(E1346,#REF!,1,FALSE())),"?TYPE_IDENTIFIABLE","?REFERENTIAL"),"_")))))</f>
        <v/>
      </c>
      <c r="H1346" s="23" t="str">
        <f t="shared" ca="1" si="154"/>
        <v/>
      </c>
      <c r="I1346" s="24" t="str">
        <f>IF(OR(E1346="",E1346="!!!",F1346="NEW"),"",INDEX(B$2:B1345,-1+SUMPRODUCT(MAX(ROW(E$2:E1345)*(E1346=E$2:E1345)))))</f>
        <v/>
      </c>
      <c r="J1346" s="24" t="str">
        <f ca="1">IF(OR(E1346="",E1346="!!!",F1346="NEW"),"",COUNTBLANK(OFFSET(A$1,,,SUMPRODUCT(MAX(ROW(E$2:E1346)*(E1346=E$2:E1346)))))-COUNTBLANK(OFFSET(A$1,,,SUMPRODUCT(MAX(ROW(E$1:E1345)*(E2=E$1:E1345))))))</f>
        <v/>
      </c>
      <c r="K1346" s="24" t="str">
        <f>IF(OR(E1346="",E1346="!!!",F1346="NEW"),"",INDEX(J$1:J1345,SUMPRODUCT(MAX(ROW(E$1:E1345)*(E1346=E$1:E1345)))))</f>
        <v/>
      </c>
      <c r="L1346" s="25"/>
    </row>
    <row r="1347" spans="1:12" x14ac:dyDescent="0.2">
      <c r="A1347" t="s">
        <v>845</v>
      </c>
      <c r="E1347" s="20" t="str">
        <f t="shared" si="155"/>
        <v/>
      </c>
      <c r="F1347" s="21" t="str">
        <f>IF(OR(E1347="",E1347="!!!"),"",IF(NOT(ISNA(VLOOKUP(E1347,E$1:E1346,1,FALSE()))),"OLD",IF(AND(E1347&lt;&gt;"",E1347&lt;&gt;"!!!"),"NEW","")))</f>
        <v/>
      </c>
      <c r="G1347" s="22" t="str">
        <f>IF(OR(E1347="",E1347="!!!"),"",IF(OR(J1347=0,AND(J1347=1,K1347=1),AND(J1347=1,I1347="SBJ"),AND(J1347=1,I1347=0)),"?IN_FOCUS",IF(J1347&lt;=2,"?ACTIVATED",IF(J1347&lt;&gt;"","?FAMILIAR",IF(F1347="NEW",IF(ISNA(VLOOKUP(E1347,#REF!,1,FALSE())),"?TYPE_IDENTIFIABLE","?REFERENTIAL"),"_")))))</f>
        <v/>
      </c>
      <c r="H1347" s="23" t="str">
        <f t="shared" ca="1" si="154"/>
        <v/>
      </c>
      <c r="I1347" s="24" t="str">
        <f>IF(OR(E1347="",E1347="!!!",F1347="NEW"),"",INDEX(B$2:B1346,-1+SUMPRODUCT(MAX(ROW(E$2:E1346)*(E1347=E$2:E1346)))))</f>
        <v/>
      </c>
      <c r="J1347" s="24" t="str">
        <f ca="1">IF(OR(E1347="",E1347="!!!",F1347="NEW"),"",COUNTBLANK(OFFSET(A$1,,,SUMPRODUCT(MAX(ROW(E$2:E1347)*(E1347=E$2:E1347)))))-COUNTBLANK(OFFSET(A$1,,,SUMPRODUCT(MAX(ROW(E$1:E1346)*(E2=E$1:E1346))))))</f>
        <v/>
      </c>
      <c r="K1347" s="24" t="str">
        <f>IF(OR(E1347="",E1347="!!!",F1347="NEW"),"",INDEX(J$1:J1346,SUMPRODUCT(MAX(ROW(E$1:E1346)*(E1347=E$1:E1346)))))</f>
        <v/>
      </c>
      <c r="L1347" s="25"/>
    </row>
    <row r="1348" spans="1:12" x14ac:dyDescent="0.2">
      <c r="A1348" t="s">
        <v>1276</v>
      </c>
      <c r="E1348" s="20" t="str">
        <f t="shared" si="155"/>
        <v/>
      </c>
      <c r="F1348" s="21" t="str">
        <f>IF(OR(E1348="",E1348="!!!"),"",IF(NOT(ISNA(VLOOKUP(E1348,E$1:E1347,1,FALSE()))),"OLD",IF(AND(E1348&lt;&gt;"",E1348&lt;&gt;"!!!"),"NEW","")))</f>
        <v/>
      </c>
      <c r="G1348" s="22" t="str">
        <f>IF(OR(E1348="",E1348="!!!"),"",IF(OR(J1348=0,AND(J1348=1,K1348=1),AND(J1348=1,I1348="SBJ"),AND(J1348=1,I1348=0)),"?IN_FOCUS",IF(J1348&lt;=2,"?ACTIVATED",IF(J1348&lt;&gt;"","?FAMILIAR",IF(F1348="NEW",IF(ISNA(VLOOKUP(E1348,#REF!,1,FALSE())),"?TYPE_IDENTIFIABLE","?REFERENTIAL"),"_")))))</f>
        <v/>
      </c>
      <c r="H1348" s="23" t="str">
        <f t="shared" ca="1" si="154"/>
        <v/>
      </c>
      <c r="I1348" s="24" t="str">
        <f>IF(OR(E1348="",E1348="!!!",F1348="NEW"),"",INDEX(B$2:B1347,-1+SUMPRODUCT(MAX(ROW(E$2:E1347)*(E1348=E$2:E1347)))))</f>
        <v/>
      </c>
      <c r="J1348" s="24" t="str">
        <f ca="1">IF(OR(E1348="",E1348="!!!",F1348="NEW"),"",COUNTBLANK(OFFSET(A$1,,,SUMPRODUCT(MAX(ROW(E$2:E1348)*(E1348=E$2:E1348)))))-COUNTBLANK(OFFSET(A$1,,,SUMPRODUCT(MAX(ROW(E$1:E1347)*(E2=E$1:E1347))))))</f>
        <v/>
      </c>
      <c r="K1348" s="24" t="str">
        <f>IF(OR(E1348="",E1348="!!!",F1348="NEW"),"",INDEX(J$1:J1347,SUMPRODUCT(MAX(ROW(E$1:E1347)*(E1348=E$1:E1347)))))</f>
        <v/>
      </c>
      <c r="L1348" s="25"/>
    </row>
    <row r="1349" spans="1:12" x14ac:dyDescent="0.2">
      <c r="A1349" t="s">
        <v>937</v>
      </c>
      <c r="B1349" s="26" t="s">
        <v>871</v>
      </c>
      <c r="C1349" s="26" t="s">
        <v>847</v>
      </c>
      <c r="D1349" s="26" t="s">
        <v>806</v>
      </c>
      <c r="E1349" s="20" t="s">
        <v>937</v>
      </c>
      <c r="F1349" s="21" t="str">
        <f>IF(OR(E1349="",E1349="!!!"),"",IF(NOT(ISNA(VLOOKUP(E1349,E$1:E1348,1,FALSE()))),"OLD",IF(AND(E1349&lt;&gt;"",E1349&lt;&gt;"!!!"),"NEW","")))</f>
        <v>OLD</v>
      </c>
      <c r="G1349" s="22" t="s">
        <v>1822</v>
      </c>
      <c r="H1349" s="23" t="str">
        <f t="shared" ca="1" si="154"/>
        <v/>
      </c>
      <c r="I1349" s="24" t="str">
        <f>IF(OR(E1349="",E1349="!!!",F1349="NEW"),"",INDEX(B$2:B1348,-1+SUMPRODUCT(MAX(ROW(E$2:E1348)*(E1349=E$2:E1348)))))</f>
        <v>OBJ_2</v>
      </c>
      <c r="J1349" s="24">
        <f ca="1">IF(OR(E1349="",E1349="!!!",F1349="NEW"),"",COUNTBLANK(OFFSET(A$1,,,SUMPRODUCT(MAX(ROW(E$2:E1349)*(E1349=E$2:E1349)))))-COUNTBLANK(OFFSET(A$1,,,SUMPRODUCT(MAX(ROW(E$1:E1348)*(E2=E$1:E1348))))))</f>
        <v>0</v>
      </c>
      <c r="K1349" s="24" t="str">
        <f ca="1">IF(OR(E1349="",E1349="!!!",F1349="NEW"),"",INDEX(J$1:J1348,SUMPRODUCT(MAX(ROW(E$1:E1348)*(E1349=E$1:E1348)))))</f>
        <v/>
      </c>
      <c r="L1349" s="25"/>
    </row>
    <row r="1350" spans="1:12" x14ac:dyDescent="0.2">
      <c r="A1350" t="s">
        <v>821</v>
      </c>
      <c r="E1350" s="20" t="str">
        <f t="shared" si="155"/>
        <v/>
      </c>
      <c r="F1350" s="21" t="str">
        <f>IF(OR(E1350="",E1350="!!!"),"",IF(NOT(ISNA(VLOOKUP(E1350,E$1:E1349,1,FALSE()))),"OLD",IF(AND(E1350&lt;&gt;"",E1350&lt;&gt;"!!!"),"NEW","")))</f>
        <v/>
      </c>
      <c r="G1350" s="22" t="str">
        <f>IF(OR(E1350="",E1350="!!!"),"",IF(OR(J1350=0,AND(J1350=1,K1350=1),AND(J1350=1,I1350="SBJ"),AND(J1350=1,I1350=0)),"?IN_FOCUS",IF(J1350&lt;=2,"?ACTIVATED",IF(J1350&lt;&gt;"","?FAMILIAR",IF(F1350="NEW",IF(ISNA(VLOOKUP(E1350,#REF!,1,FALSE())),"?TYPE_IDENTIFIABLE","?REFERENTIAL"),"_")))))</f>
        <v/>
      </c>
      <c r="H1350" s="23" t="str">
        <f t="shared" ca="1" si="154"/>
        <v/>
      </c>
      <c r="I1350" s="24" t="str">
        <f>IF(OR(E1350="",E1350="!!!",F1350="NEW"),"",INDEX(B$2:B1349,-1+SUMPRODUCT(MAX(ROW(E$2:E1349)*(E1350=E$2:E1349)))))</f>
        <v/>
      </c>
      <c r="J1350" s="24" t="str">
        <f ca="1">IF(OR(E1350="",E1350="!!!",F1350="NEW"),"",COUNTBLANK(OFFSET(A$1,,,SUMPRODUCT(MAX(ROW(E$2:E1350)*(E1350=E$2:E1350)))))-COUNTBLANK(OFFSET(A$1,,,SUMPRODUCT(MAX(ROW(E$1:E1349)*(E2=E$1:E1349))))))</f>
        <v/>
      </c>
      <c r="K1350" s="24" t="str">
        <f>IF(OR(E1350="",E1350="!!!",F1350="NEW"),"",INDEX(J$1:J1349,SUMPRODUCT(MAX(ROW(E$1:E1349)*(E1350=E$1:E1349)))))</f>
        <v/>
      </c>
      <c r="L1350" s="25"/>
    </row>
    <row r="1352" spans="1:12" x14ac:dyDescent="0.2">
      <c r="A1352" t="s">
        <v>1277</v>
      </c>
    </row>
    <row r="1353" spans="1:12" x14ac:dyDescent="0.2">
      <c r="A1353" t="s">
        <v>1008</v>
      </c>
      <c r="E1353" s="20" t="str">
        <f>IF(D1353="?OLD","!!!","")</f>
        <v/>
      </c>
      <c r="F1353" s="21" t="str">
        <f>IF(OR(E1353="",E1353="!!!"),"",IF(NOT(ISNA(VLOOKUP(E1353,E$1:E1352,1,FALSE()))),"OLD",IF(AND(E1353&lt;&gt;"",E1353&lt;&gt;"!!!"),"NEW","")))</f>
        <v/>
      </c>
      <c r="G1353" s="22" t="str">
        <f>IF(OR(E1353="",E1353="!!!"),"",IF(OR(J1353=0,AND(J1353=1,K1353=1),AND(J1353=1,I1353="SBJ"),AND(J1353=1,I1353=0)),"?IN_FOCUS",IF(J1353&lt;=2,"?ACTIVATED",IF(J1353&lt;&gt;"","?FAMILIAR",IF(F1353="NEW",IF(ISNA(VLOOKUP(E1353,#REF!,1,FALSE())),"?TYPE_IDENTIFIABLE","?REFERENTIAL"),"_")))))</f>
        <v/>
      </c>
      <c r="H1353" s="23" t="str">
        <f ca="1">IF(J1353&lt;&gt;1,"",IF(I1353="SBJ","CB","?"))</f>
        <v/>
      </c>
      <c r="I1353" s="24" t="str">
        <f>IF(OR(E1353="",E1353="!!!",F1353="NEW"),"",INDEX(B$2:B1352,-1+SUMPRODUCT(MAX(ROW(E$2:E1352)*(E1353=E$2:E1352)))))</f>
        <v/>
      </c>
      <c r="J1353" s="24" t="str">
        <f ca="1">IF(OR(E1353="",E1353="!!!",F1353="NEW"),"",COUNTBLANK(OFFSET(A$1,,,SUMPRODUCT(MAX(ROW(E$2:E1353)*(E1353=E$2:E1353)))))-COUNTBLANK(OFFSET(A$1,,,SUMPRODUCT(MAX(ROW(E$1:E1352)*(E2=E$1:E1352))))))</f>
        <v/>
      </c>
      <c r="K1353" s="24" t="str">
        <f>IF(OR(E1353="",E1353="!!!",F1353="NEW"),"",INDEX(J$1:J1352,SUMPRODUCT(MAX(ROW(E$1:E1352)*(E1353=E$1:E1352)))))</f>
        <v/>
      </c>
      <c r="L1353" s="25"/>
    </row>
    <row r="1354" spans="1:12" x14ac:dyDescent="0.2">
      <c r="A1354" t="s">
        <v>530</v>
      </c>
      <c r="B1354" s="26" t="s">
        <v>819</v>
      </c>
      <c r="C1354" s="26" t="s">
        <v>847</v>
      </c>
      <c r="D1354" s="26" t="s">
        <v>806</v>
      </c>
      <c r="E1354" s="20" t="s">
        <v>1776</v>
      </c>
      <c r="F1354" s="21" t="str">
        <f>IF(OR(E1354="",E1354="!!!"),"",IF(NOT(ISNA(VLOOKUP(E1354,E$1:E1353,1,FALSE()))),"OLD",IF(AND(E1354&lt;&gt;"",E1354&lt;&gt;"!!!"),"NEW","")))</f>
        <v>OLD</v>
      </c>
      <c r="G1354" s="22" t="s">
        <v>1823</v>
      </c>
      <c r="H1354" s="23" t="str">
        <f ca="1">IF(J1354&lt;&gt;1,"",IF(I1354="SBJ","CB","?"))</f>
        <v/>
      </c>
      <c r="I1354" s="24" t="str">
        <f>IF(OR(E1354="",E1354="!!!",F1354="NEW"),"",INDEX(B$2:B1353,-1+SUMPRODUCT(MAX(ROW(E$2:E1353)*(E1354=E$2:E1353)))))</f>
        <v>OBJ</v>
      </c>
      <c r="J1354" s="24">
        <f ca="1">IF(OR(E1354="",E1354="!!!",F1354="NEW"),"",COUNTBLANK(OFFSET(A$1,,,SUMPRODUCT(MAX(ROW(E$2:E1354)*(E1354=E$2:E1354)))))-COUNTBLANK(OFFSET(A$1,,,SUMPRODUCT(MAX(ROW(E$1:E1353)*(E2=E$1:E1353))))))</f>
        <v>0</v>
      </c>
      <c r="K1354" s="24">
        <f ca="1">IF(OR(E1354="",E1354="!!!",F1354="NEW"),"",INDEX(J$1:J1353,SUMPRODUCT(MAX(ROW(E$1:E1353)*(E1354=E$1:E1353)))))</f>
        <v>0</v>
      </c>
      <c r="L1354" s="25"/>
    </row>
    <row r="1355" spans="1:12" x14ac:dyDescent="0.2">
      <c r="A1355" t="s">
        <v>898</v>
      </c>
      <c r="E1355" s="20" t="str">
        <f>IF(D1355="?OLD","!!!","")</f>
        <v/>
      </c>
      <c r="F1355" s="21" t="str">
        <f>IF(OR(E1355="",E1355="!!!"),"",IF(NOT(ISNA(VLOOKUP(E1355,E$1:E1354,1,FALSE()))),"OLD",IF(AND(E1355&lt;&gt;"",E1355&lt;&gt;"!!!"),"NEW","")))</f>
        <v/>
      </c>
      <c r="G1355" s="22" t="str">
        <f>IF(OR(E1355="",E1355="!!!"),"",IF(OR(J1355=0,AND(J1355=1,K1355=1),AND(J1355=1,I1355="SBJ"),AND(J1355=1,I1355=0)),"?IN_FOCUS",IF(J1355&lt;=2,"?ACTIVATED",IF(J1355&lt;&gt;"","?FAMILIAR",IF(F1355="NEW",IF(ISNA(VLOOKUP(E1355,#REF!,1,FALSE())),"?TYPE_IDENTIFIABLE","?REFERENTIAL"),"_")))))</f>
        <v/>
      </c>
      <c r="H1355" s="23" t="str">
        <f ca="1">IF(J1355&lt;&gt;1,"",IF(I1355="SBJ","CB","?"))</f>
        <v/>
      </c>
      <c r="I1355" s="24" t="str">
        <f>IF(OR(E1355="",E1355="!!!",F1355="NEW"),"",INDEX(B$2:B1354,-1+SUMPRODUCT(MAX(ROW(E$2:E1354)*(E1355=E$2:E1354)))))</f>
        <v/>
      </c>
      <c r="J1355" s="24" t="str">
        <f ca="1">IF(OR(E1355="",E1355="!!!",F1355="NEW"),"",COUNTBLANK(OFFSET(A$1,,,SUMPRODUCT(MAX(ROW(E$2:E1355)*(E1355=E$2:E1355)))))-COUNTBLANK(OFFSET(A$1,,,SUMPRODUCT(MAX(ROW(E$1:E1354)*(E2=E$1:E1354))))))</f>
        <v/>
      </c>
      <c r="K1355" s="24" t="str">
        <f>IF(OR(E1355="",E1355="!!!",F1355="NEW"),"",INDEX(J$1:J1354,SUMPRODUCT(MAX(ROW(E$1:E1354)*(E1355=E$1:E1354)))))</f>
        <v/>
      </c>
      <c r="L1355" s="25"/>
    </row>
    <row r="1356" spans="1:12" x14ac:dyDescent="0.2">
      <c r="A1356" t="s">
        <v>356</v>
      </c>
      <c r="E1356" s="20" t="str">
        <f>IF(D1356="?OLD","!!!","")</f>
        <v/>
      </c>
      <c r="F1356" s="21" t="str">
        <f>IF(OR(E1356="",E1356="!!!"),"",IF(NOT(ISNA(VLOOKUP(E1356,E$1:E1355,1,FALSE()))),"OLD",IF(AND(E1356&lt;&gt;"",E1356&lt;&gt;"!!!"),"NEW","")))</f>
        <v/>
      </c>
      <c r="G1356" s="22" t="str">
        <f>IF(OR(E1356="",E1356="!!!"),"",IF(OR(J1356=0,AND(J1356=1,K1356=1),AND(J1356=1,I1356="SBJ"),AND(J1356=1,I1356=0)),"?IN_FOCUS",IF(J1356&lt;=2,"?ACTIVATED",IF(J1356&lt;&gt;"","?FAMILIAR",IF(F1356="NEW",IF(ISNA(VLOOKUP(E1356,#REF!,1,FALSE())),"?TYPE_IDENTIFIABLE","?REFERENTIAL"),"_")))))</f>
        <v/>
      </c>
      <c r="H1356" s="23" t="str">
        <f ca="1">IF(J1356&lt;&gt;1,"",IF(I1356="SBJ","CB","?"))</f>
        <v/>
      </c>
      <c r="I1356" s="24" t="str">
        <f>IF(OR(E1356="",E1356="!!!",F1356="NEW"),"",INDEX(B$2:B1355,-1+SUMPRODUCT(MAX(ROW(E$2:E1355)*(E1356=E$2:E1355)))))</f>
        <v/>
      </c>
      <c r="J1356" s="24" t="str">
        <f ca="1">IF(OR(E1356="",E1356="!!!",F1356="NEW"),"",COUNTBLANK(OFFSET(A$1,,,SUMPRODUCT(MAX(ROW(E$2:E1356)*(E1356=E$2:E1356)))))-COUNTBLANK(OFFSET(A$1,,,SUMPRODUCT(MAX(ROW(E$1:E1355)*(E2=E$1:E1355))))))</f>
        <v/>
      </c>
      <c r="K1356" s="24" t="str">
        <f>IF(OR(E1356="",E1356="!!!",F1356="NEW"),"",INDEX(J$1:J1355,SUMPRODUCT(MAX(ROW(E$1:E1355)*(E1356=E$1:E1355)))))</f>
        <v/>
      </c>
      <c r="L1356" s="25"/>
    </row>
    <row r="1357" spans="1:12" x14ac:dyDescent="0.2">
      <c r="A1357" t="s">
        <v>821</v>
      </c>
      <c r="E1357" s="20" t="str">
        <f>IF(D1357="?OLD","!!!","")</f>
        <v/>
      </c>
      <c r="F1357" s="21" t="str">
        <f>IF(OR(E1357="",E1357="!!!"),"",IF(NOT(ISNA(VLOOKUP(E1357,E$1:E1356,1,FALSE()))),"OLD",IF(AND(E1357&lt;&gt;"",E1357&lt;&gt;"!!!"),"NEW","")))</f>
        <v/>
      </c>
      <c r="G1357" s="22" t="str">
        <f>IF(OR(E1357="",E1357="!!!"),"",IF(OR(J1357=0,AND(J1357=1,K1357=1),AND(J1357=1,I1357="SBJ"),AND(J1357=1,I1357=0)),"?IN_FOCUS",IF(J1357&lt;=2,"?ACTIVATED",IF(J1357&lt;&gt;"","?FAMILIAR",IF(F1357="NEW",IF(ISNA(VLOOKUP(E1357,#REF!,1,FALSE())),"?TYPE_IDENTIFIABLE","?REFERENTIAL"),"_")))))</f>
        <v/>
      </c>
      <c r="H1357" s="23" t="str">
        <f ca="1">IF(J1357&lt;&gt;1,"",IF(I1357="SBJ","CB","?"))</f>
        <v/>
      </c>
      <c r="I1357" s="24" t="str">
        <f>IF(OR(E1357="",E1357="!!!",F1357="NEW"),"",INDEX(B$2:B1356,-1+SUMPRODUCT(MAX(ROW(E$2:E1356)*(E1357=E$2:E1356)))))</f>
        <v/>
      </c>
      <c r="J1357" s="24" t="str">
        <f ca="1">IF(OR(E1357="",E1357="!!!",F1357="NEW"),"",COUNTBLANK(OFFSET(A$1,,,SUMPRODUCT(MAX(ROW(E$2:E1357)*(E1357=E$2:E1357)))))-COUNTBLANK(OFFSET(A$1,,,SUMPRODUCT(MAX(ROW(E$1:E1356)*(E2=E$1:E1356))))))</f>
        <v/>
      </c>
      <c r="K1357" s="24" t="str">
        <f>IF(OR(E1357="",E1357="!!!",F1357="NEW"),"",INDEX(J$1:J1356,SUMPRODUCT(MAX(ROW(E$1:E1356)*(E1357=E$1:E1356)))))</f>
        <v/>
      </c>
      <c r="L1357" s="25"/>
    </row>
    <row r="1359" spans="1:12" x14ac:dyDescent="0.2">
      <c r="A1359" t="s">
        <v>1278</v>
      </c>
    </row>
    <row r="1360" spans="1:12" x14ac:dyDescent="0.2">
      <c r="A1360" t="s">
        <v>803</v>
      </c>
      <c r="B1360" s="26" t="s">
        <v>950</v>
      </c>
      <c r="C1360" s="26" t="s">
        <v>805</v>
      </c>
      <c r="D1360" s="26" t="s">
        <v>806</v>
      </c>
      <c r="E1360" s="20" t="s">
        <v>1747</v>
      </c>
      <c r="F1360" s="21" t="s">
        <v>1753</v>
      </c>
      <c r="G1360" s="22" t="s">
        <v>1823</v>
      </c>
      <c r="H1360" s="23" t="str">
        <f t="shared" ref="H1360:H1370" ca="1" si="156">IF(J1360&lt;&gt;1,"",IF(I1360="SBJ","CB","?"))</f>
        <v/>
      </c>
      <c r="I1360" s="24" t="str">
        <f>IF(OR(E1360="",E1360="!!!",F1360="NEW"),"",INDEX(B$2:B1359,-1+SUMPRODUCT(MAX(ROW(E$2:E1359)*(E1360=E$2:E1359)))))</f>
        <v>other_4</v>
      </c>
      <c r="J1360" s="24">
        <f ca="1">IF(OR(E1360="",E1360="!!!",F1360="NEW"),"",COUNTBLANK(OFFSET(A$1,,,SUMPRODUCT(MAX(ROW(E$2:E1360)*(E1360=E$2:E1360)))))-COUNTBLANK(OFFSET(A$1,,,SUMPRODUCT(MAX(ROW(E$1:E1359)*(E2=E$1:E1359))))))</f>
        <v>0</v>
      </c>
      <c r="K1360" s="24">
        <f ca="1">IF(OR(E1360="",E1360="!!!",F1360="NEW"),"",INDEX(J$1:J1359,SUMPRODUCT(MAX(ROW(E$1:E1359)*(E1360=E$1:E1359)))))</f>
        <v>0</v>
      </c>
      <c r="L1360" s="25"/>
    </row>
    <row r="1361" spans="1:12" x14ac:dyDescent="0.2">
      <c r="A1361" t="s">
        <v>98</v>
      </c>
      <c r="E1361" s="20" t="str">
        <f t="shared" ref="E1361:E1370" si="157">IF(D1361="?OLD","!!!","")</f>
        <v/>
      </c>
      <c r="F1361" s="21" t="str">
        <f>IF(OR(E1361="",E1361="!!!"),"",IF(NOT(ISNA(VLOOKUP(E1361,E$1:E1360,1,FALSE()))),"OLD",IF(AND(E1361&lt;&gt;"",E1361&lt;&gt;"!!!"),"NEW","")))</f>
        <v/>
      </c>
      <c r="G1361" s="22" t="str">
        <f>IF(OR(E1361="",E1361="!!!"),"",IF(OR(J1361=0,AND(J1361=1,K1361=1),AND(J1361=1,I1361="SBJ"),AND(J1361=1,I1361=0)),"?IN_FOCUS",IF(J1361&lt;=2,"?ACTIVATED",IF(J1361&lt;&gt;"","?FAMILIAR",IF(F1361="NEW",IF(ISNA(VLOOKUP(E1361,#REF!,1,FALSE())),"?TYPE_IDENTIFIABLE","?REFERENTIAL"),"_")))))</f>
        <v/>
      </c>
      <c r="H1361" s="23" t="str">
        <f t="shared" ca="1" si="156"/>
        <v/>
      </c>
      <c r="I1361" s="24" t="str">
        <f>IF(OR(E1361="",E1361="!!!",F1361="NEW"),"",INDEX(B$2:B1360,-1+SUMPRODUCT(MAX(ROW(E$2:E1360)*(E1361=E$2:E1360)))))</f>
        <v/>
      </c>
      <c r="J1361" s="24" t="str">
        <f ca="1">IF(OR(E1361="",E1361="!!!",F1361="NEW"),"",COUNTBLANK(OFFSET(A$1,,,SUMPRODUCT(MAX(ROW(E$2:E1361)*(E1361=E$2:E1361)))))-COUNTBLANK(OFFSET(A$1,,,SUMPRODUCT(MAX(ROW(E$1:E1360)*(E2=E$1:E1360))))))</f>
        <v/>
      </c>
      <c r="K1361" s="24" t="str">
        <f>IF(OR(E1361="",E1361="!!!",F1361="NEW"),"",INDEX(J$1:J1360,SUMPRODUCT(MAX(ROW(E$1:E1360)*(E1361=E$1:E1360)))))</f>
        <v/>
      </c>
      <c r="L1361" s="25"/>
    </row>
    <row r="1362" spans="1:12" x14ac:dyDescent="0.2">
      <c r="A1362" t="s">
        <v>802</v>
      </c>
      <c r="E1362" s="20" t="str">
        <f t="shared" si="157"/>
        <v/>
      </c>
      <c r="F1362" s="21" t="str">
        <f>IF(OR(E1362="",E1362="!!!"),"",IF(NOT(ISNA(VLOOKUP(E1362,E$1:E1361,1,FALSE()))),"OLD",IF(AND(E1362&lt;&gt;"",E1362&lt;&gt;"!!!"),"NEW","")))</f>
        <v/>
      </c>
      <c r="G1362" s="22" t="str">
        <f>IF(OR(E1362="",E1362="!!!"),"",IF(OR(J1362=0,AND(J1362=1,K1362=1),AND(J1362=1,I1362="SBJ"),AND(J1362=1,I1362=0)),"?IN_FOCUS",IF(J1362&lt;=2,"?ACTIVATED",IF(J1362&lt;&gt;"","?FAMILIAR",IF(F1362="NEW",IF(ISNA(VLOOKUP(E1362,#REF!,1,FALSE())),"?TYPE_IDENTIFIABLE","?REFERENTIAL"),"_")))))</f>
        <v/>
      </c>
      <c r="H1362" s="23" t="str">
        <f t="shared" ca="1" si="156"/>
        <v/>
      </c>
      <c r="I1362" s="24" t="str">
        <f>IF(OR(E1362="",E1362="!!!",F1362="NEW"),"",INDEX(B$2:B1361,-1+SUMPRODUCT(MAX(ROW(E$2:E1361)*(E1362=E$2:E1361)))))</f>
        <v/>
      </c>
      <c r="J1362" s="24" t="str">
        <f ca="1">IF(OR(E1362="",E1362="!!!",F1362="NEW"),"",COUNTBLANK(OFFSET(A$1,,,SUMPRODUCT(MAX(ROW(E$2:E1362)*(E1362=E$2:E1362)))))-COUNTBLANK(OFFSET(A$1,,,SUMPRODUCT(MAX(ROW(E$1:E1361)*(E2=E$1:E1361))))))</f>
        <v/>
      </c>
      <c r="K1362" s="24" t="str">
        <f>IF(OR(E1362="",E1362="!!!",F1362="NEW"),"",INDEX(J$1:J1361,SUMPRODUCT(MAX(ROW(E$1:E1361)*(E1362=E$1:E1361)))))</f>
        <v/>
      </c>
      <c r="L1362" s="25"/>
    </row>
    <row r="1363" spans="1:12" x14ac:dyDescent="0.2">
      <c r="A1363" t="s">
        <v>866</v>
      </c>
      <c r="B1363" s="26" t="s">
        <v>804</v>
      </c>
      <c r="C1363" s="26" t="s">
        <v>805</v>
      </c>
      <c r="D1363" s="26" t="s">
        <v>806</v>
      </c>
      <c r="E1363" s="20" t="s">
        <v>1761</v>
      </c>
      <c r="F1363" s="21" t="str">
        <f>IF(OR(E1363="",E1363="!!!"),"",IF(NOT(ISNA(VLOOKUP(E1363,E$1:E1362,1,FALSE()))),"OLD",IF(AND(E1363&lt;&gt;"",E1363&lt;&gt;"!!!"),"NEW","")))</f>
        <v>OLD</v>
      </c>
      <c r="G1363" s="22" t="s">
        <v>1823</v>
      </c>
      <c r="H1363" s="23" t="str">
        <f t="shared" ca="1" si="156"/>
        <v/>
      </c>
      <c r="I1363" s="24" t="str">
        <f>IF(OR(E1363="",E1363="!!!",F1363="NEW"),"",INDEX(B$2:B1362,-1+SUMPRODUCT(MAX(ROW(E$2:E1362)*(E1363=E$2:E1362)))))</f>
        <v>SBJ_3</v>
      </c>
      <c r="J1363" s="24">
        <f ca="1">IF(OR(E1363="",E1363="!!!",F1363="NEW"),"",COUNTBLANK(OFFSET(A$1,,,SUMPRODUCT(MAX(ROW(E$2:E1363)*(E1363=E$2:E1363)))))-COUNTBLANK(OFFSET(A$1,,,SUMPRODUCT(MAX(ROW(E$1:E1362)*(E2=E$1:E1362))))))</f>
        <v>0</v>
      </c>
      <c r="K1363" s="24" t="str">
        <f ca="1">IF(OR(E1363="",E1363="!!!",F1363="NEW"),"",INDEX(J$1:J1362,SUMPRODUCT(MAX(ROW(E$1:E1362)*(E1363=E$1:E1362)))))</f>
        <v/>
      </c>
      <c r="L1363" s="25"/>
    </row>
    <row r="1364" spans="1:12" x14ac:dyDescent="0.2">
      <c r="A1364" t="s">
        <v>807</v>
      </c>
      <c r="E1364" s="20" t="str">
        <f t="shared" si="157"/>
        <v/>
      </c>
      <c r="F1364" s="21" t="str">
        <f>IF(OR(E1364="",E1364="!!!"),"",IF(NOT(ISNA(VLOOKUP(E1364,E$1:E1363,1,FALSE()))),"OLD",IF(AND(E1364&lt;&gt;"",E1364&lt;&gt;"!!!"),"NEW","")))</f>
        <v/>
      </c>
      <c r="G1364" s="22" t="str">
        <f>IF(OR(E1364="",E1364="!!!"),"",IF(OR(J1364=0,AND(J1364=1,K1364=1),AND(J1364=1,I1364="SBJ"),AND(J1364=1,I1364=0)),"?IN_FOCUS",IF(J1364&lt;=2,"?ACTIVATED",IF(J1364&lt;&gt;"","?FAMILIAR",IF(F1364="NEW",IF(ISNA(VLOOKUP(E1364,#REF!,1,FALSE())),"?TYPE_IDENTIFIABLE","?REFERENTIAL"),"_")))))</f>
        <v/>
      </c>
      <c r="H1364" s="23" t="str">
        <f t="shared" ca="1" si="156"/>
        <v/>
      </c>
      <c r="I1364" s="24" t="str">
        <f>IF(OR(E1364="",E1364="!!!",F1364="NEW"),"",INDEX(B$2:B1363,-1+SUMPRODUCT(MAX(ROW(E$2:E1363)*(E1364=E$2:E1363)))))</f>
        <v/>
      </c>
      <c r="J1364" s="24" t="str">
        <f ca="1">IF(OR(E1364="",E1364="!!!",F1364="NEW"),"",COUNTBLANK(OFFSET(A$1,,,SUMPRODUCT(MAX(ROW(E$2:E1364)*(E1364=E$2:E1364)))))-COUNTBLANK(OFFSET(A$1,,,SUMPRODUCT(MAX(ROW(E$1:E1363)*(E2=E$1:E1363))))))</f>
        <v/>
      </c>
      <c r="K1364" s="24" t="str">
        <f>IF(OR(E1364="",E1364="!!!",F1364="NEW"),"",INDEX(J$1:J1363,SUMPRODUCT(MAX(ROW(E$1:E1363)*(E1364=E$1:E1363)))))</f>
        <v/>
      </c>
      <c r="L1364" s="25"/>
    </row>
    <row r="1365" spans="1:12" x14ac:dyDescent="0.2">
      <c r="A1365" t="s">
        <v>1279</v>
      </c>
      <c r="E1365" s="20" t="str">
        <f t="shared" si="157"/>
        <v/>
      </c>
      <c r="F1365" s="21" t="str">
        <f>IF(OR(E1365="",E1365="!!!"),"",IF(NOT(ISNA(VLOOKUP(E1365,E$1:E1364,1,FALSE()))),"OLD",IF(AND(E1365&lt;&gt;"",E1365&lt;&gt;"!!!"),"NEW","")))</f>
        <v/>
      </c>
      <c r="G1365" s="22" t="str">
        <f>IF(OR(E1365="",E1365="!!!"),"",IF(OR(J1365=0,AND(J1365=1,K1365=1),AND(J1365=1,I1365="SBJ"),AND(J1365=1,I1365=0)),"?IN_FOCUS",IF(J1365&lt;=2,"?ACTIVATED",IF(J1365&lt;&gt;"","?FAMILIAR",IF(F1365="NEW",IF(ISNA(VLOOKUP(E1365,#REF!,1,FALSE())),"?TYPE_IDENTIFIABLE","?REFERENTIAL"),"_")))))</f>
        <v/>
      </c>
      <c r="H1365" s="23" t="str">
        <f t="shared" ca="1" si="156"/>
        <v/>
      </c>
      <c r="I1365" s="24" t="str">
        <f>IF(OR(E1365="",E1365="!!!",F1365="NEW"),"",INDEX(B$2:B1364,-1+SUMPRODUCT(MAX(ROW(E$2:E1364)*(E1365=E$2:E1364)))))</f>
        <v/>
      </c>
      <c r="J1365" s="24" t="str">
        <f ca="1">IF(OR(E1365="",E1365="!!!",F1365="NEW"),"",COUNTBLANK(OFFSET(A$1,,,SUMPRODUCT(MAX(ROW(E$2:E1365)*(E1365=E$2:E1365)))))-COUNTBLANK(OFFSET(A$1,,,SUMPRODUCT(MAX(ROW(E$1:E1364)*(E2=E$1:E1364))))))</f>
        <v/>
      </c>
      <c r="K1365" s="24" t="str">
        <f>IF(OR(E1365="",E1365="!!!",F1365="NEW"),"",INDEX(J$1:J1364,SUMPRODUCT(MAX(ROW(E$1:E1364)*(E1365=E$1:E1364)))))</f>
        <v/>
      </c>
      <c r="L1365" s="25"/>
    </row>
    <row r="1366" spans="1:12" x14ac:dyDescent="0.2">
      <c r="A1366" t="s">
        <v>1280</v>
      </c>
      <c r="E1366" s="20" t="str">
        <f t="shared" si="157"/>
        <v/>
      </c>
      <c r="F1366" s="21" t="str">
        <f>IF(OR(E1366="",E1366="!!!"),"",IF(NOT(ISNA(VLOOKUP(E1366,E$1:E1365,1,FALSE()))),"OLD",IF(AND(E1366&lt;&gt;"",E1366&lt;&gt;"!!!"),"NEW","")))</f>
        <v/>
      </c>
      <c r="G1366" s="22" t="str">
        <f>IF(OR(E1366="",E1366="!!!"),"",IF(OR(J1366=0,AND(J1366=1,K1366=1),AND(J1366=1,I1366="SBJ"),AND(J1366=1,I1366=0)),"?IN_FOCUS",IF(J1366&lt;=2,"?ACTIVATED",IF(J1366&lt;&gt;"","?FAMILIAR",IF(F1366="NEW",IF(ISNA(VLOOKUP(E1366,#REF!,1,FALSE())),"?TYPE_IDENTIFIABLE","?REFERENTIAL"),"_")))))</f>
        <v/>
      </c>
      <c r="H1366" s="23" t="str">
        <f t="shared" ca="1" si="156"/>
        <v/>
      </c>
      <c r="I1366" s="24" t="str">
        <f>IF(OR(E1366="",E1366="!!!",F1366="NEW"),"",INDEX(B$2:B1365,-1+SUMPRODUCT(MAX(ROW(E$2:E1365)*(E1366=E$2:E1365)))))</f>
        <v/>
      </c>
      <c r="J1366" s="24" t="str">
        <f ca="1">IF(OR(E1366="",E1366="!!!",F1366="NEW"),"",COUNTBLANK(OFFSET(A$1,,,SUMPRODUCT(MAX(ROW(E$2:E1366)*(E1366=E$2:E1366)))))-COUNTBLANK(OFFSET(A$1,,,SUMPRODUCT(MAX(ROW(E$1:E1365)*(E2=E$1:E1365))))))</f>
        <v/>
      </c>
      <c r="K1366" s="24" t="str">
        <f>IF(OR(E1366="",E1366="!!!",F1366="NEW"),"",INDEX(J$1:J1365,SUMPRODUCT(MAX(ROW(E$1:E1365)*(E1366=E$1:E1365)))))</f>
        <v/>
      </c>
      <c r="L1366" s="25"/>
    </row>
    <row r="1367" spans="1:12" x14ac:dyDescent="0.2">
      <c r="A1367" t="s">
        <v>1281</v>
      </c>
      <c r="B1367" s="26" t="s">
        <v>810</v>
      </c>
      <c r="C1367" s="26" t="s">
        <v>956</v>
      </c>
      <c r="D1367" s="26" t="s">
        <v>806</v>
      </c>
      <c r="E1367" s="20"/>
      <c r="F1367" s="21" t="s">
        <v>1781</v>
      </c>
      <c r="G1367" s="22" t="str">
        <f>IF(OR(E1367="",E1367="!!!"),"",IF(OR(J1367=0,AND(J1367=1,K1367=1),AND(J1367=1,I1367="SBJ"),AND(J1367=1,I1367=0)),"?IN_FOCUS",IF(J1367&lt;=2,"?ACTIVATED",IF(J1367&lt;&gt;"","?FAMILIAR",IF(F1367="NEW",IF(ISNA(VLOOKUP(E1367,#REF!,1,FALSE())),"?TYPE_IDENTIFIABLE","?REFERENTIAL"),"_")))))</f>
        <v/>
      </c>
      <c r="H1367" s="23" t="str">
        <f t="shared" ca="1" si="156"/>
        <v/>
      </c>
      <c r="I1367" s="24" t="str">
        <f>IF(OR(E1367="",E1367="!!!",F1367="NEW"),"",INDEX(B$2:B1366,-1+SUMPRODUCT(MAX(ROW(E$2:E1366)*(E1367=E$2:E1366)))))</f>
        <v/>
      </c>
      <c r="J1367" s="24" t="str">
        <f ca="1">IF(OR(E1367="",E1367="!!!",F1367="NEW"),"",COUNTBLANK(OFFSET(A$1,,,SUMPRODUCT(MAX(ROW(E$2:E1367)*(E1367=E$2:E1367)))))-COUNTBLANK(OFFSET(A$1,,,SUMPRODUCT(MAX(ROW(E$1:E1366)*(E2=E$1:E1366))))))</f>
        <v/>
      </c>
      <c r="K1367" s="24" t="str">
        <f>IF(OR(E1367="",E1367="!!!",F1367="NEW"),"",INDEX(J$1:J1366,SUMPRODUCT(MAX(ROW(E$1:E1366)*(E1367=E$1:E1366)))))</f>
        <v/>
      </c>
      <c r="L1367" s="25"/>
    </row>
    <row r="1368" spans="1:12" x14ac:dyDescent="0.2">
      <c r="A1368" t="s">
        <v>833</v>
      </c>
      <c r="E1368" s="20" t="str">
        <f t="shared" si="157"/>
        <v/>
      </c>
      <c r="F1368" s="21" t="str">
        <f>IF(OR(E1368="",E1368="!!!"),"",IF(NOT(ISNA(VLOOKUP(E1368,E$1:E1367,1,FALSE()))),"OLD",IF(AND(E1368&lt;&gt;"",E1368&lt;&gt;"!!!"),"NEW","")))</f>
        <v/>
      </c>
      <c r="G1368" s="22" t="str">
        <f>IF(OR(E1368="",E1368="!!!"),"",IF(OR(J1368=0,AND(J1368=1,K1368=1),AND(J1368=1,I1368="SBJ"),AND(J1368=1,I1368=0)),"?IN_FOCUS",IF(J1368&lt;=2,"?ACTIVATED",IF(J1368&lt;&gt;"","?FAMILIAR",IF(F1368="NEW",IF(ISNA(VLOOKUP(E1368,#REF!,1,FALSE())),"?TYPE_IDENTIFIABLE","?REFERENTIAL"),"_")))))</f>
        <v/>
      </c>
      <c r="H1368" s="23" t="str">
        <f t="shared" ca="1" si="156"/>
        <v/>
      </c>
      <c r="I1368" s="24" t="str">
        <f>IF(OR(E1368="",E1368="!!!",F1368="NEW"),"",INDEX(B$2:B1367,-1+SUMPRODUCT(MAX(ROW(E$2:E1367)*(E1368=E$2:E1367)))))</f>
        <v/>
      </c>
      <c r="J1368" s="24" t="str">
        <f ca="1">IF(OR(E1368="",E1368="!!!",F1368="NEW"),"",COUNTBLANK(OFFSET(A$1,,,SUMPRODUCT(MAX(ROW(E$2:E1368)*(E1368=E$2:E1368)))))-COUNTBLANK(OFFSET(A$1,,,SUMPRODUCT(MAX(ROW(E$1:E1367)*(E2=E$1:E1367))))))</f>
        <v/>
      </c>
      <c r="K1368" s="24" t="str">
        <f>IF(OR(E1368="",E1368="!!!",F1368="NEW"),"",INDEX(J$1:J1367,SUMPRODUCT(MAX(ROW(E$1:E1367)*(E1368=E$1:E1367)))))</f>
        <v/>
      </c>
      <c r="L1368" s="25"/>
    </row>
    <row r="1369" spans="1:12" ht="16" x14ac:dyDescent="0.2">
      <c r="A1369" t="s">
        <v>875</v>
      </c>
      <c r="B1369" s="26" t="s">
        <v>813</v>
      </c>
      <c r="C1369" s="26" t="s">
        <v>987</v>
      </c>
      <c r="D1369" s="26" t="s">
        <v>806</v>
      </c>
      <c r="E1369" s="20" t="s">
        <v>1776</v>
      </c>
      <c r="F1369" s="21" t="str">
        <f>IF(OR(E1369="",E1369="!!!"),"",IF(NOT(ISNA(VLOOKUP(E1369,E$1:E1368,1,FALSE()))),"OLD",IF(AND(E1369&lt;&gt;"",E1369&lt;&gt;"!!!"),"NEW","")))</f>
        <v>OLD</v>
      </c>
      <c r="G1369" s="22" t="s">
        <v>1822</v>
      </c>
      <c r="H1369" s="23" t="str">
        <f t="shared" ca="1" si="156"/>
        <v/>
      </c>
      <c r="I1369" s="24" t="str">
        <f>IF(OR(E1369="",E1369="!!!",F1369="NEW"),"",INDEX(B$2:B1368,-1+SUMPRODUCT(MAX(ROW(E$2:E1368)*(E1369=E$2:E1368)))))</f>
        <v>other</v>
      </c>
      <c r="J1369" s="24">
        <f ca="1">IF(OR(E1369="",E1369="!!!",F1369="NEW"),"",COUNTBLANK(OFFSET(A$1,,,SUMPRODUCT(MAX(ROW(E$2:E1369)*(E1369=E$2:E1369)))))-COUNTBLANK(OFFSET(A$1,,,SUMPRODUCT(MAX(ROW(E$1:E1368)*(E2=E$1:E1368))))))</f>
        <v>0</v>
      </c>
      <c r="K1369" s="24">
        <f ca="1">IF(OR(E1369="",E1369="!!!",F1369="NEW"),"",INDEX(J$1:J1368,SUMPRODUCT(MAX(ROW(E$1:E1368)*(E1369=E$1:E1368)))))</f>
        <v>0</v>
      </c>
      <c r="L1369" s="25" t="s">
        <v>1754</v>
      </c>
    </row>
    <row r="1370" spans="1:12" x14ac:dyDescent="0.2">
      <c r="A1370" t="s">
        <v>821</v>
      </c>
      <c r="E1370" s="20" t="str">
        <f t="shared" si="157"/>
        <v/>
      </c>
      <c r="F1370" s="21" t="str">
        <f>IF(OR(E1370="",E1370="!!!"),"",IF(NOT(ISNA(VLOOKUP(E1370,E$1:E1369,1,FALSE()))),"OLD",IF(AND(E1370&lt;&gt;"",E1370&lt;&gt;"!!!"),"NEW","")))</f>
        <v/>
      </c>
      <c r="G1370" s="22" t="str">
        <f>IF(OR(E1370="",E1370="!!!"),"",IF(OR(J1370=0,AND(J1370=1,K1370=1),AND(J1370=1,I1370="SBJ"),AND(J1370=1,I1370=0)),"?IN_FOCUS",IF(J1370&lt;=2,"?ACTIVATED",IF(J1370&lt;&gt;"","?FAMILIAR",IF(F1370="NEW",IF(ISNA(VLOOKUP(E1370,#REF!,1,FALSE())),"?TYPE_IDENTIFIABLE","?REFERENTIAL"),"_")))))</f>
        <v/>
      </c>
      <c r="H1370" s="23" t="str">
        <f t="shared" ca="1" si="156"/>
        <v/>
      </c>
      <c r="I1370" s="24" t="str">
        <f>IF(OR(E1370="",E1370="!!!",F1370="NEW"),"",INDEX(B$2:B1369,-1+SUMPRODUCT(MAX(ROW(E$2:E1369)*(E1370=E$2:E1369)))))</f>
        <v/>
      </c>
      <c r="J1370" s="24" t="str">
        <f ca="1">IF(OR(E1370="",E1370="!!!",F1370="NEW"),"",COUNTBLANK(OFFSET(A$1,,,SUMPRODUCT(MAX(ROW(E$2:E1370)*(E1370=E$2:E1370)))))-COUNTBLANK(OFFSET(A$1,,,SUMPRODUCT(MAX(ROW(E$1:E1369)*(E2=E$1:E1369))))))</f>
        <v/>
      </c>
      <c r="K1370" s="24" t="str">
        <f>IF(OR(E1370="",E1370="!!!",F1370="NEW"),"",INDEX(J$1:J1369,SUMPRODUCT(MAX(ROW(E$1:E1369)*(E1370=E$1:E1369)))))</f>
        <v/>
      </c>
      <c r="L1370" s="25"/>
    </row>
    <row r="1372" spans="1:12" x14ac:dyDescent="0.2">
      <c r="A1372" t="s">
        <v>1282</v>
      </c>
    </row>
    <row r="1373" spans="1:12" x14ac:dyDescent="0.2">
      <c r="A1373" t="s">
        <v>1283</v>
      </c>
      <c r="B1373" s="26" t="s">
        <v>804</v>
      </c>
      <c r="C1373" s="26" t="s">
        <v>805</v>
      </c>
      <c r="D1373" s="26" t="s">
        <v>806</v>
      </c>
      <c r="E1373" s="20" t="s">
        <v>1761</v>
      </c>
      <c r="F1373" s="21" t="str">
        <f>IF(OR(E1373="",E1373="!!!"),"",IF(NOT(ISNA(VLOOKUP(E1373,E$1:E1372,1,FALSE()))),"OLD",IF(AND(E1373&lt;&gt;"",E1373&lt;&gt;"!!!"),"NEW","")))</f>
        <v>OLD</v>
      </c>
      <c r="G1373" s="22" t="s">
        <v>1823</v>
      </c>
      <c r="H1373" s="23" t="str">
        <f t="shared" ref="H1373:H1399" ca="1" si="158">IF(J1373&lt;&gt;1,"",IF(I1373="SBJ","CB","?"))</f>
        <v/>
      </c>
      <c r="I1373" s="24" t="str">
        <f>IF(OR(E1373="",E1373="!!!",F1373="NEW"),"",INDEX(B$2:B1372,-1+SUMPRODUCT(MAX(ROW(E$2:E1372)*(E1373=E$2:E1372)))))</f>
        <v>SBJ</v>
      </c>
      <c r="J1373" s="24">
        <f ca="1">IF(OR(E1373="",E1373="!!!",F1373="NEW"),"",COUNTBLANK(OFFSET(A$1,,,SUMPRODUCT(MAX(ROW(E$2:E1373)*(E1373=E$2:E1373)))))-COUNTBLANK(OFFSET(A$1,,,SUMPRODUCT(MAX(ROW(E$1:E1372)*(E2=E$1:E1372))))))</f>
        <v>0</v>
      </c>
      <c r="K1373" s="24">
        <f ca="1">IF(OR(E1373="",E1373="!!!",F1373="NEW"),"",INDEX(J$1:J1372,SUMPRODUCT(MAX(ROW(E$1:E1372)*(E1373=E$1:E1372)))))</f>
        <v>0</v>
      </c>
      <c r="L1373" s="25"/>
    </row>
    <row r="1374" spans="1:12" x14ac:dyDescent="0.2">
      <c r="A1374" t="s">
        <v>364</v>
      </c>
      <c r="E1374" s="20" t="str">
        <f t="shared" ref="E1374:E1399" si="159">IF(D1374="?OLD","!!!","")</f>
        <v/>
      </c>
      <c r="F1374" s="21" t="str">
        <f>IF(OR(E1374="",E1374="!!!"),"",IF(NOT(ISNA(VLOOKUP(E1374,E$1:E1373,1,FALSE()))),"OLD",IF(AND(E1374&lt;&gt;"",E1374&lt;&gt;"!!!"),"NEW","")))</f>
        <v/>
      </c>
      <c r="G1374" s="22" t="str">
        <f>IF(OR(E1374="",E1374="!!!"),"",IF(OR(J1374=0,AND(J1374=1,K1374=1),AND(J1374=1,I1374="SBJ"),AND(J1374=1,I1374=0)),"?IN_FOCUS",IF(J1374&lt;=2,"?ACTIVATED",IF(J1374&lt;&gt;"","?FAMILIAR",IF(F1374="NEW",IF(ISNA(VLOOKUP(E1374,#REF!,1,FALSE())),"?TYPE_IDENTIFIABLE","?REFERENTIAL"),"_")))))</f>
        <v/>
      </c>
      <c r="H1374" s="23" t="str">
        <f t="shared" ca="1" si="158"/>
        <v/>
      </c>
      <c r="I1374" s="24" t="str">
        <f>IF(OR(E1374="",E1374="!!!",F1374="NEW"),"",INDEX(B$2:B1373,-1+SUMPRODUCT(MAX(ROW(E$2:E1373)*(E1374=E$2:E1373)))))</f>
        <v/>
      </c>
      <c r="J1374" s="24" t="str">
        <f ca="1">IF(OR(E1374="",E1374="!!!",F1374="NEW"),"",COUNTBLANK(OFFSET(A$1,,,SUMPRODUCT(MAX(ROW(E$2:E1374)*(E1374=E$2:E1374)))))-COUNTBLANK(OFFSET(A$1,,,SUMPRODUCT(MAX(ROW(E$1:E1373)*(E2=E$1:E1373))))))</f>
        <v/>
      </c>
      <c r="K1374" s="24" t="str">
        <f>IF(OR(E1374="",E1374="!!!",F1374="NEW"),"",INDEX(J$1:J1373,SUMPRODUCT(MAX(ROW(E$1:E1373)*(E1374=E$1:E1373)))))</f>
        <v/>
      </c>
      <c r="L1374" s="25"/>
    </row>
    <row r="1375" spans="1:12" x14ac:dyDescent="0.2">
      <c r="A1375" t="s">
        <v>1021</v>
      </c>
      <c r="E1375" s="20" t="str">
        <f t="shared" si="159"/>
        <v/>
      </c>
      <c r="F1375" s="21" t="str">
        <f>IF(OR(E1375="",E1375="!!!"),"",IF(NOT(ISNA(VLOOKUP(E1375,E$1:E1374,1,FALSE()))),"OLD",IF(AND(E1375&lt;&gt;"",E1375&lt;&gt;"!!!"),"NEW","")))</f>
        <v/>
      </c>
      <c r="G1375" s="22" t="str">
        <f>IF(OR(E1375="",E1375="!!!"),"",IF(OR(J1375=0,AND(J1375=1,K1375=1),AND(J1375=1,I1375="SBJ"),AND(J1375=1,I1375=0)),"?IN_FOCUS",IF(J1375&lt;=2,"?ACTIVATED",IF(J1375&lt;&gt;"","?FAMILIAR",IF(F1375="NEW",IF(ISNA(VLOOKUP(E1375,#REF!,1,FALSE())),"?TYPE_IDENTIFIABLE","?REFERENTIAL"),"_")))))</f>
        <v/>
      </c>
      <c r="H1375" s="23" t="str">
        <f t="shared" ca="1" si="158"/>
        <v/>
      </c>
      <c r="I1375" s="24" t="str">
        <f>IF(OR(E1375="",E1375="!!!",F1375="NEW"),"",INDEX(B$2:B1374,-1+SUMPRODUCT(MAX(ROW(E$2:E1374)*(E1375=E$2:E1374)))))</f>
        <v/>
      </c>
      <c r="J1375" s="24" t="str">
        <f ca="1">IF(OR(E1375="",E1375="!!!",F1375="NEW"),"",COUNTBLANK(OFFSET(A$1,,,SUMPRODUCT(MAX(ROW(E$2:E1375)*(E1375=E$2:E1375)))))-COUNTBLANK(OFFSET(A$1,,,SUMPRODUCT(MAX(ROW(E$1:E1374)*(E2=E$1:E1374))))))</f>
        <v/>
      </c>
      <c r="K1375" s="24" t="str">
        <f>IF(OR(E1375="",E1375="!!!",F1375="NEW"),"",INDEX(J$1:J1374,SUMPRODUCT(MAX(ROW(E$1:E1374)*(E1375=E$1:E1374)))))</f>
        <v/>
      </c>
      <c r="L1375" s="25"/>
    </row>
    <row r="1376" spans="1:12" x14ac:dyDescent="0.2">
      <c r="A1376" t="s">
        <v>894</v>
      </c>
      <c r="E1376" s="20" t="str">
        <f t="shared" si="159"/>
        <v/>
      </c>
      <c r="F1376" s="21" t="str">
        <f>IF(OR(E1376="",E1376="!!!"),"",IF(NOT(ISNA(VLOOKUP(E1376,E$1:E1375,1,FALSE()))),"OLD",IF(AND(E1376&lt;&gt;"",E1376&lt;&gt;"!!!"),"NEW","")))</f>
        <v/>
      </c>
      <c r="G1376" s="22" t="str">
        <f>IF(OR(E1376="",E1376="!!!"),"",IF(OR(J1376=0,AND(J1376=1,K1376=1),AND(J1376=1,I1376="SBJ"),AND(J1376=1,I1376=0)),"?IN_FOCUS",IF(J1376&lt;=2,"?ACTIVATED",IF(J1376&lt;&gt;"","?FAMILIAR",IF(F1376="NEW",IF(ISNA(VLOOKUP(E1376,#REF!,1,FALSE())),"?TYPE_IDENTIFIABLE","?REFERENTIAL"),"_")))))</f>
        <v/>
      </c>
      <c r="H1376" s="23" t="str">
        <f t="shared" ca="1" si="158"/>
        <v/>
      </c>
      <c r="I1376" s="24" t="str">
        <f>IF(OR(E1376="",E1376="!!!",F1376="NEW"),"",INDEX(B$2:B1375,-1+SUMPRODUCT(MAX(ROW(E$2:E1375)*(E1376=E$2:E1375)))))</f>
        <v/>
      </c>
      <c r="J1376" s="24" t="str">
        <f ca="1">IF(OR(E1376="",E1376="!!!",F1376="NEW"),"",COUNTBLANK(OFFSET(A$1,,,SUMPRODUCT(MAX(ROW(E$2:E1376)*(E1376=E$2:E1376)))))-COUNTBLANK(OFFSET(A$1,,,SUMPRODUCT(MAX(ROW(E$1:E1375)*(E2=E$1:E1375))))))</f>
        <v/>
      </c>
      <c r="K1376" s="24" t="str">
        <f>IF(OR(E1376="",E1376="!!!",F1376="NEW"),"",INDEX(J$1:J1375,SUMPRODUCT(MAX(ROW(E$1:E1375)*(E1376=E$1:E1375)))))</f>
        <v/>
      </c>
      <c r="L1376" s="25"/>
    </row>
    <row r="1377" spans="1:12" x14ac:dyDescent="0.2">
      <c r="A1377" t="s">
        <v>809</v>
      </c>
      <c r="E1377" s="20" t="str">
        <f t="shared" si="159"/>
        <v/>
      </c>
      <c r="F1377" s="21" t="str">
        <f>IF(OR(E1377="",E1377="!!!"),"",IF(NOT(ISNA(VLOOKUP(E1377,E$1:E1376,1,FALSE()))),"OLD",IF(AND(E1377&lt;&gt;"",E1377&lt;&gt;"!!!"),"NEW","")))</f>
        <v/>
      </c>
      <c r="G1377" s="22" t="str">
        <f>IF(OR(E1377="",E1377="!!!"),"",IF(OR(J1377=0,AND(J1377=1,K1377=1),AND(J1377=1,I1377="SBJ"),AND(J1377=1,I1377=0)),"?IN_FOCUS",IF(J1377&lt;=2,"?ACTIVATED",IF(J1377&lt;&gt;"","?FAMILIAR",IF(F1377="NEW",IF(ISNA(VLOOKUP(E1377,#REF!,1,FALSE())),"?TYPE_IDENTIFIABLE","?REFERENTIAL"),"_")))))</f>
        <v/>
      </c>
      <c r="H1377" s="23" t="str">
        <f t="shared" ca="1" si="158"/>
        <v/>
      </c>
      <c r="I1377" s="24" t="str">
        <f>IF(OR(E1377="",E1377="!!!",F1377="NEW"),"",INDEX(B$2:B1376,-1+SUMPRODUCT(MAX(ROW(E$2:E1376)*(E1377=E$2:E1376)))))</f>
        <v/>
      </c>
      <c r="J1377" s="24" t="str">
        <f ca="1">IF(OR(E1377="",E1377="!!!",F1377="NEW"),"",COUNTBLANK(OFFSET(A$1,,,SUMPRODUCT(MAX(ROW(E$2:E1377)*(E1377=E$2:E1377)))))-COUNTBLANK(OFFSET(A$1,,,SUMPRODUCT(MAX(ROW(E$1:E1376)*(E2=E$1:E1376))))))</f>
        <v/>
      </c>
      <c r="K1377" s="24" t="str">
        <f>IF(OR(E1377="",E1377="!!!",F1377="NEW"),"",INDEX(J$1:J1376,SUMPRODUCT(MAX(ROW(E$1:E1376)*(E1377=E$1:E1376)))))</f>
        <v/>
      </c>
      <c r="L1377" s="25"/>
    </row>
    <row r="1378" spans="1:12" x14ac:dyDescent="0.2">
      <c r="A1378" t="s">
        <v>1284</v>
      </c>
      <c r="B1378" s="26" t="s">
        <v>819</v>
      </c>
      <c r="C1378" s="26" t="s">
        <v>811</v>
      </c>
      <c r="E1378" s="20" t="str">
        <f t="shared" si="159"/>
        <v/>
      </c>
      <c r="F1378" s="21" t="str">
        <f>IF(OR(E1378="",E1378="!!!"),"",IF(NOT(ISNA(VLOOKUP(E1378,E$1:E1377,1,FALSE()))),"OLD",IF(AND(E1378&lt;&gt;"",E1378&lt;&gt;"!!!"),"NEW","")))</f>
        <v/>
      </c>
      <c r="G1378" s="22" t="str">
        <f>IF(OR(E1378="",E1378="!!!"),"",IF(OR(J1378=0,AND(J1378=1,K1378=1),AND(J1378=1,I1378="SBJ"),AND(J1378=1,I1378=0)),"?IN_FOCUS",IF(J1378&lt;=2,"?ACTIVATED",IF(J1378&lt;&gt;"","?FAMILIAR",IF(F1378="NEW",IF(ISNA(VLOOKUP(E1378,#REF!,1,FALSE())),"?TYPE_IDENTIFIABLE","?REFERENTIAL"),"_")))))</f>
        <v/>
      </c>
      <c r="H1378" s="23" t="str">
        <f t="shared" ca="1" si="158"/>
        <v/>
      </c>
      <c r="I1378" s="24" t="str">
        <f>IF(OR(E1378="",E1378="!!!",F1378="NEW"),"",INDEX(B$2:B1377,-1+SUMPRODUCT(MAX(ROW(E$2:E1377)*(E1378=E$2:E1377)))))</f>
        <v/>
      </c>
      <c r="J1378" s="24" t="str">
        <f ca="1">IF(OR(E1378="",E1378="!!!",F1378="NEW"),"",COUNTBLANK(OFFSET(A$1,,,SUMPRODUCT(MAX(ROW(E$2:E1378)*(E1378=E$2:E1378)))))-COUNTBLANK(OFFSET(A$1,,,SUMPRODUCT(MAX(ROW(E$1:E1377)*(E2=E$1:E1377))))))</f>
        <v/>
      </c>
      <c r="K1378" s="24" t="str">
        <f>IF(OR(E1378="",E1378="!!!",F1378="NEW"),"",INDEX(J$1:J1377,SUMPRODUCT(MAX(ROW(E$1:E1377)*(E1378=E$1:E1377)))))</f>
        <v/>
      </c>
      <c r="L1378" s="25"/>
    </row>
    <row r="1379" spans="1:12" x14ac:dyDescent="0.2">
      <c r="A1379" t="s">
        <v>1060</v>
      </c>
      <c r="B1379" s="26" t="s">
        <v>891</v>
      </c>
      <c r="E1379" s="20" t="str">
        <f t="shared" si="159"/>
        <v/>
      </c>
      <c r="F1379" s="21" t="str">
        <f>IF(OR(E1379="",E1379="!!!"),"",IF(NOT(ISNA(VLOOKUP(E1379,E$1:E1378,1,FALSE()))),"OLD",IF(AND(E1379&lt;&gt;"",E1379&lt;&gt;"!!!"),"NEW","")))</f>
        <v/>
      </c>
      <c r="G1379" s="22" t="str">
        <f>IF(OR(E1379="",E1379="!!!"),"",IF(OR(J1379=0,AND(J1379=1,K1379=1),AND(J1379=1,I1379="SBJ"),AND(J1379=1,I1379=0)),"?IN_FOCUS",IF(J1379&lt;=2,"?ACTIVATED",IF(J1379&lt;&gt;"","?FAMILIAR",IF(F1379="NEW",IF(ISNA(VLOOKUP(E1379,#REF!,1,FALSE())),"?TYPE_IDENTIFIABLE","?REFERENTIAL"),"_")))))</f>
        <v/>
      </c>
      <c r="H1379" s="23" t="str">
        <f t="shared" ca="1" si="158"/>
        <v/>
      </c>
      <c r="I1379" s="24" t="str">
        <f>IF(OR(E1379="",E1379="!!!",F1379="NEW"),"",INDEX(B$2:B1378,-1+SUMPRODUCT(MAX(ROW(E$2:E1378)*(E1379=E$2:E1378)))))</f>
        <v/>
      </c>
      <c r="J1379" s="24" t="str">
        <f ca="1">IF(OR(E1379="",E1379="!!!",F1379="NEW"),"",COUNTBLANK(OFFSET(A$1,,,SUMPRODUCT(MAX(ROW(E$2:E1379)*(E1379=E$2:E1379)))))-COUNTBLANK(OFFSET(A$1,,,SUMPRODUCT(MAX(ROW(E$1:E1378)*(E2=E$1:E1378))))))</f>
        <v/>
      </c>
      <c r="K1379" s="24" t="str">
        <f>IF(OR(E1379="",E1379="!!!",F1379="NEW"),"",INDEX(J$1:J1378,SUMPRODUCT(MAX(ROW(E$1:E1378)*(E1379=E$1:E1378)))))</f>
        <v/>
      </c>
      <c r="L1379" s="25"/>
    </row>
    <row r="1380" spans="1:12" x14ac:dyDescent="0.2">
      <c r="A1380" t="s">
        <v>963</v>
      </c>
      <c r="E1380" s="20" t="str">
        <f t="shared" si="159"/>
        <v/>
      </c>
      <c r="F1380" s="21" t="str">
        <f>IF(OR(E1380="",E1380="!!!"),"",IF(NOT(ISNA(VLOOKUP(E1380,E$1:E1379,1,FALSE()))),"OLD",IF(AND(E1380&lt;&gt;"",E1380&lt;&gt;"!!!"),"NEW","")))</f>
        <v/>
      </c>
      <c r="G1380" s="22" t="str">
        <f>IF(OR(E1380="",E1380="!!!"),"",IF(OR(J1380=0,AND(J1380=1,K1380=1),AND(J1380=1,I1380="SBJ"),AND(J1380=1,I1380=0)),"?IN_FOCUS",IF(J1380&lt;=2,"?ACTIVATED",IF(J1380&lt;&gt;"","?FAMILIAR",IF(F1380="NEW",IF(ISNA(VLOOKUP(E1380,#REF!,1,FALSE())),"?TYPE_IDENTIFIABLE","?REFERENTIAL"),"_")))))</f>
        <v/>
      </c>
      <c r="H1380" s="23" t="str">
        <f t="shared" ca="1" si="158"/>
        <v/>
      </c>
      <c r="I1380" s="24" t="str">
        <f>IF(OR(E1380="",E1380="!!!",F1380="NEW"),"",INDEX(B$2:B1379,-1+SUMPRODUCT(MAX(ROW(E$2:E1379)*(E1380=E$2:E1379)))))</f>
        <v/>
      </c>
      <c r="J1380" s="24" t="str">
        <f ca="1">IF(OR(E1380="",E1380="!!!",F1380="NEW"),"",COUNTBLANK(OFFSET(A$1,,,SUMPRODUCT(MAX(ROW(E$2:E1380)*(E1380=E$2:E1380)))))-COUNTBLANK(OFFSET(A$1,,,SUMPRODUCT(MAX(ROW(E$1:E1379)*(E2=E$1:E1379))))))</f>
        <v/>
      </c>
      <c r="K1380" s="24" t="str">
        <f>IF(OR(E1380="",E1380="!!!",F1380="NEW"),"",INDEX(J$1:J1379,SUMPRODUCT(MAX(ROW(E$1:E1379)*(E1380=E$1:E1379)))))</f>
        <v/>
      </c>
      <c r="L1380" s="25"/>
    </row>
    <row r="1381" spans="1:12" x14ac:dyDescent="0.2">
      <c r="A1381" t="s">
        <v>809</v>
      </c>
      <c r="E1381" s="20" t="str">
        <f t="shared" si="159"/>
        <v/>
      </c>
      <c r="F1381" s="21" t="str">
        <f>IF(OR(E1381="",E1381="!!!"),"",IF(NOT(ISNA(VLOOKUP(E1381,E$1:E1380,1,FALSE()))),"OLD",IF(AND(E1381&lt;&gt;"",E1381&lt;&gt;"!!!"),"NEW","")))</f>
        <v/>
      </c>
      <c r="G1381" s="22" t="str">
        <f>IF(OR(E1381="",E1381="!!!"),"",IF(OR(J1381=0,AND(J1381=1,K1381=1),AND(J1381=1,I1381="SBJ"),AND(J1381=1,I1381=0)),"?IN_FOCUS",IF(J1381&lt;=2,"?ACTIVATED",IF(J1381&lt;&gt;"","?FAMILIAR",IF(F1381="NEW",IF(ISNA(VLOOKUP(E1381,#REF!,1,FALSE())),"?TYPE_IDENTIFIABLE","?REFERENTIAL"),"_")))))</f>
        <v/>
      </c>
      <c r="H1381" s="23" t="str">
        <f t="shared" ca="1" si="158"/>
        <v/>
      </c>
      <c r="I1381" s="24" t="str">
        <f>IF(OR(E1381="",E1381="!!!",F1381="NEW"),"",INDEX(B$2:B1380,-1+SUMPRODUCT(MAX(ROW(E$2:E1380)*(E1381=E$2:E1380)))))</f>
        <v/>
      </c>
      <c r="J1381" s="24" t="str">
        <f ca="1">IF(OR(E1381="",E1381="!!!",F1381="NEW"),"",COUNTBLANK(OFFSET(A$1,,,SUMPRODUCT(MAX(ROW(E$2:E1381)*(E1381=E$2:E1381)))))-COUNTBLANK(OFFSET(A$1,,,SUMPRODUCT(MAX(ROW(E$1:E1380)*(E2=E$1:E1380))))))</f>
        <v/>
      </c>
      <c r="K1381" s="24" t="str">
        <f>IF(OR(E1381="",E1381="!!!",F1381="NEW"),"",INDEX(J$1:J1380,SUMPRODUCT(MAX(ROW(E$1:E1380)*(E1381=E$1:E1380)))))</f>
        <v/>
      </c>
      <c r="L1381" s="25"/>
    </row>
    <row r="1382" spans="1:12" x14ac:dyDescent="0.2">
      <c r="A1382" t="s">
        <v>1285</v>
      </c>
      <c r="E1382" s="20" t="str">
        <f t="shared" si="159"/>
        <v/>
      </c>
      <c r="F1382" s="21" t="str">
        <f>IF(OR(E1382="",E1382="!!!"),"",IF(NOT(ISNA(VLOOKUP(E1382,E$1:E1381,1,FALSE()))),"OLD",IF(AND(E1382&lt;&gt;"",E1382&lt;&gt;"!!!"),"NEW","")))</f>
        <v/>
      </c>
      <c r="G1382" s="22" t="str">
        <f>IF(OR(E1382="",E1382="!!!"),"",IF(OR(J1382=0,AND(J1382=1,K1382=1),AND(J1382=1,I1382="SBJ"),AND(J1382=1,I1382=0)),"?IN_FOCUS",IF(J1382&lt;=2,"?ACTIVATED",IF(J1382&lt;&gt;"","?FAMILIAR",IF(F1382="NEW",IF(ISNA(VLOOKUP(E1382,#REF!,1,FALSE())),"?TYPE_IDENTIFIABLE","?REFERENTIAL"),"_")))))</f>
        <v/>
      </c>
      <c r="H1382" s="23" t="str">
        <f t="shared" ca="1" si="158"/>
        <v/>
      </c>
      <c r="I1382" s="24" t="str">
        <f>IF(OR(E1382="",E1382="!!!",F1382="NEW"),"",INDEX(B$2:B1381,-1+SUMPRODUCT(MAX(ROW(E$2:E1381)*(E1382=E$2:E1381)))))</f>
        <v/>
      </c>
      <c r="J1382" s="24" t="str">
        <f ca="1">IF(OR(E1382="",E1382="!!!",F1382="NEW"),"",COUNTBLANK(OFFSET(A$1,,,SUMPRODUCT(MAX(ROW(E$2:E1382)*(E1382=E$2:E1382)))))-COUNTBLANK(OFFSET(A$1,,,SUMPRODUCT(MAX(ROW(E$1:E1381)*(E2=E$1:E1381))))))</f>
        <v/>
      </c>
      <c r="K1382" s="24" t="str">
        <f>IF(OR(E1382="",E1382="!!!",F1382="NEW"),"",INDEX(J$1:J1381,SUMPRODUCT(MAX(ROW(E$1:E1381)*(E1382=E$1:E1381)))))</f>
        <v/>
      </c>
      <c r="L1382" s="25"/>
    </row>
    <row r="1383" spans="1:12" x14ac:dyDescent="0.2">
      <c r="A1383" t="s">
        <v>1286</v>
      </c>
      <c r="B1383" s="26" t="s">
        <v>864</v>
      </c>
      <c r="C1383" s="26" t="s">
        <v>811</v>
      </c>
      <c r="E1383" s="20" t="str">
        <f t="shared" si="159"/>
        <v/>
      </c>
      <c r="F1383" s="21" t="str">
        <f>IF(OR(E1383="",E1383="!!!"),"",IF(NOT(ISNA(VLOOKUP(E1383,E$1:E1382,1,FALSE()))),"OLD",IF(AND(E1383&lt;&gt;"",E1383&lt;&gt;"!!!"),"NEW","")))</f>
        <v/>
      </c>
      <c r="G1383" s="22" t="str">
        <f>IF(OR(E1383="",E1383="!!!"),"",IF(OR(J1383=0,AND(J1383=1,K1383=1),AND(J1383=1,I1383="SBJ"),AND(J1383=1,I1383=0)),"?IN_FOCUS",IF(J1383&lt;=2,"?ACTIVATED",IF(J1383&lt;&gt;"","?FAMILIAR",IF(F1383="NEW",IF(ISNA(VLOOKUP(E1383,#REF!,1,FALSE())),"?TYPE_IDENTIFIABLE","?REFERENTIAL"),"_")))))</f>
        <v/>
      </c>
      <c r="H1383" s="23" t="str">
        <f t="shared" ca="1" si="158"/>
        <v/>
      </c>
      <c r="I1383" s="24" t="str">
        <f>IF(OR(E1383="",E1383="!!!",F1383="NEW"),"",INDEX(B$2:B1382,-1+SUMPRODUCT(MAX(ROW(E$2:E1382)*(E1383=E$2:E1382)))))</f>
        <v/>
      </c>
      <c r="J1383" s="24" t="str">
        <f ca="1">IF(OR(E1383="",E1383="!!!",F1383="NEW"),"",COUNTBLANK(OFFSET(A$1,,,SUMPRODUCT(MAX(ROW(E$2:E1383)*(E1383=E$2:E1383)))))-COUNTBLANK(OFFSET(A$1,,,SUMPRODUCT(MAX(ROW(E$1:E1382)*(E2=E$1:E1382))))))</f>
        <v/>
      </c>
      <c r="K1383" s="24" t="str">
        <f>IF(OR(E1383="",E1383="!!!",F1383="NEW"),"",INDEX(J$1:J1382,SUMPRODUCT(MAX(ROW(E$1:E1382)*(E1383=E$1:E1382)))))</f>
        <v/>
      </c>
      <c r="L1383" s="25"/>
    </row>
    <row r="1384" spans="1:12" x14ac:dyDescent="0.2">
      <c r="A1384" t="s">
        <v>1287</v>
      </c>
      <c r="E1384" s="20" t="str">
        <f t="shared" si="159"/>
        <v/>
      </c>
      <c r="F1384" s="21" t="str">
        <f>IF(OR(E1384="",E1384="!!!"),"",IF(NOT(ISNA(VLOOKUP(E1384,E$1:E1383,1,FALSE()))),"OLD",IF(AND(E1384&lt;&gt;"",E1384&lt;&gt;"!!!"),"NEW","")))</f>
        <v/>
      </c>
      <c r="G1384" s="22" t="str">
        <f>IF(OR(E1384="",E1384="!!!"),"",IF(OR(J1384=0,AND(J1384=1,K1384=1),AND(J1384=1,I1384="SBJ"),AND(J1384=1,I1384=0)),"?IN_FOCUS",IF(J1384&lt;=2,"?ACTIVATED",IF(J1384&lt;&gt;"","?FAMILIAR",IF(F1384="NEW",IF(ISNA(VLOOKUP(E1384,#REF!,1,FALSE())),"?TYPE_IDENTIFIABLE","?REFERENTIAL"),"_")))))</f>
        <v/>
      </c>
      <c r="H1384" s="23" t="str">
        <f t="shared" ca="1" si="158"/>
        <v/>
      </c>
      <c r="I1384" s="24" t="str">
        <f>IF(OR(E1384="",E1384="!!!",F1384="NEW"),"",INDEX(B$2:B1383,-1+SUMPRODUCT(MAX(ROW(E$2:E1383)*(E1384=E$2:E1383)))))</f>
        <v/>
      </c>
      <c r="J1384" s="24" t="str">
        <f ca="1">IF(OR(E1384="",E1384="!!!",F1384="NEW"),"",COUNTBLANK(OFFSET(A$1,,,SUMPRODUCT(MAX(ROW(E$2:E1384)*(E1384=E$2:E1384)))))-COUNTBLANK(OFFSET(A$1,,,SUMPRODUCT(MAX(ROW(E$1:E1383)*(E2=E$1:E1383))))))</f>
        <v/>
      </c>
      <c r="K1384" s="24" t="str">
        <f>IF(OR(E1384="",E1384="!!!",F1384="NEW"),"",INDEX(J$1:J1383,SUMPRODUCT(MAX(ROW(E$1:E1383)*(E1384=E$1:E1383)))))</f>
        <v/>
      </c>
      <c r="L1384" s="25"/>
    </row>
    <row r="1385" spans="1:12" x14ac:dyDescent="0.2">
      <c r="A1385" t="s">
        <v>802</v>
      </c>
      <c r="E1385" s="20" t="str">
        <f t="shared" si="159"/>
        <v/>
      </c>
      <c r="F1385" s="21" t="str">
        <f>IF(OR(E1385="",E1385="!!!"),"",IF(NOT(ISNA(VLOOKUP(E1385,E$1:E1384,1,FALSE()))),"OLD",IF(AND(E1385&lt;&gt;"",E1385&lt;&gt;"!!!"),"NEW","")))</f>
        <v/>
      </c>
      <c r="G1385" s="22" t="str">
        <f>IF(OR(E1385="",E1385="!!!"),"",IF(OR(J1385=0,AND(J1385=1,K1385=1),AND(J1385=1,I1385="SBJ"),AND(J1385=1,I1385=0)),"?IN_FOCUS",IF(J1385&lt;=2,"?ACTIVATED",IF(J1385&lt;&gt;"","?FAMILIAR",IF(F1385="NEW",IF(ISNA(VLOOKUP(E1385,#REF!,1,FALSE())),"?TYPE_IDENTIFIABLE","?REFERENTIAL"),"_")))))</f>
        <v/>
      </c>
      <c r="H1385" s="23" t="str">
        <f t="shared" ca="1" si="158"/>
        <v/>
      </c>
      <c r="I1385" s="24" t="str">
        <f>IF(OR(E1385="",E1385="!!!",F1385="NEW"),"",INDEX(B$2:B1384,-1+SUMPRODUCT(MAX(ROW(E$2:E1384)*(E1385=E$2:E1384)))))</f>
        <v/>
      </c>
      <c r="J1385" s="24" t="str">
        <f ca="1">IF(OR(E1385="",E1385="!!!",F1385="NEW"),"",COUNTBLANK(OFFSET(A$1,,,SUMPRODUCT(MAX(ROW(E$2:E1385)*(E1385=E$2:E1385)))))-COUNTBLANK(OFFSET(A$1,,,SUMPRODUCT(MAX(ROW(E$1:E1384)*(E2=E$1:E1384))))))</f>
        <v/>
      </c>
      <c r="K1385" s="24" t="str">
        <f>IF(OR(E1385="",E1385="!!!",F1385="NEW"),"",INDEX(J$1:J1384,SUMPRODUCT(MAX(ROW(E$1:E1384)*(E1385=E$1:E1384)))))</f>
        <v/>
      </c>
      <c r="L1385" s="25"/>
    </row>
    <row r="1386" spans="1:12" x14ac:dyDescent="0.2">
      <c r="A1386" t="s">
        <v>888</v>
      </c>
      <c r="E1386" s="20" t="str">
        <f t="shared" si="159"/>
        <v/>
      </c>
      <c r="F1386" s="21" t="str">
        <f>IF(OR(E1386="",E1386="!!!"),"",IF(NOT(ISNA(VLOOKUP(E1386,E$1:E1385,1,FALSE()))),"OLD",IF(AND(E1386&lt;&gt;"",E1386&lt;&gt;"!!!"),"NEW","")))</f>
        <v/>
      </c>
      <c r="G1386" s="22" t="str">
        <f>IF(OR(E1386="",E1386="!!!"),"",IF(OR(J1386=0,AND(J1386=1,K1386=1),AND(J1386=1,I1386="SBJ"),AND(J1386=1,I1386=0)),"?IN_FOCUS",IF(J1386&lt;=2,"?ACTIVATED",IF(J1386&lt;&gt;"","?FAMILIAR",IF(F1386="NEW",IF(ISNA(VLOOKUP(E1386,#REF!,1,FALSE())),"?TYPE_IDENTIFIABLE","?REFERENTIAL"),"_")))))</f>
        <v/>
      </c>
      <c r="H1386" s="23" t="str">
        <f t="shared" ca="1" si="158"/>
        <v/>
      </c>
      <c r="I1386" s="24" t="str">
        <f>IF(OR(E1386="",E1386="!!!",F1386="NEW"),"",INDEX(B$2:B1385,-1+SUMPRODUCT(MAX(ROW(E$2:E1385)*(E1386=E$2:E1385)))))</f>
        <v/>
      </c>
      <c r="J1386" s="24" t="str">
        <f ca="1">IF(OR(E1386="",E1386="!!!",F1386="NEW"),"",COUNTBLANK(OFFSET(A$1,,,SUMPRODUCT(MAX(ROW(E$2:E1386)*(E1386=E$2:E1386)))))-COUNTBLANK(OFFSET(A$1,,,SUMPRODUCT(MAX(ROW(E$1:E1385)*(E2=E$1:E1385))))))</f>
        <v/>
      </c>
      <c r="K1386" s="24" t="str">
        <f>IF(OR(E1386="",E1386="!!!",F1386="NEW"),"",INDEX(J$1:J1385,SUMPRODUCT(MAX(ROW(E$1:E1385)*(E1386=E$1:E1385)))))</f>
        <v/>
      </c>
      <c r="L1386" s="25"/>
    </row>
    <row r="1387" spans="1:12" x14ac:dyDescent="0.2">
      <c r="A1387" t="s">
        <v>1288</v>
      </c>
      <c r="B1387" s="26" t="s">
        <v>950</v>
      </c>
      <c r="E1387" s="20" t="str">
        <f t="shared" si="159"/>
        <v/>
      </c>
      <c r="F1387" s="21" t="str">
        <f>IF(OR(E1387="",E1387="!!!"),"",IF(NOT(ISNA(VLOOKUP(E1387,E$1:E1386,1,FALSE()))),"OLD",IF(AND(E1387&lt;&gt;"",E1387&lt;&gt;"!!!"),"NEW","")))</f>
        <v/>
      </c>
      <c r="G1387" s="22" t="str">
        <f>IF(OR(E1387="",E1387="!!!"),"",IF(OR(J1387=0,AND(J1387=1,K1387=1),AND(J1387=1,I1387="SBJ"),AND(J1387=1,I1387=0)),"?IN_FOCUS",IF(J1387&lt;=2,"?ACTIVATED",IF(J1387&lt;&gt;"","?FAMILIAR",IF(F1387="NEW",IF(ISNA(VLOOKUP(E1387,#REF!,1,FALSE())),"?TYPE_IDENTIFIABLE","?REFERENTIAL"),"_")))))</f>
        <v/>
      </c>
      <c r="H1387" s="23" t="str">
        <f t="shared" ca="1" si="158"/>
        <v/>
      </c>
      <c r="I1387" s="24" t="str">
        <f>IF(OR(E1387="",E1387="!!!",F1387="NEW"),"",INDEX(B$2:B1386,-1+SUMPRODUCT(MAX(ROW(E$2:E1386)*(E1387=E$2:E1386)))))</f>
        <v/>
      </c>
      <c r="J1387" s="24" t="str">
        <f ca="1">IF(OR(E1387="",E1387="!!!",F1387="NEW"),"",COUNTBLANK(OFFSET(A$1,,,SUMPRODUCT(MAX(ROW(E$2:E1387)*(E1387=E$2:E1387)))))-COUNTBLANK(OFFSET(A$1,,,SUMPRODUCT(MAX(ROW(E$1:E1386)*(E2=E$1:E1386))))))</f>
        <v/>
      </c>
      <c r="K1387" s="24" t="str">
        <f>IF(OR(E1387="",E1387="!!!",F1387="NEW"),"",INDEX(J$1:J1386,SUMPRODUCT(MAX(ROW(E$1:E1386)*(E1387=E$1:E1386)))))</f>
        <v/>
      </c>
      <c r="L1387" s="25"/>
    </row>
    <row r="1388" spans="1:12" x14ac:dyDescent="0.2">
      <c r="A1388" t="s">
        <v>866</v>
      </c>
      <c r="B1388" s="26" t="s">
        <v>944</v>
      </c>
      <c r="C1388" s="26" t="s">
        <v>805</v>
      </c>
      <c r="D1388" s="26" t="s">
        <v>806</v>
      </c>
      <c r="E1388" s="20" t="s">
        <v>1761</v>
      </c>
      <c r="F1388" s="21" t="str">
        <f>IF(OR(E1388="",E1388="!!!"),"",IF(NOT(ISNA(VLOOKUP(E1388,E$1:E1387,1,FALSE()))),"OLD",IF(AND(E1388&lt;&gt;"",E1388&lt;&gt;"!!!"),"NEW","")))</f>
        <v>OLD</v>
      </c>
      <c r="G1388" s="22" t="s">
        <v>1823</v>
      </c>
      <c r="H1388" s="23" t="str">
        <f t="shared" ca="1" si="158"/>
        <v/>
      </c>
      <c r="I1388" s="24" t="str">
        <f>IF(OR(E1388="",E1388="!!!",F1388="NEW"),"",INDEX(B$2:B1387,-1+SUMPRODUCT(MAX(ROW(E$2:E1387)*(E1388=E$2:E1387)))))</f>
        <v>SBJ</v>
      </c>
      <c r="J1388" s="24">
        <f ca="1">IF(OR(E1388="",E1388="!!!",F1388="NEW"),"",COUNTBLANK(OFFSET(A$1,,,SUMPRODUCT(MAX(ROW(E$2:E1388)*(E1388=E$2:E1388)))))-COUNTBLANK(OFFSET(A$1,,,SUMPRODUCT(MAX(ROW(E$1:E1387)*(E2=E$1:E1387))))))</f>
        <v>0</v>
      </c>
      <c r="K1388" s="24">
        <f ca="1">IF(OR(E1388="",E1388="!!!",F1388="NEW"),"",INDEX(J$1:J1387,SUMPRODUCT(MAX(ROW(E$1:E1387)*(E1388=E$1:E1387)))))</f>
        <v>0</v>
      </c>
      <c r="L1388" s="25"/>
    </row>
    <row r="1389" spans="1:12" x14ac:dyDescent="0.2">
      <c r="A1389" t="s">
        <v>360</v>
      </c>
      <c r="E1389" s="20" t="str">
        <f t="shared" si="159"/>
        <v/>
      </c>
      <c r="F1389" s="21" t="str">
        <f>IF(OR(E1389="",E1389="!!!"),"",IF(NOT(ISNA(VLOOKUP(E1389,E$1:E1388,1,FALSE()))),"OLD",IF(AND(E1389&lt;&gt;"",E1389&lt;&gt;"!!!"),"NEW","")))</f>
        <v/>
      </c>
      <c r="G1389" s="22" t="str">
        <f>IF(OR(E1389="",E1389="!!!"),"",IF(OR(J1389=0,AND(J1389=1,K1389=1),AND(J1389=1,I1389="SBJ"),AND(J1389=1,I1389=0)),"?IN_FOCUS",IF(J1389&lt;=2,"?ACTIVATED",IF(J1389&lt;&gt;"","?FAMILIAR",IF(F1389="NEW",IF(ISNA(VLOOKUP(E1389,#REF!,1,FALSE())),"?TYPE_IDENTIFIABLE","?REFERENTIAL"),"_")))))</f>
        <v/>
      </c>
      <c r="H1389" s="23" t="str">
        <f t="shared" ca="1" si="158"/>
        <v/>
      </c>
      <c r="I1389" s="24" t="str">
        <f>IF(OR(E1389="",E1389="!!!",F1389="NEW"),"",INDEX(B$2:B1388,-1+SUMPRODUCT(MAX(ROW(E$2:E1388)*(E1389=E$2:E1388)))))</f>
        <v/>
      </c>
      <c r="J1389" s="24" t="str">
        <f ca="1">IF(OR(E1389="",E1389="!!!",F1389="NEW"),"",COUNTBLANK(OFFSET(A$1,,,SUMPRODUCT(MAX(ROW(E$2:E1389)*(E1389=E$2:E1389)))))-COUNTBLANK(OFFSET(A$1,,,SUMPRODUCT(MAX(ROW(E$1:E1388)*(E2=E$1:E1388))))))</f>
        <v/>
      </c>
      <c r="K1389" s="24" t="str">
        <f>IF(OR(E1389="",E1389="!!!",F1389="NEW"),"",INDEX(J$1:J1388,SUMPRODUCT(MAX(ROW(E$1:E1388)*(E1389=E$1:E1388)))))</f>
        <v/>
      </c>
      <c r="L1389" s="25"/>
    </row>
    <row r="1390" spans="1:12" x14ac:dyDescent="0.2">
      <c r="A1390" t="s">
        <v>1018</v>
      </c>
      <c r="E1390" s="20" t="str">
        <f t="shared" si="159"/>
        <v/>
      </c>
      <c r="F1390" s="21" t="str">
        <f>IF(OR(E1390="",E1390="!!!"),"",IF(NOT(ISNA(VLOOKUP(E1390,E$1:E1389,1,FALSE()))),"OLD",IF(AND(E1390&lt;&gt;"",E1390&lt;&gt;"!!!"),"NEW","")))</f>
        <v/>
      </c>
      <c r="G1390" s="22" t="str">
        <f>IF(OR(E1390="",E1390="!!!"),"",IF(OR(J1390=0,AND(J1390=1,K1390=1),AND(J1390=1,I1390="SBJ"),AND(J1390=1,I1390=0)),"?IN_FOCUS",IF(J1390&lt;=2,"?ACTIVATED",IF(J1390&lt;&gt;"","?FAMILIAR",IF(F1390="NEW",IF(ISNA(VLOOKUP(E1390,#REF!,1,FALSE())),"?TYPE_IDENTIFIABLE","?REFERENTIAL"),"_")))))</f>
        <v/>
      </c>
      <c r="H1390" s="23" t="str">
        <f t="shared" ca="1" si="158"/>
        <v/>
      </c>
      <c r="I1390" s="24" t="str">
        <f>IF(OR(E1390="",E1390="!!!",F1390="NEW"),"",INDEX(B$2:B1389,-1+SUMPRODUCT(MAX(ROW(E$2:E1389)*(E1390=E$2:E1389)))))</f>
        <v/>
      </c>
      <c r="J1390" s="24" t="str">
        <f ca="1">IF(OR(E1390="",E1390="!!!",F1390="NEW"),"",COUNTBLANK(OFFSET(A$1,,,SUMPRODUCT(MAX(ROW(E$2:E1390)*(E1390=E$2:E1390)))))-COUNTBLANK(OFFSET(A$1,,,SUMPRODUCT(MAX(ROW(E$1:E1389)*(E2=E$1:E1389))))))</f>
        <v/>
      </c>
      <c r="K1390" s="24" t="str">
        <f>IF(OR(E1390="",E1390="!!!",F1390="NEW"),"",INDEX(J$1:J1389,SUMPRODUCT(MAX(ROW(E$1:E1389)*(E1390=E$1:E1389)))))</f>
        <v/>
      </c>
      <c r="L1390" s="25"/>
    </row>
    <row r="1391" spans="1:12" x14ac:dyDescent="0.2">
      <c r="A1391" t="s">
        <v>1265</v>
      </c>
      <c r="E1391" s="20" t="str">
        <f t="shared" si="159"/>
        <v/>
      </c>
      <c r="F1391" s="21" t="str">
        <f>IF(OR(E1391="",E1391="!!!"),"",IF(NOT(ISNA(VLOOKUP(E1391,E$1:E1390,1,FALSE()))),"OLD",IF(AND(E1391&lt;&gt;"",E1391&lt;&gt;"!!!"),"NEW","")))</f>
        <v/>
      </c>
      <c r="G1391" s="22" t="str">
        <f>IF(OR(E1391="",E1391="!!!"),"",IF(OR(J1391=0,AND(J1391=1,K1391=1),AND(J1391=1,I1391="SBJ"),AND(J1391=1,I1391=0)),"?IN_FOCUS",IF(J1391&lt;=2,"?ACTIVATED",IF(J1391&lt;&gt;"","?FAMILIAR",IF(F1391="NEW",IF(ISNA(VLOOKUP(E1391,#REF!,1,FALSE())),"?TYPE_IDENTIFIABLE","?REFERENTIAL"),"_")))))</f>
        <v/>
      </c>
      <c r="H1391" s="23" t="str">
        <f t="shared" ca="1" si="158"/>
        <v/>
      </c>
      <c r="I1391" s="24" t="str">
        <f>IF(OR(E1391="",E1391="!!!",F1391="NEW"),"",INDEX(B$2:B1390,-1+SUMPRODUCT(MAX(ROW(E$2:E1390)*(E1391=E$2:E1390)))))</f>
        <v/>
      </c>
      <c r="J1391" s="24" t="str">
        <f ca="1">IF(OR(E1391="",E1391="!!!",F1391="NEW"),"",COUNTBLANK(OFFSET(A$1,,,SUMPRODUCT(MAX(ROW(E$2:E1391)*(E1391=E$2:E1391)))))-COUNTBLANK(OFFSET(A$1,,,SUMPRODUCT(MAX(ROW(E$1:E1390)*(E2=E$1:E1390))))))</f>
        <v/>
      </c>
      <c r="K1391" s="24" t="str">
        <f>IF(OR(E1391="",E1391="!!!",F1391="NEW"),"",INDEX(J$1:J1390,SUMPRODUCT(MAX(ROW(E$1:E1390)*(E1391=E$1:E1390)))))</f>
        <v/>
      </c>
      <c r="L1391" s="25"/>
    </row>
    <row r="1392" spans="1:12" x14ac:dyDescent="0.2">
      <c r="A1392" t="s">
        <v>1229</v>
      </c>
      <c r="B1392" s="26" t="s">
        <v>819</v>
      </c>
      <c r="C1392" s="26" t="s">
        <v>884</v>
      </c>
      <c r="E1392" s="20" t="str">
        <f t="shared" si="159"/>
        <v/>
      </c>
      <c r="F1392" s="21" t="str">
        <f>IF(OR(E1392="",E1392="!!!"),"",IF(NOT(ISNA(VLOOKUP(E1392,E$1:E1391,1,FALSE()))),"OLD",IF(AND(E1392&lt;&gt;"",E1392&lt;&gt;"!!!"),"NEW","")))</f>
        <v/>
      </c>
      <c r="G1392" s="22" t="str">
        <f>IF(OR(E1392="",E1392="!!!"),"",IF(OR(J1392=0,AND(J1392=1,K1392=1),AND(J1392=1,I1392="SBJ"),AND(J1392=1,I1392=0)),"?IN_FOCUS",IF(J1392&lt;=2,"?ACTIVATED",IF(J1392&lt;&gt;"","?FAMILIAR",IF(F1392="NEW",IF(ISNA(VLOOKUP(E1392,#REF!,1,FALSE())),"?TYPE_IDENTIFIABLE","?REFERENTIAL"),"_")))))</f>
        <v/>
      </c>
      <c r="H1392" s="23" t="str">
        <f t="shared" ca="1" si="158"/>
        <v/>
      </c>
      <c r="I1392" s="24" t="str">
        <f>IF(OR(E1392="",E1392="!!!",F1392="NEW"),"",INDEX(B$2:B1391,-1+SUMPRODUCT(MAX(ROW(E$2:E1391)*(E1392=E$2:E1391)))))</f>
        <v/>
      </c>
      <c r="J1392" s="24" t="str">
        <f ca="1">IF(OR(E1392="",E1392="!!!",F1392="NEW"),"",COUNTBLANK(OFFSET(A$1,,,SUMPRODUCT(MAX(ROW(E$2:E1392)*(E1392=E$2:E1392)))))-COUNTBLANK(OFFSET(A$1,,,SUMPRODUCT(MAX(ROW(E$1:E1391)*(E2=E$1:E1391))))))</f>
        <v/>
      </c>
      <c r="K1392" s="24" t="str">
        <f>IF(OR(E1392="",E1392="!!!",F1392="NEW"),"",INDEX(J$1:J1391,SUMPRODUCT(MAX(ROW(E$1:E1391)*(E1392=E$1:E1391)))))</f>
        <v/>
      </c>
      <c r="L1392" s="25"/>
    </row>
    <row r="1393" spans="1:12" x14ac:dyDescent="0.2">
      <c r="A1393" t="s">
        <v>888</v>
      </c>
      <c r="E1393" s="20" t="str">
        <f t="shared" si="159"/>
        <v/>
      </c>
      <c r="F1393" s="21" t="str">
        <f>IF(OR(E1393="",E1393="!!!"),"",IF(NOT(ISNA(VLOOKUP(E1393,E$1:E1392,1,FALSE()))),"OLD",IF(AND(E1393&lt;&gt;"",E1393&lt;&gt;"!!!"),"NEW","")))</f>
        <v/>
      </c>
      <c r="G1393" s="22" t="str">
        <f>IF(OR(E1393="",E1393="!!!"),"",IF(OR(J1393=0,AND(J1393=1,K1393=1),AND(J1393=1,I1393="SBJ"),AND(J1393=1,I1393=0)),"?IN_FOCUS",IF(J1393&lt;=2,"?ACTIVATED",IF(J1393&lt;&gt;"","?FAMILIAR",IF(F1393="NEW",IF(ISNA(VLOOKUP(E1393,#REF!,1,FALSE())),"?TYPE_IDENTIFIABLE","?REFERENTIAL"),"_")))))</f>
        <v/>
      </c>
      <c r="H1393" s="23" t="str">
        <f t="shared" ca="1" si="158"/>
        <v/>
      </c>
      <c r="I1393" s="24" t="str">
        <f>IF(OR(E1393="",E1393="!!!",F1393="NEW"),"",INDEX(B$2:B1392,-1+SUMPRODUCT(MAX(ROW(E$2:E1392)*(E1393=E$2:E1392)))))</f>
        <v/>
      </c>
      <c r="J1393" s="24" t="str">
        <f ca="1">IF(OR(E1393="",E1393="!!!",F1393="NEW"),"",COUNTBLANK(OFFSET(A$1,,,SUMPRODUCT(MAX(ROW(E$2:E1393)*(E1393=E$2:E1393)))))-COUNTBLANK(OFFSET(A$1,,,SUMPRODUCT(MAX(ROW(E$1:E1392)*(E2=E$1:E1392))))))</f>
        <v/>
      </c>
      <c r="K1393" s="24" t="str">
        <f>IF(OR(E1393="",E1393="!!!",F1393="NEW"),"",INDEX(J$1:J1392,SUMPRODUCT(MAX(ROW(E$1:E1392)*(E1393=E$1:E1392)))))</f>
        <v/>
      </c>
      <c r="L1393" s="25"/>
    </row>
    <row r="1394" spans="1:12" x14ac:dyDescent="0.2">
      <c r="A1394" t="s">
        <v>875</v>
      </c>
      <c r="E1394" s="20" t="str">
        <f t="shared" si="159"/>
        <v/>
      </c>
      <c r="F1394" s="21" t="str">
        <f>IF(OR(E1394="",E1394="!!!"),"",IF(NOT(ISNA(VLOOKUP(E1394,E$1:E1393,1,FALSE()))),"OLD",IF(AND(E1394&lt;&gt;"",E1394&lt;&gt;"!!!"),"NEW","")))</f>
        <v/>
      </c>
      <c r="G1394" s="22" t="str">
        <f>IF(OR(E1394="",E1394="!!!"),"",IF(OR(J1394=0,AND(J1394=1,K1394=1),AND(J1394=1,I1394="SBJ"),AND(J1394=1,I1394=0)),"?IN_FOCUS",IF(J1394&lt;=2,"?ACTIVATED",IF(J1394&lt;&gt;"","?FAMILIAR",IF(F1394="NEW",IF(ISNA(VLOOKUP(E1394,#REF!,1,FALSE())),"?TYPE_IDENTIFIABLE","?REFERENTIAL"),"_")))))</f>
        <v/>
      </c>
      <c r="H1394" s="23" t="str">
        <f t="shared" ca="1" si="158"/>
        <v/>
      </c>
      <c r="I1394" s="24" t="str">
        <f>IF(OR(E1394="",E1394="!!!",F1394="NEW"),"",INDEX(B$2:B1393,-1+SUMPRODUCT(MAX(ROW(E$2:E1393)*(E1394=E$2:E1393)))))</f>
        <v/>
      </c>
      <c r="J1394" s="24" t="str">
        <f ca="1">IF(OR(E1394="",E1394="!!!",F1394="NEW"),"",COUNTBLANK(OFFSET(A$1,,,SUMPRODUCT(MAX(ROW(E$2:E1394)*(E1394=E$2:E1394)))))-COUNTBLANK(OFFSET(A$1,,,SUMPRODUCT(MAX(ROW(E$1:E1393)*(E2=E$1:E1393))))))</f>
        <v/>
      </c>
      <c r="K1394" s="24" t="str">
        <f>IF(OR(E1394="",E1394="!!!",F1394="NEW"),"",INDEX(J$1:J1393,SUMPRODUCT(MAX(ROW(E$1:E1393)*(E1394=E$1:E1393)))))</f>
        <v/>
      </c>
      <c r="L1394" s="25"/>
    </row>
    <row r="1395" spans="1:12" x14ac:dyDescent="0.2">
      <c r="A1395" t="s">
        <v>1289</v>
      </c>
      <c r="E1395" s="20" t="str">
        <f t="shared" si="159"/>
        <v/>
      </c>
      <c r="F1395" s="21" t="str">
        <f>IF(OR(E1395="",E1395="!!!"),"",IF(NOT(ISNA(VLOOKUP(E1395,E$1:E1394,1,FALSE()))),"OLD",IF(AND(E1395&lt;&gt;"",E1395&lt;&gt;"!!!"),"NEW","")))</f>
        <v/>
      </c>
      <c r="G1395" s="22" t="str">
        <f>IF(OR(E1395="",E1395="!!!"),"",IF(OR(J1395=0,AND(J1395=1,K1395=1),AND(J1395=1,I1395="SBJ"),AND(J1395=1,I1395=0)),"?IN_FOCUS",IF(J1395&lt;=2,"?ACTIVATED",IF(J1395&lt;&gt;"","?FAMILIAR",IF(F1395="NEW",IF(ISNA(VLOOKUP(E1395,#REF!,1,FALSE())),"?TYPE_IDENTIFIABLE","?REFERENTIAL"),"_")))))</f>
        <v/>
      </c>
      <c r="H1395" s="23" t="str">
        <f t="shared" ca="1" si="158"/>
        <v/>
      </c>
      <c r="I1395" s="24" t="str">
        <f>IF(OR(E1395="",E1395="!!!",F1395="NEW"),"",INDEX(B$2:B1394,-1+SUMPRODUCT(MAX(ROW(E$2:E1394)*(E1395=E$2:E1394)))))</f>
        <v/>
      </c>
      <c r="J1395" s="24" t="str">
        <f ca="1">IF(OR(E1395="",E1395="!!!",F1395="NEW"),"",COUNTBLANK(OFFSET(A$1,,,SUMPRODUCT(MAX(ROW(E$2:E1395)*(E1395=E$2:E1395)))))-COUNTBLANK(OFFSET(A$1,,,SUMPRODUCT(MAX(ROW(E$1:E1394)*(E2=E$1:E1394))))))</f>
        <v/>
      </c>
      <c r="K1395" s="24" t="str">
        <f>IF(OR(E1395="",E1395="!!!",F1395="NEW"),"",INDEX(J$1:J1394,SUMPRODUCT(MAX(ROW(E$1:E1394)*(E1395=E$1:E1394)))))</f>
        <v/>
      </c>
      <c r="L1395" s="25"/>
    </row>
    <row r="1396" spans="1:12" x14ac:dyDescent="0.2">
      <c r="A1396" t="s">
        <v>802</v>
      </c>
      <c r="E1396" s="20" t="str">
        <f t="shared" si="159"/>
        <v/>
      </c>
      <c r="F1396" s="21" t="str">
        <f>IF(OR(E1396="",E1396="!!!"),"",IF(NOT(ISNA(VLOOKUP(E1396,E$1:E1395,1,FALSE()))),"OLD",IF(AND(E1396&lt;&gt;"",E1396&lt;&gt;"!!!"),"NEW","")))</f>
        <v/>
      </c>
      <c r="G1396" s="22" t="str">
        <f>IF(OR(E1396="",E1396="!!!"),"",IF(OR(J1396=0,AND(J1396=1,K1396=1),AND(J1396=1,I1396="SBJ"),AND(J1396=1,I1396=0)),"?IN_FOCUS",IF(J1396&lt;=2,"?ACTIVATED",IF(J1396&lt;&gt;"","?FAMILIAR",IF(F1396="NEW",IF(ISNA(VLOOKUP(E1396,#REF!,1,FALSE())),"?TYPE_IDENTIFIABLE","?REFERENTIAL"),"_")))))</f>
        <v/>
      </c>
      <c r="H1396" s="23" t="str">
        <f t="shared" ca="1" si="158"/>
        <v/>
      </c>
      <c r="I1396" s="24" t="str">
        <f>IF(OR(E1396="",E1396="!!!",F1396="NEW"),"",INDEX(B$2:B1395,-1+SUMPRODUCT(MAX(ROW(E$2:E1395)*(E1396=E$2:E1395)))))</f>
        <v/>
      </c>
      <c r="J1396" s="24" t="str">
        <f ca="1">IF(OR(E1396="",E1396="!!!",F1396="NEW"),"",COUNTBLANK(OFFSET(A$1,,,SUMPRODUCT(MAX(ROW(E$2:E1396)*(E1396=E$2:E1396)))))-COUNTBLANK(OFFSET(A$1,,,SUMPRODUCT(MAX(ROW(E$1:E1395)*(E2=E$1:E1395))))))</f>
        <v/>
      </c>
      <c r="K1396" s="24" t="str">
        <f>IF(OR(E1396="",E1396="!!!",F1396="NEW"),"",INDEX(J$1:J1395,SUMPRODUCT(MAX(ROW(E$1:E1395)*(E1396=E$1:E1395)))))</f>
        <v/>
      </c>
      <c r="L1396" s="25"/>
    </row>
    <row r="1397" spans="1:12" x14ac:dyDescent="0.2">
      <c r="A1397" t="s">
        <v>1290</v>
      </c>
      <c r="E1397" s="20" t="str">
        <f t="shared" si="159"/>
        <v/>
      </c>
      <c r="F1397" s="21" t="str">
        <f>IF(OR(E1397="",E1397="!!!"),"",IF(NOT(ISNA(VLOOKUP(E1397,E$1:E1396,1,FALSE()))),"OLD",IF(AND(E1397&lt;&gt;"",E1397&lt;&gt;"!!!"),"NEW","")))</f>
        <v/>
      </c>
      <c r="G1397" s="22" t="str">
        <f>IF(OR(E1397="",E1397="!!!"),"",IF(OR(J1397=0,AND(J1397=1,K1397=1),AND(J1397=1,I1397="SBJ"),AND(J1397=1,I1397=0)),"?IN_FOCUS",IF(J1397&lt;=2,"?ACTIVATED",IF(J1397&lt;&gt;"","?FAMILIAR",IF(F1397="NEW",IF(ISNA(VLOOKUP(E1397,#REF!,1,FALSE())),"?TYPE_IDENTIFIABLE","?REFERENTIAL"),"_")))))</f>
        <v/>
      </c>
      <c r="H1397" s="23" t="str">
        <f t="shared" ca="1" si="158"/>
        <v/>
      </c>
      <c r="I1397" s="24" t="str">
        <f>IF(OR(E1397="",E1397="!!!",F1397="NEW"),"",INDEX(B$2:B1396,-1+SUMPRODUCT(MAX(ROW(E$2:E1396)*(E1397=E$2:E1396)))))</f>
        <v/>
      </c>
      <c r="J1397" s="24" t="str">
        <f ca="1">IF(OR(E1397="",E1397="!!!",F1397="NEW"),"",COUNTBLANK(OFFSET(A$1,,,SUMPRODUCT(MAX(ROW(E$2:E1397)*(E1397=E$2:E1397)))))-COUNTBLANK(OFFSET(A$1,,,SUMPRODUCT(MAX(ROW(E$1:E1396)*(E2=E$1:E1396))))))</f>
        <v/>
      </c>
      <c r="K1397" s="24" t="str">
        <f>IF(OR(E1397="",E1397="!!!",F1397="NEW"),"",INDEX(J$1:J1396,SUMPRODUCT(MAX(ROW(E$1:E1396)*(E1397=E$1:E1396)))))</f>
        <v/>
      </c>
      <c r="L1397" s="25"/>
    </row>
    <row r="1398" spans="1:12" x14ac:dyDescent="0.2">
      <c r="A1398" t="s">
        <v>1291</v>
      </c>
      <c r="B1398" s="26" t="s">
        <v>819</v>
      </c>
      <c r="C1398" s="26" t="s">
        <v>877</v>
      </c>
      <c r="D1398" s="26" t="s">
        <v>806</v>
      </c>
      <c r="E1398" s="20" t="s">
        <v>1291</v>
      </c>
      <c r="F1398" s="21" t="str">
        <f>IF(OR(E1398="",E1398="!!!"),"",IF(NOT(ISNA(VLOOKUP(E1398,E$1:E1397,1,FALSE()))),"OLD",IF(AND(E1398&lt;&gt;"",E1398&lt;&gt;"!!!"),"NEW","")))</f>
        <v>NEW</v>
      </c>
      <c r="G1398" s="22" t="s">
        <v>1824</v>
      </c>
      <c r="H1398" s="23" t="str">
        <f t="shared" ca="1" si="158"/>
        <v/>
      </c>
      <c r="I1398" s="24" t="str">
        <f>IF(OR(E1398="",E1398="!!!",F1398="NEW"),"",INDEX(B$2:B1397,-1+SUMPRODUCT(MAX(ROW(E$2:E1397)*(E1398=E$2:E1397)))))</f>
        <v/>
      </c>
      <c r="J1398" s="24" t="str">
        <f ca="1">IF(OR(E1398="",E1398="!!!",F1398="NEW"),"",COUNTBLANK(OFFSET(A$1,,,SUMPRODUCT(MAX(ROW(E$2:E1398)*(E1398=E$2:E1398)))))-COUNTBLANK(OFFSET(A$1,,,SUMPRODUCT(MAX(ROW(E$1:E1397)*(E2=E$1:E1397))))))</f>
        <v/>
      </c>
      <c r="K1398" s="24" t="str">
        <f>IF(OR(E1398="",E1398="!!!",F1398="NEW"),"",INDEX(J$1:J1397,SUMPRODUCT(MAX(ROW(E$1:E1397)*(E1398=E$1:E1397)))))</f>
        <v/>
      </c>
      <c r="L1398" s="25"/>
    </row>
    <row r="1399" spans="1:12" x14ac:dyDescent="0.2">
      <c r="A1399" t="s">
        <v>821</v>
      </c>
      <c r="E1399" s="20" t="str">
        <f t="shared" si="159"/>
        <v/>
      </c>
      <c r="F1399" s="21" t="str">
        <f>IF(OR(E1399="",E1399="!!!"),"",IF(NOT(ISNA(VLOOKUP(E1399,E$1:E1398,1,FALSE()))),"OLD",IF(AND(E1399&lt;&gt;"",E1399&lt;&gt;"!!!"),"NEW","")))</f>
        <v/>
      </c>
      <c r="G1399" s="22" t="str">
        <f>IF(OR(E1399="",E1399="!!!"),"",IF(OR(J1399=0,AND(J1399=1,K1399=1),AND(J1399=1,I1399="SBJ"),AND(J1399=1,I1399=0)),"?IN_FOCUS",IF(J1399&lt;=2,"?ACTIVATED",IF(J1399&lt;&gt;"","?FAMILIAR",IF(F1399="NEW",IF(ISNA(VLOOKUP(E1399,#REF!,1,FALSE())),"?TYPE_IDENTIFIABLE","?REFERENTIAL"),"_")))))</f>
        <v/>
      </c>
      <c r="H1399" s="23" t="str">
        <f t="shared" ca="1" si="158"/>
        <v/>
      </c>
      <c r="I1399" s="24" t="str">
        <f>IF(OR(E1399="",E1399="!!!",F1399="NEW"),"",INDEX(B$2:B1398,-1+SUMPRODUCT(MAX(ROW(E$2:E1398)*(E1399=E$2:E1398)))))</f>
        <v/>
      </c>
      <c r="J1399" s="24" t="str">
        <f ca="1">IF(OR(E1399="",E1399="!!!",F1399="NEW"),"",COUNTBLANK(OFFSET(A$1,,,SUMPRODUCT(MAX(ROW(E$2:E1399)*(E1399=E$2:E1399)))))-COUNTBLANK(OFFSET(A$1,,,SUMPRODUCT(MAX(ROW(E$1:E1398)*(E2=E$1:E1398))))))</f>
        <v/>
      </c>
      <c r="K1399" s="24" t="str">
        <f>IF(OR(E1399="",E1399="!!!",F1399="NEW"),"",INDEX(J$1:J1398,SUMPRODUCT(MAX(ROW(E$1:E1398)*(E1399=E$1:E1398)))))</f>
        <v/>
      </c>
      <c r="L1399" s="25"/>
    </row>
    <row r="1401" spans="1:12" x14ac:dyDescent="0.2">
      <c r="A1401" t="s">
        <v>1292</v>
      </c>
    </row>
    <row r="1402" spans="1:12" x14ac:dyDescent="0.2">
      <c r="A1402" t="s">
        <v>803</v>
      </c>
      <c r="B1402" s="26" t="s">
        <v>804</v>
      </c>
      <c r="C1402" s="26" t="s">
        <v>805</v>
      </c>
      <c r="D1402" s="26" t="s">
        <v>806</v>
      </c>
      <c r="E1402" s="20" t="s">
        <v>1747</v>
      </c>
      <c r="F1402" s="21" t="s">
        <v>1753</v>
      </c>
      <c r="G1402" s="22" t="s">
        <v>1823</v>
      </c>
      <c r="H1402" s="23" t="str">
        <f t="shared" ref="H1402:H1410" ca="1" si="160">IF(J1402&lt;&gt;1,"",IF(I1402="SBJ","CB","?"))</f>
        <v/>
      </c>
      <c r="I1402" s="24" t="str">
        <f>IF(OR(E1402="",E1402="!!!",F1402="NEW"),"",INDEX(B$2:B1401,-1+SUMPRODUCT(MAX(ROW(E$2:E1401)*(E1402=E$2:E1401)))))</f>
        <v>SBJ_2</v>
      </c>
      <c r="J1402" s="24">
        <f ca="1">IF(OR(E1402="",E1402="!!!",F1402="NEW"),"",COUNTBLANK(OFFSET(A$1,,,SUMPRODUCT(MAX(ROW(E$2:E1402)*(E1402=E$2:E1402)))))-COUNTBLANK(OFFSET(A$1,,,SUMPRODUCT(MAX(ROW(E$1:E1401)*(E2=E$1:E1401))))))</f>
        <v>0</v>
      </c>
      <c r="K1402" s="24">
        <f ca="1">IF(OR(E1402="",E1402="!!!",F1402="NEW"),"",INDEX(J$1:J1401,SUMPRODUCT(MAX(ROW(E$1:E1401)*(E1402=E$1:E1401)))))</f>
        <v>0</v>
      </c>
      <c r="L1402" s="25"/>
    </row>
    <row r="1403" spans="1:12" x14ac:dyDescent="0.2">
      <c r="A1403" t="s">
        <v>831</v>
      </c>
      <c r="E1403" s="20" t="str">
        <f t="shared" ref="E1403:E1410" si="161">IF(D1403="?OLD","!!!","")</f>
        <v/>
      </c>
      <c r="F1403" s="21" t="str">
        <f>IF(OR(E1403="",E1403="!!!"),"",IF(NOT(ISNA(VLOOKUP(E1403,E$1:E1402,1,FALSE()))),"OLD",IF(AND(E1403&lt;&gt;"",E1403&lt;&gt;"!!!"),"NEW","")))</f>
        <v/>
      </c>
      <c r="G1403" s="22" t="str">
        <f>IF(OR(E1403="",E1403="!!!"),"",IF(OR(J1403=0,AND(J1403=1,K1403=1),AND(J1403=1,I1403="SBJ"),AND(J1403=1,I1403=0)),"?IN_FOCUS",IF(J1403&lt;=2,"?ACTIVATED",IF(J1403&lt;&gt;"","?FAMILIAR",IF(F1403="NEW",IF(ISNA(VLOOKUP(E1403,#REF!,1,FALSE())),"?TYPE_IDENTIFIABLE","?REFERENTIAL"),"_")))))</f>
        <v/>
      </c>
      <c r="H1403" s="23" t="str">
        <f t="shared" ca="1" si="160"/>
        <v/>
      </c>
      <c r="I1403" s="24" t="str">
        <f>IF(OR(E1403="",E1403="!!!",F1403="NEW"),"",INDEX(B$2:B1402,-1+SUMPRODUCT(MAX(ROW(E$2:E1402)*(E1403=E$2:E1402)))))</f>
        <v/>
      </c>
      <c r="J1403" s="24" t="str">
        <f ca="1">IF(OR(E1403="",E1403="!!!",F1403="NEW"),"",COUNTBLANK(OFFSET(A$1,,,SUMPRODUCT(MAX(ROW(E$2:E1403)*(E1403=E$2:E1403)))))-COUNTBLANK(OFFSET(A$1,,,SUMPRODUCT(MAX(ROW(E$1:E1402)*(E2=E$1:E1402))))))</f>
        <v/>
      </c>
      <c r="K1403" s="24" t="str">
        <f>IF(OR(E1403="",E1403="!!!",F1403="NEW"),"",INDEX(J$1:J1402,SUMPRODUCT(MAX(ROW(E$1:E1402)*(E1403=E$1:E1402)))))</f>
        <v/>
      </c>
      <c r="L1403" s="25"/>
    </row>
    <row r="1404" spans="1:12" x14ac:dyDescent="0.2">
      <c r="A1404" t="s">
        <v>1293</v>
      </c>
      <c r="B1404" s="26" t="s">
        <v>819</v>
      </c>
      <c r="C1404" s="26" t="s">
        <v>907</v>
      </c>
      <c r="D1404" s="26" t="s">
        <v>806</v>
      </c>
      <c r="E1404" s="20" t="s">
        <v>1776</v>
      </c>
      <c r="F1404" s="21" t="str">
        <f>IF(OR(E1404="",E1404="!!!"),"",IF(NOT(ISNA(VLOOKUP(E1404,E$1:E1403,1,FALSE()))),"OLD",IF(AND(E1404&lt;&gt;"",E1404&lt;&gt;"!!!"),"NEW","")))</f>
        <v>OLD</v>
      </c>
      <c r="G1404" s="22" t="s">
        <v>1822</v>
      </c>
      <c r="H1404" s="23" t="str">
        <f t="shared" ca="1" si="160"/>
        <v/>
      </c>
      <c r="I1404" s="24" t="str">
        <f>IF(OR(E1404="",E1404="!!!",F1404="NEW"),"",INDEX(B$2:B1403,-1+SUMPRODUCT(MAX(ROW(E$2:E1403)*(E1404=E$2:E1403)))))</f>
        <v>other_2</v>
      </c>
      <c r="J1404" s="24">
        <f ca="1">IF(OR(E1404="",E1404="!!!",F1404="NEW"),"",COUNTBLANK(OFFSET(A$1,,,SUMPRODUCT(MAX(ROW(E$2:E1404)*(E1404=E$2:E1404)))))-COUNTBLANK(OFFSET(A$1,,,SUMPRODUCT(MAX(ROW(E$1:E1403)*(E2=E$1:E1403))))))</f>
        <v>0</v>
      </c>
      <c r="K1404" s="24">
        <f ca="1">IF(OR(E1404="",E1404="!!!",F1404="NEW"),"",INDEX(J$1:J1403,SUMPRODUCT(MAX(ROW(E$1:E1403)*(E1404=E$1:E1403)))))</f>
        <v>0</v>
      </c>
      <c r="L1404" s="25"/>
    </row>
    <row r="1405" spans="1:12" x14ac:dyDescent="0.2">
      <c r="A1405" t="s">
        <v>1031</v>
      </c>
      <c r="E1405" s="20" t="str">
        <f t="shared" si="161"/>
        <v/>
      </c>
      <c r="F1405" s="21" t="str">
        <f>IF(OR(E1405="",E1405="!!!"),"",IF(NOT(ISNA(VLOOKUP(E1405,E$1:E1404,1,FALSE()))),"OLD",IF(AND(E1405&lt;&gt;"",E1405&lt;&gt;"!!!"),"NEW","")))</f>
        <v/>
      </c>
      <c r="G1405" s="22" t="str">
        <f>IF(OR(E1405="",E1405="!!!"),"",IF(OR(J1405=0,AND(J1405=1,K1405=1),AND(J1405=1,I1405="SBJ"),AND(J1405=1,I1405=0)),"?IN_FOCUS",IF(J1405&lt;=2,"?ACTIVATED",IF(J1405&lt;&gt;"","?FAMILIAR",IF(F1405="NEW",IF(ISNA(VLOOKUP(E1405,#REF!,1,FALSE())),"?TYPE_IDENTIFIABLE","?REFERENTIAL"),"_")))))</f>
        <v/>
      </c>
      <c r="H1405" s="23" t="str">
        <f t="shared" ca="1" si="160"/>
        <v/>
      </c>
      <c r="I1405" s="24" t="str">
        <f>IF(OR(E1405="",E1405="!!!",F1405="NEW"),"",INDEX(B$2:B1404,-1+SUMPRODUCT(MAX(ROW(E$2:E1404)*(E1405=E$2:E1404)))))</f>
        <v/>
      </c>
      <c r="J1405" s="24" t="str">
        <f ca="1">IF(OR(E1405="",E1405="!!!",F1405="NEW"),"",COUNTBLANK(OFFSET(A$1,,,SUMPRODUCT(MAX(ROW(E$2:E1405)*(E1405=E$2:E1405)))))-COUNTBLANK(OFFSET(A$1,,,SUMPRODUCT(MAX(ROW(E$1:E1404)*(E2=E$1:E1404))))))</f>
        <v/>
      </c>
      <c r="K1405" s="24" t="str">
        <f>IF(OR(E1405="",E1405="!!!",F1405="NEW"),"",INDEX(J$1:J1404,SUMPRODUCT(MAX(ROW(E$1:E1404)*(E1405=E$1:E1404)))))</f>
        <v/>
      </c>
      <c r="L1405" s="25"/>
    </row>
    <row r="1406" spans="1:12" x14ac:dyDescent="0.2">
      <c r="A1406" t="s">
        <v>1119</v>
      </c>
      <c r="E1406" s="20" t="str">
        <f t="shared" si="161"/>
        <v/>
      </c>
      <c r="F1406" s="21" t="str">
        <f>IF(OR(E1406="",E1406="!!!"),"",IF(NOT(ISNA(VLOOKUP(E1406,E$1:E1405,1,FALSE()))),"OLD",IF(AND(E1406&lt;&gt;"",E1406&lt;&gt;"!!!"),"NEW","")))</f>
        <v/>
      </c>
      <c r="G1406" s="22" t="str">
        <f>IF(OR(E1406="",E1406="!!!"),"",IF(OR(J1406=0,AND(J1406=1,K1406=1),AND(J1406=1,I1406="SBJ"),AND(J1406=1,I1406=0)),"?IN_FOCUS",IF(J1406&lt;=2,"?ACTIVATED",IF(J1406&lt;&gt;"","?FAMILIAR",IF(F1406="NEW",IF(ISNA(VLOOKUP(E1406,#REF!,1,FALSE())),"?TYPE_IDENTIFIABLE","?REFERENTIAL"),"_")))))</f>
        <v/>
      </c>
      <c r="H1406" s="23" t="str">
        <f t="shared" ca="1" si="160"/>
        <v/>
      </c>
      <c r="I1406" s="24" t="str">
        <f>IF(OR(E1406="",E1406="!!!",F1406="NEW"),"",INDEX(B$2:B1405,-1+SUMPRODUCT(MAX(ROW(E$2:E1405)*(E1406=E$2:E1405)))))</f>
        <v/>
      </c>
      <c r="J1406" s="24" t="str">
        <f ca="1">IF(OR(E1406="",E1406="!!!",F1406="NEW"),"",COUNTBLANK(OFFSET(A$1,,,SUMPRODUCT(MAX(ROW(E$2:E1406)*(E1406=E$2:E1406)))))-COUNTBLANK(OFFSET(A$1,,,SUMPRODUCT(MAX(ROW(E$1:E1405)*(E2=E$1:E1405))))))</f>
        <v/>
      </c>
      <c r="K1406" s="24" t="str">
        <f>IF(OR(E1406="",E1406="!!!",F1406="NEW"),"",INDEX(J$1:J1405,SUMPRODUCT(MAX(ROW(E$1:E1405)*(E1406=E$1:E1405)))))</f>
        <v/>
      </c>
      <c r="L1406" s="25"/>
    </row>
    <row r="1407" spans="1:12" x14ac:dyDescent="0.2">
      <c r="A1407" t="s">
        <v>1294</v>
      </c>
      <c r="E1407" s="20" t="str">
        <f t="shared" si="161"/>
        <v/>
      </c>
      <c r="F1407" s="21" t="str">
        <f>IF(OR(E1407="",E1407="!!!"),"",IF(NOT(ISNA(VLOOKUP(E1407,E$1:E1406,1,FALSE()))),"OLD",IF(AND(E1407&lt;&gt;"",E1407&lt;&gt;"!!!"),"NEW","")))</f>
        <v/>
      </c>
      <c r="G1407" s="22" t="str">
        <f>IF(OR(E1407="",E1407="!!!"),"",IF(OR(J1407=0,AND(J1407=1,K1407=1),AND(J1407=1,I1407="SBJ"),AND(J1407=1,I1407=0)),"?IN_FOCUS",IF(J1407&lt;=2,"?ACTIVATED",IF(J1407&lt;&gt;"","?FAMILIAR",IF(F1407="NEW",IF(ISNA(VLOOKUP(E1407,#REF!,1,FALSE())),"?TYPE_IDENTIFIABLE","?REFERENTIAL"),"_")))))</f>
        <v/>
      </c>
      <c r="H1407" s="23" t="str">
        <f t="shared" ca="1" si="160"/>
        <v/>
      </c>
      <c r="I1407" s="24" t="str">
        <f>IF(OR(E1407="",E1407="!!!",F1407="NEW"),"",INDEX(B$2:B1406,-1+SUMPRODUCT(MAX(ROW(E$2:E1406)*(E1407=E$2:E1406)))))</f>
        <v/>
      </c>
      <c r="J1407" s="24" t="str">
        <f ca="1">IF(OR(E1407="",E1407="!!!",F1407="NEW"),"",COUNTBLANK(OFFSET(A$1,,,SUMPRODUCT(MAX(ROW(E$2:E1407)*(E1407=E$2:E1407)))))-COUNTBLANK(OFFSET(A$1,,,SUMPRODUCT(MAX(ROW(E$1:E1406)*(E2=E$1:E1406))))))</f>
        <v/>
      </c>
      <c r="K1407" s="24" t="str">
        <f>IF(OR(E1407="",E1407="!!!",F1407="NEW"),"",INDEX(J$1:J1406,SUMPRODUCT(MAX(ROW(E$1:E1406)*(E1407=E$1:E1406)))))</f>
        <v/>
      </c>
      <c r="L1407" s="25"/>
    </row>
    <row r="1408" spans="1:12" x14ac:dyDescent="0.2">
      <c r="A1408" t="s">
        <v>874</v>
      </c>
      <c r="E1408" s="20" t="str">
        <f t="shared" si="161"/>
        <v/>
      </c>
      <c r="F1408" s="21" t="str">
        <f>IF(OR(E1408="",E1408="!!!"),"",IF(NOT(ISNA(VLOOKUP(E1408,E$1:E1407,1,FALSE()))),"OLD",IF(AND(E1408&lt;&gt;"",E1408&lt;&gt;"!!!"),"NEW","")))</f>
        <v/>
      </c>
      <c r="G1408" s="22" t="str">
        <f>IF(OR(E1408="",E1408="!!!"),"",IF(OR(J1408=0,AND(J1408=1,K1408=1),AND(J1408=1,I1408="SBJ"),AND(J1408=1,I1408=0)),"?IN_FOCUS",IF(J1408&lt;=2,"?ACTIVATED",IF(J1408&lt;&gt;"","?FAMILIAR",IF(F1408="NEW",IF(ISNA(VLOOKUP(E1408,#REF!,1,FALSE())),"?TYPE_IDENTIFIABLE","?REFERENTIAL"),"_")))))</f>
        <v/>
      </c>
      <c r="H1408" s="23" t="str">
        <f t="shared" ca="1" si="160"/>
        <v/>
      </c>
      <c r="I1408" s="24" t="str">
        <f>IF(OR(E1408="",E1408="!!!",F1408="NEW"),"",INDEX(B$2:B1407,-1+SUMPRODUCT(MAX(ROW(E$2:E1407)*(E1408=E$2:E1407)))))</f>
        <v/>
      </c>
      <c r="J1408" s="24" t="str">
        <f ca="1">IF(OR(E1408="",E1408="!!!",F1408="NEW"),"",COUNTBLANK(OFFSET(A$1,,,SUMPRODUCT(MAX(ROW(E$2:E1408)*(E1408=E$2:E1408)))))-COUNTBLANK(OFFSET(A$1,,,SUMPRODUCT(MAX(ROW(E$1:E1407)*(E2=E$1:E1407))))))</f>
        <v/>
      </c>
      <c r="K1408" s="24" t="str">
        <f>IF(OR(E1408="",E1408="!!!",F1408="NEW"),"",INDEX(J$1:J1407,SUMPRODUCT(MAX(ROW(E$1:E1407)*(E1408=E$1:E1407)))))</f>
        <v/>
      </c>
      <c r="L1408" s="25"/>
    </row>
    <row r="1409" spans="1:12" x14ac:dyDescent="0.2">
      <c r="A1409" t="s">
        <v>1191</v>
      </c>
      <c r="B1409" s="26" t="s">
        <v>819</v>
      </c>
      <c r="C1409" s="26" t="s">
        <v>854</v>
      </c>
      <c r="D1409" s="26" t="s">
        <v>806</v>
      </c>
      <c r="E1409" s="20" t="s">
        <v>1175</v>
      </c>
      <c r="F1409" s="21" t="str">
        <f>IF(OR(E1409="",E1409="!!!"),"",IF(NOT(ISNA(VLOOKUP(E1409,E$1:E1408,1,FALSE()))),"OLD",IF(AND(E1409&lt;&gt;"",E1409&lt;&gt;"!!!"),"NEW","")))</f>
        <v>OLD</v>
      </c>
      <c r="G1409" s="22" t="s">
        <v>1822</v>
      </c>
      <c r="H1409" s="23" t="str">
        <f t="shared" ca="1" si="160"/>
        <v/>
      </c>
      <c r="I1409" s="24" t="str">
        <f>IF(OR(E1409="",E1409="!!!",F1409="NEW"),"",INDEX(B$2:B1408,-1+SUMPRODUCT(MAX(ROW(E$2:E1408)*(E1409=E$2:E1408)))))</f>
        <v>other_2</v>
      </c>
      <c r="J1409" s="24">
        <f ca="1">IF(OR(E1409="",E1409="!!!",F1409="NEW"),"",COUNTBLANK(OFFSET(A$1,,,SUMPRODUCT(MAX(ROW(E$2:E1409)*(E1409=E$2:E1409)))))-COUNTBLANK(OFFSET(A$1,,,SUMPRODUCT(MAX(ROW(E$1:E1408)*(E2=E$1:E1408))))))</f>
        <v>0</v>
      </c>
      <c r="K1409" s="24">
        <f ca="1">IF(OR(E1409="",E1409="!!!",F1409="NEW"),"",INDEX(J$1:J1408,SUMPRODUCT(MAX(ROW(E$1:E1408)*(E1409=E$1:E1408)))))</f>
        <v>0</v>
      </c>
      <c r="L1409" s="25"/>
    </row>
    <row r="1410" spans="1:12" x14ac:dyDescent="0.2">
      <c r="A1410" t="s">
        <v>821</v>
      </c>
      <c r="E1410" s="20" t="str">
        <f t="shared" si="161"/>
        <v/>
      </c>
      <c r="F1410" s="21" t="str">
        <f>IF(OR(E1410="",E1410="!!!"),"",IF(NOT(ISNA(VLOOKUP(E1410,E$1:E1409,1,FALSE()))),"OLD",IF(AND(E1410&lt;&gt;"",E1410&lt;&gt;"!!!"),"NEW","")))</f>
        <v/>
      </c>
      <c r="G1410" s="22" t="str">
        <f>IF(OR(E1410="",E1410="!!!"),"",IF(OR(J1410=0,AND(J1410=1,K1410=1),AND(J1410=1,I1410="SBJ"),AND(J1410=1,I1410=0)),"?IN_FOCUS",IF(J1410&lt;=2,"?ACTIVATED",IF(J1410&lt;&gt;"","?FAMILIAR",IF(F1410="NEW",IF(ISNA(VLOOKUP(E1410,#REF!,1,FALSE())),"?TYPE_IDENTIFIABLE","?REFERENTIAL"),"_")))))</f>
        <v/>
      </c>
      <c r="H1410" s="23" t="str">
        <f t="shared" ca="1" si="160"/>
        <v/>
      </c>
      <c r="I1410" s="24" t="str">
        <f>IF(OR(E1410="",E1410="!!!",F1410="NEW"),"",INDEX(B$2:B1409,-1+SUMPRODUCT(MAX(ROW(E$2:E1409)*(E1410=E$2:E1409)))))</f>
        <v/>
      </c>
      <c r="J1410" s="24" t="str">
        <f ca="1">IF(OR(E1410="",E1410="!!!",F1410="NEW"),"",COUNTBLANK(OFFSET(A$1,,,SUMPRODUCT(MAX(ROW(E$2:E1410)*(E1410=E$2:E1410)))))-COUNTBLANK(OFFSET(A$1,,,SUMPRODUCT(MAX(ROW(E$1:E1409)*(E2=E$1:E1409))))))</f>
        <v/>
      </c>
      <c r="K1410" s="24" t="str">
        <f>IF(OR(E1410="",E1410="!!!",F1410="NEW"),"",INDEX(J$1:J1409,SUMPRODUCT(MAX(ROW(E$1:E1409)*(E1410=E$1:E1409)))))</f>
        <v/>
      </c>
      <c r="L1410" s="25"/>
    </row>
    <row r="1412" spans="1:12" x14ac:dyDescent="0.2">
      <c r="A1412" t="s">
        <v>1295</v>
      </c>
    </row>
    <row r="1413" spans="1:12" x14ac:dyDescent="0.2">
      <c r="A1413" t="s">
        <v>1073</v>
      </c>
      <c r="B1413" s="26" t="s">
        <v>804</v>
      </c>
      <c r="C1413" s="26" t="s">
        <v>805</v>
      </c>
      <c r="D1413" s="26" t="s">
        <v>806</v>
      </c>
      <c r="E1413" s="20" t="s">
        <v>1175</v>
      </c>
      <c r="F1413" s="21" t="str">
        <f>IF(OR(E1413="",E1413="!!!"),"",IF(NOT(ISNA(VLOOKUP(E1413,E$1:E1412,1,FALSE()))),"OLD",IF(AND(E1413&lt;&gt;"",E1413&lt;&gt;"!!!"),"NEW","")))</f>
        <v>OLD</v>
      </c>
      <c r="G1413" s="22" t="s">
        <v>1823</v>
      </c>
      <c r="H1413" s="23" t="str">
        <f t="shared" ref="H1413:H1429" ca="1" si="162">IF(J1413&lt;&gt;1,"",IF(I1413="SBJ","CB","?"))</f>
        <v/>
      </c>
      <c r="I1413" s="24" t="str">
        <f>IF(OR(E1413="",E1413="!!!",F1413="NEW"),"",INDEX(B$2:B1412,-1+SUMPRODUCT(MAX(ROW(E$2:E1412)*(E1413=E$2:E1412)))))</f>
        <v>other</v>
      </c>
      <c r="J1413" s="24">
        <f ca="1">IF(OR(E1413="",E1413="!!!",F1413="NEW"),"",COUNTBLANK(OFFSET(A$1,,,SUMPRODUCT(MAX(ROW(E$2:E1413)*(E1413=E$2:E1413)))))-COUNTBLANK(OFFSET(A$1,,,SUMPRODUCT(MAX(ROW(E$1:E1412)*(E2=E$1:E1412))))))</f>
        <v>0</v>
      </c>
      <c r="K1413" s="24">
        <f ca="1">IF(OR(E1413="",E1413="!!!",F1413="NEW"),"",INDEX(J$1:J1412,SUMPRODUCT(MAX(ROW(E$1:E1412)*(E1413=E$1:E1412)))))</f>
        <v>0</v>
      </c>
      <c r="L1413" s="25"/>
    </row>
    <row r="1414" spans="1:12" x14ac:dyDescent="0.2">
      <c r="A1414" t="s">
        <v>898</v>
      </c>
      <c r="E1414" s="20" t="str">
        <f t="shared" ref="E1414:E1429" si="163">IF(D1414="?OLD","!!!","")</f>
        <v/>
      </c>
      <c r="F1414" s="21" t="str">
        <f>IF(OR(E1414="",E1414="!!!"),"",IF(NOT(ISNA(VLOOKUP(E1414,E$1:E1413,1,FALSE()))),"OLD",IF(AND(E1414&lt;&gt;"",E1414&lt;&gt;"!!!"),"NEW","")))</f>
        <v/>
      </c>
      <c r="G1414" s="22" t="str">
        <f>IF(OR(E1414="",E1414="!!!"),"",IF(OR(J1414=0,AND(J1414=1,K1414=1),AND(J1414=1,I1414="SBJ"),AND(J1414=1,I1414=0)),"?IN_FOCUS",IF(J1414&lt;=2,"?ACTIVATED",IF(J1414&lt;&gt;"","?FAMILIAR",IF(F1414="NEW",IF(ISNA(VLOOKUP(E1414,#REF!,1,FALSE())),"?TYPE_IDENTIFIABLE","?REFERENTIAL"),"_")))))</f>
        <v/>
      </c>
      <c r="H1414" s="23" t="str">
        <f t="shared" ca="1" si="162"/>
        <v/>
      </c>
      <c r="I1414" s="24" t="str">
        <f>IF(OR(E1414="",E1414="!!!",F1414="NEW"),"",INDEX(B$2:B1413,-1+SUMPRODUCT(MAX(ROW(E$2:E1413)*(E1414=E$2:E1413)))))</f>
        <v/>
      </c>
      <c r="J1414" s="24" t="str">
        <f ca="1">IF(OR(E1414="",E1414="!!!",F1414="NEW"),"",COUNTBLANK(OFFSET(A$1,,,SUMPRODUCT(MAX(ROW(E$2:E1414)*(E1414=E$2:E1414)))))-COUNTBLANK(OFFSET(A$1,,,SUMPRODUCT(MAX(ROW(E$1:E1413)*(E2=E$1:E1413))))))</f>
        <v/>
      </c>
      <c r="K1414" s="24" t="str">
        <f>IF(OR(E1414="",E1414="!!!",F1414="NEW"),"",INDEX(J$1:J1413,SUMPRODUCT(MAX(ROW(E$1:E1413)*(E1414=E$1:E1413)))))</f>
        <v/>
      </c>
      <c r="L1414" s="25"/>
    </row>
    <row r="1415" spans="1:12" x14ac:dyDescent="0.2">
      <c r="A1415" t="s">
        <v>895</v>
      </c>
      <c r="E1415" s="20" t="str">
        <f t="shared" si="163"/>
        <v/>
      </c>
      <c r="F1415" s="21" t="str">
        <f>IF(OR(E1415="",E1415="!!!"),"",IF(NOT(ISNA(VLOOKUP(E1415,E$1:E1414,1,FALSE()))),"OLD",IF(AND(E1415&lt;&gt;"",E1415&lt;&gt;"!!!"),"NEW","")))</f>
        <v/>
      </c>
      <c r="G1415" s="22" t="str">
        <f>IF(OR(E1415="",E1415="!!!"),"",IF(OR(J1415=0,AND(J1415=1,K1415=1),AND(J1415=1,I1415="SBJ"),AND(J1415=1,I1415=0)),"?IN_FOCUS",IF(J1415&lt;=2,"?ACTIVATED",IF(J1415&lt;&gt;"","?FAMILIAR",IF(F1415="NEW",IF(ISNA(VLOOKUP(E1415,#REF!,1,FALSE())),"?TYPE_IDENTIFIABLE","?REFERENTIAL"),"_")))))</f>
        <v/>
      </c>
      <c r="H1415" s="23" t="str">
        <f t="shared" ca="1" si="162"/>
        <v/>
      </c>
      <c r="I1415" s="24" t="str">
        <f>IF(OR(E1415="",E1415="!!!",F1415="NEW"),"",INDEX(B$2:B1414,-1+SUMPRODUCT(MAX(ROW(E$2:E1414)*(E1415=E$2:E1414)))))</f>
        <v/>
      </c>
      <c r="J1415" s="24" t="str">
        <f ca="1">IF(OR(E1415="",E1415="!!!",F1415="NEW"),"",COUNTBLANK(OFFSET(A$1,,,SUMPRODUCT(MAX(ROW(E$2:E1415)*(E1415=E$2:E1415)))))-COUNTBLANK(OFFSET(A$1,,,SUMPRODUCT(MAX(ROW(E$1:E1414)*(E2=E$1:E1414))))))</f>
        <v/>
      </c>
      <c r="K1415" s="24" t="str">
        <f>IF(OR(E1415="",E1415="!!!",F1415="NEW"),"",INDEX(J$1:J1414,SUMPRODUCT(MAX(ROW(E$1:E1414)*(E1415=E$1:E1414)))))</f>
        <v/>
      </c>
      <c r="L1415" s="25"/>
    </row>
    <row r="1416" spans="1:12" x14ac:dyDescent="0.2">
      <c r="A1416" t="s">
        <v>1296</v>
      </c>
      <c r="E1416" s="20" t="str">
        <f t="shared" si="163"/>
        <v/>
      </c>
      <c r="F1416" s="21" t="str">
        <f>IF(OR(E1416="",E1416="!!!"),"",IF(NOT(ISNA(VLOOKUP(E1416,E$1:E1415,1,FALSE()))),"OLD",IF(AND(E1416&lt;&gt;"",E1416&lt;&gt;"!!!"),"NEW","")))</f>
        <v/>
      </c>
      <c r="G1416" s="22" t="str">
        <f>IF(OR(E1416="",E1416="!!!"),"",IF(OR(J1416=0,AND(J1416=1,K1416=1),AND(J1416=1,I1416="SBJ"),AND(J1416=1,I1416=0)),"?IN_FOCUS",IF(J1416&lt;=2,"?ACTIVATED",IF(J1416&lt;&gt;"","?FAMILIAR",IF(F1416="NEW",IF(ISNA(VLOOKUP(E1416,#REF!,1,FALSE())),"?TYPE_IDENTIFIABLE","?REFERENTIAL"),"_")))))</f>
        <v/>
      </c>
      <c r="H1416" s="23" t="str">
        <f t="shared" ca="1" si="162"/>
        <v/>
      </c>
      <c r="I1416" s="24" t="str">
        <f>IF(OR(E1416="",E1416="!!!",F1416="NEW"),"",INDEX(B$2:B1415,-1+SUMPRODUCT(MAX(ROW(E$2:E1415)*(E1416=E$2:E1415)))))</f>
        <v/>
      </c>
      <c r="J1416" s="24" t="str">
        <f ca="1">IF(OR(E1416="",E1416="!!!",F1416="NEW"),"",COUNTBLANK(OFFSET(A$1,,,SUMPRODUCT(MAX(ROW(E$2:E1416)*(E1416=E$2:E1416)))))-COUNTBLANK(OFFSET(A$1,,,SUMPRODUCT(MAX(ROW(E$1:E1415)*(E2=E$1:E1415))))))</f>
        <v/>
      </c>
      <c r="K1416" s="24" t="str">
        <f>IF(OR(E1416="",E1416="!!!",F1416="NEW"),"",INDEX(J$1:J1415,SUMPRODUCT(MAX(ROW(E$1:E1415)*(E1416=E$1:E1415)))))</f>
        <v/>
      </c>
      <c r="L1416" s="25"/>
    </row>
    <row r="1417" spans="1:12" x14ac:dyDescent="0.2">
      <c r="A1417" t="s">
        <v>1189</v>
      </c>
      <c r="B1417" s="26" t="s">
        <v>819</v>
      </c>
      <c r="C1417" s="26" t="s">
        <v>811</v>
      </c>
      <c r="E1417" s="20" t="str">
        <f t="shared" si="163"/>
        <v/>
      </c>
      <c r="F1417" s="21" t="str">
        <f>IF(OR(E1417="",E1417="!!!"),"",IF(NOT(ISNA(VLOOKUP(E1417,E$1:E1416,1,FALSE()))),"OLD",IF(AND(E1417&lt;&gt;"",E1417&lt;&gt;"!!!"),"NEW","")))</f>
        <v/>
      </c>
      <c r="G1417" s="22" t="str">
        <f>IF(OR(E1417="",E1417="!!!"),"",IF(OR(J1417=0,AND(J1417=1,K1417=1),AND(J1417=1,I1417="SBJ"),AND(J1417=1,I1417=0)),"?IN_FOCUS",IF(J1417&lt;=2,"?ACTIVATED",IF(J1417&lt;&gt;"","?FAMILIAR",IF(F1417="NEW",IF(ISNA(VLOOKUP(E1417,#REF!,1,FALSE())),"?TYPE_IDENTIFIABLE","?REFERENTIAL"),"_")))))</f>
        <v/>
      </c>
      <c r="H1417" s="23" t="str">
        <f t="shared" ca="1" si="162"/>
        <v/>
      </c>
      <c r="I1417" s="24" t="str">
        <f>IF(OR(E1417="",E1417="!!!",F1417="NEW"),"",INDEX(B$2:B1416,-1+SUMPRODUCT(MAX(ROW(E$2:E1416)*(E1417=E$2:E1416)))))</f>
        <v/>
      </c>
      <c r="J1417" s="24" t="str">
        <f ca="1">IF(OR(E1417="",E1417="!!!",F1417="NEW"),"",COUNTBLANK(OFFSET(A$1,,,SUMPRODUCT(MAX(ROW(E$2:E1417)*(E1417=E$2:E1417)))))-COUNTBLANK(OFFSET(A$1,,,SUMPRODUCT(MAX(ROW(E$1:E1416)*(E2=E$1:E1416))))))</f>
        <v/>
      </c>
      <c r="K1417" s="24" t="str">
        <f>IF(OR(E1417="",E1417="!!!",F1417="NEW"),"",INDEX(J$1:J1416,SUMPRODUCT(MAX(ROW(E$1:E1416)*(E1417=E$1:E1416)))))</f>
        <v/>
      </c>
      <c r="L1417" s="25"/>
    </row>
    <row r="1418" spans="1:12" x14ac:dyDescent="0.2">
      <c r="A1418" t="s">
        <v>802</v>
      </c>
      <c r="E1418" s="20" t="str">
        <f t="shared" si="163"/>
        <v/>
      </c>
      <c r="F1418" s="21" t="str">
        <f>IF(OR(E1418="",E1418="!!!"),"",IF(NOT(ISNA(VLOOKUP(E1418,E$1:E1417,1,FALSE()))),"OLD",IF(AND(E1418&lt;&gt;"",E1418&lt;&gt;"!!!"),"NEW","")))</f>
        <v/>
      </c>
      <c r="G1418" s="22" t="str">
        <f>IF(OR(E1418="",E1418="!!!"),"",IF(OR(J1418=0,AND(J1418=1,K1418=1),AND(J1418=1,I1418="SBJ"),AND(J1418=1,I1418=0)),"?IN_FOCUS",IF(J1418&lt;=2,"?ACTIVATED",IF(J1418&lt;&gt;"","?FAMILIAR",IF(F1418="NEW",IF(ISNA(VLOOKUP(E1418,#REF!,1,FALSE())),"?TYPE_IDENTIFIABLE","?REFERENTIAL"),"_")))))</f>
        <v/>
      </c>
      <c r="H1418" s="23" t="str">
        <f t="shared" ca="1" si="162"/>
        <v/>
      </c>
      <c r="I1418" s="24" t="str">
        <f>IF(OR(E1418="",E1418="!!!",F1418="NEW"),"",INDEX(B$2:B1417,-1+SUMPRODUCT(MAX(ROW(E$2:E1417)*(E1418=E$2:E1417)))))</f>
        <v/>
      </c>
      <c r="J1418" s="24" t="str">
        <f ca="1">IF(OR(E1418="",E1418="!!!",F1418="NEW"),"",COUNTBLANK(OFFSET(A$1,,,SUMPRODUCT(MAX(ROW(E$2:E1418)*(E1418=E$2:E1418)))))-COUNTBLANK(OFFSET(A$1,,,SUMPRODUCT(MAX(ROW(E$1:E1417)*(E2=E$1:E1417))))))</f>
        <v/>
      </c>
      <c r="K1418" s="24" t="str">
        <f>IF(OR(E1418="",E1418="!!!",F1418="NEW"),"",INDEX(J$1:J1417,SUMPRODUCT(MAX(ROW(E$1:E1417)*(E1418=E$1:E1417)))))</f>
        <v/>
      </c>
      <c r="L1418" s="25"/>
    </row>
    <row r="1419" spans="1:12" x14ac:dyDescent="0.2">
      <c r="A1419" t="s">
        <v>833</v>
      </c>
      <c r="E1419" s="20" t="str">
        <f t="shared" si="163"/>
        <v/>
      </c>
      <c r="F1419" s="21" t="str">
        <f>IF(OR(E1419="",E1419="!!!"),"",IF(NOT(ISNA(VLOOKUP(E1419,E$1:E1418,1,FALSE()))),"OLD",IF(AND(E1419&lt;&gt;"",E1419&lt;&gt;"!!!"),"NEW","")))</f>
        <v/>
      </c>
      <c r="G1419" s="22" t="str">
        <f>IF(OR(E1419="",E1419="!!!"),"",IF(OR(J1419=0,AND(J1419=1,K1419=1),AND(J1419=1,I1419="SBJ"),AND(J1419=1,I1419=0)),"?IN_FOCUS",IF(J1419&lt;=2,"?ACTIVATED",IF(J1419&lt;&gt;"","?FAMILIAR",IF(F1419="NEW",IF(ISNA(VLOOKUP(E1419,#REF!,1,FALSE())),"?TYPE_IDENTIFIABLE","?REFERENTIAL"),"_")))))</f>
        <v/>
      </c>
      <c r="H1419" s="23" t="str">
        <f t="shared" ca="1" si="162"/>
        <v/>
      </c>
      <c r="I1419" s="24" t="str">
        <f>IF(OR(E1419="",E1419="!!!",F1419="NEW"),"",INDEX(B$2:B1418,-1+SUMPRODUCT(MAX(ROW(E$2:E1418)*(E1419=E$2:E1418)))))</f>
        <v/>
      </c>
      <c r="J1419" s="24" t="str">
        <f ca="1">IF(OR(E1419="",E1419="!!!",F1419="NEW"),"",COUNTBLANK(OFFSET(A$1,,,SUMPRODUCT(MAX(ROW(E$2:E1419)*(E1419=E$2:E1419)))))-COUNTBLANK(OFFSET(A$1,,,SUMPRODUCT(MAX(ROW(E$1:E1418)*(E2=E$1:E1418))))))</f>
        <v/>
      </c>
      <c r="K1419" s="24" t="str">
        <f>IF(OR(E1419="",E1419="!!!",F1419="NEW"),"",INDEX(J$1:J1418,SUMPRODUCT(MAX(ROW(E$1:E1418)*(E1419=E$1:E1418)))))</f>
        <v/>
      </c>
      <c r="L1419" s="25"/>
    </row>
    <row r="1420" spans="1:12" x14ac:dyDescent="0.2">
      <c r="A1420" t="s">
        <v>1297</v>
      </c>
      <c r="E1420" s="20" t="str">
        <f t="shared" si="163"/>
        <v/>
      </c>
      <c r="F1420" s="21" t="str">
        <f>IF(OR(E1420="",E1420="!!!"),"",IF(NOT(ISNA(VLOOKUP(E1420,E$1:E1419,1,FALSE()))),"OLD",IF(AND(E1420&lt;&gt;"",E1420&lt;&gt;"!!!"),"NEW","")))</f>
        <v/>
      </c>
      <c r="G1420" s="22" t="str">
        <f>IF(OR(E1420="",E1420="!!!"),"",IF(OR(J1420=0,AND(J1420=1,K1420=1),AND(J1420=1,I1420="SBJ"),AND(J1420=1,I1420=0)),"?IN_FOCUS",IF(J1420&lt;=2,"?ACTIVATED",IF(J1420&lt;&gt;"","?FAMILIAR",IF(F1420="NEW",IF(ISNA(VLOOKUP(E1420,#REF!,1,FALSE())),"?TYPE_IDENTIFIABLE","?REFERENTIAL"),"_")))))</f>
        <v/>
      </c>
      <c r="H1420" s="23" t="str">
        <f t="shared" ca="1" si="162"/>
        <v/>
      </c>
      <c r="I1420" s="24" t="str">
        <f>IF(OR(E1420="",E1420="!!!",F1420="NEW"),"",INDEX(B$2:B1419,-1+SUMPRODUCT(MAX(ROW(E$2:E1419)*(E1420=E$2:E1419)))))</f>
        <v/>
      </c>
      <c r="J1420" s="24" t="str">
        <f ca="1">IF(OR(E1420="",E1420="!!!",F1420="NEW"),"",COUNTBLANK(OFFSET(A$1,,,SUMPRODUCT(MAX(ROW(E$2:E1420)*(E1420=E$2:E1420)))))-COUNTBLANK(OFFSET(A$1,,,SUMPRODUCT(MAX(ROW(E$1:E1419)*(E2=E$1:E1419))))))</f>
        <v/>
      </c>
      <c r="K1420" s="24" t="str">
        <f>IF(OR(E1420="",E1420="!!!",F1420="NEW"),"",INDEX(J$1:J1419,SUMPRODUCT(MAX(ROW(E$1:E1419)*(E1420=E$1:E1419)))))</f>
        <v/>
      </c>
      <c r="L1420" s="25"/>
    </row>
    <row r="1421" spans="1:12" x14ac:dyDescent="0.2">
      <c r="A1421" t="s">
        <v>1298</v>
      </c>
      <c r="E1421" s="20" t="str">
        <f t="shared" si="163"/>
        <v/>
      </c>
      <c r="F1421" s="21" t="str">
        <f>IF(OR(E1421="",E1421="!!!"),"",IF(NOT(ISNA(VLOOKUP(E1421,E$1:E1420,1,FALSE()))),"OLD",IF(AND(E1421&lt;&gt;"",E1421&lt;&gt;"!!!"),"NEW","")))</f>
        <v/>
      </c>
      <c r="G1421" s="22" t="str">
        <f>IF(OR(E1421="",E1421="!!!"),"",IF(OR(J1421=0,AND(J1421=1,K1421=1),AND(J1421=1,I1421="SBJ"),AND(J1421=1,I1421=0)),"?IN_FOCUS",IF(J1421&lt;=2,"?ACTIVATED",IF(J1421&lt;&gt;"","?FAMILIAR",IF(F1421="NEW",IF(ISNA(VLOOKUP(E1421,#REF!,1,FALSE())),"?TYPE_IDENTIFIABLE","?REFERENTIAL"),"_")))))</f>
        <v/>
      </c>
      <c r="H1421" s="23" t="str">
        <f t="shared" ca="1" si="162"/>
        <v/>
      </c>
      <c r="I1421" s="24" t="str">
        <f>IF(OR(E1421="",E1421="!!!",F1421="NEW"),"",INDEX(B$2:B1420,-1+SUMPRODUCT(MAX(ROW(E$2:E1420)*(E1421=E$2:E1420)))))</f>
        <v/>
      </c>
      <c r="J1421" s="24" t="str">
        <f ca="1">IF(OR(E1421="",E1421="!!!",F1421="NEW"),"",COUNTBLANK(OFFSET(A$1,,,SUMPRODUCT(MAX(ROW(E$2:E1421)*(E1421=E$2:E1421)))))-COUNTBLANK(OFFSET(A$1,,,SUMPRODUCT(MAX(ROW(E$1:E1420)*(E2=E$1:E1420))))))</f>
        <v/>
      </c>
      <c r="K1421" s="24" t="str">
        <f>IF(OR(E1421="",E1421="!!!",F1421="NEW"),"",INDEX(J$1:J1420,SUMPRODUCT(MAX(ROW(E$1:E1420)*(E1421=E$1:E1420)))))</f>
        <v/>
      </c>
      <c r="L1421" s="25"/>
    </row>
    <row r="1422" spans="1:12" x14ac:dyDescent="0.2">
      <c r="A1422" t="s">
        <v>1299</v>
      </c>
      <c r="B1422" s="26" t="s">
        <v>819</v>
      </c>
      <c r="C1422" s="26" t="s">
        <v>854</v>
      </c>
      <c r="D1422" s="26" t="s">
        <v>806</v>
      </c>
      <c r="E1422" s="20"/>
      <c r="F1422" s="21"/>
      <c r="G1422" s="22" t="str">
        <f>IF(OR(E1422="",E1422="!!!"),"",IF(OR(J1422=0,AND(J1422=1,K1422=1),AND(J1422=1,I1422="SBJ"),AND(J1422=1,I1422=0)),"?IN_FOCUS",IF(J1422&lt;=2,"?ACTIVATED",IF(J1422&lt;&gt;"","?FAMILIAR",IF(F1422="NEW",IF(ISNA(VLOOKUP(E1422,#REF!,1,FALSE())),"?TYPE_IDENTIFIABLE","?REFERENTIAL"),"_")))))</f>
        <v/>
      </c>
      <c r="H1422" s="23" t="str">
        <f t="shared" ca="1" si="162"/>
        <v/>
      </c>
      <c r="I1422" s="24" t="str">
        <f>IF(OR(E1422="",E1422="!!!",F1422="NEW"),"",INDEX(B$2:B1421,-1+SUMPRODUCT(MAX(ROW(E$2:E1421)*(E1422=E$2:E1421)))))</f>
        <v/>
      </c>
      <c r="J1422" s="24" t="str">
        <f ca="1">IF(OR(E1422="",E1422="!!!",F1422="NEW"),"",COUNTBLANK(OFFSET(A$1,,,SUMPRODUCT(MAX(ROW(E$2:E1422)*(E1422=E$2:E1422)))))-COUNTBLANK(OFFSET(A$1,,,SUMPRODUCT(MAX(ROW(E$1:E1421)*(E2=E$1:E1421))))))</f>
        <v/>
      </c>
      <c r="K1422" s="24" t="str">
        <f>IF(OR(E1422="",E1422="!!!",F1422="NEW"),"",INDEX(J$1:J1421,SUMPRODUCT(MAX(ROW(E$1:E1421)*(E1422=E$1:E1421)))))</f>
        <v/>
      </c>
      <c r="L1422" s="25"/>
    </row>
    <row r="1423" spans="1:12" x14ac:dyDescent="0.2">
      <c r="A1423" t="s">
        <v>1300</v>
      </c>
      <c r="E1423" s="20" t="s">
        <v>1300</v>
      </c>
      <c r="F1423" s="21" t="str">
        <f>IF(OR(E1423="",E1423="!!!"),"",IF(NOT(ISNA(VLOOKUP(E1423,E$1:E1422,1,FALSE()))),"OLD",IF(AND(E1423&lt;&gt;"",E1423&lt;&gt;"!!!"),"NEW","")))</f>
        <v>NEW</v>
      </c>
      <c r="G1423" s="22" t="s">
        <v>1820</v>
      </c>
      <c r="H1423" s="23" t="str">
        <f t="shared" ca="1" si="162"/>
        <v/>
      </c>
      <c r="I1423" s="24" t="str">
        <f>IF(OR(E1423="",E1423="!!!",F1423="NEW"),"",INDEX(B$2:B1422,-1+SUMPRODUCT(MAX(ROW(E$2:E1422)*(E1423=E$2:E1422)))))</f>
        <v/>
      </c>
      <c r="J1423" s="24" t="str">
        <f ca="1">IF(OR(E1423="",E1423="!!!",F1423="NEW"),"",COUNTBLANK(OFFSET(A$1,,,SUMPRODUCT(MAX(ROW(E$2:E1423)*(E1423=E$2:E1423)))))-COUNTBLANK(OFFSET(A$1,,,SUMPRODUCT(MAX(ROW(E$1:E1422)*(E2=E$1:E1422))))))</f>
        <v/>
      </c>
      <c r="K1423" s="24" t="str">
        <f>IF(OR(E1423="",E1423="!!!",F1423="NEW"),"",INDEX(J$1:J1422,SUMPRODUCT(MAX(ROW(E$1:E1422)*(E1423=E$1:E1422)))))</f>
        <v/>
      </c>
      <c r="L1423" s="25"/>
    </row>
    <row r="1424" spans="1:12" x14ac:dyDescent="0.2">
      <c r="A1424" t="s">
        <v>888</v>
      </c>
      <c r="E1424" s="20" t="str">
        <f t="shared" si="163"/>
        <v/>
      </c>
      <c r="F1424" s="21" t="str">
        <f>IF(OR(E1424="",E1424="!!!"),"",IF(NOT(ISNA(VLOOKUP(E1424,E$1:E1423,1,FALSE()))),"OLD",IF(AND(E1424&lt;&gt;"",E1424&lt;&gt;"!!!"),"NEW","")))</f>
        <v/>
      </c>
      <c r="G1424" s="22" t="str">
        <f>IF(OR(E1424="",E1424="!!!"),"",IF(OR(J1424=0,AND(J1424=1,K1424=1),AND(J1424=1,I1424="SBJ"),AND(J1424=1,I1424=0)),"?IN_FOCUS",IF(J1424&lt;=2,"?ACTIVATED",IF(J1424&lt;&gt;"","?FAMILIAR",IF(F1424="NEW",IF(ISNA(VLOOKUP(E1424,#REF!,1,FALSE())),"?TYPE_IDENTIFIABLE","?REFERENTIAL"),"_")))))</f>
        <v/>
      </c>
      <c r="H1424" s="23" t="str">
        <f t="shared" ca="1" si="162"/>
        <v/>
      </c>
      <c r="I1424" s="24" t="str">
        <f>IF(OR(E1424="",E1424="!!!",F1424="NEW"),"",INDEX(B$2:B1423,-1+SUMPRODUCT(MAX(ROW(E$2:E1423)*(E1424=E$2:E1423)))))</f>
        <v/>
      </c>
      <c r="J1424" s="24" t="str">
        <f ca="1">IF(OR(E1424="",E1424="!!!",F1424="NEW"),"",COUNTBLANK(OFFSET(A$1,,,SUMPRODUCT(MAX(ROW(E$2:E1424)*(E1424=E$2:E1424)))))-COUNTBLANK(OFFSET(A$1,,,SUMPRODUCT(MAX(ROW(E$1:E1423)*(E2=E$1:E1423))))))</f>
        <v/>
      </c>
      <c r="K1424" s="24" t="str">
        <f>IF(OR(E1424="",E1424="!!!",F1424="NEW"),"",INDEX(J$1:J1423,SUMPRODUCT(MAX(ROW(E$1:E1423)*(E1424=E$1:E1423)))))</f>
        <v/>
      </c>
      <c r="L1424" s="25"/>
    </row>
    <row r="1425" spans="1:12" x14ac:dyDescent="0.2">
      <c r="A1425" t="s">
        <v>829</v>
      </c>
      <c r="E1425" s="20" t="str">
        <f t="shared" si="163"/>
        <v/>
      </c>
      <c r="F1425" s="21" t="str">
        <f>IF(OR(E1425="",E1425="!!!"),"",IF(NOT(ISNA(VLOOKUP(E1425,E$1:E1424,1,FALSE()))),"OLD",IF(AND(E1425&lt;&gt;"",E1425&lt;&gt;"!!!"),"NEW","")))</f>
        <v/>
      </c>
      <c r="G1425" s="22" t="str">
        <f>IF(OR(E1425="",E1425="!!!"),"",IF(OR(J1425=0,AND(J1425=1,K1425=1),AND(J1425=1,I1425="SBJ"),AND(J1425=1,I1425=0)),"?IN_FOCUS",IF(J1425&lt;=2,"?ACTIVATED",IF(J1425&lt;&gt;"","?FAMILIAR",IF(F1425="NEW",IF(ISNA(VLOOKUP(E1425,#REF!,1,FALSE())),"?TYPE_IDENTIFIABLE","?REFERENTIAL"),"_")))))</f>
        <v/>
      </c>
      <c r="H1425" s="23" t="str">
        <f t="shared" ca="1" si="162"/>
        <v/>
      </c>
      <c r="I1425" s="24" t="str">
        <f>IF(OR(E1425="",E1425="!!!",F1425="NEW"),"",INDEX(B$2:B1424,-1+SUMPRODUCT(MAX(ROW(E$2:E1424)*(E1425=E$2:E1424)))))</f>
        <v/>
      </c>
      <c r="J1425" s="24" t="str">
        <f ca="1">IF(OR(E1425="",E1425="!!!",F1425="NEW"),"",COUNTBLANK(OFFSET(A$1,,,SUMPRODUCT(MAX(ROW(E$2:E1425)*(E1425=E$2:E1425)))))-COUNTBLANK(OFFSET(A$1,,,SUMPRODUCT(MAX(ROW(E$1:E1424)*(E2=E$1:E1424))))))</f>
        <v/>
      </c>
      <c r="K1425" s="24" t="str">
        <f>IF(OR(E1425="",E1425="!!!",F1425="NEW"),"",INDEX(J$1:J1424,SUMPRODUCT(MAX(ROW(E$1:E1424)*(E1425=E$1:E1424)))))</f>
        <v/>
      </c>
      <c r="L1425" s="25"/>
    </row>
    <row r="1426" spans="1:12" x14ac:dyDescent="0.2">
      <c r="A1426" t="s">
        <v>965</v>
      </c>
      <c r="B1426" s="26" t="s">
        <v>813</v>
      </c>
      <c r="C1426" s="26" t="s">
        <v>884</v>
      </c>
      <c r="E1426" s="20" t="str">
        <f t="shared" si="163"/>
        <v/>
      </c>
      <c r="F1426" s="21" t="str">
        <f>IF(OR(E1426="",E1426="!!!"),"",IF(NOT(ISNA(VLOOKUP(E1426,E$1:E1425,1,FALSE()))),"OLD",IF(AND(E1426&lt;&gt;"",E1426&lt;&gt;"!!!"),"NEW","")))</f>
        <v/>
      </c>
      <c r="G1426" s="22" t="str">
        <f>IF(OR(E1426="",E1426="!!!"),"",IF(OR(J1426=0,AND(J1426=1,K1426=1),AND(J1426=1,I1426="SBJ"),AND(J1426=1,I1426=0)),"?IN_FOCUS",IF(J1426&lt;=2,"?ACTIVATED",IF(J1426&lt;&gt;"","?FAMILIAR",IF(F1426="NEW",IF(ISNA(VLOOKUP(E1426,#REF!,1,FALSE())),"?TYPE_IDENTIFIABLE","?REFERENTIAL"),"_")))))</f>
        <v/>
      </c>
      <c r="H1426" s="23" t="str">
        <f t="shared" ca="1" si="162"/>
        <v/>
      </c>
      <c r="I1426" s="24" t="str">
        <f>IF(OR(E1426="",E1426="!!!",F1426="NEW"),"",INDEX(B$2:B1425,-1+SUMPRODUCT(MAX(ROW(E$2:E1425)*(E1426=E$2:E1425)))))</f>
        <v/>
      </c>
      <c r="J1426" s="24" t="str">
        <f ca="1">IF(OR(E1426="",E1426="!!!",F1426="NEW"),"",COUNTBLANK(OFFSET(A$1,,,SUMPRODUCT(MAX(ROW(E$2:E1426)*(E1426=E$2:E1426)))))-COUNTBLANK(OFFSET(A$1,,,SUMPRODUCT(MAX(ROW(E$1:E1425)*(E2=E$1:E1425))))))</f>
        <v/>
      </c>
      <c r="K1426" s="24" t="str">
        <f>IF(OR(E1426="",E1426="!!!",F1426="NEW"),"",INDEX(J$1:J1425,SUMPRODUCT(MAX(ROW(E$1:E1425)*(E1426=E$1:E1425)))))</f>
        <v/>
      </c>
      <c r="L1426" s="25"/>
    </row>
    <row r="1427" spans="1:12" x14ac:dyDescent="0.2">
      <c r="A1427" t="s">
        <v>1301</v>
      </c>
      <c r="B1427" s="26" t="s">
        <v>813</v>
      </c>
      <c r="C1427" s="26" t="s">
        <v>854</v>
      </c>
      <c r="D1427" s="26" t="s">
        <v>806</v>
      </c>
      <c r="E1427" s="20"/>
      <c r="F1427" s="21"/>
      <c r="G1427" s="22" t="str">
        <f>IF(OR(E1427="",E1427="!!!"),"",IF(OR(J1427=0,AND(J1427=1,K1427=1),AND(J1427=1,I1427="SBJ"),AND(J1427=1,I1427=0)),"?IN_FOCUS",IF(J1427&lt;=2,"?ACTIVATED",IF(J1427&lt;&gt;"","?FAMILIAR",IF(F1427="NEW",IF(ISNA(VLOOKUP(E1427,#REF!,1,FALSE())),"?TYPE_IDENTIFIABLE","?REFERENTIAL"),"_")))))</f>
        <v/>
      </c>
      <c r="H1427" s="23" t="str">
        <f t="shared" ca="1" si="162"/>
        <v/>
      </c>
      <c r="I1427" s="24" t="str">
        <f>IF(OR(E1427="",E1427="!!!",F1427="NEW"),"",INDEX(B$2:B1426,-1+SUMPRODUCT(MAX(ROW(E$2:E1426)*(E1427=E$2:E1426)))))</f>
        <v/>
      </c>
      <c r="J1427" s="24" t="str">
        <f ca="1">IF(OR(E1427="",E1427="!!!",F1427="NEW"),"",COUNTBLANK(OFFSET(A$1,,,SUMPRODUCT(MAX(ROW(E$2:E1427)*(E1427=E$2:E1427)))))-COUNTBLANK(OFFSET(A$1,,,SUMPRODUCT(MAX(ROW(E$1:E1426)*(E2=E$1:E1426))))))</f>
        <v/>
      </c>
      <c r="K1427" s="24" t="str">
        <f>IF(OR(E1427="",E1427="!!!",F1427="NEW"),"",INDEX(J$1:J1426,SUMPRODUCT(MAX(ROW(E$1:E1426)*(E1427=E$1:E1426)))))</f>
        <v/>
      </c>
      <c r="L1427" s="25"/>
    </row>
    <row r="1428" spans="1:12" x14ac:dyDescent="0.2">
      <c r="A1428" t="s">
        <v>1302</v>
      </c>
      <c r="E1428" s="20" t="s">
        <v>1302</v>
      </c>
      <c r="F1428" s="21" t="str">
        <f>IF(OR(E1428="",E1428="!!!"),"",IF(NOT(ISNA(VLOOKUP(E1428,E$1:E1427,1,FALSE()))),"OLD",IF(AND(E1428&lt;&gt;"",E1428&lt;&gt;"!!!"),"NEW","")))</f>
        <v>NEW</v>
      </c>
      <c r="G1428" s="22" t="s">
        <v>1820</v>
      </c>
      <c r="H1428" s="23" t="str">
        <f t="shared" ca="1" si="162"/>
        <v/>
      </c>
      <c r="I1428" s="24" t="str">
        <f>IF(OR(E1428="",E1428="!!!",F1428="NEW"),"",INDEX(B$2:B1427,-1+SUMPRODUCT(MAX(ROW(E$2:E1427)*(E1428=E$2:E1427)))))</f>
        <v/>
      </c>
      <c r="J1428" s="24" t="str">
        <f ca="1">IF(OR(E1428="",E1428="!!!",F1428="NEW"),"",COUNTBLANK(OFFSET(A$1,,,SUMPRODUCT(MAX(ROW(E$2:E1428)*(E1428=E$2:E1428)))))-COUNTBLANK(OFFSET(A$1,,,SUMPRODUCT(MAX(ROW(E$1:E1427)*(E2=E$1:E1427))))))</f>
        <v/>
      </c>
      <c r="K1428" s="24" t="str">
        <f>IF(OR(E1428="",E1428="!!!",F1428="NEW"),"",INDEX(J$1:J1427,SUMPRODUCT(MAX(ROW(E$1:E1427)*(E1428=E$1:E1427)))))</f>
        <v/>
      </c>
      <c r="L1428" s="25"/>
    </row>
    <row r="1429" spans="1:12" x14ac:dyDescent="0.2">
      <c r="A1429" t="s">
        <v>821</v>
      </c>
      <c r="E1429" s="20" t="str">
        <f t="shared" si="163"/>
        <v/>
      </c>
      <c r="F1429" s="21" t="str">
        <f>IF(OR(E1429="",E1429="!!!"),"",IF(NOT(ISNA(VLOOKUP(E1429,E$1:E1428,1,FALSE()))),"OLD",IF(AND(E1429&lt;&gt;"",E1429&lt;&gt;"!!!"),"NEW","")))</f>
        <v/>
      </c>
      <c r="G1429" s="22" t="str">
        <f>IF(OR(E1429="",E1429="!!!"),"",IF(OR(J1429=0,AND(J1429=1,K1429=1),AND(J1429=1,I1429="SBJ"),AND(J1429=1,I1429=0)),"?IN_FOCUS",IF(J1429&lt;=2,"?ACTIVATED",IF(J1429&lt;&gt;"","?FAMILIAR",IF(F1429="NEW",IF(ISNA(VLOOKUP(E1429,#REF!,1,FALSE())),"?TYPE_IDENTIFIABLE","?REFERENTIAL"),"_")))))</f>
        <v/>
      </c>
      <c r="H1429" s="23" t="str">
        <f t="shared" ca="1" si="162"/>
        <v/>
      </c>
      <c r="I1429" s="24" t="str">
        <f>IF(OR(E1429="",E1429="!!!",F1429="NEW"),"",INDEX(B$2:B1428,-1+SUMPRODUCT(MAX(ROW(E$2:E1428)*(E1429=E$2:E1428)))))</f>
        <v/>
      </c>
      <c r="J1429" s="24" t="str">
        <f ca="1">IF(OR(E1429="",E1429="!!!",F1429="NEW"),"",COUNTBLANK(OFFSET(A$1,,,SUMPRODUCT(MAX(ROW(E$2:E1429)*(E1429=E$2:E1429)))))-COUNTBLANK(OFFSET(A$1,,,SUMPRODUCT(MAX(ROW(E$1:E1428)*(E2=E$1:E1428))))))</f>
        <v/>
      </c>
      <c r="K1429" s="24" t="str">
        <f>IF(OR(E1429="",E1429="!!!",F1429="NEW"),"",INDEX(J$1:J1428,SUMPRODUCT(MAX(ROW(E$1:E1428)*(E1429=E$1:E1428)))))</f>
        <v/>
      </c>
      <c r="L1429" s="25"/>
    </row>
    <row r="1431" spans="1:12" x14ac:dyDescent="0.2">
      <c r="A1431" t="s">
        <v>1303</v>
      </c>
    </row>
    <row r="1432" spans="1:12" x14ac:dyDescent="0.2">
      <c r="A1432" t="s">
        <v>1304</v>
      </c>
      <c r="E1432" s="20" t="str">
        <f>IF(D1432="?OLD","!!!","")</f>
        <v/>
      </c>
      <c r="F1432" s="21" t="str">
        <f>IF(OR(E1432="",E1432="!!!"),"",IF(NOT(ISNA(VLOOKUP(E1432,E$1:E1431,1,FALSE()))),"OLD",IF(AND(E1432&lt;&gt;"",E1432&lt;&gt;"!!!"),"NEW","")))</f>
        <v/>
      </c>
      <c r="G1432" s="22" t="str">
        <f>IF(OR(E1432="",E1432="!!!"),"",IF(OR(J1432=0,AND(J1432=1,K1432=1),AND(J1432=1,I1432="SBJ"),AND(J1432=1,I1432=0)),"?IN_FOCUS",IF(J1432&lt;=2,"?ACTIVATED",IF(J1432&lt;&gt;"","?FAMILIAR",IF(F1432="NEW",IF(ISNA(VLOOKUP(E1432,#REF!,1,FALSE())),"?TYPE_IDENTIFIABLE","?REFERENTIAL"),"_")))))</f>
        <v/>
      </c>
      <c r="H1432" s="23" t="str">
        <f ca="1">IF(J1432&lt;&gt;1,"",IF(I1432="SBJ","CB","?"))</f>
        <v/>
      </c>
      <c r="I1432" s="24" t="str">
        <f>IF(OR(E1432="",E1432="!!!",F1432="NEW"),"",INDEX(B$2:B1431,-1+SUMPRODUCT(MAX(ROW(E$2:E1431)*(E1432=E$2:E1431)))))</f>
        <v/>
      </c>
      <c r="J1432" s="24" t="str">
        <f ca="1">IF(OR(E1432="",E1432="!!!",F1432="NEW"),"",COUNTBLANK(OFFSET(A$1,,,SUMPRODUCT(MAX(ROW(E$2:E1432)*(E1432=E$2:E1432)))))-COUNTBLANK(OFFSET(A$1,,,SUMPRODUCT(MAX(ROW(E$1:E1431)*(E2=E$1:E1431))))))</f>
        <v/>
      </c>
      <c r="K1432" s="24" t="str">
        <f>IF(OR(E1432="",E1432="!!!",F1432="NEW"),"",INDEX(J$1:J1431,SUMPRODUCT(MAX(ROW(E$1:E1431)*(E1432=E$1:E1431)))))</f>
        <v/>
      </c>
      <c r="L1432" s="25"/>
    </row>
    <row r="1433" spans="1:12" x14ac:dyDescent="0.2">
      <c r="A1433" t="s">
        <v>922</v>
      </c>
      <c r="E1433" s="20" t="str">
        <f>IF(D1433="?OLD","!!!","")</f>
        <v/>
      </c>
      <c r="F1433" s="21" t="str">
        <f>IF(OR(E1433="",E1433="!!!"),"",IF(NOT(ISNA(VLOOKUP(E1433,E$1:E1432,1,FALSE()))),"OLD",IF(AND(E1433&lt;&gt;"",E1433&lt;&gt;"!!!"),"NEW","")))</f>
        <v/>
      </c>
      <c r="G1433" s="22" t="str">
        <f>IF(OR(E1433="",E1433="!!!"),"",IF(OR(J1433=0,AND(J1433=1,K1433=1),AND(J1433=1,I1433="SBJ"),AND(J1433=1,I1433=0)),"?IN_FOCUS",IF(J1433&lt;=2,"?ACTIVATED",IF(J1433&lt;&gt;"","?FAMILIAR",IF(F1433="NEW",IF(ISNA(VLOOKUP(E1433,#REF!,1,FALSE())),"?TYPE_IDENTIFIABLE","?REFERENTIAL"),"_")))))</f>
        <v/>
      </c>
      <c r="H1433" s="23" t="str">
        <f ca="1">IF(J1433&lt;&gt;1,"",IF(I1433="SBJ","CB","?"))</f>
        <v/>
      </c>
      <c r="I1433" s="24" t="str">
        <f>IF(OR(E1433="",E1433="!!!",F1433="NEW"),"",INDEX(B$2:B1432,-1+SUMPRODUCT(MAX(ROW(E$2:E1432)*(E1433=E$2:E1432)))))</f>
        <v/>
      </c>
      <c r="J1433" s="24" t="str">
        <f ca="1">IF(OR(E1433="",E1433="!!!",F1433="NEW"),"",COUNTBLANK(OFFSET(A$1,,,SUMPRODUCT(MAX(ROW(E$2:E1433)*(E1433=E$2:E1433)))))-COUNTBLANK(OFFSET(A$1,,,SUMPRODUCT(MAX(ROW(E$1:E1432)*(E2=E$1:E1432))))))</f>
        <v/>
      </c>
      <c r="K1433" s="24" t="str">
        <f>IF(OR(E1433="",E1433="!!!",F1433="NEW"),"",INDEX(J$1:J1432,SUMPRODUCT(MAX(ROW(E$1:E1432)*(E1433=E$1:E1432)))))</f>
        <v/>
      </c>
      <c r="L1433" s="25"/>
    </row>
    <row r="1435" spans="1:12" x14ac:dyDescent="0.2">
      <c r="A1435" t="s">
        <v>1305</v>
      </c>
    </row>
    <row r="1436" spans="1:12" x14ac:dyDescent="0.2">
      <c r="A1436" t="s">
        <v>953</v>
      </c>
      <c r="E1436" s="20" t="str">
        <f t="shared" ref="E1436:E1466" si="164">IF(D1436="?OLD","!!!","")</f>
        <v/>
      </c>
      <c r="F1436" s="21" t="str">
        <f>IF(OR(E1436="",E1436="!!!"),"",IF(NOT(ISNA(VLOOKUP(E1436,E$1:E1435,1,FALSE()))),"OLD",IF(AND(E1436&lt;&gt;"",E1436&lt;&gt;"!!!"),"NEW","")))</f>
        <v/>
      </c>
      <c r="G1436" s="22" t="str">
        <f>IF(OR(E1436="",E1436="!!!"),"",IF(OR(J1436=0,AND(J1436=1,K1436=1),AND(J1436=1,I1436="SBJ"),AND(J1436=1,I1436=0)),"?IN_FOCUS",IF(J1436&lt;=2,"?ACTIVATED",IF(J1436&lt;&gt;"","?FAMILIAR",IF(F1436="NEW",IF(ISNA(VLOOKUP(E1436,#REF!,1,FALSE())),"?TYPE_IDENTIFIABLE","?REFERENTIAL"),"_")))))</f>
        <v/>
      </c>
      <c r="H1436" s="23" t="str">
        <f t="shared" ref="H1436:H1466" ca="1" si="165">IF(J1436&lt;&gt;1,"",IF(I1436="SBJ","CB","?"))</f>
        <v/>
      </c>
      <c r="I1436" s="24" t="str">
        <f>IF(OR(E1436="",E1436="!!!",F1436="NEW"),"",INDEX(B$2:B1435,-1+SUMPRODUCT(MAX(ROW(E$2:E1435)*(E1436=E$2:E1435)))))</f>
        <v/>
      </c>
      <c r="J1436" s="24" t="str">
        <f ca="1">IF(OR(E1436="",E1436="!!!",F1436="NEW"),"",COUNTBLANK(OFFSET(A$1,,,SUMPRODUCT(MAX(ROW(E$2:E1436)*(E1436=E$2:E1436)))))-COUNTBLANK(OFFSET(A$1,,,SUMPRODUCT(MAX(ROW(E$1:E1435)*(E2=E$1:E1435))))))</f>
        <v/>
      </c>
      <c r="K1436" s="24" t="str">
        <f>IF(OR(E1436="",E1436="!!!",F1436="NEW"),"",INDEX(J$1:J1435,SUMPRODUCT(MAX(ROW(E$1:E1435)*(E1436=E$1:E1435)))))</f>
        <v/>
      </c>
      <c r="L1436" s="25"/>
    </row>
    <row r="1437" spans="1:12" x14ac:dyDescent="0.2">
      <c r="A1437" t="s">
        <v>919</v>
      </c>
      <c r="B1437" s="26" t="s">
        <v>804</v>
      </c>
      <c r="C1437" s="26" t="s">
        <v>805</v>
      </c>
      <c r="D1437" s="26" t="s">
        <v>806</v>
      </c>
      <c r="E1437" s="20" t="s">
        <v>1782</v>
      </c>
      <c r="F1437" s="21" t="s">
        <v>1753</v>
      </c>
      <c r="G1437" s="22" t="s">
        <v>1823</v>
      </c>
      <c r="H1437" s="23" t="str">
        <f t="shared" ca="1" si="165"/>
        <v/>
      </c>
      <c r="I1437" s="24" t="e">
        <f>IF(OR(E1437="",E1437="!!!",F1437="NEW"),"",INDEX(B$2:B1436,-1+SUMPRODUCT(MAX(ROW(E$2:E1436)*(E1437=E$2:E1436)))))</f>
        <v>#VALUE!</v>
      </c>
      <c r="J1437" s="24">
        <f ca="1">IF(OR(E1437="",E1437="!!!",F1437="NEW"),"",COUNTBLANK(OFFSET(A$1,,,SUMPRODUCT(MAX(ROW(E$2:E1437)*(E1437=E$2:E1437)))))-COUNTBLANK(OFFSET(A$1,,,SUMPRODUCT(MAX(ROW(E$1:E1436)*(E2=E$1:E1436))))))</f>
        <v>0</v>
      </c>
      <c r="K1437" s="24" t="e">
        <f>IF(OR(E1437="",E1437="!!!",F1437="NEW"),"",INDEX(J$1:J1436,SUMPRODUCT(MAX(ROW(E$1:E1436)*(E1437=E$1:E1436)))))</f>
        <v>#VALUE!</v>
      </c>
      <c r="L1437" s="25"/>
    </row>
    <row r="1438" spans="1:12" x14ac:dyDescent="0.2">
      <c r="A1438" t="s">
        <v>1018</v>
      </c>
      <c r="E1438" s="20" t="str">
        <f t="shared" si="164"/>
        <v/>
      </c>
      <c r="F1438" s="21" t="str">
        <f>IF(OR(E1438="",E1438="!!!"),"",IF(NOT(ISNA(VLOOKUP(E1438,E$1:E1437,1,FALSE()))),"OLD",IF(AND(E1438&lt;&gt;"",E1438&lt;&gt;"!!!"),"NEW","")))</f>
        <v/>
      </c>
      <c r="G1438" s="22" t="str">
        <f>IF(OR(E1438="",E1438="!!!"),"",IF(OR(J1438=0,AND(J1438=1,K1438=1),AND(J1438=1,I1438="SBJ"),AND(J1438=1,I1438=0)),"?IN_FOCUS",IF(J1438&lt;=2,"?ACTIVATED",IF(J1438&lt;&gt;"","?FAMILIAR",IF(F1438="NEW",IF(ISNA(VLOOKUP(E1438,#REF!,1,FALSE())),"?TYPE_IDENTIFIABLE","?REFERENTIAL"),"_")))))</f>
        <v/>
      </c>
      <c r="H1438" s="23" t="str">
        <f t="shared" ca="1" si="165"/>
        <v/>
      </c>
      <c r="I1438" s="24" t="str">
        <f>IF(OR(E1438="",E1438="!!!",F1438="NEW"),"",INDEX(B$2:B1437,-1+SUMPRODUCT(MAX(ROW(E$2:E1437)*(E1438=E$2:E1437)))))</f>
        <v/>
      </c>
      <c r="J1438" s="24" t="str">
        <f ca="1">IF(OR(E1438="",E1438="!!!",F1438="NEW"),"",COUNTBLANK(OFFSET(A$1,,,SUMPRODUCT(MAX(ROW(E$2:E1438)*(E1438=E$2:E1438)))))-COUNTBLANK(OFFSET(A$1,,,SUMPRODUCT(MAX(ROW(E$1:E1437)*(E2=E$1:E1437))))))</f>
        <v/>
      </c>
      <c r="K1438" s="24" t="str">
        <f>IF(OR(E1438="",E1438="!!!",F1438="NEW"),"",INDEX(J$1:J1437,SUMPRODUCT(MAX(ROW(E$1:E1437)*(E1438=E$1:E1437)))))</f>
        <v/>
      </c>
      <c r="L1438" s="25"/>
    </row>
    <row r="1439" spans="1:12" x14ac:dyDescent="0.2">
      <c r="A1439" t="s">
        <v>1306</v>
      </c>
      <c r="E1439" s="20" t="str">
        <f t="shared" si="164"/>
        <v/>
      </c>
      <c r="F1439" s="21" t="str">
        <f>IF(OR(E1439="",E1439="!!!"),"",IF(NOT(ISNA(VLOOKUP(E1439,E$1:E1438,1,FALSE()))),"OLD",IF(AND(E1439&lt;&gt;"",E1439&lt;&gt;"!!!"),"NEW","")))</f>
        <v/>
      </c>
      <c r="G1439" s="22" t="str">
        <f>IF(OR(E1439="",E1439="!!!"),"",IF(OR(J1439=0,AND(J1439=1,K1439=1),AND(J1439=1,I1439="SBJ"),AND(J1439=1,I1439=0)),"?IN_FOCUS",IF(J1439&lt;=2,"?ACTIVATED",IF(J1439&lt;&gt;"","?FAMILIAR",IF(F1439="NEW",IF(ISNA(VLOOKUP(E1439,#REF!,1,FALSE())),"?TYPE_IDENTIFIABLE","?REFERENTIAL"),"_")))))</f>
        <v/>
      </c>
      <c r="H1439" s="23" t="str">
        <f t="shared" ca="1" si="165"/>
        <v/>
      </c>
      <c r="I1439" s="24" t="str">
        <f>IF(OR(E1439="",E1439="!!!",F1439="NEW"),"",INDEX(B$2:B1438,-1+SUMPRODUCT(MAX(ROW(E$2:E1438)*(E1439=E$2:E1438)))))</f>
        <v/>
      </c>
      <c r="J1439" s="24" t="str">
        <f ca="1">IF(OR(E1439="",E1439="!!!",F1439="NEW"),"",COUNTBLANK(OFFSET(A$1,,,SUMPRODUCT(MAX(ROW(E$2:E1439)*(E1439=E$2:E1439)))))-COUNTBLANK(OFFSET(A$1,,,SUMPRODUCT(MAX(ROW(E$1:E1438)*(E2=E$1:E1438))))))</f>
        <v/>
      </c>
      <c r="K1439" s="24" t="str">
        <f>IF(OR(E1439="",E1439="!!!",F1439="NEW"),"",INDEX(J$1:J1438,SUMPRODUCT(MAX(ROW(E$1:E1438)*(E1439=E$1:E1438)))))</f>
        <v/>
      </c>
      <c r="L1439" s="25"/>
    </row>
    <row r="1440" spans="1:12" x14ac:dyDescent="0.2">
      <c r="A1440" t="s">
        <v>1307</v>
      </c>
      <c r="E1440" s="20" t="str">
        <f t="shared" si="164"/>
        <v/>
      </c>
      <c r="F1440" s="21" t="str">
        <f>IF(OR(E1440="",E1440="!!!"),"",IF(NOT(ISNA(VLOOKUP(E1440,E$1:E1439,1,FALSE()))),"OLD",IF(AND(E1440&lt;&gt;"",E1440&lt;&gt;"!!!"),"NEW","")))</f>
        <v/>
      </c>
      <c r="G1440" s="22" t="str">
        <f>IF(OR(E1440="",E1440="!!!"),"",IF(OR(J1440=0,AND(J1440=1,K1440=1),AND(J1440=1,I1440="SBJ"),AND(J1440=1,I1440=0)),"?IN_FOCUS",IF(J1440&lt;=2,"?ACTIVATED",IF(J1440&lt;&gt;"","?FAMILIAR",IF(F1440="NEW",IF(ISNA(VLOOKUP(E1440,#REF!,1,FALSE())),"?TYPE_IDENTIFIABLE","?REFERENTIAL"),"_")))))</f>
        <v/>
      </c>
      <c r="H1440" s="23" t="str">
        <f t="shared" ca="1" si="165"/>
        <v/>
      </c>
      <c r="I1440" s="24" t="str">
        <f>IF(OR(E1440="",E1440="!!!",F1440="NEW"),"",INDEX(B$2:B1439,-1+SUMPRODUCT(MAX(ROW(E$2:E1439)*(E1440=E$2:E1439)))))</f>
        <v/>
      </c>
      <c r="J1440" s="24" t="str">
        <f ca="1">IF(OR(E1440="",E1440="!!!",F1440="NEW"),"",COUNTBLANK(OFFSET(A$1,,,SUMPRODUCT(MAX(ROW(E$2:E1440)*(E1440=E$2:E1440)))))-COUNTBLANK(OFFSET(A$1,,,SUMPRODUCT(MAX(ROW(E$1:E1439)*(E2=E$1:E1439))))))</f>
        <v/>
      </c>
      <c r="K1440" s="24" t="str">
        <f>IF(OR(E1440="",E1440="!!!",F1440="NEW"),"",INDEX(J$1:J1439,SUMPRODUCT(MAX(ROW(E$1:E1439)*(E1440=E$1:E1439)))))</f>
        <v/>
      </c>
      <c r="L1440" s="25"/>
    </row>
    <row r="1441" spans="1:12" x14ac:dyDescent="0.2">
      <c r="A1441" t="s">
        <v>845</v>
      </c>
      <c r="E1441" s="20" t="str">
        <f t="shared" si="164"/>
        <v/>
      </c>
      <c r="F1441" s="21" t="str">
        <f>IF(OR(E1441="",E1441="!!!"),"",IF(NOT(ISNA(VLOOKUP(E1441,E$1:E1440,1,FALSE()))),"OLD",IF(AND(E1441&lt;&gt;"",E1441&lt;&gt;"!!!"),"NEW","")))</f>
        <v/>
      </c>
      <c r="G1441" s="22" t="str">
        <f>IF(OR(E1441="",E1441="!!!"),"",IF(OR(J1441=0,AND(J1441=1,K1441=1),AND(J1441=1,I1441="SBJ"),AND(J1441=1,I1441=0)),"?IN_FOCUS",IF(J1441&lt;=2,"?ACTIVATED",IF(J1441&lt;&gt;"","?FAMILIAR",IF(F1441="NEW",IF(ISNA(VLOOKUP(E1441,#REF!,1,FALSE())),"?TYPE_IDENTIFIABLE","?REFERENTIAL"),"_")))))</f>
        <v/>
      </c>
      <c r="H1441" s="23" t="str">
        <f t="shared" ca="1" si="165"/>
        <v/>
      </c>
      <c r="I1441" s="24" t="str">
        <f>IF(OR(E1441="",E1441="!!!",F1441="NEW"),"",INDEX(B$2:B1440,-1+SUMPRODUCT(MAX(ROW(E$2:E1440)*(E1441=E$2:E1440)))))</f>
        <v/>
      </c>
      <c r="J1441" s="24" t="str">
        <f ca="1">IF(OR(E1441="",E1441="!!!",F1441="NEW"),"",COUNTBLANK(OFFSET(A$1,,,SUMPRODUCT(MAX(ROW(E$2:E1441)*(E1441=E$2:E1441)))))-COUNTBLANK(OFFSET(A$1,,,SUMPRODUCT(MAX(ROW(E$1:E1440)*(E2=E$1:E1440))))))</f>
        <v/>
      </c>
      <c r="K1441" s="24" t="str">
        <f>IF(OR(E1441="",E1441="!!!",F1441="NEW"),"",INDEX(J$1:J1440,SUMPRODUCT(MAX(ROW(E$1:E1440)*(E1441=E$1:E1440)))))</f>
        <v/>
      </c>
      <c r="L1441" s="25"/>
    </row>
    <row r="1442" spans="1:12" x14ac:dyDescent="0.2">
      <c r="A1442" t="s">
        <v>1220</v>
      </c>
      <c r="B1442" s="26" t="s">
        <v>819</v>
      </c>
      <c r="C1442" s="26" t="s">
        <v>847</v>
      </c>
      <c r="D1442" s="26" t="s">
        <v>806</v>
      </c>
      <c r="E1442" s="20" t="s">
        <v>1220</v>
      </c>
      <c r="F1442" s="21" t="str">
        <f>IF(OR(E1442="",E1442="!!!"),"",IF(NOT(ISNA(VLOOKUP(E1442,E$1:E1441,1,FALSE()))),"OLD",IF(AND(E1442&lt;&gt;"",E1442&lt;&gt;"!!!"),"NEW","")))</f>
        <v>OLD</v>
      </c>
      <c r="G1442" s="22" t="s">
        <v>1823</v>
      </c>
      <c r="H1442" s="23" t="str">
        <f t="shared" ca="1" si="165"/>
        <v/>
      </c>
      <c r="I1442" s="24" t="str">
        <f>IF(OR(E1442="",E1442="!!!",F1442="NEW"),"",INDEX(B$2:B1441,-1+SUMPRODUCT(MAX(ROW(E$2:E1441)*(E1442=E$2:E1441)))))</f>
        <v>other_2</v>
      </c>
      <c r="J1442" s="24">
        <f ca="1">IF(OR(E1442="",E1442="!!!",F1442="NEW"),"",COUNTBLANK(OFFSET(A$1,,,SUMPRODUCT(MAX(ROW(E$2:E1442)*(E1442=E$2:E1442)))))-COUNTBLANK(OFFSET(A$1,,,SUMPRODUCT(MAX(ROW(E$1:E1441)*(E2=E$1:E1441))))))</f>
        <v>0</v>
      </c>
      <c r="K1442" s="24">
        <f ca="1">IF(OR(E1442="",E1442="!!!",F1442="NEW"),"",INDEX(J$1:J1441,SUMPRODUCT(MAX(ROW(E$1:E1441)*(E1442=E$1:E1441)))))</f>
        <v>0</v>
      </c>
      <c r="L1442" s="25"/>
    </row>
    <row r="1443" spans="1:12" x14ac:dyDescent="0.2">
      <c r="A1443" t="s">
        <v>802</v>
      </c>
      <c r="E1443" s="20" t="str">
        <f t="shared" si="164"/>
        <v/>
      </c>
      <c r="F1443" s="21" t="str">
        <f>IF(OR(E1443="",E1443="!!!"),"",IF(NOT(ISNA(VLOOKUP(E1443,E$1:E1442,1,FALSE()))),"OLD",IF(AND(E1443&lt;&gt;"",E1443&lt;&gt;"!!!"),"NEW","")))</f>
        <v/>
      </c>
      <c r="G1443" s="22" t="str">
        <f>IF(OR(E1443="",E1443="!!!"),"",IF(OR(J1443=0,AND(J1443=1,K1443=1),AND(J1443=1,I1443="SBJ"),AND(J1443=1,I1443=0)),"?IN_FOCUS",IF(J1443&lt;=2,"?ACTIVATED",IF(J1443&lt;&gt;"","?FAMILIAR",IF(F1443="NEW",IF(ISNA(VLOOKUP(E1443,#REF!,1,FALSE())),"?TYPE_IDENTIFIABLE","?REFERENTIAL"),"_")))))</f>
        <v/>
      </c>
      <c r="H1443" s="23" t="str">
        <f t="shared" ca="1" si="165"/>
        <v/>
      </c>
      <c r="I1443" s="24" t="str">
        <f>IF(OR(E1443="",E1443="!!!",F1443="NEW"),"",INDEX(B$2:B1442,-1+SUMPRODUCT(MAX(ROW(E$2:E1442)*(E1443=E$2:E1442)))))</f>
        <v/>
      </c>
      <c r="J1443" s="24" t="str">
        <f ca="1">IF(OR(E1443="",E1443="!!!",F1443="NEW"),"",COUNTBLANK(OFFSET(A$1,,,SUMPRODUCT(MAX(ROW(E$2:E1443)*(E1443=E$2:E1443)))))-COUNTBLANK(OFFSET(A$1,,,SUMPRODUCT(MAX(ROW(E$1:E1442)*(E2=E$1:E1442))))))</f>
        <v/>
      </c>
      <c r="K1443" s="24" t="str">
        <f>IF(OR(E1443="",E1443="!!!",F1443="NEW"),"",INDEX(J$1:J1442,SUMPRODUCT(MAX(ROW(E$1:E1442)*(E1443=E$1:E1442)))))</f>
        <v/>
      </c>
      <c r="L1443" s="25"/>
    </row>
    <row r="1444" spans="1:12" x14ac:dyDescent="0.2">
      <c r="A1444" t="s">
        <v>888</v>
      </c>
      <c r="E1444" s="20" t="str">
        <f t="shared" si="164"/>
        <v/>
      </c>
      <c r="F1444" s="21" t="str">
        <f>IF(OR(E1444="",E1444="!!!"),"",IF(NOT(ISNA(VLOOKUP(E1444,E$1:E1443,1,FALSE()))),"OLD",IF(AND(E1444&lt;&gt;"",E1444&lt;&gt;"!!!"),"NEW","")))</f>
        <v/>
      </c>
      <c r="G1444" s="22" t="str">
        <f>IF(OR(E1444="",E1444="!!!"),"",IF(OR(J1444=0,AND(J1444=1,K1444=1),AND(J1444=1,I1444="SBJ"),AND(J1444=1,I1444=0)),"?IN_FOCUS",IF(J1444&lt;=2,"?ACTIVATED",IF(J1444&lt;&gt;"","?FAMILIAR",IF(F1444="NEW",IF(ISNA(VLOOKUP(E1444,#REF!,1,FALSE())),"?TYPE_IDENTIFIABLE","?REFERENTIAL"),"_")))))</f>
        <v/>
      </c>
      <c r="H1444" s="23" t="str">
        <f t="shared" ca="1" si="165"/>
        <v/>
      </c>
      <c r="I1444" s="24" t="str">
        <f>IF(OR(E1444="",E1444="!!!",F1444="NEW"),"",INDEX(B$2:B1443,-1+SUMPRODUCT(MAX(ROW(E$2:E1443)*(E1444=E$2:E1443)))))</f>
        <v/>
      </c>
      <c r="J1444" s="24" t="str">
        <f ca="1">IF(OR(E1444="",E1444="!!!",F1444="NEW"),"",COUNTBLANK(OFFSET(A$1,,,SUMPRODUCT(MAX(ROW(E$2:E1444)*(E1444=E$2:E1444)))))-COUNTBLANK(OFFSET(A$1,,,SUMPRODUCT(MAX(ROW(E$1:E1443)*(E2=E$1:E1443))))))</f>
        <v/>
      </c>
      <c r="K1444" s="24" t="str">
        <f>IF(OR(E1444="",E1444="!!!",F1444="NEW"),"",INDEX(J$1:J1443,SUMPRODUCT(MAX(ROW(E$1:E1443)*(E1444=E$1:E1443)))))</f>
        <v/>
      </c>
      <c r="L1444" s="25"/>
    </row>
    <row r="1445" spans="1:12" x14ac:dyDescent="0.2">
      <c r="A1445" t="s">
        <v>803</v>
      </c>
      <c r="B1445" s="26" t="s">
        <v>950</v>
      </c>
      <c r="C1445" s="26" t="s">
        <v>805</v>
      </c>
      <c r="D1445" s="26" t="s">
        <v>806</v>
      </c>
      <c r="E1445" s="20" t="s">
        <v>1747</v>
      </c>
      <c r="F1445" s="21" t="s">
        <v>1753</v>
      </c>
      <c r="G1445" s="22" t="s">
        <v>1823</v>
      </c>
      <c r="H1445" s="23" t="str">
        <f t="shared" ca="1" si="165"/>
        <v/>
      </c>
      <c r="I1445" s="24" t="str">
        <f>IF(OR(E1445="",E1445="!!!",F1445="NEW"),"",INDEX(B$2:B1444,-1+SUMPRODUCT(MAX(ROW(E$2:E1444)*(E1445=E$2:E1444)))))</f>
        <v>SBJ</v>
      </c>
      <c r="J1445" s="24">
        <f ca="1">IF(OR(E1445="",E1445="!!!",F1445="NEW"),"",COUNTBLANK(OFFSET(A$1,,,SUMPRODUCT(MAX(ROW(E$2:E1445)*(E1445=E$2:E1445)))))-COUNTBLANK(OFFSET(A$1,,,SUMPRODUCT(MAX(ROW(E$1:E1444)*(E2=E$1:E1444))))))</f>
        <v>0</v>
      </c>
      <c r="K1445" s="24">
        <f ca="1">IF(OR(E1445="",E1445="!!!",F1445="NEW"),"",INDEX(J$1:J1444,SUMPRODUCT(MAX(ROW(E$1:E1444)*(E1445=E$1:E1444)))))</f>
        <v>0</v>
      </c>
      <c r="L1445" s="25"/>
    </row>
    <row r="1446" spans="1:12" x14ac:dyDescent="0.2">
      <c r="A1446" t="s">
        <v>1128</v>
      </c>
      <c r="E1446" s="20" t="str">
        <f t="shared" si="164"/>
        <v/>
      </c>
      <c r="F1446" s="21" t="str">
        <f>IF(OR(E1446="",E1446="!!!"),"",IF(NOT(ISNA(VLOOKUP(E1446,E$1:E1445,1,FALSE()))),"OLD",IF(AND(E1446&lt;&gt;"",E1446&lt;&gt;"!!!"),"NEW","")))</f>
        <v/>
      </c>
      <c r="G1446" s="22" t="str">
        <f>IF(OR(E1446="",E1446="!!!"),"",IF(OR(J1446=0,AND(J1446=1,K1446=1),AND(J1446=1,I1446="SBJ"),AND(J1446=1,I1446=0)),"?IN_FOCUS",IF(J1446&lt;=2,"?ACTIVATED",IF(J1446&lt;&gt;"","?FAMILIAR",IF(F1446="NEW",IF(ISNA(VLOOKUP(E1446,#REF!,1,FALSE())),"?TYPE_IDENTIFIABLE","?REFERENTIAL"),"_")))))</f>
        <v/>
      </c>
      <c r="H1446" s="23" t="str">
        <f t="shared" ca="1" si="165"/>
        <v/>
      </c>
      <c r="I1446" s="24" t="str">
        <f>IF(OR(E1446="",E1446="!!!",F1446="NEW"),"",INDEX(B$2:B1445,-1+SUMPRODUCT(MAX(ROW(E$2:E1445)*(E1446=E$2:E1445)))))</f>
        <v/>
      </c>
      <c r="J1446" s="24" t="str">
        <f ca="1">IF(OR(E1446="",E1446="!!!",F1446="NEW"),"",COUNTBLANK(OFFSET(A$1,,,SUMPRODUCT(MAX(ROW(E$2:E1446)*(E1446=E$2:E1446)))))-COUNTBLANK(OFFSET(A$1,,,SUMPRODUCT(MAX(ROW(E$1:E1445)*(E2=E$1:E1445))))))</f>
        <v/>
      </c>
      <c r="K1446" s="24" t="str">
        <f>IF(OR(E1446="",E1446="!!!",F1446="NEW"),"",INDEX(J$1:J1445,SUMPRODUCT(MAX(ROW(E$1:E1445)*(E1446=E$1:E1445)))))</f>
        <v/>
      </c>
      <c r="L1446" s="25"/>
    </row>
    <row r="1447" spans="1:12" x14ac:dyDescent="0.2">
      <c r="A1447" t="s">
        <v>1308</v>
      </c>
      <c r="E1447" s="20" t="str">
        <f t="shared" si="164"/>
        <v/>
      </c>
      <c r="F1447" s="21" t="str">
        <f>IF(OR(E1447="",E1447="!!!"),"",IF(NOT(ISNA(VLOOKUP(E1447,E$1:E1446,1,FALSE()))),"OLD",IF(AND(E1447&lt;&gt;"",E1447&lt;&gt;"!!!"),"NEW","")))</f>
        <v/>
      </c>
      <c r="G1447" s="22" t="str">
        <f>IF(OR(E1447="",E1447="!!!"),"",IF(OR(J1447=0,AND(J1447=1,K1447=1),AND(J1447=1,I1447="SBJ"),AND(J1447=1,I1447=0)),"?IN_FOCUS",IF(J1447&lt;=2,"?ACTIVATED",IF(J1447&lt;&gt;"","?FAMILIAR",IF(F1447="NEW",IF(ISNA(VLOOKUP(E1447,#REF!,1,FALSE())),"?TYPE_IDENTIFIABLE","?REFERENTIAL"),"_")))))</f>
        <v/>
      </c>
      <c r="H1447" s="23" t="str">
        <f t="shared" ca="1" si="165"/>
        <v/>
      </c>
      <c r="I1447" s="24" t="str">
        <f>IF(OR(E1447="",E1447="!!!",F1447="NEW"),"",INDEX(B$2:B1446,-1+SUMPRODUCT(MAX(ROW(E$2:E1446)*(E1447=E$2:E1446)))))</f>
        <v/>
      </c>
      <c r="J1447" s="24" t="str">
        <f ca="1">IF(OR(E1447="",E1447="!!!",F1447="NEW"),"",COUNTBLANK(OFFSET(A$1,,,SUMPRODUCT(MAX(ROW(E$2:E1447)*(E1447=E$2:E1447)))))-COUNTBLANK(OFFSET(A$1,,,SUMPRODUCT(MAX(ROW(E$1:E1446)*(E2=E$1:E1446))))))</f>
        <v/>
      </c>
      <c r="K1447" s="24" t="str">
        <f>IF(OR(E1447="",E1447="!!!",F1447="NEW"),"",INDEX(J$1:J1446,SUMPRODUCT(MAX(ROW(E$1:E1446)*(E1447=E$1:E1446)))))</f>
        <v/>
      </c>
      <c r="L1447" s="25"/>
    </row>
    <row r="1448" spans="1:12" x14ac:dyDescent="0.2">
      <c r="A1448" t="s">
        <v>888</v>
      </c>
      <c r="E1448" s="20" t="str">
        <f t="shared" si="164"/>
        <v/>
      </c>
      <c r="F1448" s="21" t="str">
        <f>IF(OR(E1448="",E1448="!!!"),"",IF(NOT(ISNA(VLOOKUP(E1448,E$1:E1447,1,FALSE()))),"OLD",IF(AND(E1448&lt;&gt;"",E1448&lt;&gt;"!!!"),"NEW","")))</f>
        <v/>
      </c>
      <c r="G1448" s="22" t="str">
        <f>IF(OR(E1448="",E1448="!!!"),"",IF(OR(J1448=0,AND(J1448=1,K1448=1),AND(J1448=1,I1448="SBJ"),AND(J1448=1,I1448=0)),"?IN_FOCUS",IF(J1448&lt;=2,"?ACTIVATED",IF(J1448&lt;&gt;"","?FAMILIAR",IF(F1448="NEW",IF(ISNA(VLOOKUP(E1448,#REF!,1,FALSE())),"?TYPE_IDENTIFIABLE","?REFERENTIAL"),"_")))))</f>
        <v/>
      </c>
      <c r="H1448" s="23" t="str">
        <f t="shared" ca="1" si="165"/>
        <v/>
      </c>
      <c r="I1448" s="24" t="str">
        <f>IF(OR(E1448="",E1448="!!!",F1448="NEW"),"",INDEX(B$2:B1447,-1+SUMPRODUCT(MAX(ROW(E$2:E1447)*(E1448=E$2:E1447)))))</f>
        <v/>
      </c>
      <c r="J1448" s="24" t="str">
        <f ca="1">IF(OR(E1448="",E1448="!!!",F1448="NEW"),"",COUNTBLANK(OFFSET(A$1,,,SUMPRODUCT(MAX(ROW(E$2:E1448)*(E1448=E$2:E1448)))))-COUNTBLANK(OFFSET(A$1,,,SUMPRODUCT(MAX(ROW(E$1:E1447)*(E2=E$1:E1447))))))</f>
        <v/>
      </c>
      <c r="K1448" s="24" t="str">
        <f>IF(OR(E1448="",E1448="!!!",F1448="NEW"),"",INDEX(J$1:J1447,SUMPRODUCT(MAX(ROW(E$1:E1447)*(E1448=E$1:E1447)))))</f>
        <v/>
      </c>
      <c r="L1448" s="25"/>
    </row>
    <row r="1449" spans="1:12" x14ac:dyDescent="0.2">
      <c r="A1449" t="s">
        <v>1309</v>
      </c>
      <c r="E1449" s="20" t="str">
        <f t="shared" si="164"/>
        <v/>
      </c>
      <c r="F1449" s="21" t="str">
        <f>IF(OR(E1449="",E1449="!!!"),"",IF(NOT(ISNA(VLOOKUP(E1449,E$1:E1448,1,FALSE()))),"OLD",IF(AND(E1449&lt;&gt;"",E1449&lt;&gt;"!!!"),"NEW","")))</f>
        <v/>
      </c>
      <c r="G1449" s="22" t="str">
        <f>IF(OR(E1449="",E1449="!!!"),"",IF(OR(J1449=0,AND(J1449=1,K1449=1),AND(J1449=1,I1449="SBJ"),AND(J1449=1,I1449=0)),"?IN_FOCUS",IF(J1449&lt;=2,"?ACTIVATED",IF(J1449&lt;&gt;"","?FAMILIAR",IF(F1449="NEW",IF(ISNA(VLOOKUP(E1449,#REF!,1,FALSE())),"?TYPE_IDENTIFIABLE","?REFERENTIAL"),"_")))))</f>
        <v/>
      </c>
      <c r="H1449" s="23" t="str">
        <f t="shared" ca="1" si="165"/>
        <v/>
      </c>
      <c r="I1449" s="24" t="str">
        <f>IF(OR(E1449="",E1449="!!!",F1449="NEW"),"",INDEX(B$2:B1448,-1+SUMPRODUCT(MAX(ROW(E$2:E1448)*(E1449=E$2:E1448)))))</f>
        <v/>
      </c>
      <c r="J1449" s="24" t="str">
        <f ca="1">IF(OR(E1449="",E1449="!!!",F1449="NEW"),"",COUNTBLANK(OFFSET(A$1,,,SUMPRODUCT(MAX(ROW(E$2:E1449)*(E1449=E$2:E1449)))))-COUNTBLANK(OFFSET(A$1,,,SUMPRODUCT(MAX(ROW(E$1:E1448)*(E2=E$1:E1448))))))</f>
        <v/>
      </c>
      <c r="K1449" s="24" t="str">
        <f>IF(OR(E1449="",E1449="!!!",F1449="NEW"),"",INDEX(J$1:J1448,SUMPRODUCT(MAX(ROW(E$1:E1448)*(E1449=E$1:E1448)))))</f>
        <v/>
      </c>
      <c r="L1449" s="25"/>
    </row>
    <row r="1450" spans="1:12" x14ac:dyDescent="0.2">
      <c r="A1450" t="s">
        <v>802</v>
      </c>
      <c r="E1450" s="20" t="str">
        <f t="shared" si="164"/>
        <v/>
      </c>
      <c r="F1450" s="21" t="str">
        <f>IF(OR(E1450="",E1450="!!!"),"",IF(NOT(ISNA(VLOOKUP(E1450,E$1:E1449,1,FALSE()))),"OLD",IF(AND(E1450&lt;&gt;"",E1450&lt;&gt;"!!!"),"NEW","")))</f>
        <v/>
      </c>
      <c r="G1450" s="22" t="str">
        <f>IF(OR(E1450="",E1450="!!!"),"",IF(OR(J1450=0,AND(J1450=1,K1450=1),AND(J1450=1,I1450="SBJ"),AND(J1450=1,I1450=0)),"?IN_FOCUS",IF(J1450&lt;=2,"?ACTIVATED",IF(J1450&lt;&gt;"","?FAMILIAR",IF(F1450="NEW",IF(ISNA(VLOOKUP(E1450,#REF!,1,FALSE())),"?TYPE_IDENTIFIABLE","?REFERENTIAL"),"_")))))</f>
        <v/>
      </c>
      <c r="H1450" s="23" t="str">
        <f t="shared" ca="1" si="165"/>
        <v/>
      </c>
      <c r="I1450" s="24" t="str">
        <f>IF(OR(E1450="",E1450="!!!",F1450="NEW"),"",INDEX(B$2:B1449,-1+SUMPRODUCT(MAX(ROW(E$2:E1449)*(E1450=E$2:E1449)))))</f>
        <v/>
      </c>
      <c r="J1450" s="24" t="str">
        <f ca="1">IF(OR(E1450="",E1450="!!!",F1450="NEW"),"",COUNTBLANK(OFFSET(A$1,,,SUMPRODUCT(MAX(ROW(E$2:E1450)*(E1450=E$2:E1450)))))-COUNTBLANK(OFFSET(A$1,,,SUMPRODUCT(MAX(ROW(E$1:E1449)*(E2=E$1:E1449))))))</f>
        <v/>
      </c>
      <c r="K1450" s="24" t="str">
        <f>IF(OR(E1450="",E1450="!!!",F1450="NEW"),"",INDEX(J$1:J1449,SUMPRODUCT(MAX(ROW(E$1:E1449)*(E1450=E$1:E1449)))))</f>
        <v/>
      </c>
      <c r="L1450" s="25"/>
    </row>
    <row r="1451" spans="1:12" x14ac:dyDescent="0.2">
      <c r="A1451" t="s">
        <v>984</v>
      </c>
      <c r="E1451" s="20" t="str">
        <f t="shared" si="164"/>
        <v/>
      </c>
      <c r="F1451" s="21" t="str">
        <f>IF(OR(E1451="",E1451="!!!"),"",IF(NOT(ISNA(VLOOKUP(E1451,E$1:E1450,1,FALSE()))),"OLD",IF(AND(E1451&lt;&gt;"",E1451&lt;&gt;"!!!"),"NEW","")))</f>
        <v/>
      </c>
      <c r="G1451" s="22" t="str">
        <f>IF(OR(E1451="",E1451="!!!"),"",IF(OR(J1451=0,AND(J1451=1,K1451=1),AND(J1451=1,I1451="SBJ"),AND(J1451=1,I1451=0)),"?IN_FOCUS",IF(J1451&lt;=2,"?ACTIVATED",IF(J1451&lt;&gt;"","?FAMILIAR",IF(F1451="NEW",IF(ISNA(VLOOKUP(E1451,#REF!,1,FALSE())),"?TYPE_IDENTIFIABLE","?REFERENTIAL"),"_")))))</f>
        <v/>
      </c>
      <c r="H1451" s="23" t="str">
        <f t="shared" ca="1" si="165"/>
        <v/>
      </c>
      <c r="I1451" s="24" t="str">
        <f>IF(OR(E1451="",E1451="!!!",F1451="NEW"),"",INDEX(B$2:B1450,-1+SUMPRODUCT(MAX(ROW(E$2:E1450)*(E1451=E$2:E1450)))))</f>
        <v/>
      </c>
      <c r="J1451" s="24" t="str">
        <f ca="1">IF(OR(E1451="",E1451="!!!",F1451="NEW"),"",COUNTBLANK(OFFSET(A$1,,,SUMPRODUCT(MAX(ROW(E$2:E1451)*(E1451=E$2:E1451)))))-COUNTBLANK(OFFSET(A$1,,,SUMPRODUCT(MAX(ROW(E$1:E1450)*(E2=E$1:E1450))))))</f>
        <v/>
      </c>
      <c r="K1451" s="24" t="str">
        <f>IF(OR(E1451="",E1451="!!!",F1451="NEW"),"",INDEX(J$1:J1450,SUMPRODUCT(MAX(ROW(E$1:E1450)*(E1451=E$1:E1450)))))</f>
        <v/>
      </c>
      <c r="L1451" s="25"/>
    </row>
    <row r="1452" spans="1:12" x14ac:dyDescent="0.2">
      <c r="A1452" t="s">
        <v>1310</v>
      </c>
      <c r="E1452" s="20" t="str">
        <f t="shared" si="164"/>
        <v/>
      </c>
      <c r="F1452" s="21" t="str">
        <f>IF(OR(E1452="",E1452="!!!"),"",IF(NOT(ISNA(VLOOKUP(E1452,E$1:E1451,1,FALSE()))),"OLD",IF(AND(E1452&lt;&gt;"",E1452&lt;&gt;"!!!"),"NEW","")))</f>
        <v/>
      </c>
      <c r="G1452" s="22" t="str">
        <f>IF(OR(E1452="",E1452="!!!"),"",IF(OR(J1452=0,AND(J1452=1,K1452=1),AND(J1452=1,I1452="SBJ"),AND(J1452=1,I1452=0)),"?IN_FOCUS",IF(J1452&lt;=2,"?ACTIVATED",IF(J1452&lt;&gt;"","?FAMILIAR",IF(F1452="NEW",IF(ISNA(VLOOKUP(E1452,#REF!,1,FALSE())),"?TYPE_IDENTIFIABLE","?REFERENTIAL"),"_")))))</f>
        <v/>
      </c>
      <c r="H1452" s="23" t="str">
        <f t="shared" ca="1" si="165"/>
        <v/>
      </c>
      <c r="I1452" s="24" t="str">
        <f>IF(OR(E1452="",E1452="!!!",F1452="NEW"),"",INDEX(B$2:B1451,-1+SUMPRODUCT(MAX(ROW(E$2:E1451)*(E1452=E$2:E1451)))))</f>
        <v/>
      </c>
      <c r="J1452" s="24" t="str">
        <f ca="1">IF(OR(E1452="",E1452="!!!",F1452="NEW"),"",COUNTBLANK(OFFSET(A$1,,,SUMPRODUCT(MAX(ROW(E$2:E1452)*(E1452=E$2:E1452)))))-COUNTBLANK(OFFSET(A$1,,,SUMPRODUCT(MAX(ROW(E$1:E1451)*(E2=E$1:E1451))))))</f>
        <v/>
      </c>
      <c r="K1452" s="24" t="str">
        <f>IF(OR(E1452="",E1452="!!!",F1452="NEW"),"",INDEX(J$1:J1451,SUMPRODUCT(MAX(ROW(E$1:E1451)*(E1452=E$1:E1451)))))</f>
        <v/>
      </c>
      <c r="L1452" s="25"/>
    </row>
    <row r="1453" spans="1:12" x14ac:dyDescent="0.2">
      <c r="A1453" t="s">
        <v>1166</v>
      </c>
      <c r="B1453" s="26" t="s">
        <v>938</v>
      </c>
      <c r="C1453" s="26" t="s">
        <v>814</v>
      </c>
      <c r="E1453" s="20" t="str">
        <f t="shared" si="164"/>
        <v/>
      </c>
      <c r="F1453" s="21" t="str">
        <f>IF(OR(E1453="",E1453="!!!"),"",IF(NOT(ISNA(VLOOKUP(E1453,E$1:E1452,1,FALSE()))),"OLD",IF(AND(E1453&lt;&gt;"",E1453&lt;&gt;"!!!"),"NEW","")))</f>
        <v/>
      </c>
      <c r="G1453" s="22" t="str">
        <f>IF(OR(E1453="",E1453="!!!"),"",IF(OR(J1453=0,AND(J1453=1,K1453=1),AND(J1453=1,I1453="SBJ"),AND(J1453=1,I1453=0)),"?IN_FOCUS",IF(J1453&lt;=2,"?ACTIVATED",IF(J1453&lt;&gt;"","?FAMILIAR",IF(F1453="NEW",IF(ISNA(VLOOKUP(E1453,#REF!,1,FALSE())),"?TYPE_IDENTIFIABLE","?REFERENTIAL"),"_")))))</f>
        <v/>
      </c>
      <c r="H1453" s="23" t="str">
        <f t="shared" ca="1" si="165"/>
        <v/>
      </c>
      <c r="I1453" s="24" t="str">
        <f>IF(OR(E1453="",E1453="!!!",F1453="NEW"),"",INDEX(B$2:B1452,-1+SUMPRODUCT(MAX(ROW(E$2:E1452)*(E1453=E$2:E1452)))))</f>
        <v/>
      </c>
      <c r="J1453" s="24" t="str">
        <f ca="1">IF(OR(E1453="",E1453="!!!",F1453="NEW"),"",COUNTBLANK(OFFSET(A$1,,,SUMPRODUCT(MAX(ROW(E$2:E1453)*(E1453=E$2:E1453)))))-COUNTBLANK(OFFSET(A$1,,,SUMPRODUCT(MAX(ROW(E$1:E1452)*(E2=E$1:E1452))))))</f>
        <v/>
      </c>
      <c r="K1453" s="24" t="str">
        <f>IF(OR(E1453="",E1453="!!!",F1453="NEW"),"",INDEX(J$1:J1452,SUMPRODUCT(MAX(ROW(E$1:E1452)*(E1453=E$1:E1452)))))</f>
        <v/>
      </c>
      <c r="L1453" s="25"/>
    </row>
    <row r="1454" spans="1:12" x14ac:dyDescent="0.2">
      <c r="A1454" t="s">
        <v>859</v>
      </c>
      <c r="E1454" s="20" t="str">
        <f t="shared" si="164"/>
        <v/>
      </c>
      <c r="F1454" s="21" t="str">
        <f>IF(OR(E1454="",E1454="!!!"),"",IF(NOT(ISNA(VLOOKUP(E1454,E$1:E1453,1,FALSE()))),"OLD",IF(AND(E1454&lt;&gt;"",E1454&lt;&gt;"!!!"),"NEW","")))</f>
        <v/>
      </c>
      <c r="G1454" s="22" t="str">
        <f>IF(OR(E1454="",E1454="!!!"),"",IF(OR(J1454=0,AND(J1454=1,K1454=1),AND(J1454=1,I1454="SBJ"),AND(J1454=1,I1454=0)),"?IN_FOCUS",IF(J1454&lt;=2,"?ACTIVATED",IF(J1454&lt;&gt;"","?FAMILIAR",IF(F1454="NEW",IF(ISNA(VLOOKUP(E1454,#REF!,1,FALSE())),"?TYPE_IDENTIFIABLE","?REFERENTIAL"),"_")))))</f>
        <v/>
      </c>
      <c r="H1454" s="23" t="str">
        <f t="shared" ca="1" si="165"/>
        <v/>
      </c>
      <c r="I1454" s="24" t="str">
        <f>IF(OR(E1454="",E1454="!!!",F1454="NEW"),"",INDEX(B$2:B1453,-1+SUMPRODUCT(MAX(ROW(E$2:E1453)*(E1454=E$2:E1453)))))</f>
        <v/>
      </c>
      <c r="J1454" s="24" t="str">
        <f ca="1">IF(OR(E1454="",E1454="!!!",F1454="NEW"),"",COUNTBLANK(OFFSET(A$1,,,SUMPRODUCT(MAX(ROW(E$2:E1454)*(E1454=E$2:E1454)))))-COUNTBLANK(OFFSET(A$1,,,SUMPRODUCT(MAX(ROW(E$1:E1453)*(E2=E$1:E1453))))))</f>
        <v/>
      </c>
      <c r="K1454" s="24" t="str">
        <f>IF(OR(E1454="",E1454="!!!",F1454="NEW"),"",INDEX(J$1:J1453,SUMPRODUCT(MAX(ROW(E$1:E1453)*(E1454=E$1:E1453)))))</f>
        <v/>
      </c>
      <c r="L1454" s="25"/>
    </row>
    <row r="1455" spans="1:12" x14ac:dyDescent="0.2">
      <c r="A1455" t="s">
        <v>816</v>
      </c>
      <c r="B1455" s="26" t="s">
        <v>864</v>
      </c>
      <c r="C1455" s="26" t="s">
        <v>817</v>
      </c>
      <c r="D1455" s="26" t="s">
        <v>806</v>
      </c>
      <c r="E1455" s="20"/>
      <c r="F1455" s="21" t="s">
        <v>1793</v>
      </c>
      <c r="G1455" s="22"/>
      <c r="H1455" s="23" t="str">
        <f t="shared" ca="1" si="165"/>
        <v/>
      </c>
      <c r="I1455" s="24" t="str">
        <f>IF(OR(E1455="",E1455="!!!",F1455="NEW"),"",INDEX(B$2:B1454,-1+SUMPRODUCT(MAX(ROW(E$2:E1454)*(E1455=E$2:E1454)))))</f>
        <v/>
      </c>
      <c r="J1455" s="24" t="str">
        <f ca="1">IF(OR(E1455="",E1455="!!!",F1455="NEW"),"",COUNTBLANK(OFFSET(A$1,,,SUMPRODUCT(MAX(ROW(E$2:E1455)*(E1455=E$2:E1455)))))-COUNTBLANK(OFFSET(A$1,,,SUMPRODUCT(MAX(ROW(E$1:E1454)*(E2=E$1:E1454))))))</f>
        <v/>
      </c>
      <c r="K1455" s="24" t="str">
        <f>IF(OR(E1455="",E1455="!!!",F1455="NEW"),"",INDEX(J$1:J1454,SUMPRODUCT(MAX(ROW(E$1:E1454)*(E1455=E$1:E1454)))))</f>
        <v/>
      </c>
      <c r="L1455" s="25"/>
    </row>
    <row r="1456" spans="1:12" x14ac:dyDescent="0.2">
      <c r="A1456" t="s">
        <v>1311</v>
      </c>
      <c r="B1456" s="26" t="s">
        <v>813</v>
      </c>
      <c r="C1456" s="26" t="s">
        <v>820</v>
      </c>
      <c r="D1456" s="26" t="s">
        <v>806</v>
      </c>
      <c r="E1456" s="20" t="s">
        <v>1311</v>
      </c>
      <c r="F1456" s="21" t="str">
        <f>IF(OR(E1456="",E1456="!!!"),"",IF(NOT(ISNA(VLOOKUP(E1456,E$1:E1455,1,FALSE()))),"OLD",IF(AND(E1456&lt;&gt;"",E1456&lt;&gt;"!!!"),"NEW","")))</f>
        <v>NEW</v>
      </c>
      <c r="G1456" s="22" t="s">
        <v>1824</v>
      </c>
      <c r="H1456" s="23" t="str">
        <f t="shared" ca="1" si="165"/>
        <v/>
      </c>
      <c r="I1456" s="24" t="str">
        <f>IF(OR(E1456="",E1456="!!!",F1456="NEW"),"",INDEX(B$2:B1455,-1+SUMPRODUCT(MAX(ROW(E$2:E1455)*(E1456=E$2:E1455)))))</f>
        <v/>
      </c>
      <c r="J1456" s="24" t="str">
        <f ca="1">IF(OR(E1456="",E1456="!!!",F1456="NEW"),"",COUNTBLANK(OFFSET(A$1,,,SUMPRODUCT(MAX(ROW(E$2:E1456)*(E1456=E$2:E1456)))))-COUNTBLANK(OFFSET(A$1,,,SUMPRODUCT(MAX(ROW(E$1:E1455)*(E2=E$1:E1455))))))</f>
        <v/>
      </c>
      <c r="K1456" s="24" t="str">
        <f>IF(OR(E1456="",E1456="!!!",F1456="NEW"),"",INDEX(J$1:J1455,SUMPRODUCT(MAX(ROW(E$1:E1455)*(E1456=E$1:E1455)))))</f>
        <v/>
      </c>
      <c r="L1456" s="25"/>
    </row>
    <row r="1457" spans="1:12" x14ac:dyDescent="0.2">
      <c r="A1457" t="s">
        <v>802</v>
      </c>
      <c r="E1457" s="20" t="str">
        <f t="shared" si="164"/>
        <v/>
      </c>
      <c r="F1457" s="21" t="str">
        <f>IF(OR(E1457="",E1457="!!!"),"",IF(NOT(ISNA(VLOOKUP(E1457,E$1:E1456,1,FALSE()))),"OLD",IF(AND(E1457&lt;&gt;"",E1457&lt;&gt;"!!!"),"NEW","")))</f>
        <v/>
      </c>
      <c r="G1457" s="22" t="str">
        <f>IF(OR(E1457="",E1457="!!!"),"",IF(OR(J1457=0,AND(J1457=1,K1457=1),AND(J1457=1,I1457="SBJ"),AND(J1457=1,I1457=0)),"?IN_FOCUS",IF(J1457&lt;=2,"?ACTIVATED",IF(J1457&lt;&gt;"","?FAMILIAR",IF(F1457="NEW",IF(ISNA(VLOOKUP(E1457,#REF!,1,FALSE())),"?TYPE_IDENTIFIABLE","?REFERENTIAL"),"_")))))</f>
        <v/>
      </c>
      <c r="H1457" s="23" t="str">
        <f t="shared" ca="1" si="165"/>
        <v/>
      </c>
      <c r="I1457" s="24" t="str">
        <f>IF(OR(E1457="",E1457="!!!",F1457="NEW"),"",INDEX(B$2:B1456,-1+SUMPRODUCT(MAX(ROW(E$2:E1456)*(E1457=E$2:E1456)))))</f>
        <v/>
      </c>
      <c r="J1457" s="24" t="str">
        <f ca="1">IF(OR(E1457="",E1457="!!!",F1457="NEW"),"",COUNTBLANK(OFFSET(A$1,,,SUMPRODUCT(MAX(ROW(E$2:E1457)*(E1457=E$2:E1457)))))-COUNTBLANK(OFFSET(A$1,,,SUMPRODUCT(MAX(ROW(E$1:E1456)*(E2=E$1:E1456))))))</f>
        <v/>
      </c>
      <c r="K1457" s="24" t="str">
        <f>IF(OR(E1457="",E1457="!!!",F1457="NEW"),"",INDEX(J$1:J1456,SUMPRODUCT(MAX(ROW(E$1:E1456)*(E1457=E$1:E1456)))))</f>
        <v/>
      </c>
      <c r="L1457" s="25"/>
    </row>
    <row r="1458" spans="1:12" x14ac:dyDescent="0.2">
      <c r="A1458" t="s">
        <v>888</v>
      </c>
      <c r="E1458" s="20" t="str">
        <f t="shared" si="164"/>
        <v/>
      </c>
      <c r="F1458" s="21" t="str">
        <f>IF(OR(E1458="",E1458="!!!"),"",IF(NOT(ISNA(VLOOKUP(E1458,E$1:E1457,1,FALSE()))),"OLD",IF(AND(E1458&lt;&gt;"",E1458&lt;&gt;"!!!"),"NEW","")))</f>
        <v/>
      </c>
      <c r="G1458" s="22" t="str">
        <f>IF(OR(E1458="",E1458="!!!"),"",IF(OR(J1458=0,AND(J1458=1,K1458=1),AND(J1458=1,I1458="SBJ"),AND(J1458=1,I1458=0)),"?IN_FOCUS",IF(J1458&lt;=2,"?ACTIVATED",IF(J1458&lt;&gt;"","?FAMILIAR",IF(F1458="NEW",IF(ISNA(VLOOKUP(E1458,#REF!,1,FALSE())),"?TYPE_IDENTIFIABLE","?REFERENTIAL"),"_")))))</f>
        <v/>
      </c>
      <c r="H1458" s="23" t="str">
        <f t="shared" ca="1" si="165"/>
        <v/>
      </c>
      <c r="I1458" s="24" t="str">
        <f>IF(OR(E1458="",E1458="!!!",F1458="NEW"),"",INDEX(B$2:B1457,-1+SUMPRODUCT(MAX(ROW(E$2:E1457)*(E1458=E$2:E1457)))))</f>
        <v/>
      </c>
      <c r="J1458" s="24" t="str">
        <f ca="1">IF(OR(E1458="",E1458="!!!",F1458="NEW"),"",COUNTBLANK(OFFSET(A$1,,,SUMPRODUCT(MAX(ROW(E$2:E1458)*(E1458=E$2:E1458)))))-COUNTBLANK(OFFSET(A$1,,,SUMPRODUCT(MAX(ROW(E$1:E1457)*(E2=E$1:E1457))))))</f>
        <v/>
      </c>
      <c r="K1458" s="24" t="str">
        <f>IF(OR(E1458="",E1458="!!!",F1458="NEW"),"",INDEX(J$1:J1457,SUMPRODUCT(MAX(ROW(E$1:E1457)*(E1458=E$1:E1457)))))</f>
        <v/>
      </c>
      <c r="L1458" s="25"/>
    </row>
    <row r="1459" spans="1:12" x14ac:dyDescent="0.2">
      <c r="A1459" t="s">
        <v>1191</v>
      </c>
      <c r="B1459" s="26" t="s">
        <v>819</v>
      </c>
      <c r="C1459" s="26" t="s">
        <v>854</v>
      </c>
      <c r="D1459" s="26" t="s">
        <v>806</v>
      </c>
      <c r="E1459" s="20" t="s">
        <v>1175</v>
      </c>
      <c r="F1459" s="21" t="str">
        <f>IF(OR(E1459="",E1459="!!!"),"",IF(NOT(ISNA(VLOOKUP(E1459,E$1:E1458,1,FALSE()))),"OLD",IF(AND(E1459&lt;&gt;"",E1459&lt;&gt;"!!!"),"NEW","")))</f>
        <v>OLD</v>
      </c>
      <c r="G1459" s="22" t="s">
        <v>1823</v>
      </c>
      <c r="H1459" s="23" t="str">
        <f t="shared" ca="1" si="165"/>
        <v/>
      </c>
      <c r="I1459" s="24" t="str">
        <f>IF(OR(E1459="",E1459="!!!",F1459="NEW"),"",INDEX(B$2:B1458,-1+SUMPRODUCT(MAX(ROW(E$2:E1458)*(E1459=E$2:E1458)))))</f>
        <v>SBJ</v>
      </c>
      <c r="J1459" s="24">
        <f ca="1">IF(OR(E1459="",E1459="!!!",F1459="NEW"),"",COUNTBLANK(OFFSET(A$1,,,SUMPRODUCT(MAX(ROW(E$2:E1459)*(E1459=E$2:E1459)))))-COUNTBLANK(OFFSET(A$1,,,SUMPRODUCT(MAX(ROW(E$1:E1458)*(E2=E$1:E1458))))))</f>
        <v>0</v>
      </c>
      <c r="K1459" s="24">
        <f ca="1">IF(OR(E1459="",E1459="!!!",F1459="NEW"),"",INDEX(J$1:J1458,SUMPRODUCT(MAX(ROW(E$1:E1458)*(E1459=E$1:E1458)))))</f>
        <v>0</v>
      </c>
      <c r="L1459" s="25"/>
    </row>
    <row r="1460" spans="1:12" x14ac:dyDescent="0.2">
      <c r="A1460" t="s">
        <v>898</v>
      </c>
      <c r="E1460" s="20" t="str">
        <f t="shared" si="164"/>
        <v/>
      </c>
      <c r="F1460" s="21" t="str">
        <f>IF(OR(E1460="",E1460="!!!"),"",IF(NOT(ISNA(VLOOKUP(E1460,E$1:E1459,1,FALSE()))),"OLD",IF(AND(E1460&lt;&gt;"",E1460&lt;&gt;"!!!"),"NEW","")))</f>
        <v/>
      </c>
      <c r="G1460" s="22" t="str">
        <f>IF(OR(E1460="",E1460="!!!"),"",IF(OR(J1460=0,AND(J1460=1,K1460=1),AND(J1460=1,I1460="SBJ"),AND(J1460=1,I1460=0)),"?IN_FOCUS",IF(J1460&lt;=2,"?ACTIVATED",IF(J1460&lt;&gt;"","?FAMILIAR",IF(F1460="NEW",IF(ISNA(VLOOKUP(E1460,#REF!,1,FALSE())),"?TYPE_IDENTIFIABLE","?REFERENTIAL"),"_")))))</f>
        <v/>
      </c>
      <c r="H1460" s="23" t="str">
        <f t="shared" ca="1" si="165"/>
        <v/>
      </c>
      <c r="I1460" s="24" t="str">
        <f>IF(OR(E1460="",E1460="!!!",F1460="NEW"),"",INDEX(B$2:B1459,-1+SUMPRODUCT(MAX(ROW(E$2:E1459)*(E1460=E$2:E1459)))))</f>
        <v/>
      </c>
      <c r="J1460" s="24" t="str">
        <f ca="1">IF(OR(E1460="",E1460="!!!",F1460="NEW"),"",COUNTBLANK(OFFSET(A$1,,,SUMPRODUCT(MAX(ROW(E$2:E1460)*(E1460=E$2:E1460)))))-COUNTBLANK(OFFSET(A$1,,,SUMPRODUCT(MAX(ROW(E$1:E1459)*(E2=E$1:E1459))))))</f>
        <v/>
      </c>
      <c r="K1460" s="24" t="str">
        <f>IF(OR(E1460="",E1460="!!!",F1460="NEW"),"",INDEX(J$1:J1459,SUMPRODUCT(MAX(ROW(E$1:E1459)*(E1460=E$1:E1459)))))</f>
        <v/>
      </c>
      <c r="L1460" s="25"/>
    </row>
    <row r="1461" spans="1:12" x14ac:dyDescent="0.2">
      <c r="A1461" t="s">
        <v>1312</v>
      </c>
      <c r="E1461" s="20" t="str">
        <f t="shared" si="164"/>
        <v/>
      </c>
      <c r="F1461" s="21" t="str">
        <f>IF(OR(E1461="",E1461="!!!"),"",IF(NOT(ISNA(VLOOKUP(E1461,E$1:E1460,1,FALSE()))),"OLD",IF(AND(E1461&lt;&gt;"",E1461&lt;&gt;"!!!"),"NEW","")))</f>
        <v/>
      </c>
      <c r="G1461" s="22" t="str">
        <f>IF(OR(E1461="",E1461="!!!"),"",IF(OR(J1461=0,AND(J1461=1,K1461=1),AND(J1461=1,I1461="SBJ"),AND(J1461=1,I1461=0)),"?IN_FOCUS",IF(J1461&lt;=2,"?ACTIVATED",IF(J1461&lt;&gt;"","?FAMILIAR",IF(F1461="NEW",IF(ISNA(VLOOKUP(E1461,#REF!,1,FALSE())),"?TYPE_IDENTIFIABLE","?REFERENTIAL"),"_")))))</f>
        <v/>
      </c>
      <c r="H1461" s="23" t="str">
        <f t="shared" ca="1" si="165"/>
        <v/>
      </c>
      <c r="I1461" s="24" t="str">
        <f>IF(OR(E1461="",E1461="!!!",F1461="NEW"),"",INDEX(B$2:B1460,-1+SUMPRODUCT(MAX(ROW(E$2:E1460)*(E1461=E$2:E1460)))))</f>
        <v/>
      </c>
      <c r="J1461" s="24" t="str">
        <f ca="1">IF(OR(E1461="",E1461="!!!",F1461="NEW"),"",COUNTBLANK(OFFSET(A$1,,,SUMPRODUCT(MAX(ROW(E$2:E1461)*(E1461=E$2:E1461)))))-COUNTBLANK(OFFSET(A$1,,,SUMPRODUCT(MAX(ROW(E$1:E1460)*(E2=E$1:E1460))))))</f>
        <v/>
      </c>
      <c r="K1461" s="24" t="str">
        <f>IF(OR(E1461="",E1461="!!!",F1461="NEW"),"",INDEX(J$1:J1460,SUMPRODUCT(MAX(ROW(E$1:E1460)*(E1461=E$1:E1460)))))</f>
        <v/>
      </c>
      <c r="L1461" s="25"/>
    </row>
    <row r="1462" spans="1:12" x14ac:dyDescent="0.2">
      <c r="A1462" t="s">
        <v>1313</v>
      </c>
      <c r="E1462" s="20" t="str">
        <f t="shared" si="164"/>
        <v/>
      </c>
      <c r="F1462" s="21" t="str">
        <f>IF(OR(E1462="",E1462="!!!"),"",IF(NOT(ISNA(VLOOKUP(E1462,E$1:E1461,1,FALSE()))),"OLD",IF(AND(E1462&lt;&gt;"",E1462&lt;&gt;"!!!"),"NEW","")))</f>
        <v/>
      </c>
      <c r="G1462" s="22" t="str">
        <f>IF(OR(E1462="",E1462="!!!"),"",IF(OR(J1462=0,AND(J1462=1,K1462=1),AND(J1462=1,I1462="SBJ"),AND(J1462=1,I1462=0)),"?IN_FOCUS",IF(J1462&lt;=2,"?ACTIVATED",IF(J1462&lt;&gt;"","?FAMILIAR",IF(F1462="NEW",IF(ISNA(VLOOKUP(E1462,#REF!,1,FALSE())),"?TYPE_IDENTIFIABLE","?REFERENTIAL"),"_")))))</f>
        <v/>
      </c>
      <c r="H1462" s="23" t="str">
        <f t="shared" ca="1" si="165"/>
        <v/>
      </c>
      <c r="I1462" s="24" t="str">
        <f>IF(OR(E1462="",E1462="!!!",F1462="NEW"),"",INDEX(B$2:B1461,-1+SUMPRODUCT(MAX(ROW(E$2:E1461)*(E1462=E$2:E1461)))))</f>
        <v/>
      </c>
      <c r="J1462" s="24" t="str">
        <f ca="1">IF(OR(E1462="",E1462="!!!",F1462="NEW"),"",COUNTBLANK(OFFSET(A$1,,,SUMPRODUCT(MAX(ROW(E$2:E1462)*(E1462=E$2:E1462)))))-COUNTBLANK(OFFSET(A$1,,,SUMPRODUCT(MAX(ROW(E$1:E1461)*(E2=E$1:E1461))))))</f>
        <v/>
      </c>
      <c r="K1462" s="24" t="str">
        <f>IF(OR(E1462="",E1462="!!!",F1462="NEW"),"",INDEX(J$1:J1461,SUMPRODUCT(MAX(ROW(E$1:E1461)*(E1462=E$1:E1461)))))</f>
        <v/>
      </c>
      <c r="L1462" s="25"/>
    </row>
    <row r="1463" spans="1:12" x14ac:dyDescent="0.2">
      <c r="A1463" t="s">
        <v>809</v>
      </c>
      <c r="E1463" s="20" t="str">
        <f t="shared" si="164"/>
        <v/>
      </c>
      <c r="F1463" s="21" t="str">
        <f>IF(OR(E1463="",E1463="!!!"),"",IF(NOT(ISNA(VLOOKUP(E1463,E$1:E1462,1,FALSE()))),"OLD",IF(AND(E1463&lt;&gt;"",E1463&lt;&gt;"!!!"),"NEW","")))</f>
        <v/>
      </c>
      <c r="G1463" s="22" t="str">
        <f>IF(OR(E1463="",E1463="!!!"),"",IF(OR(J1463=0,AND(J1463=1,K1463=1),AND(J1463=1,I1463="SBJ"),AND(J1463=1,I1463=0)),"?IN_FOCUS",IF(J1463&lt;=2,"?ACTIVATED",IF(J1463&lt;&gt;"","?FAMILIAR",IF(F1463="NEW",IF(ISNA(VLOOKUP(E1463,#REF!,1,FALSE())),"?TYPE_IDENTIFIABLE","?REFERENTIAL"),"_")))))</f>
        <v/>
      </c>
      <c r="H1463" s="23" t="str">
        <f t="shared" ca="1" si="165"/>
        <v/>
      </c>
      <c r="I1463" s="24" t="str">
        <f>IF(OR(E1463="",E1463="!!!",F1463="NEW"),"",INDEX(B$2:B1462,-1+SUMPRODUCT(MAX(ROW(E$2:E1462)*(E1463=E$2:E1462)))))</f>
        <v/>
      </c>
      <c r="J1463" s="24" t="str">
        <f ca="1">IF(OR(E1463="",E1463="!!!",F1463="NEW"),"",COUNTBLANK(OFFSET(A$1,,,SUMPRODUCT(MAX(ROW(E$2:E1463)*(E1463=E$2:E1463)))))-COUNTBLANK(OFFSET(A$1,,,SUMPRODUCT(MAX(ROW(E$1:E1462)*(E2=E$1:E1462))))))</f>
        <v/>
      </c>
      <c r="K1463" s="24" t="str">
        <f>IF(OR(E1463="",E1463="!!!",F1463="NEW"),"",INDEX(J$1:J1462,SUMPRODUCT(MAX(ROW(E$1:E1462)*(E1463=E$1:E1462)))))</f>
        <v/>
      </c>
      <c r="L1463" s="25"/>
    </row>
    <row r="1464" spans="1:12" x14ac:dyDescent="0.2">
      <c r="A1464" t="s">
        <v>1314</v>
      </c>
      <c r="E1464" s="20" t="str">
        <f t="shared" si="164"/>
        <v/>
      </c>
      <c r="F1464" s="21" t="str">
        <f>IF(OR(E1464="",E1464="!!!"),"",IF(NOT(ISNA(VLOOKUP(E1464,E$1:E1463,1,FALSE()))),"OLD",IF(AND(E1464&lt;&gt;"",E1464&lt;&gt;"!!!"),"NEW","")))</f>
        <v/>
      </c>
      <c r="G1464" s="22" t="str">
        <f>IF(OR(E1464="",E1464="!!!"),"",IF(OR(J1464=0,AND(J1464=1,K1464=1),AND(J1464=1,I1464="SBJ"),AND(J1464=1,I1464=0)),"?IN_FOCUS",IF(J1464&lt;=2,"?ACTIVATED",IF(J1464&lt;&gt;"","?FAMILIAR",IF(F1464="NEW",IF(ISNA(VLOOKUP(E1464,#REF!,1,FALSE())),"?TYPE_IDENTIFIABLE","?REFERENTIAL"),"_")))))</f>
        <v/>
      </c>
      <c r="H1464" s="23" t="str">
        <f t="shared" ca="1" si="165"/>
        <v/>
      </c>
      <c r="I1464" s="24" t="str">
        <f>IF(OR(E1464="",E1464="!!!",F1464="NEW"),"",INDEX(B$2:B1463,-1+SUMPRODUCT(MAX(ROW(E$2:E1463)*(E1464=E$2:E1463)))))</f>
        <v/>
      </c>
      <c r="J1464" s="24" t="str">
        <f ca="1">IF(OR(E1464="",E1464="!!!",F1464="NEW"),"",COUNTBLANK(OFFSET(A$1,,,SUMPRODUCT(MAX(ROW(E$2:E1464)*(E1464=E$2:E1464)))))-COUNTBLANK(OFFSET(A$1,,,SUMPRODUCT(MAX(ROW(E$1:E1463)*(E2=E$1:E1463))))))</f>
        <v/>
      </c>
      <c r="K1464" s="24" t="str">
        <f>IF(OR(E1464="",E1464="!!!",F1464="NEW"),"",INDEX(J$1:J1463,SUMPRODUCT(MAX(ROW(E$1:E1463)*(E1464=E$1:E1463)))))</f>
        <v/>
      </c>
      <c r="L1464" s="25"/>
    </row>
    <row r="1465" spans="1:12" x14ac:dyDescent="0.2">
      <c r="A1465" t="s">
        <v>1315</v>
      </c>
      <c r="B1465" s="26" t="s">
        <v>871</v>
      </c>
      <c r="C1465" s="26" t="s">
        <v>811</v>
      </c>
      <c r="E1465" s="20" t="str">
        <f t="shared" si="164"/>
        <v/>
      </c>
      <c r="F1465" s="21" t="str">
        <f>IF(OR(E1465="",E1465="!!!"),"",IF(NOT(ISNA(VLOOKUP(E1465,E$1:E1464,1,FALSE()))),"OLD",IF(AND(E1465&lt;&gt;"",E1465&lt;&gt;"!!!"),"NEW","")))</f>
        <v/>
      </c>
      <c r="G1465" s="22" t="str">
        <f>IF(OR(E1465="",E1465="!!!"),"",IF(OR(J1465=0,AND(J1465=1,K1465=1),AND(J1465=1,I1465="SBJ"),AND(J1465=1,I1465=0)),"?IN_FOCUS",IF(J1465&lt;=2,"?ACTIVATED",IF(J1465&lt;&gt;"","?FAMILIAR",IF(F1465="NEW",IF(ISNA(VLOOKUP(E1465,#REF!,1,FALSE())),"?TYPE_IDENTIFIABLE","?REFERENTIAL"),"_")))))</f>
        <v/>
      </c>
      <c r="H1465" s="23" t="str">
        <f t="shared" ca="1" si="165"/>
        <v/>
      </c>
      <c r="I1465" s="24" t="str">
        <f>IF(OR(E1465="",E1465="!!!",F1465="NEW"),"",INDEX(B$2:B1464,-1+SUMPRODUCT(MAX(ROW(E$2:E1464)*(E1465=E$2:E1464)))))</f>
        <v/>
      </c>
      <c r="J1465" s="24" t="str">
        <f ca="1">IF(OR(E1465="",E1465="!!!",F1465="NEW"),"",COUNTBLANK(OFFSET(A$1,,,SUMPRODUCT(MAX(ROW(E$2:E1465)*(E1465=E$2:E1465)))))-COUNTBLANK(OFFSET(A$1,,,SUMPRODUCT(MAX(ROW(E$1:E1464)*(E2=E$1:E1464))))))</f>
        <v/>
      </c>
      <c r="K1465" s="24" t="str">
        <f>IF(OR(E1465="",E1465="!!!",F1465="NEW"),"",INDEX(J$1:J1464,SUMPRODUCT(MAX(ROW(E$1:E1464)*(E1465=E$1:E1464)))))</f>
        <v/>
      </c>
      <c r="L1465" s="25"/>
    </row>
    <row r="1466" spans="1:12" x14ac:dyDescent="0.2">
      <c r="A1466" t="s">
        <v>821</v>
      </c>
      <c r="E1466" s="20" t="str">
        <f t="shared" si="164"/>
        <v/>
      </c>
      <c r="F1466" s="21" t="str">
        <f>IF(OR(E1466="",E1466="!!!"),"",IF(NOT(ISNA(VLOOKUP(E1466,E$1:E1465,1,FALSE()))),"OLD",IF(AND(E1466&lt;&gt;"",E1466&lt;&gt;"!!!"),"NEW","")))</f>
        <v/>
      </c>
      <c r="G1466" s="22" t="str">
        <f>IF(OR(E1466="",E1466="!!!"),"",IF(OR(J1466=0,AND(J1466=1,K1466=1),AND(J1466=1,I1466="SBJ"),AND(J1466=1,I1466=0)),"?IN_FOCUS",IF(J1466&lt;=2,"?ACTIVATED",IF(J1466&lt;&gt;"","?FAMILIAR",IF(F1466="NEW",IF(ISNA(VLOOKUP(E1466,#REF!,1,FALSE())),"?TYPE_IDENTIFIABLE","?REFERENTIAL"),"_")))))</f>
        <v/>
      </c>
      <c r="H1466" s="23" t="str">
        <f t="shared" ca="1" si="165"/>
        <v/>
      </c>
      <c r="I1466" s="24" t="str">
        <f>IF(OR(E1466="",E1466="!!!",F1466="NEW"),"",INDEX(B$2:B1465,-1+SUMPRODUCT(MAX(ROW(E$2:E1465)*(E1466=E$2:E1465)))))</f>
        <v/>
      </c>
      <c r="J1466" s="24" t="str">
        <f ca="1">IF(OR(E1466="",E1466="!!!",F1466="NEW"),"",COUNTBLANK(OFFSET(A$1,,,SUMPRODUCT(MAX(ROW(E$2:E1466)*(E1466=E$2:E1466)))))-COUNTBLANK(OFFSET(A$1,,,SUMPRODUCT(MAX(ROW(E$1:E1465)*(E2=E$1:E1465))))))</f>
        <v/>
      </c>
      <c r="K1466" s="24" t="str">
        <f>IF(OR(E1466="",E1466="!!!",F1466="NEW"),"",INDEX(J$1:J1465,SUMPRODUCT(MAX(ROW(E$1:E1465)*(E1466=E$1:E1465)))))</f>
        <v/>
      </c>
      <c r="L1466" s="25"/>
    </row>
    <row r="1468" spans="1:12" x14ac:dyDescent="0.2">
      <c r="A1468" t="s">
        <v>1316</v>
      </c>
    </row>
    <row r="1469" spans="1:12" x14ac:dyDescent="0.2">
      <c r="A1469" t="s">
        <v>906</v>
      </c>
      <c r="E1469" s="20" t="str">
        <f t="shared" ref="E1469:E1481" si="166">IF(D1469="?OLD","!!!","")</f>
        <v/>
      </c>
      <c r="F1469" s="21" t="str">
        <f>IF(OR(E1469="",E1469="!!!"),"",IF(NOT(ISNA(VLOOKUP(E1469,E$1:E1468,1,FALSE()))),"OLD",IF(AND(E1469&lt;&gt;"",E1469&lt;&gt;"!!!"),"NEW","")))</f>
        <v/>
      </c>
      <c r="G1469" s="22" t="str">
        <f>IF(OR(E1469="",E1469="!!!"),"",IF(OR(J1469=0,AND(J1469=1,K1469=1),AND(J1469=1,I1469="SBJ"),AND(J1469=1,I1469=0)),"?IN_FOCUS",IF(J1469&lt;=2,"?ACTIVATED",IF(J1469&lt;&gt;"","?FAMILIAR",IF(F1469="NEW",IF(ISNA(VLOOKUP(E1469,#REF!,1,FALSE())),"?TYPE_IDENTIFIABLE","?REFERENTIAL"),"_")))))</f>
        <v/>
      </c>
      <c r="H1469" s="23" t="str">
        <f t="shared" ref="H1469:H1481" ca="1" si="167">IF(J1469&lt;&gt;1,"",IF(I1469="SBJ","CB","?"))</f>
        <v/>
      </c>
      <c r="I1469" s="24" t="str">
        <f>IF(OR(E1469="",E1469="!!!",F1469="NEW"),"",INDEX(B$2:B1468,-1+SUMPRODUCT(MAX(ROW(E$2:E1468)*(E1469=E$2:E1468)))))</f>
        <v/>
      </c>
      <c r="J1469" s="24" t="str">
        <f ca="1">IF(OR(E1469="",E1469="!!!",F1469="NEW"),"",COUNTBLANK(OFFSET(A$1,,,SUMPRODUCT(MAX(ROW(E$2:E1469)*(E1469=E$2:E1469)))))-COUNTBLANK(OFFSET(A$1,,,SUMPRODUCT(MAX(ROW(E$1:E1468)*(E2=E$1:E1468))))))</f>
        <v/>
      </c>
      <c r="K1469" s="24" t="str">
        <f>IF(OR(E1469="",E1469="!!!",F1469="NEW"),"",INDEX(J$1:J1468,SUMPRODUCT(MAX(ROW(E$1:E1468)*(E1469=E$1:E1468)))))</f>
        <v/>
      </c>
      <c r="L1469" s="25"/>
    </row>
    <row r="1470" spans="1:12" x14ac:dyDescent="0.2">
      <c r="A1470" t="s">
        <v>802</v>
      </c>
      <c r="E1470" s="20" t="str">
        <f t="shared" si="166"/>
        <v/>
      </c>
      <c r="F1470" s="21" t="str">
        <f>IF(OR(E1470="",E1470="!!!"),"",IF(NOT(ISNA(VLOOKUP(E1470,E$1:E1469,1,FALSE()))),"OLD",IF(AND(E1470&lt;&gt;"",E1470&lt;&gt;"!!!"),"NEW","")))</f>
        <v/>
      </c>
      <c r="G1470" s="22" t="str">
        <f>IF(OR(E1470="",E1470="!!!"),"",IF(OR(J1470=0,AND(J1470=1,K1470=1),AND(J1470=1,I1470="SBJ"),AND(J1470=1,I1470=0)),"?IN_FOCUS",IF(J1470&lt;=2,"?ACTIVATED",IF(J1470&lt;&gt;"","?FAMILIAR",IF(F1470="NEW",IF(ISNA(VLOOKUP(E1470,#REF!,1,FALSE())),"?TYPE_IDENTIFIABLE","?REFERENTIAL"),"_")))))</f>
        <v/>
      </c>
      <c r="H1470" s="23" t="str">
        <f t="shared" ca="1" si="167"/>
        <v/>
      </c>
      <c r="I1470" s="24" t="str">
        <f>IF(OR(E1470="",E1470="!!!",F1470="NEW"),"",INDEX(B$2:B1469,-1+SUMPRODUCT(MAX(ROW(E$2:E1469)*(E1470=E$2:E1469)))))</f>
        <v/>
      </c>
      <c r="J1470" s="24" t="str">
        <f ca="1">IF(OR(E1470="",E1470="!!!",F1470="NEW"),"",COUNTBLANK(OFFSET(A$1,,,SUMPRODUCT(MAX(ROW(E$2:E1470)*(E1470=E$2:E1470)))))-COUNTBLANK(OFFSET(A$1,,,SUMPRODUCT(MAX(ROW(E$1:E1469)*(E2=E$1:E1469))))))</f>
        <v/>
      </c>
      <c r="K1470" s="24" t="str">
        <f>IF(OR(E1470="",E1470="!!!",F1470="NEW"),"",INDEX(J$1:J1469,SUMPRODUCT(MAX(ROW(E$1:E1469)*(E1470=E$1:E1469)))))</f>
        <v/>
      </c>
      <c r="L1470" s="25"/>
    </row>
    <row r="1471" spans="1:12" x14ac:dyDescent="0.2">
      <c r="A1471" t="s">
        <v>1024</v>
      </c>
      <c r="B1471" s="26" t="s">
        <v>804</v>
      </c>
      <c r="C1471" s="26" t="s">
        <v>805</v>
      </c>
      <c r="D1471" s="26" t="s">
        <v>806</v>
      </c>
      <c r="E1471" s="20" t="s">
        <v>1175</v>
      </c>
      <c r="F1471" s="21" t="str">
        <f>IF(OR(E1471="",E1471="!!!"),"",IF(NOT(ISNA(VLOOKUP(E1471,E$1:E1470,1,FALSE()))),"OLD",IF(AND(E1471&lt;&gt;"",E1471&lt;&gt;"!!!"),"NEW","")))</f>
        <v>OLD</v>
      </c>
      <c r="G1471" s="22" t="s">
        <v>1823</v>
      </c>
      <c r="H1471" s="23" t="str">
        <f t="shared" ca="1" si="167"/>
        <v/>
      </c>
      <c r="I1471" s="24" t="str">
        <f>IF(OR(E1471="",E1471="!!!",F1471="NEW"),"",INDEX(B$2:B1470,-1+SUMPRODUCT(MAX(ROW(E$2:E1470)*(E1471=E$2:E1470)))))</f>
        <v>other</v>
      </c>
      <c r="J1471" s="24">
        <f ca="1">IF(OR(E1471="",E1471="!!!",F1471="NEW"),"",COUNTBLANK(OFFSET(A$1,,,SUMPRODUCT(MAX(ROW(E$2:E1471)*(E1471=E$2:E1471)))))-COUNTBLANK(OFFSET(A$1,,,SUMPRODUCT(MAX(ROW(E$1:E1470)*(E2=E$1:E1470))))))</f>
        <v>0</v>
      </c>
      <c r="K1471" s="24">
        <f ca="1">IF(OR(E1471="",E1471="!!!",F1471="NEW"),"",INDEX(J$1:J1470,SUMPRODUCT(MAX(ROW(E$1:E1470)*(E1471=E$1:E1470)))))</f>
        <v>0</v>
      </c>
      <c r="L1471" s="25"/>
    </row>
    <row r="1472" spans="1:12" x14ac:dyDescent="0.2">
      <c r="A1472" t="s">
        <v>898</v>
      </c>
      <c r="E1472" s="20" t="str">
        <f t="shared" si="166"/>
        <v/>
      </c>
      <c r="F1472" s="21" t="str">
        <f>IF(OR(E1472="",E1472="!!!"),"",IF(NOT(ISNA(VLOOKUP(E1472,E$1:E1471,1,FALSE()))),"OLD",IF(AND(E1472&lt;&gt;"",E1472&lt;&gt;"!!!"),"NEW","")))</f>
        <v/>
      </c>
      <c r="G1472" s="22" t="str">
        <f>IF(OR(E1472="",E1472="!!!"),"",IF(OR(J1472=0,AND(J1472=1,K1472=1),AND(J1472=1,I1472="SBJ"),AND(J1472=1,I1472=0)),"?IN_FOCUS",IF(J1472&lt;=2,"?ACTIVATED",IF(J1472&lt;&gt;"","?FAMILIAR",IF(F1472="NEW",IF(ISNA(VLOOKUP(E1472,#REF!,1,FALSE())),"?TYPE_IDENTIFIABLE","?REFERENTIAL"),"_")))))</f>
        <v/>
      </c>
      <c r="H1472" s="23" t="str">
        <f t="shared" ca="1" si="167"/>
        <v/>
      </c>
      <c r="I1472" s="24" t="str">
        <f>IF(OR(E1472="",E1472="!!!",F1472="NEW"),"",INDEX(B$2:B1471,-1+SUMPRODUCT(MAX(ROW(E$2:E1471)*(E1472=E$2:E1471)))))</f>
        <v/>
      </c>
      <c r="J1472" s="24" t="str">
        <f ca="1">IF(OR(E1472="",E1472="!!!",F1472="NEW"),"",COUNTBLANK(OFFSET(A$1,,,SUMPRODUCT(MAX(ROW(E$2:E1472)*(E1472=E$2:E1472)))))-COUNTBLANK(OFFSET(A$1,,,SUMPRODUCT(MAX(ROW(E$1:E1471)*(E2=E$1:E1471))))))</f>
        <v/>
      </c>
      <c r="K1472" s="24" t="str">
        <f>IF(OR(E1472="",E1472="!!!",F1472="NEW"),"",INDEX(J$1:J1471,SUMPRODUCT(MAX(ROW(E$1:E1471)*(E1472=E$1:E1471)))))</f>
        <v/>
      </c>
      <c r="L1472" s="25"/>
    </row>
    <row r="1473" spans="1:12" x14ac:dyDescent="0.2">
      <c r="A1473" t="s">
        <v>1317</v>
      </c>
      <c r="E1473" s="20" t="str">
        <f t="shared" si="166"/>
        <v/>
      </c>
      <c r="F1473" s="21" t="str">
        <f>IF(OR(E1473="",E1473="!!!"),"",IF(NOT(ISNA(VLOOKUP(E1473,E$1:E1472,1,FALSE()))),"OLD",IF(AND(E1473&lt;&gt;"",E1473&lt;&gt;"!!!"),"NEW","")))</f>
        <v/>
      </c>
      <c r="G1473" s="22" t="str">
        <f>IF(OR(E1473="",E1473="!!!"),"",IF(OR(J1473=0,AND(J1473=1,K1473=1),AND(J1473=1,I1473="SBJ"),AND(J1473=1,I1473=0)),"?IN_FOCUS",IF(J1473&lt;=2,"?ACTIVATED",IF(J1473&lt;&gt;"","?FAMILIAR",IF(F1473="NEW",IF(ISNA(VLOOKUP(E1473,#REF!,1,FALSE())),"?TYPE_IDENTIFIABLE","?REFERENTIAL"),"_")))))</f>
        <v/>
      </c>
      <c r="H1473" s="23" t="str">
        <f t="shared" ca="1" si="167"/>
        <v/>
      </c>
      <c r="I1473" s="24" t="str">
        <f>IF(OR(E1473="",E1473="!!!",F1473="NEW"),"",INDEX(B$2:B1472,-1+SUMPRODUCT(MAX(ROW(E$2:E1472)*(E1473=E$2:E1472)))))</f>
        <v/>
      </c>
      <c r="J1473" s="24" t="str">
        <f ca="1">IF(OR(E1473="",E1473="!!!",F1473="NEW"),"",COUNTBLANK(OFFSET(A$1,,,SUMPRODUCT(MAX(ROW(E$2:E1473)*(E1473=E$2:E1473)))))-COUNTBLANK(OFFSET(A$1,,,SUMPRODUCT(MAX(ROW(E$1:E1472)*(E2=E$1:E1472))))))</f>
        <v/>
      </c>
      <c r="K1473" s="24" t="str">
        <f>IF(OR(E1473="",E1473="!!!",F1473="NEW"),"",INDEX(J$1:J1472,SUMPRODUCT(MAX(ROW(E$1:E1472)*(E1473=E$1:E1472)))))</f>
        <v/>
      </c>
      <c r="L1473" s="25"/>
    </row>
    <row r="1474" spans="1:12" x14ac:dyDescent="0.2">
      <c r="A1474" t="s">
        <v>1021</v>
      </c>
      <c r="E1474" s="20" t="str">
        <f t="shared" si="166"/>
        <v/>
      </c>
      <c r="F1474" s="21" t="str">
        <f>IF(OR(E1474="",E1474="!!!"),"",IF(NOT(ISNA(VLOOKUP(E1474,E$1:E1473,1,FALSE()))),"OLD",IF(AND(E1474&lt;&gt;"",E1474&lt;&gt;"!!!"),"NEW","")))</f>
        <v/>
      </c>
      <c r="G1474" s="22" t="str">
        <f>IF(OR(E1474="",E1474="!!!"),"",IF(OR(J1474=0,AND(J1474=1,K1474=1),AND(J1474=1,I1474="SBJ"),AND(J1474=1,I1474=0)),"?IN_FOCUS",IF(J1474&lt;=2,"?ACTIVATED",IF(J1474&lt;&gt;"","?FAMILIAR",IF(F1474="NEW",IF(ISNA(VLOOKUP(E1474,#REF!,1,FALSE())),"?TYPE_IDENTIFIABLE","?REFERENTIAL"),"_")))))</f>
        <v/>
      </c>
      <c r="H1474" s="23" t="str">
        <f t="shared" ca="1" si="167"/>
        <v/>
      </c>
      <c r="I1474" s="24" t="str">
        <f>IF(OR(E1474="",E1474="!!!",F1474="NEW"),"",INDEX(B$2:B1473,-1+SUMPRODUCT(MAX(ROW(E$2:E1473)*(E1474=E$2:E1473)))))</f>
        <v/>
      </c>
      <c r="J1474" s="24" t="str">
        <f ca="1">IF(OR(E1474="",E1474="!!!",F1474="NEW"),"",COUNTBLANK(OFFSET(A$1,,,SUMPRODUCT(MAX(ROW(E$2:E1474)*(E1474=E$2:E1474)))))-COUNTBLANK(OFFSET(A$1,,,SUMPRODUCT(MAX(ROW(E$1:E1473)*(E2=E$1:E1473))))))</f>
        <v/>
      </c>
      <c r="K1474" s="24" t="str">
        <f>IF(OR(E1474="",E1474="!!!",F1474="NEW"),"",INDEX(J$1:J1473,SUMPRODUCT(MAX(ROW(E$1:E1473)*(E1474=E$1:E1473)))))</f>
        <v/>
      </c>
      <c r="L1474" s="25"/>
    </row>
    <row r="1475" spans="1:12" x14ac:dyDescent="0.2">
      <c r="A1475" t="s">
        <v>809</v>
      </c>
      <c r="E1475" s="20" t="str">
        <f t="shared" si="166"/>
        <v/>
      </c>
      <c r="F1475" s="21" t="str">
        <f>IF(OR(E1475="",E1475="!!!"),"",IF(NOT(ISNA(VLOOKUP(E1475,E$1:E1474,1,FALSE()))),"OLD",IF(AND(E1475&lt;&gt;"",E1475&lt;&gt;"!!!"),"NEW","")))</f>
        <v/>
      </c>
      <c r="G1475" s="22" t="str">
        <f>IF(OR(E1475="",E1475="!!!"),"",IF(OR(J1475=0,AND(J1475=1,K1475=1),AND(J1475=1,I1475="SBJ"),AND(J1475=1,I1475=0)),"?IN_FOCUS",IF(J1475&lt;=2,"?ACTIVATED",IF(J1475&lt;&gt;"","?FAMILIAR",IF(F1475="NEW",IF(ISNA(VLOOKUP(E1475,#REF!,1,FALSE())),"?TYPE_IDENTIFIABLE","?REFERENTIAL"),"_")))))</f>
        <v/>
      </c>
      <c r="H1475" s="23" t="str">
        <f t="shared" ca="1" si="167"/>
        <v/>
      </c>
      <c r="I1475" s="24" t="str">
        <f>IF(OR(E1475="",E1475="!!!",F1475="NEW"),"",INDEX(B$2:B1474,-1+SUMPRODUCT(MAX(ROW(E$2:E1474)*(E1475=E$2:E1474)))))</f>
        <v/>
      </c>
      <c r="J1475" s="24" t="str">
        <f ca="1">IF(OR(E1475="",E1475="!!!",F1475="NEW"),"",COUNTBLANK(OFFSET(A$1,,,SUMPRODUCT(MAX(ROW(E$2:E1475)*(E1475=E$2:E1475)))))-COUNTBLANK(OFFSET(A$1,,,SUMPRODUCT(MAX(ROW(E$1:E1474)*(E2=E$1:E1474))))))</f>
        <v/>
      </c>
      <c r="K1475" s="24" t="str">
        <f>IF(OR(E1475="",E1475="!!!",F1475="NEW"),"",INDEX(J$1:J1474,SUMPRODUCT(MAX(ROW(E$1:E1474)*(E1475=E$1:E1474)))))</f>
        <v/>
      </c>
      <c r="L1475" s="25"/>
    </row>
    <row r="1476" spans="1:12" x14ac:dyDescent="0.2">
      <c r="A1476" t="s">
        <v>1318</v>
      </c>
      <c r="E1476" s="20" t="str">
        <f t="shared" si="166"/>
        <v/>
      </c>
      <c r="F1476" s="21" t="str">
        <f>IF(OR(E1476="",E1476="!!!"),"",IF(NOT(ISNA(VLOOKUP(E1476,E$1:E1475,1,FALSE()))),"OLD",IF(AND(E1476&lt;&gt;"",E1476&lt;&gt;"!!!"),"NEW","")))</f>
        <v/>
      </c>
      <c r="G1476" s="22" t="str">
        <f>IF(OR(E1476="",E1476="!!!"),"",IF(OR(J1476=0,AND(J1476=1,K1476=1),AND(J1476=1,I1476="SBJ"),AND(J1476=1,I1476=0)),"?IN_FOCUS",IF(J1476&lt;=2,"?ACTIVATED",IF(J1476&lt;&gt;"","?FAMILIAR",IF(F1476="NEW",IF(ISNA(VLOOKUP(E1476,#REF!,1,FALSE())),"?TYPE_IDENTIFIABLE","?REFERENTIAL"),"_")))))</f>
        <v/>
      </c>
      <c r="H1476" s="23" t="str">
        <f t="shared" ca="1" si="167"/>
        <v/>
      </c>
      <c r="I1476" s="24" t="str">
        <f>IF(OR(E1476="",E1476="!!!",F1476="NEW"),"",INDEX(B$2:B1475,-1+SUMPRODUCT(MAX(ROW(E$2:E1475)*(E1476=E$2:E1475)))))</f>
        <v/>
      </c>
      <c r="J1476" s="24" t="str">
        <f ca="1">IF(OR(E1476="",E1476="!!!",F1476="NEW"),"",COUNTBLANK(OFFSET(A$1,,,SUMPRODUCT(MAX(ROW(E$2:E1476)*(E1476=E$2:E1476)))))-COUNTBLANK(OFFSET(A$1,,,SUMPRODUCT(MAX(ROW(E$1:E1475)*(E2=E$1:E1475))))))</f>
        <v/>
      </c>
      <c r="K1476" s="24" t="str">
        <f>IF(OR(E1476="",E1476="!!!",F1476="NEW"),"",INDEX(J$1:J1475,SUMPRODUCT(MAX(ROW(E$1:E1475)*(E1476=E$1:E1475)))))</f>
        <v/>
      </c>
      <c r="L1476" s="25"/>
    </row>
    <row r="1477" spans="1:12" x14ac:dyDescent="0.2">
      <c r="A1477" t="s">
        <v>1319</v>
      </c>
      <c r="B1477" s="26" t="s">
        <v>864</v>
      </c>
      <c r="C1477" s="26" t="s">
        <v>814</v>
      </c>
      <c r="E1477" s="20" t="str">
        <f t="shared" si="166"/>
        <v/>
      </c>
      <c r="F1477" s="21" t="str">
        <f>IF(OR(E1477="",E1477="!!!"),"",IF(NOT(ISNA(VLOOKUP(E1477,E$1:E1476,1,FALSE()))),"OLD",IF(AND(E1477&lt;&gt;"",E1477&lt;&gt;"!!!"),"NEW","")))</f>
        <v/>
      </c>
      <c r="G1477" s="22" t="str">
        <f>IF(OR(E1477="",E1477="!!!"),"",IF(OR(J1477=0,AND(J1477=1,K1477=1),AND(J1477=1,I1477="SBJ"),AND(J1477=1,I1477=0)),"?IN_FOCUS",IF(J1477&lt;=2,"?ACTIVATED",IF(J1477&lt;&gt;"","?FAMILIAR",IF(F1477="NEW",IF(ISNA(VLOOKUP(E1477,#REF!,1,FALSE())),"?TYPE_IDENTIFIABLE","?REFERENTIAL"),"_")))))</f>
        <v/>
      </c>
      <c r="H1477" s="23" t="str">
        <f t="shared" ca="1" si="167"/>
        <v/>
      </c>
      <c r="I1477" s="24" t="str">
        <f>IF(OR(E1477="",E1477="!!!",F1477="NEW"),"",INDEX(B$2:B1476,-1+SUMPRODUCT(MAX(ROW(E$2:E1476)*(E1477=E$2:E1476)))))</f>
        <v/>
      </c>
      <c r="J1477" s="24" t="str">
        <f ca="1">IF(OR(E1477="",E1477="!!!",F1477="NEW"),"",COUNTBLANK(OFFSET(A$1,,,SUMPRODUCT(MAX(ROW(E$2:E1477)*(E1477=E$2:E1477)))))-COUNTBLANK(OFFSET(A$1,,,SUMPRODUCT(MAX(ROW(E$1:E1476)*(E2=E$1:E1476))))))</f>
        <v/>
      </c>
      <c r="K1477" s="24" t="str">
        <f>IF(OR(E1477="",E1477="!!!",F1477="NEW"),"",INDEX(J$1:J1476,SUMPRODUCT(MAX(ROW(E$1:E1476)*(E1477=E$1:E1476)))))</f>
        <v/>
      </c>
      <c r="L1477" s="25"/>
    </row>
    <row r="1478" spans="1:12" x14ac:dyDescent="0.2">
      <c r="A1478" t="s">
        <v>16</v>
      </c>
      <c r="E1478" s="20" t="str">
        <f t="shared" si="166"/>
        <v/>
      </c>
      <c r="F1478" s="21" t="str">
        <f>IF(OR(E1478="",E1478="!!!"),"",IF(NOT(ISNA(VLOOKUP(E1478,E$1:E1477,1,FALSE()))),"OLD",IF(AND(E1478&lt;&gt;"",E1478&lt;&gt;"!!!"),"NEW","")))</f>
        <v/>
      </c>
      <c r="G1478" s="22" t="str">
        <f>IF(OR(E1478="",E1478="!!!"),"",IF(OR(J1478=0,AND(J1478=1,K1478=1),AND(J1478=1,I1478="SBJ"),AND(J1478=1,I1478=0)),"?IN_FOCUS",IF(J1478&lt;=2,"?ACTIVATED",IF(J1478&lt;&gt;"","?FAMILIAR",IF(F1478="NEW",IF(ISNA(VLOOKUP(E1478,#REF!,1,FALSE())),"?TYPE_IDENTIFIABLE","?REFERENTIAL"),"_")))))</f>
        <v/>
      </c>
      <c r="H1478" s="23" t="str">
        <f t="shared" ca="1" si="167"/>
        <v/>
      </c>
      <c r="I1478" s="24" t="str">
        <f>IF(OR(E1478="",E1478="!!!",F1478="NEW"),"",INDEX(B$2:B1477,-1+SUMPRODUCT(MAX(ROW(E$2:E1477)*(E1478=E$2:E1477)))))</f>
        <v/>
      </c>
      <c r="J1478" s="24" t="str">
        <f ca="1">IF(OR(E1478="",E1478="!!!",F1478="NEW"),"",COUNTBLANK(OFFSET(A$1,,,SUMPRODUCT(MAX(ROW(E$2:E1478)*(E1478=E$2:E1478)))))-COUNTBLANK(OFFSET(A$1,,,SUMPRODUCT(MAX(ROW(E$1:E1477)*(E2=E$1:E1477))))))</f>
        <v/>
      </c>
      <c r="K1478" s="24" t="str">
        <f>IF(OR(E1478="",E1478="!!!",F1478="NEW"),"",INDEX(J$1:J1477,SUMPRODUCT(MAX(ROW(E$1:E1477)*(E1478=E$1:E1477)))))</f>
        <v/>
      </c>
      <c r="L1478" s="25"/>
    </row>
    <row r="1479" spans="1:12" x14ac:dyDescent="0.2">
      <c r="A1479" t="s">
        <v>1320</v>
      </c>
      <c r="E1479" s="20" t="str">
        <f t="shared" si="166"/>
        <v/>
      </c>
      <c r="F1479" s="21" t="str">
        <f>IF(OR(E1479="",E1479="!!!"),"",IF(NOT(ISNA(VLOOKUP(E1479,E$1:E1478,1,FALSE()))),"OLD",IF(AND(E1479&lt;&gt;"",E1479&lt;&gt;"!!!"),"NEW","")))</f>
        <v/>
      </c>
      <c r="G1479" s="22" t="str">
        <f>IF(OR(E1479="",E1479="!!!"),"",IF(OR(J1479=0,AND(J1479=1,K1479=1),AND(J1479=1,I1479="SBJ"),AND(J1479=1,I1479=0)),"?IN_FOCUS",IF(J1479&lt;=2,"?ACTIVATED",IF(J1479&lt;&gt;"","?FAMILIAR",IF(F1479="NEW",IF(ISNA(VLOOKUP(E1479,#REF!,1,FALSE())),"?TYPE_IDENTIFIABLE","?REFERENTIAL"),"_")))))</f>
        <v/>
      </c>
      <c r="H1479" s="23" t="str">
        <f t="shared" ca="1" si="167"/>
        <v/>
      </c>
      <c r="I1479" s="24" t="str">
        <f>IF(OR(E1479="",E1479="!!!",F1479="NEW"),"",INDEX(B$2:B1478,-1+SUMPRODUCT(MAX(ROW(E$2:E1478)*(E1479=E$2:E1478)))))</f>
        <v/>
      </c>
      <c r="J1479" s="24" t="str">
        <f ca="1">IF(OR(E1479="",E1479="!!!",F1479="NEW"),"",COUNTBLANK(OFFSET(A$1,,,SUMPRODUCT(MAX(ROW(E$2:E1479)*(E1479=E$2:E1479)))))-COUNTBLANK(OFFSET(A$1,,,SUMPRODUCT(MAX(ROW(E$1:E1478)*(E2=E$1:E1478))))))</f>
        <v/>
      </c>
      <c r="K1479" s="24" t="str">
        <f>IF(OR(E1479="",E1479="!!!",F1479="NEW"),"",INDEX(J$1:J1478,SUMPRODUCT(MAX(ROW(E$1:E1478)*(E1479=E$1:E1478)))))</f>
        <v/>
      </c>
      <c r="L1479" s="25"/>
    </row>
    <row r="1480" spans="1:12" x14ac:dyDescent="0.2">
      <c r="A1480" t="s">
        <v>1321</v>
      </c>
      <c r="B1480" s="26" t="s">
        <v>810</v>
      </c>
      <c r="C1480" s="26" t="s">
        <v>854</v>
      </c>
      <c r="D1480" s="26" t="s">
        <v>806</v>
      </c>
      <c r="E1480" s="20" t="s">
        <v>1783</v>
      </c>
      <c r="F1480" s="21" t="str">
        <f>IF(OR(E1480="",E1480="!!!"),"",IF(NOT(ISNA(VLOOKUP(E1480,E$1:E1479,1,FALSE()))),"OLD",IF(AND(E1480&lt;&gt;"",E1480&lt;&gt;"!!!"),"NEW","")))</f>
        <v>NEW</v>
      </c>
      <c r="G1480" s="22" t="s">
        <v>1824</v>
      </c>
      <c r="H1480" s="23" t="str">
        <f t="shared" ca="1" si="167"/>
        <v/>
      </c>
      <c r="I1480" s="24" t="str">
        <f>IF(OR(E1480="",E1480="!!!",F1480="NEW"),"",INDEX(B$2:B1479,-1+SUMPRODUCT(MAX(ROW(E$2:E1479)*(E1480=E$2:E1479)))))</f>
        <v/>
      </c>
      <c r="J1480" s="24" t="str">
        <f ca="1">IF(OR(E1480="",E1480="!!!",F1480="NEW"),"",COUNTBLANK(OFFSET(A$1,,,SUMPRODUCT(MAX(ROW(E$2:E1480)*(E1480=E$2:E1480)))))-COUNTBLANK(OFFSET(A$1,,,SUMPRODUCT(MAX(ROW(E$1:E1479)*(E2=E$1:E1479))))))</f>
        <v/>
      </c>
      <c r="K1480" s="24" t="str">
        <f>IF(OR(E1480="",E1480="!!!",F1480="NEW"),"",INDEX(J$1:J1479,SUMPRODUCT(MAX(ROW(E$1:E1479)*(E1480=E$1:E1479)))))</f>
        <v/>
      </c>
      <c r="L1480" s="25"/>
    </row>
    <row r="1481" spans="1:12" x14ac:dyDescent="0.2">
      <c r="A1481" t="s">
        <v>821</v>
      </c>
      <c r="E1481" s="20" t="str">
        <f t="shared" si="166"/>
        <v/>
      </c>
      <c r="F1481" s="21" t="str">
        <f>IF(OR(E1481="",E1481="!!!"),"",IF(NOT(ISNA(VLOOKUP(E1481,E$1:E1480,1,FALSE()))),"OLD",IF(AND(E1481&lt;&gt;"",E1481&lt;&gt;"!!!"),"NEW","")))</f>
        <v/>
      </c>
      <c r="G1481" s="22" t="str">
        <f>IF(OR(E1481="",E1481="!!!"),"",IF(OR(J1481=0,AND(J1481=1,K1481=1),AND(J1481=1,I1481="SBJ"),AND(J1481=1,I1481=0)),"?IN_FOCUS",IF(J1481&lt;=2,"?ACTIVATED",IF(J1481&lt;&gt;"","?FAMILIAR",IF(F1481="NEW",IF(ISNA(VLOOKUP(E1481,#REF!,1,FALSE())),"?TYPE_IDENTIFIABLE","?REFERENTIAL"),"_")))))</f>
        <v/>
      </c>
      <c r="H1481" s="23" t="str">
        <f t="shared" ca="1" si="167"/>
        <v/>
      </c>
      <c r="I1481" s="24" t="str">
        <f>IF(OR(E1481="",E1481="!!!",F1481="NEW"),"",INDEX(B$2:B1480,-1+SUMPRODUCT(MAX(ROW(E$2:E1480)*(E1481=E$2:E1480)))))</f>
        <v/>
      </c>
      <c r="J1481" s="24" t="str">
        <f ca="1">IF(OR(E1481="",E1481="!!!",F1481="NEW"),"",COUNTBLANK(OFFSET(A$1,,,SUMPRODUCT(MAX(ROW(E$2:E1481)*(E1481=E$2:E1481)))))-COUNTBLANK(OFFSET(A$1,,,SUMPRODUCT(MAX(ROW(E$1:E1480)*(E2=E$1:E1480))))))</f>
        <v/>
      </c>
      <c r="K1481" s="24" t="str">
        <f>IF(OR(E1481="",E1481="!!!",F1481="NEW"),"",INDEX(J$1:J1480,SUMPRODUCT(MAX(ROW(E$1:E1480)*(E1481=E$1:E1480)))))</f>
        <v/>
      </c>
      <c r="L1481" s="25"/>
    </row>
    <row r="1483" spans="1:12" x14ac:dyDescent="0.2">
      <c r="A1483" t="s">
        <v>1322</v>
      </c>
    </row>
    <row r="1484" spans="1:12" x14ac:dyDescent="0.2">
      <c r="A1484" t="s">
        <v>1323</v>
      </c>
      <c r="E1484" s="20" t="str">
        <f t="shared" ref="E1484:E1494" si="168">IF(D1484="?OLD","!!!","")</f>
        <v/>
      </c>
      <c r="F1484" s="21" t="str">
        <f>IF(OR(E1484="",E1484="!!!"),"",IF(NOT(ISNA(VLOOKUP(E1484,E$1:E1483,1,FALSE()))),"OLD",IF(AND(E1484&lt;&gt;"",E1484&lt;&gt;"!!!"),"NEW","")))</f>
        <v/>
      </c>
      <c r="G1484" s="22" t="str">
        <f>IF(OR(E1484="",E1484="!!!"),"",IF(OR(J1484=0,AND(J1484=1,K1484=1),AND(J1484=1,I1484="SBJ"),AND(J1484=1,I1484=0)),"?IN_FOCUS",IF(J1484&lt;=2,"?ACTIVATED",IF(J1484&lt;&gt;"","?FAMILIAR",IF(F1484="NEW",IF(ISNA(VLOOKUP(E1484,#REF!,1,FALSE())),"?TYPE_IDENTIFIABLE","?REFERENTIAL"),"_")))))</f>
        <v/>
      </c>
      <c r="H1484" s="23" t="str">
        <f t="shared" ref="H1484:H1494" ca="1" si="169">IF(J1484&lt;&gt;1,"",IF(I1484="SBJ","CB","?"))</f>
        <v/>
      </c>
      <c r="I1484" s="24" t="str">
        <f>IF(OR(E1484="",E1484="!!!",F1484="NEW"),"",INDEX(B$2:B1483,-1+SUMPRODUCT(MAX(ROW(E$2:E1483)*(E1484=E$2:E1483)))))</f>
        <v/>
      </c>
      <c r="J1484" s="24" t="str">
        <f ca="1">IF(OR(E1484="",E1484="!!!",F1484="NEW"),"",COUNTBLANK(OFFSET(A$1,,,SUMPRODUCT(MAX(ROW(E$2:E1484)*(E1484=E$2:E1484)))))-COUNTBLANK(OFFSET(A$1,,,SUMPRODUCT(MAX(ROW(E$1:E1483)*(E2=E$1:E1483))))))</f>
        <v/>
      </c>
      <c r="K1484" s="24" t="str">
        <f>IF(OR(E1484="",E1484="!!!",F1484="NEW"),"",INDEX(J$1:J1483,SUMPRODUCT(MAX(ROW(E$1:E1483)*(E1484=E$1:E1483)))))</f>
        <v/>
      </c>
      <c r="L1484" s="25"/>
    </row>
    <row r="1485" spans="1:12" x14ac:dyDescent="0.2">
      <c r="A1485" t="s">
        <v>802</v>
      </c>
      <c r="E1485" s="20" t="str">
        <f t="shared" si="168"/>
        <v/>
      </c>
      <c r="F1485" s="21" t="str">
        <f>IF(OR(E1485="",E1485="!!!"),"",IF(NOT(ISNA(VLOOKUP(E1485,E$1:E1484,1,FALSE()))),"OLD",IF(AND(E1485&lt;&gt;"",E1485&lt;&gt;"!!!"),"NEW","")))</f>
        <v/>
      </c>
      <c r="G1485" s="22" t="str">
        <f>IF(OR(E1485="",E1485="!!!"),"",IF(OR(J1485=0,AND(J1485=1,K1485=1),AND(J1485=1,I1485="SBJ"),AND(J1485=1,I1485=0)),"?IN_FOCUS",IF(J1485&lt;=2,"?ACTIVATED",IF(J1485&lt;&gt;"","?FAMILIAR",IF(F1485="NEW",IF(ISNA(VLOOKUP(E1485,#REF!,1,FALSE())),"?TYPE_IDENTIFIABLE","?REFERENTIAL"),"_")))))</f>
        <v/>
      </c>
      <c r="H1485" s="23" t="str">
        <f t="shared" ca="1" si="169"/>
        <v/>
      </c>
      <c r="I1485" s="24" t="str">
        <f>IF(OR(E1485="",E1485="!!!",F1485="NEW"),"",INDEX(B$2:B1484,-1+SUMPRODUCT(MAX(ROW(E$2:E1484)*(E1485=E$2:E1484)))))</f>
        <v/>
      </c>
      <c r="J1485" s="24" t="str">
        <f ca="1">IF(OR(E1485="",E1485="!!!",F1485="NEW"),"",COUNTBLANK(OFFSET(A$1,,,SUMPRODUCT(MAX(ROW(E$2:E1485)*(E1485=E$2:E1485)))))-COUNTBLANK(OFFSET(A$1,,,SUMPRODUCT(MAX(ROW(E$1:E1484)*(E2=E$1:E1484))))))</f>
        <v/>
      </c>
      <c r="K1485" s="24" t="str">
        <f>IF(OR(E1485="",E1485="!!!",F1485="NEW"),"",INDEX(J$1:J1484,SUMPRODUCT(MAX(ROW(E$1:E1484)*(E1485=E$1:E1484)))))</f>
        <v/>
      </c>
      <c r="L1485" s="25"/>
    </row>
    <row r="1486" spans="1:12" x14ac:dyDescent="0.2">
      <c r="A1486" t="s">
        <v>1024</v>
      </c>
      <c r="B1486" s="26" t="s">
        <v>804</v>
      </c>
      <c r="C1486" s="26" t="s">
        <v>805</v>
      </c>
      <c r="D1486" s="26" t="s">
        <v>806</v>
      </c>
      <c r="E1486" s="20" t="s">
        <v>1175</v>
      </c>
      <c r="F1486" s="21" t="str">
        <f>IF(OR(E1486="",E1486="!!!"),"",IF(NOT(ISNA(VLOOKUP(E1486,E$1:E1485,1,FALSE()))),"OLD",IF(AND(E1486&lt;&gt;"",E1486&lt;&gt;"!!!"),"NEW","")))</f>
        <v>OLD</v>
      </c>
      <c r="G1486" s="22" t="s">
        <v>1823</v>
      </c>
      <c r="H1486" s="23" t="str">
        <f t="shared" ca="1" si="169"/>
        <v/>
      </c>
      <c r="I1486" s="24" t="str">
        <f>IF(OR(E1486="",E1486="!!!",F1486="NEW"),"",INDEX(B$2:B1485,-1+SUMPRODUCT(MAX(ROW(E$2:E1485)*(E1486=E$2:E1485)))))</f>
        <v>SBJ</v>
      </c>
      <c r="J1486" s="24">
        <f ca="1">IF(OR(E1486="",E1486="!!!",F1486="NEW"),"",COUNTBLANK(OFFSET(A$1,,,SUMPRODUCT(MAX(ROW(E$2:E1486)*(E1486=E$2:E1486)))))-COUNTBLANK(OFFSET(A$1,,,SUMPRODUCT(MAX(ROW(E$1:E1485)*(E2=E$1:E1485))))))</f>
        <v>0</v>
      </c>
      <c r="K1486" s="24">
        <f ca="1">IF(OR(E1486="",E1486="!!!",F1486="NEW"),"",INDEX(J$1:J1485,SUMPRODUCT(MAX(ROW(E$1:E1485)*(E1486=E$1:E1485)))))</f>
        <v>0</v>
      </c>
      <c r="L1486" s="25"/>
    </row>
    <row r="1487" spans="1:12" x14ac:dyDescent="0.2">
      <c r="A1487" t="s">
        <v>898</v>
      </c>
      <c r="E1487" s="20" t="str">
        <f t="shared" si="168"/>
        <v/>
      </c>
      <c r="F1487" s="21" t="str">
        <f>IF(OR(E1487="",E1487="!!!"),"",IF(NOT(ISNA(VLOOKUP(E1487,E$1:E1486,1,FALSE()))),"OLD",IF(AND(E1487&lt;&gt;"",E1487&lt;&gt;"!!!"),"NEW","")))</f>
        <v/>
      </c>
      <c r="G1487" s="22" t="str">
        <f>IF(OR(E1487="",E1487="!!!"),"",IF(OR(J1487=0,AND(J1487=1,K1487=1),AND(J1487=1,I1487="SBJ"),AND(J1487=1,I1487=0)),"?IN_FOCUS",IF(J1487&lt;=2,"?ACTIVATED",IF(J1487&lt;&gt;"","?FAMILIAR",IF(F1487="NEW",IF(ISNA(VLOOKUP(E1487,#REF!,1,FALSE())),"?TYPE_IDENTIFIABLE","?REFERENTIAL"),"_")))))</f>
        <v/>
      </c>
      <c r="H1487" s="23" t="str">
        <f t="shared" ca="1" si="169"/>
        <v/>
      </c>
      <c r="I1487" s="24" t="str">
        <f>IF(OR(E1487="",E1487="!!!",F1487="NEW"),"",INDEX(B$2:B1486,-1+SUMPRODUCT(MAX(ROW(E$2:E1486)*(E1487=E$2:E1486)))))</f>
        <v/>
      </c>
      <c r="J1487" s="24" t="str">
        <f ca="1">IF(OR(E1487="",E1487="!!!",F1487="NEW"),"",COUNTBLANK(OFFSET(A$1,,,SUMPRODUCT(MAX(ROW(E$2:E1487)*(E1487=E$2:E1487)))))-COUNTBLANK(OFFSET(A$1,,,SUMPRODUCT(MAX(ROW(E$1:E1486)*(E2=E$1:E1486))))))</f>
        <v/>
      </c>
      <c r="K1487" s="24" t="str">
        <f>IF(OR(E1487="",E1487="!!!",F1487="NEW"),"",INDEX(J$1:J1486,SUMPRODUCT(MAX(ROW(E$1:E1486)*(E1487=E$1:E1486)))))</f>
        <v/>
      </c>
      <c r="L1487" s="25"/>
    </row>
    <row r="1488" spans="1:12" x14ac:dyDescent="0.2">
      <c r="A1488" t="s">
        <v>1324</v>
      </c>
      <c r="E1488" s="20" t="str">
        <f t="shared" si="168"/>
        <v/>
      </c>
      <c r="F1488" s="21" t="str">
        <f>IF(OR(E1488="",E1488="!!!"),"",IF(NOT(ISNA(VLOOKUP(E1488,E$1:E1487,1,FALSE()))),"OLD",IF(AND(E1488&lt;&gt;"",E1488&lt;&gt;"!!!"),"NEW","")))</f>
        <v/>
      </c>
      <c r="G1488" s="22" t="str">
        <f>IF(OR(E1488="",E1488="!!!"),"",IF(OR(J1488=0,AND(J1488=1,K1488=1),AND(J1488=1,I1488="SBJ"),AND(J1488=1,I1488=0)),"?IN_FOCUS",IF(J1488&lt;=2,"?ACTIVATED",IF(J1488&lt;&gt;"","?FAMILIAR",IF(F1488="NEW",IF(ISNA(VLOOKUP(E1488,#REF!,1,FALSE())),"?TYPE_IDENTIFIABLE","?REFERENTIAL"),"_")))))</f>
        <v/>
      </c>
      <c r="H1488" s="23" t="str">
        <f t="shared" ca="1" si="169"/>
        <v/>
      </c>
      <c r="I1488" s="24" t="str">
        <f>IF(OR(E1488="",E1488="!!!",F1488="NEW"),"",INDEX(B$2:B1487,-1+SUMPRODUCT(MAX(ROW(E$2:E1487)*(E1488=E$2:E1487)))))</f>
        <v/>
      </c>
      <c r="J1488" s="24" t="str">
        <f ca="1">IF(OR(E1488="",E1488="!!!",F1488="NEW"),"",COUNTBLANK(OFFSET(A$1,,,SUMPRODUCT(MAX(ROW(E$2:E1488)*(E1488=E$2:E1488)))))-COUNTBLANK(OFFSET(A$1,,,SUMPRODUCT(MAX(ROW(E$1:E1487)*(E2=E$1:E1487))))))</f>
        <v/>
      </c>
      <c r="K1488" s="24" t="str">
        <f>IF(OR(E1488="",E1488="!!!",F1488="NEW"),"",INDEX(J$1:J1487,SUMPRODUCT(MAX(ROW(E$1:E1487)*(E1488=E$1:E1487)))))</f>
        <v/>
      </c>
      <c r="L1488" s="25"/>
    </row>
    <row r="1489" spans="1:12" x14ac:dyDescent="0.2">
      <c r="A1489" t="s">
        <v>845</v>
      </c>
      <c r="E1489" s="20" t="str">
        <f t="shared" si="168"/>
        <v/>
      </c>
      <c r="F1489" s="21" t="str">
        <f>IF(OR(E1489="",E1489="!!!"),"",IF(NOT(ISNA(VLOOKUP(E1489,E$1:E1488,1,FALSE()))),"OLD",IF(AND(E1489&lt;&gt;"",E1489&lt;&gt;"!!!"),"NEW","")))</f>
        <v/>
      </c>
      <c r="G1489" s="22" t="str">
        <f>IF(OR(E1489="",E1489="!!!"),"",IF(OR(J1489=0,AND(J1489=1,K1489=1),AND(J1489=1,I1489="SBJ"),AND(J1489=1,I1489=0)),"?IN_FOCUS",IF(J1489&lt;=2,"?ACTIVATED",IF(J1489&lt;&gt;"","?FAMILIAR",IF(F1489="NEW",IF(ISNA(VLOOKUP(E1489,#REF!,1,FALSE())),"?TYPE_IDENTIFIABLE","?REFERENTIAL"),"_")))))</f>
        <v/>
      </c>
      <c r="H1489" s="23" t="str">
        <f t="shared" ca="1" si="169"/>
        <v/>
      </c>
      <c r="I1489" s="24" t="str">
        <f>IF(OR(E1489="",E1489="!!!",F1489="NEW"),"",INDEX(B$2:B1488,-1+SUMPRODUCT(MAX(ROW(E$2:E1488)*(E1489=E$2:E1488)))))</f>
        <v/>
      </c>
      <c r="J1489" s="24" t="str">
        <f ca="1">IF(OR(E1489="",E1489="!!!",F1489="NEW"),"",COUNTBLANK(OFFSET(A$1,,,SUMPRODUCT(MAX(ROW(E$2:E1489)*(E1489=E$2:E1489)))))-COUNTBLANK(OFFSET(A$1,,,SUMPRODUCT(MAX(ROW(E$1:E1488)*(E2=E$1:E1488))))))</f>
        <v/>
      </c>
      <c r="K1489" s="24" t="str">
        <f>IF(OR(E1489="",E1489="!!!",F1489="NEW"),"",INDEX(J$1:J1488,SUMPRODUCT(MAX(ROW(E$1:E1488)*(E1489=E$1:E1488)))))</f>
        <v/>
      </c>
      <c r="L1489" s="25"/>
    </row>
    <row r="1490" spans="1:12" x14ac:dyDescent="0.2">
      <c r="A1490" t="s">
        <v>1325</v>
      </c>
      <c r="E1490" s="20" t="str">
        <f t="shared" si="168"/>
        <v/>
      </c>
      <c r="F1490" s="21" t="str">
        <f>IF(OR(E1490="",E1490="!!!"),"",IF(NOT(ISNA(VLOOKUP(E1490,E$1:E1489,1,FALSE()))),"OLD",IF(AND(E1490&lt;&gt;"",E1490&lt;&gt;"!!!"),"NEW","")))</f>
        <v/>
      </c>
      <c r="G1490" s="22" t="str">
        <f>IF(OR(E1490="",E1490="!!!"),"",IF(OR(J1490=0,AND(J1490=1,K1490=1),AND(J1490=1,I1490="SBJ"),AND(J1490=1,I1490=0)),"?IN_FOCUS",IF(J1490&lt;=2,"?ACTIVATED",IF(J1490&lt;&gt;"","?FAMILIAR",IF(F1490="NEW",IF(ISNA(VLOOKUP(E1490,#REF!,1,FALSE())),"?TYPE_IDENTIFIABLE","?REFERENTIAL"),"_")))))</f>
        <v/>
      </c>
      <c r="H1490" s="23" t="str">
        <f t="shared" ca="1" si="169"/>
        <v/>
      </c>
      <c r="I1490" s="24" t="str">
        <f>IF(OR(E1490="",E1490="!!!",F1490="NEW"),"",INDEX(B$2:B1489,-1+SUMPRODUCT(MAX(ROW(E$2:E1489)*(E1490=E$2:E1489)))))</f>
        <v/>
      </c>
      <c r="J1490" s="24" t="str">
        <f ca="1">IF(OR(E1490="",E1490="!!!",F1490="NEW"),"",COUNTBLANK(OFFSET(A$1,,,SUMPRODUCT(MAX(ROW(E$2:E1490)*(E1490=E$2:E1490)))))-COUNTBLANK(OFFSET(A$1,,,SUMPRODUCT(MAX(ROW(E$1:E1489)*(E2=E$1:E1489))))))</f>
        <v/>
      </c>
      <c r="K1490" s="24" t="str">
        <f>IF(OR(E1490="",E1490="!!!",F1490="NEW"),"",INDEX(J$1:J1489,SUMPRODUCT(MAX(ROW(E$1:E1489)*(E1490=E$1:E1489)))))</f>
        <v/>
      </c>
      <c r="L1490" s="25"/>
    </row>
    <row r="1491" spans="1:12" x14ac:dyDescent="0.2">
      <c r="A1491" t="s">
        <v>1326</v>
      </c>
      <c r="B1491" s="26" t="s">
        <v>810</v>
      </c>
      <c r="C1491" s="26" t="s">
        <v>847</v>
      </c>
      <c r="D1491" s="26" t="s">
        <v>806</v>
      </c>
      <c r="E1491" s="20" t="s">
        <v>1326</v>
      </c>
      <c r="F1491" s="21" t="str">
        <f>IF(OR(E1491="",E1491="!!!"),"",IF(NOT(ISNA(VLOOKUP(E1491,E$1:E1490,1,FALSE()))),"OLD",IF(AND(E1491&lt;&gt;"",E1491&lt;&gt;"!!!"),"NEW","")))</f>
        <v>NEW</v>
      </c>
      <c r="G1491" s="22" t="s">
        <v>1824</v>
      </c>
      <c r="H1491" s="23" t="str">
        <f t="shared" ca="1" si="169"/>
        <v/>
      </c>
      <c r="I1491" s="24" t="str">
        <f>IF(OR(E1491="",E1491="!!!",F1491="NEW"),"",INDEX(B$2:B1490,-1+SUMPRODUCT(MAX(ROW(E$2:E1490)*(E1491=E$2:E1490)))))</f>
        <v/>
      </c>
      <c r="J1491" s="24" t="str">
        <f ca="1">IF(OR(E1491="",E1491="!!!",F1491="NEW"),"",COUNTBLANK(OFFSET(A$1,,,SUMPRODUCT(MAX(ROW(E$2:E1491)*(E1491=E$2:E1491)))))-COUNTBLANK(OFFSET(A$1,,,SUMPRODUCT(MAX(ROW(E$1:E1490)*(E2=E$1:E1490))))))</f>
        <v/>
      </c>
      <c r="K1491" s="24" t="str">
        <f>IF(OR(E1491="",E1491="!!!",F1491="NEW"),"",INDEX(J$1:J1490,SUMPRODUCT(MAX(ROW(E$1:E1490)*(E1491=E$1:E1490)))))</f>
        <v/>
      </c>
      <c r="L1491" s="25"/>
    </row>
    <row r="1492" spans="1:12" x14ac:dyDescent="0.2">
      <c r="A1492" t="s">
        <v>812</v>
      </c>
      <c r="E1492" s="20" t="str">
        <f t="shared" si="168"/>
        <v/>
      </c>
      <c r="F1492" s="21" t="str">
        <f>IF(OR(E1492="",E1492="!!!"),"",IF(NOT(ISNA(VLOOKUP(E1492,E$1:E1491,1,FALSE()))),"OLD",IF(AND(E1492&lt;&gt;"",E1492&lt;&gt;"!!!"),"NEW","")))</f>
        <v/>
      </c>
      <c r="G1492" s="22" t="str">
        <f>IF(OR(E1492="",E1492="!!!"),"",IF(OR(J1492=0,AND(J1492=1,K1492=1),AND(J1492=1,I1492="SBJ"),AND(J1492=1,I1492=0)),"?IN_FOCUS",IF(J1492&lt;=2,"?ACTIVATED",IF(J1492&lt;&gt;"","?FAMILIAR",IF(F1492="NEW",IF(ISNA(VLOOKUP(E1492,#REF!,1,FALSE())),"?TYPE_IDENTIFIABLE","?REFERENTIAL"),"_")))))</f>
        <v/>
      </c>
      <c r="H1492" s="23" t="str">
        <f t="shared" ca="1" si="169"/>
        <v/>
      </c>
      <c r="I1492" s="24" t="str">
        <f>IF(OR(E1492="",E1492="!!!",F1492="NEW"),"",INDEX(B$2:B1491,-1+SUMPRODUCT(MAX(ROW(E$2:E1491)*(E1492=E$2:E1491)))))</f>
        <v/>
      </c>
      <c r="J1492" s="24" t="str">
        <f ca="1">IF(OR(E1492="",E1492="!!!",F1492="NEW"),"",COUNTBLANK(OFFSET(A$1,,,SUMPRODUCT(MAX(ROW(E$2:E1492)*(E1492=E$2:E1492)))))-COUNTBLANK(OFFSET(A$1,,,SUMPRODUCT(MAX(ROW(E$1:E1491)*(E2=E$1:E1491))))))</f>
        <v/>
      </c>
      <c r="K1492" s="24" t="str">
        <f>IF(OR(E1492="",E1492="!!!",F1492="NEW"),"",INDEX(J$1:J1491,SUMPRODUCT(MAX(ROW(E$1:E1491)*(E1492=E$1:E1491)))))</f>
        <v/>
      </c>
      <c r="L1492" s="25"/>
    </row>
    <row r="1493" spans="1:12" x14ac:dyDescent="0.2">
      <c r="A1493" t="s">
        <v>1327</v>
      </c>
      <c r="B1493" s="26" t="s">
        <v>813</v>
      </c>
      <c r="C1493" s="26" t="s">
        <v>814</v>
      </c>
      <c r="E1493" s="20" t="str">
        <f t="shared" si="168"/>
        <v/>
      </c>
      <c r="F1493" s="21" t="str">
        <f>IF(OR(E1493="",E1493="!!!"),"",IF(NOT(ISNA(VLOOKUP(E1493,E$1:E1492,1,FALSE()))),"OLD",IF(AND(E1493&lt;&gt;"",E1493&lt;&gt;"!!!"),"NEW","")))</f>
        <v/>
      </c>
      <c r="G1493" s="22" t="str">
        <f>IF(OR(E1493="",E1493="!!!"),"",IF(OR(J1493=0,AND(J1493=1,K1493=1),AND(J1493=1,I1493="SBJ"),AND(J1493=1,I1493=0)),"?IN_FOCUS",IF(J1493&lt;=2,"?ACTIVATED",IF(J1493&lt;&gt;"","?FAMILIAR",IF(F1493="NEW",IF(ISNA(VLOOKUP(E1493,#REF!,1,FALSE())),"?TYPE_IDENTIFIABLE","?REFERENTIAL"),"_")))))</f>
        <v/>
      </c>
      <c r="H1493" s="23" t="str">
        <f t="shared" ca="1" si="169"/>
        <v/>
      </c>
      <c r="I1493" s="24" t="str">
        <f>IF(OR(E1493="",E1493="!!!",F1493="NEW"),"",INDEX(B$2:B1492,-1+SUMPRODUCT(MAX(ROW(E$2:E1492)*(E1493=E$2:E1492)))))</f>
        <v/>
      </c>
      <c r="J1493" s="24" t="str">
        <f ca="1">IF(OR(E1493="",E1493="!!!",F1493="NEW"),"",COUNTBLANK(OFFSET(A$1,,,SUMPRODUCT(MAX(ROW(E$2:E1493)*(E1493=E$2:E1493)))))-COUNTBLANK(OFFSET(A$1,,,SUMPRODUCT(MAX(ROW(E$1:E1492)*(E2=E$1:E1492))))))</f>
        <v/>
      </c>
      <c r="K1493" s="24" t="str">
        <f>IF(OR(E1493="",E1493="!!!",F1493="NEW"),"",INDEX(J$1:J1492,SUMPRODUCT(MAX(ROW(E$1:E1492)*(E1493=E$1:E1492)))))</f>
        <v/>
      </c>
      <c r="L1493" s="25"/>
    </row>
    <row r="1494" spans="1:12" x14ac:dyDescent="0.2">
      <c r="A1494" t="s">
        <v>821</v>
      </c>
      <c r="E1494" s="20" t="str">
        <f t="shared" si="168"/>
        <v/>
      </c>
      <c r="F1494" s="21" t="str">
        <f>IF(OR(E1494="",E1494="!!!"),"",IF(NOT(ISNA(VLOOKUP(E1494,E$1:E1493,1,FALSE()))),"OLD",IF(AND(E1494&lt;&gt;"",E1494&lt;&gt;"!!!"),"NEW","")))</f>
        <v/>
      </c>
      <c r="G1494" s="22" t="str">
        <f>IF(OR(E1494="",E1494="!!!"),"",IF(OR(J1494=0,AND(J1494=1,K1494=1),AND(J1494=1,I1494="SBJ"),AND(J1494=1,I1494=0)),"?IN_FOCUS",IF(J1494&lt;=2,"?ACTIVATED",IF(J1494&lt;&gt;"","?FAMILIAR",IF(F1494="NEW",IF(ISNA(VLOOKUP(E1494,#REF!,1,FALSE())),"?TYPE_IDENTIFIABLE","?REFERENTIAL"),"_")))))</f>
        <v/>
      </c>
      <c r="H1494" s="23" t="str">
        <f t="shared" ca="1" si="169"/>
        <v/>
      </c>
      <c r="I1494" s="24" t="str">
        <f>IF(OR(E1494="",E1494="!!!",F1494="NEW"),"",INDEX(B$2:B1493,-1+SUMPRODUCT(MAX(ROW(E$2:E1493)*(E1494=E$2:E1493)))))</f>
        <v/>
      </c>
      <c r="J1494" s="24" t="str">
        <f ca="1">IF(OR(E1494="",E1494="!!!",F1494="NEW"),"",COUNTBLANK(OFFSET(A$1,,,SUMPRODUCT(MAX(ROW(E$2:E1494)*(E1494=E$2:E1494)))))-COUNTBLANK(OFFSET(A$1,,,SUMPRODUCT(MAX(ROW(E$1:E1493)*(E2=E$1:E1493))))))</f>
        <v/>
      </c>
      <c r="K1494" s="24" t="str">
        <f>IF(OR(E1494="",E1494="!!!",F1494="NEW"),"",INDEX(J$1:J1493,SUMPRODUCT(MAX(ROW(E$1:E1493)*(E1494=E$1:E1493)))))</f>
        <v/>
      </c>
      <c r="L1494" s="25"/>
    </row>
    <row r="1496" spans="1:12" x14ac:dyDescent="0.2">
      <c r="A1496" t="s">
        <v>1328</v>
      </c>
    </row>
    <row r="1497" spans="1:12" x14ac:dyDescent="0.2">
      <c r="A1497" t="s">
        <v>1034</v>
      </c>
      <c r="E1497" s="20" t="str">
        <f t="shared" ref="E1497:E1513" si="170">IF(D1497="?OLD","!!!","")</f>
        <v/>
      </c>
      <c r="F1497" s="21" t="str">
        <f>IF(OR(E1497="",E1497="!!!"),"",IF(NOT(ISNA(VLOOKUP(E1497,E$1:E1496,1,FALSE()))),"OLD",IF(AND(E1497&lt;&gt;"",E1497&lt;&gt;"!!!"),"NEW","")))</f>
        <v/>
      </c>
      <c r="G1497" s="22" t="str">
        <f>IF(OR(E1497="",E1497="!!!"),"",IF(OR(J1497=0,AND(J1497=1,K1497=1),AND(J1497=1,I1497="SBJ"),AND(J1497=1,I1497=0)),"?IN_FOCUS",IF(J1497&lt;=2,"?ACTIVATED",IF(J1497&lt;&gt;"","?FAMILIAR",IF(F1497="NEW",IF(ISNA(VLOOKUP(E1497,#REF!,1,FALSE())),"?TYPE_IDENTIFIABLE","?REFERENTIAL"),"_")))))</f>
        <v/>
      </c>
      <c r="H1497" s="23" t="str">
        <f t="shared" ref="H1497:H1513" ca="1" si="171">IF(J1497&lt;&gt;1,"",IF(I1497="SBJ","CB","?"))</f>
        <v/>
      </c>
      <c r="I1497" s="24" t="str">
        <f>IF(OR(E1497="",E1497="!!!",F1497="NEW"),"",INDEX(B$2:B1496,-1+SUMPRODUCT(MAX(ROW(E$2:E1496)*(E1497=E$2:E1496)))))</f>
        <v/>
      </c>
      <c r="J1497" s="24" t="str">
        <f ca="1">IF(OR(E1497="",E1497="!!!",F1497="NEW"),"",COUNTBLANK(OFFSET(A$1,,,SUMPRODUCT(MAX(ROW(E$2:E1497)*(E1497=E$2:E1497)))))-COUNTBLANK(OFFSET(A$1,,,SUMPRODUCT(MAX(ROW(E$1:E1496)*(E2=E$1:E1496))))))</f>
        <v/>
      </c>
      <c r="K1497" s="24" t="str">
        <f>IF(OR(E1497="",E1497="!!!",F1497="NEW"),"",INDEX(J$1:J1496,SUMPRODUCT(MAX(ROW(E$1:E1496)*(E1497=E$1:E1496)))))</f>
        <v/>
      </c>
      <c r="L1497" s="25"/>
    </row>
    <row r="1498" spans="1:12" x14ac:dyDescent="0.2">
      <c r="A1498" t="s">
        <v>392</v>
      </c>
      <c r="B1498" s="26" t="s">
        <v>819</v>
      </c>
      <c r="C1498" s="26" t="s">
        <v>907</v>
      </c>
      <c r="D1498" s="26" t="s">
        <v>806</v>
      </c>
      <c r="E1498" s="20" t="s">
        <v>1776</v>
      </c>
      <c r="F1498" s="21" t="str">
        <f>IF(OR(E1498="",E1498="!!!"),"",IF(NOT(ISNA(VLOOKUP(E1498,E$1:E1497,1,FALSE()))),"OLD",IF(AND(E1498&lt;&gt;"",E1498&lt;&gt;"!!!"),"NEW","")))</f>
        <v>OLD</v>
      </c>
      <c r="G1498" s="22" t="s">
        <v>1822</v>
      </c>
      <c r="H1498" s="23" t="str">
        <f t="shared" ca="1" si="171"/>
        <v/>
      </c>
      <c r="I1498" s="24" t="str">
        <f>IF(OR(E1498="",E1498="!!!",F1498="NEW"),"",INDEX(B$2:B1497,-1+SUMPRODUCT(MAX(ROW(E$2:E1497)*(E1498=E$2:E1497)))))</f>
        <v>other</v>
      </c>
      <c r="J1498" s="24">
        <f ca="1">IF(OR(E1498="",E1498="!!!",F1498="NEW"),"",COUNTBLANK(OFFSET(A$1,,,SUMPRODUCT(MAX(ROW(E$2:E1498)*(E1498=E$2:E1498)))))-COUNTBLANK(OFFSET(A$1,,,SUMPRODUCT(MAX(ROW(E$1:E1497)*(E2=E$1:E1497))))))</f>
        <v>0</v>
      </c>
      <c r="K1498" s="24">
        <f ca="1">IF(OR(E1498="",E1498="!!!",F1498="NEW"),"",INDEX(J$1:J1497,SUMPRODUCT(MAX(ROW(E$1:E1497)*(E1498=E$1:E1497)))))</f>
        <v>0</v>
      </c>
      <c r="L1498" s="25"/>
    </row>
    <row r="1499" spans="1:12" x14ac:dyDescent="0.2">
      <c r="A1499" t="s">
        <v>802</v>
      </c>
      <c r="E1499" s="20" t="str">
        <f t="shared" si="170"/>
        <v/>
      </c>
      <c r="F1499" s="21" t="str">
        <f>IF(OR(E1499="",E1499="!!!"),"",IF(NOT(ISNA(VLOOKUP(E1499,E$1:E1498,1,FALSE()))),"OLD",IF(AND(E1499&lt;&gt;"",E1499&lt;&gt;"!!!"),"NEW","")))</f>
        <v/>
      </c>
      <c r="G1499" s="22" t="str">
        <f>IF(OR(E1499="",E1499="!!!"),"",IF(OR(J1499=0,AND(J1499=1,K1499=1),AND(J1499=1,I1499="SBJ"),AND(J1499=1,I1499=0)),"?IN_FOCUS",IF(J1499&lt;=2,"?ACTIVATED",IF(J1499&lt;&gt;"","?FAMILIAR",IF(F1499="NEW",IF(ISNA(VLOOKUP(E1499,#REF!,1,FALSE())),"?TYPE_IDENTIFIABLE","?REFERENTIAL"),"_")))))</f>
        <v/>
      </c>
      <c r="H1499" s="23" t="str">
        <f t="shared" ca="1" si="171"/>
        <v/>
      </c>
      <c r="I1499" s="24" t="str">
        <f>IF(OR(E1499="",E1499="!!!",F1499="NEW"),"",INDEX(B$2:B1498,-1+SUMPRODUCT(MAX(ROW(E$2:E1498)*(E1499=E$2:E1498)))))</f>
        <v/>
      </c>
      <c r="J1499" s="24" t="str">
        <f ca="1">IF(OR(E1499="",E1499="!!!",F1499="NEW"),"",COUNTBLANK(OFFSET(A$1,,,SUMPRODUCT(MAX(ROW(E$2:E1499)*(E1499=E$2:E1499)))))-COUNTBLANK(OFFSET(A$1,,,SUMPRODUCT(MAX(ROW(E$1:E1498)*(E2=E$1:E1498))))))</f>
        <v/>
      </c>
      <c r="K1499" s="24" t="str">
        <f>IF(OR(E1499="",E1499="!!!",F1499="NEW"),"",INDEX(J$1:J1498,SUMPRODUCT(MAX(ROW(E$1:E1498)*(E1499=E$1:E1498)))))</f>
        <v/>
      </c>
      <c r="L1499" s="25"/>
    </row>
    <row r="1500" spans="1:12" x14ac:dyDescent="0.2">
      <c r="A1500" t="s">
        <v>392</v>
      </c>
      <c r="E1500" s="20" t="str">
        <f t="shared" si="170"/>
        <v/>
      </c>
      <c r="F1500" s="21" t="str">
        <f>IF(OR(E1500="",E1500="!!!"),"",IF(NOT(ISNA(VLOOKUP(E1500,E$1:E1499,1,FALSE()))),"OLD",IF(AND(E1500&lt;&gt;"",E1500&lt;&gt;"!!!"),"NEW","")))</f>
        <v/>
      </c>
      <c r="G1500" s="22" t="str">
        <f>IF(OR(E1500="",E1500="!!!"),"",IF(OR(J1500=0,AND(J1500=1,K1500=1),AND(J1500=1,I1500="SBJ"),AND(J1500=1,I1500=0)),"?IN_FOCUS",IF(J1500&lt;=2,"?ACTIVATED",IF(J1500&lt;&gt;"","?FAMILIAR",IF(F1500="NEW",IF(ISNA(VLOOKUP(E1500,#REF!,1,FALSE())),"?TYPE_IDENTIFIABLE","?REFERENTIAL"),"_")))))</f>
        <v/>
      </c>
      <c r="H1500" s="23" t="str">
        <f t="shared" ca="1" si="171"/>
        <v/>
      </c>
      <c r="I1500" s="24" t="str">
        <f>IF(OR(E1500="",E1500="!!!",F1500="NEW"),"",INDEX(B$2:B1499,-1+SUMPRODUCT(MAX(ROW(E$2:E1499)*(E1500=E$2:E1499)))))</f>
        <v/>
      </c>
      <c r="J1500" s="24" t="str">
        <f ca="1">IF(OR(E1500="",E1500="!!!",F1500="NEW"),"",COUNTBLANK(OFFSET(A$1,,,SUMPRODUCT(MAX(ROW(E$2:E1500)*(E1500=E$2:E1500)))))-COUNTBLANK(OFFSET(A$1,,,SUMPRODUCT(MAX(ROW(E$1:E1499)*(E2=E$1:E1499))))))</f>
        <v/>
      </c>
      <c r="K1500" s="24" t="str">
        <f>IF(OR(E1500="",E1500="!!!",F1500="NEW"),"",INDEX(J$1:J1499,SUMPRODUCT(MAX(ROW(E$1:E1499)*(E1500=E$1:E1499)))))</f>
        <v/>
      </c>
      <c r="L1500" s="25"/>
    </row>
    <row r="1501" spans="1:12" x14ac:dyDescent="0.2">
      <c r="A1501" t="s">
        <v>1024</v>
      </c>
      <c r="B1501" s="26" t="s">
        <v>950</v>
      </c>
      <c r="C1501" s="26" t="s">
        <v>805</v>
      </c>
      <c r="D1501" s="26" t="s">
        <v>806</v>
      </c>
      <c r="E1501" s="20" t="s">
        <v>1776</v>
      </c>
      <c r="F1501" s="21" t="str">
        <f>IF(OR(E1501="",E1501="!!!"),"",IF(NOT(ISNA(VLOOKUP(E1501,E$1:E1500,1,FALSE()))),"OLD",IF(AND(E1501&lt;&gt;"",E1501&lt;&gt;"!!!"),"NEW","")))</f>
        <v>OLD</v>
      </c>
      <c r="G1501" s="22" t="s">
        <v>1823</v>
      </c>
      <c r="H1501" s="23" t="str">
        <f t="shared" ca="1" si="171"/>
        <v/>
      </c>
      <c r="I1501" s="24" t="str">
        <f>IF(OR(E1501="",E1501="!!!",F1501="NEW"),"",INDEX(B$2:B1500,-1+SUMPRODUCT(MAX(ROW(E$2:E1500)*(E1501=E$2:E1500)))))</f>
        <v>other</v>
      </c>
      <c r="J1501" s="24">
        <f ca="1">IF(OR(E1501="",E1501="!!!",F1501="NEW"),"",COUNTBLANK(OFFSET(A$1,,,SUMPRODUCT(MAX(ROW(E$2:E1501)*(E1501=E$2:E1501)))))-COUNTBLANK(OFFSET(A$1,,,SUMPRODUCT(MAX(ROW(E$1:E1500)*(E2=E$1:E1500))))))</f>
        <v>0</v>
      </c>
      <c r="K1501" s="24">
        <f ca="1">IF(OR(E1501="",E1501="!!!",F1501="NEW"),"",INDEX(J$1:J1500,SUMPRODUCT(MAX(ROW(E$1:E1500)*(E1501=E$1:E1500)))))</f>
        <v>0</v>
      </c>
      <c r="L1501" s="25"/>
    </row>
    <row r="1502" spans="1:12" x14ac:dyDescent="0.2">
      <c r="A1502" t="s">
        <v>1329</v>
      </c>
      <c r="E1502" s="20" t="str">
        <f t="shared" si="170"/>
        <v/>
      </c>
      <c r="F1502" s="21" t="str">
        <f>IF(OR(E1502="",E1502="!!!"),"",IF(NOT(ISNA(VLOOKUP(E1502,E$1:E1501,1,FALSE()))),"OLD",IF(AND(E1502&lt;&gt;"",E1502&lt;&gt;"!!!"),"NEW","")))</f>
        <v/>
      </c>
      <c r="G1502" s="22" t="str">
        <f>IF(OR(E1502="",E1502="!!!"),"",IF(OR(J1502=0,AND(J1502=1,K1502=1),AND(J1502=1,I1502="SBJ"),AND(J1502=1,I1502=0)),"?IN_FOCUS",IF(J1502&lt;=2,"?ACTIVATED",IF(J1502&lt;&gt;"","?FAMILIAR",IF(F1502="NEW",IF(ISNA(VLOOKUP(E1502,#REF!,1,FALSE())),"?TYPE_IDENTIFIABLE","?REFERENTIAL"),"_")))))</f>
        <v/>
      </c>
      <c r="H1502" s="23" t="str">
        <f t="shared" ca="1" si="171"/>
        <v/>
      </c>
      <c r="I1502" s="24" t="str">
        <f>IF(OR(E1502="",E1502="!!!",F1502="NEW"),"",INDEX(B$2:B1501,-1+SUMPRODUCT(MAX(ROW(E$2:E1501)*(E1502=E$2:E1501)))))</f>
        <v/>
      </c>
      <c r="J1502" s="24" t="str">
        <f ca="1">IF(OR(E1502="",E1502="!!!",F1502="NEW"),"",COUNTBLANK(OFFSET(A$1,,,SUMPRODUCT(MAX(ROW(E$2:E1502)*(E1502=E$2:E1502)))))-COUNTBLANK(OFFSET(A$1,,,SUMPRODUCT(MAX(ROW(E$1:E1501)*(E2=E$1:E1501))))))</f>
        <v/>
      </c>
      <c r="K1502" s="24" t="str">
        <f>IF(OR(E1502="",E1502="!!!",F1502="NEW"),"",INDEX(J$1:J1501,SUMPRODUCT(MAX(ROW(E$1:E1501)*(E1502=E$1:E1501)))))</f>
        <v/>
      </c>
      <c r="L1502" s="25"/>
    </row>
    <row r="1503" spans="1:12" x14ac:dyDescent="0.2">
      <c r="A1503" t="s">
        <v>809</v>
      </c>
      <c r="E1503" s="20" t="str">
        <f t="shared" si="170"/>
        <v/>
      </c>
      <c r="F1503" s="21" t="str">
        <f>IF(OR(E1503="",E1503="!!!"),"",IF(NOT(ISNA(VLOOKUP(E1503,E$1:E1502,1,FALSE()))),"OLD",IF(AND(E1503&lt;&gt;"",E1503&lt;&gt;"!!!"),"NEW","")))</f>
        <v/>
      </c>
      <c r="G1503" s="22" t="str">
        <f>IF(OR(E1503="",E1503="!!!"),"",IF(OR(J1503=0,AND(J1503=1,K1503=1),AND(J1503=1,I1503="SBJ"),AND(J1503=1,I1503=0)),"?IN_FOCUS",IF(J1503&lt;=2,"?ACTIVATED",IF(J1503&lt;&gt;"","?FAMILIAR",IF(F1503="NEW",IF(ISNA(VLOOKUP(E1503,#REF!,1,FALSE())),"?TYPE_IDENTIFIABLE","?REFERENTIAL"),"_")))))</f>
        <v/>
      </c>
      <c r="H1503" s="23" t="str">
        <f t="shared" ca="1" si="171"/>
        <v/>
      </c>
      <c r="I1503" s="24" t="str">
        <f>IF(OR(E1503="",E1503="!!!",F1503="NEW"),"",INDEX(B$2:B1502,-1+SUMPRODUCT(MAX(ROW(E$2:E1502)*(E1503=E$2:E1502)))))</f>
        <v/>
      </c>
      <c r="J1503" s="24" t="str">
        <f ca="1">IF(OR(E1503="",E1503="!!!",F1503="NEW"),"",COUNTBLANK(OFFSET(A$1,,,SUMPRODUCT(MAX(ROW(E$2:E1503)*(E1503=E$2:E1503)))))-COUNTBLANK(OFFSET(A$1,,,SUMPRODUCT(MAX(ROW(E$1:E1502)*(E2=E$1:E1502))))))</f>
        <v/>
      </c>
      <c r="K1503" s="24" t="str">
        <f>IF(OR(E1503="",E1503="!!!",F1503="NEW"),"",INDEX(J$1:J1502,SUMPRODUCT(MAX(ROW(E$1:E1502)*(E1503=E$1:E1502)))))</f>
        <v/>
      </c>
      <c r="L1503" s="25"/>
    </row>
    <row r="1504" spans="1:12" x14ac:dyDescent="0.2">
      <c r="A1504" t="s">
        <v>1330</v>
      </c>
      <c r="E1504" s="20" t="str">
        <f t="shared" si="170"/>
        <v/>
      </c>
      <c r="F1504" s="21" t="str">
        <f>IF(OR(E1504="",E1504="!!!"),"",IF(NOT(ISNA(VLOOKUP(E1504,E$1:E1503,1,FALSE()))),"OLD",IF(AND(E1504&lt;&gt;"",E1504&lt;&gt;"!!!"),"NEW","")))</f>
        <v/>
      </c>
      <c r="G1504" s="22" t="str">
        <f>IF(OR(E1504="",E1504="!!!"),"",IF(OR(J1504=0,AND(J1504=1,K1504=1),AND(J1504=1,I1504="SBJ"),AND(J1504=1,I1504=0)),"?IN_FOCUS",IF(J1504&lt;=2,"?ACTIVATED",IF(J1504&lt;&gt;"","?FAMILIAR",IF(F1504="NEW",IF(ISNA(VLOOKUP(E1504,#REF!,1,FALSE())),"?TYPE_IDENTIFIABLE","?REFERENTIAL"),"_")))))</f>
        <v/>
      </c>
      <c r="H1504" s="23" t="str">
        <f t="shared" ca="1" si="171"/>
        <v/>
      </c>
      <c r="I1504" s="24" t="str">
        <f>IF(OR(E1504="",E1504="!!!",F1504="NEW"),"",INDEX(B$2:B1503,-1+SUMPRODUCT(MAX(ROW(E$2:E1503)*(E1504=E$2:E1503)))))</f>
        <v/>
      </c>
      <c r="J1504" s="24" t="str">
        <f ca="1">IF(OR(E1504="",E1504="!!!",F1504="NEW"),"",COUNTBLANK(OFFSET(A$1,,,SUMPRODUCT(MAX(ROW(E$2:E1504)*(E1504=E$2:E1504)))))-COUNTBLANK(OFFSET(A$1,,,SUMPRODUCT(MAX(ROW(E$1:E1503)*(E2=E$1:E1503))))))</f>
        <v/>
      </c>
      <c r="K1504" s="24" t="str">
        <f>IF(OR(E1504="",E1504="!!!",F1504="NEW"),"",INDEX(J$1:J1503,SUMPRODUCT(MAX(ROW(E$1:E1503)*(E1504=E$1:E1503)))))</f>
        <v/>
      </c>
      <c r="L1504" s="25"/>
    </row>
    <row r="1505" spans="1:12" x14ac:dyDescent="0.2">
      <c r="A1505" t="s">
        <v>1331</v>
      </c>
      <c r="B1505" s="26" t="s">
        <v>938</v>
      </c>
      <c r="C1505" s="26" t="s">
        <v>811</v>
      </c>
      <c r="E1505" s="20" t="str">
        <f t="shared" si="170"/>
        <v/>
      </c>
      <c r="F1505" s="21" t="str">
        <f>IF(OR(E1505="",E1505="!!!"),"",IF(NOT(ISNA(VLOOKUP(E1505,E$1:E1504,1,FALSE()))),"OLD",IF(AND(E1505&lt;&gt;"",E1505&lt;&gt;"!!!"),"NEW","")))</f>
        <v/>
      </c>
      <c r="G1505" s="22" t="str">
        <f>IF(OR(E1505="",E1505="!!!"),"",IF(OR(J1505=0,AND(J1505=1,K1505=1),AND(J1505=1,I1505="SBJ"),AND(J1505=1,I1505=0)),"?IN_FOCUS",IF(J1505&lt;=2,"?ACTIVATED",IF(J1505&lt;&gt;"","?FAMILIAR",IF(F1505="NEW",IF(ISNA(VLOOKUP(E1505,#REF!,1,FALSE())),"?TYPE_IDENTIFIABLE","?REFERENTIAL"),"_")))))</f>
        <v/>
      </c>
      <c r="H1505" s="23" t="str">
        <f t="shared" ca="1" si="171"/>
        <v/>
      </c>
      <c r="I1505" s="24" t="str">
        <f>IF(OR(E1505="",E1505="!!!",F1505="NEW"),"",INDEX(B$2:B1504,-1+SUMPRODUCT(MAX(ROW(E$2:E1504)*(E1505=E$2:E1504)))))</f>
        <v/>
      </c>
      <c r="J1505" s="24" t="str">
        <f ca="1">IF(OR(E1505="",E1505="!!!",F1505="NEW"),"",COUNTBLANK(OFFSET(A$1,,,SUMPRODUCT(MAX(ROW(E$2:E1505)*(E1505=E$2:E1505)))))-COUNTBLANK(OFFSET(A$1,,,SUMPRODUCT(MAX(ROW(E$1:E1504)*(E2=E$1:E1504))))))</f>
        <v/>
      </c>
      <c r="K1505" s="24" t="str">
        <f>IF(OR(E1505="",E1505="!!!",F1505="NEW"),"",INDEX(J$1:J1504,SUMPRODUCT(MAX(ROW(E$1:E1504)*(E1505=E$1:E1504)))))</f>
        <v/>
      </c>
      <c r="L1505" s="25"/>
    </row>
    <row r="1506" spans="1:12" x14ac:dyDescent="0.2">
      <c r="A1506" t="s">
        <v>1060</v>
      </c>
      <c r="B1506" s="26" t="s">
        <v>944</v>
      </c>
      <c r="E1506" s="20" t="str">
        <f t="shared" si="170"/>
        <v/>
      </c>
      <c r="F1506" s="21" t="str">
        <f>IF(OR(E1506="",E1506="!!!"),"",IF(NOT(ISNA(VLOOKUP(E1506,E$1:E1505,1,FALSE()))),"OLD",IF(AND(E1506&lt;&gt;"",E1506&lt;&gt;"!!!"),"NEW","")))</f>
        <v/>
      </c>
      <c r="G1506" s="22" t="str">
        <f>IF(OR(E1506="",E1506="!!!"),"",IF(OR(J1506=0,AND(J1506=1,K1506=1),AND(J1506=1,I1506="SBJ"),AND(J1506=1,I1506=0)),"?IN_FOCUS",IF(J1506&lt;=2,"?ACTIVATED",IF(J1506&lt;&gt;"","?FAMILIAR",IF(F1506="NEW",IF(ISNA(VLOOKUP(E1506,#REF!,1,FALSE())),"?TYPE_IDENTIFIABLE","?REFERENTIAL"),"_")))))</f>
        <v/>
      </c>
      <c r="H1506" s="23" t="str">
        <f t="shared" ca="1" si="171"/>
        <v/>
      </c>
      <c r="I1506" s="24" t="str">
        <f>IF(OR(E1506="",E1506="!!!",F1506="NEW"),"",INDEX(B$2:B1505,-1+SUMPRODUCT(MAX(ROW(E$2:E1505)*(E1506=E$2:E1505)))))</f>
        <v/>
      </c>
      <c r="J1506" s="24" t="str">
        <f ca="1">IF(OR(E1506="",E1506="!!!",F1506="NEW"),"",COUNTBLANK(OFFSET(A$1,,,SUMPRODUCT(MAX(ROW(E$2:E1506)*(E1506=E$2:E1506)))))-COUNTBLANK(OFFSET(A$1,,,SUMPRODUCT(MAX(ROW(E$1:E1505)*(E2=E$1:E1505))))))</f>
        <v/>
      </c>
      <c r="K1506" s="24" t="str">
        <f>IF(OR(E1506="",E1506="!!!",F1506="NEW"),"",INDEX(J$1:J1505,SUMPRODUCT(MAX(ROW(E$1:E1505)*(E1506=E$1:E1505)))))</f>
        <v/>
      </c>
      <c r="L1506" s="25"/>
    </row>
    <row r="1507" spans="1:12" x14ac:dyDescent="0.2">
      <c r="A1507" t="s">
        <v>1332</v>
      </c>
      <c r="E1507" s="20" t="str">
        <f t="shared" si="170"/>
        <v/>
      </c>
      <c r="F1507" s="21" t="str">
        <f>IF(OR(E1507="",E1507="!!!"),"",IF(NOT(ISNA(VLOOKUP(E1507,E$1:E1506,1,FALSE()))),"OLD",IF(AND(E1507&lt;&gt;"",E1507&lt;&gt;"!!!"),"NEW","")))</f>
        <v/>
      </c>
      <c r="G1507" s="22" t="str">
        <f>IF(OR(E1507="",E1507="!!!"),"",IF(OR(J1507=0,AND(J1507=1,K1507=1),AND(J1507=1,I1507="SBJ"),AND(J1507=1,I1507=0)),"?IN_FOCUS",IF(J1507&lt;=2,"?ACTIVATED",IF(J1507&lt;&gt;"","?FAMILIAR",IF(F1507="NEW",IF(ISNA(VLOOKUP(E1507,#REF!,1,FALSE())),"?TYPE_IDENTIFIABLE","?REFERENTIAL"),"_")))))</f>
        <v/>
      </c>
      <c r="H1507" s="23" t="str">
        <f t="shared" ca="1" si="171"/>
        <v/>
      </c>
      <c r="I1507" s="24" t="str">
        <f>IF(OR(E1507="",E1507="!!!",F1507="NEW"),"",INDEX(B$2:B1506,-1+SUMPRODUCT(MAX(ROW(E$2:E1506)*(E1507=E$2:E1506)))))</f>
        <v/>
      </c>
      <c r="J1507" s="24" t="str">
        <f ca="1">IF(OR(E1507="",E1507="!!!",F1507="NEW"),"",COUNTBLANK(OFFSET(A$1,,,SUMPRODUCT(MAX(ROW(E$2:E1507)*(E1507=E$2:E1507)))))-COUNTBLANK(OFFSET(A$1,,,SUMPRODUCT(MAX(ROW(E$1:E1506)*(E2=E$1:E1506))))))</f>
        <v/>
      </c>
      <c r="K1507" s="24" t="str">
        <f>IF(OR(E1507="",E1507="!!!",F1507="NEW"),"",INDEX(J$1:J1506,SUMPRODUCT(MAX(ROW(E$1:E1506)*(E1507=E$1:E1506)))))</f>
        <v/>
      </c>
      <c r="L1507" s="25"/>
    </row>
    <row r="1508" spans="1:12" x14ac:dyDescent="0.2">
      <c r="A1508" t="s">
        <v>1013</v>
      </c>
      <c r="B1508" s="26" t="s">
        <v>1333</v>
      </c>
      <c r="C1508" s="26" t="s">
        <v>805</v>
      </c>
      <c r="D1508" s="26" t="s">
        <v>806</v>
      </c>
      <c r="E1508" s="20" t="s">
        <v>1175</v>
      </c>
      <c r="F1508" s="21" t="str">
        <f>IF(OR(E1508="",E1508="!!!"),"",IF(NOT(ISNA(VLOOKUP(E1508,E$1:E1507,1,FALSE()))),"OLD",IF(AND(E1508&lt;&gt;"",E1508&lt;&gt;"!!!"),"NEW","")))</f>
        <v>OLD</v>
      </c>
      <c r="G1508" s="22" t="s">
        <v>1822</v>
      </c>
      <c r="H1508" s="23" t="str">
        <f t="shared" ca="1" si="171"/>
        <v/>
      </c>
      <c r="I1508" s="24" t="str">
        <f>IF(OR(E1508="",E1508="!!!",F1508="NEW"),"",INDEX(B$2:B1507,-1+SUMPRODUCT(MAX(ROW(E$2:E1507)*(E1508=E$2:E1507)))))</f>
        <v>SBJ</v>
      </c>
      <c r="J1508" s="24">
        <f ca="1">IF(OR(E1508="",E1508="!!!",F1508="NEW"),"",COUNTBLANK(OFFSET(A$1,,,SUMPRODUCT(MAX(ROW(E$2:E1508)*(E1508=E$2:E1508)))))-COUNTBLANK(OFFSET(A$1,,,SUMPRODUCT(MAX(ROW(E$1:E1507)*(E2=E$1:E1507))))))</f>
        <v>0</v>
      </c>
      <c r="K1508" s="24">
        <f ca="1">IF(OR(E1508="",E1508="!!!",F1508="NEW"),"",INDEX(J$1:J1507,SUMPRODUCT(MAX(ROW(E$1:E1507)*(E1508=E$1:E1507)))))</f>
        <v>0</v>
      </c>
      <c r="L1508" s="25"/>
    </row>
    <row r="1509" spans="1:12" x14ac:dyDescent="0.2">
      <c r="A1509" t="s">
        <v>812</v>
      </c>
      <c r="E1509" s="20" t="str">
        <f t="shared" si="170"/>
        <v/>
      </c>
      <c r="F1509" s="21" t="str">
        <f>IF(OR(E1509="",E1509="!!!"),"",IF(NOT(ISNA(VLOOKUP(E1509,E$1:E1508,1,FALSE()))),"OLD",IF(AND(E1509&lt;&gt;"",E1509&lt;&gt;"!!!"),"NEW","")))</f>
        <v/>
      </c>
      <c r="G1509" s="22" t="str">
        <f>IF(OR(E1509="",E1509="!!!"),"",IF(OR(J1509=0,AND(J1509=1,K1509=1),AND(J1509=1,I1509="SBJ"),AND(J1509=1,I1509=0)),"?IN_FOCUS",IF(J1509&lt;=2,"?ACTIVATED",IF(J1509&lt;&gt;"","?FAMILIAR",IF(F1509="NEW",IF(ISNA(VLOOKUP(E1509,#REF!,1,FALSE())),"?TYPE_IDENTIFIABLE","?REFERENTIAL"),"_")))))</f>
        <v/>
      </c>
      <c r="H1509" s="23" t="str">
        <f t="shared" ca="1" si="171"/>
        <v/>
      </c>
      <c r="I1509" s="24" t="str">
        <f>IF(OR(E1509="",E1509="!!!",F1509="NEW"),"",INDEX(B$2:B1508,-1+SUMPRODUCT(MAX(ROW(E$2:E1508)*(E1509=E$2:E1508)))))</f>
        <v/>
      </c>
      <c r="J1509" s="24" t="str">
        <f ca="1">IF(OR(E1509="",E1509="!!!",F1509="NEW"),"",COUNTBLANK(OFFSET(A$1,,,SUMPRODUCT(MAX(ROW(E$2:E1509)*(E1509=E$2:E1509)))))-COUNTBLANK(OFFSET(A$1,,,SUMPRODUCT(MAX(ROW(E$1:E1508)*(E2=E$1:E1508))))))</f>
        <v/>
      </c>
      <c r="K1509" s="24" t="str">
        <f>IF(OR(E1509="",E1509="!!!",F1509="NEW"),"",INDEX(J$1:J1508,SUMPRODUCT(MAX(ROW(E$1:E1508)*(E1509=E$1:E1508)))))</f>
        <v/>
      </c>
      <c r="L1509" s="25"/>
    </row>
    <row r="1510" spans="1:12" x14ac:dyDescent="0.2">
      <c r="A1510" t="s">
        <v>845</v>
      </c>
      <c r="E1510" s="20" t="str">
        <f t="shared" si="170"/>
        <v/>
      </c>
      <c r="F1510" s="21" t="str">
        <f>IF(OR(E1510="",E1510="!!!"),"",IF(NOT(ISNA(VLOOKUP(E1510,E$1:E1509,1,FALSE()))),"OLD",IF(AND(E1510&lt;&gt;"",E1510&lt;&gt;"!!!"),"NEW","")))</f>
        <v/>
      </c>
      <c r="G1510" s="22" t="str">
        <f>IF(OR(E1510="",E1510="!!!"),"",IF(OR(J1510=0,AND(J1510=1,K1510=1),AND(J1510=1,I1510="SBJ"),AND(J1510=1,I1510=0)),"?IN_FOCUS",IF(J1510&lt;=2,"?ACTIVATED",IF(J1510&lt;&gt;"","?FAMILIAR",IF(F1510="NEW",IF(ISNA(VLOOKUP(E1510,#REF!,1,FALSE())),"?TYPE_IDENTIFIABLE","?REFERENTIAL"),"_")))))</f>
        <v/>
      </c>
      <c r="H1510" s="23" t="str">
        <f t="shared" ca="1" si="171"/>
        <v/>
      </c>
      <c r="I1510" s="24" t="str">
        <f>IF(OR(E1510="",E1510="!!!",F1510="NEW"),"",INDEX(B$2:B1509,-1+SUMPRODUCT(MAX(ROW(E$2:E1509)*(E1510=E$2:E1509)))))</f>
        <v/>
      </c>
      <c r="J1510" s="24" t="str">
        <f ca="1">IF(OR(E1510="",E1510="!!!",F1510="NEW"),"",COUNTBLANK(OFFSET(A$1,,,SUMPRODUCT(MAX(ROW(E$2:E1510)*(E1510=E$2:E1510)))))-COUNTBLANK(OFFSET(A$1,,,SUMPRODUCT(MAX(ROW(E$1:E1509)*(E2=E$1:E1509))))))</f>
        <v/>
      </c>
      <c r="K1510" s="24" t="str">
        <f>IF(OR(E1510="",E1510="!!!",F1510="NEW"),"",INDEX(J$1:J1509,SUMPRODUCT(MAX(ROW(E$1:E1509)*(E1510=E$1:E1509)))))</f>
        <v/>
      </c>
      <c r="L1510" s="25"/>
    </row>
    <row r="1511" spans="1:12" x14ac:dyDescent="0.2">
      <c r="A1511" t="s">
        <v>1334</v>
      </c>
      <c r="E1511" s="20" t="str">
        <f t="shared" si="170"/>
        <v/>
      </c>
      <c r="F1511" s="21" t="str">
        <f>IF(OR(E1511="",E1511="!!!"),"",IF(NOT(ISNA(VLOOKUP(E1511,E$1:E1510,1,FALSE()))),"OLD",IF(AND(E1511&lt;&gt;"",E1511&lt;&gt;"!!!"),"NEW","")))</f>
        <v/>
      </c>
      <c r="G1511" s="22" t="str">
        <f>IF(OR(E1511="",E1511="!!!"),"",IF(OR(J1511=0,AND(J1511=1,K1511=1),AND(J1511=1,I1511="SBJ"),AND(J1511=1,I1511=0)),"?IN_FOCUS",IF(J1511&lt;=2,"?ACTIVATED",IF(J1511&lt;&gt;"","?FAMILIAR",IF(F1511="NEW",IF(ISNA(VLOOKUP(E1511,#REF!,1,FALSE())),"?TYPE_IDENTIFIABLE","?REFERENTIAL"),"_")))))</f>
        <v/>
      </c>
      <c r="H1511" s="23" t="str">
        <f t="shared" ca="1" si="171"/>
        <v/>
      </c>
      <c r="I1511" s="24" t="str">
        <f>IF(OR(E1511="",E1511="!!!",F1511="NEW"),"",INDEX(B$2:B1510,-1+SUMPRODUCT(MAX(ROW(E$2:E1510)*(E1511=E$2:E1510)))))</f>
        <v/>
      </c>
      <c r="J1511" s="24" t="str">
        <f ca="1">IF(OR(E1511="",E1511="!!!",F1511="NEW"),"",COUNTBLANK(OFFSET(A$1,,,SUMPRODUCT(MAX(ROW(E$2:E1511)*(E1511=E$2:E1511)))))-COUNTBLANK(OFFSET(A$1,,,SUMPRODUCT(MAX(ROW(E$1:E1510)*(E2=E$1:E1510))))))</f>
        <v/>
      </c>
      <c r="K1511" s="24" t="str">
        <f>IF(OR(E1511="",E1511="!!!",F1511="NEW"),"",INDEX(J$1:J1510,SUMPRODUCT(MAX(ROW(E$1:E1510)*(E1511=E$1:E1510)))))</f>
        <v/>
      </c>
      <c r="L1511" s="25"/>
    </row>
    <row r="1512" spans="1:12" x14ac:dyDescent="0.2">
      <c r="A1512" t="s">
        <v>1335</v>
      </c>
      <c r="B1512" s="26" t="s">
        <v>897</v>
      </c>
      <c r="C1512" s="26" t="s">
        <v>854</v>
      </c>
      <c r="D1512" s="26" t="s">
        <v>806</v>
      </c>
      <c r="E1512" s="20" t="s">
        <v>1784</v>
      </c>
      <c r="F1512" s="21" t="str">
        <f>IF(OR(E1512="",E1512="!!!"),"",IF(NOT(ISNA(VLOOKUP(E1512,E$1:E1511,1,FALSE()))),"OLD",IF(AND(E1512&lt;&gt;"",E1512&lt;&gt;"!!!"),"NEW","")))</f>
        <v>NEW</v>
      </c>
      <c r="G1512" s="22" t="s">
        <v>1820</v>
      </c>
      <c r="H1512" s="23" t="str">
        <f t="shared" ca="1" si="171"/>
        <v/>
      </c>
      <c r="I1512" s="24" t="str">
        <f>IF(OR(E1512="",E1512="!!!",F1512="NEW"),"",INDEX(B$2:B1511,-1+SUMPRODUCT(MAX(ROW(E$2:E1511)*(E1512=E$2:E1511)))))</f>
        <v/>
      </c>
      <c r="J1512" s="24" t="str">
        <f ca="1">IF(OR(E1512="",E1512="!!!",F1512="NEW"),"",COUNTBLANK(OFFSET(A$1,,,SUMPRODUCT(MAX(ROW(E$2:E1512)*(E1512=E$2:E1512)))))-COUNTBLANK(OFFSET(A$1,,,SUMPRODUCT(MAX(ROW(E$1:E1511)*(E2=E$1:E1511))))))</f>
        <v/>
      </c>
      <c r="K1512" s="24" t="str">
        <f>IF(OR(E1512="",E1512="!!!",F1512="NEW"),"",INDEX(J$1:J1511,SUMPRODUCT(MAX(ROW(E$1:E1511)*(E1512=E$1:E1511)))))</f>
        <v/>
      </c>
      <c r="L1512" s="25"/>
    </row>
    <row r="1513" spans="1:12" x14ac:dyDescent="0.2">
      <c r="A1513" t="s">
        <v>821</v>
      </c>
      <c r="E1513" s="20" t="str">
        <f t="shared" si="170"/>
        <v/>
      </c>
      <c r="F1513" s="21" t="str">
        <f>IF(OR(E1513="",E1513="!!!"),"",IF(NOT(ISNA(VLOOKUP(E1513,E$1:E1512,1,FALSE()))),"OLD",IF(AND(E1513&lt;&gt;"",E1513&lt;&gt;"!!!"),"NEW","")))</f>
        <v/>
      </c>
      <c r="G1513" s="22" t="str">
        <f>IF(OR(E1513="",E1513="!!!"),"",IF(OR(J1513=0,AND(J1513=1,K1513=1),AND(J1513=1,I1513="SBJ"),AND(J1513=1,I1513=0)),"?IN_FOCUS",IF(J1513&lt;=2,"?ACTIVATED",IF(J1513&lt;&gt;"","?FAMILIAR",IF(F1513="NEW",IF(ISNA(VLOOKUP(E1513,#REF!,1,FALSE())),"?TYPE_IDENTIFIABLE","?REFERENTIAL"),"_")))))</f>
        <v/>
      </c>
      <c r="H1513" s="23" t="str">
        <f t="shared" ca="1" si="171"/>
        <v/>
      </c>
      <c r="I1513" s="24" t="str">
        <f>IF(OR(E1513="",E1513="!!!",F1513="NEW"),"",INDEX(B$2:B1512,-1+SUMPRODUCT(MAX(ROW(E$2:E1512)*(E1513=E$2:E1512)))))</f>
        <v/>
      </c>
      <c r="J1513" s="24" t="str">
        <f ca="1">IF(OR(E1513="",E1513="!!!",F1513="NEW"),"",COUNTBLANK(OFFSET(A$1,,,SUMPRODUCT(MAX(ROW(E$2:E1513)*(E1513=E$2:E1513)))))-COUNTBLANK(OFFSET(A$1,,,SUMPRODUCT(MAX(ROW(E$1:E1512)*(E2=E$1:E1512))))))</f>
        <v/>
      </c>
      <c r="K1513" s="24" t="str">
        <f>IF(OR(E1513="",E1513="!!!",F1513="NEW"),"",INDEX(J$1:J1512,SUMPRODUCT(MAX(ROW(E$1:E1512)*(E1513=E$1:E1512)))))</f>
        <v/>
      </c>
      <c r="L1513" s="25"/>
    </row>
    <row r="1515" spans="1:12" x14ac:dyDescent="0.2">
      <c r="A1515" t="s">
        <v>1336</v>
      </c>
    </row>
    <row r="1516" spans="1:12" x14ac:dyDescent="0.2">
      <c r="A1516" t="s">
        <v>837</v>
      </c>
      <c r="B1516" s="26" t="s">
        <v>804</v>
      </c>
      <c r="C1516" s="26" t="s">
        <v>805</v>
      </c>
      <c r="D1516" s="26" t="s">
        <v>806</v>
      </c>
      <c r="E1516" s="20"/>
      <c r="F1516" s="21" t="s">
        <v>1785</v>
      </c>
      <c r="G1516" s="22" t="str">
        <f>IF(OR(E1516="",E1516="!!!"),"",IF(OR(J1516=0,AND(J1516=1,K1516=1),AND(J1516=1,I1516="SBJ"),AND(J1516=1,I1516=0)),"?IN_FOCUS",IF(J1516&lt;=2,"?ACTIVATED",IF(J1516&lt;&gt;"","?FAMILIAR",IF(F1516="NEW",IF(ISNA(VLOOKUP(E1516,#REF!,1,FALSE())),"?TYPE_IDENTIFIABLE","?REFERENTIAL"),"_")))))</f>
        <v/>
      </c>
      <c r="H1516" s="23" t="str">
        <f t="shared" ref="H1516:H1535" ca="1" si="172">IF(J1516&lt;&gt;1,"",IF(I1516="SBJ","CB","?"))</f>
        <v/>
      </c>
      <c r="I1516" s="24" t="str">
        <f>IF(OR(E1516="",E1516="!!!",F1516="NEW"),"",INDEX(B$2:B1515,-1+SUMPRODUCT(MAX(ROW(E$2:E1515)*(E1516=E$2:E1515)))))</f>
        <v/>
      </c>
      <c r="J1516" s="24" t="str">
        <f ca="1">IF(OR(E1516="",E1516="!!!",F1516="NEW"),"",COUNTBLANK(OFFSET(A$1,,,SUMPRODUCT(MAX(ROW(E$2:E1516)*(E1516=E$2:E1516)))))-COUNTBLANK(OFFSET(A$1,,,SUMPRODUCT(MAX(ROW(E$1:E1515)*(E2=E$1:E1515))))))</f>
        <v/>
      </c>
      <c r="K1516" s="24" t="str">
        <f>IF(OR(E1516="",E1516="!!!",F1516="NEW"),"",INDEX(J$1:J1515,SUMPRODUCT(MAX(ROW(E$1:E1515)*(E1516=E$1:E1515)))))</f>
        <v/>
      </c>
      <c r="L1516" s="25"/>
    </row>
    <row r="1517" spans="1:12" x14ac:dyDescent="0.2">
      <c r="A1517" t="s">
        <v>1337</v>
      </c>
      <c r="E1517" s="20" t="str">
        <f t="shared" ref="E1517:E1535" si="173">IF(D1517="?OLD","!!!","")</f>
        <v/>
      </c>
      <c r="F1517" s="21" t="str">
        <f>IF(OR(E1517="",E1517="!!!"),"",IF(NOT(ISNA(VLOOKUP(E1517,E$1:E1516,1,FALSE()))),"OLD",IF(AND(E1517&lt;&gt;"",E1517&lt;&gt;"!!!"),"NEW","")))</f>
        <v/>
      </c>
      <c r="G1517" s="22" t="str">
        <f>IF(OR(E1517="",E1517="!!!"),"",IF(OR(J1517=0,AND(J1517=1,K1517=1),AND(J1517=1,I1517="SBJ"),AND(J1517=1,I1517=0)),"?IN_FOCUS",IF(J1517&lt;=2,"?ACTIVATED",IF(J1517&lt;&gt;"","?FAMILIAR",IF(F1517="NEW",IF(ISNA(VLOOKUP(E1517,#REF!,1,FALSE())),"?TYPE_IDENTIFIABLE","?REFERENTIAL"),"_")))))</f>
        <v/>
      </c>
      <c r="H1517" s="23" t="str">
        <f t="shared" ca="1" si="172"/>
        <v/>
      </c>
      <c r="I1517" s="24" t="str">
        <f>IF(OR(E1517="",E1517="!!!",F1517="NEW"),"",INDEX(B$2:B1516,-1+SUMPRODUCT(MAX(ROW(E$2:E1516)*(E1517=E$2:E1516)))))</f>
        <v/>
      </c>
      <c r="J1517" s="24" t="str">
        <f ca="1">IF(OR(E1517="",E1517="!!!",F1517="NEW"),"",COUNTBLANK(OFFSET(A$1,,,SUMPRODUCT(MAX(ROW(E$2:E1517)*(E1517=E$2:E1517)))))-COUNTBLANK(OFFSET(A$1,,,SUMPRODUCT(MAX(ROW(E$1:E1516)*(E2=E$1:E1516))))))</f>
        <v/>
      </c>
      <c r="K1517" s="24" t="str">
        <f>IF(OR(E1517="",E1517="!!!",F1517="NEW"),"",INDEX(J$1:J1516,SUMPRODUCT(MAX(ROW(E$1:E1516)*(E1517=E$1:E1516)))))</f>
        <v/>
      </c>
      <c r="L1517" s="25"/>
    </row>
    <row r="1518" spans="1:12" x14ac:dyDescent="0.2">
      <c r="A1518" t="s">
        <v>1021</v>
      </c>
      <c r="E1518" s="20" t="str">
        <f t="shared" si="173"/>
        <v/>
      </c>
      <c r="F1518" s="21" t="str">
        <f>IF(OR(E1518="",E1518="!!!"),"",IF(NOT(ISNA(VLOOKUP(E1518,E$1:E1517,1,FALSE()))),"OLD",IF(AND(E1518&lt;&gt;"",E1518&lt;&gt;"!!!"),"NEW","")))</f>
        <v/>
      </c>
      <c r="G1518" s="22" t="str">
        <f>IF(OR(E1518="",E1518="!!!"),"",IF(OR(J1518=0,AND(J1518=1,K1518=1),AND(J1518=1,I1518="SBJ"),AND(J1518=1,I1518=0)),"?IN_FOCUS",IF(J1518&lt;=2,"?ACTIVATED",IF(J1518&lt;&gt;"","?FAMILIAR",IF(F1518="NEW",IF(ISNA(VLOOKUP(E1518,#REF!,1,FALSE())),"?TYPE_IDENTIFIABLE","?REFERENTIAL"),"_")))))</f>
        <v/>
      </c>
      <c r="H1518" s="23" t="str">
        <f t="shared" ca="1" si="172"/>
        <v/>
      </c>
      <c r="I1518" s="24" t="str">
        <f>IF(OR(E1518="",E1518="!!!",F1518="NEW"),"",INDEX(B$2:B1517,-1+SUMPRODUCT(MAX(ROW(E$2:E1517)*(E1518=E$2:E1517)))))</f>
        <v/>
      </c>
      <c r="J1518" s="24" t="str">
        <f ca="1">IF(OR(E1518="",E1518="!!!",F1518="NEW"),"",COUNTBLANK(OFFSET(A$1,,,SUMPRODUCT(MAX(ROW(E$2:E1518)*(E1518=E$2:E1518)))))-COUNTBLANK(OFFSET(A$1,,,SUMPRODUCT(MAX(ROW(E$1:E1517)*(E2=E$1:E1517))))))</f>
        <v/>
      </c>
      <c r="K1518" s="24" t="str">
        <f>IF(OR(E1518="",E1518="!!!",F1518="NEW"),"",INDEX(J$1:J1517,SUMPRODUCT(MAX(ROW(E$1:E1517)*(E1518=E$1:E1517)))))</f>
        <v/>
      </c>
      <c r="L1518" s="25"/>
    </row>
    <row r="1519" spans="1:12" x14ac:dyDescent="0.2">
      <c r="A1519" t="s">
        <v>802</v>
      </c>
      <c r="E1519" s="20" t="str">
        <f t="shared" si="173"/>
        <v/>
      </c>
      <c r="F1519" s="21" t="str">
        <f>IF(OR(E1519="",E1519="!!!"),"",IF(NOT(ISNA(VLOOKUP(E1519,E$1:E1518,1,FALSE()))),"OLD",IF(AND(E1519&lt;&gt;"",E1519&lt;&gt;"!!!"),"NEW","")))</f>
        <v/>
      </c>
      <c r="G1519" s="22" t="str">
        <f>IF(OR(E1519="",E1519="!!!"),"",IF(OR(J1519=0,AND(J1519=1,K1519=1),AND(J1519=1,I1519="SBJ"),AND(J1519=1,I1519=0)),"?IN_FOCUS",IF(J1519&lt;=2,"?ACTIVATED",IF(J1519&lt;&gt;"","?FAMILIAR",IF(F1519="NEW",IF(ISNA(VLOOKUP(E1519,#REF!,1,FALSE())),"?TYPE_IDENTIFIABLE","?REFERENTIAL"),"_")))))</f>
        <v/>
      </c>
      <c r="H1519" s="23" t="str">
        <f t="shared" ca="1" si="172"/>
        <v/>
      </c>
      <c r="I1519" s="24" t="str">
        <f>IF(OR(E1519="",E1519="!!!",F1519="NEW"),"",INDEX(B$2:B1518,-1+SUMPRODUCT(MAX(ROW(E$2:E1518)*(E1519=E$2:E1518)))))</f>
        <v/>
      </c>
      <c r="J1519" s="24" t="str">
        <f ca="1">IF(OR(E1519="",E1519="!!!",F1519="NEW"),"",COUNTBLANK(OFFSET(A$1,,,SUMPRODUCT(MAX(ROW(E$2:E1519)*(E1519=E$2:E1519)))))-COUNTBLANK(OFFSET(A$1,,,SUMPRODUCT(MAX(ROW(E$1:E1518)*(E2=E$1:E1518))))))</f>
        <v/>
      </c>
      <c r="K1519" s="24" t="str">
        <f>IF(OR(E1519="",E1519="!!!",F1519="NEW"),"",INDEX(J$1:J1518,SUMPRODUCT(MAX(ROW(E$1:E1518)*(E1519=E$1:E1518)))))</f>
        <v/>
      </c>
      <c r="L1519" s="25"/>
    </row>
    <row r="1520" spans="1:12" x14ac:dyDescent="0.2">
      <c r="A1520" t="s">
        <v>1191</v>
      </c>
      <c r="B1520" s="26" t="s">
        <v>950</v>
      </c>
      <c r="C1520" s="26" t="s">
        <v>854</v>
      </c>
      <c r="D1520" s="26" t="s">
        <v>806</v>
      </c>
      <c r="E1520" s="20" t="s">
        <v>1175</v>
      </c>
      <c r="F1520" s="21" t="str">
        <f>IF(OR(E1520="",E1520="!!!"),"",IF(NOT(ISNA(VLOOKUP(E1520,E$1:E1519,1,FALSE()))),"OLD",IF(AND(E1520&lt;&gt;"",E1520&lt;&gt;"!!!"),"NEW","")))</f>
        <v>OLD</v>
      </c>
      <c r="G1520" s="22" t="s">
        <v>1823</v>
      </c>
      <c r="H1520" s="23" t="str">
        <f t="shared" ca="1" si="172"/>
        <v/>
      </c>
      <c r="I1520" s="24" t="str">
        <f>IF(OR(E1520="",E1520="!!!",F1520="NEW"),"",INDEX(B$2:B1519,-1+SUMPRODUCT(MAX(ROW(E$2:E1519)*(E1520=E$2:E1519)))))</f>
        <v>OBJ_4</v>
      </c>
      <c r="J1520" s="24">
        <f ca="1">IF(OR(E1520="",E1520="!!!",F1520="NEW"),"",COUNTBLANK(OFFSET(A$1,,,SUMPRODUCT(MAX(ROW(E$2:E1520)*(E1520=E$2:E1520)))))-COUNTBLANK(OFFSET(A$1,,,SUMPRODUCT(MAX(ROW(E$1:E1519)*(E2=E$1:E1519))))))</f>
        <v>0</v>
      </c>
      <c r="K1520" s="24">
        <f ca="1">IF(OR(E1520="",E1520="!!!",F1520="NEW"),"",INDEX(J$1:J1519,SUMPRODUCT(MAX(ROW(E$1:E1519)*(E1520=E$1:E1519)))))</f>
        <v>0</v>
      </c>
      <c r="L1520" s="25"/>
    </row>
    <row r="1521" spans="1:12" x14ac:dyDescent="0.2">
      <c r="A1521" t="s">
        <v>1338</v>
      </c>
      <c r="E1521" s="20" t="str">
        <f t="shared" si="173"/>
        <v/>
      </c>
      <c r="F1521" s="21" t="str">
        <f>IF(OR(E1521="",E1521="!!!"),"",IF(NOT(ISNA(VLOOKUP(E1521,E$1:E1520,1,FALSE()))),"OLD",IF(AND(E1521&lt;&gt;"",E1521&lt;&gt;"!!!"),"NEW","")))</f>
        <v/>
      </c>
      <c r="G1521" s="22" t="str">
        <f>IF(OR(E1521="",E1521="!!!"),"",IF(OR(J1521=0,AND(J1521=1,K1521=1),AND(J1521=1,I1521="SBJ"),AND(J1521=1,I1521=0)),"?IN_FOCUS",IF(J1521&lt;=2,"?ACTIVATED",IF(J1521&lt;&gt;"","?FAMILIAR",IF(F1521="NEW",IF(ISNA(VLOOKUP(E1521,#REF!,1,FALSE())),"?TYPE_IDENTIFIABLE","?REFERENTIAL"),"_")))))</f>
        <v/>
      </c>
      <c r="H1521" s="23" t="str">
        <f t="shared" ca="1" si="172"/>
        <v/>
      </c>
      <c r="I1521" s="24" t="str">
        <f>IF(OR(E1521="",E1521="!!!",F1521="NEW"),"",INDEX(B$2:B1520,-1+SUMPRODUCT(MAX(ROW(E$2:E1520)*(E1521=E$2:E1520)))))</f>
        <v/>
      </c>
      <c r="J1521" s="24" t="str">
        <f ca="1">IF(OR(E1521="",E1521="!!!",F1521="NEW"),"",COUNTBLANK(OFFSET(A$1,,,SUMPRODUCT(MAX(ROW(E$2:E1521)*(E1521=E$2:E1521)))))-COUNTBLANK(OFFSET(A$1,,,SUMPRODUCT(MAX(ROW(E$1:E1520)*(E2=E$1:E1520))))))</f>
        <v/>
      </c>
      <c r="K1521" s="24" t="str">
        <f>IF(OR(E1521="",E1521="!!!",F1521="NEW"),"",INDEX(J$1:J1520,SUMPRODUCT(MAX(ROW(E$1:E1520)*(E1521=E$1:E1520)))))</f>
        <v/>
      </c>
      <c r="L1521" s="25"/>
    </row>
    <row r="1522" spans="1:12" x14ac:dyDescent="0.2">
      <c r="A1522" t="s">
        <v>845</v>
      </c>
      <c r="E1522" s="20" t="str">
        <f t="shared" si="173"/>
        <v/>
      </c>
      <c r="F1522" s="21" t="str">
        <f>IF(OR(E1522="",E1522="!!!"),"",IF(NOT(ISNA(VLOOKUP(E1522,E$1:E1521,1,FALSE()))),"OLD",IF(AND(E1522&lt;&gt;"",E1522&lt;&gt;"!!!"),"NEW","")))</f>
        <v/>
      </c>
      <c r="G1522" s="22" t="str">
        <f>IF(OR(E1522="",E1522="!!!"),"",IF(OR(J1522=0,AND(J1522=1,K1522=1),AND(J1522=1,I1522="SBJ"),AND(J1522=1,I1522=0)),"?IN_FOCUS",IF(J1522&lt;=2,"?ACTIVATED",IF(J1522&lt;&gt;"","?FAMILIAR",IF(F1522="NEW",IF(ISNA(VLOOKUP(E1522,#REF!,1,FALSE())),"?TYPE_IDENTIFIABLE","?REFERENTIAL"),"_")))))</f>
        <v/>
      </c>
      <c r="H1522" s="23" t="str">
        <f t="shared" ca="1" si="172"/>
        <v/>
      </c>
      <c r="I1522" s="24" t="str">
        <f>IF(OR(E1522="",E1522="!!!",F1522="NEW"),"",INDEX(B$2:B1521,-1+SUMPRODUCT(MAX(ROW(E$2:E1521)*(E1522=E$2:E1521)))))</f>
        <v/>
      </c>
      <c r="J1522" s="24" t="str">
        <f ca="1">IF(OR(E1522="",E1522="!!!",F1522="NEW"),"",COUNTBLANK(OFFSET(A$1,,,SUMPRODUCT(MAX(ROW(E$2:E1522)*(E1522=E$2:E1522)))))-COUNTBLANK(OFFSET(A$1,,,SUMPRODUCT(MAX(ROW(E$1:E1521)*(E2=E$1:E1521))))))</f>
        <v/>
      </c>
      <c r="K1522" s="24" t="str">
        <f>IF(OR(E1522="",E1522="!!!",F1522="NEW"),"",INDEX(J$1:J1521,SUMPRODUCT(MAX(ROW(E$1:E1521)*(E1522=E$1:E1521)))))</f>
        <v/>
      </c>
      <c r="L1522" s="25"/>
    </row>
    <row r="1523" spans="1:12" x14ac:dyDescent="0.2">
      <c r="A1523" t="s">
        <v>745</v>
      </c>
      <c r="E1523" s="20" t="str">
        <f t="shared" si="173"/>
        <v/>
      </c>
      <c r="F1523" s="21" t="str">
        <f>IF(OR(E1523="",E1523="!!!"),"",IF(NOT(ISNA(VLOOKUP(E1523,E$1:E1522,1,FALSE()))),"OLD",IF(AND(E1523&lt;&gt;"",E1523&lt;&gt;"!!!"),"NEW","")))</f>
        <v/>
      </c>
      <c r="G1523" s="22" t="str">
        <f>IF(OR(E1523="",E1523="!!!"),"",IF(OR(J1523=0,AND(J1523=1,K1523=1),AND(J1523=1,I1523="SBJ"),AND(J1523=1,I1523=0)),"?IN_FOCUS",IF(J1523&lt;=2,"?ACTIVATED",IF(J1523&lt;&gt;"","?FAMILIAR",IF(F1523="NEW",IF(ISNA(VLOOKUP(E1523,#REF!,1,FALSE())),"?TYPE_IDENTIFIABLE","?REFERENTIAL"),"_")))))</f>
        <v/>
      </c>
      <c r="H1523" s="23" t="str">
        <f t="shared" ca="1" si="172"/>
        <v/>
      </c>
      <c r="I1523" s="24" t="str">
        <f>IF(OR(E1523="",E1523="!!!",F1523="NEW"),"",INDEX(B$2:B1522,-1+SUMPRODUCT(MAX(ROW(E$2:E1522)*(E1523=E$2:E1522)))))</f>
        <v/>
      </c>
      <c r="J1523" s="24" t="str">
        <f ca="1">IF(OR(E1523="",E1523="!!!",F1523="NEW"),"",COUNTBLANK(OFFSET(A$1,,,SUMPRODUCT(MAX(ROW(E$2:E1523)*(E1523=E$2:E1523)))))-COUNTBLANK(OFFSET(A$1,,,SUMPRODUCT(MAX(ROW(E$1:E1522)*(E2=E$1:E1522))))))</f>
        <v/>
      </c>
      <c r="K1523" s="24" t="str">
        <f>IF(OR(E1523="",E1523="!!!",F1523="NEW"),"",INDEX(J$1:J1522,SUMPRODUCT(MAX(ROW(E$1:E1522)*(E1523=E$1:E1522)))))</f>
        <v/>
      </c>
      <c r="L1523" s="25"/>
    </row>
    <row r="1524" spans="1:12" x14ac:dyDescent="0.2">
      <c r="A1524" t="s">
        <v>965</v>
      </c>
      <c r="B1524" s="26" t="s">
        <v>938</v>
      </c>
      <c r="C1524" s="26" t="s">
        <v>820</v>
      </c>
      <c r="D1524" s="26" t="s">
        <v>806</v>
      </c>
      <c r="E1524" s="20" t="s">
        <v>965</v>
      </c>
      <c r="F1524" s="21" t="str">
        <f>IF(OR(E1524="",E1524="!!!"),"",IF(NOT(ISNA(VLOOKUP(E1524,E$1:E1523,1,FALSE()))),"OLD",IF(AND(E1524&lt;&gt;"",E1524&lt;&gt;"!!!"),"NEW","")))</f>
        <v>NEW</v>
      </c>
      <c r="G1524" s="22" t="s">
        <v>1820</v>
      </c>
      <c r="H1524" s="23" t="str">
        <f t="shared" ca="1" si="172"/>
        <v/>
      </c>
      <c r="I1524" s="24" t="str">
        <f>IF(OR(E1524="",E1524="!!!",F1524="NEW"),"",INDEX(B$2:B1523,-1+SUMPRODUCT(MAX(ROW(E$2:E1523)*(E1524=E$2:E1523)))))</f>
        <v/>
      </c>
      <c r="J1524" s="24" t="str">
        <f ca="1">IF(OR(E1524="",E1524="!!!",F1524="NEW"),"",COUNTBLANK(OFFSET(A$1,,,SUMPRODUCT(MAX(ROW(E$2:E1524)*(E1524=E$2:E1524)))))-COUNTBLANK(OFFSET(A$1,,,SUMPRODUCT(MAX(ROW(E$1:E1523)*(E2=E$1:E1523))))))</f>
        <v/>
      </c>
      <c r="K1524" s="24" t="str">
        <f>IF(OR(E1524="",E1524="!!!",F1524="NEW"),"",INDEX(J$1:J1523,SUMPRODUCT(MAX(ROW(E$1:E1523)*(E1524=E$1:E1523)))))</f>
        <v/>
      </c>
      <c r="L1524" s="25"/>
    </row>
    <row r="1525" spans="1:12" x14ac:dyDescent="0.2">
      <c r="A1525" t="s">
        <v>812</v>
      </c>
      <c r="E1525" s="20" t="str">
        <f t="shared" si="173"/>
        <v/>
      </c>
      <c r="F1525" s="21" t="str">
        <f>IF(OR(E1525="",E1525="!!!"),"",IF(NOT(ISNA(VLOOKUP(E1525,E$1:E1524,1,FALSE()))),"OLD",IF(AND(E1525&lt;&gt;"",E1525&lt;&gt;"!!!"),"NEW","")))</f>
        <v/>
      </c>
      <c r="G1525" s="22" t="str">
        <f>IF(OR(E1525="",E1525="!!!"),"",IF(OR(J1525=0,AND(J1525=1,K1525=1),AND(J1525=1,I1525="SBJ"),AND(J1525=1,I1525=0)),"?IN_FOCUS",IF(J1525&lt;=2,"?ACTIVATED",IF(J1525&lt;&gt;"","?FAMILIAR",IF(F1525="NEW",IF(ISNA(VLOOKUP(E1525,#REF!,1,FALSE())),"?TYPE_IDENTIFIABLE","?REFERENTIAL"),"_")))))</f>
        <v/>
      </c>
      <c r="H1525" s="23" t="str">
        <f t="shared" ca="1" si="172"/>
        <v/>
      </c>
      <c r="I1525" s="24" t="str">
        <f>IF(OR(E1525="",E1525="!!!",F1525="NEW"),"",INDEX(B$2:B1524,-1+SUMPRODUCT(MAX(ROW(E$2:E1524)*(E1525=E$2:E1524)))))</f>
        <v/>
      </c>
      <c r="J1525" s="24" t="str">
        <f ca="1">IF(OR(E1525="",E1525="!!!",F1525="NEW"),"",COUNTBLANK(OFFSET(A$1,,,SUMPRODUCT(MAX(ROW(E$2:E1525)*(E1525=E$2:E1525)))))-COUNTBLANK(OFFSET(A$1,,,SUMPRODUCT(MAX(ROW(E$1:E1524)*(E2=E$1:E1524))))))</f>
        <v/>
      </c>
      <c r="K1525" s="24" t="str">
        <f>IF(OR(E1525="",E1525="!!!",F1525="NEW"),"",INDEX(J$1:J1524,SUMPRODUCT(MAX(ROW(E$1:E1524)*(E1525=E$1:E1524)))))</f>
        <v/>
      </c>
      <c r="L1525" s="25"/>
    </row>
    <row r="1526" spans="1:12" x14ac:dyDescent="0.2">
      <c r="A1526" t="s">
        <v>1192</v>
      </c>
      <c r="B1526" s="26" t="s">
        <v>899</v>
      </c>
      <c r="C1526" s="26" t="s">
        <v>817</v>
      </c>
      <c r="D1526" s="26" t="s">
        <v>806</v>
      </c>
      <c r="E1526" s="20"/>
      <c r="F1526" s="21" t="s">
        <v>1793</v>
      </c>
      <c r="G1526" s="22"/>
      <c r="H1526" s="23" t="str">
        <f t="shared" ca="1" si="172"/>
        <v/>
      </c>
      <c r="I1526" s="24" t="str">
        <f>IF(OR(E1526="",E1526="!!!",F1526="NEW"),"",INDEX(B$2:B1525,-1+SUMPRODUCT(MAX(ROW(E$2:E1525)*(E1526=E$2:E1525)))))</f>
        <v/>
      </c>
      <c r="J1526" s="24" t="str">
        <f ca="1">IF(OR(E1526="",E1526="!!!",F1526="NEW"),"",COUNTBLANK(OFFSET(A$1,,,SUMPRODUCT(MAX(ROW(E$2:E1526)*(E1526=E$2:E1526)))))-COUNTBLANK(OFFSET(A$1,,,SUMPRODUCT(MAX(ROW(E$1:E1525)*(E2=E$1:E1525))))))</f>
        <v/>
      </c>
      <c r="K1526" s="24" t="str">
        <f>IF(OR(E1526="",E1526="!!!",F1526="NEW"),"",INDEX(J$1:J1525,SUMPRODUCT(MAX(ROW(E$1:E1525)*(E1526=E$1:E1525)))))</f>
        <v/>
      </c>
      <c r="L1526" s="25"/>
    </row>
    <row r="1527" spans="1:12" x14ac:dyDescent="0.2">
      <c r="A1527" t="s">
        <v>1339</v>
      </c>
      <c r="B1527" s="26" t="s">
        <v>864</v>
      </c>
      <c r="C1527" s="26" t="s">
        <v>820</v>
      </c>
      <c r="D1527" s="26" t="s">
        <v>806</v>
      </c>
      <c r="E1527" s="20" t="s">
        <v>1339</v>
      </c>
      <c r="F1527" s="21" t="str">
        <f>IF(OR(E1527="",E1527="!!!"),"",IF(NOT(ISNA(VLOOKUP(E1527,E$1:E1526,1,FALSE()))),"OLD",IF(AND(E1527&lt;&gt;"",E1527&lt;&gt;"!!!"),"NEW","")))</f>
        <v>NEW</v>
      </c>
      <c r="G1527" s="22" t="s">
        <v>1820</v>
      </c>
      <c r="H1527" s="23" t="str">
        <f t="shared" ca="1" si="172"/>
        <v/>
      </c>
      <c r="I1527" s="24" t="str">
        <f>IF(OR(E1527="",E1527="!!!",F1527="NEW"),"",INDEX(B$2:B1526,-1+SUMPRODUCT(MAX(ROW(E$2:E1526)*(E1527=E$2:E1526)))))</f>
        <v/>
      </c>
      <c r="J1527" s="24" t="str">
        <f ca="1">IF(OR(E1527="",E1527="!!!",F1527="NEW"),"",COUNTBLANK(OFFSET(A$1,,,SUMPRODUCT(MAX(ROW(E$2:E1527)*(E1527=E$2:E1527)))))-COUNTBLANK(OFFSET(A$1,,,SUMPRODUCT(MAX(ROW(E$1:E1526)*(E2=E$1:E1526))))))</f>
        <v/>
      </c>
      <c r="K1527" s="24" t="str">
        <f>IF(OR(E1527="",E1527="!!!",F1527="NEW"),"",INDEX(J$1:J1526,SUMPRODUCT(MAX(ROW(E$1:E1526)*(E1527=E$1:E1526)))))</f>
        <v/>
      </c>
      <c r="L1527" s="25"/>
    </row>
    <row r="1528" spans="1:12" x14ac:dyDescent="0.2">
      <c r="A1528" t="s">
        <v>815</v>
      </c>
      <c r="E1528" s="20" t="str">
        <f t="shared" si="173"/>
        <v/>
      </c>
      <c r="F1528" s="21" t="str">
        <f>IF(OR(E1528="",E1528="!!!"),"",IF(NOT(ISNA(VLOOKUP(E1528,E$1:E1527,1,FALSE()))),"OLD",IF(AND(E1528&lt;&gt;"",E1528&lt;&gt;"!!!"),"NEW","")))</f>
        <v/>
      </c>
      <c r="G1528" s="22" t="str">
        <f>IF(OR(E1528="",E1528="!!!"),"",IF(OR(J1528=0,AND(J1528=1,K1528=1),AND(J1528=1,I1528="SBJ"),AND(J1528=1,I1528=0)),"?IN_FOCUS",IF(J1528&lt;=2,"?ACTIVATED",IF(J1528&lt;&gt;"","?FAMILIAR",IF(F1528="NEW",IF(ISNA(VLOOKUP(E1528,#REF!,1,FALSE())),"?TYPE_IDENTIFIABLE","?REFERENTIAL"),"_")))))</f>
        <v/>
      </c>
      <c r="H1528" s="23" t="str">
        <f t="shared" ca="1" si="172"/>
        <v/>
      </c>
      <c r="I1528" s="24" t="str">
        <f>IF(OR(E1528="",E1528="!!!",F1528="NEW"),"",INDEX(B$2:B1527,-1+SUMPRODUCT(MAX(ROW(E$2:E1527)*(E1528=E$2:E1527)))))</f>
        <v/>
      </c>
      <c r="J1528" s="24" t="str">
        <f ca="1">IF(OR(E1528="",E1528="!!!",F1528="NEW"),"",COUNTBLANK(OFFSET(A$1,,,SUMPRODUCT(MAX(ROW(E$2:E1528)*(E1528=E$2:E1528)))))-COUNTBLANK(OFFSET(A$1,,,SUMPRODUCT(MAX(ROW(E$1:E1527)*(E2=E$1:E1527))))))</f>
        <v/>
      </c>
      <c r="K1528" s="24" t="str">
        <f>IF(OR(E1528="",E1528="!!!",F1528="NEW"),"",INDEX(J$1:J1527,SUMPRODUCT(MAX(ROW(E$1:E1527)*(E1528=E$1:E1527)))))</f>
        <v/>
      </c>
      <c r="L1528" s="25"/>
    </row>
    <row r="1529" spans="1:12" x14ac:dyDescent="0.2">
      <c r="A1529" t="s">
        <v>845</v>
      </c>
      <c r="E1529" s="20" t="str">
        <f t="shared" si="173"/>
        <v/>
      </c>
      <c r="F1529" s="21" t="str">
        <f>IF(OR(E1529="",E1529="!!!"),"",IF(NOT(ISNA(VLOOKUP(E1529,E$1:E1528,1,FALSE()))),"OLD",IF(AND(E1529&lt;&gt;"",E1529&lt;&gt;"!!!"),"NEW","")))</f>
        <v/>
      </c>
      <c r="G1529" s="22" t="str">
        <f>IF(OR(E1529="",E1529="!!!"),"",IF(OR(J1529=0,AND(J1529=1,K1529=1),AND(J1529=1,I1529="SBJ"),AND(J1529=1,I1529=0)),"?IN_FOCUS",IF(J1529&lt;=2,"?ACTIVATED",IF(J1529&lt;&gt;"","?FAMILIAR",IF(F1529="NEW",IF(ISNA(VLOOKUP(E1529,#REF!,1,FALSE())),"?TYPE_IDENTIFIABLE","?REFERENTIAL"),"_")))))</f>
        <v/>
      </c>
      <c r="H1529" s="23" t="str">
        <f t="shared" ca="1" si="172"/>
        <v/>
      </c>
      <c r="I1529" s="24" t="str">
        <f>IF(OR(E1529="",E1529="!!!",F1529="NEW"),"",INDEX(B$2:B1528,-1+SUMPRODUCT(MAX(ROW(E$2:E1528)*(E1529=E$2:E1528)))))</f>
        <v/>
      </c>
      <c r="J1529" s="24" t="str">
        <f ca="1">IF(OR(E1529="",E1529="!!!",F1529="NEW"),"",COUNTBLANK(OFFSET(A$1,,,SUMPRODUCT(MAX(ROW(E$2:E1529)*(E1529=E$2:E1529)))))-COUNTBLANK(OFFSET(A$1,,,SUMPRODUCT(MAX(ROW(E$1:E1528)*(E2=E$1:E1528))))))</f>
        <v/>
      </c>
      <c r="K1529" s="24" t="str">
        <f>IF(OR(E1529="",E1529="!!!",F1529="NEW"),"",INDEX(J$1:J1528,SUMPRODUCT(MAX(ROW(E$1:E1528)*(E1529=E$1:E1528)))))</f>
        <v/>
      </c>
      <c r="L1529" s="25"/>
    </row>
    <row r="1530" spans="1:12" x14ac:dyDescent="0.2">
      <c r="A1530" t="s">
        <v>1340</v>
      </c>
      <c r="E1530" s="20" t="str">
        <f t="shared" si="173"/>
        <v/>
      </c>
      <c r="F1530" s="21" t="str">
        <f>IF(OR(E1530="",E1530="!!!"),"",IF(NOT(ISNA(VLOOKUP(E1530,E$1:E1529,1,FALSE()))),"OLD",IF(AND(E1530&lt;&gt;"",E1530&lt;&gt;"!!!"),"NEW","")))</f>
        <v/>
      </c>
      <c r="G1530" s="22" t="str">
        <f>IF(OR(E1530="",E1530="!!!"),"",IF(OR(J1530=0,AND(J1530=1,K1530=1),AND(J1530=1,I1530="SBJ"),AND(J1530=1,I1530=0)),"?IN_FOCUS",IF(J1530&lt;=2,"?ACTIVATED",IF(J1530&lt;&gt;"","?FAMILIAR",IF(F1530="NEW",IF(ISNA(VLOOKUP(E1530,#REF!,1,FALSE())),"?TYPE_IDENTIFIABLE","?REFERENTIAL"),"_")))))</f>
        <v/>
      </c>
      <c r="H1530" s="23" t="str">
        <f t="shared" ca="1" si="172"/>
        <v/>
      </c>
      <c r="I1530" s="24" t="str">
        <f>IF(OR(E1530="",E1530="!!!",F1530="NEW"),"",INDEX(B$2:B1529,-1+SUMPRODUCT(MAX(ROW(E$2:E1529)*(E1530=E$2:E1529)))))</f>
        <v/>
      </c>
      <c r="J1530" s="24" t="str">
        <f ca="1">IF(OR(E1530="",E1530="!!!",F1530="NEW"),"",COUNTBLANK(OFFSET(A$1,,,SUMPRODUCT(MAX(ROW(E$2:E1530)*(E1530=E$2:E1530)))))-COUNTBLANK(OFFSET(A$1,,,SUMPRODUCT(MAX(ROW(E$1:E1529)*(E2=E$1:E1529))))))</f>
        <v/>
      </c>
      <c r="K1530" s="24" t="str">
        <f>IF(OR(E1530="",E1530="!!!",F1530="NEW"),"",INDEX(J$1:J1529,SUMPRODUCT(MAX(ROW(E$1:E1529)*(E1530=E$1:E1529)))))</f>
        <v/>
      </c>
      <c r="L1530" s="25"/>
    </row>
    <row r="1531" spans="1:12" x14ac:dyDescent="0.2">
      <c r="A1531" t="s">
        <v>1341</v>
      </c>
      <c r="E1531" s="20" t="str">
        <f t="shared" si="173"/>
        <v/>
      </c>
      <c r="F1531" s="21" t="str">
        <f>IF(OR(E1531="",E1531="!!!"),"",IF(NOT(ISNA(VLOOKUP(E1531,E$1:E1530,1,FALSE()))),"OLD",IF(AND(E1531&lt;&gt;"",E1531&lt;&gt;"!!!"),"NEW","")))</f>
        <v/>
      </c>
      <c r="G1531" s="22" t="str">
        <f>IF(OR(E1531="",E1531="!!!"),"",IF(OR(J1531=0,AND(J1531=1,K1531=1),AND(J1531=1,I1531="SBJ"),AND(J1531=1,I1531=0)),"?IN_FOCUS",IF(J1531&lt;=2,"?ACTIVATED",IF(J1531&lt;&gt;"","?FAMILIAR",IF(F1531="NEW",IF(ISNA(VLOOKUP(E1531,#REF!,1,FALSE())),"?TYPE_IDENTIFIABLE","?REFERENTIAL"),"_")))))</f>
        <v/>
      </c>
      <c r="H1531" s="23" t="str">
        <f t="shared" ca="1" si="172"/>
        <v/>
      </c>
      <c r="I1531" s="24" t="str">
        <f>IF(OR(E1531="",E1531="!!!",F1531="NEW"),"",INDEX(B$2:B1530,-1+SUMPRODUCT(MAX(ROW(E$2:E1530)*(E1531=E$2:E1530)))))</f>
        <v/>
      </c>
      <c r="J1531" s="24" t="str">
        <f ca="1">IF(OR(E1531="",E1531="!!!",F1531="NEW"),"",COUNTBLANK(OFFSET(A$1,,,SUMPRODUCT(MAX(ROW(E$2:E1531)*(E1531=E$2:E1531)))))-COUNTBLANK(OFFSET(A$1,,,SUMPRODUCT(MAX(ROW(E$1:E1530)*(E2=E$1:E1530))))))</f>
        <v/>
      </c>
      <c r="K1531" s="24" t="str">
        <f>IF(OR(E1531="",E1531="!!!",F1531="NEW"),"",INDEX(J$1:J1530,SUMPRODUCT(MAX(ROW(E$1:E1530)*(E1531=E$1:E1530)))))</f>
        <v/>
      </c>
      <c r="L1531" s="25"/>
    </row>
    <row r="1532" spans="1:12" x14ac:dyDescent="0.2">
      <c r="A1532" t="s">
        <v>1342</v>
      </c>
      <c r="B1532" s="26" t="s">
        <v>899</v>
      </c>
      <c r="C1532" s="26" t="s">
        <v>854</v>
      </c>
      <c r="D1532" s="26" t="s">
        <v>806</v>
      </c>
      <c r="E1532" s="20" t="s">
        <v>1786</v>
      </c>
      <c r="F1532" s="21" t="str">
        <f>IF(OR(E1532="",E1532="!!!"),"",IF(NOT(ISNA(VLOOKUP(E1532,E$1:E1531,1,FALSE()))),"OLD",IF(AND(E1532&lt;&gt;"",E1532&lt;&gt;"!!!"),"NEW","")))</f>
        <v>NEW</v>
      </c>
      <c r="G1532" s="22" t="s">
        <v>1820</v>
      </c>
      <c r="H1532" s="23" t="str">
        <f t="shared" ca="1" si="172"/>
        <v/>
      </c>
      <c r="I1532" s="24" t="str">
        <f>IF(OR(E1532="",E1532="!!!",F1532="NEW"),"",INDEX(B$2:B1531,-1+SUMPRODUCT(MAX(ROW(E$2:E1531)*(E1532=E$2:E1531)))))</f>
        <v/>
      </c>
      <c r="J1532" s="24" t="str">
        <f ca="1">IF(OR(E1532="",E1532="!!!",F1532="NEW"),"",COUNTBLANK(OFFSET(A$1,,,SUMPRODUCT(MAX(ROW(E$2:E1532)*(E1532=E$2:E1532)))))-COUNTBLANK(OFFSET(A$1,,,SUMPRODUCT(MAX(ROW(E$1:E1531)*(E2=E$1:E1531))))))</f>
        <v/>
      </c>
      <c r="K1532" s="24" t="str">
        <f>IF(OR(E1532="",E1532="!!!",F1532="NEW"),"",INDEX(J$1:J1531,SUMPRODUCT(MAX(ROW(E$1:E1531)*(E1532=E$1:E1531)))))</f>
        <v/>
      </c>
      <c r="L1532" s="25"/>
    </row>
    <row r="1533" spans="1:12" x14ac:dyDescent="0.2">
      <c r="A1533" t="s">
        <v>815</v>
      </c>
      <c r="E1533" s="20" t="str">
        <f t="shared" si="173"/>
        <v/>
      </c>
      <c r="F1533" s="21" t="str">
        <f>IF(OR(E1533="",E1533="!!!"),"",IF(NOT(ISNA(VLOOKUP(E1533,E$1:E1532,1,FALSE()))),"OLD",IF(AND(E1533&lt;&gt;"",E1533&lt;&gt;"!!!"),"NEW","")))</f>
        <v/>
      </c>
      <c r="G1533" s="22" t="str">
        <f>IF(OR(E1533="",E1533="!!!"),"",IF(OR(J1533=0,AND(J1533=1,K1533=1),AND(J1533=1,I1533="SBJ"),AND(J1533=1,I1533=0)),"?IN_FOCUS",IF(J1533&lt;=2,"?ACTIVATED",IF(J1533&lt;&gt;"","?FAMILIAR",IF(F1533="NEW",IF(ISNA(VLOOKUP(E1533,#REF!,1,FALSE())),"?TYPE_IDENTIFIABLE","?REFERENTIAL"),"_")))))</f>
        <v/>
      </c>
      <c r="H1533" s="23" t="str">
        <f t="shared" ca="1" si="172"/>
        <v/>
      </c>
      <c r="I1533" s="24" t="str">
        <f>IF(OR(E1533="",E1533="!!!",F1533="NEW"),"",INDEX(B$2:B1532,-1+SUMPRODUCT(MAX(ROW(E$2:E1532)*(E1533=E$2:E1532)))))</f>
        <v/>
      </c>
      <c r="J1533" s="24" t="str">
        <f ca="1">IF(OR(E1533="",E1533="!!!",F1533="NEW"),"",COUNTBLANK(OFFSET(A$1,,,SUMPRODUCT(MAX(ROW(E$2:E1533)*(E1533=E$2:E1533)))))-COUNTBLANK(OFFSET(A$1,,,SUMPRODUCT(MAX(ROW(E$1:E1532)*(E2=E$1:E1532))))))</f>
        <v/>
      </c>
      <c r="K1533" s="24" t="str">
        <f>IF(OR(E1533="",E1533="!!!",F1533="NEW"),"",INDEX(J$1:J1532,SUMPRODUCT(MAX(ROW(E$1:E1532)*(E1533=E$1:E1532)))))</f>
        <v/>
      </c>
      <c r="L1533" s="25"/>
    </row>
    <row r="1534" spans="1:12" x14ac:dyDescent="0.2">
      <c r="A1534" t="s">
        <v>1343</v>
      </c>
      <c r="B1534" s="26" t="s">
        <v>899</v>
      </c>
      <c r="C1534" s="26" t="s">
        <v>854</v>
      </c>
      <c r="D1534" s="26" t="s">
        <v>806</v>
      </c>
      <c r="E1534" s="20" t="s">
        <v>1343</v>
      </c>
      <c r="F1534" s="21" t="str">
        <f>IF(OR(E1534="",E1534="!!!"),"",IF(NOT(ISNA(VLOOKUP(E1534,E$1:E1533,1,FALSE()))),"OLD",IF(AND(E1534&lt;&gt;"",E1534&lt;&gt;"!!!"),"NEW","")))</f>
        <v>NEW</v>
      </c>
      <c r="G1534" s="22" t="s">
        <v>1820</v>
      </c>
      <c r="H1534" s="23" t="str">
        <f t="shared" ca="1" si="172"/>
        <v/>
      </c>
      <c r="I1534" s="24" t="str">
        <f>IF(OR(E1534="",E1534="!!!",F1534="NEW"),"",INDEX(B$2:B1533,-1+SUMPRODUCT(MAX(ROW(E$2:E1533)*(E1534=E$2:E1533)))))</f>
        <v/>
      </c>
      <c r="J1534" s="24" t="str">
        <f ca="1">IF(OR(E1534="",E1534="!!!",F1534="NEW"),"",COUNTBLANK(OFFSET(A$1,,,SUMPRODUCT(MAX(ROW(E$2:E1534)*(E1534=E$2:E1534)))))-COUNTBLANK(OFFSET(A$1,,,SUMPRODUCT(MAX(ROW(E$1:E1533)*(E2=E$1:E1533))))))</f>
        <v/>
      </c>
      <c r="K1534" s="24" t="str">
        <f>IF(OR(E1534="",E1534="!!!",F1534="NEW"),"",INDEX(J$1:J1533,SUMPRODUCT(MAX(ROW(E$1:E1533)*(E1534=E$1:E1533)))))</f>
        <v/>
      </c>
      <c r="L1534" s="25"/>
    </row>
    <row r="1535" spans="1:12" x14ac:dyDescent="0.2">
      <c r="A1535" t="s">
        <v>821</v>
      </c>
      <c r="E1535" s="20" t="str">
        <f t="shared" si="173"/>
        <v/>
      </c>
      <c r="F1535" s="21" t="str">
        <f>IF(OR(E1535="",E1535="!!!"),"",IF(NOT(ISNA(VLOOKUP(E1535,E$1:E1534,1,FALSE()))),"OLD",IF(AND(E1535&lt;&gt;"",E1535&lt;&gt;"!!!"),"NEW","")))</f>
        <v/>
      </c>
      <c r="G1535" s="22" t="str">
        <f>IF(OR(E1535="",E1535="!!!"),"",IF(OR(J1535=0,AND(J1535=1,K1535=1),AND(J1535=1,I1535="SBJ"),AND(J1535=1,I1535=0)),"?IN_FOCUS",IF(J1535&lt;=2,"?ACTIVATED",IF(J1535&lt;&gt;"","?FAMILIAR",IF(F1535="NEW",IF(ISNA(VLOOKUP(E1535,#REF!,1,FALSE())),"?TYPE_IDENTIFIABLE","?REFERENTIAL"),"_")))))</f>
        <v/>
      </c>
      <c r="H1535" s="23" t="str">
        <f t="shared" ca="1" si="172"/>
        <v/>
      </c>
      <c r="I1535" s="24" t="str">
        <f>IF(OR(E1535="",E1535="!!!",F1535="NEW"),"",INDEX(B$2:B1534,-1+SUMPRODUCT(MAX(ROW(E$2:E1534)*(E1535=E$2:E1534)))))</f>
        <v/>
      </c>
      <c r="J1535" s="24" t="str">
        <f ca="1">IF(OR(E1535="",E1535="!!!",F1535="NEW"),"",COUNTBLANK(OFFSET(A$1,,,SUMPRODUCT(MAX(ROW(E$2:E1535)*(E1535=E$2:E1535)))))-COUNTBLANK(OFFSET(A$1,,,SUMPRODUCT(MAX(ROW(E$1:E1534)*(E2=E$1:E1534))))))</f>
        <v/>
      </c>
      <c r="K1535" s="24" t="str">
        <f>IF(OR(E1535="",E1535="!!!",F1535="NEW"),"",INDEX(J$1:J1534,SUMPRODUCT(MAX(ROW(E$1:E1534)*(E1535=E$1:E1534)))))</f>
        <v/>
      </c>
      <c r="L1535" s="25"/>
    </row>
    <row r="1537" spans="1:12" x14ac:dyDescent="0.2">
      <c r="A1537" t="s">
        <v>1344</v>
      </c>
    </row>
    <row r="1538" spans="1:12" x14ac:dyDescent="0.2">
      <c r="A1538" t="s">
        <v>803</v>
      </c>
      <c r="B1538" s="26" t="s">
        <v>804</v>
      </c>
      <c r="C1538" s="26" t="s">
        <v>805</v>
      </c>
      <c r="D1538" s="26" t="s">
        <v>806</v>
      </c>
      <c r="E1538" s="20" t="s">
        <v>1747</v>
      </c>
      <c r="F1538" s="21" t="s">
        <v>1753</v>
      </c>
      <c r="G1538" s="22" t="s">
        <v>1823</v>
      </c>
      <c r="H1538" s="23" t="str">
        <f t="shared" ref="H1538:H1549" ca="1" si="174">IF(J1538&lt;&gt;1,"",IF(I1538="SBJ","CB","?"))</f>
        <v/>
      </c>
      <c r="I1538" s="24" t="str">
        <f>IF(OR(E1538="",E1538="!!!",F1538="NEW"),"",INDEX(B$2:B1537,-1+SUMPRODUCT(MAX(ROW(E$2:E1537)*(E1538=E$2:E1537)))))</f>
        <v>SBJ_2</v>
      </c>
      <c r="J1538" s="24">
        <f ca="1">IF(OR(E1538="",E1538="!!!",F1538="NEW"),"",COUNTBLANK(OFFSET(A$1,,,SUMPRODUCT(MAX(ROW(E$2:E1538)*(E1538=E$2:E1538)))))-COUNTBLANK(OFFSET(A$1,,,SUMPRODUCT(MAX(ROW(E$1:E1537)*(E2=E$1:E1537))))))</f>
        <v>0</v>
      </c>
      <c r="K1538" s="24">
        <f ca="1">IF(OR(E1538="",E1538="!!!",F1538="NEW"),"",INDEX(J$1:J1537,SUMPRODUCT(MAX(ROW(E$1:E1537)*(E1538=E$1:E1537)))))</f>
        <v>0</v>
      </c>
      <c r="L1538" s="25"/>
    </row>
    <row r="1539" spans="1:12" x14ac:dyDescent="0.2">
      <c r="A1539" t="s">
        <v>889</v>
      </c>
      <c r="E1539" s="20" t="str">
        <f t="shared" ref="E1539:E1549" si="175">IF(D1539="?OLD","!!!","")</f>
        <v/>
      </c>
      <c r="F1539" s="21" t="str">
        <f>IF(OR(E1539="",E1539="!!!"),"",IF(NOT(ISNA(VLOOKUP(E1539,E$1:E1538,1,FALSE()))),"OLD",IF(AND(E1539&lt;&gt;"",E1539&lt;&gt;"!!!"),"NEW","")))</f>
        <v/>
      </c>
      <c r="G1539" s="22" t="str">
        <f>IF(OR(E1539="",E1539="!!!"),"",IF(OR(J1539=0,AND(J1539=1,K1539=1),AND(J1539=1,I1539="SBJ"),AND(J1539=1,I1539=0)),"?IN_FOCUS",IF(J1539&lt;=2,"?ACTIVATED",IF(J1539&lt;&gt;"","?FAMILIAR",IF(F1539="NEW",IF(ISNA(VLOOKUP(E1539,#REF!,1,FALSE())),"?TYPE_IDENTIFIABLE","?REFERENTIAL"),"_")))))</f>
        <v/>
      </c>
      <c r="H1539" s="23" t="str">
        <f t="shared" ca="1" si="174"/>
        <v/>
      </c>
      <c r="I1539" s="24" t="str">
        <f>IF(OR(E1539="",E1539="!!!",F1539="NEW"),"",INDEX(B$2:B1538,-1+SUMPRODUCT(MAX(ROW(E$2:E1538)*(E1539=E$2:E1538)))))</f>
        <v/>
      </c>
      <c r="J1539" s="24" t="str">
        <f ca="1">IF(OR(E1539="",E1539="!!!",F1539="NEW"),"",COUNTBLANK(OFFSET(A$1,,,SUMPRODUCT(MAX(ROW(E$2:E1539)*(E1539=E$2:E1539)))))-COUNTBLANK(OFFSET(A$1,,,SUMPRODUCT(MAX(ROW(E$1:E1538)*(E2=E$1:E1538))))))</f>
        <v/>
      </c>
      <c r="K1539" s="24" t="str">
        <f>IF(OR(E1539="",E1539="!!!",F1539="NEW"),"",INDEX(J$1:J1538,SUMPRODUCT(MAX(ROW(E$1:E1538)*(E1539=E$1:E1538)))))</f>
        <v/>
      </c>
      <c r="L1539" s="25"/>
    </row>
    <row r="1540" spans="1:12" x14ac:dyDescent="0.2">
      <c r="A1540" t="s">
        <v>1013</v>
      </c>
      <c r="B1540" s="26" t="s">
        <v>810</v>
      </c>
      <c r="C1540" s="26" t="s">
        <v>805</v>
      </c>
      <c r="D1540" s="26" t="s">
        <v>806</v>
      </c>
      <c r="E1540" s="20" t="s">
        <v>1175</v>
      </c>
      <c r="F1540" s="21" t="str">
        <f>IF(OR(E1540="",E1540="!!!"),"",IF(NOT(ISNA(VLOOKUP(E1540,E$1:E1539,1,FALSE()))),"OLD",IF(AND(E1540&lt;&gt;"",E1540&lt;&gt;"!!!"),"NEW","")))</f>
        <v>OLD</v>
      </c>
      <c r="G1540" s="22" t="s">
        <v>1822</v>
      </c>
      <c r="H1540" s="23" t="str">
        <f t="shared" ca="1" si="174"/>
        <v/>
      </c>
      <c r="I1540" s="24" t="str">
        <f>IF(OR(E1540="",E1540="!!!",F1540="NEW"),"",INDEX(B$2:B1539,-1+SUMPRODUCT(MAX(ROW(E$2:E1539)*(E1540=E$2:E1539)))))</f>
        <v>SBJ_2</v>
      </c>
      <c r="J1540" s="24">
        <f ca="1">IF(OR(E1540="",E1540="!!!",F1540="NEW"),"",COUNTBLANK(OFFSET(A$1,,,SUMPRODUCT(MAX(ROW(E$2:E1540)*(E1540=E$2:E1540)))))-COUNTBLANK(OFFSET(A$1,,,SUMPRODUCT(MAX(ROW(E$1:E1539)*(E2=E$1:E1539))))))</f>
        <v>0</v>
      </c>
      <c r="K1540" s="24">
        <f ca="1">IF(OR(E1540="",E1540="!!!",F1540="NEW"),"",INDEX(J$1:J1539,SUMPRODUCT(MAX(ROW(E$1:E1539)*(E1540=E$1:E1539)))))</f>
        <v>0</v>
      </c>
      <c r="L1540" s="25"/>
    </row>
    <row r="1541" spans="1:12" x14ac:dyDescent="0.2">
      <c r="A1541" t="s">
        <v>1345</v>
      </c>
      <c r="E1541" s="20" t="str">
        <f t="shared" si="175"/>
        <v/>
      </c>
      <c r="F1541" s="21" t="str">
        <f>IF(OR(E1541="",E1541="!!!"),"",IF(NOT(ISNA(VLOOKUP(E1541,E$1:E1540,1,FALSE()))),"OLD",IF(AND(E1541&lt;&gt;"",E1541&lt;&gt;"!!!"),"NEW","")))</f>
        <v/>
      </c>
      <c r="G1541" s="22" t="str">
        <f>IF(OR(E1541="",E1541="!!!"),"",IF(OR(J1541=0,AND(J1541=1,K1541=1),AND(J1541=1,I1541="SBJ"),AND(J1541=1,I1541=0)),"?IN_FOCUS",IF(J1541&lt;=2,"?ACTIVATED",IF(J1541&lt;&gt;"","?FAMILIAR",IF(F1541="NEW",IF(ISNA(VLOOKUP(E1541,#REF!,1,FALSE())),"?TYPE_IDENTIFIABLE","?REFERENTIAL"),"_")))))</f>
        <v/>
      </c>
      <c r="H1541" s="23" t="str">
        <f t="shared" ca="1" si="174"/>
        <v/>
      </c>
      <c r="I1541" s="24" t="str">
        <f>IF(OR(E1541="",E1541="!!!",F1541="NEW"),"",INDEX(B$2:B1540,-1+SUMPRODUCT(MAX(ROW(E$2:E1540)*(E1541=E$2:E1540)))))</f>
        <v/>
      </c>
      <c r="J1541" s="24" t="str">
        <f ca="1">IF(OR(E1541="",E1541="!!!",F1541="NEW"),"",COUNTBLANK(OFFSET(A$1,,,SUMPRODUCT(MAX(ROW(E$2:E1541)*(E1541=E$2:E1541)))))-COUNTBLANK(OFFSET(A$1,,,SUMPRODUCT(MAX(ROW(E$1:E1540)*(E2=E$1:E1540))))))</f>
        <v/>
      </c>
      <c r="K1541" s="24" t="str">
        <f>IF(OR(E1541="",E1541="!!!",F1541="NEW"),"",INDEX(J$1:J1540,SUMPRODUCT(MAX(ROW(E$1:E1540)*(E1541=E$1:E1540)))))</f>
        <v/>
      </c>
      <c r="L1541" s="25"/>
    </row>
    <row r="1542" spans="1:12" x14ac:dyDescent="0.2">
      <c r="A1542" t="s">
        <v>1024</v>
      </c>
      <c r="B1542" s="26" t="s">
        <v>950</v>
      </c>
      <c r="C1542" s="26" t="s">
        <v>805</v>
      </c>
      <c r="D1542" s="26" t="s">
        <v>806</v>
      </c>
      <c r="E1542" s="20" t="s">
        <v>1175</v>
      </c>
      <c r="F1542" s="21" t="str">
        <f>IF(OR(E1542="",E1542="!!!"),"",IF(NOT(ISNA(VLOOKUP(E1542,E$1:E1541,1,FALSE()))),"OLD",IF(AND(E1542&lt;&gt;"",E1542&lt;&gt;"!!!"),"NEW","")))</f>
        <v>OLD</v>
      </c>
      <c r="G1542" s="22" t="s">
        <v>1823</v>
      </c>
      <c r="H1542" s="23" t="str">
        <f t="shared" ca="1" si="174"/>
        <v/>
      </c>
      <c r="I1542" s="24" t="str">
        <f>IF(OR(E1542="",E1542="!!!",F1542="NEW"),"",INDEX(B$2:B1541,-1+SUMPRODUCT(MAX(ROW(E$2:E1541)*(E1542=E$2:E1541)))))</f>
        <v>OBJ</v>
      </c>
      <c r="J1542" s="24">
        <f ca="1">IF(OR(E1542="",E1542="!!!",F1542="NEW"),"",COUNTBLANK(OFFSET(A$1,,,SUMPRODUCT(MAX(ROW(E$2:E1542)*(E1542=E$2:E1542)))))-COUNTBLANK(OFFSET(A$1,,,SUMPRODUCT(MAX(ROW(E$1:E1541)*(E2=E$1:E1541))))))</f>
        <v>0</v>
      </c>
      <c r="K1542" s="24">
        <f ca="1">IF(OR(E1542="",E1542="!!!",F1542="NEW"),"",INDEX(J$1:J1541,SUMPRODUCT(MAX(ROW(E$1:E1541)*(E1542=E$1:E1541)))))</f>
        <v>0</v>
      </c>
      <c r="L1542" s="25"/>
    </row>
    <row r="1543" spans="1:12" x14ac:dyDescent="0.2">
      <c r="A1543" t="s">
        <v>1346</v>
      </c>
      <c r="E1543" s="20" t="str">
        <f t="shared" si="175"/>
        <v/>
      </c>
      <c r="F1543" s="21" t="str">
        <f>IF(OR(E1543="",E1543="!!!"),"",IF(NOT(ISNA(VLOOKUP(E1543,E$1:E1542,1,FALSE()))),"OLD",IF(AND(E1543&lt;&gt;"",E1543&lt;&gt;"!!!"),"NEW","")))</f>
        <v/>
      </c>
      <c r="G1543" s="22" t="str">
        <f>IF(OR(E1543="",E1543="!!!"),"",IF(OR(J1543=0,AND(J1543=1,K1543=1),AND(J1543=1,I1543="SBJ"),AND(J1543=1,I1543=0)),"?IN_FOCUS",IF(J1543&lt;=2,"?ACTIVATED",IF(J1543&lt;&gt;"","?FAMILIAR",IF(F1543="NEW",IF(ISNA(VLOOKUP(E1543,#REF!,1,FALSE())),"?TYPE_IDENTIFIABLE","?REFERENTIAL"),"_")))))</f>
        <v/>
      </c>
      <c r="H1543" s="23" t="str">
        <f t="shared" ca="1" si="174"/>
        <v/>
      </c>
      <c r="I1543" s="24" t="str">
        <f>IF(OR(E1543="",E1543="!!!",F1543="NEW"),"",INDEX(B$2:B1542,-1+SUMPRODUCT(MAX(ROW(E$2:E1542)*(E1543=E$2:E1542)))))</f>
        <v/>
      </c>
      <c r="J1543" s="24" t="str">
        <f ca="1">IF(OR(E1543="",E1543="!!!",F1543="NEW"),"",COUNTBLANK(OFFSET(A$1,,,SUMPRODUCT(MAX(ROW(E$2:E1543)*(E1543=E$2:E1543)))))-COUNTBLANK(OFFSET(A$1,,,SUMPRODUCT(MAX(ROW(E$1:E1542)*(E2=E$1:E1542))))))</f>
        <v/>
      </c>
      <c r="K1543" s="24" t="str">
        <f>IF(OR(E1543="",E1543="!!!",F1543="NEW"),"",INDEX(J$1:J1542,SUMPRODUCT(MAX(ROW(E$1:E1542)*(E1543=E$1:E1542)))))</f>
        <v/>
      </c>
      <c r="L1543" s="25"/>
    </row>
    <row r="1544" spans="1:12" x14ac:dyDescent="0.2">
      <c r="A1544" t="s">
        <v>1347</v>
      </c>
      <c r="E1544" s="20" t="str">
        <f t="shared" si="175"/>
        <v/>
      </c>
      <c r="F1544" s="21" t="str">
        <f>IF(OR(E1544="",E1544="!!!"),"",IF(NOT(ISNA(VLOOKUP(E1544,E$1:E1543,1,FALSE()))),"OLD",IF(AND(E1544&lt;&gt;"",E1544&lt;&gt;"!!!"),"NEW","")))</f>
        <v/>
      </c>
      <c r="G1544" s="22" t="str">
        <f>IF(OR(E1544="",E1544="!!!"),"",IF(OR(J1544=0,AND(J1544=1,K1544=1),AND(J1544=1,I1544="SBJ"),AND(J1544=1,I1544=0)),"?IN_FOCUS",IF(J1544&lt;=2,"?ACTIVATED",IF(J1544&lt;&gt;"","?FAMILIAR",IF(F1544="NEW",IF(ISNA(VLOOKUP(E1544,#REF!,1,FALSE())),"?TYPE_IDENTIFIABLE","?REFERENTIAL"),"_")))))</f>
        <v/>
      </c>
      <c r="H1544" s="23" t="str">
        <f t="shared" ca="1" si="174"/>
        <v/>
      </c>
      <c r="I1544" s="24" t="str">
        <f>IF(OR(E1544="",E1544="!!!",F1544="NEW"),"",INDEX(B$2:B1543,-1+SUMPRODUCT(MAX(ROW(E$2:E1543)*(E1544=E$2:E1543)))))</f>
        <v/>
      </c>
      <c r="J1544" s="24" t="str">
        <f ca="1">IF(OR(E1544="",E1544="!!!",F1544="NEW"),"",COUNTBLANK(OFFSET(A$1,,,SUMPRODUCT(MAX(ROW(E$2:E1544)*(E1544=E$2:E1544)))))-COUNTBLANK(OFFSET(A$1,,,SUMPRODUCT(MAX(ROW(E$1:E1543)*(E2=E$1:E1543))))))</f>
        <v/>
      </c>
      <c r="K1544" s="24" t="str">
        <f>IF(OR(E1544="",E1544="!!!",F1544="NEW"),"",INDEX(J$1:J1543,SUMPRODUCT(MAX(ROW(E$1:E1543)*(E1544=E$1:E1543)))))</f>
        <v/>
      </c>
      <c r="L1544" s="25"/>
    </row>
    <row r="1545" spans="1:12" x14ac:dyDescent="0.2">
      <c r="A1545" t="s">
        <v>895</v>
      </c>
      <c r="E1545" s="20" t="str">
        <f t="shared" si="175"/>
        <v/>
      </c>
      <c r="F1545" s="21" t="str">
        <f>IF(OR(E1545="",E1545="!!!"),"",IF(NOT(ISNA(VLOOKUP(E1545,E$1:E1544,1,FALSE()))),"OLD",IF(AND(E1545&lt;&gt;"",E1545&lt;&gt;"!!!"),"NEW","")))</f>
        <v/>
      </c>
      <c r="G1545" s="22" t="str">
        <f>IF(OR(E1545="",E1545="!!!"),"",IF(OR(J1545=0,AND(J1545=1,K1545=1),AND(J1545=1,I1545="SBJ"),AND(J1545=1,I1545=0)),"?IN_FOCUS",IF(J1545&lt;=2,"?ACTIVATED",IF(J1545&lt;&gt;"","?FAMILIAR",IF(F1545="NEW",IF(ISNA(VLOOKUP(E1545,#REF!,1,FALSE())),"?TYPE_IDENTIFIABLE","?REFERENTIAL"),"_")))))</f>
        <v/>
      </c>
      <c r="H1545" s="23" t="str">
        <f t="shared" ca="1" si="174"/>
        <v/>
      </c>
      <c r="I1545" s="24" t="str">
        <f>IF(OR(E1545="",E1545="!!!",F1545="NEW"),"",INDEX(B$2:B1544,-1+SUMPRODUCT(MAX(ROW(E$2:E1544)*(E1545=E$2:E1544)))))</f>
        <v/>
      </c>
      <c r="J1545" s="24" t="str">
        <f ca="1">IF(OR(E1545="",E1545="!!!",F1545="NEW"),"",COUNTBLANK(OFFSET(A$1,,,SUMPRODUCT(MAX(ROW(E$2:E1545)*(E1545=E$2:E1545)))))-COUNTBLANK(OFFSET(A$1,,,SUMPRODUCT(MAX(ROW(E$1:E1544)*(E2=E$1:E1544))))))</f>
        <v/>
      </c>
      <c r="K1545" s="24" t="str">
        <f>IF(OR(E1545="",E1545="!!!",F1545="NEW"),"",INDEX(J$1:J1544,SUMPRODUCT(MAX(ROW(E$1:E1544)*(E1545=E$1:E1544)))))</f>
        <v/>
      </c>
      <c r="L1545" s="25"/>
    </row>
    <row r="1546" spans="1:12" x14ac:dyDescent="0.2">
      <c r="A1546" t="s">
        <v>1348</v>
      </c>
      <c r="B1546" s="26" t="s">
        <v>938</v>
      </c>
      <c r="C1546" s="26" t="s">
        <v>987</v>
      </c>
      <c r="E1546" s="20" t="str">
        <f t="shared" si="175"/>
        <v/>
      </c>
      <c r="F1546" s="21" t="str">
        <f>IF(OR(E1546="",E1546="!!!"),"",IF(NOT(ISNA(VLOOKUP(E1546,E$1:E1545,1,FALSE()))),"OLD",IF(AND(E1546&lt;&gt;"",E1546&lt;&gt;"!!!"),"NEW","")))</f>
        <v/>
      </c>
      <c r="G1546" s="22" t="str">
        <f>IF(OR(E1546="",E1546="!!!"),"",IF(OR(J1546=0,AND(J1546=1,K1546=1),AND(J1546=1,I1546="SBJ"),AND(J1546=1,I1546=0)),"?IN_FOCUS",IF(J1546&lt;=2,"?ACTIVATED",IF(J1546&lt;&gt;"","?FAMILIAR",IF(F1546="NEW",IF(ISNA(VLOOKUP(E1546,#REF!,1,FALSE())),"?TYPE_IDENTIFIABLE","?REFERENTIAL"),"_")))))</f>
        <v/>
      </c>
      <c r="H1546" s="23" t="str">
        <f t="shared" ca="1" si="174"/>
        <v/>
      </c>
      <c r="I1546" s="24" t="str">
        <f>IF(OR(E1546="",E1546="!!!",F1546="NEW"),"",INDEX(B$2:B1545,-1+SUMPRODUCT(MAX(ROW(E$2:E1545)*(E1546=E$2:E1545)))))</f>
        <v/>
      </c>
      <c r="J1546" s="24" t="str">
        <f ca="1">IF(OR(E1546="",E1546="!!!",F1546="NEW"),"",COUNTBLANK(OFFSET(A$1,,,SUMPRODUCT(MAX(ROW(E$2:E1546)*(E1546=E$2:E1546)))))-COUNTBLANK(OFFSET(A$1,,,SUMPRODUCT(MAX(ROW(E$1:E1545)*(E2=E$1:E1545))))))</f>
        <v/>
      </c>
      <c r="K1546" s="24" t="str">
        <f>IF(OR(E1546="",E1546="!!!",F1546="NEW"),"",INDEX(J$1:J1545,SUMPRODUCT(MAX(ROW(E$1:E1545)*(E1546=E$1:E1545)))))</f>
        <v/>
      </c>
      <c r="L1546" s="25"/>
    </row>
    <row r="1547" spans="1:12" x14ac:dyDescent="0.2">
      <c r="A1547" t="s">
        <v>844</v>
      </c>
      <c r="E1547" s="20" t="str">
        <f t="shared" si="175"/>
        <v/>
      </c>
      <c r="F1547" s="21" t="str">
        <f>IF(OR(E1547="",E1547="!!!"),"",IF(NOT(ISNA(VLOOKUP(E1547,E$1:E1546,1,FALSE()))),"OLD",IF(AND(E1547&lt;&gt;"",E1547&lt;&gt;"!!!"),"NEW","")))</f>
        <v/>
      </c>
      <c r="G1547" s="22" t="str">
        <f>IF(OR(E1547="",E1547="!!!"),"",IF(OR(J1547=0,AND(J1547=1,K1547=1),AND(J1547=1,I1547="SBJ"),AND(J1547=1,I1547=0)),"?IN_FOCUS",IF(J1547&lt;=2,"?ACTIVATED",IF(J1547&lt;&gt;"","?FAMILIAR",IF(F1547="NEW",IF(ISNA(VLOOKUP(E1547,#REF!,1,FALSE())),"?TYPE_IDENTIFIABLE","?REFERENTIAL"),"_")))))</f>
        <v/>
      </c>
      <c r="H1547" s="23" t="str">
        <f t="shared" ca="1" si="174"/>
        <v/>
      </c>
      <c r="I1547" s="24" t="str">
        <f>IF(OR(E1547="",E1547="!!!",F1547="NEW"),"",INDEX(B$2:B1546,-1+SUMPRODUCT(MAX(ROW(E$2:E1546)*(E1547=E$2:E1546)))))</f>
        <v/>
      </c>
      <c r="J1547" s="24" t="str">
        <f ca="1">IF(OR(E1547="",E1547="!!!",F1547="NEW"),"",COUNTBLANK(OFFSET(A$1,,,SUMPRODUCT(MAX(ROW(E$2:E1547)*(E1547=E$2:E1547)))))-COUNTBLANK(OFFSET(A$1,,,SUMPRODUCT(MAX(ROW(E$1:E1546)*(E2=E$1:E1546))))))</f>
        <v/>
      </c>
      <c r="K1547" s="24" t="str">
        <f>IF(OR(E1547="",E1547="!!!",F1547="NEW"),"",INDEX(J$1:J1546,SUMPRODUCT(MAX(ROW(E$1:E1546)*(E1547=E$1:E1546)))))</f>
        <v/>
      </c>
      <c r="L1547" s="25"/>
    </row>
    <row r="1548" spans="1:12" x14ac:dyDescent="0.2">
      <c r="A1548" t="s">
        <v>30</v>
      </c>
      <c r="B1548" s="26" t="s">
        <v>864</v>
      </c>
      <c r="C1548" s="26" t="s">
        <v>814</v>
      </c>
      <c r="E1548" s="20" t="str">
        <f t="shared" si="175"/>
        <v/>
      </c>
      <c r="F1548" s="21" t="str">
        <f>IF(OR(E1548="",E1548="!!!"),"",IF(NOT(ISNA(VLOOKUP(E1548,E$1:E1547,1,FALSE()))),"OLD",IF(AND(E1548&lt;&gt;"",E1548&lt;&gt;"!!!"),"NEW","")))</f>
        <v/>
      </c>
      <c r="G1548" s="22" t="str">
        <f>IF(OR(E1548="",E1548="!!!"),"",IF(OR(J1548=0,AND(J1548=1,K1548=1),AND(J1548=1,I1548="SBJ"),AND(J1548=1,I1548=0)),"?IN_FOCUS",IF(J1548&lt;=2,"?ACTIVATED",IF(J1548&lt;&gt;"","?FAMILIAR",IF(F1548="NEW",IF(ISNA(VLOOKUP(E1548,#REF!,1,FALSE())),"?TYPE_IDENTIFIABLE","?REFERENTIAL"),"_")))))</f>
        <v/>
      </c>
      <c r="H1548" s="23" t="str">
        <f t="shared" ca="1" si="174"/>
        <v/>
      </c>
      <c r="I1548" s="24" t="str">
        <f>IF(OR(E1548="",E1548="!!!",F1548="NEW"),"",INDEX(B$2:B1547,-1+SUMPRODUCT(MAX(ROW(E$2:E1547)*(E1548=E$2:E1547)))))</f>
        <v/>
      </c>
      <c r="J1548" s="24" t="str">
        <f ca="1">IF(OR(E1548="",E1548="!!!",F1548="NEW"),"",COUNTBLANK(OFFSET(A$1,,,SUMPRODUCT(MAX(ROW(E$2:E1548)*(E1548=E$2:E1548)))))-COUNTBLANK(OFFSET(A$1,,,SUMPRODUCT(MAX(ROW(E$1:E1547)*(E2=E$1:E1547))))))</f>
        <v/>
      </c>
      <c r="K1548" s="24" t="str">
        <f>IF(OR(E1548="",E1548="!!!",F1548="NEW"),"",INDEX(J$1:J1547,SUMPRODUCT(MAX(ROW(E$1:E1547)*(E1548=E$1:E1547)))))</f>
        <v/>
      </c>
      <c r="L1548" s="25"/>
    </row>
    <row r="1549" spans="1:12" x14ac:dyDescent="0.2">
      <c r="A1549" t="s">
        <v>821</v>
      </c>
      <c r="E1549" s="20" t="str">
        <f t="shared" si="175"/>
        <v/>
      </c>
      <c r="F1549" s="21" t="str">
        <f>IF(OR(E1549="",E1549="!!!"),"",IF(NOT(ISNA(VLOOKUP(E1549,E$1:E1548,1,FALSE()))),"OLD",IF(AND(E1549&lt;&gt;"",E1549&lt;&gt;"!!!"),"NEW","")))</f>
        <v/>
      </c>
      <c r="G1549" s="22" t="str">
        <f>IF(OR(E1549="",E1549="!!!"),"",IF(OR(J1549=0,AND(J1549=1,K1549=1),AND(J1549=1,I1549="SBJ"),AND(J1549=1,I1549=0)),"?IN_FOCUS",IF(J1549&lt;=2,"?ACTIVATED",IF(J1549&lt;&gt;"","?FAMILIAR",IF(F1549="NEW",IF(ISNA(VLOOKUP(E1549,#REF!,1,FALSE())),"?TYPE_IDENTIFIABLE","?REFERENTIAL"),"_")))))</f>
        <v/>
      </c>
      <c r="H1549" s="23" t="str">
        <f t="shared" ca="1" si="174"/>
        <v/>
      </c>
      <c r="I1549" s="24" t="str">
        <f>IF(OR(E1549="",E1549="!!!",F1549="NEW"),"",INDEX(B$2:B1548,-1+SUMPRODUCT(MAX(ROW(E$2:E1548)*(E1549=E$2:E1548)))))</f>
        <v/>
      </c>
      <c r="J1549" s="24" t="str">
        <f ca="1">IF(OR(E1549="",E1549="!!!",F1549="NEW"),"",COUNTBLANK(OFFSET(A$1,,,SUMPRODUCT(MAX(ROW(E$2:E1549)*(E1549=E$2:E1549)))))-COUNTBLANK(OFFSET(A$1,,,SUMPRODUCT(MAX(ROW(E$1:E1548)*(E2=E$1:E1548))))))</f>
        <v/>
      </c>
      <c r="K1549" s="24" t="str">
        <f>IF(OR(E1549="",E1549="!!!",F1549="NEW"),"",INDEX(J$1:J1548,SUMPRODUCT(MAX(ROW(E$1:E1548)*(E1549=E$1:E1548)))))</f>
        <v/>
      </c>
      <c r="L1549" s="25"/>
    </row>
    <row r="1551" spans="1:12" x14ac:dyDescent="0.2">
      <c r="A1551" t="s">
        <v>900</v>
      </c>
      <c r="E1551" s="20" t="str">
        <f>IF(D1551="?OLD","!!!","")</f>
        <v/>
      </c>
      <c r="F1551" s="21" t="str">
        <f>IF(OR(E1551="",E1551="!!!"),"",IF(NOT(ISNA(VLOOKUP(E1551,E$1:E1550,1,FALSE()))),"OLD",IF(AND(E1551&lt;&gt;"",E1551&lt;&gt;"!!!"),"NEW","")))</f>
        <v/>
      </c>
      <c r="G1551" s="22" t="str">
        <f>IF(OR(E1551="",E1551="!!!"),"",IF(OR(J1551=0,AND(J1551=1,K1551=1),AND(J1551=1,I1551="SBJ"),AND(J1551=1,I1551=0)),"?IN_FOCUS",IF(J1551&lt;=2,"?ACTIVATED",IF(J1551&lt;&gt;"","?FAMILIAR",IF(F1551="NEW",IF(ISNA(VLOOKUP(E1551,#REF!,1,FALSE())),"?TYPE_IDENTIFIABLE","?REFERENTIAL"),"_")))))</f>
        <v/>
      </c>
      <c r="H1551" s="23" t="str">
        <f ca="1">IF(J1551&lt;&gt;1,"",IF(I1551="SBJ","CB","?"))</f>
        <v/>
      </c>
      <c r="I1551" s="24" t="str">
        <f>IF(OR(E1551="",E1551="!!!",F1551="NEW"),"",INDEX(B$2:B1550,-1+SUMPRODUCT(MAX(ROW(E$2:E1550)*(E1551=E$2:E1550)))))</f>
        <v/>
      </c>
      <c r="J1551" s="24" t="str">
        <f ca="1">IF(OR(E1551="",E1551="!!!",F1551="NEW"),"",COUNTBLANK(OFFSET(A$1,,,SUMPRODUCT(MAX(ROW(E$2:E1551)*(E1551=E$2:E1551)))))-COUNTBLANK(OFFSET(A$1,,,SUMPRODUCT(MAX(ROW(E$1:E1550)*(E2=E$1:E1550))))))</f>
        <v/>
      </c>
      <c r="K1551" s="24" t="str">
        <f>IF(OR(E1551="",E1551="!!!",F1551="NEW"),"",INDEX(J$1:J1550,SUMPRODUCT(MAX(ROW(E$1:E1550)*(E1551=E$1:E1550)))))</f>
        <v/>
      </c>
      <c r="L1551" s="25"/>
    </row>
    <row r="1552" spans="1:12" x14ac:dyDescent="0.2">
      <c r="A1552" t="s">
        <v>1349</v>
      </c>
    </row>
    <row r="1553" spans="1:12" x14ac:dyDescent="0.2">
      <c r="A1553" t="s">
        <v>1073</v>
      </c>
      <c r="B1553" s="26" t="s">
        <v>804</v>
      </c>
      <c r="C1553" s="26" t="s">
        <v>805</v>
      </c>
      <c r="D1553" s="26" t="s">
        <v>806</v>
      </c>
      <c r="E1553" s="20" t="s">
        <v>1175</v>
      </c>
      <c r="F1553" s="21" t="str">
        <f>IF(OR(E1553="",E1553="!!!"),"",IF(NOT(ISNA(VLOOKUP(E1553,E$1:E1552,1,FALSE()))),"OLD",IF(AND(E1553&lt;&gt;"",E1553&lt;&gt;"!!!"),"NEW","")))</f>
        <v>OLD</v>
      </c>
      <c r="G1553" s="22" t="s">
        <v>1823</v>
      </c>
      <c r="H1553" s="23" t="str">
        <f t="shared" ref="H1553:H1558" ca="1" si="176">IF(J1553&lt;&gt;1,"",IF(I1553="SBJ","CB","?"))</f>
        <v/>
      </c>
      <c r="I1553" s="24" t="str">
        <f>IF(OR(E1553="",E1553="!!!",F1553="NEW"),"",INDEX(B$2:B1552,-1+SUMPRODUCT(MAX(ROW(E$2:E1552)*(E1553=E$2:E1552)))))</f>
        <v>SBJ_2</v>
      </c>
      <c r="J1553" s="24">
        <f ca="1">IF(OR(E1553="",E1553="!!!",F1553="NEW"),"",COUNTBLANK(OFFSET(A$1,,,SUMPRODUCT(MAX(ROW(E$2:E1553)*(E1553=E$2:E1553)))))-COUNTBLANK(OFFSET(A$1,,,SUMPRODUCT(MAX(ROW(E$1:E1552)*(E2=E$1:E1552))))))</f>
        <v>0</v>
      </c>
      <c r="K1553" s="24">
        <f ca="1">IF(OR(E1553="",E1553="!!!",F1553="NEW"),"",INDEX(J$1:J1552,SUMPRODUCT(MAX(ROW(E$1:E1552)*(E1553=E$1:E1552)))))</f>
        <v>0</v>
      </c>
      <c r="L1553" s="25"/>
    </row>
    <row r="1554" spans="1:12" x14ac:dyDescent="0.2">
      <c r="A1554" t="s">
        <v>904</v>
      </c>
      <c r="E1554" s="20" t="str">
        <f t="shared" ref="E1554:E1558" si="177">IF(D1554="?OLD","!!!","")</f>
        <v/>
      </c>
      <c r="F1554" s="21" t="str">
        <f>IF(OR(E1554="",E1554="!!!"),"",IF(NOT(ISNA(VLOOKUP(E1554,E$1:E1553,1,FALSE()))),"OLD",IF(AND(E1554&lt;&gt;"",E1554&lt;&gt;"!!!"),"NEW","")))</f>
        <v/>
      </c>
      <c r="G1554" s="22" t="str">
        <f>IF(OR(E1554="",E1554="!!!"),"",IF(OR(J1554=0,AND(J1554=1,K1554=1),AND(J1554=1,I1554="SBJ"),AND(J1554=1,I1554=0)),"?IN_FOCUS",IF(J1554&lt;=2,"?ACTIVATED",IF(J1554&lt;&gt;"","?FAMILIAR",IF(F1554="NEW",IF(ISNA(VLOOKUP(E1554,#REF!,1,FALSE())),"?TYPE_IDENTIFIABLE","?REFERENTIAL"),"_")))))</f>
        <v/>
      </c>
      <c r="H1554" s="23" t="str">
        <f t="shared" ca="1" si="176"/>
        <v/>
      </c>
      <c r="I1554" s="24" t="str">
        <f>IF(OR(E1554="",E1554="!!!",F1554="NEW"),"",INDEX(B$2:B1553,-1+SUMPRODUCT(MAX(ROW(E$2:E1553)*(E1554=E$2:E1553)))))</f>
        <v/>
      </c>
      <c r="J1554" s="24" t="str">
        <f ca="1">IF(OR(E1554="",E1554="!!!",F1554="NEW"),"",COUNTBLANK(OFFSET(A$1,,,SUMPRODUCT(MAX(ROW(E$2:E1554)*(E1554=E$2:E1554)))))-COUNTBLANK(OFFSET(A$1,,,SUMPRODUCT(MAX(ROW(E$1:E1553)*(E2=E$1:E1553))))))</f>
        <v/>
      </c>
      <c r="K1554" s="24" t="str">
        <f>IF(OR(E1554="",E1554="!!!",F1554="NEW"),"",INDEX(J$1:J1553,SUMPRODUCT(MAX(ROW(E$1:E1553)*(E1554=E$1:E1553)))))</f>
        <v/>
      </c>
      <c r="L1554" s="25"/>
    </row>
    <row r="1555" spans="1:12" x14ac:dyDescent="0.2">
      <c r="A1555" t="s">
        <v>802</v>
      </c>
      <c r="E1555" s="20" t="str">
        <f t="shared" si="177"/>
        <v/>
      </c>
      <c r="F1555" s="21" t="str">
        <f>IF(OR(E1555="",E1555="!!!"),"",IF(NOT(ISNA(VLOOKUP(E1555,E$1:E1554,1,FALSE()))),"OLD",IF(AND(E1555&lt;&gt;"",E1555&lt;&gt;"!!!"),"NEW","")))</f>
        <v/>
      </c>
      <c r="G1555" s="22" t="str">
        <f>IF(OR(E1555="",E1555="!!!"),"",IF(OR(J1555=0,AND(J1555=1,K1555=1),AND(J1555=1,I1555="SBJ"),AND(J1555=1,I1555=0)),"?IN_FOCUS",IF(J1555&lt;=2,"?ACTIVATED",IF(J1555&lt;&gt;"","?FAMILIAR",IF(F1555="NEW",IF(ISNA(VLOOKUP(E1555,#REF!,1,FALSE())),"?TYPE_IDENTIFIABLE","?REFERENTIAL"),"_")))))</f>
        <v/>
      </c>
      <c r="H1555" s="23" t="str">
        <f t="shared" ca="1" si="176"/>
        <v/>
      </c>
      <c r="I1555" s="24" t="str">
        <f>IF(OR(E1555="",E1555="!!!",F1555="NEW"),"",INDEX(B$2:B1554,-1+SUMPRODUCT(MAX(ROW(E$2:E1554)*(E1555=E$2:E1554)))))</f>
        <v/>
      </c>
      <c r="J1555" s="24" t="str">
        <f ca="1">IF(OR(E1555="",E1555="!!!",F1555="NEW"),"",COUNTBLANK(OFFSET(A$1,,,SUMPRODUCT(MAX(ROW(E$2:E1555)*(E1555=E$2:E1555)))))-COUNTBLANK(OFFSET(A$1,,,SUMPRODUCT(MAX(ROW(E$1:E1554)*(E2=E$1:E1554))))))</f>
        <v/>
      </c>
      <c r="K1555" s="24" t="str">
        <f>IF(OR(E1555="",E1555="!!!",F1555="NEW"),"",INDEX(J$1:J1554,SUMPRODUCT(MAX(ROW(E$1:E1554)*(E1555=E$1:E1554)))))</f>
        <v/>
      </c>
      <c r="L1555" s="25"/>
    </row>
    <row r="1556" spans="1:12" x14ac:dyDescent="0.2">
      <c r="A1556" t="s">
        <v>902</v>
      </c>
      <c r="E1556" s="20" t="str">
        <f t="shared" si="177"/>
        <v/>
      </c>
      <c r="F1556" s="21" t="str">
        <f>IF(OR(E1556="",E1556="!!!"),"",IF(NOT(ISNA(VLOOKUP(E1556,E$1:E1555,1,FALSE()))),"OLD",IF(AND(E1556&lt;&gt;"",E1556&lt;&gt;"!!!"),"NEW","")))</f>
        <v/>
      </c>
      <c r="G1556" s="22" t="str">
        <f>IF(OR(E1556="",E1556="!!!"),"",IF(OR(J1556=0,AND(J1556=1,K1556=1),AND(J1556=1,I1556="SBJ"),AND(J1556=1,I1556=0)),"?IN_FOCUS",IF(J1556&lt;=2,"?ACTIVATED",IF(J1556&lt;&gt;"","?FAMILIAR",IF(F1556="NEW",IF(ISNA(VLOOKUP(E1556,#REF!,1,FALSE())),"?TYPE_IDENTIFIABLE","?REFERENTIAL"),"_")))))</f>
        <v/>
      </c>
      <c r="H1556" s="23" t="str">
        <f t="shared" ca="1" si="176"/>
        <v/>
      </c>
      <c r="I1556" s="24" t="str">
        <f>IF(OR(E1556="",E1556="!!!",F1556="NEW"),"",INDEX(B$2:B1555,-1+SUMPRODUCT(MAX(ROW(E$2:E1555)*(E1556=E$2:E1555)))))</f>
        <v/>
      </c>
      <c r="J1556" s="24" t="str">
        <f ca="1">IF(OR(E1556="",E1556="!!!",F1556="NEW"),"",COUNTBLANK(OFFSET(A$1,,,SUMPRODUCT(MAX(ROW(E$2:E1556)*(E1556=E$2:E1556)))))-COUNTBLANK(OFFSET(A$1,,,SUMPRODUCT(MAX(ROW(E$1:E1555)*(E2=E$1:E1555))))))</f>
        <v/>
      </c>
      <c r="K1556" s="24" t="str">
        <f>IF(OR(E1556="",E1556="!!!",F1556="NEW"),"",INDEX(J$1:J1555,SUMPRODUCT(MAX(ROW(E$1:E1555)*(E1556=E$1:E1555)))))</f>
        <v/>
      </c>
      <c r="L1556" s="25"/>
    </row>
    <row r="1557" spans="1:12" x14ac:dyDescent="0.2">
      <c r="A1557" t="s">
        <v>971</v>
      </c>
      <c r="E1557" s="20" t="str">
        <f t="shared" si="177"/>
        <v/>
      </c>
      <c r="F1557" s="21" t="str">
        <f>IF(OR(E1557="",E1557="!!!"),"",IF(NOT(ISNA(VLOOKUP(E1557,E$1:E1556,1,FALSE()))),"OLD",IF(AND(E1557&lt;&gt;"",E1557&lt;&gt;"!!!"),"NEW","")))</f>
        <v/>
      </c>
      <c r="G1557" s="22" t="str">
        <f>IF(OR(E1557="",E1557="!!!"),"",IF(OR(J1557=0,AND(J1557=1,K1557=1),AND(J1557=1,I1557="SBJ"),AND(J1557=1,I1557=0)),"?IN_FOCUS",IF(J1557&lt;=2,"?ACTIVATED",IF(J1557&lt;&gt;"","?FAMILIAR",IF(F1557="NEW",IF(ISNA(VLOOKUP(E1557,#REF!,1,FALSE())),"?TYPE_IDENTIFIABLE","?REFERENTIAL"),"_")))))</f>
        <v/>
      </c>
      <c r="H1557" s="23" t="str">
        <f t="shared" ca="1" si="176"/>
        <v/>
      </c>
      <c r="I1557" s="24" t="str">
        <f>IF(OR(E1557="",E1557="!!!",F1557="NEW"),"",INDEX(B$2:B1556,-1+SUMPRODUCT(MAX(ROW(E$2:E1556)*(E1557=E$2:E1556)))))</f>
        <v/>
      </c>
      <c r="J1557" s="24" t="str">
        <f ca="1">IF(OR(E1557="",E1557="!!!",F1557="NEW"),"",COUNTBLANK(OFFSET(A$1,,,SUMPRODUCT(MAX(ROW(E$2:E1557)*(E1557=E$2:E1557)))))-COUNTBLANK(OFFSET(A$1,,,SUMPRODUCT(MAX(ROW(E$1:E1556)*(E2=E$1:E1556))))))</f>
        <v/>
      </c>
      <c r="K1557" s="24" t="str">
        <f>IF(OR(E1557="",E1557="!!!",F1557="NEW"),"",INDEX(J$1:J1556,SUMPRODUCT(MAX(ROW(E$1:E1556)*(E1557=E$1:E1556)))))</f>
        <v/>
      </c>
      <c r="L1557" s="25"/>
    </row>
    <row r="1558" spans="1:12" x14ac:dyDescent="0.2">
      <c r="A1558" t="s">
        <v>922</v>
      </c>
      <c r="E1558" s="20" t="str">
        <f t="shared" si="177"/>
        <v/>
      </c>
      <c r="F1558" s="21" t="str">
        <f>IF(OR(E1558="",E1558="!!!"),"",IF(NOT(ISNA(VLOOKUP(E1558,E$1:E1557,1,FALSE()))),"OLD",IF(AND(E1558&lt;&gt;"",E1558&lt;&gt;"!!!"),"NEW","")))</f>
        <v/>
      </c>
      <c r="G1558" s="22" t="str">
        <f>IF(OR(E1558="",E1558="!!!"),"",IF(OR(J1558=0,AND(J1558=1,K1558=1),AND(J1558=1,I1558="SBJ"),AND(J1558=1,I1558=0)),"?IN_FOCUS",IF(J1558&lt;=2,"?ACTIVATED",IF(J1558&lt;&gt;"","?FAMILIAR",IF(F1558="NEW",IF(ISNA(VLOOKUP(E1558,#REF!,1,FALSE())),"?TYPE_IDENTIFIABLE","?REFERENTIAL"),"_")))))</f>
        <v/>
      </c>
      <c r="H1558" s="23" t="str">
        <f t="shared" ca="1" si="176"/>
        <v/>
      </c>
      <c r="I1558" s="24" t="str">
        <f>IF(OR(E1558="",E1558="!!!",F1558="NEW"),"",INDEX(B$2:B1557,-1+SUMPRODUCT(MAX(ROW(E$2:E1557)*(E1558=E$2:E1557)))))</f>
        <v/>
      </c>
      <c r="J1558" s="24" t="str">
        <f ca="1">IF(OR(E1558="",E1558="!!!",F1558="NEW"),"",COUNTBLANK(OFFSET(A$1,,,SUMPRODUCT(MAX(ROW(E$2:E1558)*(E1558=E$2:E1558)))))-COUNTBLANK(OFFSET(A$1,,,SUMPRODUCT(MAX(ROW(E$1:E1557)*(E2=E$1:E1557))))))</f>
        <v/>
      </c>
      <c r="K1558" s="24" t="str">
        <f>IF(OR(E1558="",E1558="!!!",F1558="NEW"),"",INDEX(J$1:J1557,SUMPRODUCT(MAX(ROW(E$1:E1557)*(E1558=E$1:E1557)))))</f>
        <v/>
      </c>
      <c r="L1558" s="25"/>
    </row>
    <row r="1560" spans="1:12" x14ac:dyDescent="0.2">
      <c r="A1560" t="s">
        <v>1350</v>
      </c>
    </row>
    <row r="1561" spans="1:12" x14ac:dyDescent="0.2">
      <c r="A1561" t="s">
        <v>803</v>
      </c>
      <c r="B1561" s="26" t="s">
        <v>804</v>
      </c>
      <c r="C1561" s="26" t="s">
        <v>805</v>
      </c>
      <c r="D1561" s="26" t="s">
        <v>806</v>
      </c>
      <c r="E1561" s="20" t="s">
        <v>1175</v>
      </c>
      <c r="F1561" s="21" t="str">
        <f>IF(OR(E1561="",E1561="!!!"),"",IF(NOT(ISNA(VLOOKUP(E1561,E$1:E1560,1,FALSE()))),"OLD",IF(AND(E1561&lt;&gt;"",E1561&lt;&gt;"!!!"),"NEW","")))</f>
        <v>OLD</v>
      </c>
      <c r="G1561" s="22" t="s">
        <v>1823</v>
      </c>
      <c r="H1561" s="23" t="str">
        <f t="shared" ref="H1561:H1568" ca="1" si="178">IF(J1561&lt;&gt;1,"",IF(I1561="SBJ","CB","?"))</f>
        <v/>
      </c>
      <c r="I1561" s="24" t="str">
        <f>IF(OR(E1561="",E1561="!!!",F1561="NEW"),"",INDEX(B$2:B1560,-1+SUMPRODUCT(MAX(ROW(E$2:E1560)*(E1561=E$2:E1560)))))</f>
        <v>SBJ</v>
      </c>
      <c r="J1561" s="24">
        <f ca="1">IF(OR(E1561="",E1561="!!!",F1561="NEW"),"",COUNTBLANK(OFFSET(A$1,,,SUMPRODUCT(MAX(ROW(E$2:E1561)*(E1561=E$2:E1561)))))-COUNTBLANK(OFFSET(A$1,,,SUMPRODUCT(MAX(ROW(E$1:E1560)*(E2=E$1:E1560))))))</f>
        <v>0</v>
      </c>
      <c r="K1561" s="24">
        <f ca="1">IF(OR(E1561="",E1561="!!!",F1561="NEW"),"",INDEX(J$1:J1560,SUMPRODUCT(MAX(ROW(E$1:E1560)*(E1561=E$1:E1560)))))</f>
        <v>0</v>
      </c>
      <c r="L1561" s="25"/>
    </row>
    <row r="1562" spans="1:12" x14ac:dyDescent="0.2">
      <c r="A1562" t="s">
        <v>1074</v>
      </c>
      <c r="E1562" s="20" t="str">
        <f t="shared" ref="E1562:E1568" si="179">IF(D1562="?OLD","!!!","")</f>
        <v/>
      </c>
      <c r="F1562" s="21" t="str">
        <f>IF(OR(E1562="",E1562="!!!"),"",IF(NOT(ISNA(VLOOKUP(E1562,E$1:E1561,1,FALSE()))),"OLD",IF(AND(E1562&lt;&gt;"",E1562&lt;&gt;"!!!"),"NEW","")))</f>
        <v/>
      </c>
      <c r="G1562" s="22" t="str">
        <f>IF(OR(E1562="",E1562="!!!"),"",IF(OR(J1562=0,AND(J1562=1,K1562=1),AND(J1562=1,I1562="SBJ"),AND(J1562=1,I1562=0)),"?IN_FOCUS",IF(J1562&lt;=2,"?ACTIVATED",IF(J1562&lt;&gt;"","?FAMILIAR",IF(F1562="NEW",IF(ISNA(VLOOKUP(E1562,#REF!,1,FALSE())),"?TYPE_IDENTIFIABLE","?REFERENTIAL"),"_")))))</f>
        <v/>
      </c>
      <c r="H1562" s="23" t="str">
        <f t="shared" ca="1" si="178"/>
        <v/>
      </c>
      <c r="I1562" s="24" t="str">
        <f>IF(OR(E1562="",E1562="!!!",F1562="NEW"),"",INDEX(B$2:B1561,-1+SUMPRODUCT(MAX(ROW(E$2:E1561)*(E1562=E$2:E1561)))))</f>
        <v/>
      </c>
      <c r="J1562" s="24" t="str">
        <f ca="1">IF(OR(E1562="",E1562="!!!",F1562="NEW"),"",COUNTBLANK(OFFSET(A$1,,,SUMPRODUCT(MAX(ROW(E$2:E1562)*(E1562=E$2:E1562)))))-COUNTBLANK(OFFSET(A$1,,,SUMPRODUCT(MAX(ROW(E$1:E1561)*(E2=E$1:E1561))))))</f>
        <v/>
      </c>
      <c r="K1562" s="24" t="str">
        <f>IF(OR(E1562="",E1562="!!!",F1562="NEW"),"",INDEX(J$1:J1561,SUMPRODUCT(MAX(ROW(E$1:E1561)*(E1562=E$1:E1561)))))</f>
        <v/>
      </c>
      <c r="L1562" s="25"/>
    </row>
    <row r="1563" spans="1:12" x14ac:dyDescent="0.2">
      <c r="A1563" t="s">
        <v>999</v>
      </c>
      <c r="E1563" s="20" t="str">
        <f t="shared" si="179"/>
        <v/>
      </c>
      <c r="F1563" s="21" t="str">
        <f>IF(OR(E1563="",E1563="!!!"),"",IF(NOT(ISNA(VLOOKUP(E1563,E$1:E1562,1,FALSE()))),"OLD",IF(AND(E1563&lt;&gt;"",E1563&lt;&gt;"!!!"),"NEW","")))</f>
        <v/>
      </c>
      <c r="G1563" s="22" t="str">
        <f>IF(OR(E1563="",E1563="!!!"),"",IF(OR(J1563=0,AND(J1563=1,K1563=1),AND(J1563=1,I1563="SBJ"),AND(J1563=1,I1563=0)),"?IN_FOCUS",IF(J1563&lt;=2,"?ACTIVATED",IF(J1563&lt;&gt;"","?FAMILIAR",IF(F1563="NEW",IF(ISNA(VLOOKUP(E1563,#REF!,1,FALSE())),"?TYPE_IDENTIFIABLE","?REFERENTIAL"),"_")))))</f>
        <v/>
      </c>
      <c r="H1563" s="23" t="str">
        <f t="shared" ca="1" si="178"/>
        <v/>
      </c>
      <c r="I1563" s="24" t="str">
        <f>IF(OR(E1563="",E1563="!!!",F1563="NEW"),"",INDEX(B$2:B1562,-1+SUMPRODUCT(MAX(ROW(E$2:E1562)*(E1563=E$2:E1562)))))</f>
        <v/>
      </c>
      <c r="J1563" s="24" t="str">
        <f ca="1">IF(OR(E1563="",E1563="!!!",F1563="NEW"),"",COUNTBLANK(OFFSET(A$1,,,SUMPRODUCT(MAX(ROW(E$2:E1563)*(E1563=E$2:E1563)))))-COUNTBLANK(OFFSET(A$1,,,SUMPRODUCT(MAX(ROW(E$1:E1562)*(E2=E$1:E1562))))))</f>
        <v/>
      </c>
      <c r="K1563" s="24" t="str">
        <f>IF(OR(E1563="",E1563="!!!",F1563="NEW"),"",INDEX(J$1:J1562,SUMPRODUCT(MAX(ROW(E$1:E1562)*(E1563=E$1:E1562)))))</f>
        <v/>
      </c>
      <c r="L1563" s="25"/>
    </row>
    <row r="1564" spans="1:12" x14ac:dyDescent="0.2">
      <c r="A1564" t="s">
        <v>13</v>
      </c>
      <c r="E1564" s="20" t="str">
        <f t="shared" si="179"/>
        <v/>
      </c>
      <c r="F1564" s="21" t="str">
        <f>IF(OR(E1564="",E1564="!!!"),"",IF(NOT(ISNA(VLOOKUP(E1564,E$1:E1563,1,FALSE()))),"OLD",IF(AND(E1564&lt;&gt;"",E1564&lt;&gt;"!!!"),"NEW","")))</f>
        <v/>
      </c>
      <c r="G1564" s="22" t="str">
        <f>IF(OR(E1564="",E1564="!!!"),"",IF(OR(J1564=0,AND(J1564=1,K1564=1),AND(J1564=1,I1564="SBJ"),AND(J1564=1,I1564=0)),"?IN_FOCUS",IF(J1564&lt;=2,"?ACTIVATED",IF(J1564&lt;&gt;"","?FAMILIAR",IF(F1564="NEW",IF(ISNA(VLOOKUP(E1564,#REF!,1,FALSE())),"?TYPE_IDENTIFIABLE","?REFERENTIAL"),"_")))))</f>
        <v/>
      </c>
      <c r="H1564" s="23" t="str">
        <f t="shared" ca="1" si="178"/>
        <v/>
      </c>
      <c r="I1564" s="24" t="str">
        <f>IF(OR(E1564="",E1564="!!!",F1564="NEW"),"",INDEX(B$2:B1563,-1+SUMPRODUCT(MAX(ROW(E$2:E1563)*(E1564=E$2:E1563)))))</f>
        <v/>
      </c>
      <c r="J1564" s="24" t="str">
        <f ca="1">IF(OR(E1564="",E1564="!!!",F1564="NEW"),"",COUNTBLANK(OFFSET(A$1,,,SUMPRODUCT(MAX(ROW(E$2:E1564)*(E1564=E$2:E1564)))))-COUNTBLANK(OFFSET(A$1,,,SUMPRODUCT(MAX(ROW(E$1:E1563)*(E2=E$1:E1563))))))</f>
        <v/>
      </c>
      <c r="K1564" s="24" t="str">
        <f>IF(OR(E1564="",E1564="!!!",F1564="NEW"),"",INDEX(J$1:J1563,SUMPRODUCT(MAX(ROW(E$1:E1563)*(E1564=E$1:E1563)))))</f>
        <v/>
      </c>
      <c r="L1564" s="25"/>
    </row>
    <row r="1565" spans="1:12" x14ac:dyDescent="0.2">
      <c r="A1565" t="s">
        <v>1281</v>
      </c>
      <c r="B1565" s="26" t="s">
        <v>810</v>
      </c>
      <c r="C1565" s="26" t="s">
        <v>956</v>
      </c>
      <c r="D1565" s="26" t="s">
        <v>806</v>
      </c>
      <c r="E1565" s="20"/>
      <c r="F1565" s="21" t="s">
        <v>1781</v>
      </c>
      <c r="G1565" s="22" t="str">
        <f>IF(OR(E1565="",E1565="!!!"),"",IF(OR(J1565=0,AND(J1565=1,K1565=1),AND(J1565=1,I1565="SBJ"),AND(J1565=1,I1565=0)),"?IN_FOCUS",IF(J1565&lt;=2,"?ACTIVATED",IF(J1565&lt;&gt;"","?FAMILIAR",IF(F1565="NEW",IF(ISNA(VLOOKUP(E1565,#REF!,1,FALSE())),"?TYPE_IDENTIFIABLE","?REFERENTIAL"),"_")))))</f>
        <v/>
      </c>
      <c r="H1565" s="23" t="str">
        <f t="shared" ca="1" si="178"/>
        <v/>
      </c>
      <c r="I1565" s="24" t="str">
        <f>IF(OR(E1565="",E1565="!!!",F1565="NEW"),"",INDEX(B$2:B1564,-1+SUMPRODUCT(MAX(ROW(E$2:E1564)*(E1565=E$2:E1564)))))</f>
        <v/>
      </c>
      <c r="J1565" s="24" t="str">
        <f ca="1">IF(OR(E1565="",E1565="!!!",F1565="NEW"),"",COUNTBLANK(OFFSET(A$1,,,SUMPRODUCT(MAX(ROW(E$2:E1565)*(E1565=E$2:E1565)))))-COUNTBLANK(OFFSET(A$1,,,SUMPRODUCT(MAX(ROW(E$1:E1564)*(E2=E$1:E1564))))))</f>
        <v/>
      </c>
      <c r="K1565" s="24" t="str">
        <f>IF(OR(E1565="",E1565="!!!",F1565="NEW"),"",INDEX(J$1:J1564,SUMPRODUCT(MAX(ROW(E$1:E1564)*(E1565=E$1:E1564)))))</f>
        <v/>
      </c>
      <c r="L1565" s="25"/>
    </row>
    <row r="1566" spans="1:12" x14ac:dyDescent="0.2">
      <c r="A1566" t="s">
        <v>869</v>
      </c>
      <c r="E1566" s="20" t="str">
        <f t="shared" si="179"/>
        <v/>
      </c>
      <c r="F1566" s="21" t="str">
        <f>IF(OR(E1566="",E1566="!!!"),"",IF(NOT(ISNA(VLOOKUP(E1566,E$1:E1565,1,FALSE()))),"OLD",IF(AND(E1566&lt;&gt;"",E1566&lt;&gt;"!!!"),"NEW","")))</f>
        <v/>
      </c>
      <c r="G1566" s="22" t="str">
        <f>IF(OR(E1566="",E1566="!!!"),"",IF(OR(J1566=0,AND(J1566=1,K1566=1),AND(J1566=1,I1566="SBJ"),AND(J1566=1,I1566=0)),"?IN_FOCUS",IF(J1566&lt;=2,"?ACTIVATED",IF(J1566&lt;&gt;"","?FAMILIAR",IF(F1566="NEW",IF(ISNA(VLOOKUP(E1566,#REF!,1,FALSE())),"?TYPE_IDENTIFIABLE","?REFERENTIAL"),"_")))))</f>
        <v/>
      </c>
      <c r="H1566" s="23" t="str">
        <f t="shared" ca="1" si="178"/>
        <v/>
      </c>
      <c r="I1566" s="24" t="str">
        <f>IF(OR(E1566="",E1566="!!!",F1566="NEW"),"",INDEX(B$2:B1565,-1+SUMPRODUCT(MAX(ROW(E$2:E1565)*(E1566=E$2:E1565)))))</f>
        <v/>
      </c>
      <c r="J1566" s="24" t="str">
        <f ca="1">IF(OR(E1566="",E1566="!!!",F1566="NEW"),"",COUNTBLANK(OFFSET(A$1,,,SUMPRODUCT(MAX(ROW(E$2:E1566)*(E1566=E$2:E1566)))))-COUNTBLANK(OFFSET(A$1,,,SUMPRODUCT(MAX(ROW(E$1:E1565)*(E2=E$1:E1565))))))</f>
        <v/>
      </c>
      <c r="K1566" s="24" t="str">
        <f>IF(OR(E1566="",E1566="!!!",F1566="NEW"),"",INDEX(J$1:J1565,SUMPRODUCT(MAX(ROW(E$1:E1565)*(E1566=E$1:E1565)))))</f>
        <v/>
      </c>
      <c r="L1566" s="25"/>
    </row>
    <row r="1567" spans="1:12" x14ac:dyDescent="0.2">
      <c r="A1567" t="s">
        <v>30</v>
      </c>
      <c r="B1567" s="26" t="s">
        <v>813</v>
      </c>
      <c r="C1567" s="26" t="s">
        <v>814</v>
      </c>
      <c r="E1567" s="20" t="str">
        <f t="shared" si="179"/>
        <v/>
      </c>
      <c r="F1567" s="21" t="str">
        <f>IF(OR(E1567="",E1567="!!!"),"",IF(NOT(ISNA(VLOOKUP(E1567,E$1:E1566,1,FALSE()))),"OLD",IF(AND(E1567&lt;&gt;"",E1567&lt;&gt;"!!!"),"NEW","")))</f>
        <v/>
      </c>
      <c r="G1567" s="22" t="str">
        <f>IF(OR(E1567="",E1567="!!!"),"",IF(OR(J1567=0,AND(J1567=1,K1567=1),AND(J1567=1,I1567="SBJ"),AND(J1567=1,I1567=0)),"?IN_FOCUS",IF(J1567&lt;=2,"?ACTIVATED",IF(J1567&lt;&gt;"","?FAMILIAR",IF(F1567="NEW",IF(ISNA(VLOOKUP(E1567,#REF!,1,FALSE())),"?TYPE_IDENTIFIABLE","?REFERENTIAL"),"_")))))</f>
        <v/>
      </c>
      <c r="H1567" s="23" t="str">
        <f t="shared" ca="1" si="178"/>
        <v/>
      </c>
      <c r="I1567" s="24" t="str">
        <f>IF(OR(E1567="",E1567="!!!",F1567="NEW"),"",INDEX(B$2:B1566,-1+SUMPRODUCT(MAX(ROW(E$2:E1566)*(E1567=E$2:E1566)))))</f>
        <v/>
      </c>
      <c r="J1567" s="24" t="str">
        <f ca="1">IF(OR(E1567="",E1567="!!!",F1567="NEW"),"",COUNTBLANK(OFFSET(A$1,,,SUMPRODUCT(MAX(ROW(E$2:E1567)*(E1567=E$2:E1567)))))-COUNTBLANK(OFFSET(A$1,,,SUMPRODUCT(MAX(ROW(E$1:E1566)*(E2=E$1:E1566))))))</f>
        <v/>
      </c>
      <c r="K1567" s="24" t="str">
        <f>IF(OR(E1567="",E1567="!!!",F1567="NEW"),"",INDEX(J$1:J1566,SUMPRODUCT(MAX(ROW(E$1:E1566)*(E1567=E$1:E1566)))))</f>
        <v/>
      </c>
      <c r="L1567" s="25"/>
    </row>
    <row r="1568" spans="1:12" x14ac:dyDescent="0.2">
      <c r="A1568" t="s">
        <v>821</v>
      </c>
      <c r="E1568" s="20" t="str">
        <f t="shared" si="179"/>
        <v/>
      </c>
      <c r="F1568" s="21" t="str">
        <f>IF(OR(E1568="",E1568="!!!"),"",IF(NOT(ISNA(VLOOKUP(E1568,E$1:E1567,1,FALSE()))),"OLD",IF(AND(E1568&lt;&gt;"",E1568&lt;&gt;"!!!"),"NEW","")))</f>
        <v/>
      </c>
      <c r="G1568" s="22" t="str">
        <f>IF(OR(E1568="",E1568="!!!"),"",IF(OR(J1568=0,AND(J1568=1,K1568=1),AND(J1568=1,I1568="SBJ"),AND(J1568=1,I1568=0)),"?IN_FOCUS",IF(J1568&lt;=2,"?ACTIVATED",IF(J1568&lt;&gt;"","?FAMILIAR",IF(F1568="NEW",IF(ISNA(VLOOKUP(E1568,#REF!,1,FALSE())),"?TYPE_IDENTIFIABLE","?REFERENTIAL"),"_")))))</f>
        <v/>
      </c>
      <c r="H1568" s="23" t="str">
        <f t="shared" ca="1" si="178"/>
        <v/>
      </c>
      <c r="I1568" s="24" t="str">
        <f>IF(OR(E1568="",E1568="!!!",F1568="NEW"),"",INDEX(B$2:B1567,-1+SUMPRODUCT(MAX(ROW(E$2:E1567)*(E1568=E$2:E1567)))))</f>
        <v/>
      </c>
      <c r="J1568" s="24" t="str">
        <f ca="1">IF(OR(E1568="",E1568="!!!",F1568="NEW"),"",COUNTBLANK(OFFSET(A$1,,,SUMPRODUCT(MAX(ROW(E$2:E1568)*(E1568=E$2:E1568)))))-COUNTBLANK(OFFSET(A$1,,,SUMPRODUCT(MAX(ROW(E$1:E1567)*(E2=E$1:E1567))))))</f>
        <v/>
      </c>
      <c r="K1568" s="24" t="str">
        <f>IF(OR(E1568="",E1568="!!!",F1568="NEW"),"",INDEX(J$1:J1567,SUMPRODUCT(MAX(ROW(E$1:E1567)*(E1568=E$1:E1567)))))</f>
        <v/>
      </c>
      <c r="L1568" s="25"/>
    </row>
    <row r="1570" spans="1:12" x14ac:dyDescent="0.2">
      <c r="A1570" t="s">
        <v>900</v>
      </c>
      <c r="E1570" s="20" t="str">
        <f>IF(D1570="?OLD","!!!","")</f>
        <v/>
      </c>
      <c r="F1570" s="21" t="str">
        <f>IF(OR(E1570="",E1570="!!!"),"",IF(NOT(ISNA(VLOOKUP(E1570,E$1:E1569,1,FALSE()))),"OLD",IF(AND(E1570&lt;&gt;"",E1570&lt;&gt;"!!!"),"NEW","")))</f>
        <v/>
      </c>
      <c r="G1570" s="22" t="str">
        <f>IF(OR(E1570="",E1570="!!!"),"",IF(OR(J1570=0,AND(J1570=1,K1570=1),AND(J1570=1,I1570="SBJ"),AND(J1570=1,I1570=0)),"?IN_FOCUS",IF(J1570&lt;=2,"?ACTIVATED",IF(J1570&lt;&gt;"","?FAMILIAR",IF(F1570="NEW",IF(ISNA(VLOOKUP(E1570,#REF!,1,FALSE())),"?TYPE_IDENTIFIABLE","?REFERENTIAL"),"_")))))</f>
        <v/>
      </c>
      <c r="H1570" s="23" t="str">
        <f ca="1">IF(J1570&lt;&gt;1,"",IF(I1570="SBJ","CB","?"))</f>
        <v/>
      </c>
      <c r="I1570" s="24" t="str">
        <f>IF(OR(E1570="",E1570="!!!",F1570="NEW"),"",INDEX(B$2:B1569,-1+SUMPRODUCT(MAX(ROW(E$2:E1569)*(E1570=E$2:E1569)))))</f>
        <v/>
      </c>
      <c r="J1570" s="24" t="str">
        <f ca="1">IF(OR(E1570="",E1570="!!!",F1570="NEW"),"",COUNTBLANK(OFFSET(A$1,,,SUMPRODUCT(MAX(ROW(E$2:E1570)*(E1570=E$2:E1570)))))-COUNTBLANK(OFFSET(A$1,,,SUMPRODUCT(MAX(ROW(E$1:E1569)*(E2=E$1:E1569))))))</f>
        <v/>
      </c>
      <c r="K1570" s="24" t="str">
        <f>IF(OR(E1570="",E1570="!!!",F1570="NEW"),"",INDEX(J$1:J1569,SUMPRODUCT(MAX(ROW(E$1:E1569)*(E1570=E$1:E1569)))))</f>
        <v/>
      </c>
      <c r="L1570" s="25"/>
    </row>
    <row r="1571" spans="1:12" x14ac:dyDescent="0.2">
      <c r="A1571" t="s">
        <v>1351</v>
      </c>
    </row>
    <row r="1572" spans="1:12" x14ac:dyDescent="0.2">
      <c r="A1572" t="s">
        <v>803</v>
      </c>
      <c r="B1572" s="26" t="s">
        <v>804</v>
      </c>
      <c r="C1572" s="26" t="s">
        <v>805</v>
      </c>
      <c r="D1572" s="26" t="s">
        <v>806</v>
      </c>
      <c r="E1572" s="20" t="s">
        <v>1175</v>
      </c>
      <c r="F1572" s="21" t="str">
        <f>IF(OR(E1572="",E1572="!!!"),"",IF(NOT(ISNA(VLOOKUP(E1572,E$1:E1571,1,FALSE()))),"OLD",IF(AND(E1572&lt;&gt;"",E1572&lt;&gt;"!!!"),"NEW","")))</f>
        <v>OLD</v>
      </c>
      <c r="G1572" s="22" t="s">
        <v>1823</v>
      </c>
      <c r="H1572" s="23" t="str">
        <f t="shared" ref="H1572:H1579" ca="1" si="180">IF(J1572&lt;&gt;1,"",IF(I1572="SBJ","CB","?"))</f>
        <v/>
      </c>
      <c r="I1572" s="24" t="str">
        <f>IF(OR(E1572="",E1572="!!!",F1572="NEW"),"",INDEX(B$2:B1571,-1+SUMPRODUCT(MAX(ROW(E$2:E1571)*(E1572=E$2:E1571)))))</f>
        <v>SBJ</v>
      </c>
      <c r="J1572" s="24">
        <f ca="1">IF(OR(E1572="",E1572="!!!",F1572="NEW"),"",COUNTBLANK(OFFSET(A$1,,,SUMPRODUCT(MAX(ROW(E$2:E1572)*(E1572=E$2:E1572)))))-COUNTBLANK(OFFSET(A$1,,,SUMPRODUCT(MAX(ROW(E$1:E1571)*(E2=E$1:E1571))))))</f>
        <v>0</v>
      </c>
      <c r="K1572" s="24">
        <f ca="1">IF(OR(E1572="",E1572="!!!",F1572="NEW"),"",INDEX(J$1:J1571,SUMPRODUCT(MAX(ROW(E$1:E1571)*(E1572=E$1:E1571)))))</f>
        <v>0</v>
      </c>
      <c r="L1572" s="25"/>
    </row>
    <row r="1573" spans="1:12" x14ac:dyDescent="0.2">
      <c r="A1573" t="s">
        <v>1128</v>
      </c>
      <c r="E1573" s="20" t="str">
        <f t="shared" ref="E1573:E1579" si="181">IF(D1573="?OLD","!!!","")</f>
        <v/>
      </c>
      <c r="F1573" s="21" t="str">
        <f>IF(OR(E1573="",E1573="!!!"),"",IF(NOT(ISNA(VLOOKUP(E1573,E$1:E1572,1,FALSE()))),"OLD",IF(AND(E1573&lt;&gt;"",E1573&lt;&gt;"!!!"),"NEW","")))</f>
        <v/>
      </c>
      <c r="G1573" s="22" t="str">
        <f>IF(OR(E1573="",E1573="!!!"),"",IF(OR(J1573=0,AND(J1573=1,K1573=1),AND(J1573=1,I1573="SBJ"),AND(J1573=1,I1573=0)),"?IN_FOCUS",IF(J1573&lt;=2,"?ACTIVATED",IF(J1573&lt;&gt;"","?FAMILIAR",IF(F1573="NEW",IF(ISNA(VLOOKUP(E1573,#REF!,1,FALSE())),"?TYPE_IDENTIFIABLE","?REFERENTIAL"),"_")))))</f>
        <v/>
      </c>
      <c r="H1573" s="23" t="str">
        <f t="shared" ca="1" si="180"/>
        <v/>
      </c>
      <c r="I1573" s="24" t="str">
        <f>IF(OR(E1573="",E1573="!!!",F1573="NEW"),"",INDEX(B$2:B1572,-1+SUMPRODUCT(MAX(ROW(E$2:E1572)*(E1573=E$2:E1572)))))</f>
        <v/>
      </c>
      <c r="J1573" s="24" t="str">
        <f ca="1">IF(OR(E1573="",E1573="!!!",F1573="NEW"),"",COUNTBLANK(OFFSET(A$1,,,SUMPRODUCT(MAX(ROW(E$2:E1573)*(E1573=E$2:E1573)))))-COUNTBLANK(OFFSET(A$1,,,SUMPRODUCT(MAX(ROW(E$1:E1572)*(E2=E$1:E1572))))))</f>
        <v/>
      </c>
      <c r="K1573" s="24" t="str">
        <f>IF(OR(E1573="",E1573="!!!",F1573="NEW"),"",INDEX(J$1:J1572,SUMPRODUCT(MAX(ROW(E$1:E1572)*(E1573=E$1:E1572)))))</f>
        <v/>
      </c>
      <c r="L1573" s="25"/>
    </row>
    <row r="1574" spans="1:12" x14ac:dyDescent="0.2">
      <c r="A1574" t="s">
        <v>895</v>
      </c>
      <c r="E1574" s="20" t="str">
        <f t="shared" si="181"/>
        <v/>
      </c>
      <c r="F1574" s="21" t="str">
        <f>IF(OR(E1574="",E1574="!!!"),"",IF(NOT(ISNA(VLOOKUP(E1574,E$1:E1573,1,FALSE()))),"OLD",IF(AND(E1574&lt;&gt;"",E1574&lt;&gt;"!!!"),"NEW","")))</f>
        <v/>
      </c>
      <c r="G1574" s="22" t="str">
        <f>IF(OR(E1574="",E1574="!!!"),"",IF(OR(J1574=0,AND(J1574=1,K1574=1),AND(J1574=1,I1574="SBJ"),AND(J1574=1,I1574=0)),"?IN_FOCUS",IF(J1574&lt;=2,"?ACTIVATED",IF(J1574&lt;&gt;"","?FAMILIAR",IF(F1574="NEW",IF(ISNA(VLOOKUP(E1574,#REF!,1,FALSE())),"?TYPE_IDENTIFIABLE","?REFERENTIAL"),"_")))))</f>
        <v/>
      </c>
      <c r="H1574" s="23" t="str">
        <f t="shared" ca="1" si="180"/>
        <v/>
      </c>
      <c r="I1574" s="24" t="str">
        <f>IF(OR(E1574="",E1574="!!!",F1574="NEW"),"",INDEX(B$2:B1573,-1+SUMPRODUCT(MAX(ROW(E$2:E1573)*(E1574=E$2:E1573)))))</f>
        <v/>
      </c>
      <c r="J1574" s="24" t="str">
        <f ca="1">IF(OR(E1574="",E1574="!!!",F1574="NEW"),"",COUNTBLANK(OFFSET(A$1,,,SUMPRODUCT(MAX(ROW(E$2:E1574)*(E1574=E$2:E1574)))))-COUNTBLANK(OFFSET(A$1,,,SUMPRODUCT(MAX(ROW(E$1:E1573)*(E2=E$1:E1573))))))</f>
        <v/>
      </c>
      <c r="K1574" s="24" t="str">
        <f>IF(OR(E1574="",E1574="!!!",F1574="NEW"),"",INDEX(J$1:J1573,SUMPRODUCT(MAX(ROW(E$1:E1573)*(E1574=E$1:E1573)))))</f>
        <v/>
      </c>
      <c r="L1574" s="25"/>
    </row>
    <row r="1575" spans="1:12" x14ac:dyDescent="0.2">
      <c r="A1575" t="s">
        <v>1348</v>
      </c>
      <c r="B1575" s="26" t="s">
        <v>819</v>
      </c>
      <c r="C1575" s="26" t="s">
        <v>811</v>
      </c>
      <c r="E1575" s="20" t="str">
        <f t="shared" si="181"/>
        <v/>
      </c>
      <c r="F1575" s="21" t="str">
        <f>IF(OR(E1575="",E1575="!!!"),"",IF(NOT(ISNA(VLOOKUP(E1575,E$1:E1574,1,FALSE()))),"OLD",IF(AND(E1575&lt;&gt;"",E1575&lt;&gt;"!!!"),"NEW","")))</f>
        <v/>
      </c>
      <c r="G1575" s="22" t="str">
        <f>IF(OR(E1575="",E1575="!!!"),"",IF(OR(J1575=0,AND(J1575=1,K1575=1),AND(J1575=1,I1575="SBJ"),AND(J1575=1,I1575=0)),"?IN_FOCUS",IF(J1575&lt;=2,"?ACTIVATED",IF(J1575&lt;&gt;"","?FAMILIAR",IF(F1575="NEW",IF(ISNA(VLOOKUP(E1575,#REF!,1,FALSE())),"?TYPE_IDENTIFIABLE","?REFERENTIAL"),"_")))))</f>
        <v/>
      </c>
      <c r="H1575" s="23" t="str">
        <f t="shared" ca="1" si="180"/>
        <v/>
      </c>
      <c r="I1575" s="24" t="str">
        <f>IF(OR(E1575="",E1575="!!!",F1575="NEW"),"",INDEX(B$2:B1574,-1+SUMPRODUCT(MAX(ROW(E$2:E1574)*(E1575=E$2:E1574)))))</f>
        <v/>
      </c>
      <c r="J1575" s="24" t="str">
        <f ca="1">IF(OR(E1575="",E1575="!!!",F1575="NEW"),"",COUNTBLANK(OFFSET(A$1,,,SUMPRODUCT(MAX(ROW(E$2:E1575)*(E1575=E$2:E1575)))))-COUNTBLANK(OFFSET(A$1,,,SUMPRODUCT(MAX(ROW(E$1:E1574)*(E2=E$1:E1574))))))</f>
        <v/>
      </c>
      <c r="K1575" s="24" t="str">
        <f>IF(OR(E1575="",E1575="!!!",F1575="NEW"),"",INDEX(J$1:J1574,SUMPRODUCT(MAX(ROW(E$1:E1574)*(E1575=E$1:E1574)))))</f>
        <v/>
      </c>
      <c r="L1575" s="25"/>
    </row>
    <row r="1576" spans="1:12" x14ac:dyDescent="0.2">
      <c r="A1576" t="s">
        <v>815</v>
      </c>
      <c r="E1576" s="20" t="str">
        <f t="shared" si="181"/>
        <v/>
      </c>
      <c r="F1576" s="21" t="str">
        <f>IF(OR(E1576="",E1576="!!!"),"",IF(NOT(ISNA(VLOOKUP(E1576,E$1:E1575,1,FALSE()))),"OLD",IF(AND(E1576&lt;&gt;"",E1576&lt;&gt;"!!!"),"NEW","")))</f>
        <v/>
      </c>
      <c r="G1576" s="22" t="str">
        <f>IF(OR(E1576="",E1576="!!!"),"",IF(OR(J1576=0,AND(J1576=1,K1576=1),AND(J1576=1,I1576="SBJ"),AND(J1576=1,I1576=0)),"?IN_FOCUS",IF(J1576&lt;=2,"?ACTIVATED",IF(J1576&lt;&gt;"","?FAMILIAR",IF(F1576="NEW",IF(ISNA(VLOOKUP(E1576,#REF!,1,FALSE())),"?TYPE_IDENTIFIABLE","?REFERENTIAL"),"_")))))</f>
        <v/>
      </c>
      <c r="H1576" s="23" t="str">
        <f t="shared" ca="1" si="180"/>
        <v/>
      </c>
      <c r="I1576" s="24" t="str">
        <f>IF(OR(E1576="",E1576="!!!",F1576="NEW"),"",INDEX(B$2:B1575,-1+SUMPRODUCT(MAX(ROW(E$2:E1575)*(E1576=E$2:E1575)))))</f>
        <v/>
      </c>
      <c r="J1576" s="24" t="str">
        <f ca="1">IF(OR(E1576="",E1576="!!!",F1576="NEW"),"",COUNTBLANK(OFFSET(A$1,,,SUMPRODUCT(MAX(ROW(E$2:E1576)*(E1576=E$2:E1576)))))-COUNTBLANK(OFFSET(A$1,,,SUMPRODUCT(MAX(ROW(E$1:E1575)*(E2=E$1:E1575))))))</f>
        <v/>
      </c>
      <c r="K1576" s="24" t="str">
        <f>IF(OR(E1576="",E1576="!!!",F1576="NEW"),"",INDEX(J$1:J1575,SUMPRODUCT(MAX(ROW(E$1:E1575)*(E1576=E$1:E1575)))))</f>
        <v/>
      </c>
      <c r="L1576" s="25"/>
    </row>
    <row r="1577" spans="1:12" x14ac:dyDescent="0.2">
      <c r="A1577" t="s">
        <v>1352</v>
      </c>
      <c r="B1577" s="26" t="s">
        <v>819</v>
      </c>
      <c r="C1577" s="26" t="s">
        <v>814</v>
      </c>
      <c r="E1577" s="20" t="str">
        <f t="shared" si="181"/>
        <v/>
      </c>
      <c r="F1577" s="21" t="str">
        <f>IF(OR(E1577="",E1577="!!!"),"",IF(NOT(ISNA(VLOOKUP(E1577,E$1:E1576,1,FALSE()))),"OLD",IF(AND(E1577&lt;&gt;"",E1577&lt;&gt;"!!!"),"NEW","")))</f>
        <v/>
      </c>
      <c r="G1577" s="22" t="str">
        <f>IF(OR(E1577="",E1577="!!!"),"",IF(OR(J1577=0,AND(J1577=1,K1577=1),AND(J1577=1,I1577="SBJ"),AND(J1577=1,I1577=0)),"?IN_FOCUS",IF(J1577&lt;=2,"?ACTIVATED",IF(J1577&lt;&gt;"","?FAMILIAR",IF(F1577="NEW",IF(ISNA(VLOOKUP(E1577,#REF!,1,FALSE())),"?TYPE_IDENTIFIABLE","?REFERENTIAL"),"_")))))</f>
        <v/>
      </c>
      <c r="H1577" s="23" t="str">
        <f t="shared" ca="1" si="180"/>
        <v/>
      </c>
      <c r="I1577" s="24" t="str">
        <f>IF(OR(E1577="",E1577="!!!",F1577="NEW"),"",INDEX(B$2:B1576,-1+SUMPRODUCT(MAX(ROW(E$2:E1576)*(E1577=E$2:E1576)))))</f>
        <v/>
      </c>
      <c r="J1577" s="24" t="str">
        <f ca="1">IF(OR(E1577="",E1577="!!!",F1577="NEW"),"",COUNTBLANK(OFFSET(A$1,,,SUMPRODUCT(MAX(ROW(E$2:E1577)*(E1577=E$2:E1577)))))-COUNTBLANK(OFFSET(A$1,,,SUMPRODUCT(MAX(ROW(E$1:E1576)*(E2=E$1:E1576))))))</f>
        <v/>
      </c>
      <c r="K1577" s="24" t="str">
        <f>IF(OR(E1577="",E1577="!!!",F1577="NEW"),"",INDEX(J$1:J1576,SUMPRODUCT(MAX(ROW(E$1:E1576)*(E1577=E$1:E1576)))))</f>
        <v/>
      </c>
      <c r="L1577" s="25"/>
    </row>
    <row r="1578" spans="1:12" x14ac:dyDescent="0.2">
      <c r="A1578" t="s">
        <v>821</v>
      </c>
      <c r="E1578" s="20" t="str">
        <f t="shared" si="181"/>
        <v/>
      </c>
      <c r="F1578" s="21" t="str">
        <f>IF(OR(E1578="",E1578="!!!"),"",IF(NOT(ISNA(VLOOKUP(E1578,E$1:E1577,1,FALSE()))),"OLD",IF(AND(E1578&lt;&gt;"",E1578&lt;&gt;"!!!"),"NEW","")))</f>
        <v/>
      </c>
      <c r="G1578" s="22" t="str">
        <f>IF(OR(E1578="",E1578="!!!"),"",IF(OR(J1578=0,AND(J1578=1,K1578=1),AND(J1578=1,I1578="SBJ"),AND(J1578=1,I1578=0)),"?IN_FOCUS",IF(J1578&lt;=2,"?ACTIVATED",IF(J1578&lt;&gt;"","?FAMILIAR",IF(F1578="NEW",IF(ISNA(VLOOKUP(E1578,#REF!,1,FALSE())),"?TYPE_IDENTIFIABLE","?REFERENTIAL"),"_")))))</f>
        <v/>
      </c>
      <c r="H1578" s="23" t="str">
        <f t="shared" ca="1" si="180"/>
        <v/>
      </c>
      <c r="I1578" s="24" t="str">
        <f>IF(OR(E1578="",E1578="!!!",F1578="NEW"),"",INDEX(B$2:B1577,-1+SUMPRODUCT(MAX(ROW(E$2:E1577)*(E1578=E$2:E1577)))))</f>
        <v/>
      </c>
      <c r="J1578" s="24" t="str">
        <f ca="1">IF(OR(E1578="",E1578="!!!",F1578="NEW"),"",COUNTBLANK(OFFSET(A$1,,,SUMPRODUCT(MAX(ROW(E$2:E1578)*(E1578=E$2:E1578)))))-COUNTBLANK(OFFSET(A$1,,,SUMPRODUCT(MAX(ROW(E$1:E1577)*(E2=E$1:E1577))))))</f>
        <v/>
      </c>
      <c r="K1578" s="24" t="str">
        <f>IF(OR(E1578="",E1578="!!!",F1578="NEW"),"",INDEX(J$1:J1577,SUMPRODUCT(MAX(ROW(E$1:E1577)*(E1578=E$1:E1577)))))</f>
        <v/>
      </c>
      <c r="L1578" s="25"/>
    </row>
    <row r="1579" spans="1:12" x14ac:dyDescent="0.2">
      <c r="A1579" t="s">
        <v>902</v>
      </c>
      <c r="E1579" s="20" t="str">
        <f t="shared" si="181"/>
        <v/>
      </c>
      <c r="F1579" s="21" t="str">
        <f>IF(OR(E1579="",E1579="!!!"),"",IF(NOT(ISNA(VLOOKUP(E1579,E$1:E1578,1,FALSE()))),"OLD",IF(AND(E1579&lt;&gt;"",E1579&lt;&gt;"!!!"),"NEW","")))</f>
        <v/>
      </c>
      <c r="G1579" s="22" t="str">
        <f>IF(OR(E1579="",E1579="!!!"),"",IF(OR(J1579=0,AND(J1579=1,K1579=1),AND(J1579=1,I1579="SBJ"),AND(J1579=1,I1579=0)),"?IN_FOCUS",IF(J1579&lt;=2,"?ACTIVATED",IF(J1579&lt;&gt;"","?FAMILIAR",IF(F1579="NEW",IF(ISNA(VLOOKUP(E1579,#REF!,1,FALSE())),"?TYPE_IDENTIFIABLE","?REFERENTIAL"),"_")))))</f>
        <v/>
      </c>
      <c r="H1579" s="23" t="str">
        <f t="shared" ca="1" si="180"/>
        <v/>
      </c>
      <c r="I1579" s="24" t="str">
        <f>IF(OR(E1579="",E1579="!!!",F1579="NEW"),"",INDEX(B$2:B1578,-1+SUMPRODUCT(MAX(ROW(E$2:E1578)*(E1579=E$2:E1578)))))</f>
        <v/>
      </c>
      <c r="J1579" s="24" t="str">
        <f ca="1">IF(OR(E1579="",E1579="!!!",F1579="NEW"),"",COUNTBLANK(OFFSET(A$1,,,SUMPRODUCT(MAX(ROW(E$2:E1579)*(E1579=E$2:E1579)))))-COUNTBLANK(OFFSET(A$1,,,SUMPRODUCT(MAX(ROW(E$1:E1578)*(E2=E$1:E1578))))))</f>
        <v/>
      </c>
      <c r="K1579" s="24" t="str">
        <f>IF(OR(E1579="",E1579="!!!",F1579="NEW"),"",INDEX(J$1:J1578,SUMPRODUCT(MAX(ROW(E$1:E1578)*(E1579=E$1:E1578)))))</f>
        <v/>
      </c>
      <c r="L1579" s="25"/>
    </row>
    <row r="1581" spans="1:12" x14ac:dyDescent="0.2">
      <c r="A1581" t="s">
        <v>1353</v>
      </c>
    </row>
    <row r="1582" spans="1:12" x14ac:dyDescent="0.2">
      <c r="A1582" t="s">
        <v>1034</v>
      </c>
      <c r="E1582" s="20" t="str">
        <f t="shared" ref="E1582:E1601" si="182">IF(D1582="?OLD","!!!","")</f>
        <v/>
      </c>
      <c r="F1582" s="21" t="str">
        <f>IF(OR(E1582="",E1582="!!!"),"",IF(NOT(ISNA(VLOOKUP(E1582,E$1:E1581,1,FALSE()))),"OLD",IF(AND(E1582&lt;&gt;"",E1582&lt;&gt;"!!!"),"NEW","")))</f>
        <v/>
      </c>
      <c r="G1582" s="22" t="str">
        <f>IF(OR(E1582="",E1582="!!!"),"",IF(OR(J1582=0,AND(J1582=1,K1582=1),AND(J1582=1,I1582="SBJ"),AND(J1582=1,I1582=0)),"?IN_FOCUS",IF(J1582&lt;=2,"?ACTIVATED",IF(J1582&lt;&gt;"","?FAMILIAR",IF(F1582="NEW",IF(ISNA(VLOOKUP(E1582,#REF!,1,FALSE())),"?TYPE_IDENTIFIABLE","?REFERENTIAL"),"_")))))</f>
        <v/>
      </c>
      <c r="H1582" s="23" t="str">
        <f t="shared" ref="H1582:H1601" ca="1" si="183">IF(J1582&lt;&gt;1,"",IF(I1582="SBJ","CB","?"))</f>
        <v/>
      </c>
      <c r="I1582" s="24" t="str">
        <f>IF(OR(E1582="",E1582="!!!",F1582="NEW"),"",INDEX(B$2:B1581,-1+SUMPRODUCT(MAX(ROW(E$2:E1581)*(E1582=E$2:E1581)))))</f>
        <v/>
      </c>
      <c r="J1582" s="24" t="str">
        <f ca="1">IF(OR(E1582="",E1582="!!!",F1582="NEW"),"",COUNTBLANK(OFFSET(A$1,,,SUMPRODUCT(MAX(ROW(E$2:E1582)*(E1582=E$2:E1582)))))-COUNTBLANK(OFFSET(A$1,,,SUMPRODUCT(MAX(ROW(E$1:E1581)*(E2=E$1:E1581))))))</f>
        <v/>
      </c>
      <c r="K1582" s="24" t="str">
        <f>IF(OR(E1582="",E1582="!!!",F1582="NEW"),"",INDEX(J$1:J1581,SUMPRODUCT(MAX(ROW(E$1:E1581)*(E1582=E$1:E1581)))))</f>
        <v/>
      </c>
      <c r="L1582" s="25"/>
    </row>
    <row r="1583" spans="1:12" x14ac:dyDescent="0.2">
      <c r="A1583" t="s">
        <v>1035</v>
      </c>
      <c r="E1583" s="20" t="str">
        <f t="shared" si="182"/>
        <v/>
      </c>
      <c r="F1583" s="21" t="str">
        <f>IF(OR(E1583="",E1583="!!!"),"",IF(NOT(ISNA(VLOOKUP(E1583,E$1:E1582,1,FALSE()))),"OLD",IF(AND(E1583&lt;&gt;"",E1583&lt;&gt;"!!!"),"NEW","")))</f>
        <v/>
      </c>
      <c r="G1583" s="22" t="str">
        <f>IF(OR(E1583="",E1583="!!!"),"",IF(OR(J1583=0,AND(J1583=1,K1583=1),AND(J1583=1,I1583="SBJ"),AND(J1583=1,I1583=0)),"?IN_FOCUS",IF(J1583&lt;=2,"?ACTIVATED",IF(J1583&lt;&gt;"","?FAMILIAR",IF(F1583="NEW",IF(ISNA(VLOOKUP(E1583,#REF!,1,FALSE())),"?TYPE_IDENTIFIABLE","?REFERENTIAL"),"_")))))</f>
        <v/>
      </c>
      <c r="H1583" s="23" t="str">
        <f t="shared" ca="1" si="183"/>
        <v/>
      </c>
      <c r="I1583" s="24" t="str">
        <f>IF(OR(E1583="",E1583="!!!",F1583="NEW"),"",INDEX(B$2:B1582,-1+SUMPRODUCT(MAX(ROW(E$2:E1582)*(E1583=E$2:E1582)))))</f>
        <v/>
      </c>
      <c r="J1583" s="24" t="str">
        <f ca="1">IF(OR(E1583="",E1583="!!!",F1583="NEW"),"",COUNTBLANK(OFFSET(A$1,,,SUMPRODUCT(MAX(ROW(E$2:E1583)*(E1583=E$2:E1583)))))-COUNTBLANK(OFFSET(A$1,,,SUMPRODUCT(MAX(ROW(E$1:E1582)*(E2=E$1:E1582))))))</f>
        <v/>
      </c>
      <c r="K1583" s="24" t="str">
        <f>IF(OR(E1583="",E1583="!!!",F1583="NEW"),"",INDEX(J$1:J1582,SUMPRODUCT(MAX(ROW(E$1:E1582)*(E1583=E$1:E1582)))))</f>
        <v/>
      </c>
      <c r="L1583" s="25"/>
    </row>
    <row r="1584" spans="1:12" x14ac:dyDescent="0.2">
      <c r="A1584" t="s">
        <v>1024</v>
      </c>
      <c r="B1584" s="26" t="s">
        <v>804</v>
      </c>
      <c r="C1584" s="26" t="s">
        <v>805</v>
      </c>
      <c r="D1584" s="26" t="s">
        <v>806</v>
      </c>
      <c r="E1584" s="20" t="s">
        <v>1175</v>
      </c>
      <c r="F1584" s="21" t="str">
        <f>IF(OR(E1584="",E1584="!!!"),"",IF(NOT(ISNA(VLOOKUP(E1584,E$1:E1583,1,FALSE()))),"OLD",IF(AND(E1584&lt;&gt;"",E1584&lt;&gt;"!!!"),"NEW","")))</f>
        <v>OLD</v>
      </c>
      <c r="G1584" s="22" t="s">
        <v>1823</v>
      </c>
      <c r="H1584" s="23" t="str">
        <f t="shared" ca="1" si="183"/>
        <v/>
      </c>
      <c r="I1584" s="24" t="str">
        <f>IF(OR(E1584="",E1584="!!!",F1584="NEW"),"",INDEX(B$2:B1583,-1+SUMPRODUCT(MAX(ROW(E$2:E1583)*(E1584=E$2:E1583)))))</f>
        <v>SBJ</v>
      </c>
      <c r="J1584" s="24">
        <f ca="1">IF(OR(E1584="",E1584="!!!",F1584="NEW"),"",COUNTBLANK(OFFSET(A$1,,,SUMPRODUCT(MAX(ROW(E$2:E1584)*(E1584=E$2:E1584)))))-COUNTBLANK(OFFSET(A$1,,,SUMPRODUCT(MAX(ROW(E$1:E1583)*(E2=E$1:E1583))))))</f>
        <v>0</v>
      </c>
      <c r="K1584" s="24">
        <f ca="1">IF(OR(E1584="",E1584="!!!",F1584="NEW"),"",INDEX(J$1:J1583,SUMPRODUCT(MAX(ROW(E$1:E1583)*(E1584=E$1:E1583)))))</f>
        <v>0</v>
      </c>
      <c r="L1584" s="25"/>
    </row>
    <row r="1585" spans="1:12" x14ac:dyDescent="0.2">
      <c r="A1585" t="s">
        <v>898</v>
      </c>
      <c r="E1585" s="20" t="str">
        <f t="shared" si="182"/>
        <v/>
      </c>
      <c r="F1585" s="21" t="str">
        <f>IF(OR(E1585="",E1585="!!!"),"",IF(NOT(ISNA(VLOOKUP(E1585,E$1:E1584,1,FALSE()))),"OLD",IF(AND(E1585&lt;&gt;"",E1585&lt;&gt;"!!!"),"NEW","")))</f>
        <v/>
      </c>
      <c r="G1585" s="22" t="str">
        <f>IF(OR(E1585="",E1585="!!!"),"",IF(OR(J1585=0,AND(J1585=1,K1585=1),AND(J1585=1,I1585="SBJ"),AND(J1585=1,I1585=0)),"?IN_FOCUS",IF(J1585&lt;=2,"?ACTIVATED",IF(J1585&lt;&gt;"","?FAMILIAR",IF(F1585="NEW",IF(ISNA(VLOOKUP(E1585,#REF!,1,FALSE())),"?TYPE_IDENTIFIABLE","?REFERENTIAL"),"_")))))</f>
        <v/>
      </c>
      <c r="H1585" s="23" t="str">
        <f t="shared" ca="1" si="183"/>
        <v/>
      </c>
      <c r="I1585" s="24" t="str">
        <f>IF(OR(E1585="",E1585="!!!",F1585="NEW"),"",INDEX(B$2:B1584,-1+SUMPRODUCT(MAX(ROW(E$2:E1584)*(E1585=E$2:E1584)))))</f>
        <v/>
      </c>
      <c r="J1585" s="24" t="str">
        <f ca="1">IF(OR(E1585="",E1585="!!!",F1585="NEW"),"",COUNTBLANK(OFFSET(A$1,,,SUMPRODUCT(MAX(ROW(E$2:E1585)*(E1585=E$2:E1585)))))-COUNTBLANK(OFFSET(A$1,,,SUMPRODUCT(MAX(ROW(E$1:E1584)*(E2=E$1:E1584))))))</f>
        <v/>
      </c>
      <c r="K1585" s="24" t="str">
        <f>IF(OR(E1585="",E1585="!!!",F1585="NEW"),"",INDEX(J$1:J1584,SUMPRODUCT(MAX(ROW(E$1:E1584)*(E1585=E$1:E1584)))))</f>
        <v/>
      </c>
      <c r="L1585" s="25"/>
    </row>
    <row r="1586" spans="1:12" x14ac:dyDescent="0.2">
      <c r="A1586" t="s">
        <v>1057</v>
      </c>
      <c r="E1586" s="20" t="str">
        <f t="shared" si="182"/>
        <v/>
      </c>
      <c r="F1586" s="21" t="str">
        <f>IF(OR(E1586="",E1586="!!!"),"",IF(NOT(ISNA(VLOOKUP(E1586,E$1:E1585,1,FALSE()))),"OLD",IF(AND(E1586&lt;&gt;"",E1586&lt;&gt;"!!!"),"NEW","")))</f>
        <v/>
      </c>
      <c r="G1586" s="22" t="str">
        <f>IF(OR(E1586="",E1586="!!!"),"",IF(OR(J1586=0,AND(J1586=1,K1586=1),AND(J1586=1,I1586="SBJ"),AND(J1586=1,I1586=0)),"?IN_FOCUS",IF(J1586&lt;=2,"?ACTIVATED",IF(J1586&lt;&gt;"","?FAMILIAR",IF(F1586="NEW",IF(ISNA(VLOOKUP(E1586,#REF!,1,FALSE())),"?TYPE_IDENTIFIABLE","?REFERENTIAL"),"_")))))</f>
        <v/>
      </c>
      <c r="H1586" s="23" t="str">
        <f t="shared" ca="1" si="183"/>
        <v/>
      </c>
      <c r="I1586" s="24" t="str">
        <f>IF(OR(E1586="",E1586="!!!",F1586="NEW"),"",INDEX(B$2:B1585,-1+SUMPRODUCT(MAX(ROW(E$2:E1585)*(E1586=E$2:E1585)))))</f>
        <v/>
      </c>
      <c r="J1586" s="24" t="str">
        <f ca="1">IF(OR(E1586="",E1586="!!!",F1586="NEW"),"",COUNTBLANK(OFFSET(A$1,,,SUMPRODUCT(MAX(ROW(E$2:E1586)*(E1586=E$2:E1586)))))-COUNTBLANK(OFFSET(A$1,,,SUMPRODUCT(MAX(ROW(E$1:E1585)*(E2=E$1:E1585))))))</f>
        <v/>
      </c>
      <c r="K1586" s="24" t="str">
        <f>IF(OR(E1586="",E1586="!!!",F1586="NEW"),"",INDEX(J$1:J1585,SUMPRODUCT(MAX(ROW(E$1:E1585)*(E1586=E$1:E1585)))))</f>
        <v/>
      </c>
      <c r="L1586" s="25"/>
    </row>
    <row r="1587" spans="1:12" x14ac:dyDescent="0.2">
      <c r="A1587" t="s">
        <v>802</v>
      </c>
      <c r="E1587" s="20" t="str">
        <f t="shared" si="182"/>
        <v/>
      </c>
      <c r="F1587" s="21" t="str">
        <f>IF(OR(E1587="",E1587="!!!"),"",IF(NOT(ISNA(VLOOKUP(E1587,E$1:E1586,1,FALSE()))),"OLD",IF(AND(E1587&lt;&gt;"",E1587&lt;&gt;"!!!"),"NEW","")))</f>
        <v/>
      </c>
      <c r="G1587" s="22" t="str">
        <f>IF(OR(E1587="",E1587="!!!"),"",IF(OR(J1587=0,AND(J1587=1,K1587=1),AND(J1587=1,I1587="SBJ"),AND(J1587=1,I1587=0)),"?IN_FOCUS",IF(J1587&lt;=2,"?ACTIVATED",IF(J1587&lt;&gt;"","?FAMILIAR",IF(F1587="NEW",IF(ISNA(VLOOKUP(E1587,#REF!,1,FALSE())),"?TYPE_IDENTIFIABLE","?REFERENTIAL"),"_")))))</f>
        <v/>
      </c>
      <c r="H1587" s="23" t="str">
        <f t="shared" ca="1" si="183"/>
        <v/>
      </c>
      <c r="I1587" s="24" t="str">
        <f>IF(OR(E1587="",E1587="!!!",F1587="NEW"),"",INDEX(B$2:B1586,-1+SUMPRODUCT(MAX(ROW(E$2:E1586)*(E1587=E$2:E1586)))))</f>
        <v/>
      </c>
      <c r="J1587" s="24" t="str">
        <f ca="1">IF(OR(E1587="",E1587="!!!",F1587="NEW"),"",COUNTBLANK(OFFSET(A$1,,,SUMPRODUCT(MAX(ROW(E$2:E1587)*(E1587=E$2:E1587)))))-COUNTBLANK(OFFSET(A$1,,,SUMPRODUCT(MAX(ROW(E$1:E1586)*(E2=E$1:E1586))))))</f>
        <v/>
      </c>
      <c r="K1587" s="24" t="str">
        <f>IF(OR(E1587="",E1587="!!!",F1587="NEW"),"",INDEX(J$1:J1586,SUMPRODUCT(MAX(ROW(E$1:E1586)*(E1587=E$1:E1586)))))</f>
        <v/>
      </c>
      <c r="L1587" s="25"/>
    </row>
    <row r="1588" spans="1:12" x14ac:dyDescent="0.2">
      <c r="A1588" t="s">
        <v>1354</v>
      </c>
      <c r="E1588" s="20" t="str">
        <f t="shared" si="182"/>
        <v/>
      </c>
      <c r="F1588" s="21" t="str">
        <f>IF(OR(E1588="",E1588="!!!"),"",IF(NOT(ISNA(VLOOKUP(E1588,E$1:E1587,1,FALSE()))),"OLD",IF(AND(E1588&lt;&gt;"",E1588&lt;&gt;"!!!"),"NEW","")))</f>
        <v/>
      </c>
      <c r="G1588" s="22" t="str">
        <f>IF(OR(E1588="",E1588="!!!"),"",IF(OR(J1588=0,AND(J1588=1,K1588=1),AND(J1588=1,I1588="SBJ"),AND(J1588=1,I1588=0)),"?IN_FOCUS",IF(J1588&lt;=2,"?ACTIVATED",IF(J1588&lt;&gt;"","?FAMILIAR",IF(F1588="NEW",IF(ISNA(VLOOKUP(E1588,#REF!,1,FALSE())),"?TYPE_IDENTIFIABLE","?REFERENTIAL"),"_")))))</f>
        <v/>
      </c>
      <c r="H1588" s="23" t="str">
        <f t="shared" ca="1" si="183"/>
        <v/>
      </c>
      <c r="I1588" s="24" t="str">
        <f>IF(OR(E1588="",E1588="!!!",F1588="NEW"),"",INDEX(B$2:B1587,-1+SUMPRODUCT(MAX(ROW(E$2:E1587)*(E1588=E$2:E1587)))))</f>
        <v/>
      </c>
      <c r="J1588" s="24" t="str">
        <f ca="1">IF(OR(E1588="",E1588="!!!",F1588="NEW"),"",COUNTBLANK(OFFSET(A$1,,,SUMPRODUCT(MAX(ROW(E$2:E1588)*(E1588=E$2:E1588)))))-COUNTBLANK(OFFSET(A$1,,,SUMPRODUCT(MAX(ROW(E$1:E1587)*(E2=E$1:E1587))))))</f>
        <v/>
      </c>
      <c r="K1588" s="24" t="str">
        <f>IF(OR(E1588="",E1588="!!!",F1588="NEW"),"",INDEX(J$1:J1587,SUMPRODUCT(MAX(ROW(E$1:E1587)*(E1588=E$1:E1587)))))</f>
        <v/>
      </c>
      <c r="L1588" s="25"/>
    </row>
    <row r="1589" spans="1:12" x14ac:dyDescent="0.2">
      <c r="A1589" t="s">
        <v>1109</v>
      </c>
      <c r="E1589" s="20" t="str">
        <f t="shared" si="182"/>
        <v/>
      </c>
      <c r="F1589" s="21" t="str">
        <f>IF(OR(E1589="",E1589="!!!"),"",IF(NOT(ISNA(VLOOKUP(E1589,E$1:E1588,1,FALSE()))),"OLD",IF(AND(E1589&lt;&gt;"",E1589&lt;&gt;"!!!"),"NEW","")))</f>
        <v/>
      </c>
      <c r="G1589" s="22" t="str">
        <f>IF(OR(E1589="",E1589="!!!"),"",IF(OR(J1589=0,AND(J1589=1,K1589=1),AND(J1589=1,I1589="SBJ"),AND(J1589=1,I1589=0)),"?IN_FOCUS",IF(J1589&lt;=2,"?ACTIVATED",IF(J1589&lt;&gt;"","?FAMILIAR",IF(F1589="NEW",IF(ISNA(VLOOKUP(E1589,#REF!,1,FALSE())),"?TYPE_IDENTIFIABLE","?REFERENTIAL"),"_")))))</f>
        <v/>
      </c>
      <c r="H1589" s="23" t="str">
        <f t="shared" ca="1" si="183"/>
        <v/>
      </c>
      <c r="I1589" s="24" t="str">
        <f>IF(OR(E1589="",E1589="!!!",F1589="NEW"),"",INDEX(B$2:B1588,-1+SUMPRODUCT(MAX(ROW(E$2:E1588)*(E1589=E$2:E1588)))))</f>
        <v/>
      </c>
      <c r="J1589" s="24" t="str">
        <f ca="1">IF(OR(E1589="",E1589="!!!",F1589="NEW"),"",COUNTBLANK(OFFSET(A$1,,,SUMPRODUCT(MAX(ROW(E$2:E1589)*(E1589=E$2:E1589)))))-COUNTBLANK(OFFSET(A$1,,,SUMPRODUCT(MAX(ROW(E$1:E1588)*(E2=E$1:E1588))))))</f>
        <v/>
      </c>
      <c r="K1589" s="24" t="str">
        <f>IF(OR(E1589="",E1589="!!!",F1589="NEW"),"",INDEX(J$1:J1588,SUMPRODUCT(MAX(ROW(E$1:E1588)*(E1589=E$1:E1588)))))</f>
        <v/>
      </c>
      <c r="L1589" s="25"/>
    </row>
    <row r="1590" spans="1:12" x14ac:dyDescent="0.2">
      <c r="A1590" t="s">
        <v>832</v>
      </c>
      <c r="E1590" s="20" t="str">
        <f t="shared" si="182"/>
        <v/>
      </c>
      <c r="F1590" s="21" t="str">
        <f>IF(OR(E1590="",E1590="!!!"),"",IF(NOT(ISNA(VLOOKUP(E1590,E$1:E1589,1,FALSE()))),"OLD",IF(AND(E1590&lt;&gt;"",E1590&lt;&gt;"!!!"),"NEW","")))</f>
        <v/>
      </c>
      <c r="G1590" s="22" t="str">
        <f>IF(OR(E1590="",E1590="!!!"),"",IF(OR(J1590=0,AND(J1590=1,K1590=1),AND(J1590=1,I1590="SBJ"),AND(J1590=1,I1590=0)),"?IN_FOCUS",IF(J1590&lt;=2,"?ACTIVATED",IF(J1590&lt;&gt;"","?FAMILIAR",IF(F1590="NEW",IF(ISNA(VLOOKUP(E1590,#REF!,1,FALSE())),"?TYPE_IDENTIFIABLE","?REFERENTIAL"),"_")))))</f>
        <v/>
      </c>
      <c r="H1590" s="23" t="str">
        <f t="shared" ca="1" si="183"/>
        <v/>
      </c>
      <c r="I1590" s="24" t="str">
        <f>IF(OR(E1590="",E1590="!!!",F1590="NEW"),"",INDEX(B$2:B1589,-1+SUMPRODUCT(MAX(ROW(E$2:E1589)*(E1590=E$2:E1589)))))</f>
        <v/>
      </c>
      <c r="J1590" s="24" t="str">
        <f ca="1">IF(OR(E1590="",E1590="!!!",F1590="NEW"),"",COUNTBLANK(OFFSET(A$1,,,SUMPRODUCT(MAX(ROW(E$2:E1590)*(E1590=E$2:E1590)))))-COUNTBLANK(OFFSET(A$1,,,SUMPRODUCT(MAX(ROW(E$1:E1589)*(E2=E$1:E1589))))))</f>
        <v/>
      </c>
      <c r="K1590" s="24" t="str">
        <f>IF(OR(E1590="",E1590="!!!",F1590="NEW"),"",INDEX(J$1:J1589,SUMPRODUCT(MAX(ROW(E$1:E1589)*(E1590=E$1:E1589)))))</f>
        <v/>
      </c>
      <c r="L1590" s="25"/>
    </row>
    <row r="1591" spans="1:12" x14ac:dyDescent="0.2">
      <c r="A1591" t="s">
        <v>247</v>
      </c>
      <c r="B1591" s="26" t="s">
        <v>813</v>
      </c>
      <c r="C1591" s="26" t="s">
        <v>814</v>
      </c>
      <c r="E1591" s="20" t="str">
        <f t="shared" si="182"/>
        <v/>
      </c>
      <c r="F1591" s="21" t="str">
        <f>IF(OR(E1591="",E1591="!!!"),"",IF(NOT(ISNA(VLOOKUP(E1591,E$1:E1590,1,FALSE()))),"OLD",IF(AND(E1591&lt;&gt;"",E1591&lt;&gt;"!!!"),"NEW","")))</f>
        <v/>
      </c>
      <c r="G1591" s="22" t="str">
        <f>IF(OR(E1591="",E1591="!!!"),"",IF(OR(J1591=0,AND(J1591=1,K1591=1),AND(J1591=1,I1591="SBJ"),AND(J1591=1,I1591=0)),"?IN_FOCUS",IF(J1591&lt;=2,"?ACTIVATED",IF(J1591&lt;&gt;"","?FAMILIAR",IF(F1591="NEW",IF(ISNA(VLOOKUP(E1591,#REF!,1,FALSE())),"?TYPE_IDENTIFIABLE","?REFERENTIAL"),"_")))))</f>
        <v/>
      </c>
      <c r="H1591" s="23" t="str">
        <f t="shared" ca="1" si="183"/>
        <v/>
      </c>
      <c r="I1591" s="24" t="str">
        <f>IF(OR(E1591="",E1591="!!!",F1591="NEW"),"",INDEX(B$2:B1590,-1+SUMPRODUCT(MAX(ROW(E$2:E1590)*(E1591=E$2:E1590)))))</f>
        <v/>
      </c>
      <c r="J1591" s="24" t="str">
        <f ca="1">IF(OR(E1591="",E1591="!!!",F1591="NEW"),"",COUNTBLANK(OFFSET(A$1,,,SUMPRODUCT(MAX(ROW(E$2:E1591)*(E1591=E$2:E1591)))))-COUNTBLANK(OFFSET(A$1,,,SUMPRODUCT(MAX(ROW(E$1:E1590)*(E2=E$1:E1590))))))</f>
        <v/>
      </c>
      <c r="K1591" s="24" t="str">
        <f>IF(OR(E1591="",E1591="!!!",F1591="NEW"),"",INDEX(J$1:J1590,SUMPRODUCT(MAX(ROW(E$1:E1590)*(E1591=E$1:E1590)))))</f>
        <v/>
      </c>
      <c r="L1591" s="25"/>
    </row>
    <row r="1592" spans="1:12" x14ac:dyDescent="0.2">
      <c r="A1592" t="s">
        <v>869</v>
      </c>
      <c r="E1592" s="20" t="str">
        <f t="shared" si="182"/>
        <v/>
      </c>
      <c r="F1592" s="21" t="str">
        <f>IF(OR(E1592="",E1592="!!!"),"",IF(NOT(ISNA(VLOOKUP(E1592,E$1:E1591,1,FALSE()))),"OLD",IF(AND(E1592&lt;&gt;"",E1592&lt;&gt;"!!!"),"NEW","")))</f>
        <v/>
      </c>
      <c r="G1592" s="22" t="str">
        <f>IF(OR(E1592="",E1592="!!!"),"",IF(OR(J1592=0,AND(J1592=1,K1592=1),AND(J1592=1,I1592="SBJ"),AND(J1592=1,I1592=0)),"?IN_FOCUS",IF(J1592&lt;=2,"?ACTIVATED",IF(J1592&lt;&gt;"","?FAMILIAR",IF(F1592="NEW",IF(ISNA(VLOOKUP(E1592,#REF!,1,FALSE())),"?TYPE_IDENTIFIABLE","?REFERENTIAL"),"_")))))</f>
        <v/>
      </c>
      <c r="H1592" s="23" t="str">
        <f t="shared" ca="1" si="183"/>
        <v/>
      </c>
      <c r="I1592" s="24" t="str">
        <f>IF(OR(E1592="",E1592="!!!",F1592="NEW"),"",INDEX(B$2:B1591,-1+SUMPRODUCT(MAX(ROW(E$2:E1591)*(E1592=E$2:E1591)))))</f>
        <v/>
      </c>
      <c r="J1592" s="24" t="str">
        <f ca="1">IF(OR(E1592="",E1592="!!!",F1592="NEW"),"",COUNTBLANK(OFFSET(A$1,,,SUMPRODUCT(MAX(ROW(E$2:E1592)*(E1592=E$2:E1592)))))-COUNTBLANK(OFFSET(A$1,,,SUMPRODUCT(MAX(ROW(E$1:E1591)*(E2=E$1:E1591))))))</f>
        <v/>
      </c>
      <c r="K1592" s="24" t="str">
        <f>IF(OR(E1592="",E1592="!!!",F1592="NEW"),"",INDEX(J$1:J1591,SUMPRODUCT(MAX(ROW(E$1:E1591)*(E1592=E$1:E1591)))))</f>
        <v/>
      </c>
      <c r="L1592" s="25"/>
    </row>
    <row r="1593" spans="1:12" x14ac:dyDescent="0.2">
      <c r="A1593" t="s">
        <v>1318</v>
      </c>
      <c r="E1593" s="20" t="str">
        <f t="shared" si="182"/>
        <v/>
      </c>
      <c r="F1593" s="21" t="str">
        <f>IF(OR(E1593="",E1593="!!!"),"",IF(NOT(ISNA(VLOOKUP(E1593,E$1:E1592,1,FALSE()))),"OLD",IF(AND(E1593&lt;&gt;"",E1593&lt;&gt;"!!!"),"NEW","")))</f>
        <v/>
      </c>
      <c r="G1593" s="22" t="str">
        <f>IF(OR(E1593="",E1593="!!!"),"",IF(OR(J1593=0,AND(J1593=1,K1593=1),AND(J1593=1,I1593="SBJ"),AND(J1593=1,I1593=0)),"?IN_FOCUS",IF(J1593&lt;=2,"?ACTIVATED",IF(J1593&lt;&gt;"","?FAMILIAR",IF(F1593="NEW",IF(ISNA(VLOOKUP(E1593,#REF!,1,FALSE())),"?TYPE_IDENTIFIABLE","?REFERENTIAL"),"_")))))</f>
        <v/>
      </c>
      <c r="H1593" s="23" t="str">
        <f t="shared" ca="1" si="183"/>
        <v/>
      </c>
      <c r="I1593" s="24" t="str">
        <f>IF(OR(E1593="",E1593="!!!",F1593="NEW"),"",INDEX(B$2:B1592,-1+SUMPRODUCT(MAX(ROW(E$2:E1592)*(E1593=E$2:E1592)))))</f>
        <v/>
      </c>
      <c r="J1593" s="24" t="str">
        <f ca="1">IF(OR(E1593="",E1593="!!!",F1593="NEW"),"",COUNTBLANK(OFFSET(A$1,,,SUMPRODUCT(MAX(ROW(E$2:E1593)*(E1593=E$2:E1593)))))-COUNTBLANK(OFFSET(A$1,,,SUMPRODUCT(MAX(ROW(E$1:E1592)*(E2=E$1:E1592))))))</f>
        <v/>
      </c>
      <c r="K1593" s="24" t="str">
        <f>IF(OR(E1593="",E1593="!!!",F1593="NEW"),"",INDEX(J$1:J1592,SUMPRODUCT(MAX(ROW(E$1:E1592)*(E1593=E$1:E1592)))))</f>
        <v/>
      </c>
      <c r="L1593" s="25"/>
    </row>
    <row r="1594" spans="1:12" x14ac:dyDescent="0.2">
      <c r="A1594" t="s">
        <v>1240</v>
      </c>
      <c r="B1594" s="26" t="s">
        <v>864</v>
      </c>
      <c r="C1594" s="26" t="s">
        <v>814</v>
      </c>
      <c r="E1594" s="20" t="str">
        <f t="shared" si="182"/>
        <v/>
      </c>
      <c r="F1594" s="21" t="str">
        <f>IF(OR(E1594="",E1594="!!!"),"",IF(NOT(ISNA(VLOOKUP(E1594,E$1:E1593,1,FALSE()))),"OLD",IF(AND(E1594&lt;&gt;"",E1594&lt;&gt;"!!!"),"NEW","")))</f>
        <v/>
      </c>
      <c r="G1594" s="22" t="str">
        <f>IF(OR(E1594="",E1594="!!!"),"",IF(OR(J1594=0,AND(J1594=1,K1594=1),AND(J1594=1,I1594="SBJ"),AND(J1594=1,I1594=0)),"?IN_FOCUS",IF(J1594&lt;=2,"?ACTIVATED",IF(J1594&lt;&gt;"","?FAMILIAR",IF(F1594="NEW",IF(ISNA(VLOOKUP(E1594,#REF!,1,FALSE())),"?TYPE_IDENTIFIABLE","?REFERENTIAL"),"_")))))</f>
        <v/>
      </c>
      <c r="H1594" s="23" t="str">
        <f t="shared" ca="1" si="183"/>
        <v/>
      </c>
      <c r="I1594" s="24" t="str">
        <f>IF(OR(E1594="",E1594="!!!",F1594="NEW"),"",INDEX(B$2:B1593,-1+SUMPRODUCT(MAX(ROW(E$2:E1593)*(E1594=E$2:E1593)))))</f>
        <v/>
      </c>
      <c r="J1594" s="24" t="str">
        <f ca="1">IF(OR(E1594="",E1594="!!!",F1594="NEW"),"",COUNTBLANK(OFFSET(A$1,,,SUMPRODUCT(MAX(ROW(E$2:E1594)*(E1594=E$2:E1594)))))-COUNTBLANK(OFFSET(A$1,,,SUMPRODUCT(MAX(ROW(E$1:E1593)*(E2=E$1:E1593))))))</f>
        <v/>
      </c>
      <c r="K1594" s="24" t="str">
        <f>IF(OR(E1594="",E1594="!!!",F1594="NEW"),"",INDEX(J$1:J1593,SUMPRODUCT(MAX(ROW(E$1:E1593)*(E1594=E$1:E1593)))))</f>
        <v/>
      </c>
      <c r="L1594" s="25"/>
    </row>
    <row r="1595" spans="1:12" x14ac:dyDescent="0.2">
      <c r="A1595" t="s">
        <v>888</v>
      </c>
      <c r="E1595" s="20" t="str">
        <f t="shared" si="182"/>
        <v/>
      </c>
      <c r="F1595" s="21" t="str">
        <f>IF(OR(E1595="",E1595="!!!"),"",IF(NOT(ISNA(VLOOKUP(E1595,E$1:E1594,1,FALSE()))),"OLD",IF(AND(E1595&lt;&gt;"",E1595&lt;&gt;"!!!"),"NEW","")))</f>
        <v/>
      </c>
      <c r="G1595" s="22" t="str">
        <f>IF(OR(E1595="",E1595="!!!"),"",IF(OR(J1595=0,AND(J1595=1,K1595=1),AND(J1595=1,I1595="SBJ"),AND(J1595=1,I1595=0)),"?IN_FOCUS",IF(J1595&lt;=2,"?ACTIVATED",IF(J1595&lt;&gt;"","?FAMILIAR",IF(F1595="NEW",IF(ISNA(VLOOKUP(E1595,#REF!,1,FALSE())),"?TYPE_IDENTIFIABLE","?REFERENTIAL"),"_")))))</f>
        <v/>
      </c>
      <c r="H1595" s="23" t="str">
        <f t="shared" ca="1" si="183"/>
        <v/>
      </c>
      <c r="I1595" s="24" t="str">
        <f>IF(OR(E1595="",E1595="!!!",F1595="NEW"),"",INDEX(B$2:B1594,-1+SUMPRODUCT(MAX(ROW(E$2:E1594)*(E1595=E$2:E1594)))))</f>
        <v/>
      </c>
      <c r="J1595" s="24" t="str">
        <f ca="1">IF(OR(E1595="",E1595="!!!",F1595="NEW"),"",COUNTBLANK(OFFSET(A$1,,,SUMPRODUCT(MAX(ROW(E$2:E1595)*(E1595=E$2:E1595)))))-COUNTBLANK(OFFSET(A$1,,,SUMPRODUCT(MAX(ROW(E$1:E1594)*(E2=E$1:E1594))))))</f>
        <v/>
      </c>
      <c r="K1595" s="24" t="str">
        <f>IF(OR(E1595="",E1595="!!!",F1595="NEW"),"",INDEX(J$1:J1594,SUMPRODUCT(MAX(ROW(E$1:E1594)*(E1595=E$1:E1594)))))</f>
        <v/>
      </c>
      <c r="L1595" s="25"/>
    </row>
    <row r="1596" spans="1:12" x14ac:dyDescent="0.2">
      <c r="A1596" t="s">
        <v>1094</v>
      </c>
      <c r="B1596" s="26" t="s">
        <v>864</v>
      </c>
      <c r="C1596" s="26" t="s">
        <v>814</v>
      </c>
      <c r="E1596" s="20" t="str">
        <f t="shared" si="182"/>
        <v/>
      </c>
      <c r="F1596" s="21" t="str">
        <f>IF(OR(E1596="",E1596="!!!"),"",IF(NOT(ISNA(VLOOKUP(E1596,E$1:E1595,1,FALSE()))),"OLD",IF(AND(E1596&lt;&gt;"",E1596&lt;&gt;"!!!"),"NEW","")))</f>
        <v/>
      </c>
      <c r="G1596" s="22" t="str">
        <f>IF(OR(E1596="",E1596="!!!"),"",IF(OR(J1596=0,AND(J1596=1,K1596=1),AND(J1596=1,I1596="SBJ"),AND(J1596=1,I1596=0)),"?IN_FOCUS",IF(J1596&lt;=2,"?ACTIVATED",IF(J1596&lt;&gt;"","?FAMILIAR",IF(F1596="NEW",IF(ISNA(VLOOKUP(E1596,#REF!,1,FALSE())),"?TYPE_IDENTIFIABLE","?REFERENTIAL"),"_")))))</f>
        <v/>
      </c>
      <c r="H1596" s="23" t="str">
        <f t="shared" ca="1" si="183"/>
        <v/>
      </c>
      <c r="I1596" s="24" t="str">
        <f>IF(OR(E1596="",E1596="!!!",F1596="NEW"),"",INDEX(B$2:B1595,-1+SUMPRODUCT(MAX(ROW(E$2:E1595)*(E1596=E$2:E1595)))))</f>
        <v/>
      </c>
      <c r="J1596" s="24" t="str">
        <f ca="1">IF(OR(E1596="",E1596="!!!",F1596="NEW"),"",COUNTBLANK(OFFSET(A$1,,,SUMPRODUCT(MAX(ROW(E$2:E1596)*(E1596=E$2:E1596)))))-COUNTBLANK(OFFSET(A$1,,,SUMPRODUCT(MAX(ROW(E$1:E1595)*(E2=E$1:E1595))))))</f>
        <v/>
      </c>
      <c r="K1596" s="24" t="str">
        <f>IF(OR(E1596="",E1596="!!!",F1596="NEW"),"",INDEX(J$1:J1595,SUMPRODUCT(MAX(ROW(E$1:E1595)*(E1596=E$1:E1595)))))</f>
        <v/>
      </c>
      <c r="L1596" s="25"/>
    </row>
    <row r="1597" spans="1:12" x14ac:dyDescent="0.2">
      <c r="A1597" t="s">
        <v>888</v>
      </c>
      <c r="E1597" s="20" t="str">
        <f t="shared" si="182"/>
        <v/>
      </c>
      <c r="F1597" s="21" t="str">
        <f>IF(OR(E1597="",E1597="!!!"),"",IF(NOT(ISNA(VLOOKUP(E1597,E$1:E1596,1,FALSE()))),"OLD",IF(AND(E1597&lt;&gt;"",E1597&lt;&gt;"!!!"),"NEW","")))</f>
        <v/>
      </c>
      <c r="G1597" s="22" t="str">
        <f>IF(OR(E1597="",E1597="!!!"),"",IF(OR(J1597=0,AND(J1597=1,K1597=1),AND(J1597=1,I1597="SBJ"),AND(J1597=1,I1597=0)),"?IN_FOCUS",IF(J1597&lt;=2,"?ACTIVATED",IF(J1597&lt;&gt;"","?FAMILIAR",IF(F1597="NEW",IF(ISNA(VLOOKUP(E1597,#REF!,1,FALSE())),"?TYPE_IDENTIFIABLE","?REFERENTIAL"),"_")))))</f>
        <v/>
      </c>
      <c r="H1597" s="23" t="str">
        <f t="shared" ca="1" si="183"/>
        <v/>
      </c>
      <c r="I1597" s="24" t="str">
        <f>IF(OR(E1597="",E1597="!!!",F1597="NEW"),"",INDEX(B$2:B1596,-1+SUMPRODUCT(MAX(ROW(E$2:E1596)*(E1597=E$2:E1596)))))</f>
        <v/>
      </c>
      <c r="J1597" s="24" t="str">
        <f ca="1">IF(OR(E1597="",E1597="!!!",F1597="NEW"),"",COUNTBLANK(OFFSET(A$1,,,SUMPRODUCT(MAX(ROW(E$2:E1597)*(E1597=E$2:E1597)))))-COUNTBLANK(OFFSET(A$1,,,SUMPRODUCT(MAX(ROW(E$1:E1596)*(E2=E$1:E1596))))))</f>
        <v/>
      </c>
      <c r="K1597" s="24" t="str">
        <f>IF(OR(E1597="",E1597="!!!",F1597="NEW"),"",INDEX(J$1:J1596,SUMPRODUCT(MAX(ROW(E$1:E1596)*(E1597=E$1:E1596)))))</f>
        <v/>
      </c>
      <c r="L1597" s="25"/>
    </row>
    <row r="1598" spans="1:12" x14ac:dyDescent="0.2">
      <c r="A1598" t="s">
        <v>1355</v>
      </c>
      <c r="E1598" s="20" t="str">
        <f t="shared" si="182"/>
        <v/>
      </c>
      <c r="F1598" s="21" t="str">
        <f>IF(OR(E1598="",E1598="!!!"),"",IF(NOT(ISNA(VLOOKUP(E1598,E$1:E1597,1,FALSE()))),"OLD",IF(AND(E1598&lt;&gt;"",E1598&lt;&gt;"!!!"),"NEW","")))</f>
        <v/>
      </c>
      <c r="G1598" s="22" t="str">
        <f>IF(OR(E1598="",E1598="!!!"),"",IF(OR(J1598=0,AND(J1598=1,K1598=1),AND(J1598=1,I1598="SBJ"),AND(J1598=1,I1598=0)),"?IN_FOCUS",IF(J1598&lt;=2,"?ACTIVATED",IF(J1598&lt;&gt;"","?FAMILIAR",IF(F1598="NEW",IF(ISNA(VLOOKUP(E1598,#REF!,1,FALSE())),"?TYPE_IDENTIFIABLE","?REFERENTIAL"),"_")))))</f>
        <v/>
      </c>
      <c r="H1598" s="23" t="str">
        <f t="shared" ca="1" si="183"/>
        <v/>
      </c>
      <c r="I1598" s="24" t="str">
        <f>IF(OR(E1598="",E1598="!!!",F1598="NEW"),"",INDEX(B$2:B1597,-1+SUMPRODUCT(MAX(ROW(E$2:E1597)*(E1598=E$2:E1597)))))</f>
        <v/>
      </c>
      <c r="J1598" s="24" t="str">
        <f ca="1">IF(OR(E1598="",E1598="!!!",F1598="NEW"),"",COUNTBLANK(OFFSET(A$1,,,SUMPRODUCT(MAX(ROW(E$2:E1598)*(E1598=E$2:E1598)))))-COUNTBLANK(OFFSET(A$1,,,SUMPRODUCT(MAX(ROW(E$1:E1597)*(E2=E$1:E1597))))))</f>
        <v/>
      </c>
      <c r="K1598" s="24" t="str">
        <f>IF(OR(E1598="",E1598="!!!",F1598="NEW"),"",INDEX(J$1:J1597,SUMPRODUCT(MAX(ROW(E$1:E1597)*(E1598=E$1:E1597)))))</f>
        <v/>
      </c>
      <c r="L1598" s="25"/>
    </row>
    <row r="1599" spans="1:12" x14ac:dyDescent="0.2">
      <c r="A1599" t="s">
        <v>1356</v>
      </c>
      <c r="E1599" s="20" t="str">
        <f t="shared" si="182"/>
        <v/>
      </c>
      <c r="F1599" s="21" t="str">
        <f>IF(OR(E1599="",E1599="!!!"),"",IF(NOT(ISNA(VLOOKUP(E1599,E$1:E1598,1,FALSE()))),"OLD",IF(AND(E1599&lt;&gt;"",E1599&lt;&gt;"!!!"),"NEW","")))</f>
        <v/>
      </c>
      <c r="G1599" s="22" t="str">
        <f>IF(OR(E1599="",E1599="!!!"),"",IF(OR(J1599=0,AND(J1599=1,K1599=1),AND(J1599=1,I1599="SBJ"),AND(J1599=1,I1599=0)),"?IN_FOCUS",IF(J1599&lt;=2,"?ACTIVATED",IF(J1599&lt;&gt;"","?FAMILIAR",IF(F1599="NEW",IF(ISNA(VLOOKUP(E1599,#REF!,1,FALSE())),"?TYPE_IDENTIFIABLE","?REFERENTIAL"),"_")))))</f>
        <v/>
      </c>
      <c r="H1599" s="23" t="str">
        <f t="shared" ca="1" si="183"/>
        <v/>
      </c>
      <c r="I1599" s="24" t="str">
        <f>IF(OR(E1599="",E1599="!!!",F1599="NEW"),"",INDEX(B$2:B1598,-1+SUMPRODUCT(MAX(ROW(E$2:E1598)*(E1599=E$2:E1598)))))</f>
        <v/>
      </c>
      <c r="J1599" s="24" t="str">
        <f ca="1">IF(OR(E1599="",E1599="!!!",F1599="NEW"),"",COUNTBLANK(OFFSET(A$1,,,SUMPRODUCT(MAX(ROW(E$2:E1599)*(E1599=E$2:E1599)))))-COUNTBLANK(OFFSET(A$1,,,SUMPRODUCT(MAX(ROW(E$1:E1598)*(E2=E$1:E1598))))))</f>
        <v/>
      </c>
      <c r="K1599" s="24" t="str">
        <f>IF(OR(E1599="",E1599="!!!",F1599="NEW"),"",INDEX(J$1:J1598,SUMPRODUCT(MAX(ROW(E$1:E1598)*(E1599=E$1:E1598)))))</f>
        <v/>
      </c>
      <c r="L1599" s="25"/>
    </row>
    <row r="1600" spans="1:12" x14ac:dyDescent="0.2">
      <c r="A1600" t="s">
        <v>1357</v>
      </c>
      <c r="B1600" s="26" t="s">
        <v>864</v>
      </c>
      <c r="C1600" s="26" t="s">
        <v>814</v>
      </c>
      <c r="E1600" s="20" t="str">
        <f t="shared" si="182"/>
        <v/>
      </c>
      <c r="F1600" s="21" t="str">
        <f>IF(OR(E1600="",E1600="!!!"),"",IF(NOT(ISNA(VLOOKUP(E1600,E$1:E1599,1,FALSE()))),"OLD",IF(AND(E1600&lt;&gt;"",E1600&lt;&gt;"!!!"),"NEW","")))</f>
        <v/>
      </c>
      <c r="G1600" s="22" t="str">
        <f>IF(OR(E1600="",E1600="!!!"),"",IF(OR(J1600=0,AND(J1600=1,K1600=1),AND(J1600=1,I1600="SBJ"),AND(J1600=1,I1600=0)),"?IN_FOCUS",IF(J1600&lt;=2,"?ACTIVATED",IF(J1600&lt;&gt;"","?FAMILIAR",IF(F1600="NEW",IF(ISNA(VLOOKUP(E1600,#REF!,1,FALSE())),"?TYPE_IDENTIFIABLE","?REFERENTIAL"),"_")))))</f>
        <v/>
      </c>
      <c r="H1600" s="23" t="str">
        <f t="shared" ca="1" si="183"/>
        <v/>
      </c>
      <c r="I1600" s="24" t="str">
        <f>IF(OR(E1600="",E1600="!!!",F1600="NEW"),"",INDEX(B$2:B1599,-1+SUMPRODUCT(MAX(ROW(E$2:E1599)*(E1600=E$2:E1599)))))</f>
        <v/>
      </c>
      <c r="J1600" s="24" t="str">
        <f ca="1">IF(OR(E1600="",E1600="!!!",F1600="NEW"),"",COUNTBLANK(OFFSET(A$1,,,SUMPRODUCT(MAX(ROW(E$2:E1600)*(E1600=E$2:E1600)))))-COUNTBLANK(OFFSET(A$1,,,SUMPRODUCT(MAX(ROW(E$1:E1599)*(E2=E$1:E1599))))))</f>
        <v/>
      </c>
      <c r="K1600" s="24" t="str">
        <f>IF(OR(E1600="",E1600="!!!",F1600="NEW"),"",INDEX(J$1:J1599,SUMPRODUCT(MAX(ROW(E$1:E1599)*(E1600=E$1:E1599)))))</f>
        <v/>
      </c>
      <c r="L1600" s="25"/>
    </row>
    <row r="1601" spans="1:12" x14ac:dyDescent="0.2">
      <c r="A1601" t="s">
        <v>821</v>
      </c>
      <c r="E1601" s="20" t="str">
        <f t="shared" si="182"/>
        <v/>
      </c>
      <c r="F1601" s="21" t="str">
        <f>IF(OR(E1601="",E1601="!!!"),"",IF(NOT(ISNA(VLOOKUP(E1601,E$1:E1600,1,FALSE()))),"OLD",IF(AND(E1601&lt;&gt;"",E1601&lt;&gt;"!!!"),"NEW","")))</f>
        <v/>
      </c>
      <c r="G1601" s="22" t="str">
        <f>IF(OR(E1601="",E1601="!!!"),"",IF(OR(J1601=0,AND(J1601=1,K1601=1),AND(J1601=1,I1601="SBJ"),AND(J1601=1,I1601=0)),"?IN_FOCUS",IF(J1601&lt;=2,"?ACTIVATED",IF(J1601&lt;&gt;"","?FAMILIAR",IF(F1601="NEW",IF(ISNA(VLOOKUP(E1601,#REF!,1,FALSE())),"?TYPE_IDENTIFIABLE","?REFERENTIAL"),"_")))))</f>
        <v/>
      </c>
      <c r="H1601" s="23" t="str">
        <f t="shared" ca="1" si="183"/>
        <v/>
      </c>
      <c r="I1601" s="24" t="str">
        <f>IF(OR(E1601="",E1601="!!!",F1601="NEW"),"",INDEX(B$2:B1600,-1+SUMPRODUCT(MAX(ROW(E$2:E1600)*(E1601=E$2:E1600)))))</f>
        <v/>
      </c>
      <c r="J1601" s="24" t="str">
        <f ca="1">IF(OR(E1601="",E1601="!!!",F1601="NEW"),"",COUNTBLANK(OFFSET(A$1,,,SUMPRODUCT(MAX(ROW(E$2:E1601)*(E1601=E$2:E1601)))))-COUNTBLANK(OFFSET(A$1,,,SUMPRODUCT(MAX(ROW(E$1:E1600)*(E2=E$1:E1600))))))</f>
        <v/>
      </c>
      <c r="K1601" s="24" t="str">
        <f>IF(OR(E1601="",E1601="!!!",F1601="NEW"),"",INDEX(J$1:J1600,SUMPRODUCT(MAX(ROW(E$1:E1600)*(E1601=E$1:E1600)))))</f>
        <v/>
      </c>
      <c r="L1601" s="25"/>
    </row>
    <row r="1603" spans="1:12" x14ac:dyDescent="0.2">
      <c r="A1603" t="s">
        <v>1358</v>
      </c>
    </row>
    <row r="1604" spans="1:12" x14ac:dyDescent="0.2">
      <c r="A1604" t="s">
        <v>1034</v>
      </c>
      <c r="E1604" s="20" t="str">
        <f t="shared" ref="E1604:E1627" si="184">IF(D1604="?OLD","!!!","")</f>
        <v/>
      </c>
      <c r="F1604" s="21" t="str">
        <f>IF(OR(E1604="",E1604="!!!"),"",IF(NOT(ISNA(VLOOKUP(E1604,E$1:E1603,1,FALSE()))),"OLD",IF(AND(E1604&lt;&gt;"",E1604&lt;&gt;"!!!"),"NEW","")))</f>
        <v/>
      </c>
      <c r="G1604" s="22" t="str">
        <f>IF(OR(E1604="",E1604="!!!"),"",IF(OR(J1604=0,AND(J1604=1,K1604=1),AND(J1604=1,I1604="SBJ"),AND(J1604=1,I1604=0)),"?IN_FOCUS",IF(J1604&lt;=2,"?ACTIVATED",IF(J1604&lt;&gt;"","?FAMILIAR",IF(F1604="NEW",IF(ISNA(VLOOKUP(E1604,#REF!,1,FALSE())),"?TYPE_IDENTIFIABLE","?REFERENTIAL"),"_")))))</f>
        <v/>
      </c>
      <c r="H1604" s="23" t="str">
        <f t="shared" ref="H1604:H1627" ca="1" si="185">IF(J1604&lt;&gt;1,"",IF(I1604="SBJ","CB","?"))</f>
        <v/>
      </c>
      <c r="I1604" s="24" t="str">
        <f>IF(OR(E1604="",E1604="!!!",F1604="NEW"),"",INDEX(B$2:B1603,-1+SUMPRODUCT(MAX(ROW(E$2:E1603)*(E1604=E$2:E1603)))))</f>
        <v/>
      </c>
      <c r="J1604" s="24" t="str">
        <f ca="1">IF(OR(E1604="",E1604="!!!",F1604="NEW"),"",COUNTBLANK(OFFSET(A$1,,,SUMPRODUCT(MAX(ROW(E$2:E1604)*(E1604=E$2:E1604)))))-COUNTBLANK(OFFSET(A$1,,,SUMPRODUCT(MAX(ROW(E$1:E1603)*(E2=E$1:E1603))))))</f>
        <v/>
      </c>
      <c r="K1604" s="24" t="str">
        <f>IF(OR(E1604="",E1604="!!!",F1604="NEW"),"",INDEX(J$1:J1603,SUMPRODUCT(MAX(ROW(E$1:E1603)*(E1604=E$1:E1603)))))</f>
        <v/>
      </c>
      <c r="L1604" s="25"/>
    </row>
    <row r="1605" spans="1:12" x14ac:dyDescent="0.2">
      <c r="A1605" t="s">
        <v>309</v>
      </c>
      <c r="E1605" s="20" t="str">
        <f t="shared" si="184"/>
        <v/>
      </c>
      <c r="F1605" s="21" t="str">
        <f>IF(OR(E1605="",E1605="!!!"),"",IF(NOT(ISNA(VLOOKUP(E1605,E$1:E1604,1,FALSE()))),"OLD",IF(AND(E1605&lt;&gt;"",E1605&lt;&gt;"!!!"),"NEW","")))</f>
        <v/>
      </c>
      <c r="G1605" s="22" t="str">
        <f>IF(OR(E1605="",E1605="!!!"),"",IF(OR(J1605=0,AND(J1605=1,K1605=1),AND(J1605=1,I1605="SBJ"),AND(J1605=1,I1605=0)),"?IN_FOCUS",IF(J1605&lt;=2,"?ACTIVATED",IF(J1605&lt;&gt;"","?FAMILIAR",IF(F1605="NEW",IF(ISNA(VLOOKUP(E1605,#REF!,1,FALSE())),"?TYPE_IDENTIFIABLE","?REFERENTIAL"),"_")))))</f>
        <v/>
      </c>
      <c r="H1605" s="23" t="str">
        <f t="shared" ca="1" si="185"/>
        <v/>
      </c>
      <c r="I1605" s="24" t="str">
        <f>IF(OR(E1605="",E1605="!!!",F1605="NEW"),"",INDEX(B$2:B1604,-1+SUMPRODUCT(MAX(ROW(E$2:E1604)*(E1605=E$2:E1604)))))</f>
        <v/>
      </c>
      <c r="J1605" s="24" t="str">
        <f ca="1">IF(OR(E1605="",E1605="!!!",F1605="NEW"),"",COUNTBLANK(OFFSET(A$1,,,SUMPRODUCT(MAX(ROW(E$2:E1605)*(E1605=E$2:E1605)))))-COUNTBLANK(OFFSET(A$1,,,SUMPRODUCT(MAX(ROW(E$1:E1604)*(E2=E$1:E1604))))))</f>
        <v/>
      </c>
      <c r="K1605" s="24" t="str">
        <f>IF(OR(E1605="",E1605="!!!",F1605="NEW"),"",INDEX(J$1:J1604,SUMPRODUCT(MAX(ROW(E$1:E1604)*(E1605=E$1:E1604)))))</f>
        <v/>
      </c>
      <c r="L1605" s="25"/>
    </row>
    <row r="1606" spans="1:12" x14ac:dyDescent="0.2">
      <c r="A1606" t="s">
        <v>999</v>
      </c>
      <c r="E1606" s="20" t="str">
        <f t="shared" si="184"/>
        <v/>
      </c>
      <c r="F1606" s="21" t="str">
        <f>IF(OR(E1606="",E1606="!!!"),"",IF(NOT(ISNA(VLOOKUP(E1606,E$1:E1605,1,FALSE()))),"OLD",IF(AND(E1606&lt;&gt;"",E1606&lt;&gt;"!!!"),"NEW","")))</f>
        <v/>
      </c>
      <c r="G1606" s="22" t="str">
        <f>IF(OR(E1606="",E1606="!!!"),"",IF(OR(J1606=0,AND(J1606=1,K1606=1),AND(J1606=1,I1606="SBJ"),AND(J1606=1,I1606=0)),"?IN_FOCUS",IF(J1606&lt;=2,"?ACTIVATED",IF(J1606&lt;&gt;"","?FAMILIAR",IF(F1606="NEW",IF(ISNA(VLOOKUP(E1606,#REF!,1,FALSE())),"?TYPE_IDENTIFIABLE","?REFERENTIAL"),"_")))))</f>
        <v/>
      </c>
      <c r="H1606" s="23" t="str">
        <f t="shared" ca="1" si="185"/>
        <v/>
      </c>
      <c r="I1606" s="24" t="str">
        <f>IF(OR(E1606="",E1606="!!!",F1606="NEW"),"",INDEX(B$2:B1605,-1+SUMPRODUCT(MAX(ROW(E$2:E1605)*(E1606=E$2:E1605)))))</f>
        <v/>
      </c>
      <c r="J1606" s="24" t="str">
        <f ca="1">IF(OR(E1606="",E1606="!!!",F1606="NEW"),"",COUNTBLANK(OFFSET(A$1,,,SUMPRODUCT(MAX(ROW(E$2:E1606)*(E1606=E$2:E1606)))))-COUNTBLANK(OFFSET(A$1,,,SUMPRODUCT(MAX(ROW(E$1:E1605)*(E2=E$1:E1605))))))</f>
        <v/>
      </c>
      <c r="K1606" s="24" t="str">
        <f>IF(OR(E1606="",E1606="!!!",F1606="NEW"),"",INDEX(J$1:J1605,SUMPRODUCT(MAX(ROW(E$1:E1605)*(E1606=E$1:E1605)))))</f>
        <v/>
      </c>
      <c r="L1606" s="25"/>
    </row>
    <row r="1607" spans="1:12" x14ac:dyDescent="0.2">
      <c r="A1607" t="s">
        <v>94</v>
      </c>
      <c r="E1607" s="20" t="str">
        <f t="shared" si="184"/>
        <v/>
      </c>
      <c r="F1607" s="21" t="str">
        <f>IF(OR(E1607="",E1607="!!!"),"",IF(NOT(ISNA(VLOOKUP(E1607,E$1:E1606,1,FALSE()))),"OLD",IF(AND(E1607&lt;&gt;"",E1607&lt;&gt;"!!!"),"NEW","")))</f>
        <v/>
      </c>
      <c r="G1607" s="22" t="str">
        <f>IF(OR(E1607="",E1607="!!!"),"",IF(OR(J1607=0,AND(J1607=1,K1607=1),AND(J1607=1,I1607="SBJ"),AND(J1607=1,I1607=0)),"?IN_FOCUS",IF(J1607&lt;=2,"?ACTIVATED",IF(J1607&lt;&gt;"","?FAMILIAR",IF(F1607="NEW",IF(ISNA(VLOOKUP(E1607,#REF!,1,FALSE())),"?TYPE_IDENTIFIABLE","?REFERENTIAL"),"_")))))</f>
        <v/>
      </c>
      <c r="H1607" s="23" t="str">
        <f t="shared" ca="1" si="185"/>
        <v/>
      </c>
      <c r="I1607" s="24" t="str">
        <f>IF(OR(E1607="",E1607="!!!",F1607="NEW"),"",INDEX(B$2:B1606,-1+SUMPRODUCT(MAX(ROW(E$2:E1606)*(E1607=E$2:E1606)))))</f>
        <v/>
      </c>
      <c r="J1607" s="24" t="str">
        <f ca="1">IF(OR(E1607="",E1607="!!!",F1607="NEW"),"",COUNTBLANK(OFFSET(A$1,,,SUMPRODUCT(MAX(ROW(E$2:E1607)*(E1607=E$2:E1607)))))-COUNTBLANK(OFFSET(A$1,,,SUMPRODUCT(MAX(ROW(E$1:E1606)*(E2=E$1:E1606))))))</f>
        <v/>
      </c>
      <c r="K1607" s="24" t="str">
        <f>IF(OR(E1607="",E1607="!!!",F1607="NEW"),"",INDEX(J$1:J1606,SUMPRODUCT(MAX(ROW(E$1:E1606)*(E1607=E$1:E1606)))))</f>
        <v/>
      </c>
      <c r="L1607" s="25"/>
    </row>
    <row r="1608" spans="1:12" x14ac:dyDescent="0.2">
      <c r="A1608" t="s">
        <v>1085</v>
      </c>
      <c r="B1608" s="26" t="s">
        <v>810</v>
      </c>
      <c r="C1608" s="26" t="s">
        <v>805</v>
      </c>
      <c r="D1608" s="26" t="s">
        <v>806</v>
      </c>
      <c r="E1608" s="20" t="s">
        <v>1747</v>
      </c>
      <c r="F1608" s="21" t="s">
        <v>1753</v>
      </c>
      <c r="G1608" s="22" t="s">
        <v>1823</v>
      </c>
      <c r="H1608" s="23" t="str">
        <f t="shared" ca="1" si="185"/>
        <v/>
      </c>
      <c r="I1608" s="24" t="str">
        <f>IF(OR(E1608="",E1608="!!!",F1608="NEW"),"",INDEX(B$2:B1607,-1+SUMPRODUCT(MAX(ROW(E$2:E1607)*(E1608=E$2:E1607)))))</f>
        <v>SBJ</v>
      </c>
      <c r="J1608" s="24">
        <f ca="1">IF(OR(E1608="",E1608="!!!",F1608="NEW"),"",COUNTBLANK(OFFSET(A$1,,,SUMPRODUCT(MAX(ROW(E$2:E1608)*(E1608=E$2:E1608)))))-COUNTBLANK(OFFSET(A$1,,,SUMPRODUCT(MAX(ROW(E$1:E1607)*(E2=E$1:E1607))))))</f>
        <v>0</v>
      </c>
      <c r="K1608" s="24">
        <f ca="1">IF(OR(E1608="",E1608="!!!",F1608="NEW"),"",INDEX(J$1:J1607,SUMPRODUCT(MAX(ROW(E$1:E1607)*(E1608=E$1:E1607)))))</f>
        <v>0</v>
      </c>
      <c r="L1608" s="25"/>
    </row>
    <row r="1609" spans="1:12" x14ac:dyDescent="0.2">
      <c r="A1609" t="s">
        <v>1359</v>
      </c>
      <c r="E1609" s="20" t="str">
        <f t="shared" si="184"/>
        <v/>
      </c>
      <c r="F1609" s="21" t="str">
        <f>IF(OR(E1609="",E1609="!!!"),"",IF(NOT(ISNA(VLOOKUP(E1609,E$1:E1608,1,FALSE()))),"OLD",IF(AND(E1609&lt;&gt;"",E1609&lt;&gt;"!!!"),"NEW","")))</f>
        <v/>
      </c>
      <c r="G1609" s="22" t="str">
        <f>IF(OR(E1609="",E1609="!!!"),"",IF(OR(J1609=0,AND(J1609=1,K1609=1),AND(J1609=1,I1609="SBJ"),AND(J1609=1,I1609=0)),"?IN_FOCUS",IF(J1609&lt;=2,"?ACTIVATED",IF(J1609&lt;&gt;"","?FAMILIAR",IF(F1609="NEW",IF(ISNA(VLOOKUP(E1609,#REF!,1,FALSE())),"?TYPE_IDENTIFIABLE","?REFERENTIAL"),"_")))))</f>
        <v/>
      </c>
      <c r="H1609" s="23" t="str">
        <f t="shared" ca="1" si="185"/>
        <v/>
      </c>
      <c r="I1609" s="24" t="str">
        <f>IF(OR(E1609="",E1609="!!!",F1609="NEW"),"",INDEX(B$2:B1608,-1+SUMPRODUCT(MAX(ROW(E$2:E1608)*(E1609=E$2:E1608)))))</f>
        <v/>
      </c>
      <c r="J1609" s="24" t="str">
        <f ca="1">IF(OR(E1609="",E1609="!!!",F1609="NEW"),"",COUNTBLANK(OFFSET(A$1,,,SUMPRODUCT(MAX(ROW(E$2:E1609)*(E1609=E$2:E1609)))))-COUNTBLANK(OFFSET(A$1,,,SUMPRODUCT(MAX(ROW(E$1:E1608)*(E2=E$1:E1608))))))</f>
        <v/>
      </c>
      <c r="K1609" s="24" t="str">
        <f>IF(OR(E1609="",E1609="!!!",F1609="NEW"),"",INDEX(J$1:J1608,SUMPRODUCT(MAX(ROW(E$1:E1608)*(E1609=E$1:E1608)))))</f>
        <v/>
      </c>
      <c r="L1609" s="25"/>
    </row>
    <row r="1610" spans="1:12" x14ac:dyDescent="0.2">
      <c r="A1610" t="s">
        <v>802</v>
      </c>
      <c r="E1610" s="20" t="str">
        <f t="shared" si="184"/>
        <v/>
      </c>
      <c r="F1610" s="21" t="str">
        <f>IF(OR(E1610="",E1610="!!!"),"",IF(NOT(ISNA(VLOOKUP(E1610,E$1:E1609,1,FALSE()))),"OLD",IF(AND(E1610&lt;&gt;"",E1610&lt;&gt;"!!!"),"NEW","")))</f>
        <v/>
      </c>
      <c r="G1610" s="22" t="str">
        <f>IF(OR(E1610="",E1610="!!!"),"",IF(OR(J1610=0,AND(J1610=1,K1610=1),AND(J1610=1,I1610="SBJ"),AND(J1610=1,I1610=0)),"?IN_FOCUS",IF(J1610&lt;=2,"?ACTIVATED",IF(J1610&lt;&gt;"","?FAMILIAR",IF(F1610="NEW",IF(ISNA(VLOOKUP(E1610,#REF!,1,FALSE())),"?TYPE_IDENTIFIABLE","?REFERENTIAL"),"_")))))</f>
        <v/>
      </c>
      <c r="H1610" s="23" t="str">
        <f t="shared" ca="1" si="185"/>
        <v/>
      </c>
      <c r="I1610" s="24" t="str">
        <f>IF(OR(E1610="",E1610="!!!",F1610="NEW"),"",INDEX(B$2:B1609,-1+SUMPRODUCT(MAX(ROW(E$2:E1609)*(E1610=E$2:E1609)))))</f>
        <v/>
      </c>
      <c r="J1610" s="24" t="str">
        <f ca="1">IF(OR(E1610="",E1610="!!!",F1610="NEW"),"",COUNTBLANK(OFFSET(A$1,,,SUMPRODUCT(MAX(ROW(E$2:E1610)*(E1610=E$2:E1610)))))-COUNTBLANK(OFFSET(A$1,,,SUMPRODUCT(MAX(ROW(E$1:E1609)*(E2=E$1:E1609))))))</f>
        <v/>
      </c>
      <c r="K1610" s="24" t="str">
        <f>IF(OR(E1610="",E1610="!!!",F1610="NEW"),"",INDEX(J$1:J1609,SUMPRODUCT(MAX(ROW(E$1:E1609)*(E1610=E$1:E1609)))))</f>
        <v/>
      </c>
      <c r="L1610" s="25"/>
    </row>
    <row r="1611" spans="1:12" x14ac:dyDescent="0.2">
      <c r="A1611" t="s">
        <v>1060</v>
      </c>
      <c r="B1611" s="26" t="s">
        <v>950</v>
      </c>
      <c r="C1611" s="26" t="s">
        <v>987</v>
      </c>
      <c r="D1611" s="26" t="s">
        <v>806</v>
      </c>
      <c r="E1611" s="20" t="s">
        <v>1787</v>
      </c>
      <c r="F1611" s="21" t="str">
        <f>IF(OR(E1611="",E1611="!!!"),"",IF(NOT(ISNA(VLOOKUP(E1611,E$1:E1610,1,FALSE()))),"OLD",IF(AND(E1611&lt;&gt;"",E1611&lt;&gt;"!!!"),"NEW","")))</f>
        <v>NEW</v>
      </c>
      <c r="G1611" s="22" t="s">
        <v>1823</v>
      </c>
      <c r="H1611" s="23" t="str">
        <f t="shared" ca="1" si="185"/>
        <v/>
      </c>
      <c r="I1611" s="24" t="str">
        <f>IF(OR(E1611="",E1611="!!!",F1611="NEW"),"",INDEX(B$2:B1610,-1+SUMPRODUCT(MAX(ROW(E$2:E1610)*(E1611=E$2:E1610)))))</f>
        <v/>
      </c>
      <c r="J1611" s="24" t="str">
        <f ca="1">IF(OR(E1611="",E1611="!!!",F1611="NEW"),"",COUNTBLANK(OFFSET(A$1,,,SUMPRODUCT(MAX(ROW(E$2:E1611)*(E1611=E$2:E1611)))))-COUNTBLANK(OFFSET(A$1,,,SUMPRODUCT(MAX(ROW(E$1:E1610)*(E2=E$1:E1610))))))</f>
        <v/>
      </c>
      <c r="K1611" s="24" t="str">
        <f>IF(OR(E1611="",E1611="!!!",F1611="NEW"),"",INDEX(J$1:J1610,SUMPRODUCT(MAX(ROW(E$1:E1610)*(E1611=E$1:E1610)))))</f>
        <v/>
      </c>
      <c r="L1611" s="25"/>
    </row>
    <row r="1612" spans="1:12" x14ac:dyDescent="0.2">
      <c r="A1612" t="s">
        <v>831</v>
      </c>
      <c r="E1612" s="20" t="str">
        <f t="shared" si="184"/>
        <v/>
      </c>
      <c r="F1612" s="21" t="str">
        <f>IF(OR(E1612="",E1612="!!!"),"",IF(NOT(ISNA(VLOOKUP(E1612,E$1:E1611,1,FALSE()))),"OLD",IF(AND(E1612&lt;&gt;"",E1612&lt;&gt;"!!!"),"NEW","")))</f>
        <v/>
      </c>
      <c r="G1612" s="22" t="str">
        <f>IF(OR(E1612="",E1612="!!!"),"",IF(OR(J1612=0,AND(J1612=1,K1612=1),AND(J1612=1,I1612="SBJ"),AND(J1612=1,I1612=0)),"?IN_FOCUS",IF(J1612&lt;=2,"?ACTIVATED",IF(J1612&lt;&gt;"","?FAMILIAR",IF(F1612="NEW",IF(ISNA(VLOOKUP(E1612,#REF!,1,FALSE())),"?TYPE_IDENTIFIABLE","?REFERENTIAL"),"_")))))</f>
        <v/>
      </c>
      <c r="H1612" s="23" t="str">
        <f t="shared" ca="1" si="185"/>
        <v/>
      </c>
      <c r="I1612" s="24" t="str">
        <f>IF(OR(E1612="",E1612="!!!",F1612="NEW"),"",INDEX(B$2:B1611,-1+SUMPRODUCT(MAX(ROW(E$2:E1611)*(E1612=E$2:E1611)))))</f>
        <v/>
      </c>
      <c r="J1612" s="24" t="str">
        <f ca="1">IF(OR(E1612="",E1612="!!!",F1612="NEW"),"",COUNTBLANK(OFFSET(A$1,,,SUMPRODUCT(MAX(ROW(E$2:E1612)*(E1612=E$2:E1612)))))-COUNTBLANK(OFFSET(A$1,,,SUMPRODUCT(MAX(ROW(E$1:E1611)*(E2=E$1:E1611))))))</f>
        <v/>
      </c>
      <c r="K1612" s="24" t="str">
        <f>IF(OR(E1612="",E1612="!!!",F1612="NEW"),"",INDEX(J$1:J1611,SUMPRODUCT(MAX(ROW(E$1:E1611)*(E1612=E$1:E1611)))))</f>
        <v/>
      </c>
      <c r="L1612" s="25"/>
    </row>
    <row r="1613" spans="1:12" x14ac:dyDescent="0.2">
      <c r="A1613" t="s">
        <v>1360</v>
      </c>
      <c r="E1613" s="20" t="str">
        <f t="shared" si="184"/>
        <v/>
      </c>
      <c r="F1613" s="21" t="str">
        <f>IF(OR(E1613="",E1613="!!!"),"",IF(NOT(ISNA(VLOOKUP(E1613,E$1:E1612,1,FALSE()))),"OLD",IF(AND(E1613&lt;&gt;"",E1613&lt;&gt;"!!!"),"NEW","")))</f>
        <v/>
      </c>
      <c r="G1613" s="22" t="str">
        <f>IF(OR(E1613="",E1613="!!!"),"",IF(OR(J1613=0,AND(J1613=1,K1613=1),AND(J1613=1,I1613="SBJ"),AND(J1613=1,I1613=0)),"?IN_FOCUS",IF(J1613&lt;=2,"?ACTIVATED",IF(J1613&lt;&gt;"","?FAMILIAR",IF(F1613="NEW",IF(ISNA(VLOOKUP(E1613,#REF!,1,FALSE())),"?TYPE_IDENTIFIABLE","?REFERENTIAL"),"_")))))</f>
        <v/>
      </c>
      <c r="H1613" s="23" t="str">
        <f t="shared" ca="1" si="185"/>
        <v/>
      </c>
      <c r="I1613" s="24" t="str">
        <f>IF(OR(E1613="",E1613="!!!",F1613="NEW"),"",INDEX(B$2:B1612,-1+SUMPRODUCT(MAX(ROW(E$2:E1612)*(E1613=E$2:E1612)))))</f>
        <v/>
      </c>
      <c r="J1613" s="24" t="str">
        <f ca="1">IF(OR(E1613="",E1613="!!!",F1613="NEW"),"",COUNTBLANK(OFFSET(A$1,,,SUMPRODUCT(MAX(ROW(E$2:E1613)*(E1613=E$2:E1613)))))-COUNTBLANK(OFFSET(A$1,,,SUMPRODUCT(MAX(ROW(E$1:E1612)*(E2=E$1:E1612))))))</f>
        <v/>
      </c>
      <c r="K1613" s="24" t="str">
        <f>IF(OR(E1613="",E1613="!!!",F1613="NEW"),"",INDEX(J$1:J1612,SUMPRODUCT(MAX(ROW(E$1:E1612)*(E1613=E$1:E1612)))))</f>
        <v/>
      </c>
      <c r="L1613" s="25"/>
    </row>
    <row r="1614" spans="1:12" x14ac:dyDescent="0.2">
      <c r="A1614" t="s">
        <v>1361</v>
      </c>
      <c r="E1614" s="20" t="str">
        <f t="shared" si="184"/>
        <v/>
      </c>
      <c r="F1614" s="21" t="str">
        <f>IF(OR(E1614="",E1614="!!!"),"",IF(NOT(ISNA(VLOOKUP(E1614,E$1:E1613,1,FALSE()))),"OLD",IF(AND(E1614&lt;&gt;"",E1614&lt;&gt;"!!!"),"NEW","")))</f>
        <v/>
      </c>
      <c r="G1614" s="22" t="str">
        <f>IF(OR(E1614="",E1614="!!!"),"",IF(OR(J1614=0,AND(J1614=1,K1614=1),AND(J1614=1,I1614="SBJ"),AND(J1614=1,I1614=0)),"?IN_FOCUS",IF(J1614&lt;=2,"?ACTIVATED",IF(J1614&lt;&gt;"","?FAMILIAR",IF(F1614="NEW",IF(ISNA(VLOOKUP(E1614,#REF!,1,FALSE())),"?TYPE_IDENTIFIABLE","?REFERENTIAL"),"_")))))</f>
        <v/>
      </c>
      <c r="H1614" s="23" t="str">
        <f t="shared" ca="1" si="185"/>
        <v/>
      </c>
      <c r="I1614" s="24" t="str">
        <f>IF(OR(E1614="",E1614="!!!",F1614="NEW"),"",INDEX(B$2:B1613,-1+SUMPRODUCT(MAX(ROW(E$2:E1613)*(E1614=E$2:E1613)))))</f>
        <v/>
      </c>
      <c r="J1614" s="24" t="str">
        <f ca="1">IF(OR(E1614="",E1614="!!!",F1614="NEW"),"",COUNTBLANK(OFFSET(A$1,,,SUMPRODUCT(MAX(ROW(E$2:E1614)*(E1614=E$2:E1614)))))-COUNTBLANK(OFFSET(A$1,,,SUMPRODUCT(MAX(ROW(E$1:E1613)*(E2=E$1:E1613))))))</f>
        <v/>
      </c>
      <c r="K1614" s="24" t="str">
        <f>IF(OR(E1614="",E1614="!!!",F1614="NEW"),"",INDEX(J$1:J1613,SUMPRODUCT(MAX(ROW(E$1:E1613)*(E1614=E$1:E1613)))))</f>
        <v/>
      </c>
      <c r="L1614" s="25"/>
    </row>
    <row r="1615" spans="1:12" x14ac:dyDescent="0.2">
      <c r="A1615" t="s">
        <v>802</v>
      </c>
      <c r="E1615" s="20" t="str">
        <f t="shared" si="184"/>
        <v/>
      </c>
      <c r="F1615" s="21" t="str">
        <f>IF(OR(E1615="",E1615="!!!"),"",IF(NOT(ISNA(VLOOKUP(E1615,E$1:E1614,1,FALSE()))),"OLD",IF(AND(E1615&lt;&gt;"",E1615&lt;&gt;"!!!"),"NEW","")))</f>
        <v/>
      </c>
      <c r="G1615" s="22" t="str">
        <f>IF(OR(E1615="",E1615="!!!"),"",IF(OR(J1615=0,AND(J1615=1,K1615=1),AND(J1615=1,I1615="SBJ"),AND(J1615=1,I1615=0)),"?IN_FOCUS",IF(J1615&lt;=2,"?ACTIVATED",IF(J1615&lt;&gt;"","?FAMILIAR",IF(F1615="NEW",IF(ISNA(VLOOKUP(E1615,#REF!,1,FALSE())),"?TYPE_IDENTIFIABLE","?REFERENTIAL"),"_")))))</f>
        <v/>
      </c>
      <c r="H1615" s="23" t="str">
        <f t="shared" ca="1" si="185"/>
        <v/>
      </c>
      <c r="I1615" s="24" t="str">
        <f>IF(OR(E1615="",E1615="!!!",F1615="NEW"),"",INDEX(B$2:B1614,-1+SUMPRODUCT(MAX(ROW(E$2:E1614)*(E1615=E$2:E1614)))))</f>
        <v/>
      </c>
      <c r="J1615" s="24" t="str">
        <f ca="1">IF(OR(E1615="",E1615="!!!",F1615="NEW"),"",COUNTBLANK(OFFSET(A$1,,,SUMPRODUCT(MAX(ROW(E$2:E1615)*(E1615=E$2:E1615)))))-COUNTBLANK(OFFSET(A$1,,,SUMPRODUCT(MAX(ROW(E$1:E1614)*(E2=E$1:E1614))))))</f>
        <v/>
      </c>
      <c r="K1615" s="24" t="str">
        <f>IF(OR(E1615="",E1615="!!!",F1615="NEW"),"",INDEX(J$1:J1614,SUMPRODUCT(MAX(ROW(E$1:E1614)*(E1615=E$1:E1614)))))</f>
        <v/>
      </c>
      <c r="L1615" s="25"/>
    </row>
    <row r="1616" spans="1:12" x14ac:dyDescent="0.2">
      <c r="A1616" t="s">
        <v>866</v>
      </c>
      <c r="B1616" s="26" t="s">
        <v>950</v>
      </c>
      <c r="C1616" s="26" t="s">
        <v>805</v>
      </c>
      <c r="D1616" s="26" t="s">
        <v>806</v>
      </c>
      <c r="E1616" s="20"/>
      <c r="F1616" s="21" t="s">
        <v>1764</v>
      </c>
      <c r="G1616" s="22" t="str">
        <f>IF(OR(E1616="",E1616="!!!"),"",IF(OR(J1616=0,AND(J1616=1,K1616=1),AND(J1616=1,I1616="SBJ"),AND(J1616=1,I1616=0)),"?IN_FOCUS",IF(J1616&lt;=2,"?ACTIVATED",IF(J1616&lt;&gt;"","?FAMILIAR",IF(F1616="NEW",IF(ISNA(VLOOKUP(E1616,#REF!,1,FALSE())),"?TYPE_IDENTIFIABLE","?REFERENTIAL"),"_")))))</f>
        <v/>
      </c>
      <c r="H1616" s="23" t="str">
        <f t="shared" ca="1" si="185"/>
        <v/>
      </c>
      <c r="I1616" s="24" t="str">
        <f>IF(OR(E1616="",E1616="!!!",F1616="NEW"),"",INDEX(B$2:B1615,-1+SUMPRODUCT(MAX(ROW(E$2:E1615)*(E1616=E$2:E1615)))))</f>
        <v/>
      </c>
      <c r="J1616" s="24" t="str">
        <f ca="1">IF(OR(E1616="",E1616="!!!",F1616="NEW"),"",COUNTBLANK(OFFSET(A$1,,,SUMPRODUCT(MAX(ROW(E$2:E1616)*(E1616=E$2:E1616)))))-COUNTBLANK(OFFSET(A$1,,,SUMPRODUCT(MAX(ROW(E$1:E1615)*(E2=E$1:E1615))))))</f>
        <v/>
      </c>
      <c r="K1616" s="24" t="str">
        <f>IF(OR(E1616="",E1616="!!!",F1616="NEW"),"",INDEX(J$1:J1615,SUMPRODUCT(MAX(ROW(E$1:E1615)*(E1616=E$1:E1615)))))</f>
        <v/>
      </c>
      <c r="L1616" s="25"/>
    </row>
    <row r="1617" spans="1:12" x14ac:dyDescent="0.2">
      <c r="A1617" t="s">
        <v>13</v>
      </c>
      <c r="E1617" s="20" t="str">
        <f t="shared" si="184"/>
        <v/>
      </c>
      <c r="F1617" s="21" t="str">
        <f>IF(OR(E1617="",E1617="!!!"),"",IF(NOT(ISNA(VLOOKUP(E1617,E$1:E1616,1,FALSE()))),"OLD",IF(AND(E1617&lt;&gt;"",E1617&lt;&gt;"!!!"),"NEW","")))</f>
        <v/>
      </c>
      <c r="G1617" s="22" t="str">
        <f>IF(OR(E1617="",E1617="!!!"),"",IF(OR(J1617=0,AND(J1617=1,K1617=1),AND(J1617=1,I1617="SBJ"),AND(J1617=1,I1617=0)),"?IN_FOCUS",IF(J1617&lt;=2,"?ACTIVATED",IF(J1617&lt;&gt;"","?FAMILIAR",IF(F1617="NEW",IF(ISNA(VLOOKUP(E1617,#REF!,1,FALSE())),"?TYPE_IDENTIFIABLE","?REFERENTIAL"),"_")))))</f>
        <v/>
      </c>
      <c r="H1617" s="23" t="str">
        <f t="shared" ca="1" si="185"/>
        <v/>
      </c>
      <c r="I1617" s="24" t="str">
        <f>IF(OR(E1617="",E1617="!!!",F1617="NEW"),"",INDEX(B$2:B1616,-1+SUMPRODUCT(MAX(ROW(E$2:E1616)*(E1617=E$2:E1616)))))</f>
        <v/>
      </c>
      <c r="J1617" s="24" t="str">
        <f ca="1">IF(OR(E1617="",E1617="!!!",F1617="NEW"),"",COUNTBLANK(OFFSET(A$1,,,SUMPRODUCT(MAX(ROW(E$2:E1617)*(E1617=E$2:E1617)))))-COUNTBLANK(OFFSET(A$1,,,SUMPRODUCT(MAX(ROW(E$1:E1616)*(E2=E$1:E1616))))))</f>
        <v/>
      </c>
      <c r="K1617" s="24" t="str">
        <f>IF(OR(E1617="",E1617="!!!",F1617="NEW"),"",INDEX(J$1:J1616,SUMPRODUCT(MAX(ROW(E$1:E1616)*(E1617=E$1:E1616)))))</f>
        <v/>
      </c>
      <c r="L1617" s="25"/>
    </row>
    <row r="1618" spans="1:12" x14ac:dyDescent="0.2">
      <c r="A1618" t="s">
        <v>802</v>
      </c>
      <c r="E1618" s="20" t="str">
        <f t="shared" si="184"/>
        <v/>
      </c>
      <c r="F1618" s="21" t="str">
        <f>IF(OR(E1618="",E1618="!!!"),"",IF(NOT(ISNA(VLOOKUP(E1618,E$1:E1617,1,FALSE()))),"OLD",IF(AND(E1618&lt;&gt;"",E1618&lt;&gt;"!!!"),"NEW","")))</f>
        <v/>
      </c>
      <c r="G1618" s="22" t="str">
        <f>IF(OR(E1618="",E1618="!!!"),"",IF(OR(J1618=0,AND(J1618=1,K1618=1),AND(J1618=1,I1618="SBJ"),AND(J1618=1,I1618=0)),"?IN_FOCUS",IF(J1618&lt;=2,"?ACTIVATED",IF(J1618&lt;&gt;"","?FAMILIAR",IF(F1618="NEW",IF(ISNA(VLOOKUP(E1618,#REF!,1,FALSE())),"?TYPE_IDENTIFIABLE","?REFERENTIAL"),"_")))))</f>
        <v/>
      </c>
      <c r="H1618" s="23" t="str">
        <f t="shared" ca="1" si="185"/>
        <v/>
      </c>
      <c r="I1618" s="24" t="str">
        <f>IF(OR(E1618="",E1618="!!!",F1618="NEW"),"",INDEX(B$2:B1617,-1+SUMPRODUCT(MAX(ROW(E$2:E1617)*(E1618=E$2:E1617)))))</f>
        <v/>
      </c>
      <c r="J1618" s="24" t="str">
        <f ca="1">IF(OR(E1618="",E1618="!!!",F1618="NEW"),"",COUNTBLANK(OFFSET(A$1,,,SUMPRODUCT(MAX(ROW(E$2:E1618)*(E1618=E$2:E1618)))))-COUNTBLANK(OFFSET(A$1,,,SUMPRODUCT(MAX(ROW(E$1:E1617)*(E2=E$1:E1617))))))</f>
        <v/>
      </c>
      <c r="K1618" s="24" t="str">
        <f>IF(OR(E1618="",E1618="!!!",F1618="NEW"),"",INDEX(J$1:J1617,SUMPRODUCT(MAX(ROW(E$1:E1617)*(E1618=E$1:E1617)))))</f>
        <v/>
      </c>
      <c r="L1618" s="25"/>
    </row>
    <row r="1619" spans="1:12" x14ac:dyDescent="0.2">
      <c r="A1619" t="s">
        <v>845</v>
      </c>
      <c r="E1619" s="20" t="str">
        <f t="shared" si="184"/>
        <v/>
      </c>
      <c r="F1619" s="21" t="str">
        <f>IF(OR(E1619="",E1619="!!!"),"",IF(NOT(ISNA(VLOOKUP(E1619,E$1:E1618,1,FALSE()))),"OLD",IF(AND(E1619&lt;&gt;"",E1619&lt;&gt;"!!!"),"NEW","")))</f>
        <v/>
      </c>
      <c r="G1619" s="22" t="str">
        <f>IF(OR(E1619="",E1619="!!!"),"",IF(OR(J1619=0,AND(J1619=1,K1619=1),AND(J1619=1,I1619="SBJ"),AND(J1619=1,I1619=0)),"?IN_FOCUS",IF(J1619&lt;=2,"?ACTIVATED",IF(J1619&lt;&gt;"","?FAMILIAR",IF(F1619="NEW",IF(ISNA(VLOOKUP(E1619,#REF!,1,FALSE())),"?TYPE_IDENTIFIABLE","?REFERENTIAL"),"_")))))</f>
        <v/>
      </c>
      <c r="H1619" s="23" t="str">
        <f t="shared" ca="1" si="185"/>
        <v/>
      </c>
      <c r="I1619" s="24" t="str">
        <f>IF(OR(E1619="",E1619="!!!",F1619="NEW"),"",INDEX(B$2:B1618,-1+SUMPRODUCT(MAX(ROW(E$2:E1618)*(E1619=E$2:E1618)))))</f>
        <v/>
      </c>
      <c r="J1619" s="24" t="str">
        <f ca="1">IF(OR(E1619="",E1619="!!!",F1619="NEW"),"",COUNTBLANK(OFFSET(A$1,,,SUMPRODUCT(MAX(ROW(E$2:E1619)*(E1619=E$2:E1619)))))-COUNTBLANK(OFFSET(A$1,,,SUMPRODUCT(MAX(ROW(E$1:E1618)*(E2=E$1:E1618))))))</f>
        <v/>
      </c>
      <c r="K1619" s="24" t="str">
        <f>IF(OR(E1619="",E1619="!!!",F1619="NEW"),"",INDEX(J$1:J1618,SUMPRODUCT(MAX(ROW(E$1:E1618)*(E1619=E$1:E1618)))))</f>
        <v/>
      </c>
      <c r="L1619" s="25"/>
    </row>
    <row r="1620" spans="1:12" x14ac:dyDescent="0.2">
      <c r="A1620" t="s">
        <v>1362</v>
      </c>
      <c r="E1620" s="20" t="str">
        <f t="shared" si="184"/>
        <v/>
      </c>
      <c r="F1620" s="21" t="str">
        <f>IF(OR(E1620="",E1620="!!!"),"",IF(NOT(ISNA(VLOOKUP(E1620,E$1:E1619,1,FALSE()))),"OLD",IF(AND(E1620&lt;&gt;"",E1620&lt;&gt;"!!!"),"NEW","")))</f>
        <v/>
      </c>
      <c r="G1620" s="22" t="str">
        <f>IF(OR(E1620="",E1620="!!!"),"",IF(OR(J1620=0,AND(J1620=1,K1620=1),AND(J1620=1,I1620="SBJ"),AND(J1620=1,I1620=0)),"?IN_FOCUS",IF(J1620&lt;=2,"?ACTIVATED",IF(J1620&lt;&gt;"","?FAMILIAR",IF(F1620="NEW",IF(ISNA(VLOOKUP(E1620,#REF!,1,FALSE())),"?TYPE_IDENTIFIABLE","?REFERENTIAL"),"_")))))</f>
        <v/>
      </c>
      <c r="H1620" s="23" t="str">
        <f t="shared" ca="1" si="185"/>
        <v/>
      </c>
      <c r="I1620" s="24" t="str">
        <f>IF(OR(E1620="",E1620="!!!",F1620="NEW"),"",INDEX(B$2:B1619,-1+SUMPRODUCT(MAX(ROW(E$2:E1619)*(E1620=E$2:E1619)))))</f>
        <v/>
      </c>
      <c r="J1620" s="24" t="str">
        <f ca="1">IF(OR(E1620="",E1620="!!!",F1620="NEW"),"",COUNTBLANK(OFFSET(A$1,,,SUMPRODUCT(MAX(ROW(E$2:E1620)*(E1620=E$2:E1620)))))-COUNTBLANK(OFFSET(A$1,,,SUMPRODUCT(MAX(ROW(E$1:E1619)*(E2=E$1:E1619))))))</f>
        <v/>
      </c>
      <c r="K1620" s="24" t="str">
        <f>IF(OR(E1620="",E1620="!!!",F1620="NEW"),"",INDEX(J$1:J1619,SUMPRODUCT(MAX(ROW(E$1:E1619)*(E1620=E$1:E1619)))))</f>
        <v/>
      </c>
      <c r="L1620" s="25"/>
    </row>
    <row r="1621" spans="1:12" x14ac:dyDescent="0.2">
      <c r="A1621" t="s">
        <v>1363</v>
      </c>
      <c r="E1621" s="20" t="str">
        <f t="shared" si="184"/>
        <v/>
      </c>
      <c r="F1621" s="21" t="str">
        <f>IF(OR(E1621="",E1621="!!!"),"",IF(NOT(ISNA(VLOOKUP(E1621,E$1:E1620,1,FALSE()))),"OLD",IF(AND(E1621&lt;&gt;"",E1621&lt;&gt;"!!!"),"NEW","")))</f>
        <v/>
      </c>
      <c r="G1621" s="22" t="str">
        <f>IF(OR(E1621="",E1621="!!!"),"",IF(OR(J1621=0,AND(J1621=1,K1621=1),AND(J1621=1,I1621="SBJ"),AND(J1621=1,I1621=0)),"?IN_FOCUS",IF(J1621&lt;=2,"?ACTIVATED",IF(J1621&lt;&gt;"","?FAMILIAR",IF(F1621="NEW",IF(ISNA(VLOOKUP(E1621,#REF!,1,FALSE())),"?TYPE_IDENTIFIABLE","?REFERENTIAL"),"_")))))</f>
        <v/>
      </c>
      <c r="H1621" s="23" t="str">
        <f t="shared" ca="1" si="185"/>
        <v/>
      </c>
      <c r="I1621" s="24" t="str">
        <f>IF(OR(E1621="",E1621="!!!",F1621="NEW"),"",INDEX(B$2:B1620,-1+SUMPRODUCT(MAX(ROW(E$2:E1620)*(E1621=E$2:E1620)))))</f>
        <v/>
      </c>
      <c r="J1621" s="24" t="str">
        <f ca="1">IF(OR(E1621="",E1621="!!!",F1621="NEW"),"",COUNTBLANK(OFFSET(A$1,,,SUMPRODUCT(MAX(ROW(E$2:E1621)*(E1621=E$2:E1621)))))-COUNTBLANK(OFFSET(A$1,,,SUMPRODUCT(MAX(ROW(E$1:E1620)*(E2=E$1:E1620))))))</f>
        <v/>
      </c>
      <c r="K1621" s="24" t="str">
        <f>IF(OR(E1621="",E1621="!!!",F1621="NEW"),"",INDEX(J$1:J1620,SUMPRODUCT(MAX(ROW(E$1:E1620)*(E1621=E$1:E1620)))))</f>
        <v/>
      </c>
      <c r="L1621" s="25"/>
    </row>
    <row r="1622" spans="1:12" x14ac:dyDescent="0.2">
      <c r="A1622" t="s">
        <v>1364</v>
      </c>
      <c r="E1622" s="20" t="str">
        <f t="shared" si="184"/>
        <v/>
      </c>
      <c r="F1622" s="21" t="str">
        <f>IF(OR(E1622="",E1622="!!!"),"",IF(NOT(ISNA(VLOOKUP(E1622,E$1:E1621,1,FALSE()))),"OLD",IF(AND(E1622&lt;&gt;"",E1622&lt;&gt;"!!!"),"NEW","")))</f>
        <v/>
      </c>
      <c r="G1622" s="22" t="str">
        <f>IF(OR(E1622="",E1622="!!!"),"",IF(OR(J1622=0,AND(J1622=1,K1622=1),AND(J1622=1,I1622="SBJ"),AND(J1622=1,I1622=0)),"?IN_FOCUS",IF(J1622&lt;=2,"?ACTIVATED",IF(J1622&lt;&gt;"","?FAMILIAR",IF(F1622="NEW",IF(ISNA(VLOOKUP(E1622,#REF!,1,FALSE())),"?TYPE_IDENTIFIABLE","?REFERENTIAL"),"_")))))</f>
        <v/>
      </c>
      <c r="H1622" s="23" t="str">
        <f t="shared" ca="1" si="185"/>
        <v/>
      </c>
      <c r="I1622" s="24" t="str">
        <f>IF(OR(E1622="",E1622="!!!",F1622="NEW"),"",INDEX(B$2:B1621,-1+SUMPRODUCT(MAX(ROW(E$2:E1621)*(E1622=E$2:E1621)))))</f>
        <v/>
      </c>
      <c r="J1622" s="24" t="str">
        <f ca="1">IF(OR(E1622="",E1622="!!!",F1622="NEW"),"",COUNTBLANK(OFFSET(A$1,,,SUMPRODUCT(MAX(ROW(E$2:E1622)*(E1622=E$2:E1622)))))-COUNTBLANK(OFFSET(A$1,,,SUMPRODUCT(MAX(ROW(E$1:E1621)*(E2=E$1:E1621))))))</f>
        <v/>
      </c>
      <c r="K1622" s="24" t="str">
        <f>IF(OR(E1622="",E1622="!!!",F1622="NEW"),"",INDEX(J$1:J1621,SUMPRODUCT(MAX(ROW(E$1:E1621)*(E1622=E$1:E1621)))))</f>
        <v/>
      </c>
      <c r="L1622" s="25"/>
    </row>
    <row r="1623" spans="1:12" x14ac:dyDescent="0.2">
      <c r="A1623" t="s">
        <v>802</v>
      </c>
      <c r="E1623" s="20" t="str">
        <f t="shared" si="184"/>
        <v/>
      </c>
      <c r="F1623" s="21" t="str">
        <f>IF(OR(E1623="",E1623="!!!"),"",IF(NOT(ISNA(VLOOKUP(E1623,E$1:E1622,1,FALSE()))),"OLD",IF(AND(E1623&lt;&gt;"",E1623&lt;&gt;"!!!"),"NEW","")))</f>
        <v/>
      </c>
      <c r="G1623" s="22" t="str">
        <f>IF(OR(E1623="",E1623="!!!"),"",IF(OR(J1623=0,AND(J1623=1,K1623=1),AND(J1623=1,I1623="SBJ"),AND(J1623=1,I1623=0)),"?IN_FOCUS",IF(J1623&lt;=2,"?ACTIVATED",IF(J1623&lt;&gt;"","?FAMILIAR",IF(F1623="NEW",IF(ISNA(VLOOKUP(E1623,#REF!,1,FALSE())),"?TYPE_IDENTIFIABLE","?REFERENTIAL"),"_")))))</f>
        <v/>
      </c>
      <c r="H1623" s="23" t="str">
        <f t="shared" ca="1" si="185"/>
        <v/>
      </c>
      <c r="I1623" s="24" t="str">
        <f>IF(OR(E1623="",E1623="!!!",F1623="NEW"),"",INDEX(B$2:B1622,-1+SUMPRODUCT(MAX(ROW(E$2:E1622)*(E1623=E$2:E1622)))))</f>
        <v/>
      </c>
      <c r="J1623" s="24" t="str">
        <f ca="1">IF(OR(E1623="",E1623="!!!",F1623="NEW"),"",COUNTBLANK(OFFSET(A$1,,,SUMPRODUCT(MAX(ROW(E$2:E1623)*(E1623=E$2:E1623)))))-COUNTBLANK(OFFSET(A$1,,,SUMPRODUCT(MAX(ROW(E$1:E1622)*(E2=E$1:E1622))))))</f>
        <v/>
      </c>
      <c r="K1623" s="24" t="str">
        <f>IF(OR(E1623="",E1623="!!!",F1623="NEW"),"",INDEX(J$1:J1622,SUMPRODUCT(MAX(ROW(E$1:E1622)*(E1623=E$1:E1622)))))</f>
        <v/>
      </c>
      <c r="L1623" s="25"/>
    </row>
    <row r="1624" spans="1:12" x14ac:dyDescent="0.2">
      <c r="A1624" t="s">
        <v>1147</v>
      </c>
      <c r="B1624" s="26" t="s">
        <v>938</v>
      </c>
      <c r="C1624" s="26" t="s">
        <v>847</v>
      </c>
      <c r="D1624" s="26" t="s">
        <v>806</v>
      </c>
      <c r="E1624" s="20"/>
      <c r="F1624" s="21" t="s">
        <v>1781</v>
      </c>
      <c r="G1624" s="22" t="str">
        <f>IF(OR(E1624="",E1624="!!!"),"",IF(OR(J1624=0,AND(J1624=1,K1624=1),AND(J1624=1,I1624="SBJ"),AND(J1624=1,I1624=0)),"?IN_FOCUS",IF(J1624&lt;=2,"?ACTIVATED",IF(J1624&lt;&gt;"","?FAMILIAR",IF(F1624="NEW",IF(ISNA(VLOOKUP(E1624,#REF!,1,FALSE())),"?TYPE_IDENTIFIABLE","?REFERENTIAL"),"_")))))</f>
        <v/>
      </c>
      <c r="H1624" s="23" t="str">
        <f t="shared" ca="1" si="185"/>
        <v/>
      </c>
      <c r="I1624" s="24" t="str">
        <f>IF(OR(E1624="",E1624="!!!",F1624="NEW"),"",INDEX(B$2:B1623,-1+SUMPRODUCT(MAX(ROW(E$2:E1623)*(E1624=E$2:E1623)))))</f>
        <v/>
      </c>
      <c r="J1624" s="24" t="str">
        <f ca="1">IF(OR(E1624="",E1624="!!!",F1624="NEW"),"",COUNTBLANK(OFFSET(A$1,,,SUMPRODUCT(MAX(ROW(E$2:E1624)*(E1624=E$2:E1624)))))-COUNTBLANK(OFFSET(A$1,,,SUMPRODUCT(MAX(ROW(E$1:E1623)*(E2=E$1:E1623))))))</f>
        <v/>
      </c>
      <c r="K1624" s="24" t="str">
        <f>IF(OR(E1624="",E1624="!!!",F1624="NEW"),"",INDEX(J$1:J1623,SUMPRODUCT(MAX(ROW(E$1:E1623)*(E1624=E$1:E1623)))))</f>
        <v/>
      </c>
      <c r="L1624" s="25"/>
    </row>
    <row r="1625" spans="1:12" x14ac:dyDescent="0.2">
      <c r="A1625" t="s">
        <v>812</v>
      </c>
      <c r="E1625" s="20" t="str">
        <f t="shared" si="184"/>
        <v/>
      </c>
      <c r="F1625" s="21" t="str">
        <f>IF(OR(E1625="",E1625="!!!"),"",IF(NOT(ISNA(VLOOKUP(E1625,E$1:E1624,1,FALSE()))),"OLD",IF(AND(E1625&lt;&gt;"",E1625&lt;&gt;"!!!"),"NEW","")))</f>
        <v/>
      </c>
      <c r="G1625" s="22" t="str">
        <f>IF(OR(E1625="",E1625="!!!"),"",IF(OR(J1625=0,AND(J1625=1,K1625=1),AND(J1625=1,I1625="SBJ"),AND(J1625=1,I1625=0)),"?IN_FOCUS",IF(J1625&lt;=2,"?ACTIVATED",IF(J1625&lt;&gt;"","?FAMILIAR",IF(F1625="NEW",IF(ISNA(VLOOKUP(E1625,#REF!,1,FALSE())),"?TYPE_IDENTIFIABLE","?REFERENTIAL"),"_")))))</f>
        <v/>
      </c>
      <c r="H1625" s="23" t="str">
        <f t="shared" ca="1" si="185"/>
        <v/>
      </c>
      <c r="I1625" s="24" t="str">
        <f>IF(OR(E1625="",E1625="!!!",F1625="NEW"),"",INDEX(B$2:B1624,-1+SUMPRODUCT(MAX(ROW(E$2:E1624)*(E1625=E$2:E1624)))))</f>
        <v/>
      </c>
      <c r="J1625" s="24" t="str">
        <f ca="1">IF(OR(E1625="",E1625="!!!",F1625="NEW"),"",COUNTBLANK(OFFSET(A$1,,,SUMPRODUCT(MAX(ROW(E$2:E1625)*(E1625=E$2:E1625)))))-COUNTBLANK(OFFSET(A$1,,,SUMPRODUCT(MAX(ROW(E$1:E1624)*(E2=E$1:E1624))))))</f>
        <v/>
      </c>
      <c r="K1625" s="24" t="str">
        <f>IF(OR(E1625="",E1625="!!!",F1625="NEW"),"",INDEX(J$1:J1624,SUMPRODUCT(MAX(ROW(E$1:E1624)*(E1625=E$1:E1624)))))</f>
        <v/>
      </c>
      <c r="L1625" s="25"/>
    </row>
    <row r="1626" spans="1:12" x14ac:dyDescent="0.2">
      <c r="A1626" t="s">
        <v>1365</v>
      </c>
      <c r="B1626" s="26" t="s">
        <v>864</v>
      </c>
      <c r="C1626" s="26" t="s">
        <v>814</v>
      </c>
      <c r="E1626" s="20" t="str">
        <f t="shared" si="184"/>
        <v/>
      </c>
      <c r="F1626" s="21" t="str">
        <f>IF(OR(E1626="",E1626="!!!"),"",IF(NOT(ISNA(VLOOKUP(E1626,E$1:E1625,1,FALSE()))),"OLD",IF(AND(E1626&lt;&gt;"",E1626&lt;&gt;"!!!"),"NEW","")))</f>
        <v/>
      </c>
      <c r="G1626" s="22" t="str">
        <f>IF(OR(E1626="",E1626="!!!"),"",IF(OR(J1626=0,AND(J1626=1,K1626=1),AND(J1626=1,I1626="SBJ"),AND(J1626=1,I1626=0)),"?IN_FOCUS",IF(J1626&lt;=2,"?ACTIVATED",IF(J1626&lt;&gt;"","?FAMILIAR",IF(F1626="NEW",IF(ISNA(VLOOKUP(E1626,#REF!,1,FALSE())),"?TYPE_IDENTIFIABLE","?REFERENTIAL"),"_")))))</f>
        <v/>
      </c>
      <c r="H1626" s="23" t="str">
        <f t="shared" ca="1" si="185"/>
        <v/>
      </c>
      <c r="I1626" s="24" t="str">
        <f>IF(OR(E1626="",E1626="!!!",F1626="NEW"),"",INDEX(B$2:B1625,-1+SUMPRODUCT(MAX(ROW(E$2:E1625)*(E1626=E$2:E1625)))))</f>
        <v/>
      </c>
      <c r="J1626" s="24" t="str">
        <f ca="1">IF(OR(E1626="",E1626="!!!",F1626="NEW"),"",COUNTBLANK(OFFSET(A$1,,,SUMPRODUCT(MAX(ROW(E$2:E1626)*(E1626=E$2:E1626)))))-COUNTBLANK(OFFSET(A$1,,,SUMPRODUCT(MAX(ROW(E$1:E1625)*(E2=E$1:E1625))))))</f>
        <v/>
      </c>
      <c r="K1626" s="24" t="str">
        <f>IF(OR(E1626="",E1626="!!!",F1626="NEW"),"",INDEX(J$1:J1625,SUMPRODUCT(MAX(ROW(E$1:E1625)*(E1626=E$1:E1625)))))</f>
        <v/>
      </c>
      <c r="L1626" s="25"/>
    </row>
    <row r="1627" spans="1:12" x14ac:dyDescent="0.2">
      <c r="A1627" t="s">
        <v>821</v>
      </c>
      <c r="E1627" s="20" t="str">
        <f t="shared" si="184"/>
        <v/>
      </c>
      <c r="F1627" s="21" t="str">
        <f>IF(OR(E1627="",E1627="!!!"),"",IF(NOT(ISNA(VLOOKUP(E1627,E$1:E1626,1,FALSE()))),"OLD",IF(AND(E1627&lt;&gt;"",E1627&lt;&gt;"!!!"),"NEW","")))</f>
        <v/>
      </c>
      <c r="G1627" s="22" t="str">
        <f>IF(OR(E1627="",E1627="!!!"),"",IF(OR(J1627=0,AND(J1627=1,K1627=1),AND(J1627=1,I1627="SBJ"),AND(J1627=1,I1627=0)),"?IN_FOCUS",IF(J1627&lt;=2,"?ACTIVATED",IF(J1627&lt;&gt;"","?FAMILIAR",IF(F1627="NEW",IF(ISNA(VLOOKUP(E1627,#REF!,1,FALSE())),"?TYPE_IDENTIFIABLE","?REFERENTIAL"),"_")))))</f>
        <v/>
      </c>
      <c r="H1627" s="23" t="str">
        <f t="shared" ca="1" si="185"/>
        <v/>
      </c>
      <c r="I1627" s="24" t="str">
        <f>IF(OR(E1627="",E1627="!!!",F1627="NEW"),"",INDEX(B$2:B1626,-1+SUMPRODUCT(MAX(ROW(E$2:E1626)*(E1627=E$2:E1626)))))</f>
        <v/>
      </c>
      <c r="J1627" s="24" t="str">
        <f ca="1">IF(OR(E1627="",E1627="!!!",F1627="NEW"),"",COUNTBLANK(OFFSET(A$1,,,SUMPRODUCT(MAX(ROW(E$2:E1627)*(E1627=E$2:E1627)))))-COUNTBLANK(OFFSET(A$1,,,SUMPRODUCT(MAX(ROW(E$1:E1626)*(E2=E$1:E1626))))))</f>
        <v/>
      </c>
      <c r="K1627" s="24" t="str">
        <f>IF(OR(E1627="",E1627="!!!",F1627="NEW"),"",INDEX(J$1:J1626,SUMPRODUCT(MAX(ROW(E$1:E1626)*(E1627=E$1:E1626)))))</f>
        <v/>
      </c>
      <c r="L1627" s="25"/>
    </row>
    <row r="1629" spans="1:12" x14ac:dyDescent="0.2">
      <c r="A1629" t="s">
        <v>1366</v>
      </c>
    </row>
    <row r="1630" spans="1:12" x14ac:dyDescent="0.2">
      <c r="A1630" t="s">
        <v>837</v>
      </c>
      <c r="B1630" s="26" t="s">
        <v>804</v>
      </c>
      <c r="C1630" s="26" t="s">
        <v>805</v>
      </c>
      <c r="D1630" s="26" t="s">
        <v>806</v>
      </c>
      <c r="E1630" s="20" t="s">
        <v>1787</v>
      </c>
      <c r="F1630" s="21" t="str">
        <f>IF(OR(E1630="",E1630="!!!"),"",IF(NOT(ISNA(VLOOKUP(E1630,E$1:E1629,1,FALSE()))),"OLD",IF(AND(E1630&lt;&gt;"",E1630&lt;&gt;"!!!"),"NEW","")))</f>
        <v>OLD</v>
      </c>
      <c r="G1630" s="22" t="s">
        <v>1823</v>
      </c>
      <c r="H1630" s="23" t="str">
        <f t="shared" ref="H1630:H1639" ca="1" si="186">IF(J1630&lt;&gt;1,"",IF(I1630="SBJ","CB","?"))</f>
        <v/>
      </c>
      <c r="I1630" s="24" t="str">
        <f>IF(OR(E1630="",E1630="!!!",F1630="NEW"),"",INDEX(B$2:B1629,-1+SUMPRODUCT(MAX(ROW(E$2:E1629)*(E1630=E$2:E1629)))))</f>
        <v>SBJ_2</v>
      </c>
      <c r="J1630" s="24">
        <f ca="1">IF(OR(E1630="",E1630="!!!",F1630="NEW"),"",COUNTBLANK(OFFSET(A$1,,,SUMPRODUCT(MAX(ROW(E$2:E1630)*(E1630=E$2:E1630)))))-COUNTBLANK(OFFSET(A$1,,,SUMPRODUCT(MAX(ROW(E$1:E1629)*(E2=E$1:E1629))))))</f>
        <v>0</v>
      </c>
      <c r="K1630" s="24" t="str">
        <f ca="1">IF(OR(E1630="",E1630="!!!",F1630="NEW"),"",INDEX(J$1:J1629,SUMPRODUCT(MAX(ROW(E$1:E1629)*(E1630=E$1:E1629)))))</f>
        <v/>
      </c>
      <c r="L1630" s="25"/>
    </row>
    <row r="1631" spans="1:12" x14ac:dyDescent="0.2">
      <c r="A1631" t="s">
        <v>898</v>
      </c>
      <c r="E1631" s="20" t="str">
        <f t="shared" ref="E1631:E1639" si="187">IF(D1631="?OLD","!!!","")</f>
        <v/>
      </c>
      <c r="F1631" s="21" t="str">
        <f>IF(OR(E1631="",E1631="!!!"),"",IF(NOT(ISNA(VLOOKUP(E1631,E$1:E1630,1,FALSE()))),"OLD",IF(AND(E1631&lt;&gt;"",E1631&lt;&gt;"!!!"),"NEW","")))</f>
        <v/>
      </c>
      <c r="G1631" s="22" t="str">
        <f>IF(OR(E1631="",E1631="!!!"),"",IF(OR(J1631=0,AND(J1631=1,K1631=1),AND(J1631=1,I1631="SBJ"),AND(J1631=1,I1631=0)),"?IN_FOCUS",IF(J1631&lt;=2,"?ACTIVATED",IF(J1631&lt;&gt;"","?FAMILIAR",IF(F1631="NEW",IF(ISNA(VLOOKUP(E1631,#REF!,1,FALSE())),"?TYPE_IDENTIFIABLE","?REFERENTIAL"),"_")))))</f>
        <v/>
      </c>
      <c r="H1631" s="23" t="str">
        <f t="shared" ca="1" si="186"/>
        <v/>
      </c>
      <c r="I1631" s="24" t="str">
        <f>IF(OR(E1631="",E1631="!!!",F1631="NEW"),"",INDEX(B$2:B1630,-1+SUMPRODUCT(MAX(ROW(E$2:E1630)*(E1631=E$2:E1630)))))</f>
        <v/>
      </c>
      <c r="J1631" s="24" t="str">
        <f ca="1">IF(OR(E1631="",E1631="!!!",F1631="NEW"),"",COUNTBLANK(OFFSET(A$1,,,SUMPRODUCT(MAX(ROW(E$2:E1631)*(E1631=E$2:E1631)))))-COUNTBLANK(OFFSET(A$1,,,SUMPRODUCT(MAX(ROW(E$1:E1630)*(E2=E$1:E1630))))))</f>
        <v/>
      </c>
      <c r="K1631" s="24" t="str">
        <f>IF(OR(E1631="",E1631="!!!",F1631="NEW"),"",INDEX(J$1:J1630,SUMPRODUCT(MAX(ROW(E$1:E1630)*(E1631=E$1:E1630)))))</f>
        <v/>
      </c>
      <c r="L1631" s="25"/>
    </row>
    <row r="1632" spans="1:12" x14ac:dyDescent="0.2">
      <c r="A1632" t="s">
        <v>1367</v>
      </c>
      <c r="E1632" s="20" t="str">
        <f t="shared" si="187"/>
        <v/>
      </c>
      <c r="F1632" s="21" t="str">
        <f>IF(OR(E1632="",E1632="!!!"),"",IF(NOT(ISNA(VLOOKUP(E1632,E$1:E1631,1,FALSE()))),"OLD",IF(AND(E1632&lt;&gt;"",E1632&lt;&gt;"!!!"),"NEW","")))</f>
        <v/>
      </c>
      <c r="G1632" s="22" t="str">
        <f>IF(OR(E1632="",E1632="!!!"),"",IF(OR(J1632=0,AND(J1632=1,K1632=1),AND(J1632=1,I1632="SBJ"),AND(J1632=1,I1632=0)),"?IN_FOCUS",IF(J1632&lt;=2,"?ACTIVATED",IF(J1632&lt;&gt;"","?FAMILIAR",IF(F1632="NEW",IF(ISNA(VLOOKUP(E1632,#REF!,1,FALSE())),"?TYPE_IDENTIFIABLE","?REFERENTIAL"),"_")))))</f>
        <v/>
      </c>
      <c r="H1632" s="23" t="str">
        <f t="shared" ca="1" si="186"/>
        <v/>
      </c>
      <c r="I1632" s="24" t="str">
        <f>IF(OR(E1632="",E1632="!!!",F1632="NEW"),"",INDEX(B$2:B1631,-1+SUMPRODUCT(MAX(ROW(E$2:E1631)*(E1632=E$2:E1631)))))</f>
        <v/>
      </c>
      <c r="J1632" s="24" t="str">
        <f ca="1">IF(OR(E1632="",E1632="!!!",F1632="NEW"),"",COUNTBLANK(OFFSET(A$1,,,SUMPRODUCT(MAX(ROW(E$2:E1632)*(E1632=E$2:E1632)))))-COUNTBLANK(OFFSET(A$1,,,SUMPRODUCT(MAX(ROW(E$1:E1631)*(E2=E$1:E1631))))))</f>
        <v/>
      </c>
      <c r="K1632" s="24" t="str">
        <f>IF(OR(E1632="",E1632="!!!",F1632="NEW"),"",INDEX(J$1:J1631,SUMPRODUCT(MAX(ROW(E$1:E1631)*(E1632=E$1:E1631)))))</f>
        <v/>
      </c>
      <c r="L1632" s="25"/>
    </row>
    <row r="1633" spans="1:12" x14ac:dyDescent="0.2">
      <c r="A1633" t="s">
        <v>802</v>
      </c>
      <c r="E1633" s="20" t="str">
        <f t="shared" si="187"/>
        <v/>
      </c>
      <c r="F1633" s="21" t="str">
        <f>IF(OR(E1633="",E1633="!!!"),"",IF(NOT(ISNA(VLOOKUP(E1633,E$1:E1632,1,FALSE()))),"OLD",IF(AND(E1633&lt;&gt;"",E1633&lt;&gt;"!!!"),"NEW","")))</f>
        <v/>
      </c>
      <c r="G1633" s="22" t="str">
        <f>IF(OR(E1633="",E1633="!!!"),"",IF(OR(J1633=0,AND(J1633=1,K1633=1),AND(J1633=1,I1633="SBJ"),AND(J1633=1,I1633=0)),"?IN_FOCUS",IF(J1633&lt;=2,"?ACTIVATED",IF(J1633&lt;&gt;"","?FAMILIAR",IF(F1633="NEW",IF(ISNA(VLOOKUP(E1633,#REF!,1,FALSE())),"?TYPE_IDENTIFIABLE","?REFERENTIAL"),"_")))))</f>
        <v/>
      </c>
      <c r="H1633" s="23" t="str">
        <f t="shared" ca="1" si="186"/>
        <v/>
      </c>
      <c r="I1633" s="24" t="str">
        <f>IF(OR(E1633="",E1633="!!!",F1633="NEW"),"",INDEX(B$2:B1632,-1+SUMPRODUCT(MAX(ROW(E$2:E1632)*(E1633=E$2:E1632)))))</f>
        <v/>
      </c>
      <c r="J1633" s="24" t="str">
        <f ca="1">IF(OR(E1633="",E1633="!!!",F1633="NEW"),"",COUNTBLANK(OFFSET(A$1,,,SUMPRODUCT(MAX(ROW(E$2:E1633)*(E1633=E$2:E1633)))))-COUNTBLANK(OFFSET(A$1,,,SUMPRODUCT(MAX(ROW(E$1:E1632)*(E2=E$1:E1632))))))</f>
        <v/>
      </c>
      <c r="K1633" s="24" t="str">
        <f>IF(OR(E1633="",E1633="!!!",F1633="NEW"),"",INDEX(J$1:J1632,SUMPRODUCT(MAX(ROW(E$1:E1632)*(E1633=E$1:E1632)))))</f>
        <v/>
      </c>
      <c r="L1633" s="25"/>
    </row>
    <row r="1634" spans="1:12" x14ac:dyDescent="0.2">
      <c r="A1634" t="s">
        <v>1188</v>
      </c>
      <c r="E1634" s="20" t="str">
        <f t="shared" si="187"/>
        <v/>
      </c>
      <c r="F1634" s="21" t="str">
        <f>IF(OR(E1634="",E1634="!!!"),"",IF(NOT(ISNA(VLOOKUP(E1634,E$1:E1633,1,FALSE()))),"OLD",IF(AND(E1634&lt;&gt;"",E1634&lt;&gt;"!!!"),"NEW","")))</f>
        <v/>
      </c>
      <c r="G1634" s="22" t="str">
        <f>IF(OR(E1634="",E1634="!!!"),"",IF(OR(J1634=0,AND(J1634=1,K1634=1),AND(J1634=1,I1634="SBJ"),AND(J1634=1,I1634=0)),"?IN_FOCUS",IF(J1634&lt;=2,"?ACTIVATED",IF(J1634&lt;&gt;"","?FAMILIAR",IF(F1634="NEW",IF(ISNA(VLOOKUP(E1634,#REF!,1,FALSE())),"?TYPE_IDENTIFIABLE","?REFERENTIAL"),"_")))))</f>
        <v/>
      </c>
      <c r="H1634" s="23" t="str">
        <f t="shared" ca="1" si="186"/>
        <v/>
      </c>
      <c r="I1634" s="24" t="str">
        <f>IF(OR(E1634="",E1634="!!!",F1634="NEW"),"",INDEX(B$2:B1633,-1+SUMPRODUCT(MAX(ROW(E$2:E1633)*(E1634=E$2:E1633)))))</f>
        <v/>
      </c>
      <c r="J1634" s="24" t="str">
        <f ca="1">IF(OR(E1634="",E1634="!!!",F1634="NEW"),"",COUNTBLANK(OFFSET(A$1,,,SUMPRODUCT(MAX(ROW(E$2:E1634)*(E1634=E$2:E1634)))))-COUNTBLANK(OFFSET(A$1,,,SUMPRODUCT(MAX(ROW(E$1:E1633)*(E2=E$1:E1633))))))</f>
        <v/>
      </c>
      <c r="K1634" s="24" t="str">
        <f>IF(OR(E1634="",E1634="!!!",F1634="NEW"),"",INDEX(J$1:J1633,SUMPRODUCT(MAX(ROW(E$1:E1633)*(E1634=E$1:E1633)))))</f>
        <v/>
      </c>
      <c r="L1634" s="25"/>
    </row>
    <row r="1635" spans="1:12" x14ac:dyDescent="0.2">
      <c r="A1635" t="s">
        <v>803</v>
      </c>
      <c r="B1635" s="26" t="s">
        <v>950</v>
      </c>
      <c r="C1635" s="26" t="s">
        <v>805</v>
      </c>
      <c r="D1635" s="26" t="s">
        <v>806</v>
      </c>
      <c r="E1635" s="20" t="s">
        <v>1747</v>
      </c>
      <c r="F1635" s="21" t="s">
        <v>1753</v>
      </c>
      <c r="G1635" s="22" t="s">
        <v>1823</v>
      </c>
      <c r="H1635" s="23" t="str">
        <f t="shared" ca="1" si="186"/>
        <v/>
      </c>
      <c r="I1635" s="24" t="str">
        <f>IF(OR(E1635="",E1635="!!!",F1635="NEW"),"",INDEX(B$2:B1634,-1+SUMPRODUCT(MAX(ROW(E$2:E1634)*(E1635=E$2:E1634)))))</f>
        <v>OBJ</v>
      </c>
      <c r="J1635" s="24">
        <f ca="1">IF(OR(E1635="",E1635="!!!",F1635="NEW"),"",COUNTBLANK(OFFSET(A$1,,,SUMPRODUCT(MAX(ROW(E$2:E1635)*(E1635=E$2:E1635)))))-COUNTBLANK(OFFSET(A$1,,,SUMPRODUCT(MAX(ROW(E$1:E1634)*(E2=E$1:E1634))))))</f>
        <v>0</v>
      </c>
      <c r="K1635" s="24">
        <f ca="1">IF(OR(E1635="",E1635="!!!",F1635="NEW"),"",INDEX(J$1:J1634,SUMPRODUCT(MAX(ROW(E$1:E1634)*(E1635=E$1:E1634)))))</f>
        <v>0</v>
      </c>
      <c r="L1635" s="25"/>
    </row>
    <row r="1636" spans="1:12" x14ac:dyDescent="0.2">
      <c r="A1636" t="s">
        <v>831</v>
      </c>
      <c r="E1636" s="20" t="str">
        <f t="shared" si="187"/>
        <v/>
      </c>
      <c r="F1636" s="21" t="str">
        <f>IF(OR(E1636="",E1636="!!!"),"",IF(NOT(ISNA(VLOOKUP(E1636,E$1:E1635,1,FALSE()))),"OLD",IF(AND(E1636&lt;&gt;"",E1636&lt;&gt;"!!!"),"NEW","")))</f>
        <v/>
      </c>
      <c r="G1636" s="22" t="str">
        <f>IF(OR(E1636="",E1636="!!!"),"",IF(OR(J1636=0,AND(J1636=1,K1636=1),AND(J1636=1,I1636="SBJ"),AND(J1636=1,I1636=0)),"?IN_FOCUS",IF(J1636&lt;=2,"?ACTIVATED",IF(J1636&lt;&gt;"","?FAMILIAR",IF(F1636="NEW",IF(ISNA(VLOOKUP(E1636,#REF!,1,FALSE())),"?TYPE_IDENTIFIABLE","?REFERENTIAL"),"_")))))</f>
        <v/>
      </c>
      <c r="H1636" s="23" t="str">
        <f t="shared" ca="1" si="186"/>
        <v/>
      </c>
      <c r="I1636" s="24" t="str">
        <f>IF(OR(E1636="",E1636="!!!",F1636="NEW"),"",INDEX(B$2:B1635,-1+SUMPRODUCT(MAX(ROW(E$2:E1635)*(E1636=E$2:E1635)))))</f>
        <v/>
      </c>
      <c r="J1636" s="24" t="str">
        <f ca="1">IF(OR(E1636="",E1636="!!!",F1636="NEW"),"",COUNTBLANK(OFFSET(A$1,,,SUMPRODUCT(MAX(ROW(E$2:E1636)*(E1636=E$2:E1636)))))-COUNTBLANK(OFFSET(A$1,,,SUMPRODUCT(MAX(ROW(E$1:E1635)*(E2=E$1:E1635))))))</f>
        <v/>
      </c>
      <c r="K1636" s="24" t="str">
        <f>IF(OR(E1636="",E1636="!!!",F1636="NEW"),"",INDEX(J$1:J1635,SUMPRODUCT(MAX(ROW(E$1:E1635)*(E1636=E$1:E1635)))))</f>
        <v/>
      </c>
      <c r="L1636" s="25"/>
    </row>
    <row r="1637" spans="1:12" x14ac:dyDescent="0.2">
      <c r="A1637" t="s">
        <v>815</v>
      </c>
      <c r="E1637" s="20" t="str">
        <f t="shared" si="187"/>
        <v/>
      </c>
      <c r="F1637" s="21" t="str">
        <f>IF(OR(E1637="",E1637="!!!"),"",IF(NOT(ISNA(VLOOKUP(E1637,E$1:E1636,1,FALSE()))),"OLD",IF(AND(E1637&lt;&gt;"",E1637&lt;&gt;"!!!"),"NEW","")))</f>
        <v/>
      </c>
      <c r="G1637" s="22" t="str">
        <f>IF(OR(E1637="",E1637="!!!"),"",IF(OR(J1637=0,AND(J1637=1,K1637=1),AND(J1637=1,I1637="SBJ"),AND(J1637=1,I1637=0)),"?IN_FOCUS",IF(J1637&lt;=2,"?ACTIVATED",IF(J1637&lt;&gt;"","?FAMILIAR",IF(F1637="NEW",IF(ISNA(VLOOKUP(E1637,#REF!,1,FALSE())),"?TYPE_IDENTIFIABLE","?REFERENTIAL"),"_")))))</f>
        <v/>
      </c>
      <c r="H1637" s="23" t="str">
        <f t="shared" ca="1" si="186"/>
        <v/>
      </c>
      <c r="I1637" s="24" t="str">
        <f>IF(OR(E1637="",E1637="!!!",F1637="NEW"),"",INDEX(B$2:B1636,-1+SUMPRODUCT(MAX(ROW(E$2:E1636)*(E1637=E$2:E1636)))))</f>
        <v/>
      </c>
      <c r="J1637" s="24" t="str">
        <f ca="1">IF(OR(E1637="",E1637="!!!",F1637="NEW"),"",COUNTBLANK(OFFSET(A$1,,,SUMPRODUCT(MAX(ROW(E$2:E1637)*(E1637=E$2:E1637)))))-COUNTBLANK(OFFSET(A$1,,,SUMPRODUCT(MAX(ROW(E$1:E1636)*(E2=E$1:E1636))))))</f>
        <v/>
      </c>
      <c r="K1637" s="24" t="str">
        <f>IF(OR(E1637="",E1637="!!!",F1637="NEW"),"",INDEX(J$1:J1636,SUMPRODUCT(MAX(ROW(E$1:E1636)*(E1637=E$1:E1636)))))</f>
        <v/>
      </c>
      <c r="L1637" s="25"/>
    </row>
    <row r="1638" spans="1:12" x14ac:dyDescent="0.2">
      <c r="A1638" t="s">
        <v>19</v>
      </c>
      <c r="B1638" s="26" t="s">
        <v>819</v>
      </c>
      <c r="C1638" s="26" t="s">
        <v>814</v>
      </c>
      <c r="E1638" s="20" t="str">
        <f t="shared" si="187"/>
        <v/>
      </c>
      <c r="F1638" s="21" t="str">
        <f>IF(OR(E1638="",E1638="!!!"),"",IF(NOT(ISNA(VLOOKUP(E1638,E$1:E1637,1,FALSE()))),"OLD",IF(AND(E1638&lt;&gt;"",E1638&lt;&gt;"!!!"),"NEW","")))</f>
        <v/>
      </c>
      <c r="G1638" s="22" t="str">
        <f>IF(OR(E1638="",E1638="!!!"),"",IF(OR(J1638=0,AND(J1638=1,K1638=1),AND(J1638=1,I1638="SBJ"),AND(J1638=1,I1638=0)),"?IN_FOCUS",IF(J1638&lt;=2,"?ACTIVATED",IF(J1638&lt;&gt;"","?FAMILIAR",IF(F1638="NEW",IF(ISNA(VLOOKUP(E1638,#REF!,1,FALSE())),"?TYPE_IDENTIFIABLE","?REFERENTIAL"),"_")))))</f>
        <v/>
      </c>
      <c r="H1638" s="23" t="str">
        <f t="shared" ca="1" si="186"/>
        <v/>
      </c>
      <c r="I1638" s="24" t="str">
        <f>IF(OR(E1638="",E1638="!!!",F1638="NEW"),"",INDEX(B$2:B1637,-1+SUMPRODUCT(MAX(ROW(E$2:E1637)*(E1638=E$2:E1637)))))</f>
        <v/>
      </c>
      <c r="J1638" s="24" t="str">
        <f ca="1">IF(OR(E1638="",E1638="!!!",F1638="NEW"),"",COUNTBLANK(OFFSET(A$1,,,SUMPRODUCT(MAX(ROW(E$2:E1638)*(E1638=E$2:E1638)))))-COUNTBLANK(OFFSET(A$1,,,SUMPRODUCT(MAX(ROW(E$1:E1637)*(E2=E$1:E1637))))))</f>
        <v/>
      </c>
      <c r="K1638" s="24" t="str">
        <f>IF(OR(E1638="",E1638="!!!",F1638="NEW"),"",INDEX(J$1:J1637,SUMPRODUCT(MAX(ROW(E$1:E1637)*(E1638=E$1:E1637)))))</f>
        <v/>
      </c>
      <c r="L1638" s="25"/>
    </row>
    <row r="1639" spans="1:12" x14ac:dyDescent="0.2">
      <c r="A1639" t="s">
        <v>821</v>
      </c>
      <c r="E1639" s="20" t="str">
        <f t="shared" si="187"/>
        <v/>
      </c>
      <c r="F1639" s="21" t="str">
        <f>IF(OR(E1639="",E1639="!!!"),"",IF(NOT(ISNA(VLOOKUP(E1639,E$1:E1638,1,FALSE()))),"OLD",IF(AND(E1639&lt;&gt;"",E1639&lt;&gt;"!!!"),"NEW","")))</f>
        <v/>
      </c>
      <c r="G1639" s="22" t="str">
        <f>IF(OR(E1639="",E1639="!!!"),"",IF(OR(J1639=0,AND(J1639=1,K1639=1),AND(J1639=1,I1639="SBJ"),AND(J1639=1,I1639=0)),"?IN_FOCUS",IF(J1639&lt;=2,"?ACTIVATED",IF(J1639&lt;&gt;"","?FAMILIAR",IF(F1639="NEW",IF(ISNA(VLOOKUP(E1639,#REF!,1,FALSE())),"?TYPE_IDENTIFIABLE","?REFERENTIAL"),"_")))))</f>
        <v/>
      </c>
      <c r="H1639" s="23" t="str">
        <f t="shared" ca="1" si="186"/>
        <v/>
      </c>
      <c r="I1639" s="24" t="str">
        <f>IF(OR(E1639="",E1639="!!!",F1639="NEW"),"",INDEX(B$2:B1638,-1+SUMPRODUCT(MAX(ROW(E$2:E1638)*(E1639=E$2:E1638)))))</f>
        <v/>
      </c>
      <c r="J1639" s="24" t="str">
        <f ca="1">IF(OR(E1639="",E1639="!!!",F1639="NEW"),"",COUNTBLANK(OFFSET(A$1,,,SUMPRODUCT(MAX(ROW(E$2:E1639)*(E1639=E$2:E1639)))))-COUNTBLANK(OFFSET(A$1,,,SUMPRODUCT(MAX(ROW(E$1:E1638)*(E2=E$1:E1638))))))</f>
        <v/>
      </c>
      <c r="K1639" s="24" t="str">
        <f>IF(OR(E1639="",E1639="!!!",F1639="NEW"),"",INDEX(J$1:J1638,SUMPRODUCT(MAX(ROW(E$1:E1638)*(E1639=E$1:E1638)))))</f>
        <v/>
      </c>
      <c r="L1639" s="25"/>
    </row>
    <row r="1641" spans="1:12" x14ac:dyDescent="0.2">
      <c r="A1641" t="s">
        <v>1368</v>
      </c>
    </row>
    <row r="1642" spans="1:12" x14ac:dyDescent="0.2">
      <c r="A1642" t="s">
        <v>1034</v>
      </c>
      <c r="E1642" s="20" t="str">
        <f t="shared" ref="E1642:E1659" si="188">IF(D1642="?OLD","!!!","")</f>
        <v/>
      </c>
      <c r="F1642" s="21" t="str">
        <f>IF(OR(E1642="",E1642="!!!"),"",IF(NOT(ISNA(VLOOKUP(E1642,E$1:E1641,1,FALSE()))),"OLD",IF(AND(E1642&lt;&gt;"",E1642&lt;&gt;"!!!"),"NEW","")))</f>
        <v/>
      </c>
      <c r="G1642" s="22" t="str">
        <f>IF(OR(E1642="",E1642="!!!"),"",IF(OR(J1642=0,AND(J1642=1,K1642=1),AND(J1642=1,I1642="SBJ"),AND(J1642=1,I1642=0)),"?IN_FOCUS",IF(J1642&lt;=2,"?ACTIVATED",IF(J1642&lt;&gt;"","?FAMILIAR",IF(F1642="NEW",IF(ISNA(VLOOKUP(E1642,#REF!,1,FALSE())),"?TYPE_IDENTIFIABLE","?REFERENTIAL"),"_")))))</f>
        <v/>
      </c>
      <c r="H1642" s="23" t="str">
        <f t="shared" ref="H1642:H1659" ca="1" si="189">IF(J1642&lt;&gt;1,"",IF(I1642="SBJ","CB","?"))</f>
        <v/>
      </c>
      <c r="I1642" s="24" t="str">
        <f>IF(OR(E1642="",E1642="!!!",F1642="NEW"),"",INDEX(B$2:B1641,-1+SUMPRODUCT(MAX(ROW(E$2:E1641)*(E1642=E$2:E1641)))))</f>
        <v/>
      </c>
      <c r="J1642" s="24" t="str">
        <f ca="1">IF(OR(E1642="",E1642="!!!",F1642="NEW"),"",COUNTBLANK(OFFSET(A$1,,,SUMPRODUCT(MAX(ROW(E$2:E1642)*(E1642=E$2:E1642)))))-COUNTBLANK(OFFSET(A$1,,,SUMPRODUCT(MAX(ROW(E$1:E1641)*(E2=E$1:E1641))))))</f>
        <v/>
      </c>
      <c r="K1642" s="24" t="str">
        <f>IF(OR(E1642="",E1642="!!!",F1642="NEW"),"",INDEX(J$1:J1641,SUMPRODUCT(MAX(ROW(E$1:E1641)*(E1642=E$1:E1641)))))</f>
        <v/>
      </c>
      <c r="L1642" s="25"/>
    </row>
    <row r="1643" spans="1:12" x14ac:dyDescent="0.2">
      <c r="A1643" t="s">
        <v>816</v>
      </c>
      <c r="B1643" s="26" t="s">
        <v>813</v>
      </c>
      <c r="C1643" s="26" t="s">
        <v>817</v>
      </c>
      <c r="D1643" s="26" t="s">
        <v>806</v>
      </c>
      <c r="E1643" s="20"/>
      <c r="F1643" s="21" t="s">
        <v>1793</v>
      </c>
      <c r="G1643" s="22"/>
      <c r="H1643" s="23" t="str">
        <f t="shared" ca="1" si="189"/>
        <v/>
      </c>
      <c r="I1643" s="24" t="str">
        <f>IF(OR(E1643="",E1643="!!!",F1643="NEW"),"",INDEX(B$2:B1642,-1+SUMPRODUCT(MAX(ROW(E$2:E1642)*(E1643=E$2:E1642)))))</f>
        <v/>
      </c>
      <c r="J1643" s="24" t="str">
        <f ca="1">IF(OR(E1643="",E1643="!!!",F1643="NEW"),"",COUNTBLANK(OFFSET(A$1,,,SUMPRODUCT(MAX(ROW(E$2:E1643)*(E1643=E$2:E1643)))))-COUNTBLANK(OFFSET(A$1,,,SUMPRODUCT(MAX(ROW(E$1:E1642)*(E2=E$1:E1642))))))</f>
        <v/>
      </c>
      <c r="K1643" s="24" t="str">
        <f>IF(OR(E1643="",E1643="!!!",F1643="NEW"),"",INDEX(J$1:J1642,SUMPRODUCT(MAX(ROW(E$1:E1642)*(E1643=E$1:E1642)))))</f>
        <v/>
      </c>
      <c r="L1643" s="25"/>
    </row>
    <row r="1644" spans="1:12" x14ac:dyDescent="0.2">
      <c r="A1644" t="s">
        <v>885</v>
      </c>
      <c r="B1644" s="26" t="s">
        <v>804</v>
      </c>
      <c r="C1644" s="26" t="s">
        <v>820</v>
      </c>
      <c r="D1644" s="26" t="s">
        <v>806</v>
      </c>
      <c r="E1644" s="20" t="s">
        <v>885</v>
      </c>
      <c r="F1644" s="21" t="str">
        <f>IF(OR(E1644="",E1644="!!!"),"",IF(NOT(ISNA(VLOOKUP(E1644,E$1:E1643,1,FALSE()))),"OLD",IF(AND(E1644&lt;&gt;"",E1644&lt;&gt;"!!!"),"NEW","")))</f>
        <v>NEW</v>
      </c>
      <c r="G1644" s="22" t="s">
        <v>1820</v>
      </c>
      <c r="H1644" s="23" t="str">
        <f t="shared" ca="1" si="189"/>
        <v/>
      </c>
      <c r="I1644" s="24" t="str">
        <f>IF(OR(E1644="",E1644="!!!",F1644="NEW"),"",INDEX(B$2:B1643,-1+SUMPRODUCT(MAX(ROW(E$2:E1643)*(E1644=E$2:E1643)))))</f>
        <v/>
      </c>
      <c r="J1644" s="24" t="str">
        <f ca="1">IF(OR(E1644="",E1644="!!!",F1644="NEW"),"",COUNTBLANK(OFFSET(A$1,,,SUMPRODUCT(MAX(ROW(E$2:E1644)*(E1644=E$2:E1644)))))-COUNTBLANK(OFFSET(A$1,,,SUMPRODUCT(MAX(ROW(E$1:E1643)*(E2=E$1:E1643))))))</f>
        <v/>
      </c>
      <c r="K1644" s="24" t="str">
        <f>IF(OR(E1644="",E1644="!!!",F1644="NEW"),"",INDEX(J$1:J1643,SUMPRODUCT(MAX(ROW(E$1:E1643)*(E1644=E$1:E1643)))))</f>
        <v/>
      </c>
      <c r="L1644" s="25"/>
    </row>
    <row r="1645" spans="1:12" x14ac:dyDescent="0.2">
      <c r="A1645" t="s">
        <v>831</v>
      </c>
      <c r="E1645" s="20" t="str">
        <f t="shared" si="188"/>
        <v/>
      </c>
      <c r="F1645" s="21" t="str">
        <f>IF(OR(E1645="",E1645="!!!"),"",IF(NOT(ISNA(VLOOKUP(E1645,E$1:E1644,1,FALSE()))),"OLD",IF(AND(E1645&lt;&gt;"",E1645&lt;&gt;"!!!"),"NEW","")))</f>
        <v/>
      </c>
      <c r="G1645" s="22" t="str">
        <f>IF(OR(E1645="",E1645="!!!"),"",IF(OR(J1645=0,AND(J1645=1,K1645=1),AND(J1645=1,I1645="SBJ"),AND(J1645=1,I1645=0)),"?IN_FOCUS",IF(J1645&lt;=2,"?ACTIVATED",IF(J1645&lt;&gt;"","?FAMILIAR",IF(F1645="NEW",IF(ISNA(VLOOKUP(E1645,#REF!,1,FALSE())),"?TYPE_IDENTIFIABLE","?REFERENTIAL"),"_")))))</f>
        <v/>
      </c>
      <c r="H1645" s="23" t="str">
        <f t="shared" ca="1" si="189"/>
        <v/>
      </c>
      <c r="I1645" s="24" t="str">
        <f>IF(OR(E1645="",E1645="!!!",F1645="NEW"),"",INDEX(B$2:B1644,-1+SUMPRODUCT(MAX(ROW(E$2:E1644)*(E1645=E$2:E1644)))))</f>
        <v/>
      </c>
      <c r="J1645" s="24" t="str">
        <f ca="1">IF(OR(E1645="",E1645="!!!",F1645="NEW"),"",COUNTBLANK(OFFSET(A$1,,,SUMPRODUCT(MAX(ROW(E$2:E1645)*(E1645=E$2:E1645)))))-COUNTBLANK(OFFSET(A$1,,,SUMPRODUCT(MAX(ROW(E$1:E1644)*(E2=E$1:E1644))))))</f>
        <v/>
      </c>
      <c r="K1645" s="24" t="str">
        <f>IF(OR(E1645="",E1645="!!!",F1645="NEW"),"",INDEX(J$1:J1644,SUMPRODUCT(MAX(ROW(E$1:E1644)*(E1645=E$1:E1644)))))</f>
        <v/>
      </c>
      <c r="L1645" s="25"/>
    </row>
    <row r="1646" spans="1:12" x14ac:dyDescent="0.2">
      <c r="A1646" t="s">
        <v>1369</v>
      </c>
      <c r="E1646" s="20" t="str">
        <f t="shared" si="188"/>
        <v/>
      </c>
      <c r="F1646" s="21" t="str">
        <f>IF(OR(E1646="",E1646="!!!"),"",IF(NOT(ISNA(VLOOKUP(E1646,E$1:E1645,1,FALSE()))),"OLD",IF(AND(E1646&lt;&gt;"",E1646&lt;&gt;"!!!"),"NEW","")))</f>
        <v/>
      </c>
      <c r="G1646" s="22" t="str">
        <f>IF(OR(E1646="",E1646="!!!"),"",IF(OR(J1646=0,AND(J1646=1,K1646=1),AND(J1646=1,I1646="SBJ"),AND(J1646=1,I1646=0)),"?IN_FOCUS",IF(J1646&lt;=2,"?ACTIVATED",IF(J1646&lt;&gt;"","?FAMILIAR",IF(F1646="NEW",IF(ISNA(VLOOKUP(E1646,#REF!,1,FALSE())),"?TYPE_IDENTIFIABLE","?REFERENTIAL"),"_")))))</f>
        <v/>
      </c>
      <c r="H1646" s="23" t="str">
        <f t="shared" ca="1" si="189"/>
        <v/>
      </c>
      <c r="I1646" s="24" t="str">
        <f>IF(OR(E1646="",E1646="!!!",F1646="NEW"),"",INDEX(B$2:B1645,-1+SUMPRODUCT(MAX(ROW(E$2:E1645)*(E1646=E$2:E1645)))))</f>
        <v/>
      </c>
      <c r="J1646" s="24" t="str">
        <f ca="1">IF(OR(E1646="",E1646="!!!",F1646="NEW"),"",COUNTBLANK(OFFSET(A$1,,,SUMPRODUCT(MAX(ROW(E$2:E1646)*(E1646=E$2:E1646)))))-COUNTBLANK(OFFSET(A$1,,,SUMPRODUCT(MAX(ROW(E$1:E1645)*(E2=E$1:E1645))))))</f>
        <v/>
      </c>
      <c r="K1646" s="24" t="str">
        <f>IF(OR(E1646="",E1646="!!!",F1646="NEW"),"",INDEX(J$1:J1645,SUMPRODUCT(MAX(ROW(E$1:E1645)*(E1646=E$1:E1645)))))</f>
        <v/>
      </c>
      <c r="L1646" s="25"/>
    </row>
    <row r="1647" spans="1:12" x14ac:dyDescent="0.2">
      <c r="A1647" t="s">
        <v>263</v>
      </c>
      <c r="E1647" s="20" t="str">
        <f t="shared" si="188"/>
        <v/>
      </c>
      <c r="F1647" s="21" t="str">
        <f>IF(OR(E1647="",E1647="!!!"),"",IF(NOT(ISNA(VLOOKUP(E1647,E$1:E1646,1,FALSE()))),"OLD",IF(AND(E1647&lt;&gt;"",E1647&lt;&gt;"!!!"),"NEW","")))</f>
        <v/>
      </c>
      <c r="G1647" s="22" t="str">
        <f>IF(OR(E1647="",E1647="!!!"),"",IF(OR(J1647=0,AND(J1647=1,K1647=1),AND(J1647=1,I1647="SBJ"),AND(J1647=1,I1647=0)),"?IN_FOCUS",IF(J1647&lt;=2,"?ACTIVATED",IF(J1647&lt;&gt;"","?FAMILIAR",IF(F1647="NEW",IF(ISNA(VLOOKUP(E1647,#REF!,1,FALSE())),"?TYPE_IDENTIFIABLE","?REFERENTIAL"),"_")))))</f>
        <v/>
      </c>
      <c r="H1647" s="23" t="str">
        <f t="shared" ca="1" si="189"/>
        <v/>
      </c>
      <c r="I1647" s="24" t="str">
        <f>IF(OR(E1647="",E1647="!!!",F1647="NEW"),"",INDEX(B$2:B1646,-1+SUMPRODUCT(MAX(ROW(E$2:E1646)*(E1647=E$2:E1646)))))</f>
        <v/>
      </c>
      <c r="J1647" s="24" t="str">
        <f ca="1">IF(OR(E1647="",E1647="!!!",F1647="NEW"),"",COUNTBLANK(OFFSET(A$1,,,SUMPRODUCT(MAX(ROW(E$2:E1647)*(E1647=E$2:E1647)))))-COUNTBLANK(OFFSET(A$1,,,SUMPRODUCT(MAX(ROW(E$1:E1646)*(E2=E$1:E1646))))))</f>
        <v/>
      </c>
      <c r="K1647" s="24" t="str">
        <f>IF(OR(E1647="",E1647="!!!",F1647="NEW"),"",INDEX(J$1:J1646,SUMPRODUCT(MAX(ROW(E$1:E1646)*(E1647=E$1:E1646)))))</f>
        <v/>
      </c>
      <c r="L1647" s="25"/>
    </row>
    <row r="1648" spans="1:12" x14ac:dyDescent="0.2">
      <c r="A1648" t="s">
        <v>1060</v>
      </c>
      <c r="E1648" s="20" t="str">
        <f t="shared" si="188"/>
        <v/>
      </c>
      <c r="F1648" s="21" t="str">
        <f>IF(OR(E1648="",E1648="!!!"),"",IF(NOT(ISNA(VLOOKUP(E1648,E$1:E1647,1,FALSE()))),"OLD",IF(AND(E1648&lt;&gt;"",E1648&lt;&gt;"!!!"),"NEW","")))</f>
        <v/>
      </c>
      <c r="G1648" s="22" t="str">
        <f>IF(OR(E1648="",E1648="!!!"),"",IF(OR(J1648=0,AND(J1648=1,K1648=1),AND(J1648=1,I1648="SBJ"),AND(J1648=1,I1648=0)),"?IN_FOCUS",IF(J1648&lt;=2,"?ACTIVATED",IF(J1648&lt;&gt;"","?FAMILIAR",IF(F1648="NEW",IF(ISNA(VLOOKUP(E1648,#REF!,1,FALSE())),"?TYPE_IDENTIFIABLE","?REFERENTIAL"),"_")))))</f>
        <v/>
      </c>
      <c r="H1648" s="23" t="str">
        <f t="shared" ca="1" si="189"/>
        <v/>
      </c>
      <c r="I1648" s="24" t="str">
        <f>IF(OR(E1648="",E1648="!!!",F1648="NEW"),"",INDEX(B$2:B1647,-1+SUMPRODUCT(MAX(ROW(E$2:E1647)*(E1648=E$2:E1647)))))</f>
        <v/>
      </c>
      <c r="J1648" s="24" t="str">
        <f ca="1">IF(OR(E1648="",E1648="!!!",F1648="NEW"),"",COUNTBLANK(OFFSET(A$1,,,SUMPRODUCT(MAX(ROW(E$2:E1648)*(E1648=E$2:E1648)))))-COUNTBLANK(OFFSET(A$1,,,SUMPRODUCT(MAX(ROW(E$1:E1647)*(E2=E$1:E1647))))))</f>
        <v/>
      </c>
      <c r="K1648" s="24" t="str">
        <f>IF(OR(E1648="",E1648="!!!",F1648="NEW"),"",INDEX(J$1:J1647,SUMPRODUCT(MAX(ROW(E$1:E1647)*(E1648=E$1:E1647)))))</f>
        <v/>
      </c>
      <c r="L1648" s="25"/>
    </row>
    <row r="1649" spans="1:12" x14ac:dyDescent="0.2">
      <c r="A1649" t="s">
        <v>1176</v>
      </c>
      <c r="E1649" s="20" t="str">
        <f t="shared" si="188"/>
        <v/>
      </c>
      <c r="F1649" s="21" t="str">
        <f>IF(OR(E1649="",E1649="!!!"),"",IF(NOT(ISNA(VLOOKUP(E1649,E$1:E1648,1,FALSE()))),"OLD",IF(AND(E1649&lt;&gt;"",E1649&lt;&gt;"!!!"),"NEW","")))</f>
        <v/>
      </c>
      <c r="G1649" s="22" t="str">
        <f>IF(OR(E1649="",E1649="!!!"),"",IF(OR(J1649=0,AND(J1649=1,K1649=1),AND(J1649=1,I1649="SBJ"),AND(J1649=1,I1649=0)),"?IN_FOCUS",IF(J1649&lt;=2,"?ACTIVATED",IF(J1649&lt;&gt;"","?FAMILIAR",IF(F1649="NEW",IF(ISNA(VLOOKUP(E1649,#REF!,1,FALSE())),"?TYPE_IDENTIFIABLE","?REFERENTIAL"),"_")))))</f>
        <v/>
      </c>
      <c r="H1649" s="23" t="str">
        <f t="shared" ca="1" si="189"/>
        <v/>
      </c>
      <c r="I1649" s="24" t="str">
        <f>IF(OR(E1649="",E1649="!!!",F1649="NEW"),"",INDEX(B$2:B1648,-1+SUMPRODUCT(MAX(ROW(E$2:E1648)*(E1649=E$2:E1648)))))</f>
        <v/>
      </c>
      <c r="J1649" s="24" t="str">
        <f ca="1">IF(OR(E1649="",E1649="!!!",F1649="NEW"),"",COUNTBLANK(OFFSET(A$1,,,SUMPRODUCT(MAX(ROW(E$2:E1649)*(E1649=E$2:E1649)))))-COUNTBLANK(OFFSET(A$1,,,SUMPRODUCT(MAX(ROW(E$1:E1648)*(E2=E$1:E1648))))))</f>
        <v/>
      </c>
      <c r="K1649" s="24" t="str">
        <f>IF(OR(E1649="",E1649="!!!",F1649="NEW"),"",INDEX(J$1:J1648,SUMPRODUCT(MAX(ROW(E$1:E1648)*(E1649=E$1:E1648)))))</f>
        <v/>
      </c>
      <c r="L1649" s="25"/>
    </row>
    <row r="1650" spans="1:12" x14ac:dyDescent="0.2">
      <c r="A1650" t="s">
        <v>1370</v>
      </c>
      <c r="B1650" s="26" t="s">
        <v>819</v>
      </c>
      <c r="C1650" s="26" t="s">
        <v>877</v>
      </c>
      <c r="D1650" s="26" t="s">
        <v>806</v>
      </c>
      <c r="E1650" s="20" t="s">
        <v>1771</v>
      </c>
      <c r="F1650" s="21" t="str">
        <f>IF(OR(E1650="",E1650="!!!"),"",IF(NOT(ISNA(VLOOKUP(E1650,E$1:E1649,1,FALSE()))),"OLD",IF(AND(E1650&lt;&gt;"",E1650&lt;&gt;"!!!"),"NEW","")))</f>
        <v>OLD</v>
      </c>
      <c r="G1650" s="22" t="s">
        <v>1822</v>
      </c>
      <c r="H1650" s="23" t="str">
        <f t="shared" ca="1" si="189"/>
        <v/>
      </c>
      <c r="I1650" s="24" t="str">
        <f>IF(OR(E1650="",E1650="!!!",F1650="NEW"),"",INDEX(B$2:B1649,-1+SUMPRODUCT(MAX(ROW(E$2:E1649)*(E1650=E$2:E1649)))))</f>
        <v>OBJ</v>
      </c>
      <c r="J1650" s="24">
        <f ca="1">IF(OR(E1650="",E1650="!!!",F1650="NEW"),"",COUNTBLANK(OFFSET(A$1,,,SUMPRODUCT(MAX(ROW(E$2:E1650)*(E1650=E$2:E1650)))))-COUNTBLANK(OFFSET(A$1,,,SUMPRODUCT(MAX(ROW(E$1:E1649)*(E2=E$1:E1649))))))</f>
        <v>0</v>
      </c>
      <c r="K1650" s="24">
        <f ca="1">IF(OR(E1650="",E1650="!!!",F1650="NEW"),"",INDEX(J$1:J1649,SUMPRODUCT(MAX(ROW(E$1:E1649)*(E1650=E$1:E1649)))))</f>
        <v>0</v>
      </c>
      <c r="L1650" s="25"/>
    </row>
    <row r="1651" spans="1:12" x14ac:dyDescent="0.2">
      <c r="A1651" t="s">
        <v>812</v>
      </c>
      <c r="E1651" s="20" t="str">
        <f t="shared" si="188"/>
        <v/>
      </c>
      <c r="F1651" s="21" t="str">
        <f>IF(OR(E1651="",E1651="!!!"),"",IF(NOT(ISNA(VLOOKUP(E1651,E$1:E1650,1,FALSE()))),"OLD",IF(AND(E1651&lt;&gt;"",E1651&lt;&gt;"!!!"),"NEW","")))</f>
        <v/>
      </c>
      <c r="G1651" s="22" t="str">
        <f>IF(OR(E1651="",E1651="!!!"),"",IF(OR(J1651=0,AND(J1651=1,K1651=1),AND(J1651=1,I1651="SBJ"),AND(J1651=1,I1651=0)),"?IN_FOCUS",IF(J1651&lt;=2,"?ACTIVATED",IF(J1651&lt;&gt;"","?FAMILIAR",IF(F1651="NEW",IF(ISNA(VLOOKUP(E1651,#REF!,1,FALSE())),"?TYPE_IDENTIFIABLE","?REFERENTIAL"),"_")))))</f>
        <v/>
      </c>
      <c r="H1651" s="23" t="str">
        <f t="shared" ca="1" si="189"/>
        <v/>
      </c>
      <c r="I1651" s="24" t="str">
        <f>IF(OR(E1651="",E1651="!!!",F1651="NEW"),"",INDEX(B$2:B1650,-1+SUMPRODUCT(MAX(ROW(E$2:E1650)*(E1651=E$2:E1650)))))</f>
        <v/>
      </c>
      <c r="J1651" s="24" t="str">
        <f ca="1">IF(OR(E1651="",E1651="!!!",F1651="NEW"),"",COUNTBLANK(OFFSET(A$1,,,SUMPRODUCT(MAX(ROW(E$2:E1651)*(E1651=E$2:E1651)))))-COUNTBLANK(OFFSET(A$1,,,SUMPRODUCT(MAX(ROW(E$1:E1650)*(E2=E$1:E1650))))))</f>
        <v/>
      </c>
      <c r="K1651" s="24" t="str">
        <f>IF(OR(E1651="",E1651="!!!",F1651="NEW"),"",INDEX(J$1:J1650,SUMPRODUCT(MAX(ROW(E$1:E1650)*(E1651=E$1:E1650)))))</f>
        <v/>
      </c>
      <c r="L1651" s="25"/>
    </row>
    <row r="1652" spans="1:12" x14ac:dyDescent="0.2">
      <c r="A1652" t="s">
        <v>1183</v>
      </c>
      <c r="E1652" s="20" t="str">
        <f t="shared" si="188"/>
        <v/>
      </c>
      <c r="F1652" s="21" t="str">
        <f>IF(OR(E1652="",E1652="!!!"),"",IF(NOT(ISNA(VLOOKUP(E1652,E$1:E1651,1,FALSE()))),"OLD",IF(AND(E1652&lt;&gt;"",E1652&lt;&gt;"!!!"),"NEW","")))</f>
        <v/>
      </c>
      <c r="G1652" s="22" t="str">
        <f>IF(OR(E1652="",E1652="!!!"),"",IF(OR(J1652=0,AND(J1652=1,K1652=1),AND(J1652=1,I1652="SBJ"),AND(J1652=1,I1652=0)),"?IN_FOCUS",IF(J1652&lt;=2,"?ACTIVATED",IF(J1652&lt;&gt;"","?FAMILIAR",IF(F1652="NEW",IF(ISNA(VLOOKUP(E1652,#REF!,1,FALSE())),"?TYPE_IDENTIFIABLE","?REFERENTIAL"),"_")))))</f>
        <v/>
      </c>
      <c r="H1652" s="23" t="str">
        <f t="shared" ca="1" si="189"/>
        <v/>
      </c>
      <c r="I1652" s="24" t="str">
        <f>IF(OR(E1652="",E1652="!!!",F1652="NEW"),"",INDEX(B$2:B1651,-1+SUMPRODUCT(MAX(ROW(E$2:E1651)*(E1652=E$2:E1651)))))</f>
        <v/>
      </c>
      <c r="J1652" s="24" t="str">
        <f ca="1">IF(OR(E1652="",E1652="!!!",F1652="NEW"),"",COUNTBLANK(OFFSET(A$1,,,SUMPRODUCT(MAX(ROW(E$2:E1652)*(E1652=E$2:E1652)))))-COUNTBLANK(OFFSET(A$1,,,SUMPRODUCT(MAX(ROW(E$1:E1651)*(E2=E$1:E1651))))))</f>
        <v/>
      </c>
      <c r="K1652" s="24" t="str">
        <f>IF(OR(E1652="",E1652="!!!",F1652="NEW"),"",INDEX(J$1:J1651,SUMPRODUCT(MAX(ROW(E$1:E1651)*(E1652=E$1:E1651)))))</f>
        <v/>
      </c>
      <c r="L1652" s="25"/>
    </row>
    <row r="1653" spans="1:12" x14ac:dyDescent="0.2">
      <c r="A1653" t="s">
        <v>30</v>
      </c>
      <c r="B1653" s="26" t="s">
        <v>813</v>
      </c>
      <c r="C1653" s="26" t="s">
        <v>814</v>
      </c>
      <c r="E1653" s="20" t="str">
        <f t="shared" si="188"/>
        <v/>
      </c>
      <c r="F1653" s="21" t="str">
        <f>IF(OR(E1653="",E1653="!!!"),"",IF(NOT(ISNA(VLOOKUP(E1653,E$1:E1652,1,FALSE()))),"OLD",IF(AND(E1653&lt;&gt;"",E1653&lt;&gt;"!!!"),"NEW","")))</f>
        <v/>
      </c>
      <c r="G1653" s="22" t="str">
        <f>IF(OR(E1653="",E1653="!!!"),"",IF(OR(J1653=0,AND(J1653=1,K1653=1),AND(J1653=1,I1653="SBJ"),AND(J1653=1,I1653=0)),"?IN_FOCUS",IF(J1653&lt;=2,"?ACTIVATED",IF(J1653&lt;&gt;"","?FAMILIAR",IF(F1653="NEW",IF(ISNA(VLOOKUP(E1653,#REF!,1,FALSE())),"?TYPE_IDENTIFIABLE","?REFERENTIAL"),"_")))))</f>
        <v/>
      </c>
      <c r="H1653" s="23" t="str">
        <f t="shared" ca="1" si="189"/>
        <v/>
      </c>
      <c r="I1653" s="24" t="str">
        <f>IF(OR(E1653="",E1653="!!!",F1653="NEW"),"",INDEX(B$2:B1652,-1+SUMPRODUCT(MAX(ROW(E$2:E1652)*(E1653=E$2:E1652)))))</f>
        <v/>
      </c>
      <c r="J1653" s="24" t="str">
        <f ca="1">IF(OR(E1653="",E1653="!!!",F1653="NEW"),"",COUNTBLANK(OFFSET(A$1,,,SUMPRODUCT(MAX(ROW(E$2:E1653)*(E1653=E$2:E1653)))))-COUNTBLANK(OFFSET(A$1,,,SUMPRODUCT(MAX(ROW(E$1:E1652)*(E2=E$1:E1652))))))</f>
        <v/>
      </c>
      <c r="K1653" s="24" t="str">
        <f>IF(OR(E1653="",E1653="!!!",F1653="NEW"),"",INDEX(J$1:J1652,SUMPRODUCT(MAX(ROW(E$1:E1652)*(E1653=E$1:E1652)))))</f>
        <v/>
      </c>
      <c r="L1653" s="25"/>
    </row>
    <row r="1654" spans="1:12" x14ac:dyDescent="0.2">
      <c r="A1654" t="s">
        <v>803</v>
      </c>
      <c r="B1654" s="26" t="s">
        <v>950</v>
      </c>
      <c r="C1654" s="26" t="s">
        <v>805</v>
      </c>
      <c r="D1654" s="26" t="s">
        <v>806</v>
      </c>
      <c r="E1654" s="20" t="s">
        <v>1747</v>
      </c>
      <c r="F1654" s="21" t="s">
        <v>1753</v>
      </c>
      <c r="G1654" s="22" t="s">
        <v>1823</v>
      </c>
      <c r="H1654" s="23" t="str">
        <f t="shared" ca="1" si="189"/>
        <v/>
      </c>
      <c r="I1654" s="24" t="str">
        <f>IF(OR(E1654="",E1654="!!!",F1654="NEW"),"",INDEX(B$2:B1653,-1+SUMPRODUCT(MAX(ROW(E$2:E1653)*(E1654=E$2:E1653)))))</f>
        <v>SBJ_2</v>
      </c>
      <c r="J1654" s="24">
        <f ca="1">IF(OR(E1654="",E1654="!!!",F1654="NEW"),"",COUNTBLANK(OFFSET(A$1,,,SUMPRODUCT(MAX(ROW(E$2:E1654)*(E1654=E$2:E1654)))))-COUNTBLANK(OFFSET(A$1,,,SUMPRODUCT(MAX(ROW(E$1:E1653)*(E2=E$1:E1653))))))</f>
        <v>0</v>
      </c>
      <c r="K1654" s="24">
        <f ca="1">IF(OR(E1654="",E1654="!!!",F1654="NEW"),"",INDEX(J$1:J1653,SUMPRODUCT(MAX(ROW(E$1:E1653)*(E1654=E$1:E1653)))))</f>
        <v>0</v>
      </c>
      <c r="L1654" s="25"/>
    </row>
    <row r="1655" spans="1:12" x14ac:dyDescent="0.2">
      <c r="A1655" t="s">
        <v>1161</v>
      </c>
      <c r="E1655" s="20" t="str">
        <f t="shared" si="188"/>
        <v/>
      </c>
      <c r="F1655" s="21" t="str">
        <f>IF(OR(E1655="",E1655="!!!"),"",IF(NOT(ISNA(VLOOKUP(E1655,E$1:E1654,1,FALSE()))),"OLD",IF(AND(E1655&lt;&gt;"",E1655&lt;&gt;"!!!"),"NEW","")))</f>
        <v/>
      </c>
      <c r="G1655" s="22" t="str">
        <f>IF(OR(E1655="",E1655="!!!"),"",IF(OR(J1655=0,AND(J1655=1,K1655=1),AND(J1655=1,I1655="SBJ"),AND(J1655=1,I1655=0)),"?IN_FOCUS",IF(J1655&lt;=2,"?ACTIVATED",IF(J1655&lt;&gt;"","?FAMILIAR",IF(F1655="NEW",IF(ISNA(VLOOKUP(E1655,#REF!,1,FALSE())),"?TYPE_IDENTIFIABLE","?REFERENTIAL"),"_")))))</f>
        <v/>
      </c>
      <c r="H1655" s="23" t="str">
        <f t="shared" ca="1" si="189"/>
        <v/>
      </c>
      <c r="I1655" s="24" t="str">
        <f>IF(OR(E1655="",E1655="!!!",F1655="NEW"),"",INDEX(B$2:B1654,-1+SUMPRODUCT(MAX(ROW(E$2:E1654)*(E1655=E$2:E1654)))))</f>
        <v/>
      </c>
      <c r="J1655" s="24" t="str">
        <f ca="1">IF(OR(E1655="",E1655="!!!",F1655="NEW"),"",COUNTBLANK(OFFSET(A$1,,,SUMPRODUCT(MAX(ROW(E$2:E1655)*(E1655=E$2:E1655)))))-COUNTBLANK(OFFSET(A$1,,,SUMPRODUCT(MAX(ROW(E$1:E1654)*(E2=E$1:E1654))))))</f>
        <v/>
      </c>
      <c r="K1655" s="24" t="str">
        <f>IF(OR(E1655="",E1655="!!!",F1655="NEW"),"",INDEX(J$1:J1654,SUMPRODUCT(MAX(ROW(E$1:E1654)*(E1655=E$1:E1654)))))</f>
        <v/>
      </c>
      <c r="L1655" s="25"/>
    </row>
    <row r="1656" spans="1:12" x14ac:dyDescent="0.2">
      <c r="A1656" t="s">
        <v>845</v>
      </c>
      <c r="E1656" s="20" t="str">
        <f t="shared" si="188"/>
        <v/>
      </c>
      <c r="F1656" s="21" t="str">
        <f>IF(OR(E1656="",E1656="!!!"),"",IF(NOT(ISNA(VLOOKUP(E1656,E$1:E1655,1,FALSE()))),"OLD",IF(AND(E1656&lt;&gt;"",E1656&lt;&gt;"!!!"),"NEW","")))</f>
        <v/>
      </c>
      <c r="G1656" s="22" t="str">
        <f>IF(OR(E1656="",E1656="!!!"),"",IF(OR(J1656=0,AND(J1656=1,K1656=1),AND(J1656=1,I1656="SBJ"),AND(J1656=1,I1656=0)),"?IN_FOCUS",IF(J1656&lt;=2,"?ACTIVATED",IF(J1656&lt;&gt;"","?FAMILIAR",IF(F1656="NEW",IF(ISNA(VLOOKUP(E1656,#REF!,1,FALSE())),"?TYPE_IDENTIFIABLE","?REFERENTIAL"),"_")))))</f>
        <v/>
      </c>
      <c r="H1656" s="23" t="str">
        <f t="shared" ca="1" si="189"/>
        <v/>
      </c>
      <c r="I1656" s="24" t="str">
        <f>IF(OR(E1656="",E1656="!!!",F1656="NEW"),"",INDEX(B$2:B1655,-1+SUMPRODUCT(MAX(ROW(E$2:E1655)*(E1656=E$2:E1655)))))</f>
        <v/>
      </c>
      <c r="J1656" s="24" t="str">
        <f ca="1">IF(OR(E1656="",E1656="!!!",F1656="NEW"),"",COUNTBLANK(OFFSET(A$1,,,SUMPRODUCT(MAX(ROW(E$2:E1656)*(E1656=E$2:E1656)))))-COUNTBLANK(OFFSET(A$1,,,SUMPRODUCT(MAX(ROW(E$1:E1655)*(E2=E$1:E1655))))))</f>
        <v/>
      </c>
      <c r="K1656" s="24" t="str">
        <f>IF(OR(E1656="",E1656="!!!",F1656="NEW"),"",INDEX(J$1:J1655,SUMPRODUCT(MAX(ROW(E$1:E1655)*(E1656=E$1:E1655)))))</f>
        <v/>
      </c>
      <c r="L1656" s="25"/>
    </row>
    <row r="1657" spans="1:12" x14ac:dyDescent="0.2">
      <c r="A1657" t="s">
        <v>1061</v>
      </c>
      <c r="B1657" s="26" t="s">
        <v>938</v>
      </c>
      <c r="C1657" s="26" t="s">
        <v>847</v>
      </c>
      <c r="D1657" s="26" t="s">
        <v>806</v>
      </c>
      <c r="E1657" s="20" t="s">
        <v>1788</v>
      </c>
      <c r="F1657" s="21" t="str">
        <f>IF(OR(E1657="",E1657="!!!"),"",IF(NOT(ISNA(VLOOKUP(E1657,E$1:E1656,1,FALSE()))),"OLD",IF(AND(E1657&lt;&gt;"",E1657&lt;&gt;"!!!"),"NEW","")))</f>
        <v>NEW</v>
      </c>
      <c r="G1657" s="22" t="s">
        <v>1820</v>
      </c>
      <c r="H1657" s="23" t="str">
        <f t="shared" ca="1" si="189"/>
        <v/>
      </c>
      <c r="I1657" s="24" t="str">
        <f>IF(OR(E1657="",E1657="!!!",F1657="NEW"),"",INDEX(B$2:B1656,-1+SUMPRODUCT(MAX(ROW(E$2:E1656)*(E1657=E$2:E1656)))))</f>
        <v/>
      </c>
      <c r="J1657" s="24" t="str">
        <f ca="1">IF(OR(E1657="",E1657="!!!",F1657="NEW"),"",COUNTBLANK(OFFSET(A$1,,,SUMPRODUCT(MAX(ROW(E$2:E1657)*(E1657=E$2:E1657)))))-COUNTBLANK(OFFSET(A$1,,,SUMPRODUCT(MAX(ROW(E$1:E1656)*(E2=E$1:E1656))))))</f>
        <v/>
      </c>
      <c r="K1657" s="24" t="str">
        <f>IF(OR(E1657="",E1657="!!!",F1657="NEW"),"",INDEX(J$1:J1656,SUMPRODUCT(MAX(ROW(E$1:E1656)*(E1657=E$1:E1656)))))</f>
        <v/>
      </c>
      <c r="L1657" s="25"/>
    </row>
    <row r="1658" spans="1:12" x14ac:dyDescent="0.2">
      <c r="A1658" t="s">
        <v>1009</v>
      </c>
      <c r="E1658" s="20" t="str">
        <f t="shared" si="188"/>
        <v/>
      </c>
      <c r="F1658" s="21" t="str">
        <f>IF(OR(E1658="",E1658="!!!"),"",IF(NOT(ISNA(VLOOKUP(E1658,E$1:E1657,1,FALSE()))),"OLD",IF(AND(E1658&lt;&gt;"",E1658&lt;&gt;"!!!"),"NEW","")))</f>
        <v/>
      </c>
      <c r="G1658" s="22" t="str">
        <f>IF(OR(E1658="",E1658="!!!"),"",IF(OR(J1658=0,AND(J1658=1,K1658=1),AND(J1658=1,I1658="SBJ"),AND(J1658=1,I1658=0)),"?IN_FOCUS",IF(J1658&lt;=2,"?ACTIVATED",IF(J1658&lt;&gt;"","?FAMILIAR",IF(F1658="NEW",IF(ISNA(VLOOKUP(E1658,#REF!,1,FALSE())),"?TYPE_IDENTIFIABLE","?REFERENTIAL"),"_")))))</f>
        <v/>
      </c>
      <c r="H1658" s="23" t="str">
        <f t="shared" ca="1" si="189"/>
        <v/>
      </c>
      <c r="I1658" s="24" t="str">
        <f>IF(OR(E1658="",E1658="!!!",F1658="NEW"),"",INDEX(B$2:B1657,-1+SUMPRODUCT(MAX(ROW(E$2:E1657)*(E1658=E$2:E1657)))))</f>
        <v/>
      </c>
      <c r="J1658" s="24" t="str">
        <f ca="1">IF(OR(E1658="",E1658="!!!",F1658="NEW"),"",COUNTBLANK(OFFSET(A$1,,,SUMPRODUCT(MAX(ROW(E$2:E1658)*(E1658=E$2:E1658)))))-COUNTBLANK(OFFSET(A$1,,,SUMPRODUCT(MAX(ROW(E$1:E1657)*(E2=E$1:E1657))))))</f>
        <v/>
      </c>
      <c r="K1658" s="24" t="str">
        <f>IF(OR(E1658="",E1658="!!!",F1658="NEW"),"",INDEX(J$1:J1657,SUMPRODUCT(MAX(ROW(E$1:E1657)*(E1658=E$1:E1657)))))</f>
        <v/>
      </c>
      <c r="L1658" s="25"/>
    </row>
    <row r="1659" spans="1:12" x14ac:dyDescent="0.2">
      <c r="A1659" t="s">
        <v>821</v>
      </c>
      <c r="E1659" s="20" t="str">
        <f t="shared" si="188"/>
        <v/>
      </c>
      <c r="F1659" s="21" t="str">
        <f>IF(OR(E1659="",E1659="!!!"),"",IF(NOT(ISNA(VLOOKUP(E1659,E$1:E1658,1,FALSE()))),"OLD",IF(AND(E1659&lt;&gt;"",E1659&lt;&gt;"!!!"),"NEW","")))</f>
        <v/>
      </c>
      <c r="G1659" s="22" t="str">
        <f>IF(OR(E1659="",E1659="!!!"),"",IF(OR(J1659=0,AND(J1659=1,K1659=1),AND(J1659=1,I1659="SBJ"),AND(J1659=1,I1659=0)),"?IN_FOCUS",IF(J1659&lt;=2,"?ACTIVATED",IF(J1659&lt;&gt;"","?FAMILIAR",IF(F1659="NEW",IF(ISNA(VLOOKUP(E1659,#REF!,1,FALSE())),"?TYPE_IDENTIFIABLE","?REFERENTIAL"),"_")))))</f>
        <v/>
      </c>
      <c r="H1659" s="23" t="str">
        <f t="shared" ca="1" si="189"/>
        <v/>
      </c>
      <c r="I1659" s="24" t="str">
        <f>IF(OR(E1659="",E1659="!!!",F1659="NEW"),"",INDEX(B$2:B1658,-1+SUMPRODUCT(MAX(ROW(E$2:E1658)*(E1659=E$2:E1658)))))</f>
        <v/>
      </c>
      <c r="J1659" s="24" t="str">
        <f ca="1">IF(OR(E1659="",E1659="!!!",F1659="NEW"),"",COUNTBLANK(OFFSET(A$1,,,SUMPRODUCT(MAX(ROW(E$2:E1659)*(E1659=E$2:E1659)))))-COUNTBLANK(OFFSET(A$1,,,SUMPRODUCT(MAX(ROW(E$1:E1658)*(E2=E$1:E1658))))))</f>
        <v/>
      </c>
      <c r="K1659" s="24" t="str">
        <f>IF(OR(E1659="",E1659="!!!",F1659="NEW"),"",INDEX(J$1:J1658,SUMPRODUCT(MAX(ROW(E$1:E1658)*(E1659=E$1:E1658)))))</f>
        <v/>
      </c>
      <c r="L1659" s="25"/>
    </row>
    <row r="1661" spans="1:12" x14ac:dyDescent="0.2">
      <c r="A1661" t="s">
        <v>1371</v>
      </c>
    </row>
    <row r="1662" spans="1:12" x14ac:dyDescent="0.2">
      <c r="A1662" t="s">
        <v>801</v>
      </c>
      <c r="E1662" s="20" t="str">
        <f>IF(D1662="?OLD","!!!","")</f>
        <v/>
      </c>
      <c r="F1662" s="21" t="str">
        <f>IF(OR(E1662="",E1662="!!!"),"",IF(NOT(ISNA(VLOOKUP(E1662,E$1:E1661,1,FALSE()))),"OLD",IF(AND(E1662&lt;&gt;"",E1662&lt;&gt;"!!!"),"NEW","")))</f>
        <v/>
      </c>
      <c r="G1662" s="22" t="str">
        <f>IF(OR(E1662="",E1662="!!!"),"",IF(OR(J1662=0,AND(J1662=1,K1662=1),AND(J1662=1,I1662="SBJ"),AND(J1662=1,I1662=0)),"?IN_FOCUS",IF(J1662&lt;=2,"?ACTIVATED",IF(J1662&lt;&gt;"","?FAMILIAR",IF(F1662="NEW",IF(ISNA(VLOOKUP(E1662,#REF!,1,FALSE())),"?TYPE_IDENTIFIABLE","?REFERENTIAL"),"_")))))</f>
        <v/>
      </c>
      <c r="H1662" s="23" t="str">
        <f ca="1">IF(J1662&lt;&gt;1,"",IF(I1662="SBJ","CB","?"))</f>
        <v/>
      </c>
      <c r="I1662" s="24" t="str">
        <f>IF(OR(E1662="",E1662="!!!",F1662="NEW"),"",INDEX(B$2:B1661,-1+SUMPRODUCT(MAX(ROW(E$2:E1661)*(E1662=E$2:E1661)))))</f>
        <v/>
      </c>
      <c r="J1662" s="24" t="str">
        <f ca="1">IF(OR(E1662="",E1662="!!!",F1662="NEW"),"",COUNTBLANK(OFFSET(A$1,,,SUMPRODUCT(MAX(ROW(E$2:E1662)*(E1662=E$2:E1662)))))-COUNTBLANK(OFFSET(A$1,,,SUMPRODUCT(MAX(ROW(E$1:E1661)*(E2=E$1:E1661))))))</f>
        <v/>
      </c>
      <c r="K1662" s="24" t="str">
        <f>IF(OR(E1662="",E1662="!!!",F1662="NEW"),"",INDEX(J$1:J1661,SUMPRODUCT(MAX(ROW(E$1:E1661)*(E1662=E$1:E1661)))))</f>
        <v/>
      </c>
      <c r="L1662" s="25"/>
    </row>
    <row r="1663" spans="1:12" x14ac:dyDescent="0.2">
      <c r="A1663" t="s">
        <v>803</v>
      </c>
      <c r="B1663" s="26" t="s">
        <v>804</v>
      </c>
      <c r="C1663" s="26" t="s">
        <v>805</v>
      </c>
      <c r="D1663" s="26" t="s">
        <v>806</v>
      </c>
      <c r="E1663" s="20" t="s">
        <v>1747</v>
      </c>
      <c r="F1663" s="21" t="s">
        <v>1753</v>
      </c>
      <c r="G1663" s="22" t="s">
        <v>1823</v>
      </c>
      <c r="H1663" s="23" t="str">
        <f ca="1">IF(J1663&lt;&gt;1,"",IF(I1663="SBJ","CB","?"))</f>
        <v/>
      </c>
      <c r="I1663" s="24" t="str">
        <f>IF(OR(E1663="",E1663="!!!",F1663="NEW"),"",INDEX(B$2:B1662,-1+SUMPRODUCT(MAX(ROW(E$2:E1662)*(E1663=E$2:E1662)))))</f>
        <v>SBJ_2</v>
      </c>
      <c r="J1663" s="24">
        <f ca="1">IF(OR(E1663="",E1663="!!!",F1663="NEW"),"",COUNTBLANK(OFFSET(A$1,,,SUMPRODUCT(MAX(ROW(E$2:E1663)*(E1663=E$2:E1663)))))-COUNTBLANK(OFFSET(A$1,,,SUMPRODUCT(MAX(ROW(E$1:E1662)*(E2=E$1:E1662))))))</f>
        <v>0</v>
      </c>
      <c r="K1663" s="24">
        <f ca="1">IF(OR(E1663="",E1663="!!!",F1663="NEW"),"",INDEX(J$1:J1662,SUMPRODUCT(MAX(ROW(E$1:E1662)*(E1663=E$1:E1662)))))</f>
        <v>0</v>
      </c>
      <c r="L1663" s="25"/>
    </row>
    <row r="1664" spans="1:12" x14ac:dyDescent="0.2">
      <c r="A1664" t="s">
        <v>1372</v>
      </c>
      <c r="E1664" s="20" t="str">
        <f>IF(D1664="?OLD","!!!","")</f>
        <v/>
      </c>
      <c r="F1664" s="21" t="str">
        <f>IF(OR(E1664="",E1664="!!!"),"",IF(NOT(ISNA(VLOOKUP(E1664,E$1:E1663,1,FALSE()))),"OLD",IF(AND(E1664&lt;&gt;"",E1664&lt;&gt;"!!!"),"NEW","")))</f>
        <v/>
      </c>
      <c r="G1664" s="22" t="str">
        <f>IF(OR(E1664="",E1664="!!!"),"",IF(OR(J1664=0,AND(J1664=1,K1664=1),AND(J1664=1,I1664="SBJ"),AND(J1664=1,I1664=0)),"?IN_FOCUS",IF(J1664&lt;=2,"?ACTIVATED",IF(J1664&lt;&gt;"","?FAMILIAR",IF(F1664="NEW",IF(ISNA(VLOOKUP(E1664,#REF!,1,FALSE())),"?TYPE_IDENTIFIABLE","?REFERENTIAL"),"_")))))</f>
        <v/>
      </c>
      <c r="H1664" s="23" t="str">
        <f ca="1">IF(J1664&lt;&gt;1,"",IF(I1664="SBJ","CB","?"))</f>
        <v/>
      </c>
      <c r="I1664" s="24" t="str">
        <f>IF(OR(E1664="",E1664="!!!",F1664="NEW"),"",INDEX(B$2:B1663,-1+SUMPRODUCT(MAX(ROW(E$2:E1663)*(E1664=E$2:E1663)))))</f>
        <v/>
      </c>
      <c r="J1664" s="24" t="str">
        <f ca="1">IF(OR(E1664="",E1664="!!!",F1664="NEW"),"",COUNTBLANK(OFFSET(A$1,,,SUMPRODUCT(MAX(ROW(E$2:E1664)*(E1664=E$2:E1664)))))-COUNTBLANK(OFFSET(A$1,,,SUMPRODUCT(MAX(ROW(E$1:E1663)*(E2=E$1:E1663))))))</f>
        <v/>
      </c>
      <c r="K1664" s="24" t="str">
        <f>IF(OR(E1664="",E1664="!!!",F1664="NEW"),"",INDEX(J$1:J1663,SUMPRODUCT(MAX(ROW(E$1:E1663)*(E1664=E$1:E1663)))))</f>
        <v/>
      </c>
      <c r="L1664" s="25"/>
    </row>
    <row r="1665" spans="1:12" x14ac:dyDescent="0.2">
      <c r="A1665" t="s">
        <v>1013</v>
      </c>
      <c r="B1665" s="26" t="s">
        <v>810</v>
      </c>
      <c r="C1665" s="26" t="s">
        <v>805</v>
      </c>
      <c r="D1665" s="26" t="s">
        <v>806</v>
      </c>
      <c r="E1665" s="20" t="s">
        <v>1175</v>
      </c>
      <c r="F1665" s="21" t="str">
        <f>IF(OR(E1665="",E1665="!!!"),"",IF(NOT(ISNA(VLOOKUP(E1665,E$1:E1664,1,FALSE()))),"OLD",IF(AND(E1665&lt;&gt;"",E1665&lt;&gt;"!!!"),"NEW","")))</f>
        <v>OLD</v>
      </c>
      <c r="G1665" s="22" t="s">
        <v>1822</v>
      </c>
      <c r="H1665" s="23" t="str">
        <f ca="1">IF(J1665&lt;&gt;1,"",IF(I1665="SBJ","CB","?"))</f>
        <v/>
      </c>
      <c r="I1665" s="24" t="str">
        <f>IF(OR(E1665="",E1665="!!!",F1665="NEW"),"",INDEX(B$2:B1664,-1+SUMPRODUCT(MAX(ROW(E$2:E1664)*(E1665=E$2:E1664)))))</f>
        <v>SBJ</v>
      </c>
      <c r="J1665" s="24">
        <f ca="1">IF(OR(E1665="",E1665="!!!",F1665="NEW"),"",COUNTBLANK(OFFSET(A$1,,,SUMPRODUCT(MAX(ROW(E$2:E1665)*(E1665=E$2:E1665)))))-COUNTBLANK(OFFSET(A$1,,,SUMPRODUCT(MAX(ROW(E$1:E1664)*(E2=E$1:E1664))))))</f>
        <v>0</v>
      </c>
      <c r="K1665" s="24">
        <f ca="1">IF(OR(E1665="",E1665="!!!",F1665="NEW"),"",INDEX(J$1:J1664,SUMPRODUCT(MAX(ROW(E$1:E1664)*(E1665=E$1:E1664)))))</f>
        <v>0</v>
      </c>
      <c r="L1665" s="25"/>
    </row>
    <row r="1666" spans="1:12" x14ac:dyDescent="0.2">
      <c r="A1666" t="s">
        <v>821</v>
      </c>
      <c r="E1666" s="20" t="str">
        <f>IF(D1666="?OLD","!!!","")</f>
        <v/>
      </c>
      <c r="F1666" s="21" t="str">
        <f>IF(OR(E1666="",E1666="!!!"),"",IF(NOT(ISNA(VLOOKUP(E1666,E$1:E1665,1,FALSE()))),"OLD",IF(AND(E1666&lt;&gt;"",E1666&lt;&gt;"!!!"),"NEW","")))</f>
        <v/>
      </c>
      <c r="G1666" s="22" t="str">
        <f>IF(OR(E1666="",E1666="!!!"),"",IF(OR(J1666=0,AND(J1666=1,K1666=1),AND(J1666=1,I1666="SBJ"),AND(J1666=1,I1666=0)),"?IN_FOCUS",IF(J1666&lt;=2,"?ACTIVATED",IF(J1666&lt;&gt;"","?FAMILIAR",IF(F1666="NEW",IF(ISNA(VLOOKUP(E1666,#REF!,1,FALSE())),"?TYPE_IDENTIFIABLE","?REFERENTIAL"),"_")))))</f>
        <v/>
      </c>
      <c r="H1666" s="23" t="str">
        <f ca="1">IF(J1666&lt;&gt;1,"",IF(I1666="SBJ","CB","?"))</f>
        <v/>
      </c>
      <c r="I1666" s="24" t="str">
        <f>IF(OR(E1666="",E1666="!!!",F1666="NEW"),"",INDEX(B$2:B1665,-1+SUMPRODUCT(MAX(ROW(E$2:E1665)*(E1666=E$2:E1665)))))</f>
        <v/>
      </c>
      <c r="J1666" s="24" t="str">
        <f ca="1">IF(OR(E1666="",E1666="!!!",F1666="NEW"),"",COUNTBLANK(OFFSET(A$1,,,SUMPRODUCT(MAX(ROW(E$2:E1666)*(E1666=E$2:E1666)))))-COUNTBLANK(OFFSET(A$1,,,SUMPRODUCT(MAX(ROW(E$1:E1665)*(E2=E$1:E1665))))))</f>
        <v/>
      </c>
      <c r="K1666" s="24" t="str">
        <f>IF(OR(E1666="",E1666="!!!",F1666="NEW"),"",INDEX(J$1:J1665,SUMPRODUCT(MAX(ROW(E$1:E1665)*(E1666=E$1:E1665)))))</f>
        <v/>
      </c>
      <c r="L1666" s="25"/>
    </row>
    <row r="1668" spans="1:12" x14ac:dyDescent="0.2">
      <c r="A1668" t="s">
        <v>900</v>
      </c>
      <c r="E1668" s="20" t="str">
        <f>IF(D1668="?OLD","!!!","")</f>
        <v/>
      </c>
      <c r="F1668" s="21" t="str">
        <f>IF(OR(E1668="",E1668="!!!"),"",IF(NOT(ISNA(VLOOKUP(E1668,E$1:E1667,1,FALSE()))),"OLD",IF(AND(E1668&lt;&gt;"",E1668&lt;&gt;"!!!"),"NEW","")))</f>
        <v/>
      </c>
      <c r="G1668" s="22" t="str">
        <f>IF(OR(E1668="",E1668="!!!"),"",IF(OR(J1668=0,AND(J1668=1,K1668=1),AND(J1668=1,I1668="SBJ"),AND(J1668=1,I1668=0)),"?IN_FOCUS",IF(J1668&lt;=2,"?ACTIVATED",IF(J1668&lt;&gt;"","?FAMILIAR",IF(F1668="NEW",IF(ISNA(VLOOKUP(E1668,#REF!,1,FALSE())),"?TYPE_IDENTIFIABLE","?REFERENTIAL"),"_")))))</f>
        <v/>
      </c>
      <c r="H1668" s="23" t="str">
        <f ca="1">IF(J1668&lt;&gt;1,"",IF(I1668="SBJ","CB","?"))</f>
        <v/>
      </c>
      <c r="I1668" s="24" t="str">
        <f>IF(OR(E1668="",E1668="!!!",F1668="NEW"),"",INDEX(B$2:B1667,-1+SUMPRODUCT(MAX(ROW(E$2:E1667)*(E1668=E$2:E1667)))))</f>
        <v/>
      </c>
      <c r="J1668" s="24" t="str">
        <f ca="1">IF(OR(E1668="",E1668="!!!",F1668="NEW"),"",COUNTBLANK(OFFSET(A$1,,,SUMPRODUCT(MAX(ROW(E$2:E1668)*(E1668=E$2:E1668)))))-COUNTBLANK(OFFSET(A$1,,,SUMPRODUCT(MAX(ROW(E$1:E1667)*(E2=E$1:E1667))))))</f>
        <v/>
      </c>
      <c r="K1668" s="24" t="str">
        <f>IF(OR(E1668="",E1668="!!!",F1668="NEW"),"",INDEX(J$1:J1667,SUMPRODUCT(MAX(ROW(E$1:E1667)*(E1668=E$1:E1667)))))</f>
        <v/>
      </c>
      <c r="L1668" s="25"/>
    </row>
    <row r="1669" spans="1:12" x14ac:dyDescent="0.2">
      <c r="A1669" t="s">
        <v>1373</v>
      </c>
    </row>
    <row r="1670" spans="1:12" x14ac:dyDescent="0.2">
      <c r="A1670" t="s">
        <v>803</v>
      </c>
      <c r="B1670" s="26" t="s">
        <v>804</v>
      </c>
      <c r="C1670" s="26" t="s">
        <v>805</v>
      </c>
      <c r="D1670" s="26" t="s">
        <v>806</v>
      </c>
      <c r="E1670" s="20" t="s">
        <v>1747</v>
      </c>
      <c r="F1670" s="21" t="s">
        <v>1753</v>
      </c>
      <c r="G1670" s="22" t="s">
        <v>1823</v>
      </c>
      <c r="H1670" s="23" t="str">
        <f t="shared" ref="H1670:H1684" ca="1" si="190">IF(J1670&lt;&gt;1,"",IF(I1670="SBJ","CB","?"))</f>
        <v/>
      </c>
      <c r="I1670" s="24" t="str">
        <f>IF(OR(E1670="",E1670="!!!",F1670="NEW"),"",INDEX(B$2:B1669,-1+SUMPRODUCT(MAX(ROW(E$2:E1669)*(E1670=E$2:E1669)))))</f>
        <v>SBJ</v>
      </c>
      <c r="J1670" s="24">
        <f ca="1">IF(OR(E1670="",E1670="!!!",F1670="NEW"),"",COUNTBLANK(OFFSET(A$1,,,SUMPRODUCT(MAX(ROW(E$2:E1670)*(E1670=E$2:E1670)))))-COUNTBLANK(OFFSET(A$1,,,SUMPRODUCT(MAX(ROW(E$1:E1669)*(E2=E$1:E1669))))))</f>
        <v>0</v>
      </c>
      <c r="K1670" s="24">
        <f ca="1">IF(OR(E1670="",E1670="!!!",F1670="NEW"),"",INDEX(J$1:J1669,SUMPRODUCT(MAX(ROW(E$1:E1669)*(E1670=E$1:E1669)))))</f>
        <v>0</v>
      </c>
      <c r="L1670" s="25"/>
    </row>
    <row r="1671" spans="1:12" x14ac:dyDescent="0.2">
      <c r="A1671" t="s">
        <v>904</v>
      </c>
      <c r="E1671" s="20" t="str">
        <f t="shared" ref="E1671:E1684" si="191">IF(D1671="?OLD","!!!","")</f>
        <v/>
      </c>
      <c r="F1671" s="21" t="str">
        <f>IF(OR(E1671="",E1671="!!!"),"",IF(NOT(ISNA(VLOOKUP(E1671,E$1:E1670,1,FALSE()))),"OLD",IF(AND(E1671&lt;&gt;"",E1671&lt;&gt;"!!!"),"NEW","")))</f>
        <v/>
      </c>
      <c r="G1671" s="22" t="str">
        <f>IF(OR(E1671="",E1671="!!!"),"",IF(OR(J1671=0,AND(J1671=1,K1671=1),AND(J1671=1,I1671="SBJ"),AND(J1671=1,I1671=0)),"?IN_FOCUS",IF(J1671&lt;=2,"?ACTIVATED",IF(J1671&lt;&gt;"","?FAMILIAR",IF(F1671="NEW",IF(ISNA(VLOOKUP(E1671,#REF!,1,FALSE())),"?TYPE_IDENTIFIABLE","?REFERENTIAL"),"_")))))</f>
        <v/>
      </c>
      <c r="H1671" s="23" t="str">
        <f t="shared" ca="1" si="190"/>
        <v/>
      </c>
      <c r="I1671" s="24" t="str">
        <f>IF(OR(E1671="",E1671="!!!",F1671="NEW"),"",INDEX(B$2:B1670,-1+SUMPRODUCT(MAX(ROW(E$2:E1670)*(E1671=E$2:E1670)))))</f>
        <v/>
      </c>
      <c r="J1671" s="24" t="str">
        <f ca="1">IF(OR(E1671="",E1671="!!!",F1671="NEW"),"",COUNTBLANK(OFFSET(A$1,,,SUMPRODUCT(MAX(ROW(E$2:E1671)*(E1671=E$2:E1671)))))-COUNTBLANK(OFFSET(A$1,,,SUMPRODUCT(MAX(ROW(E$1:E1670)*(E2=E$1:E1670))))))</f>
        <v/>
      </c>
      <c r="K1671" s="24" t="str">
        <f>IF(OR(E1671="",E1671="!!!",F1671="NEW"),"",INDEX(J$1:J1670,SUMPRODUCT(MAX(ROW(E$1:E1670)*(E1671=E$1:E1670)))))</f>
        <v/>
      </c>
      <c r="L1671" s="25"/>
    </row>
    <row r="1672" spans="1:12" x14ac:dyDescent="0.2">
      <c r="A1672" t="s">
        <v>802</v>
      </c>
      <c r="E1672" s="20" t="str">
        <f t="shared" si="191"/>
        <v/>
      </c>
      <c r="F1672" s="21" t="str">
        <f>IF(OR(E1672="",E1672="!!!"),"",IF(NOT(ISNA(VLOOKUP(E1672,E$1:E1671,1,FALSE()))),"OLD",IF(AND(E1672&lt;&gt;"",E1672&lt;&gt;"!!!"),"NEW","")))</f>
        <v/>
      </c>
      <c r="G1672" s="22" t="str">
        <f>IF(OR(E1672="",E1672="!!!"),"",IF(OR(J1672=0,AND(J1672=1,K1672=1),AND(J1672=1,I1672="SBJ"),AND(J1672=1,I1672=0)),"?IN_FOCUS",IF(J1672&lt;=2,"?ACTIVATED",IF(J1672&lt;&gt;"","?FAMILIAR",IF(F1672="NEW",IF(ISNA(VLOOKUP(E1672,#REF!,1,FALSE())),"?TYPE_IDENTIFIABLE","?REFERENTIAL"),"_")))))</f>
        <v/>
      </c>
      <c r="H1672" s="23" t="str">
        <f t="shared" ca="1" si="190"/>
        <v/>
      </c>
      <c r="I1672" s="24" t="str">
        <f>IF(OR(E1672="",E1672="!!!",F1672="NEW"),"",INDEX(B$2:B1671,-1+SUMPRODUCT(MAX(ROW(E$2:E1671)*(E1672=E$2:E1671)))))</f>
        <v/>
      </c>
      <c r="J1672" s="24" t="str">
        <f ca="1">IF(OR(E1672="",E1672="!!!",F1672="NEW"),"",COUNTBLANK(OFFSET(A$1,,,SUMPRODUCT(MAX(ROW(E$2:E1672)*(E1672=E$2:E1672)))))-COUNTBLANK(OFFSET(A$1,,,SUMPRODUCT(MAX(ROW(E$1:E1671)*(E2=E$1:E1671))))))</f>
        <v/>
      </c>
      <c r="K1672" s="24" t="str">
        <f>IF(OR(E1672="",E1672="!!!",F1672="NEW"),"",INDEX(J$1:J1671,SUMPRODUCT(MAX(ROW(E$1:E1671)*(E1672=E$1:E1671)))))</f>
        <v/>
      </c>
      <c r="L1672" s="25"/>
    </row>
    <row r="1673" spans="1:12" x14ac:dyDescent="0.2">
      <c r="A1673" t="s">
        <v>902</v>
      </c>
      <c r="E1673" s="20" t="str">
        <f t="shared" si="191"/>
        <v/>
      </c>
      <c r="F1673" s="21" t="str">
        <f>IF(OR(E1673="",E1673="!!!"),"",IF(NOT(ISNA(VLOOKUP(E1673,E$1:E1672,1,FALSE()))),"OLD",IF(AND(E1673&lt;&gt;"",E1673&lt;&gt;"!!!"),"NEW","")))</f>
        <v/>
      </c>
      <c r="G1673" s="22" t="str">
        <f>IF(OR(E1673="",E1673="!!!"),"",IF(OR(J1673=0,AND(J1673=1,K1673=1),AND(J1673=1,I1673="SBJ"),AND(J1673=1,I1673=0)),"?IN_FOCUS",IF(J1673&lt;=2,"?ACTIVATED",IF(J1673&lt;&gt;"","?FAMILIAR",IF(F1673="NEW",IF(ISNA(VLOOKUP(E1673,#REF!,1,FALSE())),"?TYPE_IDENTIFIABLE","?REFERENTIAL"),"_")))))</f>
        <v/>
      </c>
      <c r="H1673" s="23" t="str">
        <f t="shared" ca="1" si="190"/>
        <v/>
      </c>
      <c r="I1673" s="24" t="str">
        <f>IF(OR(E1673="",E1673="!!!",F1673="NEW"),"",INDEX(B$2:B1672,-1+SUMPRODUCT(MAX(ROW(E$2:E1672)*(E1673=E$2:E1672)))))</f>
        <v/>
      </c>
      <c r="J1673" s="24" t="str">
        <f ca="1">IF(OR(E1673="",E1673="!!!",F1673="NEW"),"",COUNTBLANK(OFFSET(A$1,,,SUMPRODUCT(MAX(ROW(E$2:E1673)*(E1673=E$2:E1673)))))-COUNTBLANK(OFFSET(A$1,,,SUMPRODUCT(MAX(ROW(E$1:E1672)*(E2=E$1:E1672))))))</f>
        <v/>
      </c>
      <c r="K1673" s="24" t="str">
        <f>IF(OR(E1673="",E1673="!!!",F1673="NEW"),"",INDEX(J$1:J1672,SUMPRODUCT(MAX(ROW(E$1:E1672)*(E1673=E$1:E1672)))))</f>
        <v/>
      </c>
      <c r="L1673" s="25"/>
    </row>
    <row r="1674" spans="1:12" ht="16" x14ac:dyDescent="0.2">
      <c r="A1674" t="s">
        <v>1191</v>
      </c>
      <c r="B1674" s="26" t="s">
        <v>804</v>
      </c>
      <c r="C1674" s="26" t="s">
        <v>854</v>
      </c>
      <c r="D1674" s="26" t="s">
        <v>806</v>
      </c>
      <c r="E1674" s="20"/>
      <c r="F1674" s="21" t="str">
        <f>IF(OR(E1674="",E1674="!!!"),"",IF(NOT(ISNA(VLOOKUP(E1674,E$1:E1673,1,FALSE()))),"OLD",IF(AND(E1674&lt;&gt;"",E1674&lt;&gt;"!!!"),"NEW","")))</f>
        <v/>
      </c>
      <c r="G1674" s="22"/>
      <c r="H1674" s="23" t="str">
        <f t="shared" ca="1" si="190"/>
        <v/>
      </c>
      <c r="I1674" s="24" t="str">
        <f>IF(OR(E1674="",E1674="!!!",F1674="NEW"),"",INDEX(B$2:B1673,-1+SUMPRODUCT(MAX(ROW(E$2:E1673)*(E1674=E$2:E1673)))))</f>
        <v/>
      </c>
      <c r="J1674" s="24" t="str">
        <f ca="1">IF(OR(E1674="",E1674="!!!",F1674="NEW"),"",COUNTBLANK(OFFSET(A$1,,,SUMPRODUCT(MAX(ROW(E$2:E1674)*(E1674=E$2:E1674)))))-COUNTBLANK(OFFSET(A$1,,,SUMPRODUCT(MAX(ROW(E$1:E1673)*(E2=E$1:E1673))))))</f>
        <v/>
      </c>
      <c r="K1674" s="24" t="str">
        <f>IF(OR(E1674="",E1674="!!!",F1674="NEW"),"",INDEX(J$1:J1673,SUMPRODUCT(MAX(ROW(E$1:E1673)*(E1674=E$1:E1673)))))</f>
        <v/>
      </c>
      <c r="L1674" s="25" t="s">
        <v>1830</v>
      </c>
    </row>
    <row r="1675" spans="1:12" x14ac:dyDescent="0.2">
      <c r="A1675" t="s">
        <v>802</v>
      </c>
      <c r="E1675" s="20" t="str">
        <f t="shared" si="191"/>
        <v/>
      </c>
      <c r="F1675" s="21" t="str">
        <f>IF(OR(E1675="",E1675="!!!"),"",IF(NOT(ISNA(VLOOKUP(E1675,E$1:E1674,1,FALSE()))),"OLD",IF(AND(E1675&lt;&gt;"",E1675&lt;&gt;"!!!"),"NEW","")))</f>
        <v/>
      </c>
      <c r="G1675" s="22" t="str">
        <f>IF(OR(E1675="",E1675="!!!"),"",IF(OR(J1675=0,AND(J1675=1,K1675=1),AND(J1675=1,I1675="SBJ"),AND(J1675=1,I1675=0)),"?IN_FOCUS",IF(J1675&lt;=2,"?ACTIVATED",IF(J1675&lt;&gt;"","?FAMILIAR",IF(F1675="NEW",IF(ISNA(VLOOKUP(E1675,#REF!,1,FALSE())),"?TYPE_IDENTIFIABLE","?REFERENTIAL"),"_")))))</f>
        <v/>
      </c>
      <c r="H1675" s="23" t="str">
        <f t="shared" ca="1" si="190"/>
        <v/>
      </c>
      <c r="I1675" s="24" t="str">
        <f>IF(OR(E1675="",E1675="!!!",F1675="NEW"),"",INDEX(B$2:B1674,-1+SUMPRODUCT(MAX(ROW(E$2:E1674)*(E1675=E$2:E1674)))))</f>
        <v/>
      </c>
      <c r="J1675" s="24" t="str">
        <f ca="1">IF(OR(E1675="",E1675="!!!",F1675="NEW"),"",COUNTBLANK(OFFSET(A$1,,,SUMPRODUCT(MAX(ROW(E$2:E1675)*(E1675=E$2:E1675)))))-COUNTBLANK(OFFSET(A$1,,,SUMPRODUCT(MAX(ROW(E$1:E1674)*(E2=E$1:E1674))))))</f>
        <v/>
      </c>
      <c r="K1675" s="24" t="str">
        <f>IF(OR(E1675="",E1675="!!!",F1675="NEW"),"",INDEX(J$1:J1674,SUMPRODUCT(MAX(ROW(E$1:E1674)*(E1675=E$1:E1674)))))</f>
        <v/>
      </c>
      <c r="L1675" s="25"/>
    </row>
    <row r="1676" spans="1:12" x14ac:dyDescent="0.2">
      <c r="A1676" t="s">
        <v>148</v>
      </c>
      <c r="B1676" s="26" t="s">
        <v>813</v>
      </c>
      <c r="C1676" s="26" t="s">
        <v>850</v>
      </c>
      <c r="E1676" s="20" t="str">
        <f t="shared" si="191"/>
        <v/>
      </c>
      <c r="F1676" s="21" t="str">
        <f>IF(OR(E1676="",E1676="!!!"),"",IF(NOT(ISNA(VLOOKUP(E1676,E$1:E1675,1,FALSE()))),"OLD",IF(AND(E1676&lt;&gt;"",E1676&lt;&gt;"!!!"),"NEW","")))</f>
        <v/>
      </c>
      <c r="G1676" s="22" t="str">
        <f>IF(OR(E1676="",E1676="!!!"),"",IF(OR(J1676=0,AND(J1676=1,K1676=1),AND(J1676=1,I1676="SBJ"),AND(J1676=1,I1676=0)),"?IN_FOCUS",IF(J1676&lt;=2,"?ACTIVATED",IF(J1676&lt;&gt;"","?FAMILIAR",IF(F1676="NEW",IF(ISNA(VLOOKUP(E1676,#REF!,1,FALSE())),"?TYPE_IDENTIFIABLE","?REFERENTIAL"),"_")))))</f>
        <v/>
      </c>
      <c r="H1676" s="23" t="str">
        <f t="shared" ca="1" si="190"/>
        <v/>
      </c>
      <c r="I1676" s="24" t="str">
        <f>IF(OR(E1676="",E1676="!!!",F1676="NEW"),"",INDEX(B$2:B1675,-1+SUMPRODUCT(MAX(ROW(E$2:E1675)*(E1676=E$2:E1675)))))</f>
        <v/>
      </c>
      <c r="J1676" s="24" t="str">
        <f ca="1">IF(OR(E1676="",E1676="!!!",F1676="NEW"),"",COUNTBLANK(OFFSET(A$1,,,SUMPRODUCT(MAX(ROW(E$2:E1676)*(E1676=E$2:E1676)))))-COUNTBLANK(OFFSET(A$1,,,SUMPRODUCT(MAX(ROW(E$1:E1675)*(E2=E$1:E1675))))))</f>
        <v/>
      </c>
      <c r="K1676" s="24" t="str">
        <f>IF(OR(E1676="",E1676="!!!",F1676="NEW"),"",INDEX(J$1:J1675,SUMPRODUCT(MAX(ROW(E$1:E1675)*(E1676=E$1:E1675)))))</f>
        <v/>
      </c>
      <c r="L1676" s="25"/>
    </row>
    <row r="1677" spans="1:12" x14ac:dyDescent="0.2">
      <c r="A1677" t="s">
        <v>1374</v>
      </c>
      <c r="E1677" s="20" t="str">
        <f t="shared" si="191"/>
        <v/>
      </c>
      <c r="F1677" s="21" t="str">
        <f>IF(OR(E1677="",E1677="!!!"),"",IF(NOT(ISNA(VLOOKUP(E1677,E$1:E1676,1,FALSE()))),"OLD",IF(AND(E1677&lt;&gt;"",E1677&lt;&gt;"!!!"),"NEW","")))</f>
        <v/>
      </c>
      <c r="G1677" s="22" t="str">
        <f>IF(OR(E1677="",E1677="!!!"),"",IF(OR(J1677=0,AND(J1677=1,K1677=1),AND(J1677=1,I1677="SBJ"),AND(J1677=1,I1677=0)),"?IN_FOCUS",IF(J1677&lt;=2,"?ACTIVATED",IF(J1677&lt;&gt;"","?FAMILIAR",IF(F1677="NEW",IF(ISNA(VLOOKUP(E1677,#REF!,1,FALSE())),"?TYPE_IDENTIFIABLE","?REFERENTIAL"),"_")))))</f>
        <v/>
      </c>
      <c r="H1677" s="23" t="str">
        <f t="shared" ca="1" si="190"/>
        <v/>
      </c>
      <c r="I1677" s="24" t="str">
        <f>IF(OR(E1677="",E1677="!!!",F1677="NEW"),"",INDEX(B$2:B1676,-1+SUMPRODUCT(MAX(ROW(E$2:E1676)*(E1677=E$2:E1676)))))</f>
        <v/>
      </c>
      <c r="J1677" s="24" t="str">
        <f ca="1">IF(OR(E1677="",E1677="!!!",F1677="NEW"),"",COUNTBLANK(OFFSET(A$1,,,SUMPRODUCT(MAX(ROW(E$2:E1677)*(E1677=E$2:E1677)))))-COUNTBLANK(OFFSET(A$1,,,SUMPRODUCT(MAX(ROW(E$1:E1676)*(E2=E$1:E1676))))))</f>
        <v/>
      </c>
      <c r="K1677" s="24" t="str">
        <f>IF(OR(E1677="",E1677="!!!",F1677="NEW"),"",INDEX(J$1:J1676,SUMPRODUCT(MAX(ROW(E$1:E1676)*(E1677=E$1:E1676)))))</f>
        <v/>
      </c>
      <c r="L1677" s="25"/>
    </row>
    <row r="1678" spans="1:12" x14ac:dyDescent="0.2">
      <c r="A1678" t="s">
        <v>1112</v>
      </c>
      <c r="B1678" s="26" t="s">
        <v>897</v>
      </c>
      <c r="C1678" s="26" t="s">
        <v>817</v>
      </c>
      <c r="D1678" s="26" t="s">
        <v>806</v>
      </c>
      <c r="E1678" s="20"/>
      <c r="F1678" s="21" t="s">
        <v>1793</v>
      </c>
      <c r="G1678" s="22"/>
      <c r="H1678" s="23" t="str">
        <f t="shared" ca="1" si="190"/>
        <v/>
      </c>
      <c r="I1678" s="24" t="str">
        <f>IF(OR(E1678="",E1678="!!!",F1678="NEW"),"",INDEX(B$2:B1677,-1+SUMPRODUCT(MAX(ROW(E$2:E1677)*(E1678=E$2:E1677)))))</f>
        <v/>
      </c>
      <c r="J1678" s="24" t="str">
        <f ca="1">IF(OR(E1678="",E1678="!!!",F1678="NEW"),"",COUNTBLANK(OFFSET(A$1,,,SUMPRODUCT(MAX(ROW(E$2:E1678)*(E1678=E$2:E1678)))))-COUNTBLANK(OFFSET(A$1,,,SUMPRODUCT(MAX(ROW(E$1:E1677)*(E2=E$1:E1677))))))</f>
        <v/>
      </c>
      <c r="K1678" s="24" t="str">
        <f>IF(OR(E1678="",E1678="!!!",F1678="NEW"),"",INDEX(J$1:J1677,SUMPRODUCT(MAX(ROW(E$1:E1677)*(E1678=E$1:E1677)))))</f>
        <v/>
      </c>
      <c r="L1678" s="25"/>
    </row>
    <row r="1679" spans="1:12" x14ac:dyDescent="0.2">
      <c r="A1679" t="s">
        <v>30</v>
      </c>
      <c r="B1679" s="26" t="s">
        <v>1333</v>
      </c>
      <c r="C1679" s="26" t="s">
        <v>820</v>
      </c>
      <c r="D1679" s="26" t="s">
        <v>806</v>
      </c>
      <c r="E1679" s="20" t="s">
        <v>1771</v>
      </c>
      <c r="F1679" s="21" t="str">
        <f>IF(OR(E1679="",E1679="!!!"),"",IF(NOT(ISNA(VLOOKUP(E1679,E$1:E1678,1,FALSE()))),"OLD",IF(AND(E1679&lt;&gt;"",E1679&lt;&gt;"!!!"),"NEW","")))</f>
        <v>OLD</v>
      </c>
      <c r="G1679" s="22" t="s">
        <v>1822</v>
      </c>
      <c r="H1679" s="23" t="str">
        <f t="shared" ca="1" si="190"/>
        <v/>
      </c>
      <c r="I1679" s="24" t="str">
        <f>IF(OR(E1679="",E1679="!!!",F1679="NEW"),"",INDEX(B$2:B1678,-1+SUMPRODUCT(MAX(ROW(E$2:E1678)*(E1679=E$2:E1678)))))</f>
        <v>other</v>
      </c>
      <c r="J1679" s="24">
        <f ca="1">IF(OR(E1679="",E1679="!!!",F1679="NEW"),"",COUNTBLANK(OFFSET(A$1,,,SUMPRODUCT(MAX(ROW(E$2:E1679)*(E1679=E$2:E1679)))))-COUNTBLANK(OFFSET(A$1,,,SUMPRODUCT(MAX(ROW(E$1:E1678)*(E2=E$1:E1678))))))</f>
        <v>0</v>
      </c>
      <c r="K1679" s="24">
        <f ca="1">IF(OR(E1679="",E1679="!!!",F1679="NEW"),"",INDEX(J$1:J1678,SUMPRODUCT(MAX(ROW(E$1:E1678)*(E1679=E$1:E1678)))))</f>
        <v>0</v>
      </c>
      <c r="L1679" s="25"/>
    </row>
    <row r="1680" spans="1:12" x14ac:dyDescent="0.2">
      <c r="A1680" t="s">
        <v>106</v>
      </c>
      <c r="E1680" s="20" t="str">
        <f t="shared" si="191"/>
        <v/>
      </c>
      <c r="F1680" s="21" t="str">
        <f>IF(OR(E1680="",E1680="!!!"),"",IF(NOT(ISNA(VLOOKUP(E1680,E$1:E1679,1,FALSE()))),"OLD",IF(AND(E1680&lt;&gt;"",E1680&lt;&gt;"!!!"),"NEW","")))</f>
        <v/>
      </c>
      <c r="G1680" s="22" t="str">
        <f>IF(OR(E1680="",E1680="!!!"),"",IF(OR(J1680=0,AND(J1680=1,K1680=1),AND(J1680=1,I1680="SBJ"),AND(J1680=1,I1680=0)),"?IN_FOCUS",IF(J1680&lt;=2,"?ACTIVATED",IF(J1680&lt;&gt;"","?FAMILIAR",IF(F1680="NEW",IF(ISNA(VLOOKUP(E1680,#REF!,1,FALSE())),"?TYPE_IDENTIFIABLE","?REFERENTIAL"),"_")))))</f>
        <v/>
      </c>
      <c r="H1680" s="23" t="str">
        <f t="shared" ca="1" si="190"/>
        <v/>
      </c>
      <c r="I1680" s="24" t="str">
        <f>IF(OR(E1680="",E1680="!!!",F1680="NEW"),"",INDEX(B$2:B1679,-1+SUMPRODUCT(MAX(ROW(E$2:E1679)*(E1680=E$2:E1679)))))</f>
        <v/>
      </c>
      <c r="J1680" s="24" t="str">
        <f ca="1">IF(OR(E1680="",E1680="!!!",F1680="NEW"),"",COUNTBLANK(OFFSET(A$1,,,SUMPRODUCT(MAX(ROW(E$2:E1680)*(E1680=E$2:E1680)))))-COUNTBLANK(OFFSET(A$1,,,SUMPRODUCT(MAX(ROW(E$1:E1679)*(E2=E$1:E1679))))))</f>
        <v/>
      </c>
      <c r="K1680" s="24" t="str">
        <f>IF(OR(E1680="",E1680="!!!",F1680="NEW"),"",INDEX(J$1:J1679,SUMPRODUCT(MAX(ROW(E$1:E1679)*(E1680=E$1:E1679)))))</f>
        <v/>
      </c>
      <c r="L1680" s="25"/>
    </row>
    <row r="1681" spans="1:12" x14ac:dyDescent="0.2">
      <c r="A1681" t="s">
        <v>544</v>
      </c>
      <c r="E1681" s="20" t="str">
        <f t="shared" si="191"/>
        <v/>
      </c>
      <c r="F1681" s="21" t="str">
        <f>IF(OR(E1681="",E1681="!!!"),"",IF(NOT(ISNA(VLOOKUP(E1681,E$1:E1680,1,FALSE()))),"OLD",IF(AND(E1681&lt;&gt;"",E1681&lt;&gt;"!!!"),"NEW","")))</f>
        <v/>
      </c>
      <c r="G1681" s="22" t="str">
        <f>IF(OR(E1681="",E1681="!!!"),"",IF(OR(J1681=0,AND(J1681=1,K1681=1),AND(J1681=1,I1681="SBJ"),AND(J1681=1,I1681=0)),"?IN_FOCUS",IF(J1681&lt;=2,"?ACTIVATED",IF(J1681&lt;&gt;"","?FAMILIAR",IF(F1681="NEW",IF(ISNA(VLOOKUP(E1681,#REF!,1,FALSE())),"?TYPE_IDENTIFIABLE","?REFERENTIAL"),"_")))))</f>
        <v/>
      </c>
      <c r="H1681" s="23" t="str">
        <f t="shared" ca="1" si="190"/>
        <v/>
      </c>
      <c r="I1681" s="24" t="str">
        <f>IF(OR(E1681="",E1681="!!!",F1681="NEW"),"",INDEX(B$2:B1680,-1+SUMPRODUCT(MAX(ROW(E$2:E1680)*(E1681=E$2:E1680)))))</f>
        <v/>
      </c>
      <c r="J1681" s="24" t="str">
        <f ca="1">IF(OR(E1681="",E1681="!!!",F1681="NEW"),"",COUNTBLANK(OFFSET(A$1,,,SUMPRODUCT(MAX(ROW(E$2:E1681)*(E1681=E$2:E1681)))))-COUNTBLANK(OFFSET(A$1,,,SUMPRODUCT(MAX(ROW(E$1:E1680)*(E2=E$1:E1680))))))</f>
        <v/>
      </c>
      <c r="K1681" s="24" t="str">
        <f>IF(OR(E1681="",E1681="!!!",F1681="NEW"),"",INDEX(J$1:J1680,SUMPRODUCT(MAX(ROW(E$1:E1680)*(E1681=E$1:E1680)))))</f>
        <v/>
      </c>
      <c r="L1681" s="25"/>
    </row>
    <row r="1682" spans="1:12" x14ac:dyDescent="0.2">
      <c r="A1682" t="s">
        <v>868</v>
      </c>
      <c r="E1682" s="20" t="str">
        <f t="shared" si="191"/>
        <v/>
      </c>
      <c r="F1682" s="21" t="str">
        <f>IF(OR(E1682="",E1682="!!!"),"",IF(NOT(ISNA(VLOOKUP(E1682,E$1:E1681,1,FALSE()))),"OLD",IF(AND(E1682&lt;&gt;"",E1682&lt;&gt;"!!!"),"NEW","")))</f>
        <v/>
      </c>
      <c r="G1682" s="22" t="str">
        <f>IF(OR(E1682="",E1682="!!!"),"",IF(OR(J1682=0,AND(J1682=1,K1682=1),AND(J1682=1,I1682="SBJ"),AND(J1682=1,I1682=0)),"?IN_FOCUS",IF(J1682&lt;=2,"?ACTIVATED",IF(J1682&lt;&gt;"","?FAMILIAR",IF(F1682="NEW",IF(ISNA(VLOOKUP(E1682,#REF!,1,FALSE())),"?TYPE_IDENTIFIABLE","?REFERENTIAL"),"_")))))</f>
        <v/>
      </c>
      <c r="H1682" s="23" t="str">
        <f t="shared" ca="1" si="190"/>
        <v/>
      </c>
      <c r="I1682" s="24" t="str">
        <f>IF(OR(E1682="",E1682="!!!",F1682="NEW"),"",INDEX(B$2:B1681,-1+SUMPRODUCT(MAX(ROW(E$2:E1681)*(E1682=E$2:E1681)))))</f>
        <v/>
      </c>
      <c r="J1682" s="24" t="str">
        <f ca="1">IF(OR(E1682="",E1682="!!!",F1682="NEW"),"",COUNTBLANK(OFFSET(A$1,,,SUMPRODUCT(MAX(ROW(E$2:E1682)*(E1682=E$2:E1682)))))-COUNTBLANK(OFFSET(A$1,,,SUMPRODUCT(MAX(ROW(E$1:E1681)*(E2=E$1:E1681))))))</f>
        <v/>
      </c>
      <c r="K1682" s="24" t="str">
        <f>IF(OR(E1682="",E1682="!!!",F1682="NEW"),"",INDEX(J$1:J1681,SUMPRODUCT(MAX(ROW(E$1:E1681)*(E1682=E$1:E1681)))))</f>
        <v/>
      </c>
      <c r="L1682" s="25"/>
    </row>
    <row r="1683" spans="1:12" x14ac:dyDescent="0.2">
      <c r="A1683" t="s">
        <v>922</v>
      </c>
      <c r="E1683" s="20" t="str">
        <f t="shared" si="191"/>
        <v/>
      </c>
      <c r="F1683" s="21" t="str">
        <f>IF(OR(E1683="",E1683="!!!"),"",IF(NOT(ISNA(VLOOKUP(E1683,E$1:E1682,1,FALSE()))),"OLD",IF(AND(E1683&lt;&gt;"",E1683&lt;&gt;"!!!"),"NEW","")))</f>
        <v/>
      </c>
      <c r="G1683" s="22" t="str">
        <f>IF(OR(E1683="",E1683="!!!"),"",IF(OR(J1683=0,AND(J1683=1,K1683=1),AND(J1683=1,I1683="SBJ"),AND(J1683=1,I1683=0)),"?IN_FOCUS",IF(J1683&lt;=2,"?ACTIVATED",IF(J1683&lt;&gt;"","?FAMILIAR",IF(F1683="NEW",IF(ISNA(VLOOKUP(E1683,#REF!,1,FALSE())),"?TYPE_IDENTIFIABLE","?REFERENTIAL"),"_")))))</f>
        <v/>
      </c>
      <c r="H1683" s="23" t="str">
        <f t="shared" ca="1" si="190"/>
        <v/>
      </c>
      <c r="I1683" s="24" t="str">
        <f>IF(OR(E1683="",E1683="!!!",F1683="NEW"),"",INDEX(B$2:B1682,-1+SUMPRODUCT(MAX(ROW(E$2:E1682)*(E1683=E$2:E1682)))))</f>
        <v/>
      </c>
      <c r="J1683" s="24" t="str">
        <f ca="1">IF(OR(E1683="",E1683="!!!",F1683="NEW"),"",COUNTBLANK(OFFSET(A$1,,,SUMPRODUCT(MAX(ROW(E$2:E1683)*(E1683=E$2:E1683)))))-COUNTBLANK(OFFSET(A$1,,,SUMPRODUCT(MAX(ROW(E$1:E1682)*(E2=E$1:E1682))))))</f>
        <v/>
      </c>
      <c r="K1683" s="24" t="str">
        <f>IF(OR(E1683="",E1683="!!!",F1683="NEW"),"",INDEX(J$1:J1682,SUMPRODUCT(MAX(ROW(E$1:E1682)*(E1683=E$1:E1682)))))</f>
        <v/>
      </c>
      <c r="L1683" s="25"/>
    </row>
    <row r="1684" spans="1:12" x14ac:dyDescent="0.2">
      <c r="A1684" t="s">
        <v>902</v>
      </c>
      <c r="E1684" s="20" t="str">
        <f t="shared" si="191"/>
        <v/>
      </c>
      <c r="F1684" s="21" t="str">
        <f>IF(OR(E1684="",E1684="!!!"),"",IF(NOT(ISNA(VLOOKUP(E1684,E$1:E1683,1,FALSE()))),"OLD",IF(AND(E1684&lt;&gt;"",E1684&lt;&gt;"!!!"),"NEW","")))</f>
        <v/>
      </c>
      <c r="G1684" s="22" t="str">
        <f>IF(OR(E1684="",E1684="!!!"),"",IF(OR(J1684=0,AND(J1684=1,K1684=1),AND(J1684=1,I1684="SBJ"),AND(J1684=1,I1684=0)),"?IN_FOCUS",IF(J1684&lt;=2,"?ACTIVATED",IF(J1684&lt;&gt;"","?FAMILIAR",IF(F1684="NEW",IF(ISNA(VLOOKUP(E1684,#REF!,1,FALSE())),"?TYPE_IDENTIFIABLE","?REFERENTIAL"),"_")))))</f>
        <v/>
      </c>
      <c r="H1684" s="23" t="str">
        <f t="shared" ca="1" si="190"/>
        <v/>
      </c>
      <c r="I1684" s="24" t="str">
        <f>IF(OR(E1684="",E1684="!!!",F1684="NEW"),"",INDEX(B$2:B1683,-1+SUMPRODUCT(MAX(ROW(E$2:E1683)*(E1684=E$2:E1683)))))</f>
        <v/>
      </c>
      <c r="J1684" s="24" t="str">
        <f ca="1">IF(OR(E1684="",E1684="!!!",F1684="NEW"),"",COUNTBLANK(OFFSET(A$1,,,SUMPRODUCT(MAX(ROW(E$2:E1684)*(E1684=E$2:E1684)))))-COUNTBLANK(OFFSET(A$1,,,SUMPRODUCT(MAX(ROW(E$1:E1683)*(E2=E$1:E1683))))))</f>
        <v/>
      </c>
      <c r="K1684" s="24" t="str">
        <f>IF(OR(E1684="",E1684="!!!",F1684="NEW"),"",INDEX(J$1:J1683,SUMPRODUCT(MAX(ROW(E$1:E1683)*(E1684=E$1:E1683)))))</f>
        <v/>
      </c>
      <c r="L1684" s="25"/>
    </row>
    <row r="1686" spans="1:12" x14ac:dyDescent="0.2">
      <c r="A1686" t="s">
        <v>1375</v>
      </c>
    </row>
    <row r="1687" spans="1:12" x14ac:dyDescent="0.2">
      <c r="A1687" t="s">
        <v>1073</v>
      </c>
      <c r="B1687" s="26" t="s">
        <v>804</v>
      </c>
      <c r="C1687" s="26" t="s">
        <v>805</v>
      </c>
      <c r="D1687" s="26" t="s">
        <v>806</v>
      </c>
      <c r="E1687" s="20" t="s">
        <v>1175</v>
      </c>
      <c r="F1687" s="21" t="str">
        <f>IF(OR(E1687="",E1687="!!!"),"",IF(NOT(ISNA(VLOOKUP(E1687,E$1:E1686,1,FALSE()))),"OLD",IF(AND(E1687&lt;&gt;"",E1687&lt;&gt;"!!!"),"NEW","")))</f>
        <v>OLD</v>
      </c>
      <c r="G1687" s="22" t="s">
        <v>1823</v>
      </c>
      <c r="H1687" s="23" t="str">
        <f t="shared" ref="H1687:H1692" ca="1" si="192">IF(J1687&lt;&gt;1,"",IF(I1687="SBJ","CB","?"))</f>
        <v/>
      </c>
      <c r="I1687" s="24" t="str">
        <f>IF(OR(E1687="",E1687="!!!",F1687="NEW"),"",INDEX(B$2:B1686,-1+SUMPRODUCT(MAX(ROW(E$2:E1686)*(E1687=E$2:E1686)))))</f>
        <v>OBJ</v>
      </c>
      <c r="J1687" s="24">
        <f ca="1">IF(OR(E1687="",E1687="!!!",F1687="NEW"),"",COUNTBLANK(OFFSET(A$1,,,SUMPRODUCT(MAX(ROW(E$2:E1687)*(E1687=E$2:E1687)))))-COUNTBLANK(OFFSET(A$1,,,SUMPRODUCT(MAX(ROW(E$1:E1686)*(E2=E$1:E1686))))))</f>
        <v>0</v>
      </c>
      <c r="K1687" s="24">
        <f ca="1">IF(OR(E1687="",E1687="!!!",F1687="NEW"),"",INDEX(J$1:J1686,SUMPRODUCT(MAX(ROW(E$1:E1686)*(E1687=E$1:E1686)))))</f>
        <v>0</v>
      </c>
      <c r="L1687" s="25"/>
    </row>
    <row r="1688" spans="1:12" x14ac:dyDescent="0.2">
      <c r="A1688" t="s">
        <v>1376</v>
      </c>
      <c r="E1688" s="20" t="str">
        <f t="shared" ref="E1688:E1692" si="193">IF(D1688="?OLD","!!!","")</f>
        <v/>
      </c>
      <c r="F1688" s="21" t="str">
        <f>IF(OR(E1688="",E1688="!!!"),"",IF(NOT(ISNA(VLOOKUP(E1688,E$1:E1687,1,FALSE()))),"OLD",IF(AND(E1688&lt;&gt;"",E1688&lt;&gt;"!!!"),"NEW","")))</f>
        <v/>
      </c>
      <c r="G1688" s="22" t="str">
        <f>IF(OR(E1688="",E1688="!!!"),"",IF(OR(J1688=0,AND(J1688=1,K1688=1),AND(J1688=1,I1688="SBJ"),AND(J1688=1,I1688=0)),"?IN_FOCUS",IF(J1688&lt;=2,"?ACTIVATED",IF(J1688&lt;&gt;"","?FAMILIAR",IF(F1688="NEW",IF(ISNA(VLOOKUP(E1688,#REF!,1,FALSE())),"?TYPE_IDENTIFIABLE","?REFERENTIAL"),"_")))))</f>
        <v/>
      </c>
      <c r="H1688" s="23" t="str">
        <f t="shared" ca="1" si="192"/>
        <v/>
      </c>
      <c r="I1688" s="24" t="str">
        <f>IF(OR(E1688="",E1688="!!!",F1688="NEW"),"",INDEX(B$2:B1687,-1+SUMPRODUCT(MAX(ROW(E$2:E1687)*(E1688=E$2:E1687)))))</f>
        <v/>
      </c>
      <c r="J1688" s="24" t="str">
        <f ca="1">IF(OR(E1688="",E1688="!!!",F1688="NEW"),"",COUNTBLANK(OFFSET(A$1,,,SUMPRODUCT(MAX(ROW(E$2:E1688)*(E1688=E$2:E1688)))))-COUNTBLANK(OFFSET(A$1,,,SUMPRODUCT(MAX(ROW(E$1:E1687)*(E2=E$1:E1687))))))</f>
        <v/>
      </c>
      <c r="K1688" s="24" t="str">
        <f>IF(OR(E1688="",E1688="!!!",F1688="NEW"),"",INDEX(J$1:J1687,SUMPRODUCT(MAX(ROW(E$1:E1687)*(E1688=E$1:E1687)))))</f>
        <v/>
      </c>
      <c r="L1688" s="25"/>
    </row>
    <row r="1689" spans="1:12" x14ac:dyDescent="0.2">
      <c r="A1689" t="s">
        <v>894</v>
      </c>
      <c r="E1689" s="20" t="str">
        <f t="shared" si="193"/>
        <v/>
      </c>
      <c r="F1689" s="21" t="str">
        <f>IF(OR(E1689="",E1689="!!!"),"",IF(NOT(ISNA(VLOOKUP(E1689,E$1:E1688,1,FALSE()))),"OLD",IF(AND(E1689&lt;&gt;"",E1689&lt;&gt;"!!!"),"NEW","")))</f>
        <v/>
      </c>
      <c r="G1689" s="22" t="str">
        <f>IF(OR(E1689="",E1689="!!!"),"",IF(OR(J1689=0,AND(J1689=1,K1689=1),AND(J1689=1,I1689="SBJ"),AND(J1689=1,I1689=0)),"?IN_FOCUS",IF(J1689&lt;=2,"?ACTIVATED",IF(J1689&lt;&gt;"","?FAMILIAR",IF(F1689="NEW",IF(ISNA(VLOOKUP(E1689,#REF!,1,FALSE())),"?TYPE_IDENTIFIABLE","?REFERENTIAL"),"_")))))</f>
        <v/>
      </c>
      <c r="H1689" s="23" t="str">
        <f t="shared" ca="1" si="192"/>
        <v/>
      </c>
      <c r="I1689" s="24" t="str">
        <f>IF(OR(E1689="",E1689="!!!",F1689="NEW"),"",INDEX(B$2:B1688,-1+SUMPRODUCT(MAX(ROW(E$2:E1688)*(E1689=E$2:E1688)))))</f>
        <v/>
      </c>
      <c r="J1689" s="24" t="str">
        <f ca="1">IF(OR(E1689="",E1689="!!!",F1689="NEW"),"",COUNTBLANK(OFFSET(A$1,,,SUMPRODUCT(MAX(ROW(E$2:E1689)*(E1689=E$2:E1689)))))-COUNTBLANK(OFFSET(A$1,,,SUMPRODUCT(MAX(ROW(E$1:E1688)*(E2=E$1:E1688))))))</f>
        <v/>
      </c>
      <c r="K1689" s="24" t="str">
        <f>IF(OR(E1689="",E1689="!!!",F1689="NEW"),"",INDEX(J$1:J1688,SUMPRODUCT(MAX(ROW(E$1:E1688)*(E1689=E$1:E1688)))))</f>
        <v/>
      </c>
      <c r="L1689" s="25"/>
    </row>
    <row r="1690" spans="1:12" x14ac:dyDescent="0.2">
      <c r="A1690" t="s">
        <v>845</v>
      </c>
      <c r="E1690" s="20" t="str">
        <f t="shared" si="193"/>
        <v/>
      </c>
      <c r="F1690" s="21" t="str">
        <f>IF(OR(E1690="",E1690="!!!"),"",IF(NOT(ISNA(VLOOKUP(E1690,E$1:E1689,1,FALSE()))),"OLD",IF(AND(E1690&lt;&gt;"",E1690&lt;&gt;"!!!"),"NEW","")))</f>
        <v/>
      </c>
      <c r="G1690" s="22" t="str">
        <f>IF(OR(E1690="",E1690="!!!"),"",IF(OR(J1690=0,AND(J1690=1,K1690=1),AND(J1690=1,I1690="SBJ"),AND(J1690=1,I1690=0)),"?IN_FOCUS",IF(J1690&lt;=2,"?ACTIVATED",IF(J1690&lt;&gt;"","?FAMILIAR",IF(F1690="NEW",IF(ISNA(VLOOKUP(E1690,#REF!,1,FALSE())),"?TYPE_IDENTIFIABLE","?REFERENTIAL"),"_")))))</f>
        <v/>
      </c>
      <c r="H1690" s="23" t="str">
        <f t="shared" ca="1" si="192"/>
        <v/>
      </c>
      <c r="I1690" s="24" t="str">
        <f>IF(OR(E1690="",E1690="!!!",F1690="NEW"),"",INDEX(B$2:B1689,-1+SUMPRODUCT(MAX(ROW(E$2:E1689)*(E1690=E$2:E1689)))))</f>
        <v/>
      </c>
      <c r="J1690" s="24" t="str">
        <f ca="1">IF(OR(E1690="",E1690="!!!",F1690="NEW"),"",COUNTBLANK(OFFSET(A$1,,,SUMPRODUCT(MAX(ROW(E$2:E1690)*(E1690=E$2:E1690)))))-COUNTBLANK(OFFSET(A$1,,,SUMPRODUCT(MAX(ROW(E$1:E1689)*(E2=E$1:E1689))))))</f>
        <v/>
      </c>
      <c r="K1690" s="24" t="str">
        <f>IF(OR(E1690="",E1690="!!!",F1690="NEW"),"",INDEX(J$1:J1689,SUMPRODUCT(MAX(ROW(E$1:E1689)*(E1690=E$1:E1689)))))</f>
        <v/>
      </c>
      <c r="L1690" s="25"/>
    </row>
    <row r="1691" spans="1:12" x14ac:dyDescent="0.2">
      <c r="A1691" t="s">
        <v>1377</v>
      </c>
      <c r="B1691" s="26" t="s">
        <v>819</v>
      </c>
      <c r="C1691" s="26" t="s">
        <v>847</v>
      </c>
      <c r="D1691" s="26" t="s">
        <v>806</v>
      </c>
      <c r="E1691" s="20" t="s">
        <v>1377</v>
      </c>
      <c r="F1691" s="21" t="str">
        <f>IF(OR(E1691="",E1691="!!!"),"",IF(NOT(ISNA(VLOOKUP(E1691,E$1:E1690,1,FALSE()))),"OLD",IF(AND(E1691&lt;&gt;"",E1691&lt;&gt;"!!!"),"NEW","")))</f>
        <v>NEW</v>
      </c>
      <c r="G1691" s="22" t="s">
        <v>1824</v>
      </c>
      <c r="H1691" s="23" t="str">
        <f t="shared" ca="1" si="192"/>
        <v/>
      </c>
      <c r="I1691" s="24" t="str">
        <f>IF(OR(E1691="",E1691="!!!",F1691="NEW"),"",INDEX(B$2:B1690,-1+SUMPRODUCT(MAX(ROW(E$2:E1690)*(E1691=E$2:E1690)))))</f>
        <v/>
      </c>
      <c r="J1691" s="24" t="str">
        <f ca="1">IF(OR(E1691="",E1691="!!!",F1691="NEW"),"",COUNTBLANK(OFFSET(A$1,,,SUMPRODUCT(MAX(ROW(E$2:E1691)*(E1691=E$2:E1691)))))-COUNTBLANK(OFFSET(A$1,,,SUMPRODUCT(MAX(ROW(E$1:E1690)*(E2=E$1:E1690))))))</f>
        <v/>
      </c>
      <c r="K1691" s="24" t="str">
        <f>IF(OR(E1691="",E1691="!!!",F1691="NEW"),"",INDEX(J$1:J1690,SUMPRODUCT(MAX(ROW(E$1:E1690)*(E1691=E$1:E1690)))))</f>
        <v/>
      </c>
      <c r="L1691" s="25"/>
    </row>
    <row r="1692" spans="1:12" x14ac:dyDescent="0.2">
      <c r="A1692" t="s">
        <v>821</v>
      </c>
      <c r="E1692" s="20" t="str">
        <f t="shared" si="193"/>
        <v/>
      </c>
      <c r="F1692" s="21" t="str">
        <f>IF(OR(E1692="",E1692="!!!"),"",IF(NOT(ISNA(VLOOKUP(E1692,E$1:E1691,1,FALSE()))),"OLD",IF(AND(E1692&lt;&gt;"",E1692&lt;&gt;"!!!"),"NEW","")))</f>
        <v/>
      </c>
      <c r="G1692" s="22" t="str">
        <f>IF(OR(E1692="",E1692="!!!"),"",IF(OR(J1692=0,AND(J1692=1,K1692=1),AND(J1692=1,I1692="SBJ"),AND(J1692=1,I1692=0)),"?IN_FOCUS",IF(J1692&lt;=2,"?ACTIVATED",IF(J1692&lt;&gt;"","?FAMILIAR",IF(F1692="NEW",IF(ISNA(VLOOKUP(E1692,#REF!,1,FALSE())),"?TYPE_IDENTIFIABLE","?REFERENTIAL"),"_")))))</f>
        <v/>
      </c>
      <c r="H1692" s="23" t="str">
        <f t="shared" ca="1" si="192"/>
        <v/>
      </c>
      <c r="I1692" s="24" t="str">
        <f>IF(OR(E1692="",E1692="!!!",F1692="NEW"),"",INDEX(B$2:B1691,-1+SUMPRODUCT(MAX(ROW(E$2:E1691)*(E1692=E$2:E1691)))))</f>
        <v/>
      </c>
      <c r="J1692" s="24" t="str">
        <f ca="1">IF(OR(E1692="",E1692="!!!",F1692="NEW"),"",COUNTBLANK(OFFSET(A$1,,,SUMPRODUCT(MAX(ROW(E$2:E1692)*(E1692=E$2:E1692)))))-COUNTBLANK(OFFSET(A$1,,,SUMPRODUCT(MAX(ROW(E$1:E1691)*(E2=E$1:E1691))))))</f>
        <v/>
      </c>
      <c r="K1692" s="24" t="str">
        <f>IF(OR(E1692="",E1692="!!!",F1692="NEW"),"",INDEX(J$1:J1691,SUMPRODUCT(MAX(ROW(E$1:E1691)*(E1692=E$1:E1691)))))</f>
        <v/>
      </c>
      <c r="L1692" s="25"/>
    </row>
    <row r="1694" spans="1:12" x14ac:dyDescent="0.2">
      <c r="A1694" t="s">
        <v>900</v>
      </c>
      <c r="E1694" s="20" t="str">
        <f>IF(D1694="?OLD","!!!","")</f>
        <v/>
      </c>
      <c r="F1694" s="21" t="str">
        <f>IF(OR(E1694="",E1694="!!!"),"",IF(NOT(ISNA(VLOOKUP(E1694,E$1:E1693,1,FALSE()))),"OLD",IF(AND(E1694&lt;&gt;"",E1694&lt;&gt;"!!!"),"NEW","")))</f>
        <v/>
      </c>
      <c r="G1694" s="22" t="str">
        <f>IF(OR(E1694="",E1694="!!!"),"",IF(OR(J1694=0,AND(J1694=1,K1694=1),AND(J1694=1,I1694="SBJ"),AND(J1694=1,I1694=0)),"?IN_FOCUS",IF(J1694&lt;=2,"?ACTIVATED",IF(J1694&lt;&gt;"","?FAMILIAR",IF(F1694="NEW",IF(ISNA(VLOOKUP(E1694,#REF!,1,FALSE())),"?TYPE_IDENTIFIABLE","?REFERENTIAL"),"_")))))</f>
        <v/>
      </c>
      <c r="H1694" s="23" t="str">
        <f ca="1">IF(J1694&lt;&gt;1,"",IF(I1694="SBJ","CB","?"))</f>
        <v/>
      </c>
      <c r="I1694" s="24" t="str">
        <f>IF(OR(E1694="",E1694="!!!",F1694="NEW"),"",INDEX(B$2:B1693,-1+SUMPRODUCT(MAX(ROW(E$2:E1693)*(E1694=E$2:E1693)))))</f>
        <v/>
      </c>
      <c r="J1694" s="24" t="str">
        <f ca="1">IF(OR(E1694="",E1694="!!!",F1694="NEW"),"",COUNTBLANK(OFFSET(A$1,,,SUMPRODUCT(MAX(ROW(E$2:E1694)*(E1694=E$2:E1694)))))-COUNTBLANK(OFFSET(A$1,,,SUMPRODUCT(MAX(ROW(E$1:E1693)*(E2=E$1:E1693))))))</f>
        <v/>
      </c>
      <c r="K1694" s="24" t="str">
        <f>IF(OR(E1694="",E1694="!!!",F1694="NEW"),"",INDEX(J$1:J1693,SUMPRODUCT(MAX(ROW(E$1:E1693)*(E1694=E$1:E1693)))))</f>
        <v/>
      </c>
      <c r="L1694" s="25"/>
    </row>
    <row r="1695" spans="1:12" x14ac:dyDescent="0.2">
      <c r="A1695" t="s">
        <v>1378</v>
      </c>
    </row>
    <row r="1696" spans="1:12" x14ac:dyDescent="0.2">
      <c r="A1696" t="s">
        <v>902</v>
      </c>
      <c r="E1696" s="20" t="str">
        <f t="shared" ref="E1696:E1710" si="194">IF(D1696="?OLD","!!!","")</f>
        <v/>
      </c>
      <c r="F1696" s="21" t="str">
        <f>IF(OR(E1696="",E1696="!!!"),"",IF(NOT(ISNA(VLOOKUP(E1696,E$1:E1695,1,FALSE()))),"OLD",IF(AND(E1696&lt;&gt;"",E1696&lt;&gt;"!!!"),"NEW","")))</f>
        <v/>
      </c>
      <c r="G1696" s="22" t="str">
        <f>IF(OR(E1696="",E1696="!!!"),"",IF(OR(J1696=0,AND(J1696=1,K1696=1),AND(J1696=1,I1696="SBJ"),AND(J1696=1,I1696=0)),"?IN_FOCUS",IF(J1696&lt;=2,"?ACTIVATED",IF(J1696&lt;&gt;"","?FAMILIAR",IF(F1696="NEW",IF(ISNA(VLOOKUP(E1696,#REF!,1,FALSE())),"?TYPE_IDENTIFIABLE","?REFERENTIAL"),"_")))))</f>
        <v/>
      </c>
      <c r="H1696" s="23" t="str">
        <f t="shared" ref="H1696:H1710" ca="1" si="195">IF(J1696&lt;&gt;1,"",IF(I1696="SBJ","CB","?"))</f>
        <v/>
      </c>
      <c r="I1696" s="24" t="str">
        <f>IF(OR(E1696="",E1696="!!!",F1696="NEW"),"",INDEX(B$2:B1695,-1+SUMPRODUCT(MAX(ROW(E$2:E1695)*(E1696=E$2:E1695)))))</f>
        <v/>
      </c>
      <c r="J1696" s="24" t="str">
        <f ca="1">IF(OR(E1696="",E1696="!!!",F1696="NEW"),"",COUNTBLANK(OFFSET(A$1,,,SUMPRODUCT(MAX(ROW(E$2:E1696)*(E1696=E$2:E1696)))))-COUNTBLANK(OFFSET(A$1,,,SUMPRODUCT(MAX(ROW(E$1:E1695)*(E2=E$1:E1695))))))</f>
        <v/>
      </c>
      <c r="K1696" s="24" t="str">
        <f>IF(OR(E1696="",E1696="!!!",F1696="NEW"),"",INDEX(J$1:J1695,SUMPRODUCT(MAX(ROW(E$1:E1695)*(E1696=E$1:E1695)))))</f>
        <v/>
      </c>
      <c r="L1696" s="25"/>
    </row>
    <row r="1697" spans="1:12" x14ac:dyDescent="0.2">
      <c r="A1697" t="s">
        <v>803</v>
      </c>
      <c r="B1697" s="26" t="s">
        <v>804</v>
      </c>
      <c r="C1697" s="26" t="s">
        <v>805</v>
      </c>
      <c r="D1697" s="26" t="s">
        <v>806</v>
      </c>
      <c r="E1697" s="20" t="s">
        <v>1747</v>
      </c>
      <c r="F1697" s="21" t="str">
        <f>IF(OR(E1697="",E1697="!!!"),"",IF(NOT(ISNA(VLOOKUP(E1697,E$1:E1696,1,FALSE()))),"OLD",IF(AND(E1697&lt;&gt;"",E1697&lt;&gt;"!!!"),"NEW","")))</f>
        <v>OLD</v>
      </c>
      <c r="G1697" s="22" t="s">
        <v>1823</v>
      </c>
      <c r="H1697" s="23" t="str">
        <f t="shared" ca="1" si="195"/>
        <v/>
      </c>
      <c r="I1697" s="24" t="str">
        <f>IF(OR(E1697="",E1697="!!!",F1697="NEW"),"",INDEX(B$2:B1696,-1+SUMPRODUCT(MAX(ROW(E$2:E1696)*(E1697=E$2:E1696)))))</f>
        <v>SBJ</v>
      </c>
      <c r="J1697" s="24">
        <f ca="1">IF(OR(E1697="",E1697="!!!",F1697="NEW"),"",COUNTBLANK(OFFSET(A$1,,,SUMPRODUCT(MAX(ROW(E$2:E1697)*(E1697=E$2:E1697)))))-COUNTBLANK(OFFSET(A$1,,,SUMPRODUCT(MAX(ROW(E$1:E1696)*(E2=E$1:E1696))))))</f>
        <v>0</v>
      </c>
      <c r="K1697" s="24">
        <f ca="1">IF(OR(E1697="",E1697="!!!",F1697="NEW"),"",INDEX(J$1:J1696,SUMPRODUCT(MAX(ROW(E$1:E1696)*(E1697=E$1:E1696)))))</f>
        <v>0</v>
      </c>
      <c r="L1697" s="25"/>
    </row>
    <row r="1698" spans="1:12" x14ac:dyDescent="0.2">
      <c r="A1698" t="s">
        <v>13</v>
      </c>
      <c r="E1698" s="20" t="str">
        <f t="shared" si="194"/>
        <v/>
      </c>
      <c r="F1698" s="21" t="str">
        <f>IF(OR(E1698="",E1698="!!!"),"",IF(NOT(ISNA(VLOOKUP(E1698,E$1:E1697,1,FALSE()))),"OLD",IF(AND(E1698&lt;&gt;"",E1698&lt;&gt;"!!!"),"NEW","")))</f>
        <v/>
      </c>
      <c r="G1698" s="22" t="str">
        <f>IF(OR(E1698="",E1698="!!!"),"",IF(OR(J1698=0,AND(J1698=1,K1698=1),AND(J1698=1,I1698="SBJ"),AND(J1698=1,I1698=0)),"?IN_FOCUS",IF(J1698&lt;=2,"?ACTIVATED",IF(J1698&lt;&gt;"","?FAMILIAR",IF(F1698="NEW",IF(ISNA(VLOOKUP(E1698,#REF!,1,FALSE())),"?TYPE_IDENTIFIABLE","?REFERENTIAL"),"_")))))</f>
        <v/>
      </c>
      <c r="H1698" s="23" t="str">
        <f t="shared" ca="1" si="195"/>
        <v/>
      </c>
      <c r="I1698" s="24" t="str">
        <f>IF(OR(E1698="",E1698="!!!",F1698="NEW"),"",INDEX(B$2:B1697,-1+SUMPRODUCT(MAX(ROW(E$2:E1697)*(E1698=E$2:E1697)))))</f>
        <v/>
      </c>
      <c r="J1698" s="24" t="str">
        <f ca="1">IF(OR(E1698="",E1698="!!!",F1698="NEW"),"",COUNTBLANK(OFFSET(A$1,,,SUMPRODUCT(MAX(ROW(E$2:E1698)*(E1698=E$2:E1698)))))-COUNTBLANK(OFFSET(A$1,,,SUMPRODUCT(MAX(ROW(E$1:E1697)*(E2=E$1:E1697))))))</f>
        <v/>
      </c>
      <c r="K1698" s="24" t="str">
        <f>IF(OR(E1698="",E1698="!!!",F1698="NEW"),"",INDEX(J$1:J1697,SUMPRODUCT(MAX(ROW(E$1:E1697)*(E1698=E$1:E1697)))))</f>
        <v/>
      </c>
      <c r="L1698" s="25"/>
    </row>
    <row r="1699" spans="1:12" x14ac:dyDescent="0.2">
      <c r="A1699" t="s">
        <v>802</v>
      </c>
      <c r="E1699" s="20" t="str">
        <f t="shared" si="194"/>
        <v/>
      </c>
      <c r="F1699" s="21" t="str">
        <f>IF(OR(E1699="",E1699="!!!"),"",IF(NOT(ISNA(VLOOKUP(E1699,E$1:E1698,1,FALSE()))),"OLD",IF(AND(E1699&lt;&gt;"",E1699&lt;&gt;"!!!"),"NEW","")))</f>
        <v/>
      </c>
      <c r="G1699" s="22" t="str">
        <f>IF(OR(E1699="",E1699="!!!"),"",IF(OR(J1699=0,AND(J1699=1,K1699=1),AND(J1699=1,I1699="SBJ"),AND(J1699=1,I1699=0)),"?IN_FOCUS",IF(J1699&lt;=2,"?ACTIVATED",IF(J1699&lt;&gt;"","?FAMILIAR",IF(F1699="NEW",IF(ISNA(VLOOKUP(E1699,#REF!,1,FALSE())),"?TYPE_IDENTIFIABLE","?REFERENTIAL"),"_")))))</f>
        <v/>
      </c>
      <c r="H1699" s="23" t="str">
        <f t="shared" ca="1" si="195"/>
        <v/>
      </c>
      <c r="I1699" s="24" t="str">
        <f>IF(OR(E1699="",E1699="!!!",F1699="NEW"),"",INDEX(B$2:B1698,-1+SUMPRODUCT(MAX(ROW(E$2:E1698)*(E1699=E$2:E1698)))))</f>
        <v/>
      </c>
      <c r="J1699" s="24" t="str">
        <f ca="1">IF(OR(E1699="",E1699="!!!",F1699="NEW"),"",COUNTBLANK(OFFSET(A$1,,,SUMPRODUCT(MAX(ROW(E$2:E1699)*(E1699=E$2:E1699)))))-COUNTBLANK(OFFSET(A$1,,,SUMPRODUCT(MAX(ROW(E$1:E1698)*(E2=E$1:E1698))))))</f>
        <v/>
      </c>
      <c r="K1699" s="24" t="str">
        <f>IF(OR(E1699="",E1699="!!!",F1699="NEW"),"",INDEX(J$1:J1698,SUMPRODUCT(MAX(ROW(E$1:E1698)*(E1699=E$1:E1698)))))</f>
        <v/>
      </c>
      <c r="L1699" s="25"/>
    </row>
    <row r="1700" spans="1:12" x14ac:dyDescent="0.2">
      <c r="A1700" t="s">
        <v>1379</v>
      </c>
      <c r="B1700" s="26" t="s">
        <v>819</v>
      </c>
      <c r="C1700" s="26" t="s">
        <v>814</v>
      </c>
      <c r="E1700" s="20" t="str">
        <f t="shared" si="194"/>
        <v/>
      </c>
      <c r="F1700" s="21" t="str">
        <f>IF(OR(E1700="",E1700="!!!"),"",IF(NOT(ISNA(VLOOKUP(E1700,E$1:E1699,1,FALSE()))),"OLD",IF(AND(E1700&lt;&gt;"",E1700&lt;&gt;"!!!"),"NEW","")))</f>
        <v/>
      </c>
      <c r="G1700" s="22" t="str">
        <f>IF(OR(E1700="",E1700="!!!"),"",IF(OR(J1700=0,AND(J1700=1,K1700=1),AND(J1700=1,I1700="SBJ"),AND(J1700=1,I1700=0)),"?IN_FOCUS",IF(J1700&lt;=2,"?ACTIVATED",IF(J1700&lt;&gt;"","?FAMILIAR",IF(F1700="NEW",IF(ISNA(VLOOKUP(E1700,#REF!,1,FALSE())),"?TYPE_IDENTIFIABLE","?REFERENTIAL"),"_")))))</f>
        <v/>
      </c>
      <c r="H1700" s="23" t="str">
        <f t="shared" ca="1" si="195"/>
        <v/>
      </c>
      <c r="I1700" s="24" t="str">
        <f>IF(OR(E1700="",E1700="!!!",F1700="NEW"),"",INDEX(B$2:B1699,-1+SUMPRODUCT(MAX(ROW(E$2:E1699)*(E1700=E$2:E1699)))))</f>
        <v/>
      </c>
      <c r="J1700" s="24" t="str">
        <f ca="1">IF(OR(E1700="",E1700="!!!",F1700="NEW"),"",COUNTBLANK(OFFSET(A$1,,,SUMPRODUCT(MAX(ROW(E$2:E1700)*(E1700=E$2:E1700)))))-COUNTBLANK(OFFSET(A$1,,,SUMPRODUCT(MAX(ROW(E$1:E1699)*(E2=E$1:E1699))))))</f>
        <v/>
      </c>
      <c r="K1700" s="24" t="str">
        <f>IF(OR(E1700="",E1700="!!!",F1700="NEW"),"",INDEX(J$1:J1699,SUMPRODUCT(MAX(ROW(E$1:E1699)*(E1700=E$1:E1699)))))</f>
        <v/>
      </c>
      <c r="L1700" s="25"/>
    </row>
    <row r="1701" spans="1:12" x14ac:dyDescent="0.2">
      <c r="A1701" t="s">
        <v>802</v>
      </c>
      <c r="E1701" s="20" t="str">
        <f t="shared" si="194"/>
        <v/>
      </c>
      <c r="F1701" s="21" t="str">
        <f>IF(OR(E1701="",E1701="!!!"),"",IF(NOT(ISNA(VLOOKUP(E1701,E$1:E1700,1,FALSE()))),"OLD",IF(AND(E1701&lt;&gt;"",E1701&lt;&gt;"!!!"),"NEW","")))</f>
        <v/>
      </c>
      <c r="G1701" s="22" t="str">
        <f>IF(OR(E1701="",E1701="!!!"),"",IF(OR(J1701=0,AND(J1701=1,K1701=1),AND(J1701=1,I1701="SBJ"),AND(J1701=1,I1701=0)),"?IN_FOCUS",IF(J1701&lt;=2,"?ACTIVATED",IF(J1701&lt;&gt;"","?FAMILIAR",IF(F1701="NEW",IF(ISNA(VLOOKUP(E1701,#REF!,1,FALSE())),"?TYPE_IDENTIFIABLE","?REFERENTIAL"),"_")))))</f>
        <v/>
      </c>
      <c r="H1701" s="23" t="str">
        <f t="shared" ca="1" si="195"/>
        <v/>
      </c>
      <c r="I1701" s="24" t="str">
        <f>IF(OR(E1701="",E1701="!!!",F1701="NEW"),"",INDEX(B$2:B1700,-1+SUMPRODUCT(MAX(ROW(E$2:E1700)*(E1701=E$2:E1700)))))</f>
        <v/>
      </c>
      <c r="J1701" s="24" t="str">
        <f ca="1">IF(OR(E1701="",E1701="!!!",F1701="NEW"),"",COUNTBLANK(OFFSET(A$1,,,SUMPRODUCT(MAX(ROW(E$2:E1701)*(E1701=E$2:E1701)))))-COUNTBLANK(OFFSET(A$1,,,SUMPRODUCT(MAX(ROW(E$1:E1700)*(E2=E$1:E1700))))))</f>
        <v/>
      </c>
      <c r="K1701" s="24" t="str">
        <f>IF(OR(E1701="",E1701="!!!",F1701="NEW"),"",INDEX(J$1:J1700,SUMPRODUCT(MAX(ROW(E$1:E1700)*(E1701=E$1:E1700)))))</f>
        <v/>
      </c>
      <c r="L1701" s="25"/>
    </row>
    <row r="1702" spans="1:12" x14ac:dyDescent="0.2">
      <c r="A1702" t="s">
        <v>845</v>
      </c>
      <c r="E1702" s="20" t="str">
        <f t="shared" si="194"/>
        <v/>
      </c>
      <c r="F1702" s="21" t="str">
        <f>IF(OR(E1702="",E1702="!!!"),"",IF(NOT(ISNA(VLOOKUP(E1702,E$1:E1701,1,FALSE()))),"OLD",IF(AND(E1702&lt;&gt;"",E1702&lt;&gt;"!!!"),"NEW","")))</f>
        <v/>
      </c>
      <c r="G1702" s="22" t="str">
        <f>IF(OR(E1702="",E1702="!!!"),"",IF(OR(J1702=0,AND(J1702=1,K1702=1),AND(J1702=1,I1702="SBJ"),AND(J1702=1,I1702=0)),"?IN_FOCUS",IF(J1702&lt;=2,"?ACTIVATED",IF(J1702&lt;&gt;"","?FAMILIAR",IF(F1702="NEW",IF(ISNA(VLOOKUP(E1702,#REF!,1,FALSE())),"?TYPE_IDENTIFIABLE","?REFERENTIAL"),"_")))))</f>
        <v/>
      </c>
      <c r="H1702" s="23" t="str">
        <f t="shared" ca="1" si="195"/>
        <v/>
      </c>
      <c r="I1702" s="24" t="str">
        <f>IF(OR(E1702="",E1702="!!!",F1702="NEW"),"",INDEX(B$2:B1701,-1+SUMPRODUCT(MAX(ROW(E$2:E1701)*(E1702=E$2:E1701)))))</f>
        <v/>
      </c>
      <c r="J1702" s="24" t="str">
        <f ca="1">IF(OR(E1702="",E1702="!!!",F1702="NEW"),"",COUNTBLANK(OFFSET(A$1,,,SUMPRODUCT(MAX(ROW(E$2:E1702)*(E1702=E$2:E1702)))))-COUNTBLANK(OFFSET(A$1,,,SUMPRODUCT(MAX(ROW(E$1:E1701)*(E2=E$1:E1701))))))</f>
        <v/>
      </c>
      <c r="K1702" s="24" t="str">
        <f>IF(OR(E1702="",E1702="!!!",F1702="NEW"),"",INDEX(J$1:J1701,SUMPRODUCT(MAX(ROW(E$1:E1701)*(E1702=E$1:E1701)))))</f>
        <v/>
      </c>
      <c r="L1702" s="25"/>
    </row>
    <row r="1703" spans="1:12" x14ac:dyDescent="0.2">
      <c r="A1703" t="s">
        <v>1377</v>
      </c>
      <c r="B1703" s="26" t="s">
        <v>813</v>
      </c>
      <c r="C1703" s="26" t="s">
        <v>847</v>
      </c>
      <c r="D1703" s="26" t="s">
        <v>806</v>
      </c>
      <c r="E1703" s="20" t="s">
        <v>1377</v>
      </c>
      <c r="F1703" s="21" t="str">
        <f>IF(OR(E1703="",E1703="!!!"),"",IF(NOT(ISNA(VLOOKUP(E1703,E$1:E1702,1,FALSE()))),"OLD",IF(AND(E1703&lt;&gt;"",E1703&lt;&gt;"!!!"),"NEW","")))</f>
        <v>OLD</v>
      </c>
      <c r="G1703" s="22" t="s">
        <v>1822</v>
      </c>
      <c r="H1703" s="23" t="str">
        <f t="shared" ca="1" si="195"/>
        <v/>
      </c>
      <c r="I1703" s="24" t="str">
        <f>IF(OR(E1703="",E1703="!!!",F1703="NEW"),"",INDEX(B$2:B1702,-1+SUMPRODUCT(MAX(ROW(E$2:E1702)*(E1703=E$2:E1702)))))</f>
        <v>other</v>
      </c>
      <c r="J1703" s="24">
        <f ca="1">IF(OR(E1703="",E1703="!!!",F1703="NEW"),"",COUNTBLANK(OFFSET(A$1,,,SUMPRODUCT(MAX(ROW(E$2:E1703)*(E1703=E$2:E1703)))))-COUNTBLANK(OFFSET(A$1,,,SUMPRODUCT(MAX(ROW(E$1:E1702)*(E2=E$1:E1702))))))</f>
        <v>0</v>
      </c>
      <c r="K1703" s="24" t="str">
        <f ca="1">IF(OR(E1703="",E1703="!!!",F1703="NEW"),"",INDEX(J$1:J1702,SUMPRODUCT(MAX(ROW(E$1:E1702)*(E1703=E$1:E1702)))))</f>
        <v/>
      </c>
      <c r="L1703" s="25"/>
    </row>
    <row r="1704" spans="1:12" x14ac:dyDescent="0.2">
      <c r="A1704" t="s">
        <v>802</v>
      </c>
      <c r="E1704" s="20" t="str">
        <f t="shared" si="194"/>
        <v/>
      </c>
      <c r="F1704" s="21" t="str">
        <f>IF(OR(E1704="",E1704="!!!"),"",IF(NOT(ISNA(VLOOKUP(E1704,E$1:E1703,1,FALSE()))),"OLD",IF(AND(E1704&lt;&gt;"",E1704&lt;&gt;"!!!"),"NEW","")))</f>
        <v/>
      </c>
      <c r="G1704" s="22" t="str">
        <f>IF(OR(E1704="",E1704="!!!"),"",IF(OR(J1704=0,AND(J1704=1,K1704=1),AND(J1704=1,I1704="SBJ"),AND(J1704=1,I1704=0)),"?IN_FOCUS",IF(J1704&lt;=2,"?ACTIVATED",IF(J1704&lt;&gt;"","?FAMILIAR",IF(F1704="NEW",IF(ISNA(VLOOKUP(E1704,#REF!,1,FALSE())),"?TYPE_IDENTIFIABLE","?REFERENTIAL"),"_")))))</f>
        <v/>
      </c>
      <c r="H1704" s="23" t="str">
        <f t="shared" ca="1" si="195"/>
        <v/>
      </c>
      <c r="I1704" s="24" t="str">
        <f>IF(OR(E1704="",E1704="!!!",F1704="NEW"),"",INDEX(B$2:B1703,-1+SUMPRODUCT(MAX(ROW(E$2:E1703)*(E1704=E$2:E1703)))))</f>
        <v/>
      </c>
      <c r="J1704" s="24" t="str">
        <f ca="1">IF(OR(E1704="",E1704="!!!",F1704="NEW"),"",COUNTBLANK(OFFSET(A$1,,,SUMPRODUCT(MAX(ROW(E$2:E1704)*(E1704=E$2:E1704)))))-COUNTBLANK(OFFSET(A$1,,,SUMPRODUCT(MAX(ROW(E$1:E1703)*(E2=E$1:E1703))))))</f>
        <v/>
      </c>
      <c r="K1704" s="24" t="str">
        <f>IF(OR(E1704="",E1704="!!!",F1704="NEW"),"",INDEX(J$1:J1703,SUMPRODUCT(MAX(ROW(E$1:E1703)*(E1704=E$1:E1703)))))</f>
        <v/>
      </c>
      <c r="L1704" s="25"/>
    </row>
    <row r="1705" spans="1:12" x14ac:dyDescent="0.2">
      <c r="A1705" t="s">
        <v>845</v>
      </c>
      <c r="E1705" s="20" t="str">
        <f t="shared" si="194"/>
        <v/>
      </c>
      <c r="F1705" s="21" t="str">
        <f>IF(OR(E1705="",E1705="!!!"),"",IF(NOT(ISNA(VLOOKUP(E1705,E$1:E1704,1,FALSE()))),"OLD",IF(AND(E1705&lt;&gt;"",E1705&lt;&gt;"!!!"),"NEW","")))</f>
        <v/>
      </c>
      <c r="G1705" s="22" t="str">
        <f>IF(OR(E1705="",E1705="!!!"),"",IF(OR(J1705=0,AND(J1705=1,K1705=1),AND(J1705=1,I1705="SBJ"),AND(J1705=1,I1705=0)),"?IN_FOCUS",IF(J1705&lt;=2,"?ACTIVATED",IF(J1705&lt;&gt;"","?FAMILIAR",IF(F1705="NEW",IF(ISNA(VLOOKUP(E1705,#REF!,1,FALSE())),"?TYPE_IDENTIFIABLE","?REFERENTIAL"),"_")))))</f>
        <v/>
      </c>
      <c r="H1705" s="23" t="str">
        <f t="shared" ca="1" si="195"/>
        <v/>
      </c>
      <c r="I1705" s="24" t="str">
        <f>IF(OR(E1705="",E1705="!!!",F1705="NEW"),"",INDEX(B$2:B1704,-1+SUMPRODUCT(MAX(ROW(E$2:E1704)*(E1705=E$2:E1704)))))</f>
        <v/>
      </c>
      <c r="J1705" s="24" t="str">
        <f ca="1">IF(OR(E1705="",E1705="!!!",F1705="NEW"),"",COUNTBLANK(OFFSET(A$1,,,SUMPRODUCT(MAX(ROW(E$2:E1705)*(E1705=E$2:E1705)))))-COUNTBLANK(OFFSET(A$1,,,SUMPRODUCT(MAX(ROW(E$1:E1704)*(E2=E$1:E1704))))))</f>
        <v/>
      </c>
      <c r="K1705" s="24" t="str">
        <f>IF(OR(E1705="",E1705="!!!",F1705="NEW"),"",INDEX(J$1:J1704,SUMPRODUCT(MAX(ROW(E$1:E1704)*(E1705=E$1:E1704)))))</f>
        <v/>
      </c>
      <c r="L1705" s="25"/>
    </row>
    <row r="1706" spans="1:12" x14ac:dyDescent="0.2">
      <c r="A1706" t="s">
        <v>1327</v>
      </c>
      <c r="B1706" s="26" t="s">
        <v>819</v>
      </c>
      <c r="C1706" s="26" t="s">
        <v>847</v>
      </c>
      <c r="D1706" s="26" t="s">
        <v>806</v>
      </c>
      <c r="E1706" s="20" t="s">
        <v>1327</v>
      </c>
      <c r="F1706" s="21" t="str">
        <f>IF(OR(E1706="",E1706="!!!"),"",IF(NOT(ISNA(VLOOKUP(E1706,E$1:E1705,1,FALSE()))),"OLD",IF(AND(E1706&lt;&gt;"",E1706&lt;&gt;"!!!"),"NEW","")))</f>
        <v>NEW</v>
      </c>
      <c r="G1706" s="22" t="s">
        <v>1824</v>
      </c>
      <c r="H1706" s="23" t="str">
        <f t="shared" ca="1" si="195"/>
        <v/>
      </c>
      <c r="I1706" s="24" t="str">
        <f>IF(OR(E1706="",E1706="!!!",F1706="NEW"),"",INDEX(B$2:B1705,-1+SUMPRODUCT(MAX(ROW(E$2:E1705)*(E1706=E$2:E1705)))))</f>
        <v/>
      </c>
      <c r="J1706" s="24" t="str">
        <f ca="1">IF(OR(E1706="",E1706="!!!",F1706="NEW"),"",COUNTBLANK(OFFSET(A$1,,,SUMPRODUCT(MAX(ROW(E$2:E1706)*(E1706=E$2:E1706)))))-COUNTBLANK(OFFSET(A$1,,,SUMPRODUCT(MAX(ROW(E$1:E1705)*(E2=E$1:E1705))))))</f>
        <v/>
      </c>
      <c r="K1706" s="24" t="str">
        <f>IF(OR(E1706="",E1706="!!!",F1706="NEW"),"",INDEX(J$1:J1705,SUMPRODUCT(MAX(ROW(E$1:E1705)*(E1706=E$1:E1705)))))</f>
        <v/>
      </c>
      <c r="L1706" s="25"/>
    </row>
    <row r="1707" spans="1:12" x14ac:dyDescent="0.2">
      <c r="A1707" t="s">
        <v>802</v>
      </c>
      <c r="E1707" s="20" t="str">
        <f t="shared" si="194"/>
        <v/>
      </c>
      <c r="F1707" s="21" t="str">
        <f>IF(OR(E1707="",E1707="!!!"),"",IF(NOT(ISNA(VLOOKUP(E1707,E$1:E1706,1,FALSE()))),"OLD",IF(AND(E1707&lt;&gt;"",E1707&lt;&gt;"!!!"),"NEW","")))</f>
        <v/>
      </c>
      <c r="G1707" s="22" t="str">
        <f>IF(OR(E1707="",E1707="!!!"),"",IF(OR(J1707=0,AND(J1707=1,K1707=1),AND(J1707=1,I1707="SBJ"),AND(J1707=1,I1707=0)),"?IN_FOCUS",IF(J1707&lt;=2,"?ACTIVATED",IF(J1707&lt;&gt;"","?FAMILIAR",IF(F1707="NEW",IF(ISNA(VLOOKUP(E1707,#REF!,1,FALSE())),"?TYPE_IDENTIFIABLE","?REFERENTIAL"),"_")))))</f>
        <v/>
      </c>
      <c r="H1707" s="23" t="str">
        <f t="shared" ca="1" si="195"/>
        <v/>
      </c>
      <c r="I1707" s="24" t="str">
        <f>IF(OR(E1707="",E1707="!!!",F1707="NEW"),"",INDEX(B$2:B1706,-1+SUMPRODUCT(MAX(ROW(E$2:E1706)*(E1707=E$2:E1706)))))</f>
        <v/>
      </c>
      <c r="J1707" s="24" t="str">
        <f ca="1">IF(OR(E1707="",E1707="!!!",F1707="NEW"),"",COUNTBLANK(OFFSET(A$1,,,SUMPRODUCT(MAX(ROW(E$2:E1707)*(E1707=E$2:E1707)))))-COUNTBLANK(OFFSET(A$1,,,SUMPRODUCT(MAX(ROW(E$1:E1706)*(E2=E$1:E1706))))))</f>
        <v/>
      </c>
      <c r="K1707" s="24" t="str">
        <f>IF(OR(E1707="",E1707="!!!",F1707="NEW"),"",INDEX(J$1:J1706,SUMPRODUCT(MAX(ROW(E$1:E1706)*(E1707=E$1:E1706)))))</f>
        <v/>
      </c>
      <c r="L1707" s="25"/>
    </row>
    <row r="1708" spans="1:12" x14ac:dyDescent="0.2">
      <c r="A1708" t="s">
        <v>845</v>
      </c>
      <c r="E1708" s="20" t="str">
        <f t="shared" si="194"/>
        <v/>
      </c>
      <c r="F1708" s="21" t="str">
        <f>IF(OR(E1708="",E1708="!!!"),"",IF(NOT(ISNA(VLOOKUP(E1708,E$1:E1707,1,FALSE()))),"OLD",IF(AND(E1708&lt;&gt;"",E1708&lt;&gt;"!!!"),"NEW","")))</f>
        <v/>
      </c>
      <c r="G1708" s="22" t="str">
        <f>IF(OR(E1708="",E1708="!!!"),"",IF(OR(J1708=0,AND(J1708=1,K1708=1),AND(J1708=1,I1708="SBJ"),AND(J1708=1,I1708=0)),"?IN_FOCUS",IF(J1708&lt;=2,"?ACTIVATED",IF(J1708&lt;&gt;"","?FAMILIAR",IF(F1708="NEW",IF(ISNA(VLOOKUP(E1708,#REF!,1,FALSE())),"?TYPE_IDENTIFIABLE","?REFERENTIAL"),"_")))))</f>
        <v/>
      </c>
      <c r="H1708" s="23" t="str">
        <f t="shared" ca="1" si="195"/>
        <v/>
      </c>
      <c r="I1708" s="24" t="str">
        <f>IF(OR(E1708="",E1708="!!!",F1708="NEW"),"",INDEX(B$2:B1707,-1+SUMPRODUCT(MAX(ROW(E$2:E1707)*(E1708=E$2:E1707)))))</f>
        <v/>
      </c>
      <c r="J1708" s="24" t="str">
        <f ca="1">IF(OR(E1708="",E1708="!!!",F1708="NEW"),"",COUNTBLANK(OFFSET(A$1,,,SUMPRODUCT(MAX(ROW(E$2:E1708)*(E1708=E$2:E1708)))))-COUNTBLANK(OFFSET(A$1,,,SUMPRODUCT(MAX(ROW(E$1:E1707)*(E2=E$1:E1707))))))</f>
        <v/>
      </c>
      <c r="K1708" s="24" t="str">
        <f>IF(OR(E1708="",E1708="!!!",F1708="NEW"),"",INDEX(J$1:J1707,SUMPRODUCT(MAX(ROW(E$1:E1707)*(E1708=E$1:E1707)))))</f>
        <v/>
      </c>
      <c r="L1708" s="25"/>
    </row>
    <row r="1709" spans="1:12" x14ac:dyDescent="0.2">
      <c r="A1709" t="s">
        <v>1352</v>
      </c>
      <c r="B1709" s="26" t="s">
        <v>813</v>
      </c>
      <c r="C1709" s="26" t="s">
        <v>847</v>
      </c>
      <c r="D1709" s="26" t="s">
        <v>806</v>
      </c>
      <c r="E1709" s="20" t="s">
        <v>1352</v>
      </c>
      <c r="F1709" s="21" t="str">
        <f>IF(OR(E1709="",E1709="!!!"),"",IF(NOT(ISNA(VLOOKUP(E1709,E$1:E1708,1,FALSE()))),"OLD",IF(AND(E1709&lt;&gt;"",E1709&lt;&gt;"!!!"),"NEW","")))</f>
        <v>NEW</v>
      </c>
      <c r="G1709" s="22" t="s">
        <v>1824</v>
      </c>
      <c r="H1709" s="23" t="str">
        <f t="shared" ca="1" si="195"/>
        <v/>
      </c>
      <c r="I1709" s="24" t="str">
        <f>IF(OR(E1709="",E1709="!!!",F1709="NEW"),"",INDEX(B$2:B1708,-1+SUMPRODUCT(MAX(ROW(E$2:E1708)*(E1709=E$2:E1708)))))</f>
        <v/>
      </c>
      <c r="J1709" s="24" t="str">
        <f ca="1">IF(OR(E1709="",E1709="!!!",F1709="NEW"),"",COUNTBLANK(OFFSET(A$1,,,SUMPRODUCT(MAX(ROW(E$2:E1709)*(E1709=E$2:E1709)))))-COUNTBLANK(OFFSET(A$1,,,SUMPRODUCT(MAX(ROW(E$1:E1708)*(E2=E$1:E1708))))))</f>
        <v/>
      </c>
      <c r="K1709" s="24" t="str">
        <f>IF(OR(E1709="",E1709="!!!",F1709="NEW"),"",INDEX(J$1:J1708,SUMPRODUCT(MAX(ROW(E$1:E1708)*(E1709=E$1:E1708)))))</f>
        <v/>
      </c>
      <c r="L1709" s="25"/>
    </row>
    <row r="1710" spans="1:12" x14ac:dyDescent="0.2">
      <c r="A1710" t="s">
        <v>839</v>
      </c>
      <c r="E1710" s="20" t="str">
        <f t="shared" si="194"/>
        <v/>
      </c>
      <c r="F1710" s="21" t="str">
        <f>IF(OR(E1710="",E1710="!!!"),"",IF(NOT(ISNA(VLOOKUP(E1710,E$1:E1709,1,FALSE()))),"OLD",IF(AND(E1710&lt;&gt;"",E1710&lt;&gt;"!!!"),"NEW","")))</f>
        <v/>
      </c>
      <c r="G1710" s="22" t="str">
        <f>IF(OR(E1710="",E1710="!!!"),"",IF(OR(J1710=0,AND(J1710=1,K1710=1),AND(J1710=1,I1710="SBJ"),AND(J1710=1,I1710=0)),"?IN_FOCUS",IF(J1710&lt;=2,"?ACTIVATED",IF(J1710&lt;&gt;"","?FAMILIAR",IF(F1710="NEW",IF(ISNA(VLOOKUP(E1710,#REF!,1,FALSE())),"?TYPE_IDENTIFIABLE","?REFERENTIAL"),"_")))))</f>
        <v/>
      </c>
      <c r="H1710" s="23" t="str">
        <f t="shared" ca="1" si="195"/>
        <v/>
      </c>
      <c r="I1710" s="24" t="str">
        <f>IF(OR(E1710="",E1710="!!!",F1710="NEW"),"",INDEX(B$2:B1709,-1+SUMPRODUCT(MAX(ROW(E$2:E1709)*(E1710=E$2:E1709)))))</f>
        <v/>
      </c>
      <c r="J1710" s="24" t="str">
        <f ca="1">IF(OR(E1710="",E1710="!!!",F1710="NEW"),"",COUNTBLANK(OFFSET(A$1,,,SUMPRODUCT(MAX(ROW(E$2:E1710)*(E1710=E$2:E1710)))))-COUNTBLANK(OFFSET(A$1,,,SUMPRODUCT(MAX(ROW(E$1:E1709)*(E2=E$1:E1709))))))</f>
        <v/>
      </c>
      <c r="K1710" s="24" t="str">
        <f>IF(OR(E1710="",E1710="!!!",F1710="NEW"),"",INDEX(J$1:J1709,SUMPRODUCT(MAX(ROW(E$1:E1709)*(E1710=E$1:E1709)))))</f>
        <v/>
      </c>
      <c r="L1710" s="25"/>
    </row>
    <row r="1712" spans="1:12" x14ac:dyDescent="0.2">
      <c r="A1712" t="s">
        <v>1380</v>
      </c>
    </row>
    <row r="1713" spans="1:12" x14ac:dyDescent="0.2">
      <c r="A1713" t="s">
        <v>837</v>
      </c>
      <c r="B1713" s="26" t="s">
        <v>804</v>
      </c>
      <c r="C1713" s="26" t="s">
        <v>805</v>
      </c>
      <c r="D1713" s="26" t="s">
        <v>806</v>
      </c>
      <c r="E1713" s="20" t="s">
        <v>1789</v>
      </c>
      <c r="F1713" s="21" t="s">
        <v>1819</v>
      </c>
      <c r="G1713" s="22" t="s">
        <v>1823</v>
      </c>
      <c r="H1713" s="23" t="str">
        <f ca="1">IF(J1713&lt;&gt;1,"",IF(I1713="SBJ","CB","?"))</f>
        <v/>
      </c>
      <c r="I1713" s="24" t="e">
        <f>IF(OR(E1713="",E1713="!!!",F1713="NEW"),"",INDEX(B$2:B1712,-1+SUMPRODUCT(MAX(ROW(E$2:E1712)*(E1713=E$2:E1712)))))</f>
        <v>#VALUE!</v>
      </c>
      <c r="J1713" s="24">
        <f ca="1">IF(OR(E1713="",E1713="!!!",F1713="NEW"),"",COUNTBLANK(OFFSET(A$1,,,SUMPRODUCT(MAX(ROW(E$2:E1713)*(E1713=E$2:E1713)))))-COUNTBLANK(OFFSET(A$1,,,SUMPRODUCT(MAX(ROW(E$1:E1712)*(E2=E$1:E1712))))))</f>
        <v>0</v>
      </c>
      <c r="K1713" s="24" t="e">
        <f>IF(OR(E1713="",E1713="!!!",F1713="NEW"),"",INDEX(J$1:J1712,SUMPRODUCT(MAX(ROW(E$1:E1712)*(E1713=E$1:E1712)))))</f>
        <v>#VALUE!</v>
      </c>
      <c r="L1713" s="25"/>
    </row>
    <row r="1714" spans="1:12" x14ac:dyDescent="0.2">
      <c r="A1714" t="s">
        <v>898</v>
      </c>
      <c r="E1714" s="20" t="str">
        <f>IF(D1714="?OLD","!!!","")</f>
        <v/>
      </c>
      <c r="F1714" s="21" t="str">
        <f>IF(OR(E1714="",E1714="!!!"),"",IF(NOT(ISNA(VLOOKUP(E1714,E$1:E1713,1,FALSE()))),"OLD",IF(AND(E1714&lt;&gt;"",E1714&lt;&gt;"!!!"),"NEW","")))</f>
        <v/>
      </c>
      <c r="G1714" s="22" t="str">
        <f>IF(OR(E1714="",E1714="!!!"),"",IF(OR(J1714=0,AND(J1714=1,K1714=1),AND(J1714=1,I1714="SBJ"),AND(J1714=1,I1714=0)),"?IN_FOCUS",IF(J1714&lt;=2,"?ACTIVATED",IF(J1714&lt;&gt;"","?FAMILIAR",IF(F1714="NEW",IF(ISNA(VLOOKUP(E1714,#REF!,1,FALSE())),"?TYPE_IDENTIFIABLE","?REFERENTIAL"),"_")))))</f>
        <v/>
      </c>
      <c r="H1714" s="23" t="str">
        <f ca="1">IF(J1714&lt;&gt;1,"",IF(I1714="SBJ","CB","?"))</f>
        <v/>
      </c>
      <c r="I1714" s="24" t="str">
        <f>IF(OR(E1714="",E1714="!!!",F1714="NEW"),"",INDEX(B$2:B1713,-1+SUMPRODUCT(MAX(ROW(E$2:E1713)*(E1714=E$2:E1713)))))</f>
        <v/>
      </c>
      <c r="J1714" s="24" t="str">
        <f ca="1">IF(OR(E1714="",E1714="!!!",F1714="NEW"),"",COUNTBLANK(OFFSET(A$1,,,SUMPRODUCT(MAX(ROW(E$2:E1714)*(E1714=E$2:E1714)))))-COUNTBLANK(OFFSET(A$1,,,SUMPRODUCT(MAX(ROW(E$1:E1713)*(E2=E$1:E1713))))))</f>
        <v/>
      </c>
      <c r="K1714" s="24" t="str">
        <f>IF(OR(E1714="",E1714="!!!",F1714="NEW"),"",INDEX(J$1:J1713,SUMPRODUCT(MAX(ROW(E$1:E1713)*(E1714=E$1:E1713)))))</f>
        <v/>
      </c>
      <c r="L1714" s="25"/>
    </row>
    <row r="1715" spans="1:12" x14ac:dyDescent="0.2">
      <c r="A1715" t="s">
        <v>1296</v>
      </c>
      <c r="E1715" s="20" t="str">
        <f>IF(D1715="?OLD","!!!","")</f>
        <v/>
      </c>
      <c r="F1715" s="21" t="str">
        <f>IF(OR(E1715="",E1715="!!!"),"",IF(NOT(ISNA(VLOOKUP(E1715,E$1:E1714,1,FALSE()))),"OLD",IF(AND(E1715&lt;&gt;"",E1715&lt;&gt;"!!!"),"NEW","")))</f>
        <v/>
      </c>
      <c r="G1715" s="22" t="str">
        <f>IF(OR(E1715="",E1715="!!!"),"",IF(OR(J1715=0,AND(J1715=1,K1715=1),AND(J1715=1,I1715="SBJ"),AND(J1715=1,I1715=0)),"?IN_FOCUS",IF(J1715&lt;=2,"?ACTIVATED",IF(J1715&lt;&gt;"","?FAMILIAR",IF(F1715="NEW",IF(ISNA(VLOOKUP(E1715,#REF!,1,FALSE())),"?TYPE_IDENTIFIABLE","?REFERENTIAL"),"_")))))</f>
        <v/>
      </c>
      <c r="H1715" s="23" t="str">
        <f ca="1">IF(J1715&lt;&gt;1,"",IF(I1715="SBJ","CB","?"))</f>
        <v/>
      </c>
      <c r="I1715" s="24" t="str">
        <f>IF(OR(E1715="",E1715="!!!",F1715="NEW"),"",INDEX(B$2:B1714,-1+SUMPRODUCT(MAX(ROW(E$2:E1714)*(E1715=E$2:E1714)))))</f>
        <v/>
      </c>
      <c r="J1715" s="24" t="str">
        <f ca="1">IF(OR(E1715="",E1715="!!!",F1715="NEW"),"",COUNTBLANK(OFFSET(A$1,,,SUMPRODUCT(MAX(ROW(E$2:E1715)*(E1715=E$2:E1715)))))-COUNTBLANK(OFFSET(A$1,,,SUMPRODUCT(MAX(ROW(E$1:E1714)*(E2=E$1:E1714))))))</f>
        <v/>
      </c>
      <c r="K1715" s="24" t="str">
        <f>IF(OR(E1715="",E1715="!!!",F1715="NEW"),"",INDEX(J$1:J1714,SUMPRODUCT(MAX(ROW(E$1:E1714)*(E1715=E$1:E1714)))))</f>
        <v/>
      </c>
      <c r="L1715" s="25"/>
    </row>
    <row r="1716" spans="1:12" x14ac:dyDescent="0.2">
      <c r="A1716" t="s">
        <v>821</v>
      </c>
      <c r="E1716" s="20" t="str">
        <f>IF(D1716="?OLD","!!!","")</f>
        <v/>
      </c>
      <c r="F1716" s="21" t="str">
        <f>IF(OR(E1716="",E1716="!!!"),"",IF(NOT(ISNA(VLOOKUP(E1716,E$1:E1715,1,FALSE()))),"OLD",IF(AND(E1716&lt;&gt;"",E1716&lt;&gt;"!!!"),"NEW","")))</f>
        <v/>
      </c>
      <c r="G1716" s="22" t="str">
        <f>IF(OR(E1716="",E1716="!!!"),"",IF(OR(J1716=0,AND(J1716=1,K1716=1),AND(J1716=1,I1716="SBJ"),AND(J1716=1,I1716=0)),"?IN_FOCUS",IF(J1716&lt;=2,"?ACTIVATED",IF(J1716&lt;&gt;"","?FAMILIAR",IF(F1716="NEW",IF(ISNA(VLOOKUP(E1716,#REF!,1,FALSE())),"?TYPE_IDENTIFIABLE","?REFERENTIAL"),"_")))))</f>
        <v/>
      </c>
      <c r="H1716" s="23" t="str">
        <f ca="1">IF(J1716&lt;&gt;1,"",IF(I1716="SBJ","CB","?"))</f>
        <v/>
      </c>
      <c r="I1716" s="24" t="str">
        <f>IF(OR(E1716="",E1716="!!!",F1716="NEW"),"",INDEX(B$2:B1715,-1+SUMPRODUCT(MAX(ROW(E$2:E1715)*(E1716=E$2:E1715)))))</f>
        <v/>
      </c>
      <c r="J1716" s="24" t="str">
        <f ca="1">IF(OR(E1716="",E1716="!!!",F1716="NEW"),"",COUNTBLANK(OFFSET(A$1,,,SUMPRODUCT(MAX(ROW(E$2:E1716)*(E1716=E$2:E1716)))))-COUNTBLANK(OFFSET(A$1,,,SUMPRODUCT(MAX(ROW(E$1:E1715)*(E2=E$1:E1715))))))</f>
        <v/>
      </c>
      <c r="K1716" s="24" t="str">
        <f>IF(OR(E1716="",E1716="!!!",F1716="NEW"),"",INDEX(J$1:J1715,SUMPRODUCT(MAX(ROW(E$1:E1715)*(E1716=E$1:E1715)))))</f>
        <v/>
      </c>
      <c r="L1716" s="25"/>
    </row>
    <row r="1718" spans="1:12" x14ac:dyDescent="0.2">
      <c r="A1718" t="s">
        <v>1381</v>
      </c>
    </row>
    <row r="1719" spans="1:12" x14ac:dyDescent="0.2">
      <c r="A1719" t="s">
        <v>1382</v>
      </c>
      <c r="E1719" s="20" t="str">
        <f t="shared" ref="E1719:E1725" si="196">IF(D1719="?OLD","!!!","")</f>
        <v/>
      </c>
      <c r="F1719" s="21" t="str">
        <f>IF(OR(E1719="",E1719="!!!"),"",IF(NOT(ISNA(VLOOKUP(E1719,E$1:E1718,1,FALSE()))),"OLD",IF(AND(E1719&lt;&gt;"",E1719&lt;&gt;"!!!"),"NEW","")))</f>
        <v/>
      </c>
      <c r="G1719" s="22" t="str">
        <f>IF(OR(E1719="",E1719="!!!"),"",IF(OR(J1719=0,AND(J1719=1,K1719=1),AND(J1719=1,I1719="SBJ"),AND(J1719=1,I1719=0)),"?IN_FOCUS",IF(J1719&lt;=2,"?ACTIVATED",IF(J1719&lt;&gt;"","?FAMILIAR",IF(F1719="NEW",IF(ISNA(VLOOKUP(E1719,#REF!,1,FALSE())),"?TYPE_IDENTIFIABLE","?REFERENTIAL"),"_")))))</f>
        <v/>
      </c>
      <c r="H1719" s="23" t="str">
        <f t="shared" ref="H1719:H1725" ca="1" si="197">IF(J1719&lt;&gt;1,"",IF(I1719="SBJ","CB","?"))</f>
        <v/>
      </c>
      <c r="I1719" s="24" t="str">
        <f>IF(OR(E1719="",E1719="!!!",F1719="NEW"),"",INDEX(B$2:B1718,-1+SUMPRODUCT(MAX(ROW(E$2:E1718)*(E1719=E$2:E1718)))))</f>
        <v/>
      </c>
      <c r="J1719" s="24" t="str">
        <f ca="1">IF(OR(E1719="",E1719="!!!",F1719="NEW"),"",COUNTBLANK(OFFSET(A$1,,,SUMPRODUCT(MAX(ROW(E$2:E1719)*(E1719=E$2:E1719)))))-COUNTBLANK(OFFSET(A$1,,,SUMPRODUCT(MAX(ROW(E$1:E1718)*(E2=E$1:E1718))))))</f>
        <v/>
      </c>
      <c r="K1719" s="24" t="str">
        <f>IF(OR(E1719="",E1719="!!!",F1719="NEW"),"",INDEX(J$1:J1718,SUMPRODUCT(MAX(ROW(E$1:E1718)*(E1719=E$1:E1718)))))</f>
        <v/>
      </c>
      <c r="L1719" s="25"/>
    </row>
    <row r="1720" spans="1:12" x14ac:dyDescent="0.2">
      <c r="A1720" t="s">
        <v>148</v>
      </c>
      <c r="B1720" s="26" t="s">
        <v>819</v>
      </c>
      <c r="C1720" s="26" t="s">
        <v>850</v>
      </c>
      <c r="E1720" s="20" t="str">
        <f t="shared" si="196"/>
        <v/>
      </c>
      <c r="F1720" s="21" t="str">
        <f>IF(OR(E1720="",E1720="!!!"),"",IF(NOT(ISNA(VLOOKUP(E1720,E$1:E1719,1,FALSE()))),"OLD",IF(AND(E1720&lt;&gt;"",E1720&lt;&gt;"!!!"),"NEW","")))</f>
        <v/>
      </c>
      <c r="G1720" s="22" t="str">
        <f>IF(OR(E1720="",E1720="!!!"),"",IF(OR(J1720=0,AND(J1720=1,K1720=1),AND(J1720=1,I1720="SBJ"),AND(J1720=1,I1720=0)),"?IN_FOCUS",IF(J1720&lt;=2,"?ACTIVATED",IF(J1720&lt;&gt;"","?FAMILIAR",IF(F1720="NEW",IF(ISNA(VLOOKUP(E1720,#REF!,1,FALSE())),"?TYPE_IDENTIFIABLE","?REFERENTIAL"),"_")))))</f>
        <v/>
      </c>
      <c r="H1720" s="23" t="str">
        <f t="shared" ca="1" si="197"/>
        <v/>
      </c>
      <c r="I1720" s="24" t="str">
        <f>IF(OR(E1720="",E1720="!!!",F1720="NEW"),"",INDEX(B$2:B1719,-1+SUMPRODUCT(MAX(ROW(E$2:E1719)*(E1720=E$2:E1719)))))</f>
        <v/>
      </c>
      <c r="J1720" s="24" t="str">
        <f ca="1">IF(OR(E1720="",E1720="!!!",F1720="NEW"),"",COUNTBLANK(OFFSET(A$1,,,SUMPRODUCT(MAX(ROW(E$2:E1720)*(E1720=E$2:E1720)))))-COUNTBLANK(OFFSET(A$1,,,SUMPRODUCT(MAX(ROW(E$1:E1719)*(E2=E$1:E1719))))))</f>
        <v/>
      </c>
      <c r="K1720" s="24" t="str">
        <f>IF(OR(E1720="",E1720="!!!",F1720="NEW"),"",INDEX(J$1:J1719,SUMPRODUCT(MAX(ROW(E$1:E1719)*(E1720=E$1:E1719)))))</f>
        <v/>
      </c>
      <c r="L1720" s="25"/>
    </row>
    <row r="1721" spans="1:12" x14ac:dyDescent="0.2">
      <c r="A1721" t="s">
        <v>1018</v>
      </c>
      <c r="E1721" s="20" t="str">
        <f t="shared" si="196"/>
        <v/>
      </c>
      <c r="F1721" s="21" t="str">
        <f>IF(OR(E1721="",E1721="!!!"),"",IF(NOT(ISNA(VLOOKUP(E1721,E$1:E1720,1,FALSE()))),"OLD",IF(AND(E1721&lt;&gt;"",E1721&lt;&gt;"!!!"),"NEW","")))</f>
        <v/>
      </c>
      <c r="G1721" s="22" t="str">
        <f>IF(OR(E1721="",E1721="!!!"),"",IF(OR(J1721=0,AND(J1721=1,K1721=1),AND(J1721=1,I1721="SBJ"),AND(J1721=1,I1721=0)),"?IN_FOCUS",IF(J1721&lt;=2,"?ACTIVATED",IF(J1721&lt;&gt;"","?FAMILIAR",IF(F1721="NEW",IF(ISNA(VLOOKUP(E1721,#REF!,1,FALSE())),"?TYPE_IDENTIFIABLE","?REFERENTIAL"),"_")))))</f>
        <v/>
      </c>
      <c r="H1721" s="23" t="str">
        <f t="shared" ca="1" si="197"/>
        <v/>
      </c>
      <c r="I1721" s="24" t="str">
        <f>IF(OR(E1721="",E1721="!!!",F1721="NEW"),"",INDEX(B$2:B1720,-1+SUMPRODUCT(MAX(ROW(E$2:E1720)*(E1721=E$2:E1720)))))</f>
        <v/>
      </c>
      <c r="J1721" s="24" t="str">
        <f ca="1">IF(OR(E1721="",E1721="!!!",F1721="NEW"),"",COUNTBLANK(OFFSET(A$1,,,SUMPRODUCT(MAX(ROW(E$2:E1721)*(E1721=E$2:E1721)))))-COUNTBLANK(OFFSET(A$1,,,SUMPRODUCT(MAX(ROW(E$1:E1720)*(E2=E$1:E1720))))))</f>
        <v/>
      </c>
      <c r="K1721" s="24" t="str">
        <f>IF(OR(E1721="",E1721="!!!",F1721="NEW"),"",INDEX(J$1:J1720,SUMPRODUCT(MAX(ROW(E$1:E1720)*(E1721=E$1:E1720)))))</f>
        <v/>
      </c>
      <c r="L1721" s="25"/>
    </row>
    <row r="1722" spans="1:12" x14ac:dyDescent="0.2">
      <c r="A1722" t="s">
        <v>1112</v>
      </c>
      <c r="B1722" s="26" t="s">
        <v>864</v>
      </c>
      <c r="C1722" s="26" t="s">
        <v>817</v>
      </c>
      <c r="D1722" s="26" t="s">
        <v>806</v>
      </c>
      <c r="E1722" s="20"/>
      <c r="F1722" s="21" t="s">
        <v>1793</v>
      </c>
      <c r="G1722" s="22"/>
      <c r="H1722" s="23" t="str">
        <f t="shared" ca="1" si="197"/>
        <v/>
      </c>
      <c r="I1722" s="24" t="str">
        <f>IF(OR(E1722="",E1722="!!!",F1722="NEW"),"",INDEX(B$2:B1721,-1+SUMPRODUCT(MAX(ROW(E$2:E1721)*(E1722=E$2:E1721)))))</f>
        <v/>
      </c>
      <c r="J1722" s="24" t="str">
        <f ca="1">IF(OR(E1722="",E1722="!!!",F1722="NEW"),"",COUNTBLANK(OFFSET(A$1,,,SUMPRODUCT(MAX(ROW(E$2:E1722)*(E1722=E$2:E1722)))))-COUNTBLANK(OFFSET(A$1,,,SUMPRODUCT(MAX(ROW(E$1:E1721)*(E2=E$1:E1721))))))</f>
        <v/>
      </c>
      <c r="K1722" s="24" t="str">
        <f>IF(OR(E1722="",E1722="!!!",F1722="NEW"),"",INDEX(J$1:J1721,SUMPRODUCT(MAX(ROW(E$1:E1721)*(E1722=E$1:E1721)))))</f>
        <v/>
      </c>
      <c r="L1722" s="25"/>
    </row>
    <row r="1723" spans="1:12" x14ac:dyDescent="0.2">
      <c r="A1723" t="s">
        <v>30</v>
      </c>
      <c r="B1723" s="26" t="s">
        <v>950</v>
      </c>
      <c r="C1723" s="26" t="s">
        <v>820</v>
      </c>
      <c r="D1723" s="26" t="s">
        <v>806</v>
      </c>
      <c r="E1723" s="20" t="s">
        <v>1790</v>
      </c>
      <c r="F1723" s="21" t="str">
        <f>IF(OR(E1723="",E1723="!!!"),"",IF(NOT(ISNA(VLOOKUP(E1723,E$1:E1722,1,FALSE()))),"OLD",IF(AND(E1723&lt;&gt;"",E1723&lt;&gt;"!!!"),"NEW","")))</f>
        <v>NEW</v>
      </c>
      <c r="G1723" s="22" t="s">
        <v>1822</v>
      </c>
      <c r="H1723" s="23" t="str">
        <f t="shared" ca="1" si="197"/>
        <v/>
      </c>
      <c r="I1723" s="24" t="str">
        <f>IF(OR(E1723="",E1723="!!!",F1723="NEW"),"",INDEX(B$2:B1722,-1+SUMPRODUCT(MAX(ROW(E$2:E1722)*(E1723=E$2:E1722)))))</f>
        <v/>
      </c>
      <c r="J1723" s="24" t="str">
        <f ca="1">IF(OR(E1723="",E1723="!!!",F1723="NEW"),"",COUNTBLANK(OFFSET(A$1,,,SUMPRODUCT(MAX(ROW(E$2:E1723)*(E1723=E$2:E1723)))))-COUNTBLANK(OFFSET(A$1,,,SUMPRODUCT(MAX(ROW(E$1:E1722)*(E2=E$1:E1722))))))</f>
        <v/>
      </c>
      <c r="K1723" s="24" t="str">
        <f>IF(OR(E1723="",E1723="!!!",F1723="NEW"),"",INDEX(J$1:J1722,SUMPRODUCT(MAX(ROW(E$1:E1722)*(E1723=E$1:E1722)))))</f>
        <v/>
      </c>
      <c r="L1723" s="25"/>
    </row>
    <row r="1724" spans="1:12" x14ac:dyDescent="0.2">
      <c r="A1724" t="s">
        <v>1383</v>
      </c>
      <c r="E1724" s="20" t="str">
        <f t="shared" si="196"/>
        <v/>
      </c>
      <c r="F1724" s="21" t="str">
        <f>IF(OR(E1724="",E1724="!!!"),"",IF(NOT(ISNA(VLOOKUP(E1724,E$1:E1723,1,FALSE()))),"OLD",IF(AND(E1724&lt;&gt;"",E1724&lt;&gt;"!!!"),"NEW","")))</f>
        <v/>
      </c>
      <c r="G1724" s="22" t="str">
        <f>IF(OR(E1724="",E1724="!!!"),"",IF(OR(J1724=0,AND(J1724=1,K1724=1),AND(J1724=1,I1724="SBJ"),AND(J1724=1,I1724=0)),"?IN_FOCUS",IF(J1724&lt;=2,"?ACTIVATED",IF(J1724&lt;&gt;"","?FAMILIAR",IF(F1724="NEW",IF(ISNA(VLOOKUP(E1724,#REF!,1,FALSE())),"?TYPE_IDENTIFIABLE","?REFERENTIAL"),"_")))))</f>
        <v/>
      </c>
      <c r="H1724" s="23" t="str">
        <f t="shared" ca="1" si="197"/>
        <v/>
      </c>
      <c r="I1724" s="24" t="str">
        <f>IF(OR(E1724="",E1724="!!!",F1724="NEW"),"",INDEX(B$2:B1723,-1+SUMPRODUCT(MAX(ROW(E$2:E1723)*(E1724=E$2:E1723)))))</f>
        <v/>
      </c>
      <c r="J1724" s="24" t="str">
        <f ca="1">IF(OR(E1724="",E1724="!!!",F1724="NEW"),"",COUNTBLANK(OFFSET(A$1,,,SUMPRODUCT(MAX(ROW(E$2:E1724)*(E1724=E$2:E1724)))))-COUNTBLANK(OFFSET(A$1,,,SUMPRODUCT(MAX(ROW(E$1:E1723)*(E2=E$1:E1723))))))</f>
        <v/>
      </c>
      <c r="K1724" s="24" t="str">
        <f>IF(OR(E1724="",E1724="!!!",F1724="NEW"),"",INDEX(J$1:J1723,SUMPRODUCT(MAX(ROW(E$1:E1723)*(E1724=E$1:E1723)))))</f>
        <v/>
      </c>
      <c r="L1724" s="25"/>
    </row>
    <row r="1725" spans="1:12" x14ac:dyDescent="0.2">
      <c r="A1725" t="s">
        <v>922</v>
      </c>
      <c r="E1725" s="20" t="str">
        <f t="shared" si="196"/>
        <v/>
      </c>
      <c r="F1725" s="21" t="str">
        <f>IF(OR(E1725="",E1725="!!!"),"",IF(NOT(ISNA(VLOOKUP(E1725,E$1:E1724,1,FALSE()))),"OLD",IF(AND(E1725&lt;&gt;"",E1725&lt;&gt;"!!!"),"NEW","")))</f>
        <v/>
      </c>
      <c r="G1725" s="22" t="str">
        <f>IF(OR(E1725="",E1725="!!!"),"",IF(OR(J1725=0,AND(J1725=1,K1725=1),AND(J1725=1,I1725="SBJ"),AND(J1725=1,I1725=0)),"?IN_FOCUS",IF(J1725&lt;=2,"?ACTIVATED",IF(J1725&lt;&gt;"","?FAMILIAR",IF(F1725="NEW",IF(ISNA(VLOOKUP(E1725,#REF!,1,FALSE())),"?TYPE_IDENTIFIABLE","?REFERENTIAL"),"_")))))</f>
        <v/>
      </c>
      <c r="H1725" s="23" t="str">
        <f t="shared" ca="1" si="197"/>
        <v/>
      </c>
      <c r="I1725" s="24" t="str">
        <f>IF(OR(E1725="",E1725="!!!",F1725="NEW"),"",INDEX(B$2:B1724,-1+SUMPRODUCT(MAX(ROW(E$2:E1724)*(E1725=E$2:E1724)))))</f>
        <v/>
      </c>
      <c r="J1725" s="24" t="str">
        <f ca="1">IF(OR(E1725="",E1725="!!!",F1725="NEW"),"",COUNTBLANK(OFFSET(A$1,,,SUMPRODUCT(MAX(ROW(E$2:E1725)*(E1725=E$2:E1725)))))-COUNTBLANK(OFFSET(A$1,,,SUMPRODUCT(MAX(ROW(E$1:E1724)*(E2=E$1:E1724))))))</f>
        <v/>
      </c>
      <c r="K1725" s="24" t="str">
        <f>IF(OR(E1725="",E1725="!!!",F1725="NEW"),"",INDEX(J$1:J1724,SUMPRODUCT(MAX(ROW(E$1:E1724)*(E1725=E$1:E1724)))))</f>
        <v/>
      </c>
      <c r="L1725" s="25"/>
    </row>
    <row r="1727" spans="1:12" x14ac:dyDescent="0.2">
      <c r="A1727" t="s">
        <v>900</v>
      </c>
      <c r="E1727" s="20" t="str">
        <f>IF(D1727="?OLD","!!!","")</f>
        <v/>
      </c>
      <c r="F1727" s="21" t="str">
        <f>IF(OR(E1727="",E1727="!!!"),"",IF(NOT(ISNA(VLOOKUP(E1727,E$1:E1726,1,FALSE()))),"OLD",IF(AND(E1727&lt;&gt;"",E1727&lt;&gt;"!!!"),"NEW","")))</f>
        <v/>
      </c>
      <c r="G1727" s="22" t="str">
        <f>IF(OR(E1727="",E1727="!!!"),"",IF(OR(J1727=0,AND(J1727=1,K1727=1),AND(J1727=1,I1727="SBJ"),AND(J1727=1,I1727=0)),"?IN_FOCUS",IF(J1727&lt;=2,"?ACTIVATED",IF(J1727&lt;&gt;"","?FAMILIAR",IF(F1727="NEW",IF(ISNA(VLOOKUP(E1727,#REF!,1,FALSE())),"?TYPE_IDENTIFIABLE","?REFERENTIAL"),"_")))))</f>
        <v/>
      </c>
      <c r="H1727" s="23" t="str">
        <f ca="1">IF(J1727&lt;&gt;1,"",IF(I1727="SBJ","CB","?"))</f>
        <v/>
      </c>
      <c r="I1727" s="24" t="str">
        <f>IF(OR(E1727="",E1727="!!!",F1727="NEW"),"",INDEX(B$2:B1726,-1+SUMPRODUCT(MAX(ROW(E$2:E1726)*(E1727=E$2:E1726)))))</f>
        <v/>
      </c>
      <c r="J1727" s="24" t="str">
        <f ca="1">IF(OR(E1727="",E1727="!!!",F1727="NEW"),"",COUNTBLANK(OFFSET(A$1,,,SUMPRODUCT(MAX(ROW(E$2:E1727)*(E1727=E$2:E1727)))))-COUNTBLANK(OFFSET(A$1,,,SUMPRODUCT(MAX(ROW(E$1:E1726)*(E2=E$1:E1726))))))</f>
        <v/>
      </c>
      <c r="K1727" s="24" t="str">
        <f>IF(OR(E1727="",E1727="!!!",F1727="NEW"),"",INDEX(J$1:J1726,SUMPRODUCT(MAX(ROW(E$1:E1726)*(E1727=E$1:E1726)))))</f>
        <v/>
      </c>
      <c r="L1727" s="25"/>
    </row>
    <row r="1728" spans="1:12" x14ac:dyDescent="0.2">
      <c r="A1728" t="s">
        <v>1384</v>
      </c>
    </row>
    <row r="1729" spans="1:12" x14ac:dyDescent="0.2">
      <c r="A1729" t="s">
        <v>849</v>
      </c>
      <c r="B1729" s="26" t="s">
        <v>819</v>
      </c>
      <c r="C1729" s="26" t="s">
        <v>850</v>
      </c>
      <c r="E1729" s="20" t="str">
        <f t="shared" ref="E1729:E1736" si="198">IF(D1729="?OLD","!!!","")</f>
        <v/>
      </c>
      <c r="F1729" s="21" t="str">
        <f>IF(OR(E1729="",E1729="!!!"),"",IF(NOT(ISNA(VLOOKUP(E1729,E$1:E1728,1,FALSE()))),"OLD",IF(AND(E1729&lt;&gt;"",E1729&lt;&gt;"!!!"),"NEW","")))</f>
        <v/>
      </c>
      <c r="G1729" s="22" t="str">
        <f>IF(OR(E1729="",E1729="!!!"),"",IF(OR(J1729=0,AND(J1729=1,K1729=1),AND(J1729=1,I1729="SBJ"),AND(J1729=1,I1729=0)),"?IN_FOCUS",IF(J1729&lt;=2,"?ACTIVATED",IF(J1729&lt;&gt;"","?FAMILIAR",IF(F1729="NEW",IF(ISNA(VLOOKUP(E1729,#REF!,1,FALSE())),"?TYPE_IDENTIFIABLE","?REFERENTIAL"),"_")))))</f>
        <v/>
      </c>
      <c r="H1729" s="23" t="str">
        <f t="shared" ref="H1729:H1736" ca="1" si="199">IF(J1729&lt;&gt;1,"",IF(I1729="SBJ","CB","?"))</f>
        <v/>
      </c>
      <c r="I1729" s="24" t="str">
        <f>IF(OR(E1729="",E1729="!!!",F1729="NEW"),"",INDEX(B$2:B1728,-1+SUMPRODUCT(MAX(ROW(E$2:E1728)*(E1729=E$2:E1728)))))</f>
        <v/>
      </c>
      <c r="J1729" s="24" t="str">
        <f ca="1">IF(OR(E1729="",E1729="!!!",F1729="NEW"),"",COUNTBLANK(OFFSET(A$1,,,SUMPRODUCT(MAX(ROW(E$2:E1729)*(E1729=E$2:E1729)))))-COUNTBLANK(OFFSET(A$1,,,SUMPRODUCT(MAX(ROW(E$1:E1728)*(E2=E$1:E1728))))))</f>
        <v/>
      </c>
      <c r="K1729" s="24" t="str">
        <f>IF(OR(E1729="",E1729="!!!",F1729="NEW"),"",INDEX(J$1:J1728,SUMPRODUCT(MAX(ROW(E$1:E1728)*(E1729=E$1:E1728)))))</f>
        <v/>
      </c>
      <c r="L1729" s="25"/>
    </row>
    <row r="1730" spans="1:12" x14ac:dyDescent="0.2">
      <c r="A1730" t="s">
        <v>898</v>
      </c>
      <c r="E1730" s="20" t="str">
        <f t="shared" si="198"/>
        <v/>
      </c>
      <c r="F1730" s="21" t="str">
        <f>IF(OR(E1730="",E1730="!!!"),"",IF(NOT(ISNA(VLOOKUP(E1730,E$1:E1729,1,FALSE()))),"OLD",IF(AND(E1730&lt;&gt;"",E1730&lt;&gt;"!!!"),"NEW","")))</f>
        <v/>
      </c>
      <c r="G1730" s="22" t="str">
        <f>IF(OR(E1730="",E1730="!!!"),"",IF(OR(J1730=0,AND(J1730=1,K1730=1),AND(J1730=1,I1730="SBJ"),AND(J1730=1,I1730=0)),"?IN_FOCUS",IF(J1730&lt;=2,"?ACTIVATED",IF(J1730&lt;&gt;"","?FAMILIAR",IF(F1730="NEW",IF(ISNA(VLOOKUP(E1730,#REF!,1,FALSE())),"?TYPE_IDENTIFIABLE","?REFERENTIAL"),"_")))))</f>
        <v/>
      </c>
      <c r="H1730" s="23" t="str">
        <f t="shared" ca="1" si="199"/>
        <v/>
      </c>
      <c r="I1730" s="24" t="str">
        <f>IF(OR(E1730="",E1730="!!!",F1730="NEW"),"",INDEX(B$2:B1729,-1+SUMPRODUCT(MAX(ROW(E$2:E1729)*(E1730=E$2:E1729)))))</f>
        <v/>
      </c>
      <c r="J1730" s="24" t="str">
        <f ca="1">IF(OR(E1730="",E1730="!!!",F1730="NEW"),"",COUNTBLANK(OFFSET(A$1,,,SUMPRODUCT(MAX(ROW(E$2:E1730)*(E1730=E$2:E1730)))))-COUNTBLANK(OFFSET(A$1,,,SUMPRODUCT(MAX(ROW(E$1:E1729)*(E2=E$1:E1729))))))</f>
        <v/>
      </c>
      <c r="K1730" s="24" t="str">
        <f>IF(OR(E1730="",E1730="!!!",F1730="NEW"),"",INDEX(J$1:J1729,SUMPRODUCT(MAX(ROW(E$1:E1729)*(E1730=E$1:E1729)))))</f>
        <v/>
      </c>
      <c r="L1730" s="25"/>
    </row>
    <row r="1731" spans="1:12" x14ac:dyDescent="0.2">
      <c r="A1731" t="s">
        <v>845</v>
      </c>
      <c r="E1731" s="20" t="str">
        <f t="shared" si="198"/>
        <v/>
      </c>
      <c r="F1731" s="21" t="str">
        <f>IF(OR(E1731="",E1731="!!!"),"",IF(NOT(ISNA(VLOOKUP(E1731,E$1:E1730,1,FALSE()))),"OLD",IF(AND(E1731&lt;&gt;"",E1731&lt;&gt;"!!!"),"NEW","")))</f>
        <v/>
      </c>
      <c r="G1731" s="22" t="str">
        <f>IF(OR(E1731="",E1731="!!!"),"",IF(OR(J1731=0,AND(J1731=1,K1731=1),AND(J1731=1,I1731="SBJ"),AND(J1731=1,I1731=0)),"?IN_FOCUS",IF(J1731&lt;=2,"?ACTIVATED",IF(J1731&lt;&gt;"","?FAMILIAR",IF(F1731="NEW",IF(ISNA(VLOOKUP(E1731,#REF!,1,FALSE())),"?TYPE_IDENTIFIABLE","?REFERENTIAL"),"_")))))</f>
        <v/>
      </c>
      <c r="H1731" s="23" t="str">
        <f t="shared" ca="1" si="199"/>
        <v/>
      </c>
      <c r="I1731" s="24" t="str">
        <f>IF(OR(E1731="",E1731="!!!",F1731="NEW"),"",INDEX(B$2:B1730,-1+SUMPRODUCT(MAX(ROW(E$2:E1730)*(E1731=E$2:E1730)))))</f>
        <v/>
      </c>
      <c r="J1731" s="24" t="str">
        <f ca="1">IF(OR(E1731="",E1731="!!!",F1731="NEW"),"",COUNTBLANK(OFFSET(A$1,,,SUMPRODUCT(MAX(ROW(E$2:E1731)*(E1731=E$2:E1731)))))-COUNTBLANK(OFFSET(A$1,,,SUMPRODUCT(MAX(ROW(E$1:E1730)*(E2=E$1:E1730))))))</f>
        <v/>
      </c>
      <c r="K1731" s="24" t="str">
        <f>IF(OR(E1731="",E1731="!!!",F1731="NEW"),"",INDEX(J$1:J1730,SUMPRODUCT(MAX(ROW(E$1:E1730)*(E1731=E$1:E1730)))))</f>
        <v/>
      </c>
      <c r="L1731" s="25"/>
    </row>
    <row r="1732" spans="1:12" x14ac:dyDescent="0.2">
      <c r="A1732" t="s">
        <v>152</v>
      </c>
      <c r="E1732" s="20" t="str">
        <f t="shared" si="198"/>
        <v/>
      </c>
      <c r="F1732" s="21" t="str">
        <f>IF(OR(E1732="",E1732="!!!"),"",IF(NOT(ISNA(VLOOKUP(E1732,E$1:E1731,1,FALSE()))),"OLD",IF(AND(E1732&lt;&gt;"",E1732&lt;&gt;"!!!"),"NEW","")))</f>
        <v/>
      </c>
      <c r="G1732" s="22" t="str">
        <f>IF(OR(E1732="",E1732="!!!"),"",IF(OR(J1732=0,AND(J1732=1,K1732=1),AND(J1732=1,I1732="SBJ"),AND(J1732=1,I1732=0)),"?IN_FOCUS",IF(J1732&lt;=2,"?ACTIVATED",IF(J1732&lt;&gt;"","?FAMILIAR",IF(F1732="NEW",IF(ISNA(VLOOKUP(E1732,#REF!,1,FALSE())),"?TYPE_IDENTIFIABLE","?REFERENTIAL"),"_")))))</f>
        <v/>
      </c>
      <c r="H1732" s="23" t="str">
        <f t="shared" ca="1" si="199"/>
        <v/>
      </c>
      <c r="I1732" s="24" t="str">
        <f>IF(OR(E1732="",E1732="!!!",F1732="NEW"),"",INDEX(B$2:B1731,-1+SUMPRODUCT(MAX(ROW(E$2:E1731)*(E1732=E$2:E1731)))))</f>
        <v/>
      </c>
      <c r="J1732" s="24" t="str">
        <f ca="1">IF(OR(E1732="",E1732="!!!",F1732="NEW"),"",COUNTBLANK(OFFSET(A$1,,,SUMPRODUCT(MAX(ROW(E$2:E1732)*(E1732=E$2:E1732)))))-COUNTBLANK(OFFSET(A$1,,,SUMPRODUCT(MAX(ROW(E$1:E1731)*(E2=E$1:E1731))))))</f>
        <v/>
      </c>
      <c r="K1732" s="24" t="str">
        <f>IF(OR(E1732="",E1732="!!!",F1732="NEW"),"",INDEX(J$1:J1731,SUMPRODUCT(MAX(ROW(E$1:E1731)*(E1732=E$1:E1731)))))</f>
        <v/>
      </c>
      <c r="L1732" s="25"/>
    </row>
    <row r="1733" spans="1:12" x14ac:dyDescent="0.2">
      <c r="A1733" t="s">
        <v>985</v>
      </c>
      <c r="E1733" s="20" t="str">
        <f t="shared" si="198"/>
        <v/>
      </c>
      <c r="F1733" s="21" t="str">
        <f>IF(OR(E1733="",E1733="!!!"),"",IF(NOT(ISNA(VLOOKUP(E1733,E$1:E1732,1,FALSE()))),"OLD",IF(AND(E1733&lt;&gt;"",E1733&lt;&gt;"!!!"),"NEW","")))</f>
        <v/>
      </c>
      <c r="G1733" s="22" t="str">
        <f>IF(OR(E1733="",E1733="!!!"),"",IF(OR(J1733=0,AND(J1733=1,K1733=1),AND(J1733=1,I1733="SBJ"),AND(J1733=1,I1733=0)),"?IN_FOCUS",IF(J1733&lt;=2,"?ACTIVATED",IF(J1733&lt;&gt;"","?FAMILIAR",IF(F1733="NEW",IF(ISNA(VLOOKUP(E1733,#REF!,1,FALSE())),"?TYPE_IDENTIFIABLE","?REFERENTIAL"),"_")))))</f>
        <v/>
      </c>
      <c r="H1733" s="23" t="str">
        <f t="shared" ca="1" si="199"/>
        <v/>
      </c>
      <c r="I1733" s="24" t="str">
        <f>IF(OR(E1733="",E1733="!!!",F1733="NEW"),"",INDEX(B$2:B1732,-1+SUMPRODUCT(MAX(ROW(E$2:E1732)*(E1733=E$2:E1732)))))</f>
        <v/>
      </c>
      <c r="J1733" s="24" t="str">
        <f ca="1">IF(OR(E1733="",E1733="!!!",F1733="NEW"),"",COUNTBLANK(OFFSET(A$1,,,SUMPRODUCT(MAX(ROW(E$2:E1733)*(E1733=E$2:E1733)))))-COUNTBLANK(OFFSET(A$1,,,SUMPRODUCT(MAX(ROW(E$1:E1732)*(E2=E$1:E1732))))))</f>
        <v/>
      </c>
      <c r="K1733" s="24" t="str">
        <f>IF(OR(E1733="",E1733="!!!",F1733="NEW"),"",INDEX(J$1:J1732,SUMPRODUCT(MAX(ROW(E$1:E1732)*(E1733=E$1:E1732)))))</f>
        <v/>
      </c>
      <c r="L1733" s="25"/>
    </row>
    <row r="1734" spans="1:12" x14ac:dyDescent="0.2">
      <c r="A1734" t="s">
        <v>137</v>
      </c>
      <c r="B1734" s="26" t="s">
        <v>804</v>
      </c>
      <c r="C1734" s="26" t="s">
        <v>847</v>
      </c>
      <c r="D1734" s="26" t="s">
        <v>806</v>
      </c>
      <c r="E1734" s="20" t="s">
        <v>137</v>
      </c>
      <c r="F1734" s="21" t="str">
        <f>IF(OR(E1734="",E1734="!!!"),"",IF(NOT(ISNA(VLOOKUP(E1734,E$1:E1733,1,FALSE()))),"OLD",IF(AND(E1734&lt;&gt;"",E1734&lt;&gt;"!!!"),"NEW","")))</f>
        <v>OLD</v>
      </c>
      <c r="G1734" s="22" t="s">
        <v>1825</v>
      </c>
      <c r="H1734" s="23" t="str">
        <f t="shared" ca="1" si="199"/>
        <v/>
      </c>
      <c r="I1734" s="24" t="str">
        <f>IF(OR(E1734="",E1734="!!!",F1734="NEW"),"",INDEX(B$2:B1733,-1+SUMPRODUCT(MAX(ROW(E$2:E1733)*(E1734=E$2:E1733)))))</f>
        <v>other</v>
      </c>
      <c r="J1734" s="24">
        <f ca="1">IF(OR(E1734="",E1734="!!!",F1734="NEW"),"",COUNTBLANK(OFFSET(A$1,,,SUMPRODUCT(MAX(ROW(E$2:E1734)*(E1734=E$2:E1734)))))-COUNTBLANK(OFFSET(A$1,,,SUMPRODUCT(MAX(ROW(E$1:E1733)*(E2=E$1:E1733))))))</f>
        <v>0</v>
      </c>
      <c r="K1734" s="24" t="str">
        <f ca="1">IF(OR(E1734="",E1734="!!!",F1734="NEW"),"",INDEX(J$1:J1733,SUMPRODUCT(MAX(ROW(E$1:E1733)*(E1734=E$1:E1733)))))</f>
        <v/>
      </c>
      <c r="L1734" s="25"/>
    </row>
    <row r="1735" spans="1:12" x14ac:dyDescent="0.2">
      <c r="A1735" t="s">
        <v>922</v>
      </c>
      <c r="E1735" s="20" t="str">
        <f t="shared" si="198"/>
        <v/>
      </c>
      <c r="F1735" s="21" t="str">
        <f>IF(OR(E1735="",E1735="!!!"),"",IF(NOT(ISNA(VLOOKUP(E1735,E$1:E1734,1,FALSE()))),"OLD",IF(AND(E1735&lt;&gt;"",E1735&lt;&gt;"!!!"),"NEW","")))</f>
        <v/>
      </c>
      <c r="G1735" s="22" t="str">
        <f>IF(OR(E1735="",E1735="!!!"),"",IF(OR(J1735=0,AND(J1735=1,K1735=1),AND(J1735=1,I1735="SBJ"),AND(J1735=1,I1735=0)),"?IN_FOCUS",IF(J1735&lt;=2,"?ACTIVATED",IF(J1735&lt;&gt;"","?FAMILIAR",IF(F1735="NEW",IF(ISNA(VLOOKUP(E1735,#REF!,1,FALSE())),"?TYPE_IDENTIFIABLE","?REFERENTIAL"),"_")))))</f>
        <v/>
      </c>
      <c r="H1735" s="23" t="str">
        <f t="shared" ca="1" si="199"/>
        <v/>
      </c>
      <c r="I1735" s="24" t="str">
        <f>IF(OR(E1735="",E1735="!!!",F1735="NEW"),"",INDEX(B$2:B1734,-1+SUMPRODUCT(MAX(ROW(E$2:E1734)*(E1735=E$2:E1734)))))</f>
        <v/>
      </c>
      <c r="J1735" s="24" t="str">
        <f ca="1">IF(OR(E1735="",E1735="!!!",F1735="NEW"),"",COUNTBLANK(OFFSET(A$1,,,SUMPRODUCT(MAX(ROW(E$2:E1735)*(E1735=E$2:E1735)))))-COUNTBLANK(OFFSET(A$1,,,SUMPRODUCT(MAX(ROW(E$1:E1734)*(E2=E$1:E1734))))))</f>
        <v/>
      </c>
      <c r="K1735" s="24" t="str">
        <f>IF(OR(E1735="",E1735="!!!",F1735="NEW"),"",INDEX(J$1:J1734,SUMPRODUCT(MAX(ROW(E$1:E1734)*(E1735=E$1:E1734)))))</f>
        <v/>
      </c>
      <c r="L1735" s="25"/>
    </row>
    <row r="1736" spans="1:12" x14ac:dyDescent="0.2">
      <c r="A1736" t="s">
        <v>902</v>
      </c>
      <c r="E1736" s="20" t="str">
        <f t="shared" si="198"/>
        <v/>
      </c>
      <c r="F1736" s="21" t="str">
        <f>IF(OR(E1736="",E1736="!!!"),"",IF(NOT(ISNA(VLOOKUP(E1736,E$1:E1735,1,FALSE()))),"OLD",IF(AND(E1736&lt;&gt;"",E1736&lt;&gt;"!!!"),"NEW","")))</f>
        <v/>
      </c>
      <c r="G1736" s="22" t="str">
        <f>IF(OR(E1736="",E1736="!!!"),"",IF(OR(J1736=0,AND(J1736=1,K1736=1),AND(J1736=1,I1736="SBJ"),AND(J1736=1,I1736=0)),"?IN_FOCUS",IF(J1736&lt;=2,"?ACTIVATED",IF(J1736&lt;&gt;"","?FAMILIAR",IF(F1736="NEW",IF(ISNA(VLOOKUP(E1736,#REF!,1,FALSE())),"?TYPE_IDENTIFIABLE","?REFERENTIAL"),"_")))))</f>
        <v/>
      </c>
      <c r="H1736" s="23" t="str">
        <f t="shared" ca="1" si="199"/>
        <v/>
      </c>
      <c r="I1736" s="24" t="str">
        <f>IF(OR(E1736="",E1736="!!!",F1736="NEW"),"",INDEX(B$2:B1735,-1+SUMPRODUCT(MAX(ROW(E$2:E1735)*(E1736=E$2:E1735)))))</f>
        <v/>
      </c>
      <c r="J1736" s="24" t="str">
        <f ca="1">IF(OR(E1736="",E1736="!!!",F1736="NEW"),"",COUNTBLANK(OFFSET(A$1,,,SUMPRODUCT(MAX(ROW(E$2:E1736)*(E1736=E$2:E1736)))))-COUNTBLANK(OFFSET(A$1,,,SUMPRODUCT(MAX(ROW(E$1:E1735)*(E2=E$1:E1735))))))</f>
        <v/>
      </c>
      <c r="K1736" s="24" t="str">
        <f>IF(OR(E1736="",E1736="!!!",F1736="NEW"),"",INDEX(J$1:J1735,SUMPRODUCT(MAX(ROW(E$1:E1735)*(E1736=E$1:E1735)))))</f>
        <v/>
      </c>
      <c r="L1736" s="25"/>
    </row>
    <row r="1738" spans="1:12" x14ac:dyDescent="0.2">
      <c r="A1738" t="s">
        <v>1385</v>
      </c>
    </row>
    <row r="1739" spans="1:12" x14ac:dyDescent="0.2">
      <c r="A1739" t="s">
        <v>1079</v>
      </c>
      <c r="E1739" s="20" t="str">
        <f t="shared" ref="E1739:E1766" si="200">IF(D1739="?OLD","!!!","")</f>
        <v/>
      </c>
      <c r="F1739" s="21" t="str">
        <f>IF(OR(E1739="",E1739="!!!"),"",IF(NOT(ISNA(VLOOKUP(E1739,E$1:E1738,1,FALSE()))),"OLD",IF(AND(E1739&lt;&gt;"",E1739&lt;&gt;"!!!"),"NEW","")))</f>
        <v/>
      </c>
      <c r="G1739" s="22" t="str">
        <f>IF(OR(E1739="",E1739="!!!"),"",IF(OR(J1739=0,AND(J1739=1,K1739=1),AND(J1739=1,I1739="SBJ"),AND(J1739=1,I1739=0)),"?IN_FOCUS",IF(J1739&lt;=2,"?ACTIVATED",IF(J1739&lt;&gt;"","?FAMILIAR",IF(F1739="NEW",IF(ISNA(VLOOKUP(E1739,#REF!,1,FALSE())),"?TYPE_IDENTIFIABLE","?REFERENTIAL"),"_")))))</f>
        <v/>
      </c>
      <c r="H1739" s="23" t="str">
        <f t="shared" ref="H1739:H1766" ca="1" si="201">IF(J1739&lt;&gt;1,"",IF(I1739="SBJ","CB","?"))</f>
        <v/>
      </c>
      <c r="I1739" s="24" t="str">
        <f>IF(OR(E1739="",E1739="!!!",F1739="NEW"),"",INDEX(B$2:B1738,-1+SUMPRODUCT(MAX(ROW(E$2:E1738)*(E1739=E$2:E1738)))))</f>
        <v/>
      </c>
      <c r="J1739" s="24" t="str">
        <f ca="1">IF(OR(E1739="",E1739="!!!",F1739="NEW"),"",COUNTBLANK(OFFSET(A$1,,,SUMPRODUCT(MAX(ROW(E$2:E1739)*(E1739=E$2:E1739)))))-COUNTBLANK(OFFSET(A$1,,,SUMPRODUCT(MAX(ROW(E$1:E1738)*(E2=E$1:E1738))))))</f>
        <v/>
      </c>
      <c r="K1739" s="24" t="str">
        <f>IF(OR(E1739="",E1739="!!!",F1739="NEW"),"",INDEX(J$1:J1738,SUMPRODUCT(MAX(ROW(E$1:E1738)*(E1739=E$1:E1738)))))</f>
        <v/>
      </c>
      <c r="L1739" s="25"/>
    </row>
    <row r="1740" spans="1:12" x14ac:dyDescent="0.2">
      <c r="A1740" t="s">
        <v>802</v>
      </c>
      <c r="E1740" s="20" t="str">
        <f t="shared" si="200"/>
        <v/>
      </c>
      <c r="F1740" s="21" t="str">
        <f>IF(OR(E1740="",E1740="!!!"),"",IF(NOT(ISNA(VLOOKUP(E1740,E$1:E1739,1,FALSE()))),"OLD",IF(AND(E1740&lt;&gt;"",E1740&lt;&gt;"!!!"),"NEW","")))</f>
        <v/>
      </c>
      <c r="G1740" s="22" t="str">
        <f>IF(OR(E1740="",E1740="!!!"),"",IF(OR(J1740=0,AND(J1740=1,K1740=1),AND(J1740=1,I1740="SBJ"),AND(J1740=1,I1740=0)),"?IN_FOCUS",IF(J1740&lt;=2,"?ACTIVATED",IF(J1740&lt;&gt;"","?FAMILIAR",IF(F1740="NEW",IF(ISNA(VLOOKUP(E1740,#REF!,1,FALSE())),"?TYPE_IDENTIFIABLE","?REFERENTIAL"),"_")))))</f>
        <v/>
      </c>
      <c r="H1740" s="23" t="str">
        <f t="shared" ca="1" si="201"/>
        <v/>
      </c>
      <c r="I1740" s="24" t="str">
        <f>IF(OR(E1740="",E1740="!!!",F1740="NEW"),"",INDEX(B$2:B1739,-1+SUMPRODUCT(MAX(ROW(E$2:E1739)*(E1740=E$2:E1739)))))</f>
        <v/>
      </c>
      <c r="J1740" s="24" t="str">
        <f ca="1">IF(OR(E1740="",E1740="!!!",F1740="NEW"),"",COUNTBLANK(OFFSET(A$1,,,SUMPRODUCT(MAX(ROW(E$2:E1740)*(E1740=E$2:E1740)))))-COUNTBLANK(OFFSET(A$1,,,SUMPRODUCT(MAX(ROW(E$1:E1739)*(E2=E$1:E1739))))))</f>
        <v/>
      </c>
      <c r="K1740" s="24" t="str">
        <f>IF(OR(E1740="",E1740="!!!",F1740="NEW"),"",INDEX(J$1:J1739,SUMPRODUCT(MAX(ROW(E$1:E1739)*(E1740=E$1:E1739)))))</f>
        <v/>
      </c>
      <c r="L1740" s="25"/>
    </row>
    <row r="1741" spans="1:12" x14ac:dyDescent="0.2">
      <c r="A1741" t="s">
        <v>1024</v>
      </c>
      <c r="B1741" s="26" t="s">
        <v>804</v>
      </c>
      <c r="C1741" s="26" t="s">
        <v>805</v>
      </c>
      <c r="D1741" s="26" t="s">
        <v>806</v>
      </c>
      <c r="E1741" s="20" t="s">
        <v>1175</v>
      </c>
      <c r="F1741" s="21" t="str">
        <f>IF(OR(E1741="",E1741="!!!"),"",IF(NOT(ISNA(VLOOKUP(E1741,E$1:E1740,1,FALSE()))),"OLD",IF(AND(E1741&lt;&gt;"",E1741&lt;&gt;"!!!"),"NEW","")))</f>
        <v>OLD</v>
      </c>
      <c r="G1741" s="22" t="s">
        <v>1823</v>
      </c>
      <c r="H1741" s="23" t="str">
        <f t="shared" ca="1" si="201"/>
        <v/>
      </c>
      <c r="I1741" s="24" t="str">
        <f>IF(OR(E1741="",E1741="!!!",F1741="NEW"),"",INDEX(B$2:B1740,-1+SUMPRODUCT(MAX(ROW(E$2:E1740)*(E1741=E$2:E1740)))))</f>
        <v>SBJ</v>
      </c>
      <c r="J1741" s="24">
        <f ca="1">IF(OR(E1741="",E1741="!!!",F1741="NEW"),"",COUNTBLANK(OFFSET(A$1,,,SUMPRODUCT(MAX(ROW(E$2:E1741)*(E1741=E$2:E1741)))))-COUNTBLANK(OFFSET(A$1,,,SUMPRODUCT(MAX(ROW(E$1:E1740)*(E2=E$1:E1740))))))</f>
        <v>0</v>
      </c>
      <c r="K1741" s="24">
        <f ca="1">IF(OR(E1741="",E1741="!!!",F1741="NEW"),"",INDEX(J$1:J1740,SUMPRODUCT(MAX(ROW(E$1:E1740)*(E1741=E$1:E1740)))))</f>
        <v>0</v>
      </c>
      <c r="L1741" s="25"/>
    </row>
    <row r="1742" spans="1:12" x14ac:dyDescent="0.2">
      <c r="A1742" t="s">
        <v>1386</v>
      </c>
      <c r="E1742" s="20" t="str">
        <f t="shared" si="200"/>
        <v/>
      </c>
      <c r="F1742" s="21" t="str">
        <f>IF(OR(E1742="",E1742="!!!"),"",IF(NOT(ISNA(VLOOKUP(E1742,E$1:E1741,1,FALSE()))),"OLD",IF(AND(E1742&lt;&gt;"",E1742&lt;&gt;"!!!"),"NEW","")))</f>
        <v/>
      </c>
      <c r="G1742" s="22" t="str">
        <f>IF(OR(E1742="",E1742="!!!"),"",IF(OR(J1742=0,AND(J1742=1,K1742=1),AND(J1742=1,I1742="SBJ"),AND(J1742=1,I1742=0)),"?IN_FOCUS",IF(J1742&lt;=2,"?ACTIVATED",IF(J1742&lt;&gt;"","?FAMILIAR",IF(F1742="NEW",IF(ISNA(VLOOKUP(E1742,#REF!,1,FALSE())),"?TYPE_IDENTIFIABLE","?REFERENTIAL"),"_")))))</f>
        <v/>
      </c>
      <c r="H1742" s="23" t="str">
        <f t="shared" ca="1" si="201"/>
        <v/>
      </c>
      <c r="I1742" s="24" t="str">
        <f>IF(OR(E1742="",E1742="!!!",F1742="NEW"),"",INDEX(B$2:B1741,-1+SUMPRODUCT(MAX(ROW(E$2:E1741)*(E1742=E$2:E1741)))))</f>
        <v/>
      </c>
      <c r="J1742" s="24" t="str">
        <f ca="1">IF(OR(E1742="",E1742="!!!",F1742="NEW"),"",COUNTBLANK(OFFSET(A$1,,,SUMPRODUCT(MAX(ROW(E$2:E1742)*(E1742=E$2:E1742)))))-COUNTBLANK(OFFSET(A$1,,,SUMPRODUCT(MAX(ROW(E$1:E1741)*(E2=E$1:E1741))))))</f>
        <v/>
      </c>
      <c r="K1742" s="24" t="str">
        <f>IF(OR(E1742="",E1742="!!!",F1742="NEW"),"",INDEX(J$1:J1741,SUMPRODUCT(MAX(ROW(E$1:E1741)*(E1742=E$1:E1741)))))</f>
        <v/>
      </c>
      <c r="L1742" s="25"/>
    </row>
    <row r="1743" spans="1:12" x14ac:dyDescent="0.2">
      <c r="A1743" t="s">
        <v>844</v>
      </c>
      <c r="E1743" s="20" t="str">
        <f t="shared" si="200"/>
        <v/>
      </c>
      <c r="F1743" s="21" t="str">
        <f>IF(OR(E1743="",E1743="!!!"),"",IF(NOT(ISNA(VLOOKUP(E1743,E$1:E1742,1,FALSE()))),"OLD",IF(AND(E1743&lt;&gt;"",E1743&lt;&gt;"!!!"),"NEW","")))</f>
        <v/>
      </c>
      <c r="G1743" s="22" t="str">
        <f>IF(OR(E1743="",E1743="!!!"),"",IF(OR(J1743=0,AND(J1743=1,K1743=1),AND(J1743=1,I1743="SBJ"),AND(J1743=1,I1743=0)),"?IN_FOCUS",IF(J1743&lt;=2,"?ACTIVATED",IF(J1743&lt;&gt;"","?FAMILIAR",IF(F1743="NEW",IF(ISNA(VLOOKUP(E1743,#REF!,1,FALSE())),"?TYPE_IDENTIFIABLE","?REFERENTIAL"),"_")))))</f>
        <v/>
      </c>
      <c r="H1743" s="23" t="str">
        <f t="shared" ca="1" si="201"/>
        <v/>
      </c>
      <c r="I1743" s="24" t="str">
        <f>IF(OR(E1743="",E1743="!!!",F1743="NEW"),"",INDEX(B$2:B1742,-1+SUMPRODUCT(MAX(ROW(E$2:E1742)*(E1743=E$2:E1742)))))</f>
        <v/>
      </c>
      <c r="J1743" s="24" t="str">
        <f ca="1">IF(OR(E1743="",E1743="!!!",F1743="NEW"),"",COUNTBLANK(OFFSET(A$1,,,SUMPRODUCT(MAX(ROW(E$2:E1743)*(E1743=E$2:E1743)))))-COUNTBLANK(OFFSET(A$1,,,SUMPRODUCT(MAX(ROW(E$1:E1742)*(E2=E$1:E1742))))))</f>
        <v/>
      </c>
      <c r="K1743" s="24" t="str">
        <f>IF(OR(E1743="",E1743="!!!",F1743="NEW"),"",INDEX(J$1:J1742,SUMPRODUCT(MAX(ROW(E$1:E1742)*(E1743=E$1:E1742)))))</f>
        <v/>
      </c>
      <c r="L1743" s="25"/>
    </row>
    <row r="1744" spans="1:12" x14ac:dyDescent="0.2">
      <c r="A1744" t="s">
        <v>859</v>
      </c>
      <c r="E1744" s="20" t="str">
        <f t="shared" si="200"/>
        <v/>
      </c>
      <c r="F1744" s="21" t="str">
        <f>IF(OR(E1744="",E1744="!!!"),"",IF(NOT(ISNA(VLOOKUP(E1744,E$1:E1743,1,FALSE()))),"OLD",IF(AND(E1744&lt;&gt;"",E1744&lt;&gt;"!!!"),"NEW","")))</f>
        <v/>
      </c>
      <c r="G1744" s="22" t="str">
        <f>IF(OR(E1744="",E1744="!!!"),"",IF(OR(J1744=0,AND(J1744=1,K1744=1),AND(J1744=1,I1744="SBJ"),AND(J1744=1,I1744=0)),"?IN_FOCUS",IF(J1744&lt;=2,"?ACTIVATED",IF(J1744&lt;&gt;"","?FAMILIAR",IF(F1744="NEW",IF(ISNA(VLOOKUP(E1744,#REF!,1,FALSE())),"?TYPE_IDENTIFIABLE","?REFERENTIAL"),"_")))))</f>
        <v/>
      </c>
      <c r="H1744" s="23" t="str">
        <f t="shared" ca="1" si="201"/>
        <v/>
      </c>
      <c r="I1744" s="24" t="str">
        <f>IF(OR(E1744="",E1744="!!!",F1744="NEW"),"",INDEX(B$2:B1743,-1+SUMPRODUCT(MAX(ROW(E$2:E1743)*(E1744=E$2:E1743)))))</f>
        <v/>
      </c>
      <c r="J1744" s="24" t="str">
        <f ca="1">IF(OR(E1744="",E1744="!!!",F1744="NEW"),"",COUNTBLANK(OFFSET(A$1,,,SUMPRODUCT(MAX(ROW(E$2:E1744)*(E1744=E$2:E1744)))))-COUNTBLANK(OFFSET(A$1,,,SUMPRODUCT(MAX(ROW(E$1:E1743)*(E2=E$1:E1743))))))</f>
        <v/>
      </c>
      <c r="K1744" s="24" t="str">
        <f>IF(OR(E1744="",E1744="!!!",F1744="NEW"),"",INDEX(J$1:J1743,SUMPRODUCT(MAX(ROW(E$1:E1743)*(E1744=E$1:E1743)))))</f>
        <v/>
      </c>
      <c r="L1744" s="25"/>
    </row>
    <row r="1745" spans="1:12" x14ac:dyDescent="0.2">
      <c r="A1745" t="s">
        <v>1387</v>
      </c>
      <c r="E1745" s="20" t="str">
        <f t="shared" si="200"/>
        <v/>
      </c>
      <c r="F1745" s="21" t="str">
        <f>IF(OR(E1745="",E1745="!!!"),"",IF(NOT(ISNA(VLOOKUP(E1745,E$1:E1744,1,FALSE()))),"OLD",IF(AND(E1745&lt;&gt;"",E1745&lt;&gt;"!!!"),"NEW","")))</f>
        <v/>
      </c>
      <c r="G1745" s="22" t="str">
        <f>IF(OR(E1745="",E1745="!!!"),"",IF(OR(J1745=0,AND(J1745=1,K1745=1),AND(J1745=1,I1745="SBJ"),AND(J1745=1,I1745=0)),"?IN_FOCUS",IF(J1745&lt;=2,"?ACTIVATED",IF(J1745&lt;&gt;"","?FAMILIAR",IF(F1745="NEW",IF(ISNA(VLOOKUP(E1745,#REF!,1,FALSE())),"?TYPE_IDENTIFIABLE","?REFERENTIAL"),"_")))))</f>
        <v/>
      </c>
      <c r="H1745" s="23" t="str">
        <f t="shared" ca="1" si="201"/>
        <v/>
      </c>
      <c r="I1745" s="24" t="str">
        <f>IF(OR(E1745="",E1745="!!!",F1745="NEW"),"",INDEX(B$2:B1744,-1+SUMPRODUCT(MAX(ROW(E$2:E1744)*(E1745=E$2:E1744)))))</f>
        <v/>
      </c>
      <c r="J1745" s="24" t="str">
        <f ca="1">IF(OR(E1745="",E1745="!!!",F1745="NEW"),"",COUNTBLANK(OFFSET(A$1,,,SUMPRODUCT(MAX(ROW(E$2:E1745)*(E1745=E$2:E1745)))))-COUNTBLANK(OFFSET(A$1,,,SUMPRODUCT(MAX(ROW(E$1:E1744)*(E2=E$1:E1744))))))</f>
        <v/>
      </c>
      <c r="K1745" s="24" t="str">
        <f>IF(OR(E1745="",E1745="!!!",F1745="NEW"),"",INDEX(J$1:J1744,SUMPRODUCT(MAX(ROW(E$1:E1744)*(E1745=E$1:E1744)))))</f>
        <v/>
      </c>
      <c r="L1745" s="25"/>
    </row>
    <row r="1746" spans="1:12" x14ac:dyDescent="0.2">
      <c r="A1746" t="s">
        <v>1085</v>
      </c>
      <c r="B1746" s="26" t="s">
        <v>938</v>
      </c>
      <c r="C1746" s="26" t="s">
        <v>805</v>
      </c>
      <c r="D1746" s="26" t="s">
        <v>806</v>
      </c>
      <c r="E1746" s="20" t="s">
        <v>1747</v>
      </c>
      <c r="F1746" s="21" t="s">
        <v>1753</v>
      </c>
      <c r="G1746" s="22" t="s">
        <v>1822</v>
      </c>
      <c r="H1746" s="23" t="str">
        <f t="shared" ca="1" si="201"/>
        <v/>
      </c>
      <c r="I1746" s="24" t="str">
        <f>IF(OR(E1746="",E1746="!!!",F1746="NEW"),"",INDEX(B$2:B1745,-1+SUMPRODUCT(MAX(ROW(E$2:E1745)*(E1746=E$2:E1745)))))</f>
        <v>SBJ</v>
      </c>
      <c r="J1746" s="24">
        <f ca="1">IF(OR(E1746="",E1746="!!!",F1746="NEW"),"",COUNTBLANK(OFFSET(A$1,,,SUMPRODUCT(MAX(ROW(E$2:E1746)*(E1746=E$2:E1746)))))-COUNTBLANK(OFFSET(A$1,,,SUMPRODUCT(MAX(ROW(E$1:E1745)*(E2=E$1:E1745))))))</f>
        <v>0</v>
      </c>
      <c r="K1746" s="24">
        <f ca="1">IF(OR(E1746="",E1746="!!!",F1746="NEW"),"",INDEX(J$1:J1745,SUMPRODUCT(MAX(ROW(E$1:E1745)*(E1746=E$1:E1745)))))</f>
        <v>0</v>
      </c>
      <c r="L1746" s="25"/>
    </row>
    <row r="1747" spans="1:12" x14ac:dyDescent="0.2">
      <c r="A1747" t="s">
        <v>830</v>
      </c>
      <c r="B1747" s="26" t="s">
        <v>891</v>
      </c>
      <c r="C1747" s="26" t="s">
        <v>805</v>
      </c>
      <c r="D1747" s="26" t="s">
        <v>806</v>
      </c>
      <c r="E1747" s="20" t="s">
        <v>1792</v>
      </c>
      <c r="F1747" s="21" t="s">
        <v>1819</v>
      </c>
      <c r="G1747" s="22" t="s">
        <v>1823</v>
      </c>
      <c r="H1747" s="23" t="str">
        <f t="shared" ca="1" si="201"/>
        <v/>
      </c>
      <c r="I1747" s="24" t="e">
        <f>IF(OR(E1747="",E1747="!!!",F1747="NEW"),"",INDEX(B$2:B1746,-1+SUMPRODUCT(MAX(ROW(E$2:E1746)*(E1747=E$2:E1746)))))</f>
        <v>#VALUE!</v>
      </c>
      <c r="J1747" s="24">
        <f ca="1">IF(OR(E1747="",E1747="!!!",F1747="NEW"),"",COUNTBLANK(OFFSET(A$1,,,SUMPRODUCT(MAX(ROW(E$2:E1747)*(E1747=E$2:E1747)))))-COUNTBLANK(OFFSET(A$1,,,SUMPRODUCT(MAX(ROW(E$1:E1746)*(E2=E$1:E1746))))))</f>
        <v>0</v>
      </c>
      <c r="K1747" s="24" t="e">
        <f>IF(OR(E1747="",E1747="!!!",F1747="NEW"),"",INDEX(J$1:J1746,SUMPRODUCT(MAX(ROW(E$1:E1746)*(E1747=E$1:E1746)))))</f>
        <v>#VALUE!</v>
      </c>
      <c r="L1747" s="25"/>
    </row>
    <row r="1748" spans="1:12" x14ac:dyDescent="0.2">
      <c r="A1748" t="s">
        <v>898</v>
      </c>
      <c r="E1748" s="20" t="str">
        <f t="shared" si="200"/>
        <v/>
      </c>
      <c r="F1748" s="21" t="str">
        <f>IF(OR(E1748="",E1748="!!!"),"",IF(NOT(ISNA(VLOOKUP(E1748,E$1:E1747,1,FALSE()))),"OLD",IF(AND(E1748&lt;&gt;"",E1748&lt;&gt;"!!!"),"NEW","")))</f>
        <v/>
      </c>
      <c r="G1748" s="22" t="str">
        <f>IF(OR(E1748="",E1748="!!!"),"",IF(OR(J1748=0,AND(J1748=1,K1748=1),AND(J1748=1,I1748="SBJ"),AND(J1748=1,I1748=0)),"?IN_FOCUS",IF(J1748&lt;=2,"?ACTIVATED",IF(J1748&lt;&gt;"","?FAMILIAR",IF(F1748="NEW",IF(ISNA(VLOOKUP(E1748,#REF!,1,FALSE())),"?TYPE_IDENTIFIABLE","?REFERENTIAL"),"_")))))</f>
        <v/>
      </c>
      <c r="H1748" s="23" t="str">
        <f t="shared" ca="1" si="201"/>
        <v/>
      </c>
      <c r="I1748" s="24" t="str">
        <f>IF(OR(E1748="",E1748="!!!",F1748="NEW"),"",INDEX(B$2:B1747,-1+SUMPRODUCT(MAX(ROW(E$2:E1747)*(E1748=E$2:E1747)))))</f>
        <v/>
      </c>
      <c r="J1748" s="24" t="str">
        <f ca="1">IF(OR(E1748="",E1748="!!!",F1748="NEW"),"",COUNTBLANK(OFFSET(A$1,,,SUMPRODUCT(MAX(ROW(E$2:E1748)*(E1748=E$2:E1748)))))-COUNTBLANK(OFFSET(A$1,,,SUMPRODUCT(MAX(ROW(E$1:E1747)*(E2=E$1:E1747))))))</f>
        <v/>
      </c>
      <c r="K1748" s="24" t="str">
        <f>IF(OR(E1748="",E1748="!!!",F1748="NEW"),"",INDEX(J$1:J1747,SUMPRODUCT(MAX(ROW(E$1:E1747)*(E1748=E$1:E1747)))))</f>
        <v/>
      </c>
      <c r="L1748" s="25"/>
    </row>
    <row r="1749" spans="1:12" x14ac:dyDescent="0.2">
      <c r="A1749" t="s">
        <v>1347</v>
      </c>
      <c r="E1749" s="20" t="str">
        <f t="shared" si="200"/>
        <v/>
      </c>
      <c r="F1749" s="21" t="str">
        <f>IF(OR(E1749="",E1749="!!!"),"",IF(NOT(ISNA(VLOOKUP(E1749,E$1:E1748,1,FALSE()))),"OLD",IF(AND(E1749&lt;&gt;"",E1749&lt;&gt;"!!!"),"NEW","")))</f>
        <v/>
      </c>
      <c r="G1749" s="22" t="str">
        <f>IF(OR(E1749="",E1749="!!!"),"",IF(OR(J1749=0,AND(J1749=1,K1749=1),AND(J1749=1,I1749="SBJ"),AND(J1749=1,I1749=0)),"?IN_FOCUS",IF(J1749&lt;=2,"?ACTIVATED",IF(J1749&lt;&gt;"","?FAMILIAR",IF(F1749="NEW",IF(ISNA(VLOOKUP(E1749,#REF!,1,FALSE())),"?TYPE_IDENTIFIABLE","?REFERENTIAL"),"_")))))</f>
        <v/>
      </c>
      <c r="H1749" s="23" t="str">
        <f t="shared" ca="1" si="201"/>
        <v/>
      </c>
      <c r="I1749" s="24" t="str">
        <f>IF(OR(E1749="",E1749="!!!",F1749="NEW"),"",INDEX(B$2:B1748,-1+SUMPRODUCT(MAX(ROW(E$2:E1748)*(E1749=E$2:E1748)))))</f>
        <v/>
      </c>
      <c r="J1749" s="24" t="str">
        <f ca="1">IF(OR(E1749="",E1749="!!!",F1749="NEW"),"",COUNTBLANK(OFFSET(A$1,,,SUMPRODUCT(MAX(ROW(E$2:E1749)*(E1749=E$2:E1749)))))-COUNTBLANK(OFFSET(A$1,,,SUMPRODUCT(MAX(ROW(E$1:E1748)*(E2=E$1:E1748))))))</f>
        <v/>
      </c>
      <c r="K1749" s="24" t="str">
        <f>IF(OR(E1749="",E1749="!!!",F1749="NEW"),"",INDEX(J$1:J1748,SUMPRODUCT(MAX(ROW(E$1:E1748)*(E1749=E$1:E1748)))))</f>
        <v/>
      </c>
      <c r="L1749" s="25"/>
    </row>
    <row r="1750" spans="1:12" x14ac:dyDescent="0.2">
      <c r="A1750" t="s">
        <v>809</v>
      </c>
      <c r="E1750" s="20" t="str">
        <f t="shared" si="200"/>
        <v/>
      </c>
      <c r="F1750" s="21" t="str">
        <f>IF(OR(E1750="",E1750="!!!"),"",IF(NOT(ISNA(VLOOKUP(E1750,E$1:E1749,1,FALSE()))),"OLD",IF(AND(E1750&lt;&gt;"",E1750&lt;&gt;"!!!"),"NEW","")))</f>
        <v/>
      </c>
      <c r="G1750" s="22" t="str">
        <f>IF(OR(E1750="",E1750="!!!"),"",IF(OR(J1750=0,AND(J1750=1,K1750=1),AND(J1750=1,I1750="SBJ"),AND(J1750=1,I1750=0)),"?IN_FOCUS",IF(J1750&lt;=2,"?ACTIVATED",IF(J1750&lt;&gt;"","?FAMILIAR",IF(F1750="NEW",IF(ISNA(VLOOKUP(E1750,#REF!,1,FALSE())),"?TYPE_IDENTIFIABLE","?REFERENTIAL"),"_")))))</f>
        <v/>
      </c>
      <c r="H1750" s="23" t="str">
        <f t="shared" ca="1" si="201"/>
        <v/>
      </c>
      <c r="I1750" s="24" t="str">
        <f>IF(OR(E1750="",E1750="!!!",F1750="NEW"),"",INDEX(B$2:B1749,-1+SUMPRODUCT(MAX(ROW(E$2:E1749)*(E1750=E$2:E1749)))))</f>
        <v/>
      </c>
      <c r="J1750" s="24" t="str">
        <f ca="1">IF(OR(E1750="",E1750="!!!",F1750="NEW"),"",COUNTBLANK(OFFSET(A$1,,,SUMPRODUCT(MAX(ROW(E$2:E1750)*(E1750=E$2:E1750)))))-COUNTBLANK(OFFSET(A$1,,,SUMPRODUCT(MAX(ROW(E$1:E1749)*(E2=E$1:E1749))))))</f>
        <v/>
      </c>
      <c r="K1750" s="24" t="str">
        <f>IF(OR(E1750="",E1750="!!!",F1750="NEW"),"",INDEX(J$1:J1749,SUMPRODUCT(MAX(ROW(E$1:E1749)*(E1750=E$1:E1749)))))</f>
        <v/>
      </c>
      <c r="L1750" s="25"/>
    </row>
    <row r="1751" spans="1:12" x14ac:dyDescent="0.2">
      <c r="A1751" t="s">
        <v>1290</v>
      </c>
      <c r="E1751" s="20" t="str">
        <f t="shared" si="200"/>
        <v/>
      </c>
      <c r="F1751" s="21" t="str">
        <f>IF(OR(E1751="",E1751="!!!"),"",IF(NOT(ISNA(VLOOKUP(E1751,E$1:E1750,1,FALSE()))),"OLD",IF(AND(E1751&lt;&gt;"",E1751&lt;&gt;"!!!"),"NEW","")))</f>
        <v/>
      </c>
      <c r="G1751" s="22" t="str">
        <f>IF(OR(E1751="",E1751="!!!"),"",IF(OR(J1751=0,AND(J1751=1,K1751=1),AND(J1751=1,I1751="SBJ"),AND(J1751=1,I1751=0)),"?IN_FOCUS",IF(J1751&lt;=2,"?ACTIVATED",IF(J1751&lt;&gt;"","?FAMILIAR",IF(F1751="NEW",IF(ISNA(VLOOKUP(E1751,#REF!,1,FALSE())),"?TYPE_IDENTIFIABLE","?REFERENTIAL"),"_")))))</f>
        <v/>
      </c>
      <c r="H1751" s="23" t="str">
        <f t="shared" ca="1" si="201"/>
        <v/>
      </c>
      <c r="I1751" s="24" t="str">
        <f>IF(OR(E1751="",E1751="!!!",F1751="NEW"),"",INDEX(B$2:B1750,-1+SUMPRODUCT(MAX(ROW(E$2:E1750)*(E1751=E$2:E1750)))))</f>
        <v/>
      </c>
      <c r="J1751" s="24" t="str">
        <f ca="1">IF(OR(E1751="",E1751="!!!",F1751="NEW"),"",COUNTBLANK(OFFSET(A$1,,,SUMPRODUCT(MAX(ROW(E$2:E1751)*(E1751=E$2:E1751)))))-COUNTBLANK(OFFSET(A$1,,,SUMPRODUCT(MAX(ROW(E$1:E1750)*(E2=E$1:E1750))))))</f>
        <v/>
      </c>
      <c r="K1751" s="24" t="str">
        <f>IF(OR(E1751="",E1751="!!!",F1751="NEW"),"",INDEX(J$1:J1750,SUMPRODUCT(MAX(ROW(E$1:E1750)*(E1751=E$1:E1750)))))</f>
        <v/>
      </c>
      <c r="L1751" s="25"/>
    </row>
    <row r="1752" spans="1:12" x14ac:dyDescent="0.2">
      <c r="A1752" t="s">
        <v>1388</v>
      </c>
      <c r="B1752" s="26" t="s">
        <v>813</v>
      </c>
      <c r="C1752" s="26" t="s">
        <v>987</v>
      </c>
      <c r="E1752" s="20" t="s">
        <v>1792</v>
      </c>
      <c r="F1752" s="21" t="s">
        <v>1831</v>
      </c>
      <c r="G1752" s="22" t="s">
        <v>1824</v>
      </c>
      <c r="H1752" s="23" t="str">
        <f t="shared" ca="1" si="201"/>
        <v/>
      </c>
      <c r="I1752" s="24" t="str">
        <f>IF(OR(E1752="",E1752="!!!",F1752="NEW"),"",INDEX(B$2:B1751,-1+SUMPRODUCT(MAX(ROW(E$2:E1751)*(E1752=E$2:E1751)))))</f>
        <v/>
      </c>
      <c r="J1752" s="24" t="str">
        <f ca="1">IF(OR(E1752="",E1752="!!!",F1752="NEW"),"",COUNTBLANK(OFFSET(A$1,,,SUMPRODUCT(MAX(ROW(E$2:E1752)*(E1752=E$2:E1752)))))-COUNTBLANK(OFFSET(A$1,,,SUMPRODUCT(MAX(ROW(E$1:E1751)*(E2=E$1:E1751))))))</f>
        <v/>
      </c>
      <c r="K1752" s="24" t="str">
        <f>IF(OR(E1752="",E1752="!!!",F1752="NEW"),"",INDEX(J$1:J1751,SUMPRODUCT(MAX(ROW(E$1:E1751)*(E1752=E$1:E1751)))))</f>
        <v/>
      </c>
      <c r="L1752" s="25"/>
    </row>
    <row r="1753" spans="1:12" x14ac:dyDescent="0.2">
      <c r="A1753" t="s">
        <v>1060</v>
      </c>
      <c r="E1753" s="20" t="str">
        <f t="shared" si="200"/>
        <v/>
      </c>
      <c r="F1753" s="21" t="str">
        <f>IF(OR(E1753="",E1753="!!!"),"",IF(NOT(ISNA(VLOOKUP(E1753,E$1:E1752,1,FALSE()))),"OLD",IF(AND(E1753&lt;&gt;"",E1753&lt;&gt;"!!!"),"NEW","")))</f>
        <v/>
      </c>
      <c r="G1753" s="22" t="str">
        <f>IF(OR(E1753="",E1753="!!!"),"",IF(OR(J1753=0,AND(J1753=1,K1753=1),AND(J1753=1,I1753="SBJ"),AND(J1753=1,I1753=0)),"?IN_FOCUS",IF(J1753&lt;=2,"?ACTIVATED",IF(J1753&lt;&gt;"","?FAMILIAR",IF(F1753="NEW",IF(ISNA(VLOOKUP(E1753,#REF!,1,FALSE())),"?TYPE_IDENTIFIABLE","?REFERENTIAL"),"_")))))</f>
        <v/>
      </c>
      <c r="H1753" s="23" t="str">
        <f t="shared" ca="1" si="201"/>
        <v/>
      </c>
      <c r="I1753" s="24" t="str">
        <f>IF(OR(E1753="",E1753="!!!",F1753="NEW"),"",INDEX(B$2:B1752,-1+SUMPRODUCT(MAX(ROW(E$2:E1752)*(E1753=E$2:E1752)))))</f>
        <v/>
      </c>
      <c r="J1753" s="24" t="str">
        <f ca="1">IF(OR(E1753="",E1753="!!!",F1753="NEW"),"",COUNTBLANK(OFFSET(A$1,,,SUMPRODUCT(MAX(ROW(E$2:E1753)*(E1753=E$2:E1753)))))-COUNTBLANK(OFFSET(A$1,,,SUMPRODUCT(MAX(ROW(E$1:E1752)*(E2=E$1:E1752))))))</f>
        <v/>
      </c>
      <c r="K1753" s="24" t="str">
        <f>IF(OR(E1753="",E1753="!!!",F1753="NEW"),"",INDEX(J$1:J1752,SUMPRODUCT(MAX(ROW(E$1:E1752)*(E1753=E$1:E1752)))))</f>
        <v/>
      </c>
      <c r="L1753" s="25"/>
    </row>
    <row r="1754" spans="1:12" x14ac:dyDescent="0.2">
      <c r="A1754" t="s">
        <v>845</v>
      </c>
      <c r="E1754" s="20" t="str">
        <f t="shared" si="200"/>
        <v/>
      </c>
      <c r="F1754" s="21" t="str">
        <f>IF(OR(E1754="",E1754="!!!"),"",IF(NOT(ISNA(VLOOKUP(E1754,E$1:E1753,1,FALSE()))),"OLD",IF(AND(E1754&lt;&gt;"",E1754&lt;&gt;"!!!"),"NEW","")))</f>
        <v/>
      </c>
      <c r="G1754" s="22" t="str">
        <f>IF(OR(E1754="",E1754="!!!"),"",IF(OR(J1754=0,AND(J1754=1,K1754=1),AND(J1754=1,I1754="SBJ"),AND(J1754=1,I1754=0)),"?IN_FOCUS",IF(J1754&lt;=2,"?ACTIVATED",IF(J1754&lt;&gt;"","?FAMILIAR",IF(F1754="NEW",IF(ISNA(VLOOKUP(E1754,#REF!,1,FALSE())),"?TYPE_IDENTIFIABLE","?REFERENTIAL"),"_")))))</f>
        <v/>
      </c>
      <c r="H1754" s="23" t="str">
        <f t="shared" ca="1" si="201"/>
        <v/>
      </c>
      <c r="I1754" s="24" t="str">
        <f>IF(OR(E1754="",E1754="!!!",F1754="NEW"),"",INDEX(B$2:B1753,-1+SUMPRODUCT(MAX(ROW(E$2:E1753)*(E1754=E$2:E1753)))))</f>
        <v/>
      </c>
      <c r="J1754" s="24" t="str">
        <f ca="1">IF(OR(E1754="",E1754="!!!",F1754="NEW"),"",COUNTBLANK(OFFSET(A$1,,,SUMPRODUCT(MAX(ROW(E$2:E1754)*(E1754=E$2:E1754)))))-COUNTBLANK(OFFSET(A$1,,,SUMPRODUCT(MAX(ROW(E$1:E1753)*(E2=E$1:E1753))))))</f>
        <v/>
      </c>
      <c r="K1754" s="24" t="str">
        <f>IF(OR(E1754="",E1754="!!!",F1754="NEW"),"",INDEX(J$1:J1753,SUMPRODUCT(MAX(ROW(E$1:E1753)*(E1754=E$1:E1753)))))</f>
        <v/>
      </c>
      <c r="L1754" s="25"/>
    </row>
    <row r="1755" spans="1:12" x14ac:dyDescent="0.2">
      <c r="A1755" t="s">
        <v>30</v>
      </c>
      <c r="B1755" s="26" t="s">
        <v>944</v>
      </c>
      <c r="C1755" s="26" t="s">
        <v>847</v>
      </c>
      <c r="D1755" s="26" t="s">
        <v>806</v>
      </c>
      <c r="E1755" s="20" t="s">
        <v>1790</v>
      </c>
      <c r="F1755" s="21" t="str">
        <f>IF(OR(E1755="",E1755="!!!"),"",IF(NOT(ISNA(VLOOKUP(E1755,E$1:E1754,1,FALSE()))),"OLD",IF(AND(E1755&lt;&gt;"",E1755&lt;&gt;"!!!"),"NEW","")))</f>
        <v>OLD</v>
      </c>
      <c r="G1755" s="22" t="s">
        <v>1823</v>
      </c>
      <c r="H1755" s="23" t="str">
        <f t="shared" ca="1" si="201"/>
        <v/>
      </c>
      <c r="I1755" s="24" t="str">
        <f>IF(OR(E1755="",E1755="!!!",F1755="NEW"),"",INDEX(B$2:B1754,-1+SUMPRODUCT(MAX(ROW(E$2:E1754)*(E1755=E$2:E1754)))))</f>
        <v>SBJ_2</v>
      </c>
      <c r="J1755" s="24">
        <f ca="1">IF(OR(E1755="",E1755="!!!",F1755="NEW"),"",COUNTBLANK(OFFSET(A$1,,,SUMPRODUCT(MAX(ROW(E$2:E1755)*(E1755=E$2:E1755)))))-COUNTBLANK(OFFSET(A$1,,,SUMPRODUCT(MAX(ROW(E$1:E1754)*(E2=E$1:E1754))))))</f>
        <v>0</v>
      </c>
      <c r="K1755" s="24" t="str">
        <f ca="1">IF(OR(E1755="",E1755="!!!",F1755="NEW"),"",INDEX(J$1:J1754,SUMPRODUCT(MAX(ROW(E$1:E1754)*(E1755=E$1:E1754)))))</f>
        <v/>
      </c>
      <c r="L1755" s="25"/>
    </row>
    <row r="1756" spans="1:12" x14ac:dyDescent="0.2">
      <c r="A1756" t="s">
        <v>1018</v>
      </c>
      <c r="E1756" s="20" t="str">
        <f t="shared" si="200"/>
        <v/>
      </c>
      <c r="F1756" s="21" t="str">
        <f>IF(OR(E1756="",E1756="!!!"),"",IF(NOT(ISNA(VLOOKUP(E1756,E$1:E1755,1,FALSE()))),"OLD",IF(AND(E1756&lt;&gt;"",E1756&lt;&gt;"!!!"),"NEW","")))</f>
        <v/>
      </c>
      <c r="G1756" s="22" t="str">
        <f>IF(OR(E1756="",E1756="!!!"),"",IF(OR(J1756=0,AND(J1756=1,K1756=1),AND(J1756=1,I1756="SBJ"),AND(J1756=1,I1756=0)),"?IN_FOCUS",IF(J1756&lt;=2,"?ACTIVATED",IF(J1756&lt;&gt;"","?FAMILIAR",IF(F1756="NEW",IF(ISNA(VLOOKUP(E1756,#REF!,1,FALSE())),"?TYPE_IDENTIFIABLE","?REFERENTIAL"),"_")))))</f>
        <v/>
      </c>
      <c r="H1756" s="23" t="str">
        <f t="shared" ca="1" si="201"/>
        <v/>
      </c>
      <c r="I1756" s="24" t="str">
        <f>IF(OR(E1756="",E1756="!!!",F1756="NEW"),"",INDEX(B$2:B1755,-1+SUMPRODUCT(MAX(ROW(E$2:E1755)*(E1756=E$2:E1755)))))</f>
        <v/>
      </c>
      <c r="J1756" s="24" t="str">
        <f ca="1">IF(OR(E1756="",E1756="!!!",F1756="NEW"),"",COUNTBLANK(OFFSET(A$1,,,SUMPRODUCT(MAX(ROW(E$2:E1756)*(E1756=E$2:E1756)))))-COUNTBLANK(OFFSET(A$1,,,SUMPRODUCT(MAX(ROW(E$1:E1755)*(E2=E$1:E1755))))))</f>
        <v/>
      </c>
      <c r="K1756" s="24" t="str">
        <f>IF(OR(E1756="",E1756="!!!",F1756="NEW"),"",INDEX(J$1:J1755,SUMPRODUCT(MAX(ROW(E$1:E1755)*(E1756=E$1:E1755)))))</f>
        <v/>
      </c>
      <c r="L1756" s="25"/>
    </row>
    <row r="1757" spans="1:12" x14ac:dyDescent="0.2">
      <c r="A1757" t="s">
        <v>1383</v>
      </c>
      <c r="E1757" s="20" t="str">
        <f t="shared" si="200"/>
        <v/>
      </c>
      <c r="F1757" s="21" t="str">
        <f>IF(OR(E1757="",E1757="!!!"),"",IF(NOT(ISNA(VLOOKUP(E1757,E$1:E1756,1,FALSE()))),"OLD",IF(AND(E1757&lt;&gt;"",E1757&lt;&gt;"!!!"),"NEW","")))</f>
        <v/>
      </c>
      <c r="G1757" s="22" t="str">
        <f>IF(OR(E1757="",E1757="!!!"),"",IF(OR(J1757=0,AND(J1757=1,K1757=1),AND(J1757=1,I1757="SBJ"),AND(J1757=1,I1757=0)),"?IN_FOCUS",IF(J1757&lt;=2,"?ACTIVATED",IF(J1757&lt;&gt;"","?FAMILIAR",IF(F1757="NEW",IF(ISNA(VLOOKUP(E1757,#REF!,1,FALSE())),"?TYPE_IDENTIFIABLE","?REFERENTIAL"),"_")))))</f>
        <v/>
      </c>
      <c r="H1757" s="23" t="str">
        <f t="shared" ca="1" si="201"/>
        <v/>
      </c>
      <c r="I1757" s="24" t="str">
        <f>IF(OR(E1757="",E1757="!!!",F1757="NEW"),"",INDEX(B$2:B1756,-1+SUMPRODUCT(MAX(ROW(E$2:E1756)*(E1757=E$2:E1756)))))</f>
        <v/>
      </c>
      <c r="J1757" s="24" t="str">
        <f ca="1">IF(OR(E1757="",E1757="!!!",F1757="NEW"),"",COUNTBLANK(OFFSET(A$1,,,SUMPRODUCT(MAX(ROW(E$2:E1757)*(E1757=E$2:E1757)))))-COUNTBLANK(OFFSET(A$1,,,SUMPRODUCT(MAX(ROW(E$1:E1756)*(E2=E$1:E1756))))))</f>
        <v/>
      </c>
      <c r="K1757" s="24" t="str">
        <f>IF(OR(E1757="",E1757="!!!",F1757="NEW"),"",INDEX(J$1:J1756,SUMPRODUCT(MAX(ROW(E$1:E1756)*(E1757=E$1:E1756)))))</f>
        <v/>
      </c>
      <c r="L1757" s="25"/>
    </row>
    <row r="1758" spans="1:12" x14ac:dyDescent="0.2">
      <c r="A1758" t="s">
        <v>148</v>
      </c>
      <c r="B1758" s="26" t="s">
        <v>1333</v>
      </c>
      <c r="C1758" s="26" t="s">
        <v>850</v>
      </c>
      <c r="E1758" s="20" t="str">
        <f t="shared" si="200"/>
        <v/>
      </c>
      <c r="F1758" s="21" t="str">
        <f>IF(OR(E1758="",E1758="!!!"),"",IF(NOT(ISNA(VLOOKUP(E1758,E$1:E1757,1,FALSE()))),"OLD",IF(AND(E1758&lt;&gt;"",E1758&lt;&gt;"!!!"),"NEW","")))</f>
        <v/>
      </c>
      <c r="G1758" s="22" t="str">
        <f>IF(OR(E1758="",E1758="!!!"),"",IF(OR(J1758=0,AND(J1758=1,K1758=1),AND(J1758=1,I1758="SBJ"),AND(J1758=1,I1758=0)),"?IN_FOCUS",IF(J1758&lt;=2,"?ACTIVATED",IF(J1758&lt;&gt;"","?FAMILIAR",IF(F1758="NEW",IF(ISNA(VLOOKUP(E1758,#REF!,1,FALSE())),"?TYPE_IDENTIFIABLE","?REFERENTIAL"),"_")))))</f>
        <v/>
      </c>
      <c r="H1758" s="23" t="str">
        <f t="shared" ca="1" si="201"/>
        <v/>
      </c>
      <c r="I1758" s="24" t="str">
        <f>IF(OR(E1758="",E1758="!!!",F1758="NEW"),"",INDEX(B$2:B1757,-1+SUMPRODUCT(MAX(ROW(E$2:E1757)*(E1758=E$2:E1757)))))</f>
        <v/>
      </c>
      <c r="J1758" s="24" t="str">
        <f ca="1">IF(OR(E1758="",E1758="!!!",F1758="NEW"),"",COUNTBLANK(OFFSET(A$1,,,SUMPRODUCT(MAX(ROW(E$2:E1758)*(E1758=E$2:E1758)))))-COUNTBLANK(OFFSET(A$1,,,SUMPRODUCT(MAX(ROW(E$1:E1757)*(E2=E$1:E1757))))))</f>
        <v/>
      </c>
      <c r="K1758" s="24" t="str">
        <f>IF(OR(E1758="",E1758="!!!",F1758="NEW"),"",INDEX(J$1:J1757,SUMPRODUCT(MAX(ROW(E$1:E1757)*(E1758=E$1:E1757)))))</f>
        <v/>
      </c>
      <c r="L1758" s="25"/>
    </row>
    <row r="1759" spans="1:12" x14ac:dyDescent="0.2">
      <c r="A1759" t="s">
        <v>949</v>
      </c>
      <c r="B1759" s="26" t="s">
        <v>910</v>
      </c>
      <c r="C1759" s="26" t="s">
        <v>805</v>
      </c>
      <c r="D1759" s="26" t="s">
        <v>806</v>
      </c>
      <c r="E1759" s="20" t="s">
        <v>1790</v>
      </c>
      <c r="F1759" s="21" t="str">
        <f>IF(OR(E1759="",E1759="!!!"),"",IF(NOT(ISNA(VLOOKUP(E1759,E$1:E1758,1,FALSE()))),"OLD",IF(AND(E1759&lt;&gt;"",E1759&lt;&gt;"!!!"),"NEW","")))</f>
        <v>OLD</v>
      </c>
      <c r="G1759" s="22" t="s">
        <v>1823</v>
      </c>
      <c r="H1759" s="23" t="str">
        <f t="shared" ca="1" si="201"/>
        <v/>
      </c>
      <c r="I1759" s="24" t="str">
        <f>IF(OR(E1759="",E1759="!!!",F1759="NEW"),"",INDEX(B$2:B1758,-1+SUMPRODUCT(MAX(ROW(E$2:E1758)*(E1759=E$2:E1758)))))</f>
        <v>SBJ_4</v>
      </c>
      <c r="J1759" s="24">
        <f ca="1">IF(OR(E1759="",E1759="!!!",F1759="NEW"),"",COUNTBLANK(OFFSET(A$1,,,SUMPRODUCT(MAX(ROW(E$2:E1759)*(E1759=E$2:E1759)))))-COUNTBLANK(OFFSET(A$1,,,SUMPRODUCT(MAX(ROW(E$1:E1758)*(E2=E$1:E1758))))))</f>
        <v>0</v>
      </c>
      <c r="K1759" s="24">
        <f ca="1">IF(OR(E1759="",E1759="!!!",F1759="NEW"),"",INDEX(J$1:J1758,SUMPRODUCT(MAX(ROW(E$1:E1758)*(E1759=E$1:E1758)))))</f>
        <v>0</v>
      </c>
      <c r="L1759" s="25"/>
    </row>
    <row r="1760" spans="1:12" x14ac:dyDescent="0.2">
      <c r="A1760" t="s">
        <v>892</v>
      </c>
      <c r="E1760" s="20" t="str">
        <f t="shared" si="200"/>
        <v/>
      </c>
      <c r="F1760" s="21" t="str">
        <f>IF(OR(E1760="",E1760="!!!"),"",IF(NOT(ISNA(VLOOKUP(E1760,E$1:E1759,1,FALSE()))),"OLD",IF(AND(E1760&lt;&gt;"",E1760&lt;&gt;"!!!"),"NEW","")))</f>
        <v/>
      </c>
      <c r="G1760" s="22" t="str">
        <f>IF(OR(E1760="",E1760="!!!"),"",IF(OR(J1760=0,AND(J1760=1,K1760=1),AND(J1760=1,I1760="SBJ"),AND(J1760=1,I1760=0)),"?IN_FOCUS",IF(J1760&lt;=2,"?ACTIVATED",IF(J1760&lt;&gt;"","?FAMILIAR",IF(F1760="NEW",IF(ISNA(VLOOKUP(E1760,#REF!,1,FALSE())),"?TYPE_IDENTIFIABLE","?REFERENTIAL"),"_")))))</f>
        <v/>
      </c>
      <c r="H1760" s="23" t="str">
        <f t="shared" ca="1" si="201"/>
        <v/>
      </c>
      <c r="I1760" s="24" t="str">
        <f>IF(OR(E1760="",E1760="!!!",F1760="NEW"),"",INDEX(B$2:B1759,-1+SUMPRODUCT(MAX(ROW(E$2:E1759)*(E1760=E$2:E1759)))))</f>
        <v/>
      </c>
      <c r="J1760" s="24" t="str">
        <f ca="1">IF(OR(E1760="",E1760="!!!",F1760="NEW"),"",COUNTBLANK(OFFSET(A$1,,,SUMPRODUCT(MAX(ROW(E$2:E1760)*(E1760=E$2:E1760)))))-COUNTBLANK(OFFSET(A$1,,,SUMPRODUCT(MAX(ROW(E$1:E1759)*(E2=E$1:E1759))))))</f>
        <v/>
      </c>
      <c r="K1760" s="24" t="str">
        <f>IF(OR(E1760="",E1760="!!!",F1760="NEW"),"",INDEX(J$1:J1759,SUMPRODUCT(MAX(ROW(E$1:E1759)*(E1760=E$1:E1759)))))</f>
        <v/>
      </c>
      <c r="L1760" s="25"/>
    </row>
    <row r="1761" spans="1:12" x14ac:dyDescent="0.2">
      <c r="A1761" t="s">
        <v>78</v>
      </c>
      <c r="E1761" s="20" t="str">
        <f t="shared" si="200"/>
        <v/>
      </c>
      <c r="F1761" s="21" t="str">
        <f>IF(OR(E1761="",E1761="!!!"),"",IF(NOT(ISNA(VLOOKUP(E1761,E$1:E1760,1,FALSE()))),"OLD",IF(AND(E1761&lt;&gt;"",E1761&lt;&gt;"!!!"),"NEW","")))</f>
        <v/>
      </c>
      <c r="G1761" s="22" t="str">
        <f>IF(OR(E1761="",E1761="!!!"),"",IF(OR(J1761=0,AND(J1761=1,K1761=1),AND(J1761=1,I1761="SBJ"),AND(J1761=1,I1761=0)),"?IN_FOCUS",IF(J1761&lt;=2,"?ACTIVATED",IF(J1761&lt;&gt;"","?FAMILIAR",IF(F1761="NEW",IF(ISNA(VLOOKUP(E1761,#REF!,1,FALSE())),"?TYPE_IDENTIFIABLE","?REFERENTIAL"),"_")))))</f>
        <v/>
      </c>
      <c r="H1761" s="23" t="str">
        <f t="shared" ca="1" si="201"/>
        <v/>
      </c>
      <c r="I1761" s="24" t="str">
        <f>IF(OR(E1761="",E1761="!!!",F1761="NEW"),"",INDEX(B$2:B1760,-1+SUMPRODUCT(MAX(ROW(E$2:E1760)*(E1761=E$2:E1760)))))</f>
        <v/>
      </c>
      <c r="J1761" s="24" t="str">
        <f ca="1">IF(OR(E1761="",E1761="!!!",F1761="NEW"),"",COUNTBLANK(OFFSET(A$1,,,SUMPRODUCT(MAX(ROW(E$2:E1761)*(E1761=E$2:E1761)))))-COUNTBLANK(OFFSET(A$1,,,SUMPRODUCT(MAX(ROW(E$1:E1760)*(E2=E$1:E1760))))))</f>
        <v/>
      </c>
      <c r="K1761" s="24" t="str">
        <f>IF(OR(E1761="",E1761="!!!",F1761="NEW"),"",INDEX(J$1:J1760,SUMPRODUCT(MAX(ROW(E$1:E1760)*(E1761=E$1:E1760)))))</f>
        <v/>
      </c>
      <c r="L1761" s="25"/>
    </row>
    <row r="1762" spans="1:12" x14ac:dyDescent="0.2">
      <c r="A1762" t="s">
        <v>1383</v>
      </c>
      <c r="E1762" s="20" t="str">
        <f t="shared" si="200"/>
        <v/>
      </c>
      <c r="F1762" s="21" t="str">
        <f>IF(OR(E1762="",E1762="!!!"),"",IF(NOT(ISNA(VLOOKUP(E1762,E$1:E1761,1,FALSE()))),"OLD",IF(AND(E1762&lt;&gt;"",E1762&lt;&gt;"!!!"),"NEW","")))</f>
        <v/>
      </c>
      <c r="G1762" s="22" t="str">
        <f>IF(OR(E1762="",E1762="!!!"),"",IF(OR(J1762=0,AND(J1762=1,K1762=1),AND(J1762=1,I1762="SBJ"),AND(J1762=1,I1762=0)),"?IN_FOCUS",IF(J1762&lt;=2,"?ACTIVATED",IF(J1762&lt;&gt;"","?FAMILIAR",IF(F1762="NEW",IF(ISNA(VLOOKUP(E1762,#REF!,1,FALSE())),"?TYPE_IDENTIFIABLE","?REFERENTIAL"),"_")))))</f>
        <v/>
      </c>
      <c r="H1762" s="23" t="str">
        <f t="shared" ca="1" si="201"/>
        <v/>
      </c>
      <c r="I1762" s="24" t="str">
        <f>IF(OR(E1762="",E1762="!!!",F1762="NEW"),"",INDEX(B$2:B1761,-1+SUMPRODUCT(MAX(ROW(E$2:E1761)*(E1762=E$2:E1761)))))</f>
        <v/>
      </c>
      <c r="J1762" s="24" t="str">
        <f ca="1">IF(OR(E1762="",E1762="!!!",F1762="NEW"),"",COUNTBLANK(OFFSET(A$1,,,SUMPRODUCT(MAX(ROW(E$2:E1762)*(E1762=E$2:E1762)))))-COUNTBLANK(OFFSET(A$1,,,SUMPRODUCT(MAX(ROW(E$1:E1761)*(E2=E$1:E1761))))))</f>
        <v/>
      </c>
      <c r="K1762" s="24" t="str">
        <f>IF(OR(E1762="",E1762="!!!",F1762="NEW"),"",INDEX(J$1:J1761,SUMPRODUCT(MAX(ROW(E$1:E1761)*(E1762=E$1:E1761)))))</f>
        <v/>
      </c>
      <c r="L1762" s="25"/>
    </row>
    <row r="1763" spans="1:12" x14ac:dyDescent="0.2">
      <c r="A1763" t="s">
        <v>815</v>
      </c>
      <c r="E1763" s="20" t="str">
        <f t="shared" si="200"/>
        <v/>
      </c>
      <c r="F1763" s="21" t="str">
        <f>IF(OR(E1763="",E1763="!!!"),"",IF(NOT(ISNA(VLOOKUP(E1763,E$1:E1762,1,FALSE()))),"OLD",IF(AND(E1763&lt;&gt;"",E1763&lt;&gt;"!!!"),"NEW","")))</f>
        <v/>
      </c>
      <c r="G1763" s="22" t="str">
        <f>IF(OR(E1763="",E1763="!!!"),"",IF(OR(J1763=0,AND(J1763=1,K1763=1),AND(J1763=1,I1763="SBJ"),AND(J1763=1,I1763=0)),"?IN_FOCUS",IF(J1763&lt;=2,"?ACTIVATED",IF(J1763&lt;&gt;"","?FAMILIAR",IF(F1763="NEW",IF(ISNA(VLOOKUP(E1763,#REF!,1,FALSE())),"?TYPE_IDENTIFIABLE","?REFERENTIAL"),"_")))))</f>
        <v/>
      </c>
      <c r="H1763" s="23" t="str">
        <f t="shared" ca="1" si="201"/>
        <v/>
      </c>
      <c r="I1763" s="24" t="str">
        <f>IF(OR(E1763="",E1763="!!!",F1763="NEW"),"",INDEX(B$2:B1762,-1+SUMPRODUCT(MAX(ROW(E$2:E1762)*(E1763=E$2:E1762)))))</f>
        <v/>
      </c>
      <c r="J1763" s="24" t="str">
        <f ca="1">IF(OR(E1763="",E1763="!!!",F1763="NEW"),"",COUNTBLANK(OFFSET(A$1,,,SUMPRODUCT(MAX(ROW(E$2:E1763)*(E1763=E$2:E1763)))))-COUNTBLANK(OFFSET(A$1,,,SUMPRODUCT(MAX(ROW(E$1:E1762)*(E2=E$1:E1762))))))</f>
        <v/>
      </c>
      <c r="K1763" s="24" t="str">
        <f>IF(OR(E1763="",E1763="!!!",F1763="NEW"),"",INDEX(J$1:J1762,SUMPRODUCT(MAX(ROW(E$1:E1762)*(E1763=E$1:E1762)))))</f>
        <v/>
      </c>
      <c r="L1763" s="25"/>
    </row>
    <row r="1764" spans="1:12" x14ac:dyDescent="0.2">
      <c r="A1764" t="s">
        <v>845</v>
      </c>
      <c r="E1764" s="20" t="str">
        <f t="shared" si="200"/>
        <v/>
      </c>
      <c r="F1764" s="21" t="str">
        <f>IF(OR(E1764="",E1764="!!!"),"",IF(NOT(ISNA(VLOOKUP(E1764,E$1:E1763,1,FALSE()))),"OLD",IF(AND(E1764&lt;&gt;"",E1764&lt;&gt;"!!!"),"NEW","")))</f>
        <v/>
      </c>
      <c r="G1764" s="22" t="str">
        <f>IF(OR(E1764="",E1764="!!!"),"",IF(OR(J1764=0,AND(J1764=1,K1764=1),AND(J1764=1,I1764="SBJ"),AND(J1764=1,I1764=0)),"?IN_FOCUS",IF(J1764&lt;=2,"?ACTIVATED",IF(J1764&lt;&gt;"","?FAMILIAR",IF(F1764="NEW",IF(ISNA(VLOOKUP(E1764,#REF!,1,FALSE())),"?TYPE_IDENTIFIABLE","?REFERENTIAL"),"_")))))</f>
        <v/>
      </c>
      <c r="H1764" s="23" t="str">
        <f t="shared" ca="1" si="201"/>
        <v/>
      </c>
      <c r="I1764" s="24" t="str">
        <f>IF(OR(E1764="",E1764="!!!",F1764="NEW"),"",INDEX(B$2:B1763,-1+SUMPRODUCT(MAX(ROW(E$2:E1763)*(E1764=E$2:E1763)))))</f>
        <v/>
      </c>
      <c r="J1764" s="24" t="str">
        <f ca="1">IF(OR(E1764="",E1764="!!!",F1764="NEW"),"",COUNTBLANK(OFFSET(A$1,,,SUMPRODUCT(MAX(ROW(E$2:E1764)*(E1764=E$2:E1764)))))-COUNTBLANK(OFFSET(A$1,,,SUMPRODUCT(MAX(ROW(E$1:E1763)*(E2=E$1:E1763))))))</f>
        <v/>
      </c>
      <c r="K1764" s="24" t="str">
        <f>IF(OR(E1764="",E1764="!!!",F1764="NEW"),"",INDEX(J$1:J1763,SUMPRODUCT(MAX(ROW(E$1:E1763)*(E1764=E$1:E1763)))))</f>
        <v/>
      </c>
      <c r="L1764" s="25"/>
    </row>
    <row r="1765" spans="1:12" x14ac:dyDescent="0.2">
      <c r="A1765" t="s">
        <v>992</v>
      </c>
      <c r="B1765" s="26" t="s">
        <v>897</v>
      </c>
      <c r="C1765" s="26" t="s">
        <v>847</v>
      </c>
      <c r="D1765" s="26" t="s">
        <v>806</v>
      </c>
      <c r="E1765" s="20" t="s">
        <v>992</v>
      </c>
      <c r="F1765" s="21" t="str">
        <f>IF(OR(E1765="",E1765="!!!"),"",IF(NOT(ISNA(VLOOKUP(E1765,E$1:E1764,1,FALSE()))),"OLD",IF(AND(E1765&lt;&gt;"",E1765&lt;&gt;"!!!"),"NEW","")))</f>
        <v>NEW</v>
      </c>
      <c r="G1765" s="22" t="s">
        <v>1820</v>
      </c>
      <c r="H1765" s="23" t="str">
        <f t="shared" ca="1" si="201"/>
        <v/>
      </c>
      <c r="I1765" s="24" t="str">
        <f>IF(OR(E1765="",E1765="!!!",F1765="NEW"),"",INDEX(B$2:B1764,-1+SUMPRODUCT(MAX(ROW(E$2:E1764)*(E1765=E$2:E1764)))))</f>
        <v/>
      </c>
      <c r="J1765" s="24" t="str">
        <f ca="1">IF(OR(E1765="",E1765="!!!",F1765="NEW"),"",COUNTBLANK(OFFSET(A$1,,,SUMPRODUCT(MAX(ROW(E$2:E1765)*(E1765=E$2:E1765)))))-COUNTBLANK(OFFSET(A$1,,,SUMPRODUCT(MAX(ROW(E$1:E1764)*(E2=E$1:E1764))))))</f>
        <v/>
      </c>
      <c r="K1765" s="24" t="str">
        <f>IF(OR(E1765="",E1765="!!!",F1765="NEW"),"",INDEX(J$1:J1764,SUMPRODUCT(MAX(ROW(E$1:E1764)*(E1765=E$1:E1764)))))</f>
        <v/>
      </c>
      <c r="L1765" s="25"/>
    </row>
    <row r="1766" spans="1:12" x14ac:dyDescent="0.2">
      <c r="A1766" t="s">
        <v>821</v>
      </c>
      <c r="E1766" s="20" t="str">
        <f t="shared" si="200"/>
        <v/>
      </c>
      <c r="F1766" s="21" t="str">
        <f>IF(OR(E1766="",E1766="!!!"),"",IF(NOT(ISNA(VLOOKUP(E1766,E$1:E1765,1,FALSE()))),"OLD",IF(AND(E1766&lt;&gt;"",E1766&lt;&gt;"!!!"),"NEW","")))</f>
        <v/>
      </c>
      <c r="G1766" s="22" t="str">
        <f>IF(OR(E1766="",E1766="!!!"),"",IF(OR(J1766=0,AND(J1766=1,K1766=1),AND(J1766=1,I1766="SBJ"),AND(J1766=1,I1766=0)),"?IN_FOCUS",IF(J1766&lt;=2,"?ACTIVATED",IF(J1766&lt;&gt;"","?FAMILIAR",IF(F1766="NEW",IF(ISNA(VLOOKUP(E1766,#REF!,1,FALSE())),"?TYPE_IDENTIFIABLE","?REFERENTIAL"),"_")))))</f>
        <v/>
      </c>
      <c r="H1766" s="23" t="str">
        <f t="shared" ca="1" si="201"/>
        <v/>
      </c>
      <c r="I1766" s="24" t="str">
        <f>IF(OR(E1766="",E1766="!!!",F1766="NEW"),"",INDEX(B$2:B1765,-1+SUMPRODUCT(MAX(ROW(E$2:E1765)*(E1766=E$2:E1765)))))</f>
        <v/>
      </c>
      <c r="J1766" s="24" t="str">
        <f ca="1">IF(OR(E1766="",E1766="!!!",F1766="NEW"),"",COUNTBLANK(OFFSET(A$1,,,SUMPRODUCT(MAX(ROW(E$2:E1766)*(E1766=E$2:E1766)))))-COUNTBLANK(OFFSET(A$1,,,SUMPRODUCT(MAX(ROW(E$1:E1765)*(E2=E$1:E1765))))))</f>
        <v/>
      </c>
      <c r="K1766" s="24" t="str">
        <f>IF(OR(E1766="",E1766="!!!",F1766="NEW"),"",INDEX(J$1:J1765,SUMPRODUCT(MAX(ROW(E$1:E1765)*(E1766=E$1:E1765)))))</f>
        <v/>
      </c>
      <c r="L1766" s="25"/>
    </row>
    <row r="1768" spans="1:12" x14ac:dyDescent="0.2">
      <c r="A1768" t="s">
        <v>1389</v>
      </c>
    </row>
    <row r="1769" spans="1:12" x14ac:dyDescent="0.2">
      <c r="A1769" t="s">
        <v>1008</v>
      </c>
      <c r="E1769" s="20" t="str">
        <f t="shared" ref="E1769:E1785" si="202">IF(D1769="?OLD","!!!","")</f>
        <v/>
      </c>
      <c r="F1769" s="21" t="str">
        <f>IF(OR(E1769="",E1769="!!!"),"",IF(NOT(ISNA(VLOOKUP(E1769,E$1:E1768,1,FALSE()))),"OLD",IF(AND(E1769&lt;&gt;"",E1769&lt;&gt;"!!!"),"NEW","")))</f>
        <v/>
      </c>
      <c r="G1769" s="22" t="str">
        <f>IF(OR(E1769="",E1769="!!!"),"",IF(OR(J1769=0,AND(J1769=1,K1769=1),AND(J1769=1,I1769="SBJ"),AND(J1769=1,I1769=0)),"?IN_FOCUS",IF(J1769&lt;=2,"?ACTIVATED",IF(J1769&lt;&gt;"","?FAMILIAR",IF(F1769="NEW",IF(ISNA(VLOOKUP(E1769,#REF!,1,FALSE())),"?TYPE_IDENTIFIABLE","?REFERENTIAL"),"_")))))</f>
        <v/>
      </c>
      <c r="H1769" s="23" t="str">
        <f t="shared" ref="H1769:H1785" ca="1" si="203">IF(J1769&lt;&gt;1,"",IF(I1769="SBJ","CB","?"))</f>
        <v/>
      </c>
      <c r="I1769" s="24" t="str">
        <f>IF(OR(E1769="",E1769="!!!",F1769="NEW"),"",INDEX(B$2:B1768,-1+SUMPRODUCT(MAX(ROW(E$2:E1768)*(E1769=E$2:E1768)))))</f>
        <v/>
      </c>
      <c r="J1769" s="24" t="str">
        <f ca="1">IF(OR(E1769="",E1769="!!!",F1769="NEW"),"",COUNTBLANK(OFFSET(A$1,,,SUMPRODUCT(MAX(ROW(E$2:E1769)*(E1769=E$2:E1769)))))-COUNTBLANK(OFFSET(A$1,,,SUMPRODUCT(MAX(ROW(E$1:E1768)*(E2=E$1:E1768))))))</f>
        <v/>
      </c>
      <c r="K1769" s="24" t="str">
        <f>IF(OR(E1769="",E1769="!!!",F1769="NEW"),"",INDEX(J$1:J1768,SUMPRODUCT(MAX(ROW(E$1:E1768)*(E1769=E$1:E1768)))))</f>
        <v/>
      </c>
      <c r="L1769" s="25"/>
    </row>
    <row r="1770" spans="1:12" x14ac:dyDescent="0.2">
      <c r="A1770" t="s">
        <v>1390</v>
      </c>
      <c r="E1770" s="20" t="str">
        <f t="shared" si="202"/>
        <v/>
      </c>
      <c r="F1770" s="21" t="str">
        <f>IF(OR(E1770="",E1770="!!!"),"",IF(NOT(ISNA(VLOOKUP(E1770,E$1:E1769,1,FALSE()))),"OLD",IF(AND(E1770&lt;&gt;"",E1770&lt;&gt;"!!!"),"NEW","")))</f>
        <v/>
      </c>
      <c r="G1770" s="22" t="str">
        <f>IF(OR(E1770="",E1770="!!!"),"",IF(OR(J1770=0,AND(J1770=1,K1770=1),AND(J1770=1,I1770="SBJ"),AND(J1770=1,I1770=0)),"?IN_FOCUS",IF(J1770&lt;=2,"?ACTIVATED",IF(J1770&lt;&gt;"","?FAMILIAR",IF(F1770="NEW",IF(ISNA(VLOOKUP(E1770,#REF!,1,FALSE())),"?TYPE_IDENTIFIABLE","?REFERENTIAL"),"_")))))</f>
        <v/>
      </c>
      <c r="H1770" s="23" t="str">
        <f t="shared" ca="1" si="203"/>
        <v/>
      </c>
      <c r="I1770" s="24" t="str">
        <f>IF(OR(E1770="",E1770="!!!",F1770="NEW"),"",INDEX(B$2:B1769,-1+SUMPRODUCT(MAX(ROW(E$2:E1769)*(E1770=E$2:E1769)))))</f>
        <v/>
      </c>
      <c r="J1770" s="24" t="str">
        <f ca="1">IF(OR(E1770="",E1770="!!!",F1770="NEW"),"",COUNTBLANK(OFFSET(A$1,,,SUMPRODUCT(MAX(ROW(E$2:E1770)*(E1770=E$2:E1770)))))-COUNTBLANK(OFFSET(A$1,,,SUMPRODUCT(MAX(ROW(E$1:E1769)*(E2=E$1:E1769))))))</f>
        <v/>
      </c>
      <c r="K1770" s="24" t="str">
        <f>IF(OR(E1770="",E1770="!!!",F1770="NEW"),"",INDEX(J$1:J1769,SUMPRODUCT(MAX(ROW(E$1:E1769)*(E1770=E$1:E1769)))))</f>
        <v/>
      </c>
      <c r="L1770" s="25"/>
    </row>
    <row r="1771" spans="1:12" x14ac:dyDescent="0.2">
      <c r="A1771" t="s">
        <v>1391</v>
      </c>
      <c r="B1771" s="26" t="s">
        <v>804</v>
      </c>
      <c r="C1771" s="26" t="s">
        <v>847</v>
      </c>
      <c r="D1771" s="26" t="s">
        <v>806</v>
      </c>
      <c r="E1771" s="20" t="s">
        <v>1391</v>
      </c>
      <c r="F1771" s="21" t="str">
        <f>IF(OR(E1771="",E1771="!!!"),"",IF(NOT(ISNA(VLOOKUP(E1771,E$1:E1770,1,FALSE()))),"OLD",IF(AND(E1771&lt;&gt;"",E1771&lt;&gt;"!!!"),"NEW","")))</f>
        <v>NEW</v>
      </c>
      <c r="G1771" s="22" t="s">
        <v>1824</v>
      </c>
      <c r="H1771" s="23" t="str">
        <f t="shared" ca="1" si="203"/>
        <v/>
      </c>
      <c r="I1771" s="24" t="str">
        <f>IF(OR(E1771="",E1771="!!!",F1771="NEW"),"",INDEX(B$2:B1770,-1+SUMPRODUCT(MAX(ROW(E$2:E1770)*(E1771=E$2:E1770)))))</f>
        <v/>
      </c>
      <c r="J1771" s="24" t="str">
        <f ca="1">IF(OR(E1771="",E1771="!!!",F1771="NEW"),"",COUNTBLANK(OFFSET(A$1,,,SUMPRODUCT(MAX(ROW(E$2:E1771)*(E1771=E$2:E1771)))))-COUNTBLANK(OFFSET(A$1,,,SUMPRODUCT(MAX(ROW(E$1:E1770)*(E2=E$1:E1770))))))</f>
        <v/>
      </c>
      <c r="K1771" s="24" t="str">
        <f>IF(OR(E1771="",E1771="!!!",F1771="NEW"),"",INDEX(J$1:J1770,SUMPRODUCT(MAX(ROW(E$1:E1770)*(E1771=E$1:E1770)))))</f>
        <v/>
      </c>
      <c r="L1771" s="25"/>
    </row>
    <row r="1772" spans="1:12" x14ac:dyDescent="0.2">
      <c r="A1772" t="s">
        <v>802</v>
      </c>
      <c r="E1772" s="20" t="str">
        <f t="shared" si="202"/>
        <v/>
      </c>
      <c r="F1772" s="21" t="str">
        <f>IF(OR(E1772="",E1772="!!!"),"",IF(NOT(ISNA(VLOOKUP(E1772,E$1:E1771,1,FALSE()))),"OLD",IF(AND(E1772&lt;&gt;"",E1772&lt;&gt;"!!!"),"NEW","")))</f>
        <v/>
      </c>
      <c r="G1772" s="22" t="str">
        <f>IF(OR(E1772="",E1772="!!!"),"",IF(OR(J1772=0,AND(J1772=1,K1772=1),AND(J1772=1,I1772="SBJ"),AND(J1772=1,I1772=0)),"?IN_FOCUS",IF(J1772&lt;=2,"?ACTIVATED",IF(J1772&lt;&gt;"","?FAMILIAR",IF(F1772="NEW",IF(ISNA(VLOOKUP(E1772,#REF!,1,FALSE())),"?TYPE_IDENTIFIABLE","?REFERENTIAL"),"_")))))</f>
        <v/>
      </c>
      <c r="H1772" s="23" t="str">
        <f t="shared" ca="1" si="203"/>
        <v/>
      </c>
      <c r="I1772" s="24" t="str">
        <f>IF(OR(E1772="",E1772="!!!",F1772="NEW"),"",INDEX(B$2:B1771,-1+SUMPRODUCT(MAX(ROW(E$2:E1771)*(E1772=E$2:E1771)))))</f>
        <v/>
      </c>
      <c r="J1772" s="24" t="str">
        <f ca="1">IF(OR(E1772="",E1772="!!!",F1772="NEW"),"",COUNTBLANK(OFFSET(A$1,,,SUMPRODUCT(MAX(ROW(E$2:E1772)*(E1772=E$2:E1772)))))-COUNTBLANK(OFFSET(A$1,,,SUMPRODUCT(MAX(ROW(E$1:E1771)*(E2=E$1:E1771))))))</f>
        <v/>
      </c>
      <c r="K1772" s="24" t="str">
        <f>IF(OR(E1772="",E1772="!!!",F1772="NEW"),"",INDEX(J$1:J1771,SUMPRODUCT(MAX(ROW(E$1:E1771)*(E1772=E$1:E1771)))))</f>
        <v/>
      </c>
      <c r="L1772" s="25"/>
    </row>
    <row r="1773" spans="1:12" x14ac:dyDescent="0.2">
      <c r="A1773" t="s">
        <v>845</v>
      </c>
      <c r="E1773" s="20" t="str">
        <f t="shared" si="202"/>
        <v/>
      </c>
      <c r="F1773" s="21" t="str">
        <f>IF(OR(E1773="",E1773="!!!"),"",IF(NOT(ISNA(VLOOKUP(E1773,E$1:E1772,1,FALSE()))),"OLD",IF(AND(E1773&lt;&gt;"",E1773&lt;&gt;"!!!"),"NEW","")))</f>
        <v/>
      </c>
      <c r="G1773" s="22" t="str">
        <f>IF(OR(E1773="",E1773="!!!"),"",IF(OR(J1773=0,AND(J1773=1,K1773=1),AND(J1773=1,I1773="SBJ"),AND(J1773=1,I1773=0)),"?IN_FOCUS",IF(J1773&lt;=2,"?ACTIVATED",IF(J1773&lt;&gt;"","?FAMILIAR",IF(F1773="NEW",IF(ISNA(VLOOKUP(E1773,#REF!,1,FALSE())),"?TYPE_IDENTIFIABLE","?REFERENTIAL"),"_")))))</f>
        <v/>
      </c>
      <c r="H1773" s="23" t="str">
        <f t="shared" ca="1" si="203"/>
        <v/>
      </c>
      <c r="I1773" s="24" t="str">
        <f>IF(OR(E1773="",E1773="!!!",F1773="NEW"),"",INDEX(B$2:B1772,-1+SUMPRODUCT(MAX(ROW(E$2:E1772)*(E1773=E$2:E1772)))))</f>
        <v/>
      </c>
      <c r="J1773" s="24" t="str">
        <f ca="1">IF(OR(E1773="",E1773="!!!",F1773="NEW"),"",COUNTBLANK(OFFSET(A$1,,,SUMPRODUCT(MAX(ROW(E$2:E1773)*(E1773=E$2:E1773)))))-COUNTBLANK(OFFSET(A$1,,,SUMPRODUCT(MAX(ROW(E$1:E1772)*(E2=E$1:E1772))))))</f>
        <v/>
      </c>
      <c r="K1773" s="24" t="str">
        <f>IF(OR(E1773="",E1773="!!!",F1773="NEW"),"",INDEX(J$1:J1772,SUMPRODUCT(MAX(ROW(E$1:E1772)*(E1773=E$1:E1772)))))</f>
        <v/>
      </c>
      <c r="L1773" s="25"/>
    </row>
    <row r="1774" spans="1:12" x14ac:dyDescent="0.2">
      <c r="A1774" t="s">
        <v>1327</v>
      </c>
      <c r="B1774" s="26" t="s">
        <v>813</v>
      </c>
      <c r="C1774" s="26" t="s">
        <v>847</v>
      </c>
      <c r="D1774" s="26" t="s">
        <v>806</v>
      </c>
      <c r="E1774" s="20" t="s">
        <v>1327</v>
      </c>
      <c r="F1774" s="21" t="str">
        <f>IF(OR(E1774="",E1774="!!!"),"",IF(NOT(ISNA(VLOOKUP(E1774,E$1:E1773,1,FALSE()))),"OLD",IF(AND(E1774&lt;&gt;"",E1774&lt;&gt;"!!!"),"NEW","")))</f>
        <v>OLD</v>
      </c>
      <c r="G1774" s="22" t="s">
        <v>1822</v>
      </c>
      <c r="H1774" s="23" t="str">
        <f t="shared" ca="1" si="203"/>
        <v/>
      </c>
      <c r="I1774" s="24" t="str">
        <f>IF(OR(E1774="",E1774="!!!",F1774="NEW"),"",INDEX(B$2:B1773,-1+SUMPRODUCT(MAX(ROW(E$2:E1773)*(E1774=E$2:E1773)))))</f>
        <v>other</v>
      </c>
      <c r="J1774" s="24">
        <f ca="1">IF(OR(E1774="",E1774="!!!",F1774="NEW"),"",COUNTBLANK(OFFSET(A$1,,,SUMPRODUCT(MAX(ROW(E$2:E1774)*(E1774=E$2:E1774)))))-COUNTBLANK(OFFSET(A$1,,,SUMPRODUCT(MAX(ROW(E$1:E1773)*(E2=E$1:E1773))))))</f>
        <v>0</v>
      </c>
      <c r="K1774" s="24" t="str">
        <f ca="1">IF(OR(E1774="",E1774="!!!",F1774="NEW"),"",INDEX(J$1:J1773,SUMPRODUCT(MAX(ROW(E$1:E1773)*(E1774=E$1:E1773)))))</f>
        <v/>
      </c>
      <c r="L1774" s="25"/>
    </row>
    <row r="1775" spans="1:12" x14ac:dyDescent="0.2">
      <c r="A1775" t="s">
        <v>802</v>
      </c>
      <c r="E1775" s="20" t="str">
        <f t="shared" si="202"/>
        <v/>
      </c>
      <c r="F1775" s="21" t="str">
        <f>IF(OR(E1775="",E1775="!!!"),"",IF(NOT(ISNA(VLOOKUP(E1775,E$1:E1774,1,FALSE()))),"OLD",IF(AND(E1775&lt;&gt;"",E1775&lt;&gt;"!!!"),"NEW","")))</f>
        <v/>
      </c>
      <c r="G1775" s="22" t="str">
        <f>IF(OR(E1775="",E1775="!!!"),"",IF(OR(J1775=0,AND(J1775=1,K1775=1),AND(J1775=1,I1775="SBJ"),AND(J1775=1,I1775=0)),"?IN_FOCUS",IF(J1775&lt;=2,"?ACTIVATED",IF(J1775&lt;&gt;"","?FAMILIAR",IF(F1775="NEW",IF(ISNA(VLOOKUP(E1775,#REF!,1,FALSE())),"?TYPE_IDENTIFIABLE","?REFERENTIAL"),"_")))))</f>
        <v/>
      </c>
      <c r="H1775" s="23" t="str">
        <f t="shared" ca="1" si="203"/>
        <v/>
      </c>
      <c r="I1775" s="24" t="str">
        <f>IF(OR(E1775="",E1775="!!!",F1775="NEW"),"",INDEX(B$2:B1774,-1+SUMPRODUCT(MAX(ROW(E$2:E1774)*(E1775=E$2:E1774)))))</f>
        <v/>
      </c>
      <c r="J1775" s="24" t="str">
        <f ca="1">IF(OR(E1775="",E1775="!!!",F1775="NEW"),"",COUNTBLANK(OFFSET(A$1,,,SUMPRODUCT(MAX(ROW(E$2:E1775)*(E1775=E$2:E1775)))))-COUNTBLANK(OFFSET(A$1,,,SUMPRODUCT(MAX(ROW(E$1:E1774)*(E2=E$1:E1774))))))</f>
        <v/>
      </c>
      <c r="K1775" s="24" t="str">
        <f>IF(OR(E1775="",E1775="!!!",F1775="NEW"),"",INDEX(J$1:J1774,SUMPRODUCT(MAX(ROW(E$1:E1774)*(E1775=E$1:E1774)))))</f>
        <v/>
      </c>
      <c r="L1775" s="25"/>
    </row>
    <row r="1776" spans="1:12" x14ac:dyDescent="0.2">
      <c r="A1776" t="s">
        <v>845</v>
      </c>
      <c r="E1776" s="20" t="str">
        <f t="shared" si="202"/>
        <v/>
      </c>
      <c r="F1776" s="21" t="str">
        <f>IF(OR(E1776="",E1776="!!!"),"",IF(NOT(ISNA(VLOOKUP(E1776,E$1:E1775,1,FALSE()))),"OLD",IF(AND(E1776&lt;&gt;"",E1776&lt;&gt;"!!!"),"NEW","")))</f>
        <v/>
      </c>
      <c r="G1776" s="22" t="str">
        <f>IF(OR(E1776="",E1776="!!!"),"",IF(OR(J1776=0,AND(J1776=1,K1776=1),AND(J1776=1,I1776="SBJ"),AND(J1776=1,I1776=0)),"?IN_FOCUS",IF(J1776&lt;=2,"?ACTIVATED",IF(J1776&lt;&gt;"","?FAMILIAR",IF(F1776="NEW",IF(ISNA(VLOOKUP(E1776,#REF!,1,FALSE())),"?TYPE_IDENTIFIABLE","?REFERENTIAL"),"_")))))</f>
        <v/>
      </c>
      <c r="H1776" s="23" t="str">
        <f t="shared" ca="1" si="203"/>
        <v/>
      </c>
      <c r="I1776" s="24" t="str">
        <f>IF(OR(E1776="",E1776="!!!",F1776="NEW"),"",INDEX(B$2:B1775,-1+SUMPRODUCT(MAX(ROW(E$2:E1775)*(E1776=E$2:E1775)))))</f>
        <v/>
      </c>
      <c r="J1776" s="24" t="str">
        <f ca="1">IF(OR(E1776="",E1776="!!!",F1776="NEW"),"",COUNTBLANK(OFFSET(A$1,,,SUMPRODUCT(MAX(ROW(E$2:E1776)*(E1776=E$2:E1776)))))-COUNTBLANK(OFFSET(A$1,,,SUMPRODUCT(MAX(ROW(E$1:E1775)*(E2=E$1:E1775))))))</f>
        <v/>
      </c>
      <c r="K1776" s="24" t="str">
        <f>IF(OR(E1776="",E1776="!!!",F1776="NEW"),"",INDEX(J$1:J1775,SUMPRODUCT(MAX(ROW(E$1:E1775)*(E1776=E$1:E1775)))))</f>
        <v/>
      </c>
      <c r="L1776" s="25"/>
    </row>
    <row r="1777" spans="1:12" x14ac:dyDescent="0.2">
      <c r="A1777" t="s">
        <v>1392</v>
      </c>
      <c r="B1777" s="26" t="s">
        <v>813</v>
      </c>
      <c r="C1777" s="26" t="s">
        <v>847</v>
      </c>
      <c r="D1777" s="26" t="s">
        <v>806</v>
      </c>
      <c r="E1777" s="20" t="s">
        <v>1392</v>
      </c>
      <c r="F1777" s="21" t="str">
        <f>IF(OR(E1777="",E1777="!!!"),"",IF(NOT(ISNA(VLOOKUP(E1777,E$1:E1776,1,FALSE()))),"OLD",IF(AND(E1777&lt;&gt;"",E1777&lt;&gt;"!!!"),"NEW","")))</f>
        <v>NEW</v>
      </c>
      <c r="G1777" s="22" t="s">
        <v>1824</v>
      </c>
      <c r="H1777" s="23" t="str">
        <f t="shared" ca="1" si="203"/>
        <v/>
      </c>
      <c r="I1777" s="24" t="str">
        <f>IF(OR(E1777="",E1777="!!!",F1777="NEW"),"",INDEX(B$2:B1776,-1+SUMPRODUCT(MAX(ROW(E$2:E1776)*(E1777=E$2:E1776)))))</f>
        <v/>
      </c>
      <c r="J1777" s="24" t="str">
        <f ca="1">IF(OR(E1777="",E1777="!!!",F1777="NEW"),"",COUNTBLANK(OFFSET(A$1,,,SUMPRODUCT(MAX(ROW(E$2:E1777)*(E1777=E$2:E1777)))))-COUNTBLANK(OFFSET(A$1,,,SUMPRODUCT(MAX(ROW(E$1:E1776)*(E2=E$1:E1776))))))</f>
        <v/>
      </c>
      <c r="K1777" s="24" t="str">
        <f>IF(OR(E1777="",E1777="!!!",F1777="NEW"),"",INDEX(J$1:J1776,SUMPRODUCT(MAX(ROW(E$1:E1776)*(E1777=E$1:E1776)))))</f>
        <v/>
      </c>
      <c r="L1777" s="25"/>
    </row>
    <row r="1778" spans="1:12" x14ac:dyDescent="0.2">
      <c r="A1778" t="s">
        <v>802</v>
      </c>
      <c r="E1778" s="20" t="str">
        <f t="shared" si="202"/>
        <v/>
      </c>
      <c r="F1778" s="21" t="str">
        <f>IF(OR(E1778="",E1778="!!!"),"",IF(NOT(ISNA(VLOOKUP(E1778,E$1:E1777,1,FALSE()))),"OLD",IF(AND(E1778&lt;&gt;"",E1778&lt;&gt;"!!!"),"NEW","")))</f>
        <v/>
      </c>
      <c r="G1778" s="22" t="str">
        <f>IF(OR(E1778="",E1778="!!!"),"",IF(OR(J1778=0,AND(J1778=1,K1778=1),AND(J1778=1,I1778="SBJ"),AND(J1778=1,I1778=0)),"?IN_FOCUS",IF(J1778&lt;=2,"?ACTIVATED",IF(J1778&lt;&gt;"","?FAMILIAR",IF(F1778="NEW",IF(ISNA(VLOOKUP(E1778,#REF!,1,FALSE())),"?TYPE_IDENTIFIABLE","?REFERENTIAL"),"_")))))</f>
        <v/>
      </c>
      <c r="H1778" s="23" t="str">
        <f t="shared" ca="1" si="203"/>
        <v/>
      </c>
      <c r="I1778" s="24" t="str">
        <f>IF(OR(E1778="",E1778="!!!",F1778="NEW"),"",INDEX(B$2:B1777,-1+SUMPRODUCT(MAX(ROW(E$2:E1777)*(E1778=E$2:E1777)))))</f>
        <v/>
      </c>
      <c r="J1778" s="24" t="str">
        <f ca="1">IF(OR(E1778="",E1778="!!!",F1778="NEW"),"",COUNTBLANK(OFFSET(A$1,,,SUMPRODUCT(MAX(ROW(E$2:E1778)*(E1778=E$2:E1778)))))-COUNTBLANK(OFFSET(A$1,,,SUMPRODUCT(MAX(ROW(E$1:E1777)*(E2=E$1:E1777))))))</f>
        <v/>
      </c>
      <c r="K1778" s="24" t="str">
        <f>IF(OR(E1778="",E1778="!!!",F1778="NEW"),"",INDEX(J$1:J1777,SUMPRODUCT(MAX(ROW(E$1:E1777)*(E1778=E$1:E1777)))))</f>
        <v/>
      </c>
      <c r="L1778" s="25"/>
    </row>
    <row r="1779" spans="1:12" x14ac:dyDescent="0.2">
      <c r="A1779" t="s">
        <v>830</v>
      </c>
      <c r="B1779" s="26" t="s">
        <v>804</v>
      </c>
      <c r="C1779" s="26" t="s">
        <v>805</v>
      </c>
      <c r="D1779" s="26" t="s">
        <v>806</v>
      </c>
      <c r="E1779" s="20" t="s">
        <v>1791</v>
      </c>
      <c r="F1779" s="21" t="str">
        <f>IF(OR(E1779="",E1779="!!!"),"",IF(NOT(ISNA(VLOOKUP(E1779,E$1:E1778,1,FALSE()))),"OLD",IF(AND(E1779&lt;&gt;"",E1779&lt;&gt;"!!!"),"NEW","")))</f>
        <v>NEW</v>
      </c>
      <c r="G1779" s="22" t="s">
        <v>1824</v>
      </c>
      <c r="H1779" s="23" t="str">
        <f t="shared" ca="1" si="203"/>
        <v/>
      </c>
      <c r="I1779" s="24" t="str">
        <f>IF(OR(E1779="",E1779="!!!",F1779="NEW"),"",INDEX(B$2:B1778,-1+SUMPRODUCT(MAX(ROW(E$2:E1778)*(E1779=E$2:E1778)))))</f>
        <v/>
      </c>
      <c r="J1779" s="24" t="str">
        <f ca="1">IF(OR(E1779="",E1779="!!!",F1779="NEW"),"",COUNTBLANK(OFFSET(A$1,,,SUMPRODUCT(MAX(ROW(E$2:E1779)*(E1779=E$2:E1779)))))-COUNTBLANK(OFFSET(A$1,,,SUMPRODUCT(MAX(ROW(E$1:E1778)*(E2=E$1:E1778))))))</f>
        <v/>
      </c>
      <c r="K1779" s="24" t="str">
        <f>IF(OR(E1779="",E1779="!!!",F1779="NEW"),"",INDEX(J$1:J1778,SUMPRODUCT(MAX(ROW(E$1:E1778)*(E1779=E$1:E1778)))))</f>
        <v/>
      </c>
      <c r="L1779" s="25"/>
    </row>
    <row r="1780" spans="1:12" x14ac:dyDescent="0.2">
      <c r="A1780" t="s">
        <v>898</v>
      </c>
      <c r="E1780" s="20" t="str">
        <f t="shared" si="202"/>
        <v/>
      </c>
      <c r="F1780" s="21" t="str">
        <f>IF(OR(E1780="",E1780="!!!"),"",IF(NOT(ISNA(VLOOKUP(E1780,E$1:E1779,1,FALSE()))),"OLD",IF(AND(E1780&lt;&gt;"",E1780&lt;&gt;"!!!"),"NEW","")))</f>
        <v/>
      </c>
      <c r="G1780" s="22" t="str">
        <f>IF(OR(E1780="",E1780="!!!"),"",IF(OR(J1780=0,AND(J1780=1,K1780=1),AND(J1780=1,I1780="SBJ"),AND(J1780=1,I1780=0)),"?IN_FOCUS",IF(J1780&lt;=2,"?ACTIVATED",IF(J1780&lt;&gt;"","?FAMILIAR",IF(F1780="NEW",IF(ISNA(VLOOKUP(E1780,#REF!,1,FALSE())),"?TYPE_IDENTIFIABLE","?REFERENTIAL"),"_")))))</f>
        <v/>
      </c>
      <c r="H1780" s="23" t="str">
        <f t="shared" ca="1" si="203"/>
        <v/>
      </c>
      <c r="I1780" s="24" t="str">
        <f>IF(OR(E1780="",E1780="!!!",F1780="NEW"),"",INDEX(B$2:B1779,-1+SUMPRODUCT(MAX(ROW(E$2:E1779)*(E1780=E$2:E1779)))))</f>
        <v/>
      </c>
      <c r="J1780" s="24" t="str">
        <f ca="1">IF(OR(E1780="",E1780="!!!",F1780="NEW"),"",COUNTBLANK(OFFSET(A$1,,,SUMPRODUCT(MAX(ROW(E$2:E1780)*(E1780=E$2:E1780)))))-COUNTBLANK(OFFSET(A$1,,,SUMPRODUCT(MAX(ROW(E$1:E1779)*(E2=E$1:E1779))))))</f>
        <v/>
      </c>
      <c r="K1780" s="24" t="str">
        <f>IF(OR(E1780="",E1780="!!!",F1780="NEW"),"",INDEX(J$1:J1779,SUMPRODUCT(MAX(ROW(E$1:E1779)*(E1780=E$1:E1779)))))</f>
        <v/>
      </c>
      <c r="L1780" s="25"/>
    </row>
    <row r="1781" spans="1:12" x14ac:dyDescent="0.2">
      <c r="A1781" t="s">
        <v>148</v>
      </c>
      <c r="B1781" s="26" t="s">
        <v>804</v>
      </c>
      <c r="C1781" s="26" t="s">
        <v>850</v>
      </c>
      <c r="E1781" s="20" t="str">
        <f t="shared" si="202"/>
        <v/>
      </c>
      <c r="F1781" s="21" t="str">
        <f>IF(OR(E1781="",E1781="!!!"),"",IF(NOT(ISNA(VLOOKUP(E1781,E$1:E1780,1,FALSE()))),"OLD",IF(AND(E1781&lt;&gt;"",E1781&lt;&gt;"!!!"),"NEW","")))</f>
        <v/>
      </c>
      <c r="G1781" s="22" t="str">
        <f>IF(OR(E1781="",E1781="!!!"),"",IF(OR(J1781=0,AND(J1781=1,K1781=1),AND(J1781=1,I1781="SBJ"),AND(J1781=1,I1781=0)),"?IN_FOCUS",IF(J1781&lt;=2,"?ACTIVATED",IF(J1781&lt;&gt;"","?FAMILIAR",IF(F1781="NEW",IF(ISNA(VLOOKUP(E1781,#REF!,1,FALSE())),"?TYPE_IDENTIFIABLE","?REFERENTIAL"),"_")))))</f>
        <v/>
      </c>
      <c r="H1781" s="23" t="str">
        <f t="shared" ca="1" si="203"/>
        <v/>
      </c>
      <c r="I1781" s="24" t="str">
        <f>IF(OR(E1781="",E1781="!!!",F1781="NEW"),"",INDEX(B$2:B1780,-1+SUMPRODUCT(MAX(ROW(E$2:E1780)*(E1781=E$2:E1780)))))</f>
        <v/>
      </c>
      <c r="J1781" s="24" t="str">
        <f ca="1">IF(OR(E1781="",E1781="!!!",F1781="NEW"),"",COUNTBLANK(OFFSET(A$1,,,SUMPRODUCT(MAX(ROW(E$2:E1781)*(E1781=E$2:E1781)))))-COUNTBLANK(OFFSET(A$1,,,SUMPRODUCT(MAX(ROW(E$1:E1780)*(E2=E$1:E1780))))))</f>
        <v/>
      </c>
      <c r="K1781" s="24" t="str">
        <f>IF(OR(E1781="",E1781="!!!",F1781="NEW"),"",INDEX(J$1:J1780,SUMPRODUCT(MAX(ROW(E$1:E1780)*(E1781=E$1:E1780)))))</f>
        <v/>
      </c>
      <c r="L1781" s="25"/>
    </row>
    <row r="1782" spans="1:12" x14ac:dyDescent="0.2">
      <c r="A1782" t="s">
        <v>1393</v>
      </c>
      <c r="E1782" s="20" t="str">
        <f t="shared" si="202"/>
        <v/>
      </c>
      <c r="F1782" s="21" t="str">
        <f>IF(OR(E1782="",E1782="!!!"),"",IF(NOT(ISNA(VLOOKUP(E1782,E$1:E1781,1,FALSE()))),"OLD",IF(AND(E1782&lt;&gt;"",E1782&lt;&gt;"!!!"),"NEW","")))</f>
        <v/>
      </c>
      <c r="G1782" s="22" t="str">
        <f>IF(OR(E1782="",E1782="!!!"),"",IF(OR(J1782=0,AND(J1782=1,K1782=1),AND(J1782=1,I1782="SBJ"),AND(J1782=1,I1782=0)),"?IN_FOCUS",IF(J1782&lt;=2,"?ACTIVATED",IF(J1782&lt;&gt;"","?FAMILIAR",IF(F1782="NEW",IF(ISNA(VLOOKUP(E1782,#REF!,1,FALSE())),"?TYPE_IDENTIFIABLE","?REFERENTIAL"),"_")))))</f>
        <v/>
      </c>
      <c r="H1782" s="23" t="str">
        <f t="shared" ca="1" si="203"/>
        <v/>
      </c>
      <c r="I1782" s="24" t="str">
        <f>IF(OR(E1782="",E1782="!!!",F1782="NEW"),"",INDEX(B$2:B1781,-1+SUMPRODUCT(MAX(ROW(E$2:E1781)*(E1782=E$2:E1781)))))</f>
        <v/>
      </c>
      <c r="J1782" s="24" t="str">
        <f ca="1">IF(OR(E1782="",E1782="!!!",F1782="NEW"),"",COUNTBLANK(OFFSET(A$1,,,SUMPRODUCT(MAX(ROW(E$2:E1782)*(E1782=E$2:E1782)))))-COUNTBLANK(OFFSET(A$1,,,SUMPRODUCT(MAX(ROW(E$1:E1781)*(E2=E$1:E1781))))))</f>
        <v/>
      </c>
      <c r="K1782" s="24" t="str">
        <f>IF(OR(E1782="",E1782="!!!",F1782="NEW"),"",INDEX(J$1:J1781,SUMPRODUCT(MAX(ROW(E$1:E1781)*(E1782=E$1:E1781)))))</f>
        <v/>
      </c>
      <c r="L1782" s="25"/>
    </row>
    <row r="1783" spans="1:12" x14ac:dyDescent="0.2">
      <c r="A1783" t="s">
        <v>845</v>
      </c>
      <c r="E1783" s="20" t="str">
        <f t="shared" si="202"/>
        <v/>
      </c>
      <c r="F1783" s="21" t="str">
        <f>IF(OR(E1783="",E1783="!!!"),"",IF(NOT(ISNA(VLOOKUP(E1783,E$1:E1782,1,FALSE()))),"OLD",IF(AND(E1783&lt;&gt;"",E1783&lt;&gt;"!!!"),"NEW","")))</f>
        <v/>
      </c>
      <c r="G1783" s="22" t="str">
        <f>IF(OR(E1783="",E1783="!!!"),"",IF(OR(J1783=0,AND(J1783=1,K1783=1),AND(J1783=1,I1783="SBJ"),AND(J1783=1,I1783=0)),"?IN_FOCUS",IF(J1783&lt;=2,"?ACTIVATED",IF(J1783&lt;&gt;"","?FAMILIAR",IF(F1783="NEW",IF(ISNA(VLOOKUP(E1783,#REF!,1,FALSE())),"?TYPE_IDENTIFIABLE","?REFERENTIAL"),"_")))))</f>
        <v/>
      </c>
      <c r="H1783" s="23" t="str">
        <f t="shared" ca="1" si="203"/>
        <v/>
      </c>
      <c r="I1783" s="24" t="str">
        <f>IF(OR(E1783="",E1783="!!!",F1783="NEW"),"",INDEX(B$2:B1782,-1+SUMPRODUCT(MAX(ROW(E$2:E1782)*(E1783=E$2:E1782)))))</f>
        <v/>
      </c>
      <c r="J1783" s="24" t="str">
        <f ca="1">IF(OR(E1783="",E1783="!!!",F1783="NEW"),"",COUNTBLANK(OFFSET(A$1,,,SUMPRODUCT(MAX(ROW(E$2:E1783)*(E1783=E$2:E1783)))))-COUNTBLANK(OFFSET(A$1,,,SUMPRODUCT(MAX(ROW(E$1:E1782)*(E2=E$1:E1782))))))</f>
        <v/>
      </c>
      <c r="K1783" s="24" t="str">
        <f>IF(OR(E1783="",E1783="!!!",F1783="NEW"),"",INDEX(J$1:J1782,SUMPRODUCT(MAX(ROW(E$1:E1782)*(E1783=E$1:E1782)))))</f>
        <v/>
      </c>
      <c r="L1783" s="25"/>
    </row>
    <row r="1784" spans="1:12" x14ac:dyDescent="0.2">
      <c r="A1784" t="s">
        <v>30</v>
      </c>
      <c r="B1784" s="26" t="s">
        <v>810</v>
      </c>
      <c r="C1784" s="26" t="s">
        <v>847</v>
      </c>
      <c r="D1784" s="26" t="s">
        <v>806</v>
      </c>
      <c r="E1784" s="20" t="s">
        <v>1790</v>
      </c>
      <c r="F1784" s="21" t="str">
        <f>IF(OR(E1784="",E1784="!!!"),"",IF(NOT(ISNA(VLOOKUP(E1784,E$1:E1783,1,FALSE()))),"OLD",IF(AND(E1784&lt;&gt;"",E1784&lt;&gt;"!!!"),"NEW","")))</f>
        <v>OLD</v>
      </c>
      <c r="G1784" s="22" t="s">
        <v>1822</v>
      </c>
      <c r="H1784" s="23" t="str">
        <f t="shared" ca="1" si="203"/>
        <v/>
      </c>
      <c r="I1784" s="24" t="str">
        <f>IF(OR(E1784="",E1784="!!!",F1784="NEW"),"",INDEX(B$2:B1783,-1+SUMPRODUCT(MAX(ROW(E$2:E1783)*(E1784=E$2:E1783)))))</f>
        <v>SBJ_5</v>
      </c>
      <c r="J1784" s="24">
        <f ca="1">IF(OR(E1784="",E1784="!!!",F1784="NEW"),"",COUNTBLANK(OFFSET(A$1,,,SUMPRODUCT(MAX(ROW(E$2:E1784)*(E1784=E$2:E1784)))))-COUNTBLANK(OFFSET(A$1,,,SUMPRODUCT(MAX(ROW(E$1:E1783)*(E2=E$1:E1783))))))</f>
        <v>0</v>
      </c>
      <c r="K1784" s="24">
        <f ca="1">IF(OR(E1784="",E1784="!!!",F1784="NEW"),"",INDEX(J$1:J1783,SUMPRODUCT(MAX(ROW(E$1:E1783)*(E1784=E$1:E1783)))))</f>
        <v>0</v>
      </c>
      <c r="L1784" s="25"/>
    </row>
    <row r="1785" spans="1:12" x14ac:dyDescent="0.2">
      <c r="A1785" t="s">
        <v>821</v>
      </c>
      <c r="E1785" s="20" t="str">
        <f t="shared" si="202"/>
        <v/>
      </c>
      <c r="F1785" s="21" t="str">
        <f>IF(OR(E1785="",E1785="!!!"),"",IF(NOT(ISNA(VLOOKUP(E1785,E$1:E1784,1,FALSE()))),"OLD",IF(AND(E1785&lt;&gt;"",E1785&lt;&gt;"!!!"),"NEW","")))</f>
        <v/>
      </c>
      <c r="G1785" s="22" t="str">
        <f>IF(OR(E1785="",E1785="!!!"),"",IF(OR(J1785=0,AND(J1785=1,K1785=1),AND(J1785=1,I1785="SBJ"),AND(J1785=1,I1785=0)),"?IN_FOCUS",IF(J1785&lt;=2,"?ACTIVATED",IF(J1785&lt;&gt;"","?FAMILIAR",IF(F1785="NEW",IF(ISNA(VLOOKUP(E1785,#REF!,1,FALSE())),"?TYPE_IDENTIFIABLE","?REFERENTIAL"),"_")))))</f>
        <v/>
      </c>
      <c r="H1785" s="23" t="str">
        <f t="shared" ca="1" si="203"/>
        <v/>
      </c>
      <c r="I1785" s="24" t="str">
        <f>IF(OR(E1785="",E1785="!!!",F1785="NEW"),"",INDEX(B$2:B1784,-1+SUMPRODUCT(MAX(ROW(E$2:E1784)*(E1785=E$2:E1784)))))</f>
        <v/>
      </c>
      <c r="J1785" s="24" t="str">
        <f ca="1">IF(OR(E1785="",E1785="!!!",F1785="NEW"),"",COUNTBLANK(OFFSET(A$1,,,SUMPRODUCT(MAX(ROW(E$2:E1785)*(E1785=E$2:E1785)))))-COUNTBLANK(OFFSET(A$1,,,SUMPRODUCT(MAX(ROW(E$1:E1784)*(E2=E$1:E1784))))))</f>
        <v/>
      </c>
      <c r="K1785" s="24" t="str">
        <f>IF(OR(E1785="",E1785="!!!",F1785="NEW"),"",INDEX(J$1:J1784,SUMPRODUCT(MAX(ROW(E$1:E1784)*(E1785=E$1:E1784)))))</f>
        <v/>
      </c>
      <c r="L1785" s="25"/>
    </row>
    <row r="1787" spans="1:12" x14ac:dyDescent="0.2">
      <c r="A1787" t="s">
        <v>1394</v>
      </c>
    </row>
    <row r="1788" spans="1:12" x14ac:dyDescent="0.2">
      <c r="A1788" t="s">
        <v>1008</v>
      </c>
      <c r="E1788" s="20" t="str">
        <f t="shared" ref="E1788:E1800" si="204">IF(D1788="?OLD","!!!","")</f>
        <v/>
      </c>
      <c r="F1788" s="21" t="str">
        <f>IF(OR(E1788="",E1788="!!!"),"",IF(NOT(ISNA(VLOOKUP(E1788,E$1:E1787,1,FALSE()))),"OLD",IF(AND(E1788&lt;&gt;"",E1788&lt;&gt;"!!!"),"NEW","")))</f>
        <v/>
      </c>
      <c r="G1788" s="22" t="str">
        <f>IF(OR(E1788="",E1788="!!!"),"",IF(OR(J1788=0,AND(J1788=1,K1788=1),AND(J1788=1,I1788="SBJ"),AND(J1788=1,I1788=0)),"?IN_FOCUS",IF(J1788&lt;=2,"?ACTIVATED",IF(J1788&lt;&gt;"","?FAMILIAR",IF(F1788="NEW",IF(ISNA(VLOOKUP(E1788,#REF!,1,FALSE())),"?TYPE_IDENTIFIABLE","?REFERENTIAL"),"_")))))</f>
        <v/>
      </c>
      <c r="H1788" s="23" t="str">
        <f t="shared" ref="H1788:H1800" ca="1" si="205">IF(J1788&lt;&gt;1,"",IF(I1788="SBJ","CB","?"))</f>
        <v/>
      </c>
      <c r="I1788" s="24" t="str">
        <f>IF(OR(E1788="",E1788="!!!",F1788="NEW"),"",INDEX(B$2:B1787,-1+SUMPRODUCT(MAX(ROW(E$2:E1787)*(E1788=E$2:E1787)))))</f>
        <v/>
      </c>
      <c r="J1788" s="24" t="str">
        <f ca="1">IF(OR(E1788="",E1788="!!!",F1788="NEW"),"",COUNTBLANK(OFFSET(A$1,,,SUMPRODUCT(MAX(ROW(E$2:E1788)*(E1788=E$2:E1788)))))-COUNTBLANK(OFFSET(A$1,,,SUMPRODUCT(MAX(ROW(E$1:E1787)*(E2=E$1:E1787))))))</f>
        <v/>
      </c>
      <c r="K1788" s="24" t="str">
        <f>IF(OR(E1788="",E1788="!!!",F1788="NEW"),"",INDEX(J$1:J1787,SUMPRODUCT(MAX(ROW(E$1:E1787)*(E1788=E$1:E1787)))))</f>
        <v/>
      </c>
      <c r="L1788" s="25"/>
    </row>
    <row r="1789" spans="1:12" x14ac:dyDescent="0.2">
      <c r="A1789" t="s">
        <v>1388</v>
      </c>
      <c r="B1789" s="26" t="s">
        <v>804</v>
      </c>
      <c r="C1789" s="26" t="s">
        <v>847</v>
      </c>
      <c r="D1789" s="26" t="s">
        <v>806</v>
      </c>
      <c r="E1789" s="20" t="s">
        <v>1792</v>
      </c>
      <c r="F1789" s="21" t="str">
        <f>IF(OR(E1789="",E1789="!!!"),"",IF(NOT(ISNA(VLOOKUP(E1789,E$1:E1788,1,FALSE()))),"OLD",IF(AND(E1789&lt;&gt;"",E1789&lt;&gt;"!!!"),"NEW","")))</f>
        <v>OLD</v>
      </c>
      <c r="G1789" s="22" t="s">
        <v>1823</v>
      </c>
      <c r="H1789" s="23" t="str">
        <f t="shared" ca="1" si="205"/>
        <v/>
      </c>
      <c r="I1789" s="24" t="str">
        <f>IF(OR(E1789="",E1789="!!!",F1789="NEW"),"",INDEX(B$2:B1788,-1+SUMPRODUCT(MAX(ROW(E$2:E1788)*(E1789=E$2:E1788)))))</f>
        <v>other_2</v>
      </c>
      <c r="J1789" s="24">
        <f ca="1">IF(OR(E1789="",E1789="!!!",F1789="NEW"),"",COUNTBLANK(OFFSET(A$1,,,SUMPRODUCT(MAX(ROW(E$2:E1789)*(E1789=E$2:E1789)))))-COUNTBLANK(OFFSET(A$1,,,SUMPRODUCT(MAX(ROW(E$1:E1788)*(E2=E$1:E1788))))))</f>
        <v>0</v>
      </c>
      <c r="K1789" s="24" t="str">
        <f ca="1">IF(OR(E1789="",E1789="!!!",F1789="NEW"),"",INDEX(J$1:J1788,SUMPRODUCT(MAX(ROW(E$1:E1788)*(E1789=E$1:E1788)))))</f>
        <v/>
      </c>
      <c r="L1789" s="25"/>
    </row>
    <row r="1790" spans="1:12" x14ac:dyDescent="0.2">
      <c r="A1790" t="s">
        <v>963</v>
      </c>
      <c r="E1790" s="20" t="str">
        <f t="shared" si="204"/>
        <v/>
      </c>
      <c r="F1790" s="21" t="str">
        <f>IF(OR(E1790="",E1790="!!!"),"",IF(NOT(ISNA(VLOOKUP(E1790,E$1:E1789,1,FALSE()))),"OLD",IF(AND(E1790&lt;&gt;"",E1790&lt;&gt;"!!!"),"NEW","")))</f>
        <v/>
      </c>
      <c r="G1790" s="22" t="str">
        <f>IF(OR(E1790="",E1790="!!!"),"",IF(OR(J1790=0,AND(J1790=1,K1790=1),AND(J1790=1,I1790="SBJ"),AND(J1790=1,I1790=0)),"?IN_FOCUS",IF(J1790&lt;=2,"?ACTIVATED",IF(J1790&lt;&gt;"","?FAMILIAR",IF(F1790="NEW",IF(ISNA(VLOOKUP(E1790,#REF!,1,FALSE())),"?TYPE_IDENTIFIABLE","?REFERENTIAL"),"_")))))</f>
        <v/>
      </c>
      <c r="H1790" s="23" t="str">
        <f t="shared" ca="1" si="205"/>
        <v/>
      </c>
      <c r="I1790" s="24" t="str">
        <f>IF(OR(E1790="",E1790="!!!",F1790="NEW"),"",INDEX(B$2:B1789,-1+SUMPRODUCT(MAX(ROW(E$2:E1789)*(E1790=E$2:E1789)))))</f>
        <v/>
      </c>
      <c r="J1790" s="24" t="str">
        <f ca="1">IF(OR(E1790="",E1790="!!!",F1790="NEW"),"",COUNTBLANK(OFFSET(A$1,,,SUMPRODUCT(MAX(ROW(E$2:E1790)*(E1790=E$2:E1790)))))-COUNTBLANK(OFFSET(A$1,,,SUMPRODUCT(MAX(ROW(E$1:E1789)*(E2=E$1:E1789))))))</f>
        <v/>
      </c>
      <c r="K1790" s="24" t="str">
        <f>IF(OR(E1790="",E1790="!!!",F1790="NEW"),"",INDEX(J$1:J1789,SUMPRODUCT(MAX(ROW(E$1:E1789)*(E1790=E$1:E1789)))))</f>
        <v/>
      </c>
      <c r="L1790" s="25"/>
    </row>
    <row r="1791" spans="1:12" x14ac:dyDescent="0.2">
      <c r="A1791" t="s">
        <v>544</v>
      </c>
      <c r="E1791" s="20" t="str">
        <f t="shared" si="204"/>
        <v/>
      </c>
      <c r="F1791" s="21" t="str">
        <f>IF(OR(E1791="",E1791="!!!"),"",IF(NOT(ISNA(VLOOKUP(E1791,E$1:E1790,1,FALSE()))),"OLD",IF(AND(E1791&lt;&gt;"",E1791&lt;&gt;"!!!"),"NEW","")))</f>
        <v/>
      </c>
      <c r="G1791" s="22" t="str">
        <f>IF(OR(E1791="",E1791="!!!"),"",IF(OR(J1791=0,AND(J1791=1,K1791=1),AND(J1791=1,I1791="SBJ"),AND(J1791=1,I1791=0)),"?IN_FOCUS",IF(J1791&lt;=2,"?ACTIVATED",IF(J1791&lt;&gt;"","?FAMILIAR",IF(F1791="NEW",IF(ISNA(VLOOKUP(E1791,#REF!,1,FALSE())),"?TYPE_IDENTIFIABLE","?REFERENTIAL"),"_")))))</f>
        <v/>
      </c>
      <c r="H1791" s="23" t="str">
        <f t="shared" ca="1" si="205"/>
        <v/>
      </c>
      <c r="I1791" s="24" t="str">
        <f>IF(OR(E1791="",E1791="!!!",F1791="NEW"),"",INDEX(B$2:B1790,-1+SUMPRODUCT(MAX(ROW(E$2:E1790)*(E1791=E$2:E1790)))))</f>
        <v/>
      </c>
      <c r="J1791" s="24" t="str">
        <f ca="1">IF(OR(E1791="",E1791="!!!",F1791="NEW"),"",COUNTBLANK(OFFSET(A$1,,,SUMPRODUCT(MAX(ROW(E$2:E1791)*(E1791=E$2:E1791)))))-COUNTBLANK(OFFSET(A$1,,,SUMPRODUCT(MAX(ROW(E$1:E1790)*(E2=E$1:E1790))))))</f>
        <v/>
      </c>
      <c r="K1791" s="24" t="str">
        <f>IF(OR(E1791="",E1791="!!!",F1791="NEW"),"",INDEX(J$1:J1790,SUMPRODUCT(MAX(ROW(E$1:E1790)*(E1791=E$1:E1790)))))</f>
        <v/>
      </c>
      <c r="L1791" s="25"/>
    </row>
    <row r="1792" spans="1:12" x14ac:dyDescent="0.2">
      <c r="A1792" t="s">
        <v>1395</v>
      </c>
      <c r="E1792" s="20" t="str">
        <f t="shared" si="204"/>
        <v/>
      </c>
      <c r="F1792" s="21" t="str">
        <f>IF(OR(E1792="",E1792="!!!"),"",IF(NOT(ISNA(VLOOKUP(E1792,E$1:E1791,1,FALSE()))),"OLD",IF(AND(E1792&lt;&gt;"",E1792&lt;&gt;"!!!"),"NEW","")))</f>
        <v/>
      </c>
      <c r="G1792" s="22" t="str">
        <f>IF(OR(E1792="",E1792="!!!"),"",IF(OR(J1792=0,AND(J1792=1,K1792=1),AND(J1792=1,I1792="SBJ"),AND(J1792=1,I1792=0)),"?IN_FOCUS",IF(J1792&lt;=2,"?ACTIVATED",IF(J1792&lt;&gt;"","?FAMILIAR",IF(F1792="NEW",IF(ISNA(VLOOKUP(E1792,#REF!,1,FALSE())),"?TYPE_IDENTIFIABLE","?REFERENTIAL"),"_")))))</f>
        <v/>
      </c>
      <c r="H1792" s="23" t="str">
        <f t="shared" ca="1" si="205"/>
        <v/>
      </c>
      <c r="I1792" s="24" t="str">
        <f>IF(OR(E1792="",E1792="!!!",F1792="NEW"),"",INDEX(B$2:B1791,-1+SUMPRODUCT(MAX(ROW(E$2:E1791)*(E1792=E$2:E1791)))))</f>
        <v/>
      </c>
      <c r="J1792" s="24" t="str">
        <f ca="1">IF(OR(E1792="",E1792="!!!",F1792="NEW"),"",COUNTBLANK(OFFSET(A$1,,,SUMPRODUCT(MAX(ROW(E$2:E1792)*(E1792=E$2:E1792)))))-COUNTBLANK(OFFSET(A$1,,,SUMPRODUCT(MAX(ROW(E$1:E1791)*(E2=E$1:E1791))))))</f>
        <v/>
      </c>
      <c r="K1792" s="24" t="str">
        <f>IF(OR(E1792="",E1792="!!!",F1792="NEW"),"",INDEX(J$1:J1791,SUMPRODUCT(MAX(ROW(E$1:E1791)*(E1792=E$1:E1791)))))</f>
        <v/>
      </c>
      <c r="L1792" s="25"/>
    </row>
    <row r="1793" spans="1:12" x14ac:dyDescent="0.2">
      <c r="A1793" t="s">
        <v>802</v>
      </c>
      <c r="E1793" s="20" t="str">
        <f t="shared" si="204"/>
        <v/>
      </c>
      <c r="F1793" s="21" t="str">
        <f>IF(OR(E1793="",E1793="!!!"),"",IF(NOT(ISNA(VLOOKUP(E1793,E$1:E1792,1,FALSE()))),"OLD",IF(AND(E1793&lt;&gt;"",E1793&lt;&gt;"!!!"),"NEW","")))</f>
        <v/>
      </c>
      <c r="G1793" s="22" t="str">
        <f>IF(OR(E1793="",E1793="!!!"),"",IF(OR(J1793=0,AND(J1793=1,K1793=1),AND(J1793=1,I1793="SBJ"),AND(J1793=1,I1793=0)),"?IN_FOCUS",IF(J1793&lt;=2,"?ACTIVATED",IF(J1793&lt;&gt;"","?FAMILIAR",IF(F1793="NEW",IF(ISNA(VLOOKUP(E1793,#REF!,1,FALSE())),"?TYPE_IDENTIFIABLE","?REFERENTIAL"),"_")))))</f>
        <v/>
      </c>
      <c r="H1793" s="23" t="str">
        <f t="shared" ca="1" si="205"/>
        <v/>
      </c>
      <c r="I1793" s="24" t="str">
        <f>IF(OR(E1793="",E1793="!!!",F1793="NEW"),"",INDEX(B$2:B1792,-1+SUMPRODUCT(MAX(ROW(E$2:E1792)*(E1793=E$2:E1792)))))</f>
        <v/>
      </c>
      <c r="J1793" s="24" t="str">
        <f ca="1">IF(OR(E1793="",E1793="!!!",F1793="NEW"),"",COUNTBLANK(OFFSET(A$1,,,SUMPRODUCT(MAX(ROW(E$2:E1793)*(E1793=E$2:E1793)))))-COUNTBLANK(OFFSET(A$1,,,SUMPRODUCT(MAX(ROW(E$1:E1792)*(E2=E$1:E1792))))))</f>
        <v/>
      </c>
      <c r="K1793" s="24" t="str">
        <f>IF(OR(E1793="",E1793="!!!",F1793="NEW"),"",INDEX(J$1:J1792,SUMPRODUCT(MAX(ROW(E$1:E1792)*(E1793=E$1:E1792)))))</f>
        <v/>
      </c>
      <c r="L1793" s="25"/>
    </row>
    <row r="1794" spans="1:12" x14ac:dyDescent="0.2">
      <c r="A1794" t="s">
        <v>830</v>
      </c>
      <c r="B1794" s="26" t="s">
        <v>950</v>
      </c>
      <c r="C1794" s="26" t="s">
        <v>805</v>
      </c>
      <c r="D1794" s="26" t="s">
        <v>806</v>
      </c>
      <c r="E1794" s="20" t="s">
        <v>1792</v>
      </c>
      <c r="F1794" s="21" t="str">
        <f>IF(OR(E1794="",E1794="!!!"),"",IF(NOT(ISNA(VLOOKUP(E1794,E$1:E1793,1,FALSE()))),"OLD",IF(AND(E1794&lt;&gt;"",E1794&lt;&gt;"!!!"),"NEW","")))</f>
        <v>OLD</v>
      </c>
      <c r="G1794" s="22" t="s">
        <v>1823</v>
      </c>
      <c r="H1794" s="23" t="str">
        <f t="shared" ca="1" si="205"/>
        <v/>
      </c>
      <c r="I1794" s="24" t="str">
        <f>IF(OR(E1794="",E1794="!!!",F1794="NEW"),"",INDEX(B$2:B1793,-1+SUMPRODUCT(MAX(ROW(E$2:E1793)*(E1794=E$2:E1793)))))</f>
        <v>SBJ</v>
      </c>
      <c r="J1794" s="24">
        <f ca="1">IF(OR(E1794="",E1794="!!!",F1794="NEW"),"",COUNTBLANK(OFFSET(A$1,,,SUMPRODUCT(MAX(ROW(E$2:E1794)*(E1794=E$2:E1794)))))-COUNTBLANK(OFFSET(A$1,,,SUMPRODUCT(MAX(ROW(E$1:E1793)*(E2=E$1:E1793))))))</f>
        <v>0</v>
      </c>
      <c r="K1794" s="24">
        <f ca="1">IF(OR(E1794="",E1794="!!!",F1794="NEW"),"",INDEX(J$1:J1793,SUMPRODUCT(MAX(ROW(E$1:E1793)*(E1794=E$1:E1793)))))</f>
        <v>0</v>
      </c>
      <c r="L1794" s="25"/>
    </row>
    <row r="1795" spans="1:12" x14ac:dyDescent="0.2">
      <c r="A1795" t="s">
        <v>898</v>
      </c>
      <c r="E1795" s="20" t="str">
        <f t="shared" si="204"/>
        <v/>
      </c>
      <c r="F1795" s="21" t="str">
        <f>IF(OR(E1795="",E1795="!!!"),"",IF(NOT(ISNA(VLOOKUP(E1795,E$1:E1794,1,FALSE()))),"OLD",IF(AND(E1795&lt;&gt;"",E1795&lt;&gt;"!!!"),"NEW","")))</f>
        <v/>
      </c>
      <c r="G1795" s="22" t="str">
        <f>IF(OR(E1795="",E1795="!!!"),"",IF(OR(J1795=0,AND(J1795=1,K1795=1),AND(J1795=1,I1795="SBJ"),AND(J1795=1,I1795=0)),"?IN_FOCUS",IF(J1795&lt;=2,"?ACTIVATED",IF(J1795&lt;&gt;"","?FAMILIAR",IF(F1795="NEW",IF(ISNA(VLOOKUP(E1795,#REF!,1,FALSE())),"?TYPE_IDENTIFIABLE","?REFERENTIAL"),"_")))))</f>
        <v/>
      </c>
      <c r="H1795" s="23" t="str">
        <f t="shared" ca="1" si="205"/>
        <v/>
      </c>
      <c r="I1795" s="24" t="str">
        <f>IF(OR(E1795="",E1795="!!!",F1795="NEW"),"",INDEX(B$2:B1794,-1+SUMPRODUCT(MAX(ROW(E$2:E1794)*(E1795=E$2:E1794)))))</f>
        <v/>
      </c>
      <c r="J1795" s="24" t="str">
        <f ca="1">IF(OR(E1795="",E1795="!!!",F1795="NEW"),"",COUNTBLANK(OFFSET(A$1,,,SUMPRODUCT(MAX(ROW(E$2:E1795)*(E1795=E$2:E1795)))))-COUNTBLANK(OFFSET(A$1,,,SUMPRODUCT(MAX(ROW(E$1:E1794)*(E2=E$1:E1794))))))</f>
        <v/>
      </c>
      <c r="K1795" s="24" t="str">
        <f>IF(OR(E1795="",E1795="!!!",F1795="NEW"),"",INDEX(J$1:J1794,SUMPRODUCT(MAX(ROW(E$1:E1794)*(E1795=E$1:E1794)))))</f>
        <v/>
      </c>
      <c r="L1795" s="25"/>
    </row>
    <row r="1796" spans="1:12" x14ac:dyDescent="0.2">
      <c r="A1796" t="s">
        <v>1396</v>
      </c>
      <c r="E1796" s="20" t="str">
        <f t="shared" si="204"/>
        <v/>
      </c>
      <c r="F1796" s="21" t="str">
        <f>IF(OR(E1796="",E1796="!!!"),"",IF(NOT(ISNA(VLOOKUP(E1796,E$1:E1795,1,FALSE()))),"OLD",IF(AND(E1796&lt;&gt;"",E1796&lt;&gt;"!!!"),"NEW","")))</f>
        <v/>
      </c>
      <c r="G1796" s="22" t="str">
        <f>IF(OR(E1796="",E1796="!!!"),"",IF(OR(J1796=0,AND(J1796=1,K1796=1),AND(J1796=1,I1796="SBJ"),AND(J1796=1,I1796=0)),"?IN_FOCUS",IF(J1796&lt;=2,"?ACTIVATED",IF(J1796&lt;&gt;"","?FAMILIAR",IF(F1796="NEW",IF(ISNA(VLOOKUP(E1796,#REF!,1,FALSE())),"?TYPE_IDENTIFIABLE","?REFERENTIAL"),"_")))))</f>
        <v/>
      </c>
      <c r="H1796" s="23" t="str">
        <f t="shared" ca="1" si="205"/>
        <v/>
      </c>
      <c r="I1796" s="24" t="str">
        <f>IF(OR(E1796="",E1796="!!!",F1796="NEW"),"",INDEX(B$2:B1795,-1+SUMPRODUCT(MAX(ROW(E$2:E1795)*(E1796=E$2:E1795)))))</f>
        <v/>
      </c>
      <c r="J1796" s="24" t="str">
        <f ca="1">IF(OR(E1796="",E1796="!!!",F1796="NEW"),"",COUNTBLANK(OFFSET(A$1,,,SUMPRODUCT(MAX(ROW(E$2:E1796)*(E1796=E$2:E1796)))))-COUNTBLANK(OFFSET(A$1,,,SUMPRODUCT(MAX(ROW(E$1:E1795)*(E2=E$1:E1795))))))</f>
        <v/>
      </c>
      <c r="K1796" s="24" t="str">
        <f>IF(OR(E1796="",E1796="!!!",F1796="NEW"),"",INDEX(J$1:J1795,SUMPRODUCT(MAX(ROW(E$1:E1795)*(E1796=E$1:E1795)))))</f>
        <v/>
      </c>
      <c r="L1796" s="25"/>
    </row>
    <row r="1797" spans="1:12" x14ac:dyDescent="0.2">
      <c r="A1797" t="s">
        <v>1129</v>
      </c>
      <c r="B1797" s="26" t="s">
        <v>813</v>
      </c>
      <c r="C1797" s="26" t="s">
        <v>814</v>
      </c>
      <c r="E1797" s="20" t="str">
        <f t="shared" si="204"/>
        <v/>
      </c>
      <c r="F1797" s="21" t="str">
        <f>IF(OR(E1797="",E1797="!!!"),"",IF(NOT(ISNA(VLOOKUP(E1797,E$1:E1796,1,FALSE()))),"OLD",IF(AND(E1797&lt;&gt;"",E1797&lt;&gt;"!!!"),"NEW","")))</f>
        <v/>
      </c>
      <c r="G1797" s="22" t="str">
        <f>IF(OR(E1797="",E1797="!!!"),"",IF(OR(J1797=0,AND(J1797=1,K1797=1),AND(J1797=1,I1797="SBJ"),AND(J1797=1,I1797=0)),"?IN_FOCUS",IF(J1797&lt;=2,"?ACTIVATED",IF(J1797&lt;&gt;"","?FAMILIAR",IF(F1797="NEW",IF(ISNA(VLOOKUP(E1797,#REF!,1,FALSE())),"?TYPE_IDENTIFIABLE","?REFERENTIAL"),"_")))))</f>
        <v/>
      </c>
      <c r="H1797" s="23" t="str">
        <f t="shared" ca="1" si="205"/>
        <v/>
      </c>
      <c r="I1797" s="24" t="str">
        <f>IF(OR(E1797="",E1797="!!!",F1797="NEW"),"",INDEX(B$2:B1796,-1+SUMPRODUCT(MAX(ROW(E$2:E1796)*(E1797=E$2:E1796)))))</f>
        <v/>
      </c>
      <c r="J1797" s="24" t="str">
        <f ca="1">IF(OR(E1797="",E1797="!!!",F1797="NEW"),"",COUNTBLANK(OFFSET(A$1,,,SUMPRODUCT(MAX(ROW(E$2:E1797)*(E1797=E$2:E1797)))))-COUNTBLANK(OFFSET(A$1,,,SUMPRODUCT(MAX(ROW(E$1:E1796)*(E2=E$1:E1796))))))</f>
        <v/>
      </c>
      <c r="K1797" s="24" t="str">
        <f>IF(OR(E1797="",E1797="!!!",F1797="NEW"),"",INDEX(J$1:J1796,SUMPRODUCT(MAX(ROW(E$1:E1796)*(E1797=E$1:E1796)))))</f>
        <v/>
      </c>
      <c r="L1797" s="25"/>
    </row>
    <row r="1798" spans="1:12" x14ac:dyDescent="0.2">
      <c r="A1798" t="s">
        <v>16</v>
      </c>
      <c r="E1798" s="20" t="str">
        <f t="shared" si="204"/>
        <v/>
      </c>
      <c r="F1798" s="21" t="str">
        <f>IF(OR(E1798="",E1798="!!!"),"",IF(NOT(ISNA(VLOOKUP(E1798,E$1:E1797,1,FALSE()))),"OLD",IF(AND(E1798&lt;&gt;"",E1798&lt;&gt;"!!!"),"NEW","")))</f>
        <v/>
      </c>
      <c r="G1798" s="22" t="str">
        <f>IF(OR(E1798="",E1798="!!!"),"",IF(OR(J1798=0,AND(J1798=1,K1798=1),AND(J1798=1,I1798="SBJ"),AND(J1798=1,I1798=0)),"?IN_FOCUS",IF(J1798&lt;=2,"?ACTIVATED",IF(J1798&lt;&gt;"","?FAMILIAR",IF(F1798="NEW",IF(ISNA(VLOOKUP(E1798,#REF!,1,FALSE())),"?TYPE_IDENTIFIABLE","?REFERENTIAL"),"_")))))</f>
        <v/>
      </c>
      <c r="H1798" s="23" t="str">
        <f t="shared" ca="1" si="205"/>
        <v/>
      </c>
      <c r="I1798" s="24" t="str">
        <f>IF(OR(E1798="",E1798="!!!",F1798="NEW"),"",INDEX(B$2:B1797,-1+SUMPRODUCT(MAX(ROW(E$2:E1797)*(E1798=E$2:E1797)))))</f>
        <v/>
      </c>
      <c r="J1798" s="24" t="str">
        <f ca="1">IF(OR(E1798="",E1798="!!!",F1798="NEW"),"",COUNTBLANK(OFFSET(A$1,,,SUMPRODUCT(MAX(ROW(E$2:E1798)*(E1798=E$2:E1798)))))-COUNTBLANK(OFFSET(A$1,,,SUMPRODUCT(MAX(ROW(E$1:E1797)*(E2=E$1:E1797))))))</f>
        <v/>
      </c>
      <c r="K1798" s="24" t="str">
        <f>IF(OR(E1798="",E1798="!!!",F1798="NEW"),"",INDEX(J$1:J1797,SUMPRODUCT(MAX(ROW(E$1:E1797)*(E1798=E$1:E1797)))))</f>
        <v/>
      </c>
      <c r="L1798" s="25"/>
    </row>
    <row r="1799" spans="1:12" x14ac:dyDescent="0.2">
      <c r="A1799" t="s">
        <v>1397</v>
      </c>
      <c r="E1799" s="20" t="str">
        <f t="shared" si="204"/>
        <v/>
      </c>
      <c r="F1799" s="21" t="str">
        <f>IF(OR(E1799="",E1799="!!!"),"",IF(NOT(ISNA(VLOOKUP(E1799,E$1:E1798,1,FALSE()))),"OLD",IF(AND(E1799&lt;&gt;"",E1799&lt;&gt;"!!!"),"NEW","")))</f>
        <v/>
      </c>
      <c r="G1799" s="22" t="str">
        <f>IF(OR(E1799="",E1799="!!!"),"",IF(OR(J1799=0,AND(J1799=1,K1799=1),AND(J1799=1,I1799="SBJ"),AND(J1799=1,I1799=0)),"?IN_FOCUS",IF(J1799&lt;=2,"?ACTIVATED",IF(J1799&lt;&gt;"","?FAMILIAR",IF(F1799="NEW",IF(ISNA(VLOOKUP(E1799,#REF!,1,FALSE())),"?TYPE_IDENTIFIABLE","?REFERENTIAL"),"_")))))</f>
        <v/>
      </c>
      <c r="H1799" s="23" t="str">
        <f t="shared" ca="1" si="205"/>
        <v/>
      </c>
      <c r="I1799" s="24" t="str">
        <f>IF(OR(E1799="",E1799="!!!",F1799="NEW"),"",INDEX(B$2:B1798,-1+SUMPRODUCT(MAX(ROW(E$2:E1798)*(E1799=E$2:E1798)))))</f>
        <v/>
      </c>
      <c r="J1799" s="24" t="str">
        <f ca="1">IF(OR(E1799="",E1799="!!!",F1799="NEW"),"",COUNTBLANK(OFFSET(A$1,,,SUMPRODUCT(MAX(ROW(E$2:E1799)*(E1799=E$2:E1799)))))-COUNTBLANK(OFFSET(A$1,,,SUMPRODUCT(MAX(ROW(E$1:E1798)*(E2=E$1:E1798))))))</f>
        <v/>
      </c>
      <c r="K1799" s="24" t="str">
        <f>IF(OR(E1799="",E1799="!!!",F1799="NEW"),"",INDEX(J$1:J1798,SUMPRODUCT(MAX(ROW(E$1:E1798)*(E1799=E$1:E1798)))))</f>
        <v/>
      </c>
      <c r="L1799" s="25"/>
    </row>
    <row r="1800" spans="1:12" x14ac:dyDescent="0.2">
      <c r="A1800" t="s">
        <v>821</v>
      </c>
      <c r="E1800" s="20" t="str">
        <f t="shared" si="204"/>
        <v/>
      </c>
      <c r="F1800" s="21" t="str">
        <f>IF(OR(E1800="",E1800="!!!"),"",IF(NOT(ISNA(VLOOKUP(E1800,E$1:E1799,1,FALSE()))),"OLD",IF(AND(E1800&lt;&gt;"",E1800&lt;&gt;"!!!"),"NEW","")))</f>
        <v/>
      </c>
      <c r="G1800" s="22" t="str">
        <f>IF(OR(E1800="",E1800="!!!"),"",IF(OR(J1800=0,AND(J1800=1,K1800=1),AND(J1800=1,I1800="SBJ"),AND(J1800=1,I1800=0)),"?IN_FOCUS",IF(J1800&lt;=2,"?ACTIVATED",IF(J1800&lt;&gt;"","?FAMILIAR",IF(F1800="NEW",IF(ISNA(VLOOKUP(E1800,#REF!,1,FALSE())),"?TYPE_IDENTIFIABLE","?REFERENTIAL"),"_")))))</f>
        <v/>
      </c>
      <c r="H1800" s="23" t="str">
        <f t="shared" ca="1" si="205"/>
        <v/>
      </c>
      <c r="I1800" s="24" t="str">
        <f>IF(OR(E1800="",E1800="!!!",F1800="NEW"),"",INDEX(B$2:B1799,-1+SUMPRODUCT(MAX(ROW(E$2:E1799)*(E1800=E$2:E1799)))))</f>
        <v/>
      </c>
      <c r="J1800" s="24" t="str">
        <f ca="1">IF(OR(E1800="",E1800="!!!",F1800="NEW"),"",COUNTBLANK(OFFSET(A$1,,,SUMPRODUCT(MAX(ROW(E$2:E1800)*(E1800=E$2:E1800)))))-COUNTBLANK(OFFSET(A$1,,,SUMPRODUCT(MAX(ROW(E$1:E1799)*(E2=E$1:E1799))))))</f>
        <v/>
      </c>
      <c r="K1800" s="24" t="str">
        <f>IF(OR(E1800="",E1800="!!!",F1800="NEW"),"",INDEX(J$1:J1799,SUMPRODUCT(MAX(ROW(E$1:E1799)*(E1800=E$1:E1799)))))</f>
        <v/>
      </c>
      <c r="L1800" s="25"/>
    </row>
    <row r="1802" spans="1:12" x14ac:dyDescent="0.2">
      <c r="A1802" t="s">
        <v>1398</v>
      </c>
    </row>
    <row r="1803" spans="1:12" x14ac:dyDescent="0.2">
      <c r="A1803" t="s">
        <v>953</v>
      </c>
      <c r="E1803" s="20" t="str">
        <f>IF(D1803="?OLD","!!!","")</f>
        <v/>
      </c>
      <c r="F1803" s="21" t="str">
        <f>IF(OR(E1803="",E1803="!!!"),"",IF(NOT(ISNA(VLOOKUP(E1803,E$1:E1802,1,FALSE()))),"OLD",IF(AND(E1803&lt;&gt;"",E1803&lt;&gt;"!!!"),"NEW","")))</f>
        <v/>
      </c>
      <c r="G1803" s="22" t="str">
        <f>IF(OR(E1803="",E1803="!!!"),"",IF(OR(J1803=0,AND(J1803=1,K1803=1),AND(J1803=1,I1803="SBJ"),AND(J1803=1,I1803=0)),"?IN_FOCUS",IF(J1803&lt;=2,"?ACTIVATED",IF(J1803&lt;&gt;"","?FAMILIAR",IF(F1803="NEW",IF(ISNA(VLOOKUP(E1803,#REF!,1,FALSE())),"?TYPE_IDENTIFIABLE","?REFERENTIAL"),"_")))))</f>
        <v/>
      </c>
      <c r="H1803" s="23" t="str">
        <f ca="1">IF(J1803&lt;&gt;1,"",IF(I1803="SBJ","CB","?"))</f>
        <v/>
      </c>
      <c r="I1803" s="24" t="str">
        <f>IF(OR(E1803="",E1803="!!!",F1803="NEW"),"",INDEX(B$2:B1802,-1+SUMPRODUCT(MAX(ROW(E$2:E1802)*(E1803=E$2:E1802)))))</f>
        <v/>
      </c>
      <c r="J1803" s="24" t="str">
        <f ca="1">IF(OR(E1803="",E1803="!!!",F1803="NEW"),"",COUNTBLANK(OFFSET(A$1,,,SUMPRODUCT(MAX(ROW(E$2:E1803)*(E1803=E$2:E1803)))))-COUNTBLANK(OFFSET(A$1,,,SUMPRODUCT(MAX(ROW(E$1:E1802)*(E2=E$1:E1802))))))</f>
        <v/>
      </c>
      <c r="K1803" s="24" t="str">
        <f>IF(OR(E1803="",E1803="!!!",F1803="NEW"),"",INDEX(J$1:J1802,SUMPRODUCT(MAX(ROW(E$1:E1802)*(E1803=E$1:E1802)))))</f>
        <v/>
      </c>
      <c r="L1803" s="25"/>
    </row>
    <row r="1804" spans="1:12" x14ac:dyDescent="0.2">
      <c r="A1804" t="s">
        <v>963</v>
      </c>
      <c r="E1804" s="20" t="str">
        <f>IF(D1804="?OLD","!!!","")</f>
        <v/>
      </c>
      <c r="F1804" s="21" t="str">
        <f>IF(OR(E1804="",E1804="!!!"),"",IF(NOT(ISNA(VLOOKUP(E1804,E$1:E1803,1,FALSE()))),"OLD",IF(AND(E1804&lt;&gt;"",E1804&lt;&gt;"!!!"),"NEW","")))</f>
        <v/>
      </c>
      <c r="G1804" s="22" t="str">
        <f>IF(OR(E1804="",E1804="!!!"),"",IF(OR(J1804=0,AND(J1804=1,K1804=1),AND(J1804=1,I1804="SBJ"),AND(J1804=1,I1804=0)),"?IN_FOCUS",IF(J1804&lt;=2,"?ACTIVATED",IF(J1804&lt;&gt;"","?FAMILIAR",IF(F1804="NEW",IF(ISNA(VLOOKUP(E1804,#REF!,1,FALSE())),"?TYPE_IDENTIFIABLE","?REFERENTIAL"),"_")))))</f>
        <v/>
      </c>
      <c r="H1804" s="23" t="str">
        <f ca="1">IF(J1804&lt;&gt;1,"",IF(I1804="SBJ","CB","?"))</f>
        <v/>
      </c>
      <c r="I1804" s="24" t="str">
        <f>IF(OR(E1804="",E1804="!!!",F1804="NEW"),"",INDEX(B$2:B1803,-1+SUMPRODUCT(MAX(ROW(E$2:E1803)*(E1804=E$2:E1803)))))</f>
        <v/>
      </c>
      <c r="J1804" s="24" t="str">
        <f ca="1">IF(OR(E1804="",E1804="!!!",F1804="NEW"),"",COUNTBLANK(OFFSET(A$1,,,SUMPRODUCT(MAX(ROW(E$2:E1804)*(E1804=E$2:E1804)))))-COUNTBLANK(OFFSET(A$1,,,SUMPRODUCT(MAX(ROW(E$1:E1803)*(E2=E$1:E1803))))))</f>
        <v/>
      </c>
      <c r="K1804" s="24" t="str">
        <f>IF(OR(E1804="",E1804="!!!",F1804="NEW"),"",INDEX(J$1:J1803,SUMPRODUCT(MAX(ROW(E$1:E1803)*(E1804=E$1:E1803)))))</f>
        <v/>
      </c>
      <c r="L1804" s="25"/>
    </row>
    <row r="1805" spans="1:12" x14ac:dyDescent="0.2">
      <c r="A1805" t="s">
        <v>1083</v>
      </c>
      <c r="E1805" s="20" t="str">
        <f>IF(D1805="?OLD","!!!","")</f>
        <v/>
      </c>
      <c r="F1805" s="21" t="str">
        <f>IF(OR(E1805="",E1805="!!!"),"",IF(NOT(ISNA(VLOOKUP(E1805,E$1:E1804,1,FALSE()))),"OLD",IF(AND(E1805&lt;&gt;"",E1805&lt;&gt;"!!!"),"NEW","")))</f>
        <v/>
      </c>
      <c r="G1805" s="22" t="str">
        <f>IF(OR(E1805="",E1805="!!!"),"",IF(OR(J1805=0,AND(J1805=1,K1805=1),AND(J1805=1,I1805="SBJ"),AND(J1805=1,I1805=0)),"?IN_FOCUS",IF(J1805&lt;=2,"?ACTIVATED",IF(J1805&lt;&gt;"","?FAMILIAR",IF(F1805="NEW",IF(ISNA(VLOOKUP(E1805,#REF!,1,FALSE())),"?TYPE_IDENTIFIABLE","?REFERENTIAL"),"_")))))</f>
        <v/>
      </c>
      <c r="H1805" s="23" t="str">
        <f ca="1">IF(J1805&lt;&gt;1,"",IF(I1805="SBJ","CB","?"))</f>
        <v/>
      </c>
      <c r="I1805" s="24" t="str">
        <f>IF(OR(E1805="",E1805="!!!",F1805="NEW"),"",INDEX(B$2:B1804,-1+SUMPRODUCT(MAX(ROW(E$2:E1804)*(E1805=E$2:E1804)))))</f>
        <v/>
      </c>
      <c r="J1805" s="24" t="str">
        <f ca="1">IF(OR(E1805="",E1805="!!!",F1805="NEW"),"",COUNTBLANK(OFFSET(A$1,,,SUMPRODUCT(MAX(ROW(E$2:E1805)*(E1805=E$2:E1805)))))-COUNTBLANK(OFFSET(A$1,,,SUMPRODUCT(MAX(ROW(E$1:E1804)*(E2=E$1:E1804))))))</f>
        <v/>
      </c>
      <c r="K1805" s="24" t="str">
        <f>IF(OR(E1805="",E1805="!!!",F1805="NEW"),"",INDEX(J$1:J1804,SUMPRODUCT(MAX(ROW(E$1:E1804)*(E1805=E$1:E1804)))))</f>
        <v/>
      </c>
      <c r="L1805" s="25"/>
    </row>
    <row r="1806" spans="1:12" x14ac:dyDescent="0.2">
      <c r="A1806" t="s">
        <v>152</v>
      </c>
      <c r="B1806" s="26" t="s">
        <v>804</v>
      </c>
      <c r="C1806" s="26" t="s">
        <v>884</v>
      </c>
      <c r="E1806" s="20" t="str">
        <f>IF(D1806="?OLD","!!!","")</f>
        <v/>
      </c>
      <c r="F1806" s="21" t="str">
        <f>IF(OR(E1806="",E1806="!!!"),"",IF(NOT(ISNA(VLOOKUP(E1806,E$1:E1805,1,FALSE()))),"OLD",IF(AND(E1806&lt;&gt;"",E1806&lt;&gt;"!!!"),"NEW","")))</f>
        <v/>
      </c>
      <c r="G1806" s="22" t="str">
        <f>IF(OR(E1806="",E1806="!!!"),"",IF(OR(J1806=0,AND(J1806=1,K1806=1),AND(J1806=1,I1806="SBJ"),AND(J1806=1,I1806=0)),"?IN_FOCUS",IF(J1806&lt;=2,"?ACTIVATED",IF(J1806&lt;&gt;"","?FAMILIAR",IF(F1806="NEW",IF(ISNA(VLOOKUP(E1806,#REF!,1,FALSE())),"?TYPE_IDENTIFIABLE","?REFERENTIAL"),"_")))))</f>
        <v/>
      </c>
      <c r="H1806" s="23" t="str">
        <f ca="1">IF(J1806&lt;&gt;1,"",IF(I1806="SBJ","CB","?"))</f>
        <v/>
      </c>
      <c r="I1806" s="24" t="str">
        <f>IF(OR(E1806="",E1806="!!!",F1806="NEW"),"",INDEX(B$2:B1805,-1+SUMPRODUCT(MAX(ROW(E$2:E1805)*(E1806=E$2:E1805)))))</f>
        <v/>
      </c>
      <c r="J1806" s="24" t="str">
        <f ca="1">IF(OR(E1806="",E1806="!!!",F1806="NEW"),"",COUNTBLANK(OFFSET(A$1,,,SUMPRODUCT(MAX(ROW(E$2:E1806)*(E1806=E$2:E1806)))))-COUNTBLANK(OFFSET(A$1,,,SUMPRODUCT(MAX(ROW(E$1:E1805)*(E2=E$1:E1805))))))</f>
        <v/>
      </c>
      <c r="K1806" s="24" t="str">
        <f>IF(OR(E1806="",E1806="!!!",F1806="NEW"),"",INDEX(J$1:J1805,SUMPRODUCT(MAX(ROW(E$1:E1805)*(E1806=E$1:E1805)))))</f>
        <v/>
      </c>
      <c r="L1806" s="25"/>
    </row>
    <row r="1807" spans="1:12" x14ac:dyDescent="0.2">
      <c r="A1807" t="s">
        <v>821</v>
      </c>
      <c r="E1807" s="20" t="str">
        <f>IF(D1807="?OLD","!!!","")</f>
        <v/>
      </c>
      <c r="F1807" s="21" t="str">
        <f>IF(OR(E1807="",E1807="!!!"),"",IF(NOT(ISNA(VLOOKUP(E1807,E$1:E1806,1,FALSE()))),"OLD",IF(AND(E1807&lt;&gt;"",E1807&lt;&gt;"!!!"),"NEW","")))</f>
        <v/>
      </c>
      <c r="G1807" s="22" t="str">
        <f>IF(OR(E1807="",E1807="!!!"),"",IF(OR(J1807=0,AND(J1807=1,K1807=1),AND(J1807=1,I1807="SBJ"),AND(J1807=1,I1807=0)),"?IN_FOCUS",IF(J1807&lt;=2,"?ACTIVATED",IF(J1807&lt;&gt;"","?FAMILIAR",IF(F1807="NEW",IF(ISNA(VLOOKUP(E1807,#REF!,1,FALSE())),"?TYPE_IDENTIFIABLE","?REFERENTIAL"),"_")))))</f>
        <v/>
      </c>
      <c r="H1807" s="23" t="str">
        <f ca="1">IF(J1807&lt;&gt;1,"",IF(I1807="SBJ","CB","?"))</f>
        <v/>
      </c>
      <c r="I1807" s="24" t="str">
        <f>IF(OR(E1807="",E1807="!!!",F1807="NEW"),"",INDEX(B$2:B1806,-1+SUMPRODUCT(MAX(ROW(E$2:E1806)*(E1807=E$2:E1806)))))</f>
        <v/>
      </c>
      <c r="J1807" s="24" t="str">
        <f ca="1">IF(OR(E1807="",E1807="!!!",F1807="NEW"),"",COUNTBLANK(OFFSET(A$1,,,SUMPRODUCT(MAX(ROW(E$2:E1807)*(E1807=E$2:E1807)))))-COUNTBLANK(OFFSET(A$1,,,SUMPRODUCT(MAX(ROW(E$1:E1806)*(E2=E$1:E1806))))))</f>
        <v/>
      </c>
      <c r="K1807" s="24" t="str">
        <f>IF(OR(E1807="",E1807="!!!",F1807="NEW"),"",INDEX(J$1:J1806,SUMPRODUCT(MAX(ROW(E$1:E1806)*(E1807=E$1:E1806)))))</f>
        <v/>
      </c>
      <c r="L1807" s="25"/>
    </row>
    <row r="1809" spans="1:12" x14ac:dyDescent="0.2">
      <c r="A1809" t="s">
        <v>1399</v>
      </c>
    </row>
    <row r="1810" spans="1:12" x14ac:dyDescent="0.2">
      <c r="A1810" t="s">
        <v>1400</v>
      </c>
      <c r="E1810" s="20" t="str">
        <f t="shared" ref="E1810:E1821" si="206">IF(D1810="?OLD","!!!","")</f>
        <v/>
      </c>
      <c r="F1810" s="21" t="str">
        <f>IF(OR(E1810="",E1810="!!!"),"",IF(NOT(ISNA(VLOOKUP(E1810,E$1:E1809,1,FALSE()))),"OLD",IF(AND(E1810&lt;&gt;"",E1810&lt;&gt;"!!!"),"NEW","")))</f>
        <v/>
      </c>
      <c r="G1810" s="22" t="str">
        <f>IF(OR(E1810="",E1810="!!!"),"",IF(OR(J1810=0,AND(J1810=1,K1810=1),AND(J1810=1,I1810="SBJ"),AND(J1810=1,I1810=0)),"?IN_FOCUS",IF(J1810&lt;=2,"?ACTIVATED",IF(J1810&lt;&gt;"","?FAMILIAR",IF(F1810="NEW",IF(ISNA(VLOOKUP(E1810,#REF!,1,FALSE())),"?TYPE_IDENTIFIABLE","?REFERENTIAL"),"_")))))</f>
        <v/>
      </c>
      <c r="H1810" s="23" t="str">
        <f t="shared" ref="H1810:H1821" ca="1" si="207">IF(J1810&lt;&gt;1,"",IF(I1810="SBJ","CB","?"))</f>
        <v/>
      </c>
      <c r="I1810" s="24" t="str">
        <f>IF(OR(E1810="",E1810="!!!",F1810="NEW"),"",INDEX(B$2:B1809,-1+SUMPRODUCT(MAX(ROW(E$2:E1809)*(E1810=E$2:E1809)))))</f>
        <v/>
      </c>
      <c r="J1810" s="24" t="str">
        <f ca="1">IF(OR(E1810="",E1810="!!!",F1810="NEW"),"",COUNTBLANK(OFFSET(A$1,,,SUMPRODUCT(MAX(ROW(E$2:E1810)*(E1810=E$2:E1810)))))-COUNTBLANK(OFFSET(A$1,,,SUMPRODUCT(MAX(ROW(E$1:E1809)*(E2=E$1:E1809))))))</f>
        <v/>
      </c>
      <c r="K1810" s="24" t="str">
        <f>IF(OR(E1810="",E1810="!!!",F1810="NEW"),"",INDEX(J$1:J1809,SUMPRODUCT(MAX(ROW(E$1:E1809)*(E1810=E$1:E1809)))))</f>
        <v/>
      </c>
      <c r="L1810" s="25"/>
    </row>
    <row r="1811" spans="1:12" x14ac:dyDescent="0.2">
      <c r="A1811" t="s">
        <v>467</v>
      </c>
      <c r="E1811" s="20" t="str">
        <f t="shared" si="206"/>
        <v/>
      </c>
      <c r="F1811" s="21" t="str">
        <f>IF(OR(E1811="",E1811="!!!"),"",IF(NOT(ISNA(VLOOKUP(E1811,E$1:E1810,1,FALSE()))),"OLD",IF(AND(E1811&lt;&gt;"",E1811&lt;&gt;"!!!"),"NEW","")))</f>
        <v/>
      </c>
      <c r="G1811" s="22" t="str">
        <f>IF(OR(E1811="",E1811="!!!"),"",IF(OR(J1811=0,AND(J1811=1,K1811=1),AND(J1811=1,I1811="SBJ"),AND(J1811=1,I1811=0)),"?IN_FOCUS",IF(J1811&lt;=2,"?ACTIVATED",IF(J1811&lt;&gt;"","?FAMILIAR",IF(F1811="NEW",IF(ISNA(VLOOKUP(E1811,#REF!,1,FALSE())),"?TYPE_IDENTIFIABLE","?REFERENTIAL"),"_")))))</f>
        <v/>
      </c>
      <c r="H1811" s="23" t="str">
        <f t="shared" ca="1" si="207"/>
        <v/>
      </c>
      <c r="I1811" s="24" t="str">
        <f>IF(OR(E1811="",E1811="!!!",F1811="NEW"),"",INDEX(B$2:B1810,-1+SUMPRODUCT(MAX(ROW(E$2:E1810)*(E1811=E$2:E1810)))))</f>
        <v/>
      </c>
      <c r="J1811" s="24" t="str">
        <f ca="1">IF(OR(E1811="",E1811="!!!",F1811="NEW"),"",COUNTBLANK(OFFSET(A$1,,,SUMPRODUCT(MAX(ROW(E$2:E1811)*(E1811=E$2:E1811)))))-COUNTBLANK(OFFSET(A$1,,,SUMPRODUCT(MAX(ROW(E$1:E1810)*(E2=E$1:E1810))))))</f>
        <v/>
      </c>
      <c r="K1811" s="24" t="str">
        <f>IF(OR(E1811="",E1811="!!!",F1811="NEW"),"",INDEX(J$1:J1810,SUMPRODUCT(MAX(ROW(E$1:E1810)*(E1811=E$1:E1810)))))</f>
        <v/>
      </c>
      <c r="L1811" s="25"/>
    </row>
    <row r="1812" spans="1:12" x14ac:dyDescent="0.2">
      <c r="A1812" t="s">
        <v>812</v>
      </c>
      <c r="E1812" s="20" t="str">
        <f t="shared" si="206"/>
        <v/>
      </c>
      <c r="F1812" s="21" t="str">
        <f>IF(OR(E1812="",E1812="!!!"),"",IF(NOT(ISNA(VLOOKUP(E1812,E$1:E1811,1,FALSE()))),"OLD",IF(AND(E1812&lt;&gt;"",E1812&lt;&gt;"!!!"),"NEW","")))</f>
        <v/>
      </c>
      <c r="G1812" s="22" t="str">
        <f>IF(OR(E1812="",E1812="!!!"),"",IF(OR(J1812=0,AND(J1812=1,K1812=1),AND(J1812=1,I1812="SBJ"),AND(J1812=1,I1812=0)),"?IN_FOCUS",IF(J1812&lt;=2,"?ACTIVATED",IF(J1812&lt;&gt;"","?FAMILIAR",IF(F1812="NEW",IF(ISNA(VLOOKUP(E1812,#REF!,1,FALSE())),"?TYPE_IDENTIFIABLE","?REFERENTIAL"),"_")))))</f>
        <v/>
      </c>
      <c r="H1812" s="23" t="str">
        <f t="shared" ca="1" si="207"/>
        <v/>
      </c>
      <c r="I1812" s="24" t="str">
        <f>IF(OR(E1812="",E1812="!!!",F1812="NEW"),"",INDEX(B$2:B1811,-1+SUMPRODUCT(MAX(ROW(E$2:E1811)*(E1812=E$2:E1811)))))</f>
        <v/>
      </c>
      <c r="J1812" s="24" t="str">
        <f ca="1">IF(OR(E1812="",E1812="!!!",F1812="NEW"),"",COUNTBLANK(OFFSET(A$1,,,SUMPRODUCT(MAX(ROW(E$2:E1812)*(E1812=E$2:E1812)))))-COUNTBLANK(OFFSET(A$1,,,SUMPRODUCT(MAX(ROW(E$1:E1811)*(E2=E$1:E1811))))))</f>
        <v/>
      </c>
      <c r="K1812" s="24" t="str">
        <f>IF(OR(E1812="",E1812="!!!",F1812="NEW"),"",INDEX(J$1:J1811,SUMPRODUCT(MAX(ROW(E$1:E1811)*(E1812=E$1:E1811)))))</f>
        <v/>
      </c>
      <c r="L1812" s="25"/>
    </row>
    <row r="1813" spans="1:12" x14ac:dyDescent="0.2">
      <c r="A1813" t="s">
        <v>809</v>
      </c>
      <c r="E1813" s="20" t="str">
        <f t="shared" si="206"/>
        <v/>
      </c>
      <c r="F1813" s="21" t="str">
        <f>IF(OR(E1813="",E1813="!!!"),"",IF(NOT(ISNA(VLOOKUP(E1813,E$1:E1812,1,FALSE()))),"OLD",IF(AND(E1813&lt;&gt;"",E1813&lt;&gt;"!!!"),"NEW","")))</f>
        <v/>
      </c>
      <c r="G1813" s="22" t="str">
        <f>IF(OR(E1813="",E1813="!!!"),"",IF(OR(J1813=0,AND(J1813=1,K1813=1),AND(J1813=1,I1813="SBJ"),AND(J1813=1,I1813=0)),"?IN_FOCUS",IF(J1813&lt;=2,"?ACTIVATED",IF(J1813&lt;&gt;"","?FAMILIAR",IF(F1813="NEW",IF(ISNA(VLOOKUP(E1813,#REF!,1,FALSE())),"?TYPE_IDENTIFIABLE","?REFERENTIAL"),"_")))))</f>
        <v/>
      </c>
      <c r="H1813" s="23" t="str">
        <f t="shared" ca="1" si="207"/>
        <v/>
      </c>
      <c r="I1813" s="24" t="str">
        <f>IF(OR(E1813="",E1813="!!!",F1813="NEW"),"",INDEX(B$2:B1812,-1+SUMPRODUCT(MAX(ROW(E$2:E1812)*(E1813=E$2:E1812)))))</f>
        <v/>
      </c>
      <c r="J1813" s="24" t="str">
        <f ca="1">IF(OR(E1813="",E1813="!!!",F1813="NEW"),"",COUNTBLANK(OFFSET(A$1,,,SUMPRODUCT(MAX(ROW(E$2:E1813)*(E1813=E$2:E1813)))))-COUNTBLANK(OFFSET(A$1,,,SUMPRODUCT(MAX(ROW(E$1:E1812)*(E2=E$1:E1812))))))</f>
        <v/>
      </c>
      <c r="K1813" s="24" t="str">
        <f>IF(OR(E1813="",E1813="!!!",F1813="NEW"),"",INDEX(J$1:J1812,SUMPRODUCT(MAX(ROW(E$1:E1812)*(E1813=E$1:E1812)))))</f>
        <v/>
      </c>
      <c r="L1813" s="25"/>
    </row>
    <row r="1814" spans="1:12" x14ac:dyDescent="0.2">
      <c r="A1814" t="s">
        <v>530</v>
      </c>
      <c r="B1814" s="26" t="s">
        <v>819</v>
      </c>
      <c r="C1814" s="26" t="s">
        <v>811</v>
      </c>
      <c r="E1814" s="20" t="s">
        <v>530</v>
      </c>
      <c r="F1814" s="21" t="str">
        <f>IF(OR(E1814="",E1814="!!!"),"",IF(NOT(ISNA(VLOOKUP(E1814,E$1:E1813,1,FALSE()))),"OLD",IF(AND(E1814&lt;&gt;"",E1814&lt;&gt;"!!!"),"NEW","")))</f>
        <v>NEW</v>
      </c>
      <c r="G1814" s="22" t="s">
        <v>1827</v>
      </c>
      <c r="H1814" s="23" t="str">
        <f t="shared" ca="1" si="207"/>
        <v/>
      </c>
      <c r="I1814" s="24" t="str">
        <f>IF(OR(E1814="",E1814="!!!",F1814="NEW"),"",INDEX(B$2:B1813,-1+SUMPRODUCT(MAX(ROW(E$2:E1813)*(E1814=E$2:E1813)))))</f>
        <v/>
      </c>
      <c r="J1814" s="24" t="str">
        <f ca="1">IF(OR(E1814="",E1814="!!!",F1814="NEW"),"",COUNTBLANK(OFFSET(A$1,,,SUMPRODUCT(MAX(ROW(E$2:E1814)*(E1814=E$2:E1814)))))-COUNTBLANK(OFFSET(A$1,,,SUMPRODUCT(MAX(ROW(E$1:E1813)*(E2=E$1:E1813))))))</f>
        <v/>
      </c>
      <c r="K1814" s="24" t="str">
        <f>IF(OR(E1814="",E1814="!!!",F1814="NEW"),"",INDEX(J$1:J1813,SUMPRODUCT(MAX(ROW(E$1:E1813)*(E1814=E$1:E1813)))))</f>
        <v/>
      </c>
      <c r="L1814" s="25"/>
    </row>
    <row r="1815" spans="1:12" x14ac:dyDescent="0.2">
      <c r="A1815" t="s">
        <v>1060</v>
      </c>
      <c r="B1815" s="26" t="s">
        <v>891</v>
      </c>
      <c r="E1815" s="20" t="str">
        <f t="shared" si="206"/>
        <v/>
      </c>
      <c r="F1815" s="21" t="str">
        <f>IF(OR(E1815="",E1815="!!!"),"",IF(NOT(ISNA(VLOOKUP(E1815,E$1:E1814,1,FALSE()))),"OLD",IF(AND(E1815&lt;&gt;"",E1815&lt;&gt;"!!!"),"NEW","")))</f>
        <v/>
      </c>
      <c r="G1815" s="22" t="str">
        <f>IF(OR(E1815="",E1815="!!!"),"",IF(OR(J1815=0,AND(J1815=1,K1815=1),AND(J1815=1,I1815="SBJ"),AND(J1815=1,I1815=0)),"?IN_FOCUS",IF(J1815&lt;=2,"?ACTIVATED",IF(J1815&lt;&gt;"","?FAMILIAR",IF(F1815="NEW",IF(ISNA(VLOOKUP(E1815,#REF!,1,FALSE())),"?TYPE_IDENTIFIABLE","?REFERENTIAL"),"_")))))</f>
        <v/>
      </c>
      <c r="H1815" s="23" t="str">
        <f t="shared" ca="1" si="207"/>
        <v/>
      </c>
      <c r="I1815" s="24" t="str">
        <f>IF(OR(E1815="",E1815="!!!",F1815="NEW"),"",INDEX(B$2:B1814,-1+SUMPRODUCT(MAX(ROW(E$2:E1814)*(E1815=E$2:E1814)))))</f>
        <v/>
      </c>
      <c r="J1815" s="24" t="str">
        <f ca="1">IF(OR(E1815="",E1815="!!!",F1815="NEW"),"",COUNTBLANK(OFFSET(A$1,,,SUMPRODUCT(MAX(ROW(E$2:E1815)*(E1815=E$2:E1815)))))-COUNTBLANK(OFFSET(A$1,,,SUMPRODUCT(MAX(ROW(E$1:E1814)*(E2=E$1:E1814))))))</f>
        <v/>
      </c>
      <c r="K1815" s="24" t="str">
        <f>IF(OR(E1815="",E1815="!!!",F1815="NEW"),"",INDEX(J$1:J1814,SUMPRODUCT(MAX(ROW(E$1:E1814)*(E1815=E$1:E1814)))))</f>
        <v/>
      </c>
      <c r="L1815" s="25"/>
    </row>
    <row r="1816" spans="1:12" x14ac:dyDescent="0.2">
      <c r="A1816" t="s">
        <v>998</v>
      </c>
      <c r="E1816" s="20" t="str">
        <f t="shared" si="206"/>
        <v/>
      </c>
      <c r="F1816" s="21" t="str">
        <f>IF(OR(E1816="",E1816="!!!"),"",IF(NOT(ISNA(VLOOKUP(E1816,E$1:E1815,1,FALSE()))),"OLD",IF(AND(E1816&lt;&gt;"",E1816&lt;&gt;"!!!"),"NEW","")))</f>
        <v/>
      </c>
      <c r="G1816" s="22" t="str">
        <f>IF(OR(E1816="",E1816="!!!"),"",IF(OR(J1816=0,AND(J1816=1,K1816=1),AND(J1816=1,I1816="SBJ"),AND(J1816=1,I1816=0)),"?IN_FOCUS",IF(J1816&lt;=2,"?ACTIVATED",IF(J1816&lt;&gt;"","?FAMILIAR",IF(F1816="NEW",IF(ISNA(VLOOKUP(E1816,#REF!,1,FALSE())),"?TYPE_IDENTIFIABLE","?REFERENTIAL"),"_")))))</f>
        <v/>
      </c>
      <c r="H1816" s="23" t="str">
        <f t="shared" ca="1" si="207"/>
        <v/>
      </c>
      <c r="I1816" s="24" t="str">
        <f>IF(OR(E1816="",E1816="!!!",F1816="NEW"),"",INDEX(B$2:B1815,-1+SUMPRODUCT(MAX(ROW(E$2:E1815)*(E1816=E$2:E1815)))))</f>
        <v/>
      </c>
      <c r="J1816" s="24" t="str">
        <f ca="1">IF(OR(E1816="",E1816="!!!",F1816="NEW"),"",COUNTBLANK(OFFSET(A$1,,,SUMPRODUCT(MAX(ROW(E$2:E1816)*(E1816=E$2:E1816)))))-COUNTBLANK(OFFSET(A$1,,,SUMPRODUCT(MAX(ROW(E$1:E1815)*(E2=E$1:E1815))))))</f>
        <v/>
      </c>
      <c r="K1816" s="24" t="str">
        <f>IF(OR(E1816="",E1816="!!!",F1816="NEW"),"",INDEX(J$1:J1815,SUMPRODUCT(MAX(ROW(E$1:E1815)*(E1816=E$1:E1815)))))</f>
        <v/>
      </c>
      <c r="L1816" s="25"/>
    </row>
    <row r="1817" spans="1:12" x14ac:dyDescent="0.2">
      <c r="A1817" t="s">
        <v>999</v>
      </c>
      <c r="E1817" s="20" t="str">
        <f t="shared" si="206"/>
        <v/>
      </c>
      <c r="F1817" s="21" t="str">
        <f>IF(OR(E1817="",E1817="!!!"),"",IF(NOT(ISNA(VLOOKUP(E1817,E$1:E1816,1,FALSE()))),"OLD",IF(AND(E1817&lt;&gt;"",E1817&lt;&gt;"!!!"),"NEW","")))</f>
        <v/>
      </c>
      <c r="G1817" s="22" t="str">
        <f>IF(OR(E1817="",E1817="!!!"),"",IF(OR(J1817=0,AND(J1817=1,K1817=1),AND(J1817=1,I1817="SBJ"),AND(J1817=1,I1817=0)),"?IN_FOCUS",IF(J1817&lt;=2,"?ACTIVATED",IF(J1817&lt;&gt;"","?FAMILIAR",IF(F1817="NEW",IF(ISNA(VLOOKUP(E1817,#REF!,1,FALSE())),"?TYPE_IDENTIFIABLE","?REFERENTIAL"),"_")))))</f>
        <v/>
      </c>
      <c r="H1817" s="23" t="str">
        <f t="shared" ca="1" si="207"/>
        <v/>
      </c>
      <c r="I1817" s="24" t="str">
        <f>IF(OR(E1817="",E1817="!!!",F1817="NEW"),"",INDEX(B$2:B1816,-1+SUMPRODUCT(MAX(ROW(E$2:E1816)*(E1817=E$2:E1816)))))</f>
        <v/>
      </c>
      <c r="J1817" s="24" t="str">
        <f ca="1">IF(OR(E1817="",E1817="!!!",F1817="NEW"),"",COUNTBLANK(OFFSET(A$1,,,SUMPRODUCT(MAX(ROW(E$2:E1817)*(E1817=E$2:E1817)))))-COUNTBLANK(OFFSET(A$1,,,SUMPRODUCT(MAX(ROW(E$1:E1816)*(E2=E$1:E1816))))))</f>
        <v/>
      </c>
      <c r="K1817" s="24" t="str">
        <f>IF(OR(E1817="",E1817="!!!",F1817="NEW"),"",INDEX(J$1:J1816,SUMPRODUCT(MAX(ROW(E$1:E1816)*(E1817=E$1:E1816)))))</f>
        <v/>
      </c>
      <c r="L1817" s="25"/>
    </row>
    <row r="1818" spans="1:12" x14ac:dyDescent="0.2">
      <c r="A1818" t="s">
        <v>152</v>
      </c>
      <c r="E1818" s="20" t="str">
        <f t="shared" si="206"/>
        <v/>
      </c>
      <c r="F1818" s="21" t="str">
        <f>IF(OR(E1818="",E1818="!!!"),"",IF(NOT(ISNA(VLOOKUP(E1818,E$1:E1817,1,FALSE()))),"OLD",IF(AND(E1818&lt;&gt;"",E1818&lt;&gt;"!!!"),"NEW","")))</f>
        <v/>
      </c>
      <c r="G1818" s="22" t="str">
        <f>IF(OR(E1818="",E1818="!!!"),"",IF(OR(J1818=0,AND(J1818=1,K1818=1),AND(J1818=1,I1818="SBJ"),AND(J1818=1,I1818=0)),"?IN_FOCUS",IF(J1818&lt;=2,"?ACTIVATED",IF(J1818&lt;&gt;"","?FAMILIAR",IF(F1818="NEW",IF(ISNA(VLOOKUP(E1818,#REF!,1,FALSE())),"?TYPE_IDENTIFIABLE","?REFERENTIAL"),"_")))))</f>
        <v/>
      </c>
      <c r="H1818" s="23" t="str">
        <f t="shared" ca="1" si="207"/>
        <v/>
      </c>
      <c r="I1818" s="24" t="str">
        <f>IF(OR(E1818="",E1818="!!!",F1818="NEW"),"",INDEX(B$2:B1817,-1+SUMPRODUCT(MAX(ROW(E$2:E1817)*(E1818=E$2:E1817)))))</f>
        <v/>
      </c>
      <c r="J1818" s="24" t="str">
        <f ca="1">IF(OR(E1818="",E1818="!!!",F1818="NEW"),"",COUNTBLANK(OFFSET(A$1,,,SUMPRODUCT(MAX(ROW(E$2:E1818)*(E1818=E$2:E1818)))))-COUNTBLANK(OFFSET(A$1,,,SUMPRODUCT(MAX(ROW(E$1:E1817)*(E2=E$1:E1817))))))</f>
        <v/>
      </c>
      <c r="K1818" s="24" t="str">
        <f>IF(OR(E1818="",E1818="!!!",F1818="NEW"),"",INDEX(J$1:J1817,SUMPRODUCT(MAX(ROW(E$1:E1817)*(E1818=E$1:E1817)))))</f>
        <v/>
      </c>
      <c r="L1818" s="25"/>
    </row>
    <row r="1819" spans="1:12" x14ac:dyDescent="0.2">
      <c r="A1819" t="s">
        <v>1401</v>
      </c>
      <c r="B1819" s="26" t="s">
        <v>899</v>
      </c>
      <c r="C1819" s="26" t="s">
        <v>817</v>
      </c>
      <c r="D1819" s="26" t="s">
        <v>806</v>
      </c>
      <c r="E1819" s="20"/>
      <c r="F1819" s="21" t="s">
        <v>1793</v>
      </c>
      <c r="G1819" s="22" t="str">
        <f>IF(OR(E1819="",E1819="!!!"),"",IF(OR(J1819=0,AND(J1819=1,K1819=1),AND(J1819=1,I1819="SBJ"),AND(J1819=1,I1819=0)),"?IN_FOCUS",IF(J1819&lt;=2,"?ACTIVATED",IF(J1819&lt;&gt;"","?FAMILIAR",IF(F1819="NEW",IF(ISNA(VLOOKUP(E1819,#REF!,1,FALSE())),"?TYPE_IDENTIFIABLE","?REFERENTIAL"),"_")))))</f>
        <v/>
      </c>
      <c r="H1819" s="23" t="str">
        <f t="shared" ca="1" si="207"/>
        <v/>
      </c>
      <c r="I1819" s="24" t="str">
        <f>IF(OR(E1819="",E1819="!!!",F1819="NEW"),"",INDEX(B$2:B1818,-1+SUMPRODUCT(MAX(ROW(E$2:E1818)*(E1819=E$2:E1818)))))</f>
        <v/>
      </c>
      <c r="J1819" s="24" t="str">
        <f ca="1">IF(OR(E1819="",E1819="!!!",F1819="NEW"),"",COUNTBLANK(OFFSET(A$1,,,SUMPRODUCT(MAX(ROW(E$2:E1819)*(E1819=E$2:E1819)))))-COUNTBLANK(OFFSET(A$1,,,SUMPRODUCT(MAX(ROW(E$1:E1818)*(E2=E$1:E1818))))))</f>
        <v/>
      </c>
      <c r="K1819" s="24" t="str">
        <f>IF(OR(E1819="",E1819="!!!",F1819="NEW"),"",INDEX(J$1:J1818,SUMPRODUCT(MAX(ROW(E$1:E1818)*(E1819=E$1:E1818)))))</f>
        <v/>
      </c>
      <c r="L1819" s="25"/>
    </row>
    <row r="1820" spans="1:12" x14ac:dyDescent="0.2">
      <c r="A1820" t="s">
        <v>1402</v>
      </c>
      <c r="B1820" s="26" t="s">
        <v>871</v>
      </c>
      <c r="C1820" s="26" t="s">
        <v>820</v>
      </c>
      <c r="D1820" s="26" t="s">
        <v>806</v>
      </c>
      <c r="E1820" s="20" t="s">
        <v>1402</v>
      </c>
      <c r="F1820" s="21" t="str">
        <f>IF(OR(E1820="",E1820="!!!"),"",IF(NOT(ISNA(VLOOKUP(E1820,E$1:E1819,1,FALSE()))),"OLD",IF(AND(E1820&lt;&gt;"",E1820&lt;&gt;"!!!"),"NEW","")))</f>
        <v>NEW</v>
      </c>
      <c r="G1820" s="22" t="s">
        <v>1824</v>
      </c>
      <c r="H1820" s="23" t="str">
        <f t="shared" ca="1" si="207"/>
        <v/>
      </c>
      <c r="I1820" s="24" t="str">
        <f>IF(OR(E1820="",E1820="!!!",F1820="NEW"),"",INDEX(B$2:B1819,-1+SUMPRODUCT(MAX(ROW(E$2:E1819)*(E1820=E$2:E1819)))))</f>
        <v/>
      </c>
      <c r="J1820" s="24" t="str">
        <f ca="1">IF(OR(E1820="",E1820="!!!",F1820="NEW"),"",COUNTBLANK(OFFSET(A$1,,,SUMPRODUCT(MAX(ROW(E$2:E1820)*(E1820=E$2:E1820)))))-COUNTBLANK(OFFSET(A$1,,,SUMPRODUCT(MAX(ROW(E$1:E1819)*(E2=E$1:E1819))))))</f>
        <v/>
      </c>
      <c r="K1820" s="24" t="str">
        <f>IF(OR(E1820="",E1820="!!!",F1820="NEW"),"",INDEX(J$1:J1819,SUMPRODUCT(MAX(ROW(E$1:E1819)*(E1820=E$1:E1819)))))</f>
        <v/>
      </c>
      <c r="L1820" s="25"/>
    </row>
    <row r="1821" spans="1:12" x14ac:dyDescent="0.2">
      <c r="A1821" t="s">
        <v>922</v>
      </c>
      <c r="E1821" s="20" t="str">
        <f t="shared" si="206"/>
        <v/>
      </c>
      <c r="F1821" s="21" t="str">
        <f>IF(OR(E1821="",E1821="!!!"),"",IF(NOT(ISNA(VLOOKUP(E1821,E$1:E1820,1,FALSE()))),"OLD",IF(AND(E1821&lt;&gt;"",E1821&lt;&gt;"!!!"),"NEW","")))</f>
        <v/>
      </c>
      <c r="G1821" s="22" t="str">
        <f>IF(OR(E1821="",E1821="!!!"),"",IF(OR(J1821=0,AND(J1821=1,K1821=1),AND(J1821=1,I1821="SBJ"),AND(J1821=1,I1821=0)),"?IN_FOCUS",IF(J1821&lt;=2,"?ACTIVATED",IF(J1821&lt;&gt;"","?FAMILIAR",IF(F1821="NEW",IF(ISNA(VLOOKUP(E1821,#REF!,1,FALSE())),"?TYPE_IDENTIFIABLE","?REFERENTIAL"),"_")))))</f>
        <v/>
      </c>
      <c r="H1821" s="23" t="str">
        <f t="shared" ca="1" si="207"/>
        <v/>
      </c>
      <c r="I1821" s="24" t="str">
        <f>IF(OR(E1821="",E1821="!!!",F1821="NEW"),"",INDEX(B$2:B1820,-1+SUMPRODUCT(MAX(ROW(E$2:E1820)*(E1821=E$2:E1820)))))</f>
        <v/>
      </c>
      <c r="J1821" s="24" t="str">
        <f ca="1">IF(OR(E1821="",E1821="!!!",F1821="NEW"),"",COUNTBLANK(OFFSET(A$1,,,SUMPRODUCT(MAX(ROW(E$2:E1821)*(E1821=E$2:E1821)))))-COUNTBLANK(OFFSET(A$1,,,SUMPRODUCT(MAX(ROW(E$1:E1820)*(E2=E$1:E1820))))))</f>
        <v/>
      </c>
      <c r="K1821" s="24" t="str">
        <f>IF(OR(E1821="",E1821="!!!",F1821="NEW"),"",INDEX(J$1:J1820,SUMPRODUCT(MAX(ROW(E$1:E1820)*(E1821=E$1:E1820)))))</f>
        <v/>
      </c>
      <c r="L1821" s="25"/>
    </row>
    <row r="1823" spans="1:12" x14ac:dyDescent="0.2">
      <c r="A1823" t="s">
        <v>900</v>
      </c>
      <c r="E1823" s="20" t="str">
        <f>IF(D1823="?OLD","!!!","")</f>
        <v/>
      </c>
      <c r="F1823" s="21" t="str">
        <f>IF(OR(E1823="",E1823="!!!"),"",IF(NOT(ISNA(VLOOKUP(E1823,E$1:E1822,1,FALSE()))),"OLD",IF(AND(E1823&lt;&gt;"",E1823&lt;&gt;"!!!"),"NEW","")))</f>
        <v/>
      </c>
      <c r="G1823" s="22" t="str">
        <f>IF(OR(E1823="",E1823="!!!"),"",IF(OR(J1823=0,AND(J1823=1,K1823=1),AND(J1823=1,I1823="SBJ"),AND(J1823=1,I1823=0)),"?IN_FOCUS",IF(J1823&lt;=2,"?ACTIVATED",IF(J1823&lt;&gt;"","?FAMILIAR",IF(F1823="NEW",IF(ISNA(VLOOKUP(E1823,#REF!,1,FALSE())),"?TYPE_IDENTIFIABLE","?REFERENTIAL"),"_")))))</f>
        <v/>
      </c>
      <c r="H1823" s="23" t="str">
        <f ca="1">IF(J1823&lt;&gt;1,"",IF(I1823="SBJ","CB","?"))</f>
        <v/>
      </c>
      <c r="I1823" s="24" t="str">
        <f>IF(OR(E1823="",E1823="!!!",F1823="NEW"),"",INDEX(B$2:B1822,-1+SUMPRODUCT(MAX(ROW(E$2:E1822)*(E1823=E$2:E1822)))))</f>
        <v/>
      </c>
      <c r="J1823" s="24" t="str">
        <f ca="1">IF(OR(E1823="",E1823="!!!",F1823="NEW"),"",COUNTBLANK(OFFSET(A$1,,,SUMPRODUCT(MAX(ROW(E$2:E1823)*(E1823=E$2:E1823)))))-COUNTBLANK(OFFSET(A$1,,,SUMPRODUCT(MAX(ROW(E$1:E1822)*(E2=E$1:E1822))))))</f>
        <v/>
      </c>
      <c r="K1823" s="24" t="str">
        <f>IF(OR(E1823="",E1823="!!!",F1823="NEW"),"",INDEX(J$1:J1822,SUMPRODUCT(MAX(ROW(E$1:E1822)*(E1823=E$1:E1822)))))</f>
        <v/>
      </c>
      <c r="L1823" s="25"/>
    </row>
    <row r="1824" spans="1:12" x14ac:dyDescent="0.2">
      <c r="A1824" t="s">
        <v>1403</v>
      </c>
    </row>
    <row r="1825" spans="1:12" x14ac:dyDescent="0.2">
      <c r="A1825" t="s">
        <v>1404</v>
      </c>
      <c r="E1825" s="20" t="str">
        <f t="shared" ref="E1825:E1871" si="208">IF(D1825="?OLD","!!!","")</f>
        <v/>
      </c>
      <c r="F1825" s="21" t="str">
        <f>IF(OR(E1825="",E1825="!!!"),"",IF(NOT(ISNA(VLOOKUP(E1825,E$1:E1824,1,FALSE()))),"OLD",IF(AND(E1825&lt;&gt;"",E1825&lt;&gt;"!!!"),"NEW","")))</f>
        <v/>
      </c>
      <c r="G1825" s="22" t="str">
        <f>IF(OR(E1825="",E1825="!!!"),"",IF(OR(J1825=0,AND(J1825=1,K1825=1),AND(J1825=1,I1825="SBJ"),AND(J1825=1,I1825=0)),"?IN_FOCUS",IF(J1825&lt;=2,"?ACTIVATED",IF(J1825&lt;&gt;"","?FAMILIAR",IF(F1825="NEW",IF(ISNA(VLOOKUP(E1825,#REF!,1,FALSE())),"?TYPE_IDENTIFIABLE","?REFERENTIAL"),"_")))))</f>
        <v/>
      </c>
      <c r="H1825" s="23" t="str">
        <f t="shared" ref="H1825:H1871" ca="1" si="209">IF(J1825&lt;&gt;1,"",IF(I1825="SBJ","CB","?"))</f>
        <v/>
      </c>
      <c r="I1825" s="24" t="str">
        <f>IF(OR(E1825="",E1825="!!!",F1825="NEW"),"",INDEX(B$2:B1824,-1+SUMPRODUCT(MAX(ROW(E$2:E1824)*(E1825=E$2:E1824)))))</f>
        <v/>
      </c>
      <c r="J1825" s="24" t="str">
        <f ca="1">IF(OR(E1825="",E1825="!!!",F1825="NEW"),"",COUNTBLANK(OFFSET(A$1,,,SUMPRODUCT(MAX(ROW(E$2:E1825)*(E1825=E$2:E1825)))))-COUNTBLANK(OFFSET(A$1,,,SUMPRODUCT(MAX(ROW(E$1:E1824)*(E2=E$1:E1824))))))</f>
        <v/>
      </c>
      <c r="K1825" s="24" t="str">
        <f>IF(OR(E1825="",E1825="!!!",F1825="NEW"),"",INDEX(J$1:J1824,SUMPRODUCT(MAX(ROW(E$1:E1824)*(E1825=E$1:E1824)))))</f>
        <v/>
      </c>
      <c r="L1825" s="25"/>
    </row>
    <row r="1826" spans="1:12" x14ac:dyDescent="0.2">
      <c r="A1826" t="s">
        <v>1060</v>
      </c>
      <c r="E1826" s="20" t="str">
        <f t="shared" si="208"/>
        <v/>
      </c>
      <c r="F1826" s="21" t="str">
        <f>IF(OR(E1826="",E1826="!!!"),"",IF(NOT(ISNA(VLOOKUP(E1826,E$1:E1825,1,FALSE()))),"OLD",IF(AND(E1826&lt;&gt;"",E1826&lt;&gt;"!!!"),"NEW","")))</f>
        <v/>
      </c>
      <c r="G1826" s="22" t="str">
        <f>IF(OR(E1826="",E1826="!!!"),"",IF(OR(J1826=0,AND(J1826=1,K1826=1),AND(J1826=1,I1826="SBJ"),AND(J1826=1,I1826=0)),"?IN_FOCUS",IF(J1826&lt;=2,"?ACTIVATED",IF(J1826&lt;&gt;"","?FAMILIAR",IF(F1826="NEW",IF(ISNA(VLOOKUP(E1826,#REF!,1,FALSE())),"?TYPE_IDENTIFIABLE","?REFERENTIAL"),"_")))))</f>
        <v/>
      </c>
      <c r="H1826" s="23" t="str">
        <f t="shared" ca="1" si="209"/>
        <v/>
      </c>
      <c r="I1826" s="24" t="str">
        <f>IF(OR(E1826="",E1826="!!!",F1826="NEW"),"",INDEX(B$2:B1825,-1+SUMPRODUCT(MAX(ROW(E$2:E1825)*(E1826=E$2:E1825)))))</f>
        <v/>
      </c>
      <c r="J1826" s="24" t="str">
        <f ca="1">IF(OR(E1826="",E1826="!!!",F1826="NEW"),"",COUNTBLANK(OFFSET(A$1,,,SUMPRODUCT(MAX(ROW(E$2:E1826)*(E1826=E$2:E1826)))))-COUNTBLANK(OFFSET(A$1,,,SUMPRODUCT(MAX(ROW(E$1:E1825)*(E2=E$1:E1825))))))</f>
        <v/>
      </c>
      <c r="K1826" s="24" t="str">
        <f>IF(OR(E1826="",E1826="!!!",F1826="NEW"),"",INDEX(J$1:J1825,SUMPRODUCT(MAX(ROW(E$1:E1825)*(E1826=E$1:E1825)))))</f>
        <v/>
      </c>
      <c r="L1826" s="25"/>
    </row>
    <row r="1827" spans="1:12" x14ac:dyDescent="0.2">
      <c r="A1827" t="s">
        <v>883</v>
      </c>
      <c r="B1827" s="26" t="s">
        <v>864</v>
      </c>
      <c r="C1827" s="26" t="s">
        <v>877</v>
      </c>
      <c r="D1827" s="26" t="s">
        <v>806</v>
      </c>
      <c r="E1827" s="20" t="s">
        <v>1794</v>
      </c>
      <c r="F1827" s="21" t="str">
        <f>IF(OR(E1827="",E1827="!!!"),"",IF(NOT(ISNA(VLOOKUP(E1827,E$1:E1826,1,FALSE()))),"OLD",IF(AND(E1827&lt;&gt;"",E1827&lt;&gt;"!!!"),"NEW","")))</f>
        <v>NEW</v>
      </c>
      <c r="G1827" s="22" t="s">
        <v>1820</v>
      </c>
      <c r="H1827" s="23" t="str">
        <f t="shared" ca="1" si="209"/>
        <v/>
      </c>
      <c r="I1827" s="24" t="str">
        <f>IF(OR(E1827="",E1827="!!!",F1827="NEW"),"",INDEX(B$2:B1826,-1+SUMPRODUCT(MAX(ROW(E$2:E1826)*(E1827=E$2:E1826)))))</f>
        <v/>
      </c>
      <c r="J1827" s="24" t="str">
        <f ca="1">IF(OR(E1827="",E1827="!!!",F1827="NEW"),"",COUNTBLANK(OFFSET(A$1,,,SUMPRODUCT(MAX(ROW(E$2:E1827)*(E1827=E$2:E1827)))))-COUNTBLANK(OFFSET(A$1,,,SUMPRODUCT(MAX(ROW(E$1:E1826)*(E2=E$1:E1826))))))</f>
        <v/>
      </c>
      <c r="K1827" s="24" t="str">
        <f>IF(OR(E1827="",E1827="!!!",F1827="NEW"),"",INDEX(J$1:J1826,SUMPRODUCT(MAX(ROW(E$1:E1826)*(E1827=E$1:E1826)))))</f>
        <v/>
      </c>
      <c r="L1827" s="25"/>
    </row>
    <row r="1828" spans="1:12" x14ac:dyDescent="0.2">
      <c r="A1828" t="s">
        <v>802</v>
      </c>
      <c r="E1828" s="20" t="str">
        <f t="shared" si="208"/>
        <v/>
      </c>
      <c r="F1828" s="21" t="str">
        <f>IF(OR(E1828="",E1828="!!!"),"",IF(NOT(ISNA(VLOOKUP(E1828,E$1:E1827,1,FALSE()))),"OLD",IF(AND(E1828&lt;&gt;"",E1828&lt;&gt;"!!!"),"NEW","")))</f>
        <v/>
      </c>
      <c r="G1828" s="22" t="str">
        <f>IF(OR(E1828="",E1828="!!!"),"",IF(OR(J1828=0,AND(J1828=1,K1828=1),AND(J1828=1,I1828="SBJ"),AND(J1828=1,I1828=0)),"?IN_FOCUS",IF(J1828&lt;=2,"?ACTIVATED",IF(J1828&lt;&gt;"","?FAMILIAR",IF(F1828="NEW",IF(ISNA(VLOOKUP(E1828,#REF!,1,FALSE())),"?TYPE_IDENTIFIABLE","?REFERENTIAL"),"_")))))</f>
        <v/>
      </c>
      <c r="H1828" s="23" t="str">
        <f t="shared" ca="1" si="209"/>
        <v/>
      </c>
      <c r="I1828" s="24" t="str">
        <f>IF(OR(E1828="",E1828="!!!",F1828="NEW"),"",INDEX(B$2:B1827,-1+SUMPRODUCT(MAX(ROW(E$2:E1827)*(E1828=E$2:E1827)))))</f>
        <v/>
      </c>
      <c r="J1828" s="24" t="str">
        <f ca="1">IF(OR(E1828="",E1828="!!!",F1828="NEW"),"",COUNTBLANK(OFFSET(A$1,,,SUMPRODUCT(MAX(ROW(E$2:E1828)*(E1828=E$2:E1828)))))-COUNTBLANK(OFFSET(A$1,,,SUMPRODUCT(MAX(ROW(E$1:E1827)*(E2=E$1:E1827))))))</f>
        <v/>
      </c>
      <c r="K1828" s="24" t="str">
        <f>IF(OR(E1828="",E1828="!!!",F1828="NEW"),"",INDEX(J$1:J1827,SUMPRODUCT(MAX(ROW(E$1:E1827)*(E1828=E$1:E1827)))))</f>
        <v/>
      </c>
      <c r="L1828" s="25"/>
    </row>
    <row r="1829" spans="1:12" x14ac:dyDescent="0.2">
      <c r="A1829" t="s">
        <v>803</v>
      </c>
      <c r="B1829" s="26" t="s">
        <v>950</v>
      </c>
      <c r="C1829" s="26" t="s">
        <v>805</v>
      </c>
      <c r="D1829" s="26" t="s">
        <v>806</v>
      </c>
      <c r="E1829" s="20" t="s">
        <v>1747</v>
      </c>
      <c r="F1829" s="21" t="s">
        <v>1753</v>
      </c>
      <c r="G1829" s="22" t="s">
        <v>1823</v>
      </c>
      <c r="H1829" s="23" t="str">
        <f t="shared" ca="1" si="209"/>
        <v/>
      </c>
      <c r="I1829" s="24" t="str">
        <f>IF(OR(E1829="",E1829="!!!",F1829="NEW"),"",INDEX(B$2:B1828,-1+SUMPRODUCT(MAX(ROW(E$2:E1828)*(E1829=E$2:E1828)))))</f>
        <v>OBJ_2</v>
      </c>
      <c r="J1829" s="24">
        <f ca="1">IF(OR(E1829="",E1829="!!!",F1829="NEW"),"",COUNTBLANK(OFFSET(A$1,,,SUMPRODUCT(MAX(ROW(E$2:E1829)*(E1829=E$2:E1829)))))-COUNTBLANK(OFFSET(A$1,,,SUMPRODUCT(MAX(ROW(E$1:E1828)*(E2=E$1:E1828))))))</f>
        <v>0</v>
      </c>
      <c r="K1829" s="24">
        <f ca="1">IF(OR(E1829="",E1829="!!!",F1829="NEW"),"",INDEX(J$1:J1828,SUMPRODUCT(MAX(ROW(E$1:E1828)*(E1829=E$1:E1828)))))</f>
        <v>0</v>
      </c>
      <c r="L1829" s="25"/>
    </row>
    <row r="1830" spans="1:12" x14ac:dyDescent="0.2">
      <c r="A1830" t="s">
        <v>831</v>
      </c>
      <c r="E1830" s="20" t="str">
        <f t="shared" si="208"/>
        <v/>
      </c>
      <c r="F1830" s="21" t="str">
        <f>IF(OR(E1830="",E1830="!!!"),"",IF(NOT(ISNA(VLOOKUP(E1830,E$1:E1829,1,FALSE()))),"OLD",IF(AND(E1830&lt;&gt;"",E1830&lt;&gt;"!!!"),"NEW","")))</f>
        <v/>
      </c>
      <c r="G1830" s="22" t="str">
        <f>IF(OR(E1830="",E1830="!!!"),"",IF(OR(J1830=0,AND(J1830=1,K1830=1),AND(J1830=1,I1830="SBJ"),AND(J1830=1,I1830=0)),"?IN_FOCUS",IF(J1830&lt;=2,"?ACTIVATED",IF(J1830&lt;&gt;"","?FAMILIAR",IF(F1830="NEW",IF(ISNA(VLOOKUP(E1830,#REF!,1,FALSE())),"?TYPE_IDENTIFIABLE","?REFERENTIAL"),"_")))))</f>
        <v/>
      </c>
      <c r="H1830" s="23" t="str">
        <f t="shared" ca="1" si="209"/>
        <v/>
      </c>
      <c r="I1830" s="24" t="str">
        <f>IF(OR(E1830="",E1830="!!!",F1830="NEW"),"",INDEX(B$2:B1829,-1+SUMPRODUCT(MAX(ROW(E$2:E1829)*(E1830=E$2:E1829)))))</f>
        <v/>
      </c>
      <c r="J1830" s="24" t="str">
        <f ca="1">IF(OR(E1830="",E1830="!!!",F1830="NEW"),"",COUNTBLANK(OFFSET(A$1,,,SUMPRODUCT(MAX(ROW(E$2:E1830)*(E1830=E$2:E1830)))))-COUNTBLANK(OFFSET(A$1,,,SUMPRODUCT(MAX(ROW(E$1:E1829)*(E2=E$1:E1829))))))</f>
        <v/>
      </c>
      <c r="K1830" s="24" t="str">
        <f>IF(OR(E1830="",E1830="!!!",F1830="NEW"),"",INDEX(J$1:J1829,SUMPRODUCT(MAX(ROW(E$1:E1829)*(E1830=E$1:E1829)))))</f>
        <v/>
      </c>
      <c r="L1830" s="25"/>
    </row>
    <row r="1831" spans="1:12" x14ac:dyDescent="0.2">
      <c r="A1831" t="s">
        <v>1405</v>
      </c>
      <c r="E1831" s="20" t="str">
        <f t="shared" si="208"/>
        <v/>
      </c>
      <c r="F1831" s="21" t="str">
        <f>IF(OR(E1831="",E1831="!!!"),"",IF(NOT(ISNA(VLOOKUP(E1831,E$1:E1830,1,FALSE()))),"OLD",IF(AND(E1831&lt;&gt;"",E1831&lt;&gt;"!!!"),"NEW","")))</f>
        <v/>
      </c>
      <c r="G1831" s="22" t="str">
        <f>IF(OR(E1831="",E1831="!!!"),"",IF(OR(J1831=0,AND(J1831=1,K1831=1),AND(J1831=1,I1831="SBJ"),AND(J1831=1,I1831=0)),"?IN_FOCUS",IF(J1831&lt;=2,"?ACTIVATED",IF(J1831&lt;&gt;"","?FAMILIAR",IF(F1831="NEW",IF(ISNA(VLOOKUP(E1831,#REF!,1,FALSE())),"?TYPE_IDENTIFIABLE","?REFERENTIAL"),"_")))))</f>
        <v/>
      </c>
      <c r="H1831" s="23" t="str">
        <f t="shared" ca="1" si="209"/>
        <v/>
      </c>
      <c r="I1831" s="24" t="str">
        <f>IF(OR(E1831="",E1831="!!!",F1831="NEW"),"",INDEX(B$2:B1830,-1+SUMPRODUCT(MAX(ROW(E$2:E1830)*(E1831=E$2:E1830)))))</f>
        <v/>
      </c>
      <c r="J1831" s="24" t="str">
        <f ca="1">IF(OR(E1831="",E1831="!!!",F1831="NEW"),"",COUNTBLANK(OFFSET(A$1,,,SUMPRODUCT(MAX(ROW(E$2:E1831)*(E1831=E$2:E1831)))))-COUNTBLANK(OFFSET(A$1,,,SUMPRODUCT(MAX(ROW(E$1:E1830)*(E2=E$1:E1830))))))</f>
        <v/>
      </c>
      <c r="K1831" s="24" t="str">
        <f>IF(OR(E1831="",E1831="!!!",F1831="NEW"),"",INDEX(J$1:J1830,SUMPRODUCT(MAX(ROW(E$1:E1830)*(E1831=E$1:E1830)))))</f>
        <v/>
      </c>
      <c r="L1831" s="25"/>
    </row>
    <row r="1832" spans="1:12" x14ac:dyDescent="0.2">
      <c r="A1832" t="s">
        <v>1077</v>
      </c>
      <c r="E1832" s="20" t="str">
        <f t="shared" si="208"/>
        <v/>
      </c>
      <c r="F1832" s="21" t="str">
        <f>IF(OR(E1832="",E1832="!!!"),"",IF(NOT(ISNA(VLOOKUP(E1832,E$1:E1831,1,FALSE()))),"OLD",IF(AND(E1832&lt;&gt;"",E1832&lt;&gt;"!!!"),"NEW","")))</f>
        <v/>
      </c>
      <c r="G1832" s="22" t="str">
        <f>IF(OR(E1832="",E1832="!!!"),"",IF(OR(J1832=0,AND(J1832=1,K1832=1),AND(J1832=1,I1832="SBJ"),AND(J1832=1,I1832=0)),"?IN_FOCUS",IF(J1832&lt;=2,"?ACTIVATED",IF(J1832&lt;&gt;"","?FAMILIAR",IF(F1832="NEW",IF(ISNA(VLOOKUP(E1832,#REF!,1,FALSE())),"?TYPE_IDENTIFIABLE","?REFERENTIAL"),"_")))))</f>
        <v/>
      </c>
      <c r="H1832" s="23" t="str">
        <f t="shared" ca="1" si="209"/>
        <v/>
      </c>
      <c r="I1832" s="24" t="str">
        <f>IF(OR(E1832="",E1832="!!!",F1832="NEW"),"",INDEX(B$2:B1831,-1+SUMPRODUCT(MAX(ROW(E$2:E1831)*(E1832=E$2:E1831)))))</f>
        <v/>
      </c>
      <c r="J1832" s="24" t="str">
        <f ca="1">IF(OR(E1832="",E1832="!!!",F1832="NEW"),"",COUNTBLANK(OFFSET(A$1,,,SUMPRODUCT(MAX(ROW(E$2:E1832)*(E1832=E$2:E1832)))))-COUNTBLANK(OFFSET(A$1,,,SUMPRODUCT(MAX(ROW(E$1:E1831)*(E2=E$1:E1831))))))</f>
        <v/>
      </c>
      <c r="K1832" s="24" t="str">
        <f>IF(OR(E1832="",E1832="!!!",F1832="NEW"),"",INDEX(J$1:J1831,SUMPRODUCT(MAX(ROW(E$1:E1831)*(E1832=E$1:E1831)))))</f>
        <v/>
      </c>
      <c r="L1832" s="25"/>
    </row>
    <row r="1833" spans="1:12" x14ac:dyDescent="0.2">
      <c r="A1833" t="s">
        <v>875</v>
      </c>
      <c r="E1833" s="20" t="str">
        <f t="shared" si="208"/>
        <v/>
      </c>
      <c r="F1833" s="21" t="str">
        <f>IF(OR(E1833="",E1833="!!!"),"",IF(NOT(ISNA(VLOOKUP(E1833,E$1:E1832,1,FALSE()))),"OLD",IF(AND(E1833&lt;&gt;"",E1833&lt;&gt;"!!!"),"NEW","")))</f>
        <v/>
      </c>
      <c r="G1833" s="22" t="str">
        <f>IF(OR(E1833="",E1833="!!!"),"",IF(OR(J1833=0,AND(J1833=1,K1833=1),AND(J1833=1,I1833="SBJ"),AND(J1833=1,I1833=0)),"?IN_FOCUS",IF(J1833&lt;=2,"?ACTIVATED",IF(J1833&lt;&gt;"","?FAMILIAR",IF(F1833="NEW",IF(ISNA(VLOOKUP(E1833,#REF!,1,FALSE())),"?TYPE_IDENTIFIABLE","?REFERENTIAL"),"_")))))</f>
        <v/>
      </c>
      <c r="H1833" s="23" t="str">
        <f t="shared" ca="1" si="209"/>
        <v/>
      </c>
      <c r="I1833" s="24" t="str">
        <f>IF(OR(E1833="",E1833="!!!",F1833="NEW"),"",INDEX(B$2:B1832,-1+SUMPRODUCT(MAX(ROW(E$2:E1832)*(E1833=E$2:E1832)))))</f>
        <v/>
      </c>
      <c r="J1833" s="24" t="str">
        <f ca="1">IF(OR(E1833="",E1833="!!!",F1833="NEW"),"",COUNTBLANK(OFFSET(A$1,,,SUMPRODUCT(MAX(ROW(E$2:E1833)*(E1833=E$2:E1833)))))-COUNTBLANK(OFFSET(A$1,,,SUMPRODUCT(MAX(ROW(E$1:E1832)*(E2=E$1:E1832))))))</f>
        <v/>
      </c>
      <c r="K1833" s="24" t="str">
        <f>IF(OR(E1833="",E1833="!!!",F1833="NEW"),"",INDEX(J$1:J1832,SUMPRODUCT(MAX(ROW(E$1:E1832)*(E1833=E$1:E1832)))))</f>
        <v/>
      </c>
      <c r="L1833" s="25"/>
    </row>
    <row r="1834" spans="1:12" x14ac:dyDescent="0.2">
      <c r="A1834" t="s">
        <v>1406</v>
      </c>
      <c r="B1834" s="26" t="s">
        <v>813</v>
      </c>
      <c r="C1834" s="26" t="s">
        <v>877</v>
      </c>
      <c r="D1834" s="26" t="s">
        <v>806</v>
      </c>
      <c r="E1834" s="20" t="s">
        <v>1776</v>
      </c>
      <c r="F1834" s="21" t="str">
        <f>IF(OR(E1834="",E1834="!!!"),"",IF(NOT(ISNA(VLOOKUP(E1834,E$1:E1833,1,FALSE()))),"OLD",IF(AND(E1834&lt;&gt;"",E1834&lt;&gt;"!!!"),"NEW","")))</f>
        <v>OLD</v>
      </c>
      <c r="G1834" s="22" t="s">
        <v>1822</v>
      </c>
      <c r="H1834" s="23" t="str">
        <f t="shared" ca="1" si="209"/>
        <v/>
      </c>
      <c r="I1834" s="24" t="str">
        <f>IF(OR(E1834="",E1834="!!!",F1834="NEW"),"",INDEX(B$2:B1833,-1+SUMPRODUCT(MAX(ROW(E$2:E1833)*(E1834=E$2:E1833)))))</f>
        <v>SBJ_2</v>
      </c>
      <c r="J1834" s="24">
        <f ca="1">IF(OR(E1834="",E1834="!!!",F1834="NEW"),"",COUNTBLANK(OFFSET(A$1,,,SUMPRODUCT(MAX(ROW(E$2:E1834)*(E1834=E$2:E1834)))))-COUNTBLANK(OFFSET(A$1,,,SUMPRODUCT(MAX(ROW(E$1:E1833)*(E2=E$1:E1833))))))</f>
        <v>0</v>
      </c>
      <c r="K1834" s="24">
        <f ca="1">IF(OR(E1834="",E1834="!!!",F1834="NEW"),"",INDEX(J$1:J1833,SUMPRODUCT(MAX(ROW(E$1:E1833)*(E1834=E$1:E1833)))))</f>
        <v>0</v>
      </c>
      <c r="L1834" s="25"/>
    </row>
    <row r="1835" spans="1:12" x14ac:dyDescent="0.2">
      <c r="A1835" t="s">
        <v>874</v>
      </c>
      <c r="E1835" s="20" t="str">
        <f t="shared" si="208"/>
        <v/>
      </c>
      <c r="F1835" s="21" t="str">
        <f>IF(OR(E1835="",E1835="!!!"),"",IF(NOT(ISNA(VLOOKUP(E1835,E$1:E1834,1,FALSE()))),"OLD",IF(AND(E1835&lt;&gt;"",E1835&lt;&gt;"!!!"),"NEW","")))</f>
        <v/>
      </c>
      <c r="G1835" s="22" t="str">
        <f>IF(OR(E1835="",E1835="!!!"),"",IF(OR(J1835=0,AND(J1835=1,K1835=1),AND(J1835=1,I1835="SBJ"),AND(J1835=1,I1835=0)),"?IN_FOCUS",IF(J1835&lt;=2,"?ACTIVATED",IF(J1835&lt;&gt;"","?FAMILIAR",IF(F1835="NEW",IF(ISNA(VLOOKUP(E1835,#REF!,1,FALSE())),"?TYPE_IDENTIFIABLE","?REFERENTIAL"),"_")))))</f>
        <v/>
      </c>
      <c r="H1835" s="23" t="str">
        <f t="shared" ca="1" si="209"/>
        <v/>
      </c>
      <c r="I1835" s="24" t="str">
        <f>IF(OR(E1835="",E1835="!!!",F1835="NEW"),"",INDEX(B$2:B1834,-1+SUMPRODUCT(MAX(ROW(E$2:E1834)*(E1835=E$2:E1834)))))</f>
        <v/>
      </c>
      <c r="J1835" s="24" t="str">
        <f ca="1">IF(OR(E1835="",E1835="!!!",F1835="NEW"),"",COUNTBLANK(OFFSET(A$1,,,SUMPRODUCT(MAX(ROW(E$2:E1835)*(E1835=E$2:E1835)))))-COUNTBLANK(OFFSET(A$1,,,SUMPRODUCT(MAX(ROW(E$1:E1834)*(E2=E$1:E1834))))))</f>
        <v/>
      </c>
      <c r="K1835" s="24" t="str">
        <f>IF(OR(E1835="",E1835="!!!",F1835="NEW"),"",INDEX(J$1:J1834,SUMPRODUCT(MAX(ROW(E$1:E1834)*(E1835=E$1:E1834)))))</f>
        <v/>
      </c>
      <c r="L1835" s="25"/>
    </row>
    <row r="1836" spans="1:12" x14ac:dyDescent="0.2">
      <c r="A1836" t="s">
        <v>1191</v>
      </c>
      <c r="B1836" s="26" t="s">
        <v>813</v>
      </c>
      <c r="C1836" s="26" t="s">
        <v>854</v>
      </c>
      <c r="D1836" s="26" t="s">
        <v>806</v>
      </c>
      <c r="E1836" s="20" t="s">
        <v>1175</v>
      </c>
      <c r="F1836" s="21" t="str">
        <f>IF(OR(E1836="",E1836="!!!"),"",IF(NOT(ISNA(VLOOKUP(E1836,E$1:E1835,1,FALSE()))),"OLD",IF(AND(E1836&lt;&gt;"",E1836&lt;&gt;"!!!"),"NEW","")))</f>
        <v>OLD</v>
      </c>
      <c r="G1836" s="22" t="s">
        <v>1822</v>
      </c>
      <c r="H1836" s="23" t="str">
        <f t="shared" ca="1" si="209"/>
        <v/>
      </c>
      <c r="I1836" s="24" t="str">
        <f>IF(OR(E1836="",E1836="!!!",F1836="NEW"),"",INDEX(B$2:B1835,-1+SUMPRODUCT(MAX(ROW(E$2:E1835)*(E1836=E$2:E1835)))))</f>
        <v>SBJ</v>
      </c>
      <c r="J1836" s="24">
        <f ca="1">IF(OR(E1836="",E1836="!!!",F1836="NEW"),"",COUNTBLANK(OFFSET(A$1,,,SUMPRODUCT(MAX(ROW(E$2:E1836)*(E1836=E$2:E1836)))))-COUNTBLANK(OFFSET(A$1,,,SUMPRODUCT(MAX(ROW(E$1:E1835)*(E2=E$1:E1835))))))</f>
        <v>0</v>
      </c>
      <c r="K1836" s="24">
        <f ca="1">IF(OR(E1836="",E1836="!!!",F1836="NEW"),"",INDEX(J$1:J1835,SUMPRODUCT(MAX(ROW(E$1:E1835)*(E1836=E$1:E1835)))))</f>
        <v>0</v>
      </c>
      <c r="L1836" s="25"/>
    </row>
    <row r="1837" spans="1:12" x14ac:dyDescent="0.2">
      <c r="A1837" t="s">
        <v>802</v>
      </c>
      <c r="E1837" s="20" t="str">
        <f t="shared" si="208"/>
        <v/>
      </c>
      <c r="F1837" s="21" t="str">
        <f>IF(OR(E1837="",E1837="!!!"),"",IF(NOT(ISNA(VLOOKUP(E1837,E$1:E1836,1,FALSE()))),"OLD",IF(AND(E1837&lt;&gt;"",E1837&lt;&gt;"!!!"),"NEW","")))</f>
        <v/>
      </c>
      <c r="G1837" s="22" t="str">
        <f>IF(OR(E1837="",E1837="!!!"),"",IF(OR(J1837=0,AND(J1837=1,K1837=1),AND(J1837=1,I1837="SBJ"),AND(J1837=1,I1837=0)),"?IN_FOCUS",IF(J1837&lt;=2,"?ACTIVATED",IF(J1837&lt;&gt;"","?FAMILIAR",IF(F1837="NEW",IF(ISNA(VLOOKUP(E1837,#REF!,1,FALSE())),"?TYPE_IDENTIFIABLE","?REFERENTIAL"),"_")))))</f>
        <v/>
      </c>
      <c r="H1837" s="23" t="str">
        <f t="shared" ca="1" si="209"/>
        <v/>
      </c>
      <c r="I1837" s="24" t="str">
        <f>IF(OR(E1837="",E1837="!!!",F1837="NEW"),"",INDEX(B$2:B1836,-1+SUMPRODUCT(MAX(ROW(E$2:E1836)*(E1837=E$2:E1836)))))</f>
        <v/>
      </c>
      <c r="J1837" s="24" t="str">
        <f ca="1">IF(OR(E1837="",E1837="!!!",F1837="NEW"),"",COUNTBLANK(OFFSET(A$1,,,SUMPRODUCT(MAX(ROW(E$2:E1837)*(E1837=E$2:E1837)))))-COUNTBLANK(OFFSET(A$1,,,SUMPRODUCT(MAX(ROW(E$1:E1836)*(E2=E$1:E1836))))))</f>
        <v/>
      </c>
      <c r="K1837" s="24" t="str">
        <f>IF(OR(E1837="",E1837="!!!",F1837="NEW"),"",INDEX(J$1:J1836,SUMPRODUCT(MAX(ROW(E$1:E1836)*(E1837=E$1:E1836)))))</f>
        <v/>
      </c>
      <c r="L1837" s="25"/>
    </row>
    <row r="1838" spans="1:12" x14ac:dyDescent="0.2">
      <c r="A1838" t="s">
        <v>888</v>
      </c>
      <c r="E1838" s="20" t="str">
        <f t="shared" si="208"/>
        <v/>
      </c>
      <c r="F1838" s="21" t="str">
        <f>IF(OR(E1838="",E1838="!!!"),"",IF(NOT(ISNA(VLOOKUP(E1838,E$1:E1837,1,FALSE()))),"OLD",IF(AND(E1838&lt;&gt;"",E1838&lt;&gt;"!!!"),"NEW","")))</f>
        <v/>
      </c>
      <c r="G1838" s="22" t="str">
        <f>IF(OR(E1838="",E1838="!!!"),"",IF(OR(J1838=0,AND(J1838=1,K1838=1),AND(J1838=1,I1838="SBJ"),AND(J1838=1,I1838=0)),"?IN_FOCUS",IF(J1838&lt;=2,"?ACTIVATED",IF(J1838&lt;&gt;"","?FAMILIAR",IF(F1838="NEW",IF(ISNA(VLOOKUP(E1838,#REF!,1,FALSE())),"?TYPE_IDENTIFIABLE","?REFERENTIAL"),"_")))))</f>
        <v/>
      </c>
      <c r="H1838" s="23" t="str">
        <f t="shared" ca="1" si="209"/>
        <v/>
      </c>
      <c r="I1838" s="24" t="str">
        <f>IF(OR(E1838="",E1838="!!!",F1838="NEW"),"",INDEX(B$2:B1837,-1+SUMPRODUCT(MAX(ROW(E$2:E1837)*(E1838=E$2:E1837)))))</f>
        <v/>
      </c>
      <c r="J1838" s="24" t="str">
        <f ca="1">IF(OR(E1838="",E1838="!!!",F1838="NEW"),"",COUNTBLANK(OFFSET(A$1,,,SUMPRODUCT(MAX(ROW(E$2:E1838)*(E1838=E$2:E1838)))))-COUNTBLANK(OFFSET(A$1,,,SUMPRODUCT(MAX(ROW(E$1:E1837)*(E2=E$1:E1837))))))</f>
        <v/>
      </c>
      <c r="K1838" s="24" t="str">
        <f>IF(OR(E1838="",E1838="!!!",F1838="NEW"),"",INDEX(J$1:J1837,SUMPRODUCT(MAX(ROW(E$1:E1837)*(E1838=E$1:E1837)))))</f>
        <v/>
      </c>
      <c r="L1838" s="25"/>
    </row>
    <row r="1839" spans="1:12" x14ac:dyDescent="0.2">
      <c r="A1839" t="s">
        <v>803</v>
      </c>
      <c r="B1839" s="26" t="s">
        <v>891</v>
      </c>
      <c r="C1839" s="26" t="s">
        <v>805</v>
      </c>
      <c r="D1839" s="26" t="s">
        <v>806</v>
      </c>
      <c r="E1839" s="20" t="s">
        <v>1747</v>
      </c>
      <c r="F1839" s="21" t="s">
        <v>1753</v>
      </c>
      <c r="G1839" s="22" t="s">
        <v>1823</v>
      </c>
      <c r="H1839" s="23" t="str">
        <f t="shared" ca="1" si="209"/>
        <v/>
      </c>
      <c r="I1839" s="24" t="str">
        <f>IF(OR(E1839="",E1839="!!!",F1839="NEW"),"",INDEX(B$2:B1838,-1+SUMPRODUCT(MAX(ROW(E$2:E1838)*(E1839=E$2:E1838)))))</f>
        <v>SBJ_2</v>
      </c>
      <c r="J1839" s="24">
        <f ca="1">IF(OR(E1839="",E1839="!!!",F1839="NEW"),"",COUNTBLANK(OFFSET(A$1,,,SUMPRODUCT(MAX(ROW(E$2:E1839)*(E1839=E$2:E1839)))))-COUNTBLANK(OFFSET(A$1,,,SUMPRODUCT(MAX(ROW(E$1:E1838)*(E2=E$1:E1838))))))</f>
        <v>0</v>
      </c>
      <c r="K1839" s="24">
        <f ca="1">IF(OR(E1839="",E1839="!!!",F1839="NEW"),"",INDEX(J$1:J1838,SUMPRODUCT(MAX(ROW(E$1:E1838)*(E1839=E$1:E1838)))))</f>
        <v>0</v>
      </c>
      <c r="L1839" s="25"/>
    </row>
    <row r="1840" spans="1:12" x14ac:dyDescent="0.2">
      <c r="A1840" t="s">
        <v>889</v>
      </c>
      <c r="E1840" s="20" t="str">
        <f t="shared" si="208"/>
        <v/>
      </c>
      <c r="F1840" s="21" t="str">
        <f>IF(OR(E1840="",E1840="!!!"),"",IF(NOT(ISNA(VLOOKUP(E1840,E$1:E1839,1,FALSE()))),"OLD",IF(AND(E1840&lt;&gt;"",E1840&lt;&gt;"!!!"),"NEW","")))</f>
        <v/>
      </c>
      <c r="G1840" s="22" t="str">
        <f>IF(OR(E1840="",E1840="!!!"),"",IF(OR(J1840=0,AND(J1840=1,K1840=1),AND(J1840=1,I1840="SBJ"),AND(J1840=1,I1840=0)),"?IN_FOCUS",IF(J1840&lt;=2,"?ACTIVATED",IF(J1840&lt;&gt;"","?FAMILIAR",IF(F1840="NEW",IF(ISNA(VLOOKUP(E1840,#REF!,1,FALSE())),"?TYPE_IDENTIFIABLE","?REFERENTIAL"),"_")))))</f>
        <v/>
      </c>
      <c r="H1840" s="23" t="str">
        <f t="shared" ca="1" si="209"/>
        <v/>
      </c>
      <c r="I1840" s="24" t="str">
        <f>IF(OR(E1840="",E1840="!!!",F1840="NEW"),"",INDEX(B$2:B1839,-1+SUMPRODUCT(MAX(ROW(E$2:E1839)*(E1840=E$2:E1839)))))</f>
        <v/>
      </c>
      <c r="J1840" s="24" t="str">
        <f ca="1">IF(OR(E1840="",E1840="!!!",F1840="NEW"),"",COUNTBLANK(OFFSET(A$1,,,SUMPRODUCT(MAX(ROW(E$2:E1840)*(E1840=E$2:E1840)))))-COUNTBLANK(OFFSET(A$1,,,SUMPRODUCT(MAX(ROW(E$1:E1839)*(E2=E$1:E1839))))))</f>
        <v/>
      </c>
      <c r="K1840" s="24" t="str">
        <f>IF(OR(E1840="",E1840="!!!",F1840="NEW"),"",INDEX(J$1:J1839,SUMPRODUCT(MAX(ROW(E$1:E1839)*(E1840=E$1:E1839)))))</f>
        <v/>
      </c>
      <c r="L1840" s="25"/>
    </row>
    <row r="1841" spans="1:12" x14ac:dyDescent="0.2">
      <c r="A1841" t="s">
        <v>1013</v>
      </c>
      <c r="B1841" s="26" t="s">
        <v>871</v>
      </c>
      <c r="C1841" s="26" t="s">
        <v>805</v>
      </c>
      <c r="D1841" s="26" t="s">
        <v>806</v>
      </c>
      <c r="E1841" s="20" t="s">
        <v>1175</v>
      </c>
      <c r="F1841" s="21" t="str">
        <f>IF(OR(E1841="",E1841="!!!"),"",IF(NOT(ISNA(VLOOKUP(E1841,E$1:E1840,1,FALSE()))),"OLD",IF(AND(E1841&lt;&gt;"",E1841&lt;&gt;"!!!"),"NEW","")))</f>
        <v>OLD</v>
      </c>
      <c r="G1841" s="22" t="s">
        <v>1822</v>
      </c>
      <c r="H1841" s="23" t="str">
        <f t="shared" ca="1" si="209"/>
        <v/>
      </c>
      <c r="I1841" s="24" t="str">
        <f>IF(OR(E1841="",E1841="!!!",F1841="NEW"),"",INDEX(B$2:B1840,-1+SUMPRODUCT(MAX(ROW(E$2:E1840)*(E1841=E$2:E1840)))))</f>
        <v>other_2</v>
      </c>
      <c r="J1841" s="24">
        <f ca="1">IF(OR(E1841="",E1841="!!!",F1841="NEW"),"",COUNTBLANK(OFFSET(A$1,,,SUMPRODUCT(MAX(ROW(E$2:E1841)*(E1841=E$2:E1841)))))-COUNTBLANK(OFFSET(A$1,,,SUMPRODUCT(MAX(ROW(E$1:E1840)*(E2=E$1:E1840))))))</f>
        <v>0</v>
      </c>
      <c r="K1841" s="24">
        <f ca="1">IF(OR(E1841="",E1841="!!!",F1841="NEW"),"",INDEX(J$1:J1840,SUMPRODUCT(MAX(ROW(E$1:E1840)*(E1841=E$1:E1840)))))</f>
        <v>0</v>
      </c>
      <c r="L1841" s="25"/>
    </row>
    <row r="1842" spans="1:12" x14ac:dyDescent="0.2">
      <c r="A1842" t="s">
        <v>802</v>
      </c>
      <c r="E1842" s="20" t="str">
        <f t="shared" si="208"/>
        <v/>
      </c>
      <c r="F1842" s="21" t="str">
        <f>IF(OR(E1842="",E1842="!!!"),"",IF(NOT(ISNA(VLOOKUP(E1842,E$1:E1841,1,FALSE()))),"OLD",IF(AND(E1842&lt;&gt;"",E1842&lt;&gt;"!!!"),"NEW","")))</f>
        <v/>
      </c>
      <c r="G1842" s="22" t="str">
        <f>IF(OR(E1842="",E1842="!!!"),"",IF(OR(J1842=0,AND(J1842=1,K1842=1),AND(J1842=1,I1842="SBJ"),AND(J1842=1,I1842=0)),"?IN_FOCUS",IF(J1842&lt;=2,"?ACTIVATED",IF(J1842&lt;&gt;"","?FAMILIAR",IF(F1842="NEW",IF(ISNA(VLOOKUP(E1842,#REF!,1,FALSE())),"?TYPE_IDENTIFIABLE","?REFERENTIAL"),"_")))))</f>
        <v/>
      </c>
      <c r="H1842" s="23" t="str">
        <f t="shared" ca="1" si="209"/>
        <v/>
      </c>
      <c r="I1842" s="24" t="str">
        <f>IF(OR(E1842="",E1842="!!!",F1842="NEW"),"",INDEX(B$2:B1841,-1+SUMPRODUCT(MAX(ROW(E$2:E1841)*(E1842=E$2:E1841)))))</f>
        <v/>
      </c>
      <c r="J1842" s="24" t="str">
        <f ca="1">IF(OR(E1842="",E1842="!!!",F1842="NEW"),"",COUNTBLANK(OFFSET(A$1,,,SUMPRODUCT(MAX(ROW(E$2:E1842)*(E1842=E$2:E1842)))))-COUNTBLANK(OFFSET(A$1,,,SUMPRODUCT(MAX(ROW(E$1:E1841)*(E2=E$1:E1841))))))</f>
        <v/>
      </c>
      <c r="K1842" s="24" t="str">
        <f>IF(OR(E1842="",E1842="!!!",F1842="NEW"),"",INDEX(J$1:J1841,SUMPRODUCT(MAX(ROW(E$1:E1841)*(E1842=E$1:E1841)))))</f>
        <v/>
      </c>
      <c r="L1842" s="25"/>
    </row>
    <row r="1843" spans="1:12" x14ac:dyDescent="0.2">
      <c r="A1843" t="s">
        <v>803</v>
      </c>
      <c r="B1843" s="26" t="s">
        <v>804</v>
      </c>
      <c r="C1843" s="26" t="s">
        <v>805</v>
      </c>
      <c r="D1843" s="26" t="s">
        <v>806</v>
      </c>
      <c r="E1843" s="20" t="s">
        <v>1747</v>
      </c>
      <c r="F1843" s="21" t="s">
        <v>1753</v>
      </c>
      <c r="G1843" s="22" t="s">
        <v>1823</v>
      </c>
      <c r="H1843" s="23" t="str">
        <f t="shared" ca="1" si="209"/>
        <v/>
      </c>
      <c r="I1843" s="24" t="str">
        <f>IF(OR(E1843="",E1843="!!!",F1843="NEW"),"",INDEX(B$2:B1842,-1+SUMPRODUCT(MAX(ROW(E$2:E1842)*(E1843=E$2:E1842)))))</f>
        <v>SBJ_3</v>
      </c>
      <c r="J1843" s="24">
        <f ca="1">IF(OR(E1843="",E1843="!!!",F1843="NEW"),"",COUNTBLANK(OFFSET(A$1,,,SUMPRODUCT(MAX(ROW(E$2:E1843)*(E1843=E$2:E1843)))))-COUNTBLANK(OFFSET(A$1,,,SUMPRODUCT(MAX(ROW(E$1:E1842)*(E2=E$1:E1842))))))</f>
        <v>0</v>
      </c>
      <c r="K1843" s="24">
        <f ca="1">IF(OR(E1843="",E1843="!!!",F1843="NEW"),"",INDEX(J$1:J1842,SUMPRODUCT(MAX(ROW(E$1:E1842)*(E1843=E$1:E1842)))))</f>
        <v>0</v>
      </c>
      <c r="L1843" s="25"/>
    </row>
    <row r="1844" spans="1:12" x14ac:dyDescent="0.2">
      <c r="A1844" t="s">
        <v>904</v>
      </c>
      <c r="E1844" s="20" t="str">
        <f t="shared" si="208"/>
        <v/>
      </c>
      <c r="F1844" s="21" t="str">
        <f>IF(OR(E1844="",E1844="!!!"),"",IF(NOT(ISNA(VLOOKUP(E1844,E$1:E1843,1,FALSE()))),"OLD",IF(AND(E1844&lt;&gt;"",E1844&lt;&gt;"!!!"),"NEW","")))</f>
        <v/>
      </c>
      <c r="G1844" s="22" t="str">
        <f>IF(OR(E1844="",E1844="!!!"),"",IF(OR(J1844=0,AND(J1844=1,K1844=1),AND(J1844=1,I1844="SBJ"),AND(J1844=1,I1844=0)),"?IN_FOCUS",IF(J1844&lt;=2,"?ACTIVATED",IF(J1844&lt;&gt;"","?FAMILIAR",IF(F1844="NEW",IF(ISNA(VLOOKUP(E1844,#REF!,1,FALSE())),"?TYPE_IDENTIFIABLE","?REFERENTIAL"),"_")))))</f>
        <v/>
      </c>
      <c r="H1844" s="23" t="str">
        <f t="shared" ca="1" si="209"/>
        <v/>
      </c>
      <c r="I1844" s="24" t="str">
        <f>IF(OR(E1844="",E1844="!!!",F1844="NEW"),"",INDEX(B$2:B1843,-1+SUMPRODUCT(MAX(ROW(E$2:E1843)*(E1844=E$2:E1843)))))</f>
        <v/>
      </c>
      <c r="J1844" s="24" t="str">
        <f ca="1">IF(OR(E1844="",E1844="!!!",F1844="NEW"),"",COUNTBLANK(OFFSET(A$1,,,SUMPRODUCT(MAX(ROW(E$2:E1844)*(E1844=E$2:E1844)))))-COUNTBLANK(OFFSET(A$1,,,SUMPRODUCT(MAX(ROW(E$1:E1843)*(E2=E$1:E1843))))))</f>
        <v/>
      </c>
      <c r="K1844" s="24" t="str">
        <f>IF(OR(E1844="",E1844="!!!",F1844="NEW"),"",INDEX(J$1:J1843,SUMPRODUCT(MAX(ROW(E$1:E1843)*(E1844=E$1:E1843)))))</f>
        <v/>
      </c>
      <c r="L1844" s="25"/>
    </row>
    <row r="1845" spans="1:12" x14ac:dyDescent="0.2">
      <c r="A1845" t="s">
        <v>802</v>
      </c>
      <c r="E1845" s="20" t="str">
        <f t="shared" si="208"/>
        <v/>
      </c>
      <c r="F1845" s="21" t="str">
        <f>IF(OR(E1845="",E1845="!!!"),"",IF(NOT(ISNA(VLOOKUP(E1845,E$1:E1844,1,FALSE()))),"OLD",IF(AND(E1845&lt;&gt;"",E1845&lt;&gt;"!!!"),"NEW","")))</f>
        <v/>
      </c>
      <c r="G1845" s="22" t="str">
        <f>IF(OR(E1845="",E1845="!!!"),"",IF(OR(J1845=0,AND(J1845=1,K1845=1),AND(J1845=1,I1845="SBJ"),AND(J1845=1,I1845=0)),"?IN_FOCUS",IF(J1845&lt;=2,"?ACTIVATED",IF(J1845&lt;&gt;"","?FAMILIAR",IF(F1845="NEW",IF(ISNA(VLOOKUP(E1845,#REF!,1,FALSE())),"?TYPE_IDENTIFIABLE","?REFERENTIAL"),"_")))))</f>
        <v/>
      </c>
      <c r="H1845" s="23" t="str">
        <f t="shared" ca="1" si="209"/>
        <v/>
      </c>
      <c r="I1845" s="24" t="str">
        <f>IF(OR(E1845="",E1845="!!!",F1845="NEW"),"",INDEX(B$2:B1844,-1+SUMPRODUCT(MAX(ROW(E$2:E1844)*(E1845=E$2:E1844)))))</f>
        <v/>
      </c>
      <c r="J1845" s="24" t="str">
        <f ca="1">IF(OR(E1845="",E1845="!!!",F1845="NEW"),"",COUNTBLANK(OFFSET(A$1,,,SUMPRODUCT(MAX(ROW(E$2:E1845)*(E1845=E$2:E1845)))))-COUNTBLANK(OFFSET(A$1,,,SUMPRODUCT(MAX(ROW(E$1:E1844)*(E2=E$1:E1844))))))</f>
        <v/>
      </c>
      <c r="K1845" s="24" t="str">
        <f>IF(OR(E1845="",E1845="!!!",F1845="NEW"),"",INDEX(J$1:J1844,SUMPRODUCT(MAX(ROW(E$1:E1844)*(E1845=E$1:E1844)))))</f>
        <v/>
      </c>
      <c r="L1845" s="25"/>
    </row>
    <row r="1846" spans="1:12" x14ac:dyDescent="0.2">
      <c r="A1846" t="s">
        <v>902</v>
      </c>
      <c r="E1846" s="20" t="str">
        <f t="shared" si="208"/>
        <v/>
      </c>
      <c r="F1846" s="21" t="str">
        <f>IF(OR(E1846="",E1846="!!!"),"",IF(NOT(ISNA(VLOOKUP(E1846,E$1:E1845,1,FALSE()))),"OLD",IF(AND(E1846&lt;&gt;"",E1846&lt;&gt;"!!!"),"NEW","")))</f>
        <v/>
      </c>
      <c r="G1846" s="22" t="str">
        <f>IF(OR(E1846="",E1846="!!!"),"",IF(OR(J1846=0,AND(J1846=1,K1846=1),AND(J1846=1,I1846="SBJ"),AND(J1846=1,I1846=0)),"?IN_FOCUS",IF(J1846&lt;=2,"?ACTIVATED",IF(J1846&lt;&gt;"","?FAMILIAR",IF(F1846="NEW",IF(ISNA(VLOOKUP(E1846,#REF!,1,FALSE())),"?TYPE_IDENTIFIABLE","?REFERENTIAL"),"_")))))</f>
        <v/>
      </c>
      <c r="H1846" s="23" t="str">
        <f t="shared" ca="1" si="209"/>
        <v/>
      </c>
      <c r="I1846" s="24" t="str">
        <f>IF(OR(E1846="",E1846="!!!",F1846="NEW"),"",INDEX(B$2:B1845,-1+SUMPRODUCT(MAX(ROW(E$2:E1845)*(E1846=E$2:E1845)))))</f>
        <v/>
      </c>
      <c r="J1846" s="24" t="str">
        <f ca="1">IF(OR(E1846="",E1846="!!!",F1846="NEW"),"",COUNTBLANK(OFFSET(A$1,,,SUMPRODUCT(MAX(ROW(E$2:E1846)*(E1846=E$2:E1846)))))-COUNTBLANK(OFFSET(A$1,,,SUMPRODUCT(MAX(ROW(E$1:E1845)*(E2=E$1:E1845))))))</f>
        <v/>
      </c>
      <c r="K1846" s="24" t="str">
        <f>IF(OR(E1846="",E1846="!!!",F1846="NEW"),"",INDEX(J$1:J1845,SUMPRODUCT(MAX(ROW(E$1:E1845)*(E1846=E$1:E1845)))))</f>
        <v/>
      </c>
      <c r="L1846" s="25"/>
    </row>
    <row r="1847" spans="1:12" x14ac:dyDescent="0.2">
      <c r="A1847" t="s">
        <v>924</v>
      </c>
      <c r="E1847" s="20" t="str">
        <f t="shared" si="208"/>
        <v/>
      </c>
      <c r="F1847" s="21" t="str">
        <f>IF(OR(E1847="",E1847="!!!"),"",IF(NOT(ISNA(VLOOKUP(E1847,E$1:E1846,1,FALSE()))),"OLD",IF(AND(E1847&lt;&gt;"",E1847&lt;&gt;"!!!"),"NEW","")))</f>
        <v/>
      </c>
      <c r="G1847" s="22" t="str">
        <f>IF(OR(E1847="",E1847="!!!"),"",IF(OR(J1847=0,AND(J1847=1,K1847=1),AND(J1847=1,I1847="SBJ"),AND(J1847=1,I1847=0)),"?IN_FOCUS",IF(J1847&lt;=2,"?ACTIVATED",IF(J1847&lt;&gt;"","?FAMILIAR",IF(F1847="NEW",IF(ISNA(VLOOKUP(E1847,#REF!,1,FALSE())),"?TYPE_IDENTIFIABLE","?REFERENTIAL"),"_")))))</f>
        <v/>
      </c>
      <c r="H1847" s="23" t="str">
        <f t="shared" ca="1" si="209"/>
        <v/>
      </c>
      <c r="I1847" s="24" t="str">
        <f>IF(OR(E1847="",E1847="!!!",F1847="NEW"),"",INDEX(B$2:B1846,-1+SUMPRODUCT(MAX(ROW(E$2:E1846)*(E1847=E$2:E1846)))))</f>
        <v/>
      </c>
      <c r="J1847" s="24" t="str">
        <f ca="1">IF(OR(E1847="",E1847="!!!",F1847="NEW"),"",COUNTBLANK(OFFSET(A$1,,,SUMPRODUCT(MAX(ROW(E$2:E1847)*(E1847=E$2:E1847)))))-COUNTBLANK(OFFSET(A$1,,,SUMPRODUCT(MAX(ROW(E$1:E1846)*(E2=E$1:E1846))))))</f>
        <v/>
      </c>
      <c r="K1847" s="24" t="str">
        <f>IF(OR(E1847="",E1847="!!!",F1847="NEW"),"",INDEX(J$1:J1846,SUMPRODUCT(MAX(ROW(E$1:E1846)*(E1847=E$1:E1846)))))</f>
        <v/>
      </c>
      <c r="L1847" s="25"/>
    </row>
    <row r="1848" spans="1:12" x14ac:dyDescent="0.2">
      <c r="A1848" t="s">
        <v>809</v>
      </c>
      <c r="E1848" s="20" t="str">
        <f t="shared" si="208"/>
        <v/>
      </c>
      <c r="F1848" s="21" t="str">
        <f>IF(OR(E1848="",E1848="!!!"),"",IF(NOT(ISNA(VLOOKUP(E1848,E$1:E1847,1,FALSE()))),"OLD",IF(AND(E1848&lt;&gt;"",E1848&lt;&gt;"!!!"),"NEW","")))</f>
        <v/>
      </c>
      <c r="G1848" s="22" t="str">
        <f>IF(OR(E1848="",E1848="!!!"),"",IF(OR(J1848=0,AND(J1848=1,K1848=1),AND(J1848=1,I1848="SBJ"),AND(J1848=1,I1848=0)),"?IN_FOCUS",IF(J1848&lt;=2,"?ACTIVATED",IF(J1848&lt;&gt;"","?FAMILIAR",IF(F1848="NEW",IF(ISNA(VLOOKUP(E1848,#REF!,1,FALSE())),"?TYPE_IDENTIFIABLE","?REFERENTIAL"),"_")))))</f>
        <v/>
      </c>
      <c r="H1848" s="23" t="str">
        <f t="shared" ca="1" si="209"/>
        <v/>
      </c>
      <c r="I1848" s="24" t="str">
        <f>IF(OR(E1848="",E1848="!!!",F1848="NEW"),"",INDEX(B$2:B1847,-1+SUMPRODUCT(MAX(ROW(E$2:E1847)*(E1848=E$2:E1847)))))</f>
        <v/>
      </c>
      <c r="J1848" s="24" t="str">
        <f ca="1">IF(OR(E1848="",E1848="!!!",F1848="NEW"),"",COUNTBLANK(OFFSET(A$1,,,SUMPRODUCT(MAX(ROW(E$2:E1848)*(E1848=E$2:E1848)))))-COUNTBLANK(OFFSET(A$1,,,SUMPRODUCT(MAX(ROW(E$1:E1847)*(E2=E$1:E1847))))))</f>
        <v/>
      </c>
      <c r="K1848" s="24" t="str">
        <f>IF(OR(E1848="",E1848="!!!",F1848="NEW"),"",INDEX(J$1:J1847,SUMPRODUCT(MAX(ROW(E$1:E1847)*(E1848=E$1:E1847)))))</f>
        <v/>
      </c>
      <c r="L1848" s="25"/>
    </row>
    <row r="1849" spans="1:12" x14ac:dyDescent="0.2">
      <c r="A1849" t="s">
        <v>1242</v>
      </c>
      <c r="B1849" s="26" t="s">
        <v>819</v>
      </c>
      <c r="C1849" s="26" t="s">
        <v>811</v>
      </c>
      <c r="E1849" s="20" t="str">
        <f t="shared" si="208"/>
        <v/>
      </c>
      <c r="F1849" s="21" t="str">
        <f>IF(OR(E1849="",E1849="!!!"),"",IF(NOT(ISNA(VLOOKUP(E1849,E$1:E1848,1,FALSE()))),"OLD",IF(AND(E1849&lt;&gt;"",E1849&lt;&gt;"!!!"),"NEW","")))</f>
        <v/>
      </c>
      <c r="G1849" s="22" t="str">
        <f>IF(OR(E1849="",E1849="!!!"),"",IF(OR(J1849=0,AND(J1849=1,K1849=1),AND(J1849=1,I1849="SBJ"),AND(J1849=1,I1849=0)),"?IN_FOCUS",IF(J1849&lt;=2,"?ACTIVATED",IF(J1849&lt;&gt;"","?FAMILIAR",IF(F1849="NEW",IF(ISNA(VLOOKUP(E1849,#REF!,1,FALSE())),"?TYPE_IDENTIFIABLE","?REFERENTIAL"),"_")))))</f>
        <v/>
      </c>
      <c r="H1849" s="23" t="str">
        <f t="shared" ca="1" si="209"/>
        <v/>
      </c>
      <c r="I1849" s="24" t="str">
        <f>IF(OR(E1849="",E1849="!!!",F1849="NEW"),"",INDEX(B$2:B1848,-1+SUMPRODUCT(MAX(ROW(E$2:E1848)*(E1849=E$2:E1848)))))</f>
        <v/>
      </c>
      <c r="J1849" s="24" t="str">
        <f ca="1">IF(OR(E1849="",E1849="!!!",F1849="NEW"),"",COUNTBLANK(OFFSET(A$1,,,SUMPRODUCT(MAX(ROW(E$2:E1849)*(E1849=E$2:E1849)))))-COUNTBLANK(OFFSET(A$1,,,SUMPRODUCT(MAX(ROW(E$1:E1848)*(E2=E$1:E1848))))))</f>
        <v/>
      </c>
      <c r="K1849" s="24" t="str">
        <f>IF(OR(E1849="",E1849="!!!",F1849="NEW"),"",INDEX(J$1:J1848,SUMPRODUCT(MAX(ROW(E$1:E1848)*(E1849=E$1:E1848)))))</f>
        <v/>
      </c>
      <c r="L1849" s="25"/>
    </row>
    <row r="1850" spans="1:12" x14ac:dyDescent="0.2">
      <c r="A1850" t="s">
        <v>1060</v>
      </c>
      <c r="B1850" s="26" t="s">
        <v>891</v>
      </c>
      <c r="E1850" s="20" t="str">
        <f t="shared" si="208"/>
        <v/>
      </c>
      <c r="F1850" s="21" t="str">
        <f>IF(OR(E1850="",E1850="!!!"),"",IF(NOT(ISNA(VLOOKUP(E1850,E$1:E1849,1,FALSE()))),"OLD",IF(AND(E1850&lt;&gt;"",E1850&lt;&gt;"!!!"),"NEW","")))</f>
        <v/>
      </c>
      <c r="G1850" s="22" t="str">
        <f>IF(OR(E1850="",E1850="!!!"),"",IF(OR(J1850=0,AND(J1850=1,K1850=1),AND(J1850=1,I1850="SBJ"),AND(J1850=1,I1850=0)),"?IN_FOCUS",IF(J1850&lt;=2,"?ACTIVATED",IF(J1850&lt;&gt;"","?FAMILIAR",IF(F1850="NEW",IF(ISNA(VLOOKUP(E1850,#REF!,1,FALSE())),"?TYPE_IDENTIFIABLE","?REFERENTIAL"),"_")))))</f>
        <v/>
      </c>
      <c r="H1850" s="23" t="str">
        <f t="shared" ca="1" si="209"/>
        <v/>
      </c>
      <c r="I1850" s="24" t="str">
        <f>IF(OR(E1850="",E1850="!!!",F1850="NEW"),"",INDEX(B$2:B1849,-1+SUMPRODUCT(MAX(ROW(E$2:E1849)*(E1850=E$2:E1849)))))</f>
        <v/>
      </c>
      <c r="J1850" s="24" t="str">
        <f ca="1">IF(OR(E1850="",E1850="!!!",F1850="NEW"),"",COUNTBLANK(OFFSET(A$1,,,SUMPRODUCT(MAX(ROW(E$2:E1850)*(E1850=E$2:E1850)))))-COUNTBLANK(OFFSET(A$1,,,SUMPRODUCT(MAX(ROW(E$1:E1849)*(E2=E$1:E1849))))))</f>
        <v/>
      </c>
      <c r="K1850" s="24" t="str">
        <f>IF(OR(E1850="",E1850="!!!",F1850="NEW"),"",INDEX(J$1:J1849,SUMPRODUCT(MAX(ROW(E$1:E1849)*(E1850=E$1:E1849)))))</f>
        <v/>
      </c>
      <c r="L1850" s="25"/>
    </row>
    <row r="1851" spans="1:12" x14ac:dyDescent="0.2">
      <c r="A1851" t="s">
        <v>1407</v>
      </c>
      <c r="E1851" s="20" t="str">
        <f t="shared" si="208"/>
        <v/>
      </c>
      <c r="F1851" s="21" t="str">
        <f>IF(OR(E1851="",E1851="!!!"),"",IF(NOT(ISNA(VLOOKUP(E1851,E$1:E1850,1,FALSE()))),"OLD",IF(AND(E1851&lt;&gt;"",E1851&lt;&gt;"!!!"),"NEW","")))</f>
        <v/>
      </c>
      <c r="G1851" s="22" t="str">
        <f>IF(OR(E1851="",E1851="!!!"),"",IF(OR(J1851=0,AND(J1851=1,K1851=1),AND(J1851=1,I1851="SBJ"),AND(J1851=1,I1851=0)),"?IN_FOCUS",IF(J1851&lt;=2,"?ACTIVATED",IF(J1851&lt;&gt;"","?FAMILIAR",IF(F1851="NEW",IF(ISNA(VLOOKUP(E1851,#REF!,1,FALSE())),"?TYPE_IDENTIFIABLE","?REFERENTIAL"),"_")))))</f>
        <v/>
      </c>
      <c r="H1851" s="23" t="str">
        <f t="shared" ca="1" si="209"/>
        <v/>
      </c>
      <c r="I1851" s="24" t="str">
        <f>IF(OR(E1851="",E1851="!!!",F1851="NEW"),"",INDEX(B$2:B1850,-1+SUMPRODUCT(MAX(ROW(E$2:E1850)*(E1851=E$2:E1850)))))</f>
        <v/>
      </c>
      <c r="J1851" s="24" t="str">
        <f ca="1">IF(OR(E1851="",E1851="!!!",F1851="NEW"),"",COUNTBLANK(OFFSET(A$1,,,SUMPRODUCT(MAX(ROW(E$2:E1851)*(E1851=E$2:E1851)))))-COUNTBLANK(OFFSET(A$1,,,SUMPRODUCT(MAX(ROW(E$1:E1850)*(E2=E$1:E1850))))))</f>
        <v/>
      </c>
      <c r="K1851" s="24" t="str">
        <f>IF(OR(E1851="",E1851="!!!",F1851="NEW"),"",INDEX(J$1:J1850,SUMPRODUCT(MAX(ROW(E$1:E1850)*(E1851=E$1:E1850)))))</f>
        <v/>
      </c>
      <c r="L1851" s="25"/>
    </row>
    <row r="1852" spans="1:12" x14ac:dyDescent="0.2">
      <c r="A1852" t="s">
        <v>544</v>
      </c>
      <c r="E1852" s="20" t="str">
        <f t="shared" si="208"/>
        <v/>
      </c>
      <c r="F1852" s="21" t="str">
        <f>IF(OR(E1852="",E1852="!!!"),"",IF(NOT(ISNA(VLOOKUP(E1852,E$1:E1851,1,FALSE()))),"OLD",IF(AND(E1852&lt;&gt;"",E1852&lt;&gt;"!!!"),"NEW","")))</f>
        <v/>
      </c>
      <c r="G1852" s="22" t="str">
        <f>IF(OR(E1852="",E1852="!!!"),"",IF(OR(J1852=0,AND(J1852=1,K1852=1),AND(J1852=1,I1852="SBJ"),AND(J1852=1,I1852=0)),"?IN_FOCUS",IF(J1852&lt;=2,"?ACTIVATED",IF(J1852&lt;&gt;"","?FAMILIAR",IF(F1852="NEW",IF(ISNA(VLOOKUP(E1852,#REF!,1,FALSE())),"?TYPE_IDENTIFIABLE","?REFERENTIAL"),"_")))))</f>
        <v/>
      </c>
      <c r="H1852" s="23" t="str">
        <f t="shared" ca="1" si="209"/>
        <v/>
      </c>
      <c r="I1852" s="24" t="str">
        <f>IF(OR(E1852="",E1852="!!!",F1852="NEW"),"",INDEX(B$2:B1851,-1+SUMPRODUCT(MAX(ROW(E$2:E1851)*(E1852=E$2:E1851)))))</f>
        <v/>
      </c>
      <c r="J1852" s="24" t="str">
        <f ca="1">IF(OR(E1852="",E1852="!!!",F1852="NEW"),"",COUNTBLANK(OFFSET(A$1,,,SUMPRODUCT(MAX(ROW(E$2:E1852)*(E1852=E$2:E1852)))))-COUNTBLANK(OFFSET(A$1,,,SUMPRODUCT(MAX(ROW(E$1:E1851)*(E2=E$1:E1851))))))</f>
        <v/>
      </c>
      <c r="K1852" s="24" t="str">
        <f>IF(OR(E1852="",E1852="!!!",F1852="NEW"),"",INDEX(J$1:J1851,SUMPRODUCT(MAX(ROW(E$1:E1851)*(E1852=E$1:E1851)))))</f>
        <v/>
      </c>
      <c r="L1852" s="25"/>
    </row>
    <row r="1853" spans="1:12" x14ac:dyDescent="0.2">
      <c r="A1853" t="s">
        <v>1408</v>
      </c>
      <c r="E1853" s="20" t="str">
        <f t="shared" si="208"/>
        <v/>
      </c>
      <c r="F1853" s="21" t="str">
        <f>IF(OR(E1853="",E1853="!!!"),"",IF(NOT(ISNA(VLOOKUP(E1853,E$1:E1852,1,FALSE()))),"OLD",IF(AND(E1853&lt;&gt;"",E1853&lt;&gt;"!!!"),"NEW","")))</f>
        <v/>
      </c>
      <c r="G1853" s="22" t="str">
        <f>IF(OR(E1853="",E1853="!!!"),"",IF(OR(J1853=0,AND(J1853=1,K1853=1),AND(J1853=1,I1853="SBJ"),AND(J1853=1,I1853=0)),"?IN_FOCUS",IF(J1853&lt;=2,"?ACTIVATED",IF(J1853&lt;&gt;"","?FAMILIAR",IF(F1853="NEW",IF(ISNA(VLOOKUP(E1853,#REF!,1,FALSE())),"?TYPE_IDENTIFIABLE","?REFERENTIAL"),"_")))))</f>
        <v/>
      </c>
      <c r="H1853" s="23" t="str">
        <f t="shared" ca="1" si="209"/>
        <v/>
      </c>
      <c r="I1853" s="24" t="str">
        <f>IF(OR(E1853="",E1853="!!!",F1853="NEW"),"",INDEX(B$2:B1852,-1+SUMPRODUCT(MAX(ROW(E$2:E1852)*(E1853=E$2:E1852)))))</f>
        <v/>
      </c>
      <c r="J1853" s="24" t="str">
        <f ca="1">IF(OR(E1853="",E1853="!!!",F1853="NEW"),"",COUNTBLANK(OFFSET(A$1,,,SUMPRODUCT(MAX(ROW(E$2:E1853)*(E1853=E$2:E1853)))))-COUNTBLANK(OFFSET(A$1,,,SUMPRODUCT(MAX(ROW(E$1:E1852)*(E2=E$1:E1852))))))</f>
        <v/>
      </c>
      <c r="K1853" s="24" t="str">
        <f>IF(OR(E1853="",E1853="!!!",F1853="NEW"),"",INDEX(J$1:J1852,SUMPRODUCT(MAX(ROW(E$1:E1852)*(E1853=E$1:E1852)))))</f>
        <v/>
      </c>
      <c r="L1853" s="25"/>
    </row>
    <row r="1854" spans="1:12" x14ac:dyDescent="0.2">
      <c r="A1854" t="s">
        <v>802</v>
      </c>
      <c r="E1854" s="20" t="str">
        <f t="shared" si="208"/>
        <v/>
      </c>
      <c r="F1854" s="21" t="str">
        <f>IF(OR(E1854="",E1854="!!!"),"",IF(NOT(ISNA(VLOOKUP(E1854,E$1:E1853,1,FALSE()))),"OLD",IF(AND(E1854&lt;&gt;"",E1854&lt;&gt;"!!!"),"NEW","")))</f>
        <v/>
      </c>
      <c r="G1854" s="22" t="str">
        <f>IF(OR(E1854="",E1854="!!!"),"",IF(OR(J1854=0,AND(J1854=1,K1854=1),AND(J1854=1,I1854="SBJ"),AND(J1854=1,I1854=0)),"?IN_FOCUS",IF(J1854&lt;=2,"?ACTIVATED",IF(J1854&lt;&gt;"","?FAMILIAR",IF(F1854="NEW",IF(ISNA(VLOOKUP(E1854,#REF!,1,FALSE())),"?TYPE_IDENTIFIABLE","?REFERENTIAL"),"_")))))</f>
        <v/>
      </c>
      <c r="H1854" s="23" t="str">
        <f t="shared" ca="1" si="209"/>
        <v/>
      </c>
      <c r="I1854" s="24" t="str">
        <f>IF(OR(E1854="",E1854="!!!",F1854="NEW"),"",INDEX(B$2:B1853,-1+SUMPRODUCT(MAX(ROW(E$2:E1853)*(E1854=E$2:E1853)))))</f>
        <v/>
      </c>
      <c r="J1854" s="24" t="str">
        <f ca="1">IF(OR(E1854="",E1854="!!!",F1854="NEW"),"",COUNTBLANK(OFFSET(A$1,,,SUMPRODUCT(MAX(ROW(E$2:E1854)*(E1854=E$2:E1854)))))-COUNTBLANK(OFFSET(A$1,,,SUMPRODUCT(MAX(ROW(E$1:E1853)*(E2=E$1:E1853))))))</f>
        <v/>
      </c>
      <c r="K1854" s="24" t="str">
        <f>IF(OR(E1854="",E1854="!!!",F1854="NEW"),"",INDEX(J$1:J1853,SUMPRODUCT(MAX(ROW(E$1:E1853)*(E1854=E$1:E1853)))))</f>
        <v/>
      </c>
      <c r="L1854" s="25"/>
    </row>
    <row r="1855" spans="1:12" x14ac:dyDescent="0.2">
      <c r="A1855" t="s">
        <v>1409</v>
      </c>
      <c r="E1855" s="20" t="str">
        <f t="shared" si="208"/>
        <v/>
      </c>
      <c r="F1855" s="21" t="str">
        <f>IF(OR(E1855="",E1855="!!!"),"",IF(NOT(ISNA(VLOOKUP(E1855,E$1:E1854,1,FALSE()))),"OLD",IF(AND(E1855&lt;&gt;"",E1855&lt;&gt;"!!!"),"NEW","")))</f>
        <v/>
      </c>
      <c r="G1855" s="22" t="str">
        <f>IF(OR(E1855="",E1855="!!!"),"",IF(OR(J1855=0,AND(J1855=1,K1855=1),AND(J1855=1,I1855="SBJ"),AND(J1855=1,I1855=0)),"?IN_FOCUS",IF(J1855&lt;=2,"?ACTIVATED",IF(J1855&lt;&gt;"","?FAMILIAR",IF(F1855="NEW",IF(ISNA(VLOOKUP(E1855,#REF!,1,FALSE())),"?TYPE_IDENTIFIABLE","?REFERENTIAL"),"_")))))</f>
        <v/>
      </c>
      <c r="H1855" s="23" t="str">
        <f t="shared" ca="1" si="209"/>
        <v/>
      </c>
      <c r="I1855" s="24" t="str">
        <f>IF(OR(E1855="",E1855="!!!",F1855="NEW"),"",INDEX(B$2:B1854,-1+SUMPRODUCT(MAX(ROW(E$2:E1854)*(E1855=E$2:E1854)))))</f>
        <v/>
      </c>
      <c r="J1855" s="24" t="str">
        <f ca="1">IF(OR(E1855="",E1855="!!!",F1855="NEW"),"",COUNTBLANK(OFFSET(A$1,,,SUMPRODUCT(MAX(ROW(E$2:E1855)*(E1855=E$2:E1855)))))-COUNTBLANK(OFFSET(A$1,,,SUMPRODUCT(MAX(ROW(E$1:E1854)*(E2=E$1:E1854))))))</f>
        <v/>
      </c>
      <c r="K1855" s="24" t="str">
        <f>IF(OR(E1855="",E1855="!!!",F1855="NEW"),"",INDEX(J$1:J1854,SUMPRODUCT(MAX(ROW(E$1:E1854)*(E1855=E$1:E1854)))))</f>
        <v/>
      </c>
      <c r="L1855" s="25"/>
    </row>
    <row r="1856" spans="1:12" x14ac:dyDescent="0.2">
      <c r="A1856" t="s">
        <v>833</v>
      </c>
      <c r="E1856" s="20" t="str">
        <f t="shared" si="208"/>
        <v/>
      </c>
      <c r="F1856" s="21" t="str">
        <f>IF(OR(E1856="",E1856="!!!"),"",IF(NOT(ISNA(VLOOKUP(E1856,E$1:E1855,1,FALSE()))),"OLD",IF(AND(E1856&lt;&gt;"",E1856&lt;&gt;"!!!"),"NEW","")))</f>
        <v/>
      </c>
      <c r="G1856" s="22" t="str">
        <f>IF(OR(E1856="",E1856="!!!"),"",IF(OR(J1856=0,AND(J1856=1,K1856=1),AND(J1856=1,I1856="SBJ"),AND(J1856=1,I1856=0)),"?IN_FOCUS",IF(J1856&lt;=2,"?ACTIVATED",IF(J1856&lt;&gt;"","?FAMILIAR",IF(F1856="NEW",IF(ISNA(VLOOKUP(E1856,#REF!,1,FALSE())),"?TYPE_IDENTIFIABLE","?REFERENTIAL"),"_")))))</f>
        <v/>
      </c>
      <c r="H1856" s="23" t="str">
        <f t="shared" ca="1" si="209"/>
        <v/>
      </c>
      <c r="I1856" s="24" t="str">
        <f>IF(OR(E1856="",E1856="!!!",F1856="NEW"),"",INDEX(B$2:B1855,-1+SUMPRODUCT(MAX(ROW(E$2:E1855)*(E1856=E$2:E1855)))))</f>
        <v/>
      </c>
      <c r="J1856" s="24" t="str">
        <f ca="1">IF(OR(E1856="",E1856="!!!",F1856="NEW"),"",COUNTBLANK(OFFSET(A$1,,,SUMPRODUCT(MAX(ROW(E$2:E1856)*(E1856=E$2:E1856)))))-COUNTBLANK(OFFSET(A$1,,,SUMPRODUCT(MAX(ROW(E$1:E1855)*(E2=E$1:E1855))))))</f>
        <v/>
      </c>
      <c r="K1856" s="24" t="str">
        <f>IF(OR(E1856="",E1856="!!!",F1856="NEW"),"",INDEX(J$1:J1855,SUMPRODUCT(MAX(ROW(E$1:E1855)*(E1856=E$1:E1855)))))</f>
        <v/>
      </c>
      <c r="L1856" s="25"/>
    </row>
    <row r="1857" spans="1:12" x14ac:dyDescent="0.2">
      <c r="A1857" t="s">
        <v>1410</v>
      </c>
      <c r="E1857" s="20" t="str">
        <f t="shared" si="208"/>
        <v/>
      </c>
      <c r="F1857" s="21" t="str">
        <f>IF(OR(E1857="",E1857="!!!"),"",IF(NOT(ISNA(VLOOKUP(E1857,E$1:E1856,1,FALSE()))),"OLD",IF(AND(E1857&lt;&gt;"",E1857&lt;&gt;"!!!"),"NEW","")))</f>
        <v/>
      </c>
      <c r="G1857" s="22" t="str">
        <f>IF(OR(E1857="",E1857="!!!"),"",IF(OR(J1857=0,AND(J1857=1,K1857=1),AND(J1857=1,I1857="SBJ"),AND(J1857=1,I1857=0)),"?IN_FOCUS",IF(J1857&lt;=2,"?ACTIVATED",IF(J1857&lt;&gt;"","?FAMILIAR",IF(F1857="NEW",IF(ISNA(VLOOKUP(E1857,#REF!,1,FALSE())),"?TYPE_IDENTIFIABLE","?REFERENTIAL"),"_")))))</f>
        <v/>
      </c>
      <c r="H1857" s="23" t="str">
        <f t="shared" ca="1" si="209"/>
        <v/>
      </c>
      <c r="I1857" s="24" t="str">
        <f>IF(OR(E1857="",E1857="!!!",F1857="NEW"),"",INDEX(B$2:B1856,-1+SUMPRODUCT(MAX(ROW(E$2:E1856)*(E1857=E$2:E1856)))))</f>
        <v/>
      </c>
      <c r="J1857" s="24" t="str">
        <f ca="1">IF(OR(E1857="",E1857="!!!",F1857="NEW"),"",COUNTBLANK(OFFSET(A$1,,,SUMPRODUCT(MAX(ROW(E$2:E1857)*(E1857=E$2:E1857)))))-COUNTBLANK(OFFSET(A$1,,,SUMPRODUCT(MAX(ROW(E$1:E1856)*(E2=E$1:E1856))))))</f>
        <v/>
      </c>
      <c r="K1857" s="24" t="str">
        <f>IF(OR(E1857="",E1857="!!!",F1857="NEW"),"",INDEX(J$1:J1856,SUMPRODUCT(MAX(ROW(E$1:E1856)*(E1857=E$1:E1856)))))</f>
        <v/>
      </c>
      <c r="L1857" s="25"/>
    </row>
    <row r="1858" spans="1:12" x14ac:dyDescent="0.2">
      <c r="A1858" t="s">
        <v>530</v>
      </c>
      <c r="B1858" s="26" t="s">
        <v>897</v>
      </c>
      <c r="C1858" s="26" t="s">
        <v>811</v>
      </c>
      <c r="E1858" s="20" t="str">
        <f t="shared" si="208"/>
        <v/>
      </c>
      <c r="F1858" s="21" t="str">
        <f>IF(OR(E1858="",E1858="!!!"),"",IF(NOT(ISNA(VLOOKUP(E1858,E$1:E1857,1,FALSE()))),"OLD",IF(AND(E1858&lt;&gt;"",E1858&lt;&gt;"!!!"),"NEW","")))</f>
        <v/>
      </c>
      <c r="G1858" s="22" t="str">
        <f>IF(OR(E1858="",E1858="!!!"),"",IF(OR(J1858=0,AND(J1858=1,K1858=1),AND(J1858=1,I1858="SBJ"),AND(J1858=1,I1858=0)),"?IN_FOCUS",IF(J1858&lt;=2,"?ACTIVATED",IF(J1858&lt;&gt;"","?FAMILIAR",IF(F1858="NEW",IF(ISNA(VLOOKUP(E1858,#REF!,1,FALSE())),"?TYPE_IDENTIFIABLE","?REFERENTIAL"),"_")))))</f>
        <v/>
      </c>
      <c r="H1858" s="23" t="str">
        <f t="shared" ca="1" si="209"/>
        <v/>
      </c>
      <c r="I1858" s="24" t="str">
        <f>IF(OR(E1858="",E1858="!!!",F1858="NEW"),"",INDEX(B$2:B1857,-1+SUMPRODUCT(MAX(ROW(E$2:E1857)*(E1858=E$2:E1857)))))</f>
        <v/>
      </c>
      <c r="J1858" s="24" t="str">
        <f ca="1">IF(OR(E1858="",E1858="!!!",F1858="NEW"),"",COUNTBLANK(OFFSET(A$1,,,SUMPRODUCT(MAX(ROW(E$2:E1858)*(E1858=E$2:E1858)))))-COUNTBLANK(OFFSET(A$1,,,SUMPRODUCT(MAX(ROW(E$1:E1857)*(E2=E$1:E1857))))))</f>
        <v/>
      </c>
      <c r="K1858" s="24" t="str">
        <f>IF(OR(E1858="",E1858="!!!",F1858="NEW"),"",INDEX(J$1:J1857,SUMPRODUCT(MAX(ROW(E$1:E1857)*(E1858=E$1:E1857)))))</f>
        <v/>
      </c>
      <c r="L1858" s="25"/>
    </row>
    <row r="1859" spans="1:12" x14ac:dyDescent="0.2">
      <c r="A1859" t="s">
        <v>803</v>
      </c>
      <c r="B1859" s="26" t="s">
        <v>910</v>
      </c>
      <c r="C1859" s="26" t="s">
        <v>805</v>
      </c>
      <c r="D1859" s="26" t="s">
        <v>806</v>
      </c>
      <c r="E1859" s="20" t="s">
        <v>1747</v>
      </c>
      <c r="F1859" s="21" t="s">
        <v>1753</v>
      </c>
      <c r="G1859" s="22" t="s">
        <v>1823</v>
      </c>
      <c r="H1859" s="23" t="str">
        <f t="shared" ca="1" si="209"/>
        <v/>
      </c>
      <c r="I1859" s="24" t="str">
        <f>IF(OR(E1859="",E1859="!!!",F1859="NEW"),"",INDEX(B$2:B1858,-1+SUMPRODUCT(MAX(ROW(E$2:E1858)*(E1859=E$2:E1858)))))</f>
        <v>SBJ</v>
      </c>
      <c r="J1859" s="24">
        <f ca="1">IF(OR(E1859="",E1859="!!!",F1859="NEW"),"",COUNTBLANK(OFFSET(A$1,,,SUMPRODUCT(MAX(ROW(E$2:E1859)*(E1859=E$2:E1859)))))-COUNTBLANK(OFFSET(A$1,,,SUMPRODUCT(MAX(ROW(E$1:E1858)*(E2=E$1:E1858))))))</f>
        <v>0</v>
      </c>
      <c r="K1859" s="24">
        <f ca="1">IF(OR(E1859="",E1859="!!!",F1859="NEW"),"",INDEX(J$1:J1858,SUMPRODUCT(MAX(ROW(E$1:E1858)*(E1859=E$1:E1858)))))</f>
        <v>0</v>
      </c>
      <c r="L1859" s="25"/>
    </row>
    <row r="1860" spans="1:12" x14ac:dyDescent="0.2">
      <c r="A1860" t="s">
        <v>892</v>
      </c>
      <c r="E1860" s="20" t="str">
        <f t="shared" si="208"/>
        <v/>
      </c>
      <c r="F1860" s="21" t="str">
        <f>IF(OR(E1860="",E1860="!!!"),"",IF(NOT(ISNA(VLOOKUP(E1860,E$1:E1859,1,FALSE()))),"OLD",IF(AND(E1860&lt;&gt;"",E1860&lt;&gt;"!!!"),"NEW","")))</f>
        <v/>
      </c>
      <c r="G1860" s="22" t="str">
        <f>IF(OR(E1860="",E1860="!!!"),"",IF(OR(J1860=0,AND(J1860=1,K1860=1),AND(J1860=1,I1860="SBJ"),AND(J1860=1,I1860=0)),"?IN_FOCUS",IF(J1860&lt;=2,"?ACTIVATED",IF(J1860&lt;&gt;"","?FAMILIAR",IF(F1860="NEW",IF(ISNA(VLOOKUP(E1860,#REF!,1,FALSE())),"?TYPE_IDENTIFIABLE","?REFERENTIAL"),"_")))))</f>
        <v/>
      </c>
      <c r="H1860" s="23" t="str">
        <f t="shared" ca="1" si="209"/>
        <v/>
      </c>
      <c r="I1860" s="24" t="str">
        <f>IF(OR(E1860="",E1860="!!!",F1860="NEW"),"",INDEX(B$2:B1859,-1+SUMPRODUCT(MAX(ROW(E$2:E1859)*(E1860=E$2:E1859)))))</f>
        <v/>
      </c>
      <c r="J1860" s="24" t="str">
        <f ca="1">IF(OR(E1860="",E1860="!!!",F1860="NEW"),"",COUNTBLANK(OFFSET(A$1,,,SUMPRODUCT(MAX(ROW(E$2:E1860)*(E1860=E$2:E1860)))))-COUNTBLANK(OFFSET(A$1,,,SUMPRODUCT(MAX(ROW(E$1:E1859)*(E2=E$1:E1859))))))</f>
        <v/>
      </c>
      <c r="K1860" s="24" t="str">
        <f>IF(OR(E1860="",E1860="!!!",F1860="NEW"),"",INDEX(J$1:J1859,SUMPRODUCT(MAX(ROW(E$1:E1859)*(E1860=E$1:E1859)))))</f>
        <v/>
      </c>
      <c r="L1860" s="25"/>
    </row>
    <row r="1861" spans="1:12" x14ac:dyDescent="0.2">
      <c r="A1861" t="s">
        <v>1411</v>
      </c>
      <c r="E1861" s="20" t="str">
        <f t="shared" si="208"/>
        <v/>
      </c>
      <c r="F1861" s="21" t="str">
        <f>IF(OR(E1861="",E1861="!!!"),"",IF(NOT(ISNA(VLOOKUP(E1861,E$1:E1860,1,FALSE()))),"OLD",IF(AND(E1861&lt;&gt;"",E1861&lt;&gt;"!!!"),"NEW","")))</f>
        <v/>
      </c>
      <c r="G1861" s="22" t="str">
        <f>IF(OR(E1861="",E1861="!!!"),"",IF(OR(J1861=0,AND(J1861=1,K1861=1),AND(J1861=1,I1861="SBJ"),AND(J1861=1,I1861=0)),"?IN_FOCUS",IF(J1861&lt;=2,"?ACTIVATED",IF(J1861&lt;&gt;"","?FAMILIAR",IF(F1861="NEW",IF(ISNA(VLOOKUP(E1861,#REF!,1,FALSE())),"?TYPE_IDENTIFIABLE","?REFERENTIAL"),"_")))))</f>
        <v/>
      </c>
      <c r="H1861" s="23" t="str">
        <f t="shared" ca="1" si="209"/>
        <v/>
      </c>
      <c r="I1861" s="24" t="str">
        <f>IF(OR(E1861="",E1861="!!!",F1861="NEW"),"",INDEX(B$2:B1860,-1+SUMPRODUCT(MAX(ROW(E$2:E1860)*(E1861=E$2:E1860)))))</f>
        <v/>
      </c>
      <c r="J1861" s="24" t="str">
        <f ca="1">IF(OR(E1861="",E1861="!!!",F1861="NEW"),"",COUNTBLANK(OFFSET(A$1,,,SUMPRODUCT(MAX(ROW(E$2:E1861)*(E1861=E$2:E1861)))))-COUNTBLANK(OFFSET(A$1,,,SUMPRODUCT(MAX(ROW(E$1:E1860)*(E2=E$1:E1860))))))</f>
        <v/>
      </c>
      <c r="K1861" s="24" t="str">
        <f>IF(OR(E1861="",E1861="!!!",F1861="NEW"),"",INDEX(J$1:J1860,SUMPRODUCT(MAX(ROW(E$1:E1860)*(E1861=E$1:E1860)))))</f>
        <v/>
      </c>
      <c r="L1861" s="25"/>
    </row>
    <row r="1862" spans="1:12" x14ac:dyDescent="0.2">
      <c r="A1862" t="s">
        <v>928</v>
      </c>
      <c r="E1862" s="20" t="str">
        <f t="shared" si="208"/>
        <v/>
      </c>
      <c r="F1862" s="21" t="str">
        <f>IF(OR(E1862="",E1862="!!!"),"",IF(NOT(ISNA(VLOOKUP(E1862,E$1:E1861,1,FALSE()))),"OLD",IF(AND(E1862&lt;&gt;"",E1862&lt;&gt;"!!!"),"NEW","")))</f>
        <v/>
      </c>
      <c r="G1862" s="22" t="str">
        <f>IF(OR(E1862="",E1862="!!!"),"",IF(OR(J1862=0,AND(J1862=1,K1862=1),AND(J1862=1,I1862="SBJ"),AND(J1862=1,I1862=0)),"?IN_FOCUS",IF(J1862&lt;=2,"?ACTIVATED",IF(J1862&lt;&gt;"","?FAMILIAR",IF(F1862="NEW",IF(ISNA(VLOOKUP(E1862,#REF!,1,FALSE())),"?TYPE_IDENTIFIABLE","?REFERENTIAL"),"_")))))</f>
        <v/>
      </c>
      <c r="H1862" s="23" t="str">
        <f t="shared" ca="1" si="209"/>
        <v/>
      </c>
      <c r="I1862" s="24" t="str">
        <f>IF(OR(E1862="",E1862="!!!",F1862="NEW"),"",INDEX(B$2:B1861,-1+SUMPRODUCT(MAX(ROW(E$2:E1861)*(E1862=E$2:E1861)))))</f>
        <v/>
      </c>
      <c r="J1862" s="24" t="str">
        <f ca="1">IF(OR(E1862="",E1862="!!!",F1862="NEW"),"",COUNTBLANK(OFFSET(A$1,,,SUMPRODUCT(MAX(ROW(E$2:E1862)*(E1862=E$2:E1862)))))-COUNTBLANK(OFFSET(A$1,,,SUMPRODUCT(MAX(ROW(E$1:E1861)*(E2=E$1:E1861))))))</f>
        <v/>
      </c>
      <c r="K1862" s="24" t="str">
        <f>IF(OR(E1862="",E1862="!!!",F1862="NEW"),"",INDEX(J$1:J1861,SUMPRODUCT(MAX(ROW(E$1:E1861)*(E1862=E$1:E1861)))))</f>
        <v/>
      </c>
      <c r="L1862" s="25"/>
    </row>
    <row r="1863" spans="1:12" x14ac:dyDescent="0.2">
      <c r="A1863" t="s">
        <v>894</v>
      </c>
      <c r="E1863" s="20" t="str">
        <f t="shared" si="208"/>
        <v/>
      </c>
      <c r="F1863" s="21" t="str">
        <f>IF(OR(E1863="",E1863="!!!"),"",IF(NOT(ISNA(VLOOKUP(E1863,E$1:E1862,1,FALSE()))),"OLD",IF(AND(E1863&lt;&gt;"",E1863&lt;&gt;"!!!"),"NEW","")))</f>
        <v/>
      </c>
      <c r="G1863" s="22" t="str">
        <f>IF(OR(E1863="",E1863="!!!"),"",IF(OR(J1863=0,AND(J1863=1,K1863=1),AND(J1863=1,I1863="SBJ"),AND(J1863=1,I1863=0)),"?IN_FOCUS",IF(J1863&lt;=2,"?ACTIVATED",IF(J1863&lt;&gt;"","?FAMILIAR",IF(F1863="NEW",IF(ISNA(VLOOKUP(E1863,#REF!,1,FALSE())),"?TYPE_IDENTIFIABLE","?REFERENTIAL"),"_")))))</f>
        <v/>
      </c>
      <c r="H1863" s="23" t="str">
        <f t="shared" ca="1" si="209"/>
        <v/>
      </c>
      <c r="I1863" s="24" t="str">
        <f>IF(OR(E1863="",E1863="!!!",F1863="NEW"),"",INDEX(B$2:B1862,-1+SUMPRODUCT(MAX(ROW(E$2:E1862)*(E1863=E$2:E1862)))))</f>
        <v/>
      </c>
      <c r="J1863" s="24" t="str">
        <f ca="1">IF(OR(E1863="",E1863="!!!",F1863="NEW"),"",COUNTBLANK(OFFSET(A$1,,,SUMPRODUCT(MAX(ROW(E$2:E1863)*(E1863=E$2:E1863)))))-COUNTBLANK(OFFSET(A$1,,,SUMPRODUCT(MAX(ROW(E$1:E1862)*(E2=E$1:E1862))))))</f>
        <v/>
      </c>
      <c r="K1863" s="24" t="str">
        <f>IF(OR(E1863="",E1863="!!!",F1863="NEW"),"",INDEX(J$1:J1862,SUMPRODUCT(MAX(ROW(E$1:E1862)*(E1863=E$1:E1862)))))</f>
        <v/>
      </c>
      <c r="L1863" s="25"/>
    </row>
    <row r="1864" spans="1:12" x14ac:dyDescent="0.2">
      <c r="A1864" t="s">
        <v>802</v>
      </c>
      <c r="E1864" s="20" t="str">
        <f t="shared" si="208"/>
        <v/>
      </c>
      <c r="F1864" s="21" t="str">
        <f>IF(OR(E1864="",E1864="!!!"),"",IF(NOT(ISNA(VLOOKUP(E1864,E$1:E1863,1,FALSE()))),"OLD",IF(AND(E1864&lt;&gt;"",E1864&lt;&gt;"!!!"),"NEW","")))</f>
        <v/>
      </c>
      <c r="G1864" s="22" t="str">
        <f>IF(OR(E1864="",E1864="!!!"),"",IF(OR(J1864=0,AND(J1864=1,K1864=1),AND(J1864=1,I1864="SBJ"),AND(J1864=1,I1864=0)),"?IN_FOCUS",IF(J1864&lt;=2,"?ACTIVATED",IF(J1864&lt;&gt;"","?FAMILIAR",IF(F1864="NEW",IF(ISNA(VLOOKUP(E1864,#REF!,1,FALSE())),"?TYPE_IDENTIFIABLE","?REFERENTIAL"),"_")))))</f>
        <v/>
      </c>
      <c r="H1864" s="23" t="str">
        <f t="shared" ca="1" si="209"/>
        <v/>
      </c>
      <c r="I1864" s="24" t="str">
        <f>IF(OR(E1864="",E1864="!!!",F1864="NEW"),"",INDEX(B$2:B1863,-1+SUMPRODUCT(MAX(ROW(E$2:E1863)*(E1864=E$2:E1863)))))</f>
        <v/>
      </c>
      <c r="J1864" s="24" t="str">
        <f ca="1">IF(OR(E1864="",E1864="!!!",F1864="NEW"),"",COUNTBLANK(OFFSET(A$1,,,SUMPRODUCT(MAX(ROW(E$2:E1864)*(E1864=E$2:E1864)))))-COUNTBLANK(OFFSET(A$1,,,SUMPRODUCT(MAX(ROW(E$1:E1863)*(E2=E$1:E1863))))))</f>
        <v/>
      </c>
      <c r="K1864" s="24" t="str">
        <f>IF(OR(E1864="",E1864="!!!",F1864="NEW"),"",INDEX(J$1:J1863,SUMPRODUCT(MAX(ROW(E$1:E1863)*(E1864=E$1:E1863)))))</f>
        <v/>
      </c>
      <c r="L1864" s="25"/>
    </row>
    <row r="1865" spans="1:12" x14ac:dyDescent="0.2">
      <c r="A1865" t="s">
        <v>1345</v>
      </c>
      <c r="E1865" s="20" t="str">
        <f t="shared" si="208"/>
        <v/>
      </c>
      <c r="F1865" s="21" t="str">
        <f>IF(OR(E1865="",E1865="!!!"),"",IF(NOT(ISNA(VLOOKUP(E1865,E$1:E1864,1,FALSE()))),"OLD",IF(AND(E1865&lt;&gt;"",E1865&lt;&gt;"!!!"),"NEW","")))</f>
        <v/>
      </c>
      <c r="G1865" s="22" t="str">
        <f>IF(OR(E1865="",E1865="!!!"),"",IF(OR(J1865=0,AND(J1865=1,K1865=1),AND(J1865=1,I1865="SBJ"),AND(J1865=1,I1865=0)),"?IN_FOCUS",IF(J1865&lt;=2,"?ACTIVATED",IF(J1865&lt;&gt;"","?FAMILIAR",IF(F1865="NEW",IF(ISNA(VLOOKUP(E1865,#REF!,1,FALSE())),"?TYPE_IDENTIFIABLE","?REFERENTIAL"),"_")))))</f>
        <v/>
      </c>
      <c r="H1865" s="23" t="str">
        <f t="shared" ca="1" si="209"/>
        <v/>
      </c>
      <c r="I1865" s="24" t="str">
        <f>IF(OR(E1865="",E1865="!!!",F1865="NEW"),"",INDEX(B$2:B1864,-1+SUMPRODUCT(MAX(ROW(E$2:E1864)*(E1865=E$2:E1864)))))</f>
        <v/>
      </c>
      <c r="J1865" s="24" t="str">
        <f ca="1">IF(OR(E1865="",E1865="!!!",F1865="NEW"),"",COUNTBLANK(OFFSET(A$1,,,SUMPRODUCT(MAX(ROW(E$2:E1865)*(E1865=E$2:E1865)))))-COUNTBLANK(OFFSET(A$1,,,SUMPRODUCT(MAX(ROW(E$1:E1864)*(E2=E$1:E1864))))))</f>
        <v/>
      </c>
      <c r="K1865" s="24" t="str">
        <f>IF(OR(E1865="",E1865="!!!",F1865="NEW"),"",INDEX(J$1:J1864,SUMPRODUCT(MAX(ROW(E$1:E1864)*(E1865=E$1:E1864)))))</f>
        <v/>
      </c>
      <c r="L1865" s="25"/>
    </row>
    <row r="1866" spans="1:12" x14ac:dyDescent="0.2">
      <c r="A1866" t="s">
        <v>309</v>
      </c>
      <c r="E1866" s="20" t="str">
        <f t="shared" si="208"/>
        <v/>
      </c>
      <c r="F1866" s="21" t="str">
        <f>IF(OR(E1866="",E1866="!!!"),"",IF(NOT(ISNA(VLOOKUP(E1866,E$1:E1865,1,FALSE()))),"OLD",IF(AND(E1866&lt;&gt;"",E1866&lt;&gt;"!!!"),"NEW","")))</f>
        <v/>
      </c>
      <c r="G1866" s="22" t="str">
        <f>IF(OR(E1866="",E1866="!!!"),"",IF(OR(J1866=0,AND(J1866=1,K1866=1),AND(J1866=1,I1866="SBJ"),AND(J1866=1,I1866=0)),"?IN_FOCUS",IF(J1866&lt;=2,"?ACTIVATED",IF(J1866&lt;&gt;"","?FAMILIAR",IF(F1866="NEW",IF(ISNA(VLOOKUP(E1866,#REF!,1,FALSE())),"?TYPE_IDENTIFIABLE","?REFERENTIAL"),"_")))))</f>
        <v/>
      </c>
      <c r="H1866" s="23" t="str">
        <f t="shared" ca="1" si="209"/>
        <v/>
      </c>
      <c r="I1866" s="24" t="str">
        <f>IF(OR(E1866="",E1866="!!!",F1866="NEW"),"",INDEX(B$2:B1865,-1+SUMPRODUCT(MAX(ROW(E$2:E1865)*(E1866=E$2:E1865)))))</f>
        <v/>
      </c>
      <c r="J1866" s="24" t="str">
        <f ca="1">IF(OR(E1866="",E1866="!!!",F1866="NEW"),"",COUNTBLANK(OFFSET(A$1,,,SUMPRODUCT(MAX(ROW(E$2:E1866)*(E1866=E$2:E1866)))))-COUNTBLANK(OFFSET(A$1,,,SUMPRODUCT(MAX(ROW(E$1:E1865)*(E2=E$1:E1865))))))</f>
        <v/>
      </c>
      <c r="K1866" s="24" t="str">
        <f>IF(OR(E1866="",E1866="!!!",F1866="NEW"),"",INDEX(J$1:J1865,SUMPRODUCT(MAX(ROW(E$1:E1865)*(E1866=E$1:E1865)))))</f>
        <v/>
      </c>
      <c r="L1866" s="25"/>
    </row>
    <row r="1867" spans="1:12" x14ac:dyDescent="0.2">
      <c r="A1867" t="s">
        <v>866</v>
      </c>
      <c r="B1867" s="26" t="s">
        <v>944</v>
      </c>
      <c r="C1867" s="26" t="s">
        <v>805</v>
      </c>
      <c r="D1867" s="26" t="s">
        <v>806</v>
      </c>
      <c r="E1867" s="20" t="s">
        <v>1175</v>
      </c>
      <c r="F1867" s="21" t="str">
        <f>IF(OR(E1867="",E1867="!!!"),"",IF(NOT(ISNA(VLOOKUP(E1867,E$1:E1866,1,FALSE()))),"OLD",IF(AND(E1867&lt;&gt;"",E1867&lt;&gt;"!!!"),"NEW","")))</f>
        <v>OLD</v>
      </c>
      <c r="G1867" s="22" t="s">
        <v>1823</v>
      </c>
      <c r="H1867" s="23" t="str">
        <f t="shared" ca="1" si="209"/>
        <v/>
      </c>
      <c r="I1867" s="24" t="str">
        <f>IF(OR(E1867="",E1867="!!!",F1867="NEW"),"",INDEX(B$2:B1866,-1+SUMPRODUCT(MAX(ROW(E$2:E1866)*(E1867=E$2:E1866)))))</f>
        <v>OBJ_3</v>
      </c>
      <c r="J1867" s="24">
        <f ca="1">IF(OR(E1867="",E1867="!!!",F1867="NEW"),"",COUNTBLANK(OFFSET(A$1,,,SUMPRODUCT(MAX(ROW(E$2:E1867)*(E1867=E$2:E1867)))))-COUNTBLANK(OFFSET(A$1,,,SUMPRODUCT(MAX(ROW(E$1:E1866)*(E2=E$1:E1866))))))</f>
        <v>0</v>
      </c>
      <c r="K1867" s="24">
        <f ca="1">IF(OR(E1867="",E1867="!!!",F1867="NEW"),"",INDEX(J$1:J1866,SUMPRODUCT(MAX(ROW(E$1:E1866)*(E1867=E$1:E1866)))))</f>
        <v>0</v>
      </c>
      <c r="L1867" s="25"/>
    </row>
    <row r="1868" spans="1:12" x14ac:dyDescent="0.2">
      <c r="A1868" t="s">
        <v>1412</v>
      </c>
      <c r="E1868" s="20" t="str">
        <f t="shared" si="208"/>
        <v/>
      </c>
      <c r="F1868" s="21" t="str">
        <f>IF(OR(E1868="",E1868="!!!"),"",IF(NOT(ISNA(VLOOKUP(E1868,E$1:E1867,1,FALSE()))),"OLD",IF(AND(E1868&lt;&gt;"",E1868&lt;&gt;"!!!"),"NEW","")))</f>
        <v/>
      </c>
      <c r="G1868" s="22" t="str">
        <f>IF(OR(E1868="",E1868="!!!"),"",IF(OR(J1868=0,AND(J1868=1,K1868=1),AND(J1868=1,I1868="SBJ"),AND(J1868=1,I1868=0)),"?IN_FOCUS",IF(J1868&lt;=2,"?ACTIVATED",IF(J1868&lt;&gt;"","?FAMILIAR",IF(F1868="NEW",IF(ISNA(VLOOKUP(E1868,#REF!,1,FALSE())),"?TYPE_IDENTIFIABLE","?REFERENTIAL"),"_")))))</f>
        <v/>
      </c>
      <c r="H1868" s="23" t="str">
        <f t="shared" ca="1" si="209"/>
        <v/>
      </c>
      <c r="I1868" s="24" t="str">
        <f>IF(OR(E1868="",E1868="!!!",F1868="NEW"),"",INDEX(B$2:B1867,-1+SUMPRODUCT(MAX(ROW(E$2:E1867)*(E1868=E$2:E1867)))))</f>
        <v/>
      </c>
      <c r="J1868" s="24" t="str">
        <f ca="1">IF(OR(E1868="",E1868="!!!",F1868="NEW"),"",COUNTBLANK(OFFSET(A$1,,,SUMPRODUCT(MAX(ROW(E$2:E1868)*(E1868=E$2:E1868)))))-COUNTBLANK(OFFSET(A$1,,,SUMPRODUCT(MAX(ROW(E$1:E1867)*(E2=E$1:E1867))))))</f>
        <v/>
      </c>
      <c r="K1868" s="24" t="str">
        <f>IF(OR(E1868="",E1868="!!!",F1868="NEW"),"",INDEX(J$1:J1867,SUMPRODUCT(MAX(ROW(E$1:E1867)*(E1868=E$1:E1867)))))</f>
        <v/>
      </c>
      <c r="L1868" s="25"/>
    </row>
    <row r="1869" spans="1:12" x14ac:dyDescent="0.2">
      <c r="A1869" t="s">
        <v>1413</v>
      </c>
      <c r="B1869" s="26" t="s">
        <v>1333</v>
      </c>
      <c r="C1869" s="26" t="s">
        <v>814</v>
      </c>
      <c r="E1869" s="20" t="s">
        <v>1413</v>
      </c>
      <c r="F1869" s="21" t="str">
        <f>IF(OR(E1869="",E1869="!!!"),"",IF(NOT(ISNA(VLOOKUP(E1869,E$1:E1868,1,FALSE()))),"OLD",IF(AND(E1869&lt;&gt;"",E1869&lt;&gt;"!!!"),"NEW","")))</f>
        <v>NEW</v>
      </c>
      <c r="G1869" s="22" t="s">
        <v>1820</v>
      </c>
      <c r="H1869" s="23" t="str">
        <f t="shared" ca="1" si="209"/>
        <v/>
      </c>
      <c r="I1869" s="24" t="str">
        <f>IF(OR(E1869="",E1869="!!!",F1869="NEW"),"",INDEX(B$2:B1868,-1+SUMPRODUCT(MAX(ROW(E$2:E1868)*(E1869=E$2:E1868)))))</f>
        <v/>
      </c>
      <c r="J1869" s="24" t="str">
        <f ca="1">IF(OR(E1869="",E1869="!!!",F1869="NEW"),"",COUNTBLANK(OFFSET(A$1,,,SUMPRODUCT(MAX(ROW(E$2:E1869)*(E1869=E$2:E1869)))))-COUNTBLANK(OFFSET(A$1,,,SUMPRODUCT(MAX(ROW(E$1:E1868)*(E2=E$1:E1868))))))</f>
        <v/>
      </c>
      <c r="K1869" s="24" t="str">
        <f>IF(OR(E1869="",E1869="!!!",F1869="NEW"),"",INDEX(J$1:J1868,SUMPRODUCT(MAX(ROW(E$1:E1868)*(E1869=E$1:E1868)))))</f>
        <v/>
      </c>
      <c r="L1869" s="25"/>
    </row>
    <row r="1870" spans="1:12" x14ac:dyDescent="0.2">
      <c r="A1870" t="s">
        <v>922</v>
      </c>
      <c r="E1870" s="20" t="str">
        <f t="shared" si="208"/>
        <v/>
      </c>
      <c r="F1870" s="21" t="str">
        <f>IF(OR(E1870="",E1870="!!!"),"",IF(NOT(ISNA(VLOOKUP(E1870,E$1:E1869,1,FALSE()))),"OLD",IF(AND(E1870&lt;&gt;"",E1870&lt;&gt;"!!!"),"NEW","")))</f>
        <v/>
      </c>
      <c r="G1870" s="22" t="str">
        <f>IF(OR(E1870="",E1870="!!!"),"",IF(OR(J1870=0,AND(J1870=1,K1870=1),AND(J1870=1,I1870="SBJ"),AND(J1870=1,I1870=0)),"?IN_FOCUS",IF(J1870&lt;=2,"?ACTIVATED",IF(J1870&lt;&gt;"","?FAMILIAR",IF(F1870="NEW",IF(ISNA(VLOOKUP(E1870,#REF!,1,FALSE())),"?TYPE_IDENTIFIABLE","?REFERENTIAL"),"_")))))</f>
        <v/>
      </c>
      <c r="H1870" s="23" t="str">
        <f t="shared" ca="1" si="209"/>
        <v/>
      </c>
      <c r="I1870" s="24" t="str">
        <f>IF(OR(E1870="",E1870="!!!",F1870="NEW"),"",INDEX(B$2:B1869,-1+SUMPRODUCT(MAX(ROW(E$2:E1869)*(E1870=E$2:E1869)))))</f>
        <v/>
      </c>
      <c r="J1870" s="24" t="str">
        <f ca="1">IF(OR(E1870="",E1870="!!!",F1870="NEW"),"",COUNTBLANK(OFFSET(A$1,,,SUMPRODUCT(MAX(ROW(E$2:E1870)*(E1870=E$2:E1870)))))-COUNTBLANK(OFFSET(A$1,,,SUMPRODUCT(MAX(ROW(E$1:E1869)*(E2=E$1:E1869))))))</f>
        <v/>
      </c>
      <c r="K1870" s="24" t="str">
        <f>IF(OR(E1870="",E1870="!!!",F1870="NEW"),"",INDEX(J$1:J1869,SUMPRODUCT(MAX(ROW(E$1:E1869)*(E1870=E$1:E1869)))))</f>
        <v/>
      </c>
      <c r="L1870" s="25"/>
    </row>
    <row r="1871" spans="1:12" x14ac:dyDescent="0.2">
      <c r="A1871" t="s">
        <v>902</v>
      </c>
      <c r="E1871" s="20" t="str">
        <f t="shared" si="208"/>
        <v/>
      </c>
      <c r="F1871" s="21" t="str">
        <f>IF(OR(E1871="",E1871="!!!"),"",IF(NOT(ISNA(VLOOKUP(E1871,E$1:E1870,1,FALSE()))),"OLD",IF(AND(E1871&lt;&gt;"",E1871&lt;&gt;"!!!"),"NEW","")))</f>
        <v/>
      </c>
      <c r="G1871" s="22" t="str">
        <f>IF(OR(E1871="",E1871="!!!"),"",IF(OR(J1871=0,AND(J1871=1,K1871=1),AND(J1871=1,I1871="SBJ"),AND(J1871=1,I1871=0)),"?IN_FOCUS",IF(J1871&lt;=2,"?ACTIVATED",IF(J1871&lt;&gt;"","?FAMILIAR",IF(F1871="NEW",IF(ISNA(VLOOKUP(E1871,#REF!,1,FALSE())),"?TYPE_IDENTIFIABLE","?REFERENTIAL"),"_")))))</f>
        <v/>
      </c>
      <c r="H1871" s="23" t="str">
        <f t="shared" ca="1" si="209"/>
        <v/>
      </c>
      <c r="I1871" s="24" t="str">
        <f>IF(OR(E1871="",E1871="!!!",F1871="NEW"),"",INDEX(B$2:B1870,-1+SUMPRODUCT(MAX(ROW(E$2:E1870)*(E1871=E$2:E1870)))))</f>
        <v/>
      </c>
      <c r="J1871" s="24" t="str">
        <f ca="1">IF(OR(E1871="",E1871="!!!",F1871="NEW"),"",COUNTBLANK(OFFSET(A$1,,,SUMPRODUCT(MAX(ROW(E$2:E1871)*(E1871=E$2:E1871)))))-COUNTBLANK(OFFSET(A$1,,,SUMPRODUCT(MAX(ROW(E$1:E1870)*(E2=E$1:E1870))))))</f>
        <v/>
      </c>
      <c r="K1871" s="24" t="str">
        <f>IF(OR(E1871="",E1871="!!!",F1871="NEW"),"",INDEX(J$1:J1870,SUMPRODUCT(MAX(ROW(E$1:E1870)*(E1871=E$1:E1870)))))</f>
        <v/>
      </c>
      <c r="L1871" s="25"/>
    </row>
    <row r="1873" spans="1:12" x14ac:dyDescent="0.2">
      <c r="A1873" t="s">
        <v>1414</v>
      </c>
    </row>
    <row r="1874" spans="1:12" x14ac:dyDescent="0.2">
      <c r="A1874" t="s">
        <v>1415</v>
      </c>
      <c r="E1874" s="20" t="str">
        <f t="shared" ref="E1874:E1890" si="210">IF(D1874="?OLD","!!!","")</f>
        <v/>
      </c>
      <c r="F1874" s="21" t="str">
        <f>IF(OR(E1874="",E1874="!!!"),"",IF(NOT(ISNA(VLOOKUP(E1874,E$1:E1873,1,FALSE()))),"OLD",IF(AND(E1874&lt;&gt;"",E1874&lt;&gt;"!!!"),"NEW","")))</f>
        <v/>
      </c>
      <c r="G1874" s="22" t="str">
        <f>IF(OR(E1874="",E1874="!!!"),"",IF(OR(J1874=0,AND(J1874=1,K1874=1),AND(J1874=1,I1874="SBJ"),AND(J1874=1,I1874=0)),"?IN_FOCUS",IF(J1874&lt;=2,"?ACTIVATED",IF(J1874&lt;&gt;"","?FAMILIAR",IF(F1874="NEW",IF(ISNA(VLOOKUP(E1874,#REF!,1,FALSE())),"?TYPE_IDENTIFIABLE","?REFERENTIAL"),"_")))))</f>
        <v/>
      </c>
      <c r="H1874" s="23" t="str">
        <f t="shared" ref="H1874:H1890" ca="1" si="211">IF(J1874&lt;&gt;1,"",IF(I1874="SBJ","CB","?"))</f>
        <v/>
      </c>
      <c r="I1874" s="24" t="str">
        <f>IF(OR(E1874="",E1874="!!!",F1874="NEW"),"",INDEX(B$2:B1873,-1+SUMPRODUCT(MAX(ROW(E$2:E1873)*(E1874=E$2:E1873)))))</f>
        <v/>
      </c>
      <c r="J1874" s="24" t="str">
        <f ca="1">IF(OR(E1874="",E1874="!!!",F1874="NEW"),"",COUNTBLANK(OFFSET(A$1,,,SUMPRODUCT(MAX(ROW(E$2:E1874)*(E1874=E$2:E1874)))))-COUNTBLANK(OFFSET(A$1,,,SUMPRODUCT(MAX(ROW(E$1:E1873)*(E2=E$1:E1873))))))</f>
        <v/>
      </c>
      <c r="K1874" s="24" t="str">
        <f>IF(OR(E1874="",E1874="!!!",F1874="NEW"),"",INDEX(J$1:J1873,SUMPRODUCT(MAX(ROW(E$1:E1873)*(E1874=E$1:E1873)))))</f>
        <v/>
      </c>
      <c r="L1874" s="25"/>
    </row>
    <row r="1875" spans="1:12" x14ac:dyDescent="0.2">
      <c r="A1875" t="s">
        <v>1060</v>
      </c>
      <c r="E1875" s="20" t="str">
        <f t="shared" si="210"/>
        <v/>
      </c>
      <c r="F1875" s="21" t="str">
        <f>IF(OR(E1875="",E1875="!!!"),"",IF(NOT(ISNA(VLOOKUP(E1875,E$1:E1874,1,FALSE()))),"OLD",IF(AND(E1875&lt;&gt;"",E1875&lt;&gt;"!!!"),"NEW","")))</f>
        <v/>
      </c>
      <c r="G1875" s="22" t="str">
        <f>IF(OR(E1875="",E1875="!!!"),"",IF(OR(J1875=0,AND(J1875=1,K1875=1),AND(J1875=1,I1875="SBJ"),AND(J1875=1,I1875=0)),"?IN_FOCUS",IF(J1875&lt;=2,"?ACTIVATED",IF(J1875&lt;&gt;"","?FAMILIAR",IF(F1875="NEW",IF(ISNA(VLOOKUP(E1875,#REF!,1,FALSE())),"?TYPE_IDENTIFIABLE","?REFERENTIAL"),"_")))))</f>
        <v/>
      </c>
      <c r="H1875" s="23" t="str">
        <f t="shared" ca="1" si="211"/>
        <v/>
      </c>
      <c r="I1875" s="24" t="str">
        <f>IF(OR(E1875="",E1875="!!!",F1875="NEW"),"",INDEX(B$2:B1874,-1+SUMPRODUCT(MAX(ROW(E$2:E1874)*(E1875=E$2:E1874)))))</f>
        <v/>
      </c>
      <c r="J1875" s="24" t="str">
        <f ca="1">IF(OR(E1875="",E1875="!!!",F1875="NEW"),"",COUNTBLANK(OFFSET(A$1,,,SUMPRODUCT(MAX(ROW(E$2:E1875)*(E1875=E$2:E1875)))))-COUNTBLANK(OFFSET(A$1,,,SUMPRODUCT(MAX(ROW(E$1:E1874)*(E2=E$1:E1874))))))</f>
        <v/>
      </c>
      <c r="K1875" s="24" t="str">
        <f>IF(OR(E1875="",E1875="!!!",F1875="NEW"),"",INDEX(J$1:J1874,SUMPRODUCT(MAX(ROW(E$1:E1874)*(E1875=E$1:E1874)))))</f>
        <v/>
      </c>
      <c r="L1875" s="25"/>
    </row>
    <row r="1876" spans="1:12" x14ac:dyDescent="0.2">
      <c r="A1876" t="s">
        <v>1416</v>
      </c>
      <c r="B1876" s="26" t="s">
        <v>819</v>
      </c>
      <c r="C1876" s="26" t="s">
        <v>877</v>
      </c>
      <c r="D1876" s="26" t="s">
        <v>806</v>
      </c>
      <c r="E1876" s="20" t="s">
        <v>1416</v>
      </c>
      <c r="F1876" s="21" t="str">
        <f>IF(OR(E1876="",E1876="!!!"),"",IF(NOT(ISNA(VLOOKUP(E1876,E$1:E1875,1,FALSE()))),"OLD",IF(AND(E1876&lt;&gt;"",E1876&lt;&gt;"!!!"),"NEW","")))</f>
        <v>NEW</v>
      </c>
      <c r="G1876" s="22" t="s">
        <v>1820</v>
      </c>
      <c r="H1876" s="23" t="str">
        <f t="shared" ca="1" si="211"/>
        <v/>
      </c>
      <c r="I1876" s="24" t="str">
        <f>IF(OR(E1876="",E1876="!!!",F1876="NEW"),"",INDEX(B$2:B1875,-1+SUMPRODUCT(MAX(ROW(E$2:E1875)*(E1876=E$2:E1875)))))</f>
        <v/>
      </c>
      <c r="J1876" s="24" t="str">
        <f ca="1">IF(OR(E1876="",E1876="!!!",F1876="NEW"),"",COUNTBLANK(OFFSET(A$1,,,SUMPRODUCT(MAX(ROW(E$2:E1876)*(E1876=E$2:E1876)))))-COUNTBLANK(OFFSET(A$1,,,SUMPRODUCT(MAX(ROW(E$1:E1875)*(E2=E$1:E1875))))))</f>
        <v/>
      </c>
      <c r="K1876" s="24" t="str">
        <f>IF(OR(E1876="",E1876="!!!",F1876="NEW"),"",INDEX(J$1:J1875,SUMPRODUCT(MAX(ROW(E$1:E1875)*(E1876=E$1:E1875)))))</f>
        <v/>
      </c>
      <c r="L1876" s="25"/>
    </row>
    <row r="1877" spans="1:12" x14ac:dyDescent="0.2">
      <c r="A1877" t="s">
        <v>802</v>
      </c>
      <c r="E1877" s="20" t="str">
        <f t="shared" si="210"/>
        <v/>
      </c>
      <c r="F1877" s="21" t="str">
        <f>IF(OR(E1877="",E1877="!!!"),"",IF(NOT(ISNA(VLOOKUP(E1877,E$1:E1876,1,FALSE()))),"OLD",IF(AND(E1877&lt;&gt;"",E1877&lt;&gt;"!!!"),"NEW","")))</f>
        <v/>
      </c>
      <c r="G1877" s="22" t="str">
        <f>IF(OR(E1877="",E1877="!!!"),"",IF(OR(J1877=0,AND(J1877=1,K1877=1),AND(J1877=1,I1877="SBJ"),AND(J1877=1,I1877=0)),"?IN_FOCUS",IF(J1877&lt;=2,"?ACTIVATED",IF(J1877&lt;&gt;"","?FAMILIAR",IF(F1877="NEW",IF(ISNA(VLOOKUP(E1877,#REF!,1,FALSE())),"?TYPE_IDENTIFIABLE","?REFERENTIAL"),"_")))))</f>
        <v/>
      </c>
      <c r="H1877" s="23" t="str">
        <f t="shared" ca="1" si="211"/>
        <v/>
      </c>
      <c r="I1877" s="24" t="str">
        <f>IF(OR(E1877="",E1877="!!!",F1877="NEW"),"",INDEX(B$2:B1876,-1+SUMPRODUCT(MAX(ROW(E$2:E1876)*(E1877=E$2:E1876)))))</f>
        <v/>
      </c>
      <c r="J1877" s="24" t="str">
        <f ca="1">IF(OR(E1877="",E1877="!!!",F1877="NEW"),"",COUNTBLANK(OFFSET(A$1,,,SUMPRODUCT(MAX(ROW(E$2:E1877)*(E1877=E$2:E1877)))))-COUNTBLANK(OFFSET(A$1,,,SUMPRODUCT(MAX(ROW(E$1:E1876)*(E2=E$1:E1876))))))</f>
        <v/>
      </c>
      <c r="K1877" s="24" t="str">
        <f>IF(OR(E1877="",E1877="!!!",F1877="NEW"),"",INDEX(J$1:J1876,SUMPRODUCT(MAX(ROW(E$1:E1876)*(E1877=E$1:E1876)))))</f>
        <v/>
      </c>
      <c r="L1877" s="25"/>
    </row>
    <row r="1878" spans="1:12" x14ac:dyDescent="0.2">
      <c r="A1878" t="s">
        <v>830</v>
      </c>
      <c r="B1878" s="26" t="s">
        <v>804</v>
      </c>
      <c r="C1878" s="26" t="s">
        <v>805</v>
      </c>
      <c r="D1878" s="26" t="s">
        <v>806</v>
      </c>
      <c r="E1878" s="20"/>
      <c r="F1878" s="21" t="s">
        <v>1793</v>
      </c>
      <c r="G1878" s="22" t="str">
        <f>IF(OR(E1878="",E1878="!!!"),"",IF(OR(J1878=0,AND(J1878=1,K1878=1),AND(J1878=1,I1878="SBJ"),AND(J1878=1,I1878=0)),"?IN_FOCUS",IF(J1878&lt;=2,"?ACTIVATED",IF(J1878&lt;&gt;"","?FAMILIAR",IF(F1878="NEW",IF(ISNA(VLOOKUP(E1878,#REF!,1,FALSE())),"?TYPE_IDENTIFIABLE","?REFERENTIAL"),"_")))))</f>
        <v/>
      </c>
      <c r="H1878" s="23" t="str">
        <f t="shared" ca="1" si="211"/>
        <v/>
      </c>
      <c r="I1878" s="24" t="str">
        <f>IF(OR(E1878="",E1878="!!!",F1878="NEW"),"",INDEX(B$2:B1877,-1+SUMPRODUCT(MAX(ROW(E$2:E1877)*(E1878=E$2:E1877)))))</f>
        <v/>
      </c>
      <c r="J1878" s="24" t="str">
        <f ca="1">IF(OR(E1878="",E1878="!!!",F1878="NEW"),"",COUNTBLANK(OFFSET(A$1,,,SUMPRODUCT(MAX(ROW(E$2:E1878)*(E1878=E$2:E1878)))))-COUNTBLANK(OFFSET(A$1,,,SUMPRODUCT(MAX(ROW(E$1:E1877)*(E2=E$1:E1877))))))</f>
        <v/>
      </c>
      <c r="K1878" s="24" t="str">
        <f>IF(OR(E1878="",E1878="!!!",F1878="NEW"),"",INDEX(J$1:J1877,SUMPRODUCT(MAX(ROW(E$1:E1877)*(E1878=E$1:E1877)))))</f>
        <v/>
      </c>
      <c r="L1878" s="25"/>
    </row>
    <row r="1879" spans="1:12" x14ac:dyDescent="0.2">
      <c r="A1879" t="s">
        <v>831</v>
      </c>
      <c r="E1879" s="20" t="str">
        <f t="shared" si="210"/>
        <v/>
      </c>
      <c r="F1879" s="21" t="str">
        <f>IF(OR(E1879="",E1879="!!!"),"",IF(NOT(ISNA(VLOOKUP(E1879,E$1:E1878,1,FALSE()))),"OLD",IF(AND(E1879&lt;&gt;"",E1879&lt;&gt;"!!!"),"NEW","")))</f>
        <v/>
      </c>
      <c r="G1879" s="22" t="str">
        <f>IF(OR(E1879="",E1879="!!!"),"",IF(OR(J1879=0,AND(J1879=1,K1879=1),AND(J1879=1,I1879="SBJ"),AND(J1879=1,I1879=0)),"?IN_FOCUS",IF(J1879&lt;=2,"?ACTIVATED",IF(J1879&lt;&gt;"","?FAMILIAR",IF(F1879="NEW",IF(ISNA(VLOOKUP(E1879,#REF!,1,FALSE())),"?TYPE_IDENTIFIABLE","?REFERENTIAL"),"_")))))</f>
        <v/>
      </c>
      <c r="H1879" s="23" t="str">
        <f t="shared" ca="1" si="211"/>
        <v/>
      </c>
      <c r="I1879" s="24" t="str">
        <f>IF(OR(E1879="",E1879="!!!",F1879="NEW"),"",INDEX(B$2:B1878,-1+SUMPRODUCT(MAX(ROW(E$2:E1878)*(E1879=E$2:E1878)))))</f>
        <v/>
      </c>
      <c r="J1879" s="24" t="str">
        <f ca="1">IF(OR(E1879="",E1879="!!!",F1879="NEW"),"",COUNTBLANK(OFFSET(A$1,,,SUMPRODUCT(MAX(ROW(E$2:E1879)*(E1879=E$2:E1879)))))-COUNTBLANK(OFFSET(A$1,,,SUMPRODUCT(MAX(ROW(E$1:E1878)*(E2=E$1:E1878))))))</f>
        <v/>
      </c>
      <c r="K1879" s="24" t="str">
        <f>IF(OR(E1879="",E1879="!!!",F1879="NEW"),"",INDEX(J$1:J1878,SUMPRODUCT(MAX(ROW(E$1:E1878)*(E1879=E$1:E1878)))))</f>
        <v/>
      </c>
      <c r="L1879" s="25"/>
    </row>
    <row r="1880" spans="1:12" x14ac:dyDescent="0.2">
      <c r="A1880" t="s">
        <v>1417</v>
      </c>
      <c r="E1880" s="20" t="str">
        <f t="shared" si="210"/>
        <v/>
      </c>
      <c r="F1880" s="21" t="str">
        <f>IF(OR(E1880="",E1880="!!!"),"",IF(NOT(ISNA(VLOOKUP(E1880,E$1:E1879,1,FALSE()))),"OLD",IF(AND(E1880&lt;&gt;"",E1880&lt;&gt;"!!!"),"NEW","")))</f>
        <v/>
      </c>
      <c r="G1880" s="22" t="str">
        <f>IF(OR(E1880="",E1880="!!!"),"",IF(OR(J1880=0,AND(J1880=1,K1880=1),AND(J1880=1,I1880="SBJ"),AND(J1880=1,I1880=0)),"?IN_FOCUS",IF(J1880&lt;=2,"?ACTIVATED",IF(J1880&lt;&gt;"","?FAMILIAR",IF(F1880="NEW",IF(ISNA(VLOOKUP(E1880,#REF!,1,FALSE())),"?TYPE_IDENTIFIABLE","?REFERENTIAL"),"_")))))</f>
        <v/>
      </c>
      <c r="H1880" s="23" t="str">
        <f t="shared" ca="1" si="211"/>
        <v/>
      </c>
      <c r="I1880" s="24" t="str">
        <f>IF(OR(E1880="",E1880="!!!",F1880="NEW"),"",INDEX(B$2:B1879,-1+SUMPRODUCT(MAX(ROW(E$2:E1879)*(E1880=E$2:E1879)))))</f>
        <v/>
      </c>
      <c r="J1880" s="24" t="str">
        <f ca="1">IF(OR(E1880="",E1880="!!!",F1880="NEW"),"",COUNTBLANK(OFFSET(A$1,,,SUMPRODUCT(MAX(ROW(E$2:E1880)*(E1880=E$2:E1880)))))-COUNTBLANK(OFFSET(A$1,,,SUMPRODUCT(MAX(ROW(E$1:E1879)*(E2=E$1:E1879))))))</f>
        <v/>
      </c>
      <c r="K1880" s="24" t="str">
        <f>IF(OR(E1880="",E1880="!!!",F1880="NEW"),"",INDEX(J$1:J1879,SUMPRODUCT(MAX(ROW(E$1:E1879)*(E1880=E$1:E1879)))))</f>
        <v/>
      </c>
      <c r="L1880" s="25"/>
    </row>
    <row r="1881" spans="1:12" x14ac:dyDescent="0.2">
      <c r="A1881" t="s">
        <v>890</v>
      </c>
      <c r="E1881" s="20" t="str">
        <f t="shared" si="210"/>
        <v/>
      </c>
      <c r="F1881" s="21" t="str">
        <f>IF(OR(E1881="",E1881="!!!"),"",IF(NOT(ISNA(VLOOKUP(E1881,E$1:E1880,1,FALSE()))),"OLD",IF(AND(E1881&lt;&gt;"",E1881&lt;&gt;"!!!"),"NEW","")))</f>
        <v/>
      </c>
      <c r="G1881" s="22" t="str">
        <f>IF(OR(E1881="",E1881="!!!"),"",IF(OR(J1881=0,AND(J1881=1,K1881=1),AND(J1881=1,I1881="SBJ"),AND(J1881=1,I1881=0)),"?IN_FOCUS",IF(J1881&lt;=2,"?ACTIVATED",IF(J1881&lt;&gt;"","?FAMILIAR",IF(F1881="NEW",IF(ISNA(VLOOKUP(E1881,#REF!,1,FALSE())),"?TYPE_IDENTIFIABLE","?REFERENTIAL"),"_")))))</f>
        <v/>
      </c>
      <c r="H1881" s="23" t="str">
        <f t="shared" ca="1" si="211"/>
        <v/>
      </c>
      <c r="I1881" s="24" t="str">
        <f>IF(OR(E1881="",E1881="!!!",F1881="NEW"),"",INDEX(B$2:B1880,-1+SUMPRODUCT(MAX(ROW(E$2:E1880)*(E1881=E$2:E1880)))))</f>
        <v/>
      </c>
      <c r="J1881" s="24" t="str">
        <f ca="1">IF(OR(E1881="",E1881="!!!",F1881="NEW"),"",COUNTBLANK(OFFSET(A$1,,,SUMPRODUCT(MAX(ROW(E$2:E1881)*(E1881=E$2:E1881)))))-COUNTBLANK(OFFSET(A$1,,,SUMPRODUCT(MAX(ROW(E$1:E1880)*(E2=E$1:E1880))))))</f>
        <v/>
      </c>
      <c r="K1881" s="24" t="str">
        <f>IF(OR(E1881="",E1881="!!!",F1881="NEW"),"",INDEX(J$1:J1880,SUMPRODUCT(MAX(ROW(E$1:E1880)*(E1881=E$1:E1880)))))</f>
        <v/>
      </c>
      <c r="L1881" s="25"/>
    </row>
    <row r="1882" spans="1:12" x14ac:dyDescent="0.2">
      <c r="A1882" t="s">
        <v>809</v>
      </c>
      <c r="E1882" s="20" t="str">
        <f t="shared" si="210"/>
        <v/>
      </c>
      <c r="F1882" s="21" t="str">
        <f>IF(OR(E1882="",E1882="!!!"),"",IF(NOT(ISNA(VLOOKUP(E1882,E$1:E1881,1,FALSE()))),"OLD",IF(AND(E1882&lt;&gt;"",E1882&lt;&gt;"!!!"),"NEW","")))</f>
        <v/>
      </c>
      <c r="G1882" s="22" t="str">
        <f>IF(OR(E1882="",E1882="!!!"),"",IF(OR(J1882=0,AND(J1882=1,K1882=1),AND(J1882=1,I1882="SBJ"),AND(J1882=1,I1882=0)),"?IN_FOCUS",IF(J1882&lt;=2,"?ACTIVATED",IF(J1882&lt;&gt;"","?FAMILIAR",IF(F1882="NEW",IF(ISNA(VLOOKUP(E1882,#REF!,1,FALSE())),"?TYPE_IDENTIFIABLE","?REFERENTIAL"),"_")))))</f>
        <v/>
      </c>
      <c r="H1882" s="23" t="str">
        <f t="shared" ca="1" si="211"/>
        <v/>
      </c>
      <c r="I1882" s="24" t="str">
        <f>IF(OR(E1882="",E1882="!!!",F1882="NEW"),"",INDEX(B$2:B1881,-1+SUMPRODUCT(MAX(ROW(E$2:E1881)*(E1882=E$2:E1881)))))</f>
        <v/>
      </c>
      <c r="J1882" s="24" t="str">
        <f ca="1">IF(OR(E1882="",E1882="!!!",F1882="NEW"),"",COUNTBLANK(OFFSET(A$1,,,SUMPRODUCT(MAX(ROW(E$2:E1882)*(E1882=E$2:E1882)))))-COUNTBLANK(OFFSET(A$1,,,SUMPRODUCT(MAX(ROW(E$1:E1881)*(E2=E$1:E1881))))))</f>
        <v/>
      </c>
      <c r="K1882" s="24" t="str">
        <f>IF(OR(E1882="",E1882="!!!",F1882="NEW"),"",INDEX(J$1:J1881,SUMPRODUCT(MAX(ROW(E$1:E1881)*(E1882=E$1:E1881)))))</f>
        <v/>
      </c>
      <c r="L1882" s="25"/>
    </row>
    <row r="1883" spans="1:12" x14ac:dyDescent="0.2">
      <c r="A1883" t="s">
        <v>1418</v>
      </c>
      <c r="E1883" s="20" t="str">
        <f t="shared" si="210"/>
        <v/>
      </c>
      <c r="F1883" s="21" t="str">
        <f>IF(OR(E1883="",E1883="!!!"),"",IF(NOT(ISNA(VLOOKUP(E1883,E$1:E1882,1,FALSE()))),"OLD",IF(AND(E1883&lt;&gt;"",E1883&lt;&gt;"!!!"),"NEW","")))</f>
        <v/>
      </c>
      <c r="G1883" s="22" t="str">
        <f>IF(OR(E1883="",E1883="!!!"),"",IF(OR(J1883=0,AND(J1883=1,K1883=1),AND(J1883=1,I1883="SBJ"),AND(J1883=1,I1883=0)),"?IN_FOCUS",IF(J1883&lt;=2,"?ACTIVATED",IF(J1883&lt;&gt;"","?FAMILIAR",IF(F1883="NEW",IF(ISNA(VLOOKUP(E1883,#REF!,1,FALSE())),"?TYPE_IDENTIFIABLE","?REFERENTIAL"),"_")))))</f>
        <v/>
      </c>
      <c r="H1883" s="23" t="str">
        <f t="shared" ca="1" si="211"/>
        <v/>
      </c>
      <c r="I1883" s="24" t="str">
        <f>IF(OR(E1883="",E1883="!!!",F1883="NEW"),"",INDEX(B$2:B1882,-1+SUMPRODUCT(MAX(ROW(E$2:E1882)*(E1883=E$2:E1882)))))</f>
        <v/>
      </c>
      <c r="J1883" s="24" t="str">
        <f ca="1">IF(OR(E1883="",E1883="!!!",F1883="NEW"),"",COUNTBLANK(OFFSET(A$1,,,SUMPRODUCT(MAX(ROW(E$2:E1883)*(E1883=E$2:E1883)))))-COUNTBLANK(OFFSET(A$1,,,SUMPRODUCT(MAX(ROW(E$1:E1882)*(E2=E$1:E1882))))))</f>
        <v/>
      </c>
      <c r="K1883" s="24" t="str">
        <f>IF(OR(E1883="",E1883="!!!",F1883="NEW"),"",INDEX(J$1:J1882,SUMPRODUCT(MAX(ROW(E$1:E1882)*(E1883=E$1:E1882)))))</f>
        <v/>
      </c>
      <c r="L1883" s="25"/>
    </row>
    <row r="1884" spans="1:12" x14ac:dyDescent="0.2">
      <c r="A1884" t="s">
        <v>1419</v>
      </c>
      <c r="B1884" s="26" t="s">
        <v>819</v>
      </c>
      <c r="C1884" s="26" t="s">
        <v>811</v>
      </c>
      <c r="E1884" s="20" t="str">
        <f t="shared" si="210"/>
        <v/>
      </c>
      <c r="F1884" s="21" t="str">
        <f>IF(OR(E1884="",E1884="!!!"),"",IF(NOT(ISNA(VLOOKUP(E1884,E$1:E1883,1,FALSE()))),"OLD",IF(AND(E1884&lt;&gt;"",E1884&lt;&gt;"!!!"),"NEW","")))</f>
        <v/>
      </c>
      <c r="G1884" s="22" t="str">
        <f>IF(OR(E1884="",E1884="!!!"),"",IF(OR(J1884=0,AND(J1884=1,K1884=1),AND(J1884=1,I1884="SBJ"),AND(J1884=1,I1884=0)),"?IN_FOCUS",IF(J1884&lt;=2,"?ACTIVATED",IF(J1884&lt;&gt;"","?FAMILIAR",IF(F1884="NEW",IF(ISNA(VLOOKUP(E1884,#REF!,1,FALSE())),"?TYPE_IDENTIFIABLE","?REFERENTIAL"),"_")))))</f>
        <v/>
      </c>
      <c r="H1884" s="23" t="str">
        <f t="shared" ca="1" si="211"/>
        <v/>
      </c>
      <c r="I1884" s="24" t="str">
        <f>IF(OR(E1884="",E1884="!!!",F1884="NEW"),"",INDEX(B$2:B1883,-1+SUMPRODUCT(MAX(ROW(E$2:E1883)*(E1884=E$2:E1883)))))</f>
        <v/>
      </c>
      <c r="J1884" s="24" t="str">
        <f ca="1">IF(OR(E1884="",E1884="!!!",F1884="NEW"),"",COUNTBLANK(OFFSET(A$1,,,SUMPRODUCT(MAX(ROW(E$2:E1884)*(E1884=E$2:E1884)))))-COUNTBLANK(OFFSET(A$1,,,SUMPRODUCT(MAX(ROW(E$1:E1883)*(E2=E$1:E1883))))))</f>
        <v/>
      </c>
      <c r="K1884" s="24" t="str">
        <f>IF(OR(E1884="",E1884="!!!",F1884="NEW"),"",INDEX(J$1:J1883,SUMPRODUCT(MAX(ROW(E$1:E1883)*(E1884=E$1:E1883)))))</f>
        <v/>
      </c>
      <c r="L1884" s="25"/>
    </row>
    <row r="1885" spans="1:12" x14ac:dyDescent="0.2">
      <c r="A1885" t="s">
        <v>887</v>
      </c>
      <c r="E1885" s="20" t="str">
        <f t="shared" si="210"/>
        <v/>
      </c>
      <c r="F1885" s="21" t="str">
        <f>IF(OR(E1885="",E1885="!!!"),"",IF(NOT(ISNA(VLOOKUP(E1885,E$1:E1884,1,FALSE()))),"OLD",IF(AND(E1885&lt;&gt;"",E1885&lt;&gt;"!!!"),"NEW","")))</f>
        <v/>
      </c>
      <c r="G1885" s="22" t="str">
        <f>IF(OR(E1885="",E1885="!!!"),"",IF(OR(J1885=0,AND(J1885=1,K1885=1),AND(J1885=1,I1885="SBJ"),AND(J1885=1,I1885=0)),"?IN_FOCUS",IF(J1885&lt;=2,"?ACTIVATED",IF(J1885&lt;&gt;"","?FAMILIAR",IF(F1885="NEW",IF(ISNA(VLOOKUP(E1885,#REF!,1,FALSE())),"?TYPE_IDENTIFIABLE","?REFERENTIAL"),"_")))))</f>
        <v/>
      </c>
      <c r="H1885" s="23" t="str">
        <f t="shared" ca="1" si="211"/>
        <v/>
      </c>
      <c r="I1885" s="24" t="str">
        <f>IF(OR(E1885="",E1885="!!!",F1885="NEW"),"",INDEX(B$2:B1884,-1+SUMPRODUCT(MAX(ROW(E$2:E1884)*(E1885=E$2:E1884)))))</f>
        <v/>
      </c>
      <c r="J1885" s="24" t="str">
        <f ca="1">IF(OR(E1885="",E1885="!!!",F1885="NEW"),"",COUNTBLANK(OFFSET(A$1,,,SUMPRODUCT(MAX(ROW(E$2:E1885)*(E1885=E$2:E1885)))))-COUNTBLANK(OFFSET(A$1,,,SUMPRODUCT(MAX(ROW(E$1:E1884)*(E2=E$1:E1884))))))</f>
        <v/>
      </c>
      <c r="K1885" s="24" t="str">
        <f>IF(OR(E1885="",E1885="!!!",F1885="NEW"),"",INDEX(J$1:J1884,SUMPRODUCT(MAX(ROW(E$1:E1884)*(E1885=E$1:E1884)))))</f>
        <v/>
      </c>
      <c r="L1885" s="25"/>
    </row>
    <row r="1886" spans="1:12" x14ac:dyDescent="0.2">
      <c r="A1886" t="s">
        <v>878</v>
      </c>
      <c r="E1886" s="20" t="str">
        <f t="shared" si="210"/>
        <v/>
      </c>
      <c r="F1886" s="21" t="str">
        <f>IF(OR(E1886="",E1886="!!!"),"",IF(NOT(ISNA(VLOOKUP(E1886,E$1:E1885,1,FALSE()))),"OLD",IF(AND(E1886&lt;&gt;"",E1886&lt;&gt;"!!!"),"NEW","")))</f>
        <v/>
      </c>
      <c r="G1886" s="22" t="str">
        <f>IF(OR(E1886="",E1886="!!!"),"",IF(OR(J1886=0,AND(J1886=1,K1886=1),AND(J1886=1,I1886="SBJ"),AND(J1886=1,I1886=0)),"?IN_FOCUS",IF(J1886&lt;=2,"?ACTIVATED",IF(J1886&lt;&gt;"","?FAMILIAR",IF(F1886="NEW",IF(ISNA(VLOOKUP(E1886,#REF!,1,FALSE())),"?TYPE_IDENTIFIABLE","?REFERENTIAL"),"_")))))</f>
        <v/>
      </c>
      <c r="H1886" s="23" t="str">
        <f t="shared" ca="1" si="211"/>
        <v/>
      </c>
      <c r="I1886" s="24" t="str">
        <f>IF(OR(E1886="",E1886="!!!",F1886="NEW"),"",INDEX(B$2:B1885,-1+SUMPRODUCT(MAX(ROW(E$2:E1885)*(E1886=E$2:E1885)))))</f>
        <v/>
      </c>
      <c r="J1886" s="24" t="str">
        <f ca="1">IF(OR(E1886="",E1886="!!!",F1886="NEW"),"",COUNTBLANK(OFFSET(A$1,,,SUMPRODUCT(MAX(ROW(E$2:E1886)*(E1886=E$2:E1886)))))-COUNTBLANK(OFFSET(A$1,,,SUMPRODUCT(MAX(ROW(E$1:E1885)*(E2=E$1:E1885))))))</f>
        <v/>
      </c>
      <c r="K1886" s="24" t="str">
        <f>IF(OR(E1886="",E1886="!!!",F1886="NEW"),"",INDEX(J$1:J1885,SUMPRODUCT(MAX(ROW(E$1:E1885)*(E1886=E$1:E1885)))))</f>
        <v/>
      </c>
      <c r="L1886" s="25"/>
    </row>
    <row r="1887" spans="1:12" x14ac:dyDescent="0.2">
      <c r="A1887" t="s">
        <v>809</v>
      </c>
      <c r="E1887" s="20" t="str">
        <f t="shared" si="210"/>
        <v/>
      </c>
      <c r="F1887" s="21" t="str">
        <f>IF(OR(E1887="",E1887="!!!"),"",IF(NOT(ISNA(VLOOKUP(E1887,E$1:E1886,1,FALSE()))),"OLD",IF(AND(E1887&lt;&gt;"",E1887&lt;&gt;"!!!"),"NEW","")))</f>
        <v/>
      </c>
      <c r="G1887" s="22" t="str">
        <f>IF(OR(E1887="",E1887="!!!"),"",IF(OR(J1887=0,AND(J1887=1,K1887=1),AND(J1887=1,I1887="SBJ"),AND(J1887=1,I1887=0)),"?IN_FOCUS",IF(J1887&lt;=2,"?ACTIVATED",IF(J1887&lt;&gt;"","?FAMILIAR",IF(F1887="NEW",IF(ISNA(VLOOKUP(E1887,#REF!,1,FALSE())),"?TYPE_IDENTIFIABLE","?REFERENTIAL"),"_")))))</f>
        <v/>
      </c>
      <c r="H1887" s="23" t="str">
        <f t="shared" ca="1" si="211"/>
        <v/>
      </c>
      <c r="I1887" s="24" t="str">
        <f>IF(OR(E1887="",E1887="!!!",F1887="NEW"),"",INDEX(B$2:B1886,-1+SUMPRODUCT(MAX(ROW(E$2:E1886)*(E1887=E$2:E1886)))))</f>
        <v/>
      </c>
      <c r="J1887" s="24" t="str">
        <f ca="1">IF(OR(E1887="",E1887="!!!",F1887="NEW"),"",COUNTBLANK(OFFSET(A$1,,,SUMPRODUCT(MAX(ROW(E$2:E1887)*(E1887=E$2:E1887)))))-COUNTBLANK(OFFSET(A$1,,,SUMPRODUCT(MAX(ROW(E$1:E1886)*(E2=E$1:E1886))))))</f>
        <v/>
      </c>
      <c r="K1887" s="24" t="str">
        <f>IF(OR(E1887="",E1887="!!!",F1887="NEW"),"",INDEX(J$1:J1886,SUMPRODUCT(MAX(ROW(E$1:E1886)*(E1887=E$1:E1886)))))</f>
        <v/>
      </c>
      <c r="L1887" s="25"/>
    </row>
    <row r="1888" spans="1:12" x14ac:dyDescent="0.2">
      <c r="A1888" t="s">
        <v>251</v>
      </c>
      <c r="E1888" s="20" t="str">
        <f t="shared" si="210"/>
        <v/>
      </c>
      <c r="F1888" s="21" t="str">
        <f>IF(OR(E1888="",E1888="!!!"),"",IF(NOT(ISNA(VLOOKUP(E1888,E$1:E1887,1,FALSE()))),"OLD",IF(AND(E1888&lt;&gt;"",E1888&lt;&gt;"!!!"),"NEW","")))</f>
        <v/>
      </c>
      <c r="G1888" s="22" t="str">
        <f>IF(OR(E1888="",E1888="!!!"),"",IF(OR(J1888=0,AND(J1888=1,K1888=1),AND(J1888=1,I1888="SBJ"),AND(J1888=1,I1888=0)),"?IN_FOCUS",IF(J1888&lt;=2,"?ACTIVATED",IF(J1888&lt;&gt;"","?FAMILIAR",IF(F1888="NEW",IF(ISNA(VLOOKUP(E1888,#REF!,1,FALSE())),"?TYPE_IDENTIFIABLE","?REFERENTIAL"),"_")))))</f>
        <v/>
      </c>
      <c r="H1888" s="23" t="str">
        <f t="shared" ca="1" si="211"/>
        <v/>
      </c>
      <c r="I1888" s="24" t="str">
        <f>IF(OR(E1888="",E1888="!!!",F1888="NEW"),"",INDEX(B$2:B1887,-1+SUMPRODUCT(MAX(ROW(E$2:E1887)*(E1888=E$2:E1887)))))</f>
        <v/>
      </c>
      <c r="J1888" s="24" t="str">
        <f ca="1">IF(OR(E1888="",E1888="!!!",F1888="NEW"),"",COUNTBLANK(OFFSET(A$1,,,SUMPRODUCT(MAX(ROW(E$2:E1888)*(E1888=E$2:E1888)))))-COUNTBLANK(OFFSET(A$1,,,SUMPRODUCT(MAX(ROW(E$1:E1887)*(E2=E$1:E1887))))))</f>
        <v/>
      </c>
      <c r="K1888" s="24" t="str">
        <f>IF(OR(E1888="",E1888="!!!",F1888="NEW"),"",INDEX(J$1:J1887,SUMPRODUCT(MAX(ROW(E$1:E1887)*(E1888=E$1:E1887)))))</f>
        <v/>
      </c>
      <c r="L1888" s="25"/>
    </row>
    <row r="1889" spans="1:12" x14ac:dyDescent="0.2">
      <c r="A1889" t="s">
        <v>1420</v>
      </c>
      <c r="B1889" s="26" t="s">
        <v>864</v>
      </c>
      <c r="C1889" s="26" t="s">
        <v>811</v>
      </c>
      <c r="E1889" s="20" t="str">
        <f t="shared" si="210"/>
        <v/>
      </c>
      <c r="F1889" s="21" t="str">
        <f>IF(OR(E1889="",E1889="!!!"),"",IF(NOT(ISNA(VLOOKUP(E1889,E$1:E1888,1,FALSE()))),"OLD",IF(AND(E1889&lt;&gt;"",E1889&lt;&gt;"!!!"),"NEW","")))</f>
        <v/>
      </c>
      <c r="G1889" s="22" t="str">
        <f>IF(OR(E1889="",E1889="!!!"),"",IF(OR(J1889=0,AND(J1889=1,K1889=1),AND(J1889=1,I1889="SBJ"),AND(J1889=1,I1889=0)),"?IN_FOCUS",IF(J1889&lt;=2,"?ACTIVATED",IF(J1889&lt;&gt;"","?FAMILIAR",IF(F1889="NEW",IF(ISNA(VLOOKUP(E1889,#REF!,1,FALSE())),"?TYPE_IDENTIFIABLE","?REFERENTIAL"),"_")))))</f>
        <v/>
      </c>
      <c r="H1889" s="23" t="str">
        <f t="shared" ca="1" si="211"/>
        <v/>
      </c>
      <c r="I1889" s="24" t="str">
        <f>IF(OR(E1889="",E1889="!!!",F1889="NEW"),"",INDEX(B$2:B1888,-1+SUMPRODUCT(MAX(ROW(E$2:E1888)*(E1889=E$2:E1888)))))</f>
        <v/>
      </c>
      <c r="J1889" s="24" t="str">
        <f ca="1">IF(OR(E1889="",E1889="!!!",F1889="NEW"),"",COUNTBLANK(OFFSET(A$1,,,SUMPRODUCT(MAX(ROW(E$2:E1889)*(E1889=E$2:E1889)))))-COUNTBLANK(OFFSET(A$1,,,SUMPRODUCT(MAX(ROW(E$1:E1888)*(E2=E$1:E1888))))))</f>
        <v/>
      </c>
      <c r="K1889" s="24" t="str">
        <f>IF(OR(E1889="",E1889="!!!",F1889="NEW"),"",INDEX(J$1:J1888,SUMPRODUCT(MAX(ROW(E$1:E1888)*(E1889=E$1:E1888)))))</f>
        <v/>
      </c>
      <c r="L1889" s="25"/>
    </row>
    <row r="1890" spans="1:12" x14ac:dyDescent="0.2">
      <c r="A1890" t="s">
        <v>821</v>
      </c>
      <c r="E1890" s="20" t="str">
        <f t="shared" si="210"/>
        <v/>
      </c>
      <c r="F1890" s="21" t="str">
        <f>IF(OR(E1890="",E1890="!!!"),"",IF(NOT(ISNA(VLOOKUP(E1890,E$1:E1889,1,FALSE()))),"OLD",IF(AND(E1890&lt;&gt;"",E1890&lt;&gt;"!!!"),"NEW","")))</f>
        <v/>
      </c>
      <c r="G1890" s="22" t="str">
        <f>IF(OR(E1890="",E1890="!!!"),"",IF(OR(J1890=0,AND(J1890=1,K1890=1),AND(J1890=1,I1890="SBJ"),AND(J1890=1,I1890=0)),"?IN_FOCUS",IF(J1890&lt;=2,"?ACTIVATED",IF(J1890&lt;&gt;"","?FAMILIAR",IF(F1890="NEW",IF(ISNA(VLOOKUP(E1890,#REF!,1,FALSE())),"?TYPE_IDENTIFIABLE","?REFERENTIAL"),"_")))))</f>
        <v/>
      </c>
      <c r="H1890" s="23" t="str">
        <f t="shared" ca="1" si="211"/>
        <v/>
      </c>
      <c r="I1890" s="24" t="str">
        <f>IF(OR(E1890="",E1890="!!!",F1890="NEW"),"",INDEX(B$2:B1889,-1+SUMPRODUCT(MAX(ROW(E$2:E1889)*(E1890=E$2:E1889)))))</f>
        <v/>
      </c>
      <c r="J1890" s="24" t="str">
        <f ca="1">IF(OR(E1890="",E1890="!!!",F1890="NEW"),"",COUNTBLANK(OFFSET(A$1,,,SUMPRODUCT(MAX(ROW(E$2:E1890)*(E1890=E$2:E1890)))))-COUNTBLANK(OFFSET(A$1,,,SUMPRODUCT(MAX(ROW(E$1:E1889)*(E2=E$1:E1889))))))</f>
        <v/>
      </c>
      <c r="K1890" s="24" t="str">
        <f>IF(OR(E1890="",E1890="!!!",F1890="NEW"),"",INDEX(J$1:J1889,SUMPRODUCT(MAX(ROW(E$1:E1889)*(E1890=E$1:E1889)))))</f>
        <v/>
      </c>
      <c r="L1890" s="25"/>
    </row>
    <row r="1892" spans="1:12" x14ac:dyDescent="0.2">
      <c r="A1892" t="s">
        <v>1421</v>
      </c>
    </row>
    <row r="1893" spans="1:12" x14ac:dyDescent="0.2">
      <c r="A1893" t="s">
        <v>1034</v>
      </c>
      <c r="E1893" s="20" t="str">
        <f t="shared" ref="E1893:E1923" si="212">IF(D1893="?OLD","!!!","")</f>
        <v/>
      </c>
      <c r="F1893" s="21" t="str">
        <f>IF(OR(E1893="",E1893="!!!"),"",IF(NOT(ISNA(VLOOKUP(E1893,E$1:E1892,1,FALSE()))),"OLD",IF(AND(E1893&lt;&gt;"",E1893&lt;&gt;"!!!"),"NEW","")))</f>
        <v/>
      </c>
      <c r="G1893" s="22" t="str">
        <f>IF(OR(E1893="",E1893="!!!"),"",IF(OR(J1893=0,AND(J1893=1,K1893=1),AND(J1893=1,I1893="SBJ"),AND(J1893=1,I1893=0)),"?IN_FOCUS",IF(J1893&lt;=2,"?ACTIVATED",IF(J1893&lt;&gt;"","?FAMILIAR",IF(F1893="NEW",IF(ISNA(VLOOKUP(E1893,#REF!,1,FALSE())),"?TYPE_IDENTIFIABLE","?REFERENTIAL"),"_")))))</f>
        <v/>
      </c>
      <c r="H1893" s="23" t="str">
        <f t="shared" ref="H1893:H1923" ca="1" si="213">IF(J1893&lt;&gt;1,"",IF(I1893="SBJ","CB","?"))</f>
        <v/>
      </c>
      <c r="I1893" s="24" t="str">
        <f>IF(OR(E1893="",E1893="!!!",F1893="NEW"),"",INDEX(B$2:B1892,-1+SUMPRODUCT(MAX(ROW(E$2:E1892)*(E1893=E$2:E1892)))))</f>
        <v/>
      </c>
      <c r="J1893" s="24" t="str">
        <f ca="1">IF(OR(E1893="",E1893="!!!",F1893="NEW"),"",COUNTBLANK(OFFSET(A$1,,,SUMPRODUCT(MAX(ROW(E$2:E1893)*(E1893=E$2:E1893)))))-COUNTBLANK(OFFSET(A$1,,,SUMPRODUCT(MAX(ROW(E$1:E1892)*(E2=E$1:E1892))))))</f>
        <v/>
      </c>
      <c r="K1893" s="24" t="str">
        <f>IF(OR(E1893="",E1893="!!!",F1893="NEW"),"",INDEX(J$1:J1892,SUMPRODUCT(MAX(ROW(E$1:E1892)*(E1893=E$1:E1892)))))</f>
        <v/>
      </c>
      <c r="L1893" s="25"/>
    </row>
    <row r="1894" spans="1:12" x14ac:dyDescent="0.2">
      <c r="A1894" t="s">
        <v>919</v>
      </c>
      <c r="B1894" s="26" t="s">
        <v>804</v>
      </c>
      <c r="C1894" s="26" t="s">
        <v>805</v>
      </c>
      <c r="D1894" s="26" t="s">
        <v>806</v>
      </c>
      <c r="E1894" s="20" t="s">
        <v>1782</v>
      </c>
      <c r="F1894" s="21" t="str">
        <f>IF(OR(E1894="",E1894="!!!"),"",IF(NOT(ISNA(VLOOKUP(E1894,E$1:E1893,1,FALSE()))),"OLD",IF(AND(E1894&lt;&gt;"",E1894&lt;&gt;"!!!"),"NEW","")))</f>
        <v>OLD</v>
      </c>
      <c r="G1894" s="22" t="s">
        <v>1823</v>
      </c>
      <c r="H1894" s="23" t="str">
        <f t="shared" ca="1" si="213"/>
        <v/>
      </c>
      <c r="I1894" s="24" t="str">
        <f>IF(OR(E1894="",E1894="!!!",F1894="NEW"),"",INDEX(B$2:B1893,-1+SUMPRODUCT(MAX(ROW(E$2:E1893)*(E1894=E$2:E1893)))))</f>
        <v>SBJ</v>
      </c>
      <c r="J1894" s="24">
        <f ca="1">IF(OR(E1894="",E1894="!!!",F1894="NEW"),"",COUNTBLANK(OFFSET(A$1,,,SUMPRODUCT(MAX(ROW(E$2:E1894)*(E1894=E$2:E1894)))))-COUNTBLANK(OFFSET(A$1,,,SUMPRODUCT(MAX(ROW(E$1:E1893)*(E2=E$1:E1893))))))</f>
        <v>0</v>
      </c>
      <c r="K1894" s="24">
        <f ca="1">IF(OR(E1894="",E1894="!!!",F1894="NEW"),"",INDEX(J$1:J1893,SUMPRODUCT(MAX(ROW(E$1:E1893)*(E1894=E$1:E1893)))))</f>
        <v>0</v>
      </c>
      <c r="L1894" s="25"/>
    </row>
    <row r="1895" spans="1:12" x14ac:dyDescent="0.2">
      <c r="A1895" t="s">
        <v>1422</v>
      </c>
      <c r="E1895" s="20" t="str">
        <f t="shared" si="212"/>
        <v/>
      </c>
      <c r="F1895" s="21" t="str">
        <f>IF(OR(E1895="",E1895="!!!"),"",IF(NOT(ISNA(VLOOKUP(E1895,E$1:E1894,1,FALSE()))),"OLD",IF(AND(E1895&lt;&gt;"",E1895&lt;&gt;"!!!"),"NEW","")))</f>
        <v/>
      </c>
      <c r="G1895" s="22" t="str">
        <f>IF(OR(E1895="",E1895="!!!"),"",IF(OR(J1895=0,AND(J1895=1,K1895=1),AND(J1895=1,I1895="SBJ"),AND(J1895=1,I1895=0)),"?IN_FOCUS",IF(J1895&lt;=2,"?ACTIVATED",IF(J1895&lt;&gt;"","?FAMILIAR",IF(F1895="NEW",IF(ISNA(VLOOKUP(E1895,#REF!,1,FALSE())),"?TYPE_IDENTIFIABLE","?REFERENTIAL"),"_")))))</f>
        <v/>
      </c>
      <c r="H1895" s="23" t="str">
        <f t="shared" ca="1" si="213"/>
        <v/>
      </c>
      <c r="I1895" s="24" t="str">
        <f>IF(OR(E1895="",E1895="!!!",F1895="NEW"),"",INDEX(B$2:B1894,-1+SUMPRODUCT(MAX(ROW(E$2:E1894)*(E1895=E$2:E1894)))))</f>
        <v/>
      </c>
      <c r="J1895" s="24" t="str">
        <f ca="1">IF(OR(E1895="",E1895="!!!",F1895="NEW"),"",COUNTBLANK(OFFSET(A$1,,,SUMPRODUCT(MAX(ROW(E$2:E1895)*(E1895=E$2:E1895)))))-COUNTBLANK(OFFSET(A$1,,,SUMPRODUCT(MAX(ROW(E$1:E1894)*(E2=E$1:E1894))))))</f>
        <v/>
      </c>
      <c r="K1895" s="24" t="str">
        <f>IF(OR(E1895="",E1895="!!!",F1895="NEW"),"",INDEX(J$1:J1894,SUMPRODUCT(MAX(ROW(E$1:E1894)*(E1895=E$1:E1894)))))</f>
        <v/>
      </c>
      <c r="L1895" s="25"/>
    </row>
    <row r="1896" spans="1:12" x14ac:dyDescent="0.2">
      <c r="A1896" t="s">
        <v>845</v>
      </c>
      <c r="E1896" s="20" t="str">
        <f t="shared" si="212"/>
        <v/>
      </c>
      <c r="F1896" s="21" t="str">
        <f>IF(OR(E1896="",E1896="!!!"),"",IF(NOT(ISNA(VLOOKUP(E1896,E$1:E1895,1,FALSE()))),"OLD",IF(AND(E1896&lt;&gt;"",E1896&lt;&gt;"!!!"),"NEW","")))</f>
        <v/>
      </c>
      <c r="G1896" s="22" t="str">
        <f>IF(OR(E1896="",E1896="!!!"),"",IF(OR(J1896=0,AND(J1896=1,K1896=1),AND(J1896=1,I1896="SBJ"),AND(J1896=1,I1896=0)),"?IN_FOCUS",IF(J1896&lt;=2,"?ACTIVATED",IF(J1896&lt;&gt;"","?FAMILIAR",IF(F1896="NEW",IF(ISNA(VLOOKUP(E1896,#REF!,1,FALSE())),"?TYPE_IDENTIFIABLE","?REFERENTIAL"),"_")))))</f>
        <v/>
      </c>
      <c r="H1896" s="23" t="str">
        <f t="shared" ca="1" si="213"/>
        <v/>
      </c>
      <c r="I1896" s="24" t="str">
        <f>IF(OR(E1896="",E1896="!!!",F1896="NEW"),"",INDEX(B$2:B1895,-1+SUMPRODUCT(MAX(ROW(E$2:E1895)*(E1896=E$2:E1895)))))</f>
        <v/>
      </c>
      <c r="J1896" s="24" t="str">
        <f ca="1">IF(OR(E1896="",E1896="!!!",F1896="NEW"),"",COUNTBLANK(OFFSET(A$1,,,SUMPRODUCT(MAX(ROW(E$2:E1896)*(E1896=E$2:E1896)))))-COUNTBLANK(OFFSET(A$1,,,SUMPRODUCT(MAX(ROW(E$1:E1895)*(E2=E$1:E1895))))))</f>
        <v/>
      </c>
      <c r="K1896" s="24" t="str">
        <f>IF(OR(E1896="",E1896="!!!",F1896="NEW"),"",INDEX(J$1:J1895,SUMPRODUCT(MAX(ROW(E$1:E1895)*(E1896=E$1:E1895)))))</f>
        <v/>
      </c>
      <c r="L1896" s="25"/>
    </row>
    <row r="1897" spans="1:12" x14ac:dyDescent="0.2">
      <c r="A1897" t="s">
        <v>1205</v>
      </c>
      <c r="B1897" s="26" t="s">
        <v>810</v>
      </c>
      <c r="C1897" s="26" t="s">
        <v>847</v>
      </c>
      <c r="D1897" s="26" t="s">
        <v>806</v>
      </c>
      <c r="E1897" s="20" t="s">
        <v>1795</v>
      </c>
      <c r="F1897" s="21" t="str">
        <f>IF(OR(E1897="",E1897="!!!"),"",IF(NOT(ISNA(VLOOKUP(E1897,E$1:E1896,1,FALSE()))),"OLD",IF(AND(E1897&lt;&gt;"",E1897&lt;&gt;"!!!"),"NEW","")))</f>
        <v>NEW</v>
      </c>
      <c r="G1897" s="22" t="s">
        <v>1820</v>
      </c>
      <c r="H1897" s="23" t="str">
        <f t="shared" ca="1" si="213"/>
        <v/>
      </c>
      <c r="I1897" s="24" t="str">
        <f>IF(OR(E1897="",E1897="!!!",F1897="NEW"),"",INDEX(B$2:B1896,-1+SUMPRODUCT(MAX(ROW(E$2:E1896)*(E1897=E$2:E1896)))))</f>
        <v/>
      </c>
      <c r="J1897" s="24" t="str">
        <f ca="1">IF(OR(E1897="",E1897="!!!",F1897="NEW"),"",COUNTBLANK(OFFSET(A$1,,,SUMPRODUCT(MAX(ROW(E$2:E1897)*(E1897=E$2:E1897)))))-COUNTBLANK(OFFSET(A$1,,,SUMPRODUCT(MAX(ROW(E$1:E1896)*(E2=E$1:E1896))))))</f>
        <v/>
      </c>
      <c r="K1897" s="24" t="str">
        <f>IF(OR(E1897="",E1897="!!!",F1897="NEW"),"",INDEX(J$1:J1896,SUMPRODUCT(MAX(ROW(E$1:E1896)*(E1897=E$1:E1896)))))</f>
        <v/>
      </c>
      <c r="L1897" s="25"/>
    </row>
    <row r="1898" spans="1:12" x14ac:dyDescent="0.2">
      <c r="A1898" t="s">
        <v>888</v>
      </c>
      <c r="E1898" s="20" t="str">
        <f t="shared" si="212"/>
        <v/>
      </c>
      <c r="F1898" s="21" t="str">
        <f>IF(OR(E1898="",E1898="!!!"),"",IF(NOT(ISNA(VLOOKUP(E1898,E$1:E1897,1,FALSE()))),"OLD",IF(AND(E1898&lt;&gt;"",E1898&lt;&gt;"!!!"),"NEW","")))</f>
        <v/>
      </c>
      <c r="G1898" s="22" t="str">
        <f>IF(OR(E1898="",E1898="!!!"),"",IF(OR(J1898=0,AND(J1898=1,K1898=1),AND(J1898=1,I1898="SBJ"),AND(J1898=1,I1898=0)),"?IN_FOCUS",IF(J1898&lt;=2,"?ACTIVATED",IF(J1898&lt;&gt;"","?FAMILIAR",IF(F1898="NEW",IF(ISNA(VLOOKUP(E1898,#REF!,1,FALSE())),"?TYPE_IDENTIFIABLE","?REFERENTIAL"),"_")))))</f>
        <v/>
      </c>
      <c r="H1898" s="23" t="str">
        <f t="shared" ca="1" si="213"/>
        <v/>
      </c>
      <c r="I1898" s="24" t="str">
        <f>IF(OR(E1898="",E1898="!!!",F1898="NEW"),"",INDEX(B$2:B1897,-1+SUMPRODUCT(MAX(ROW(E$2:E1897)*(E1898=E$2:E1897)))))</f>
        <v/>
      </c>
      <c r="J1898" s="24" t="str">
        <f ca="1">IF(OR(E1898="",E1898="!!!",F1898="NEW"),"",COUNTBLANK(OFFSET(A$1,,,SUMPRODUCT(MAX(ROW(E$2:E1898)*(E1898=E$2:E1898)))))-COUNTBLANK(OFFSET(A$1,,,SUMPRODUCT(MAX(ROW(E$1:E1897)*(E2=E$1:E1897))))))</f>
        <v/>
      </c>
      <c r="K1898" s="24" t="str">
        <f>IF(OR(E1898="",E1898="!!!",F1898="NEW"),"",INDEX(J$1:J1897,SUMPRODUCT(MAX(ROW(E$1:E1897)*(E1898=E$1:E1897)))))</f>
        <v/>
      </c>
      <c r="L1898" s="25"/>
    </row>
    <row r="1899" spans="1:12" x14ac:dyDescent="0.2">
      <c r="A1899" t="s">
        <v>1423</v>
      </c>
      <c r="E1899" s="20" t="str">
        <f t="shared" si="212"/>
        <v/>
      </c>
      <c r="F1899" s="21" t="str">
        <f>IF(OR(E1899="",E1899="!!!"),"",IF(NOT(ISNA(VLOOKUP(E1899,E$1:E1898,1,FALSE()))),"OLD",IF(AND(E1899&lt;&gt;"",E1899&lt;&gt;"!!!"),"NEW","")))</f>
        <v/>
      </c>
      <c r="G1899" s="22" t="str">
        <f>IF(OR(E1899="",E1899="!!!"),"",IF(OR(J1899=0,AND(J1899=1,K1899=1),AND(J1899=1,I1899="SBJ"),AND(J1899=1,I1899=0)),"?IN_FOCUS",IF(J1899&lt;=2,"?ACTIVATED",IF(J1899&lt;&gt;"","?FAMILIAR",IF(F1899="NEW",IF(ISNA(VLOOKUP(E1899,#REF!,1,FALSE())),"?TYPE_IDENTIFIABLE","?REFERENTIAL"),"_")))))</f>
        <v/>
      </c>
      <c r="H1899" s="23" t="str">
        <f t="shared" ca="1" si="213"/>
        <v/>
      </c>
      <c r="I1899" s="24" t="str">
        <f>IF(OR(E1899="",E1899="!!!",F1899="NEW"),"",INDEX(B$2:B1898,-1+SUMPRODUCT(MAX(ROW(E$2:E1898)*(E1899=E$2:E1898)))))</f>
        <v/>
      </c>
      <c r="J1899" s="24" t="str">
        <f ca="1">IF(OR(E1899="",E1899="!!!",F1899="NEW"),"",COUNTBLANK(OFFSET(A$1,,,SUMPRODUCT(MAX(ROW(E$2:E1899)*(E1899=E$2:E1899)))))-COUNTBLANK(OFFSET(A$1,,,SUMPRODUCT(MAX(ROW(E$1:E1898)*(E2=E$1:E1898))))))</f>
        <v/>
      </c>
      <c r="K1899" s="24" t="str">
        <f>IF(OR(E1899="",E1899="!!!",F1899="NEW"),"",INDEX(J$1:J1898,SUMPRODUCT(MAX(ROW(E$1:E1898)*(E1899=E$1:E1898)))))</f>
        <v/>
      </c>
      <c r="L1899" s="25"/>
    </row>
    <row r="1900" spans="1:12" x14ac:dyDescent="0.2">
      <c r="A1900" t="s">
        <v>845</v>
      </c>
      <c r="E1900" s="20" t="str">
        <f t="shared" si="212"/>
        <v/>
      </c>
      <c r="F1900" s="21" t="str">
        <f>IF(OR(E1900="",E1900="!!!"),"",IF(NOT(ISNA(VLOOKUP(E1900,E$1:E1899,1,FALSE()))),"OLD",IF(AND(E1900&lt;&gt;"",E1900&lt;&gt;"!!!"),"NEW","")))</f>
        <v/>
      </c>
      <c r="G1900" s="22" t="str">
        <f>IF(OR(E1900="",E1900="!!!"),"",IF(OR(J1900=0,AND(J1900=1,K1900=1),AND(J1900=1,I1900="SBJ"),AND(J1900=1,I1900=0)),"?IN_FOCUS",IF(J1900&lt;=2,"?ACTIVATED",IF(J1900&lt;&gt;"","?FAMILIAR",IF(F1900="NEW",IF(ISNA(VLOOKUP(E1900,#REF!,1,FALSE())),"?TYPE_IDENTIFIABLE","?REFERENTIAL"),"_")))))</f>
        <v/>
      </c>
      <c r="H1900" s="23" t="str">
        <f t="shared" ca="1" si="213"/>
        <v/>
      </c>
      <c r="I1900" s="24" t="str">
        <f>IF(OR(E1900="",E1900="!!!",F1900="NEW"),"",INDEX(B$2:B1899,-1+SUMPRODUCT(MAX(ROW(E$2:E1899)*(E1900=E$2:E1899)))))</f>
        <v/>
      </c>
      <c r="J1900" s="24" t="str">
        <f ca="1">IF(OR(E1900="",E1900="!!!",F1900="NEW"),"",COUNTBLANK(OFFSET(A$1,,,SUMPRODUCT(MAX(ROW(E$2:E1900)*(E1900=E$2:E1900)))))-COUNTBLANK(OFFSET(A$1,,,SUMPRODUCT(MAX(ROW(E$1:E1899)*(E2=E$1:E1899))))))</f>
        <v/>
      </c>
      <c r="K1900" s="24" t="str">
        <f>IF(OR(E1900="",E1900="!!!",F1900="NEW"),"",INDEX(J$1:J1899,SUMPRODUCT(MAX(ROW(E$1:E1899)*(E1900=E$1:E1899)))))</f>
        <v/>
      </c>
      <c r="L1900" s="25"/>
    </row>
    <row r="1901" spans="1:12" x14ac:dyDescent="0.2">
      <c r="A1901" t="s">
        <v>974</v>
      </c>
      <c r="E1901" s="20" t="str">
        <f t="shared" si="212"/>
        <v/>
      </c>
      <c r="F1901" s="21" t="str">
        <f>IF(OR(E1901="",E1901="!!!"),"",IF(NOT(ISNA(VLOOKUP(E1901,E$1:E1900,1,FALSE()))),"OLD",IF(AND(E1901&lt;&gt;"",E1901&lt;&gt;"!!!"),"NEW","")))</f>
        <v/>
      </c>
      <c r="G1901" s="22" t="str">
        <f>IF(OR(E1901="",E1901="!!!"),"",IF(OR(J1901=0,AND(J1901=1,K1901=1),AND(J1901=1,I1901="SBJ"),AND(J1901=1,I1901=0)),"?IN_FOCUS",IF(J1901&lt;=2,"?ACTIVATED",IF(J1901&lt;&gt;"","?FAMILIAR",IF(F1901="NEW",IF(ISNA(VLOOKUP(E1901,#REF!,1,FALSE())),"?TYPE_IDENTIFIABLE","?REFERENTIAL"),"_")))))</f>
        <v/>
      </c>
      <c r="H1901" s="23" t="str">
        <f t="shared" ca="1" si="213"/>
        <v/>
      </c>
      <c r="I1901" s="24" t="str">
        <f>IF(OR(E1901="",E1901="!!!",F1901="NEW"),"",INDEX(B$2:B1900,-1+SUMPRODUCT(MAX(ROW(E$2:E1900)*(E1901=E$2:E1900)))))</f>
        <v/>
      </c>
      <c r="J1901" s="24" t="str">
        <f ca="1">IF(OR(E1901="",E1901="!!!",F1901="NEW"),"",COUNTBLANK(OFFSET(A$1,,,SUMPRODUCT(MAX(ROW(E$2:E1901)*(E1901=E$2:E1901)))))-COUNTBLANK(OFFSET(A$1,,,SUMPRODUCT(MAX(ROW(E$1:E1900)*(E2=E$1:E1900))))))</f>
        <v/>
      </c>
      <c r="K1901" s="24" t="str">
        <f>IF(OR(E1901="",E1901="!!!",F1901="NEW"),"",INDEX(J$1:J1900,SUMPRODUCT(MAX(ROW(E$1:E1900)*(E1901=E$1:E1900)))))</f>
        <v/>
      </c>
      <c r="L1901" s="25"/>
    </row>
    <row r="1902" spans="1:12" x14ac:dyDescent="0.2">
      <c r="A1902" t="s">
        <v>1296</v>
      </c>
      <c r="E1902" s="20" t="str">
        <f t="shared" si="212"/>
        <v/>
      </c>
      <c r="F1902" s="21" t="str">
        <f>IF(OR(E1902="",E1902="!!!"),"",IF(NOT(ISNA(VLOOKUP(E1902,E$1:E1901,1,FALSE()))),"OLD",IF(AND(E1902&lt;&gt;"",E1902&lt;&gt;"!!!"),"NEW","")))</f>
        <v/>
      </c>
      <c r="G1902" s="22" t="str">
        <f>IF(OR(E1902="",E1902="!!!"),"",IF(OR(J1902=0,AND(J1902=1,K1902=1),AND(J1902=1,I1902="SBJ"),AND(J1902=1,I1902=0)),"?IN_FOCUS",IF(J1902&lt;=2,"?ACTIVATED",IF(J1902&lt;&gt;"","?FAMILIAR",IF(F1902="NEW",IF(ISNA(VLOOKUP(E1902,#REF!,1,FALSE())),"?TYPE_IDENTIFIABLE","?REFERENTIAL"),"_")))))</f>
        <v/>
      </c>
      <c r="H1902" s="23" t="str">
        <f t="shared" ca="1" si="213"/>
        <v/>
      </c>
      <c r="I1902" s="24" t="str">
        <f>IF(OR(E1902="",E1902="!!!",F1902="NEW"),"",INDEX(B$2:B1901,-1+SUMPRODUCT(MAX(ROW(E$2:E1901)*(E1902=E$2:E1901)))))</f>
        <v/>
      </c>
      <c r="J1902" s="24" t="str">
        <f ca="1">IF(OR(E1902="",E1902="!!!",F1902="NEW"),"",COUNTBLANK(OFFSET(A$1,,,SUMPRODUCT(MAX(ROW(E$2:E1902)*(E1902=E$2:E1902)))))-COUNTBLANK(OFFSET(A$1,,,SUMPRODUCT(MAX(ROW(E$1:E1901)*(E2=E$1:E1901))))))</f>
        <v/>
      </c>
      <c r="K1902" s="24" t="str">
        <f>IF(OR(E1902="",E1902="!!!",F1902="NEW"),"",INDEX(J$1:J1901,SUMPRODUCT(MAX(ROW(E$1:E1901)*(E1902=E$1:E1901)))))</f>
        <v/>
      </c>
      <c r="L1902" s="25"/>
    </row>
    <row r="1903" spans="1:12" x14ac:dyDescent="0.2">
      <c r="A1903" t="s">
        <v>1424</v>
      </c>
      <c r="B1903" s="26" t="s">
        <v>938</v>
      </c>
      <c r="C1903" s="26" t="s">
        <v>847</v>
      </c>
      <c r="D1903" s="26" t="s">
        <v>806</v>
      </c>
      <c r="E1903" s="20" t="s">
        <v>1424</v>
      </c>
      <c r="F1903" s="21" t="str">
        <f>IF(OR(E1903="",E1903="!!!"),"",IF(NOT(ISNA(VLOOKUP(E1903,E$1:E1902,1,FALSE()))),"OLD",IF(AND(E1903&lt;&gt;"",E1903&lt;&gt;"!!!"),"NEW","")))</f>
        <v>NEW</v>
      </c>
      <c r="G1903" s="22" t="s">
        <v>1820</v>
      </c>
      <c r="H1903" s="23" t="str">
        <f t="shared" ca="1" si="213"/>
        <v/>
      </c>
      <c r="I1903" s="24" t="str">
        <f>IF(OR(E1903="",E1903="!!!",F1903="NEW"),"",INDEX(B$2:B1902,-1+SUMPRODUCT(MAX(ROW(E$2:E1902)*(E1903=E$2:E1902)))))</f>
        <v/>
      </c>
      <c r="J1903" s="24" t="str">
        <f ca="1">IF(OR(E1903="",E1903="!!!",F1903="NEW"),"",COUNTBLANK(OFFSET(A$1,,,SUMPRODUCT(MAX(ROW(E$2:E1903)*(E1903=E$2:E1903)))))-COUNTBLANK(OFFSET(A$1,,,SUMPRODUCT(MAX(ROW(E$1:E1902)*(E2=E$1:E1902))))))</f>
        <v/>
      </c>
      <c r="K1903" s="24" t="str">
        <f>IF(OR(E1903="",E1903="!!!",F1903="NEW"),"",INDEX(J$1:J1902,SUMPRODUCT(MAX(ROW(E$1:E1902)*(E1903=E$1:E1902)))))</f>
        <v/>
      </c>
      <c r="L1903" s="25"/>
    </row>
    <row r="1904" spans="1:12" x14ac:dyDescent="0.2">
      <c r="A1904" t="s">
        <v>839</v>
      </c>
      <c r="E1904" s="20" t="str">
        <f t="shared" si="212"/>
        <v/>
      </c>
      <c r="F1904" s="21" t="str">
        <f>IF(OR(E1904="",E1904="!!!"),"",IF(NOT(ISNA(VLOOKUP(E1904,E$1:E1903,1,FALSE()))),"OLD",IF(AND(E1904&lt;&gt;"",E1904&lt;&gt;"!!!"),"NEW","")))</f>
        <v/>
      </c>
      <c r="G1904" s="22" t="str">
        <f>IF(OR(E1904="",E1904="!!!"),"",IF(OR(J1904=0,AND(J1904=1,K1904=1),AND(J1904=1,I1904="SBJ"),AND(J1904=1,I1904=0)),"?IN_FOCUS",IF(J1904&lt;=2,"?ACTIVATED",IF(J1904&lt;&gt;"","?FAMILIAR",IF(F1904="NEW",IF(ISNA(VLOOKUP(E1904,#REF!,1,FALSE())),"?TYPE_IDENTIFIABLE","?REFERENTIAL"),"_")))))</f>
        <v/>
      </c>
      <c r="H1904" s="23" t="str">
        <f t="shared" ca="1" si="213"/>
        <v/>
      </c>
      <c r="I1904" s="24" t="str">
        <f>IF(OR(E1904="",E1904="!!!",F1904="NEW"),"",INDEX(B$2:B1903,-1+SUMPRODUCT(MAX(ROW(E$2:E1903)*(E1904=E$2:E1903)))))</f>
        <v/>
      </c>
      <c r="J1904" s="24" t="str">
        <f ca="1">IF(OR(E1904="",E1904="!!!",F1904="NEW"),"",COUNTBLANK(OFFSET(A$1,,,SUMPRODUCT(MAX(ROW(E$2:E1904)*(E1904=E$2:E1904)))))-COUNTBLANK(OFFSET(A$1,,,SUMPRODUCT(MAX(ROW(E$1:E1903)*(E2=E$1:E1903))))))</f>
        <v/>
      </c>
      <c r="K1904" s="24" t="str">
        <f>IF(OR(E1904="",E1904="!!!",F1904="NEW"),"",INDEX(J$1:J1903,SUMPRODUCT(MAX(ROW(E$1:E1903)*(E1904=E$1:E1903)))))</f>
        <v/>
      </c>
      <c r="L1904" s="25"/>
    </row>
    <row r="1905" spans="1:12" x14ac:dyDescent="0.2">
      <c r="A1905" t="s">
        <v>1425</v>
      </c>
      <c r="B1905" s="26" t="s">
        <v>938</v>
      </c>
      <c r="C1905" s="26" t="s">
        <v>814</v>
      </c>
      <c r="E1905" s="20" t="str">
        <f t="shared" si="212"/>
        <v/>
      </c>
      <c r="F1905" s="21" t="str">
        <f>IF(OR(E1905="",E1905="!!!"),"",IF(NOT(ISNA(VLOOKUP(E1905,E$1:E1904,1,FALSE()))),"OLD",IF(AND(E1905&lt;&gt;"",E1905&lt;&gt;"!!!"),"NEW","")))</f>
        <v/>
      </c>
      <c r="G1905" s="22" t="str">
        <f>IF(OR(E1905="",E1905="!!!"),"",IF(OR(J1905=0,AND(J1905=1,K1905=1),AND(J1905=1,I1905="SBJ"),AND(J1905=1,I1905=0)),"?IN_FOCUS",IF(J1905&lt;=2,"?ACTIVATED",IF(J1905&lt;&gt;"","?FAMILIAR",IF(F1905="NEW",IF(ISNA(VLOOKUP(E1905,#REF!,1,FALSE())),"?TYPE_IDENTIFIABLE","?REFERENTIAL"),"_")))))</f>
        <v/>
      </c>
      <c r="H1905" s="23" t="str">
        <f t="shared" ca="1" si="213"/>
        <v/>
      </c>
      <c r="I1905" s="24" t="str">
        <f>IF(OR(E1905="",E1905="!!!",F1905="NEW"),"",INDEX(B$2:B1904,-1+SUMPRODUCT(MAX(ROW(E$2:E1904)*(E1905=E$2:E1904)))))</f>
        <v/>
      </c>
      <c r="J1905" s="24" t="str">
        <f ca="1">IF(OR(E1905="",E1905="!!!",F1905="NEW"),"",COUNTBLANK(OFFSET(A$1,,,SUMPRODUCT(MAX(ROW(E$2:E1905)*(E1905=E$2:E1905)))))-COUNTBLANK(OFFSET(A$1,,,SUMPRODUCT(MAX(ROW(E$1:E1904)*(E2=E$1:E1904))))))</f>
        <v/>
      </c>
      <c r="K1905" s="24" t="str">
        <f>IF(OR(E1905="",E1905="!!!",F1905="NEW"),"",INDEX(J$1:J1904,SUMPRODUCT(MAX(ROW(E$1:E1904)*(E1905=E$1:E1904)))))</f>
        <v/>
      </c>
      <c r="L1905" s="25"/>
    </row>
    <row r="1906" spans="1:12" x14ac:dyDescent="0.2">
      <c r="A1906" t="s">
        <v>888</v>
      </c>
      <c r="E1906" s="20" t="str">
        <f t="shared" si="212"/>
        <v/>
      </c>
      <c r="F1906" s="21" t="str">
        <f>IF(OR(E1906="",E1906="!!!"),"",IF(NOT(ISNA(VLOOKUP(E1906,E$1:E1905,1,FALSE()))),"OLD",IF(AND(E1906&lt;&gt;"",E1906&lt;&gt;"!!!"),"NEW","")))</f>
        <v/>
      </c>
      <c r="G1906" s="22" t="str">
        <f>IF(OR(E1906="",E1906="!!!"),"",IF(OR(J1906=0,AND(J1906=1,K1906=1),AND(J1906=1,I1906="SBJ"),AND(J1906=1,I1906=0)),"?IN_FOCUS",IF(J1906&lt;=2,"?ACTIVATED",IF(J1906&lt;&gt;"","?FAMILIAR",IF(F1906="NEW",IF(ISNA(VLOOKUP(E1906,#REF!,1,FALSE())),"?TYPE_IDENTIFIABLE","?REFERENTIAL"),"_")))))</f>
        <v/>
      </c>
      <c r="H1906" s="23" t="str">
        <f t="shared" ca="1" si="213"/>
        <v/>
      </c>
      <c r="I1906" s="24" t="str">
        <f>IF(OR(E1906="",E1906="!!!",F1906="NEW"),"",INDEX(B$2:B1905,-1+SUMPRODUCT(MAX(ROW(E$2:E1905)*(E1906=E$2:E1905)))))</f>
        <v/>
      </c>
      <c r="J1906" s="24" t="str">
        <f ca="1">IF(OR(E1906="",E1906="!!!",F1906="NEW"),"",COUNTBLANK(OFFSET(A$1,,,SUMPRODUCT(MAX(ROW(E$2:E1906)*(E1906=E$2:E1906)))))-COUNTBLANK(OFFSET(A$1,,,SUMPRODUCT(MAX(ROW(E$1:E1905)*(E2=E$1:E1905))))))</f>
        <v/>
      </c>
      <c r="K1906" s="24" t="str">
        <f>IF(OR(E1906="",E1906="!!!",F1906="NEW"),"",INDEX(J$1:J1905,SUMPRODUCT(MAX(ROW(E$1:E1905)*(E1906=E$1:E1905)))))</f>
        <v/>
      </c>
      <c r="L1906" s="25"/>
    </row>
    <row r="1907" spans="1:12" x14ac:dyDescent="0.2">
      <c r="A1907" t="s">
        <v>1425</v>
      </c>
      <c r="B1907" s="26" t="s">
        <v>864</v>
      </c>
      <c r="C1907" s="26" t="s">
        <v>814</v>
      </c>
      <c r="E1907" s="20" t="str">
        <f t="shared" si="212"/>
        <v/>
      </c>
      <c r="F1907" s="21" t="str">
        <f>IF(OR(E1907="",E1907="!!!"),"",IF(NOT(ISNA(VLOOKUP(E1907,E$1:E1906,1,FALSE()))),"OLD",IF(AND(E1907&lt;&gt;"",E1907&lt;&gt;"!!!"),"NEW","")))</f>
        <v/>
      </c>
      <c r="G1907" s="22" t="str">
        <f>IF(OR(E1907="",E1907="!!!"),"",IF(OR(J1907=0,AND(J1907=1,K1907=1),AND(J1907=1,I1907="SBJ"),AND(J1907=1,I1907=0)),"?IN_FOCUS",IF(J1907&lt;=2,"?ACTIVATED",IF(J1907&lt;&gt;"","?FAMILIAR",IF(F1907="NEW",IF(ISNA(VLOOKUP(E1907,#REF!,1,FALSE())),"?TYPE_IDENTIFIABLE","?REFERENTIAL"),"_")))))</f>
        <v/>
      </c>
      <c r="H1907" s="23" t="str">
        <f t="shared" ca="1" si="213"/>
        <v/>
      </c>
      <c r="I1907" s="24" t="str">
        <f>IF(OR(E1907="",E1907="!!!",F1907="NEW"),"",INDEX(B$2:B1906,-1+SUMPRODUCT(MAX(ROW(E$2:E1906)*(E1907=E$2:E1906)))))</f>
        <v/>
      </c>
      <c r="J1907" s="24" t="str">
        <f ca="1">IF(OR(E1907="",E1907="!!!",F1907="NEW"),"",COUNTBLANK(OFFSET(A$1,,,SUMPRODUCT(MAX(ROW(E$2:E1907)*(E1907=E$2:E1907)))))-COUNTBLANK(OFFSET(A$1,,,SUMPRODUCT(MAX(ROW(E$1:E1906)*(E2=E$1:E1906))))))</f>
        <v/>
      </c>
      <c r="K1907" s="24" t="str">
        <f>IF(OR(E1907="",E1907="!!!",F1907="NEW"),"",INDEX(J$1:J1906,SUMPRODUCT(MAX(ROW(E$1:E1906)*(E1907=E$1:E1906)))))</f>
        <v/>
      </c>
      <c r="L1907" s="25"/>
    </row>
    <row r="1908" spans="1:12" x14ac:dyDescent="0.2">
      <c r="A1908" t="s">
        <v>812</v>
      </c>
      <c r="E1908" s="20" t="str">
        <f t="shared" si="212"/>
        <v/>
      </c>
      <c r="F1908" s="21" t="str">
        <f>IF(OR(E1908="",E1908="!!!"),"",IF(NOT(ISNA(VLOOKUP(E1908,E$1:E1907,1,FALSE()))),"OLD",IF(AND(E1908&lt;&gt;"",E1908&lt;&gt;"!!!"),"NEW","")))</f>
        <v/>
      </c>
      <c r="G1908" s="22" t="str">
        <f>IF(OR(E1908="",E1908="!!!"),"",IF(OR(J1908=0,AND(J1908=1,K1908=1),AND(J1908=1,I1908="SBJ"),AND(J1908=1,I1908=0)),"?IN_FOCUS",IF(J1908&lt;=2,"?ACTIVATED",IF(J1908&lt;&gt;"","?FAMILIAR",IF(F1908="NEW",IF(ISNA(VLOOKUP(E1908,#REF!,1,FALSE())),"?TYPE_IDENTIFIABLE","?REFERENTIAL"),"_")))))</f>
        <v/>
      </c>
      <c r="H1908" s="23" t="str">
        <f t="shared" ca="1" si="213"/>
        <v/>
      </c>
      <c r="I1908" s="24" t="str">
        <f>IF(OR(E1908="",E1908="!!!",F1908="NEW"),"",INDEX(B$2:B1907,-1+SUMPRODUCT(MAX(ROW(E$2:E1907)*(E1908=E$2:E1907)))))</f>
        <v/>
      </c>
      <c r="J1908" s="24" t="str">
        <f ca="1">IF(OR(E1908="",E1908="!!!",F1908="NEW"),"",COUNTBLANK(OFFSET(A$1,,,SUMPRODUCT(MAX(ROW(E$2:E1908)*(E1908=E$2:E1908)))))-COUNTBLANK(OFFSET(A$1,,,SUMPRODUCT(MAX(ROW(E$1:E1907)*(E2=E$1:E1907))))))</f>
        <v/>
      </c>
      <c r="K1908" s="24" t="str">
        <f>IF(OR(E1908="",E1908="!!!",F1908="NEW"),"",INDEX(J$1:J1907,SUMPRODUCT(MAX(ROW(E$1:E1907)*(E1908=E$1:E1907)))))</f>
        <v/>
      </c>
      <c r="L1908" s="25"/>
    </row>
    <row r="1909" spans="1:12" x14ac:dyDescent="0.2">
      <c r="A1909" t="s">
        <v>1426</v>
      </c>
      <c r="E1909" s="20" t="str">
        <f t="shared" si="212"/>
        <v/>
      </c>
      <c r="F1909" s="21" t="str">
        <f>IF(OR(E1909="",E1909="!!!"),"",IF(NOT(ISNA(VLOOKUP(E1909,E$1:E1908,1,FALSE()))),"OLD",IF(AND(E1909&lt;&gt;"",E1909&lt;&gt;"!!!"),"NEW","")))</f>
        <v/>
      </c>
      <c r="G1909" s="22" t="str">
        <f>IF(OR(E1909="",E1909="!!!"),"",IF(OR(J1909=0,AND(J1909=1,K1909=1),AND(J1909=1,I1909="SBJ"),AND(J1909=1,I1909=0)),"?IN_FOCUS",IF(J1909&lt;=2,"?ACTIVATED",IF(J1909&lt;&gt;"","?FAMILIAR",IF(F1909="NEW",IF(ISNA(VLOOKUP(E1909,#REF!,1,FALSE())),"?TYPE_IDENTIFIABLE","?REFERENTIAL"),"_")))))</f>
        <v/>
      </c>
      <c r="H1909" s="23" t="str">
        <f t="shared" ca="1" si="213"/>
        <v/>
      </c>
      <c r="I1909" s="24" t="str">
        <f>IF(OR(E1909="",E1909="!!!",F1909="NEW"),"",INDEX(B$2:B1908,-1+SUMPRODUCT(MAX(ROW(E$2:E1908)*(E1909=E$2:E1908)))))</f>
        <v/>
      </c>
      <c r="J1909" s="24" t="str">
        <f ca="1">IF(OR(E1909="",E1909="!!!",F1909="NEW"),"",COUNTBLANK(OFFSET(A$1,,,SUMPRODUCT(MAX(ROW(E$2:E1909)*(E1909=E$2:E1909)))))-COUNTBLANK(OFFSET(A$1,,,SUMPRODUCT(MAX(ROW(E$1:E1908)*(E2=E$1:E1908))))))</f>
        <v/>
      </c>
      <c r="K1909" s="24" t="str">
        <f>IF(OR(E1909="",E1909="!!!",F1909="NEW"),"",INDEX(J$1:J1908,SUMPRODUCT(MAX(ROW(E$1:E1908)*(E1909=E$1:E1908)))))</f>
        <v/>
      </c>
      <c r="L1909" s="25"/>
    </row>
    <row r="1910" spans="1:12" x14ac:dyDescent="0.2">
      <c r="A1910" t="s">
        <v>1427</v>
      </c>
      <c r="B1910" s="26" t="s">
        <v>864</v>
      </c>
      <c r="C1910" s="26" t="s">
        <v>814</v>
      </c>
      <c r="E1910" s="20" t="s">
        <v>1797</v>
      </c>
      <c r="F1910" s="21" t="str">
        <f>IF(OR(E1910="",E1910="!!!"),"",IF(NOT(ISNA(VLOOKUP(E1910,E$1:E1909,1,FALSE()))),"OLD",IF(AND(E1910&lt;&gt;"",E1910&lt;&gt;"!!!"),"NEW","")))</f>
        <v>NEW</v>
      </c>
      <c r="G1910" s="22" t="s">
        <v>1824</v>
      </c>
      <c r="H1910" s="23" t="str">
        <f t="shared" ca="1" si="213"/>
        <v/>
      </c>
      <c r="I1910" s="24" t="str">
        <f>IF(OR(E1910="",E1910="!!!",F1910="NEW"),"",INDEX(B$2:B1909,-1+SUMPRODUCT(MAX(ROW(E$2:E1909)*(E1910=E$2:E1909)))))</f>
        <v/>
      </c>
      <c r="J1910" s="24" t="str">
        <f ca="1">IF(OR(E1910="",E1910="!!!",F1910="NEW"),"",COUNTBLANK(OFFSET(A$1,,,SUMPRODUCT(MAX(ROW(E$2:E1910)*(E1910=E$2:E1910)))))-COUNTBLANK(OFFSET(A$1,,,SUMPRODUCT(MAX(ROW(E$1:E1909)*(E2=E$1:E1909))))))</f>
        <v/>
      </c>
      <c r="K1910" s="24" t="str">
        <f>IF(OR(E1910="",E1910="!!!",F1910="NEW"),"",INDEX(J$1:J1909,SUMPRODUCT(MAX(ROW(E$1:E1909)*(E1910=E$1:E1909)))))</f>
        <v/>
      </c>
      <c r="L1910" s="25"/>
    </row>
    <row r="1911" spans="1:12" x14ac:dyDescent="0.2">
      <c r="A1911" t="s">
        <v>802</v>
      </c>
      <c r="E1911" s="20" t="str">
        <f t="shared" si="212"/>
        <v/>
      </c>
      <c r="F1911" s="21" t="str">
        <f>IF(OR(E1911="",E1911="!!!"),"",IF(NOT(ISNA(VLOOKUP(E1911,E$1:E1910,1,FALSE()))),"OLD",IF(AND(E1911&lt;&gt;"",E1911&lt;&gt;"!!!"),"NEW","")))</f>
        <v/>
      </c>
      <c r="G1911" s="22" t="str">
        <f>IF(OR(E1911="",E1911="!!!"),"",IF(OR(J1911=0,AND(J1911=1,K1911=1),AND(J1911=1,I1911="SBJ"),AND(J1911=1,I1911=0)),"?IN_FOCUS",IF(J1911&lt;=2,"?ACTIVATED",IF(J1911&lt;&gt;"","?FAMILIAR",IF(F1911="NEW",IF(ISNA(VLOOKUP(E1911,#REF!,1,FALSE())),"?TYPE_IDENTIFIABLE","?REFERENTIAL"),"_")))))</f>
        <v/>
      </c>
      <c r="H1911" s="23" t="str">
        <f t="shared" ca="1" si="213"/>
        <v/>
      </c>
      <c r="I1911" s="24" t="str">
        <f>IF(OR(E1911="",E1911="!!!",F1911="NEW"),"",INDEX(B$2:B1910,-1+SUMPRODUCT(MAX(ROW(E$2:E1910)*(E1911=E$2:E1910)))))</f>
        <v/>
      </c>
      <c r="J1911" s="24" t="str">
        <f ca="1">IF(OR(E1911="",E1911="!!!",F1911="NEW"),"",COUNTBLANK(OFFSET(A$1,,,SUMPRODUCT(MAX(ROW(E$2:E1911)*(E1911=E$2:E1911)))))-COUNTBLANK(OFFSET(A$1,,,SUMPRODUCT(MAX(ROW(E$1:E1910)*(E2=E$1:E1910))))))</f>
        <v/>
      </c>
      <c r="K1911" s="24" t="str">
        <f>IF(OR(E1911="",E1911="!!!",F1911="NEW"),"",INDEX(J$1:J1910,SUMPRODUCT(MAX(ROW(E$1:E1910)*(E1911=E$1:E1910)))))</f>
        <v/>
      </c>
      <c r="L1911" s="25"/>
    </row>
    <row r="1912" spans="1:12" x14ac:dyDescent="0.2">
      <c r="A1912" t="s">
        <v>809</v>
      </c>
      <c r="E1912" s="20" t="str">
        <f t="shared" si="212"/>
        <v/>
      </c>
      <c r="F1912" s="21" t="str">
        <f>IF(OR(E1912="",E1912="!!!"),"",IF(NOT(ISNA(VLOOKUP(E1912,E$1:E1911,1,FALSE()))),"OLD",IF(AND(E1912&lt;&gt;"",E1912&lt;&gt;"!!!"),"NEW","")))</f>
        <v/>
      </c>
      <c r="G1912" s="22" t="str">
        <f>IF(OR(E1912="",E1912="!!!"),"",IF(OR(J1912=0,AND(J1912=1,K1912=1),AND(J1912=1,I1912="SBJ"),AND(J1912=1,I1912=0)),"?IN_FOCUS",IF(J1912&lt;=2,"?ACTIVATED",IF(J1912&lt;&gt;"","?FAMILIAR",IF(F1912="NEW",IF(ISNA(VLOOKUP(E1912,#REF!,1,FALSE())),"?TYPE_IDENTIFIABLE","?REFERENTIAL"),"_")))))</f>
        <v/>
      </c>
      <c r="H1912" s="23" t="str">
        <f t="shared" ca="1" si="213"/>
        <v/>
      </c>
      <c r="I1912" s="24" t="str">
        <f>IF(OR(E1912="",E1912="!!!",F1912="NEW"),"",INDEX(B$2:B1911,-1+SUMPRODUCT(MAX(ROW(E$2:E1911)*(E1912=E$2:E1911)))))</f>
        <v/>
      </c>
      <c r="J1912" s="24" t="str">
        <f ca="1">IF(OR(E1912="",E1912="!!!",F1912="NEW"),"",COUNTBLANK(OFFSET(A$1,,,SUMPRODUCT(MAX(ROW(E$2:E1912)*(E1912=E$2:E1912)))))-COUNTBLANK(OFFSET(A$1,,,SUMPRODUCT(MAX(ROW(E$1:E1911)*(E2=E$1:E1911))))))</f>
        <v/>
      </c>
      <c r="K1912" s="24" t="str">
        <f>IF(OR(E1912="",E1912="!!!",F1912="NEW"),"",INDEX(J$1:J1911,SUMPRODUCT(MAX(ROW(E$1:E1911)*(E1912=E$1:E1911)))))</f>
        <v/>
      </c>
      <c r="L1912" s="25"/>
    </row>
    <row r="1913" spans="1:12" x14ac:dyDescent="0.2">
      <c r="A1913" t="s">
        <v>1428</v>
      </c>
      <c r="E1913" s="20" t="str">
        <f t="shared" si="212"/>
        <v/>
      </c>
      <c r="F1913" s="21" t="str">
        <f>IF(OR(E1913="",E1913="!!!"),"",IF(NOT(ISNA(VLOOKUP(E1913,E$1:E1912,1,FALSE()))),"OLD",IF(AND(E1913&lt;&gt;"",E1913&lt;&gt;"!!!"),"NEW","")))</f>
        <v/>
      </c>
      <c r="G1913" s="22" t="str">
        <f>IF(OR(E1913="",E1913="!!!"),"",IF(OR(J1913=0,AND(J1913=1,K1913=1),AND(J1913=1,I1913="SBJ"),AND(J1913=1,I1913=0)),"?IN_FOCUS",IF(J1913&lt;=2,"?ACTIVATED",IF(J1913&lt;&gt;"","?FAMILIAR",IF(F1913="NEW",IF(ISNA(VLOOKUP(E1913,#REF!,1,FALSE())),"?TYPE_IDENTIFIABLE","?REFERENTIAL"),"_")))))</f>
        <v/>
      </c>
      <c r="H1913" s="23" t="str">
        <f t="shared" ca="1" si="213"/>
        <v/>
      </c>
      <c r="I1913" s="24" t="str">
        <f>IF(OR(E1913="",E1913="!!!",F1913="NEW"),"",INDEX(B$2:B1912,-1+SUMPRODUCT(MAX(ROW(E$2:E1912)*(E1913=E$2:E1912)))))</f>
        <v/>
      </c>
      <c r="J1913" s="24" t="str">
        <f ca="1">IF(OR(E1913="",E1913="!!!",F1913="NEW"),"",COUNTBLANK(OFFSET(A$1,,,SUMPRODUCT(MAX(ROW(E$2:E1913)*(E1913=E$2:E1913)))))-COUNTBLANK(OFFSET(A$1,,,SUMPRODUCT(MAX(ROW(E$1:E1912)*(E2=E$1:E1912))))))</f>
        <v/>
      </c>
      <c r="K1913" s="24" t="str">
        <f>IF(OR(E1913="",E1913="!!!",F1913="NEW"),"",INDEX(J$1:J1912,SUMPRODUCT(MAX(ROW(E$1:E1912)*(E1913=E$1:E1912)))))</f>
        <v/>
      </c>
      <c r="L1913" s="25"/>
    </row>
    <row r="1914" spans="1:12" x14ac:dyDescent="0.2">
      <c r="A1914" t="s">
        <v>1426</v>
      </c>
      <c r="E1914" s="20" t="str">
        <f t="shared" si="212"/>
        <v/>
      </c>
      <c r="F1914" s="21" t="str">
        <f>IF(OR(E1914="",E1914="!!!"),"",IF(NOT(ISNA(VLOOKUP(E1914,E$1:E1913,1,FALSE()))),"OLD",IF(AND(E1914&lt;&gt;"",E1914&lt;&gt;"!!!"),"NEW","")))</f>
        <v/>
      </c>
      <c r="G1914" s="22" t="str">
        <f>IF(OR(E1914="",E1914="!!!"),"",IF(OR(J1914=0,AND(J1914=1,K1914=1),AND(J1914=1,I1914="SBJ"),AND(J1914=1,I1914=0)),"?IN_FOCUS",IF(J1914&lt;=2,"?ACTIVATED",IF(J1914&lt;&gt;"","?FAMILIAR",IF(F1914="NEW",IF(ISNA(VLOOKUP(E1914,#REF!,1,FALSE())),"?TYPE_IDENTIFIABLE","?REFERENTIAL"),"_")))))</f>
        <v/>
      </c>
      <c r="H1914" s="23" t="str">
        <f t="shared" ca="1" si="213"/>
        <v/>
      </c>
      <c r="I1914" s="24" t="str">
        <f>IF(OR(E1914="",E1914="!!!",F1914="NEW"),"",INDEX(B$2:B1913,-1+SUMPRODUCT(MAX(ROW(E$2:E1913)*(E1914=E$2:E1913)))))</f>
        <v/>
      </c>
      <c r="J1914" s="24" t="str">
        <f ca="1">IF(OR(E1914="",E1914="!!!",F1914="NEW"),"",COUNTBLANK(OFFSET(A$1,,,SUMPRODUCT(MAX(ROW(E$2:E1914)*(E1914=E$2:E1914)))))-COUNTBLANK(OFFSET(A$1,,,SUMPRODUCT(MAX(ROW(E$1:E1913)*(E2=E$1:E1913))))))</f>
        <v/>
      </c>
      <c r="K1914" s="24" t="str">
        <f>IF(OR(E1914="",E1914="!!!",F1914="NEW"),"",INDEX(J$1:J1913,SUMPRODUCT(MAX(ROW(E$1:E1913)*(E1914=E$1:E1913)))))</f>
        <v/>
      </c>
      <c r="L1914" s="25"/>
    </row>
    <row r="1915" spans="1:12" x14ac:dyDescent="0.2">
      <c r="A1915" t="s">
        <v>1429</v>
      </c>
      <c r="B1915" s="26" t="s">
        <v>864</v>
      </c>
      <c r="C1915" s="26" t="s">
        <v>811</v>
      </c>
      <c r="E1915" s="20" t="str">
        <f t="shared" si="212"/>
        <v/>
      </c>
      <c r="F1915" s="21" t="str">
        <f>IF(OR(E1915="",E1915="!!!"),"",IF(NOT(ISNA(VLOOKUP(E1915,E$1:E1914,1,FALSE()))),"OLD",IF(AND(E1915&lt;&gt;"",E1915&lt;&gt;"!!!"),"NEW","")))</f>
        <v/>
      </c>
      <c r="G1915" s="22" t="str">
        <f>IF(OR(E1915="",E1915="!!!"),"",IF(OR(J1915=0,AND(J1915=1,K1915=1),AND(J1915=1,I1915="SBJ"),AND(J1915=1,I1915=0)),"?IN_FOCUS",IF(J1915&lt;=2,"?ACTIVATED",IF(J1915&lt;&gt;"","?FAMILIAR",IF(F1915="NEW",IF(ISNA(VLOOKUP(E1915,#REF!,1,FALSE())),"?TYPE_IDENTIFIABLE","?REFERENTIAL"),"_")))))</f>
        <v/>
      </c>
      <c r="H1915" s="23" t="str">
        <f t="shared" ca="1" si="213"/>
        <v/>
      </c>
      <c r="I1915" s="24" t="str">
        <f>IF(OR(E1915="",E1915="!!!",F1915="NEW"),"",INDEX(B$2:B1914,-1+SUMPRODUCT(MAX(ROW(E$2:E1914)*(E1915=E$2:E1914)))))</f>
        <v/>
      </c>
      <c r="J1915" s="24" t="str">
        <f ca="1">IF(OR(E1915="",E1915="!!!",F1915="NEW"),"",COUNTBLANK(OFFSET(A$1,,,SUMPRODUCT(MAX(ROW(E$2:E1915)*(E1915=E$2:E1915)))))-COUNTBLANK(OFFSET(A$1,,,SUMPRODUCT(MAX(ROW(E$1:E1914)*(E2=E$1:E1914))))))</f>
        <v/>
      </c>
      <c r="K1915" s="24" t="str">
        <f>IF(OR(E1915="",E1915="!!!",F1915="NEW"),"",INDEX(J$1:J1914,SUMPRODUCT(MAX(ROW(E$1:E1914)*(E1915=E$1:E1914)))))</f>
        <v/>
      </c>
      <c r="L1915" s="25"/>
    </row>
    <row r="1916" spans="1:12" x14ac:dyDescent="0.2">
      <c r="A1916" t="s">
        <v>878</v>
      </c>
      <c r="E1916" s="20" t="str">
        <f t="shared" si="212"/>
        <v/>
      </c>
      <c r="F1916" s="21" t="str">
        <f>IF(OR(E1916="",E1916="!!!"),"",IF(NOT(ISNA(VLOOKUP(E1916,E$1:E1915,1,FALSE()))),"OLD",IF(AND(E1916&lt;&gt;"",E1916&lt;&gt;"!!!"),"NEW","")))</f>
        <v/>
      </c>
      <c r="G1916" s="22" t="str">
        <f>IF(OR(E1916="",E1916="!!!"),"",IF(OR(J1916=0,AND(J1916=1,K1916=1),AND(J1916=1,I1916="SBJ"),AND(J1916=1,I1916=0)),"?IN_FOCUS",IF(J1916&lt;=2,"?ACTIVATED",IF(J1916&lt;&gt;"","?FAMILIAR",IF(F1916="NEW",IF(ISNA(VLOOKUP(E1916,#REF!,1,FALSE())),"?TYPE_IDENTIFIABLE","?REFERENTIAL"),"_")))))</f>
        <v/>
      </c>
      <c r="H1916" s="23" t="str">
        <f t="shared" ca="1" si="213"/>
        <v/>
      </c>
      <c r="I1916" s="24" t="str">
        <f>IF(OR(E1916="",E1916="!!!",F1916="NEW"),"",INDEX(B$2:B1915,-1+SUMPRODUCT(MAX(ROW(E$2:E1915)*(E1916=E$2:E1915)))))</f>
        <v/>
      </c>
      <c r="J1916" s="24" t="str">
        <f ca="1">IF(OR(E1916="",E1916="!!!",F1916="NEW"),"",COUNTBLANK(OFFSET(A$1,,,SUMPRODUCT(MAX(ROW(E$2:E1916)*(E1916=E$2:E1916)))))-COUNTBLANK(OFFSET(A$1,,,SUMPRODUCT(MAX(ROW(E$1:E1915)*(E2=E$1:E1915))))))</f>
        <v/>
      </c>
      <c r="K1916" s="24" t="str">
        <f>IF(OR(E1916="",E1916="!!!",F1916="NEW"),"",INDEX(J$1:J1915,SUMPRODUCT(MAX(ROW(E$1:E1915)*(E1916=E$1:E1915)))))</f>
        <v/>
      </c>
      <c r="L1916" s="25"/>
    </row>
    <row r="1917" spans="1:12" x14ac:dyDescent="0.2">
      <c r="A1917" t="s">
        <v>1417</v>
      </c>
      <c r="E1917" s="20" t="str">
        <f t="shared" si="212"/>
        <v/>
      </c>
      <c r="F1917" s="21" t="str">
        <f>IF(OR(E1917="",E1917="!!!"),"",IF(NOT(ISNA(VLOOKUP(E1917,E$1:E1916,1,FALSE()))),"OLD",IF(AND(E1917&lt;&gt;"",E1917&lt;&gt;"!!!"),"NEW","")))</f>
        <v/>
      </c>
      <c r="G1917" s="22" t="str">
        <f>IF(OR(E1917="",E1917="!!!"),"",IF(OR(J1917=0,AND(J1917=1,K1917=1),AND(J1917=1,I1917="SBJ"),AND(J1917=1,I1917=0)),"?IN_FOCUS",IF(J1917&lt;=2,"?ACTIVATED",IF(J1917&lt;&gt;"","?FAMILIAR",IF(F1917="NEW",IF(ISNA(VLOOKUP(E1917,#REF!,1,FALSE())),"?TYPE_IDENTIFIABLE","?REFERENTIAL"),"_")))))</f>
        <v/>
      </c>
      <c r="H1917" s="23" t="str">
        <f t="shared" ca="1" si="213"/>
        <v/>
      </c>
      <c r="I1917" s="24" t="str">
        <f>IF(OR(E1917="",E1917="!!!",F1917="NEW"),"",INDEX(B$2:B1916,-1+SUMPRODUCT(MAX(ROW(E$2:E1916)*(E1917=E$2:E1916)))))</f>
        <v/>
      </c>
      <c r="J1917" s="24" t="str">
        <f ca="1">IF(OR(E1917="",E1917="!!!",F1917="NEW"),"",COUNTBLANK(OFFSET(A$1,,,SUMPRODUCT(MAX(ROW(E$2:E1917)*(E1917=E$2:E1917)))))-COUNTBLANK(OFFSET(A$1,,,SUMPRODUCT(MAX(ROW(E$1:E1916)*(E2=E$1:E1916))))))</f>
        <v/>
      </c>
      <c r="K1917" s="24" t="str">
        <f>IF(OR(E1917="",E1917="!!!",F1917="NEW"),"",INDEX(J$1:J1916,SUMPRODUCT(MAX(ROW(E$1:E1916)*(E1917=E$1:E1916)))))</f>
        <v/>
      </c>
      <c r="L1917" s="25"/>
    </row>
    <row r="1918" spans="1:12" x14ac:dyDescent="0.2">
      <c r="A1918" t="s">
        <v>1020</v>
      </c>
      <c r="E1918" s="20" t="str">
        <f t="shared" si="212"/>
        <v/>
      </c>
      <c r="F1918" s="21" t="str">
        <f>IF(OR(E1918="",E1918="!!!"),"",IF(NOT(ISNA(VLOOKUP(E1918,E$1:E1917,1,FALSE()))),"OLD",IF(AND(E1918&lt;&gt;"",E1918&lt;&gt;"!!!"),"NEW","")))</f>
        <v/>
      </c>
      <c r="G1918" s="22" t="str">
        <f>IF(OR(E1918="",E1918="!!!"),"",IF(OR(J1918=0,AND(J1918=1,K1918=1),AND(J1918=1,I1918="SBJ"),AND(J1918=1,I1918=0)),"?IN_FOCUS",IF(J1918&lt;=2,"?ACTIVATED",IF(J1918&lt;&gt;"","?FAMILIAR",IF(F1918="NEW",IF(ISNA(VLOOKUP(E1918,#REF!,1,FALSE())),"?TYPE_IDENTIFIABLE","?REFERENTIAL"),"_")))))</f>
        <v/>
      </c>
      <c r="H1918" s="23" t="str">
        <f t="shared" ca="1" si="213"/>
        <v/>
      </c>
      <c r="I1918" s="24" t="str">
        <f>IF(OR(E1918="",E1918="!!!",F1918="NEW"),"",INDEX(B$2:B1917,-1+SUMPRODUCT(MAX(ROW(E$2:E1917)*(E1918=E$2:E1917)))))</f>
        <v/>
      </c>
      <c r="J1918" s="24" t="str">
        <f ca="1">IF(OR(E1918="",E1918="!!!",F1918="NEW"),"",COUNTBLANK(OFFSET(A$1,,,SUMPRODUCT(MAX(ROW(E$2:E1918)*(E1918=E$2:E1918)))))-COUNTBLANK(OFFSET(A$1,,,SUMPRODUCT(MAX(ROW(E$1:E1917)*(E2=E$1:E1917))))))</f>
        <v/>
      </c>
      <c r="K1918" s="24" t="str">
        <f>IF(OR(E1918="",E1918="!!!",F1918="NEW"),"",INDEX(J$1:J1917,SUMPRODUCT(MAX(ROW(E$1:E1917)*(E1918=E$1:E1917)))))</f>
        <v/>
      </c>
      <c r="L1918" s="25"/>
    </row>
    <row r="1919" spans="1:12" x14ac:dyDescent="0.2">
      <c r="A1919" t="s">
        <v>1417</v>
      </c>
      <c r="E1919" s="20" t="str">
        <f t="shared" si="212"/>
        <v/>
      </c>
      <c r="F1919" s="21" t="str">
        <f>IF(OR(E1919="",E1919="!!!"),"",IF(NOT(ISNA(VLOOKUP(E1919,E$1:E1918,1,FALSE()))),"OLD",IF(AND(E1919&lt;&gt;"",E1919&lt;&gt;"!!!"),"NEW","")))</f>
        <v/>
      </c>
      <c r="G1919" s="22" t="str">
        <f>IF(OR(E1919="",E1919="!!!"),"",IF(OR(J1919=0,AND(J1919=1,K1919=1),AND(J1919=1,I1919="SBJ"),AND(J1919=1,I1919=0)),"?IN_FOCUS",IF(J1919&lt;=2,"?ACTIVATED",IF(J1919&lt;&gt;"","?FAMILIAR",IF(F1919="NEW",IF(ISNA(VLOOKUP(E1919,#REF!,1,FALSE())),"?TYPE_IDENTIFIABLE","?REFERENTIAL"),"_")))))</f>
        <v/>
      </c>
      <c r="H1919" s="23" t="str">
        <f t="shared" ca="1" si="213"/>
        <v/>
      </c>
      <c r="I1919" s="24" t="str">
        <f>IF(OR(E1919="",E1919="!!!",F1919="NEW"),"",INDEX(B$2:B1918,-1+SUMPRODUCT(MAX(ROW(E$2:E1918)*(E1919=E$2:E1918)))))</f>
        <v/>
      </c>
      <c r="J1919" s="24" t="str">
        <f ca="1">IF(OR(E1919="",E1919="!!!",F1919="NEW"),"",COUNTBLANK(OFFSET(A$1,,,SUMPRODUCT(MAX(ROW(E$2:E1919)*(E1919=E$2:E1919)))))-COUNTBLANK(OFFSET(A$1,,,SUMPRODUCT(MAX(ROW(E$1:E1918)*(E2=E$1:E1918))))))</f>
        <v/>
      </c>
      <c r="K1919" s="24" t="str">
        <f>IF(OR(E1919="",E1919="!!!",F1919="NEW"),"",INDEX(J$1:J1918,SUMPRODUCT(MAX(ROW(E$1:E1918)*(E1919=E$1:E1918)))))</f>
        <v/>
      </c>
      <c r="L1919" s="25"/>
    </row>
    <row r="1920" spans="1:12" x14ac:dyDescent="0.2">
      <c r="A1920" t="s">
        <v>866</v>
      </c>
      <c r="B1920" s="26" t="s">
        <v>950</v>
      </c>
      <c r="C1920" s="26" t="s">
        <v>805</v>
      </c>
      <c r="D1920" s="26" t="s">
        <v>806</v>
      </c>
      <c r="E1920" s="20"/>
      <c r="F1920" s="21" t="s">
        <v>1781</v>
      </c>
      <c r="G1920" s="22" t="str">
        <f>IF(OR(E1920="",E1920="!!!"),"",IF(OR(J1920=0,AND(J1920=1,K1920=1),AND(J1920=1,I1920="SBJ"),AND(J1920=1,I1920=0)),"?IN_FOCUS",IF(J1920&lt;=2,"?ACTIVATED",IF(J1920&lt;&gt;"","?FAMILIAR",IF(F1920="NEW",IF(ISNA(VLOOKUP(E1920,#REF!,1,FALSE())),"?TYPE_IDENTIFIABLE","?REFERENTIAL"),"_")))))</f>
        <v/>
      </c>
      <c r="H1920" s="23" t="str">
        <f t="shared" ca="1" si="213"/>
        <v/>
      </c>
      <c r="I1920" s="24" t="str">
        <f>IF(OR(E1920="",E1920="!!!",F1920="NEW"),"",INDEX(B$2:B1919,-1+SUMPRODUCT(MAX(ROW(E$2:E1919)*(E1920=E$2:E1919)))))</f>
        <v/>
      </c>
      <c r="J1920" s="24" t="str">
        <f ca="1">IF(OR(E1920="",E1920="!!!",F1920="NEW"),"",COUNTBLANK(OFFSET(A$1,,,SUMPRODUCT(MAX(ROW(E$2:E1920)*(E1920=E$2:E1920)))))-COUNTBLANK(OFFSET(A$1,,,SUMPRODUCT(MAX(ROW(E$1:E1919)*(E2=E$1:E1919))))))</f>
        <v/>
      </c>
      <c r="K1920" s="24" t="str">
        <f>IF(OR(E1920="",E1920="!!!",F1920="NEW"),"",INDEX(J$1:J1919,SUMPRODUCT(MAX(ROW(E$1:E1919)*(E1920=E$1:E1919)))))</f>
        <v/>
      </c>
      <c r="L1920" s="25"/>
    </row>
    <row r="1921" spans="1:12" x14ac:dyDescent="0.2">
      <c r="A1921" t="s">
        <v>867</v>
      </c>
      <c r="E1921" s="20" t="str">
        <f t="shared" si="212"/>
        <v/>
      </c>
      <c r="F1921" s="21" t="str">
        <f>IF(OR(E1921="",E1921="!!!"),"",IF(NOT(ISNA(VLOOKUP(E1921,E$1:E1920,1,FALSE()))),"OLD",IF(AND(E1921&lt;&gt;"",E1921&lt;&gt;"!!!"),"NEW","")))</f>
        <v/>
      </c>
      <c r="G1921" s="22" t="str">
        <f>IF(OR(E1921="",E1921="!!!"),"",IF(OR(J1921=0,AND(J1921=1,K1921=1),AND(J1921=1,I1921="SBJ"),AND(J1921=1,I1921=0)),"?IN_FOCUS",IF(J1921&lt;=2,"?ACTIVATED",IF(J1921&lt;&gt;"","?FAMILIAR",IF(F1921="NEW",IF(ISNA(VLOOKUP(E1921,#REF!,1,FALSE())),"?TYPE_IDENTIFIABLE","?REFERENTIAL"),"_")))))</f>
        <v/>
      </c>
      <c r="H1921" s="23" t="str">
        <f t="shared" ca="1" si="213"/>
        <v/>
      </c>
      <c r="I1921" s="24" t="str">
        <f>IF(OR(E1921="",E1921="!!!",F1921="NEW"),"",INDEX(B$2:B1920,-1+SUMPRODUCT(MAX(ROW(E$2:E1920)*(E1921=E$2:E1920)))))</f>
        <v/>
      </c>
      <c r="J1921" s="24" t="str">
        <f ca="1">IF(OR(E1921="",E1921="!!!",F1921="NEW"),"",COUNTBLANK(OFFSET(A$1,,,SUMPRODUCT(MAX(ROW(E$2:E1921)*(E1921=E$2:E1921)))))-COUNTBLANK(OFFSET(A$1,,,SUMPRODUCT(MAX(ROW(E$1:E1920)*(E2=E$1:E1920))))))</f>
        <v/>
      </c>
      <c r="K1921" s="24" t="str">
        <f>IF(OR(E1921="",E1921="!!!",F1921="NEW"),"",INDEX(J$1:J1920,SUMPRODUCT(MAX(ROW(E$1:E1920)*(E1921=E$1:E1920)))))</f>
        <v/>
      </c>
      <c r="L1921" s="25"/>
    </row>
    <row r="1922" spans="1:12" x14ac:dyDescent="0.2">
      <c r="A1922" t="s">
        <v>360</v>
      </c>
      <c r="E1922" s="20" t="str">
        <f t="shared" si="212"/>
        <v/>
      </c>
      <c r="F1922" s="21" t="str">
        <f>IF(OR(E1922="",E1922="!!!"),"",IF(NOT(ISNA(VLOOKUP(E1922,E$1:E1921,1,FALSE()))),"OLD",IF(AND(E1922&lt;&gt;"",E1922&lt;&gt;"!!!"),"NEW","")))</f>
        <v/>
      </c>
      <c r="G1922" s="22" t="str">
        <f>IF(OR(E1922="",E1922="!!!"),"",IF(OR(J1922=0,AND(J1922=1,K1922=1),AND(J1922=1,I1922="SBJ"),AND(J1922=1,I1922=0)),"?IN_FOCUS",IF(J1922&lt;=2,"?ACTIVATED",IF(J1922&lt;&gt;"","?FAMILIAR",IF(F1922="NEW",IF(ISNA(VLOOKUP(E1922,#REF!,1,FALSE())),"?TYPE_IDENTIFIABLE","?REFERENTIAL"),"_")))))</f>
        <v/>
      </c>
      <c r="H1922" s="23" t="str">
        <f t="shared" ca="1" si="213"/>
        <v/>
      </c>
      <c r="I1922" s="24" t="str">
        <f>IF(OR(E1922="",E1922="!!!",F1922="NEW"),"",INDEX(B$2:B1921,-1+SUMPRODUCT(MAX(ROW(E$2:E1921)*(E1922=E$2:E1921)))))</f>
        <v/>
      </c>
      <c r="J1922" s="24" t="str">
        <f ca="1">IF(OR(E1922="",E1922="!!!",F1922="NEW"),"",COUNTBLANK(OFFSET(A$1,,,SUMPRODUCT(MAX(ROW(E$2:E1922)*(E1922=E$2:E1922)))))-COUNTBLANK(OFFSET(A$1,,,SUMPRODUCT(MAX(ROW(E$1:E1921)*(E2=E$1:E1921))))))</f>
        <v/>
      </c>
      <c r="K1922" s="24" t="str">
        <f>IF(OR(E1922="",E1922="!!!",F1922="NEW"),"",INDEX(J$1:J1921,SUMPRODUCT(MAX(ROW(E$1:E1921)*(E1922=E$1:E1921)))))</f>
        <v/>
      </c>
      <c r="L1922" s="25"/>
    </row>
    <row r="1923" spans="1:12" x14ac:dyDescent="0.2">
      <c r="A1923" t="s">
        <v>821</v>
      </c>
      <c r="E1923" s="20" t="str">
        <f t="shared" si="212"/>
        <v/>
      </c>
      <c r="F1923" s="21" t="str">
        <f>IF(OR(E1923="",E1923="!!!"),"",IF(NOT(ISNA(VLOOKUP(E1923,E$1:E1922,1,FALSE()))),"OLD",IF(AND(E1923&lt;&gt;"",E1923&lt;&gt;"!!!"),"NEW","")))</f>
        <v/>
      </c>
      <c r="G1923" s="22" t="str">
        <f>IF(OR(E1923="",E1923="!!!"),"",IF(OR(J1923=0,AND(J1923=1,K1923=1),AND(J1923=1,I1923="SBJ"),AND(J1923=1,I1923=0)),"?IN_FOCUS",IF(J1923&lt;=2,"?ACTIVATED",IF(J1923&lt;&gt;"","?FAMILIAR",IF(F1923="NEW",IF(ISNA(VLOOKUP(E1923,#REF!,1,FALSE())),"?TYPE_IDENTIFIABLE","?REFERENTIAL"),"_")))))</f>
        <v/>
      </c>
      <c r="H1923" s="23" t="str">
        <f t="shared" ca="1" si="213"/>
        <v/>
      </c>
      <c r="I1923" s="24" t="str">
        <f>IF(OR(E1923="",E1923="!!!",F1923="NEW"),"",INDEX(B$2:B1922,-1+SUMPRODUCT(MAX(ROW(E$2:E1922)*(E1923=E$2:E1922)))))</f>
        <v/>
      </c>
      <c r="J1923" s="24" t="str">
        <f ca="1">IF(OR(E1923="",E1923="!!!",F1923="NEW"),"",COUNTBLANK(OFFSET(A$1,,,SUMPRODUCT(MAX(ROW(E$2:E1923)*(E1923=E$2:E1923)))))-COUNTBLANK(OFFSET(A$1,,,SUMPRODUCT(MAX(ROW(E$1:E1922)*(E2=E$1:E1922))))))</f>
        <v/>
      </c>
      <c r="K1923" s="24" t="str">
        <f>IF(OR(E1923="",E1923="!!!",F1923="NEW"),"",INDEX(J$1:J1922,SUMPRODUCT(MAX(ROW(E$1:E1922)*(E1923=E$1:E1922)))))</f>
        <v/>
      </c>
      <c r="L1923" s="25"/>
    </row>
    <row r="1925" spans="1:12" x14ac:dyDescent="0.2">
      <c r="A1925" t="s">
        <v>900</v>
      </c>
      <c r="E1925" s="20" t="str">
        <f>IF(D1925="?OLD","!!!","")</f>
        <v/>
      </c>
      <c r="F1925" s="21" t="str">
        <f>IF(OR(E1925="",E1925="!!!"),"",IF(NOT(ISNA(VLOOKUP(E1925,E$1:E1924,1,FALSE()))),"OLD",IF(AND(E1925&lt;&gt;"",E1925&lt;&gt;"!!!"),"NEW","")))</f>
        <v/>
      </c>
      <c r="G1925" s="22" t="str">
        <f>IF(OR(E1925="",E1925="!!!"),"",IF(OR(J1925=0,AND(J1925=1,K1925=1),AND(J1925=1,I1925="SBJ"),AND(J1925=1,I1925=0)),"?IN_FOCUS",IF(J1925&lt;=2,"?ACTIVATED",IF(J1925&lt;&gt;"","?FAMILIAR",IF(F1925="NEW",IF(ISNA(VLOOKUP(E1925,#REF!,1,FALSE())),"?TYPE_IDENTIFIABLE","?REFERENTIAL"),"_")))))</f>
        <v/>
      </c>
      <c r="H1925" s="23" t="str">
        <f ca="1">IF(J1925&lt;&gt;1,"",IF(I1925="SBJ","CB","?"))</f>
        <v/>
      </c>
      <c r="I1925" s="24" t="str">
        <f>IF(OR(E1925="",E1925="!!!",F1925="NEW"),"",INDEX(B$2:B1924,-1+SUMPRODUCT(MAX(ROW(E$2:E1924)*(E1925=E$2:E1924)))))</f>
        <v/>
      </c>
      <c r="J1925" s="24" t="str">
        <f ca="1">IF(OR(E1925="",E1925="!!!",F1925="NEW"),"",COUNTBLANK(OFFSET(A$1,,,SUMPRODUCT(MAX(ROW(E$2:E1925)*(E1925=E$2:E1925)))))-COUNTBLANK(OFFSET(A$1,,,SUMPRODUCT(MAX(ROW(E$1:E1924)*(E2=E$1:E1924))))))</f>
        <v/>
      </c>
      <c r="K1925" s="24" t="str">
        <f>IF(OR(E1925="",E1925="!!!",F1925="NEW"),"",INDEX(J$1:J1924,SUMPRODUCT(MAX(ROW(E$1:E1924)*(E1925=E$1:E1924)))))</f>
        <v/>
      </c>
      <c r="L1925" s="25"/>
    </row>
    <row r="1926" spans="1:12" x14ac:dyDescent="0.2">
      <c r="A1926" t="s">
        <v>1430</v>
      </c>
    </row>
    <row r="1927" spans="1:12" x14ac:dyDescent="0.2">
      <c r="A1927" t="s">
        <v>902</v>
      </c>
      <c r="E1927" s="20" t="str">
        <f t="shared" ref="E1927:E1935" si="214">IF(D1927="?OLD","!!!","")</f>
        <v/>
      </c>
      <c r="F1927" s="21" t="str">
        <f>IF(OR(E1927="",E1927="!!!"),"",IF(NOT(ISNA(VLOOKUP(E1927,E$1:E1926,1,FALSE()))),"OLD",IF(AND(E1927&lt;&gt;"",E1927&lt;&gt;"!!!"),"NEW","")))</f>
        <v/>
      </c>
      <c r="G1927" s="22" t="str">
        <f>IF(OR(E1927="",E1927="!!!"),"",IF(OR(J1927=0,AND(J1927=1,K1927=1),AND(J1927=1,I1927="SBJ"),AND(J1927=1,I1927=0)),"?IN_FOCUS",IF(J1927&lt;=2,"?ACTIVATED",IF(J1927&lt;&gt;"","?FAMILIAR",IF(F1927="NEW",IF(ISNA(VLOOKUP(E1927,#REF!,1,FALSE())),"?TYPE_IDENTIFIABLE","?REFERENTIAL"),"_")))))</f>
        <v/>
      </c>
      <c r="H1927" s="23" t="str">
        <f t="shared" ref="H1927:H1935" ca="1" si="215">IF(J1927&lt;&gt;1,"",IF(I1927="SBJ","CB","?"))</f>
        <v/>
      </c>
      <c r="I1927" s="24" t="str">
        <f>IF(OR(E1927="",E1927="!!!",F1927="NEW"),"",INDEX(B$2:B1926,-1+SUMPRODUCT(MAX(ROW(E$2:E1926)*(E1927=E$2:E1926)))))</f>
        <v/>
      </c>
      <c r="J1927" s="24" t="str">
        <f ca="1">IF(OR(E1927="",E1927="!!!",F1927="NEW"),"",COUNTBLANK(OFFSET(A$1,,,SUMPRODUCT(MAX(ROW(E$2:E1927)*(E1927=E$2:E1927)))))-COUNTBLANK(OFFSET(A$1,,,SUMPRODUCT(MAX(ROW(E$1:E1926)*(E2=E$1:E1926))))))</f>
        <v/>
      </c>
      <c r="K1927" s="24" t="str">
        <f>IF(OR(E1927="",E1927="!!!",F1927="NEW"),"",INDEX(J$1:J1926,SUMPRODUCT(MAX(ROW(E$1:E1926)*(E1927=E$1:E1926)))))</f>
        <v/>
      </c>
      <c r="L1927" s="25"/>
    </row>
    <row r="1928" spans="1:12" x14ac:dyDescent="0.2">
      <c r="A1928" t="s">
        <v>827</v>
      </c>
      <c r="B1928" s="26" t="s">
        <v>950</v>
      </c>
      <c r="C1928" s="26" t="s">
        <v>987</v>
      </c>
      <c r="D1928" s="26" t="s">
        <v>806</v>
      </c>
      <c r="E1928" s="20" t="s">
        <v>1796</v>
      </c>
      <c r="F1928" s="21" t="str">
        <f>IF(OR(E1928="",E1928="!!!"),"",IF(NOT(ISNA(VLOOKUP(E1928,E$1:E1927,1,FALSE()))),"OLD",IF(AND(E1928&lt;&gt;"",E1928&lt;&gt;"!!!"),"NEW","")))</f>
        <v>NEW</v>
      </c>
      <c r="G1928" s="22" t="s">
        <v>1823</v>
      </c>
      <c r="H1928" s="23" t="str">
        <f t="shared" ca="1" si="215"/>
        <v/>
      </c>
      <c r="I1928" s="24" t="str">
        <f>IF(OR(E1928="",E1928="!!!",F1928="NEW"),"",INDEX(B$2:B1927,-1+SUMPRODUCT(MAX(ROW(E$2:E1927)*(E1928=E$2:E1927)))))</f>
        <v/>
      </c>
      <c r="J1928" s="24" t="str">
        <f ca="1">IF(OR(E1928="",E1928="!!!",F1928="NEW"),"",COUNTBLANK(OFFSET(A$1,,,SUMPRODUCT(MAX(ROW(E$2:E1928)*(E1928=E$2:E1928)))))-COUNTBLANK(OFFSET(A$1,,,SUMPRODUCT(MAX(ROW(E$1:E1927)*(E2=E$1:E1927))))))</f>
        <v/>
      </c>
      <c r="K1928" s="24" t="str">
        <f>IF(OR(E1928="",E1928="!!!",F1928="NEW"),"",INDEX(J$1:J1927,SUMPRODUCT(MAX(ROW(E$1:E1927)*(E1928=E$1:E1927)))))</f>
        <v/>
      </c>
      <c r="L1928" s="25"/>
    </row>
    <row r="1929" spans="1:12" x14ac:dyDescent="0.2">
      <c r="A1929" t="s">
        <v>898</v>
      </c>
      <c r="E1929" s="20" t="str">
        <f t="shared" si="214"/>
        <v/>
      </c>
      <c r="F1929" s="21" t="str">
        <f>IF(OR(E1929="",E1929="!!!"),"",IF(NOT(ISNA(VLOOKUP(E1929,E$1:E1928,1,FALSE()))),"OLD",IF(AND(E1929&lt;&gt;"",E1929&lt;&gt;"!!!"),"NEW","")))</f>
        <v/>
      </c>
      <c r="G1929" s="22" t="str">
        <f>IF(OR(E1929="",E1929="!!!"),"",IF(OR(J1929=0,AND(J1929=1,K1929=1),AND(J1929=1,I1929="SBJ"),AND(J1929=1,I1929=0)),"?IN_FOCUS",IF(J1929&lt;=2,"?ACTIVATED",IF(J1929&lt;&gt;"","?FAMILIAR",IF(F1929="NEW",IF(ISNA(VLOOKUP(E1929,#REF!,1,FALSE())),"?TYPE_IDENTIFIABLE","?REFERENTIAL"),"_")))))</f>
        <v/>
      </c>
      <c r="H1929" s="23" t="str">
        <f t="shared" ca="1" si="215"/>
        <v/>
      </c>
      <c r="I1929" s="24" t="str">
        <f>IF(OR(E1929="",E1929="!!!",F1929="NEW"),"",INDEX(B$2:B1928,-1+SUMPRODUCT(MAX(ROW(E$2:E1928)*(E1929=E$2:E1928)))))</f>
        <v/>
      </c>
      <c r="J1929" s="24" t="str">
        <f ca="1">IF(OR(E1929="",E1929="!!!",F1929="NEW"),"",COUNTBLANK(OFFSET(A$1,,,SUMPRODUCT(MAX(ROW(E$2:E1929)*(E1929=E$2:E1929)))))-COUNTBLANK(OFFSET(A$1,,,SUMPRODUCT(MAX(ROW(E$1:E1928)*(E2=E$1:E1928))))))</f>
        <v/>
      </c>
      <c r="K1929" s="24" t="str">
        <f>IF(OR(E1929="",E1929="!!!",F1929="NEW"),"",INDEX(J$1:J1928,SUMPRODUCT(MAX(ROW(E$1:E1928)*(E1929=E$1:E1928)))))</f>
        <v/>
      </c>
      <c r="L1929" s="25"/>
    </row>
    <row r="1930" spans="1:12" x14ac:dyDescent="0.2">
      <c r="A1930" t="s">
        <v>1413</v>
      </c>
      <c r="B1930" s="26" t="s">
        <v>819</v>
      </c>
      <c r="C1930" s="26" t="s">
        <v>814</v>
      </c>
      <c r="E1930" s="20" t="s">
        <v>1413</v>
      </c>
      <c r="F1930" s="21" t="str">
        <f>IF(OR(E1930="",E1930="!!!"),"",IF(NOT(ISNA(VLOOKUP(E1930,E$1:E1929,1,FALSE()))),"OLD",IF(AND(E1930&lt;&gt;"",E1930&lt;&gt;"!!!"),"NEW","")))</f>
        <v>OLD</v>
      </c>
      <c r="G1930" s="22" t="s">
        <v>1822</v>
      </c>
      <c r="H1930" s="23" t="str">
        <f t="shared" ca="1" si="215"/>
        <v/>
      </c>
      <c r="I1930" s="24" t="str">
        <f>IF(OR(E1930="",E1930="!!!",F1930="NEW"),"",INDEX(B$2:B1929,-1+SUMPRODUCT(MAX(ROW(E$2:E1929)*(E1930=E$2:E1929)))))</f>
        <v>OBJ_4</v>
      </c>
      <c r="J1930" s="24">
        <f ca="1">IF(OR(E1930="",E1930="!!!",F1930="NEW"),"",COUNTBLANK(OFFSET(A$1,,,SUMPRODUCT(MAX(ROW(E$2:E1930)*(E1930=E$2:E1930)))))-COUNTBLANK(OFFSET(A$1,,,SUMPRODUCT(MAX(ROW(E$1:E1929)*(E2=E$1:E1929))))))</f>
        <v>0</v>
      </c>
      <c r="K1930" s="24" t="str">
        <f ca="1">IF(OR(E1930="",E1930="!!!",F1930="NEW"),"",INDEX(J$1:J1929,SUMPRODUCT(MAX(ROW(E$1:E1929)*(E1930=E$1:E1929)))))</f>
        <v/>
      </c>
      <c r="L1930" s="25"/>
    </row>
    <row r="1931" spans="1:12" x14ac:dyDescent="0.2">
      <c r="A1931" t="s">
        <v>802</v>
      </c>
      <c r="E1931" s="20" t="str">
        <f t="shared" si="214"/>
        <v/>
      </c>
      <c r="F1931" s="21" t="str">
        <f>IF(OR(E1931="",E1931="!!!"),"",IF(NOT(ISNA(VLOOKUP(E1931,E$1:E1930,1,FALSE()))),"OLD",IF(AND(E1931&lt;&gt;"",E1931&lt;&gt;"!!!"),"NEW","")))</f>
        <v/>
      </c>
      <c r="G1931" s="22" t="str">
        <f>IF(OR(E1931="",E1931="!!!"),"",IF(OR(J1931=0,AND(J1931=1,K1931=1),AND(J1931=1,I1931="SBJ"),AND(J1931=1,I1931=0)),"?IN_FOCUS",IF(J1931&lt;=2,"?ACTIVATED",IF(J1931&lt;&gt;"","?FAMILIAR",IF(F1931="NEW",IF(ISNA(VLOOKUP(E1931,#REF!,1,FALSE())),"?TYPE_IDENTIFIABLE","?REFERENTIAL"),"_")))))</f>
        <v/>
      </c>
      <c r="H1931" s="23" t="str">
        <f t="shared" ca="1" si="215"/>
        <v/>
      </c>
      <c r="I1931" s="24" t="str">
        <f>IF(OR(E1931="",E1931="!!!",F1931="NEW"),"",INDEX(B$2:B1930,-1+SUMPRODUCT(MAX(ROW(E$2:E1930)*(E1931=E$2:E1930)))))</f>
        <v/>
      </c>
      <c r="J1931" s="24" t="str">
        <f ca="1">IF(OR(E1931="",E1931="!!!",F1931="NEW"),"",COUNTBLANK(OFFSET(A$1,,,SUMPRODUCT(MAX(ROW(E$2:E1931)*(E1931=E$2:E1931)))))-COUNTBLANK(OFFSET(A$1,,,SUMPRODUCT(MAX(ROW(E$1:E1930)*(E2=E$1:E1930))))))</f>
        <v/>
      </c>
      <c r="K1931" s="24" t="str">
        <f>IF(OR(E1931="",E1931="!!!",F1931="NEW"),"",INDEX(J$1:J1930,SUMPRODUCT(MAX(ROW(E$1:E1930)*(E1931=E$1:E1930)))))</f>
        <v/>
      </c>
      <c r="L1931" s="25"/>
    </row>
    <row r="1932" spans="1:12" x14ac:dyDescent="0.2">
      <c r="A1932" t="s">
        <v>902</v>
      </c>
      <c r="E1932" s="20" t="str">
        <f t="shared" si="214"/>
        <v/>
      </c>
      <c r="F1932" s="21" t="str">
        <f>IF(OR(E1932="",E1932="!!!"),"",IF(NOT(ISNA(VLOOKUP(E1932,E$1:E1931,1,FALSE()))),"OLD",IF(AND(E1932&lt;&gt;"",E1932&lt;&gt;"!!!"),"NEW","")))</f>
        <v/>
      </c>
      <c r="G1932" s="22" t="str">
        <f>IF(OR(E1932="",E1932="!!!"),"",IF(OR(J1932=0,AND(J1932=1,K1932=1),AND(J1932=1,I1932="SBJ"),AND(J1932=1,I1932=0)),"?IN_FOCUS",IF(J1932&lt;=2,"?ACTIVATED",IF(J1932&lt;&gt;"","?FAMILIAR",IF(F1932="NEW",IF(ISNA(VLOOKUP(E1932,#REF!,1,FALSE())),"?TYPE_IDENTIFIABLE","?REFERENTIAL"),"_")))))</f>
        <v/>
      </c>
      <c r="H1932" s="23" t="str">
        <f t="shared" ca="1" si="215"/>
        <v/>
      </c>
      <c r="I1932" s="24" t="str">
        <f>IF(OR(E1932="",E1932="!!!",F1932="NEW"),"",INDEX(B$2:B1931,-1+SUMPRODUCT(MAX(ROW(E$2:E1931)*(E1932=E$2:E1931)))))</f>
        <v/>
      </c>
      <c r="J1932" s="24" t="str">
        <f ca="1">IF(OR(E1932="",E1932="!!!",F1932="NEW"),"",COUNTBLANK(OFFSET(A$1,,,SUMPRODUCT(MAX(ROW(E$2:E1932)*(E1932=E$2:E1932)))))-COUNTBLANK(OFFSET(A$1,,,SUMPRODUCT(MAX(ROW(E$1:E1931)*(E2=E$1:E1931))))))</f>
        <v/>
      </c>
      <c r="K1932" s="24" t="str">
        <f>IF(OR(E1932="",E1932="!!!",F1932="NEW"),"",INDEX(J$1:J1931,SUMPRODUCT(MAX(ROW(E$1:E1931)*(E1932=E$1:E1931)))))</f>
        <v/>
      </c>
      <c r="L1932" s="25"/>
    </row>
    <row r="1933" spans="1:12" x14ac:dyDescent="0.2">
      <c r="A1933" t="s">
        <v>1024</v>
      </c>
      <c r="B1933" s="26" t="s">
        <v>804</v>
      </c>
      <c r="C1933" s="26" t="s">
        <v>805</v>
      </c>
      <c r="D1933" s="26" t="s">
        <v>806</v>
      </c>
      <c r="E1933" s="20" t="s">
        <v>1175</v>
      </c>
      <c r="F1933" s="21" t="str">
        <f>IF(OR(E1933="",E1933="!!!"),"",IF(NOT(ISNA(VLOOKUP(E1933,E$1:E1932,1,FALSE()))),"OLD",IF(AND(E1933&lt;&gt;"",E1933&lt;&gt;"!!!"),"NEW","")))</f>
        <v>OLD</v>
      </c>
      <c r="G1933" s="22" t="s">
        <v>1823</v>
      </c>
      <c r="H1933" s="23" t="str">
        <f t="shared" ca="1" si="215"/>
        <v/>
      </c>
      <c r="I1933" s="24" t="str">
        <f>IF(OR(E1933="",E1933="!!!",F1933="NEW"),"",INDEX(B$2:B1932,-1+SUMPRODUCT(MAX(ROW(E$2:E1932)*(E1933=E$2:E1932)))))</f>
        <v>SBJ_4</v>
      </c>
      <c r="J1933" s="24">
        <f ca="1">IF(OR(E1933="",E1933="!!!",F1933="NEW"),"",COUNTBLANK(OFFSET(A$1,,,SUMPRODUCT(MAX(ROW(E$2:E1933)*(E1933=E$2:E1933)))))-COUNTBLANK(OFFSET(A$1,,,SUMPRODUCT(MAX(ROW(E$1:E1932)*(E2=E$1:E1932))))))</f>
        <v>0</v>
      </c>
      <c r="K1933" s="24">
        <f ca="1">IF(OR(E1933="",E1933="!!!",F1933="NEW"),"",INDEX(J$1:J1932,SUMPRODUCT(MAX(ROW(E$1:E1932)*(E1933=E$1:E1932)))))</f>
        <v>0</v>
      </c>
      <c r="L1933" s="25"/>
    </row>
    <row r="1934" spans="1:12" x14ac:dyDescent="0.2">
      <c r="A1934" t="s">
        <v>904</v>
      </c>
      <c r="E1934" s="20" t="str">
        <f t="shared" si="214"/>
        <v/>
      </c>
      <c r="F1934" s="21" t="str">
        <f>IF(OR(E1934="",E1934="!!!"),"",IF(NOT(ISNA(VLOOKUP(E1934,E$1:E1933,1,FALSE()))),"OLD",IF(AND(E1934&lt;&gt;"",E1934&lt;&gt;"!!!"),"NEW","")))</f>
        <v/>
      </c>
      <c r="G1934" s="22" t="str">
        <f>IF(OR(E1934="",E1934="!!!"),"",IF(OR(J1934=0,AND(J1934=1,K1934=1),AND(J1934=1,I1934="SBJ"),AND(J1934=1,I1934=0)),"?IN_FOCUS",IF(J1934&lt;=2,"?ACTIVATED",IF(J1934&lt;&gt;"","?FAMILIAR",IF(F1934="NEW",IF(ISNA(VLOOKUP(E1934,#REF!,1,FALSE())),"?TYPE_IDENTIFIABLE","?REFERENTIAL"),"_")))))</f>
        <v/>
      </c>
      <c r="H1934" s="23" t="str">
        <f t="shared" ca="1" si="215"/>
        <v/>
      </c>
      <c r="I1934" s="24" t="str">
        <f>IF(OR(E1934="",E1934="!!!",F1934="NEW"),"",INDEX(B$2:B1933,-1+SUMPRODUCT(MAX(ROW(E$2:E1933)*(E1934=E$2:E1933)))))</f>
        <v/>
      </c>
      <c r="J1934" s="24" t="str">
        <f ca="1">IF(OR(E1934="",E1934="!!!",F1934="NEW"),"",COUNTBLANK(OFFSET(A$1,,,SUMPRODUCT(MAX(ROW(E$2:E1934)*(E1934=E$2:E1934)))))-COUNTBLANK(OFFSET(A$1,,,SUMPRODUCT(MAX(ROW(E$1:E1933)*(E2=E$1:E1933))))))</f>
        <v/>
      </c>
      <c r="K1934" s="24" t="str">
        <f>IF(OR(E1934="",E1934="!!!",F1934="NEW"),"",INDEX(J$1:J1933,SUMPRODUCT(MAX(ROW(E$1:E1933)*(E1934=E$1:E1933)))))</f>
        <v/>
      </c>
      <c r="L1934" s="25"/>
    </row>
    <row r="1935" spans="1:12" x14ac:dyDescent="0.2">
      <c r="A1935" t="s">
        <v>821</v>
      </c>
      <c r="E1935" s="20" t="str">
        <f t="shared" si="214"/>
        <v/>
      </c>
      <c r="F1935" s="21" t="str">
        <f>IF(OR(E1935="",E1935="!!!"),"",IF(NOT(ISNA(VLOOKUP(E1935,E$1:E1934,1,FALSE()))),"OLD",IF(AND(E1935&lt;&gt;"",E1935&lt;&gt;"!!!"),"NEW","")))</f>
        <v/>
      </c>
      <c r="G1935" s="22" t="str">
        <f>IF(OR(E1935="",E1935="!!!"),"",IF(OR(J1935=0,AND(J1935=1,K1935=1),AND(J1935=1,I1935="SBJ"),AND(J1935=1,I1935=0)),"?IN_FOCUS",IF(J1935&lt;=2,"?ACTIVATED",IF(J1935&lt;&gt;"","?FAMILIAR",IF(F1935="NEW",IF(ISNA(VLOOKUP(E1935,#REF!,1,FALSE())),"?TYPE_IDENTIFIABLE","?REFERENTIAL"),"_")))))</f>
        <v/>
      </c>
      <c r="H1935" s="23" t="str">
        <f t="shared" ca="1" si="215"/>
        <v/>
      </c>
      <c r="I1935" s="24" t="str">
        <f>IF(OR(E1935="",E1935="!!!",F1935="NEW"),"",INDEX(B$2:B1934,-1+SUMPRODUCT(MAX(ROW(E$2:E1934)*(E1935=E$2:E1934)))))</f>
        <v/>
      </c>
      <c r="J1935" s="24" t="str">
        <f ca="1">IF(OR(E1935="",E1935="!!!",F1935="NEW"),"",COUNTBLANK(OFFSET(A$1,,,SUMPRODUCT(MAX(ROW(E$2:E1935)*(E1935=E$2:E1935)))))-COUNTBLANK(OFFSET(A$1,,,SUMPRODUCT(MAX(ROW(E$1:E1934)*(E2=E$1:E1934))))))</f>
        <v/>
      </c>
      <c r="K1935" s="24" t="str">
        <f>IF(OR(E1935="",E1935="!!!",F1935="NEW"),"",INDEX(J$1:J1934,SUMPRODUCT(MAX(ROW(E$1:E1934)*(E1935=E$1:E1934)))))</f>
        <v/>
      </c>
      <c r="L1935" s="25"/>
    </row>
    <row r="1937" spans="1:12" x14ac:dyDescent="0.2">
      <c r="A1937" t="s">
        <v>900</v>
      </c>
      <c r="E1937" s="20" t="str">
        <f>IF(D1937="?OLD","!!!","")</f>
        <v/>
      </c>
      <c r="F1937" s="21" t="str">
        <f>IF(OR(E1937="",E1937="!!!"),"",IF(NOT(ISNA(VLOOKUP(E1937,E$1:E1936,1,FALSE()))),"OLD",IF(AND(E1937&lt;&gt;"",E1937&lt;&gt;"!!!"),"NEW","")))</f>
        <v/>
      </c>
      <c r="G1937" s="22" t="str">
        <f>IF(OR(E1937="",E1937="!!!"),"",IF(OR(J1937=0,AND(J1937=1,K1937=1),AND(J1937=1,I1937="SBJ"),AND(J1937=1,I1937=0)),"?IN_FOCUS",IF(J1937&lt;=2,"?ACTIVATED",IF(J1937&lt;&gt;"","?FAMILIAR",IF(F1937="NEW",IF(ISNA(VLOOKUP(E1937,#REF!,1,FALSE())),"?TYPE_IDENTIFIABLE","?REFERENTIAL"),"_")))))</f>
        <v/>
      </c>
      <c r="H1937" s="23" t="str">
        <f ca="1">IF(J1937&lt;&gt;1,"",IF(I1937="SBJ","CB","?"))</f>
        <v/>
      </c>
      <c r="I1937" s="24" t="str">
        <f>IF(OR(E1937="",E1937="!!!",F1937="NEW"),"",INDEX(B$2:B1936,-1+SUMPRODUCT(MAX(ROW(E$2:E1936)*(E1937=E$2:E1936)))))</f>
        <v/>
      </c>
      <c r="J1937" s="24" t="str">
        <f ca="1">IF(OR(E1937="",E1937="!!!",F1937="NEW"),"",COUNTBLANK(OFFSET(A$1,,,SUMPRODUCT(MAX(ROW(E$2:E1937)*(E1937=E$2:E1937)))))-COUNTBLANK(OFFSET(A$1,,,SUMPRODUCT(MAX(ROW(E$1:E1936)*(E2=E$1:E1936))))))</f>
        <v/>
      </c>
      <c r="K1937" s="24" t="str">
        <f>IF(OR(E1937="",E1937="!!!",F1937="NEW"),"",INDEX(J$1:J1936,SUMPRODUCT(MAX(ROW(E$1:E1936)*(E1937=E$1:E1936)))))</f>
        <v/>
      </c>
      <c r="L1937" s="25"/>
    </row>
    <row r="1938" spans="1:12" x14ac:dyDescent="0.2">
      <c r="A1938" t="s">
        <v>1431</v>
      </c>
    </row>
    <row r="1939" spans="1:12" x14ac:dyDescent="0.2">
      <c r="A1939" t="s">
        <v>902</v>
      </c>
      <c r="E1939" s="20" t="str">
        <f t="shared" ref="E1939:E1946" si="216">IF(D1939="?OLD","!!!","")</f>
        <v/>
      </c>
      <c r="F1939" s="21" t="str">
        <f>IF(OR(E1939="",E1939="!!!"),"",IF(NOT(ISNA(VLOOKUP(E1939,E$1:E1938,1,FALSE()))),"OLD",IF(AND(E1939&lt;&gt;"",E1939&lt;&gt;"!!!"),"NEW","")))</f>
        <v/>
      </c>
      <c r="G1939" s="22" t="str">
        <f>IF(OR(E1939="",E1939="!!!"),"",IF(OR(J1939=0,AND(J1939=1,K1939=1),AND(J1939=1,I1939="SBJ"),AND(J1939=1,I1939=0)),"?IN_FOCUS",IF(J1939&lt;=2,"?ACTIVATED",IF(J1939&lt;&gt;"","?FAMILIAR",IF(F1939="NEW",IF(ISNA(VLOOKUP(E1939,#REF!,1,FALSE())),"?TYPE_IDENTIFIABLE","?REFERENTIAL"),"_")))))</f>
        <v/>
      </c>
      <c r="H1939" s="23" t="str">
        <f t="shared" ref="H1939:H1946" ca="1" si="217">IF(J1939&lt;&gt;1,"",IF(I1939="SBJ","CB","?"))</f>
        <v/>
      </c>
      <c r="I1939" s="24" t="str">
        <f>IF(OR(E1939="",E1939="!!!",F1939="NEW"),"",INDEX(B$2:B1938,-1+SUMPRODUCT(MAX(ROW(E$2:E1938)*(E1939=E$2:E1938)))))</f>
        <v/>
      </c>
      <c r="J1939" s="24" t="str">
        <f ca="1">IF(OR(E1939="",E1939="!!!",F1939="NEW"),"",COUNTBLANK(OFFSET(A$1,,,SUMPRODUCT(MAX(ROW(E$2:E1939)*(E1939=E$2:E1939)))))-COUNTBLANK(OFFSET(A$1,,,SUMPRODUCT(MAX(ROW(E$1:E1938)*(E2=E$1:E1938))))))</f>
        <v/>
      </c>
      <c r="K1939" s="24" t="str">
        <f>IF(OR(E1939="",E1939="!!!",F1939="NEW"),"",INDEX(J$1:J1938,SUMPRODUCT(MAX(ROW(E$1:E1938)*(E1939=E$1:E1938)))))</f>
        <v/>
      </c>
      <c r="L1939" s="25"/>
    </row>
    <row r="1940" spans="1:12" x14ac:dyDescent="0.2">
      <c r="A1940" t="s">
        <v>1432</v>
      </c>
      <c r="E1940" s="20" t="str">
        <f t="shared" si="216"/>
        <v/>
      </c>
      <c r="F1940" s="21" t="str">
        <f>IF(OR(E1940="",E1940="!!!"),"",IF(NOT(ISNA(VLOOKUP(E1940,E$1:E1939,1,FALSE()))),"OLD",IF(AND(E1940&lt;&gt;"",E1940&lt;&gt;"!!!"),"NEW","")))</f>
        <v/>
      </c>
      <c r="G1940" s="22" t="str">
        <f>IF(OR(E1940="",E1940="!!!"),"",IF(OR(J1940=0,AND(J1940=1,K1940=1),AND(J1940=1,I1940="SBJ"),AND(J1940=1,I1940=0)),"?IN_FOCUS",IF(J1940&lt;=2,"?ACTIVATED",IF(J1940&lt;&gt;"","?FAMILIAR",IF(F1940="NEW",IF(ISNA(VLOOKUP(E1940,#REF!,1,FALSE())),"?TYPE_IDENTIFIABLE","?REFERENTIAL"),"_")))))</f>
        <v/>
      </c>
      <c r="H1940" s="23" t="str">
        <f t="shared" ca="1" si="217"/>
        <v/>
      </c>
      <c r="I1940" s="24" t="str">
        <f>IF(OR(E1940="",E1940="!!!",F1940="NEW"),"",INDEX(B$2:B1939,-1+SUMPRODUCT(MAX(ROW(E$2:E1939)*(E1940=E$2:E1939)))))</f>
        <v/>
      </c>
      <c r="J1940" s="24" t="str">
        <f ca="1">IF(OR(E1940="",E1940="!!!",F1940="NEW"),"",COUNTBLANK(OFFSET(A$1,,,SUMPRODUCT(MAX(ROW(E$2:E1940)*(E1940=E$2:E1940)))))-COUNTBLANK(OFFSET(A$1,,,SUMPRODUCT(MAX(ROW(E$1:E1939)*(E2=E$1:E1939))))))</f>
        <v/>
      </c>
      <c r="K1940" s="24" t="str">
        <f>IF(OR(E1940="",E1940="!!!",F1940="NEW"),"",INDEX(J$1:J1939,SUMPRODUCT(MAX(ROW(E$1:E1939)*(E1940=E$1:E1939)))))</f>
        <v/>
      </c>
      <c r="L1940" s="25"/>
    </row>
    <row r="1941" spans="1:12" x14ac:dyDescent="0.2">
      <c r="A1941" t="s">
        <v>894</v>
      </c>
      <c r="E1941" s="20" t="str">
        <f t="shared" si="216"/>
        <v/>
      </c>
      <c r="F1941" s="21" t="str">
        <f>IF(OR(E1941="",E1941="!!!"),"",IF(NOT(ISNA(VLOOKUP(E1941,E$1:E1940,1,FALSE()))),"OLD",IF(AND(E1941&lt;&gt;"",E1941&lt;&gt;"!!!"),"NEW","")))</f>
        <v/>
      </c>
      <c r="G1941" s="22" t="str">
        <f>IF(OR(E1941="",E1941="!!!"),"",IF(OR(J1941=0,AND(J1941=1,K1941=1),AND(J1941=1,I1941="SBJ"),AND(J1941=1,I1941=0)),"?IN_FOCUS",IF(J1941&lt;=2,"?ACTIVATED",IF(J1941&lt;&gt;"","?FAMILIAR",IF(F1941="NEW",IF(ISNA(VLOOKUP(E1941,#REF!,1,FALSE())),"?TYPE_IDENTIFIABLE","?REFERENTIAL"),"_")))))</f>
        <v/>
      </c>
      <c r="H1941" s="23" t="str">
        <f t="shared" ca="1" si="217"/>
        <v/>
      </c>
      <c r="I1941" s="24" t="str">
        <f>IF(OR(E1941="",E1941="!!!",F1941="NEW"),"",INDEX(B$2:B1940,-1+SUMPRODUCT(MAX(ROW(E$2:E1940)*(E1941=E$2:E1940)))))</f>
        <v/>
      </c>
      <c r="J1941" s="24" t="str">
        <f ca="1">IF(OR(E1941="",E1941="!!!",F1941="NEW"),"",COUNTBLANK(OFFSET(A$1,,,SUMPRODUCT(MAX(ROW(E$2:E1941)*(E1941=E$2:E1941)))))-COUNTBLANK(OFFSET(A$1,,,SUMPRODUCT(MAX(ROW(E$1:E1940)*(E2=E$1:E1940))))))</f>
        <v/>
      </c>
      <c r="K1941" s="24" t="str">
        <f>IF(OR(E1941="",E1941="!!!",F1941="NEW"),"",INDEX(J$1:J1940,SUMPRODUCT(MAX(ROW(E$1:E1940)*(E1941=E$1:E1940)))))</f>
        <v/>
      </c>
      <c r="L1941" s="25"/>
    </row>
    <row r="1942" spans="1:12" x14ac:dyDescent="0.2">
      <c r="A1942" t="s">
        <v>1433</v>
      </c>
      <c r="B1942" s="26" t="s">
        <v>813</v>
      </c>
      <c r="C1942" s="26" t="s">
        <v>817</v>
      </c>
      <c r="D1942" s="26" t="s">
        <v>806</v>
      </c>
      <c r="E1942" s="20"/>
      <c r="F1942" s="21" t="s">
        <v>1793</v>
      </c>
      <c r="G1942" s="22"/>
      <c r="H1942" s="23" t="str">
        <f t="shared" ca="1" si="217"/>
        <v/>
      </c>
      <c r="I1942" s="24" t="str">
        <f>IF(OR(E1942="",E1942="!!!",F1942="NEW"),"",INDEX(B$2:B1941,-1+SUMPRODUCT(MAX(ROW(E$2:E1941)*(E1942=E$2:E1941)))))</f>
        <v/>
      </c>
      <c r="J1942" s="24" t="str">
        <f ca="1">IF(OR(E1942="",E1942="!!!",F1942="NEW"),"",COUNTBLANK(OFFSET(A$1,,,SUMPRODUCT(MAX(ROW(E$2:E1942)*(E1942=E$2:E1942)))))-COUNTBLANK(OFFSET(A$1,,,SUMPRODUCT(MAX(ROW(E$1:E1941)*(E2=E$1:E1941))))))</f>
        <v/>
      </c>
      <c r="K1942" s="24" t="str">
        <f>IF(OR(E1942="",E1942="!!!",F1942="NEW"),"",INDEX(J$1:J1941,SUMPRODUCT(MAX(ROW(E$1:E1941)*(E1942=E$1:E1941)))))</f>
        <v/>
      </c>
      <c r="L1942" s="25"/>
    </row>
    <row r="1943" spans="1:12" x14ac:dyDescent="0.2">
      <c r="A1943" t="s">
        <v>1434</v>
      </c>
      <c r="B1943" s="26" t="s">
        <v>819</v>
      </c>
      <c r="C1943" s="26" t="s">
        <v>820</v>
      </c>
      <c r="D1943" s="26" t="s">
        <v>806</v>
      </c>
      <c r="E1943" s="20" t="s">
        <v>1474</v>
      </c>
      <c r="F1943" s="21" t="str">
        <f>IF(OR(E1943="",E1943="!!!"),"",IF(NOT(ISNA(VLOOKUP(E1943,E$1:E1942,1,FALSE()))),"OLD",IF(AND(E1943&lt;&gt;"",E1943&lt;&gt;"!!!"),"NEW","")))</f>
        <v>NEW</v>
      </c>
      <c r="G1943" s="22" t="s">
        <v>1820</v>
      </c>
      <c r="H1943" s="23" t="str">
        <f t="shared" ca="1" si="217"/>
        <v/>
      </c>
      <c r="I1943" s="24" t="str">
        <f>IF(OR(E1943="",E1943="!!!",F1943="NEW"),"",INDEX(B$2:B1942,-1+SUMPRODUCT(MAX(ROW(E$2:E1942)*(E1943=E$2:E1942)))))</f>
        <v/>
      </c>
      <c r="J1943" s="24" t="str">
        <f ca="1">IF(OR(E1943="",E1943="!!!",F1943="NEW"),"",COUNTBLANK(OFFSET(A$1,,,SUMPRODUCT(MAX(ROW(E$2:E1943)*(E1943=E$2:E1943)))))-COUNTBLANK(OFFSET(A$1,,,SUMPRODUCT(MAX(ROW(E$1:E1942)*(E2=E$1:E1942))))))</f>
        <v/>
      </c>
      <c r="K1943" s="24" t="str">
        <f>IF(OR(E1943="",E1943="!!!",F1943="NEW"),"",INDEX(J$1:J1942,SUMPRODUCT(MAX(ROW(E$1:E1942)*(E1943=E$1:E1942)))))</f>
        <v/>
      </c>
      <c r="L1943" s="25"/>
    </row>
    <row r="1944" spans="1:12" x14ac:dyDescent="0.2">
      <c r="A1944" t="s">
        <v>802</v>
      </c>
      <c r="E1944" s="20" t="str">
        <f t="shared" si="216"/>
        <v/>
      </c>
      <c r="F1944" s="21" t="str">
        <f>IF(OR(E1944="",E1944="!!!"),"",IF(NOT(ISNA(VLOOKUP(E1944,E$1:E1943,1,FALSE()))),"OLD",IF(AND(E1944&lt;&gt;"",E1944&lt;&gt;"!!!"),"NEW","")))</f>
        <v/>
      </c>
      <c r="G1944" s="22" t="str">
        <f>IF(OR(E1944="",E1944="!!!"),"",IF(OR(J1944=0,AND(J1944=1,K1944=1),AND(J1944=1,I1944="SBJ"),AND(J1944=1,I1944=0)),"?IN_FOCUS",IF(J1944&lt;=2,"?ACTIVATED",IF(J1944&lt;&gt;"","?FAMILIAR",IF(F1944="NEW",IF(ISNA(VLOOKUP(E1944,#REF!,1,FALSE())),"?TYPE_IDENTIFIABLE","?REFERENTIAL"),"_")))))</f>
        <v/>
      </c>
      <c r="H1944" s="23" t="str">
        <f t="shared" ca="1" si="217"/>
        <v/>
      </c>
      <c r="I1944" s="24" t="str">
        <f>IF(OR(E1944="",E1944="!!!",F1944="NEW"),"",INDEX(B$2:B1943,-1+SUMPRODUCT(MAX(ROW(E$2:E1943)*(E1944=E$2:E1943)))))</f>
        <v/>
      </c>
      <c r="J1944" s="24" t="str">
        <f ca="1">IF(OR(E1944="",E1944="!!!",F1944="NEW"),"",COUNTBLANK(OFFSET(A$1,,,SUMPRODUCT(MAX(ROW(E$2:E1944)*(E1944=E$2:E1944)))))-COUNTBLANK(OFFSET(A$1,,,SUMPRODUCT(MAX(ROW(E$1:E1943)*(E2=E$1:E1943))))))</f>
        <v/>
      </c>
      <c r="K1944" s="24" t="str">
        <f>IF(OR(E1944="",E1944="!!!",F1944="NEW"),"",INDEX(J$1:J1943,SUMPRODUCT(MAX(ROW(E$1:E1943)*(E1944=E$1:E1943)))))</f>
        <v/>
      </c>
      <c r="L1944" s="25"/>
    </row>
    <row r="1945" spans="1:12" x14ac:dyDescent="0.2">
      <c r="A1945" t="s">
        <v>1426</v>
      </c>
      <c r="E1945" s="20" t="str">
        <f t="shared" si="216"/>
        <v/>
      </c>
      <c r="F1945" s="21" t="str">
        <f>IF(OR(E1945="",E1945="!!!"),"",IF(NOT(ISNA(VLOOKUP(E1945,E$1:E1944,1,FALSE()))),"OLD",IF(AND(E1945&lt;&gt;"",E1945&lt;&gt;"!!!"),"NEW","")))</f>
        <v/>
      </c>
      <c r="G1945" s="22" t="str">
        <f>IF(OR(E1945="",E1945="!!!"),"",IF(OR(J1945=0,AND(J1945=1,K1945=1),AND(J1945=1,I1945="SBJ"),AND(J1945=1,I1945=0)),"?IN_FOCUS",IF(J1945&lt;=2,"?ACTIVATED",IF(J1945&lt;&gt;"","?FAMILIAR",IF(F1945="NEW",IF(ISNA(VLOOKUP(E1945,#REF!,1,FALSE())),"?TYPE_IDENTIFIABLE","?REFERENTIAL"),"_")))))</f>
        <v/>
      </c>
      <c r="H1945" s="23" t="str">
        <f t="shared" ca="1" si="217"/>
        <v/>
      </c>
      <c r="I1945" s="24" t="str">
        <f>IF(OR(E1945="",E1945="!!!",F1945="NEW"),"",INDEX(B$2:B1944,-1+SUMPRODUCT(MAX(ROW(E$2:E1944)*(E1945=E$2:E1944)))))</f>
        <v/>
      </c>
      <c r="J1945" s="24" t="str">
        <f ca="1">IF(OR(E1945="",E1945="!!!",F1945="NEW"),"",COUNTBLANK(OFFSET(A$1,,,SUMPRODUCT(MAX(ROW(E$2:E1945)*(E1945=E$2:E1945)))))-COUNTBLANK(OFFSET(A$1,,,SUMPRODUCT(MAX(ROW(E$1:E1944)*(E2=E$1:E1944))))))</f>
        <v/>
      </c>
      <c r="K1945" s="24" t="str">
        <f>IF(OR(E1945="",E1945="!!!",F1945="NEW"),"",INDEX(J$1:J1944,SUMPRODUCT(MAX(ROW(E$1:E1944)*(E1945=E$1:E1944)))))</f>
        <v/>
      </c>
      <c r="L1945" s="25"/>
    </row>
    <row r="1946" spans="1:12" x14ac:dyDescent="0.2">
      <c r="A1946" t="s">
        <v>821</v>
      </c>
      <c r="E1946" s="20" t="str">
        <f t="shared" si="216"/>
        <v/>
      </c>
      <c r="F1946" s="21" t="str">
        <f>IF(OR(E1946="",E1946="!!!"),"",IF(NOT(ISNA(VLOOKUP(E1946,E$1:E1945,1,FALSE()))),"OLD",IF(AND(E1946&lt;&gt;"",E1946&lt;&gt;"!!!"),"NEW","")))</f>
        <v/>
      </c>
      <c r="G1946" s="22" t="str">
        <f>IF(OR(E1946="",E1946="!!!"),"",IF(OR(J1946=0,AND(J1946=1,K1946=1),AND(J1946=1,I1946="SBJ"),AND(J1946=1,I1946=0)),"?IN_FOCUS",IF(J1946&lt;=2,"?ACTIVATED",IF(J1946&lt;&gt;"","?FAMILIAR",IF(F1946="NEW",IF(ISNA(VLOOKUP(E1946,#REF!,1,FALSE())),"?TYPE_IDENTIFIABLE","?REFERENTIAL"),"_")))))</f>
        <v/>
      </c>
      <c r="H1946" s="23" t="str">
        <f t="shared" ca="1" si="217"/>
        <v/>
      </c>
      <c r="I1946" s="24" t="str">
        <f>IF(OR(E1946="",E1946="!!!",F1946="NEW"),"",INDEX(B$2:B1945,-1+SUMPRODUCT(MAX(ROW(E$2:E1945)*(E1946=E$2:E1945)))))</f>
        <v/>
      </c>
      <c r="J1946" s="24" t="str">
        <f ca="1">IF(OR(E1946="",E1946="!!!",F1946="NEW"),"",COUNTBLANK(OFFSET(A$1,,,SUMPRODUCT(MAX(ROW(E$2:E1946)*(E1946=E$2:E1946)))))-COUNTBLANK(OFFSET(A$1,,,SUMPRODUCT(MAX(ROW(E$1:E1945)*(E2=E$1:E1945))))))</f>
        <v/>
      </c>
      <c r="K1946" s="24" t="str">
        <f>IF(OR(E1946="",E1946="!!!",F1946="NEW"),"",INDEX(J$1:J1945,SUMPRODUCT(MAX(ROW(E$1:E1945)*(E1946=E$1:E1945)))))</f>
        <v/>
      </c>
      <c r="L1946" s="25"/>
    </row>
    <row r="1948" spans="1:12" x14ac:dyDescent="0.2">
      <c r="A1948" t="s">
        <v>900</v>
      </c>
      <c r="E1948" s="20" t="str">
        <f>IF(D1948="?OLD","!!!","")</f>
        <v/>
      </c>
      <c r="F1948" s="21" t="str">
        <f>IF(OR(E1948="",E1948="!!!"),"",IF(NOT(ISNA(VLOOKUP(E1948,E$1:E1947,1,FALSE()))),"OLD",IF(AND(E1948&lt;&gt;"",E1948&lt;&gt;"!!!"),"NEW","")))</f>
        <v/>
      </c>
      <c r="G1948" s="22" t="str">
        <f>IF(OR(E1948="",E1948="!!!"),"",IF(OR(J1948=0,AND(J1948=1,K1948=1),AND(J1948=1,I1948="SBJ"),AND(J1948=1,I1948=0)),"?IN_FOCUS",IF(J1948&lt;=2,"?ACTIVATED",IF(J1948&lt;&gt;"","?FAMILIAR",IF(F1948="NEW",IF(ISNA(VLOOKUP(E1948,#REF!,1,FALSE())),"?TYPE_IDENTIFIABLE","?REFERENTIAL"),"_")))))</f>
        <v/>
      </c>
      <c r="H1948" s="23" t="str">
        <f ca="1">IF(J1948&lt;&gt;1,"",IF(I1948="SBJ","CB","?"))</f>
        <v/>
      </c>
      <c r="I1948" s="24" t="str">
        <f>IF(OR(E1948="",E1948="!!!",F1948="NEW"),"",INDEX(B$2:B1947,-1+SUMPRODUCT(MAX(ROW(E$2:E1947)*(E1948=E$2:E1947)))))</f>
        <v/>
      </c>
      <c r="J1948" s="24" t="str">
        <f ca="1">IF(OR(E1948="",E1948="!!!",F1948="NEW"),"",COUNTBLANK(OFFSET(A$1,,,SUMPRODUCT(MAX(ROW(E$2:E1948)*(E1948=E$2:E1948)))))-COUNTBLANK(OFFSET(A$1,,,SUMPRODUCT(MAX(ROW(E$1:E1947)*(E2=E$1:E1947))))))</f>
        <v/>
      </c>
      <c r="K1948" s="24" t="str">
        <f>IF(OR(E1948="",E1948="!!!",F1948="NEW"),"",INDEX(J$1:J1947,SUMPRODUCT(MAX(ROW(E$1:E1947)*(E1948=E$1:E1947)))))</f>
        <v/>
      </c>
      <c r="L1948" s="25"/>
    </row>
    <row r="1949" spans="1:12" x14ac:dyDescent="0.2">
      <c r="A1949" t="s">
        <v>1435</v>
      </c>
    </row>
    <row r="1950" spans="1:12" x14ac:dyDescent="0.2">
      <c r="A1950" t="s">
        <v>1216</v>
      </c>
      <c r="B1950" s="26" t="s">
        <v>804</v>
      </c>
      <c r="C1950" s="26" t="s">
        <v>805</v>
      </c>
      <c r="D1950" s="26" t="s">
        <v>806</v>
      </c>
      <c r="E1950" s="20" t="s">
        <v>1797</v>
      </c>
      <c r="F1950" s="21" t="str">
        <f>IF(OR(E1950="",E1950="!!!"),"",IF(NOT(ISNA(VLOOKUP(E1950,E$1:E1949,1,FALSE()))),"OLD",IF(AND(E1950&lt;&gt;"",E1950&lt;&gt;"!!!"),"NEW","")))</f>
        <v>OLD</v>
      </c>
      <c r="G1950" s="22" t="s">
        <v>1823</v>
      </c>
      <c r="H1950" s="23" t="str">
        <f ca="1">IF(J1950&lt;&gt;1,"",IF(I1950="SBJ","CB","?"))</f>
        <v/>
      </c>
      <c r="I1950" s="24" t="str">
        <f>IF(OR(E1950="",E1950="!!!",F1950="NEW"),"",INDEX(B$2:B1949,-1+SUMPRODUCT(MAX(ROW(E$2:E1949)*(E1950=E$2:E1949)))))</f>
        <v>other_3</v>
      </c>
      <c r="J1950" s="24">
        <f ca="1">IF(OR(E1950="",E1950="!!!",F1950="NEW"),"",COUNTBLANK(OFFSET(A$1,,,SUMPRODUCT(MAX(ROW(E$2:E1950)*(E1950=E$2:E1950)))))-COUNTBLANK(OFFSET(A$1,,,SUMPRODUCT(MAX(ROW(E$1:E1949)*(E2=E$1:E1949))))))</f>
        <v>0</v>
      </c>
      <c r="K1950" s="24" t="str">
        <f ca="1">IF(OR(E1950="",E1950="!!!",F1950="NEW"),"",INDEX(J$1:J1949,SUMPRODUCT(MAX(ROW(E$1:E1949)*(E1950=E$1:E1949)))))</f>
        <v/>
      </c>
      <c r="L1950" s="25"/>
    </row>
    <row r="1951" spans="1:12" x14ac:dyDescent="0.2">
      <c r="A1951" t="s">
        <v>977</v>
      </c>
      <c r="E1951" s="20" t="str">
        <f>IF(D1951="?OLD","!!!","")</f>
        <v/>
      </c>
      <c r="F1951" s="21" t="str">
        <f>IF(OR(E1951="",E1951="!!!"),"",IF(NOT(ISNA(VLOOKUP(E1951,E$1:E1950,1,FALSE()))),"OLD",IF(AND(E1951&lt;&gt;"",E1951&lt;&gt;"!!!"),"NEW","")))</f>
        <v/>
      </c>
      <c r="G1951" s="22" t="str">
        <f>IF(OR(E1951="",E1951="!!!"),"",IF(OR(J1951=0,AND(J1951=1,K1951=1),AND(J1951=1,I1951="SBJ"),AND(J1951=1,I1951=0)),"?IN_FOCUS",IF(J1951&lt;=2,"?ACTIVATED",IF(J1951&lt;&gt;"","?FAMILIAR",IF(F1951="NEW",IF(ISNA(VLOOKUP(E1951,#REF!,1,FALSE())),"?TYPE_IDENTIFIABLE","?REFERENTIAL"),"_")))))</f>
        <v/>
      </c>
      <c r="H1951" s="23" t="str">
        <f ca="1">IF(J1951&lt;&gt;1,"",IF(I1951="SBJ","CB","?"))</f>
        <v/>
      </c>
      <c r="I1951" s="24" t="str">
        <f>IF(OR(E1951="",E1951="!!!",F1951="NEW"),"",INDEX(B$2:B1950,-1+SUMPRODUCT(MAX(ROW(E$2:E1950)*(E1951=E$2:E1950)))))</f>
        <v/>
      </c>
      <c r="J1951" s="24" t="str">
        <f ca="1">IF(OR(E1951="",E1951="!!!",F1951="NEW"),"",COUNTBLANK(OFFSET(A$1,,,SUMPRODUCT(MAX(ROW(E$2:E1951)*(E1951=E$2:E1951)))))-COUNTBLANK(OFFSET(A$1,,,SUMPRODUCT(MAX(ROW(E$1:E1950)*(E2=E$1:E1950))))))</f>
        <v/>
      </c>
      <c r="K1951" s="24" t="str">
        <f>IF(OR(E1951="",E1951="!!!",F1951="NEW"),"",INDEX(J$1:J1950,SUMPRODUCT(MAX(ROW(E$1:E1950)*(E1951=E$1:E1950)))))</f>
        <v/>
      </c>
      <c r="L1951" s="25"/>
    </row>
    <row r="1952" spans="1:12" x14ac:dyDescent="0.2">
      <c r="A1952" t="s">
        <v>1436</v>
      </c>
      <c r="E1952" s="20" t="str">
        <f>IF(D1952="?OLD","!!!","")</f>
        <v/>
      </c>
      <c r="F1952" s="21" t="str">
        <f>IF(OR(E1952="",E1952="!!!"),"",IF(NOT(ISNA(VLOOKUP(E1952,E$1:E1951,1,FALSE()))),"OLD",IF(AND(E1952&lt;&gt;"",E1952&lt;&gt;"!!!"),"NEW","")))</f>
        <v/>
      </c>
      <c r="G1952" s="22" t="str">
        <f>IF(OR(E1952="",E1952="!!!"),"",IF(OR(J1952=0,AND(J1952=1,K1952=1),AND(J1952=1,I1952="SBJ"),AND(J1952=1,I1952=0)),"?IN_FOCUS",IF(J1952&lt;=2,"?ACTIVATED",IF(J1952&lt;&gt;"","?FAMILIAR",IF(F1952="NEW",IF(ISNA(VLOOKUP(E1952,#REF!,1,FALSE())),"?TYPE_IDENTIFIABLE","?REFERENTIAL"),"_")))))</f>
        <v/>
      </c>
      <c r="H1952" s="23" t="str">
        <f ca="1">IF(J1952&lt;&gt;1,"",IF(I1952="SBJ","CB","?"))</f>
        <v/>
      </c>
      <c r="I1952" s="24" t="str">
        <f>IF(OR(E1952="",E1952="!!!",F1952="NEW"),"",INDEX(B$2:B1951,-1+SUMPRODUCT(MAX(ROW(E$2:E1951)*(E1952=E$2:E1951)))))</f>
        <v/>
      </c>
      <c r="J1952" s="24" t="str">
        <f ca="1">IF(OR(E1952="",E1952="!!!",F1952="NEW"),"",COUNTBLANK(OFFSET(A$1,,,SUMPRODUCT(MAX(ROW(E$2:E1952)*(E1952=E$2:E1952)))))-COUNTBLANK(OFFSET(A$1,,,SUMPRODUCT(MAX(ROW(E$1:E1951)*(E2=E$1:E1951))))))</f>
        <v/>
      </c>
      <c r="K1952" s="24" t="str">
        <f>IF(OR(E1952="",E1952="!!!",F1952="NEW"),"",INDEX(J$1:J1951,SUMPRODUCT(MAX(ROW(E$1:E1951)*(E1952=E$1:E1951)))))</f>
        <v/>
      </c>
      <c r="L1952" s="25"/>
    </row>
    <row r="1953" spans="1:12" x14ac:dyDescent="0.2">
      <c r="A1953" t="s">
        <v>821</v>
      </c>
      <c r="E1953" s="20" t="str">
        <f>IF(D1953="?OLD","!!!","")</f>
        <v/>
      </c>
      <c r="F1953" s="21" t="str">
        <f>IF(OR(E1953="",E1953="!!!"),"",IF(NOT(ISNA(VLOOKUP(E1953,E$1:E1952,1,FALSE()))),"OLD",IF(AND(E1953&lt;&gt;"",E1953&lt;&gt;"!!!"),"NEW","")))</f>
        <v/>
      </c>
      <c r="G1953" s="22" t="str">
        <f>IF(OR(E1953="",E1953="!!!"),"",IF(OR(J1953=0,AND(J1953=1,K1953=1),AND(J1953=1,I1953="SBJ"),AND(J1953=1,I1953=0)),"?IN_FOCUS",IF(J1953&lt;=2,"?ACTIVATED",IF(J1953&lt;&gt;"","?FAMILIAR",IF(F1953="NEW",IF(ISNA(VLOOKUP(E1953,#REF!,1,FALSE())),"?TYPE_IDENTIFIABLE","?REFERENTIAL"),"_")))))</f>
        <v/>
      </c>
      <c r="H1953" s="23" t="str">
        <f ca="1">IF(J1953&lt;&gt;1,"",IF(I1953="SBJ","CB","?"))</f>
        <v/>
      </c>
      <c r="I1953" s="24" t="str">
        <f>IF(OR(E1953="",E1953="!!!",F1953="NEW"),"",INDEX(B$2:B1952,-1+SUMPRODUCT(MAX(ROW(E$2:E1952)*(E1953=E$2:E1952)))))</f>
        <v/>
      </c>
      <c r="J1953" s="24" t="str">
        <f ca="1">IF(OR(E1953="",E1953="!!!",F1953="NEW"),"",COUNTBLANK(OFFSET(A$1,,,SUMPRODUCT(MAX(ROW(E$2:E1953)*(E1953=E$2:E1953)))))-COUNTBLANK(OFFSET(A$1,,,SUMPRODUCT(MAX(ROW(E$1:E1952)*(E2=E$1:E1952))))))</f>
        <v/>
      </c>
      <c r="K1953" s="24" t="str">
        <f>IF(OR(E1953="",E1953="!!!",F1953="NEW"),"",INDEX(J$1:J1952,SUMPRODUCT(MAX(ROW(E$1:E1952)*(E1953=E$1:E1952)))))</f>
        <v/>
      </c>
      <c r="L1953" s="25"/>
    </row>
    <row r="1954" spans="1:12" x14ac:dyDescent="0.2">
      <c r="A1954" t="s">
        <v>902</v>
      </c>
      <c r="E1954" s="20" t="str">
        <f>IF(D1954="?OLD","!!!","")</f>
        <v/>
      </c>
      <c r="F1954" s="21" t="str">
        <f>IF(OR(E1954="",E1954="!!!"),"",IF(NOT(ISNA(VLOOKUP(E1954,E$1:E1953,1,FALSE()))),"OLD",IF(AND(E1954&lt;&gt;"",E1954&lt;&gt;"!!!"),"NEW","")))</f>
        <v/>
      </c>
      <c r="G1954" s="22" t="str">
        <f>IF(OR(E1954="",E1954="!!!"),"",IF(OR(J1954=0,AND(J1954=1,K1954=1),AND(J1954=1,I1954="SBJ"),AND(J1954=1,I1954=0)),"?IN_FOCUS",IF(J1954&lt;=2,"?ACTIVATED",IF(J1954&lt;&gt;"","?FAMILIAR",IF(F1954="NEW",IF(ISNA(VLOOKUP(E1954,#REF!,1,FALSE())),"?TYPE_IDENTIFIABLE","?REFERENTIAL"),"_")))))</f>
        <v/>
      </c>
      <c r="H1954" s="23" t="str">
        <f ca="1">IF(J1954&lt;&gt;1,"",IF(I1954="SBJ","CB","?"))</f>
        <v/>
      </c>
      <c r="I1954" s="24" t="str">
        <f>IF(OR(E1954="",E1954="!!!",F1954="NEW"),"",INDEX(B$2:B1953,-1+SUMPRODUCT(MAX(ROW(E$2:E1953)*(E1954=E$2:E1953)))))</f>
        <v/>
      </c>
      <c r="J1954" s="24" t="str">
        <f ca="1">IF(OR(E1954="",E1954="!!!",F1954="NEW"),"",COUNTBLANK(OFFSET(A$1,,,SUMPRODUCT(MAX(ROW(E$2:E1954)*(E1954=E$2:E1954)))))-COUNTBLANK(OFFSET(A$1,,,SUMPRODUCT(MAX(ROW(E$1:E1953)*(E2=E$1:E1953))))))</f>
        <v/>
      </c>
      <c r="K1954" s="24" t="str">
        <f>IF(OR(E1954="",E1954="!!!",F1954="NEW"),"",INDEX(J$1:J1953,SUMPRODUCT(MAX(ROW(E$1:E1953)*(E1954=E$1:E1953)))))</f>
        <v/>
      </c>
      <c r="L1954" s="25"/>
    </row>
    <row r="1956" spans="1:12" x14ac:dyDescent="0.2">
      <c r="A1956" t="s">
        <v>1437</v>
      </c>
    </row>
    <row r="1957" spans="1:12" x14ac:dyDescent="0.2">
      <c r="A1957" t="s">
        <v>494</v>
      </c>
      <c r="B1957" s="26" t="s">
        <v>819</v>
      </c>
      <c r="C1957" s="26" t="s">
        <v>854</v>
      </c>
      <c r="D1957" s="26" t="s">
        <v>806</v>
      </c>
      <c r="E1957" s="20"/>
      <c r="F1957" s="21" t="str">
        <f>IF(OR(E1957="",E1957="!!!"),"",IF(NOT(ISNA(VLOOKUP(E1957,E$1:E1956,1,FALSE()))),"OLD",IF(AND(E1957&lt;&gt;"",E1957&lt;&gt;"!!!"),"NEW","")))</f>
        <v/>
      </c>
      <c r="G1957" s="22" t="str">
        <f>IF(OR(E1957="",E1957="!!!"),"",IF(OR(J1957=0,AND(J1957=1,K1957=1),AND(J1957=1,I1957="SBJ"),AND(J1957=1,I1957=0)),"?IN_FOCUS",IF(J1957&lt;=2,"?ACTIVATED",IF(J1957&lt;&gt;"","?FAMILIAR",IF(F1957="NEW",IF(ISNA(VLOOKUP(E1957,#REF!,1,FALSE())),"?TYPE_IDENTIFIABLE","?REFERENTIAL"),"_")))))</f>
        <v/>
      </c>
      <c r="H1957" s="23" t="str">
        <f ca="1">IF(J1957&lt;&gt;1,"",IF(I1957="SBJ","CB","?"))</f>
        <v/>
      </c>
      <c r="I1957" s="24" t="str">
        <f>IF(OR(E1957="",E1957="!!!",F1957="NEW"),"",INDEX(B$2:B1956,-1+SUMPRODUCT(MAX(ROW(E$2:E1956)*(E1957=E$2:E1956)))))</f>
        <v/>
      </c>
      <c r="J1957" s="24" t="str">
        <f ca="1">IF(OR(E1957="",E1957="!!!",F1957="NEW"),"",COUNTBLANK(OFFSET(A$1,,,SUMPRODUCT(MAX(ROW(E$2:E1957)*(E1957=E$2:E1957)))))-COUNTBLANK(OFFSET(A$1,,,SUMPRODUCT(MAX(ROW(E$1:E1956)*(E2=E$1:E1956))))))</f>
        <v/>
      </c>
      <c r="K1957" s="24" t="str">
        <f>IF(OR(E1957="",E1957="!!!",F1957="NEW"),"",INDEX(J$1:J1956,SUMPRODUCT(MAX(ROW(E$1:E1956)*(E1957=E$1:E1956)))))</f>
        <v/>
      </c>
      <c r="L1957" s="25"/>
    </row>
    <row r="1958" spans="1:12" x14ac:dyDescent="0.2">
      <c r="A1958" t="s">
        <v>922</v>
      </c>
      <c r="E1958" s="20" t="str">
        <f>IF(D1958="?OLD","!!!","")</f>
        <v/>
      </c>
      <c r="F1958" s="21" t="str">
        <f>IF(OR(E1958="",E1958="!!!"),"",IF(NOT(ISNA(VLOOKUP(E1958,E$1:E1957,1,FALSE()))),"OLD",IF(AND(E1958&lt;&gt;"",E1958&lt;&gt;"!!!"),"NEW","")))</f>
        <v/>
      </c>
      <c r="G1958" s="22" t="str">
        <f>IF(OR(E1958="",E1958="!!!"),"",IF(OR(J1958=0,AND(J1958=1,K1958=1),AND(J1958=1,I1958="SBJ"),AND(J1958=1,I1958=0)),"?IN_FOCUS",IF(J1958&lt;=2,"?ACTIVATED",IF(J1958&lt;&gt;"","?FAMILIAR",IF(F1958="NEW",IF(ISNA(VLOOKUP(E1958,#REF!,1,FALSE())),"?TYPE_IDENTIFIABLE","?REFERENTIAL"),"_")))))</f>
        <v/>
      </c>
      <c r="H1958" s="23" t="str">
        <f ca="1">IF(J1958&lt;&gt;1,"",IF(I1958="SBJ","CB","?"))</f>
        <v/>
      </c>
      <c r="I1958" s="24" t="str">
        <f>IF(OR(E1958="",E1958="!!!",F1958="NEW"),"",INDEX(B$2:B1957,-1+SUMPRODUCT(MAX(ROW(E$2:E1957)*(E1958=E$2:E1957)))))</f>
        <v/>
      </c>
      <c r="J1958" s="24" t="str">
        <f ca="1">IF(OR(E1958="",E1958="!!!",F1958="NEW"),"",COUNTBLANK(OFFSET(A$1,,,SUMPRODUCT(MAX(ROW(E$2:E1958)*(E1958=E$2:E1958)))))-COUNTBLANK(OFFSET(A$1,,,SUMPRODUCT(MAX(ROW(E$1:E1957)*(E2=E$1:E1957))))))</f>
        <v/>
      </c>
      <c r="K1958" s="24" t="str">
        <f>IF(OR(E1958="",E1958="!!!",F1958="NEW"),"",INDEX(J$1:J1957,SUMPRODUCT(MAX(ROW(E$1:E1957)*(E1958=E$1:E1957)))))</f>
        <v/>
      </c>
      <c r="L1958" s="25"/>
    </row>
    <row r="1960" spans="1:12" x14ac:dyDescent="0.2">
      <c r="A1960" t="s">
        <v>1438</v>
      </c>
    </row>
    <row r="1961" spans="1:12" x14ac:dyDescent="0.2">
      <c r="A1961" t="s">
        <v>803</v>
      </c>
      <c r="B1961" s="26" t="s">
        <v>804</v>
      </c>
      <c r="C1961" s="26" t="s">
        <v>805</v>
      </c>
      <c r="D1961" s="26" t="s">
        <v>806</v>
      </c>
      <c r="E1961" s="20" t="s">
        <v>1747</v>
      </c>
      <c r="F1961" s="21" t="s">
        <v>1753</v>
      </c>
      <c r="G1961" s="22" t="s">
        <v>1823</v>
      </c>
      <c r="H1961" s="23" t="str">
        <f ca="1">IF(J1961&lt;&gt;1,"",IF(I1961="SBJ","CB","?"))</f>
        <v/>
      </c>
      <c r="I1961" s="24" t="str">
        <f>IF(OR(E1961="",E1961="!!!",F1961="NEW"),"",INDEX(B$2:B1960,-1+SUMPRODUCT(MAX(ROW(E$2:E1960)*(E1961=E$2:E1960)))))</f>
        <v>SBJ_5</v>
      </c>
      <c r="J1961" s="24">
        <f ca="1">IF(OR(E1961="",E1961="!!!",F1961="NEW"),"",COUNTBLANK(OFFSET(A$1,,,SUMPRODUCT(MAX(ROW(E$2:E1961)*(E1961=E$2:E1961)))))-COUNTBLANK(OFFSET(A$1,,,SUMPRODUCT(MAX(ROW(E$1:E1960)*(E2=E$1:E1960))))))</f>
        <v>0</v>
      </c>
      <c r="K1961" s="24">
        <f ca="1">IF(OR(E1961="",E1961="!!!",F1961="NEW"),"",INDEX(J$1:J1960,SUMPRODUCT(MAX(ROW(E$1:E1960)*(E1961=E$1:E1960)))))</f>
        <v>0</v>
      </c>
      <c r="L1961" s="25"/>
    </row>
    <row r="1962" spans="1:12" x14ac:dyDescent="0.2">
      <c r="A1962" t="s">
        <v>831</v>
      </c>
      <c r="E1962" s="20" t="str">
        <f>IF(D1962="?OLD","!!!","")</f>
        <v/>
      </c>
      <c r="F1962" s="21" t="str">
        <f>IF(OR(E1962="",E1962="!!!"),"",IF(NOT(ISNA(VLOOKUP(E1962,E$1:E1961,1,FALSE()))),"OLD",IF(AND(E1962&lt;&gt;"",E1962&lt;&gt;"!!!"),"NEW","")))</f>
        <v/>
      </c>
      <c r="G1962" s="22" t="str">
        <f>IF(OR(E1962="",E1962="!!!"),"",IF(OR(J1962=0,AND(J1962=1,K1962=1),AND(J1962=1,I1962="SBJ"),AND(J1962=1,I1962=0)),"?IN_FOCUS",IF(J1962&lt;=2,"?ACTIVATED",IF(J1962&lt;&gt;"","?FAMILIAR",IF(F1962="NEW",IF(ISNA(VLOOKUP(E1962,#REF!,1,FALSE())),"?TYPE_IDENTIFIABLE","?REFERENTIAL"),"_")))))</f>
        <v/>
      </c>
      <c r="H1962" s="23" t="str">
        <f ca="1">IF(J1962&lt;&gt;1,"",IF(I1962="SBJ","CB","?"))</f>
        <v/>
      </c>
      <c r="I1962" s="24" t="str">
        <f>IF(OR(E1962="",E1962="!!!",F1962="NEW"),"",INDEX(B$2:B1961,-1+SUMPRODUCT(MAX(ROW(E$2:E1961)*(E1962=E$2:E1961)))))</f>
        <v/>
      </c>
      <c r="J1962" s="24" t="str">
        <f ca="1">IF(OR(E1962="",E1962="!!!",F1962="NEW"),"",COUNTBLANK(OFFSET(A$1,,,SUMPRODUCT(MAX(ROW(E$2:E1962)*(E1962=E$2:E1962)))))-COUNTBLANK(OFFSET(A$1,,,SUMPRODUCT(MAX(ROW(E$1:E1961)*(E2=E$1:E1961))))))</f>
        <v/>
      </c>
      <c r="K1962" s="24" t="str">
        <f>IF(OR(E1962="",E1962="!!!",F1962="NEW"),"",INDEX(J$1:J1961,SUMPRODUCT(MAX(ROW(E$1:E1961)*(E1962=E$1:E1961)))))</f>
        <v/>
      </c>
      <c r="L1962" s="25"/>
    </row>
    <row r="1963" spans="1:12" x14ac:dyDescent="0.2">
      <c r="A1963" t="s">
        <v>1396</v>
      </c>
      <c r="E1963" s="20" t="str">
        <f>IF(D1963="?OLD","!!!","")</f>
        <v/>
      </c>
      <c r="F1963" s="21" t="str">
        <f>IF(OR(E1963="",E1963="!!!"),"",IF(NOT(ISNA(VLOOKUP(E1963,E$1:E1962,1,FALSE()))),"OLD",IF(AND(E1963&lt;&gt;"",E1963&lt;&gt;"!!!"),"NEW","")))</f>
        <v/>
      </c>
      <c r="G1963" s="22" t="str">
        <f>IF(OR(E1963="",E1963="!!!"),"",IF(OR(J1963=0,AND(J1963=1,K1963=1),AND(J1963=1,I1963="SBJ"),AND(J1963=1,I1963=0)),"?IN_FOCUS",IF(J1963&lt;=2,"?ACTIVATED",IF(J1963&lt;&gt;"","?FAMILIAR",IF(F1963="NEW",IF(ISNA(VLOOKUP(E1963,#REF!,1,FALSE())),"?TYPE_IDENTIFIABLE","?REFERENTIAL"),"_")))))</f>
        <v/>
      </c>
      <c r="H1963" s="23" t="str">
        <f ca="1">IF(J1963&lt;&gt;1,"",IF(I1963="SBJ","CB","?"))</f>
        <v/>
      </c>
      <c r="I1963" s="24" t="str">
        <f>IF(OR(E1963="",E1963="!!!",F1963="NEW"),"",INDEX(B$2:B1962,-1+SUMPRODUCT(MAX(ROW(E$2:E1962)*(E1963=E$2:E1962)))))</f>
        <v/>
      </c>
      <c r="J1963" s="24" t="str">
        <f ca="1">IF(OR(E1963="",E1963="!!!",F1963="NEW"),"",COUNTBLANK(OFFSET(A$1,,,SUMPRODUCT(MAX(ROW(E$2:E1963)*(E1963=E$2:E1963)))))-COUNTBLANK(OFFSET(A$1,,,SUMPRODUCT(MAX(ROW(E$1:E1962)*(E2=E$1:E1962))))))</f>
        <v/>
      </c>
      <c r="K1963" s="24" t="str">
        <f>IF(OR(E1963="",E1963="!!!",F1963="NEW"),"",INDEX(J$1:J1962,SUMPRODUCT(MAX(ROW(E$1:E1962)*(E1963=E$1:E1962)))))</f>
        <v/>
      </c>
      <c r="L1963" s="25"/>
    </row>
    <row r="1964" spans="1:12" x14ac:dyDescent="0.2">
      <c r="A1964" t="s">
        <v>1439</v>
      </c>
      <c r="E1964" s="20" t="str">
        <f>IF(D1964="?OLD","!!!","")</f>
        <v/>
      </c>
      <c r="F1964" s="21" t="str">
        <f>IF(OR(E1964="",E1964="!!!"),"",IF(NOT(ISNA(VLOOKUP(E1964,E$1:E1963,1,FALSE()))),"OLD",IF(AND(E1964&lt;&gt;"",E1964&lt;&gt;"!!!"),"NEW","")))</f>
        <v/>
      </c>
      <c r="G1964" s="22" t="str">
        <f>IF(OR(E1964="",E1964="!!!"),"",IF(OR(J1964=0,AND(J1964=1,K1964=1),AND(J1964=1,I1964="SBJ"),AND(J1964=1,I1964=0)),"?IN_FOCUS",IF(J1964&lt;=2,"?ACTIVATED",IF(J1964&lt;&gt;"","?FAMILIAR",IF(F1964="NEW",IF(ISNA(VLOOKUP(E1964,#REF!,1,FALSE())),"?TYPE_IDENTIFIABLE","?REFERENTIAL"),"_")))))</f>
        <v/>
      </c>
      <c r="H1964" s="23" t="str">
        <f ca="1">IF(J1964&lt;&gt;1,"",IF(I1964="SBJ","CB","?"))</f>
        <v/>
      </c>
      <c r="I1964" s="24" t="str">
        <f>IF(OR(E1964="",E1964="!!!",F1964="NEW"),"",INDEX(B$2:B1963,-1+SUMPRODUCT(MAX(ROW(E$2:E1963)*(E1964=E$2:E1963)))))</f>
        <v/>
      </c>
      <c r="J1964" s="24" t="str">
        <f ca="1">IF(OR(E1964="",E1964="!!!",F1964="NEW"),"",COUNTBLANK(OFFSET(A$1,,,SUMPRODUCT(MAX(ROW(E$2:E1964)*(E1964=E$2:E1964)))))-COUNTBLANK(OFFSET(A$1,,,SUMPRODUCT(MAX(ROW(E$1:E1963)*(E2=E$1:E1963))))))</f>
        <v/>
      </c>
      <c r="K1964" s="24" t="str">
        <f>IF(OR(E1964="",E1964="!!!",F1964="NEW"),"",INDEX(J$1:J1963,SUMPRODUCT(MAX(ROW(E$1:E1963)*(E1964=E$1:E1963)))))</f>
        <v/>
      </c>
      <c r="L1964" s="25"/>
    </row>
    <row r="1965" spans="1:12" x14ac:dyDescent="0.2">
      <c r="A1965" t="s">
        <v>821</v>
      </c>
      <c r="E1965" s="20" t="str">
        <f>IF(D1965="?OLD","!!!","")</f>
        <v/>
      </c>
      <c r="F1965" s="21" t="str">
        <f>IF(OR(E1965="",E1965="!!!"),"",IF(NOT(ISNA(VLOOKUP(E1965,E$1:E1964,1,FALSE()))),"OLD",IF(AND(E1965&lt;&gt;"",E1965&lt;&gt;"!!!"),"NEW","")))</f>
        <v/>
      </c>
      <c r="G1965" s="22" t="str">
        <f>IF(OR(E1965="",E1965="!!!"),"",IF(OR(J1965=0,AND(J1965=1,K1965=1),AND(J1965=1,I1965="SBJ"),AND(J1965=1,I1965=0)),"?IN_FOCUS",IF(J1965&lt;=2,"?ACTIVATED",IF(J1965&lt;&gt;"","?FAMILIAR",IF(F1965="NEW",IF(ISNA(VLOOKUP(E1965,#REF!,1,FALSE())),"?TYPE_IDENTIFIABLE","?REFERENTIAL"),"_")))))</f>
        <v/>
      </c>
      <c r="H1965" s="23" t="str">
        <f ca="1">IF(J1965&lt;&gt;1,"",IF(I1965="SBJ","CB","?"))</f>
        <v/>
      </c>
      <c r="I1965" s="24" t="str">
        <f>IF(OR(E1965="",E1965="!!!",F1965="NEW"),"",INDEX(B$2:B1964,-1+SUMPRODUCT(MAX(ROW(E$2:E1964)*(E1965=E$2:E1964)))))</f>
        <v/>
      </c>
      <c r="J1965" s="24" t="str">
        <f ca="1">IF(OR(E1965="",E1965="!!!",F1965="NEW"),"",COUNTBLANK(OFFSET(A$1,,,SUMPRODUCT(MAX(ROW(E$2:E1965)*(E1965=E$2:E1965)))))-COUNTBLANK(OFFSET(A$1,,,SUMPRODUCT(MAX(ROW(E$1:E1964)*(E2=E$1:E1964))))))</f>
        <v/>
      </c>
      <c r="K1965" s="24" t="str">
        <f>IF(OR(E1965="",E1965="!!!",F1965="NEW"),"",INDEX(J$1:J1964,SUMPRODUCT(MAX(ROW(E$1:E1964)*(E1965=E$1:E1964)))))</f>
        <v/>
      </c>
      <c r="L1965" s="25"/>
    </row>
    <row r="1967" spans="1:12" x14ac:dyDescent="0.2">
      <c r="A1967" t="s">
        <v>900</v>
      </c>
      <c r="E1967" s="20" t="str">
        <f>IF(D1967="?OLD","!!!","")</f>
        <v/>
      </c>
      <c r="F1967" s="21" t="str">
        <f>IF(OR(E1967="",E1967="!!!"),"",IF(NOT(ISNA(VLOOKUP(E1967,E$1:E1966,1,FALSE()))),"OLD",IF(AND(E1967&lt;&gt;"",E1967&lt;&gt;"!!!"),"NEW","")))</f>
        <v/>
      </c>
      <c r="G1967" s="22" t="str">
        <f>IF(OR(E1967="",E1967="!!!"),"",IF(OR(J1967=0,AND(J1967=1,K1967=1),AND(J1967=1,I1967="SBJ"),AND(J1967=1,I1967=0)),"?IN_FOCUS",IF(J1967&lt;=2,"?ACTIVATED",IF(J1967&lt;&gt;"","?FAMILIAR",IF(F1967="NEW",IF(ISNA(VLOOKUP(E1967,#REF!,1,FALSE())),"?TYPE_IDENTIFIABLE","?REFERENTIAL"),"_")))))</f>
        <v/>
      </c>
      <c r="H1967" s="23" t="str">
        <f ca="1">IF(J1967&lt;&gt;1,"",IF(I1967="SBJ","CB","?"))</f>
        <v/>
      </c>
      <c r="I1967" s="24" t="str">
        <f>IF(OR(E1967="",E1967="!!!",F1967="NEW"),"",INDEX(B$2:B1966,-1+SUMPRODUCT(MAX(ROW(E$2:E1966)*(E1967=E$2:E1966)))))</f>
        <v/>
      </c>
      <c r="J1967" s="24" t="str">
        <f ca="1">IF(OR(E1967="",E1967="!!!",F1967="NEW"),"",COUNTBLANK(OFFSET(A$1,,,SUMPRODUCT(MAX(ROW(E$2:E1967)*(E1967=E$2:E1967)))))-COUNTBLANK(OFFSET(A$1,,,SUMPRODUCT(MAX(ROW(E$1:E1966)*(E2=E$1:E1966))))))</f>
        <v/>
      </c>
      <c r="K1967" s="24" t="str">
        <f>IF(OR(E1967="",E1967="!!!",F1967="NEW"),"",INDEX(J$1:J1966,SUMPRODUCT(MAX(ROW(E$1:E1966)*(E1967=E$1:E1966)))))</f>
        <v/>
      </c>
      <c r="L1967" s="25"/>
    </row>
    <row r="1968" spans="1:12" x14ac:dyDescent="0.2">
      <c r="A1968" t="s">
        <v>1440</v>
      </c>
    </row>
    <row r="1969" spans="1:12" x14ac:dyDescent="0.2">
      <c r="A1969" t="s">
        <v>803</v>
      </c>
      <c r="B1969" s="26" t="s">
        <v>804</v>
      </c>
      <c r="C1969" s="26" t="s">
        <v>805</v>
      </c>
      <c r="D1969" s="26" t="s">
        <v>806</v>
      </c>
      <c r="E1969" s="20" t="s">
        <v>1747</v>
      </c>
      <c r="F1969" s="21" t="s">
        <v>1753</v>
      </c>
      <c r="G1969" s="22" t="s">
        <v>1823</v>
      </c>
      <c r="H1969" s="23" t="str">
        <f t="shared" ref="H1969:H1983" ca="1" si="218">IF(J1969&lt;&gt;1,"",IF(I1969="SBJ","CB","?"))</f>
        <v/>
      </c>
      <c r="I1969" s="24" t="str">
        <f>IF(OR(E1969="",E1969="!!!",F1969="NEW"),"",INDEX(B$2:B1968,-1+SUMPRODUCT(MAX(ROW(E$2:E1968)*(E1969=E$2:E1968)))))</f>
        <v>SBJ</v>
      </c>
      <c r="J1969" s="24">
        <f ca="1">IF(OR(E1969="",E1969="!!!",F1969="NEW"),"",COUNTBLANK(OFFSET(A$1,,,SUMPRODUCT(MAX(ROW(E$2:E1969)*(E1969=E$2:E1969)))))-COUNTBLANK(OFFSET(A$1,,,SUMPRODUCT(MAX(ROW(E$1:E1968)*(E2=E$1:E1968))))))</f>
        <v>0</v>
      </c>
      <c r="K1969" s="24">
        <f ca="1">IF(OR(E1969="",E1969="!!!",F1969="NEW"),"",INDEX(J$1:J1968,SUMPRODUCT(MAX(ROW(E$1:E1968)*(E1969=E$1:E1968)))))</f>
        <v>0</v>
      </c>
      <c r="L1969" s="25"/>
    </row>
    <row r="1970" spans="1:12" x14ac:dyDescent="0.2">
      <c r="A1970" t="s">
        <v>904</v>
      </c>
      <c r="E1970" s="20" t="str">
        <f t="shared" ref="E1970:E1983" si="219">IF(D1970="?OLD","!!!","")</f>
        <v/>
      </c>
      <c r="F1970" s="21" t="str">
        <f>IF(OR(E1970="",E1970="!!!"),"",IF(NOT(ISNA(VLOOKUP(E1970,E$1:E1969,1,FALSE()))),"OLD",IF(AND(E1970&lt;&gt;"",E1970&lt;&gt;"!!!"),"NEW","")))</f>
        <v/>
      </c>
      <c r="G1970" s="22" t="str">
        <f>IF(OR(E1970="",E1970="!!!"),"",IF(OR(J1970=0,AND(J1970=1,K1970=1),AND(J1970=1,I1970="SBJ"),AND(J1970=1,I1970=0)),"?IN_FOCUS",IF(J1970&lt;=2,"?ACTIVATED",IF(J1970&lt;&gt;"","?FAMILIAR",IF(F1970="NEW",IF(ISNA(VLOOKUP(E1970,#REF!,1,FALSE())),"?TYPE_IDENTIFIABLE","?REFERENTIAL"),"_")))))</f>
        <v/>
      </c>
      <c r="H1970" s="23" t="str">
        <f t="shared" ca="1" si="218"/>
        <v/>
      </c>
      <c r="I1970" s="24" t="str">
        <f>IF(OR(E1970="",E1970="!!!",F1970="NEW"),"",INDEX(B$2:B1969,-1+SUMPRODUCT(MAX(ROW(E$2:E1969)*(E1970=E$2:E1969)))))</f>
        <v/>
      </c>
      <c r="J1970" s="24" t="str">
        <f ca="1">IF(OR(E1970="",E1970="!!!",F1970="NEW"),"",COUNTBLANK(OFFSET(A$1,,,SUMPRODUCT(MAX(ROW(E$2:E1970)*(E1970=E$2:E1970)))))-COUNTBLANK(OFFSET(A$1,,,SUMPRODUCT(MAX(ROW(E$1:E1969)*(E2=E$1:E1969))))))</f>
        <v/>
      </c>
      <c r="K1970" s="24" t="str">
        <f>IF(OR(E1970="",E1970="!!!",F1970="NEW"),"",INDEX(J$1:J1969,SUMPRODUCT(MAX(ROW(E$1:E1969)*(E1970=E$1:E1969)))))</f>
        <v/>
      </c>
      <c r="L1970" s="25"/>
    </row>
    <row r="1971" spans="1:12" x14ac:dyDescent="0.2">
      <c r="A1971" t="s">
        <v>802</v>
      </c>
      <c r="E1971" s="20" t="str">
        <f t="shared" si="219"/>
        <v/>
      </c>
      <c r="F1971" s="21" t="str">
        <f>IF(OR(E1971="",E1971="!!!"),"",IF(NOT(ISNA(VLOOKUP(E1971,E$1:E1970,1,FALSE()))),"OLD",IF(AND(E1971&lt;&gt;"",E1971&lt;&gt;"!!!"),"NEW","")))</f>
        <v/>
      </c>
      <c r="G1971" s="22" t="str">
        <f>IF(OR(E1971="",E1971="!!!"),"",IF(OR(J1971=0,AND(J1971=1,K1971=1),AND(J1971=1,I1971="SBJ"),AND(J1971=1,I1971=0)),"?IN_FOCUS",IF(J1971&lt;=2,"?ACTIVATED",IF(J1971&lt;&gt;"","?FAMILIAR",IF(F1971="NEW",IF(ISNA(VLOOKUP(E1971,#REF!,1,FALSE())),"?TYPE_IDENTIFIABLE","?REFERENTIAL"),"_")))))</f>
        <v/>
      </c>
      <c r="H1971" s="23" t="str">
        <f t="shared" ca="1" si="218"/>
        <v/>
      </c>
      <c r="I1971" s="24" t="str">
        <f>IF(OR(E1971="",E1971="!!!",F1971="NEW"),"",INDEX(B$2:B1970,-1+SUMPRODUCT(MAX(ROW(E$2:E1970)*(E1971=E$2:E1970)))))</f>
        <v/>
      </c>
      <c r="J1971" s="24" t="str">
        <f ca="1">IF(OR(E1971="",E1971="!!!",F1971="NEW"),"",COUNTBLANK(OFFSET(A$1,,,SUMPRODUCT(MAX(ROW(E$2:E1971)*(E1971=E$2:E1971)))))-COUNTBLANK(OFFSET(A$1,,,SUMPRODUCT(MAX(ROW(E$1:E1970)*(E2=E$1:E1970))))))</f>
        <v/>
      </c>
      <c r="K1971" s="24" t="str">
        <f>IF(OR(E1971="",E1971="!!!",F1971="NEW"),"",INDEX(J$1:J1970,SUMPRODUCT(MAX(ROW(E$1:E1970)*(E1971=E$1:E1970)))))</f>
        <v/>
      </c>
      <c r="L1971" s="25"/>
    </row>
    <row r="1972" spans="1:12" x14ac:dyDescent="0.2">
      <c r="A1972" t="s">
        <v>902</v>
      </c>
      <c r="E1972" s="20" t="str">
        <f t="shared" si="219"/>
        <v/>
      </c>
      <c r="F1972" s="21" t="str">
        <f>IF(OR(E1972="",E1972="!!!"),"",IF(NOT(ISNA(VLOOKUP(E1972,E$1:E1971,1,FALSE()))),"OLD",IF(AND(E1972&lt;&gt;"",E1972&lt;&gt;"!!!"),"NEW","")))</f>
        <v/>
      </c>
      <c r="G1972" s="22" t="str">
        <f>IF(OR(E1972="",E1972="!!!"),"",IF(OR(J1972=0,AND(J1972=1,K1972=1),AND(J1972=1,I1972="SBJ"),AND(J1972=1,I1972=0)),"?IN_FOCUS",IF(J1972&lt;=2,"?ACTIVATED",IF(J1972&lt;&gt;"","?FAMILIAR",IF(F1972="NEW",IF(ISNA(VLOOKUP(E1972,#REF!,1,FALSE())),"?TYPE_IDENTIFIABLE","?REFERENTIAL"),"_")))))</f>
        <v/>
      </c>
      <c r="H1972" s="23" t="str">
        <f t="shared" ca="1" si="218"/>
        <v/>
      </c>
      <c r="I1972" s="24" t="str">
        <f>IF(OR(E1972="",E1972="!!!",F1972="NEW"),"",INDEX(B$2:B1971,-1+SUMPRODUCT(MAX(ROW(E$2:E1971)*(E1972=E$2:E1971)))))</f>
        <v/>
      </c>
      <c r="J1972" s="24" t="str">
        <f ca="1">IF(OR(E1972="",E1972="!!!",F1972="NEW"),"",COUNTBLANK(OFFSET(A$1,,,SUMPRODUCT(MAX(ROW(E$2:E1972)*(E1972=E$2:E1972)))))-COUNTBLANK(OFFSET(A$1,,,SUMPRODUCT(MAX(ROW(E$1:E1971)*(E2=E$1:E1971))))))</f>
        <v/>
      </c>
      <c r="K1972" s="24" t="str">
        <f>IF(OR(E1972="",E1972="!!!",F1972="NEW"),"",INDEX(J$1:J1971,SUMPRODUCT(MAX(ROW(E$1:E1971)*(E1972=E$1:E1971)))))</f>
        <v/>
      </c>
      <c r="L1972" s="25"/>
    </row>
    <row r="1973" spans="1:12" x14ac:dyDescent="0.2">
      <c r="A1973" t="s">
        <v>1191</v>
      </c>
      <c r="B1973" s="26" t="s">
        <v>804</v>
      </c>
      <c r="C1973" s="26" t="s">
        <v>854</v>
      </c>
      <c r="D1973" s="26" t="s">
        <v>806</v>
      </c>
      <c r="E1973" s="20"/>
      <c r="F1973" s="21" t="str">
        <f>IF(OR(E1973="",E1973="!!!"),"",IF(NOT(ISNA(VLOOKUP(E1973,E$1:E1972,1,FALSE()))),"OLD",IF(AND(E1973&lt;&gt;"",E1973&lt;&gt;"!!!"),"NEW","")))</f>
        <v/>
      </c>
      <c r="G1973" s="22"/>
      <c r="H1973" s="23" t="str">
        <f t="shared" ca="1" si="218"/>
        <v/>
      </c>
      <c r="I1973" s="24" t="str">
        <f>IF(OR(E1973="",E1973="!!!",F1973="NEW"),"",INDEX(B$2:B1972,-1+SUMPRODUCT(MAX(ROW(E$2:E1972)*(E1973=E$2:E1972)))))</f>
        <v/>
      </c>
      <c r="J1973" s="24" t="str">
        <f ca="1">IF(OR(E1973="",E1973="!!!",F1973="NEW"),"",COUNTBLANK(OFFSET(A$1,,,SUMPRODUCT(MAX(ROW(E$2:E1973)*(E1973=E$2:E1973)))))-COUNTBLANK(OFFSET(A$1,,,SUMPRODUCT(MAX(ROW(E$1:E1972)*(E2=E$1:E1972))))))</f>
        <v/>
      </c>
      <c r="K1973" s="24" t="str">
        <f>IF(OR(E1973="",E1973="!!!",F1973="NEW"),"",INDEX(J$1:J1972,SUMPRODUCT(MAX(ROW(E$1:E1972)*(E1973=E$1:E1972)))))</f>
        <v/>
      </c>
      <c r="L1973" s="25"/>
    </row>
    <row r="1974" spans="1:12" x14ac:dyDescent="0.2">
      <c r="A1974" t="s">
        <v>802</v>
      </c>
      <c r="E1974" s="20" t="str">
        <f t="shared" si="219"/>
        <v/>
      </c>
      <c r="F1974" s="21" t="str">
        <f>IF(OR(E1974="",E1974="!!!"),"",IF(NOT(ISNA(VLOOKUP(E1974,E$1:E1973,1,FALSE()))),"OLD",IF(AND(E1974&lt;&gt;"",E1974&lt;&gt;"!!!"),"NEW","")))</f>
        <v/>
      </c>
      <c r="G1974" s="22" t="str">
        <f>IF(OR(E1974="",E1974="!!!"),"",IF(OR(J1974=0,AND(J1974=1,K1974=1),AND(J1974=1,I1974="SBJ"),AND(J1974=1,I1974=0)),"?IN_FOCUS",IF(J1974&lt;=2,"?ACTIVATED",IF(J1974&lt;&gt;"","?FAMILIAR",IF(F1974="NEW",IF(ISNA(VLOOKUP(E1974,#REF!,1,FALSE())),"?TYPE_IDENTIFIABLE","?REFERENTIAL"),"_")))))</f>
        <v/>
      </c>
      <c r="H1974" s="23" t="str">
        <f t="shared" ca="1" si="218"/>
        <v/>
      </c>
      <c r="I1974" s="24" t="str">
        <f>IF(OR(E1974="",E1974="!!!",F1974="NEW"),"",INDEX(B$2:B1973,-1+SUMPRODUCT(MAX(ROW(E$2:E1973)*(E1974=E$2:E1973)))))</f>
        <v/>
      </c>
      <c r="J1974" s="24" t="str">
        <f ca="1">IF(OR(E1974="",E1974="!!!",F1974="NEW"),"",COUNTBLANK(OFFSET(A$1,,,SUMPRODUCT(MAX(ROW(E$2:E1974)*(E1974=E$2:E1974)))))-COUNTBLANK(OFFSET(A$1,,,SUMPRODUCT(MAX(ROW(E$1:E1973)*(E2=E$1:E1973))))))</f>
        <v/>
      </c>
      <c r="K1974" s="24" t="str">
        <f>IF(OR(E1974="",E1974="!!!",F1974="NEW"),"",INDEX(J$1:J1973,SUMPRODUCT(MAX(ROW(E$1:E1973)*(E1974=E$1:E1973)))))</f>
        <v/>
      </c>
      <c r="L1974" s="25"/>
    </row>
    <row r="1975" spans="1:12" x14ac:dyDescent="0.2">
      <c r="A1975" t="s">
        <v>1018</v>
      </c>
      <c r="E1975" s="20" t="str">
        <f t="shared" si="219"/>
        <v/>
      </c>
      <c r="F1975" s="21" t="str">
        <f>IF(OR(E1975="",E1975="!!!"),"",IF(NOT(ISNA(VLOOKUP(E1975,E$1:E1974,1,FALSE()))),"OLD",IF(AND(E1975&lt;&gt;"",E1975&lt;&gt;"!!!"),"NEW","")))</f>
        <v/>
      </c>
      <c r="G1975" s="22" t="str">
        <f>IF(OR(E1975="",E1975="!!!"),"",IF(OR(J1975=0,AND(J1975=1,K1975=1),AND(J1975=1,I1975="SBJ"),AND(J1975=1,I1975=0)),"?IN_FOCUS",IF(J1975&lt;=2,"?ACTIVATED",IF(J1975&lt;&gt;"","?FAMILIAR",IF(F1975="NEW",IF(ISNA(VLOOKUP(E1975,#REF!,1,FALSE())),"?TYPE_IDENTIFIABLE","?REFERENTIAL"),"_")))))</f>
        <v/>
      </c>
      <c r="H1975" s="23" t="str">
        <f t="shared" ca="1" si="218"/>
        <v/>
      </c>
      <c r="I1975" s="24" t="str">
        <f>IF(OR(E1975="",E1975="!!!",F1975="NEW"),"",INDEX(B$2:B1974,-1+SUMPRODUCT(MAX(ROW(E$2:E1974)*(E1975=E$2:E1974)))))</f>
        <v/>
      </c>
      <c r="J1975" s="24" t="str">
        <f ca="1">IF(OR(E1975="",E1975="!!!",F1975="NEW"),"",COUNTBLANK(OFFSET(A$1,,,SUMPRODUCT(MAX(ROW(E$2:E1975)*(E1975=E$2:E1975)))))-COUNTBLANK(OFFSET(A$1,,,SUMPRODUCT(MAX(ROW(E$1:E1974)*(E2=E$1:E1974))))))</f>
        <v/>
      </c>
      <c r="K1975" s="24" t="str">
        <f>IF(OR(E1975="",E1975="!!!",F1975="NEW"),"",INDEX(J$1:J1974,SUMPRODUCT(MAX(ROW(E$1:E1974)*(E1975=E$1:E1974)))))</f>
        <v/>
      </c>
      <c r="L1975" s="25"/>
    </row>
    <row r="1976" spans="1:12" x14ac:dyDescent="0.2">
      <c r="A1976" t="s">
        <v>999</v>
      </c>
      <c r="E1976" s="20" t="str">
        <f t="shared" si="219"/>
        <v/>
      </c>
      <c r="F1976" s="21" t="str">
        <f>IF(OR(E1976="",E1976="!!!"),"",IF(NOT(ISNA(VLOOKUP(E1976,E$1:E1975,1,FALSE()))),"OLD",IF(AND(E1976&lt;&gt;"",E1976&lt;&gt;"!!!"),"NEW","")))</f>
        <v/>
      </c>
      <c r="G1976" s="22" t="str">
        <f>IF(OR(E1976="",E1976="!!!"),"",IF(OR(J1976=0,AND(J1976=1,K1976=1),AND(J1976=1,I1976="SBJ"),AND(J1976=1,I1976=0)),"?IN_FOCUS",IF(J1976&lt;=2,"?ACTIVATED",IF(J1976&lt;&gt;"","?FAMILIAR",IF(F1976="NEW",IF(ISNA(VLOOKUP(E1976,#REF!,1,FALSE())),"?TYPE_IDENTIFIABLE","?REFERENTIAL"),"_")))))</f>
        <v/>
      </c>
      <c r="H1976" s="23" t="str">
        <f t="shared" ca="1" si="218"/>
        <v/>
      </c>
      <c r="I1976" s="24" t="str">
        <f>IF(OR(E1976="",E1976="!!!",F1976="NEW"),"",INDEX(B$2:B1975,-1+SUMPRODUCT(MAX(ROW(E$2:E1975)*(E1976=E$2:E1975)))))</f>
        <v/>
      </c>
      <c r="J1976" s="24" t="str">
        <f ca="1">IF(OR(E1976="",E1976="!!!",F1976="NEW"),"",COUNTBLANK(OFFSET(A$1,,,SUMPRODUCT(MAX(ROW(E$2:E1976)*(E1976=E$2:E1976)))))-COUNTBLANK(OFFSET(A$1,,,SUMPRODUCT(MAX(ROW(E$1:E1975)*(E2=E$1:E1975))))))</f>
        <v/>
      </c>
      <c r="K1976" s="24" t="str">
        <f>IF(OR(E1976="",E1976="!!!",F1976="NEW"),"",INDEX(J$1:J1975,SUMPRODUCT(MAX(ROW(E$1:E1975)*(E1976=E$1:E1975)))))</f>
        <v/>
      </c>
      <c r="L1976" s="25"/>
    </row>
    <row r="1977" spans="1:12" x14ac:dyDescent="0.2">
      <c r="A1977" t="s">
        <v>949</v>
      </c>
      <c r="B1977" s="26" t="s">
        <v>891</v>
      </c>
      <c r="C1977" s="26" t="s">
        <v>805</v>
      </c>
      <c r="D1977" s="26" t="s">
        <v>806</v>
      </c>
      <c r="E1977" s="20" t="s">
        <v>1797</v>
      </c>
      <c r="F1977" s="21" t="str">
        <f>IF(OR(E1977="",E1977="!!!"),"",IF(NOT(ISNA(VLOOKUP(E1977,E$1:E1976,1,FALSE()))),"OLD",IF(AND(E1977&lt;&gt;"",E1977&lt;&gt;"!!!"),"NEW","")))</f>
        <v>OLD</v>
      </c>
      <c r="G1977" s="22" t="s">
        <v>1823</v>
      </c>
      <c r="H1977" s="23" t="str">
        <f t="shared" ca="1" si="218"/>
        <v/>
      </c>
      <c r="I1977" s="24" t="str">
        <f>IF(OR(E1977="",E1977="!!!",F1977="NEW"),"",INDEX(B$2:B1976,-1+SUMPRODUCT(MAX(ROW(E$2:E1976)*(E1977=E$2:E1976)))))</f>
        <v>SBJ</v>
      </c>
      <c r="J1977" s="24">
        <f ca="1">IF(OR(E1977="",E1977="!!!",F1977="NEW"),"",COUNTBLANK(OFFSET(A$1,,,SUMPRODUCT(MAX(ROW(E$2:E1977)*(E1977=E$2:E1977)))))-COUNTBLANK(OFFSET(A$1,,,SUMPRODUCT(MAX(ROW(E$1:E1976)*(E2=E$1:E1976))))))</f>
        <v>0</v>
      </c>
      <c r="K1977" s="24">
        <f ca="1">IF(OR(E1977="",E1977="!!!",F1977="NEW"),"",INDEX(J$1:J1976,SUMPRODUCT(MAX(ROW(E$1:E1976)*(E1977=E$1:E1976)))))</f>
        <v>0</v>
      </c>
      <c r="L1977" s="25"/>
    </row>
    <row r="1978" spans="1:12" x14ac:dyDescent="0.2">
      <c r="A1978" t="s">
        <v>1436</v>
      </c>
      <c r="E1978" s="20" t="str">
        <f t="shared" si="219"/>
        <v/>
      </c>
      <c r="F1978" s="21" t="str">
        <f>IF(OR(E1978="",E1978="!!!"),"",IF(NOT(ISNA(VLOOKUP(E1978,E$1:E1977,1,FALSE()))),"OLD",IF(AND(E1978&lt;&gt;"",E1978&lt;&gt;"!!!"),"NEW","")))</f>
        <v/>
      </c>
      <c r="G1978" s="22" t="str">
        <f>IF(OR(E1978="",E1978="!!!"),"",IF(OR(J1978=0,AND(J1978=1,K1978=1),AND(J1978=1,I1978="SBJ"),AND(J1978=1,I1978=0)),"?IN_FOCUS",IF(J1978&lt;=2,"?ACTIVATED",IF(J1978&lt;&gt;"","?FAMILIAR",IF(F1978="NEW",IF(ISNA(VLOOKUP(E1978,#REF!,1,FALSE())),"?TYPE_IDENTIFIABLE","?REFERENTIAL"),"_")))))</f>
        <v/>
      </c>
      <c r="H1978" s="23" t="str">
        <f t="shared" ca="1" si="218"/>
        <v/>
      </c>
      <c r="I1978" s="24" t="str">
        <f>IF(OR(E1978="",E1978="!!!",F1978="NEW"),"",INDEX(B$2:B1977,-1+SUMPRODUCT(MAX(ROW(E$2:E1977)*(E1978=E$2:E1977)))))</f>
        <v/>
      </c>
      <c r="J1978" s="24" t="str">
        <f ca="1">IF(OR(E1978="",E1978="!!!",F1978="NEW"),"",COUNTBLANK(OFFSET(A$1,,,SUMPRODUCT(MAX(ROW(E$2:E1978)*(E1978=E$2:E1978)))))-COUNTBLANK(OFFSET(A$1,,,SUMPRODUCT(MAX(ROW(E$1:E1977)*(E2=E$1:E1977))))))</f>
        <v/>
      </c>
      <c r="K1978" s="24" t="str">
        <f>IF(OR(E1978="",E1978="!!!",F1978="NEW"),"",INDEX(J$1:J1977,SUMPRODUCT(MAX(ROW(E$1:E1977)*(E1978=E$1:E1977)))))</f>
        <v/>
      </c>
      <c r="L1978" s="25"/>
    </row>
    <row r="1979" spans="1:12" x14ac:dyDescent="0.2">
      <c r="A1979" t="s">
        <v>844</v>
      </c>
      <c r="E1979" s="20" t="str">
        <f t="shared" si="219"/>
        <v/>
      </c>
      <c r="F1979" s="21" t="str">
        <f>IF(OR(E1979="",E1979="!!!"),"",IF(NOT(ISNA(VLOOKUP(E1979,E$1:E1978,1,FALSE()))),"OLD",IF(AND(E1979&lt;&gt;"",E1979&lt;&gt;"!!!"),"NEW","")))</f>
        <v/>
      </c>
      <c r="G1979" s="22" t="str">
        <f>IF(OR(E1979="",E1979="!!!"),"",IF(OR(J1979=0,AND(J1979=1,K1979=1),AND(J1979=1,I1979="SBJ"),AND(J1979=1,I1979=0)),"?IN_FOCUS",IF(J1979&lt;=2,"?ACTIVATED",IF(J1979&lt;&gt;"","?FAMILIAR",IF(F1979="NEW",IF(ISNA(VLOOKUP(E1979,#REF!,1,FALSE())),"?TYPE_IDENTIFIABLE","?REFERENTIAL"),"_")))))</f>
        <v/>
      </c>
      <c r="H1979" s="23" t="str">
        <f t="shared" ca="1" si="218"/>
        <v/>
      </c>
      <c r="I1979" s="24" t="str">
        <f>IF(OR(E1979="",E1979="!!!",F1979="NEW"),"",INDEX(B$2:B1978,-1+SUMPRODUCT(MAX(ROW(E$2:E1978)*(E1979=E$2:E1978)))))</f>
        <v/>
      </c>
      <c r="J1979" s="24" t="str">
        <f ca="1">IF(OR(E1979="",E1979="!!!",F1979="NEW"),"",COUNTBLANK(OFFSET(A$1,,,SUMPRODUCT(MAX(ROW(E$2:E1979)*(E1979=E$2:E1979)))))-COUNTBLANK(OFFSET(A$1,,,SUMPRODUCT(MAX(ROW(E$1:E1978)*(E2=E$1:E1978))))))</f>
        <v/>
      </c>
      <c r="K1979" s="24" t="str">
        <f>IF(OR(E1979="",E1979="!!!",F1979="NEW"),"",INDEX(J$1:J1978,SUMPRODUCT(MAX(ROW(E$1:E1978)*(E1979=E$1:E1978)))))</f>
        <v/>
      </c>
      <c r="L1979" s="25"/>
    </row>
    <row r="1980" spans="1:12" x14ac:dyDescent="0.2">
      <c r="A1980" t="s">
        <v>1112</v>
      </c>
      <c r="B1980" s="26" t="s">
        <v>899</v>
      </c>
      <c r="C1980" s="26" t="s">
        <v>817</v>
      </c>
      <c r="D1980" s="26" t="s">
        <v>806</v>
      </c>
      <c r="E1980" s="20"/>
      <c r="F1980" s="21" t="s">
        <v>1793</v>
      </c>
      <c r="G1980" s="22"/>
      <c r="H1980" s="23" t="str">
        <f t="shared" ca="1" si="218"/>
        <v/>
      </c>
      <c r="I1980" s="24" t="str">
        <f>IF(OR(E1980="",E1980="!!!",F1980="NEW"),"",INDEX(B$2:B1979,-1+SUMPRODUCT(MAX(ROW(E$2:E1979)*(E1980=E$2:E1979)))))</f>
        <v/>
      </c>
      <c r="J1980" s="24" t="str">
        <f ca="1">IF(OR(E1980="",E1980="!!!",F1980="NEW"),"",COUNTBLANK(OFFSET(A$1,,,SUMPRODUCT(MAX(ROW(E$2:E1980)*(E1980=E$2:E1980)))))-COUNTBLANK(OFFSET(A$1,,,SUMPRODUCT(MAX(ROW(E$1:E1979)*(E2=E$1:E1979))))))</f>
        <v/>
      </c>
      <c r="K1980" s="24" t="str">
        <f>IF(OR(E1980="",E1980="!!!",F1980="NEW"),"",INDEX(J$1:J1979,SUMPRODUCT(MAX(ROW(E$1:E1979)*(E1980=E$1:E1979)))))</f>
        <v/>
      </c>
      <c r="L1980" s="25"/>
    </row>
    <row r="1981" spans="1:12" x14ac:dyDescent="0.2">
      <c r="A1981" t="s">
        <v>30</v>
      </c>
      <c r="B1981" s="26" t="s">
        <v>864</v>
      </c>
      <c r="C1981" s="26" t="s">
        <v>820</v>
      </c>
      <c r="D1981" s="26" t="s">
        <v>806</v>
      </c>
      <c r="E1981" s="20" t="s">
        <v>1790</v>
      </c>
      <c r="F1981" s="21" t="str">
        <f>IF(OR(E1981="",E1981="!!!"),"",IF(NOT(ISNA(VLOOKUP(E1981,E$1:E1980,1,FALSE()))),"OLD",IF(AND(E1981&lt;&gt;"",E1981&lt;&gt;"!!!"),"NEW","")))</f>
        <v>OLD</v>
      </c>
      <c r="G1981" s="22" t="s">
        <v>1822</v>
      </c>
      <c r="H1981" s="23" t="str">
        <f t="shared" ca="1" si="218"/>
        <v/>
      </c>
      <c r="I1981" s="24" t="str">
        <f>IF(OR(E1981="",E1981="!!!",F1981="NEW"),"",INDEX(B$2:B1980,-1+SUMPRODUCT(MAX(ROW(E$2:E1980)*(E1981=E$2:E1980)))))</f>
        <v>OBJ</v>
      </c>
      <c r="J1981" s="24">
        <f ca="1">IF(OR(E1981="",E1981="!!!",F1981="NEW"),"",COUNTBLANK(OFFSET(A$1,,,SUMPRODUCT(MAX(ROW(E$2:E1981)*(E1981=E$2:E1981)))))-COUNTBLANK(OFFSET(A$1,,,SUMPRODUCT(MAX(ROW(E$1:E1980)*(E2=E$1:E1980))))))</f>
        <v>0</v>
      </c>
      <c r="K1981" s="24">
        <f ca="1">IF(OR(E1981="",E1981="!!!",F1981="NEW"),"",INDEX(J$1:J1980,SUMPRODUCT(MAX(ROW(E$1:E1980)*(E1981=E$1:E1980)))))</f>
        <v>0</v>
      </c>
      <c r="L1981" s="25"/>
    </row>
    <row r="1982" spans="1:12" x14ac:dyDescent="0.2">
      <c r="A1982" t="s">
        <v>922</v>
      </c>
      <c r="E1982" s="20" t="str">
        <f t="shared" si="219"/>
        <v/>
      </c>
      <c r="F1982" s="21" t="str">
        <f>IF(OR(E1982="",E1982="!!!"),"",IF(NOT(ISNA(VLOOKUP(E1982,E$1:E1981,1,FALSE()))),"OLD",IF(AND(E1982&lt;&gt;"",E1982&lt;&gt;"!!!"),"NEW","")))</f>
        <v/>
      </c>
      <c r="G1982" s="22" t="str">
        <f>IF(OR(E1982="",E1982="!!!"),"",IF(OR(J1982=0,AND(J1982=1,K1982=1),AND(J1982=1,I1982="SBJ"),AND(J1982=1,I1982=0)),"?IN_FOCUS",IF(J1982&lt;=2,"?ACTIVATED",IF(J1982&lt;&gt;"","?FAMILIAR",IF(F1982="NEW",IF(ISNA(VLOOKUP(E1982,#REF!,1,FALSE())),"?TYPE_IDENTIFIABLE","?REFERENTIAL"),"_")))))</f>
        <v/>
      </c>
      <c r="H1982" s="23" t="str">
        <f t="shared" ca="1" si="218"/>
        <v/>
      </c>
      <c r="I1982" s="24" t="str">
        <f>IF(OR(E1982="",E1982="!!!",F1982="NEW"),"",INDEX(B$2:B1981,-1+SUMPRODUCT(MAX(ROW(E$2:E1981)*(E1982=E$2:E1981)))))</f>
        <v/>
      </c>
      <c r="J1982" s="24" t="str">
        <f ca="1">IF(OR(E1982="",E1982="!!!",F1982="NEW"),"",COUNTBLANK(OFFSET(A$1,,,SUMPRODUCT(MAX(ROW(E$2:E1982)*(E1982=E$2:E1982)))))-COUNTBLANK(OFFSET(A$1,,,SUMPRODUCT(MAX(ROW(E$1:E1981)*(E2=E$1:E1981))))))</f>
        <v/>
      </c>
      <c r="K1982" s="24" t="str">
        <f>IF(OR(E1982="",E1982="!!!",F1982="NEW"),"",INDEX(J$1:J1981,SUMPRODUCT(MAX(ROW(E$1:E1981)*(E1982=E$1:E1981)))))</f>
        <v/>
      </c>
      <c r="L1982" s="25"/>
    </row>
    <row r="1983" spans="1:12" x14ac:dyDescent="0.2">
      <c r="A1983" t="s">
        <v>902</v>
      </c>
      <c r="E1983" s="20" t="str">
        <f t="shared" si="219"/>
        <v/>
      </c>
      <c r="F1983" s="21" t="str">
        <f>IF(OR(E1983="",E1983="!!!"),"",IF(NOT(ISNA(VLOOKUP(E1983,E$1:E1982,1,FALSE()))),"OLD",IF(AND(E1983&lt;&gt;"",E1983&lt;&gt;"!!!"),"NEW","")))</f>
        <v/>
      </c>
      <c r="G1983" s="22" t="str">
        <f>IF(OR(E1983="",E1983="!!!"),"",IF(OR(J1983=0,AND(J1983=1,K1983=1),AND(J1983=1,I1983="SBJ"),AND(J1983=1,I1983=0)),"?IN_FOCUS",IF(J1983&lt;=2,"?ACTIVATED",IF(J1983&lt;&gt;"","?FAMILIAR",IF(F1983="NEW",IF(ISNA(VLOOKUP(E1983,#REF!,1,FALSE())),"?TYPE_IDENTIFIABLE","?REFERENTIAL"),"_")))))</f>
        <v/>
      </c>
      <c r="H1983" s="23" t="str">
        <f t="shared" ca="1" si="218"/>
        <v/>
      </c>
      <c r="I1983" s="24" t="str">
        <f>IF(OR(E1983="",E1983="!!!",F1983="NEW"),"",INDEX(B$2:B1982,-1+SUMPRODUCT(MAX(ROW(E$2:E1982)*(E1983=E$2:E1982)))))</f>
        <v/>
      </c>
      <c r="J1983" s="24" t="str">
        <f ca="1">IF(OR(E1983="",E1983="!!!",F1983="NEW"),"",COUNTBLANK(OFFSET(A$1,,,SUMPRODUCT(MAX(ROW(E$2:E1983)*(E1983=E$2:E1983)))))-COUNTBLANK(OFFSET(A$1,,,SUMPRODUCT(MAX(ROW(E$1:E1982)*(E2=E$1:E1982))))))</f>
        <v/>
      </c>
      <c r="K1983" s="24" t="str">
        <f>IF(OR(E1983="",E1983="!!!",F1983="NEW"),"",INDEX(J$1:J1982,SUMPRODUCT(MAX(ROW(E$1:E1982)*(E1983=E$1:E1982)))))</f>
        <v/>
      </c>
      <c r="L1983" s="25"/>
    </row>
    <row r="1985" spans="1:12" x14ac:dyDescent="0.2">
      <c r="A1985" t="s">
        <v>900</v>
      </c>
      <c r="E1985" s="20" t="str">
        <f>IF(D1985="?OLD","!!!","")</f>
        <v/>
      </c>
      <c r="F1985" s="21" t="str">
        <f>IF(OR(E1985="",E1985="!!!"),"",IF(NOT(ISNA(VLOOKUP(E1985,E$1:E1984,1,FALSE()))),"OLD",IF(AND(E1985&lt;&gt;"",E1985&lt;&gt;"!!!"),"NEW","")))</f>
        <v/>
      </c>
      <c r="G1985" s="22" t="str">
        <f>IF(OR(E1985="",E1985="!!!"),"",IF(OR(J1985=0,AND(J1985=1,K1985=1),AND(J1985=1,I1985="SBJ"),AND(J1985=1,I1985=0)),"?IN_FOCUS",IF(J1985&lt;=2,"?ACTIVATED",IF(J1985&lt;&gt;"","?FAMILIAR",IF(F1985="NEW",IF(ISNA(VLOOKUP(E1985,#REF!,1,FALSE())),"?TYPE_IDENTIFIABLE","?REFERENTIAL"),"_")))))</f>
        <v/>
      </c>
      <c r="H1985" s="23" t="str">
        <f ca="1">IF(J1985&lt;&gt;1,"",IF(I1985="SBJ","CB","?"))</f>
        <v/>
      </c>
      <c r="I1985" s="24" t="str">
        <f>IF(OR(E1985="",E1985="!!!",F1985="NEW"),"",INDEX(B$2:B1984,-1+SUMPRODUCT(MAX(ROW(E$2:E1984)*(E1985=E$2:E1984)))))</f>
        <v/>
      </c>
      <c r="J1985" s="24" t="str">
        <f ca="1">IF(OR(E1985="",E1985="!!!",F1985="NEW"),"",COUNTBLANK(OFFSET(A$1,,,SUMPRODUCT(MAX(ROW(E$2:E1985)*(E1985=E$2:E1985)))))-COUNTBLANK(OFFSET(A$1,,,SUMPRODUCT(MAX(ROW(E$1:E1984)*(E2=E$1:E1984))))))</f>
        <v/>
      </c>
      <c r="K1985" s="24" t="str">
        <f>IF(OR(E1985="",E1985="!!!",F1985="NEW"),"",INDEX(J$1:J1984,SUMPRODUCT(MAX(ROW(E$1:E1984)*(E1985=E$1:E1984)))))</f>
        <v/>
      </c>
      <c r="L1985" s="25"/>
    </row>
    <row r="1986" spans="1:12" x14ac:dyDescent="0.2">
      <c r="A1986" t="s">
        <v>1441</v>
      </c>
    </row>
    <row r="1987" spans="1:12" x14ac:dyDescent="0.2">
      <c r="A1987" t="s">
        <v>902</v>
      </c>
      <c r="E1987" s="20" t="str">
        <f t="shared" ref="E1987:E1993" si="220">IF(D1987="?OLD","!!!","")</f>
        <v/>
      </c>
      <c r="F1987" s="21" t="str">
        <f>IF(OR(E1987="",E1987="!!!"),"",IF(NOT(ISNA(VLOOKUP(E1987,E$1:E1986,1,FALSE()))),"OLD",IF(AND(E1987&lt;&gt;"",E1987&lt;&gt;"!!!"),"NEW","")))</f>
        <v/>
      </c>
      <c r="G1987" s="22" t="str">
        <f>IF(OR(E1987="",E1987="!!!"),"",IF(OR(J1987=0,AND(J1987=1,K1987=1),AND(J1987=1,I1987="SBJ"),AND(J1987=1,I1987=0)),"?IN_FOCUS",IF(J1987&lt;=2,"?ACTIVATED",IF(J1987&lt;&gt;"","?FAMILIAR",IF(F1987="NEW",IF(ISNA(VLOOKUP(E1987,#REF!,1,FALSE())),"?TYPE_IDENTIFIABLE","?REFERENTIAL"),"_")))))</f>
        <v/>
      </c>
      <c r="H1987" s="23" t="str">
        <f t="shared" ref="H1987:H1993" ca="1" si="221">IF(J1987&lt;&gt;1,"",IF(I1987="SBJ","CB","?"))</f>
        <v/>
      </c>
      <c r="I1987" s="24" t="str">
        <f>IF(OR(E1987="",E1987="!!!",F1987="NEW"),"",INDEX(B$2:B1986,-1+SUMPRODUCT(MAX(ROW(E$2:E1986)*(E1987=E$2:E1986)))))</f>
        <v/>
      </c>
      <c r="J1987" s="24" t="str">
        <f ca="1">IF(OR(E1987="",E1987="!!!",F1987="NEW"),"",COUNTBLANK(OFFSET(A$1,,,SUMPRODUCT(MAX(ROW(E$2:E1987)*(E1987=E$2:E1987)))))-COUNTBLANK(OFFSET(A$1,,,SUMPRODUCT(MAX(ROW(E$1:E1986)*(E2=E$1:E1986))))))</f>
        <v/>
      </c>
      <c r="K1987" s="24" t="str">
        <f>IF(OR(E1987="",E1987="!!!",F1987="NEW"),"",INDEX(J$1:J1986,SUMPRODUCT(MAX(ROW(E$1:E1986)*(E1987=E$1:E1986)))))</f>
        <v/>
      </c>
      <c r="L1987" s="25"/>
    </row>
    <row r="1988" spans="1:12" x14ac:dyDescent="0.2">
      <c r="A1988" t="s">
        <v>1442</v>
      </c>
      <c r="E1988" s="20" t="str">
        <f t="shared" si="220"/>
        <v/>
      </c>
      <c r="F1988" s="21" t="str">
        <f>IF(OR(E1988="",E1988="!!!"),"",IF(NOT(ISNA(VLOOKUP(E1988,E$1:E1987,1,FALSE()))),"OLD",IF(AND(E1988&lt;&gt;"",E1988&lt;&gt;"!!!"),"NEW","")))</f>
        <v/>
      </c>
      <c r="G1988" s="22" t="str">
        <f>IF(OR(E1988="",E1988="!!!"),"",IF(OR(J1988=0,AND(J1988=1,K1988=1),AND(J1988=1,I1988="SBJ"),AND(J1988=1,I1988=0)),"?IN_FOCUS",IF(J1988&lt;=2,"?ACTIVATED",IF(J1988&lt;&gt;"","?FAMILIAR",IF(F1988="NEW",IF(ISNA(VLOOKUP(E1988,#REF!,1,FALSE())),"?TYPE_IDENTIFIABLE","?REFERENTIAL"),"_")))))</f>
        <v/>
      </c>
      <c r="H1988" s="23" t="str">
        <f t="shared" ca="1" si="221"/>
        <v/>
      </c>
      <c r="I1988" s="24" t="str">
        <f>IF(OR(E1988="",E1988="!!!",F1988="NEW"),"",INDEX(B$2:B1987,-1+SUMPRODUCT(MAX(ROW(E$2:E1987)*(E1988=E$2:E1987)))))</f>
        <v/>
      </c>
      <c r="J1988" s="24" t="str">
        <f ca="1">IF(OR(E1988="",E1988="!!!",F1988="NEW"),"",COUNTBLANK(OFFSET(A$1,,,SUMPRODUCT(MAX(ROW(E$2:E1988)*(E1988=E$2:E1988)))))-COUNTBLANK(OFFSET(A$1,,,SUMPRODUCT(MAX(ROW(E$1:E1987)*(E2=E$1:E1987))))))</f>
        <v/>
      </c>
      <c r="K1988" s="24" t="str">
        <f>IF(OR(E1988="",E1988="!!!",F1988="NEW"),"",INDEX(J$1:J1987,SUMPRODUCT(MAX(ROW(E$1:E1987)*(E1988=E$1:E1987)))))</f>
        <v/>
      </c>
      <c r="L1988" s="25"/>
    </row>
    <row r="1989" spans="1:12" x14ac:dyDescent="0.2">
      <c r="A1989" t="s">
        <v>802</v>
      </c>
      <c r="E1989" s="20" t="str">
        <f t="shared" si="220"/>
        <v/>
      </c>
      <c r="F1989" s="21" t="str">
        <f>IF(OR(E1989="",E1989="!!!"),"",IF(NOT(ISNA(VLOOKUP(E1989,E$1:E1988,1,FALSE()))),"OLD",IF(AND(E1989&lt;&gt;"",E1989&lt;&gt;"!!!"),"NEW","")))</f>
        <v/>
      </c>
      <c r="G1989" s="22" t="str">
        <f>IF(OR(E1989="",E1989="!!!"),"",IF(OR(J1989=0,AND(J1989=1,K1989=1),AND(J1989=1,I1989="SBJ"),AND(J1989=1,I1989=0)),"?IN_FOCUS",IF(J1989&lt;=2,"?ACTIVATED",IF(J1989&lt;&gt;"","?FAMILIAR",IF(F1989="NEW",IF(ISNA(VLOOKUP(E1989,#REF!,1,FALSE())),"?TYPE_IDENTIFIABLE","?REFERENTIAL"),"_")))))</f>
        <v/>
      </c>
      <c r="H1989" s="23" t="str">
        <f t="shared" ca="1" si="221"/>
        <v/>
      </c>
      <c r="I1989" s="24" t="str">
        <f>IF(OR(E1989="",E1989="!!!",F1989="NEW"),"",INDEX(B$2:B1988,-1+SUMPRODUCT(MAX(ROW(E$2:E1988)*(E1989=E$2:E1988)))))</f>
        <v/>
      </c>
      <c r="J1989" s="24" t="str">
        <f ca="1">IF(OR(E1989="",E1989="!!!",F1989="NEW"),"",COUNTBLANK(OFFSET(A$1,,,SUMPRODUCT(MAX(ROW(E$2:E1989)*(E1989=E$2:E1989)))))-COUNTBLANK(OFFSET(A$1,,,SUMPRODUCT(MAX(ROW(E$1:E1988)*(E2=E$1:E1988))))))</f>
        <v/>
      </c>
      <c r="K1989" s="24" t="str">
        <f>IF(OR(E1989="",E1989="!!!",F1989="NEW"),"",INDEX(J$1:J1988,SUMPRODUCT(MAX(ROW(E$1:E1988)*(E1989=E$1:E1988)))))</f>
        <v/>
      </c>
      <c r="L1989" s="25"/>
    </row>
    <row r="1990" spans="1:12" x14ac:dyDescent="0.2">
      <c r="A1990" t="s">
        <v>902</v>
      </c>
      <c r="E1990" s="20" t="str">
        <f t="shared" si="220"/>
        <v/>
      </c>
      <c r="F1990" s="21" t="str">
        <f>IF(OR(E1990="",E1990="!!!"),"",IF(NOT(ISNA(VLOOKUP(E1990,E$1:E1989,1,FALSE()))),"OLD",IF(AND(E1990&lt;&gt;"",E1990&lt;&gt;"!!!"),"NEW","")))</f>
        <v/>
      </c>
      <c r="G1990" s="22" t="str">
        <f>IF(OR(E1990="",E1990="!!!"),"",IF(OR(J1990=0,AND(J1990=1,K1990=1),AND(J1990=1,I1990="SBJ"),AND(J1990=1,I1990=0)),"?IN_FOCUS",IF(J1990&lt;=2,"?ACTIVATED",IF(J1990&lt;&gt;"","?FAMILIAR",IF(F1990="NEW",IF(ISNA(VLOOKUP(E1990,#REF!,1,FALSE())),"?TYPE_IDENTIFIABLE","?REFERENTIAL"),"_")))))</f>
        <v/>
      </c>
      <c r="H1990" s="23" t="str">
        <f t="shared" ca="1" si="221"/>
        <v/>
      </c>
      <c r="I1990" s="24" t="str">
        <f>IF(OR(E1990="",E1990="!!!",F1990="NEW"),"",INDEX(B$2:B1989,-1+SUMPRODUCT(MAX(ROW(E$2:E1989)*(E1990=E$2:E1989)))))</f>
        <v/>
      </c>
      <c r="J1990" s="24" t="str">
        <f ca="1">IF(OR(E1990="",E1990="!!!",F1990="NEW"),"",COUNTBLANK(OFFSET(A$1,,,SUMPRODUCT(MAX(ROW(E$2:E1990)*(E1990=E$2:E1990)))))-COUNTBLANK(OFFSET(A$1,,,SUMPRODUCT(MAX(ROW(E$1:E1989)*(E2=E$1:E1989))))))</f>
        <v/>
      </c>
      <c r="K1990" s="24" t="str">
        <f>IF(OR(E1990="",E1990="!!!",F1990="NEW"),"",INDEX(J$1:J1989,SUMPRODUCT(MAX(ROW(E$1:E1989)*(E1990=E$1:E1989)))))</f>
        <v/>
      </c>
      <c r="L1990" s="25"/>
    </row>
    <row r="1991" spans="1:12" x14ac:dyDescent="0.2">
      <c r="A1991" t="s">
        <v>1024</v>
      </c>
      <c r="B1991" s="26" t="s">
        <v>804</v>
      </c>
      <c r="C1991" s="26" t="s">
        <v>805</v>
      </c>
      <c r="D1991" s="26" t="s">
        <v>806</v>
      </c>
      <c r="E1991" s="20" t="s">
        <v>1175</v>
      </c>
      <c r="F1991" s="21" t="str">
        <f>IF(OR(E1991="",E1991="!!!"),"",IF(NOT(ISNA(VLOOKUP(E1991,E$1:E1990,1,FALSE()))),"OLD",IF(AND(E1991&lt;&gt;"",E1991&lt;&gt;"!!!"),"NEW","")))</f>
        <v>OLD</v>
      </c>
      <c r="G1991" s="22" t="s">
        <v>1823</v>
      </c>
      <c r="H1991" s="23" t="str">
        <f t="shared" ca="1" si="221"/>
        <v/>
      </c>
      <c r="I1991" s="24" t="str">
        <f>IF(OR(E1991="",E1991="!!!",F1991="NEW"),"",INDEX(B$2:B1990,-1+SUMPRODUCT(MAX(ROW(E$2:E1990)*(E1991=E$2:E1990)))))</f>
        <v>SBJ</v>
      </c>
      <c r="J1991" s="24">
        <f ca="1">IF(OR(E1991="",E1991="!!!",F1991="NEW"),"",COUNTBLANK(OFFSET(A$1,,,SUMPRODUCT(MAX(ROW(E$2:E1991)*(E1991=E$2:E1991)))))-COUNTBLANK(OFFSET(A$1,,,SUMPRODUCT(MAX(ROW(E$1:E1990)*(E2=E$1:E1990))))))</f>
        <v>0</v>
      </c>
      <c r="K1991" s="24">
        <f ca="1">IF(OR(E1991="",E1991="!!!",F1991="NEW"),"",INDEX(J$1:J1990,SUMPRODUCT(MAX(ROW(E$1:E1990)*(E1991=E$1:E1990)))))</f>
        <v>0</v>
      </c>
      <c r="L1991" s="25"/>
    </row>
    <row r="1992" spans="1:12" x14ac:dyDescent="0.2">
      <c r="A1992" t="s">
        <v>904</v>
      </c>
      <c r="E1992" s="20" t="str">
        <f t="shared" si="220"/>
        <v/>
      </c>
      <c r="F1992" s="21" t="str">
        <f>IF(OR(E1992="",E1992="!!!"),"",IF(NOT(ISNA(VLOOKUP(E1992,E$1:E1991,1,FALSE()))),"OLD",IF(AND(E1992&lt;&gt;"",E1992&lt;&gt;"!!!"),"NEW","")))</f>
        <v/>
      </c>
      <c r="G1992" s="22" t="str">
        <f>IF(OR(E1992="",E1992="!!!"),"",IF(OR(J1992=0,AND(J1992=1,K1992=1),AND(J1992=1,I1992="SBJ"),AND(J1992=1,I1992=0)),"?IN_FOCUS",IF(J1992&lt;=2,"?ACTIVATED",IF(J1992&lt;&gt;"","?FAMILIAR",IF(F1992="NEW",IF(ISNA(VLOOKUP(E1992,#REF!,1,FALSE())),"?TYPE_IDENTIFIABLE","?REFERENTIAL"),"_")))))</f>
        <v/>
      </c>
      <c r="H1992" s="23" t="str">
        <f t="shared" ca="1" si="221"/>
        <v/>
      </c>
      <c r="I1992" s="24" t="str">
        <f>IF(OR(E1992="",E1992="!!!",F1992="NEW"),"",INDEX(B$2:B1991,-1+SUMPRODUCT(MAX(ROW(E$2:E1991)*(E1992=E$2:E1991)))))</f>
        <v/>
      </c>
      <c r="J1992" s="24" t="str">
        <f ca="1">IF(OR(E1992="",E1992="!!!",F1992="NEW"),"",COUNTBLANK(OFFSET(A$1,,,SUMPRODUCT(MAX(ROW(E$2:E1992)*(E1992=E$2:E1992)))))-COUNTBLANK(OFFSET(A$1,,,SUMPRODUCT(MAX(ROW(E$1:E1991)*(E2=E$1:E1991))))))</f>
        <v/>
      </c>
      <c r="K1992" s="24" t="str">
        <f>IF(OR(E1992="",E1992="!!!",F1992="NEW"),"",INDEX(J$1:J1991,SUMPRODUCT(MAX(ROW(E$1:E1991)*(E1992=E$1:E1991)))))</f>
        <v/>
      </c>
      <c r="L1992" s="25"/>
    </row>
    <row r="1993" spans="1:12" x14ac:dyDescent="0.2">
      <c r="A1993" t="s">
        <v>821</v>
      </c>
      <c r="E1993" s="20" t="str">
        <f t="shared" si="220"/>
        <v/>
      </c>
      <c r="F1993" s="21" t="str">
        <f>IF(OR(E1993="",E1993="!!!"),"",IF(NOT(ISNA(VLOOKUP(E1993,E$1:E1992,1,FALSE()))),"OLD",IF(AND(E1993&lt;&gt;"",E1993&lt;&gt;"!!!"),"NEW","")))</f>
        <v/>
      </c>
      <c r="G1993" s="22" t="str">
        <f>IF(OR(E1993="",E1993="!!!"),"",IF(OR(J1993=0,AND(J1993=1,K1993=1),AND(J1993=1,I1993="SBJ"),AND(J1993=1,I1993=0)),"?IN_FOCUS",IF(J1993&lt;=2,"?ACTIVATED",IF(J1993&lt;&gt;"","?FAMILIAR",IF(F1993="NEW",IF(ISNA(VLOOKUP(E1993,#REF!,1,FALSE())),"?TYPE_IDENTIFIABLE","?REFERENTIAL"),"_")))))</f>
        <v/>
      </c>
      <c r="H1993" s="23" t="str">
        <f t="shared" ca="1" si="221"/>
        <v/>
      </c>
      <c r="I1993" s="24" t="str">
        <f>IF(OR(E1993="",E1993="!!!",F1993="NEW"),"",INDEX(B$2:B1992,-1+SUMPRODUCT(MAX(ROW(E$2:E1992)*(E1993=E$2:E1992)))))</f>
        <v/>
      </c>
      <c r="J1993" s="24" t="str">
        <f ca="1">IF(OR(E1993="",E1993="!!!",F1993="NEW"),"",COUNTBLANK(OFFSET(A$1,,,SUMPRODUCT(MAX(ROW(E$2:E1993)*(E1993=E$2:E1993)))))-COUNTBLANK(OFFSET(A$1,,,SUMPRODUCT(MAX(ROW(E$1:E1992)*(E2=E$1:E1992))))))</f>
        <v/>
      </c>
      <c r="K1993" s="24" t="str">
        <f>IF(OR(E1993="",E1993="!!!",F1993="NEW"),"",INDEX(J$1:J1992,SUMPRODUCT(MAX(ROW(E$1:E1992)*(E1993=E$1:E1992)))))</f>
        <v/>
      </c>
      <c r="L1993" s="25"/>
    </row>
    <row r="1995" spans="1:12" x14ac:dyDescent="0.2">
      <c r="A1995" t="s">
        <v>900</v>
      </c>
      <c r="E1995" s="20" t="str">
        <f>IF(D1995="?OLD","!!!","")</f>
        <v/>
      </c>
      <c r="F1995" s="21" t="str">
        <f>IF(OR(E1995="",E1995="!!!"),"",IF(NOT(ISNA(VLOOKUP(E1995,E$1:E1994,1,FALSE()))),"OLD",IF(AND(E1995&lt;&gt;"",E1995&lt;&gt;"!!!"),"NEW","")))</f>
        <v/>
      </c>
      <c r="G1995" s="22" t="str">
        <f>IF(OR(E1995="",E1995="!!!"),"",IF(OR(J1995=0,AND(J1995=1,K1995=1),AND(J1995=1,I1995="SBJ"),AND(J1995=1,I1995=0)),"?IN_FOCUS",IF(J1995&lt;=2,"?ACTIVATED",IF(J1995&lt;&gt;"","?FAMILIAR",IF(F1995="NEW",IF(ISNA(VLOOKUP(E1995,#REF!,1,FALSE())),"?TYPE_IDENTIFIABLE","?REFERENTIAL"),"_")))))</f>
        <v/>
      </c>
      <c r="H1995" s="23" t="str">
        <f ca="1">IF(J1995&lt;&gt;1,"",IF(I1995="SBJ","CB","?"))</f>
        <v/>
      </c>
      <c r="I1995" s="24" t="str">
        <f>IF(OR(E1995="",E1995="!!!",F1995="NEW"),"",INDEX(B$2:B1994,-1+SUMPRODUCT(MAX(ROW(E$2:E1994)*(E1995=E$2:E1994)))))</f>
        <v/>
      </c>
      <c r="J1995" s="24" t="str">
        <f ca="1">IF(OR(E1995="",E1995="!!!",F1995="NEW"),"",COUNTBLANK(OFFSET(A$1,,,SUMPRODUCT(MAX(ROW(E$2:E1995)*(E1995=E$2:E1995)))))-COUNTBLANK(OFFSET(A$1,,,SUMPRODUCT(MAX(ROW(E$1:E1994)*(E2=E$1:E1994))))))</f>
        <v/>
      </c>
      <c r="K1995" s="24" t="str">
        <f>IF(OR(E1995="",E1995="!!!",F1995="NEW"),"",INDEX(J$1:J1994,SUMPRODUCT(MAX(ROW(E$1:E1994)*(E1995=E$1:E1994)))))</f>
        <v/>
      </c>
      <c r="L1995" s="25"/>
    </row>
    <row r="1996" spans="1:12" x14ac:dyDescent="0.2">
      <c r="A1996" t="s">
        <v>1443</v>
      </c>
    </row>
    <row r="1997" spans="1:12" x14ac:dyDescent="0.2">
      <c r="A1997" t="s">
        <v>902</v>
      </c>
      <c r="E1997" s="20" t="str">
        <f t="shared" ref="E1997:E2010" si="222">IF(D1997="?OLD","!!!","")</f>
        <v/>
      </c>
      <c r="F1997" s="21" t="str">
        <f>IF(OR(E1997="",E1997="!!!"),"",IF(NOT(ISNA(VLOOKUP(E1997,E$1:E1996,1,FALSE()))),"OLD",IF(AND(E1997&lt;&gt;"",E1997&lt;&gt;"!!!"),"NEW","")))</f>
        <v/>
      </c>
      <c r="G1997" s="22" t="str">
        <f>IF(OR(E1997="",E1997="!!!"),"",IF(OR(J1997=0,AND(J1997=1,K1997=1),AND(J1997=1,I1997="SBJ"),AND(J1997=1,I1997=0)),"?IN_FOCUS",IF(J1997&lt;=2,"?ACTIVATED",IF(J1997&lt;&gt;"","?FAMILIAR",IF(F1997="NEW",IF(ISNA(VLOOKUP(E1997,#REF!,1,FALSE())),"?TYPE_IDENTIFIABLE","?REFERENTIAL"),"_")))))</f>
        <v/>
      </c>
      <c r="H1997" s="23" t="str">
        <f t="shared" ref="H1997:H2010" ca="1" si="223">IF(J1997&lt;&gt;1,"",IF(I1997="SBJ","CB","?"))</f>
        <v/>
      </c>
      <c r="I1997" s="24" t="str">
        <f>IF(OR(E1997="",E1997="!!!",F1997="NEW"),"",INDEX(B$2:B1996,-1+SUMPRODUCT(MAX(ROW(E$2:E1996)*(E1997=E$2:E1996)))))</f>
        <v/>
      </c>
      <c r="J1997" s="24" t="str">
        <f ca="1">IF(OR(E1997="",E1997="!!!",F1997="NEW"),"",COUNTBLANK(OFFSET(A$1,,,SUMPRODUCT(MAX(ROW(E$2:E1997)*(E1997=E$2:E1997)))))-COUNTBLANK(OFFSET(A$1,,,SUMPRODUCT(MAX(ROW(E$1:E1996)*(E2=E$1:E1996))))))</f>
        <v/>
      </c>
      <c r="K1997" s="24" t="str">
        <f>IF(OR(E1997="",E1997="!!!",F1997="NEW"),"",INDEX(J$1:J1996,SUMPRODUCT(MAX(ROW(E$1:E1996)*(E1997=E$1:E1996)))))</f>
        <v/>
      </c>
      <c r="L1997" s="25"/>
    </row>
    <row r="1998" spans="1:12" x14ac:dyDescent="0.2">
      <c r="A1998" t="s">
        <v>1026</v>
      </c>
      <c r="B1998" s="26" t="s">
        <v>804</v>
      </c>
      <c r="C1998" s="26" t="s">
        <v>805</v>
      </c>
      <c r="D1998" s="26" t="s">
        <v>806</v>
      </c>
      <c r="E1998" s="20" t="s">
        <v>1780</v>
      </c>
      <c r="F1998" s="21" t="str">
        <f>IF(OR(E1998="",E1998="!!!"),"",IF(NOT(ISNA(VLOOKUP(E1998,E$1:E1997,1,FALSE()))),"OLD",IF(AND(E1998&lt;&gt;"",E1998&lt;&gt;"!!!"),"NEW","")))</f>
        <v>OLD</v>
      </c>
      <c r="G1998" s="22" t="s">
        <v>1823</v>
      </c>
      <c r="H1998" s="23" t="str">
        <f t="shared" ca="1" si="223"/>
        <v/>
      </c>
      <c r="I1998" s="24" t="str">
        <f>IF(OR(E1998="",E1998="!!!",F1998="NEW"),"",INDEX(B$2:B1997,-1+SUMPRODUCT(MAX(ROW(E$2:E1997)*(E1998=E$2:E1997)))))</f>
        <v>SBJ_3</v>
      </c>
      <c r="J1998" s="24">
        <f ca="1">IF(OR(E1998="",E1998="!!!",F1998="NEW"),"",COUNTBLANK(OFFSET(A$1,,,SUMPRODUCT(MAX(ROW(E$2:E1998)*(E1998=E$2:E1998)))))-COUNTBLANK(OFFSET(A$1,,,SUMPRODUCT(MAX(ROW(E$1:E1997)*(E2=E$1:E1997))))))</f>
        <v>0</v>
      </c>
      <c r="K1998" s="24">
        <f ca="1">IF(OR(E1998="",E1998="!!!",F1998="NEW"),"",INDEX(J$1:J1997,SUMPRODUCT(MAX(ROW(E$1:E1997)*(E1998=E$1:E1997)))))</f>
        <v>0</v>
      </c>
      <c r="L1998" s="25"/>
    </row>
    <row r="1999" spans="1:12" x14ac:dyDescent="0.2">
      <c r="A1999" t="s">
        <v>508</v>
      </c>
      <c r="E1999" s="20" t="str">
        <f t="shared" si="222"/>
        <v/>
      </c>
      <c r="F1999" s="21" t="str">
        <f>IF(OR(E1999="",E1999="!!!"),"",IF(NOT(ISNA(VLOOKUP(E1999,E$1:E1998,1,FALSE()))),"OLD",IF(AND(E1999&lt;&gt;"",E1999&lt;&gt;"!!!"),"NEW","")))</f>
        <v/>
      </c>
      <c r="G1999" s="22" t="str">
        <f>IF(OR(E1999="",E1999="!!!"),"",IF(OR(J1999=0,AND(J1999=1,K1999=1),AND(J1999=1,I1999="SBJ"),AND(J1999=1,I1999=0)),"?IN_FOCUS",IF(J1999&lt;=2,"?ACTIVATED",IF(J1999&lt;&gt;"","?FAMILIAR",IF(F1999="NEW",IF(ISNA(VLOOKUP(E1999,#REF!,1,FALSE())),"?TYPE_IDENTIFIABLE","?REFERENTIAL"),"_")))))</f>
        <v/>
      </c>
      <c r="H1999" s="23" t="str">
        <f t="shared" ca="1" si="223"/>
        <v/>
      </c>
      <c r="I1999" s="24" t="str">
        <f>IF(OR(E1999="",E1999="!!!",F1999="NEW"),"",INDEX(B$2:B1998,-1+SUMPRODUCT(MAX(ROW(E$2:E1998)*(E1999=E$2:E1998)))))</f>
        <v/>
      </c>
      <c r="J1999" s="24" t="str">
        <f ca="1">IF(OR(E1999="",E1999="!!!",F1999="NEW"),"",COUNTBLANK(OFFSET(A$1,,,SUMPRODUCT(MAX(ROW(E$2:E1999)*(E1999=E$2:E1999)))))-COUNTBLANK(OFFSET(A$1,,,SUMPRODUCT(MAX(ROW(E$1:E1998)*(E2=E$1:E1998))))))</f>
        <v/>
      </c>
      <c r="K1999" s="24" t="str">
        <f>IF(OR(E1999="",E1999="!!!",F1999="NEW"),"",INDEX(J$1:J1998,SUMPRODUCT(MAX(ROW(E$1:E1998)*(E1999=E$1:E1998)))))</f>
        <v/>
      </c>
      <c r="L1999" s="25"/>
    </row>
    <row r="2000" spans="1:12" x14ac:dyDescent="0.2">
      <c r="A2000" t="s">
        <v>89</v>
      </c>
      <c r="E2000" s="20" t="str">
        <f t="shared" si="222"/>
        <v/>
      </c>
      <c r="F2000" s="21" t="str">
        <f>IF(OR(E2000="",E2000="!!!"),"",IF(NOT(ISNA(VLOOKUP(E2000,E$1:E1999,1,FALSE()))),"OLD",IF(AND(E2000&lt;&gt;"",E2000&lt;&gt;"!!!"),"NEW","")))</f>
        <v/>
      </c>
      <c r="G2000" s="22" t="str">
        <f>IF(OR(E2000="",E2000="!!!"),"",IF(OR(J2000=0,AND(J2000=1,K2000=1),AND(J2000=1,I2000="SBJ"),AND(J2000=1,I2000=0)),"?IN_FOCUS",IF(J2000&lt;=2,"?ACTIVATED",IF(J2000&lt;&gt;"","?FAMILIAR",IF(F2000="NEW",IF(ISNA(VLOOKUP(E2000,#REF!,1,FALSE())),"?TYPE_IDENTIFIABLE","?REFERENTIAL"),"_")))))</f>
        <v/>
      </c>
      <c r="H2000" s="23" t="str">
        <f t="shared" ca="1" si="223"/>
        <v/>
      </c>
      <c r="I2000" s="24" t="str">
        <f>IF(OR(E2000="",E2000="!!!",F2000="NEW"),"",INDEX(B$2:B1999,-1+SUMPRODUCT(MAX(ROW(E$2:E1999)*(E2000=E$2:E1999)))))</f>
        <v/>
      </c>
      <c r="J2000" s="24" t="str">
        <f ca="1">IF(OR(E2000="",E2000="!!!",F2000="NEW"),"",COUNTBLANK(OFFSET(A$1,,,SUMPRODUCT(MAX(ROW(E$2:E2000)*(E2000=E$2:E2000)))))-COUNTBLANK(OFFSET(A$1,,,SUMPRODUCT(MAX(ROW(E$1:E1999)*(E2=E$1:E1999))))))</f>
        <v/>
      </c>
      <c r="K2000" s="24" t="str">
        <f>IF(OR(E2000="",E2000="!!!",F2000="NEW"),"",INDEX(J$1:J1999,SUMPRODUCT(MAX(ROW(E$1:E1999)*(E2000=E$1:E1999)))))</f>
        <v/>
      </c>
      <c r="L2000" s="25"/>
    </row>
    <row r="2001" spans="1:12" x14ac:dyDescent="0.2">
      <c r="A2001" t="s">
        <v>941</v>
      </c>
      <c r="B2001" s="26" t="s">
        <v>810</v>
      </c>
      <c r="C2001" s="26" t="s">
        <v>820</v>
      </c>
      <c r="D2001" s="26" t="s">
        <v>806</v>
      </c>
      <c r="E2001" s="20"/>
      <c r="F2001" s="21" t="str">
        <f>IF(OR(E2001="",E2001="!!!"),"",IF(NOT(ISNA(VLOOKUP(E2001,E$1:E2000,1,FALSE()))),"OLD",IF(AND(E2001&lt;&gt;"",E2001&lt;&gt;"!!!"),"NEW","")))</f>
        <v/>
      </c>
      <c r="G2001" s="22" t="str">
        <f>IF(OR(E2001="",E2001="!!!"),"",IF(OR(J2001=0,AND(J2001=1,K2001=1),AND(J2001=1,I2001="SBJ"),AND(J2001=1,I2001=0)),"?IN_FOCUS",IF(J2001&lt;=2,"?ACTIVATED",IF(J2001&lt;&gt;"","?FAMILIAR",IF(F2001="NEW",IF(ISNA(VLOOKUP(E2001,#REF!,1,FALSE())),"?TYPE_IDENTIFIABLE","?REFERENTIAL"),"_")))))</f>
        <v/>
      </c>
      <c r="H2001" s="23" t="str">
        <f t="shared" ca="1" si="223"/>
        <v/>
      </c>
      <c r="I2001" s="24" t="str">
        <f>IF(OR(E2001="",E2001="!!!",F2001="NEW"),"",INDEX(B$2:B2000,-1+SUMPRODUCT(MAX(ROW(E$2:E2000)*(E2001=E$2:E2000)))))</f>
        <v/>
      </c>
      <c r="J2001" s="24" t="str">
        <f ca="1">IF(OR(E2001="",E2001="!!!",F2001="NEW"),"",COUNTBLANK(OFFSET(A$1,,,SUMPRODUCT(MAX(ROW(E$2:E2001)*(E2001=E$2:E2001)))))-COUNTBLANK(OFFSET(A$1,,,SUMPRODUCT(MAX(ROW(E$1:E2000)*(E2=E$1:E2000))))))</f>
        <v/>
      </c>
      <c r="K2001" s="24" t="str">
        <f>IF(OR(E2001="",E2001="!!!",F2001="NEW"),"",INDEX(J$1:J2000,SUMPRODUCT(MAX(ROW(E$1:E2000)*(E2001=E$1:E2000)))))</f>
        <v/>
      </c>
      <c r="L2001" s="25"/>
    </row>
    <row r="2002" spans="1:12" x14ac:dyDescent="0.2">
      <c r="A2002" t="s">
        <v>812</v>
      </c>
      <c r="E2002" s="20" t="str">
        <f t="shared" si="222"/>
        <v/>
      </c>
      <c r="F2002" s="21" t="str">
        <f>IF(OR(E2002="",E2002="!!!"),"",IF(NOT(ISNA(VLOOKUP(E2002,E$1:E2001,1,FALSE()))),"OLD",IF(AND(E2002&lt;&gt;"",E2002&lt;&gt;"!!!"),"NEW","")))</f>
        <v/>
      </c>
      <c r="G2002" s="22" t="str">
        <f>IF(OR(E2002="",E2002="!!!"),"",IF(OR(J2002=0,AND(J2002=1,K2002=1),AND(J2002=1,I2002="SBJ"),AND(J2002=1,I2002=0)),"?IN_FOCUS",IF(J2002&lt;=2,"?ACTIVATED",IF(J2002&lt;&gt;"","?FAMILIAR",IF(F2002="NEW",IF(ISNA(VLOOKUP(E2002,#REF!,1,FALSE())),"?TYPE_IDENTIFIABLE","?REFERENTIAL"),"_")))))</f>
        <v/>
      </c>
      <c r="H2002" s="23" t="str">
        <f t="shared" ca="1" si="223"/>
        <v/>
      </c>
      <c r="I2002" s="24" t="str">
        <f>IF(OR(E2002="",E2002="!!!",F2002="NEW"),"",INDEX(B$2:B2001,-1+SUMPRODUCT(MAX(ROW(E$2:E2001)*(E2002=E$2:E2001)))))</f>
        <v/>
      </c>
      <c r="J2002" s="24" t="str">
        <f ca="1">IF(OR(E2002="",E2002="!!!",F2002="NEW"),"",COUNTBLANK(OFFSET(A$1,,,SUMPRODUCT(MAX(ROW(E$2:E2002)*(E2002=E$2:E2002)))))-COUNTBLANK(OFFSET(A$1,,,SUMPRODUCT(MAX(ROW(E$1:E2001)*(E2=E$1:E2001))))))</f>
        <v/>
      </c>
      <c r="K2002" s="24" t="str">
        <f>IF(OR(E2002="",E2002="!!!",F2002="NEW"),"",INDEX(J$1:J2001,SUMPRODUCT(MAX(ROW(E$1:E2001)*(E2002=E$1:E2001)))))</f>
        <v/>
      </c>
      <c r="L2002" s="25"/>
    </row>
    <row r="2003" spans="1:12" x14ac:dyDescent="0.2">
      <c r="A2003" t="s">
        <v>920</v>
      </c>
      <c r="B2003" s="26" t="s">
        <v>864</v>
      </c>
      <c r="C2003" s="26" t="s">
        <v>817</v>
      </c>
      <c r="D2003" s="26" t="s">
        <v>806</v>
      </c>
      <c r="E2003" s="20"/>
      <c r="F2003" s="21" t="s">
        <v>1793</v>
      </c>
      <c r="G2003" s="22"/>
      <c r="H2003" s="23" t="str">
        <f t="shared" ca="1" si="223"/>
        <v/>
      </c>
      <c r="I2003" s="24" t="str">
        <f>IF(OR(E2003="",E2003="!!!",F2003="NEW"),"",INDEX(B$2:B2002,-1+SUMPRODUCT(MAX(ROW(E$2:E2002)*(E2003=E$2:E2002)))))</f>
        <v/>
      </c>
      <c r="J2003" s="24" t="str">
        <f ca="1">IF(OR(E2003="",E2003="!!!",F2003="NEW"),"",COUNTBLANK(OFFSET(A$1,,,SUMPRODUCT(MAX(ROW(E$2:E2003)*(E2003=E$2:E2003)))))-COUNTBLANK(OFFSET(A$1,,,SUMPRODUCT(MAX(ROW(E$1:E2002)*(E2=E$1:E2002))))))</f>
        <v/>
      </c>
      <c r="K2003" s="24" t="str">
        <f>IF(OR(E2003="",E2003="!!!",F2003="NEW"),"",INDEX(J$1:J2002,SUMPRODUCT(MAX(ROW(E$1:E2002)*(E2003=E$1:E2002)))))</f>
        <v/>
      </c>
      <c r="L2003" s="25"/>
    </row>
    <row r="2004" spans="1:12" x14ac:dyDescent="0.2">
      <c r="A2004" t="s">
        <v>30</v>
      </c>
      <c r="B2004" s="26" t="s">
        <v>813</v>
      </c>
      <c r="C2004" s="26" t="s">
        <v>820</v>
      </c>
      <c r="D2004" s="26" t="s">
        <v>806</v>
      </c>
      <c r="E2004" s="20" t="s">
        <v>1790</v>
      </c>
      <c r="F2004" s="21" t="str">
        <f>IF(OR(E2004="",E2004="!!!"),"",IF(NOT(ISNA(VLOOKUP(E2004,E$1:E2003,1,FALSE()))),"OLD",IF(AND(E2004&lt;&gt;"",E2004&lt;&gt;"!!!"),"NEW","")))</f>
        <v>OLD</v>
      </c>
      <c r="G2004" s="22" t="s">
        <v>1822</v>
      </c>
      <c r="H2004" s="23" t="str">
        <f t="shared" ca="1" si="223"/>
        <v/>
      </c>
      <c r="I2004" s="24" t="str">
        <f>IF(OR(E2004="",E2004="!!!",F2004="NEW"),"",INDEX(B$2:B2003,-1+SUMPRODUCT(MAX(ROW(E$2:E2003)*(E2004=E$2:E2003)))))</f>
        <v>other_3</v>
      </c>
      <c r="J2004" s="24">
        <f ca="1">IF(OR(E2004="",E2004="!!!",F2004="NEW"),"",COUNTBLANK(OFFSET(A$1,,,SUMPRODUCT(MAX(ROW(E$2:E2004)*(E2004=E$2:E2004)))))-COUNTBLANK(OFFSET(A$1,,,SUMPRODUCT(MAX(ROW(E$1:E2003)*(E2=E$1:E2003))))))</f>
        <v>0</v>
      </c>
      <c r="K2004" s="24">
        <f ca="1">IF(OR(E2004="",E2004="!!!",F2004="NEW"),"",INDEX(J$1:J2003,SUMPRODUCT(MAX(ROW(E$1:E2003)*(E2004=E$1:E2003)))))</f>
        <v>0</v>
      </c>
      <c r="L2004" s="25"/>
    </row>
    <row r="2005" spans="1:12" x14ac:dyDescent="0.2">
      <c r="A2005" t="s">
        <v>888</v>
      </c>
      <c r="E2005" s="20" t="str">
        <f t="shared" si="222"/>
        <v/>
      </c>
      <c r="F2005" s="21" t="str">
        <f>IF(OR(E2005="",E2005="!!!"),"",IF(NOT(ISNA(VLOOKUP(E2005,E$1:E2004,1,FALSE()))),"OLD",IF(AND(E2005&lt;&gt;"",E2005&lt;&gt;"!!!"),"NEW","")))</f>
        <v/>
      </c>
      <c r="G2005" s="22" t="str">
        <f>IF(OR(E2005="",E2005="!!!"),"",IF(OR(J2005=0,AND(J2005=1,K2005=1),AND(J2005=1,I2005="SBJ"),AND(J2005=1,I2005=0)),"?IN_FOCUS",IF(J2005&lt;=2,"?ACTIVATED",IF(J2005&lt;&gt;"","?FAMILIAR",IF(F2005="NEW",IF(ISNA(VLOOKUP(E2005,#REF!,1,FALSE())),"?TYPE_IDENTIFIABLE","?REFERENTIAL"),"_")))))</f>
        <v/>
      </c>
      <c r="H2005" s="23" t="str">
        <f t="shared" ca="1" si="223"/>
        <v/>
      </c>
      <c r="I2005" s="24" t="str">
        <f>IF(OR(E2005="",E2005="!!!",F2005="NEW"),"",INDEX(B$2:B2004,-1+SUMPRODUCT(MAX(ROW(E$2:E2004)*(E2005=E$2:E2004)))))</f>
        <v/>
      </c>
      <c r="J2005" s="24" t="str">
        <f ca="1">IF(OR(E2005="",E2005="!!!",F2005="NEW"),"",COUNTBLANK(OFFSET(A$1,,,SUMPRODUCT(MAX(ROW(E$2:E2005)*(E2005=E$2:E2005)))))-COUNTBLANK(OFFSET(A$1,,,SUMPRODUCT(MAX(ROW(E$1:E2004)*(E2=E$1:E2004))))))</f>
        <v/>
      </c>
      <c r="K2005" s="24" t="str">
        <f>IF(OR(E2005="",E2005="!!!",F2005="NEW"),"",INDEX(J$1:J2004,SUMPRODUCT(MAX(ROW(E$1:E2004)*(E2005=E$1:E2004)))))</f>
        <v/>
      </c>
      <c r="L2005" s="25"/>
    </row>
    <row r="2006" spans="1:12" x14ac:dyDescent="0.2">
      <c r="A2006" t="s">
        <v>30</v>
      </c>
      <c r="E2006" s="20" t="str">
        <f t="shared" si="222"/>
        <v/>
      </c>
      <c r="F2006" s="21" t="str">
        <f>IF(OR(E2006="",E2006="!!!"),"",IF(NOT(ISNA(VLOOKUP(E2006,E$1:E2005,1,FALSE()))),"OLD",IF(AND(E2006&lt;&gt;"",E2006&lt;&gt;"!!!"),"NEW","")))</f>
        <v/>
      </c>
      <c r="G2006" s="22" t="str">
        <f>IF(OR(E2006="",E2006="!!!"),"",IF(OR(J2006=0,AND(J2006=1,K2006=1),AND(J2006=1,I2006="SBJ"),AND(J2006=1,I2006=0)),"?IN_FOCUS",IF(J2006&lt;=2,"?ACTIVATED",IF(J2006&lt;&gt;"","?FAMILIAR",IF(F2006="NEW",IF(ISNA(VLOOKUP(E2006,#REF!,1,FALSE())),"?TYPE_IDENTIFIABLE","?REFERENTIAL"),"_")))))</f>
        <v/>
      </c>
      <c r="H2006" s="23" t="str">
        <f t="shared" ca="1" si="223"/>
        <v/>
      </c>
      <c r="I2006" s="24" t="str">
        <f>IF(OR(E2006="",E2006="!!!",F2006="NEW"),"",INDEX(B$2:B2005,-1+SUMPRODUCT(MAX(ROW(E$2:E2005)*(E2006=E$2:E2005)))))</f>
        <v/>
      </c>
      <c r="J2006" s="24" t="str">
        <f ca="1">IF(OR(E2006="",E2006="!!!",F2006="NEW"),"",COUNTBLANK(OFFSET(A$1,,,SUMPRODUCT(MAX(ROW(E$2:E2006)*(E2006=E$2:E2006)))))-COUNTBLANK(OFFSET(A$1,,,SUMPRODUCT(MAX(ROW(E$1:E2005)*(E2=E$1:E2005))))))</f>
        <v/>
      </c>
      <c r="K2006" s="24" t="str">
        <f>IF(OR(E2006="",E2006="!!!",F2006="NEW"),"",INDEX(J$1:J2005,SUMPRODUCT(MAX(ROW(E$1:E2005)*(E2006=E$1:E2005)))))</f>
        <v/>
      </c>
      <c r="L2006" s="25"/>
    </row>
    <row r="2007" spans="1:12" x14ac:dyDescent="0.2">
      <c r="A2007" t="s">
        <v>1444</v>
      </c>
      <c r="B2007" s="26" t="s">
        <v>864</v>
      </c>
      <c r="C2007" s="26" t="s">
        <v>814</v>
      </c>
      <c r="E2007" s="20" t="str">
        <f t="shared" si="222"/>
        <v/>
      </c>
      <c r="F2007" s="21" t="str">
        <f>IF(OR(E2007="",E2007="!!!"),"",IF(NOT(ISNA(VLOOKUP(E2007,E$1:E2006,1,FALSE()))),"OLD",IF(AND(E2007&lt;&gt;"",E2007&lt;&gt;"!!!"),"NEW","")))</f>
        <v/>
      </c>
      <c r="G2007" s="22" t="str">
        <f>IF(OR(E2007="",E2007="!!!"),"",IF(OR(J2007=0,AND(J2007=1,K2007=1),AND(J2007=1,I2007="SBJ"),AND(J2007=1,I2007=0)),"?IN_FOCUS",IF(J2007&lt;=2,"?ACTIVATED",IF(J2007&lt;&gt;"","?FAMILIAR",IF(F2007="NEW",IF(ISNA(VLOOKUP(E2007,#REF!,1,FALSE())),"?TYPE_IDENTIFIABLE","?REFERENTIAL"),"_")))))</f>
        <v/>
      </c>
      <c r="H2007" s="23" t="str">
        <f t="shared" ca="1" si="223"/>
        <v/>
      </c>
      <c r="I2007" s="24" t="str">
        <f>IF(OR(E2007="",E2007="!!!",F2007="NEW"),"",INDEX(B$2:B2006,-1+SUMPRODUCT(MAX(ROW(E$2:E2006)*(E2007=E$2:E2006)))))</f>
        <v/>
      </c>
      <c r="J2007" s="24" t="str">
        <f ca="1">IF(OR(E2007="",E2007="!!!",F2007="NEW"),"",COUNTBLANK(OFFSET(A$1,,,SUMPRODUCT(MAX(ROW(E$2:E2007)*(E2007=E$2:E2007)))))-COUNTBLANK(OFFSET(A$1,,,SUMPRODUCT(MAX(ROW(E$1:E2006)*(E2=E$1:E2006))))))</f>
        <v/>
      </c>
      <c r="K2007" s="24" t="str">
        <f>IF(OR(E2007="",E2007="!!!",F2007="NEW"),"",INDEX(J$1:J2006,SUMPRODUCT(MAX(ROW(E$1:E2006)*(E2007=E$1:E2006)))))</f>
        <v/>
      </c>
      <c r="L2007" s="25"/>
    </row>
    <row r="2008" spans="1:12" x14ac:dyDescent="0.2">
      <c r="A2008" t="s">
        <v>859</v>
      </c>
      <c r="E2008" s="20" t="str">
        <f t="shared" si="222"/>
        <v/>
      </c>
      <c r="F2008" s="21" t="str">
        <f>IF(OR(E2008="",E2008="!!!"),"",IF(NOT(ISNA(VLOOKUP(E2008,E$1:E2007,1,FALSE()))),"OLD",IF(AND(E2008&lt;&gt;"",E2008&lt;&gt;"!!!"),"NEW","")))</f>
        <v/>
      </c>
      <c r="G2008" s="22" t="str">
        <f>IF(OR(E2008="",E2008="!!!"),"",IF(OR(J2008=0,AND(J2008=1,K2008=1),AND(J2008=1,I2008="SBJ"),AND(J2008=1,I2008=0)),"?IN_FOCUS",IF(J2008&lt;=2,"?ACTIVATED",IF(J2008&lt;&gt;"","?FAMILIAR",IF(F2008="NEW",IF(ISNA(VLOOKUP(E2008,#REF!,1,FALSE())),"?TYPE_IDENTIFIABLE","?REFERENTIAL"),"_")))))</f>
        <v/>
      </c>
      <c r="H2008" s="23" t="str">
        <f t="shared" ca="1" si="223"/>
        <v/>
      </c>
      <c r="I2008" s="24" t="str">
        <f>IF(OR(E2008="",E2008="!!!",F2008="NEW"),"",INDEX(B$2:B2007,-1+SUMPRODUCT(MAX(ROW(E$2:E2007)*(E2008=E$2:E2007)))))</f>
        <v/>
      </c>
      <c r="J2008" s="24" t="str">
        <f ca="1">IF(OR(E2008="",E2008="!!!",F2008="NEW"),"",COUNTBLANK(OFFSET(A$1,,,SUMPRODUCT(MAX(ROW(E$2:E2008)*(E2008=E$2:E2008)))))-COUNTBLANK(OFFSET(A$1,,,SUMPRODUCT(MAX(ROW(E$1:E2007)*(E2=E$1:E2007))))))</f>
        <v/>
      </c>
      <c r="K2008" s="24" t="str">
        <f>IF(OR(E2008="",E2008="!!!",F2008="NEW"),"",INDEX(J$1:J2007,SUMPRODUCT(MAX(ROW(E$1:E2007)*(E2008=E$1:E2007)))))</f>
        <v/>
      </c>
      <c r="L2008" s="25"/>
    </row>
    <row r="2009" spans="1:12" x14ac:dyDescent="0.2">
      <c r="A2009" t="s">
        <v>1240</v>
      </c>
      <c r="B2009" s="26" t="s">
        <v>864</v>
      </c>
      <c r="C2009" s="26" t="s">
        <v>814</v>
      </c>
      <c r="E2009" s="20" t="str">
        <f t="shared" si="222"/>
        <v/>
      </c>
      <c r="F2009" s="21" t="str">
        <f>IF(OR(E2009="",E2009="!!!"),"",IF(NOT(ISNA(VLOOKUP(E2009,E$1:E2008,1,FALSE()))),"OLD",IF(AND(E2009&lt;&gt;"",E2009&lt;&gt;"!!!"),"NEW","")))</f>
        <v/>
      </c>
      <c r="G2009" s="22" t="str">
        <f>IF(OR(E2009="",E2009="!!!"),"",IF(OR(J2009=0,AND(J2009=1,K2009=1),AND(J2009=1,I2009="SBJ"),AND(J2009=1,I2009=0)),"?IN_FOCUS",IF(J2009&lt;=2,"?ACTIVATED",IF(J2009&lt;&gt;"","?FAMILIAR",IF(F2009="NEW",IF(ISNA(VLOOKUP(E2009,#REF!,1,FALSE())),"?TYPE_IDENTIFIABLE","?REFERENTIAL"),"_")))))</f>
        <v/>
      </c>
      <c r="H2009" s="23" t="str">
        <f t="shared" ca="1" si="223"/>
        <v/>
      </c>
      <c r="I2009" s="24" t="str">
        <f>IF(OR(E2009="",E2009="!!!",F2009="NEW"),"",INDEX(B$2:B2008,-1+SUMPRODUCT(MAX(ROW(E$2:E2008)*(E2009=E$2:E2008)))))</f>
        <v/>
      </c>
      <c r="J2009" s="24" t="str">
        <f ca="1">IF(OR(E2009="",E2009="!!!",F2009="NEW"),"",COUNTBLANK(OFFSET(A$1,,,SUMPRODUCT(MAX(ROW(E$2:E2009)*(E2009=E$2:E2009)))))-COUNTBLANK(OFFSET(A$1,,,SUMPRODUCT(MAX(ROW(E$1:E2008)*(E2=E$1:E2008))))))</f>
        <v/>
      </c>
      <c r="K2009" s="24" t="str">
        <f>IF(OR(E2009="",E2009="!!!",F2009="NEW"),"",INDEX(J$1:J2008,SUMPRODUCT(MAX(ROW(E$1:E2008)*(E2009=E$1:E2008)))))</f>
        <v/>
      </c>
      <c r="L2009" s="25"/>
    </row>
    <row r="2010" spans="1:12" x14ac:dyDescent="0.2">
      <c r="A2010" t="s">
        <v>821</v>
      </c>
      <c r="E2010" s="20" t="str">
        <f t="shared" si="222"/>
        <v/>
      </c>
      <c r="F2010" s="21" t="str">
        <f>IF(OR(E2010="",E2010="!!!"),"",IF(NOT(ISNA(VLOOKUP(E2010,E$1:E2009,1,FALSE()))),"OLD",IF(AND(E2010&lt;&gt;"",E2010&lt;&gt;"!!!"),"NEW","")))</f>
        <v/>
      </c>
      <c r="G2010" s="22" t="str">
        <f>IF(OR(E2010="",E2010="!!!"),"",IF(OR(J2010=0,AND(J2010=1,K2010=1),AND(J2010=1,I2010="SBJ"),AND(J2010=1,I2010=0)),"?IN_FOCUS",IF(J2010&lt;=2,"?ACTIVATED",IF(J2010&lt;&gt;"","?FAMILIAR",IF(F2010="NEW",IF(ISNA(VLOOKUP(E2010,#REF!,1,FALSE())),"?TYPE_IDENTIFIABLE","?REFERENTIAL"),"_")))))</f>
        <v/>
      </c>
      <c r="H2010" s="23" t="str">
        <f t="shared" ca="1" si="223"/>
        <v/>
      </c>
      <c r="I2010" s="24" t="str">
        <f>IF(OR(E2010="",E2010="!!!",F2010="NEW"),"",INDEX(B$2:B2009,-1+SUMPRODUCT(MAX(ROW(E$2:E2009)*(E2010=E$2:E2009)))))</f>
        <v/>
      </c>
      <c r="J2010" s="24" t="str">
        <f ca="1">IF(OR(E2010="",E2010="!!!",F2010="NEW"),"",COUNTBLANK(OFFSET(A$1,,,SUMPRODUCT(MAX(ROW(E$2:E2010)*(E2010=E$2:E2010)))))-COUNTBLANK(OFFSET(A$1,,,SUMPRODUCT(MAX(ROW(E$1:E2009)*(E2=E$1:E2009))))))</f>
        <v/>
      </c>
      <c r="K2010" s="24" t="str">
        <f>IF(OR(E2010="",E2010="!!!",F2010="NEW"),"",INDEX(J$1:J2009,SUMPRODUCT(MAX(ROW(E$1:E2009)*(E2010=E$1:E2009)))))</f>
        <v/>
      </c>
      <c r="L2010" s="25"/>
    </row>
    <row r="2012" spans="1:12" x14ac:dyDescent="0.2">
      <c r="A2012" t="s">
        <v>1445</v>
      </c>
    </row>
    <row r="2013" spans="1:12" x14ac:dyDescent="0.2">
      <c r="A2013" t="s">
        <v>1079</v>
      </c>
      <c r="E2013" s="20" t="str">
        <f t="shared" ref="E2013:E2031" si="224">IF(D2013="?OLD","!!!","")</f>
        <v/>
      </c>
      <c r="F2013" s="21" t="str">
        <f>IF(OR(E2013="",E2013="!!!"),"",IF(NOT(ISNA(VLOOKUP(E2013,E$1:E2012,1,FALSE()))),"OLD",IF(AND(E2013&lt;&gt;"",E2013&lt;&gt;"!!!"),"NEW","")))</f>
        <v/>
      </c>
      <c r="G2013" s="22" t="str">
        <f>IF(OR(E2013="",E2013="!!!"),"",IF(OR(J2013=0,AND(J2013=1,K2013=1),AND(J2013=1,I2013="SBJ"),AND(J2013=1,I2013=0)),"?IN_FOCUS",IF(J2013&lt;=2,"?ACTIVATED",IF(J2013&lt;&gt;"","?FAMILIAR",IF(F2013="NEW",IF(ISNA(VLOOKUP(E2013,#REF!,1,FALSE())),"?TYPE_IDENTIFIABLE","?REFERENTIAL"),"_")))))</f>
        <v/>
      </c>
      <c r="H2013" s="23" t="str">
        <f t="shared" ref="H2013:H2031" ca="1" si="225">IF(J2013&lt;&gt;1,"",IF(I2013="SBJ","CB","?"))</f>
        <v/>
      </c>
      <c r="I2013" s="24" t="str">
        <f>IF(OR(E2013="",E2013="!!!",F2013="NEW"),"",INDEX(B$2:B2012,-1+SUMPRODUCT(MAX(ROW(E$2:E2012)*(E2013=E$2:E2012)))))</f>
        <v/>
      </c>
      <c r="J2013" s="24" t="str">
        <f ca="1">IF(OR(E2013="",E2013="!!!",F2013="NEW"),"",COUNTBLANK(OFFSET(A$1,,,SUMPRODUCT(MAX(ROW(E$2:E2013)*(E2013=E$2:E2013)))))-COUNTBLANK(OFFSET(A$1,,,SUMPRODUCT(MAX(ROW(E$1:E2012)*(E2=E$1:E2012))))))</f>
        <v/>
      </c>
      <c r="K2013" s="24" t="str">
        <f>IF(OR(E2013="",E2013="!!!",F2013="NEW"),"",INDEX(J$1:J2012,SUMPRODUCT(MAX(ROW(E$1:E2012)*(E2013=E$1:E2012)))))</f>
        <v/>
      </c>
      <c r="L2013" s="25"/>
    </row>
    <row r="2014" spans="1:12" x14ac:dyDescent="0.2">
      <c r="A2014" t="s">
        <v>802</v>
      </c>
      <c r="E2014" s="20" t="str">
        <f t="shared" si="224"/>
        <v/>
      </c>
      <c r="F2014" s="21" t="str">
        <f>IF(OR(E2014="",E2014="!!!"),"",IF(NOT(ISNA(VLOOKUP(E2014,E$1:E2013,1,FALSE()))),"OLD",IF(AND(E2014&lt;&gt;"",E2014&lt;&gt;"!!!"),"NEW","")))</f>
        <v/>
      </c>
      <c r="G2014" s="22" t="str">
        <f>IF(OR(E2014="",E2014="!!!"),"",IF(OR(J2014=0,AND(J2014=1,K2014=1),AND(J2014=1,I2014="SBJ"),AND(J2014=1,I2014=0)),"?IN_FOCUS",IF(J2014&lt;=2,"?ACTIVATED",IF(J2014&lt;&gt;"","?FAMILIAR",IF(F2014="NEW",IF(ISNA(VLOOKUP(E2014,#REF!,1,FALSE())),"?TYPE_IDENTIFIABLE","?REFERENTIAL"),"_")))))</f>
        <v/>
      </c>
      <c r="H2014" s="23" t="str">
        <f t="shared" ca="1" si="225"/>
        <v/>
      </c>
      <c r="I2014" s="24" t="str">
        <f>IF(OR(E2014="",E2014="!!!",F2014="NEW"),"",INDEX(B$2:B2013,-1+SUMPRODUCT(MAX(ROW(E$2:E2013)*(E2014=E$2:E2013)))))</f>
        <v/>
      </c>
      <c r="J2014" s="24" t="str">
        <f ca="1">IF(OR(E2014="",E2014="!!!",F2014="NEW"),"",COUNTBLANK(OFFSET(A$1,,,SUMPRODUCT(MAX(ROW(E$2:E2014)*(E2014=E$2:E2014)))))-COUNTBLANK(OFFSET(A$1,,,SUMPRODUCT(MAX(ROW(E$1:E2013)*(E2=E$1:E2013))))))</f>
        <v/>
      </c>
      <c r="K2014" s="24" t="str">
        <f>IF(OR(E2014="",E2014="!!!",F2014="NEW"),"",INDEX(J$1:J2013,SUMPRODUCT(MAX(ROW(E$1:E2013)*(E2014=E$1:E2013)))))</f>
        <v/>
      </c>
      <c r="L2014" s="25"/>
    </row>
    <row r="2015" spans="1:12" x14ac:dyDescent="0.2">
      <c r="A2015" t="s">
        <v>1446</v>
      </c>
      <c r="E2015" s="20" t="str">
        <f t="shared" si="224"/>
        <v/>
      </c>
      <c r="F2015" s="21" t="str">
        <f>IF(OR(E2015="",E2015="!!!"),"",IF(NOT(ISNA(VLOOKUP(E2015,E$1:E2014,1,FALSE()))),"OLD",IF(AND(E2015&lt;&gt;"",E2015&lt;&gt;"!!!"),"NEW","")))</f>
        <v/>
      </c>
      <c r="G2015" s="22" t="str">
        <f>IF(OR(E2015="",E2015="!!!"),"",IF(OR(J2015=0,AND(J2015=1,K2015=1),AND(J2015=1,I2015="SBJ"),AND(J2015=1,I2015=0)),"?IN_FOCUS",IF(J2015&lt;=2,"?ACTIVATED",IF(J2015&lt;&gt;"","?FAMILIAR",IF(F2015="NEW",IF(ISNA(VLOOKUP(E2015,#REF!,1,FALSE())),"?TYPE_IDENTIFIABLE","?REFERENTIAL"),"_")))))</f>
        <v/>
      </c>
      <c r="H2015" s="23" t="str">
        <f t="shared" ca="1" si="225"/>
        <v/>
      </c>
      <c r="I2015" s="24" t="str">
        <f>IF(OR(E2015="",E2015="!!!",F2015="NEW"),"",INDEX(B$2:B2014,-1+SUMPRODUCT(MAX(ROW(E$2:E2014)*(E2015=E$2:E2014)))))</f>
        <v/>
      </c>
      <c r="J2015" s="24" t="str">
        <f ca="1">IF(OR(E2015="",E2015="!!!",F2015="NEW"),"",COUNTBLANK(OFFSET(A$1,,,SUMPRODUCT(MAX(ROW(E$2:E2015)*(E2015=E$2:E2015)))))-COUNTBLANK(OFFSET(A$1,,,SUMPRODUCT(MAX(ROW(E$1:E2014)*(E2=E$1:E2014))))))</f>
        <v/>
      </c>
      <c r="K2015" s="24" t="str">
        <f>IF(OR(E2015="",E2015="!!!",F2015="NEW"),"",INDEX(J$1:J2014,SUMPRODUCT(MAX(ROW(E$1:E2014)*(E2015=E$1:E2014)))))</f>
        <v/>
      </c>
      <c r="L2015" s="25"/>
    </row>
    <row r="2016" spans="1:12" x14ac:dyDescent="0.2">
      <c r="A2016" t="s">
        <v>1447</v>
      </c>
      <c r="B2016" s="26" t="s">
        <v>804</v>
      </c>
      <c r="C2016" s="26" t="s">
        <v>814</v>
      </c>
      <c r="E2016" s="20" t="str">
        <f t="shared" si="224"/>
        <v/>
      </c>
      <c r="F2016" s="21" t="str">
        <f>IF(OR(E2016="",E2016="!!!"),"",IF(NOT(ISNA(VLOOKUP(E2016,E$1:E2015,1,FALSE()))),"OLD",IF(AND(E2016&lt;&gt;"",E2016&lt;&gt;"!!!"),"NEW","")))</f>
        <v/>
      </c>
      <c r="G2016" s="22" t="str">
        <f>IF(OR(E2016="",E2016="!!!"),"",IF(OR(J2016=0,AND(J2016=1,K2016=1),AND(J2016=1,I2016="SBJ"),AND(J2016=1,I2016=0)),"?IN_FOCUS",IF(J2016&lt;=2,"?ACTIVATED",IF(J2016&lt;&gt;"","?FAMILIAR",IF(F2016="NEW",IF(ISNA(VLOOKUP(E2016,#REF!,1,FALSE())),"?TYPE_IDENTIFIABLE","?REFERENTIAL"),"_")))))</f>
        <v/>
      </c>
      <c r="H2016" s="23" t="str">
        <f t="shared" ca="1" si="225"/>
        <v/>
      </c>
      <c r="I2016" s="24" t="str">
        <f>IF(OR(E2016="",E2016="!!!",F2016="NEW"),"",INDEX(B$2:B2015,-1+SUMPRODUCT(MAX(ROW(E$2:E2015)*(E2016=E$2:E2015)))))</f>
        <v/>
      </c>
      <c r="J2016" s="24" t="str">
        <f ca="1">IF(OR(E2016="",E2016="!!!",F2016="NEW"),"",COUNTBLANK(OFFSET(A$1,,,SUMPRODUCT(MAX(ROW(E$2:E2016)*(E2016=E$2:E2016)))))-COUNTBLANK(OFFSET(A$1,,,SUMPRODUCT(MAX(ROW(E$1:E2015)*(E2=E$1:E2015))))))</f>
        <v/>
      </c>
      <c r="K2016" s="24" t="str">
        <f>IF(OR(E2016="",E2016="!!!",F2016="NEW"),"",INDEX(J$1:J2015,SUMPRODUCT(MAX(ROW(E$1:E2015)*(E2016=E$1:E2015)))))</f>
        <v/>
      </c>
      <c r="L2016" s="25"/>
    </row>
    <row r="2017" spans="1:12" x14ac:dyDescent="0.2">
      <c r="A2017" t="s">
        <v>802</v>
      </c>
      <c r="E2017" s="20" t="str">
        <f t="shared" si="224"/>
        <v/>
      </c>
      <c r="F2017" s="21" t="str">
        <f>IF(OR(E2017="",E2017="!!!"),"",IF(NOT(ISNA(VLOOKUP(E2017,E$1:E2016,1,FALSE()))),"OLD",IF(AND(E2017&lt;&gt;"",E2017&lt;&gt;"!!!"),"NEW","")))</f>
        <v/>
      </c>
      <c r="G2017" s="22" t="str">
        <f>IF(OR(E2017="",E2017="!!!"),"",IF(OR(J2017=0,AND(J2017=1,K2017=1),AND(J2017=1,I2017="SBJ"),AND(J2017=1,I2017=0)),"?IN_FOCUS",IF(J2017&lt;=2,"?ACTIVATED",IF(J2017&lt;&gt;"","?FAMILIAR",IF(F2017="NEW",IF(ISNA(VLOOKUP(E2017,#REF!,1,FALSE())),"?TYPE_IDENTIFIABLE","?REFERENTIAL"),"_")))))</f>
        <v/>
      </c>
      <c r="H2017" s="23" t="str">
        <f t="shared" ca="1" si="225"/>
        <v/>
      </c>
      <c r="I2017" s="24" t="str">
        <f>IF(OR(E2017="",E2017="!!!",F2017="NEW"),"",INDEX(B$2:B2016,-1+SUMPRODUCT(MAX(ROW(E$2:E2016)*(E2017=E$2:E2016)))))</f>
        <v/>
      </c>
      <c r="J2017" s="24" t="str">
        <f ca="1">IF(OR(E2017="",E2017="!!!",F2017="NEW"),"",COUNTBLANK(OFFSET(A$1,,,SUMPRODUCT(MAX(ROW(E$2:E2017)*(E2017=E$2:E2017)))))-COUNTBLANK(OFFSET(A$1,,,SUMPRODUCT(MAX(ROW(E$1:E2016)*(E2=E$1:E2016))))))</f>
        <v/>
      </c>
      <c r="K2017" s="24" t="str">
        <f>IF(OR(E2017="",E2017="!!!",F2017="NEW"),"",INDEX(J$1:J2016,SUMPRODUCT(MAX(ROW(E$1:E2016)*(E2017=E$1:E2016)))))</f>
        <v/>
      </c>
      <c r="L2017" s="25"/>
    </row>
    <row r="2018" spans="1:12" x14ac:dyDescent="0.2">
      <c r="A2018" t="s">
        <v>875</v>
      </c>
      <c r="E2018" s="20" t="str">
        <f t="shared" si="224"/>
        <v/>
      </c>
      <c r="F2018" s="21" t="str">
        <f>IF(OR(E2018="",E2018="!!!"),"",IF(NOT(ISNA(VLOOKUP(E2018,E$1:E2017,1,FALSE()))),"OLD",IF(AND(E2018&lt;&gt;"",E2018&lt;&gt;"!!!"),"NEW","")))</f>
        <v/>
      </c>
      <c r="G2018" s="22" t="str">
        <f>IF(OR(E2018="",E2018="!!!"),"",IF(OR(J2018=0,AND(J2018=1,K2018=1),AND(J2018=1,I2018="SBJ"),AND(J2018=1,I2018=0)),"?IN_FOCUS",IF(J2018&lt;=2,"?ACTIVATED",IF(J2018&lt;&gt;"","?FAMILIAR",IF(F2018="NEW",IF(ISNA(VLOOKUP(E2018,#REF!,1,FALSE())),"?TYPE_IDENTIFIABLE","?REFERENTIAL"),"_")))))</f>
        <v/>
      </c>
      <c r="H2018" s="23" t="str">
        <f t="shared" ca="1" si="225"/>
        <v/>
      </c>
      <c r="I2018" s="24" t="str">
        <f>IF(OR(E2018="",E2018="!!!",F2018="NEW"),"",INDEX(B$2:B2017,-1+SUMPRODUCT(MAX(ROW(E$2:E2017)*(E2018=E$2:E2017)))))</f>
        <v/>
      </c>
      <c r="J2018" s="24" t="str">
        <f ca="1">IF(OR(E2018="",E2018="!!!",F2018="NEW"),"",COUNTBLANK(OFFSET(A$1,,,SUMPRODUCT(MAX(ROW(E$2:E2018)*(E2018=E$2:E2018)))))-COUNTBLANK(OFFSET(A$1,,,SUMPRODUCT(MAX(ROW(E$1:E2017)*(E2=E$1:E2017))))))</f>
        <v/>
      </c>
      <c r="K2018" s="24" t="str">
        <f>IF(OR(E2018="",E2018="!!!",F2018="NEW"),"",INDEX(J$1:J2017,SUMPRODUCT(MAX(ROW(E$1:E2017)*(E2018=E$1:E2017)))))</f>
        <v/>
      </c>
      <c r="L2018" s="25"/>
    </row>
    <row r="2019" spans="1:12" x14ac:dyDescent="0.2">
      <c r="A2019" t="s">
        <v>1406</v>
      </c>
      <c r="B2019" s="26" t="s">
        <v>813</v>
      </c>
      <c r="C2019" s="26" t="s">
        <v>877</v>
      </c>
      <c r="D2019" s="26" t="s">
        <v>806</v>
      </c>
      <c r="E2019" s="20" t="s">
        <v>1776</v>
      </c>
      <c r="F2019" s="21" t="str">
        <f>IF(OR(E2019="",E2019="!!!"),"",IF(NOT(ISNA(VLOOKUP(E2019,E$1:E2018,1,FALSE()))),"OLD",IF(AND(E2019&lt;&gt;"",E2019&lt;&gt;"!!!"),"NEW","")))</f>
        <v>OLD</v>
      </c>
      <c r="G2019" s="22" t="s">
        <v>1822</v>
      </c>
      <c r="H2019" s="23" t="str">
        <f t="shared" ca="1" si="225"/>
        <v/>
      </c>
      <c r="I2019" s="24" t="str">
        <f>IF(OR(E2019="",E2019="!!!",F2019="NEW"),"",INDEX(B$2:B2018,-1+SUMPRODUCT(MAX(ROW(E$2:E2018)*(E2019=E$2:E2018)))))</f>
        <v>other_2</v>
      </c>
      <c r="J2019" s="24">
        <f ca="1">IF(OR(E2019="",E2019="!!!",F2019="NEW"),"",COUNTBLANK(OFFSET(A$1,,,SUMPRODUCT(MAX(ROW(E$2:E2019)*(E2019=E$2:E2019)))))-COUNTBLANK(OFFSET(A$1,,,SUMPRODUCT(MAX(ROW(E$1:E2018)*(E2=E$1:E2018))))))</f>
        <v>0</v>
      </c>
      <c r="K2019" s="24">
        <f ca="1">IF(OR(E2019="",E2019="!!!",F2019="NEW"),"",INDEX(J$1:J2018,SUMPRODUCT(MAX(ROW(E$1:E2018)*(E2019=E$1:E2018)))))</f>
        <v>0</v>
      </c>
      <c r="L2019" s="25"/>
    </row>
    <row r="2020" spans="1:12" x14ac:dyDescent="0.2">
      <c r="A2020" t="s">
        <v>1161</v>
      </c>
      <c r="E2020" s="20" t="str">
        <f t="shared" si="224"/>
        <v/>
      </c>
      <c r="F2020" s="21" t="str">
        <f>IF(OR(E2020="",E2020="!!!"),"",IF(NOT(ISNA(VLOOKUP(E2020,E$1:E2019,1,FALSE()))),"OLD",IF(AND(E2020&lt;&gt;"",E2020&lt;&gt;"!!!"),"NEW","")))</f>
        <v/>
      </c>
      <c r="G2020" s="22" t="str">
        <f>IF(OR(E2020="",E2020="!!!"),"",IF(OR(J2020=0,AND(J2020=1,K2020=1),AND(J2020=1,I2020="SBJ"),AND(J2020=1,I2020=0)),"?IN_FOCUS",IF(J2020&lt;=2,"?ACTIVATED",IF(J2020&lt;&gt;"","?FAMILIAR",IF(F2020="NEW",IF(ISNA(VLOOKUP(E2020,#REF!,1,FALSE())),"?TYPE_IDENTIFIABLE","?REFERENTIAL"),"_")))))</f>
        <v/>
      </c>
      <c r="H2020" s="23" t="str">
        <f t="shared" ca="1" si="225"/>
        <v/>
      </c>
      <c r="I2020" s="24" t="str">
        <f>IF(OR(E2020="",E2020="!!!",F2020="NEW"),"",INDEX(B$2:B2019,-1+SUMPRODUCT(MAX(ROW(E$2:E2019)*(E2020=E$2:E2019)))))</f>
        <v/>
      </c>
      <c r="J2020" s="24" t="str">
        <f ca="1">IF(OR(E2020="",E2020="!!!",F2020="NEW"),"",COUNTBLANK(OFFSET(A$1,,,SUMPRODUCT(MAX(ROW(E$2:E2020)*(E2020=E$2:E2020)))))-COUNTBLANK(OFFSET(A$1,,,SUMPRODUCT(MAX(ROW(E$1:E2019)*(E2=E$1:E2019))))))</f>
        <v/>
      </c>
      <c r="K2020" s="24" t="str">
        <f>IF(OR(E2020="",E2020="!!!",F2020="NEW"),"",INDEX(J$1:J2019,SUMPRODUCT(MAX(ROW(E$1:E2019)*(E2020=E$1:E2019)))))</f>
        <v/>
      </c>
      <c r="L2020" s="25"/>
    </row>
    <row r="2021" spans="1:12" x14ac:dyDescent="0.2">
      <c r="A2021" t="s">
        <v>1448</v>
      </c>
      <c r="E2021" s="20" t="str">
        <f t="shared" si="224"/>
        <v/>
      </c>
      <c r="F2021" s="21" t="str">
        <f>IF(OR(E2021="",E2021="!!!"),"",IF(NOT(ISNA(VLOOKUP(E2021,E$1:E2020,1,FALSE()))),"OLD",IF(AND(E2021&lt;&gt;"",E2021&lt;&gt;"!!!"),"NEW","")))</f>
        <v/>
      </c>
      <c r="G2021" s="22" t="str">
        <f>IF(OR(E2021="",E2021="!!!"),"",IF(OR(J2021=0,AND(J2021=1,K2021=1),AND(J2021=1,I2021="SBJ"),AND(J2021=1,I2021=0)),"?IN_FOCUS",IF(J2021&lt;=2,"?ACTIVATED",IF(J2021&lt;&gt;"","?FAMILIAR",IF(F2021="NEW",IF(ISNA(VLOOKUP(E2021,#REF!,1,FALSE())),"?TYPE_IDENTIFIABLE","?REFERENTIAL"),"_")))))</f>
        <v/>
      </c>
      <c r="H2021" s="23" t="str">
        <f t="shared" ca="1" si="225"/>
        <v/>
      </c>
      <c r="I2021" s="24" t="str">
        <f>IF(OR(E2021="",E2021="!!!",F2021="NEW"),"",INDEX(B$2:B2020,-1+SUMPRODUCT(MAX(ROW(E$2:E2020)*(E2021=E$2:E2020)))))</f>
        <v/>
      </c>
      <c r="J2021" s="24" t="str">
        <f ca="1">IF(OR(E2021="",E2021="!!!",F2021="NEW"),"",COUNTBLANK(OFFSET(A$1,,,SUMPRODUCT(MAX(ROW(E$2:E2021)*(E2021=E$2:E2021)))))-COUNTBLANK(OFFSET(A$1,,,SUMPRODUCT(MAX(ROW(E$1:E2020)*(E2=E$1:E2020))))))</f>
        <v/>
      </c>
      <c r="K2021" s="24" t="str">
        <f>IF(OR(E2021="",E2021="!!!",F2021="NEW"),"",INDEX(J$1:J2020,SUMPRODUCT(MAX(ROW(E$1:E2020)*(E2021=E$1:E2020)))))</f>
        <v/>
      </c>
      <c r="L2021" s="25"/>
    </row>
    <row r="2022" spans="1:12" x14ac:dyDescent="0.2">
      <c r="A2022" t="s">
        <v>1240</v>
      </c>
      <c r="B2022" s="26" t="s">
        <v>810</v>
      </c>
      <c r="C2022" s="26" t="s">
        <v>884</v>
      </c>
      <c r="E2022" s="20" t="str">
        <f t="shared" si="224"/>
        <v/>
      </c>
      <c r="F2022" s="21" t="str">
        <f>IF(OR(E2022="",E2022="!!!"),"",IF(NOT(ISNA(VLOOKUP(E2022,E$1:E2021,1,FALSE()))),"OLD",IF(AND(E2022&lt;&gt;"",E2022&lt;&gt;"!!!"),"NEW","")))</f>
        <v/>
      </c>
      <c r="G2022" s="22" t="str">
        <f>IF(OR(E2022="",E2022="!!!"),"",IF(OR(J2022=0,AND(J2022=1,K2022=1),AND(J2022=1,I2022="SBJ"),AND(J2022=1,I2022=0)),"?IN_FOCUS",IF(J2022&lt;=2,"?ACTIVATED",IF(J2022&lt;&gt;"","?FAMILIAR",IF(F2022="NEW",IF(ISNA(VLOOKUP(E2022,#REF!,1,FALSE())),"?TYPE_IDENTIFIABLE","?REFERENTIAL"),"_")))))</f>
        <v/>
      </c>
      <c r="H2022" s="23" t="str">
        <f t="shared" ca="1" si="225"/>
        <v/>
      </c>
      <c r="I2022" s="24" t="str">
        <f>IF(OR(E2022="",E2022="!!!",F2022="NEW"),"",INDEX(B$2:B2021,-1+SUMPRODUCT(MAX(ROW(E$2:E2021)*(E2022=E$2:E2021)))))</f>
        <v/>
      </c>
      <c r="J2022" s="24" t="str">
        <f ca="1">IF(OR(E2022="",E2022="!!!",F2022="NEW"),"",COUNTBLANK(OFFSET(A$1,,,SUMPRODUCT(MAX(ROW(E$2:E2022)*(E2022=E$2:E2022)))))-COUNTBLANK(OFFSET(A$1,,,SUMPRODUCT(MAX(ROW(E$1:E2021)*(E2=E$1:E2021))))))</f>
        <v/>
      </c>
      <c r="K2022" s="24" t="str">
        <f>IF(OR(E2022="",E2022="!!!",F2022="NEW"),"",INDEX(J$1:J2021,SUMPRODUCT(MAX(ROW(E$1:E2021)*(E2022=E$1:E2021)))))</f>
        <v/>
      </c>
      <c r="L2022" s="25"/>
    </row>
    <row r="2023" spans="1:12" x14ac:dyDescent="0.2">
      <c r="A2023" t="s">
        <v>844</v>
      </c>
      <c r="E2023" s="20" t="str">
        <f t="shared" si="224"/>
        <v/>
      </c>
      <c r="F2023" s="21" t="str">
        <f>IF(OR(E2023="",E2023="!!!"),"",IF(NOT(ISNA(VLOOKUP(E2023,E$1:E2022,1,FALSE()))),"OLD",IF(AND(E2023&lt;&gt;"",E2023&lt;&gt;"!!!"),"NEW","")))</f>
        <v/>
      </c>
      <c r="G2023" s="22" t="str">
        <f>IF(OR(E2023="",E2023="!!!"),"",IF(OR(J2023=0,AND(J2023=1,K2023=1),AND(J2023=1,I2023="SBJ"),AND(J2023=1,I2023=0)),"?IN_FOCUS",IF(J2023&lt;=2,"?ACTIVATED",IF(J2023&lt;&gt;"","?FAMILIAR",IF(F2023="NEW",IF(ISNA(VLOOKUP(E2023,#REF!,1,FALSE())),"?TYPE_IDENTIFIABLE","?REFERENTIAL"),"_")))))</f>
        <v/>
      </c>
      <c r="H2023" s="23" t="str">
        <f t="shared" ca="1" si="225"/>
        <v/>
      </c>
      <c r="I2023" s="24" t="str">
        <f>IF(OR(E2023="",E2023="!!!",F2023="NEW"),"",INDEX(B$2:B2022,-1+SUMPRODUCT(MAX(ROW(E$2:E2022)*(E2023=E$2:E2022)))))</f>
        <v/>
      </c>
      <c r="J2023" s="24" t="str">
        <f ca="1">IF(OR(E2023="",E2023="!!!",F2023="NEW"),"",COUNTBLANK(OFFSET(A$1,,,SUMPRODUCT(MAX(ROW(E$2:E2023)*(E2023=E$2:E2023)))))-COUNTBLANK(OFFSET(A$1,,,SUMPRODUCT(MAX(ROW(E$1:E2022)*(E2=E$1:E2022))))))</f>
        <v/>
      </c>
      <c r="K2023" s="24" t="str">
        <f>IF(OR(E2023="",E2023="!!!",F2023="NEW"),"",INDEX(J$1:J2022,SUMPRODUCT(MAX(ROW(E$1:E2022)*(E2023=E$1:E2022)))))</f>
        <v/>
      </c>
      <c r="L2023" s="25"/>
    </row>
    <row r="2024" spans="1:12" x14ac:dyDescent="0.2">
      <c r="A2024" t="s">
        <v>830</v>
      </c>
      <c r="B2024" s="26" t="s">
        <v>819</v>
      </c>
      <c r="C2024" s="26" t="s">
        <v>805</v>
      </c>
      <c r="D2024" s="26" t="s">
        <v>806</v>
      </c>
      <c r="E2024" s="20" t="s">
        <v>1776</v>
      </c>
      <c r="F2024" s="21" t="str">
        <f>IF(OR(E2024="",E2024="!!!"),"",IF(NOT(ISNA(VLOOKUP(E2024,E$1:E2023,1,FALSE()))),"OLD",IF(AND(E2024&lt;&gt;"",E2024&lt;&gt;"!!!"),"NEW","")))</f>
        <v>OLD</v>
      </c>
      <c r="G2024" s="22" t="s">
        <v>1822</v>
      </c>
      <c r="H2024" s="23" t="str">
        <f t="shared" ca="1" si="225"/>
        <v/>
      </c>
      <c r="I2024" s="24" t="str">
        <f>IF(OR(E2024="",E2024="!!!",F2024="NEW"),"",INDEX(B$2:B2023,-1+SUMPRODUCT(MAX(ROW(E$2:E2023)*(E2024=E$2:E2023)))))</f>
        <v>other_2</v>
      </c>
      <c r="J2024" s="24">
        <f ca="1">IF(OR(E2024="",E2024="!!!",F2024="NEW"),"",COUNTBLANK(OFFSET(A$1,,,SUMPRODUCT(MAX(ROW(E$2:E2024)*(E2024=E$2:E2024)))))-COUNTBLANK(OFFSET(A$1,,,SUMPRODUCT(MAX(ROW(E$1:E2023)*(E2=E$1:E2023))))))</f>
        <v>0</v>
      </c>
      <c r="K2024" s="24">
        <f ca="1">IF(OR(E2024="",E2024="!!!",F2024="NEW"),"",INDEX(J$1:J2023,SUMPRODUCT(MAX(ROW(E$1:E2023)*(E2024=E$1:E2023)))))</f>
        <v>0</v>
      </c>
      <c r="L2024" s="25"/>
    </row>
    <row r="2025" spans="1:12" x14ac:dyDescent="0.2">
      <c r="A2025" t="s">
        <v>802</v>
      </c>
      <c r="E2025" s="20" t="str">
        <f t="shared" si="224"/>
        <v/>
      </c>
      <c r="F2025" s="21" t="str">
        <f>IF(OR(E2025="",E2025="!!!"),"",IF(NOT(ISNA(VLOOKUP(E2025,E$1:E2024,1,FALSE()))),"OLD",IF(AND(E2025&lt;&gt;"",E2025&lt;&gt;"!!!"),"NEW","")))</f>
        <v/>
      </c>
      <c r="G2025" s="22" t="str">
        <f>IF(OR(E2025="",E2025="!!!"),"",IF(OR(J2025=0,AND(J2025=1,K2025=1),AND(J2025=1,I2025="SBJ"),AND(J2025=1,I2025=0)),"?IN_FOCUS",IF(J2025&lt;=2,"?ACTIVATED",IF(J2025&lt;&gt;"","?FAMILIAR",IF(F2025="NEW",IF(ISNA(VLOOKUP(E2025,#REF!,1,FALSE())),"?TYPE_IDENTIFIABLE","?REFERENTIAL"),"_")))))</f>
        <v/>
      </c>
      <c r="H2025" s="23" t="str">
        <f t="shared" ca="1" si="225"/>
        <v/>
      </c>
      <c r="I2025" s="24" t="str">
        <f>IF(OR(E2025="",E2025="!!!",F2025="NEW"),"",INDEX(B$2:B2024,-1+SUMPRODUCT(MAX(ROW(E$2:E2024)*(E2025=E$2:E2024)))))</f>
        <v/>
      </c>
      <c r="J2025" s="24" t="str">
        <f ca="1">IF(OR(E2025="",E2025="!!!",F2025="NEW"),"",COUNTBLANK(OFFSET(A$1,,,SUMPRODUCT(MAX(ROW(E$2:E2025)*(E2025=E$2:E2025)))))-COUNTBLANK(OFFSET(A$1,,,SUMPRODUCT(MAX(ROW(E$1:E2024)*(E2=E$1:E2024))))))</f>
        <v/>
      </c>
      <c r="K2025" s="24" t="str">
        <f>IF(OR(E2025="",E2025="!!!",F2025="NEW"),"",INDEX(J$1:J2024,SUMPRODUCT(MAX(ROW(E$1:E2024)*(E2025=E$1:E2024)))))</f>
        <v/>
      </c>
      <c r="L2025" s="25"/>
    </row>
    <row r="2026" spans="1:12" x14ac:dyDescent="0.2">
      <c r="A2026" t="s">
        <v>832</v>
      </c>
      <c r="E2026" s="20" t="str">
        <f t="shared" si="224"/>
        <v/>
      </c>
      <c r="F2026" s="21" t="str">
        <f>IF(OR(E2026="",E2026="!!!"),"",IF(NOT(ISNA(VLOOKUP(E2026,E$1:E2025,1,FALSE()))),"OLD",IF(AND(E2026&lt;&gt;"",E2026&lt;&gt;"!!!"),"NEW","")))</f>
        <v/>
      </c>
      <c r="G2026" s="22" t="str">
        <f>IF(OR(E2026="",E2026="!!!"),"",IF(OR(J2026=0,AND(J2026=1,K2026=1),AND(J2026=1,I2026="SBJ"),AND(J2026=1,I2026=0)),"?IN_FOCUS",IF(J2026&lt;=2,"?ACTIVATED",IF(J2026&lt;&gt;"","?FAMILIAR",IF(F2026="NEW",IF(ISNA(VLOOKUP(E2026,#REF!,1,FALSE())),"?TYPE_IDENTIFIABLE","?REFERENTIAL"),"_")))))</f>
        <v/>
      </c>
      <c r="H2026" s="23" t="str">
        <f t="shared" ca="1" si="225"/>
        <v/>
      </c>
      <c r="I2026" s="24" t="str">
        <f>IF(OR(E2026="",E2026="!!!",F2026="NEW"),"",INDEX(B$2:B2025,-1+SUMPRODUCT(MAX(ROW(E$2:E2025)*(E2026=E$2:E2025)))))</f>
        <v/>
      </c>
      <c r="J2026" s="24" t="str">
        <f ca="1">IF(OR(E2026="",E2026="!!!",F2026="NEW"),"",COUNTBLANK(OFFSET(A$1,,,SUMPRODUCT(MAX(ROW(E$2:E2026)*(E2026=E$2:E2026)))))-COUNTBLANK(OFFSET(A$1,,,SUMPRODUCT(MAX(ROW(E$1:E2025)*(E2=E$1:E2025))))))</f>
        <v/>
      </c>
      <c r="K2026" s="24" t="str">
        <f>IF(OR(E2026="",E2026="!!!",F2026="NEW"),"",INDEX(J$1:J2025,SUMPRODUCT(MAX(ROW(E$1:E2025)*(E2026=E$1:E2025)))))</f>
        <v/>
      </c>
      <c r="L2026" s="25"/>
    </row>
    <row r="2027" spans="1:12" x14ac:dyDescent="0.2">
      <c r="A2027" t="s">
        <v>1449</v>
      </c>
      <c r="E2027" s="20" t="str">
        <f t="shared" si="224"/>
        <v/>
      </c>
      <c r="F2027" s="21" t="str">
        <f>IF(OR(E2027="",E2027="!!!"),"",IF(NOT(ISNA(VLOOKUP(E2027,E$1:E2026,1,FALSE()))),"OLD",IF(AND(E2027&lt;&gt;"",E2027&lt;&gt;"!!!"),"NEW","")))</f>
        <v/>
      </c>
      <c r="G2027" s="22" t="str">
        <f>IF(OR(E2027="",E2027="!!!"),"",IF(OR(J2027=0,AND(J2027=1,K2027=1),AND(J2027=1,I2027="SBJ"),AND(J2027=1,I2027=0)),"?IN_FOCUS",IF(J2027&lt;=2,"?ACTIVATED",IF(J2027&lt;&gt;"","?FAMILIAR",IF(F2027="NEW",IF(ISNA(VLOOKUP(E2027,#REF!,1,FALSE())),"?TYPE_IDENTIFIABLE","?REFERENTIAL"),"_")))))</f>
        <v/>
      </c>
      <c r="H2027" s="23" t="str">
        <f t="shared" ca="1" si="225"/>
        <v/>
      </c>
      <c r="I2027" s="24" t="str">
        <f>IF(OR(E2027="",E2027="!!!",F2027="NEW"),"",INDEX(B$2:B2026,-1+SUMPRODUCT(MAX(ROW(E$2:E2026)*(E2027=E$2:E2026)))))</f>
        <v/>
      </c>
      <c r="J2027" s="24" t="str">
        <f ca="1">IF(OR(E2027="",E2027="!!!",F2027="NEW"),"",COUNTBLANK(OFFSET(A$1,,,SUMPRODUCT(MAX(ROW(E$2:E2027)*(E2027=E$2:E2027)))))-COUNTBLANK(OFFSET(A$1,,,SUMPRODUCT(MAX(ROW(E$1:E2026)*(E2=E$1:E2026))))))</f>
        <v/>
      </c>
      <c r="K2027" s="24" t="str">
        <f>IF(OR(E2027="",E2027="!!!",F2027="NEW"),"",INDEX(J$1:J2026,SUMPRODUCT(MAX(ROW(E$1:E2026)*(E2027=E$1:E2026)))))</f>
        <v/>
      </c>
      <c r="L2027" s="25"/>
    </row>
    <row r="2028" spans="1:12" x14ac:dyDescent="0.2">
      <c r="A2028" t="s">
        <v>1450</v>
      </c>
      <c r="E2028" s="20" t="str">
        <f t="shared" si="224"/>
        <v/>
      </c>
      <c r="F2028" s="21" t="str">
        <f>IF(OR(E2028="",E2028="!!!"),"",IF(NOT(ISNA(VLOOKUP(E2028,E$1:E2027,1,FALSE()))),"OLD",IF(AND(E2028&lt;&gt;"",E2028&lt;&gt;"!!!"),"NEW","")))</f>
        <v/>
      </c>
      <c r="G2028" s="22" t="str">
        <f>IF(OR(E2028="",E2028="!!!"),"",IF(OR(J2028=0,AND(J2028=1,K2028=1),AND(J2028=1,I2028="SBJ"),AND(J2028=1,I2028=0)),"?IN_FOCUS",IF(J2028&lt;=2,"?ACTIVATED",IF(J2028&lt;&gt;"","?FAMILIAR",IF(F2028="NEW",IF(ISNA(VLOOKUP(E2028,#REF!,1,FALSE())),"?TYPE_IDENTIFIABLE","?REFERENTIAL"),"_")))))</f>
        <v/>
      </c>
      <c r="H2028" s="23" t="str">
        <f t="shared" ca="1" si="225"/>
        <v/>
      </c>
      <c r="I2028" s="24" t="str">
        <f>IF(OR(E2028="",E2028="!!!",F2028="NEW"),"",INDEX(B$2:B2027,-1+SUMPRODUCT(MAX(ROW(E$2:E2027)*(E2028=E$2:E2027)))))</f>
        <v/>
      </c>
      <c r="J2028" s="24" t="str">
        <f ca="1">IF(OR(E2028="",E2028="!!!",F2028="NEW"),"",COUNTBLANK(OFFSET(A$1,,,SUMPRODUCT(MAX(ROW(E$2:E2028)*(E2028=E$2:E2028)))))-COUNTBLANK(OFFSET(A$1,,,SUMPRODUCT(MAX(ROW(E$1:E2027)*(E2=E$1:E2027))))))</f>
        <v/>
      </c>
      <c r="K2028" s="24" t="str">
        <f>IF(OR(E2028="",E2028="!!!",F2028="NEW"),"",INDEX(J$1:J2027,SUMPRODUCT(MAX(ROW(E$1:E2027)*(E2028=E$1:E2027)))))</f>
        <v/>
      </c>
      <c r="L2028" s="25"/>
    </row>
    <row r="2029" spans="1:12" x14ac:dyDescent="0.2">
      <c r="A2029" t="s">
        <v>1146</v>
      </c>
      <c r="E2029" s="20" t="str">
        <f t="shared" si="224"/>
        <v/>
      </c>
      <c r="F2029" s="21" t="str">
        <f>IF(OR(E2029="",E2029="!!!"),"",IF(NOT(ISNA(VLOOKUP(E2029,E$1:E2028,1,FALSE()))),"OLD",IF(AND(E2029&lt;&gt;"",E2029&lt;&gt;"!!!"),"NEW","")))</f>
        <v/>
      </c>
      <c r="G2029" s="22" t="str">
        <f>IF(OR(E2029="",E2029="!!!"),"",IF(OR(J2029=0,AND(J2029=1,K2029=1),AND(J2029=1,I2029="SBJ"),AND(J2029=1,I2029=0)),"?IN_FOCUS",IF(J2029&lt;=2,"?ACTIVATED",IF(J2029&lt;&gt;"","?FAMILIAR",IF(F2029="NEW",IF(ISNA(VLOOKUP(E2029,#REF!,1,FALSE())),"?TYPE_IDENTIFIABLE","?REFERENTIAL"),"_")))))</f>
        <v/>
      </c>
      <c r="H2029" s="23" t="str">
        <f t="shared" ca="1" si="225"/>
        <v/>
      </c>
      <c r="I2029" s="24" t="str">
        <f>IF(OR(E2029="",E2029="!!!",F2029="NEW"),"",INDEX(B$2:B2028,-1+SUMPRODUCT(MAX(ROW(E$2:E2028)*(E2029=E$2:E2028)))))</f>
        <v/>
      </c>
      <c r="J2029" s="24" t="str">
        <f ca="1">IF(OR(E2029="",E2029="!!!",F2029="NEW"),"",COUNTBLANK(OFFSET(A$1,,,SUMPRODUCT(MAX(ROW(E$2:E2029)*(E2029=E$2:E2029)))))-COUNTBLANK(OFFSET(A$1,,,SUMPRODUCT(MAX(ROW(E$1:E2028)*(E2=E$1:E2028))))))</f>
        <v/>
      </c>
      <c r="K2029" s="24" t="str">
        <f>IF(OR(E2029="",E2029="!!!",F2029="NEW"),"",INDEX(J$1:J2028,SUMPRODUCT(MAX(ROW(E$1:E2028)*(E2029=E$1:E2028)))))</f>
        <v/>
      </c>
      <c r="L2029" s="25"/>
    </row>
    <row r="2030" spans="1:12" x14ac:dyDescent="0.2">
      <c r="A2030" t="s">
        <v>1451</v>
      </c>
      <c r="B2030" s="26" t="s">
        <v>810</v>
      </c>
      <c r="C2030" s="26" t="s">
        <v>884</v>
      </c>
      <c r="E2030" s="20" t="str">
        <f t="shared" si="224"/>
        <v/>
      </c>
      <c r="F2030" s="21" t="str">
        <f>IF(OR(E2030="",E2030="!!!"),"",IF(NOT(ISNA(VLOOKUP(E2030,E$1:E2029,1,FALSE()))),"OLD",IF(AND(E2030&lt;&gt;"",E2030&lt;&gt;"!!!"),"NEW","")))</f>
        <v/>
      </c>
      <c r="G2030" s="22" t="str">
        <f>IF(OR(E2030="",E2030="!!!"),"",IF(OR(J2030=0,AND(J2030=1,K2030=1),AND(J2030=1,I2030="SBJ"),AND(J2030=1,I2030=0)),"?IN_FOCUS",IF(J2030&lt;=2,"?ACTIVATED",IF(J2030&lt;&gt;"","?FAMILIAR",IF(F2030="NEW",IF(ISNA(VLOOKUP(E2030,#REF!,1,FALSE())),"?TYPE_IDENTIFIABLE","?REFERENTIAL"),"_")))))</f>
        <v/>
      </c>
      <c r="H2030" s="23" t="str">
        <f t="shared" ca="1" si="225"/>
        <v/>
      </c>
      <c r="I2030" s="24" t="str">
        <f>IF(OR(E2030="",E2030="!!!",F2030="NEW"),"",INDEX(B$2:B2029,-1+SUMPRODUCT(MAX(ROW(E$2:E2029)*(E2030=E$2:E2029)))))</f>
        <v/>
      </c>
      <c r="J2030" s="24" t="str">
        <f ca="1">IF(OR(E2030="",E2030="!!!",F2030="NEW"),"",COUNTBLANK(OFFSET(A$1,,,SUMPRODUCT(MAX(ROW(E$2:E2030)*(E2030=E$2:E2030)))))-COUNTBLANK(OFFSET(A$1,,,SUMPRODUCT(MAX(ROW(E$1:E2029)*(E2=E$1:E2029))))))</f>
        <v/>
      </c>
      <c r="K2030" s="24" t="str">
        <f>IF(OR(E2030="",E2030="!!!",F2030="NEW"),"",INDEX(J$1:J2029,SUMPRODUCT(MAX(ROW(E$1:E2029)*(E2030=E$1:E2029)))))</f>
        <v/>
      </c>
      <c r="L2030" s="25"/>
    </row>
    <row r="2031" spans="1:12" x14ac:dyDescent="0.2">
      <c r="A2031" t="s">
        <v>821</v>
      </c>
      <c r="E2031" s="20" t="str">
        <f t="shared" si="224"/>
        <v/>
      </c>
      <c r="F2031" s="21" t="str">
        <f>IF(OR(E2031="",E2031="!!!"),"",IF(NOT(ISNA(VLOOKUP(E2031,E$1:E2030,1,FALSE()))),"OLD",IF(AND(E2031&lt;&gt;"",E2031&lt;&gt;"!!!"),"NEW","")))</f>
        <v/>
      </c>
      <c r="G2031" s="22" t="str">
        <f>IF(OR(E2031="",E2031="!!!"),"",IF(OR(J2031=0,AND(J2031=1,K2031=1),AND(J2031=1,I2031="SBJ"),AND(J2031=1,I2031=0)),"?IN_FOCUS",IF(J2031&lt;=2,"?ACTIVATED",IF(J2031&lt;&gt;"","?FAMILIAR",IF(F2031="NEW",IF(ISNA(VLOOKUP(E2031,#REF!,1,FALSE())),"?TYPE_IDENTIFIABLE","?REFERENTIAL"),"_")))))</f>
        <v/>
      </c>
      <c r="H2031" s="23" t="str">
        <f t="shared" ca="1" si="225"/>
        <v/>
      </c>
      <c r="I2031" s="24" t="str">
        <f>IF(OR(E2031="",E2031="!!!",F2031="NEW"),"",INDEX(B$2:B2030,-1+SUMPRODUCT(MAX(ROW(E$2:E2030)*(E2031=E$2:E2030)))))</f>
        <v/>
      </c>
      <c r="J2031" s="24" t="str">
        <f ca="1">IF(OR(E2031="",E2031="!!!",F2031="NEW"),"",COUNTBLANK(OFFSET(A$1,,,SUMPRODUCT(MAX(ROW(E$2:E2031)*(E2031=E$2:E2031)))))-COUNTBLANK(OFFSET(A$1,,,SUMPRODUCT(MAX(ROW(E$1:E2030)*(E2=E$1:E2030))))))</f>
        <v/>
      </c>
      <c r="K2031" s="24" t="str">
        <f>IF(OR(E2031="",E2031="!!!",F2031="NEW"),"",INDEX(J$1:J2030,SUMPRODUCT(MAX(ROW(E$1:E2030)*(E2031=E$1:E2030)))))</f>
        <v/>
      </c>
      <c r="L2031" s="25"/>
    </row>
    <row r="2033" spans="1:12" x14ac:dyDescent="0.2">
      <c r="A2033" t="s">
        <v>900</v>
      </c>
      <c r="E2033" s="20" t="str">
        <f>IF(D2033="?OLD","!!!","")</f>
        <v/>
      </c>
      <c r="F2033" s="21" t="str">
        <f>IF(OR(E2033="",E2033="!!!"),"",IF(NOT(ISNA(VLOOKUP(E2033,E$1:E2032,1,FALSE()))),"OLD",IF(AND(E2033&lt;&gt;"",E2033&lt;&gt;"!!!"),"NEW","")))</f>
        <v/>
      </c>
      <c r="G2033" s="22" t="str">
        <f>IF(OR(E2033="",E2033="!!!"),"",IF(OR(J2033=0,AND(J2033=1,K2033=1),AND(J2033=1,I2033="SBJ"),AND(J2033=1,I2033=0)),"?IN_FOCUS",IF(J2033&lt;=2,"?ACTIVATED",IF(J2033&lt;&gt;"","?FAMILIAR",IF(F2033="NEW",IF(ISNA(VLOOKUP(E2033,#REF!,1,FALSE())),"?TYPE_IDENTIFIABLE","?REFERENTIAL"),"_")))))</f>
        <v/>
      </c>
      <c r="H2033" s="23" t="str">
        <f ca="1">IF(J2033&lt;&gt;1,"",IF(I2033="SBJ","CB","?"))</f>
        <v/>
      </c>
      <c r="I2033" s="24" t="str">
        <f>IF(OR(E2033="",E2033="!!!",F2033="NEW"),"",INDEX(B$2:B2032,-1+SUMPRODUCT(MAX(ROW(E$2:E2032)*(E2033=E$2:E2032)))))</f>
        <v/>
      </c>
      <c r="J2033" s="24" t="str">
        <f ca="1">IF(OR(E2033="",E2033="!!!",F2033="NEW"),"",COUNTBLANK(OFFSET(A$1,,,SUMPRODUCT(MAX(ROW(E$2:E2033)*(E2033=E$2:E2033)))))-COUNTBLANK(OFFSET(A$1,,,SUMPRODUCT(MAX(ROW(E$1:E2032)*(E2=E$1:E2032))))))</f>
        <v/>
      </c>
      <c r="K2033" s="24" t="str">
        <f>IF(OR(E2033="",E2033="!!!",F2033="NEW"),"",INDEX(J$1:J2032,SUMPRODUCT(MAX(ROW(E$1:E2032)*(E2033=E$1:E2032)))))</f>
        <v/>
      </c>
      <c r="L2033" s="25"/>
    </row>
    <row r="2034" spans="1:12" x14ac:dyDescent="0.2">
      <c r="A2034" t="s">
        <v>1452</v>
      </c>
    </row>
    <row r="2035" spans="1:12" x14ac:dyDescent="0.2">
      <c r="A2035" t="s">
        <v>837</v>
      </c>
      <c r="B2035" s="26" t="s">
        <v>804</v>
      </c>
      <c r="C2035" s="26" t="s">
        <v>805</v>
      </c>
      <c r="D2035" s="26" t="s">
        <v>806</v>
      </c>
      <c r="E2035" s="20" t="s">
        <v>1776</v>
      </c>
      <c r="F2035" s="21" t="str">
        <f>IF(OR(E2035="",E2035="!!!"),"",IF(NOT(ISNA(VLOOKUP(E2035,E$1:E2034,1,FALSE()))),"OLD",IF(AND(E2035&lt;&gt;"",E2035&lt;&gt;"!!!"),"NEW","")))</f>
        <v>OLD</v>
      </c>
      <c r="G2035" s="22" t="s">
        <v>1823</v>
      </c>
      <c r="H2035" s="23" t="str">
        <f t="shared" ref="H2035:H2057" ca="1" si="226">IF(J2035&lt;&gt;1,"",IF(I2035="SBJ","CB","?"))</f>
        <v/>
      </c>
      <c r="I2035" s="24" t="str">
        <f>IF(OR(E2035="",E2035="!!!",F2035="NEW"),"",INDEX(B$2:B2034,-1+SUMPRODUCT(MAX(ROW(E$2:E2034)*(E2035=E$2:E2034)))))</f>
        <v>other</v>
      </c>
      <c r="J2035" s="24">
        <f ca="1">IF(OR(E2035="",E2035="!!!",F2035="NEW"),"",COUNTBLANK(OFFSET(A$1,,,SUMPRODUCT(MAX(ROW(E$2:E2035)*(E2035=E$2:E2035)))))-COUNTBLANK(OFFSET(A$1,,,SUMPRODUCT(MAX(ROW(E$1:E2034)*(E2=E$1:E2034))))))</f>
        <v>0</v>
      </c>
      <c r="K2035" s="24">
        <f ca="1">IF(OR(E2035="",E2035="!!!",F2035="NEW"),"",INDEX(J$1:J2034,SUMPRODUCT(MAX(ROW(E$1:E2034)*(E2035=E$1:E2034)))))</f>
        <v>0</v>
      </c>
      <c r="L2035" s="25"/>
    </row>
    <row r="2036" spans="1:12" x14ac:dyDescent="0.2">
      <c r="A2036" t="s">
        <v>898</v>
      </c>
      <c r="E2036" s="20" t="str">
        <f t="shared" ref="E2036:E2057" si="227">IF(D2036="?OLD","!!!","")</f>
        <v/>
      </c>
      <c r="F2036" s="21" t="str">
        <f>IF(OR(E2036="",E2036="!!!"),"",IF(NOT(ISNA(VLOOKUP(E2036,E$1:E2035,1,FALSE()))),"OLD",IF(AND(E2036&lt;&gt;"",E2036&lt;&gt;"!!!"),"NEW","")))</f>
        <v/>
      </c>
      <c r="G2036" s="22" t="str">
        <f>IF(OR(E2036="",E2036="!!!"),"",IF(OR(J2036=0,AND(J2036=1,K2036=1),AND(J2036=1,I2036="SBJ"),AND(J2036=1,I2036=0)),"?IN_FOCUS",IF(J2036&lt;=2,"?ACTIVATED",IF(J2036&lt;&gt;"","?FAMILIAR",IF(F2036="NEW",IF(ISNA(VLOOKUP(E2036,#REF!,1,FALSE())),"?TYPE_IDENTIFIABLE","?REFERENTIAL"),"_")))))</f>
        <v/>
      </c>
      <c r="H2036" s="23" t="str">
        <f t="shared" ca="1" si="226"/>
        <v/>
      </c>
      <c r="I2036" s="24" t="str">
        <f>IF(OR(E2036="",E2036="!!!",F2036="NEW"),"",INDEX(B$2:B2035,-1+SUMPRODUCT(MAX(ROW(E$2:E2035)*(E2036=E$2:E2035)))))</f>
        <v/>
      </c>
      <c r="J2036" s="24" t="str">
        <f ca="1">IF(OR(E2036="",E2036="!!!",F2036="NEW"),"",COUNTBLANK(OFFSET(A$1,,,SUMPRODUCT(MAX(ROW(E$2:E2036)*(E2036=E$2:E2036)))))-COUNTBLANK(OFFSET(A$1,,,SUMPRODUCT(MAX(ROW(E$1:E2035)*(E2=E$1:E2035))))))</f>
        <v/>
      </c>
      <c r="K2036" s="24" t="str">
        <f>IF(OR(E2036="",E2036="!!!",F2036="NEW"),"",INDEX(J$1:J2035,SUMPRODUCT(MAX(ROW(E$1:E2035)*(E2036=E$1:E2035)))))</f>
        <v/>
      </c>
      <c r="L2036" s="25"/>
    </row>
    <row r="2037" spans="1:12" x14ac:dyDescent="0.2">
      <c r="A2037" t="s">
        <v>516</v>
      </c>
      <c r="E2037" s="20" t="str">
        <f t="shared" si="227"/>
        <v/>
      </c>
      <c r="F2037" s="21" t="str">
        <f>IF(OR(E2037="",E2037="!!!"),"",IF(NOT(ISNA(VLOOKUP(E2037,E$1:E2036,1,FALSE()))),"OLD",IF(AND(E2037&lt;&gt;"",E2037&lt;&gt;"!!!"),"NEW","")))</f>
        <v/>
      </c>
      <c r="G2037" s="22" t="str">
        <f>IF(OR(E2037="",E2037="!!!"),"",IF(OR(J2037=0,AND(J2037=1,K2037=1),AND(J2037=1,I2037="SBJ"),AND(J2037=1,I2037=0)),"?IN_FOCUS",IF(J2037&lt;=2,"?ACTIVATED",IF(J2037&lt;&gt;"","?FAMILIAR",IF(F2037="NEW",IF(ISNA(VLOOKUP(E2037,#REF!,1,FALSE())),"?TYPE_IDENTIFIABLE","?REFERENTIAL"),"_")))))</f>
        <v/>
      </c>
      <c r="H2037" s="23" t="str">
        <f t="shared" ca="1" si="226"/>
        <v/>
      </c>
      <c r="I2037" s="24" t="str">
        <f>IF(OR(E2037="",E2037="!!!",F2037="NEW"),"",INDEX(B$2:B2036,-1+SUMPRODUCT(MAX(ROW(E$2:E2036)*(E2037=E$2:E2036)))))</f>
        <v/>
      </c>
      <c r="J2037" s="24" t="str">
        <f ca="1">IF(OR(E2037="",E2037="!!!",F2037="NEW"),"",COUNTBLANK(OFFSET(A$1,,,SUMPRODUCT(MAX(ROW(E$2:E2037)*(E2037=E$2:E2037)))))-COUNTBLANK(OFFSET(A$1,,,SUMPRODUCT(MAX(ROW(E$1:E2036)*(E2=E$1:E2036))))))</f>
        <v/>
      </c>
      <c r="K2037" s="24" t="str">
        <f>IF(OR(E2037="",E2037="!!!",F2037="NEW"),"",INDEX(J$1:J2036,SUMPRODUCT(MAX(ROW(E$1:E2036)*(E2037=E$1:E2036)))))</f>
        <v/>
      </c>
      <c r="L2037" s="25"/>
    </row>
    <row r="2038" spans="1:12" x14ac:dyDescent="0.2">
      <c r="A2038" t="s">
        <v>802</v>
      </c>
      <c r="E2038" s="20" t="str">
        <f t="shared" si="227"/>
        <v/>
      </c>
      <c r="F2038" s="21" t="str">
        <f>IF(OR(E2038="",E2038="!!!"),"",IF(NOT(ISNA(VLOOKUP(E2038,E$1:E2037,1,FALSE()))),"OLD",IF(AND(E2038&lt;&gt;"",E2038&lt;&gt;"!!!"),"NEW","")))</f>
        <v/>
      </c>
      <c r="G2038" s="22" t="str">
        <f>IF(OR(E2038="",E2038="!!!"),"",IF(OR(J2038=0,AND(J2038=1,K2038=1),AND(J2038=1,I2038="SBJ"),AND(J2038=1,I2038=0)),"?IN_FOCUS",IF(J2038&lt;=2,"?ACTIVATED",IF(J2038&lt;&gt;"","?FAMILIAR",IF(F2038="NEW",IF(ISNA(VLOOKUP(E2038,#REF!,1,FALSE())),"?TYPE_IDENTIFIABLE","?REFERENTIAL"),"_")))))</f>
        <v/>
      </c>
      <c r="H2038" s="23" t="str">
        <f t="shared" ca="1" si="226"/>
        <v/>
      </c>
      <c r="I2038" s="24" t="str">
        <f>IF(OR(E2038="",E2038="!!!",F2038="NEW"),"",INDEX(B$2:B2037,-1+SUMPRODUCT(MAX(ROW(E$2:E2037)*(E2038=E$2:E2037)))))</f>
        <v/>
      </c>
      <c r="J2038" s="24" t="str">
        <f ca="1">IF(OR(E2038="",E2038="!!!",F2038="NEW"),"",COUNTBLANK(OFFSET(A$1,,,SUMPRODUCT(MAX(ROW(E$2:E2038)*(E2038=E$2:E2038)))))-COUNTBLANK(OFFSET(A$1,,,SUMPRODUCT(MAX(ROW(E$1:E2037)*(E2=E$1:E2037))))))</f>
        <v/>
      </c>
      <c r="K2038" s="24" t="str">
        <f>IF(OR(E2038="",E2038="!!!",F2038="NEW"),"",INDEX(J$1:J2037,SUMPRODUCT(MAX(ROW(E$1:E2037)*(E2038=E$1:E2037)))))</f>
        <v/>
      </c>
      <c r="L2038" s="25"/>
    </row>
    <row r="2039" spans="1:12" x14ac:dyDescent="0.2">
      <c r="A2039" t="s">
        <v>1453</v>
      </c>
      <c r="B2039" s="26" t="s">
        <v>813</v>
      </c>
      <c r="C2039" s="26" t="s">
        <v>814</v>
      </c>
      <c r="E2039" s="20" t="str">
        <f t="shared" si="227"/>
        <v/>
      </c>
      <c r="F2039" s="21" t="str">
        <f>IF(OR(E2039="",E2039="!!!"),"",IF(NOT(ISNA(VLOOKUP(E2039,E$1:E2038,1,FALSE()))),"OLD",IF(AND(E2039&lt;&gt;"",E2039&lt;&gt;"!!!"),"NEW","")))</f>
        <v/>
      </c>
      <c r="G2039" s="22" t="str">
        <f>IF(OR(E2039="",E2039="!!!"),"",IF(OR(J2039=0,AND(J2039=1,K2039=1),AND(J2039=1,I2039="SBJ"),AND(J2039=1,I2039=0)),"?IN_FOCUS",IF(J2039&lt;=2,"?ACTIVATED",IF(J2039&lt;&gt;"","?FAMILIAR",IF(F2039="NEW",IF(ISNA(VLOOKUP(E2039,#REF!,1,FALSE())),"?TYPE_IDENTIFIABLE","?REFERENTIAL"),"_")))))</f>
        <v/>
      </c>
      <c r="H2039" s="23" t="str">
        <f t="shared" ca="1" si="226"/>
        <v/>
      </c>
      <c r="I2039" s="24" t="str">
        <f>IF(OR(E2039="",E2039="!!!",F2039="NEW"),"",INDEX(B$2:B2038,-1+SUMPRODUCT(MAX(ROW(E$2:E2038)*(E2039=E$2:E2038)))))</f>
        <v/>
      </c>
      <c r="J2039" s="24" t="str">
        <f ca="1">IF(OR(E2039="",E2039="!!!",F2039="NEW"),"",COUNTBLANK(OFFSET(A$1,,,SUMPRODUCT(MAX(ROW(E$2:E2039)*(E2039=E$2:E2039)))))-COUNTBLANK(OFFSET(A$1,,,SUMPRODUCT(MAX(ROW(E$1:E2038)*(E2=E$1:E2038))))))</f>
        <v/>
      </c>
      <c r="K2039" s="24" t="str">
        <f>IF(OR(E2039="",E2039="!!!",F2039="NEW"),"",INDEX(J$1:J2038,SUMPRODUCT(MAX(ROW(E$1:E2038)*(E2039=E$1:E2038)))))</f>
        <v/>
      </c>
      <c r="L2039" s="25"/>
    </row>
    <row r="2040" spans="1:12" x14ac:dyDescent="0.2">
      <c r="A2040" t="s">
        <v>802</v>
      </c>
      <c r="E2040" s="20" t="str">
        <f t="shared" si="227"/>
        <v/>
      </c>
      <c r="F2040" s="21" t="str">
        <f>IF(OR(E2040="",E2040="!!!"),"",IF(NOT(ISNA(VLOOKUP(E2040,E$1:E2039,1,FALSE()))),"OLD",IF(AND(E2040&lt;&gt;"",E2040&lt;&gt;"!!!"),"NEW","")))</f>
        <v/>
      </c>
      <c r="G2040" s="22" t="str">
        <f>IF(OR(E2040="",E2040="!!!"),"",IF(OR(J2040=0,AND(J2040=1,K2040=1),AND(J2040=1,I2040="SBJ"),AND(J2040=1,I2040=0)),"?IN_FOCUS",IF(J2040&lt;=2,"?ACTIVATED",IF(J2040&lt;&gt;"","?FAMILIAR",IF(F2040="NEW",IF(ISNA(VLOOKUP(E2040,#REF!,1,FALSE())),"?TYPE_IDENTIFIABLE","?REFERENTIAL"),"_")))))</f>
        <v/>
      </c>
      <c r="H2040" s="23" t="str">
        <f t="shared" ca="1" si="226"/>
        <v/>
      </c>
      <c r="I2040" s="24" t="str">
        <f>IF(OR(E2040="",E2040="!!!",F2040="NEW"),"",INDEX(B$2:B2039,-1+SUMPRODUCT(MAX(ROW(E$2:E2039)*(E2040=E$2:E2039)))))</f>
        <v/>
      </c>
      <c r="J2040" s="24" t="str">
        <f ca="1">IF(OR(E2040="",E2040="!!!",F2040="NEW"),"",COUNTBLANK(OFFSET(A$1,,,SUMPRODUCT(MAX(ROW(E$2:E2040)*(E2040=E$2:E2040)))))-COUNTBLANK(OFFSET(A$1,,,SUMPRODUCT(MAX(ROW(E$1:E2039)*(E2=E$1:E2039))))))</f>
        <v/>
      </c>
      <c r="K2040" s="24" t="str">
        <f>IF(OR(E2040="",E2040="!!!",F2040="NEW"),"",INDEX(J$1:J2039,SUMPRODUCT(MAX(ROW(E$1:E2039)*(E2040=E$1:E2039)))))</f>
        <v/>
      </c>
      <c r="L2040" s="25"/>
    </row>
    <row r="2041" spans="1:12" x14ac:dyDescent="0.2">
      <c r="A2041" t="s">
        <v>845</v>
      </c>
      <c r="E2041" s="20" t="str">
        <f t="shared" si="227"/>
        <v/>
      </c>
      <c r="F2041" s="21" t="str">
        <f>IF(OR(E2041="",E2041="!!!"),"",IF(NOT(ISNA(VLOOKUP(E2041,E$1:E2040,1,FALSE()))),"OLD",IF(AND(E2041&lt;&gt;"",E2041&lt;&gt;"!!!"),"NEW","")))</f>
        <v/>
      </c>
      <c r="G2041" s="22" t="str">
        <f>IF(OR(E2041="",E2041="!!!"),"",IF(OR(J2041=0,AND(J2041=1,K2041=1),AND(J2041=1,I2041="SBJ"),AND(J2041=1,I2041=0)),"?IN_FOCUS",IF(J2041&lt;=2,"?ACTIVATED",IF(J2041&lt;&gt;"","?FAMILIAR",IF(F2041="NEW",IF(ISNA(VLOOKUP(E2041,#REF!,1,FALSE())),"?TYPE_IDENTIFIABLE","?REFERENTIAL"),"_")))))</f>
        <v/>
      </c>
      <c r="H2041" s="23" t="str">
        <f t="shared" ca="1" si="226"/>
        <v/>
      </c>
      <c r="I2041" s="24" t="str">
        <f>IF(OR(E2041="",E2041="!!!",F2041="NEW"),"",INDEX(B$2:B2040,-1+SUMPRODUCT(MAX(ROW(E$2:E2040)*(E2041=E$2:E2040)))))</f>
        <v/>
      </c>
      <c r="J2041" s="24" t="str">
        <f ca="1">IF(OR(E2041="",E2041="!!!",F2041="NEW"),"",COUNTBLANK(OFFSET(A$1,,,SUMPRODUCT(MAX(ROW(E$2:E2041)*(E2041=E$2:E2041)))))-COUNTBLANK(OFFSET(A$1,,,SUMPRODUCT(MAX(ROW(E$1:E2040)*(E2=E$1:E2040))))))</f>
        <v/>
      </c>
      <c r="K2041" s="24" t="str">
        <f>IF(OR(E2041="",E2041="!!!",F2041="NEW"),"",INDEX(J$1:J2040,SUMPRODUCT(MAX(ROW(E$1:E2040)*(E2041=E$1:E2040)))))</f>
        <v/>
      </c>
      <c r="L2041" s="25"/>
    </row>
    <row r="2042" spans="1:12" x14ac:dyDescent="0.2">
      <c r="A2042" t="s">
        <v>1454</v>
      </c>
      <c r="E2042" s="20" t="str">
        <f t="shared" si="227"/>
        <v/>
      </c>
      <c r="F2042" s="21" t="str">
        <f>IF(OR(E2042="",E2042="!!!"),"",IF(NOT(ISNA(VLOOKUP(E2042,E$1:E2041,1,FALSE()))),"OLD",IF(AND(E2042&lt;&gt;"",E2042&lt;&gt;"!!!"),"NEW","")))</f>
        <v/>
      </c>
      <c r="G2042" s="22" t="str">
        <f>IF(OR(E2042="",E2042="!!!"),"",IF(OR(J2042=0,AND(J2042=1,K2042=1),AND(J2042=1,I2042="SBJ"),AND(J2042=1,I2042=0)),"?IN_FOCUS",IF(J2042&lt;=2,"?ACTIVATED",IF(J2042&lt;&gt;"","?FAMILIAR",IF(F2042="NEW",IF(ISNA(VLOOKUP(E2042,#REF!,1,FALSE())),"?TYPE_IDENTIFIABLE","?REFERENTIAL"),"_")))))</f>
        <v/>
      </c>
      <c r="H2042" s="23" t="str">
        <f t="shared" ca="1" si="226"/>
        <v/>
      </c>
      <c r="I2042" s="24" t="str">
        <f>IF(OR(E2042="",E2042="!!!",F2042="NEW"),"",INDEX(B$2:B2041,-1+SUMPRODUCT(MAX(ROW(E$2:E2041)*(E2042=E$2:E2041)))))</f>
        <v/>
      </c>
      <c r="J2042" s="24" t="str">
        <f ca="1">IF(OR(E2042="",E2042="!!!",F2042="NEW"),"",COUNTBLANK(OFFSET(A$1,,,SUMPRODUCT(MAX(ROW(E$2:E2042)*(E2042=E$2:E2042)))))-COUNTBLANK(OFFSET(A$1,,,SUMPRODUCT(MAX(ROW(E$1:E2041)*(E2=E$1:E2041))))))</f>
        <v/>
      </c>
      <c r="K2042" s="24" t="str">
        <f>IF(OR(E2042="",E2042="!!!",F2042="NEW"),"",INDEX(J$1:J2041,SUMPRODUCT(MAX(ROW(E$1:E2041)*(E2042=E$1:E2041)))))</f>
        <v/>
      </c>
      <c r="L2042" s="25"/>
    </row>
    <row r="2043" spans="1:12" x14ac:dyDescent="0.2">
      <c r="A2043" t="s">
        <v>888</v>
      </c>
      <c r="E2043" s="20" t="str">
        <f t="shared" si="227"/>
        <v/>
      </c>
      <c r="F2043" s="21" t="str">
        <f>IF(OR(E2043="",E2043="!!!"),"",IF(NOT(ISNA(VLOOKUP(E2043,E$1:E2042,1,FALSE()))),"OLD",IF(AND(E2043&lt;&gt;"",E2043&lt;&gt;"!!!"),"NEW","")))</f>
        <v/>
      </c>
      <c r="G2043" s="22" t="str">
        <f>IF(OR(E2043="",E2043="!!!"),"",IF(OR(J2043=0,AND(J2043=1,K2043=1),AND(J2043=1,I2043="SBJ"),AND(J2043=1,I2043=0)),"?IN_FOCUS",IF(J2043&lt;=2,"?ACTIVATED",IF(J2043&lt;&gt;"","?FAMILIAR",IF(F2043="NEW",IF(ISNA(VLOOKUP(E2043,#REF!,1,FALSE())),"?TYPE_IDENTIFIABLE","?REFERENTIAL"),"_")))))</f>
        <v/>
      </c>
      <c r="H2043" s="23" t="str">
        <f t="shared" ca="1" si="226"/>
        <v/>
      </c>
      <c r="I2043" s="24" t="str">
        <f>IF(OR(E2043="",E2043="!!!",F2043="NEW"),"",INDEX(B$2:B2042,-1+SUMPRODUCT(MAX(ROW(E$2:E2042)*(E2043=E$2:E2042)))))</f>
        <v/>
      </c>
      <c r="J2043" s="24" t="str">
        <f ca="1">IF(OR(E2043="",E2043="!!!",F2043="NEW"),"",COUNTBLANK(OFFSET(A$1,,,SUMPRODUCT(MAX(ROW(E$2:E2043)*(E2043=E$2:E2043)))))-COUNTBLANK(OFFSET(A$1,,,SUMPRODUCT(MAX(ROW(E$1:E2042)*(E2=E$1:E2042))))))</f>
        <v/>
      </c>
      <c r="K2043" s="24" t="str">
        <f>IF(OR(E2043="",E2043="!!!",F2043="NEW"),"",INDEX(J$1:J2042,SUMPRODUCT(MAX(ROW(E$1:E2042)*(E2043=E$1:E2042)))))</f>
        <v/>
      </c>
      <c r="L2043" s="25"/>
    </row>
    <row r="2044" spans="1:12" x14ac:dyDescent="0.2">
      <c r="A2044" t="s">
        <v>829</v>
      </c>
      <c r="E2044" s="20" t="str">
        <f t="shared" si="227"/>
        <v/>
      </c>
      <c r="F2044" s="21" t="str">
        <f>IF(OR(E2044="",E2044="!!!"),"",IF(NOT(ISNA(VLOOKUP(E2044,E$1:E2043,1,FALSE()))),"OLD",IF(AND(E2044&lt;&gt;"",E2044&lt;&gt;"!!!"),"NEW","")))</f>
        <v/>
      </c>
      <c r="G2044" s="22" t="str">
        <f>IF(OR(E2044="",E2044="!!!"),"",IF(OR(J2044=0,AND(J2044=1,K2044=1),AND(J2044=1,I2044="SBJ"),AND(J2044=1,I2044=0)),"?IN_FOCUS",IF(J2044&lt;=2,"?ACTIVATED",IF(J2044&lt;&gt;"","?FAMILIAR",IF(F2044="NEW",IF(ISNA(VLOOKUP(E2044,#REF!,1,FALSE())),"?TYPE_IDENTIFIABLE","?REFERENTIAL"),"_")))))</f>
        <v/>
      </c>
      <c r="H2044" s="23" t="str">
        <f t="shared" ca="1" si="226"/>
        <v/>
      </c>
      <c r="I2044" s="24" t="str">
        <f>IF(OR(E2044="",E2044="!!!",F2044="NEW"),"",INDEX(B$2:B2043,-1+SUMPRODUCT(MAX(ROW(E$2:E2043)*(E2044=E$2:E2043)))))</f>
        <v/>
      </c>
      <c r="J2044" s="24" t="str">
        <f ca="1">IF(OR(E2044="",E2044="!!!",F2044="NEW"),"",COUNTBLANK(OFFSET(A$1,,,SUMPRODUCT(MAX(ROW(E$2:E2044)*(E2044=E$2:E2044)))))-COUNTBLANK(OFFSET(A$1,,,SUMPRODUCT(MAX(ROW(E$1:E2043)*(E2=E$1:E2043))))))</f>
        <v/>
      </c>
      <c r="K2044" s="24" t="str">
        <f>IF(OR(E2044="",E2044="!!!",F2044="NEW"),"",INDEX(J$1:J2043,SUMPRODUCT(MAX(ROW(E$1:E2043)*(E2044=E$1:E2043)))))</f>
        <v/>
      </c>
      <c r="L2044" s="25"/>
    </row>
    <row r="2045" spans="1:12" x14ac:dyDescent="0.2">
      <c r="A2045" t="s">
        <v>812</v>
      </c>
      <c r="E2045" s="20" t="str">
        <f t="shared" si="227"/>
        <v/>
      </c>
      <c r="F2045" s="21" t="str">
        <f>IF(OR(E2045="",E2045="!!!"),"",IF(NOT(ISNA(VLOOKUP(E2045,E$1:E2044,1,FALSE()))),"OLD",IF(AND(E2045&lt;&gt;"",E2045&lt;&gt;"!!!"),"NEW","")))</f>
        <v/>
      </c>
      <c r="G2045" s="22" t="str">
        <f>IF(OR(E2045="",E2045="!!!"),"",IF(OR(J2045=0,AND(J2045=1,K2045=1),AND(J2045=1,I2045="SBJ"),AND(J2045=1,I2045=0)),"?IN_FOCUS",IF(J2045&lt;=2,"?ACTIVATED",IF(J2045&lt;&gt;"","?FAMILIAR",IF(F2045="NEW",IF(ISNA(VLOOKUP(E2045,#REF!,1,FALSE())),"?TYPE_IDENTIFIABLE","?REFERENTIAL"),"_")))))</f>
        <v/>
      </c>
      <c r="H2045" s="23" t="str">
        <f t="shared" ca="1" si="226"/>
        <v/>
      </c>
      <c r="I2045" s="24" t="str">
        <f>IF(OR(E2045="",E2045="!!!",F2045="NEW"),"",INDEX(B$2:B2044,-1+SUMPRODUCT(MAX(ROW(E$2:E2044)*(E2045=E$2:E2044)))))</f>
        <v/>
      </c>
      <c r="J2045" s="24" t="str">
        <f ca="1">IF(OR(E2045="",E2045="!!!",F2045="NEW"),"",COUNTBLANK(OFFSET(A$1,,,SUMPRODUCT(MAX(ROW(E$2:E2045)*(E2045=E$2:E2045)))))-COUNTBLANK(OFFSET(A$1,,,SUMPRODUCT(MAX(ROW(E$1:E2044)*(E2=E$1:E2044))))))</f>
        <v/>
      </c>
      <c r="K2045" s="24" t="str">
        <f>IF(OR(E2045="",E2045="!!!",F2045="NEW"),"",INDEX(J$1:J2044,SUMPRODUCT(MAX(ROW(E$1:E2044)*(E2045=E$1:E2044)))))</f>
        <v/>
      </c>
      <c r="L2045" s="25"/>
    </row>
    <row r="2046" spans="1:12" x14ac:dyDescent="0.2">
      <c r="A2046" t="s">
        <v>845</v>
      </c>
      <c r="E2046" s="20" t="str">
        <f t="shared" si="227"/>
        <v/>
      </c>
      <c r="F2046" s="21" t="str">
        <f>IF(OR(E2046="",E2046="!!!"),"",IF(NOT(ISNA(VLOOKUP(E2046,E$1:E2045,1,FALSE()))),"OLD",IF(AND(E2046&lt;&gt;"",E2046&lt;&gt;"!!!"),"NEW","")))</f>
        <v/>
      </c>
      <c r="G2046" s="22" t="str">
        <f>IF(OR(E2046="",E2046="!!!"),"",IF(OR(J2046=0,AND(J2046=1,K2046=1),AND(J2046=1,I2046="SBJ"),AND(J2046=1,I2046=0)),"?IN_FOCUS",IF(J2046&lt;=2,"?ACTIVATED",IF(J2046&lt;&gt;"","?FAMILIAR",IF(F2046="NEW",IF(ISNA(VLOOKUP(E2046,#REF!,1,FALSE())),"?TYPE_IDENTIFIABLE","?REFERENTIAL"),"_")))))</f>
        <v/>
      </c>
      <c r="H2046" s="23" t="str">
        <f t="shared" ca="1" si="226"/>
        <v/>
      </c>
      <c r="I2046" s="24" t="str">
        <f>IF(OR(E2046="",E2046="!!!",F2046="NEW"),"",INDEX(B$2:B2045,-1+SUMPRODUCT(MAX(ROW(E$2:E2045)*(E2046=E$2:E2045)))))</f>
        <v/>
      </c>
      <c r="J2046" s="24" t="str">
        <f ca="1">IF(OR(E2046="",E2046="!!!",F2046="NEW"),"",COUNTBLANK(OFFSET(A$1,,,SUMPRODUCT(MAX(ROW(E$2:E2046)*(E2046=E$2:E2046)))))-COUNTBLANK(OFFSET(A$1,,,SUMPRODUCT(MAX(ROW(E$1:E2045)*(E2=E$1:E2045))))))</f>
        <v/>
      </c>
      <c r="K2046" s="24" t="str">
        <f>IF(OR(E2046="",E2046="!!!",F2046="NEW"),"",INDEX(J$1:J2045,SUMPRODUCT(MAX(ROW(E$1:E2045)*(E2046=E$1:E2045)))))</f>
        <v/>
      </c>
      <c r="L2046" s="25"/>
    </row>
    <row r="2047" spans="1:12" x14ac:dyDescent="0.2">
      <c r="A2047" t="s">
        <v>974</v>
      </c>
      <c r="E2047" s="20" t="str">
        <f t="shared" si="227"/>
        <v/>
      </c>
      <c r="F2047" s="21" t="str">
        <f>IF(OR(E2047="",E2047="!!!"),"",IF(NOT(ISNA(VLOOKUP(E2047,E$1:E2046,1,FALSE()))),"OLD",IF(AND(E2047&lt;&gt;"",E2047&lt;&gt;"!!!"),"NEW","")))</f>
        <v/>
      </c>
      <c r="G2047" s="22" t="str">
        <f>IF(OR(E2047="",E2047="!!!"),"",IF(OR(J2047=0,AND(J2047=1,K2047=1),AND(J2047=1,I2047="SBJ"),AND(J2047=1,I2047=0)),"?IN_FOCUS",IF(J2047&lt;=2,"?ACTIVATED",IF(J2047&lt;&gt;"","?FAMILIAR",IF(F2047="NEW",IF(ISNA(VLOOKUP(E2047,#REF!,1,FALSE())),"?TYPE_IDENTIFIABLE","?REFERENTIAL"),"_")))))</f>
        <v/>
      </c>
      <c r="H2047" s="23" t="str">
        <f t="shared" ca="1" si="226"/>
        <v/>
      </c>
      <c r="I2047" s="24" t="str">
        <f>IF(OR(E2047="",E2047="!!!",F2047="NEW"),"",INDEX(B$2:B2046,-1+SUMPRODUCT(MAX(ROW(E$2:E2046)*(E2047=E$2:E2046)))))</f>
        <v/>
      </c>
      <c r="J2047" s="24" t="str">
        <f ca="1">IF(OR(E2047="",E2047="!!!",F2047="NEW"),"",COUNTBLANK(OFFSET(A$1,,,SUMPRODUCT(MAX(ROW(E$2:E2047)*(E2047=E$2:E2047)))))-COUNTBLANK(OFFSET(A$1,,,SUMPRODUCT(MAX(ROW(E$1:E2046)*(E2=E$1:E2046))))))</f>
        <v/>
      </c>
      <c r="K2047" s="24" t="str">
        <f>IF(OR(E2047="",E2047="!!!",F2047="NEW"),"",INDEX(J$1:J2046,SUMPRODUCT(MAX(ROW(E$1:E2046)*(E2047=E$1:E2046)))))</f>
        <v/>
      </c>
      <c r="L2047" s="25"/>
    </row>
    <row r="2048" spans="1:12" x14ac:dyDescent="0.2">
      <c r="A2048" t="s">
        <v>1455</v>
      </c>
      <c r="E2048" s="20" t="str">
        <f t="shared" si="227"/>
        <v/>
      </c>
      <c r="F2048" s="21" t="str">
        <f>IF(OR(E2048="",E2048="!!!"),"",IF(NOT(ISNA(VLOOKUP(E2048,E$1:E2047,1,FALSE()))),"OLD",IF(AND(E2048&lt;&gt;"",E2048&lt;&gt;"!!!"),"NEW","")))</f>
        <v/>
      </c>
      <c r="G2048" s="22" t="str">
        <f>IF(OR(E2048="",E2048="!!!"),"",IF(OR(J2048=0,AND(J2048=1,K2048=1),AND(J2048=1,I2048="SBJ"),AND(J2048=1,I2048=0)),"?IN_FOCUS",IF(J2048&lt;=2,"?ACTIVATED",IF(J2048&lt;&gt;"","?FAMILIAR",IF(F2048="NEW",IF(ISNA(VLOOKUP(E2048,#REF!,1,FALSE())),"?TYPE_IDENTIFIABLE","?REFERENTIAL"),"_")))))</f>
        <v/>
      </c>
      <c r="H2048" s="23" t="str">
        <f t="shared" ca="1" si="226"/>
        <v/>
      </c>
      <c r="I2048" s="24" t="str">
        <f>IF(OR(E2048="",E2048="!!!",F2048="NEW"),"",INDEX(B$2:B2047,-1+SUMPRODUCT(MAX(ROW(E$2:E2047)*(E2048=E$2:E2047)))))</f>
        <v/>
      </c>
      <c r="J2048" s="24" t="str">
        <f ca="1">IF(OR(E2048="",E2048="!!!",F2048="NEW"),"",COUNTBLANK(OFFSET(A$1,,,SUMPRODUCT(MAX(ROW(E$2:E2048)*(E2048=E$2:E2048)))))-COUNTBLANK(OFFSET(A$1,,,SUMPRODUCT(MAX(ROW(E$1:E2047)*(E2=E$1:E2047))))))</f>
        <v/>
      </c>
      <c r="K2048" s="24" t="str">
        <f>IF(OR(E2048="",E2048="!!!",F2048="NEW"),"",INDEX(J$1:J2047,SUMPRODUCT(MAX(ROW(E$1:E2047)*(E2048=E$1:E2047)))))</f>
        <v/>
      </c>
      <c r="L2048" s="25"/>
    </row>
    <row r="2049" spans="1:12" x14ac:dyDescent="0.2">
      <c r="A2049" t="s">
        <v>1456</v>
      </c>
      <c r="E2049" s="20" t="str">
        <f t="shared" si="227"/>
        <v/>
      </c>
      <c r="F2049" s="21" t="str">
        <f>IF(OR(E2049="",E2049="!!!"),"",IF(NOT(ISNA(VLOOKUP(E2049,E$1:E2048,1,FALSE()))),"OLD",IF(AND(E2049&lt;&gt;"",E2049&lt;&gt;"!!!"),"NEW","")))</f>
        <v/>
      </c>
      <c r="G2049" s="22" t="str">
        <f>IF(OR(E2049="",E2049="!!!"),"",IF(OR(J2049=0,AND(J2049=1,K2049=1),AND(J2049=1,I2049="SBJ"),AND(J2049=1,I2049=0)),"?IN_FOCUS",IF(J2049&lt;=2,"?ACTIVATED",IF(J2049&lt;&gt;"","?FAMILIAR",IF(F2049="NEW",IF(ISNA(VLOOKUP(E2049,#REF!,1,FALSE())),"?TYPE_IDENTIFIABLE","?REFERENTIAL"),"_")))))</f>
        <v/>
      </c>
      <c r="H2049" s="23" t="str">
        <f t="shared" ca="1" si="226"/>
        <v/>
      </c>
      <c r="I2049" s="24" t="str">
        <f>IF(OR(E2049="",E2049="!!!",F2049="NEW"),"",INDEX(B$2:B2048,-1+SUMPRODUCT(MAX(ROW(E$2:E2048)*(E2049=E$2:E2048)))))</f>
        <v/>
      </c>
      <c r="J2049" s="24" t="str">
        <f ca="1">IF(OR(E2049="",E2049="!!!",F2049="NEW"),"",COUNTBLANK(OFFSET(A$1,,,SUMPRODUCT(MAX(ROW(E$2:E2049)*(E2049=E$2:E2049)))))-COUNTBLANK(OFFSET(A$1,,,SUMPRODUCT(MAX(ROW(E$1:E2048)*(E2=E$1:E2048))))))</f>
        <v/>
      </c>
      <c r="K2049" s="24" t="str">
        <f>IF(OR(E2049="",E2049="!!!",F2049="NEW"),"",INDEX(J$1:J2048,SUMPRODUCT(MAX(ROW(E$1:E2048)*(E2049=E$1:E2048)))))</f>
        <v/>
      </c>
      <c r="L2049" s="25"/>
    </row>
    <row r="2050" spans="1:12" x14ac:dyDescent="0.2">
      <c r="A2050" t="s">
        <v>1457</v>
      </c>
      <c r="E2050" s="20" t="str">
        <f t="shared" si="227"/>
        <v/>
      </c>
      <c r="F2050" s="21" t="str">
        <f>IF(OR(E2050="",E2050="!!!"),"",IF(NOT(ISNA(VLOOKUP(E2050,E$1:E2049,1,FALSE()))),"OLD",IF(AND(E2050&lt;&gt;"",E2050&lt;&gt;"!!!"),"NEW","")))</f>
        <v/>
      </c>
      <c r="G2050" s="22" t="str">
        <f>IF(OR(E2050="",E2050="!!!"),"",IF(OR(J2050=0,AND(J2050=1,K2050=1),AND(J2050=1,I2050="SBJ"),AND(J2050=1,I2050=0)),"?IN_FOCUS",IF(J2050&lt;=2,"?ACTIVATED",IF(J2050&lt;&gt;"","?FAMILIAR",IF(F2050="NEW",IF(ISNA(VLOOKUP(E2050,#REF!,1,FALSE())),"?TYPE_IDENTIFIABLE","?REFERENTIAL"),"_")))))</f>
        <v/>
      </c>
      <c r="H2050" s="23" t="str">
        <f t="shared" ca="1" si="226"/>
        <v/>
      </c>
      <c r="I2050" s="24" t="str">
        <f>IF(OR(E2050="",E2050="!!!",F2050="NEW"),"",INDEX(B$2:B2049,-1+SUMPRODUCT(MAX(ROW(E$2:E2049)*(E2050=E$2:E2049)))))</f>
        <v/>
      </c>
      <c r="J2050" s="24" t="str">
        <f ca="1">IF(OR(E2050="",E2050="!!!",F2050="NEW"),"",COUNTBLANK(OFFSET(A$1,,,SUMPRODUCT(MAX(ROW(E$2:E2050)*(E2050=E$2:E2050)))))-COUNTBLANK(OFFSET(A$1,,,SUMPRODUCT(MAX(ROW(E$1:E2049)*(E2=E$1:E2049))))))</f>
        <v/>
      </c>
      <c r="K2050" s="24" t="str">
        <f>IF(OR(E2050="",E2050="!!!",F2050="NEW"),"",INDEX(J$1:J2049,SUMPRODUCT(MAX(ROW(E$1:E2049)*(E2050=E$1:E2049)))))</f>
        <v/>
      </c>
      <c r="L2050" s="25"/>
    </row>
    <row r="2051" spans="1:12" x14ac:dyDescent="0.2">
      <c r="A2051" t="s">
        <v>1458</v>
      </c>
      <c r="B2051" s="26" t="s">
        <v>864</v>
      </c>
      <c r="C2051" s="26" t="s">
        <v>847</v>
      </c>
      <c r="D2051" s="26" t="s">
        <v>806</v>
      </c>
      <c r="E2051" s="20" t="s">
        <v>1482</v>
      </c>
      <c r="F2051" s="21" t="str">
        <f>IF(OR(E2051="",E2051="!!!"),"",IF(NOT(ISNA(VLOOKUP(E2051,E$1:E2050,1,FALSE()))),"OLD",IF(AND(E2051&lt;&gt;"",E2051&lt;&gt;"!!!"),"NEW","")))</f>
        <v>NEW</v>
      </c>
      <c r="G2051" s="22" t="s">
        <v>1820</v>
      </c>
      <c r="H2051" s="23" t="str">
        <f t="shared" ca="1" si="226"/>
        <v/>
      </c>
      <c r="I2051" s="24" t="str">
        <f>IF(OR(E2051="",E2051="!!!",F2051="NEW"),"",INDEX(B$2:B2050,-1+SUMPRODUCT(MAX(ROW(E$2:E2050)*(E2051=E$2:E2050)))))</f>
        <v/>
      </c>
      <c r="J2051" s="24" t="str">
        <f ca="1">IF(OR(E2051="",E2051="!!!",F2051="NEW"),"",COUNTBLANK(OFFSET(A$1,,,SUMPRODUCT(MAX(ROW(E$2:E2051)*(E2051=E$2:E2051)))))-COUNTBLANK(OFFSET(A$1,,,SUMPRODUCT(MAX(ROW(E$1:E2050)*(E2=E$1:E2050))))))</f>
        <v/>
      </c>
      <c r="K2051" s="24" t="str">
        <f>IF(OR(E2051="",E2051="!!!",F2051="NEW"),"",INDEX(J$1:J2050,SUMPRODUCT(MAX(ROW(E$1:E2050)*(E2051=E$1:E2050)))))</f>
        <v/>
      </c>
      <c r="L2051" s="25"/>
    </row>
    <row r="2052" spans="1:12" x14ac:dyDescent="0.2">
      <c r="A2052" t="s">
        <v>815</v>
      </c>
      <c r="E2052" s="20" t="str">
        <f t="shared" si="227"/>
        <v/>
      </c>
      <c r="F2052" s="21" t="str">
        <f>IF(OR(E2052="",E2052="!!!"),"",IF(NOT(ISNA(VLOOKUP(E2052,E$1:E2051,1,FALSE()))),"OLD",IF(AND(E2052&lt;&gt;"",E2052&lt;&gt;"!!!"),"NEW","")))</f>
        <v/>
      </c>
      <c r="G2052" s="22" t="str">
        <f>IF(OR(E2052="",E2052="!!!"),"",IF(OR(J2052=0,AND(J2052=1,K2052=1),AND(J2052=1,I2052="SBJ"),AND(J2052=1,I2052=0)),"?IN_FOCUS",IF(J2052&lt;=2,"?ACTIVATED",IF(J2052&lt;&gt;"","?FAMILIAR",IF(F2052="NEW",IF(ISNA(VLOOKUP(E2052,#REF!,1,FALSE())),"?TYPE_IDENTIFIABLE","?REFERENTIAL"),"_")))))</f>
        <v/>
      </c>
      <c r="H2052" s="23" t="str">
        <f t="shared" ca="1" si="226"/>
        <v/>
      </c>
      <c r="I2052" s="24" t="str">
        <f>IF(OR(E2052="",E2052="!!!",F2052="NEW"),"",INDEX(B$2:B2051,-1+SUMPRODUCT(MAX(ROW(E$2:E2051)*(E2052=E$2:E2051)))))</f>
        <v/>
      </c>
      <c r="J2052" s="24" t="str">
        <f ca="1">IF(OR(E2052="",E2052="!!!",F2052="NEW"),"",COUNTBLANK(OFFSET(A$1,,,SUMPRODUCT(MAX(ROW(E$2:E2052)*(E2052=E$2:E2052)))))-COUNTBLANK(OFFSET(A$1,,,SUMPRODUCT(MAX(ROW(E$1:E2051)*(E2=E$1:E2051))))))</f>
        <v/>
      </c>
      <c r="K2052" s="24" t="str">
        <f>IF(OR(E2052="",E2052="!!!",F2052="NEW"),"",INDEX(J$1:J2051,SUMPRODUCT(MAX(ROW(E$1:E2051)*(E2052=E$1:E2051)))))</f>
        <v/>
      </c>
      <c r="L2052" s="25"/>
    </row>
    <row r="2053" spans="1:12" x14ac:dyDescent="0.2">
      <c r="A2053" t="s">
        <v>1288</v>
      </c>
      <c r="B2053" s="26" t="s">
        <v>813</v>
      </c>
      <c r="C2053" s="26" t="s">
        <v>820</v>
      </c>
      <c r="D2053" s="26" t="s">
        <v>806</v>
      </c>
      <c r="E2053" s="20"/>
      <c r="F2053" s="21" t="str">
        <f>IF(OR(E2053="",E2053="!!!"),"",IF(NOT(ISNA(VLOOKUP(E2053,E$1:E2052,1,FALSE()))),"OLD",IF(AND(E2053&lt;&gt;"",E2053&lt;&gt;"!!!"),"NEW","")))</f>
        <v/>
      </c>
      <c r="G2053" s="22" t="str">
        <f>IF(OR(E2053="",E2053="!!!"),"",IF(OR(J2053=0,AND(J2053=1,K2053=1),AND(J2053=1,I2053="SBJ"),AND(J2053=1,I2053=0)),"?IN_FOCUS",IF(J2053&lt;=2,"?ACTIVATED",IF(J2053&lt;&gt;"","?FAMILIAR",IF(F2053="NEW",IF(ISNA(VLOOKUP(E2053,#REF!,1,FALSE())),"?TYPE_IDENTIFIABLE","?REFERENTIAL"),"_")))))</f>
        <v/>
      </c>
      <c r="H2053" s="23" t="str">
        <f t="shared" ca="1" si="226"/>
        <v/>
      </c>
      <c r="I2053" s="24" t="str">
        <f>IF(OR(E2053="",E2053="!!!",F2053="NEW"),"",INDEX(B$2:B2052,-1+SUMPRODUCT(MAX(ROW(E$2:E2052)*(E2053=E$2:E2052)))))</f>
        <v/>
      </c>
      <c r="J2053" s="24" t="str">
        <f ca="1">IF(OR(E2053="",E2053="!!!",F2053="NEW"),"",COUNTBLANK(OFFSET(A$1,,,SUMPRODUCT(MAX(ROW(E$2:E2053)*(E2053=E$2:E2053)))))-COUNTBLANK(OFFSET(A$1,,,SUMPRODUCT(MAX(ROW(E$1:E2052)*(E2=E$1:E2052))))))</f>
        <v/>
      </c>
      <c r="K2053" s="24" t="str">
        <f>IF(OR(E2053="",E2053="!!!",F2053="NEW"),"",INDEX(J$1:J2052,SUMPRODUCT(MAX(ROW(E$1:E2052)*(E2053=E$1:E2052)))))</f>
        <v/>
      </c>
      <c r="L2053" s="25"/>
    </row>
    <row r="2054" spans="1:12" x14ac:dyDescent="0.2">
      <c r="A2054" t="s">
        <v>812</v>
      </c>
      <c r="E2054" s="20" t="str">
        <f t="shared" si="227"/>
        <v/>
      </c>
      <c r="F2054" s="21" t="str">
        <f>IF(OR(E2054="",E2054="!!!"),"",IF(NOT(ISNA(VLOOKUP(E2054,E$1:E2053,1,FALSE()))),"OLD",IF(AND(E2054&lt;&gt;"",E2054&lt;&gt;"!!!"),"NEW","")))</f>
        <v/>
      </c>
      <c r="G2054" s="22" t="str">
        <f>IF(OR(E2054="",E2054="!!!"),"",IF(OR(J2054=0,AND(J2054=1,K2054=1),AND(J2054=1,I2054="SBJ"),AND(J2054=1,I2054=0)),"?IN_FOCUS",IF(J2054&lt;=2,"?ACTIVATED",IF(J2054&lt;&gt;"","?FAMILIAR",IF(F2054="NEW",IF(ISNA(VLOOKUP(E2054,#REF!,1,FALSE())),"?TYPE_IDENTIFIABLE","?REFERENTIAL"),"_")))))</f>
        <v/>
      </c>
      <c r="H2054" s="23" t="str">
        <f t="shared" ca="1" si="226"/>
        <v/>
      </c>
      <c r="I2054" s="24" t="str">
        <f>IF(OR(E2054="",E2054="!!!",F2054="NEW"),"",INDEX(B$2:B2053,-1+SUMPRODUCT(MAX(ROW(E$2:E2053)*(E2054=E$2:E2053)))))</f>
        <v/>
      </c>
      <c r="J2054" s="24" t="str">
        <f ca="1">IF(OR(E2054="",E2054="!!!",F2054="NEW"),"",COUNTBLANK(OFFSET(A$1,,,SUMPRODUCT(MAX(ROW(E$2:E2054)*(E2054=E$2:E2054)))))-COUNTBLANK(OFFSET(A$1,,,SUMPRODUCT(MAX(ROW(E$1:E2053)*(E2=E$1:E2053))))))</f>
        <v/>
      </c>
      <c r="K2054" s="24" t="str">
        <f>IF(OR(E2054="",E2054="!!!",F2054="NEW"),"",INDEX(J$1:J2053,SUMPRODUCT(MAX(ROW(E$1:E2053)*(E2054=E$1:E2053)))))</f>
        <v/>
      </c>
      <c r="L2054" s="25"/>
    </row>
    <row r="2055" spans="1:12" x14ac:dyDescent="0.2">
      <c r="A2055" t="s">
        <v>1459</v>
      </c>
      <c r="B2055" s="26" t="s">
        <v>864</v>
      </c>
      <c r="C2055" s="26" t="s">
        <v>854</v>
      </c>
      <c r="D2055" s="26" t="s">
        <v>806</v>
      </c>
      <c r="E2055" s="20" t="s">
        <v>1459</v>
      </c>
      <c r="F2055" s="21" t="str">
        <f>IF(OR(E2055="",E2055="!!!"),"",IF(NOT(ISNA(VLOOKUP(E2055,E$1:E2054,1,FALSE()))),"OLD",IF(AND(E2055&lt;&gt;"",E2055&lt;&gt;"!!!"),"NEW","")))</f>
        <v>NEW</v>
      </c>
      <c r="G2055" s="22" t="s">
        <v>1820</v>
      </c>
      <c r="H2055" s="23" t="str">
        <f t="shared" ca="1" si="226"/>
        <v/>
      </c>
      <c r="I2055" s="24" t="str">
        <f>IF(OR(E2055="",E2055="!!!",F2055="NEW"),"",INDEX(B$2:B2054,-1+SUMPRODUCT(MAX(ROW(E$2:E2054)*(E2055=E$2:E2054)))))</f>
        <v/>
      </c>
      <c r="J2055" s="24" t="str">
        <f ca="1">IF(OR(E2055="",E2055="!!!",F2055="NEW"),"",COUNTBLANK(OFFSET(A$1,,,SUMPRODUCT(MAX(ROW(E$2:E2055)*(E2055=E$2:E2055)))))-COUNTBLANK(OFFSET(A$1,,,SUMPRODUCT(MAX(ROW(E$1:E2054)*(E2=E$1:E2054))))))</f>
        <v/>
      </c>
      <c r="K2055" s="24" t="str">
        <f>IF(OR(E2055="",E2055="!!!",F2055="NEW"),"",INDEX(J$1:J2054,SUMPRODUCT(MAX(ROW(E$1:E2054)*(E2055=E$1:E2054)))))</f>
        <v/>
      </c>
      <c r="L2055" s="25"/>
    </row>
    <row r="2056" spans="1:12" x14ac:dyDescent="0.2">
      <c r="A2056" t="s">
        <v>821</v>
      </c>
      <c r="E2056" s="20" t="str">
        <f t="shared" si="227"/>
        <v/>
      </c>
      <c r="F2056" s="21" t="str">
        <f>IF(OR(E2056="",E2056="!!!"),"",IF(NOT(ISNA(VLOOKUP(E2056,E$1:E2055,1,FALSE()))),"OLD",IF(AND(E2056&lt;&gt;"",E2056&lt;&gt;"!!!"),"NEW","")))</f>
        <v/>
      </c>
      <c r="G2056" s="22" t="str">
        <f>IF(OR(E2056="",E2056="!!!"),"",IF(OR(J2056=0,AND(J2056=1,K2056=1),AND(J2056=1,I2056="SBJ"),AND(J2056=1,I2056=0)),"?IN_FOCUS",IF(J2056&lt;=2,"?ACTIVATED",IF(J2056&lt;&gt;"","?FAMILIAR",IF(F2056="NEW",IF(ISNA(VLOOKUP(E2056,#REF!,1,FALSE())),"?TYPE_IDENTIFIABLE","?REFERENTIAL"),"_")))))</f>
        <v/>
      </c>
      <c r="H2056" s="23" t="str">
        <f t="shared" ca="1" si="226"/>
        <v/>
      </c>
      <c r="I2056" s="24" t="str">
        <f>IF(OR(E2056="",E2056="!!!",F2056="NEW"),"",INDEX(B$2:B2055,-1+SUMPRODUCT(MAX(ROW(E$2:E2055)*(E2056=E$2:E2055)))))</f>
        <v/>
      </c>
      <c r="J2056" s="24" t="str">
        <f ca="1">IF(OR(E2056="",E2056="!!!",F2056="NEW"),"",COUNTBLANK(OFFSET(A$1,,,SUMPRODUCT(MAX(ROW(E$2:E2056)*(E2056=E$2:E2056)))))-COUNTBLANK(OFFSET(A$1,,,SUMPRODUCT(MAX(ROW(E$1:E2055)*(E2=E$1:E2055))))))</f>
        <v/>
      </c>
      <c r="K2056" s="24" t="str">
        <f>IF(OR(E2056="",E2056="!!!",F2056="NEW"),"",INDEX(J$1:J2055,SUMPRODUCT(MAX(ROW(E$1:E2055)*(E2056=E$1:E2055)))))</f>
        <v/>
      </c>
      <c r="L2056" s="25"/>
    </row>
    <row r="2057" spans="1:12" x14ac:dyDescent="0.2">
      <c r="A2057" t="s">
        <v>902</v>
      </c>
      <c r="E2057" s="20" t="str">
        <f t="shared" si="227"/>
        <v/>
      </c>
      <c r="F2057" s="21" t="str">
        <f>IF(OR(E2057="",E2057="!!!"),"",IF(NOT(ISNA(VLOOKUP(E2057,E$1:E2056,1,FALSE()))),"OLD",IF(AND(E2057&lt;&gt;"",E2057&lt;&gt;"!!!"),"NEW","")))</f>
        <v/>
      </c>
      <c r="G2057" s="22" t="str">
        <f>IF(OR(E2057="",E2057="!!!"),"",IF(OR(J2057=0,AND(J2057=1,K2057=1),AND(J2057=1,I2057="SBJ"),AND(J2057=1,I2057=0)),"?IN_FOCUS",IF(J2057&lt;=2,"?ACTIVATED",IF(J2057&lt;&gt;"","?FAMILIAR",IF(F2057="NEW",IF(ISNA(VLOOKUP(E2057,#REF!,1,FALSE())),"?TYPE_IDENTIFIABLE","?REFERENTIAL"),"_")))))</f>
        <v/>
      </c>
      <c r="H2057" s="23" t="str">
        <f t="shared" ca="1" si="226"/>
        <v/>
      </c>
      <c r="I2057" s="24" t="str">
        <f>IF(OR(E2057="",E2057="!!!",F2057="NEW"),"",INDEX(B$2:B2056,-1+SUMPRODUCT(MAX(ROW(E$2:E2056)*(E2057=E$2:E2056)))))</f>
        <v/>
      </c>
      <c r="J2057" s="24" t="str">
        <f ca="1">IF(OR(E2057="",E2057="!!!",F2057="NEW"),"",COUNTBLANK(OFFSET(A$1,,,SUMPRODUCT(MAX(ROW(E$2:E2057)*(E2057=E$2:E2057)))))-COUNTBLANK(OFFSET(A$1,,,SUMPRODUCT(MAX(ROW(E$1:E2056)*(E2=E$1:E2056))))))</f>
        <v/>
      </c>
      <c r="K2057" s="24" t="str">
        <f>IF(OR(E2057="",E2057="!!!",F2057="NEW"),"",INDEX(J$1:J2056,SUMPRODUCT(MAX(ROW(E$1:E2056)*(E2057=E$1:E2056)))))</f>
        <v/>
      </c>
      <c r="L2057" s="25"/>
    </row>
    <row r="2059" spans="1:12" x14ac:dyDescent="0.2">
      <c r="A2059" t="s">
        <v>900</v>
      </c>
      <c r="E2059" s="20" t="str">
        <f>IF(D2059="?OLD","!!!","")</f>
        <v/>
      </c>
      <c r="F2059" s="21" t="str">
        <f>IF(OR(E2059="",E2059="!!!"),"",IF(NOT(ISNA(VLOOKUP(E2059,E$1:E2058,1,FALSE()))),"OLD",IF(AND(E2059&lt;&gt;"",E2059&lt;&gt;"!!!"),"NEW","")))</f>
        <v/>
      </c>
      <c r="G2059" s="22" t="str">
        <f>IF(OR(E2059="",E2059="!!!"),"",IF(OR(J2059=0,AND(J2059=1,K2059=1),AND(J2059=1,I2059="SBJ"),AND(J2059=1,I2059=0)),"?IN_FOCUS",IF(J2059&lt;=2,"?ACTIVATED",IF(J2059&lt;&gt;"","?FAMILIAR",IF(F2059="NEW",IF(ISNA(VLOOKUP(E2059,#REF!,1,FALSE())),"?TYPE_IDENTIFIABLE","?REFERENTIAL"),"_")))))</f>
        <v/>
      </c>
      <c r="H2059" s="23" t="str">
        <f ca="1">IF(J2059&lt;&gt;1,"",IF(I2059="SBJ","CB","?"))</f>
        <v/>
      </c>
      <c r="I2059" s="24" t="str">
        <f>IF(OR(E2059="",E2059="!!!",F2059="NEW"),"",INDEX(B$2:B2058,-1+SUMPRODUCT(MAX(ROW(E$2:E2058)*(E2059=E$2:E2058)))))</f>
        <v/>
      </c>
      <c r="J2059" s="24" t="str">
        <f ca="1">IF(OR(E2059="",E2059="!!!",F2059="NEW"),"",COUNTBLANK(OFFSET(A$1,,,SUMPRODUCT(MAX(ROW(E$2:E2059)*(E2059=E$2:E2059)))))-COUNTBLANK(OFFSET(A$1,,,SUMPRODUCT(MAX(ROW(E$1:E2058)*(E2=E$1:E2058))))))</f>
        <v/>
      </c>
      <c r="K2059" s="24" t="str">
        <f>IF(OR(E2059="",E2059="!!!",F2059="NEW"),"",INDEX(J$1:J2058,SUMPRODUCT(MAX(ROW(E$1:E2058)*(E2059=E$1:E2058)))))</f>
        <v/>
      </c>
      <c r="L2059" s="25"/>
    </row>
    <row r="2060" spans="1:12" x14ac:dyDescent="0.2">
      <c r="A2060" t="s">
        <v>1460</v>
      </c>
    </row>
    <row r="2061" spans="1:12" x14ac:dyDescent="0.2">
      <c r="A2061" t="s">
        <v>803</v>
      </c>
      <c r="B2061" s="26" t="s">
        <v>804</v>
      </c>
      <c r="C2061" s="26" t="s">
        <v>805</v>
      </c>
      <c r="D2061" s="26" t="s">
        <v>806</v>
      </c>
      <c r="E2061" s="20" t="s">
        <v>1747</v>
      </c>
      <c r="F2061" s="21" t="s">
        <v>1753</v>
      </c>
      <c r="G2061" s="22" t="s">
        <v>1823</v>
      </c>
      <c r="H2061" s="23" t="str">
        <f t="shared" ref="H2061:H2084" ca="1" si="228">IF(J2061&lt;&gt;1,"",IF(I2061="SBJ","CB","?"))</f>
        <v/>
      </c>
      <c r="I2061" s="24" t="str">
        <f>IF(OR(E2061="",E2061="!!!",F2061="NEW"),"",INDEX(B$2:B2060,-1+SUMPRODUCT(MAX(ROW(E$2:E2060)*(E2061=E$2:E2060)))))</f>
        <v>SBJ</v>
      </c>
      <c r="J2061" s="24">
        <f ca="1">IF(OR(E2061="",E2061="!!!",F2061="NEW"),"",COUNTBLANK(OFFSET(A$1,,,SUMPRODUCT(MAX(ROW(E$2:E2061)*(E2061=E$2:E2061)))))-COUNTBLANK(OFFSET(A$1,,,SUMPRODUCT(MAX(ROW(E$1:E2060)*(E2=E$1:E2060))))))</f>
        <v>0</v>
      </c>
      <c r="K2061" s="24">
        <f ca="1">IF(OR(E2061="",E2061="!!!",F2061="NEW"),"",INDEX(J$1:J2060,SUMPRODUCT(MAX(ROW(E$1:E2060)*(E2061=E$1:E2060)))))</f>
        <v>0</v>
      </c>
      <c r="L2061" s="25"/>
    </row>
    <row r="2062" spans="1:12" x14ac:dyDescent="0.2">
      <c r="A2062" t="s">
        <v>904</v>
      </c>
      <c r="E2062" s="20" t="str">
        <f t="shared" ref="E2062:E2084" si="229">IF(D2062="?OLD","!!!","")</f>
        <v/>
      </c>
      <c r="F2062" s="21" t="str">
        <f>IF(OR(E2062="",E2062="!!!"),"",IF(NOT(ISNA(VLOOKUP(E2062,E$1:E2061,1,FALSE()))),"OLD",IF(AND(E2062&lt;&gt;"",E2062&lt;&gt;"!!!"),"NEW","")))</f>
        <v/>
      </c>
      <c r="G2062" s="22" t="str">
        <f>IF(OR(E2062="",E2062="!!!"),"",IF(OR(J2062=0,AND(J2062=1,K2062=1),AND(J2062=1,I2062="SBJ"),AND(J2062=1,I2062=0)),"?IN_FOCUS",IF(J2062&lt;=2,"?ACTIVATED",IF(J2062&lt;&gt;"","?FAMILIAR",IF(F2062="NEW",IF(ISNA(VLOOKUP(E2062,#REF!,1,FALSE())),"?TYPE_IDENTIFIABLE","?REFERENTIAL"),"_")))))</f>
        <v/>
      </c>
      <c r="H2062" s="23" t="str">
        <f t="shared" ca="1" si="228"/>
        <v/>
      </c>
      <c r="I2062" s="24" t="str">
        <f>IF(OR(E2062="",E2062="!!!",F2062="NEW"),"",INDEX(B$2:B2061,-1+SUMPRODUCT(MAX(ROW(E$2:E2061)*(E2062=E$2:E2061)))))</f>
        <v/>
      </c>
      <c r="J2062" s="24" t="str">
        <f ca="1">IF(OR(E2062="",E2062="!!!",F2062="NEW"),"",COUNTBLANK(OFFSET(A$1,,,SUMPRODUCT(MAX(ROW(E$2:E2062)*(E2062=E$2:E2062)))))-COUNTBLANK(OFFSET(A$1,,,SUMPRODUCT(MAX(ROW(E$1:E2061)*(E2=E$1:E2061))))))</f>
        <v/>
      </c>
      <c r="K2062" s="24" t="str">
        <f>IF(OR(E2062="",E2062="!!!",F2062="NEW"),"",INDEX(J$1:J2061,SUMPRODUCT(MAX(ROW(E$1:E2061)*(E2062=E$1:E2061)))))</f>
        <v/>
      </c>
      <c r="L2062" s="25"/>
    </row>
    <row r="2063" spans="1:12" x14ac:dyDescent="0.2">
      <c r="A2063" t="s">
        <v>802</v>
      </c>
      <c r="E2063" s="20" t="str">
        <f t="shared" si="229"/>
        <v/>
      </c>
      <c r="F2063" s="21" t="str">
        <f>IF(OR(E2063="",E2063="!!!"),"",IF(NOT(ISNA(VLOOKUP(E2063,E$1:E2062,1,FALSE()))),"OLD",IF(AND(E2063&lt;&gt;"",E2063&lt;&gt;"!!!"),"NEW","")))</f>
        <v/>
      </c>
      <c r="G2063" s="22" t="str">
        <f>IF(OR(E2063="",E2063="!!!"),"",IF(OR(J2063=0,AND(J2063=1,K2063=1),AND(J2063=1,I2063="SBJ"),AND(J2063=1,I2063=0)),"?IN_FOCUS",IF(J2063&lt;=2,"?ACTIVATED",IF(J2063&lt;&gt;"","?FAMILIAR",IF(F2063="NEW",IF(ISNA(VLOOKUP(E2063,#REF!,1,FALSE())),"?TYPE_IDENTIFIABLE","?REFERENTIAL"),"_")))))</f>
        <v/>
      </c>
      <c r="H2063" s="23" t="str">
        <f t="shared" ca="1" si="228"/>
        <v/>
      </c>
      <c r="I2063" s="24" t="str">
        <f>IF(OR(E2063="",E2063="!!!",F2063="NEW"),"",INDEX(B$2:B2062,-1+SUMPRODUCT(MAX(ROW(E$2:E2062)*(E2063=E$2:E2062)))))</f>
        <v/>
      </c>
      <c r="J2063" s="24" t="str">
        <f ca="1">IF(OR(E2063="",E2063="!!!",F2063="NEW"),"",COUNTBLANK(OFFSET(A$1,,,SUMPRODUCT(MAX(ROW(E$2:E2063)*(E2063=E$2:E2063)))))-COUNTBLANK(OFFSET(A$1,,,SUMPRODUCT(MAX(ROW(E$1:E2062)*(E2=E$1:E2062))))))</f>
        <v/>
      </c>
      <c r="K2063" s="24" t="str">
        <f>IF(OR(E2063="",E2063="!!!",F2063="NEW"),"",INDEX(J$1:J2062,SUMPRODUCT(MAX(ROW(E$1:E2062)*(E2063=E$1:E2062)))))</f>
        <v/>
      </c>
      <c r="L2063" s="25"/>
    </row>
    <row r="2064" spans="1:12" x14ac:dyDescent="0.2">
      <c r="A2064" t="s">
        <v>902</v>
      </c>
      <c r="E2064" s="20" t="str">
        <f t="shared" si="229"/>
        <v/>
      </c>
      <c r="F2064" s="21" t="str">
        <f>IF(OR(E2064="",E2064="!!!"),"",IF(NOT(ISNA(VLOOKUP(E2064,E$1:E2063,1,FALSE()))),"OLD",IF(AND(E2064&lt;&gt;"",E2064&lt;&gt;"!!!"),"NEW","")))</f>
        <v/>
      </c>
      <c r="G2064" s="22" t="str">
        <f>IF(OR(E2064="",E2064="!!!"),"",IF(OR(J2064=0,AND(J2064=1,K2064=1),AND(J2064=1,I2064="SBJ"),AND(J2064=1,I2064=0)),"?IN_FOCUS",IF(J2064&lt;=2,"?ACTIVATED",IF(J2064&lt;&gt;"","?FAMILIAR",IF(F2064="NEW",IF(ISNA(VLOOKUP(E2064,#REF!,1,FALSE())),"?TYPE_IDENTIFIABLE","?REFERENTIAL"),"_")))))</f>
        <v/>
      </c>
      <c r="H2064" s="23" t="str">
        <f t="shared" ca="1" si="228"/>
        <v/>
      </c>
      <c r="I2064" s="24" t="str">
        <f>IF(OR(E2064="",E2064="!!!",F2064="NEW"),"",INDEX(B$2:B2063,-1+SUMPRODUCT(MAX(ROW(E$2:E2063)*(E2064=E$2:E2063)))))</f>
        <v/>
      </c>
      <c r="J2064" s="24" t="str">
        <f ca="1">IF(OR(E2064="",E2064="!!!",F2064="NEW"),"",COUNTBLANK(OFFSET(A$1,,,SUMPRODUCT(MAX(ROW(E$2:E2064)*(E2064=E$2:E2064)))))-COUNTBLANK(OFFSET(A$1,,,SUMPRODUCT(MAX(ROW(E$1:E2063)*(E2=E$1:E2063))))))</f>
        <v/>
      </c>
      <c r="K2064" s="24" t="str">
        <f>IF(OR(E2064="",E2064="!!!",F2064="NEW"),"",INDEX(J$1:J2063,SUMPRODUCT(MAX(ROW(E$1:E2063)*(E2064=E$1:E2063)))))</f>
        <v/>
      </c>
      <c r="L2064" s="25"/>
    </row>
    <row r="2065" spans="1:12" x14ac:dyDescent="0.2">
      <c r="A2065" t="s">
        <v>1191</v>
      </c>
      <c r="B2065" s="26" t="s">
        <v>950</v>
      </c>
      <c r="C2065" s="26" t="s">
        <v>854</v>
      </c>
      <c r="D2065" s="26" t="s">
        <v>806</v>
      </c>
      <c r="E2065" s="20"/>
      <c r="F2065" s="21"/>
      <c r="G2065" s="22"/>
      <c r="H2065" s="23" t="str">
        <f t="shared" ca="1" si="228"/>
        <v/>
      </c>
      <c r="I2065" s="24" t="str">
        <f>IF(OR(E2065="",E2065="!!!",F2065="NEW"),"",INDEX(B$2:B2064,-1+SUMPRODUCT(MAX(ROW(E$2:E2064)*(E2065=E$2:E2064)))))</f>
        <v/>
      </c>
      <c r="J2065" s="24" t="str">
        <f ca="1">IF(OR(E2065="",E2065="!!!",F2065="NEW"),"",COUNTBLANK(OFFSET(A$1,,,SUMPRODUCT(MAX(ROW(E$2:E2065)*(E2065=E$2:E2065)))))-COUNTBLANK(OFFSET(A$1,,,SUMPRODUCT(MAX(ROW(E$1:E2064)*(E2=E$1:E2064))))))</f>
        <v/>
      </c>
      <c r="K2065" s="24" t="str">
        <f>IF(OR(E2065="",E2065="!!!",F2065="NEW"),"",INDEX(J$1:J2064,SUMPRODUCT(MAX(ROW(E$1:E2064)*(E2065=E$1:E2064)))))</f>
        <v/>
      </c>
      <c r="L2065" s="25"/>
    </row>
    <row r="2066" spans="1:12" x14ac:dyDescent="0.2">
      <c r="A2066" t="s">
        <v>802</v>
      </c>
      <c r="E2066" s="20" t="str">
        <f t="shared" si="229"/>
        <v/>
      </c>
      <c r="F2066" s="21" t="str">
        <f>IF(OR(E2066="",E2066="!!!"),"",IF(NOT(ISNA(VLOOKUP(E2066,E$1:E2065,1,FALSE()))),"OLD",IF(AND(E2066&lt;&gt;"",E2066&lt;&gt;"!!!"),"NEW","")))</f>
        <v/>
      </c>
      <c r="G2066" s="22" t="str">
        <f>IF(OR(E2066="",E2066="!!!"),"",IF(OR(J2066=0,AND(J2066=1,K2066=1),AND(J2066=1,I2066="SBJ"),AND(J2066=1,I2066=0)),"?IN_FOCUS",IF(J2066&lt;=2,"?ACTIVATED",IF(J2066&lt;&gt;"","?FAMILIAR",IF(F2066="NEW",IF(ISNA(VLOOKUP(E2066,#REF!,1,FALSE())),"?TYPE_IDENTIFIABLE","?REFERENTIAL"),"_")))))</f>
        <v/>
      </c>
      <c r="H2066" s="23" t="str">
        <f t="shared" ca="1" si="228"/>
        <v/>
      </c>
      <c r="I2066" s="24" t="str">
        <f>IF(OR(E2066="",E2066="!!!",F2066="NEW"),"",INDEX(B$2:B2065,-1+SUMPRODUCT(MAX(ROW(E$2:E2065)*(E2066=E$2:E2065)))))</f>
        <v/>
      </c>
      <c r="J2066" s="24" t="str">
        <f ca="1">IF(OR(E2066="",E2066="!!!",F2066="NEW"),"",COUNTBLANK(OFFSET(A$1,,,SUMPRODUCT(MAX(ROW(E$2:E2066)*(E2066=E$2:E2066)))))-COUNTBLANK(OFFSET(A$1,,,SUMPRODUCT(MAX(ROW(E$1:E2065)*(E2=E$1:E2065))))))</f>
        <v/>
      </c>
      <c r="K2066" s="24" t="str">
        <f>IF(OR(E2066="",E2066="!!!",F2066="NEW"),"",INDEX(J$1:J2065,SUMPRODUCT(MAX(ROW(E$1:E2065)*(E2066=E$1:E2065)))))</f>
        <v/>
      </c>
      <c r="L2066" s="25"/>
    </row>
    <row r="2067" spans="1:12" x14ac:dyDescent="0.2">
      <c r="A2067" t="s">
        <v>963</v>
      </c>
      <c r="E2067" s="20" t="str">
        <f t="shared" si="229"/>
        <v/>
      </c>
      <c r="F2067" s="21" t="str">
        <f>IF(OR(E2067="",E2067="!!!"),"",IF(NOT(ISNA(VLOOKUP(E2067,E$1:E2066,1,FALSE()))),"OLD",IF(AND(E2067&lt;&gt;"",E2067&lt;&gt;"!!!"),"NEW","")))</f>
        <v/>
      </c>
      <c r="G2067" s="22" t="str">
        <f>IF(OR(E2067="",E2067="!!!"),"",IF(OR(J2067=0,AND(J2067=1,K2067=1),AND(J2067=1,I2067="SBJ"),AND(J2067=1,I2067=0)),"?IN_FOCUS",IF(J2067&lt;=2,"?ACTIVATED",IF(J2067&lt;&gt;"","?FAMILIAR",IF(F2067="NEW",IF(ISNA(VLOOKUP(E2067,#REF!,1,FALSE())),"?TYPE_IDENTIFIABLE","?REFERENTIAL"),"_")))))</f>
        <v/>
      </c>
      <c r="H2067" s="23" t="str">
        <f t="shared" ca="1" si="228"/>
        <v/>
      </c>
      <c r="I2067" s="24" t="str">
        <f>IF(OR(E2067="",E2067="!!!",F2067="NEW"),"",INDEX(B$2:B2066,-1+SUMPRODUCT(MAX(ROW(E$2:E2066)*(E2067=E$2:E2066)))))</f>
        <v/>
      </c>
      <c r="J2067" s="24" t="str">
        <f ca="1">IF(OR(E2067="",E2067="!!!",F2067="NEW"),"",COUNTBLANK(OFFSET(A$1,,,SUMPRODUCT(MAX(ROW(E$2:E2067)*(E2067=E$2:E2067)))))-COUNTBLANK(OFFSET(A$1,,,SUMPRODUCT(MAX(ROW(E$1:E2066)*(E2=E$1:E2066))))))</f>
        <v/>
      </c>
      <c r="K2067" s="24" t="str">
        <f>IF(OR(E2067="",E2067="!!!",F2067="NEW"),"",INDEX(J$1:J2066,SUMPRODUCT(MAX(ROW(E$1:E2066)*(E2067=E$1:E2066)))))</f>
        <v/>
      </c>
      <c r="L2067" s="25"/>
    </row>
    <row r="2068" spans="1:12" x14ac:dyDescent="0.2">
      <c r="A2068" t="s">
        <v>999</v>
      </c>
      <c r="E2068" s="20" t="str">
        <f t="shared" si="229"/>
        <v/>
      </c>
      <c r="F2068" s="21" t="str">
        <f>IF(OR(E2068="",E2068="!!!"),"",IF(NOT(ISNA(VLOOKUP(E2068,E$1:E2067,1,FALSE()))),"OLD",IF(AND(E2068&lt;&gt;"",E2068&lt;&gt;"!!!"),"NEW","")))</f>
        <v/>
      </c>
      <c r="G2068" s="22" t="str">
        <f>IF(OR(E2068="",E2068="!!!"),"",IF(OR(J2068=0,AND(J2068=1,K2068=1),AND(J2068=1,I2068="SBJ"),AND(J2068=1,I2068=0)),"?IN_FOCUS",IF(J2068&lt;=2,"?ACTIVATED",IF(J2068&lt;&gt;"","?FAMILIAR",IF(F2068="NEW",IF(ISNA(VLOOKUP(E2068,#REF!,1,FALSE())),"?TYPE_IDENTIFIABLE","?REFERENTIAL"),"_")))))</f>
        <v/>
      </c>
      <c r="H2068" s="23" t="str">
        <f t="shared" ca="1" si="228"/>
        <v/>
      </c>
      <c r="I2068" s="24" t="str">
        <f>IF(OR(E2068="",E2068="!!!",F2068="NEW"),"",INDEX(B$2:B2067,-1+SUMPRODUCT(MAX(ROW(E$2:E2067)*(E2068=E$2:E2067)))))</f>
        <v/>
      </c>
      <c r="J2068" s="24" t="str">
        <f ca="1">IF(OR(E2068="",E2068="!!!",F2068="NEW"),"",COUNTBLANK(OFFSET(A$1,,,SUMPRODUCT(MAX(ROW(E$2:E2068)*(E2068=E$2:E2068)))))-COUNTBLANK(OFFSET(A$1,,,SUMPRODUCT(MAX(ROW(E$1:E2067)*(E2=E$1:E2067))))))</f>
        <v/>
      </c>
      <c r="K2068" s="24" t="str">
        <f>IF(OR(E2068="",E2068="!!!",F2068="NEW"),"",INDEX(J$1:J2067,SUMPRODUCT(MAX(ROW(E$1:E2067)*(E2068=E$1:E2067)))))</f>
        <v/>
      </c>
      <c r="L2068" s="25"/>
    </row>
    <row r="2069" spans="1:12" x14ac:dyDescent="0.2">
      <c r="A2069" t="s">
        <v>809</v>
      </c>
      <c r="E2069" s="20" t="str">
        <f t="shared" si="229"/>
        <v/>
      </c>
      <c r="F2069" s="21" t="str">
        <f>IF(OR(E2069="",E2069="!!!"),"",IF(NOT(ISNA(VLOOKUP(E2069,E$1:E2068,1,FALSE()))),"OLD",IF(AND(E2069&lt;&gt;"",E2069&lt;&gt;"!!!"),"NEW","")))</f>
        <v/>
      </c>
      <c r="G2069" s="22" t="str">
        <f>IF(OR(E2069="",E2069="!!!"),"",IF(OR(J2069=0,AND(J2069=1,K2069=1),AND(J2069=1,I2069="SBJ"),AND(J2069=1,I2069=0)),"?IN_FOCUS",IF(J2069&lt;=2,"?ACTIVATED",IF(J2069&lt;&gt;"","?FAMILIAR",IF(F2069="NEW",IF(ISNA(VLOOKUP(E2069,#REF!,1,FALSE())),"?TYPE_IDENTIFIABLE","?REFERENTIAL"),"_")))))</f>
        <v/>
      </c>
      <c r="H2069" s="23" t="str">
        <f t="shared" ca="1" si="228"/>
        <v/>
      </c>
      <c r="I2069" s="24" t="str">
        <f>IF(OR(E2069="",E2069="!!!",F2069="NEW"),"",INDEX(B$2:B2068,-1+SUMPRODUCT(MAX(ROW(E$2:E2068)*(E2069=E$2:E2068)))))</f>
        <v/>
      </c>
      <c r="J2069" s="24" t="str">
        <f ca="1">IF(OR(E2069="",E2069="!!!",F2069="NEW"),"",COUNTBLANK(OFFSET(A$1,,,SUMPRODUCT(MAX(ROW(E$2:E2069)*(E2069=E$2:E2069)))))-COUNTBLANK(OFFSET(A$1,,,SUMPRODUCT(MAX(ROW(E$1:E2068)*(E2=E$1:E2068))))))</f>
        <v/>
      </c>
      <c r="K2069" s="24" t="str">
        <f>IF(OR(E2069="",E2069="!!!",F2069="NEW"),"",INDEX(J$1:J2068,SUMPRODUCT(MAX(ROW(E$1:E2068)*(E2069=E$1:E2068)))))</f>
        <v/>
      </c>
      <c r="L2069" s="25"/>
    </row>
    <row r="2070" spans="1:12" x14ac:dyDescent="0.2">
      <c r="A2070" t="s">
        <v>1461</v>
      </c>
      <c r="E2070" s="20" t="str">
        <f t="shared" si="229"/>
        <v/>
      </c>
      <c r="F2070" s="21" t="str">
        <f>IF(OR(E2070="",E2070="!!!"),"",IF(NOT(ISNA(VLOOKUP(E2070,E$1:E2069,1,FALSE()))),"OLD",IF(AND(E2070&lt;&gt;"",E2070&lt;&gt;"!!!"),"NEW","")))</f>
        <v/>
      </c>
      <c r="G2070" s="22" t="str">
        <f>IF(OR(E2070="",E2070="!!!"),"",IF(OR(J2070=0,AND(J2070=1,K2070=1),AND(J2070=1,I2070="SBJ"),AND(J2070=1,I2070=0)),"?IN_FOCUS",IF(J2070&lt;=2,"?ACTIVATED",IF(J2070&lt;&gt;"","?FAMILIAR",IF(F2070="NEW",IF(ISNA(VLOOKUP(E2070,#REF!,1,FALSE())),"?TYPE_IDENTIFIABLE","?REFERENTIAL"),"_")))))</f>
        <v/>
      </c>
      <c r="H2070" s="23" t="str">
        <f t="shared" ca="1" si="228"/>
        <v/>
      </c>
      <c r="I2070" s="24" t="str">
        <f>IF(OR(E2070="",E2070="!!!",F2070="NEW"),"",INDEX(B$2:B2069,-1+SUMPRODUCT(MAX(ROW(E$2:E2069)*(E2070=E$2:E2069)))))</f>
        <v/>
      </c>
      <c r="J2070" s="24" t="str">
        <f ca="1">IF(OR(E2070="",E2070="!!!",F2070="NEW"),"",COUNTBLANK(OFFSET(A$1,,,SUMPRODUCT(MAX(ROW(E$2:E2070)*(E2070=E$2:E2070)))))-COUNTBLANK(OFFSET(A$1,,,SUMPRODUCT(MAX(ROW(E$1:E2069)*(E2=E$1:E2069))))))</f>
        <v/>
      </c>
      <c r="K2070" s="24" t="str">
        <f>IF(OR(E2070="",E2070="!!!",F2070="NEW"),"",INDEX(J$1:J2069,SUMPRODUCT(MAX(ROW(E$1:E2069)*(E2070=E$1:E2069)))))</f>
        <v/>
      </c>
      <c r="L2070" s="25"/>
    </row>
    <row r="2071" spans="1:12" x14ac:dyDescent="0.2">
      <c r="A2071" t="s">
        <v>1457</v>
      </c>
      <c r="E2071" s="20" t="str">
        <f t="shared" si="229"/>
        <v/>
      </c>
      <c r="F2071" s="21" t="str">
        <f>IF(OR(E2071="",E2071="!!!"),"",IF(NOT(ISNA(VLOOKUP(E2071,E$1:E2070,1,FALSE()))),"OLD",IF(AND(E2071&lt;&gt;"",E2071&lt;&gt;"!!!"),"NEW","")))</f>
        <v/>
      </c>
      <c r="G2071" s="22" t="str">
        <f>IF(OR(E2071="",E2071="!!!"),"",IF(OR(J2071=0,AND(J2071=1,K2071=1),AND(J2071=1,I2071="SBJ"),AND(J2071=1,I2071=0)),"?IN_FOCUS",IF(J2071&lt;=2,"?ACTIVATED",IF(J2071&lt;&gt;"","?FAMILIAR",IF(F2071="NEW",IF(ISNA(VLOOKUP(E2071,#REF!,1,FALSE())),"?TYPE_IDENTIFIABLE","?REFERENTIAL"),"_")))))</f>
        <v/>
      </c>
      <c r="H2071" s="23" t="str">
        <f t="shared" ca="1" si="228"/>
        <v/>
      </c>
      <c r="I2071" s="24" t="str">
        <f>IF(OR(E2071="",E2071="!!!",F2071="NEW"),"",INDEX(B$2:B2070,-1+SUMPRODUCT(MAX(ROW(E$2:E2070)*(E2071=E$2:E2070)))))</f>
        <v/>
      </c>
      <c r="J2071" s="24" t="str">
        <f ca="1">IF(OR(E2071="",E2071="!!!",F2071="NEW"),"",COUNTBLANK(OFFSET(A$1,,,SUMPRODUCT(MAX(ROW(E$2:E2071)*(E2071=E$2:E2071)))))-COUNTBLANK(OFFSET(A$1,,,SUMPRODUCT(MAX(ROW(E$1:E2070)*(E2=E$1:E2070))))))</f>
        <v/>
      </c>
      <c r="K2071" s="24" t="str">
        <f>IF(OR(E2071="",E2071="!!!",F2071="NEW"),"",INDEX(J$1:J2070,SUMPRODUCT(MAX(ROW(E$1:E2070)*(E2071=E$1:E2070)))))</f>
        <v/>
      </c>
      <c r="L2071" s="25"/>
    </row>
    <row r="2072" spans="1:12" x14ac:dyDescent="0.2">
      <c r="A2072" t="s">
        <v>1462</v>
      </c>
      <c r="B2072" s="26" t="s">
        <v>819</v>
      </c>
      <c r="C2072" s="26" t="s">
        <v>811</v>
      </c>
      <c r="E2072" s="20" t="str">
        <f t="shared" si="229"/>
        <v/>
      </c>
      <c r="F2072" s="21" t="str">
        <f>IF(OR(E2072="",E2072="!!!"),"",IF(NOT(ISNA(VLOOKUP(E2072,E$1:E2071,1,FALSE()))),"OLD",IF(AND(E2072&lt;&gt;"",E2072&lt;&gt;"!!!"),"NEW","")))</f>
        <v/>
      </c>
      <c r="G2072" s="22" t="str">
        <f>IF(OR(E2072="",E2072="!!!"),"",IF(OR(J2072=0,AND(J2072=1,K2072=1),AND(J2072=1,I2072="SBJ"),AND(J2072=1,I2072=0)),"?IN_FOCUS",IF(J2072&lt;=2,"?ACTIVATED",IF(J2072&lt;&gt;"","?FAMILIAR",IF(F2072="NEW",IF(ISNA(VLOOKUP(E2072,#REF!,1,FALSE())),"?TYPE_IDENTIFIABLE","?REFERENTIAL"),"_")))))</f>
        <v/>
      </c>
      <c r="H2072" s="23" t="str">
        <f t="shared" ca="1" si="228"/>
        <v/>
      </c>
      <c r="I2072" s="24" t="str">
        <f>IF(OR(E2072="",E2072="!!!",F2072="NEW"),"",INDEX(B$2:B2071,-1+SUMPRODUCT(MAX(ROW(E$2:E2071)*(E2072=E$2:E2071)))))</f>
        <v/>
      </c>
      <c r="J2072" s="24" t="str">
        <f ca="1">IF(OR(E2072="",E2072="!!!",F2072="NEW"),"",COUNTBLANK(OFFSET(A$1,,,SUMPRODUCT(MAX(ROW(E$2:E2072)*(E2072=E$2:E2072)))))-COUNTBLANK(OFFSET(A$1,,,SUMPRODUCT(MAX(ROW(E$1:E2071)*(E2=E$1:E2071))))))</f>
        <v/>
      </c>
      <c r="K2072" s="24" t="str">
        <f>IF(OR(E2072="",E2072="!!!",F2072="NEW"),"",INDEX(J$1:J2071,SUMPRODUCT(MAX(ROW(E$1:E2071)*(E2072=E$1:E2071)))))</f>
        <v/>
      </c>
      <c r="L2072" s="25"/>
    </row>
    <row r="2073" spans="1:12" x14ac:dyDescent="0.2">
      <c r="A2073" t="s">
        <v>833</v>
      </c>
      <c r="E2073" s="20" t="str">
        <f t="shared" si="229"/>
        <v/>
      </c>
      <c r="F2073" s="21" t="str">
        <f>IF(OR(E2073="",E2073="!!!"),"",IF(NOT(ISNA(VLOOKUP(E2073,E$1:E2072,1,FALSE()))),"OLD",IF(AND(E2073&lt;&gt;"",E2073&lt;&gt;"!!!"),"NEW","")))</f>
        <v/>
      </c>
      <c r="G2073" s="22" t="str">
        <f>IF(OR(E2073="",E2073="!!!"),"",IF(OR(J2073=0,AND(J2073=1,K2073=1),AND(J2073=1,I2073="SBJ"),AND(J2073=1,I2073=0)),"?IN_FOCUS",IF(J2073&lt;=2,"?ACTIVATED",IF(J2073&lt;&gt;"","?FAMILIAR",IF(F2073="NEW",IF(ISNA(VLOOKUP(E2073,#REF!,1,FALSE())),"?TYPE_IDENTIFIABLE","?REFERENTIAL"),"_")))))</f>
        <v/>
      </c>
      <c r="H2073" s="23" t="str">
        <f t="shared" ca="1" si="228"/>
        <v/>
      </c>
      <c r="I2073" s="24" t="str">
        <f>IF(OR(E2073="",E2073="!!!",F2073="NEW"),"",INDEX(B$2:B2072,-1+SUMPRODUCT(MAX(ROW(E$2:E2072)*(E2073=E$2:E2072)))))</f>
        <v/>
      </c>
      <c r="J2073" s="24" t="str">
        <f ca="1">IF(OR(E2073="",E2073="!!!",F2073="NEW"),"",COUNTBLANK(OFFSET(A$1,,,SUMPRODUCT(MAX(ROW(E$2:E2073)*(E2073=E$2:E2073)))))-COUNTBLANK(OFFSET(A$1,,,SUMPRODUCT(MAX(ROW(E$1:E2072)*(E2=E$1:E2072))))))</f>
        <v/>
      </c>
      <c r="K2073" s="24" t="str">
        <f>IF(OR(E2073="",E2073="!!!",F2073="NEW"),"",INDEX(J$1:J2072,SUMPRODUCT(MAX(ROW(E$1:E2072)*(E2073=E$1:E2072)))))</f>
        <v/>
      </c>
      <c r="L2073" s="25"/>
    </row>
    <row r="2074" spans="1:12" x14ac:dyDescent="0.2">
      <c r="A2074" t="s">
        <v>845</v>
      </c>
      <c r="E2074" s="20" t="str">
        <f t="shared" si="229"/>
        <v/>
      </c>
      <c r="F2074" s="21" t="str">
        <f>IF(OR(E2074="",E2074="!!!"),"",IF(NOT(ISNA(VLOOKUP(E2074,E$1:E2073,1,FALSE()))),"OLD",IF(AND(E2074&lt;&gt;"",E2074&lt;&gt;"!!!"),"NEW","")))</f>
        <v/>
      </c>
      <c r="G2074" s="22" t="str">
        <f>IF(OR(E2074="",E2074="!!!"),"",IF(OR(J2074=0,AND(J2074=1,K2074=1),AND(J2074=1,I2074="SBJ"),AND(J2074=1,I2074=0)),"?IN_FOCUS",IF(J2074&lt;=2,"?ACTIVATED",IF(J2074&lt;&gt;"","?FAMILIAR",IF(F2074="NEW",IF(ISNA(VLOOKUP(E2074,#REF!,1,FALSE())),"?TYPE_IDENTIFIABLE","?REFERENTIAL"),"_")))))</f>
        <v/>
      </c>
      <c r="H2074" s="23" t="str">
        <f t="shared" ca="1" si="228"/>
        <v/>
      </c>
      <c r="I2074" s="24" t="str">
        <f>IF(OR(E2074="",E2074="!!!",F2074="NEW"),"",INDEX(B$2:B2073,-1+SUMPRODUCT(MAX(ROW(E$2:E2073)*(E2074=E$2:E2073)))))</f>
        <v/>
      </c>
      <c r="J2074" s="24" t="str">
        <f ca="1">IF(OR(E2074="",E2074="!!!",F2074="NEW"),"",COUNTBLANK(OFFSET(A$1,,,SUMPRODUCT(MAX(ROW(E$2:E2074)*(E2074=E$2:E2074)))))-COUNTBLANK(OFFSET(A$1,,,SUMPRODUCT(MAX(ROW(E$1:E2073)*(E2=E$1:E2073))))))</f>
        <v/>
      </c>
      <c r="K2074" s="24" t="str">
        <f>IF(OR(E2074="",E2074="!!!",F2074="NEW"),"",INDEX(J$1:J2073,SUMPRODUCT(MAX(ROW(E$1:E2073)*(E2074=E$1:E2073)))))</f>
        <v/>
      </c>
      <c r="L2074" s="25"/>
    </row>
    <row r="2075" spans="1:12" x14ac:dyDescent="0.2">
      <c r="A2075" t="s">
        <v>1446</v>
      </c>
      <c r="E2075" s="20" t="str">
        <f t="shared" si="229"/>
        <v/>
      </c>
      <c r="F2075" s="21" t="str">
        <f>IF(OR(E2075="",E2075="!!!"),"",IF(NOT(ISNA(VLOOKUP(E2075,E$1:E2074,1,FALSE()))),"OLD",IF(AND(E2075&lt;&gt;"",E2075&lt;&gt;"!!!"),"NEW","")))</f>
        <v/>
      </c>
      <c r="G2075" s="22" t="str">
        <f>IF(OR(E2075="",E2075="!!!"),"",IF(OR(J2075=0,AND(J2075=1,K2075=1),AND(J2075=1,I2075="SBJ"),AND(J2075=1,I2075=0)),"?IN_FOCUS",IF(J2075&lt;=2,"?ACTIVATED",IF(J2075&lt;&gt;"","?FAMILIAR",IF(F2075="NEW",IF(ISNA(VLOOKUP(E2075,#REF!,1,FALSE())),"?TYPE_IDENTIFIABLE","?REFERENTIAL"),"_")))))</f>
        <v/>
      </c>
      <c r="H2075" s="23" t="str">
        <f t="shared" ca="1" si="228"/>
        <v/>
      </c>
      <c r="I2075" s="24" t="str">
        <f>IF(OR(E2075="",E2075="!!!",F2075="NEW"),"",INDEX(B$2:B2074,-1+SUMPRODUCT(MAX(ROW(E$2:E2074)*(E2075=E$2:E2074)))))</f>
        <v/>
      </c>
      <c r="J2075" s="24" t="str">
        <f ca="1">IF(OR(E2075="",E2075="!!!",F2075="NEW"),"",COUNTBLANK(OFFSET(A$1,,,SUMPRODUCT(MAX(ROW(E$2:E2075)*(E2075=E$2:E2075)))))-COUNTBLANK(OFFSET(A$1,,,SUMPRODUCT(MAX(ROW(E$1:E2074)*(E2=E$1:E2074))))))</f>
        <v/>
      </c>
      <c r="K2075" s="24" t="str">
        <f>IF(OR(E2075="",E2075="!!!",F2075="NEW"),"",INDEX(J$1:J2074,SUMPRODUCT(MAX(ROW(E$1:E2074)*(E2075=E$1:E2074)))))</f>
        <v/>
      </c>
      <c r="L2075" s="25"/>
    </row>
    <row r="2076" spans="1:12" x14ac:dyDescent="0.2">
      <c r="A2076" t="s">
        <v>1365</v>
      </c>
      <c r="B2076" s="26" t="s">
        <v>813</v>
      </c>
      <c r="C2076" s="26" t="s">
        <v>847</v>
      </c>
      <c r="D2076" s="26" t="s">
        <v>806</v>
      </c>
      <c r="E2076" s="20"/>
      <c r="F2076" s="21" t="s">
        <v>1781</v>
      </c>
      <c r="G2076" s="22" t="str">
        <f>IF(OR(E2076="",E2076="!!!"),"",IF(OR(J2076=0,AND(J2076=1,K2076=1),AND(J2076=1,I2076="SBJ"),AND(J2076=1,I2076=0)),"?IN_FOCUS",IF(J2076&lt;=2,"?ACTIVATED",IF(J2076&lt;&gt;"","?FAMILIAR",IF(F2076="NEW",IF(ISNA(VLOOKUP(E2076,#REF!,1,FALSE())),"?TYPE_IDENTIFIABLE","?REFERENTIAL"),"_")))))</f>
        <v/>
      </c>
      <c r="H2076" s="23" t="str">
        <f t="shared" ca="1" si="228"/>
        <v/>
      </c>
      <c r="I2076" s="24" t="str">
        <f>IF(OR(E2076="",E2076="!!!",F2076="NEW"),"",INDEX(B$2:B2075,-1+SUMPRODUCT(MAX(ROW(E$2:E2075)*(E2076=E$2:E2075)))))</f>
        <v/>
      </c>
      <c r="J2076" s="24" t="str">
        <f ca="1">IF(OR(E2076="",E2076="!!!",F2076="NEW"),"",COUNTBLANK(OFFSET(A$1,,,SUMPRODUCT(MAX(ROW(E$2:E2076)*(E2076=E$2:E2076)))))-COUNTBLANK(OFFSET(A$1,,,SUMPRODUCT(MAX(ROW(E$1:E2075)*(E2=E$1:E2075))))))</f>
        <v/>
      </c>
      <c r="K2076" s="24" t="str">
        <f>IF(OR(E2076="",E2076="!!!",F2076="NEW"),"",INDEX(J$1:J2075,SUMPRODUCT(MAX(ROW(E$1:E2075)*(E2076=E$1:E2075)))))</f>
        <v/>
      </c>
      <c r="L2076" s="25"/>
    </row>
    <row r="2077" spans="1:12" x14ac:dyDescent="0.2">
      <c r="A2077" t="s">
        <v>866</v>
      </c>
      <c r="B2077" s="26" t="s">
        <v>944</v>
      </c>
      <c r="C2077" s="26" t="s">
        <v>805</v>
      </c>
      <c r="D2077" s="26" t="s">
        <v>806</v>
      </c>
      <c r="E2077" s="20"/>
      <c r="F2077" s="21" t="s">
        <v>1781</v>
      </c>
      <c r="G2077" s="22" t="str">
        <f>IF(OR(E2077="",E2077="!!!"),"",IF(OR(J2077=0,AND(J2077=1,K2077=1),AND(J2077=1,I2077="SBJ"),AND(J2077=1,I2077=0)),"?IN_FOCUS",IF(J2077&lt;=2,"?ACTIVATED",IF(J2077&lt;&gt;"","?FAMILIAR",IF(F2077="NEW",IF(ISNA(VLOOKUP(E2077,#REF!,1,FALSE())),"?TYPE_IDENTIFIABLE","?REFERENTIAL"),"_")))))</f>
        <v/>
      </c>
      <c r="H2077" s="23" t="str">
        <f t="shared" ca="1" si="228"/>
        <v/>
      </c>
      <c r="I2077" s="24" t="str">
        <f>IF(OR(E2077="",E2077="!!!",F2077="NEW"),"",INDEX(B$2:B2076,-1+SUMPRODUCT(MAX(ROW(E$2:E2076)*(E2077=E$2:E2076)))))</f>
        <v/>
      </c>
      <c r="J2077" s="24" t="str">
        <f ca="1">IF(OR(E2077="",E2077="!!!",F2077="NEW"),"",COUNTBLANK(OFFSET(A$1,,,SUMPRODUCT(MAX(ROW(E$2:E2077)*(E2077=E$2:E2077)))))-COUNTBLANK(OFFSET(A$1,,,SUMPRODUCT(MAX(ROW(E$1:E2076)*(E2=E$1:E2076))))))</f>
        <v/>
      </c>
      <c r="K2077" s="24" t="str">
        <f>IF(OR(E2077="",E2077="!!!",F2077="NEW"),"",INDEX(J$1:J2076,SUMPRODUCT(MAX(ROW(E$1:E2076)*(E2077=E$1:E2076)))))</f>
        <v/>
      </c>
      <c r="L2077" s="25"/>
    </row>
    <row r="2078" spans="1:12" x14ac:dyDescent="0.2">
      <c r="A2078" t="s">
        <v>734</v>
      </c>
      <c r="E2078" s="20" t="str">
        <f t="shared" si="229"/>
        <v/>
      </c>
      <c r="F2078" s="21" t="str">
        <f>IF(OR(E2078="",E2078="!!!"),"",IF(NOT(ISNA(VLOOKUP(E2078,E$1:E2077,1,FALSE()))),"OLD",IF(AND(E2078&lt;&gt;"",E2078&lt;&gt;"!!!"),"NEW","")))</f>
        <v/>
      </c>
      <c r="G2078" s="22" t="str">
        <f>IF(OR(E2078="",E2078="!!!"),"",IF(OR(J2078=0,AND(J2078=1,K2078=1),AND(J2078=1,I2078="SBJ"),AND(J2078=1,I2078=0)),"?IN_FOCUS",IF(J2078&lt;=2,"?ACTIVATED",IF(J2078&lt;&gt;"","?FAMILIAR",IF(F2078="NEW",IF(ISNA(VLOOKUP(E2078,#REF!,1,FALSE())),"?TYPE_IDENTIFIABLE","?REFERENTIAL"),"_")))))</f>
        <v/>
      </c>
      <c r="H2078" s="23" t="str">
        <f t="shared" ca="1" si="228"/>
        <v/>
      </c>
      <c r="I2078" s="24" t="str">
        <f>IF(OR(E2078="",E2078="!!!",F2078="NEW"),"",INDEX(B$2:B2077,-1+SUMPRODUCT(MAX(ROW(E$2:E2077)*(E2078=E$2:E2077)))))</f>
        <v/>
      </c>
      <c r="J2078" s="24" t="str">
        <f ca="1">IF(OR(E2078="",E2078="!!!",F2078="NEW"),"",COUNTBLANK(OFFSET(A$1,,,SUMPRODUCT(MAX(ROW(E$2:E2078)*(E2078=E$2:E2078)))))-COUNTBLANK(OFFSET(A$1,,,SUMPRODUCT(MAX(ROW(E$1:E2077)*(E2=E$1:E2077))))))</f>
        <v/>
      </c>
      <c r="K2078" s="24" t="str">
        <f>IF(OR(E2078="",E2078="!!!",F2078="NEW"),"",INDEX(J$1:J2077,SUMPRODUCT(MAX(ROW(E$1:E2077)*(E2078=E$1:E2077)))))</f>
        <v/>
      </c>
      <c r="L2078" s="25"/>
    </row>
    <row r="2079" spans="1:12" x14ac:dyDescent="0.2">
      <c r="A2079" t="s">
        <v>844</v>
      </c>
      <c r="E2079" s="20" t="str">
        <f t="shared" si="229"/>
        <v/>
      </c>
      <c r="F2079" s="21" t="str">
        <f>IF(OR(E2079="",E2079="!!!"),"",IF(NOT(ISNA(VLOOKUP(E2079,E$1:E2078,1,FALSE()))),"OLD",IF(AND(E2079&lt;&gt;"",E2079&lt;&gt;"!!!"),"NEW","")))</f>
        <v/>
      </c>
      <c r="G2079" s="22" t="str">
        <f>IF(OR(E2079="",E2079="!!!"),"",IF(OR(J2079=0,AND(J2079=1,K2079=1),AND(J2079=1,I2079="SBJ"),AND(J2079=1,I2079=0)),"?IN_FOCUS",IF(J2079&lt;=2,"?ACTIVATED",IF(J2079&lt;&gt;"","?FAMILIAR",IF(F2079="NEW",IF(ISNA(VLOOKUP(E2079,#REF!,1,FALSE())),"?TYPE_IDENTIFIABLE","?REFERENTIAL"),"_")))))</f>
        <v/>
      </c>
      <c r="H2079" s="23" t="str">
        <f t="shared" ca="1" si="228"/>
        <v/>
      </c>
      <c r="I2079" s="24" t="str">
        <f>IF(OR(E2079="",E2079="!!!",F2079="NEW"),"",INDEX(B$2:B2078,-1+SUMPRODUCT(MAX(ROW(E$2:E2078)*(E2079=E$2:E2078)))))</f>
        <v/>
      </c>
      <c r="J2079" s="24" t="str">
        <f ca="1">IF(OR(E2079="",E2079="!!!",F2079="NEW"),"",COUNTBLANK(OFFSET(A$1,,,SUMPRODUCT(MAX(ROW(E$2:E2079)*(E2079=E$2:E2079)))))-COUNTBLANK(OFFSET(A$1,,,SUMPRODUCT(MAX(ROW(E$1:E2078)*(E2=E$1:E2078))))))</f>
        <v/>
      </c>
      <c r="K2079" s="24" t="str">
        <f>IF(OR(E2079="",E2079="!!!",F2079="NEW"),"",INDEX(J$1:J2078,SUMPRODUCT(MAX(ROW(E$1:E2078)*(E2079=E$1:E2078)))))</f>
        <v/>
      </c>
      <c r="L2079" s="25"/>
    </row>
    <row r="2080" spans="1:12" x14ac:dyDescent="0.2">
      <c r="A2080" t="s">
        <v>809</v>
      </c>
      <c r="E2080" s="20" t="str">
        <f t="shared" si="229"/>
        <v/>
      </c>
      <c r="F2080" s="21" t="str">
        <f>IF(OR(E2080="",E2080="!!!"),"",IF(NOT(ISNA(VLOOKUP(E2080,E$1:E2079,1,FALSE()))),"OLD",IF(AND(E2080&lt;&gt;"",E2080&lt;&gt;"!!!"),"NEW","")))</f>
        <v/>
      </c>
      <c r="G2080" s="22" t="str">
        <f>IF(OR(E2080="",E2080="!!!"),"",IF(OR(J2080=0,AND(J2080=1,K2080=1),AND(J2080=1,I2080="SBJ"),AND(J2080=1,I2080=0)),"?IN_FOCUS",IF(J2080&lt;=2,"?ACTIVATED",IF(J2080&lt;&gt;"","?FAMILIAR",IF(F2080="NEW",IF(ISNA(VLOOKUP(E2080,#REF!,1,FALSE())),"?TYPE_IDENTIFIABLE","?REFERENTIAL"),"_")))))</f>
        <v/>
      </c>
      <c r="H2080" s="23" t="str">
        <f t="shared" ca="1" si="228"/>
        <v/>
      </c>
      <c r="I2080" s="24" t="str">
        <f>IF(OR(E2080="",E2080="!!!",F2080="NEW"),"",INDEX(B$2:B2079,-1+SUMPRODUCT(MAX(ROW(E$2:E2079)*(E2080=E$2:E2079)))))</f>
        <v/>
      </c>
      <c r="J2080" s="24" t="str">
        <f ca="1">IF(OR(E2080="",E2080="!!!",F2080="NEW"),"",COUNTBLANK(OFFSET(A$1,,,SUMPRODUCT(MAX(ROW(E$2:E2080)*(E2080=E$2:E2080)))))-COUNTBLANK(OFFSET(A$1,,,SUMPRODUCT(MAX(ROW(E$1:E2079)*(E2=E$1:E2079))))))</f>
        <v/>
      </c>
      <c r="K2080" s="24" t="str">
        <f>IF(OR(E2080="",E2080="!!!",F2080="NEW"),"",INDEX(J$1:J2079,SUMPRODUCT(MAX(ROW(E$1:E2079)*(E2080=E$1:E2079)))))</f>
        <v/>
      </c>
      <c r="L2080" s="25"/>
    </row>
    <row r="2081" spans="1:12" x14ac:dyDescent="0.2">
      <c r="A2081" t="s">
        <v>30</v>
      </c>
      <c r="E2081" s="20" t="str">
        <f t="shared" si="229"/>
        <v/>
      </c>
      <c r="F2081" s="21" t="str">
        <f>IF(OR(E2081="",E2081="!!!"),"",IF(NOT(ISNA(VLOOKUP(E2081,E$1:E2080,1,FALSE()))),"OLD",IF(AND(E2081&lt;&gt;"",E2081&lt;&gt;"!!!"),"NEW","")))</f>
        <v/>
      </c>
      <c r="G2081" s="22" t="str">
        <f>IF(OR(E2081="",E2081="!!!"),"",IF(OR(J2081=0,AND(J2081=1,K2081=1),AND(J2081=1,I2081="SBJ"),AND(J2081=1,I2081=0)),"?IN_FOCUS",IF(J2081&lt;=2,"?ACTIVATED",IF(J2081&lt;&gt;"","?FAMILIAR",IF(F2081="NEW",IF(ISNA(VLOOKUP(E2081,#REF!,1,FALSE())),"?TYPE_IDENTIFIABLE","?REFERENTIAL"),"_")))))</f>
        <v/>
      </c>
      <c r="H2081" s="23" t="str">
        <f t="shared" ca="1" si="228"/>
        <v/>
      </c>
      <c r="I2081" s="24" t="str">
        <f>IF(OR(E2081="",E2081="!!!",F2081="NEW"),"",INDEX(B$2:B2080,-1+SUMPRODUCT(MAX(ROW(E$2:E2080)*(E2081=E$2:E2080)))))</f>
        <v/>
      </c>
      <c r="J2081" s="24" t="str">
        <f ca="1">IF(OR(E2081="",E2081="!!!",F2081="NEW"),"",COUNTBLANK(OFFSET(A$1,,,SUMPRODUCT(MAX(ROW(E$2:E2081)*(E2081=E$2:E2081)))))-COUNTBLANK(OFFSET(A$1,,,SUMPRODUCT(MAX(ROW(E$1:E2080)*(E2=E$1:E2080))))))</f>
        <v/>
      </c>
      <c r="K2081" s="24" t="str">
        <f>IF(OR(E2081="",E2081="!!!",F2081="NEW"),"",INDEX(J$1:J2080,SUMPRODUCT(MAX(ROW(E$1:E2080)*(E2081=E$1:E2080)))))</f>
        <v/>
      </c>
      <c r="L2081" s="25"/>
    </row>
    <row r="2082" spans="1:12" x14ac:dyDescent="0.2">
      <c r="A2082" t="s">
        <v>530</v>
      </c>
      <c r="B2082" s="26" t="s">
        <v>899</v>
      </c>
      <c r="C2082" s="26" t="s">
        <v>811</v>
      </c>
      <c r="E2082" s="20" t="str">
        <f t="shared" si="229"/>
        <v/>
      </c>
      <c r="F2082" s="21" t="str">
        <f>IF(OR(E2082="",E2082="!!!"),"",IF(NOT(ISNA(VLOOKUP(E2082,E$1:E2081,1,FALSE()))),"OLD",IF(AND(E2082&lt;&gt;"",E2082&lt;&gt;"!!!"),"NEW","")))</f>
        <v/>
      </c>
      <c r="G2082" s="22" t="str">
        <f>IF(OR(E2082="",E2082="!!!"),"",IF(OR(J2082=0,AND(J2082=1,K2082=1),AND(J2082=1,I2082="SBJ"),AND(J2082=1,I2082=0)),"?IN_FOCUS",IF(J2082&lt;=2,"?ACTIVATED",IF(J2082&lt;&gt;"","?FAMILIAR",IF(F2082="NEW",IF(ISNA(VLOOKUP(E2082,#REF!,1,FALSE())),"?TYPE_IDENTIFIABLE","?REFERENTIAL"),"_")))))</f>
        <v/>
      </c>
      <c r="H2082" s="23" t="str">
        <f t="shared" ca="1" si="228"/>
        <v/>
      </c>
      <c r="I2082" s="24" t="str">
        <f>IF(OR(E2082="",E2082="!!!",F2082="NEW"),"",INDEX(B$2:B2081,-1+SUMPRODUCT(MAX(ROW(E$2:E2081)*(E2082=E$2:E2081)))))</f>
        <v/>
      </c>
      <c r="J2082" s="24" t="str">
        <f ca="1">IF(OR(E2082="",E2082="!!!",F2082="NEW"),"",COUNTBLANK(OFFSET(A$1,,,SUMPRODUCT(MAX(ROW(E$2:E2082)*(E2082=E$2:E2082)))))-COUNTBLANK(OFFSET(A$1,,,SUMPRODUCT(MAX(ROW(E$1:E2081)*(E2=E$1:E2081))))))</f>
        <v/>
      </c>
      <c r="K2082" s="24" t="str">
        <f>IF(OR(E2082="",E2082="!!!",F2082="NEW"),"",INDEX(J$1:J2081,SUMPRODUCT(MAX(ROW(E$1:E2081)*(E2082=E$1:E2081)))))</f>
        <v/>
      </c>
      <c r="L2082" s="25"/>
    </row>
    <row r="2083" spans="1:12" x14ac:dyDescent="0.2">
      <c r="A2083" t="s">
        <v>922</v>
      </c>
      <c r="E2083" s="20" t="str">
        <f t="shared" si="229"/>
        <v/>
      </c>
      <c r="F2083" s="21" t="str">
        <f>IF(OR(E2083="",E2083="!!!"),"",IF(NOT(ISNA(VLOOKUP(E2083,E$1:E2082,1,FALSE()))),"OLD",IF(AND(E2083&lt;&gt;"",E2083&lt;&gt;"!!!"),"NEW","")))</f>
        <v/>
      </c>
      <c r="G2083" s="22" t="str">
        <f>IF(OR(E2083="",E2083="!!!"),"",IF(OR(J2083=0,AND(J2083=1,K2083=1),AND(J2083=1,I2083="SBJ"),AND(J2083=1,I2083=0)),"?IN_FOCUS",IF(J2083&lt;=2,"?ACTIVATED",IF(J2083&lt;&gt;"","?FAMILIAR",IF(F2083="NEW",IF(ISNA(VLOOKUP(E2083,#REF!,1,FALSE())),"?TYPE_IDENTIFIABLE","?REFERENTIAL"),"_")))))</f>
        <v/>
      </c>
      <c r="H2083" s="23" t="str">
        <f t="shared" ca="1" si="228"/>
        <v/>
      </c>
      <c r="I2083" s="24" t="str">
        <f>IF(OR(E2083="",E2083="!!!",F2083="NEW"),"",INDEX(B$2:B2082,-1+SUMPRODUCT(MAX(ROW(E$2:E2082)*(E2083=E$2:E2082)))))</f>
        <v/>
      </c>
      <c r="J2083" s="24" t="str">
        <f ca="1">IF(OR(E2083="",E2083="!!!",F2083="NEW"),"",COUNTBLANK(OFFSET(A$1,,,SUMPRODUCT(MAX(ROW(E$2:E2083)*(E2083=E$2:E2083)))))-COUNTBLANK(OFFSET(A$1,,,SUMPRODUCT(MAX(ROW(E$1:E2082)*(E2=E$1:E2082))))))</f>
        <v/>
      </c>
      <c r="K2083" s="24" t="str">
        <f>IF(OR(E2083="",E2083="!!!",F2083="NEW"),"",INDEX(J$1:J2082,SUMPRODUCT(MAX(ROW(E$1:E2082)*(E2083=E$1:E2082)))))</f>
        <v/>
      </c>
      <c r="L2083" s="25"/>
    </row>
    <row r="2084" spans="1:12" x14ac:dyDescent="0.2">
      <c r="A2084" t="s">
        <v>902</v>
      </c>
      <c r="E2084" s="20" t="str">
        <f t="shared" si="229"/>
        <v/>
      </c>
      <c r="F2084" s="21" t="str">
        <f>IF(OR(E2084="",E2084="!!!"),"",IF(NOT(ISNA(VLOOKUP(E2084,E$1:E2083,1,FALSE()))),"OLD",IF(AND(E2084&lt;&gt;"",E2084&lt;&gt;"!!!"),"NEW","")))</f>
        <v/>
      </c>
      <c r="G2084" s="22" t="str">
        <f>IF(OR(E2084="",E2084="!!!"),"",IF(OR(J2084=0,AND(J2084=1,K2084=1),AND(J2084=1,I2084="SBJ"),AND(J2084=1,I2084=0)),"?IN_FOCUS",IF(J2084&lt;=2,"?ACTIVATED",IF(J2084&lt;&gt;"","?FAMILIAR",IF(F2084="NEW",IF(ISNA(VLOOKUP(E2084,#REF!,1,FALSE())),"?TYPE_IDENTIFIABLE","?REFERENTIAL"),"_")))))</f>
        <v/>
      </c>
      <c r="H2084" s="23" t="str">
        <f t="shared" ca="1" si="228"/>
        <v/>
      </c>
      <c r="I2084" s="24" t="str">
        <f>IF(OR(E2084="",E2084="!!!",F2084="NEW"),"",INDEX(B$2:B2083,-1+SUMPRODUCT(MAX(ROW(E$2:E2083)*(E2084=E$2:E2083)))))</f>
        <v/>
      </c>
      <c r="J2084" s="24" t="str">
        <f ca="1">IF(OR(E2084="",E2084="!!!",F2084="NEW"),"",COUNTBLANK(OFFSET(A$1,,,SUMPRODUCT(MAX(ROW(E$2:E2084)*(E2084=E$2:E2084)))))-COUNTBLANK(OFFSET(A$1,,,SUMPRODUCT(MAX(ROW(E$1:E2083)*(E2=E$1:E2083))))))</f>
        <v/>
      </c>
      <c r="K2084" s="24" t="str">
        <f>IF(OR(E2084="",E2084="!!!",F2084="NEW"),"",INDEX(J$1:J2083,SUMPRODUCT(MAX(ROW(E$1:E2083)*(E2084=E$1:E2083)))))</f>
        <v/>
      </c>
      <c r="L2084" s="25"/>
    </row>
    <row r="2086" spans="1:12" x14ac:dyDescent="0.2">
      <c r="A2086" t="s">
        <v>1463</v>
      </c>
    </row>
    <row r="2087" spans="1:12" x14ac:dyDescent="0.2">
      <c r="A2087" t="s">
        <v>1073</v>
      </c>
      <c r="B2087" s="26" t="s">
        <v>804</v>
      </c>
      <c r="C2087" s="26" t="s">
        <v>805</v>
      </c>
      <c r="D2087" s="26" t="s">
        <v>806</v>
      </c>
      <c r="E2087" s="20" t="s">
        <v>1175</v>
      </c>
      <c r="F2087" s="21" t="str">
        <f>IF(OR(E2087="",E2087="!!!"),"",IF(NOT(ISNA(VLOOKUP(E2087,E$1:E2086,1,FALSE()))),"OLD",IF(AND(E2087&lt;&gt;"",E2087&lt;&gt;"!!!"),"NEW","")))</f>
        <v>OLD</v>
      </c>
      <c r="G2087" s="22" t="s">
        <v>1823</v>
      </c>
      <c r="H2087" s="23" t="str">
        <f t="shared" ref="H2087:H2093" ca="1" si="230">IF(J2087&lt;&gt;1,"",IF(I2087="SBJ","CB","?"))</f>
        <v/>
      </c>
      <c r="I2087" s="24" t="str">
        <f>IF(OR(E2087="",E2087="!!!",F2087="NEW"),"",INDEX(B$2:B2086,-1+SUMPRODUCT(MAX(ROW(E$2:E2086)*(E2087=E$2:E2086)))))</f>
        <v>SBJ</v>
      </c>
      <c r="J2087" s="24">
        <f ca="1">IF(OR(E2087="",E2087="!!!",F2087="NEW"),"",COUNTBLANK(OFFSET(A$1,,,SUMPRODUCT(MAX(ROW(E$2:E2087)*(E2087=E$2:E2087)))))-COUNTBLANK(OFFSET(A$1,,,SUMPRODUCT(MAX(ROW(E$1:E2086)*(E2=E$1:E2086))))))</f>
        <v>0</v>
      </c>
      <c r="K2087" s="24">
        <f ca="1">IF(OR(E2087="",E2087="!!!",F2087="NEW"),"",INDEX(J$1:J2086,SUMPRODUCT(MAX(ROW(E$1:E2086)*(E2087=E$1:E2086)))))</f>
        <v>0</v>
      </c>
      <c r="L2087" s="25"/>
    </row>
    <row r="2088" spans="1:12" x14ac:dyDescent="0.2">
      <c r="A2088" t="s">
        <v>523</v>
      </c>
      <c r="E2088" s="20" t="str">
        <f t="shared" ref="E2088:E2093" si="231">IF(D2088="?OLD","!!!","")</f>
        <v/>
      </c>
      <c r="F2088" s="21" t="str">
        <f>IF(OR(E2088="",E2088="!!!"),"",IF(NOT(ISNA(VLOOKUP(E2088,E$1:E2087,1,FALSE()))),"OLD",IF(AND(E2088&lt;&gt;"",E2088&lt;&gt;"!!!"),"NEW","")))</f>
        <v/>
      </c>
      <c r="G2088" s="22" t="str">
        <f>IF(OR(E2088="",E2088="!!!"),"",IF(OR(J2088=0,AND(J2088=1,K2088=1),AND(J2088=1,I2088="SBJ"),AND(J2088=1,I2088=0)),"?IN_FOCUS",IF(J2088&lt;=2,"?ACTIVATED",IF(J2088&lt;&gt;"","?FAMILIAR",IF(F2088="NEW",IF(ISNA(VLOOKUP(E2088,#REF!,1,FALSE())),"?TYPE_IDENTIFIABLE","?REFERENTIAL"),"_")))))</f>
        <v/>
      </c>
      <c r="H2088" s="23" t="str">
        <f t="shared" ca="1" si="230"/>
        <v/>
      </c>
      <c r="I2088" s="24" t="str">
        <f>IF(OR(E2088="",E2088="!!!",F2088="NEW"),"",INDEX(B$2:B2087,-1+SUMPRODUCT(MAX(ROW(E$2:E2087)*(E2088=E$2:E2087)))))</f>
        <v/>
      </c>
      <c r="J2088" s="24" t="str">
        <f ca="1">IF(OR(E2088="",E2088="!!!",F2088="NEW"),"",COUNTBLANK(OFFSET(A$1,,,SUMPRODUCT(MAX(ROW(E$2:E2088)*(E2088=E$2:E2088)))))-COUNTBLANK(OFFSET(A$1,,,SUMPRODUCT(MAX(ROW(E$1:E2087)*(E2=E$1:E2087))))))</f>
        <v/>
      </c>
      <c r="K2088" s="24" t="str">
        <f>IF(OR(E2088="",E2088="!!!",F2088="NEW"),"",INDEX(J$1:J2087,SUMPRODUCT(MAX(ROW(E$1:E2087)*(E2088=E$1:E2087)))))</f>
        <v/>
      </c>
      <c r="L2088" s="25"/>
    </row>
    <row r="2089" spans="1:12" x14ac:dyDescent="0.2">
      <c r="A2089" t="s">
        <v>1192</v>
      </c>
      <c r="B2089" s="26" t="s">
        <v>813</v>
      </c>
      <c r="C2089" s="26" t="s">
        <v>817</v>
      </c>
      <c r="D2089" s="26" t="s">
        <v>806</v>
      </c>
      <c r="E2089" s="20"/>
      <c r="F2089" s="21" t="s">
        <v>1793</v>
      </c>
      <c r="G2089" s="22"/>
      <c r="H2089" s="23" t="str">
        <f t="shared" ca="1" si="230"/>
        <v/>
      </c>
      <c r="I2089" s="24" t="str">
        <f>IF(OR(E2089="",E2089="!!!",F2089="NEW"),"",INDEX(B$2:B2088,-1+SUMPRODUCT(MAX(ROW(E$2:E2088)*(E2089=E$2:E2088)))))</f>
        <v/>
      </c>
      <c r="J2089" s="24" t="str">
        <f ca="1">IF(OR(E2089="",E2089="!!!",F2089="NEW"),"",COUNTBLANK(OFFSET(A$1,,,SUMPRODUCT(MAX(ROW(E$2:E2089)*(E2089=E$2:E2089)))))-COUNTBLANK(OFFSET(A$1,,,SUMPRODUCT(MAX(ROW(E$1:E2088)*(E2=E$1:E2088))))))</f>
        <v/>
      </c>
      <c r="K2089" s="24" t="str">
        <f>IF(OR(E2089="",E2089="!!!",F2089="NEW"),"",INDEX(J$1:J2088,SUMPRODUCT(MAX(ROW(E$1:E2088)*(E2089=E$1:E2088)))))</f>
        <v/>
      </c>
      <c r="L2089" s="25"/>
    </row>
    <row r="2090" spans="1:12" x14ac:dyDescent="0.2">
      <c r="A2090" t="s">
        <v>885</v>
      </c>
      <c r="B2090" s="26" t="s">
        <v>810</v>
      </c>
      <c r="C2090" s="26" t="s">
        <v>820</v>
      </c>
      <c r="D2090" s="26" t="s">
        <v>806</v>
      </c>
      <c r="E2090" s="20" t="s">
        <v>1798</v>
      </c>
      <c r="F2090" s="21" t="str">
        <f>IF(OR(E2090="",E2090="!!!"),"",IF(NOT(ISNA(VLOOKUP(E2090,E$1:E2089,1,FALSE()))),"OLD",IF(AND(E2090&lt;&gt;"",E2090&lt;&gt;"!!!"),"NEW","")))</f>
        <v>NEW</v>
      </c>
      <c r="G2090" s="22" t="s">
        <v>1820</v>
      </c>
      <c r="H2090" s="23" t="str">
        <f t="shared" ca="1" si="230"/>
        <v/>
      </c>
      <c r="I2090" s="24" t="str">
        <f>IF(OR(E2090="",E2090="!!!",F2090="NEW"),"",INDEX(B$2:B2089,-1+SUMPRODUCT(MAX(ROW(E$2:E2089)*(E2090=E$2:E2089)))))</f>
        <v/>
      </c>
      <c r="J2090" s="24" t="str">
        <f ca="1">IF(OR(E2090="",E2090="!!!",F2090="NEW"),"",COUNTBLANK(OFFSET(A$1,,,SUMPRODUCT(MAX(ROW(E$2:E2090)*(E2090=E$2:E2090)))))-COUNTBLANK(OFFSET(A$1,,,SUMPRODUCT(MAX(ROW(E$1:E2089)*(E2=E$1:E2089))))))</f>
        <v/>
      </c>
      <c r="K2090" s="24" t="str">
        <f>IF(OR(E2090="",E2090="!!!",F2090="NEW"),"",INDEX(J$1:J2089,SUMPRODUCT(MAX(ROW(E$1:E2089)*(E2090=E$1:E2089)))))</f>
        <v/>
      </c>
      <c r="L2090" s="25"/>
    </row>
    <row r="2091" spans="1:12" x14ac:dyDescent="0.2">
      <c r="A2091" t="s">
        <v>802</v>
      </c>
      <c r="E2091" s="20" t="str">
        <f t="shared" si="231"/>
        <v/>
      </c>
      <c r="F2091" s="21" t="str">
        <f>IF(OR(E2091="",E2091="!!!"),"",IF(NOT(ISNA(VLOOKUP(E2091,E$1:E2090,1,FALSE()))),"OLD",IF(AND(E2091&lt;&gt;"",E2091&lt;&gt;"!!!"),"NEW","")))</f>
        <v/>
      </c>
      <c r="G2091" s="22" t="str">
        <f>IF(OR(E2091="",E2091="!!!"),"",IF(OR(J2091=0,AND(J2091=1,K2091=1),AND(J2091=1,I2091="SBJ"),AND(J2091=1,I2091=0)),"?IN_FOCUS",IF(J2091&lt;=2,"?ACTIVATED",IF(J2091&lt;&gt;"","?FAMILIAR",IF(F2091="NEW",IF(ISNA(VLOOKUP(E2091,#REF!,1,FALSE())),"?TYPE_IDENTIFIABLE","?REFERENTIAL"),"_")))))</f>
        <v/>
      </c>
      <c r="H2091" s="23" t="str">
        <f t="shared" ca="1" si="230"/>
        <v/>
      </c>
      <c r="I2091" s="24" t="str">
        <f>IF(OR(E2091="",E2091="!!!",F2091="NEW"),"",INDEX(B$2:B2090,-1+SUMPRODUCT(MAX(ROW(E$2:E2090)*(E2091=E$2:E2090)))))</f>
        <v/>
      </c>
      <c r="J2091" s="24" t="str">
        <f ca="1">IF(OR(E2091="",E2091="!!!",F2091="NEW"),"",COUNTBLANK(OFFSET(A$1,,,SUMPRODUCT(MAX(ROW(E$2:E2091)*(E2091=E$2:E2091)))))-COUNTBLANK(OFFSET(A$1,,,SUMPRODUCT(MAX(ROW(E$1:E2090)*(E2=E$1:E2090))))))</f>
        <v/>
      </c>
      <c r="K2091" s="24" t="str">
        <f>IF(OR(E2091="",E2091="!!!",F2091="NEW"),"",INDEX(J$1:J2090,SUMPRODUCT(MAX(ROW(E$1:E2090)*(E2091=E$1:E2090)))))</f>
        <v/>
      </c>
      <c r="L2091" s="25"/>
    </row>
    <row r="2092" spans="1:12" x14ac:dyDescent="0.2">
      <c r="A2092" t="s">
        <v>1083</v>
      </c>
      <c r="E2092" s="20" t="str">
        <f t="shared" si="231"/>
        <v/>
      </c>
      <c r="F2092" s="21" t="str">
        <f>IF(OR(E2092="",E2092="!!!"),"",IF(NOT(ISNA(VLOOKUP(E2092,E$1:E2091,1,FALSE()))),"OLD",IF(AND(E2092&lt;&gt;"",E2092&lt;&gt;"!!!"),"NEW","")))</f>
        <v/>
      </c>
      <c r="G2092" s="22" t="str">
        <f>IF(OR(E2092="",E2092="!!!"),"",IF(OR(J2092=0,AND(J2092=1,K2092=1),AND(J2092=1,I2092="SBJ"),AND(J2092=1,I2092=0)),"?IN_FOCUS",IF(J2092&lt;=2,"?ACTIVATED",IF(J2092&lt;&gt;"","?FAMILIAR",IF(F2092="NEW",IF(ISNA(VLOOKUP(E2092,#REF!,1,FALSE())),"?TYPE_IDENTIFIABLE","?REFERENTIAL"),"_")))))</f>
        <v/>
      </c>
      <c r="H2092" s="23" t="str">
        <f t="shared" ca="1" si="230"/>
        <v/>
      </c>
      <c r="I2092" s="24" t="str">
        <f>IF(OR(E2092="",E2092="!!!",F2092="NEW"),"",INDEX(B$2:B2091,-1+SUMPRODUCT(MAX(ROW(E$2:E2091)*(E2092=E$2:E2091)))))</f>
        <v/>
      </c>
      <c r="J2092" s="24" t="str">
        <f ca="1">IF(OR(E2092="",E2092="!!!",F2092="NEW"),"",COUNTBLANK(OFFSET(A$1,,,SUMPRODUCT(MAX(ROW(E$2:E2092)*(E2092=E$2:E2092)))))-COUNTBLANK(OFFSET(A$1,,,SUMPRODUCT(MAX(ROW(E$1:E2091)*(E2=E$1:E2091))))))</f>
        <v/>
      </c>
      <c r="K2092" s="24" t="str">
        <f>IF(OR(E2092="",E2092="!!!",F2092="NEW"),"",INDEX(J$1:J2091,SUMPRODUCT(MAX(ROW(E$1:E2091)*(E2092=E$1:E2091)))))</f>
        <v/>
      </c>
      <c r="L2092" s="25"/>
    </row>
    <row r="2093" spans="1:12" x14ac:dyDescent="0.2">
      <c r="A2093" t="s">
        <v>821</v>
      </c>
      <c r="E2093" s="20" t="str">
        <f t="shared" si="231"/>
        <v/>
      </c>
      <c r="F2093" s="21" t="str">
        <f>IF(OR(E2093="",E2093="!!!"),"",IF(NOT(ISNA(VLOOKUP(E2093,E$1:E2092,1,FALSE()))),"OLD",IF(AND(E2093&lt;&gt;"",E2093&lt;&gt;"!!!"),"NEW","")))</f>
        <v/>
      </c>
      <c r="G2093" s="22" t="str">
        <f>IF(OR(E2093="",E2093="!!!"),"",IF(OR(J2093=0,AND(J2093=1,K2093=1),AND(J2093=1,I2093="SBJ"),AND(J2093=1,I2093=0)),"?IN_FOCUS",IF(J2093&lt;=2,"?ACTIVATED",IF(J2093&lt;&gt;"","?FAMILIAR",IF(F2093="NEW",IF(ISNA(VLOOKUP(E2093,#REF!,1,FALSE())),"?TYPE_IDENTIFIABLE","?REFERENTIAL"),"_")))))</f>
        <v/>
      </c>
      <c r="H2093" s="23" t="str">
        <f t="shared" ca="1" si="230"/>
        <v/>
      </c>
      <c r="I2093" s="24" t="str">
        <f>IF(OR(E2093="",E2093="!!!",F2093="NEW"),"",INDEX(B$2:B2092,-1+SUMPRODUCT(MAX(ROW(E$2:E2092)*(E2093=E$2:E2092)))))</f>
        <v/>
      </c>
      <c r="J2093" s="24" t="str">
        <f ca="1">IF(OR(E2093="",E2093="!!!",F2093="NEW"),"",COUNTBLANK(OFFSET(A$1,,,SUMPRODUCT(MAX(ROW(E$2:E2093)*(E2093=E$2:E2093)))))-COUNTBLANK(OFFSET(A$1,,,SUMPRODUCT(MAX(ROW(E$1:E2092)*(E2=E$1:E2092))))))</f>
        <v/>
      </c>
      <c r="K2093" s="24" t="str">
        <f>IF(OR(E2093="",E2093="!!!",F2093="NEW"),"",INDEX(J$1:J2092,SUMPRODUCT(MAX(ROW(E$1:E2092)*(E2093=E$1:E2092)))))</f>
        <v/>
      </c>
      <c r="L2093" s="25"/>
    </row>
    <row r="2095" spans="1:12" x14ac:dyDescent="0.2">
      <c r="A2095" t="s">
        <v>1464</v>
      </c>
    </row>
    <row r="2096" spans="1:12" x14ac:dyDescent="0.2">
      <c r="A2096" t="s">
        <v>1073</v>
      </c>
      <c r="B2096" s="26" t="s">
        <v>804</v>
      </c>
      <c r="C2096" s="26" t="s">
        <v>805</v>
      </c>
      <c r="D2096" s="26" t="s">
        <v>806</v>
      </c>
      <c r="E2096" s="20" t="s">
        <v>1175</v>
      </c>
      <c r="F2096" s="21" t="str">
        <f>IF(OR(E2096="",E2096="!!!"),"",IF(NOT(ISNA(VLOOKUP(E2096,E$1:E2095,1,FALSE()))),"OLD",IF(AND(E2096&lt;&gt;"",E2096&lt;&gt;"!!!"),"NEW","")))</f>
        <v>OLD</v>
      </c>
      <c r="G2096" s="22" t="s">
        <v>1823</v>
      </c>
      <c r="H2096" s="23" t="str">
        <f ca="1">IF(J2096&lt;&gt;1,"",IF(I2096="SBJ","CB","?"))</f>
        <v/>
      </c>
      <c r="I2096" s="24" t="str">
        <f>IF(OR(E2096="",E2096="!!!",F2096="NEW"),"",INDEX(B$2:B2095,-1+SUMPRODUCT(MAX(ROW(E$2:E2095)*(E2096=E$2:E2095)))))</f>
        <v>SBJ</v>
      </c>
      <c r="J2096" s="24">
        <f ca="1">IF(OR(E2096="",E2096="!!!",F2096="NEW"),"",COUNTBLANK(OFFSET(A$1,,,SUMPRODUCT(MAX(ROW(E$2:E2096)*(E2096=E$2:E2096)))))-COUNTBLANK(OFFSET(A$1,,,SUMPRODUCT(MAX(ROW(E$1:E2095)*(E2=E$1:E2095))))))</f>
        <v>0</v>
      </c>
      <c r="K2096" s="24">
        <f ca="1">IF(OR(E2096="",E2096="!!!",F2096="NEW"),"",INDEX(J$1:J2095,SUMPRODUCT(MAX(ROW(E$1:E2095)*(E2096=E$1:E2095)))))</f>
        <v>0</v>
      </c>
      <c r="L2096" s="25"/>
    </row>
    <row r="2097" spans="1:12" x14ac:dyDescent="0.2">
      <c r="A2097" t="s">
        <v>904</v>
      </c>
      <c r="E2097" s="20" t="str">
        <f>IF(D2097="?OLD","!!!","")</f>
        <v/>
      </c>
      <c r="F2097" s="21" t="str">
        <f>IF(OR(E2097="",E2097="!!!"),"",IF(NOT(ISNA(VLOOKUP(E2097,E$1:E2096,1,FALSE()))),"OLD",IF(AND(E2097&lt;&gt;"",E2097&lt;&gt;"!!!"),"NEW","")))</f>
        <v/>
      </c>
      <c r="G2097" s="22" t="str">
        <f>IF(OR(E2097="",E2097="!!!"),"",IF(OR(J2097=0,AND(J2097=1,K2097=1),AND(J2097=1,I2097="SBJ"),AND(J2097=1,I2097=0)),"?IN_FOCUS",IF(J2097&lt;=2,"?ACTIVATED",IF(J2097&lt;&gt;"","?FAMILIAR",IF(F2097="NEW",IF(ISNA(VLOOKUP(E2097,#REF!,1,FALSE())),"?TYPE_IDENTIFIABLE","?REFERENTIAL"),"_")))))</f>
        <v/>
      </c>
      <c r="H2097" s="23" t="str">
        <f ca="1">IF(J2097&lt;&gt;1,"",IF(I2097="SBJ","CB","?"))</f>
        <v/>
      </c>
      <c r="I2097" s="24" t="str">
        <f>IF(OR(E2097="",E2097="!!!",F2097="NEW"),"",INDEX(B$2:B2096,-1+SUMPRODUCT(MAX(ROW(E$2:E2096)*(E2097=E$2:E2096)))))</f>
        <v/>
      </c>
      <c r="J2097" s="24" t="str">
        <f ca="1">IF(OR(E2097="",E2097="!!!",F2097="NEW"),"",COUNTBLANK(OFFSET(A$1,,,SUMPRODUCT(MAX(ROW(E$2:E2097)*(E2097=E$2:E2097)))))-COUNTBLANK(OFFSET(A$1,,,SUMPRODUCT(MAX(ROW(E$1:E2096)*(E2=E$1:E2096))))))</f>
        <v/>
      </c>
      <c r="K2097" s="24" t="str">
        <f>IF(OR(E2097="",E2097="!!!",F2097="NEW"),"",INDEX(J$1:J2096,SUMPRODUCT(MAX(ROW(E$1:E2096)*(E2097=E$1:E2096)))))</f>
        <v/>
      </c>
      <c r="L2097" s="25"/>
    </row>
    <row r="2098" spans="1:12" x14ac:dyDescent="0.2">
      <c r="A2098" t="s">
        <v>802</v>
      </c>
      <c r="E2098" s="20" t="str">
        <f>IF(D2098="?OLD","!!!","")</f>
        <v/>
      </c>
      <c r="F2098" s="21" t="str">
        <f>IF(OR(E2098="",E2098="!!!"),"",IF(NOT(ISNA(VLOOKUP(E2098,E$1:E2097,1,FALSE()))),"OLD",IF(AND(E2098&lt;&gt;"",E2098&lt;&gt;"!!!"),"NEW","")))</f>
        <v/>
      </c>
      <c r="G2098" s="22" t="str">
        <f>IF(OR(E2098="",E2098="!!!"),"",IF(OR(J2098=0,AND(J2098=1,K2098=1),AND(J2098=1,I2098="SBJ"),AND(J2098=1,I2098=0)),"?IN_FOCUS",IF(J2098&lt;=2,"?ACTIVATED",IF(J2098&lt;&gt;"","?FAMILIAR",IF(F2098="NEW",IF(ISNA(VLOOKUP(E2098,#REF!,1,FALSE())),"?TYPE_IDENTIFIABLE","?REFERENTIAL"),"_")))))</f>
        <v/>
      </c>
      <c r="H2098" s="23" t="str">
        <f ca="1">IF(J2098&lt;&gt;1,"",IF(I2098="SBJ","CB","?"))</f>
        <v/>
      </c>
      <c r="I2098" s="24" t="str">
        <f>IF(OR(E2098="",E2098="!!!",F2098="NEW"),"",INDEX(B$2:B2097,-1+SUMPRODUCT(MAX(ROW(E$2:E2097)*(E2098=E$2:E2097)))))</f>
        <v/>
      </c>
      <c r="J2098" s="24" t="str">
        <f ca="1">IF(OR(E2098="",E2098="!!!",F2098="NEW"),"",COUNTBLANK(OFFSET(A$1,,,SUMPRODUCT(MAX(ROW(E$2:E2098)*(E2098=E$2:E2098)))))-COUNTBLANK(OFFSET(A$1,,,SUMPRODUCT(MAX(ROW(E$1:E2097)*(E2=E$1:E2097))))))</f>
        <v/>
      </c>
      <c r="K2098" s="24" t="str">
        <f>IF(OR(E2098="",E2098="!!!",F2098="NEW"),"",INDEX(J$1:J2097,SUMPRODUCT(MAX(ROW(E$1:E2097)*(E2098=E$1:E2097)))))</f>
        <v/>
      </c>
      <c r="L2098" s="25"/>
    </row>
    <row r="2100" spans="1:12" x14ac:dyDescent="0.2">
      <c r="A2100" t="s">
        <v>900</v>
      </c>
      <c r="E2100" s="20" t="str">
        <f>IF(D2100="?OLD","!!!","")</f>
        <v/>
      </c>
      <c r="F2100" s="21" t="str">
        <f>IF(OR(E2100="",E2100="!!!"),"",IF(NOT(ISNA(VLOOKUP(E2100,E$1:E2099,1,FALSE()))),"OLD",IF(AND(E2100&lt;&gt;"",E2100&lt;&gt;"!!!"),"NEW","")))</f>
        <v/>
      </c>
      <c r="G2100" s="22" t="str">
        <f>IF(OR(E2100="",E2100="!!!"),"",IF(OR(J2100=0,AND(J2100=1,K2100=1),AND(J2100=1,I2100="SBJ"),AND(J2100=1,I2100=0)),"?IN_FOCUS",IF(J2100&lt;=2,"?ACTIVATED",IF(J2100&lt;&gt;"","?FAMILIAR",IF(F2100="NEW",IF(ISNA(VLOOKUP(E2100,#REF!,1,FALSE())),"?TYPE_IDENTIFIABLE","?REFERENTIAL"),"_")))))</f>
        <v/>
      </c>
      <c r="H2100" s="23" t="str">
        <f ca="1">IF(J2100&lt;&gt;1,"",IF(I2100="SBJ","CB","?"))</f>
        <v/>
      </c>
      <c r="I2100" s="24" t="str">
        <f>IF(OR(E2100="",E2100="!!!",F2100="NEW"),"",INDEX(B$2:B2099,-1+SUMPRODUCT(MAX(ROW(E$2:E2099)*(E2100=E$2:E2099)))))</f>
        <v/>
      </c>
      <c r="J2100" s="24" t="str">
        <f ca="1">IF(OR(E2100="",E2100="!!!",F2100="NEW"),"",COUNTBLANK(OFFSET(A$1,,,SUMPRODUCT(MAX(ROW(E$2:E2100)*(E2100=E$2:E2100)))))-COUNTBLANK(OFFSET(A$1,,,SUMPRODUCT(MAX(ROW(E$1:E2099)*(E2=E$1:E2099))))))</f>
        <v/>
      </c>
      <c r="K2100" s="24" t="str">
        <f>IF(OR(E2100="",E2100="!!!",F2100="NEW"),"",INDEX(J$1:J2099,SUMPRODUCT(MAX(ROW(E$1:E2099)*(E2100=E$1:E2099)))))</f>
        <v/>
      </c>
      <c r="L2100" s="25"/>
    </row>
    <row r="2101" spans="1:12" x14ac:dyDescent="0.2">
      <c r="A2101" t="s">
        <v>1465</v>
      </c>
    </row>
    <row r="2102" spans="1:12" x14ac:dyDescent="0.2">
      <c r="A2102" t="s">
        <v>902</v>
      </c>
      <c r="E2102" s="20" t="str">
        <f t="shared" ref="E2102:E2109" si="232">IF(D2102="?OLD","!!!","")</f>
        <v/>
      </c>
      <c r="F2102" s="21" t="str">
        <f>IF(OR(E2102="",E2102="!!!"),"",IF(NOT(ISNA(VLOOKUP(E2102,E$1:E2101,1,FALSE()))),"OLD",IF(AND(E2102&lt;&gt;"",E2102&lt;&gt;"!!!"),"NEW","")))</f>
        <v/>
      </c>
      <c r="G2102" s="22" t="str">
        <f>IF(OR(E2102="",E2102="!!!"),"",IF(OR(J2102=0,AND(J2102=1,K2102=1),AND(J2102=1,I2102="SBJ"),AND(J2102=1,I2102=0)),"?IN_FOCUS",IF(J2102&lt;=2,"?ACTIVATED",IF(J2102&lt;&gt;"","?FAMILIAR",IF(F2102="NEW",IF(ISNA(VLOOKUP(E2102,#REF!,1,FALSE())),"?TYPE_IDENTIFIABLE","?REFERENTIAL"),"_")))))</f>
        <v/>
      </c>
      <c r="H2102" s="23" t="str">
        <f t="shared" ref="H2102:H2109" ca="1" si="233">IF(J2102&lt;&gt;1,"",IF(I2102="SBJ","CB","?"))</f>
        <v/>
      </c>
      <c r="I2102" s="24" t="str">
        <f>IF(OR(E2102="",E2102="!!!",F2102="NEW"),"",INDEX(B$2:B2101,-1+SUMPRODUCT(MAX(ROW(E$2:E2101)*(E2102=E$2:E2101)))))</f>
        <v/>
      </c>
      <c r="J2102" s="24" t="str">
        <f ca="1">IF(OR(E2102="",E2102="!!!",F2102="NEW"),"",COUNTBLANK(OFFSET(A$1,,,SUMPRODUCT(MAX(ROW(E$2:E2102)*(E2102=E$2:E2102)))))-COUNTBLANK(OFFSET(A$1,,,SUMPRODUCT(MAX(ROW(E$1:E2101)*(E2=E$1:E2101))))))</f>
        <v/>
      </c>
      <c r="K2102" s="24" t="str">
        <f>IF(OR(E2102="",E2102="!!!",F2102="NEW"),"",INDEX(J$1:J2101,SUMPRODUCT(MAX(ROW(E$1:E2101)*(E2102=E$1:E2101)))))</f>
        <v/>
      </c>
      <c r="L2102" s="25"/>
    </row>
    <row r="2103" spans="1:12" x14ac:dyDescent="0.2">
      <c r="A2103" t="s">
        <v>1026</v>
      </c>
      <c r="B2103" s="26" t="s">
        <v>804</v>
      </c>
      <c r="C2103" s="26" t="s">
        <v>805</v>
      </c>
      <c r="D2103" s="26" t="s">
        <v>806</v>
      </c>
      <c r="E2103" s="20" t="s">
        <v>1780</v>
      </c>
      <c r="F2103" s="21" t="str">
        <f>IF(OR(E2103="",E2103="!!!"),"",IF(NOT(ISNA(VLOOKUP(E2103,E$1:E2102,1,FALSE()))),"OLD",IF(AND(E2103&lt;&gt;"",E2103&lt;&gt;"!!!"),"NEW","")))</f>
        <v>OLD</v>
      </c>
      <c r="G2103" s="22" t="s">
        <v>1823</v>
      </c>
      <c r="H2103" s="23" t="str">
        <f t="shared" ca="1" si="233"/>
        <v/>
      </c>
      <c r="I2103" s="24" t="str">
        <f>IF(OR(E2103="",E2103="!!!",F2103="NEW"),"",INDEX(B$2:B2102,-1+SUMPRODUCT(MAX(ROW(E$2:E2102)*(E2103=E$2:E2102)))))</f>
        <v>SBJ</v>
      </c>
      <c r="J2103" s="24">
        <f ca="1">IF(OR(E2103="",E2103="!!!",F2103="NEW"),"",COUNTBLANK(OFFSET(A$1,,,SUMPRODUCT(MAX(ROW(E$2:E2103)*(E2103=E$2:E2103)))))-COUNTBLANK(OFFSET(A$1,,,SUMPRODUCT(MAX(ROW(E$1:E2102)*(E2=E$1:E2102))))))</f>
        <v>0</v>
      </c>
      <c r="K2103" s="24">
        <f ca="1">IF(OR(E2103="",E2103="!!!",F2103="NEW"),"",INDEX(J$1:J2102,SUMPRODUCT(MAX(ROW(E$1:E2102)*(E2103=E$1:E2102)))))</f>
        <v>0</v>
      </c>
      <c r="L2103" s="25"/>
    </row>
    <row r="2104" spans="1:12" x14ac:dyDescent="0.2">
      <c r="A2104" t="s">
        <v>530</v>
      </c>
      <c r="E2104" s="20" t="str">
        <f t="shared" si="232"/>
        <v/>
      </c>
      <c r="F2104" s="21" t="str">
        <f>IF(OR(E2104="",E2104="!!!"),"",IF(NOT(ISNA(VLOOKUP(E2104,E$1:E2103,1,FALSE()))),"OLD",IF(AND(E2104&lt;&gt;"",E2104&lt;&gt;"!!!"),"NEW","")))</f>
        <v/>
      </c>
      <c r="G2104" s="22" t="str">
        <f>IF(OR(E2104="",E2104="!!!"),"",IF(OR(J2104=0,AND(J2104=1,K2104=1),AND(J2104=1,I2104="SBJ"),AND(J2104=1,I2104=0)),"?IN_FOCUS",IF(J2104&lt;=2,"?ACTIVATED",IF(J2104&lt;&gt;"","?FAMILIAR",IF(F2104="NEW",IF(ISNA(VLOOKUP(E2104,#REF!,1,FALSE())),"?TYPE_IDENTIFIABLE","?REFERENTIAL"),"_")))))</f>
        <v/>
      </c>
      <c r="H2104" s="23" t="str">
        <f t="shared" ca="1" si="233"/>
        <v/>
      </c>
      <c r="I2104" s="24" t="str">
        <f>IF(OR(E2104="",E2104="!!!",F2104="NEW"),"",INDEX(B$2:B2103,-1+SUMPRODUCT(MAX(ROW(E$2:E2103)*(E2104=E$2:E2103)))))</f>
        <v/>
      </c>
      <c r="J2104" s="24" t="str">
        <f ca="1">IF(OR(E2104="",E2104="!!!",F2104="NEW"),"",COUNTBLANK(OFFSET(A$1,,,SUMPRODUCT(MAX(ROW(E$2:E2104)*(E2104=E$2:E2104)))))-COUNTBLANK(OFFSET(A$1,,,SUMPRODUCT(MAX(ROW(E$1:E2103)*(E2=E$1:E2103))))))</f>
        <v/>
      </c>
      <c r="K2104" s="24" t="str">
        <f>IF(OR(E2104="",E2104="!!!",F2104="NEW"),"",INDEX(J$1:J2103,SUMPRODUCT(MAX(ROW(E$1:E2103)*(E2104=E$1:E2103)))))</f>
        <v/>
      </c>
      <c r="L2104" s="25"/>
    </row>
    <row r="2105" spans="1:12" x14ac:dyDescent="0.2">
      <c r="A2105" t="s">
        <v>1466</v>
      </c>
      <c r="E2105" s="20" t="str">
        <f t="shared" si="232"/>
        <v/>
      </c>
      <c r="F2105" s="21" t="str">
        <f>IF(OR(E2105="",E2105="!!!"),"",IF(NOT(ISNA(VLOOKUP(E2105,E$1:E2104,1,FALSE()))),"OLD",IF(AND(E2105&lt;&gt;"",E2105&lt;&gt;"!!!"),"NEW","")))</f>
        <v/>
      </c>
      <c r="G2105" s="22" t="str">
        <f>IF(OR(E2105="",E2105="!!!"),"",IF(OR(J2105=0,AND(J2105=1,K2105=1),AND(J2105=1,I2105="SBJ"),AND(J2105=1,I2105=0)),"?IN_FOCUS",IF(J2105&lt;=2,"?ACTIVATED",IF(J2105&lt;&gt;"","?FAMILIAR",IF(F2105="NEW",IF(ISNA(VLOOKUP(E2105,#REF!,1,FALSE())),"?TYPE_IDENTIFIABLE","?REFERENTIAL"),"_")))))</f>
        <v/>
      </c>
      <c r="H2105" s="23" t="str">
        <f t="shared" ca="1" si="233"/>
        <v/>
      </c>
      <c r="I2105" s="24" t="str">
        <f>IF(OR(E2105="",E2105="!!!",F2105="NEW"),"",INDEX(B$2:B2104,-1+SUMPRODUCT(MAX(ROW(E$2:E2104)*(E2105=E$2:E2104)))))</f>
        <v/>
      </c>
      <c r="J2105" s="24" t="str">
        <f ca="1">IF(OR(E2105="",E2105="!!!",F2105="NEW"),"",COUNTBLANK(OFFSET(A$1,,,SUMPRODUCT(MAX(ROW(E$2:E2105)*(E2105=E$2:E2105)))))-COUNTBLANK(OFFSET(A$1,,,SUMPRODUCT(MAX(ROW(E$1:E2104)*(E2=E$1:E2104))))))</f>
        <v/>
      </c>
      <c r="K2105" s="24" t="str">
        <f>IF(OR(E2105="",E2105="!!!",F2105="NEW"),"",INDEX(J$1:J2104,SUMPRODUCT(MAX(ROW(E$1:E2104)*(E2105=E$1:E2104)))))</f>
        <v/>
      </c>
      <c r="L2105" s="25"/>
    </row>
    <row r="2106" spans="1:12" x14ac:dyDescent="0.2">
      <c r="A2106" t="s">
        <v>802</v>
      </c>
      <c r="E2106" s="20" t="str">
        <f t="shared" si="232"/>
        <v/>
      </c>
      <c r="F2106" s="21" t="str">
        <f>IF(OR(E2106="",E2106="!!!"),"",IF(NOT(ISNA(VLOOKUP(E2106,E$1:E2105,1,FALSE()))),"OLD",IF(AND(E2106&lt;&gt;"",E2106&lt;&gt;"!!!"),"NEW","")))</f>
        <v/>
      </c>
      <c r="G2106" s="22" t="str">
        <f>IF(OR(E2106="",E2106="!!!"),"",IF(OR(J2106=0,AND(J2106=1,K2106=1),AND(J2106=1,I2106="SBJ"),AND(J2106=1,I2106=0)),"?IN_FOCUS",IF(J2106&lt;=2,"?ACTIVATED",IF(J2106&lt;&gt;"","?FAMILIAR",IF(F2106="NEW",IF(ISNA(VLOOKUP(E2106,#REF!,1,FALSE())),"?TYPE_IDENTIFIABLE","?REFERENTIAL"),"_")))))</f>
        <v/>
      </c>
      <c r="H2106" s="23" t="str">
        <f t="shared" ca="1" si="233"/>
        <v/>
      </c>
      <c r="I2106" s="24" t="str">
        <f>IF(OR(E2106="",E2106="!!!",F2106="NEW"),"",INDEX(B$2:B2105,-1+SUMPRODUCT(MAX(ROW(E$2:E2105)*(E2106=E$2:E2105)))))</f>
        <v/>
      </c>
      <c r="J2106" s="24" t="str">
        <f ca="1">IF(OR(E2106="",E2106="!!!",F2106="NEW"),"",COUNTBLANK(OFFSET(A$1,,,SUMPRODUCT(MAX(ROW(E$2:E2106)*(E2106=E$2:E2106)))))-COUNTBLANK(OFFSET(A$1,,,SUMPRODUCT(MAX(ROW(E$1:E2105)*(E2=E$1:E2105))))))</f>
        <v/>
      </c>
      <c r="K2106" s="24" t="str">
        <f>IF(OR(E2106="",E2106="!!!",F2106="NEW"),"",INDEX(J$1:J2105,SUMPRODUCT(MAX(ROW(E$1:E2105)*(E2106=E$1:E2105)))))</f>
        <v/>
      </c>
      <c r="L2106" s="25"/>
    </row>
    <row r="2107" spans="1:12" x14ac:dyDescent="0.2">
      <c r="A2107" t="s">
        <v>1031</v>
      </c>
      <c r="E2107" s="20" t="str">
        <f t="shared" si="232"/>
        <v/>
      </c>
      <c r="F2107" s="21" t="str">
        <f>IF(OR(E2107="",E2107="!!!"),"",IF(NOT(ISNA(VLOOKUP(E2107,E$1:E2106,1,FALSE()))),"OLD",IF(AND(E2107&lt;&gt;"",E2107&lt;&gt;"!!!"),"NEW","")))</f>
        <v/>
      </c>
      <c r="G2107" s="22" t="str">
        <f>IF(OR(E2107="",E2107="!!!"),"",IF(OR(J2107=0,AND(J2107=1,K2107=1),AND(J2107=1,I2107="SBJ"),AND(J2107=1,I2107=0)),"?IN_FOCUS",IF(J2107&lt;=2,"?ACTIVATED",IF(J2107&lt;&gt;"","?FAMILIAR",IF(F2107="NEW",IF(ISNA(VLOOKUP(E2107,#REF!,1,FALSE())),"?TYPE_IDENTIFIABLE","?REFERENTIAL"),"_")))))</f>
        <v/>
      </c>
      <c r="H2107" s="23" t="str">
        <f t="shared" ca="1" si="233"/>
        <v/>
      </c>
      <c r="I2107" s="24" t="str">
        <f>IF(OR(E2107="",E2107="!!!",F2107="NEW"),"",INDEX(B$2:B2106,-1+SUMPRODUCT(MAX(ROW(E$2:E2106)*(E2107=E$2:E2106)))))</f>
        <v/>
      </c>
      <c r="J2107" s="24" t="str">
        <f ca="1">IF(OR(E2107="",E2107="!!!",F2107="NEW"),"",COUNTBLANK(OFFSET(A$1,,,SUMPRODUCT(MAX(ROW(E$2:E2107)*(E2107=E$2:E2107)))))-COUNTBLANK(OFFSET(A$1,,,SUMPRODUCT(MAX(ROW(E$1:E2106)*(E2=E$1:E2106))))))</f>
        <v/>
      </c>
      <c r="K2107" s="24" t="str">
        <f>IF(OR(E2107="",E2107="!!!",F2107="NEW"),"",INDEX(J$1:J2106,SUMPRODUCT(MAX(ROW(E$1:E2106)*(E2107=E$1:E2106)))))</f>
        <v/>
      </c>
      <c r="L2107" s="25"/>
    </row>
    <row r="2108" spans="1:12" x14ac:dyDescent="0.2">
      <c r="A2108" t="s">
        <v>1467</v>
      </c>
      <c r="E2108" s="20" t="str">
        <f t="shared" si="232"/>
        <v/>
      </c>
      <c r="F2108" s="21" t="str">
        <f>IF(OR(E2108="",E2108="!!!"),"",IF(NOT(ISNA(VLOOKUP(E2108,E$1:E2107,1,FALSE()))),"OLD",IF(AND(E2108&lt;&gt;"",E2108&lt;&gt;"!!!"),"NEW","")))</f>
        <v/>
      </c>
      <c r="G2108" s="22" t="str">
        <f>IF(OR(E2108="",E2108="!!!"),"",IF(OR(J2108=0,AND(J2108=1,K2108=1),AND(J2108=1,I2108="SBJ"),AND(J2108=1,I2108=0)),"?IN_FOCUS",IF(J2108&lt;=2,"?ACTIVATED",IF(J2108&lt;&gt;"","?FAMILIAR",IF(F2108="NEW",IF(ISNA(VLOOKUP(E2108,#REF!,1,FALSE())),"?TYPE_IDENTIFIABLE","?REFERENTIAL"),"_")))))</f>
        <v/>
      </c>
      <c r="H2108" s="23" t="str">
        <f t="shared" ca="1" si="233"/>
        <v/>
      </c>
      <c r="I2108" s="24" t="str">
        <f>IF(OR(E2108="",E2108="!!!",F2108="NEW"),"",INDEX(B$2:B2107,-1+SUMPRODUCT(MAX(ROW(E$2:E2107)*(E2108=E$2:E2107)))))</f>
        <v/>
      </c>
      <c r="J2108" s="24" t="str">
        <f ca="1">IF(OR(E2108="",E2108="!!!",F2108="NEW"),"",COUNTBLANK(OFFSET(A$1,,,SUMPRODUCT(MAX(ROW(E$2:E2108)*(E2108=E$2:E2108)))))-COUNTBLANK(OFFSET(A$1,,,SUMPRODUCT(MAX(ROW(E$1:E2107)*(E2=E$1:E2107))))))</f>
        <v/>
      </c>
      <c r="K2108" s="24" t="str">
        <f>IF(OR(E2108="",E2108="!!!",F2108="NEW"),"",INDEX(J$1:J2107,SUMPRODUCT(MAX(ROW(E$1:E2107)*(E2108=E$1:E2107)))))</f>
        <v/>
      </c>
      <c r="L2108" s="25"/>
    </row>
    <row r="2109" spans="1:12" x14ac:dyDescent="0.2">
      <c r="A2109" t="s">
        <v>821</v>
      </c>
      <c r="E2109" s="20" t="str">
        <f t="shared" si="232"/>
        <v/>
      </c>
      <c r="F2109" s="21" t="str">
        <f>IF(OR(E2109="",E2109="!!!"),"",IF(NOT(ISNA(VLOOKUP(E2109,E$1:E2108,1,FALSE()))),"OLD",IF(AND(E2109&lt;&gt;"",E2109&lt;&gt;"!!!"),"NEW","")))</f>
        <v/>
      </c>
      <c r="G2109" s="22" t="str">
        <f>IF(OR(E2109="",E2109="!!!"),"",IF(OR(J2109=0,AND(J2109=1,K2109=1),AND(J2109=1,I2109="SBJ"),AND(J2109=1,I2109=0)),"?IN_FOCUS",IF(J2109&lt;=2,"?ACTIVATED",IF(J2109&lt;&gt;"","?FAMILIAR",IF(F2109="NEW",IF(ISNA(VLOOKUP(E2109,#REF!,1,FALSE())),"?TYPE_IDENTIFIABLE","?REFERENTIAL"),"_")))))</f>
        <v/>
      </c>
      <c r="H2109" s="23" t="str">
        <f t="shared" ca="1" si="233"/>
        <v/>
      </c>
      <c r="I2109" s="24" t="str">
        <f>IF(OR(E2109="",E2109="!!!",F2109="NEW"),"",INDEX(B$2:B2108,-1+SUMPRODUCT(MAX(ROW(E$2:E2108)*(E2109=E$2:E2108)))))</f>
        <v/>
      </c>
      <c r="J2109" s="24" t="str">
        <f ca="1">IF(OR(E2109="",E2109="!!!",F2109="NEW"),"",COUNTBLANK(OFFSET(A$1,,,SUMPRODUCT(MAX(ROW(E$2:E2109)*(E2109=E$2:E2109)))))-COUNTBLANK(OFFSET(A$1,,,SUMPRODUCT(MAX(ROW(E$1:E2108)*(E2=E$1:E2108))))))</f>
        <v/>
      </c>
      <c r="K2109" s="24" t="str">
        <f>IF(OR(E2109="",E2109="!!!",F2109="NEW"),"",INDEX(J$1:J2108,SUMPRODUCT(MAX(ROW(E$1:E2108)*(E2109=E$1:E2108)))))</f>
        <v/>
      </c>
      <c r="L2109" s="25"/>
    </row>
    <row r="2111" spans="1:12" x14ac:dyDescent="0.2">
      <c r="A2111" t="s">
        <v>1468</v>
      </c>
    </row>
    <row r="2112" spans="1:12" x14ac:dyDescent="0.2">
      <c r="A2112" t="s">
        <v>1144</v>
      </c>
      <c r="B2112" s="26" t="s">
        <v>804</v>
      </c>
      <c r="C2112" s="26" t="s">
        <v>987</v>
      </c>
      <c r="D2112" s="26" t="s">
        <v>806</v>
      </c>
      <c r="E2112" s="20" t="s">
        <v>1776</v>
      </c>
      <c r="F2112" s="21" t="str">
        <f>IF(OR(E2112="",E2112="!!!"),"",IF(NOT(ISNA(VLOOKUP(E2112,E$1:E2111,1,FALSE()))),"OLD",IF(AND(E2112&lt;&gt;"",E2112&lt;&gt;"!!!"),"NEW","")))</f>
        <v>OLD</v>
      </c>
      <c r="G2112" s="22" t="s">
        <v>1823</v>
      </c>
      <c r="H2112" s="23" t="str">
        <f t="shared" ref="H2112:H2117" ca="1" si="234">IF(J2112&lt;&gt;1,"",IF(I2112="SBJ","CB","?"))</f>
        <v/>
      </c>
      <c r="I2112" s="24" t="str">
        <f>IF(OR(E2112="",E2112="!!!",F2112="NEW"),"",INDEX(B$2:B2111,-1+SUMPRODUCT(MAX(ROW(E$2:E2111)*(E2112=E$2:E2111)))))</f>
        <v>SBJ</v>
      </c>
      <c r="J2112" s="24">
        <f ca="1">IF(OR(E2112="",E2112="!!!",F2112="NEW"),"",COUNTBLANK(OFFSET(A$1,,,SUMPRODUCT(MAX(ROW(E$2:E2112)*(E2112=E$2:E2112)))))-COUNTBLANK(OFFSET(A$1,,,SUMPRODUCT(MAX(ROW(E$1:E2111)*(E2=E$1:E2111))))))</f>
        <v>0</v>
      </c>
      <c r="K2112" s="24">
        <f ca="1">IF(OR(E2112="",E2112="!!!",F2112="NEW"),"",INDEX(J$1:J2111,SUMPRODUCT(MAX(ROW(E$1:E2111)*(E2112=E$1:E2111)))))</f>
        <v>0</v>
      </c>
      <c r="L2112" s="25"/>
    </row>
    <row r="2113" spans="1:12" x14ac:dyDescent="0.2">
      <c r="A2113" t="s">
        <v>963</v>
      </c>
      <c r="E2113" s="20" t="str">
        <f t="shared" ref="E2113:E2117" si="235">IF(D2113="?OLD","!!!","")</f>
        <v/>
      </c>
      <c r="F2113" s="21" t="str">
        <f>IF(OR(E2113="",E2113="!!!"),"",IF(NOT(ISNA(VLOOKUP(E2113,E$1:E2112,1,FALSE()))),"OLD",IF(AND(E2113&lt;&gt;"",E2113&lt;&gt;"!!!"),"NEW","")))</f>
        <v/>
      </c>
      <c r="G2113" s="22" t="str">
        <f>IF(OR(E2113="",E2113="!!!"),"",IF(OR(J2113=0,AND(J2113=1,K2113=1),AND(J2113=1,I2113="SBJ"),AND(J2113=1,I2113=0)),"?IN_FOCUS",IF(J2113&lt;=2,"?ACTIVATED",IF(J2113&lt;&gt;"","?FAMILIAR",IF(F2113="NEW",IF(ISNA(VLOOKUP(E2113,#REF!,1,FALSE())),"?TYPE_IDENTIFIABLE","?REFERENTIAL"),"_")))))</f>
        <v/>
      </c>
      <c r="H2113" s="23" t="str">
        <f t="shared" ca="1" si="234"/>
        <v/>
      </c>
      <c r="I2113" s="24" t="str">
        <f>IF(OR(E2113="",E2113="!!!",F2113="NEW"),"",INDEX(B$2:B2112,-1+SUMPRODUCT(MAX(ROW(E$2:E2112)*(E2113=E$2:E2112)))))</f>
        <v/>
      </c>
      <c r="J2113" s="24" t="str">
        <f ca="1">IF(OR(E2113="",E2113="!!!",F2113="NEW"),"",COUNTBLANK(OFFSET(A$1,,,SUMPRODUCT(MAX(ROW(E$2:E2113)*(E2113=E$2:E2113)))))-COUNTBLANK(OFFSET(A$1,,,SUMPRODUCT(MAX(ROW(E$1:E2112)*(E2=E$1:E2112))))))</f>
        <v/>
      </c>
      <c r="K2113" s="24" t="str">
        <f>IF(OR(E2113="",E2113="!!!",F2113="NEW"),"",INDEX(J$1:J2112,SUMPRODUCT(MAX(ROW(E$1:E2112)*(E2113=E$1:E2112)))))</f>
        <v/>
      </c>
      <c r="L2113" s="25"/>
    </row>
    <row r="2114" spans="1:12" x14ac:dyDescent="0.2">
      <c r="A2114" t="s">
        <v>895</v>
      </c>
      <c r="E2114" s="20" t="str">
        <f t="shared" si="235"/>
        <v/>
      </c>
      <c r="F2114" s="21" t="str">
        <f>IF(OR(E2114="",E2114="!!!"),"",IF(NOT(ISNA(VLOOKUP(E2114,E$1:E2113,1,FALSE()))),"OLD",IF(AND(E2114&lt;&gt;"",E2114&lt;&gt;"!!!"),"NEW","")))</f>
        <v/>
      </c>
      <c r="G2114" s="22" t="str">
        <f>IF(OR(E2114="",E2114="!!!"),"",IF(OR(J2114=0,AND(J2114=1,K2114=1),AND(J2114=1,I2114="SBJ"),AND(J2114=1,I2114=0)),"?IN_FOCUS",IF(J2114&lt;=2,"?ACTIVATED",IF(J2114&lt;&gt;"","?FAMILIAR",IF(F2114="NEW",IF(ISNA(VLOOKUP(E2114,#REF!,1,FALSE())),"?TYPE_IDENTIFIABLE","?REFERENTIAL"),"_")))))</f>
        <v/>
      </c>
      <c r="H2114" s="23" t="str">
        <f t="shared" ca="1" si="234"/>
        <v/>
      </c>
      <c r="I2114" s="24" t="str">
        <f>IF(OR(E2114="",E2114="!!!",F2114="NEW"),"",INDEX(B$2:B2113,-1+SUMPRODUCT(MAX(ROW(E$2:E2113)*(E2114=E$2:E2113)))))</f>
        <v/>
      </c>
      <c r="J2114" s="24" t="str">
        <f ca="1">IF(OR(E2114="",E2114="!!!",F2114="NEW"),"",COUNTBLANK(OFFSET(A$1,,,SUMPRODUCT(MAX(ROW(E$2:E2114)*(E2114=E$2:E2114)))))-COUNTBLANK(OFFSET(A$1,,,SUMPRODUCT(MAX(ROW(E$1:E2113)*(E2=E$1:E2113))))))</f>
        <v/>
      </c>
      <c r="K2114" s="24" t="str">
        <f>IF(OR(E2114="",E2114="!!!",F2114="NEW"),"",INDEX(J$1:J2113,SUMPRODUCT(MAX(ROW(E$1:E2113)*(E2114=E$1:E2113)))))</f>
        <v/>
      </c>
      <c r="L2114" s="25"/>
    </row>
    <row r="2115" spans="1:12" x14ac:dyDescent="0.2">
      <c r="A2115" t="s">
        <v>1276</v>
      </c>
      <c r="E2115" s="20" t="str">
        <f t="shared" si="235"/>
        <v/>
      </c>
      <c r="F2115" s="21" t="str">
        <f>IF(OR(E2115="",E2115="!!!"),"",IF(NOT(ISNA(VLOOKUP(E2115,E$1:E2114,1,FALSE()))),"OLD",IF(AND(E2115&lt;&gt;"",E2115&lt;&gt;"!!!"),"NEW","")))</f>
        <v/>
      </c>
      <c r="G2115" s="22" t="str">
        <f>IF(OR(E2115="",E2115="!!!"),"",IF(OR(J2115=0,AND(J2115=1,K2115=1),AND(J2115=1,I2115="SBJ"),AND(J2115=1,I2115=0)),"?IN_FOCUS",IF(J2115&lt;=2,"?ACTIVATED",IF(J2115&lt;&gt;"","?FAMILIAR",IF(F2115="NEW",IF(ISNA(VLOOKUP(E2115,#REF!,1,FALSE())),"?TYPE_IDENTIFIABLE","?REFERENTIAL"),"_")))))</f>
        <v/>
      </c>
      <c r="H2115" s="23" t="str">
        <f t="shared" ca="1" si="234"/>
        <v/>
      </c>
      <c r="I2115" s="24" t="str">
        <f>IF(OR(E2115="",E2115="!!!",F2115="NEW"),"",INDEX(B$2:B2114,-1+SUMPRODUCT(MAX(ROW(E$2:E2114)*(E2115=E$2:E2114)))))</f>
        <v/>
      </c>
      <c r="J2115" s="24" t="str">
        <f ca="1">IF(OR(E2115="",E2115="!!!",F2115="NEW"),"",COUNTBLANK(OFFSET(A$1,,,SUMPRODUCT(MAX(ROW(E$2:E2115)*(E2115=E$2:E2115)))))-COUNTBLANK(OFFSET(A$1,,,SUMPRODUCT(MAX(ROW(E$1:E2114)*(E2=E$1:E2114))))))</f>
        <v/>
      </c>
      <c r="K2115" s="24" t="str">
        <f>IF(OR(E2115="",E2115="!!!",F2115="NEW"),"",INDEX(J$1:J2114,SUMPRODUCT(MAX(ROW(E$1:E2114)*(E2115=E$1:E2114)))))</f>
        <v/>
      </c>
      <c r="L2115" s="25"/>
    </row>
    <row r="2116" spans="1:12" x14ac:dyDescent="0.2">
      <c r="A2116" t="s">
        <v>1469</v>
      </c>
      <c r="B2116" s="26" t="s">
        <v>819</v>
      </c>
      <c r="C2116" s="26" t="s">
        <v>811</v>
      </c>
      <c r="E2116" s="20" t="str">
        <f t="shared" si="235"/>
        <v/>
      </c>
      <c r="F2116" s="21" t="str">
        <f>IF(OR(E2116="",E2116="!!!"),"",IF(NOT(ISNA(VLOOKUP(E2116,E$1:E2115,1,FALSE()))),"OLD",IF(AND(E2116&lt;&gt;"",E2116&lt;&gt;"!!!"),"NEW","")))</f>
        <v/>
      </c>
      <c r="G2116" s="22" t="str">
        <f>IF(OR(E2116="",E2116="!!!"),"",IF(OR(J2116=0,AND(J2116=1,K2116=1),AND(J2116=1,I2116="SBJ"),AND(J2116=1,I2116=0)),"?IN_FOCUS",IF(J2116&lt;=2,"?ACTIVATED",IF(J2116&lt;&gt;"","?FAMILIAR",IF(F2116="NEW",IF(ISNA(VLOOKUP(E2116,#REF!,1,FALSE())),"?TYPE_IDENTIFIABLE","?REFERENTIAL"),"_")))))</f>
        <v/>
      </c>
      <c r="H2116" s="23" t="str">
        <f t="shared" ca="1" si="234"/>
        <v/>
      </c>
      <c r="I2116" s="24" t="str">
        <f>IF(OR(E2116="",E2116="!!!",F2116="NEW"),"",INDEX(B$2:B2115,-1+SUMPRODUCT(MAX(ROW(E$2:E2115)*(E2116=E$2:E2115)))))</f>
        <v/>
      </c>
      <c r="J2116" s="24" t="str">
        <f ca="1">IF(OR(E2116="",E2116="!!!",F2116="NEW"),"",COUNTBLANK(OFFSET(A$1,,,SUMPRODUCT(MAX(ROW(E$2:E2116)*(E2116=E$2:E2116)))))-COUNTBLANK(OFFSET(A$1,,,SUMPRODUCT(MAX(ROW(E$1:E2115)*(E2=E$1:E2115))))))</f>
        <v/>
      </c>
      <c r="K2116" s="24" t="str">
        <f>IF(OR(E2116="",E2116="!!!",F2116="NEW"),"",INDEX(J$1:J2115,SUMPRODUCT(MAX(ROW(E$1:E2115)*(E2116=E$1:E2115)))))</f>
        <v/>
      </c>
      <c r="L2116" s="25"/>
    </row>
    <row r="2117" spans="1:12" x14ac:dyDescent="0.2">
      <c r="A2117" t="s">
        <v>821</v>
      </c>
      <c r="E2117" s="20" t="str">
        <f t="shared" si="235"/>
        <v/>
      </c>
      <c r="F2117" s="21" t="str">
        <f>IF(OR(E2117="",E2117="!!!"),"",IF(NOT(ISNA(VLOOKUP(E2117,E$1:E2116,1,FALSE()))),"OLD",IF(AND(E2117&lt;&gt;"",E2117&lt;&gt;"!!!"),"NEW","")))</f>
        <v/>
      </c>
      <c r="G2117" s="22" t="str">
        <f>IF(OR(E2117="",E2117="!!!"),"",IF(OR(J2117=0,AND(J2117=1,K2117=1),AND(J2117=1,I2117="SBJ"),AND(J2117=1,I2117=0)),"?IN_FOCUS",IF(J2117&lt;=2,"?ACTIVATED",IF(J2117&lt;&gt;"","?FAMILIAR",IF(F2117="NEW",IF(ISNA(VLOOKUP(E2117,#REF!,1,FALSE())),"?TYPE_IDENTIFIABLE","?REFERENTIAL"),"_")))))</f>
        <v/>
      </c>
      <c r="H2117" s="23" t="str">
        <f t="shared" ca="1" si="234"/>
        <v/>
      </c>
      <c r="I2117" s="24" t="str">
        <f>IF(OR(E2117="",E2117="!!!",F2117="NEW"),"",INDEX(B$2:B2116,-1+SUMPRODUCT(MAX(ROW(E$2:E2116)*(E2117=E$2:E2116)))))</f>
        <v/>
      </c>
      <c r="J2117" s="24" t="str">
        <f ca="1">IF(OR(E2117="",E2117="!!!",F2117="NEW"),"",COUNTBLANK(OFFSET(A$1,,,SUMPRODUCT(MAX(ROW(E$2:E2117)*(E2117=E$2:E2117)))))-COUNTBLANK(OFFSET(A$1,,,SUMPRODUCT(MAX(ROW(E$1:E2116)*(E2=E$1:E2116))))))</f>
        <v/>
      </c>
      <c r="K2117" s="24" t="str">
        <f>IF(OR(E2117="",E2117="!!!",F2117="NEW"),"",INDEX(J$1:J2116,SUMPRODUCT(MAX(ROW(E$1:E2116)*(E2117=E$1:E2116)))))</f>
        <v/>
      </c>
      <c r="L2117" s="25"/>
    </row>
    <row r="2119" spans="1:12" x14ac:dyDescent="0.2">
      <c r="A2119" t="s">
        <v>1470</v>
      </c>
    </row>
    <row r="2120" spans="1:12" x14ac:dyDescent="0.2">
      <c r="A2120" t="s">
        <v>1008</v>
      </c>
      <c r="E2120" s="20" t="str">
        <f t="shared" ref="E2120:E2125" si="236">IF(D2120="?OLD","!!!","")</f>
        <v/>
      </c>
      <c r="F2120" s="21" t="str">
        <f>IF(OR(E2120="",E2120="!!!"),"",IF(NOT(ISNA(VLOOKUP(E2120,E$1:E2119,1,FALSE()))),"OLD",IF(AND(E2120&lt;&gt;"",E2120&lt;&gt;"!!!"),"NEW","")))</f>
        <v/>
      </c>
      <c r="G2120" s="22" t="str">
        <f>IF(OR(E2120="",E2120="!!!"),"",IF(OR(J2120=0,AND(J2120=1,K2120=1),AND(J2120=1,I2120="SBJ"),AND(J2120=1,I2120=0)),"?IN_FOCUS",IF(J2120&lt;=2,"?ACTIVATED",IF(J2120&lt;&gt;"","?FAMILIAR",IF(F2120="NEW",IF(ISNA(VLOOKUP(E2120,#REF!,1,FALSE())),"?TYPE_IDENTIFIABLE","?REFERENTIAL"),"_")))))</f>
        <v/>
      </c>
      <c r="H2120" s="23" t="str">
        <f t="shared" ref="H2120:H2125" ca="1" si="237">IF(J2120&lt;&gt;1,"",IF(I2120="SBJ","CB","?"))</f>
        <v/>
      </c>
      <c r="I2120" s="24" t="str">
        <f>IF(OR(E2120="",E2120="!!!",F2120="NEW"),"",INDEX(B$2:B2119,-1+SUMPRODUCT(MAX(ROW(E$2:E2119)*(E2120=E$2:E2119)))))</f>
        <v/>
      </c>
      <c r="J2120" s="24" t="str">
        <f ca="1">IF(OR(E2120="",E2120="!!!",F2120="NEW"),"",COUNTBLANK(OFFSET(A$1,,,SUMPRODUCT(MAX(ROW(E$2:E2120)*(E2120=E$2:E2120)))))-COUNTBLANK(OFFSET(A$1,,,SUMPRODUCT(MAX(ROW(E$1:E2119)*(E2=E$1:E2119))))))</f>
        <v/>
      </c>
      <c r="K2120" s="24" t="str">
        <f>IF(OR(E2120="",E2120="!!!",F2120="NEW"),"",INDEX(J$1:J2119,SUMPRODUCT(MAX(ROW(E$1:E2119)*(E2120=E$1:E2119)))))</f>
        <v/>
      </c>
      <c r="L2120" s="25"/>
    </row>
    <row r="2121" spans="1:12" x14ac:dyDescent="0.2">
      <c r="A2121" t="s">
        <v>1427</v>
      </c>
      <c r="B2121" s="26" t="s">
        <v>804</v>
      </c>
      <c r="C2121" s="26" t="s">
        <v>847</v>
      </c>
      <c r="D2121" s="26" t="s">
        <v>806</v>
      </c>
      <c r="E2121" s="20" t="s">
        <v>1797</v>
      </c>
      <c r="F2121" s="21" t="str">
        <f>IF(OR(E2121="",E2121="!!!"),"",IF(NOT(ISNA(VLOOKUP(E2121,E$1:E2120,1,FALSE()))),"OLD",IF(AND(E2121&lt;&gt;"",E2121&lt;&gt;"!!!"),"NEW","")))</f>
        <v>OLD</v>
      </c>
      <c r="G2121" s="22" t="s">
        <v>1823</v>
      </c>
      <c r="H2121" s="23" t="str">
        <f t="shared" ca="1" si="237"/>
        <v/>
      </c>
      <c r="I2121" s="24" t="str">
        <f>IF(OR(E2121="",E2121="!!!",F2121="NEW"),"",INDEX(B$2:B2120,-1+SUMPRODUCT(MAX(ROW(E$2:E2120)*(E2121=E$2:E2120)))))</f>
        <v>SBJ_3</v>
      </c>
      <c r="J2121" s="24">
        <f ca="1">IF(OR(E2121="",E2121="!!!",F2121="NEW"),"",COUNTBLANK(OFFSET(A$1,,,SUMPRODUCT(MAX(ROW(E$2:E2121)*(E2121=E$2:E2121)))))-COUNTBLANK(OFFSET(A$1,,,SUMPRODUCT(MAX(ROW(E$1:E2120)*(E2=E$1:E2120))))))</f>
        <v>0</v>
      </c>
      <c r="K2121" s="24">
        <f ca="1">IF(OR(E2121="",E2121="!!!",F2121="NEW"),"",INDEX(J$1:J2120,SUMPRODUCT(MAX(ROW(E$1:E2120)*(E2121=E$1:E2120)))))</f>
        <v>0</v>
      </c>
      <c r="L2121" s="25"/>
    </row>
    <row r="2122" spans="1:12" x14ac:dyDescent="0.2">
      <c r="A2122" t="s">
        <v>243</v>
      </c>
      <c r="E2122" s="20" t="str">
        <f t="shared" si="236"/>
        <v/>
      </c>
      <c r="F2122" s="21" t="str">
        <f>IF(OR(E2122="",E2122="!!!"),"",IF(NOT(ISNA(VLOOKUP(E2122,E$1:E2121,1,FALSE()))),"OLD",IF(AND(E2122&lt;&gt;"",E2122&lt;&gt;"!!!"),"NEW","")))</f>
        <v/>
      </c>
      <c r="G2122" s="22" t="str">
        <f>IF(OR(E2122="",E2122="!!!"),"",IF(OR(J2122=0,AND(J2122=1,K2122=1),AND(J2122=1,I2122="SBJ"),AND(J2122=1,I2122=0)),"?IN_FOCUS",IF(J2122&lt;=2,"?ACTIVATED",IF(J2122&lt;&gt;"","?FAMILIAR",IF(F2122="NEW",IF(ISNA(VLOOKUP(E2122,#REF!,1,FALSE())),"?TYPE_IDENTIFIABLE","?REFERENTIAL"),"_")))))</f>
        <v/>
      </c>
      <c r="H2122" s="23" t="str">
        <f t="shared" ca="1" si="237"/>
        <v/>
      </c>
      <c r="I2122" s="24" t="str">
        <f>IF(OR(E2122="",E2122="!!!",F2122="NEW"),"",INDEX(B$2:B2121,-1+SUMPRODUCT(MAX(ROW(E$2:E2121)*(E2122=E$2:E2121)))))</f>
        <v/>
      </c>
      <c r="J2122" s="24" t="str">
        <f ca="1">IF(OR(E2122="",E2122="!!!",F2122="NEW"),"",COUNTBLANK(OFFSET(A$1,,,SUMPRODUCT(MAX(ROW(E$2:E2122)*(E2122=E$2:E2122)))))-COUNTBLANK(OFFSET(A$1,,,SUMPRODUCT(MAX(ROW(E$1:E2121)*(E2=E$1:E2121))))))</f>
        <v/>
      </c>
      <c r="K2122" s="24" t="str">
        <f>IF(OR(E2122="",E2122="!!!",F2122="NEW"),"",INDEX(J$1:J2121,SUMPRODUCT(MAX(ROW(E$1:E2121)*(E2122=E$1:E2121)))))</f>
        <v/>
      </c>
      <c r="L2122" s="25"/>
    </row>
    <row r="2123" spans="1:12" x14ac:dyDescent="0.2">
      <c r="A2123" t="s">
        <v>845</v>
      </c>
      <c r="E2123" s="20" t="str">
        <f t="shared" si="236"/>
        <v/>
      </c>
      <c r="F2123" s="21" t="str">
        <f>IF(OR(E2123="",E2123="!!!"),"",IF(NOT(ISNA(VLOOKUP(E2123,E$1:E2122,1,FALSE()))),"OLD",IF(AND(E2123&lt;&gt;"",E2123&lt;&gt;"!!!"),"NEW","")))</f>
        <v/>
      </c>
      <c r="G2123" s="22" t="str">
        <f>IF(OR(E2123="",E2123="!!!"),"",IF(OR(J2123=0,AND(J2123=1,K2123=1),AND(J2123=1,I2123="SBJ"),AND(J2123=1,I2123=0)),"?IN_FOCUS",IF(J2123&lt;=2,"?ACTIVATED",IF(J2123&lt;&gt;"","?FAMILIAR",IF(F2123="NEW",IF(ISNA(VLOOKUP(E2123,#REF!,1,FALSE())),"?TYPE_IDENTIFIABLE","?REFERENTIAL"),"_")))))</f>
        <v/>
      </c>
      <c r="H2123" s="23" t="str">
        <f t="shared" ca="1" si="237"/>
        <v/>
      </c>
      <c r="I2123" s="24" t="str">
        <f>IF(OR(E2123="",E2123="!!!",F2123="NEW"),"",INDEX(B$2:B2122,-1+SUMPRODUCT(MAX(ROW(E$2:E2122)*(E2123=E$2:E2122)))))</f>
        <v/>
      </c>
      <c r="J2123" s="24" t="str">
        <f ca="1">IF(OR(E2123="",E2123="!!!",F2123="NEW"),"",COUNTBLANK(OFFSET(A$1,,,SUMPRODUCT(MAX(ROW(E$2:E2123)*(E2123=E$2:E2123)))))-COUNTBLANK(OFFSET(A$1,,,SUMPRODUCT(MAX(ROW(E$1:E2122)*(E2=E$1:E2122))))))</f>
        <v/>
      </c>
      <c r="K2123" s="24" t="str">
        <f>IF(OR(E2123="",E2123="!!!",F2123="NEW"),"",INDEX(J$1:J2122,SUMPRODUCT(MAX(ROW(E$1:E2122)*(E2123=E$1:E2122)))))</f>
        <v/>
      </c>
      <c r="L2123" s="25"/>
    </row>
    <row r="2124" spans="1:12" x14ac:dyDescent="0.2">
      <c r="A2124" t="s">
        <v>1272</v>
      </c>
      <c r="B2124" s="26" t="s">
        <v>810</v>
      </c>
      <c r="C2124" s="26" t="s">
        <v>847</v>
      </c>
      <c r="D2124" s="26" t="s">
        <v>806</v>
      </c>
      <c r="E2124" s="20" t="s">
        <v>1272</v>
      </c>
      <c r="F2124" s="21" t="str">
        <f>IF(OR(E2124="",E2124="!!!"),"",IF(NOT(ISNA(VLOOKUP(E2124,E$1:E2123,1,FALSE()))),"OLD",IF(AND(E2124&lt;&gt;"",E2124&lt;&gt;"!!!"),"NEW","")))</f>
        <v>NEW</v>
      </c>
      <c r="G2124" s="22" t="s">
        <v>1824</v>
      </c>
      <c r="H2124" s="23" t="str">
        <f t="shared" ca="1" si="237"/>
        <v/>
      </c>
      <c r="I2124" s="24" t="str">
        <f>IF(OR(E2124="",E2124="!!!",F2124="NEW"),"",INDEX(B$2:B2123,-1+SUMPRODUCT(MAX(ROW(E$2:E2123)*(E2124=E$2:E2123)))))</f>
        <v/>
      </c>
      <c r="J2124" s="24" t="str">
        <f ca="1">IF(OR(E2124="",E2124="!!!",F2124="NEW"),"",COUNTBLANK(OFFSET(A$1,,,SUMPRODUCT(MAX(ROW(E$2:E2124)*(E2124=E$2:E2124)))))-COUNTBLANK(OFFSET(A$1,,,SUMPRODUCT(MAX(ROW(E$1:E2123)*(E2=E$1:E2123))))))</f>
        <v/>
      </c>
      <c r="K2124" s="24" t="str">
        <f>IF(OR(E2124="",E2124="!!!",F2124="NEW"),"",INDEX(J$1:J2123,SUMPRODUCT(MAX(ROW(E$1:E2123)*(E2124=E$1:E2123)))))</f>
        <v/>
      </c>
      <c r="L2124" s="25"/>
    </row>
    <row r="2125" spans="1:12" x14ac:dyDescent="0.2">
      <c r="A2125" t="s">
        <v>821</v>
      </c>
      <c r="E2125" s="20" t="str">
        <f t="shared" si="236"/>
        <v/>
      </c>
      <c r="F2125" s="21" t="str">
        <f>IF(OR(E2125="",E2125="!!!"),"",IF(NOT(ISNA(VLOOKUP(E2125,E$1:E2124,1,FALSE()))),"OLD",IF(AND(E2125&lt;&gt;"",E2125&lt;&gt;"!!!"),"NEW","")))</f>
        <v/>
      </c>
      <c r="G2125" s="22" t="str">
        <f>IF(OR(E2125="",E2125="!!!"),"",IF(OR(J2125=0,AND(J2125=1,K2125=1),AND(J2125=1,I2125="SBJ"),AND(J2125=1,I2125=0)),"?IN_FOCUS",IF(J2125&lt;=2,"?ACTIVATED",IF(J2125&lt;&gt;"","?FAMILIAR",IF(F2125="NEW",IF(ISNA(VLOOKUP(E2125,#REF!,1,FALSE())),"?TYPE_IDENTIFIABLE","?REFERENTIAL"),"_")))))</f>
        <v/>
      </c>
      <c r="H2125" s="23" t="str">
        <f t="shared" ca="1" si="237"/>
        <v/>
      </c>
      <c r="I2125" s="24" t="str">
        <f>IF(OR(E2125="",E2125="!!!",F2125="NEW"),"",INDEX(B$2:B2124,-1+SUMPRODUCT(MAX(ROW(E$2:E2124)*(E2125=E$2:E2124)))))</f>
        <v/>
      </c>
      <c r="J2125" s="24" t="str">
        <f ca="1">IF(OR(E2125="",E2125="!!!",F2125="NEW"),"",COUNTBLANK(OFFSET(A$1,,,SUMPRODUCT(MAX(ROW(E$2:E2125)*(E2125=E$2:E2125)))))-COUNTBLANK(OFFSET(A$1,,,SUMPRODUCT(MAX(ROW(E$1:E2124)*(E2=E$1:E2124))))))</f>
        <v/>
      </c>
      <c r="K2125" s="24" t="str">
        <f>IF(OR(E2125="",E2125="!!!",F2125="NEW"),"",INDEX(J$1:J2124,SUMPRODUCT(MAX(ROW(E$1:E2124)*(E2125=E$1:E2124)))))</f>
        <v/>
      </c>
      <c r="L2125" s="25"/>
    </row>
    <row r="2127" spans="1:12" x14ac:dyDescent="0.2">
      <c r="A2127" t="s">
        <v>1471</v>
      </c>
    </row>
    <row r="2128" spans="1:12" x14ac:dyDescent="0.2">
      <c r="A2128" t="s">
        <v>1008</v>
      </c>
      <c r="E2128" s="20" t="str">
        <f t="shared" ref="E2128:E2133" si="238">IF(D2128="?OLD","!!!","")</f>
        <v/>
      </c>
      <c r="F2128" s="21" t="str">
        <f>IF(OR(E2128="",E2128="!!!"),"",IF(NOT(ISNA(VLOOKUP(E2128,E$1:E2127,1,FALSE()))),"OLD",IF(AND(E2128&lt;&gt;"",E2128&lt;&gt;"!!!"),"NEW","")))</f>
        <v/>
      </c>
      <c r="G2128" s="22" t="str">
        <f>IF(OR(E2128="",E2128="!!!"),"",IF(OR(J2128=0,AND(J2128=1,K2128=1),AND(J2128=1,I2128="SBJ"),AND(J2128=1,I2128=0)),"?IN_FOCUS",IF(J2128&lt;=2,"?ACTIVATED",IF(J2128&lt;&gt;"","?FAMILIAR",IF(F2128="NEW",IF(ISNA(VLOOKUP(E2128,#REF!,1,FALSE())),"?TYPE_IDENTIFIABLE","?REFERENTIAL"),"_")))))</f>
        <v/>
      </c>
      <c r="H2128" s="23" t="str">
        <f t="shared" ref="H2128:H2133" ca="1" si="239">IF(J2128&lt;&gt;1,"",IF(I2128="SBJ","CB","?"))</f>
        <v/>
      </c>
      <c r="I2128" s="24" t="str">
        <f>IF(OR(E2128="",E2128="!!!",F2128="NEW"),"",INDEX(B$2:B2127,-1+SUMPRODUCT(MAX(ROW(E$2:E2127)*(E2128=E$2:E2127)))))</f>
        <v/>
      </c>
      <c r="J2128" s="24" t="str">
        <f ca="1">IF(OR(E2128="",E2128="!!!",F2128="NEW"),"",COUNTBLANK(OFFSET(A$1,,,SUMPRODUCT(MAX(ROW(E$2:E2128)*(E2128=E$2:E2128)))))-COUNTBLANK(OFFSET(A$1,,,SUMPRODUCT(MAX(ROW(E$1:E2127)*(E2=E$1:E2127))))))</f>
        <v/>
      </c>
      <c r="K2128" s="24" t="str">
        <f>IF(OR(E2128="",E2128="!!!",F2128="NEW"),"",INDEX(J$1:J2127,SUMPRODUCT(MAX(ROW(E$1:E2127)*(E2128=E$1:E2127)))))</f>
        <v/>
      </c>
      <c r="L2128" s="25"/>
    </row>
    <row r="2129" spans="1:12" x14ac:dyDescent="0.2">
      <c r="A2129" t="s">
        <v>1272</v>
      </c>
      <c r="B2129" s="26" t="s">
        <v>804</v>
      </c>
      <c r="C2129" s="26" t="s">
        <v>847</v>
      </c>
      <c r="D2129" s="26" t="s">
        <v>806</v>
      </c>
      <c r="E2129" s="20" t="s">
        <v>1272</v>
      </c>
      <c r="F2129" s="21" t="str">
        <f>IF(OR(E2129="",E2129="!!!"),"",IF(NOT(ISNA(VLOOKUP(E2129,E$1:E2128,1,FALSE()))),"OLD",IF(AND(E2129&lt;&gt;"",E2129&lt;&gt;"!!!"),"NEW","")))</f>
        <v>OLD</v>
      </c>
      <c r="G2129" s="22" t="s">
        <v>1823</v>
      </c>
      <c r="H2129" s="23" t="str">
        <f t="shared" ca="1" si="239"/>
        <v/>
      </c>
      <c r="I2129" s="24" t="str">
        <f>IF(OR(E2129="",E2129="!!!",F2129="NEW"),"",INDEX(B$2:B2128,-1+SUMPRODUCT(MAX(ROW(E$2:E2128)*(E2129=E$2:E2128)))))</f>
        <v>OBJ</v>
      </c>
      <c r="J2129" s="24">
        <f ca="1">IF(OR(E2129="",E2129="!!!",F2129="NEW"),"",COUNTBLANK(OFFSET(A$1,,,SUMPRODUCT(MAX(ROW(E$2:E2129)*(E2129=E$2:E2129)))))-COUNTBLANK(OFFSET(A$1,,,SUMPRODUCT(MAX(ROW(E$1:E2128)*(E2=E$1:E2128))))))</f>
        <v>0</v>
      </c>
      <c r="K2129" s="24" t="str">
        <f ca="1">IF(OR(E2129="",E2129="!!!",F2129="NEW"),"",INDEX(J$1:J2128,SUMPRODUCT(MAX(ROW(E$1:E2128)*(E2129=E$1:E2128)))))</f>
        <v/>
      </c>
      <c r="L2129" s="25"/>
    </row>
    <row r="2130" spans="1:12" x14ac:dyDescent="0.2">
      <c r="A2130" t="s">
        <v>243</v>
      </c>
      <c r="E2130" s="20" t="str">
        <f t="shared" si="238"/>
        <v/>
      </c>
      <c r="F2130" s="21" t="str">
        <f>IF(OR(E2130="",E2130="!!!"),"",IF(NOT(ISNA(VLOOKUP(E2130,E$1:E2129,1,FALSE()))),"OLD",IF(AND(E2130&lt;&gt;"",E2130&lt;&gt;"!!!"),"NEW","")))</f>
        <v/>
      </c>
      <c r="G2130" s="22" t="str">
        <f>IF(OR(E2130="",E2130="!!!"),"",IF(OR(J2130=0,AND(J2130=1,K2130=1),AND(J2130=1,I2130="SBJ"),AND(J2130=1,I2130=0)),"?IN_FOCUS",IF(J2130&lt;=2,"?ACTIVATED",IF(J2130&lt;&gt;"","?FAMILIAR",IF(F2130="NEW",IF(ISNA(VLOOKUP(E2130,#REF!,1,FALSE())),"?TYPE_IDENTIFIABLE","?REFERENTIAL"),"_")))))</f>
        <v/>
      </c>
      <c r="H2130" s="23" t="str">
        <f t="shared" ca="1" si="239"/>
        <v/>
      </c>
      <c r="I2130" s="24" t="str">
        <f>IF(OR(E2130="",E2130="!!!",F2130="NEW"),"",INDEX(B$2:B2129,-1+SUMPRODUCT(MAX(ROW(E$2:E2129)*(E2130=E$2:E2129)))))</f>
        <v/>
      </c>
      <c r="J2130" s="24" t="str">
        <f ca="1">IF(OR(E2130="",E2130="!!!",F2130="NEW"),"",COUNTBLANK(OFFSET(A$1,,,SUMPRODUCT(MAX(ROW(E$2:E2130)*(E2130=E$2:E2130)))))-COUNTBLANK(OFFSET(A$1,,,SUMPRODUCT(MAX(ROW(E$1:E2129)*(E2=E$1:E2129))))))</f>
        <v/>
      </c>
      <c r="K2130" s="24" t="str">
        <f>IF(OR(E2130="",E2130="!!!",F2130="NEW"),"",INDEX(J$1:J2129,SUMPRODUCT(MAX(ROW(E$1:E2129)*(E2130=E$1:E2129)))))</f>
        <v/>
      </c>
      <c r="L2130" s="25"/>
    </row>
    <row r="2131" spans="1:12" x14ac:dyDescent="0.2">
      <c r="A2131" t="s">
        <v>845</v>
      </c>
      <c r="E2131" s="20" t="str">
        <f t="shared" si="238"/>
        <v/>
      </c>
      <c r="F2131" s="21" t="str">
        <f>IF(OR(E2131="",E2131="!!!"),"",IF(NOT(ISNA(VLOOKUP(E2131,E$1:E2130,1,FALSE()))),"OLD",IF(AND(E2131&lt;&gt;"",E2131&lt;&gt;"!!!"),"NEW","")))</f>
        <v/>
      </c>
      <c r="G2131" s="22" t="str">
        <f>IF(OR(E2131="",E2131="!!!"),"",IF(OR(J2131=0,AND(J2131=1,K2131=1),AND(J2131=1,I2131="SBJ"),AND(J2131=1,I2131=0)),"?IN_FOCUS",IF(J2131&lt;=2,"?ACTIVATED",IF(J2131&lt;&gt;"","?FAMILIAR",IF(F2131="NEW",IF(ISNA(VLOOKUP(E2131,#REF!,1,FALSE())),"?TYPE_IDENTIFIABLE","?REFERENTIAL"),"_")))))</f>
        <v/>
      </c>
      <c r="H2131" s="23" t="str">
        <f t="shared" ca="1" si="239"/>
        <v/>
      </c>
      <c r="I2131" s="24" t="str">
        <f>IF(OR(E2131="",E2131="!!!",F2131="NEW"),"",INDEX(B$2:B2130,-1+SUMPRODUCT(MAX(ROW(E$2:E2130)*(E2131=E$2:E2130)))))</f>
        <v/>
      </c>
      <c r="J2131" s="24" t="str">
        <f ca="1">IF(OR(E2131="",E2131="!!!",F2131="NEW"),"",COUNTBLANK(OFFSET(A$1,,,SUMPRODUCT(MAX(ROW(E$2:E2131)*(E2131=E$2:E2131)))))-COUNTBLANK(OFFSET(A$1,,,SUMPRODUCT(MAX(ROW(E$1:E2130)*(E2=E$1:E2130))))))</f>
        <v/>
      </c>
      <c r="K2131" s="24" t="str">
        <f>IF(OR(E2131="",E2131="!!!",F2131="NEW"),"",INDEX(J$1:J2130,SUMPRODUCT(MAX(ROW(E$1:E2130)*(E2131=E$1:E2130)))))</f>
        <v/>
      </c>
      <c r="L2131" s="25"/>
    </row>
    <row r="2132" spans="1:12" x14ac:dyDescent="0.2">
      <c r="A2132" t="s">
        <v>1327</v>
      </c>
      <c r="B2132" s="26" t="s">
        <v>810</v>
      </c>
      <c r="C2132" s="26" t="s">
        <v>847</v>
      </c>
      <c r="D2132" s="26" t="s">
        <v>806</v>
      </c>
      <c r="E2132" s="20" t="s">
        <v>1327</v>
      </c>
      <c r="F2132" s="21" t="str">
        <f>IF(OR(E2132="",E2132="!!!"),"",IF(NOT(ISNA(VLOOKUP(E2132,E$1:E2131,1,FALSE()))),"OLD",IF(AND(E2132&lt;&gt;"",E2132&lt;&gt;"!!!"),"NEW","")))</f>
        <v>OLD</v>
      </c>
      <c r="G2132" s="22" t="s">
        <v>1822</v>
      </c>
      <c r="H2132" s="23" t="str">
        <f t="shared" ca="1" si="239"/>
        <v/>
      </c>
      <c r="I2132" s="24" t="str">
        <f>IF(OR(E2132="",E2132="!!!",F2132="NEW"),"",INDEX(B$2:B2131,-1+SUMPRODUCT(MAX(ROW(E$2:E2131)*(E2132=E$2:E2131)))))</f>
        <v>other_2</v>
      </c>
      <c r="J2132" s="24">
        <f ca="1">IF(OR(E2132="",E2132="!!!",F2132="NEW"),"",COUNTBLANK(OFFSET(A$1,,,SUMPRODUCT(MAX(ROW(E$2:E2132)*(E2132=E$2:E2132)))))-COUNTBLANK(OFFSET(A$1,,,SUMPRODUCT(MAX(ROW(E$1:E2131)*(E2=E$1:E2131))))))</f>
        <v>0</v>
      </c>
      <c r="K2132" s="24">
        <f ca="1">IF(OR(E2132="",E2132="!!!",F2132="NEW"),"",INDEX(J$1:J2131,SUMPRODUCT(MAX(ROW(E$1:E2131)*(E2132=E$1:E2131)))))</f>
        <v>0</v>
      </c>
      <c r="L2132" s="25"/>
    </row>
    <row r="2133" spans="1:12" x14ac:dyDescent="0.2">
      <c r="A2133" t="s">
        <v>821</v>
      </c>
      <c r="E2133" s="20" t="str">
        <f t="shared" si="238"/>
        <v/>
      </c>
      <c r="F2133" s="21" t="str">
        <f>IF(OR(E2133="",E2133="!!!"),"",IF(NOT(ISNA(VLOOKUP(E2133,E$1:E2132,1,FALSE()))),"OLD",IF(AND(E2133&lt;&gt;"",E2133&lt;&gt;"!!!"),"NEW","")))</f>
        <v/>
      </c>
      <c r="G2133" s="22" t="str">
        <f>IF(OR(E2133="",E2133="!!!"),"",IF(OR(J2133=0,AND(J2133=1,K2133=1),AND(J2133=1,I2133="SBJ"),AND(J2133=1,I2133=0)),"?IN_FOCUS",IF(J2133&lt;=2,"?ACTIVATED",IF(J2133&lt;&gt;"","?FAMILIAR",IF(F2133="NEW",IF(ISNA(VLOOKUP(E2133,#REF!,1,FALSE())),"?TYPE_IDENTIFIABLE","?REFERENTIAL"),"_")))))</f>
        <v/>
      </c>
      <c r="H2133" s="23" t="str">
        <f t="shared" ca="1" si="239"/>
        <v/>
      </c>
      <c r="I2133" s="24" t="str">
        <f>IF(OR(E2133="",E2133="!!!",F2133="NEW"),"",INDEX(B$2:B2132,-1+SUMPRODUCT(MAX(ROW(E$2:E2132)*(E2133=E$2:E2132)))))</f>
        <v/>
      </c>
      <c r="J2133" s="24" t="str">
        <f ca="1">IF(OR(E2133="",E2133="!!!",F2133="NEW"),"",COUNTBLANK(OFFSET(A$1,,,SUMPRODUCT(MAX(ROW(E$2:E2133)*(E2133=E$2:E2133)))))-COUNTBLANK(OFFSET(A$1,,,SUMPRODUCT(MAX(ROW(E$1:E2132)*(E2=E$1:E2132))))))</f>
        <v/>
      </c>
      <c r="K2133" s="24" t="str">
        <f>IF(OR(E2133="",E2133="!!!",F2133="NEW"),"",INDEX(J$1:J2132,SUMPRODUCT(MAX(ROW(E$1:E2132)*(E2133=E$1:E2132)))))</f>
        <v/>
      </c>
      <c r="L2133" s="25"/>
    </row>
    <row r="2135" spans="1:12" x14ac:dyDescent="0.2">
      <c r="A2135" t="s">
        <v>900</v>
      </c>
      <c r="E2135" s="20" t="str">
        <f>IF(D2135="?OLD","!!!","")</f>
        <v/>
      </c>
      <c r="F2135" s="21" t="str">
        <f>IF(OR(E2135="",E2135="!!!"),"",IF(NOT(ISNA(VLOOKUP(E2135,E$1:E2134,1,FALSE()))),"OLD",IF(AND(E2135&lt;&gt;"",E2135&lt;&gt;"!!!"),"NEW","")))</f>
        <v/>
      </c>
      <c r="G2135" s="22" t="str">
        <f>IF(OR(E2135="",E2135="!!!"),"",IF(OR(J2135=0,AND(J2135=1,K2135=1),AND(J2135=1,I2135="SBJ"),AND(J2135=1,I2135=0)),"?IN_FOCUS",IF(J2135&lt;=2,"?ACTIVATED",IF(J2135&lt;&gt;"","?FAMILIAR",IF(F2135="NEW",IF(ISNA(VLOOKUP(E2135,#REF!,1,FALSE())),"?TYPE_IDENTIFIABLE","?REFERENTIAL"),"_")))))</f>
        <v/>
      </c>
      <c r="H2135" s="23" t="str">
        <f ca="1">IF(J2135&lt;&gt;1,"",IF(I2135="SBJ","CB","?"))</f>
        <v/>
      </c>
      <c r="I2135" s="24" t="str">
        <f>IF(OR(E2135="",E2135="!!!",F2135="NEW"),"",INDEX(B$2:B2134,-1+SUMPRODUCT(MAX(ROW(E$2:E2134)*(E2135=E$2:E2134)))))</f>
        <v/>
      </c>
      <c r="J2135" s="24" t="str">
        <f ca="1">IF(OR(E2135="",E2135="!!!",F2135="NEW"),"",COUNTBLANK(OFFSET(A$1,,,SUMPRODUCT(MAX(ROW(E$2:E2135)*(E2135=E$2:E2135)))))-COUNTBLANK(OFFSET(A$1,,,SUMPRODUCT(MAX(ROW(E$1:E2134)*(E2=E$1:E2134))))))</f>
        <v/>
      </c>
      <c r="K2135" s="24" t="str">
        <f>IF(OR(E2135="",E2135="!!!",F2135="NEW"),"",INDEX(J$1:J2134,SUMPRODUCT(MAX(ROW(E$1:E2134)*(E2135=E$1:E2134)))))</f>
        <v/>
      </c>
      <c r="L2135" s="25"/>
    </row>
    <row r="2136" spans="1:12" x14ac:dyDescent="0.2">
      <c r="A2136" t="s">
        <v>1472</v>
      </c>
    </row>
    <row r="2137" spans="1:12" x14ac:dyDescent="0.2">
      <c r="A2137" t="s">
        <v>801</v>
      </c>
      <c r="E2137" s="20" t="str">
        <f t="shared" ref="E2137:E2148" si="240">IF(D2137="?OLD","!!!","")</f>
        <v/>
      </c>
      <c r="F2137" s="21" t="str">
        <f>IF(OR(E2137="",E2137="!!!"),"",IF(NOT(ISNA(VLOOKUP(E2137,E$1:E2136,1,FALSE()))),"OLD",IF(AND(E2137&lt;&gt;"",E2137&lt;&gt;"!!!"),"NEW","")))</f>
        <v/>
      </c>
      <c r="G2137" s="22" t="str">
        <f>IF(OR(E2137="",E2137="!!!"),"",IF(OR(J2137=0,AND(J2137=1,K2137=1),AND(J2137=1,I2137="SBJ"),AND(J2137=1,I2137=0)),"?IN_FOCUS",IF(J2137&lt;=2,"?ACTIVATED",IF(J2137&lt;&gt;"","?FAMILIAR",IF(F2137="NEW",IF(ISNA(VLOOKUP(E2137,#REF!,1,FALSE())),"?TYPE_IDENTIFIABLE","?REFERENTIAL"),"_")))))</f>
        <v/>
      </c>
      <c r="H2137" s="23" t="str">
        <f t="shared" ref="H2137:H2148" ca="1" si="241">IF(J2137&lt;&gt;1,"",IF(I2137="SBJ","CB","?"))</f>
        <v/>
      </c>
      <c r="I2137" s="24" t="str">
        <f>IF(OR(E2137="",E2137="!!!",F2137="NEW"),"",INDEX(B$2:B2136,-1+SUMPRODUCT(MAX(ROW(E$2:E2136)*(E2137=E$2:E2136)))))</f>
        <v/>
      </c>
      <c r="J2137" s="24" t="str">
        <f ca="1">IF(OR(E2137="",E2137="!!!",F2137="NEW"),"",COUNTBLANK(OFFSET(A$1,,,SUMPRODUCT(MAX(ROW(E$2:E2137)*(E2137=E$2:E2137)))))-COUNTBLANK(OFFSET(A$1,,,SUMPRODUCT(MAX(ROW(E$1:E2136)*(E2=E$1:E2136))))))</f>
        <v/>
      </c>
      <c r="K2137" s="24" t="str">
        <f>IF(OR(E2137="",E2137="!!!",F2137="NEW"),"",INDEX(J$1:J2136,SUMPRODUCT(MAX(ROW(E$1:E2136)*(E2137=E$1:E2136)))))</f>
        <v/>
      </c>
      <c r="L2137" s="25"/>
    </row>
    <row r="2138" spans="1:12" x14ac:dyDescent="0.2">
      <c r="A2138" t="s">
        <v>845</v>
      </c>
      <c r="E2138" s="20" t="str">
        <f t="shared" si="240"/>
        <v/>
      </c>
      <c r="F2138" s="21" t="str">
        <f>IF(OR(E2138="",E2138="!!!"),"",IF(NOT(ISNA(VLOOKUP(E2138,E$1:E2137,1,FALSE()))),"OLD",IF(AND(E2138&lt;&gt;"",E2138&lt;&gt;"!!!"),"NEW","")))</f>
        <v/>
      </c>
      <c r="G2138" s="22" t="str">
        <f>IF(OR(E2138="",E2138="!!!"),"",IF(OR(J2138=0,AND(J2138=1,K2138=1),AND(J2138=1,I2138="SBJ"),AND(J2138=1,I2138=0)),"?IN_FOCUS",IF(J2138&lt;=2,"?ACTIVATED",IF(J2138&lt;&gt;"","?FAMILIAR",IF(F2138="NEW",IF(ISNA(VLOOKUP(E2138,#REF!,1,FALSE())),"?TYPE_IDENTIFIABLE","?REFERENTIAL"),"_")))))</f>
        <v/>
      </c>
      <c r="H2138" s="23" t="str">
        <f t="shared" ca="1" si="241"/>
        <v/>
      </c>
      <c r="I2138" s="24" t="str">
        <f>IF(OR(E2138="",E2138="!!!",F2138="NEW"),"",INDEX(B$2:B2137,-1+SUMPRODUCT(MAX(ROW(E$2:E2137)*(E2138=E$2:E2137)))))</f>
        <v/>
      </c>
      <c r="J2138" s="24" t="str">
        <f ca="1">IF(OR(E2138="",E2138="!!!",F2138="NEW"),"",COUNTBLANK(OFFSET(A$1,,,SUMPRODUCT(MAX(ROW(E$2:E2138)*(E2138=E$2:E2138)))))-COUNTBLANK(OFFSET(A$1,,,SUMPRODUCT(MAX(ROW(E$1:E2137)*(E2=E$1:E2137))))))</f>
        <v/>
      </c>
      <c r="K2138" s="24" t="str">
        <f>IF(OR(E2138="",E2138="!!!",F2138="NEW"),"",INDEX(J$1:J2137,SUMPRODUCT(MAX(ROW(E$1:E2137)*(E2138=E$1:E2137)))))</f>
        <v/>
      </c>
      <c r="L2138" s="25"/>
    </row>
    <row r="2139" spans="1:12" x14ac:dyDescent="0.2">
      <c r="A2139" t="s">
        <v>1473</v>
      </c>
      <c r="B2139" s="26" t="s">
        <v>804</v>
      </c>
      <c r="C2139" s="26" t="s">
        <v>847</v>
      </c>
      <c r="D2139" s="26" t="s">
        <v>806</v>
      </c>
      <c r="E2139" s="20"/>
      <c r="F2139" s="21" t="str">
        <f>IF(OR(E2139="",E2139="!!!"),"",IF(NOT(ISNA(VLOOKUP(E2139,E$1:E2138,1,FALSE()))),"OLD",IF(AND(E2139&lt;&gt;"",E2139&lt;&gt;"!!!"),"NEW","")))</f>
        <v/>
      </c>
      <c r="G2139" s="22" t="str">
        <f>IF(OR(E2139="",E2139="!!!"),"",IF(OR(J2139=0,AND(J2139=1,K2139=1),AND(J2139=1,I2139="SBJ"),AND(J2139=1,I2139=0)),"?IN_FOCUS",IF(J2139&lt;=2,"?ACTIVATED",IF(J2139&lt;&gt;"","?FAMILIAR",IF(F2139="NEW",IF(ISNA(VLOOKUP(E2139,#REF!,1,FALSE())),"?TYPE_IDENTIFIABLE","?REFERENTIAL"),"_")))))</f>
        <v/>
      </c>
      <c r="H2139" s="23" t="str">
        <f t="shared" ca="1" si="241"/>
        <v/>
      </c>
      <c r="I2139" s="24" t="str">
        <f>IF(OR(E2139="",E2139="!!!",F2139="NEW"),"",INDEX(B$2:B2138,-1+SUMPRODUCT(MAX(ROW(E$2:E2138)*(E2139=E$2:E2138)))))</f>
        <v/>
      </c>
      <c r="J2139" s="24" t="str">
        <f ca="1">IF(OR(E2139="",E2139="!!!",F2139="NEW"),"",COUNTBLANK(OFFSET(A$1,,,SUMPRODUCT(MAX(ROW(E$2:E2139)*(E2139=E$2:E2139)))))-COUNTBLANK(OFFSET(A$1,,,SUMPRODUCT(MAX(ROW(E$1:E2138)*(E2=E$1:E2138))))))</f>
        <v/>
      </c>
      <c r="K2139" s="24" t="str">
        <f>IF(OR(E2139="",E2139="!!!",F2139="NEW"),"",INDEX(J$1:J2138,SUMPRODUCT(MAX(ROW(E$1:E2138)*(E2139=E$1:E2138)))))</f>
        <v/>
      </c>
      <c r="L2139" s="25"/>
    </row>
    <row r="2140" spans="1:12" x14ac:dyDescent="0.2">
      <c r="A2140" t="s">
        <v>845</v>
      </c>
      <c r="E2140" s="20" t="str">
        <f t="shared" si="240"/>
        <v/>
      </c>
      <c r="F2140" s="21" t="str">
        <f>IF(OR(E2140="",E2140="!!!"),"",IF(NOT(ISNA(VLOOKUP(E2140,E$1:E2139,1,FALSE()))),"OLD",IF(AND(E2140&lt;&gt;"",E2140&lt;&gt;"!!!"),"NEW","")))</f>
        <v/>
      </c>
      <c r="G2140" s="22" t="str">
        <f>IF(OR(E2140="",E2140="!!!"),"",IF(OR(J2140=0,AND(J2140=1,K2140=1),AND(J2140=1,I2140="SBJ"),AND(J2140=1,I2140=0)),"?IN_FOCUS",IF(J2140&lt;=2,"?ACTIVATED",IF(J2140&lt;&gt;"","?FAMILIAR",IF(F2140="NEW",IF(ISNA(VLOOKUP(E2140,#REF!,1,FALSE())),"?TYPE_IDENTIFIABLE","?REFERENTIAL"),"_")))))</f>
        <v/>
      </c>
      <c r="H2140" s="23" t="str">
        <f t="shared" ca="1" si="241"/>
        <v/>
      </c>
      <c r="I2140" s="24" t="str">
        <f>IF(OR(E2140="",E2140="!!!",F2140="NEW"),"",INDEX(B$2:B2139,-1+SUMPRODUCT(MAX(ROW(E$2:E2139)*(E2140=E$2:E2139)))))</f>
        <v/>
      </c>
      <c r="J2140" s="24" t="str">
        <f ca="1">IF(OR(E2140="",E2140="!!!",F2140="NEW"),"",COUNTBLANK(OFFSET(A$1,,,SUMPRODUCT(MAX(ROW(E$2:E2140)*(E2140=E$2:E2140)))))-COUNTBLANK(OFFSET(A$1,,,SUMPRODUCT(MAX(ROW(E$1:E2139)*(E2=E$1:E2139))))))</f>
        <v/>
      </c>
      <c r="K2140" s="24" t="str">
        <f>IF(OR(E2140="",E2140="!!!",F2140="NEW"),"",INDEX(J$1:J2139,SUMPRODUCT(MAX(ROW(E$1:E2139)*(E2140=E$1:E2139)))))</f>
        <v/>
      </c>
      <c r="L2140" s="25"/>
    </row>
    <row r="2141" spans="1:12" x14ac:dyDescent="0.2">
      <c r="A2141" t="s">
        <v>1474</v>
      </c>
      <c r="B2141" s="26" t="s">
        <v>813</v>
      </c>
      <c r="C2141" s="26" t="s">
        <v>847</v>
      </c>
      <c r="D2141" s="26" t="s">
        <v>806</v>
      </c>
      <c r="E2141" s="20" t="s">
        <v>1474</v>
      </c>
      <c r="F2141" s="21" t="str">
        <f>IF(OR(E2141="",E2141="!!!"),"",IF(NOT(ISNA(VLOOKUP(E2141,E$1:E2140,1,FALSE()))),"OLD",IF(AND(E2141&lt;&gt;"",E2141&lt;&gt;"!!!"),"NEW","")))</f>
        <v>OLD</v>
      </c>
      <c r="G2141" s="22" t="s">
        <v>1825</v>
      </c>
      <c r="H2141" s="23" t="str">
        <f t="shared" ca="1" si="241"/>
        <v/>
      </c>
      <c r="I2141" s="24" t="str">
        <f>IF(OR(E2141="",E2141="!!!",F2141="NEW"),"",INDEX(B$2:B2140,-1+SUMPRODUCT(MAX(ROW(E$2:E2140)*(E2141=E$2:E2140)))))</f>
        <v>other</v>
      </c>
      <c r="J2141" s="24">
        <f ca="1">IF(OR(E2141="",E2141="!!!",F2141="NEW"),"",COUNTBLANK(OFFSET(A$1,,,SUMPRODUCT(MAX(ROW(E$2:E2141)*(E2141=E$2:E2141)))))-COUNTBLANK(OFFSET(A$1,,,SUMPRODUCT(MAX(ROW(E$1:E2140)*(E2=E$1:E2140))))))</f>
        <v>0</v>
      </c>
      <c r="K2141" s="24" t="str">
        <f ca="1">IF(OR(E2141="",E2141="!!!",F2141="NEW"),"",INDEX(J$1:J2140,SUMPRODUCT(MAX(ROW(E$1:E2140)*(E2141=E$1:E2140)))))</f>
        <v/>
      </c>
      <c r="L2141" s="25"/>
    </row>
    <row r="2142" spans="1:12" x14ac:dyDescent="0.2">
      <c r="A2142" t="s">
        <v>802</v>
      </c>
      <c r="E2142" s="20" t="str">
        <f t="shared" si="240"/>
        <v/>
      </c>
      <c r="F2142" s="21" t="str">
        <f>IF(OR(E2142="",E2142="!!!"),"",IF(NOT(ISNA(VLOOKUP(E2142,E$1:E2141,1,FALSE()))),"OLD",IF(AND(E2142&lt;&gt;"",E2142&lt;&gt;"!!!"),"NEW","")))</f>
        <v/>
      </c>
      <c r="G2142" s="22" t="str">
        <f>IF(OR(E2142="",E2142="!!!"),"",IF(OR(J2142=0,AND(J2142=1,K2142=1),AND(J2142=1,I2142="SBJ"),AND(J2142=1,I2142=0)),"?IN_FOCUS",IF(J2142&lt;=2,"?ACTIVATED",IF(J2142&lt;&gt;"","?FAMILIAR",IF(F2142="NEW",IF(ISNA(VLOOKUP(E2142,#REF!,1,FALSE())),"?TYPE_IDENTIFIABLE","?REFERENTIAL"),"_")))))</f>
        <v/>
      </c>
      <c r="H2142" s="23" t="str">
        <f t="shared" ca="1" si="241"/>
        <v/>
      </c>
      <c r="I2142" s="24" t="str">
        <f>IF(OR(E2142="",E2142="!!!",F2142="NEW"),"",INDEX(B$2:B2141,-1+SUMPRODUCT(MAX(ROW(E$2:E2141)*(E2142=E$2:E2141)))))</f>
        <v/>
      </c>
      <c r="J2142" s="24" t="str">
        <f ca="1">IF(OR(E2142="",E2142="!!!",F2142="NEW"),"",COUNTBLANK(OFFSET(A$1,,,SUMPRODUCT(MAX(ROW(E$2:E2142)*(E2142=E$2:E2142)))))-COUNTBLANK(OFFSET(A$1,,,SUMPRODUCT(MAX(ROW(E$1:E2141)*(E2=E$1:E2141))))))</f>
        <v/>
      </c>
      <c r="K2142" s="24" t="str">
        <f>IF(OR(E2142="",E2142="!!!",F2142="NEW"),"",INDEX(J$1:J2141,SUMPRODUCT(MAX(ROW(E$1:E2141)*(E2142=E$1:E2141)))))</f>
        <v/>
      </c>
      <c r="L2142" s="25"/>
    </row>
    <row r="2143" spans="1:12" x14ac:dyDescent="0.2">
      <c r="A2143" t="s">
        <v>845</v>
      </c>
      <c r="E2143" s="20" t="str">
        <f t="shared" si="240"/>
        <v/>
      </c>
      <c r="F2143" s="21" t="str">
        <f>IF(OR(E2143="",E2143="!!!"),"",IF(NOT(ISNA(VLOOKUP(E2143,E$1:E2142,1,FALSE()))),"OLD",IF(AND(E2143&lt;&gt;"",E2143&lt;&gt;"!!!"),"NEW","")))</f>
        <v/>
      </c>
      <c r="G2143" s="22" t="str">
        <f>IF(OR(E2143="",E2143="!!!"),"",IF(OR(J2143=0,AND(J2143=1,K2143=1),AND(J2143=1,I2143="SBJ"),AND(J2143=1,I2143=0)),"?IN_FOCUS",IF(J2143&lt;=2,"?ACTIVATED",IF(J2143&lt;&gt;"","?FAMILIAR",IF(F2143="NEW",IF(ISNA(VLOOKUP(E2143,#REF!,1,FALSE())),"?TYPE_IDENTIFIABLE","?REFERENTIAL"),"_")))))</f>
        <v/>
      </c>
      <c r="H2143" s="23" t="str">
        <f t="shared" ca="1" si="241"/>
        <v/>
      </c>
      <c r="I2143" s="24" t="str">
        <f>IF(OR(E2143="",E2143="!!!",F2143="NEW"),"",INDEX(B$2:B2142,-1+SUMPRODUCT(MAX(ROW(E$2:E2142)*(E2143=E$2:E2142)))))</f>
        <v/>
      </c>
      <c r="J2143" s="24" t="str">
        <f ca="1">IF(OR(E2143="",E2143="!!!",F2143="NEW"),"",COUNTBLANK(OFFSET(A$1,,,SUMPRODUCT(MAX(ROW(E$2:E2143)*(E2143=E$2:E2143)))))-COUNTBLANK(OFFSET(A$1,,,SUMPRODUCT(MAX(ROW(E$1:E2142)*(E2=E$1:E2142))))))</f>
        <v/>
      </c>
      <c r="K2143" s="24" t="str">
        <f>IF(OR(E2143="",E2143="!!!",F2143="NEW"),"",INDEX(J$1:J2142,SUMPRODUCT(MAX(ROW(E$1:E2142)*(E2143=E$1:E2142)))))</f>
        <v/>
      </c>
      <c r="L2143" s="25"/>
    </row>
    <row r="2144" spans="1:12" x14ac:dyDescent="0.2">
      <c r="A2144" t="s">
        <v>745</v>
      </c>
      <c r="E2144" s="20" t="str">
        <f t="shared" si="240"/>
        <v/>
      </c>
      <c r="F2144" s="21" t="str">
        <f>IF(OR(E2144="",E2144="!!!"),"",IF(NOT(ISNA(VLOOKUP(E2144,E$1:E2143,1,FALSE()))),"OLD",IF(AND(E2144&lt;&gt;"",E2144&lt;&gt;"!!!"),"NEW","")))</f>
        <v/>
      </c>
      <c r="G2144" s="22" t="str">
        <f>IF(OR(E2144="",E2144="!!!"),"",IF(OR(J2144=0,AND(J2144=1,K2144=1),AND(J2144=1,I2144="SBJ"),AND(J2144=1,I2144=0)),"?IN_FOCUS",IF(J2144&lt;=2,"?ACTIVATED",IF(J2144&lt;&gt;"","?FAMILIAR",IF(F2144="NEW",IF(ISNA(VLOOKUP(E2144,#REF!,1,FALSE())),"?TYPE_IDENTIFIABLE","?REFERENTIAL"),"_")))))</f>
        <v/>
      </c>
      <c r="H2144" s="23" t="str">
        <f t="shared" ca="1" si="241"/>
        <v/>
      </c>
      <c r="I2144" s="24" t="str">
        <f>IF(OR(E2144="",E2144="!!!",F2144="NEW"),"",INDEX(B$2:B2143,-1+SUMPRODUCT(MAX(ROW(E$2:E2143)*(E2144=E$2:E2143)))))</f>
        <v/>
      </c>
      <c r="J2144" s="24" t="str">
        <f ca="1">IF(OR(E2144="",E2144="!!!",F2144="NEW"),"",COUNTBLANK(OFFSET(A$1,,,SUMPRODUCT(MAX(ROW(E$2:E2144)*(E2144=E$2:E2144)))))-COUNTBLANK(OFFSET(A$1,,,SUMPRODUCT(MAX(ROW(E$1:E2143)*(E2=E$1:E2143))))))</f>
        <v/>
      </c>
      <c r="K2144" s="24" t="str">
        <f>IF(OR(E2144="",E2144="!!!",F2144="NEW"),"",INDEX(J$1:J2143,SUMPRODUCT(MAX(ROW(E$1:E2143)*(E2144=E$1:E2143)))))</f>
        <v/>
      </c>
      <c r="L2144" s="25"/>
    </row>
    <row r="2145" spans="1:12" x14ac:dyDescent="0.2">
      <c r="A2145" t="s">
        <v>845</v>
      </c>
      <c r="E2145" s="20" t="str">
        <f t="shared" si="240"/>
        <v/>
      </c>
      <c r="F2145" s="21" t="str">
        <f>IF(OR(E2145="",E2145="!!!"),"",IF(NOT(ISNA(VLOOKUP(E2145,E$1:E2144,1,FALSE()))),"OLD",IF(AND(E2145&lt;&gt;"",E2145&lt;&gt;"!!!"),"NEW","")))</f>
        <v/>
      </c>
      <c r="G2145" s="22" t="str">
        <f>IF(OR(E2145="",E2145="!!!"),"",IF(OR(J2145=0,AND(J2145=1,K2145=1),AND(J2145=1,I2145="SBJ"),AND(J2145=1,I2145=0)),"?IN_FOCUS",IF(J2145&lt;=2,"?ACTIVATED",IF(J2145&lt;&gt;"","?FAMILIAR",IF(F2145="NEW",IF(ISNA(VLOOKUP(E2145,#REF!,1,FALSE())),"?TYPE_IDENTIFIABLE","?REFERENTIAL"),"_")))))</f>
        <v/>
      </c>
      <c r="H2145" s="23" t="str">
        <f t="shared" ca="1" si="241"/>
        <v/>
      </c>
      <c r="I2145" s="24" t="str">
        <f>IF(OR(E2145="",E2145="!!!",F2145="NEW"),"",INDEX(B$2:B2144,-1+SUMPRODUCT(MAX(ROW(E$2:E2144)*(E2145=E$2:E2144)))))</f>
        <v/>
      </c>
      <c r="J2145" s="24" t="str">
        <f ca="1">IF(OR(E2145="",E2145="!!!",F2145="NEW"),"",COUNTBLANK(OFFSET(A$1,,,SUMPRODUCT(MAX(ROW(E$2:E2145)*(E2145=E$2:E2145)))))-COUNTBLANK(OFFSET(A$1,,,SUMPRODUCT(MAX(ROW(E$1:E2144)*(E2=E$1:E2144))))))</f>
        <v/>
      </c>
      <c r="K2145" s="24" t="str">
        <f>IF(OR(E2145="",E2145="!!!",F2145="NEW"),"",INDEX(J$1:J2144,SUMPRODUCT(MAX(ROW(E$1:E2144)*(E2145=E$1:E2144)))))</f>
        <v/>
      </c>
      <c r="L2145" s="25"/>
    </row>
    <row r="2146" spans="1:12" x14ac:dyDescent="0.2">
      <c r="A2146" t="s">
        <v>1388</v>
      </c>
      <c r="B2146" s="26" t="s">
        <v>813</v>
      </c>
      <c r="C2146" s="26" t="s">
        <v>847</v>
      </c>
      <c r="D2146" s="26" t="s">
        <v>806</v>
      </c>
      <c r="E2146" s="20" t="s">
        <v>1792</v>
      </c>
      <c r="F2146" s="21" t="str">
        <f>IF(OR(E2146="",E2146="!!!"),"",IF(NOT(ISNA(VLOOKUP(E2146,E$1:E2145,1,FALSE()))),"OLD",IF(AND(E2146&lt;&gt;"",E2146&lt;&gt;"!!!"),"NEW","")))</f>
        <v>OLD</v>
      </c>
      <c r="G2146" s="22" t="s">
        <v>1825</v>
      </c>
      <c r="H2146" s="23" t="str">
        <f t="shared" ca="1" si="241"/>
        <v/>
      </c>
      <c r="I2146" s="24" t="str">
        <f>IF(OR(E2146="",E2146="!!!",F2146="NEW"),"",INDEX(B$2:B2145,-1+SUMPRODUCT(MAX(ROW(E$2:E2145)*(E2146=E$2:E2145)))))</f>
        <v>SBJ_2</v>
      </c>
      <c r="J2146" s="24">
        <f ca="1">IF(OR(E2146="",E2146="!!!",F2146="NEW"),"",COUNTBLANK(OFFSET(A$1,,,SUMPRODUCT(MAX(ROW(E$2:E2146)*(E2146=E$2:E2146)))))-COUNTBLANK(OFFSET(A$1,,,SUMPRODUCT(MAX(ROW(E$1:E2145)*(E2=E$1:E2145))))))</f>
        <v>0</v>
      </c>
      <c r="K2146" s="24">
        <f ca="1">IF(OR(E2146="",E2146="!!!",F2146="NEW"),"",INDEX(J$1:J2145,SUMPRODUCT(MAX(ROW(E$1:E2145)*(E2146=E$1:E2145)))))</f>
        <v>0</v>
      </c>
      <c r="L2146" s="25"/>
    </row>
    <row r="2147" spans="1:12" x14ac:dyDescent="0.2">
      <c r="A2147" t="s">
        <v>821</v>
      </c>
      <c r="E2147" s="20" t="str">
        <f t="shared" si="240"/>
        <v/>
      </c>
      <c r="F2147" s="21" t="str">
        <f>IF(OR(E2147="",E2147="!!!"),"",IF(NOT(ISNA(VLOOKUP(E2147,E$1:E2146,1,FALSE()))),"OLD",IF(AND(E2147&lt;&gt;"",E2147&lt;&gt;"!!!"),"NEW","")))</f>
        <v/>
      </c>
      <c r="G2147" s="22" t="str">
        <f>IF(OR(E2147="",E2147="!!!"),"",IF(OR(J2147=0,AND(J2147=1,K2147=1),AND(J2147=1,I2147="SBJ"),AND(J2147=1,I2147=0)),"?IN_FOCUS",IF(J2147&lt;=2,"?ACTIVATED",IF(J2147&lt;&gt;"","?FAMILIAR",IF(F2147="NEW",IF(ISNA(VLOOKUP(E2147,#REF!,1,FALSE())),"?TYPE_IDENTIFIABLE","?REFERENTIAL"),"_")))))</f>
        <v/>
      </c>
      <c r="H2147" s="23" t="str">
        <f t="shared" ca="1" si="241"/>
        <v/>
      </c>
      <c r="I2147" s="24" t="str">
        <f>IF(OR(E2147="",E2147="!!!",F2147="NEW"),"",INDEX(B$2:B2146,-1+SUMPRODUCT(MAX(ROW(E$2:E2146)*(E2147=E$2:E2146)))))</f>
        <v/>
      </c>
      <c r="J2147" s="24" t="str">
        <f ca="1">IF(OR(E2147="",E2147="!!!",F2147="NEW"),"",COUNTBLANK(OFFSET(A$1,,,SUMPRODUCT(MAX(ROW(E$2:E2147)*(E2147=E$2:E2147)))))-COUNTBLANK(OFFSET(A$1,,,SUMPRODUCT(MAX(ROW(E$1:E2146)*(E2=E$1:E2146))))))</f>
        <v/>
      </c>
      <c r="K2147" s="24" t="str">
        <f>IF(OR(E2147="",E2147="!!!",F2147="NEW"),"",INDEX(J$1:J2146,SUMPRODUCT(MAX(ROW(E$1:E2146)*(E2147=E$1:E2146)))))</f>
        <v/>
      </c>
      <c r="L2147" s="25"/>
    </row>
    <row r="2148" spans="1:12" x14ac:dyDescent="0.2">
      <c r="A2148" t="s">
        <v>902</v>
      </c>
      <c r="E2148" s="20" t="str">
        <f t="shared" si="240"/>
        <v/>
      </c>
      <c r="F2148" s="21" t="str">
        <f>IF(OR(E2148="",E2148="!!!"),"",IF(NOT(ISNA(VLOOKUP(E2148,E$1:E2147,1,FALSE()))),"OLD",IF(AND(E2148&lt;&gt;"",E2148&lt;&gt;"!!!"),"NEW","")))</f>
        <v/>
      </c>
      <c r="G2148" s="22" t="str">
        <f>IF(OR(E2148="",E2148="!!!"),"",IF(OR(J2148=0,AND(J2148=1,K2148=1),AND(J2148=1,I2148="SBJ"),AND(J2148=1,I2148=0)),"?IN_FOCUS",IF(J2148&lt;=2,"?ACTIVATED",IF(J2148&lt;&gt;"","?FAMILIAR",IF(F2148="NEW",IF(ISNA(VLOOKUP(E2148,#REF!,1,FALSE())),"?TYPE_IDENTIFIABLE","?REFERENTIAL"),"_")))))</f>
        <v/>
      </c>
      <c r="H2148" s="23" t="str">
        <f t="shared" ca="1" si="241"/>
        <v/>
      </c>
      <c r="I2148" s="24" t="str">
        <f>IF(OR(E2148="",E2148="!!!",F2148="NEW"),"",INDEX(B$2:B2147,-1+SUMPRODUCT(MAX(ROW(E$2:E2147)*(E2148=E$2:E2147)))))</f>
        <v/>
      </c>
      <c r="J2148" s="24" t="str">
        <f ca="1">IF(OR(E2148="",E2148="!!!",F2148="NEW"),"",COUNTBLANK(OFFSET(A$1,,,SUMPRODUCT(MAX(ROW(E$2:E2148)*(E2148=E$2:E2148)))))-COUNTBLANK(OFFSET(A$1,,,SUMPRODUCT(MAX(ROW(E$1:E2147)*(E2=E$1:E2147))))))</f>
        <v/>
      </c>
      <c r="K2148" s="24" t="str">
        <f>IF(OR(E2148="",E2148="!!!",F2148="NEW"),"",INDEX(J$1:J2147,SUMPRODUCT(MAX(ROW(E$1:E2147)*(E2148=E$1:E2147)))))</f>
        <v/>
      </c>
      <c r="L2148" s="25"/>
    </row>
    <row r="2150" spans="1:12" x14ac:dyDescent="0.2">
      <c r="A2150" t="s">
        <v>1475</v>
      </c>
    </row>
    <row r="2151" spans="1:12" x14ac:dyDescent="0.2">
      <c r="A2151" t="s">
        <v>1304</v>
      </c>
      <c r="E2151" s="20" t="str">
        <f t="shared" ref="E2151:E2180" si="242">IF(D2151="?OLD","!!!","")</f>
        <v/>
      </c>
      <c r="F2151" s="21" t="str">
        <f>IF(OR(E2151="",E2151="!!!"),"",IF(NOT(ISNA(VLOOKUP(E2151,E$1:E2150,1,FALSE()))),"OLD",IF(AND(E2151&lt;&gt;"",E2151&lt;&gt;"!!!"),"NEW","")))</f>
        <v/>
      </c>
      <c r="G2151" s="22" t="str">
        <f>IF(OR(E2151="",E2151="!!!"),"",IF(OR(J2151=0,AND(J2151=1,K2151=1),AND(J2151=1,I2151="SBJ"),AND(J2151=1,I2151=0)),"?IN_FOCUS",IF(J2151&lt;=2,"?ACTIVATED",IF(J2151&lt;&gt;"","?FAMILIAR",IF(F2151="NEW",IF(ISNA(VLOOKUP(E2151,#REF!,1,FALSE())),"?TYPE_IDENTIFIABLE","?REFERENTIAL"),"_")))))</f>
        <v/>
      </c>
      <c r="H2151" s="23" t="str">
        <f t="shared" ref="H2151:H2180" ca="1" si="243">IF(J2151&lt;&gt;1,"",IF(I2151="SBJ","CB","?"))</f>
        <v/>
      </c>
      <c r="I2151" s="24" t="str">
        <f>IF(OR(E2151="",E2151="!!!",F2151="NEW"),"",INDEX(B$2:B2150,-1+SUMPRODUCT(MAX(ROW(E$2:E2150)*(E2151=E$2:E2150)))))</f>
        <v/>
      </c>
      <c r="J2151" s="24" t="str">
        <f ca="1">IF(OR(E2151="",E2151="!!!",F2151="NEW"),"",COUNTBLANK(OFFSET(A$1,,,SUMPRODUCT(MAX(ROW(E$2:E2151)*(E2151=E$2:E2151)))))-COUNTBLANK(OFFSET(A$1,,,SUMPRODUCT(MAX(ROW(E$1:E2150)*(E2=E$1:E2150))))))</f>
        <v/>
      </c>
      <c r="K2151" s="24" t="str">
        <f>IF(OR(E2151="",E2151="!!!",F2151="NEW"),"",INDEX(J$1:J2150,SUMPRODUCT(MAX(ROW(E$1:E2150)*(E2151=E$1:E2150)))))</f>
        <v/>
      </c>
      <c r="L2151" s="25"/>
    </row>
    <row r="2152" spans="1:12" x14ac:dyDescent="0.2">
      <c r="A2152" t="s">
        <v>802</v>
      </c>
      <c r="E2152" s="20" t="str">
        <f t="shared" si="242"/>
        <v/>
      </c>
      <c r="F2152" s="21" t="str">
        <f>IF(OR(E2152="",E2152="!!!"),"",IF(NOT(ISNA(VLOOKUP(E2152,E$1:E2151,1,FALSE()))),"OLD",IF(AND(E2152&lt;&gt;"",E2152&lt;&gt;"!!!"),"NEW","")))</f>
        <v/>
      </c>
      <c r="G2152" s="22" t="str">
        <f>IF(OR(E2152="",E2152="!!!"),"",IF(OR(J2152=0,AND(J2152=1,K2152=1),AND(J2152=1,I2152="SBJ"),AND(J2152=1,I2152=0)),"?IN_FOCUS",IF(J2152&lt;=2,"?ACTIVATED",IF(J2152&lt;&gt;"","?FAMILIAR",IF(F2152="NEW",IF(ISNA(VLOOKUP(E2152,#REF!,1,FALSE())),"?TYPE_IDENTIFIABLE","?REFERENTIAL"),"_")))))</f>
        <v/>
      </c>
      <c r="H2152" s="23" t="str">
        <f t="shared" ca="1" si="243"/>
        <v/>
      </c>
      <c r="I2152" s="24" t="str">
        <f>IF(OR(E2152="",E2152="!!!",F2152="NEW"),"",INDEX(B$2:B2151,-1+SUMPRODUCT(MAX(ROW(E$2:E2151)*(E2152=E$2:E2151)))))</f>
        <v/>
      </c>
      <c r="J2152" s="24" t="str">
        <f ca="1">IF(OR(E2152="",E2152="!!!",F2152="NEW"),"",COUNTBLANK(OFFSET(A$1,,,SUMPRODUCT(MAX(ROW(E$2:E2152)*(E2152=E$2:E2152)))))-COUNTBLANK(OFFSET(A$1,,,SUMPRODUCT(MAX(ROW(E$1:E2151)*(E2=E$1:E2151))))))</f>
        <v/>
      </c>
      <c r="K2152" s="24" t="str">
        <f>IF(OR(E2152="",E2152="!!!",F2152="NEW"),"",INDEX(J$1:J2151,SUMPRODUCT(MAX(ROW(E$1:E2151)*(E2152=E$1:E2151)))))</f>
        <v/>
      </c>
      <c r="L2152" s="25"/>
    </row>
    <row r="2153" spans="1:12" x14ac:dyDescent="0.2">
      <c r="A2153" t="s">
        <v>544</v>
      </c>
      <c r="E2153" s="20" t="str">
        <f t="shared" si="242"/>
        <v/>
      </c>
      <c r="F2153" s="21" t="str">
        <f>IF(OR(E2153="",E2153="!!!"),"",IF(NOT(ISNA(VLOOKUP(E2153,E$1:E2152,1,FALSE()))),"OLD",IF(AND(E2153&lt;&gt;"",E2153&lt;&gt;"!!!"),"NEW","")))</f>
        <v/>
      </c>
      <c r="G2153" s="22" t="str">
        <f>IF(OR(E2153="",E2153="!!!"),"",IF(OR(J2153=0,AND(J2153=1,K2153=1),AND(J2153=1,I2153="SBJ"),AND(J2153=1,I2153=0)),"?IN_FOCUS",IF(J2153&lt;=2,"?ACTIVATED",IF(J2153&lt;&gt;"","?FAMILIAR",IF(F2153="NEW",IF(ISNA(VLOOKUP(E2153,#REF!,1,FALSE())),"?TYPE_IDENTIFIABLE","?REFERENTIAL"),"_")))))</f>
        <v/>
      </c>
      <c r="H2153" s="23" t="str">
        <f t="shared" ca="1" si="243"/>
        <v/>
      </c>
      <c r="I2153" s="24" t="str">
        <f>IF(OR(E2153="",E2153="!!!",F2153="NEW"),"",INDEX(B$2:B2152,-1+SUMPRODUCT(MAX(ROW(E$2:E2152)*(E2153=E$2:E2152)))))</f>
        <v/>
      </c>
      <c r="J2153" s="24" t="str">
        <f ca="1">IF(OR(E2153="",E2153="!!!",F2153="NEW"),"",COUNTBLANK(OFFSET(A$1,,,SUMPRODUCT(MAX(ROW(E$2:E2153)*(E2153=E$2:E2153)))))-COUNTBLANK(OFFSET(A$1,,,SUMPRODUCT(MAX(ROW(E$1:E2152)*(E2=E$1:E2152))))))</f>
        <v/>
      </c>
      <c r="K2153" s="24" t="str">
        <f>IF(OR(E2153="",E2153="!!!",F2153="NEW"),"",INDEX(J$1:J2152,SUMPRODUCT(MAX(ROW(E$1:E2152)*(E2153=E$1:E2152)))))</f>
        <v/>
      </c>
      <c r="L2153" s="25"/>
    </row>
    <row r="2154" spans="1:12" x14ac:dyDescent="0.2">
      <c r="A2154" t="s">
        <v>187</v>
      </c>
      <c r="E2154" s="20" t="str">
        <f t="shared" si="242"/>
        <v/>
      </c>
      <c r="F2154" s="21" t="str">
        <f>IF(OR(E2154="",E2154="!!!"),"",IF(NOT(ISNA(VLOOKUP(E2154,E$1:E2153,1,FALSE()))),"OLD",IF(AND(E2154&lt;&gt;"",E2154&lt;&gt;"!!!"),"NEW","")))</f>
        <v/>
      </c>
      <c r="G2154" s="22" t="str">
        <f>IF(OR(E2154="",E2154="!!!"),"",IF(OR(J2154=0,AND(J2154=1,K2154=1),AND(J2154=1,I2154="SBJ"),AND(J2154=1,I2154=0)),"?IN_FOCUS",IF(J2154&lt;=2,"?ACTIVATED",IF(J2154&lt;&gt;"","?FAMILIAR",IF(F2154="NEW",IF(ISNA(VLOOKUP(E2154,#REF!,1,FALSE())),"?TYPE_IDENTIFIABLE","?REFERENTIAL"),"_")))))</f>
        <v/>
      </c>
      <c r="H2154" s="23" t="str">
        <f t="shared" ca="1" si="243"/>
        <v/>
      </c>
      <c r="I2154" s="24" t="str">
        <f>IF(OR(E2154="",E2154="!!!",F2154="NEW"),"",INDEX(B$2:B2153,-1+SUMPRODUCT(MAX(ROW(E$2:E2153)*(E2154=E$2:E2153)))))</f>
        <v/>
      </c>
      <c r="J2154" s="24" t="str">
        <f ca="1">IF(OR(E2154="",E2154="!!!",F2154="NEW"),"",COUNTBLANK(OFFSET(A$1,,,SUMPRODUCT(MAX(ROW(E$2:E2154)*(E2154=E$2:E2154)))))-COUNTBLANK(OFFSET(A$1,,,SUMPRODUCT(MAX(ROW(E$1:E2153)*(E2=E$1:E2153))))))</f>
        <v/>
      </c>
      <c r="K2154" s="24" t="str">
        <f>IF(OR(E2154="",E2154="!!!",F2154="NEW"),"",INDEX(J$1:J2153,SUMPRODUCT(MAX(ROW(E$1:E2153)*(E2154=E$1:E2153)))))</f>
        <v/>
      </c>
      <c r="L2154" s="25"/>
    </row>
    <row r="2155" spans="1:12" x14ac:dyDescent="0.2">
      <c r="A2155" t="s">
        <v>898</v>
      </c>
      <c r="B2155" s="26" t="s">
        <v>810</v>
      </c>
      <c r="C2155" s="26" t="s">
        <v>805</v>
      </c>
      <c r="D2155" s="26" t="s">
        <v>806</v>
      </c>
      <c r="E2155" s="20" t="s">
        <v>1775</v>
      </c>
      <c r="F2155" s="21" t="str">
        <f>IF(OR(E2155="",E2155="!!!"),"",IF(NOT(ISNA(VLOOKUP(E2155,E$1:E2154,1,FALSE()))),"OLD",IF(AND(E2155&lt;&gt;"",E2155&lt;&gt;"!!!"),"NEW","")))</f>
        <v>OLD</v>
      </c>
      <c r="G2155" s="22" t="s">
        <v>1823</v>
      </c>
      <c r="H2155" s="23" t="str">
        <f t="shared" ca="1" si="243"/>
        <v/>
      </c>
      <c r="I2155" s="24" t="str">
        <f>IF(OR(E2155="",E2155="!!!",F2155="NEW"),"",INDEX(B$2:B2154,-1+SUMPRODUCT(MAX(ROW(E$2:E2154)*(E2155=E$2:E2154)))))</f>
        <v>OBJ</v>
      </c>
      <c r="J2155" s="24">
        <f ca="1">IF(OR(E2155="",E2155="!!!",F2155="NEW"),"",COUNTBLANK(OFFSET(A$1,,,SUMPRODUCT(MAX(ROW(E$2:E2155)*(E2155=E$2:E2155)))))-COUNTBLANK(OFFSET(A$1,,,SUMPRODUCT(MAX(ROW(E$1:E2154)*(E2=E$1:E2154))))))</f>
        <v>0</v>
      </c>
      <c r="K2155" s="24">
        <f ca="1">IF(OR(E2155="",E2155="!!!",F2155="NEW"),"",INDEX(J$1:J2154,SUMPRODUCT(MAX(ROW(E$1:E2154)*(E2155=E$1:E2154)))))</f>
        <v>0</v>
      </c>
      <c r="L2155" s="25"/>
    </row>
    <row r="2156" spans="1:12" x14ac:dyDescent="0.2">
      <c r="A2156" t="s">
        <v>1476</v>
      </c>
      <c r="E2156" s="20" t="str">
        <f t="shared" si="242"/>
        <v/>
      </c>
      <c r="F2156" s="21" t="str">
        <f>IF(OR(E2156="",E2156="!!!"),"",IF(NOT(ISNA(VLOOKUP(E2156,E$1:E2155,1,FALSE()))),"OLD",IF(AND(E2156&lt;&gt;"",E2156&lt;&gt;"!!!"),"NEW","")))</f>
        <v/>
      </c>
      <c r="G2156" s="22" t="str">
        <f>IF(OR(E2156="",E2156="!!!"),"",IF(OR(J2156=0,AND(J2156=1,K2156=1),AND(J2156=1,I2156="SBJ"),AND(J2156=1,I2156=0)),"?IN_FOCUS",IF(J2156&lt;=2,"?ACTIVATED",IF(J2156&lt;&gt;"","?FAMILIAR",IF(F2156="NEW",IF(ISNA(VLOOKUP(E2156,#REF!,1,FALSE())),"?TYPE_IDENTIFIABLE","?REFERENTIAL"),"_")))))</f>
        <v/>
      </c>
      <c r="H2156" s="23" t="str">
        <f t="shared" ca="1" si="243"/>
        <v/>
      </c>
      <c r="I2156" s="24" t="str">
        <f>IF(OR(E2156="",E2156="!!!",F2156="NEW"),"",INDEX(B$2:B2155,-1+SUMPRODUCT(MAX(ROW(E$2:E2155)*(E2156=E$2:E2155)))))</f>
        <v/>
      </c>
      <c r="J2156" s="24" t="str">
        <f ca="1">IF(OR(E2156="",E2156="!!!",F2156="NEW"),"",COUNTBLANK(OFFSET(A$1,,,SUMPRODUCT(MAX(ROW(E$2:E2156)*(E2156=E$2:E2156)))))-COUNTBLANK(OFFSET(A$1,,,SUMPRODUCT(MAX(ROW(E$1:E2155)*(E2=E$1:E2155))))))</f>
        <v/>
      </c>
      <c r="K2156" s="24" t="str">
        <f>IF(OR(E2156="",E2156="!!!",F2156="NEW"),"",INDEX(J$1:J2155,SUMPRODUCT(MAX(ROW(E$1:E2155)*(E2156=E$1:E2155)))))</f>
        <v/>
      </c>
      <c r="L2156" s="25"/>
    </row>
    <row r="2157" spans="1:12" x14ac:dyDescent="0.2">
      <c r="A2157" t="s">
        <v>839</v>
      </c>
      <c r="E2157" s="20" t="str">
        <f t="shared" si="242"/>
        <v/>
      </c>
      <c r="F2157" s="21" t="str">
        <f>IF(OR(E2157="",E2157="!!!"),"",IF(NOT(ISNA(VLOOKUP(E2157,E$1:E2156,1,FALSE()))),"OLD",IF(AND(E2157&lt;&gt;"",E2157&lt;&gt;"!!!"),"NEW","")))</f>
        <v/>
      </c>
      <c r="G2157" s="22" t="str">
        <f>IF(OR(E2157="",E2157="!!!"),"",IF(OR(J2157=0,AND(J2157=1,K2157=1),AND(J2157=1,I2157="SBJ"),AND(J2157=1,I2157=0)),"?IN_FOCUS",IF(J2157&lt;=2,"?ACTIVATED",IF(J2157&lt;&gt;"","?FAMILIAR",IF(F2157="NEW",IF(ISNA(VLOOKUP(E2157,#REF!,1,FALSE())),"?TYPE_IDENTIFIABLE","?REFERENTIAL"),"_")))))</f>
        <v/>
      </c>
      <c r="H2157" s="23" t="str">
        <f t="shared" ca="1" si="243"/>
        <v/>
      </c>
      <c r="I2157" s="24" t="str">
        <f>IF(OR(E2157="",E2157="!!!",F2157="NEW"),"",INDEX(B$2:B2156,-1+SUMPRODUCT(MAX(ROW(E$2:E2156)*(E2157=E$2:E2156)))))</f>
        <v/>
      </c>
      <c r="J2157" s="24" t="str">
        <f ca="1">IF(OR(E2157="",E2157="!!!",F2157="NEW"),"",COUNTBLANK(OFFSET(A$1,,,SUMPRODUCT(MAX(ROW(E$2:E2157)*(E2157=E$2:E2157)))))-COUNTBLANK(OFFSET(A$1,,,SUMPRODUCT(MAX(ROW(E$1:E2156)*(E2=E$1:E2156))))))</f>
        <v/>
      </c>
      <c r="K2157" s="24" t="str">
        <f>IF(OR(E2157="",E2157="!!!",F2157="NEW"),"",INDEX(J$1:J2156,SUMPRODUCT(MAX(ROW(E$1:E2156)*(E2157=E$1:E2156)))))</f>
        <v/>
      </c>
      <c r="L2157" s="25"/>
    </row>
    <row r="2158" spans="1:12" x14ac:dyDescent="0.2">
      <c r="A2158" t="s">
        <v>809</v>
      </c>
      <c r="E2158" s="20" t="str">
        <f t="shared" si="242"/>
        <v/>
      </c>
      <c r="F2158" s="21" t="str">
        <f>IF(OR(E2158="",E2158="!!!"),"",IF(NOT(ISNA(VLOOKUP(E2158,E$1:E2157,1,FALSE()))),"OLD",IF(AND(E2158&lt;&gt;"",E2158&lt;&gt;"!!!"),"NEW","")))</f>
        <v/>
      </c>
      <c r="G2158" s="22" t="str">
        <f>IF(OR(E2158="",E2158="!!!"),"",IF(OR(J2158=0,AND(J2158=1,K2158=1),AND(J2158=1,I2158="SBJ"),AND(J2158=1,I2158=0)),"?IN_FOCUS",IF(J2158&lt;=2,"?ACTIVATED",IF(J2158&lt;&gt;"","?FAMILIAR",IF(F2158="NEW",IF(ISNA(VLOOKUP(E2158,#REF!,1,FALSE())),"?TYPE_IDENTIFIABLE","?REFERENTIAL"),"_")))))</f>
        <v/>
      </c>
      <c r="H2158" s="23" t="str">
        <f t="shared" ca="1" si="243"/>
        <v/>
      </c>
      <c r="I2158" s="24" t="str">
        <f>IF(OR(E2158="",E2158="!!!",F2158="NEW"),"",INDEX(B$2:B2157,-1+SUMPRODUCT(MAX(ROW(E$2:E2157)*(E2158=E$2:E2157)))))</f>
        <v/>
      </c>
      <c r="J2158" s="24" t="str">
        <f ca="1">IF(OR(E2158="",E2158="!!!",F2158="NEW"),"",COUNTBLANK(OFFSET(A$1,,,SUMPRODUCT(MAX(ROW(E$2:E2158)*(E2158=E$2:E2158)))))-COUNTBLANK(OFFSET(A$1,,,SUMPRODUCT(MAX(ROW(E$1:E2157)*(E2=E$1:E2157))))))</f>
        <v/>
      </c>
      <c r="K2158" s="24" t="str">
        <f>IF(OR(E2158="",E2158="!!!",F2158="NEW"),"",INDEX(J$1:J2157,SUMPRODUCT(MAX(ROW(E$1:E2157)*(E2158=E$1:E2157)))))</f>
        <v/>
      </c>
      <c r="L2158" s="25"/>
    </row>
    <row r="2159" spans="1:12" x14ac:dyDescent="0.2">
      <c r="A2159" t="s">
        <v>530</v>
      </c>
      <c r="B2159" s="26" t="s">
        <v>810</v>
      </c>
      <c r="C2159" s="26" t="s">
        <v>811</v>
      </c>
      <c r="E2159" s="20" t="str">
        <f t="shared" si="242"/>
        <v/>
      </c>
      <c r="F2159" s="21" t="str">
        <f>IF(OR(E2159="",E2159="!!!"),"",IF(NOT(ISNA(VLOOKUP(E2159,E$1:E2158,1,FALSE()))),"OLD",IF(AND(E2159&lt;&gt;"",E2159&lt;&gt;"!!!"),"NEW","")))</f>
        <v/>
      </c>
      <c r="G2159" s="22" t="str">
        <f>IF(OR(E2159="",E2159="!!!"),"",IF(OR(J2159=0,AND(J2159=1,K2159=1),AND(J2159=1,I2159="SBJ"),AND(J2159=1,I2159=0)),"?IN_FOCUS",IF(J2159&lt;=2,"?ACTIVATED",IF(J2159&lt;&gt;"","?FAMILIAR",IF(F2159="NEW",IF(ISNA(VLOOKUP(E2159,#REF!,1,FALSE())),"?TYPE_IDENTIFIABLE","?REFERENTIAL"),"_")))))</f>
        <v/>
      </c>
      <c r="H2159" s="23" t="str">
        <f t="shared" ca="1" si="243"/>
        <v/>
      </c>
      <c r="I2159" s="24" t="str">
        <f>IF(OR(E2159="",E2159="!!!",F2159="NEW"),"",INDEX(B$2:B2158,-1+SUMPRODUCT(MAX(ROW(E$2:E2158)*(E2159=E$2:E2158)))))</f>
        <v/>
      </c>
      <c r="J2159" s="24" t="str">
        <f ca="1">IF(OR(E2159="",E2159="!!!",F2159="NEW"),"",COUNTBLANK(OFFSET(A$1,,,SUMPRODUCT(MAX(ROW(E$2:E2159)*(E2159=E$2:E2159)))))-COUNTBLANK(OFFSET(A$1,,,SUMPRODUCT(MAX(ROW(E$1:E2158)*(E2=E$1:E2158))))))</f>
        <v/>
      </c>
      <c r="K2159" s="24" t="str">
        <f>IF(OR(E2159="",E2159="!!!",F2159="NEW"),"",INDEX(J$1:J2158,SUMPRODUCT(MAX(ROW(E$1:E2158)*(E2159=E$1:E2158)))))</f>
        <v/>
      </c>
      <c r="L2159" s="25"/>
    </row>
    <row r="2160" spans="1:12" x14ac:dyDescent="0.2">
      <c r="A2160" t="s">
        <v>1060</v>
      </c>
      <c r="B2160" s="26" t="s">
        <v>891</v>
      </c>
      <c r="E2160" s="20" t="str">
        <f t="shared" si="242"/>
        <v/>
      </c>
      <c r="F2160" s="21" t="str">
        <f>IF(OR(E2160="",E2160="!!!"),"",IF(NOT(ISNA(VLOOKUP(E2160,E$1:E2159,1,FALSE()))),"OLD",IF(AND(E2160&lt;&gt;"",E2160&lt;&gt;"!!!"),"NEW","")))</f>
        <v/>
      </c>
      <c r="G2160" s="22" t="str">
        <f>IF(OR(E2160="",E2160="!!!"),"",IF(OR(J2160=0,AND(J2160=1,K2160=1),AND(J2160=1,I2160="SBJ"),AND(J2160=1,I2160=0)),"?IN_FOCUS",IF(J2160&lt;=2,"?ACTIVATED",IF(J2160&lt;&gt;"","?FAMILIAR",IF(F2160="NEW",IF(ISNA(VLOOKUP(E2160,#REF!,1,FALSE())),"?TYPE_IDENTIFIABLE","?REFERENTIAL"),"_")))))</f>
        <v/>
      </c>
      <c r="H2160" s="23" t="str">
        <f t="shared" ca="1" si="243"/>
        <v/>
      </c>
      <c r="I2160" s="24" t="str">
        <f>IF(OR(E2160="",E2160="!!!",F2160="NEW"),"",INDEX(B$2:B2159,-1+SUMPRODUCT(MAX(ROW(E$2:E2159)*(E2160=E$2:E2159)))))</f>
        <v/>
      </c>
      <c r="J2160" s="24" t="str">
        <f ca="1">IF(OR(E2160="",E2160="!!!",F2160="NEW"),"",COUNTBLANK(OFFSET(A$1,,,SUMPRODUCT(MAX(ROW(E$2:E2160)*(E2160=E$2:E2160)))))-COUNTBLANK(OFFSET(A$1,,,SUMPRODUCT(MAX(ROW(E$1:E2159)*(E2=E$1:E2159))))))</f>
        <v/>
      </c>
      <c r="K2160" s="24" t="str">
        <f>IF(OR(E2160="",E2160="!!!",F2160="NEW"),"",INDEX(J$1:J2159,SUMPRODUCT(MAX(ROW(E$1:E2159)*(E2160=E$1:E2159)))))</f>
        <v/>
      </c>
      <c r="L2160" s="25"/>
    </row>
    <row r="2161" spans="1:12" x14ac:dyDescent="0.2">
      <c r="A2161" t="s">
        <v>998</v>
      </c>
      <c r="E2161" s="20" t="str">
        <f t="shared" si="242"/>
        <v/>
      </c>
      <c r="F2161" s="21" t="str">
        <f>IF(OR(E2161="",E2161="!!!"),"",IF(NOT(ISNA(VLOOKUP(E2161,E$1:E2160,1,FALSE()))),"OLD",IF(AND(E2161&lt;&gt;"",E2161&lt;&gt;"!!!"),"NEW","")))</f>
        <v/>
      </c>
      <c r="G2161" s="22" t="str">
        <f>IF(OR(E2161="",E2161="!!!"),"",IF(OR(J2161=0,AND(J2161=1,K2161=1),AND(J2161=1,I2161="SBJ"),AND(J2161=1,I2161=0)),"?IN_FOCUS",IF(J2161&lt;=2,"?ACTIVATED",IF(J2161&lt;&gt;"","?FAMILIAR",IF(F2161="NEW",IF(ISNA(VLOOKUP(E2161,#REF!,1,FALSE())),"?TYPE_IDENTIFIABLE","?REFERENTIAL"),"_")))))</f>
        <v/>
      </c>
      <c r="H2161" s="23" t="str">
        <f t="shared" ca="1" si="243"/>
        <v/>
      </c>
      <c r="I2161" s="24" t="str">
        <f>IF(OR(E2161="",E2161="!!!",F2161="NEW"),"",INDEX(B$2:B2160,-1+SUMPRODUCT(MAX(ROW(E$2:E2160)*(E2161=E$2:E2160)))))</f>
        <v/>
      </c>
      <c r="J2161" s="24" t="str">
        <f ca="1">IF(OR(E2161="",E2161="!!!",F2161="NEW"),"",COUNTBLANK(OFFSET(A$1,,,SUMPRODUCT(MAX(ROW(E$2:E2161)*(E2161=E$2:E2161)))))-COUNTBLANK(OFFSET(A$1,,,SUMPRODUCT(MAX(ROW(E$1:E2160)*(E2=E$1:E2160))))))</f>
        <v/>
      </c>
      <c r="K2161" s="24" t="str">
        <f>IF(OR(E2161="",E2161="!!!",F2161="NEW"),"",INDEX(J$1:J2160,SUMPRODUCT(MAX(ROW(E$1:E2160)*(E2161=E$1:E2160)))))</f>
        <v/>
      </c>
      <c r="L2161" s="25"/>
    </row>
    <row r="2162" spans="1:12" x14ac:dyDescent="0.2">
      <c r="A2162" t="s">
        <v>999</v>
      </c>
      <c r="E2162" s="20" t="str">
        <f t="shared" si="242"/>
        <v/>
      </c>
      <c r="F2162" s="21" t="str">
        <f>IF(OR(E2162="",E2162="!!!"),"",IF(NOT(ISNA(VLOOKUP(E2162,E$1:E2161,1,FALSE()))),"OLD",IF(AND(E2162&lt;&gt;"",E2162&lt;&gt;"!!!"),"NEW","")))</f>
        <v/>
      </c>
      <c r="G2162" s="22" t="str">
        <f>IF(OR(E2162="",E2162="!!!"),"",IF(OR(J2162=0,AND(J2162=1,K2162=1),AND(J2162=1,I2162="SBJ"),AND(J2162=1,I2162=0)),"?IN_FOCUS",IF(J2162&lt;=2,"?ACTIVATED",IF(J2162&lt;&gt;"","?FAMILIAR",IF(F2162="NEW",IF(ISNA(VLOOKUP(E2162,#REF!,1,FALSE())),"?TYPE_IDENTIFIABLE","?REFERENTIAL"),"_")))))</f>
        <v/>
      </c>
      <c r="H2162" s="23" t="str">
        <f t="shared" ca="1" si="243"/>
        <v/>
      </c>
      <c r="I2162" s="24" t="str">
        <f>IF(OR(E2162="",E2162="!!!",F2162="NEW"),"",INDEX(B$2:B2161,-1+SUMPRODUCT(MAX(ROW(E$2:E2161)*(E2162=E$2:E2161)))))</f>
        <v/>
      </c>
      <c r="J2162" s="24" t="str">
        <f ca="1">IF(OR(E2162="",E2162="!!!",F2162="NEW"),"",COUNTBLANK(OFFSET(A$1,,,SUMPRODUCT(MAX(ROW(E$2:E2162)*(E2162=E$2:E2162)))))-COUNTBLANK(OFFSET(A$1,,,SUMPRODUCT(MAX(ROW(E$1:E2161)*(E2=E$1:E2161))))))</f>
        <v/>
      </c>
      <c r="K2162" s="24" t="str">
        <f>IF(OR(E2162="",E2162="!!!",F2162="NEW"),"",INDEX(J$1:J2161,SUMPRODUCT(MAX(ROW(E$1:E2161)*(E2162=E$1:E2161)))))</f>
        <v/>
      </c>
      <c r="L2162" s="25"/>
    </row>
    <row r="2163" spans="1:12" x14ac:dyDescent="0.2">
      <c r="A2163" t="s">
        <v>152</v>
      </c>
      <c r="E2163" s="20" t="str">
        <f t="shared" si="242"/>
        <v/>
      </c>
      <c r="F2163" s="21" t="str">
        <f>IF(OR(E2163="",E2163="!!!"),"",IF(NOT(ISNA(VLOOKUP(E2163,E$1:E2162,1,FALSE()))),"OLD",IF(AND(E2163&lt;&gt;"",E2163&lt;&gt;"!!!"),"NEW","")))</f>
        <v/>
      </c>
      <c r="G2163" s="22" t="str">
        <f>IF(OR(E2163="",E2163="!!!"),"",IF(OR(J2163=0,AND(J2163=1,K2163=1),AND(J2163=1,I2163="SBJ"),AND(J2163=1,I2163=0)),"?IN_FOCUS",IF(J2163&lt;=2,"?ACTIVATED",IF(J2163&lt;&gt;"","?FAMILIAR",IF(F2163="NEW",IF(ISNA(VLOOKUP(E2163,#REF!,1,FALSE())),"?TYPE_IDENTIFIABLE","?REFERENTIAL"),"_")))))</f>
        <v/>
      </c>
      <c r="H2163" s="23" t="str">
        <f t="shared" ca="1" si="243"/>
        <v/>
      </c>
      <c r="I2163" s="24" t="str">
        <f>IF(OR(E2163="",E2163="!!!",F2163="NEW"),"",INDEX(B$2:B2162,-1+SUMPRODUCT(MAX(ROW(E$2:E2162)*(E2163=E$2:E2162)))))</f>
        <v/>
      </c>
      <c r="J2163" s="24" t="str">
        <f ca="1">IF(OR(E2163="",E2163="!!!",F2163="NEW"),"",COUNTBLANK(OFFSET(A$1,,,SUMPRODUCT(MAX(ROW(E$2:E2163)*(E2163=E$2:E2163)))))-COUNTBLANK(OFFSET(A$1,,,SUMPRODUCT(MAX(ROW(E$1:E2162)*(E2=E$1:E2162))))))</f>
        <v/>
      </c>
      <c r="K2163" s="24" t="str">
        <f>IF(OR(E2163="",E2163="!!!",F2163="NEW"),"",INDEX(J$1:J2162,SUMPRODUCT(MAX(ROW(E$1:E2162)*(E2163=E$1:E2162)))))</f>
        <v/>
      </c>
      <c r="L2163" s="25"/>
    </row>
    <row r="2164" spans="1:12" x14ac:dyDescent="0.2">
      <c r="A2164" t="s">
        <v>1401</v>
      </c>
      <c r="B2164" s="26" t="s">
        <v>899</v>
      </c>
      <c r="C2164" s="26" t="s">
        <v>817</v>
      </c>
      <c r="D2164" s="26" t="s">
        <v>806</v>
      </c>
      <c r="E2164" s="20"/>
      <c r="F2164" s="21" t="str">
        <f>IF(OR(E2164="",E2164="!!!"),"",IF(NOT(ISNA(VLOOKUP(E2164,E$1:E2163,1,FALSE()))),"OLD",IF(AND(E2164&lt;&gt;"",E2164&lt;&gt;"!!!"),"NEW","")))</f>
        <v/>
      </c>
      <c r="G2164" s="22" t="str">
        <f>IF(OR(E2164="",E2164="!!!"),"",IF(OR(J2164=0,AND(J2164=1,K2164=1),AND(J2164=1,I2164="SBJ"),AND(J2164=1,I2164=0)),"?IN_FOCUS",IF(J2164&lt;=2,"?ACTIVATED",IF(J2164&lt;&gt;"","?FAMILIAR",IF(F2164="NEW",IF(ISNA(VLOOKUP(E2164,#REF!,1,FALSE())),"?TYPE_IDENTIFIABLE","?REFERENTIAL"),"_")))))</f>
        <v/>
      </c>
      <c r="H2164" s="23" t="str">
        <f t="shared" ca="1" si="243"/>
        <v/>
      </c>
      <c r="I2164" s="24" t="str">
        <f>IF(OR(E2164="",E2164="!!!",F2164="NEW"),"",INDEX(B$2:B2163,-1+SUMPRODUCT(MAX(ROW(E$2:E2163)*(E2164=E$2:E2163)))))</f>
        <v/>
      </c>
      <c r="J2164" s="24" t="str">
        <f ca="1">IF(OR(E2164="",E2164="!!!",F2164="NEW"),"",COUNTBLANK(OFFSET(A$1,,,SUMPRODUCT(MAX(ROW(E$2:E2164)*(E2164=E$2:E2164)))))-COUNTBLANK(OFFSET(A$1,,,SUMPRODUCT(MAX(ROW(E$1:E2163)*(E2=E$1:E2163))))))</f>
        <v/>
      </c>
      <c r="K2164" s="24" t="str">
        <f>IF(OR(E2164="",E2164="!!!",F2164="NEW"),"",INDEX(J$1:J2163,SUMPRODUCT(MAX(ROW(E$1:E2163)*(E2164=E$1:E2163)))))</f>
        <v/>
      </c>
      <c r="L2164" s="25"/>
    </row>
    <row r="2165" spans="1:12" x14ac:dyDescent="0.2">
      <c r="A2165" t="s">
        <v>1402</v>
      </c>
      <c r="B2165" s="26" t="s">
        <v>871</v>
      </c>
      <c r="C2165" s="26" t="s">
        <v>820</v>
      </c>
      <c r="D2165" s="26" t="s">
        <v>806</v>
      </c>
      <c r="E2165" s="20" t="s">
        <v>1790</v>
      </c>
      <c r="F2165" s="21" t="str">
        <f>IF(OR(E2165="",E2165="!!!"),"",IF(NOT(ISNA(VLOOKUP(E2165,E$1:E2164,1,FALSE()))),"OLD",IF(AND(E2165&lt;&gt;"",E2165&lt;&gt;"!!!"),"NEW","")))</f>
        <v>OLD</v>
      </c>
      <c r="G2165" s="22" t="s">
        <v>1822</v>
      </c>
      <c r="H2165" s="23" t="str">
        <f t="shared" ca="1" si="243"/>
        <v/>
      </c>
      <c r="I2165" s="24" t="str">
        <f>IF(OR(E2165="",E2165="!!!",F2165="NEW"),"",INDEX(B$2:B2164,-1+SUMPRODUCT(MAX(ROW(E$2:E2164)*(E2165=E$2:E2164)))))</f>
        <v>other_2</v>
      </c>
      <c r="J2165" s="24">
        <f ca="1">IF(OR(E2165="",E2165="!!!",F2165="NEW"),"",COUNTBLANK(OFFSET(A$1,,,SUMPRODUCT(MAX(ROW(E$2:E2165)*(E2165=E$2:E2165)))))-COUNTBLANK(OFFSET(A$1,,,SUMPRODUCT(MAX(ROW(E$1:E2164)*(E2=E$1:E2164))))))</f>
        <v>0</v>
      </c>
      <c r="K2165" s="24">
        <f ca="1">IF(OR(E2165="",E2165="!!!",F2165="NEW"),"",INDEX(J$1:J2164,SUMPRODUCT(MAX(ROW(E$1:E2164)*(E2165=E$1:E2164)))))</f>
        <v>0</v>
      </c>
      <c r="L2165" s="25"/>
    </row>
    <row r="2166" spans="1:12" x14ac:dyDescent="0.2">
      <c r="A2166" t="s">
        <v>802</v>
      </c>
      <c r="E2166" s="20" t="str">
        <f t="shared" si="242"/>
        <v/>
      </c>
      <c r="F2166" s="21" t="str">
        <f>IF(OR(E2166="",E2166="!!!"),"",IF(NOT(ISNA(VLOOKUP(E2166,E$1:E2165,1,FALSE()))),"OLD",IF(AND(E2166&lt;&gt;"",E2166&lt;&gt;"!!!"),"NEW","")))</f>
        <v/>
      </c>
      <c r="G2166" s="22" t="str">
        <f>IF(OR(E2166="",E2166="!!!"),"",IF(OR(J2166=0,AND(J2166=1,K2166=1),AND(J2166=1,I2166="SBJ"),AND(J2166=1,I2166=0)),"?IN_FOCUS",IF(J2166&lt;=2,"?ACTIVATED",IF(J2166&lt;&gt;"","?FAMILIAR",IF(F2166="NEW",IF(ISNA(VLOOKUP(E2166,#REF!,1,FALSE())),"?TYPE_IDENTIFIABLE","?REFERENTIAL"),"_")))))</f>
        <v/>
      </c>
      <c r="H2166" s="23" t="str">
        <f t="shared" ca="1" si="243"/>
        <v/>
      </c>
      <c r="I2166" s="24" t="str">
        <f>IF(OR(E2166="",E2166="!!!",F2166="NEW"),"",INDEX(B$2:B2165,-1+SUMPRODUCT(MAX(ROW(E$2:E2165)*(E2166=E$2:E2165)))))</f>
        <v/>
      </c>
      <c r="J2166" s="24" t="str">
        <f ca="1">IF(OR(E2166="",E2166="!!!",F2166="NEW"),"",COUNTBLANK(OFFSET(A$1,,,SUMPRODUCT(MAX(ROW(E$2:E2166)*(E2166=E$2:E2166)))))-COUNTBLANK(OFFSET(A$1,,,SUMPRODUCT(MAX(ROW(E$1:E2165)*(E2=E$1:E2165))))))</f>
        <v/>
      </c>
      <c r="K2166" s="24" t="str">
        <f>IF(OR(E2166="",E2166="!!!",F2166="NEW"),"",INDEX(J$1:J2165,SUMPRODUCT(MAX(ROW(E$1:E2165)*(E2166=E$1:E2165)))))</f>
        <v/>
      </c>
      <c r="L2166" s="25"/>
    </row>
    <row r="2167" spans="1:12" x14ac:dyDescent="0.2">
      <c r="A2167" t="s">
        <v>888</v>
      </c>
      <c r="E2167" s="20" t="str">
        <f t="shared" si="242"/>
        <v/>
      </c>
      <c r="F2167" s="21" t="str">
        <f>IF(OR(E2167="",E2167="!!!"),"",IF(NOT(ISNA(VLOOKUP(E2167,E$1:E2166,1,FALSE()))),"OLD",IF(AND(E2167&lt;&gt;"",E2167&lt;&gt;"!!!"),"NEW","")))</f>
        <v/>
      </c>
      <c r="G2167" s="22" t="str">
        <f>IF(OR(E2167="",E2167="!!!"),"",IF(OR(J2167=0,AND(J2167=1,K2167=1),AND(J2167=1,I2167="SBJ"),AND(J2167=1,I2167=0)),"?IN_FOCUS",IF(J2167&lt;=2,"?ACTIVATED",IF(J2167&lt;&gt;"","?FAMILIAR",IF(F2167="NEW",IF(ISNA(VLOOKUP(E2167,#REF!,1,FALSE())),"?TYPE_IDENTIFIABLE","?REFERENTIAL"),"_")))))</f>
        <v/>
      </c>
      <c r="H2167" s="23" t="str">
        <f t="shared" ca="1" si="243"/>
        <v/>
      </c>
      <c r="I2167" s="24" t="str">
        <f>IF(OR(E2167="",E2167="!!!",F2167="NEW"),"",INDEX(B$2:B2166,-1+SUMPRODUCT(MAX(ROW(E$2:E2166)*(E2167=E$2:E2166)))))</f>
        <v/>
      </c>
      <c r="J2167" s="24" t="str">
        <f ca="1">IF(OR(E2167="",E2167="!!!",F2167="NEW"),"",COUNTBLANK(OFFSET(A$1,,,SUMPRODUCT(MAX(ROW(E$2:E2167)*(E2167=E$2:E2167)))))-COUNTBLANK(OFFSET(A$1,,,SUMPRODUCT(MAX(ROW(E$1:E2166)*(E2=E$1:E2166))))))</f>
        <v/>
      </c>
      <c r="K2167" s="24" t="str">
        <f>IF(OR(E2167="",E2167="!!!",F2167="NEW"),"",INDEX(J$1:J2166,SUMPRODUCT(MAX(ROW(E$1:E2166)*(E2167=E$1:E2166)))))</f>
        <v/>
      </c>
      <c r="L2167" s="25"/>
    </row>
    <row r="2168" spans="1:12" x14ac:dyDescent="0.2">
      <c r="A2168" t="s">
        <v>809</v>
      </c>
      <c r="E2168" s="20" t="str">
        <f t="shared" si="242"/>
        <v/>
      </c>
      <c r="F2168" s="21" t="str">
        <f>IF(OR(E2168="",E2168="!!!"),"",IF(NOT(ISNA(VLOOKUP(E2168,E$1:E2167,1,FALSE()))),"OLD",IF(AND(E2168&lt;&gt;"",E2168&lt;&gt;"!!!"),"NEW","")))</f>
        <v/>
      </c>
      <c r="G2168" s="22" t="str">
        <f>IF(OR(E2168="",E2168="!!!"),"",IF(OR(J2168=0,AND(J2168=1,K2168=1),AND(J2168=1,I2168="SBJ"),AND(J2168=1,I2168=0)),"?IN_FOCUS",IF(J2168&lt;=2,"?ACTIVATED",IF(J2168&lt;&gt;"","?FAMILIAR",IF(F2168="NEW",IF(ISNA(VLOOKUP(E2168,#REF!,1,FALSE())),"?TYPE_IDENTIFIABLE","?REFERENTIAL"),"_")))))</f>
        <v/>
      </c>
      <c r="H2168" s="23" t="str">
        <f t="shared" ca="1" si="243"/>
        <v/>
      </c>
      <c r="I2168" s="24" t="str">
        <f>IF(OR(E2168="",E2168="!!!",F2168="NEW"),"",INDEX(B$2:B2167,-1+SUMPRODUCT(MAX(ROW(E$2:E2167)*(E2168=E$2:E2167)))))</f>
        <v/>
      </c>
      <c r="J2168" s="24" t="str">
        <f ca="1">IF(OR(E2168="",E2168="!!!",F2168="NEW"),"",COUNTBLANK(OFFSET(A$1,,,SUMPRODUCT(MAX(ROW(E$2:E2168)*(E2168=E$2:E2168)))))-COUNTBLANK(OFFSET(A$1,,,SUMPRODUCT(MAX(ROW(E$1:E2167)*(E2=E$1:E2167))))))</f>
        <v/>
      </c>
      <c r="K2168" s="24" t="str">
        <f>IF(OR(E2168="",E2168="!!!",F2168="NEW"),"",INDEX(J$1:J2167,SUMPRODUCT(MAX(ROW(E$1:E2167)*(E2168=E$1:E2167)))))</f>
        <v/>
      </c>
      <c r="L2168" s="25"/>
    </row>
    <row r="2169" spans="1:12" x14ac:dyDescent="0.2">
      <c r="A2169" t="s">
        <v>530</v>
      </c>
      <c r="B2169" s="26" t="s">
        <v>819</v>
      </c>
      <c r="C2169" s="26" t="s">
        <v>811</v>
      </c>
      <c r="E2169" s="20" t="str">
        <f t="shared" si="242"/>
        <v/>
      </c>
      <c r="F2169" s="21" t="str">
        <f>IF(OR(E2169="",E2169="!!!"),"",IF(NOT(ISNA(VLOOKUP(E2169,E$1:E2168,1,FALSE()))),"OLD",IF(AND(E2169&lt;&gt;"",E2169&lt;&gt;"!!!"),"NEW","")))</f>
        <v/>
      </c>
      <c r="G2169" s="22" t="str">
        <f>IF(OR(E2169="",E2169="!!!"),"",IF(OR(J2169=0,AND(J2169=1,K2169=1),AND(J2169=1,I2169="SBJ"),AND(J2169=1,I2169=0)),"?IN_FOCUS",IF(J2169&lt;=2,"?ACTIVATED",IF(J2169&lt;&gt;"","?FAMILIAR",IF(F2169="NEW",IF(ISNA(VLOOKUP(E2169,#REF!,1,FALSE())),"?TYPE_IDENTIFIABLE","?REFERENTIAL"),"_")))))</f>
        <v/>
      </c>
      <c r="H2169" s="23" t="str">
        <f t="shared" ca="1" si="243"/>
        <v/>
      </c>
      <c r="I2169" s="24" t="str">
        <f>IF(OR(E2169="",E2169="!!!",F2169="NEW"),"",INDEX(B$2:B2168,-1+SUMPRODUCT(MAX(ROW(E$2:E2168)*(E2169=E$2:E2168)))))</f>
        <v/>
      </c>
      <c r="J2169" s="24" t="str">
        <f ca="1">IF(OR(E2169="",E2169="!!!",F2169="NEW"),"",COUNTBLANK(OFFSET(A$1,,,SUMPRODUCT(MAX(ROW(E$2:E2169)*(E2169=E$2:E2169)))))-COUNTBLANK(OFFSET(A$1,,,SUMPRODUCT(MAX(ROW(E$1:E2168)*(E2=E$1:E2168))))))</f>
        <v/>
      </c>
      <c r="K2169" s="24" t="str">
        <f>IF(OR(E2169="",E2169="!!!",F2169="NEW"),"",INDEX(J$1:J2168,SUMPRODUCT(MAX(ROW(E$1:E2168)*(E2169=E$1:E2168)))))</f>
        <v/>
      </c>
      <c r="L2169" s="25"/>
    </row>
    <row r="2170" spans="1:12" x14ac:dyDescent="0.2">
      <c r="A2170" t="s">
        <v>1060</v>
      </c>
      <c r="B2170" s="26" t="s">
        <v>891</v>
      </c>
      <c r="E2170" s="20" t="str">
        <f t="shared" si="242"/>
        <v/>
      </c>
      <c r="F2170" s="21" t="str">
        <f>IF(OR(E2170="",E2170="!!!"),"",IF(NOT(ISNA(VLOOKUP(E2170,E$1:E2169,1,FALSE()))),"OLD",IF(AND(E2170&lt;&gt;"",E2170&lt;&gt;"!!!"),"NEW","")))</f>
        <v/>
      </c>
      <c r="G2170" s="22" t="str">
        <f>IF(OR(E2170="",E2170="!!!"),"",IF(OR(J2170=0,AND(J2170=1,K2170=1),AND(J2170=1,I2170="SBJ"),AND(J2170=1,I2170=0)),"?IN_FOCUS",IF(J2170&lt;=2,"?ACTIVATED",IF(J2170&lt;&gt;"","?FAMILIAR",IF(F2170="NEW",IF(ISNA(VLOOKUP(E2170,#REF!,1,FALSE())),"?TYPE_IDENTIFIABLE","?REFERENTIAL"),"_")))))</f>
        <v/>
      </c>
      <c r="H2170" s="23" t="str">
        <f t="shared" ca="1" si="243"/>
        <v/>
      </c>
      <c r="I2170" s="24" t="str">
        <f>IF(OR(E2170="",E2170="!!!",F2170="NEW"),"",INDEX(B$2:B2169,-1+SUMPRODUCT(MAX(ROW(E$2:E2169)*(E2170=E$2:E2169)))))</f>
        <v/>
      </c>
      <c r="J2170" s="24" t="str">
        <f ca="1">IF(OR(E2170="",E2170="!!!",F2170="NEW"),"",COUNTBLANK(OFFSET(A$1,,,SUMPRODUCT(MAX(ROW(E$2:E2170)*(E2170=E$2:E2170)))))-COUNTBLANK(OFFSET(A$1,,,SUMPRODUCT(MAX(ROW(E$1:E2169)*(E2=E$1:E2169))))))</f>
        <v/>
      </c>
      <c r="K2170" s="24" t="str">
        <f>IF(OR(E2170="",E2170="!!!",F2170="NEW"),"",INDEX(J$1:J2169,SUMPRODUCT(MAX(ROW(E$1:E2169)*(E2170=E$1:E2169)))))</f>
        <v/>
      </c>
      <c r="L2170" s="25"/>
    </row>
    <row r="2171" spans="1:12" x14ac:dyDescent="0.2">
      <c r="A2171" t="s">
        <v>1477</v>
      </c>
      <c r="E2171" s="20" t="str">
        <f t="shared" si="242"/>
        <v/>
      </c>
      <c r="F2171" s="21" t="str">
        <f>IF(OR(E2171="",E2171="!!!"),"",IF(NOT(ISNA(VLOOKUP(E2171,E$1:E2170,1,FALSE()))),"OLD",IF(AND(E2171&lt;&gt;"",E2171&lt;&gt;"!!!"),"NEW","")))</f>
        <v/>
      </c>
      <c r="G2171" s="22" t="str">
        <f>IF(OR(E2171="",E2171="!!!"),"",IF(OR(J2171=0,AND(J2171=1,K2171=1),AND(J2171=1,I2171="SBJ"),AND(J2171=1,I2171=0)),"?IN_FOCUS",IF(J2171&lt;=2,"?ACTIVATED",IF(J2171&lt;&gt;"","?FAMILIAR",IF(F2171="NEW",IF(ISNA(VLOOKUP(E2171,#REF!,1,FALSE())),"?TYPE_IDENTIFIABLE","?REFERENTIAL"),"_")))))</f>
        <v/>
      </c>
      <c r="H2171" s="23" t="str">
        <f t="shared" ca="1" si="243"/>
        <v/>
      </c>
      <c r="I2171" s="24" t="str">
        <f>IF(OR(E2171="",E2171="!!!",F2171="NEW"),"",INDEX(B$2:B2170,-1+SUMPRODUCT(MAX(ROW(E$2:E2170)*(E2171=E$2:E2170)))))</f>
        <v/>
      </c>
      <c r="J2171" s="24" t="str">
        <f ca="1">IF(OR(E2171="",E2171="!!!",F2171="NEW"),"",COUNTBLANK(OFFSET(A$1,,,SUMPRODUCT(MAX(ROW(E$2:E2171)*(E2171=E$2:E2171)))))-COUNTBLANK(OFFSET(A$1,,,SUMPRODUCT(MAX(ROW(E$1:E2170)*(E2=E$1:E2170))))))</f>
        <v/>
      </c>
      <c r="K2171" s="24" t="str">
        <f>IF(OR(E2171="",E2171="!!!",F2171="NEW"),"",INDEX(J$1:J2170,SUMPRODUCT(MAX(ROW(E$1:E2170)*(E2171=E$1:E2170)))))</f>
        <v/>
      </c>
      <c r="L2171" s="25"/>
    </row>
    <row r="2172" spans="1:12" x14ac:dyDescent="0.2">
      <c r="A2172" t="s">
        <v>1401</v>
      </c>
      <c r="B2172" s="26" t="s">
        <v>899</v>
      </c>
      <c r="C2172" s="26" t="s">
        <v>817</v>
      </c>
      <c r="D2172" s="26" t="s">
        <v>806</v>
      </c>
      <c r="E2172" s="20"/>
      <c r="F2172" s="21" t="str">
        <f>IF(OR(E2172="",E2172="!!!"),"",IF(NOT(ISNA(VLOOKUP(E2172,E$1:E2171,1,FALSE()))),"OLD",IF(AND(E2172&lt;&gt;"",E2172&lt;&gt;"!!!"),"NEW","")))</f>
        <v/>
      </c>
      <c r="G2172" s="22" t="str">
        <f>IF(OR(E2172="",E2172="!!!"),"",IF(OR(J2172=0,AND(J2172=1,K2172=1),AND(J2172=1,I2172="SBJ"),AND(J2172=1,I2172=0)),"?IN_FOCUS",IF(J2172&lt;=2,"?ACTIVATED",IF(J2172&lt;&gt;"","?FAMILIAR",IF(F2172="NEW",IF(ISNA(VLOOKUP(E2172,#REF!,1,FALSE())),"?TYPE_IDENTIFIABLE","?REFERENTIAL"),"_")))))</f>
        <v/>
      </c>
      <c r="H2172" s="23" t="str">
        <f t="shared" ca="1" si="243"/>
        <v/>
      </c>
      <c r="I2172" s="24" t="str">
        <f>IF(OR(E2172="",E2172="!!!",F2172="NEW"),"",INDEX(B$2:B2171,-1+SUMPRODUCT(MAX(ROW(E$2:E2171)*(E2172=E$2:E2171)))))</f>
        <v/>
      </c>
      <c r="J2172" s="24" t="str">
        <f ca="1">IF(OR(E2172="",E2172="!!!",F2172="NEW"),"",COUNTBLANK(OFFSET(A$1,,,SUMPRODUCT(MAX(ROW(E$2:E2172)*(E2172=E$2:E2172)))))-COUNTBLANK(OFFSET(A$1,,,SUMPRODUCT(MAX(ROW(E$1:E2171)*(E2=E$1:E2171))))))</f>
        <v/>
      </c>
      <c r="K2172" s="24" t="str">
        <f>IF(OR(E2172="",E2172="!!!",F2172="NEW"),"",INDEX(J$1:J2171,SUMPRODUCT(MAX(ROW(E$1:E2171)*(E2172=E$1:E2171)))))</f>
        <v/>
      </c>
      <c r="L2172" s="25"/>
    </row>
    <row r="2173" spans="1:12" x14ac:dyDescent="0.2">
      <c r="A2173" t="s">
        <v>1413</v>
      </c>
      <c r="B2173" s="26" t="s">
        <v>871</v>
      </c>
      <c r="C2173" s="26" t="s">
        <v>820</v>
      </c>
      <c r="D2173" s="26" t="s">
        <v>806</v>
      </c>
      <c r="E2173" s="20" t="s">
        <v>1413</v>
      </c>
      <c r="F2173" s="21" t="str">
        <f>IF(OR(E2173="",E2173="!!!"),"",IF(NOT(ISNA(VLOOKUP(E2173,E$1:E2172,1,FALSE()))),"OLD",IF(AND(E2173&lt;&gt;"",E2173&lt;&gt;"!!!"),"NEW","")))</f>
        <v>OLD</v>
      </c>
      <c r="G2173" s="22" t="s">
        <v>1825</v>
      </c>
      <c r="H2173" s="23" t="str">
        <f t="shared" ca="1" si="243"/>
        <v/>
      </c>
      <c r="I2173" s="24" t="str">
        <f>IF(OR(E2173="",E2173="!!!",F2173="NEW"),"",INDEX(B$2:B2172,-1+SUMPRODUCT(MAX(ROW(E$2:E2172)*(E2173=E$2:E2172)))))</f>
        <v>other</v>
      </c>
      <c r="J2173" s="24">
        <f ca="1">IF(OR(E2173="",E2173="!!!",F2173="NEW"),"",COUNTBLANK(OFFSET(A$1,,,SUMPRODUCT(MAX(ROW(E$2:E2173)*(E2173=E$2:E2173)))))-COUNTBLANK(OFFSET(A$1,,,SUMPRODUCT(MAX(ROW(E$1:E2172)*(E2=E$1:E2172))))))</f>
        <v>0</v>
      </c>
      <c r="K2173" s="24">
        <f ca="1">IF(OR(E2173="",E2173="!!!",F2173="NEW"),"",INDEX(J$1:J2172,SUMPRODUCT(MAX(ROW(E$1:E2172)*(E2173=E$1:E2172)))))</f>
        <v>0</v>
      </c>
      <c r="L2173" s="25"/>
    </row>
    <row r="2174" spans="1:12" x14ac:dyDescent="0.2">
      <c r="A2174" t="s">
        <v>844</v>
      </c>
      <c r="E2174" s="20" t="str">
        <f t="shared" si="242"/>
        <v/>
      </c>
      <c r="F2174" s="21" t="str">
        <f>IF(OR(E2174="",E2174="!!!"),"",IF(NOT(ISNA(VLOOKUP(E2174,E$1:E2173,1,FALSE()))),"OLD",IF(AND(E2174&lt;&gt;"",E2174&lt;&gt;"!!!"),"NEW","")))</f>
        <v/>
      </c>
      <c r="G2174" s="22" t="str">
        <f>IF(OR(E2174="",E2174="!!!"),"",IF(OR(J2174=0,AND(J2174=1,K2174=1),AND(J2174=1,I2174="SBJ"),AND(J2174=1,I2174=0)),"?IN_FOCUS",IF(J2174&lt;=2,"?ACTIVATED",IF(J2174&lt;&gt;"","?FAMILIAR",IF(F2174="NEW",IF(ISNA(VLOOKUP(E2174,#REF!,1,FALSE())),"?TYPE_IDENTIFIABLE","?REFERENTIAL"),"_")))))</f>
        <v/>
      </c>
      <c r="H2174" s="23" t="str">
        <f t="shared" ca="1" si="243"/>
        <v/>
      </c>
      <c r="I2174" s="24" t="str">
        <f>IF(OR(E2174="",E2174="!!!",F2174="NEW"),"",INDEX(B$2:B2173,-1+SUMPRODUCT(MAX(ROW(E$2:E2173)*(E2174=E$2:E2173)))))</f>
        <v/>
      </c>
      <c r="J2174" s="24" t="str">
        <f ca="1">IF(OR(E2174="",E2174="!!!",F2174="NEW"),"",COUNTBLANK(OFFSET(A$1,,,SUMPRODUCT(MAX(ROW(E$2:E2174)*(E2174=E$2:E2174)))))-COUNTBLANK(OFFSET(A$1,,,SUMPRODUCT(MAX(ROW(E$1:E2173)*(E2=E$1:E2173))))))</f>
        <v/>
      </c>
      <c r="K2174" s="24" t="str">
        <f>IF(OR(E2174="",E2174="!!!",F2174="NEW"),"",INDEX(J$1:J2173,SUMPRODUCT(MAX(ROW(E$1:E2173)*(E2174=E$1:E2173)))))</f>
        <v/>
      </c>
      <c r="L2174" s="25"/>
    </row>
    <row r="2175" spans="1:12" x14ac:dyDescent="0.2">
      <c r="A2175" t="s">
        <v>845</v>
      </c>
      <c r="E2175" s="20" t="str">
        <f t="shared" si="242"/>
        <v/>
      </c>
      <c r="F2175" s="21" t="str">
        <f>IF(OR(E2175="",E2175="!!!"),"",IF(NOT(ISNA(VLOOKUP(E2175,E$1:E2174,1,FALSE()))),"OLD",IF(AND(E2175&lt;&gt;"",E2175&lt;&gt;"!!!"),"NEW","")))</f>
        <v/>
      </c>
      <c r="G2175" s="22" t="str">
        <f>IF(OR(E2175="",E2175="!!!"),"",IF(OR(J2175=0,AND(J2175=1,K2175=1),AND(J2175=1,I2175="SBJ"),AND(J2175=1,I2175=0)),"?IN_FOCUS",IF(J2175&lt;=2,"?ACTIVATED",IF(J2175&lt;&gt;"","?FAMILIAR",IF(F2175="NEW",IF(ISNA(VLOOKUP(E2175,#REF!,1,FALSE())),"?TYPE_IDENTIFIABLE","?REFERENTIAL"),"_")))))</f>
        <v/>
      </c>
      <c r="H2175" s="23" t="str">
        <f t="shared" ca="1" si="243"/>
        <v/>
      </c>
      <c r="I2175" s="24" t="str">
        <f>IF(OR(E2175="",E2175="!!!",F2175="NEW"),"",INDEX(B$2:B2174,-1+SUMPRODUCT(MAX(ROW(E$2:E2174)*(E2175=E$2:E2174)))))</f>
        <v/>
      </c>
      <c r="J2175" s="24" t="str">
        <f ca="1">IF(OR(E2175="",E2175="!!!",F2175="NEW"),"",COUNTBLANK(OFFSET(A$1,,,SUMPRODUCT(MAX(ROW(E$2:E2175)*(E2175=E$2:E2175)))))-COUNTBLANK(OFFSET(A$1,,,SUMPRODUCT(MAX(ROW(E$1:E2174)*(E2=E$1:E2174))))))</f>
        <v/>
      </c>
      <c r="K2175" s="24" t="str">
        <f>IF(OR(E2175="",E2175="!!!",F2175="NEW"),"",INDEX(J$1:J2174,SUMPRODUCT(MAX(ROW(E$1:E2174)*(E2175=E$1:E2174)))))</f>
        <v/>
      </c>
      <c r="L2175" s="25"/>
    </row>
    <row r="2176" spans="1:12" x14ac:dyDescent="0.2">
      <c r="A2176" t="s">
        <v>1478</v>
      </c>
      <c r="B2176" s="26" t="s">
        <v>899</v>
      </c>
      <c r="C2176" s="26" t="s">
        <v>820</v>
      </c>
      <c r="D2176" s="26" t="s">
        <v>806</v>
      </c>
      <c r="E2176" s="20"/>
      <c r="F2176" s="21" t="str">
        <f>IF(OR(E2176="",E2176="!!!"),"",IF(NOT(ISNA(VLOOKUP(E2176,E$1:E2175,1,FALSE()))),"OLD",IF(AND(E2176&lt;&gt;"",E2176&lt;&gt;"!!!"),"NEW","")))</f>
        <v/>
      </c>
      <c r="G2176" s="22" t="str">
        <f>IF(OR(E2176="",E2176="!!!"),"",IF(OR(J2176=0,AND(J2176=1,K2176=1),AND(J2176=1,I2176="SBJ"),AND(J2176=1,I2176=0)),"?IN_FOCUS",IF(J2176&lt;=2,"?ACTIVATED",IF(J2176&lt;&gt;"","?FAMILIAR",IF(F2176="NEW",IF(ISNA(VLOOKUP(E2176,#REF!,1,FALSE())),"?TYPE_IDENTIFIABLE","?REFERENTIAL"),"_")))))</f>
        <v/>
      </c>
      <c r="H2176" s="23" t="str">
        <f t="shared" ca="1" si="243"/>
        <v/>
      </c>
      <c r="I2176" s="24" t="str">
        <f>IF(OR(E2176="",E2176="!!!",F2176="NEW"),"",INDEX(B$2:B2175,-1+SUMPRODUCT(MAX(ROW(E$2:E2175)*(E2176=E$2:E2175)))))</f>
        <v/>
      </c>
      <c r="J2176" s="24" t="str">
        <f ca="1">IF(OR(E2176="",E2176="!!!",F2176="NEW"),"",COUNTBLANK(OFFSET(A$1,,,SUMPRODUCT(MAX(ROW(E$2:E2176)*(E2176=E$2:E2176)))))-COUNTBLANK(OFFSET(A$1,,,SUMPRODUCT(MAX(ROW(E$1:E2175)*(E2=E$1:E2175))))))</f>
        <v/>
      </c>
      <c r="K2176" s="24" t="str">
        <f>IF(OR(E2176="",E2176="!!!",F2176="NEW"),"",INDEX(J$1:J2175,SUMPRODUCT(MAX(ROW(E$1:E2175)*(E2176=E$1:E2175)))))</f>
        <v/>
      </c>
      <c r="L2176" s="25"/>
    </row>
    <row r="2177" spans="1:12" x14ac:dyDescent="0.2">
      <c r="A2177" t="s">
        <v>812</v>
      </c>
      <c r="E2177" s="20" t="str">
        <f t="shared" si="242"/>
        <v/>
      </c>
      <c r="F2177" s="21" t="str">
        <f>IF(OR(E2177="",E2177="!!!"),"",IF(NOT(ISNA(VLOOKUP(E2177,E$1:E2176,1,FALSE()))),"OLD",IF(AND(E2177&lt;&gt;"",E2177&lt;&gt;"!!!"),"NEW","")))</f>
        <v/>
      </c>
      <c r="G2177" s="22" t="str">
        <f>IF(OR(E2177="",E2177="!!!"),"",IF(OR(J2177=0,AND(J2177=1,K2177=1),AND(J2177=1,I2177="SBJ"),AND(J2177=1,I2177=0)),"?IN_FOCUS",IF(J2177&lt;=2,"?ACTIVATED",IF(J2177&lt;&gt;"","?FAMILIAR",IF(F2177="NEW",IF(ISNA(VLOOKUP(E2177,#REF!,1,FALSE())),"?TYPE_IDENTIFIABLE","?REFERENTIAL"),"_")))))</f>
        <v/>
      </c>
      <c r="H2177" s="23" t="str">
        <f t="shared" ca="1" si="243"/>
        <v/>
      </c>
      <c r="I2177" s="24" t="str">
        <f>IF(OR(E2177="",E2177="!!!",F2177="NEW"),"",INDEX(B$2:B2176,-1+SUMPRODUCT(MAX(ROW(E$2:E2176)*(E2177=E$2:E2176)))))</f>
        <v/>
      </c>
      <c r="J2177" s="24" t="str">
        <f ca="1">IF(OR(E2177="",E2177="!!!",F2177="NEW"),"",COUNTBLANK(OFFSET(A$1,,,SUMPRODUCT(MAX(ROW(E$2:E2177)*(E2177=E$2:E2177)))))-COUNTBLANK(OFFSET(A$1,,,SUMPRODUCT(MAX(ROW(E$1:E2176)*(E2=E$1:E2176))))))</f>
        <v/>
      </c>
      <c r="K2177" s="24" t="str">
        <f>IF(OR(E2177="",E2177="!!!",F2177="NEW"),"",INDEX(J$1:J2176,SUMPRODUCT(MAX(ROW(E$1:E2176)*(E2177=E$1:E2176)))))</f>
        <v/>
      </c>
      <c r="L2177" s="25"/>
    </row>
    <row r="2178" spans="1:12" x14ac:dyDescent="0.2">
      <c r="A2178" t="s">
        <v>1401</v>
      </c>
      <c r="B2178" s="26" t="s">
        <v>916</v>
      </c>
      <c r="C2178" s="26" t="s">
        <v>817</v>
      </c>
      <c r="D2178" s="26" t="s">
        <v>806</v>
      </c>
      <c r="E2178" s="20"/>
      <c r="F2178" s="21" t="str">
        <f>IF(OR(E2178="",E2178="!!!"),"",IF(NOT(ISNA(VLOOKUP(E2178,E$1:E2177,1,FALSE()))),"OLD",IF(AND(E2178&lt;&gt;"",E2178&lt;&gt;"!!!"),"NEW","")))</f>
        <v/>
      </c>
      <c r="G2178" s="22" t="str">
        <f>IF(OR(E2178="",E2178="!!!"),"",IF(OR(J2178=0,AND(J2178=1,K2178=1),AND(J2178=1,I2178="SBJ"),AND(J2178=1,I2178=0)),"?IN_FOCUS",IF(J2178&lt;=2,"?ACTIVATED",IF(J2178&lt;&gt;"","?FAMILIAR",IF(F2178="NEW",IF(ISNA(VLOOKUP(E2178,#REF!,1,FALSE())),"?TYPE_IDENTIFIABLE","?REFERENTIAL"),"_")))))</f>
        <v/>
      </c>
      <c r="H2178" s="23" t="str">
        <f t="shared" ca="1" si="243"/>
        <v/>
      </c>
      <c r="I2178" s="24" t="str">
        <f>IF(OR(E2178="",E2178="!!!",F2178="NEW"),"",INDEX(B$2:B2177,-1+SUMPRODUCT(MAX(ROW(E$2:E2177)*(E2178=E$2:E2177)))))</f>
        <v/>
      </c>
      <c r="J2178" s="24" t="str">
        <f ca="1">IF(OR(E2178="",E2178="!!!",F2178="NEW"),"",COUNTBLANK(OFFSET(A$1,,,SUMPRODUCT(MAX(ROW(E$2:E2178)*(E2178=E$2:E2178)))))-COUNTBLANK(OFFSET(A$1,,,SUMPRODUCT(MAX(ROW(E$1:E2177)*(E2=E$1:E2177))))))</f>
        <v/>
      </c>
      <c r="K2178" s="24" t="str">
        <f>IF(OR(E2178="",E2178="!!!",F2178="NEW"),"",INDEX(J$1:J2177,SUMPRODUCT(MAX(ROW(E$1:E2177)*(E2178=E$1:E2177)))))</f>
        <v/>
      </c>
      <c r="L2178" s="25"/>
    </row>
    <row r="2179" spans="1:12" x14ac:dyDescent="0.2">
      <c r="A2179" t="s">
        <v>1479</v>
      </c>
      <c r="B2179" s="26" t="s">
        <v>897</v>
      </c>
      <c r="C2179" s="26" t="s">
        <v>820</v>
      </c>
      <c r="D2179" s="26" t="s">
        <v>806</v>
      </c>
      <c r="E2179" s="20" t="s">
        <v>1805</v>
      </c>
      <c r="F2179" s="21" t="str">
        <f>IF(OR(E2179="",E2179="!!!"),"",IF(NOT(ISNA(VLOOKUP(E2179,E$1:E2178,1,FALSE()))),"OLD",IF(AND(E2179&lt;&gt;"",E2179&lt;&gt;"!!!"),"NEW","")))</f>
        <v>NEW</v>
      </c>
      <c r="G2179" s="22" t="s">
        <v>1824</v>
      </c>
      <c r="H2179" s="23" t="str">
        <f t="shared" ca="1" si="243"/>
        <v/>
      </c>
      <c r="I2179" s="24" t="str">
        <f>IF(OR(E2179="",E2179="!!!",F2179="NEW"),"",INDEX(B$2:B2178,-1+SUMPRODUCT(MAX(ROW(E$2:E2178)*(E2179=E$2:E2178)))))</f>
        <v/>
      </c>
      <c r="J2179" s="24" t="str">
        <f ca="1">IF(OR(E2179="",E2179="!!!",F2179="NEW"),"",COUNTBLANK(OFFSET(A$1,,,SUMPRODUCT(MAX(ROW(E$2:E2179)*(E2179=E$2:E2179)))))-COUNTBLANK(OFFSET(A$1,,,SUMPRODUCT(MAX(ROW(E$1:E2178)*(E2=E$1:E2178))))))</f>
        <v/>
      </c>
      <c r="K2179" s="24" t="str">
        <f>IF(OR(E2179="",E2179="!!!",F2179="NEW"),"",INDEX(J$1:J2178,SUMPRODUCT(MAX(ROW(E$1:E2178)*(E2179=E$1:E2178)))))</f>
        <v/>
      </c>
      <c r="L2179" s="25"/>
    </row>
    <row r="2180" spans="1:12" x14ac:dyDescent="0.2">
      <c r="A2180" t="s">
        <v>821</v>
      </c>
      <c r="E2180" s="20" t="str">
        <f t="shared" si="242"/>
        <v/>
      </c>
      <c r="F2180" s="21" t="str">
        <f>IF(OR(E2180="",E2180="!!!"),"",IF(NOT(ISNA(VLOOKUP(E2180,E$1:E2179,1,FALSE()))),"OLD",IF(AND(E2180&lt;&gt;"",E2180&lt;&gt;"!!!"),"NEW","")))</f>
        <v/>
      </c>
      <c r="G2180" s="22" t="str">
        <f>IF(OR(E2180="",E2180="!!!"),"",IF(OR(J2180=0,AND(J2180=1,K2180=1),AND(J2180=1,I2180="SBJ"),AND(J2180=1,I2180=0)),"?IN_FOCUS",IF(J2180&lt;=2,"?ACTIVATED",IF(J2180&lt;&gt;"","?FAMILIAR",IF(F2180="NEW",IF(ISNA(VLOOKUP(E2180,#REF!,1,FALSE())),"?TYPE_IDENTIFIABLE","?REFERENTIAL"),"_")))))</f>
        <v/>
      </c>
      <c r="H2180" s="23" t="str">
        <f t="shared" ca="1" si="243"/>
        <v/>
      </c>
      <c r="I2180" s="24" t="str">
        <f>IF(OR(E2180="",E2180="!!!",F2180="NEW"),"",INDEX(B$2:B2179,-1+SUMPRODUCT(MAX(ROW(E$2:E2179)*(E2180=E$2:E2179)))))</f>
        <v/>
      </c>
      <c r="J2180" s="24" t="str">
        <f ca="1">IF(OR(E2180="",E2180="!!!",F2180="NEW"),"",COUNTBLANK(OFFSET(A$1,,,SUMPRODUCT(MAX(ROW(E$2:E2180)*(E2180=E$2:E2180)))))-COUNTBLANK(OFFSET(A$1,,,SUMPRODUCT(MAX(ROW(E$1:E2179)*(E2=E$1:E2179))))))</f>
        <v/>
      </c>
      <c r="K2180" s="24" t="str">
        <f>IF(OR(E2180="",E2180="!!!",F2180="NEW"),"",INDEX(J$1:J2179,SUMPRODUCT(MAX(ROW(E$1:E2179)*(E2180=E$1:E2179)))))</f>
        <v/>
      </c>
      <c r="L2180" s="25"/>
    </row>
    <row r="2182" spans="1:12" x14ac:dyDescent="0.2">
      <c r="A2182" t="s">
        <v>1480</v>
      </c>
    </row>
    <row r="2183" spans="1:12" x14ac:dyDescent="0.2">
      <c r="A2183" t="s">
        <v>968</v>
      </c>
      <c r="E2183" s="20" t="str">
        <f t="shared" ref="E2183:E2192" si="244">IF(D2183="?OLD","!!!","")</f>
        <v/>
      </c>
      <c r="F2183" s="21" t="str">
        <f>IF(OR(E2183="",E2183="!!!"),"",IF(NOT(ISNA(VLOOKUP(E2183,E$1:E2182,1,FALSE()))),"OLD",IF(AND(E2183&lt;&gt;"",E2183&lt;&gt;"!!!"),"NEW","")))</f>
        <v/>
      </c>
      <c r="G2183" s="22" t="str">
        <f>IF(OR(E2183="",E2183="!!!"),"",IF(OR(J2183=0,AND(J2183=1,K2183=1),AND(J2183=1,I2183="SBJ"),AND(J2183=1,I2183=0)),"?IN_FOCUS",IF(J2183&lt;=2,"?ACTIVATED",IF(J2183&lt;&gt;"","?FAMILIAR",IF(F2183="NEW",IF(ISNA(VLOOKUP(E2183,#REF!,1,FALSE())),"?TYPE_IDENTIFIABLE","?REFERENTIAL"),"_")))))</f>
        <v/>
      </c>
      <c r="H2183" s="23" t="str">
        <f t="shared" ref="H2183:H2192" ca="1" si="245">IF(J2183&lt;&gt;1,"",IF(I2183="SBJ","CB","?"))</f>
        <v/>
      </c>
      <c r="I2183" s="24" t="str">
        <f>IF(OR(E2183="",E2183="!!!",F2183="NEW"),"",INDEX(B$2:B2182,-1+SUMPRODUCT(MAX(ROW(E$2:E2182)*(E2183=E$2:E2182)))))</f>
        <v/>
      </c>
      <c r="J2183" s="24" t="str">
        <f ca="1">IF(OR(E2183="",E2183="!!!",F2183="NEW"),"",COUNTBLANK(OFFSET(A$1,,,SUMPRODUCT(MAX(ROW(E$2:E2183)*(E2183=E$2:E2183)))))-COUNTBLANK(OFFSET(A$1,,,SUMPRODUCT(MAX(ROW(E$1:E2182)*(E2=E$1:E2182))))))</f>
        <v/>
      </c>
      <c r="K2183" s="24" t="str">
        <f>IF(OR(E2183="",E2183="!!!",F2183="NEW"),"",INDEX(J$1:J2182,SUMPRODUCT(MAX(ROW(E$1:E2182)*(E2183=E$1:E2182)))))</f>
        <v/>
      </c>
      <c r="L2183" s="25"/>
    </row>
    <row r="2184" spans="1:12" x14ac:dyDescent="0.2">
      <c r="A2184" t="s">
        <v>30</v>
      </c>
      <c r="E2184" s="20" t="str">
        <f t="shared" si="244"/>
        <v/>
      </c>
      <c r="F2184" s="21" t="str">
        <f>IF(OR(E2184="",E2184="!!!"),"",IF(NOT(ISNA(VLOOKUP(E2184,E$1:E2183,1,FALSE()))),"OLD",IF(AND(E2184&lt;&gt;"",E2184&lt;&gt;"!!!"),"NEW","")))</f>
        <v/>
      </c>
      <c r="G2184" s="22" t="str">
        <f>IF(OR(E2184="",E2184="!!!"),"",IF(OR(J2184=0,AND(J2184=1,K2184=1),AND(J2184=1,I2184="SBJ"),AND(J2184=1,I2184=0)),"?IN_FOCUS",IF(J2184&lt;=2,"?ACTIVATED",IF(J2184&lt;&gt;"","?FAMILIAR",IF(F2184="NEW",IF(ISNA(VLOOKUP(E2184,#REF!,1,FALSE())),"?TYPE_IDENTIFIABLE","?REFERENTIAL"),"_")))))</f>
        <v/>
      </c>
      <c r="H2184" s="23" t="str">
        <f t="shared" ca="1" si="245"/>
        <v/>
      </c>
      <c r="I2184" s="24" t="str">
        <f>IF(OR(E2184="",E2184="!!!",F2184="NEW"),"",INDEX(B$2:B2183,-1+SUMPRODUCT(MAX(ROW(E$2:E2183)*(E2184=E$2:E2183)))))</f>
        <v/>
      </c>
      <c r="J2184" s="24" t="str">
        <f ca="1">IF(OR(E2184="",E2184="!!!",F2184="NEW"),"",COUNTBLANK(OFFSET(A$1,,,SUMPRODUCT(MAX(ROW(E$2:E2184)*(E2184=E$2:E2184)))))-COUNTBLANK(OFFSET(A$1,,,SUMPRODUCT(MAX(ROW(E$1:E2183)*(E2=E$1:E2183))))))</f>
        <v/>
      </c>
      <c r="K2184" s="24" t="str">
        <f>IF(OR(E2184="",E2184="!!!",F2184="NEW"),"",INDEX(J$1:J2183,SUMPRODUCT(MAX(ROW(E$1:E2183)*(E2184=E$1:E2183)))))</f>
        <v/>
      </c>
      <c r="L2184" s="25"/>
    </row>
    <row r="2185" spans="1:12" x14ac:dyDescent="0.2">
      <c r="A2185" t="s">
        <v>530</v>
      </c>
      <c r="B2185" s="26" t="s">
        <v>819</v>
      </c>
      <c r="C2185" s="26" t="s">
        <v>811</v>
      </c>
      <c r="E2185" s="20" t="str">
        <f t="shared" si="244"/>
        <v/>
      </c>
      <c r="F2185" s="21" t="str">
        <f>IF(OR(E2185="",E2185="!!!"),"",IF(NOT(ISNA(VLOOKUP(E2185,E$1:E2184,1,FALSE()))),"OLD",IF(AND(E2185&lt;&gt;"",E2185&lt;&gt;"!!!"),"NEW","")))</f>
        <v/>
      </c>
      <c r="G2185" s="22" t="str">
        <f>IF(OR(E2185="",E2185="!!!"),"",IF(OR(J2185=0,AND(J2185=1,K2185=1),AND(J2185=1,I2185="SBJ"),AND(J2185=1,I2185=0)),"?IN_FOCUS",IF(J2185&lt;=2,"?ACTIVATED",IF(J2185&lt;&gt;"","?FAMILIAR",IF(F2185="NEW",IF(ISNA(VLOOKUP(E2185,#REF!,1,FALSE())),"?TYPE_IDENTIFIABLE","?REFERENTIAL"),"_")))))</f>
        <v/>
      </c>
      <c r="H2185" s="23" t="str">
        <f t="shared" ca="1" si="245"/>
        <v/>
      </c>
      <c r="I2185" s="24" t="str">
        <f>IF(OR(E2185="",E2185="!!!",F2185="NEW"),"",INDEX(B$2:B2184,-1+SUMPRODUCT(MAX(ROW(E$2:E2184)*(E2185=E$2:E2184)))))</f>
        <v/>
      </c>
      <c r="J2185" s="24" t="str">
        <f ca="1">IF(OR(E2185="",E2185="!!!",F2185="NEW"),"",COUNTBLANK(OFFSET(A$1,,,SUMPRODUCT(MAX(ROW(E$2:E2185)*(E2185=E$2:E2185)))))-COUNTBLANK(OFFSET(A$1,,,SUMPRODUCT(MAX(ROW(E$1:E2184)*(E2=E$1:E2184))))))</f>
        <v/>
      </c>
      <c r="K2185" s="24" t="str">
        <f>IF(OR(E2185="",E2185="!!!",F2185="NEW"),"",INDEX(J$1:J2184,SUMPRODUCT(MAX(ROW(E$1:E2184)*(E2185=E$1:E2184)))))</f>
        <v/>
      </c>
      <c r="L2185" s="25"/>
    </row>
    <row r="2186" spans="1:12" x14ac:dyDescent="0.2">
      <c r="A2186" t="s">
        <v>802</v>
      </c>
      <c r="E2186" s="20" t="str">
        <f t="shared" si="244"/>
        <v/>
      </c>
      <c r="F2186" s="21" t="str">
        <f>IF(OR(E2186="",E2186="!!!"),"",IF(NOT(ISNA(VLOOKUP(E2186,E$1:E2185,1,FALSE()))),"OLD",IF(AND(E2186&lt;&gt;"",E2186&lt;&gt;"!!!"),"NEW","")))</f>
        <v/>
      </c>
      <c r="G2186" s="22" t="str">
        <f>IF(OR(E2186="",E2186="!!!"),"",IF(OR(J2186=0,AND(J2186=1,K2186=1),AND(J2186=1,I2186="SBJ"),AND(J2186=1,I2186=0)),"?IN_FOCUS",IF(J2186&lt;=2,"?ACTIVATED",IF(J2186&lt;&gt;"","?FAMILIAR",IF(F2186="NEW",IF(ISNA(VLOOKUP(E2186,#REF!,1,FALSE())),"?TYPE_IDENTIFIABLE","?REFERENTIAL"),"_")))))</f>
        <v/>
      </c>
      <c r="H2186" s="23" t="str">
        <f t="shared" ca="1" si="245"/>
        <v/>
      </c>
      <c r="I2186" s="24" t="str">
        <f>IF(OR(E2186="",E2186="!!!",F2186="NEW"),"",INDEX(B$2:B2185,-1+SUMPRODUCT(MAX(ROW(E$2:E2185)*(E2186=E$2:E2185)))))</f>
        <v/>
      </c>
      <c r="J2186" s="24" t="str">
        <f ca="1">IF(OR(E2186="",E2186="!!!",F2186="NEW"),"",COUNTBLANK(OFFSET(A$1,,,SUMPRODUCT(MAX(ROW(E$2:E2186)*(E2186=E$2:E2186)))))-COUNTBLANK(OFFSET(A$1,,,SUMPRODUCT(MAX(ROW(E$1:E2185)*(E2=E$1:E2185))))))</f>
        <v/>
      </c>
      <c r="K2186" s="24" t="str">
        <f>IF(OR(E2186="",E2186="!!!",F2186="NEW"),"",INDEX(J$1:J2185,SUMPRODUCT(MAX(ROW(E$1:E2185)*(E2186=E$1:E2185)))))</f>
        <v/>
      </c>
      <c r="L2186" s="25"/>
    </row>
    <row r="2187" spans="1:12" x14ac:dyDescent="0.2">
      <c r="A2187" t="s">
        <v>1188</v>
      </c>
      <c r="E2187" s="20" t="str">
        <f t="shared" si="244"/>
        <v/>
      </c>
      <c r="F2187" s="21" t="str">
        <f>IF(OR(E2187="",E2187="!!!"),"",IF(NOT(ISNA(VLOOKUP(E2187,E$1:E2186,1,FALSE()))),"OLD",IF(AND(E2187&lt;&gt;"",E2187&lt;&gt;"!!!"),"NEW","")))</f>
        <v/>
      </c>
      <c r="G2187" s="22" t="str">
        <f>IF(OR(E2187="",E2187="!!!"),"",IF(OR(J2187=0,AND(J2187=1,K2187=1),AND(J2187=1,I2187="SBJ"),AND(J2187=1,I2187=0)),"?IN_FOCUS",IF(J2187&lt;=2,"?ACTIVATED",IF(J2187&lt;&gt;"","?FAMILIAR",IF(F2187="NEW",IF(ISNA(VLOOKUP(E2187,#REF!,1,FALSE())),"?TYPE_IDENTIFIABLE","?REFERENTIAL"),"_")))))</f>
        <v/>
      </c>
      <c r="H2187" s="23" t="str">
        <f t="shared" ca="1" si="245"/>
        <v/>
      </c>
      <c r="I2187" s="24" t="str">
        <f>IF(OR(E2187="",E2187="!!!",F2187="NEW"),"",INDEX(B$2:B2186,-1+SUMPRODUCT(MAX(ROW(E$2:E2186)*(E2187=E$2:E2186)))))</f>
        <v/>
      </c>
      <c r="J2187" s="24" t="str">
        <f ca="1">IF(OR(E2187="",E2187="!!!",F2187="NEW"),"",COUNTBLANK(OFFSET(A$1,,,SUMPRODUCT(MAX(ROW(E$2:E2187)*(E2187=E$2:E2187)))))-COUNTBLANK(OFFSET(A$1,,,SUMPRODUCT(MAX(ROW(E$1:E2186)*(E2=E$1:E2186))))))</f>
        <v/>
      </c>
      <c r="K2187" s="24" t="str">
        <f>IF(OR(E2187="",E2187="!!!",F2187="NEW"),"",INDEX(J$1:J2186,SUMPRODUCT(MAX(ROW(E$1:E2186)*(E2187=E$1:E2186)))))</f>
        <v/>
      </c>
      <c r="L2187" s="25"/>
    </row>
    <row r="2188" spans="1:12" x14ac:dyDescent="0.2">
      <c r="A2188" t="s">
        <v>1481</v>
      </c>
      <c r="E2188" s="20" t="str">
        <f t="shared" si="244"/>
        <v/>
      </c>
      <c r="F2188" s="21" t="str">
        <f>IF(OR(E2188="",E2188="!!!"),"",IF(NOT(ISNA(VLOOKUP(E2188,E$1:E2187,1,FALSE()))),"OLD",IF(AND(E2188&lt;&gt;"",E2188&lt;&gt;"!!!"),"NEW","")))</f>
        <v/>
      </c>
      <c r="G2188" s="22" t="str">
        <f>IF(OR(E2188="",E2188="!!!"),"",IF(OR(J2188=0,AND(J2188=1,K2188=1),AND(J2188=1,I2188="SBJ"),AND(J2188=1,I2188=0)),"?IN_FOCUS",IF(J2188&lt;=2,"?ACTIVATED",IF(J2188&lt;&gt;"","?FAMILIAR",IF(F2188="NEW",IF(ISNA(VLOOKUP(E2188,#REF!,1,FALSE())),"?TYPE_IDENTIFIABLE","?REFERENTIAL"),"_")))))</f>
        <v/>
      </c>
      <c r="H2188" s="23" t="str">
        <f t="shared" ca="1" si="245"/>
        <v/>
      </c>
      <c r="I2188" s="24" t="str">
        <f>IF(OR(E2188="",E2188="!!!",F2188="NEW"),"",INDEX(B$2:B2187,-1+SUMPRODUCT(MAX(ROW(E$2:E2187)*(E2188=E$2:E2187)))))</f>
        <v/>
      </c>
      <c r="J2188" s="24" t="str">
        <f ca="1">IF(OR(E2188="",E2188="!!!",F2188="NEW"),"",COUNTBLANK(OFFSET(A$1,,,SUMPRODUCT(MAX(ROW(E$2:E2188)*(E2188=E$2:E2188)))))-COUNTBLANK(OFFSET(A$1,,,SUMPRODUCT(MAX(ROW(E$1:E2187)*(E2=E$1:E2187))))))</f>
        <v/>
      </c>
      <c r="K2188" s="24" t="str">
        <f>IF(OR(E2188="",E2188="!!!",F2188="NEW"),"",INDEX(J$1:J2187,SUMPRODUCT(MAX(ROW(E$1:E2187)*(E2188=E$1:E2187)))))</f>
        <v/>
      </c>
      <c r="L2188" s="25"/>
    </row>
    <row r="2189" spans="1:12" x14ac:dyDescent="0.2">
      <c r="A2189" t="s">
        <v>809</v>
      </c>
      <c r="E2189" s="20" t="str">
        <f t="shared" si="244"/>
        <v/>
      </c>
      <c r="F2189" s="21" t="str">
        <f>IF(OR(E2189="",E2189="!!!"),"",IF(NOT(ISNA(VLOOKUP(E2189,E$1:E2188,1,FALSE()))),"OLD",IF(AND(E2189&lt;&gt;"",E2189&lt;&gt;"!!!"),"NEW","")))</f>
        <v/>
      </c>
      <c r="G2189" s="22" t="str">
        <f>IF(OR(E2189="",E2189="!!!"),"",IF(OR(J2189=0,AND(J2189=1,K2189=1),AND(J2189=1,I2189="SBJ"),AND(J2189=1,I2189=0)),"?IN_FOCUS",IF(J2189&lt;=2,"?ACTIVATED",IF(J2189&lt;&gt;"","?FAMILIAR",IF(F2189="NEW",IF(ISNA(VLOOKUP(E2189,#REF!,1,FALSE())),"?TYPE_IDENTIFIABLE","?REFERENTIAL"),"_")))))</f>
        <v/>
      </c>
      <c r="H2189" s="23" t="str">
        <f t="shared" ca="1" si="245"/>
        <v/>
      </c>
      <c r="I2189" s="24" t="str">
        <f>IF(OR(E2189="",E2189="!!!",F2189="NEW"),"",INDEX(B$2:B2188,-1+SUMPRODUCT(MAX(ROW(E$2:E2188)*(E2189=E$2:E2188)))))</f>
        <v/>
      </c>
      <c r="J2189" s="24" t="str">
        <f ca="1">IF(OR(E2189="",E2189="!!!",F2189="NEW"),"",COUNTBLANK(OFFSET(A$1,,,SUMPRODUCT(MAX(ROW(E$2:E2189)*(E2189=E$2:E2189)))))-COUNTBLANK(OFFSET(A$1,,,SUMPRODUCT(MAX(ROW(E$1:E2188)*(E2=E$1:E2188))))))</f>
        <v/>
      </c>
      <c r="K2189" s="24" t="str">
        <f>IF(OR(E2189="",E2189="!!!",F2189="NEW"),"",INDEX(J$1:J2188,SUMPRODUCT(MAX(ROW(E$1:E2188)*(E2189=E$1:E2188)))))</f>
        <v/>
      </c>
      <c r="L2189" s="25"/>
    </row>
    <row r="2190" spans="1:12" x14ac:dyDescent="0.2">
      <c r="A2190" t="s">
        <v>1457</v>
      </c>
      <c r="E2190" s="20" t="str">
        <f t="shared" si="244"/>
        <v/>
      </c>
      <c r="F2190" s="21" t="str">
        <f>IF(OR(E2190="",E2190="!!!"),"",IF(NOT(ISNA(VLOOKUP(E2190,E$1:E2189,1,FALSE()))),"OLD",IF(AND(E2190&lt;&gt;"",E2190&lt;&gt;"!!!"),"NEW","")))</f>
        <v/>
      </c>
      <c r="G2190" s="22" t="str">
        <f>IF(OR(E2190="",E2190="!!!"),"",IF(OR(J2190=0,AND(J2190=1,K2190=1),AND(J2190=1,I2190="SBJ"),AND(J2190=1,I2190=0)),"?IN_FOCUS",IF(J2190&lt;=2,"?ACTIVATED",IF(J2190&lt;&gt;"","?FAMILIAR",IF(F2190="NEW",IF(ISNA(VLOOKUP(E2190,#REF!,1,FALSE())),"?TYPE_IDENTIFIABLE","?REFERENTIAL"),"_")))))</f>
        <v/>
      </c>
      <c r="H2190" s="23" t="str">
        <f t="shared" ca="1" si="245"/>
        <v/>
      </c>
      <c r="I2190" s="24" t="str">
        <f>IF(OR(E2190="",E2190="!!!",F2190="NEW"),"",INDEX(B$2:B2189,-1+SUMPRODUCT(MAX(ROW(E$2:E2189)*(E2190=E$2:E2189)))))</f>
        <v/>
      </c>
      <c r="J2190" s="24" t="str">
        <f ca="1">IF(OR(E2190="",E2190="!!!",F2190="NEW"),"",COUNTBLANK(OFFSET(A$1,,,SUMPRODUCT(MAX(ROW(E$2:E2190)*(E2190=E$2:E2190)))))-COUNTBLANK(OFFSET(A$1,,,SUMPRODUCT(MAX(ROW(E$1:E2189)*(E2=E$1:E2189))))))</f>
        <v/>
      </c>
      <c r="K2190" s="24" t="str">
        <f>IF(OR(E2190="",E2190="!!!",F2190="NEW"),"",INDEX(J$1:J2189,SUMPRODUCT(MAX(ROW(E$1:E2189)*(E2190=E$1:E2189)))))</f>
        <v/>
      </c>
      <c r="L2190" s="25"/>
    </row>
    <row r="2191" spans="1:12" x14ac:dyDescent="0.2">
      <c r="A2191" t="s">
        <v>1482</v>
      </c>
      <c r="B2191" s="26" t="s">
        <v>819</v>
      </c>
      <c r="C2191" s="26" t="s">
        <v>811</v>
      </c>
      <c r="E2191" s="20" t="str">
        <f t="shared" si="244"/>
        <v/>
      </c>
      <c r="F2191" s="21" t="str">
        <f>IF(OR(E2191="",E2191="!!!"),"",IF(NOT(ISNA(VLOOKUP(E2191,E$1:E2190,1,FALSE()))),"OLD",IF(AND(E2191&lt;&gt;"",E2191&lt;&gt;"!!!"),"NEW","")))</f>
        <v/>
      </c>
      <c r="G2191" s="22" t="str">
        <f>IF(OR(E2191="",E2191="!!!"),"",IF(OR(J2191=0,AND(J2191=1,K2191=1),AND(J2191=1,I2191="SBJ"),AND(J2191=1,I2191=0)),"?IN_FOCUS",IF(J2191&lt;=2,"?ACTIVATED",IF(J2191&lt;&gt;"","?FAMILIAR",IF(F2191="NEW",IF(ISNA(VLOOKUP(E2191,#REF!,1,FALSE())),"?TYPE_IDENTIFIABLE","?REFERENTIAL"),"_")))))</f>
        <v/>
      </c>
      <c r="H2191" s="23" t="str">
        <f t="shared" ca="1" si="245"/>
        <v/>
      </c>
      <c r="I2191" s="24" t="str">
        <f>IF(OR(E2191="",E2191="!!!",F2191="NEW"),"",INDEX(B$2:B2190,-1+SUMPRODUCT(MAX(ROW(E$2:E2190)*(E2191=E$2:E2190)))))</f>
        <v/>
      </c>
      <c r="J2191" s="24" t="str">
        <f ca="1">IF(OR(E2191="",E2191="!!!",F2191="NEW"),"",COUNTBLANK(OFFSET(A$1,,,SUMPRODUCT(MAX(ROW(E$2:E2191)*(E2191=E$2:E2191)))))-COUNTBLANK(OFFSET(A$1,,,SUMPRODUCT(MAX(ROW(E$1:E2190)*(E2=E$1:E2190))))))</f>
        <v/>
      </c>
      <c r="K2191" s="24" t="str">
        <f>IF(OR(E2191="",E2191="!!!",F2191="NEW"),"",INDEX(J$1:J2190,SUMPRODUCT(MAX(ROW(E$1:E2190)*(E2191=E$1:E2190)))))</f>
        <v/>
      </c>
      <c r="L2191" s="25"/>
    </row>
    <row r="2192" spans="1:12" x14ac:dyDescent="0.2">
      <c r="A2192" t="s">
        <v>821</v>
      </c>
      <c r="E2192" s="20" t="str">
        <f t="shared" si="244"/>
        <v/>
      </c>
      <c r="F2192" s="21" t="str">
        <f>IF(OR(E2192="",E2192="!!!"),"",IF(NOT(ISNA(VLOOKUP(E2192,E$1:E2191,1,FALSE()))),"OLD",IF(AND(E2192&lt;&gt;"",E2192&lt;&gt;"!!!"),"NEW","")))</f>
        <v/>
      </c>
      <c r="G2192" s="22" t="str">
        <f>IF(OR(E2192="",E2192="!!!"),"",IF(OR(J2192=0,AND(J2192=1,K2192=1),AND(J2192=1,I2192="SBJ"),AND(J2192=1,I2192=0)),"?IN_FOCUS",IF(J2192&lt;=2,"?ACTIVATED",IF(J2192&lt;&gt;"","?FAMILIAR",IF(F2192="NEW",IF(ISNA(VLOOKUP(E2192,#REF!,1,FALSE())),"?TYPE_IDENTIFIABLE","?REFERENTIAL"),"_")))))</f>
        <v/>
      </c>
      <c r="H2192" s="23" t="str">
        <f t="shared" ca="1" si="245"/>
        <v/>
      </c>
      <c r="I2192" s="24" t="str">
        <f>IF(OR(E2192="",E2192="!!!",F2192="NEW"),"",INDEX(B$2:B2191,-1+SUMPRODUCT(MAX(ROW(E$2:E2191)*(E2192=E$2:E2191)))))</f>
        <v/>
      </c>
      <c r="J2192" s="24" t="str">
        <f ca="1">IF(OR(E2192="",E2192="!!!",F2192="NEW"),"",COUNTBLANK(OFFSET(A$1,,,SUMPRODUCT(MAX(ROW(E$2:E2192)*(E2192=E$2:E2192)))))-COUNTBLANK(OFFSET(A$1,,,SUMPRODUCT(MAX(ROW(E$1:E2191)*(E2=E$1:E2191))))))</f>
        <v/>
      </c>
      <c r="K2192" s="24" t="str">
        <f>IF(OR(E2192="",E2192="!!!",F2192="NEW"),"",INDEX(J$1:J2191,SUMPRODUCT(MAX(ROW(E$1:E2191)*(E2192=E$1:E2191)))))</f>
        <v/>
      </c>
      <c r="L2192" s="25"/>
    </row>
    <row r="2194" spans="1:12" x14ac:dyDescent="0.2">
      <c r="A2194" t="s">
        <v>1483</v>
      </c>
    </row>
    <row r="2195" spans="1:12" x14ac:dyDescent="0.2">
      <c r="A2195" t="s">
        <v>1484</v>
      </c>
      <c r="E2195" s="20" t="str">
        <f t="shared" ref="E2195:E2215" si="246">IF(D2195="?OLD","!!!","")</f>
        <v/>
      </c>
      <c r="F2195" s="21" t="str">
        <f>IF(OR(E2195="",E2195="!!!"),"",IF(NOT(ISNA(VLOOKUP(E2195,E$1:E2194,1,FALSE()))),"OLD",IF(AND(E2195&lt;&gt;"",E2195&lt;&gt;"!!!"),"NEW","")))</f>
        <v/>
      </c>
      <c r="G2195" s="22" t="str">
        <f>IF(OR(E2195="",E2195="!!!"),"",IF(OR(J2195=0,AND(J2195=1,K2195=1),AND(J2195=1,I2195="SBJ"),AND(J2195=1,I2195=0)),"?IN_FOCUS",IF(J2195&lt;=2,"?ACTIVATED",IF(J2195&lt;&gt;"","?FAMILIAR",IF(F2195="NEW",IF(ISNA(VLOOKUP(E2195,#REF!,1,FALSE())),"?TYPE_IDENTIFIABLE","?REFERENTIAL"),"_")))))</f>
        <v/>
      </c>
      <c r="H2195" s="23" t="str">
        <f t="shared" ref="H2195:H2215" ca="1" si="247">IF(J2195&lt;&gt;1,"",IF(I2195="SBJ","CB","?"))</f>
        <v/>
      </c>
      <c r="I2195" s="24" t="str">
        <f>IF(OR(E2195="",E2195="!!!",F2195="NEW"),"",INDEX(B$2:B2194,-1+SUMPRODUCT(MAX(ROW(E$2:E2194)*(E2195=E$2:E2194)))))</f>
        <v/>
      </c>
      <c r="J2195" s="24" t="str">
        <f ca="1">IF(OR(E2195="",E2195="!!!",F2195="NEW"),"",COUNTBLANK(OFFSET(A$1,,,SUMPRODUCT(MAX(ROW(E$2:E2195)*(E2195=E$2:E2195)))))-COUNTBLANK(OFFSET(A$1,,,SUMPRODUCT(MAX(ROW(E$1:E2194)*(E2=E$1:E2194))))))</f>
        <v/>
      </c>
      <c r="K2195" s="24" t="str">
        <f>IF(OR(E2195="",E2195="!!!",F2195="NEW"),"",INDEX(J$1:J2194,SUMPRODUCT(MAX(ROW(E$1:E2194)*(E2195=E$1:E2194)))))</f>
        <v/>
      </c>
      <c r="L2195" s="25"/>
    </row>
    <row r="2196" spans="1:12" x14ac:dyDescent="0.2">
      <c r="A2196" t="s">
        <v>802</v>
      </c>
      <c r="E2196" s="20" t="str">
        <f t="shared" si="246"/>
        <v/>
      </c>
      <c r="F2196" s="21" t="str">
        <f>IF(OR(E2196="",E2196="!!!"),"",IF(NOT(ISNA(VLOOKUP(E2196,E$1:E2195,1,FALSE()))),"OLD",IF(AND(E2196&lt;&gt;"",E2196&lt;&gt;"!!!"),"NEW","")))</f>
        <v/>
      </c>
      <c r="G2196" s="22" t="str">
        <f>IF(OR(E2196="",E2196="!!!"),"",IF(OR(J2196=0,AND(J2196=1,K2196=1),AND(J2196=1,I2196="SBJ"),AND(J2196=1,I2196=0)),"?IN_FOCUS",IF(J2196&lt;=2,"?ACTIVATED",IF(J2196&lt;&gt;"","?FAMILIAR",IF(F2196="NEW",IF(ISNA(VLOOKUP(E2196,#REF!,1,FALSE())),"?TYPE_IDENTIFIABLE","?REFERENTIAL"),"_")))))</f>
        <v/>
      </c>
      <c r="H2196" s="23" t="str">
        <f t="shared" ca="1" si="247"/>
        <v/>
      </c>
      <c r="I2196" s="24" t="str">
        <f>IF(OR(E2196="",E2196="!!!",F2196="NEW"),"",INDEX(B$2:B2195,-1+SUMPRODUCT(MAX(ROW(E$2:E2195)*(E2196=E$2:E2195)))))</f>
        <v/>
      </c>
      <c r="J2196" s="24" t="str">
        <f ca="1">IF(OR(E2196="",E2196="!!!",F2196="NEW"),"",COUNTBLANK(OFFSET(A$1,,,SUMPRODUCT(MAX(ROW(E$2:E2196)*(E2196=E$2:E2196)))))-COUNTBLANK(OFFSET(A$1,,,SUMPRODUCT(MAX(ROW(E$1:E2195)*(E2=E$1:E2195))))))</f>
        <v/>
      </c>
      <c r="K2196" s="24" t="str">
        <f>IF(OR(E2196="",E2196="!!!",F2196="NEW"),"",INDEX(J$1:J2195,SUMPRODUCT(MAX(ROW(E$1:E2195)*(E2196=E$1:E2195)))))</f>
        <v/>
      </c>
      <c r="L2196" s="25"/>
    </row>
    <row r="2197" spans="1:12" x14ac:dyDescent="0.2">
      <c r="A2197" t="s">
        <v>888</v>
      </c>
      <c r="E2197" s="20" t="str">
        <f t="shared" si="246"/>
        <v/>
      </c>
      <c r="F2197" s="21" t="str">
        <f>IF(OR(E2197="",E2197="!!!"),"",IF(NOT(ISNA(VLOOKUP(E2197,E$1:E2196,1,FALSE()))),"OLD",IF(AND(E2197&lt;&gt;"",E2197&lt;&gt;"!!!"),"NEW","")))</f>
        <v/>
      </c>
      <c r="G2197" s="22" t="str">
        <f>IF(OR(E2197="",E2197="!!!"),"",IF(OR(J2197=0,AND(J2197=1,K2197=1),AND(J2197=1,I2197="SBJ"),AND(J2197=1,I2197=0)),"?IN_FOCUS",IF(J2197&lt;=2,"?ACTIVATED",IF(J2197&lt;&gt;"","?FAMILIAR",IF(F2197="NEW",IF(ISNA(VLOOKUP(E2197,#REF!,1,FALSE())),"?TYPE_IDENTIFIABLE","?REFERENTIAL"),"_")))))</f>
        <v/>
      </c>
      <c r="H2197" s="23" t="str">
        <f t="shared" ca="1" si="247"/>
        <v/>
      </c>
      <c r="I2197" s="24" t="str">
        <f>IF(OR(E2197="",E2197="!!!",F2197="NEW"),"",INDEX(B$2:B2196,-1+SUMPRODUCT(MAX(ROW(E$2:E2196)*(E2197=E$2:E2196)))))</f>
        <v/>
      </c>
      <c r="J2197" s="24" t="str">
        <f ca="1">IF(OR(E2197="",E2197="!!!",F2197="NEW"),"",COUNTBLANK(OFFSET(A$1,,,SUMPRODUCT(MAX(ROW(E$2:E2197)*(E2197=E$2:E2197)))))-COUNTBLANK(OFFSET(A$1,,,SUMPRODUCT(MAX(ROW(E$1:E2196)*(E2=E$1:E2196))))))</f>
        <v/>
      </c>
      <c r="K2197" s="24" t="str">
        <f>IF(OR(E2197="",E2197="!!!",F2197="NEW"),"",INDEX(J$1:J2196,SUMPRODUCT(MAX(ROW(E$1:E2196)*(E2197=E$1:E2196)))))</f>
        <v/>
      </c>
      <c r="L2197" s="25"/>
    </row>
    <row r="2198" spans="1:12" x14ac:dyDescent="0.2">
      <c r="A2198" t="s">
        <v>1222</v>
      </c>
      <c r="E2198" s="20" t="str">
        <f t="shared" si="246"/>
        <v/>
      </c>
      <c r="F2198" s="21" t="str">
        <f>IF(OR(E2198="",E2198="!!!"),"",IF(NOT(ISNA(VLOOKUP(E2198,E$1:E2197,1,FALSE()))),"OLD",IF(AND(E2198&lt;&gt;"",E2198&lt;&gt;"!!!"),"NEW","")))</f>
        <v/>
      </c>
      <c r="G2198" s="22" t="str">
        <f>IF(OR(E2198="",E2198="!!!"),"",IF(OR(J2198=0,AND(J2198=1,K2198=1),AND(J2198=1,I2198="SBJ"),AND(J2198=1,I2198=0)),"?IN_FOCUS",IF(J2198&lt;=2,"?ACTIVATED",IF(J2198&lt;&gt;"","?FAMILIAR",IF(F2198="NEW",IF(ISNA(VLOOKUP(E2198,#REF!,1,FALSE())),"?TYPE_IDENTIFIABLE","?REFERENTIAL"),"_")))))</f>
        <v/>
      </c>
      <c r="H2198" s="23" t="str">
        <f t="shared" ca="1" si="247"/>
        <v/>
      </c>
      <c r="I2198" s="24" t="str">
        <f>IF(OR(E2198="",E2198="!!!",F2198="NEW"),"",INDEX(B$2:B2197,-1+SUMPRODUCT(MAX(ROW(E$2:E2197)*(E2198=E$2:E2197)))))</f>
        <v/>
      </c>
      <c r="J2198" s="24" t="str">
        <f ca="1">IF(OR(E2198="",E2198="!!!",F2198="NEW"),"",COUNTBLANK(OFFSET(A$1,,,SUMPRODUCT(MAX(ROW(E$2:E2198)*(E2198=E$2:E2198)))))-COUNTBLANK(OFFSET(A$1,,,SUMPRODUCT(MAX(ROW(E$1:E2197)*(E2=E$1:E2197))))))</f>
        <v/>
      </c>
      <c r="K2198" s="24" t="str">
        <f>IF(OR(E2198="",E2198="!!!",F2198="NEW"),"",INDEX(J$1:J2197,SUMPRODUCT(MAX(ROW(E$1:E2197)*(E2198=E$1:E2197)))))</f>
        <v/>
      </c>
      <c r="L2198" s="25"/>
    </row>
    <row r="2199" spans="1:12" x14ac:dyDescent="0.2">
      <c r="A2199" t="s">
        <v>845</v>
      </c>
      <c r="E2199" s="20" t="str">
        <f t="shared" si="246"/>
        <v/>
      </c>
      <c r="F2199" s="21" t="str">
        <f>IF(OR(E2199="",E2199="!!!"),"",IF(NOT(ISNA(VLOOKUP(E2199,E$1:E2198,1,FALSE()))),"OLD",IF(AND(E2199&lt;&gt;"",E2199&lt;&gt;"!!!"),"NEW","")))</f>
        <v/>
      </c>
      <c r="G2199" s="22" t="str">
        <f>IF(OR(E2199="",E2199="!!!"),"",IF(OR(J2199=0,AND(J2199=1,K2199=1),AND(J2199=1,I2199="SBJ"),AND(J2199=1,I2199=0)),"?IN_FOCUS",IF(J2199&lt;=2,"?ACTIVATED",IF(J2199&lt;&gt;"","?FAMILIAR",IF(F2199="NEW",IF(ISNA(VLOOKUP(E2199,#REF!,1,FALSE())),"?TYPE_IDENTIFIABLE","?REFERENTIAL"),"_")))))</f>
        <v/>
      </c>
      <c r="H2199" s="23" t="str">
        <f t="shared" ca="1" si="247"/>
        <v/>
      </c>
      <c r="I2199" s="24" t="str">
        <f>IF(OR(E2199="",E2199="!!!",F2199="NEW"),"",INDEX(B$2:B2198,-1+SUMPRODUCT(MAX(ROW(E$2:E2198)*(E2199=E$2:E2198)))))</f>
        <v/>
      </c>
      <c r="J2199" s="24" t="str">
        <f ca="1">IF(OR(E2199="",E2199="!!!",F2199="NEW"),"",COUNTBLANK(OFFSET(A$1,,,SUMPRODUCT(MAX(ROW(E$2:E2199)*(E2199=E$2:E2199)))))-COUNTBLANK(OFFSET(A$1,,,SUMPRODUCT(MAX(ROW(E$1:E2198)*(E2=E$1:E2198))))))</f>
        <v/>
      </c>
      <c r="K2199" s="24" t="str">
        <f>IF(OR(E2199="",E2199="!!!",F2199="NEW"),"",INDEX(J$1:J2198,SUMPRODUCT(MAX(ROW(E$1:E2198)*(E2199=E$1:E2198)))))</f>
        <v/>
      </c>
      <c r="L2199" s="25"/>
    </row>
    <row r="2200" spans="1:12" x14ac:dyDescent="0.2">
      <c r="A2200" t="s">
        <v>1197</v>
      </c>
      <c r="B2200" s="26" t="s">
        <v>819</v>
      </c>
      <c r="C2200" s="26" t="s">
        <v>847</v>
      </c>
      <c r="D2200" s="26" t="s">
        <v>806</v>
      </c>
      <c r="E2200" s="20"/>
      <c r="F2200" s="21" t="s">
        <v>1764</v>
      </c>
      <c r="G2200" s="22" t="str">
        <f>IF(OR(E2200="",E2200="!!!"),"",IF(OR(J2200=0,AND(J2200=1,K2200=1),AND(J2200=1,I2200="SBJ"),AND(J2200=1,I2200=0)),"?IN_FOCUS",IF(J2200&lt;=2,"?ACTIVATED",IF(J2200&lt;&gt;"","?FAMILIAR",IF(F2200="NEW",IF(ISNA(VLOOKUP(E2200,#REF!,1,FALSE())),"?TYPE_IDENTIFIABLE","?REFERENTIAL"),"_")))))</f>
        <v/>
      </c>
      <c r="H2200" s="23" t="str">
        <f t="shared" ca="1" si="247"/>
        <v/>
      </c>
      <c r="I2200" s="24" t="str">
        <f>IF(OR(E2200="",E2200="!!!",F2200="NEW"),"",INDEX(B$2:B2199,-1+SUMPRODUCT(MAX(ROW(E$2:E2199)*(E2200=E$2:E2199)))))</f>
        <v/>
      </c>
      <c r="J2200" s="24" t="str">
        <f ca="1">IF(OR(E2200="",E2200="!!!",F2200="NEW"),"",COUNTBLANK(OFFSET(A$1,,,SUMPRODUCT(MAX(ROW(E$2:E2200)*(E2200=E$2:E2200)))))-COUNTBLANK(OFFSET(A$1,,,SUMPRODUCT(MAX(ROW(E$1:E2199)*(E2=E$1:E2199))))))</f>
        <v/>
      </c>
      <c r="K2200" s="24" t="str">
        <f>IF(OR(E2200="",E2200="!!!",F2200="NEW"),"",INDEX(J$1:J2199,SUMPRODUCT(MAX(ROW(E$1:E2199)*(E2200=E$1:E2199)))))</f>
        <v/>
      </c>
      <c r="L2200" s="25"/>
    </row>
    <row r="2201" spans="1:12" x14ac:dyDescent="0.2">
      <c r="A2201" t="s">
        <v>802</v>
      </c>
      <c r="E2201" s="20" t="str">
        <f t="shared" si="246"/>
        <v/>
      </c>
      <c r="F2201" s="21" t="str">
        <f>IF(OR(E2201="",E2201="!!!"),"",IF(NOT(ISNA(VLOOKUP(E2201,E$1:E2200,1,FALSE()))),"OLD",IF(AND(E2201&lt;&gt;"",E2201&lt;&gt;"!!!"),"NEW","")))</f>
        <v/>
      </c>
      <c r="G2201" s="22" t="str">
        <f>IF(OR(E2201="",E2201="!!!"),"",IF(OR(J2201=0,AND(J2201=1,K2201=1),AND(J2201=1,I2201="SBJ"),AND(J2201=1,I2201=0)),"?IN_FOCUS",IF(J2201&lt;=2,"?ACTIVATED",IF(J2201&lt;&gt;"","?FAMILIAR",IF(F2201="NEW",IF(ISNA(VLOOKUP(E2201,#REF!,1,FALSE())),"?TYPE_IDENTIFIABLE","?REFERENTIAL"),"_")))))</f>
        <v/>
      </c>
      <c r="H2201" s="23" t="str">
        <f t="shared" ca="1" si="247"/>
        <v/>
      </c>
      <c r="I2201" s="24" t="str">
        <f>IF(OR(E2201="",E2201="!!!",F2201="NEW"),"",INDEX(B$2:B2200,-1+SUMPRODUCT(MAX(ROW(E$2:E2200)*(E2201=E$2:E2200)))))</f>
        <v/>
      </c>
      <c r="J2201" s="24" t="str">
        <f ca="1">IF(OR(E2201="",E2201="!!!",F2201="NEW"),"",COUNTBLANK(OFFSET(A$1,,,SUMPRODUCT(MAX(ROW(E$2:E2201)*(E2201=E$2:E2201)))))-COUNTBLANK(OFFSET(A$1,,,SUMPRODUCT(MAX(ROW(E$1:E2200)*(E2=E$1:E2200))))))</f>
        <v/>
      </c>
      <c r="K2201" s="24" t="str">
        <f>IF(OR(E2201="",E2201="!!!",F2201="NEW"),"",INDEX(J$1:J2200,SUMPRODUCT(MAX(ROW(E$1:E2200)*(E2201=E$1:E2200)))))</f>
        <v/>
      </c>
      <c r="L2201" s="25"/>
    </row>
    <row r="2202" spans="1:12" x14ac:dyDescent="0.2">
      <c r="A2202" t="s">
        <v>1485</v>
      </c>
      <c r="E2202" s="20" t="str">
        <f t="shared" si="246"/>
        <v/>
      </c>
      <c r="F2202" s="21" t="str">
        <f>IF(OR(E2202="",E2202="!!!"),"",IF(NOT(ISNA(VLOOKUP(E2202,E$1:E2201,1,FALSE()))),"OLD",IF(AND(E2202&lt;&gt;"",E2202&lt;&gt;"!!!"),"NEW","")))</f>
        <v/>
      </c>
      <c r="G2202" s="22" t="str">
        <f>IF(OR(E2202="",E2202="!!!"),"",IF(OR(J2202=0,AND(J2202=1,K2202=1),AND(J2202=1,I2202="SBJ"),AND(J2202=1,I2202=0)),"?IN_FOCUS",IF(J2202&lt;=2,"?ACTIVATED",IF(J2202&lt;&gt;"","?FAMILIAR",IF(F2202="NEW",IF(ISNA(VLOOKUP(E2202,#REF!,1,FALSE())),"?TYPE_IDENTIFIABLE","?REFERENTIAL"),"_")))))</f>
        <v/>
      </c>
      <c r="H2202" s="23" t="str">
        <f t="shared" ca="1" si="247"/>
        <v/>
      </c>
      <c r="I2202" s="24" t="str">
        <f>IF(OR(E2202="",E2202="!!!",F2202="NEW"),"",INDEX(B$2:B2201,-1+SUMPRODUCT(MAX(ROW(E$2:E2201)*(E2202=E$2:E2201)))))</f>
        <v/>
      </c>
      <c r="J2202" s="24" t="str">
        <f ca="1">IF(OR(E2202="",E2202="!!!",F2202="NEW"),"",COUNTBLANK(OFFSET(A$1,,,SUMPRODUCT(MAX(ROW(E$2:E2202)*(E2202=E$2:E2202)))))-COUNTBLANK(OFFSET(A$1,,,SUMPRODUCT(MAX(ROW(E$1:E2201)*(E2=E$1:E2201))))))</f>
        <v/>
      </c>
      <c r="K2202" s="24" t="str">
        <f>IF(OR(E2202="",E2202="!!!",F2202="NEW"),"",INDEX(J$1:J2201,SUMPRODUCT(MAX(ROW(E$1:E2201)*(E2202=E$1:E2201)))))</f>
        <v/>
      </c>
      <c r="L2202" s="25"/>
    </row>
    <row r="2203" spans="1:12" x14ac:dyDescent="0.2">
      <c r="A2203" t="s">
        <v>1427</v>
      </c>
      <c r="B2203" s="26" t="s">
        <v>804</v>
      </c>
      <c r="C2203" s="26" t="s">
        <v>877</v>
      </c>
      <c r="D2203" s="26" t="s">
        <v>806</v>
      </c>
      <c r="E2203" s="20" t="s">
        <v>1797</v>
      </c>
      <c r="F2203" s="21" t="str">
        <f>IF(OR(E2203="",E2203="!!!"),"",IF(NOT(ISNA(VLOOKUP(E2203,E$1:E2202,1,FALSE()))),"OLD",IF(AND(E2203&lt;&gt;"",E2203&lt;&gt;"!!!"),"NEW","")))</f>
        <v>OLD</v>
      </c>
      <c r="G2203" s="22" t="s">
        <v>1823</v>
      </c>
      <c r="H2203" s="23" t="str">
        <f t="shared" ca="1" si="247"/>
        <v/>
      </c>
      <c r="I2203" s="24" t="str">
        <f>IF(OR(E2203="",E2203="!!!",F2203="NEW"),"",INDEX(B$2:B2202,-1+SUMPRODUCT(MAX(ROW(E$2:E2202)*(E2203=E$2:E2202)))))</f>
        <v>SBJ</v>
      </c>
      <c r="J2203" s="24">
        <f ca="1">IF(OR(E2203="",E2203="!!!",F2203="NEW"),"",COUNTBLANK(OFFSET(A$1,,,SUMPRODUCT(MAX(ROW(E$2:E2203)*(E2203=E$2:E2203)))))-COUNTBLANK(OFFSET(A$1,,,SUMPRODUCT(MAX(ROW(E$1:E2202)*(E2=E$1:E2202))))))</f>
        <v>0</v>
      </c>
      <c r="K2203" s="24">
        <f ca="1">IF(OR(E2203="",E2203="!!!",F2203="NEW"),"",INDEX(J$1:J2202,SUMPRODUCT(MAX(ROW(E$1:E2202)*(E2203=E$1:E2202)))))</f>
        <v>0</v>
      </c>
      <c r="L2203" s="25"/>
    </row>
    <row r="2204" spans="1:12" x14ac:dyDescent="0.2">
      <c r="A2204" t="s">
        <v>802</v>
      </c>
      <c r="E2204" s="20" t="str">
        <f t="shared" si="246"/>
        <v/>
      </c>
      <c r="F2204" s="21" t="str">
        <f>IF(OR(E2204="",E2204="!!!"),"",IF(NOT(ISNA(VLOOKUP(E2204,E$1:E2203,1,FALSE()))),"OLD",IF(AND(E2204&lt;&gt;"",E2204&lt;&gt;"!!!"),"NEW","")))</f>
        <v/>
      </c>
      <c r="G2204" s="22" t="str">
        <f>IF(OR(E2204="",E2204="!!!"),"",IF(OR(J2204=0,AND(J2204=1,K2204=1),AND(J2204=1,I2204="SBJ"),AND(J2204=1,I2204=0)),"?IN_FOCUS",IF(J2204&lt;=2,"?ACTIVATED",IF(J2204&lt;&gt;"","?FAMILIAR",IF(F2204="NEW",IF(ISNA(VLOOKUP(E2204,#REF!,1,FALSE())),"?TYPE_IDENTIFIABLE","?REFERENTIAL"),"_")))))</f>
        <v/>
      </c>
      <c r="H2204" s="23" t="str">
        <f t="shared" ca="1" si="247"/>
        <v/>
      </c>
      <c r="I2204" s="24" t="str">
        <f>IF(OR(E2204="",E2204="!!!",F2204="NEW"),"",INDEX(B$2:B2203,-1+SUMPRODUCT(MAX(ROW(E$2:E2203)*(E2204=E$2:E2203)))))</f>
        <v/>
      </c>
      <c r="J2204" s="24" t="str">
        <f ca="1">IF(OR(E2204="",E2204="!!!",F2204="NEW"),"",COUNTBLANK(OFFSET(A$1,,,SUMPRODUCT(MAX(ROW(E$2:E2204)*(E2204=E$2:E2204)))))-COUNTBLANK(OFFSET(A$1,,,SUMPRODUCT(MAX(ROW(E$1:E2203)*(E2=E$1:E2203))))))</f>
        <v/>
      </c>
      <c r="K2204" s="24" t="str">
        <f>IF(OR(E2204="",E2204="!!!",F2204="NEW"),"",INDEX(J$1:J2203,SUMPRODUCT(MAX(ROW(E$1:E2203)*(E2204=E$1:E2203)))))</f>
        <v/>
      </c>
      <c r="L2204" s="25"/>
    </row>
    <row r="2205" spans="1:12" x14ac:dyDescent="0.2">
      <c r="A2205" t="s">
        <v>949</v>
      </c>
      <c r="B2205" s="26" t="s">
        <v>804</v>
      </c>
      <c r="C2205" s="26" t="s">
        <v>805</v>
      </c>
      <c r="D2205" s="26" t="s">
        <v>806</v>
      </c>
      <c r="E2205" s="20" t="s">
        <v>1797</v>
      </c>
      <c r="F2205" s="21" t="str">
        <f>IF(OR(E2205="",E2205="!!!"),"",IF(NOT(ISNA(VLOOKUP(E2205,E$1:E2204,1,FALSE()))),"OLD",IF(AND(E2205&lt;&gt;"",E2205&lt;&gt;"!!!"),"NEW","")))</f>
        <v>OLD</v>
      </c>
      <c r="G2205" s="22" t="s">
        <v>1823</v>
      </c>
      <c r="H2205" s="23" t="str">
        <f t="shared" ca="1" si="247"/>
        <v/>
      </c>
      <c r="I2205" s="24" t="str">
        <f>IF(OR(E2205="",E2205="!!!",F2205="NEW"),"",INDEX(B$2:B2204,-1+SUMPRODUCT(MAX(ROW(E$2:E2204)*(E2205=E$2:E2204)))))</f>
        <v>SBJ</v>
      </c>
      <c r="J2205" s="24">
        <f ca="1">IF(OR(E2205="",E2205="!!!",F2205="NEW"),"",COUNTBLANK(OFFSET(A$1,,,SUMPRODUCT(MAX(ROW(E$2:E2205)*(E2205=E$2:E2205)))))-COUNTBLANK(OFFSET(A$1,,,SUMPRODUCT(MAX(ROW(E$1:E2204)*(E2=E$1:E2204))))))</f>
        <v>0</v>
      </c>
      <c r="K2205" s="24">
        <f ca="1">IF(OR(E2205="",E2205="!!!",F2205="NEW"),"",INDEX(J$1:J2204,SUMPRODUCT(MAX(ROW(E$1:E2204)*(E2205=E$1:E2204)))))</f>
        <v>0</v>
      </c>
      <c r="L2205" s="25"/>
    </row>
    <row r="2206" spans="1:12" x14ac:dyDescent="0.2">
      <c r="A2206" t="s">
        <v>1486</v>
      </c>
      <c r="E2206" s="20" t="str">
        <f t="shared" si="246"/>
        <v/>
      </c>
      <c r="F2206" s="21" t="str">
        <f>IF(OR(E2206="",E2206="!!!"),"",IF(NOT(ISNA(VLOOKUP(E2206,E$1:E2205,1,FALSE()))),"OLD",IF(AND(E2206&lt;&gt;"",E2206&lt;&gt;"!!!"),"NEW","")))</f>
        <v/>
      </c>
      <c r="G2206" s="22" t="str">
        <f>IF(OR(E2206="",E2206="!!!"),"",IF(OR(J2206=0,AND(J2206=1,K2206=1),AND(J2206=1,I2206="SBJ"),AND(J2206=1,I2206=0)),"?IN_FOCUS",IF(J2206&lt;=2,"?ACTIVATED",IF(J2206&lt;&gt;"","?FAMILIAR",IF(F2206="NEW",IF(ISNA(VLOOKUP(E2206,#REF!,1,FALSE())),"?TYPE_IDENTIFIABLE","?REFERENTIAL"),"_")))))</f>
        <v/>
      </c>
      <c r="H2206" s="23" t="str">
        <f t="shared" ca="1" si="247"/>
        <v/>
      </c>
      <c r="I2206" s="24" t="str">
        <f>IF(OR(E2206="",E2206="!!!",F2206="NEW"),"",INDEX(B$2:B2205,-1+SUMPRODUCT(MAX(ROW(E$2:E2205)*(E2206=E$2:E2205)))))</f>
        <v/>
      </c>
      <c r="J2206" s="24" t="str">
        <f ca="1">IF(OR(E2206="",E2206="!!!",F2206="NEW"),"",COUNTBLANK(OFFSET(A$1,,,SUMPRODUCT(MAX(ROW(E$2:E2206)*(E2206=E$2:E2206)))))-COUNTBLANK(OFFSET(A$1,,,SUMPRODUCT(MAX(ROW(E$1:E2205)*(E2=E$1:E2205))))))</f>
        <v/>
      </c>
      <c r="K2206" s="24" t="str">
        <f>IF(OR(E2206="",E2206="!!!",F2206="NEW"),"",INDEX(J$1:J2205,SUMPRODUCT(MAX(ROW(E$1:E2205)*(E2206=E$1:E2205)))))</f>
        <v/>
      </c>
      <c r="L2206" s="25"/>
    </row>
    <row r="2207" spans="1:12" x14ac:dyDescent="0.2">
      <c r="A2207" t="s">
        <v>999</v>
      </c>
      <c r="E2207" s="20" t="str">
        <f t="shared" si="246"/>
        <v/>
      </c>
      <c r="F2207" s="21" t="str">
        <f>IF(OR(E2207="",E2207="!!!"),"",IF(NOT(ISNA(VLOOKUP(E2207,E$1:E2206,1,FALSE()))),"OLD",IF(AND(E2207&lt;&gt;"",E2207&lt;&gt;"!!!"),"NEW","")))</f>
        <v/>
      </c>
      <c r="G2207" s="22" t="str">
        <f>IF(OR(E2207="",E2207="!!!"),"",IF(OR(J2207=0,AND(J2207=1,K2207=1),AND(J2207=1,I2207="SBJ"),AND(J2207=1,I2207=0)),"?IN_FOCUS",IF(J2207&lt;=2,"?ACTIVATED",IF(J2207&lt;&gt;"","?FAMILIAR",IF(F2207="NEW",IF(ISNA(VLOOKUP(E2207,#REF!,1,FALSE())),"?TYPE_IDENTIFIABLE","?REFERENTIAL"),"_")))))</f>
        <v/>
      </c>
      <c r="H2207" s="23" t="str">
        <f t="shared" ca="1" si="247"/>
        <v/>
      </c>
      <c r="I2207" s="24" t="str">
        <f>IF(OR(E2207="",E2207="!!!",F2207="NEW"),"",INDEX(B$2:B2206,-1+SUMPRODUCT(MAX(ROW(E$2:E2206)*(E2207=E$2:E2206)))))</f>
        <v/>
      </c>
      <c r="J2207" s="24" t="str">
        <f ca="1">IF(OR(E2207="",E2207="!!!",F2207="NEW"),"",COUNTBLANK(OFFSET(A$1,,,SUMPRODUCT(MAX(ROW(E$2:E2207)*(E2207=E$2:E2207)))))-COUNTBLANK(OFFSET(A$1,,,SUMPRODUCT(MAX(ROW(E$1:E2206)*(E2=E$1:E2206))))))</f>
        <v/>
      </c>
      <c r="K2207" s="24" t="str">
        <f>IF(OR(E2207="",E2207="!!!",F2207="NEW"),"",INDEX(J$1:J2206,SUMPRODUCT(MAX(ROW(E$1:E2206)*(E2207=E$1:E2206)))))</f>
        <v/>
      </c>
      <c r="L2207" s="25"/>
    </row>
    <row r="2208" spans="1:12" x14ac:dyDescent="0.2">
      <c r="A2208" t="s">
        <v>1487</v>
      </c>
      <c r="E2208" s="20" t="str">
        <f t="shared" si="246"/>
        <v/>
      </c>
      <c r="F2208" s="21" t="str">
        <f>IF(OR(E2208="",E2208="!!!"),"",IF(NOT(ISNA(VLOOKUP(E2208,E$1:E2207,1,FALSE()))),"OLD",IF(AND(E2208&lt;&gt;"",E2208&lt;&gt;"!!!"),"NEW","")))</f>
        <v/>
      </c>
      <c r="G2208" s="22" t="str">
        <f>IF(OR(E2208="",E2208="!!!"),"",IF(OR(J2208=0,AND(J2208=1,K2208=1),AND(J2208=1,I2208="SBJ"),AND(J2208=1,I2208=0)),"?IN_FOCUS",IF(J2208&lt;=2,"?ACTIVATED",IF(J2208&lt;&gt;"","?FAMILIAR",IF(F2208="NEW",IF(ISNA(VLOOKUP(E2208,#REF!,1,FALSE())),"?TYPE_IDENTIFIABLE","?REFERENTIAL"),"_")))))</f>
        <v/>
      </c>
      <c r="H2208" s="23" t="str">
        <f t="shared" ca="1" si="247"/>
        <v/>
      </c>
      <c r="I2208" s="24" t="str">
        <f>IF(OR(E2208="",E2208="!!!",F2208="NEW"),"",INDEX(B$2:B2207,-1+SUMPRODUCT(MAX(ROW(E$2:E2207)*(E2208=E$2:E2207)))))</f>
        <v/>
      </c>
      <c r="J2208" s="24" t="str">
        <f ca="1">IF(OR(E2208="",E2208="!!!",F2208="NEW"),"",COUNTBLANK(OFFSET(A$1,,,SUMPRODUCT(MAX(ROW(E$2:E2208)*(E2208=E$2:E2208)))))-COUNTBLANK(OFFSET(A$1,,,SUMPRODUCT(MAX(ROW(E$1:E2207)*(E2=E$1:E2207))))))</f>
        <v/>
      </c>
      <c r="K2208" s="24" t="str">
        <f>IF(OR(E2208="",E2208="!!!",F2208="NEW"),"",INDEX(J$1:J2207,SUMPRODUCT(MAX(ROW(E$1:E2207)*(E2208=E$1:E2207)))))</f>
        <v/>
      </c>
      <c r="L2208" s="25"/>
    </row>
    <row r="2209" spans="1:12" x14ac:dyDescent="0.2">
      <c r="A2209" t="s">
        <v>78</v>
      </c>
      <c r="E2209" s="20" t="str">
        <f t="shared" si="246"/>
        <v/>
      </c>
      <c r="F2209" s="21" t="str">
        <f>IF(OR(E2209="",E2209="!!!"),"",IF(NOT(ISNA(VLOOKUP(E2209,E$1:E2208,1,FALSE()))),"OLD",IF(AND(E2209&lt;&gt;"",E2209&lt;&gt;"!!!"),"NEW","")))</f>
        <v/>
      </c>
      <c r="G2209" s="22" t="str">
        <f>IF(OR(E2209="",E2209="!!!"),"",IF(OR(J2209=0,AND(J2209=1,K2209=1),AND(J2209=1,I2209="SBJ"),AND(J2209=1,I2209=0)),"?IN_FOCUS",IF(J2209&lt;=2,"?ACTIVATED",IF(J2209&lt;&gt;"","?FAMILIAR",IF(F2209="NEW",IF(ISNA(VLOOKUP(E2209,#REF!,1,FALSE())),"?TYPE_IDENTIFIABLE","?REFERENTIAL"),"_")))))</f>
        <v/>
      </c>
      <c r="H2209" s="23" t="str">
        <f t="shared" ca="1" si="247"/>
        <v/>
      </c>
      <c r="I2209" s="24" t="str">
        <f>IF(OR(E2209="",E2209="!!!",F2209="NEW"),"",INDEX(B$2:B2208,-1+SUMPRODUCT(MAX(ROW(E$2:E2208)*(E2209=E$2:E2208)))))</f>
        <v/>
      </c>
      <c r="J2209" s="24" t="str">
        <f ca="1">IF(OR(E2209="",E2209="!!!",F2209="NEW"),"",COUNTBLANK(OFFSET(A$1,,,SUMPRODUCT(MAX(ROW(E$2:E2209)*(E2209=E$2:E2209)))))-COUNTBLANK(OFFSET(A$1,,,SUMPRODUCT(MAX(ROW(E$1:E2208)*(E2=E$1:E2208))))))</f>
        <v/>
      </c>
      <c r="K2209" s="24" t="str">
        <f>IF(OR(E2209="",E2209="!!!",F2209="NEW"),"",INDEX(J$1:J2208,SUMPRODUCT(MAX(ROW(E$1:E2208)*(E2209=E$1:E2208)))))</f>
        <v/>
      </c>
      <c r="L2209" s="25"/>
    </row>
    <row r="2210" spans="1:12" x14ac:dyDescent="0.2">
      <c r="A2210" t="s">
        <v>1293</v>
      </c>
      <c r="B2210" s="26" t="s">
        <v>819</v>
      </c>
      <c r="C2210" s="26" t="s">
        <v>907</v>
      </c>
      <c r="D2210" s="26" t="s">
        <v>806</v>
      </c>
      <c r="E2210" s="20" t="s">
        <v>1776</v>
      </c>
      <c r="F2210" s="21" t="str">
        <f>IF(OR(E2210="",E2210="!!!"),"",IF(NOT(ISNA(VLOOKUP(E2210,E$1:E2209,1,FALSE()))),"OLD",IF(AND(E2210&lt;&gt;"",E2210&lt;&gt;"!!!"),"NEW","")))</f>
        <v>OLD</v>
      </c>
      <c r="G2210" s="22" t="s">
        <v>1822</v>
      </c>
      <c r="H2210" s="23" t="str">
        <f t="shared" ca="1" si="247"/>
        <v/>
      </c>
      <c r="I2210" s="24" t="str">
        <f>IF(OR(E2210="",E2210="!!!",F2210="NEW"),"",INDEX(B$2:B2209,-1+SUMPRODUCT(MAX(ROW(E$2:E2209)*(E2210=E$2:E2209)))))</f>
        <v>SBJ</v>
      </c>
      <c r="J2210" s="24">
        <f ca="1">IF(OR(E2210="",E2210="!!!",F2210="NEW"),"",COUNTBLANK(OFFSET(A$1,,,SUMPRODUCT(MAX(ROW(E$2:E2210)*(E2210=E$2:E2210)))))-COUNTBLANK(OFFSET(A$1,,,SUMPRODUCT(MAX(ROW(E$1:E2209)*(E2=E$1:E2209))))))</f>
        <v>0</v>
      </c>
      <c r="K2210" s="24">
        <f ca="1">IF(OR(E2210="",E2210="!!!",F2210="NEW"),"",INDEX(J$1:J2209,SUMPRODUCT(MAX(ROW(E$1:E2209)*(E2210=E$1:E2209)))))</f>
        <v>0</v>
      </c>
      <c r="L2210" s="25"/>
    </row>
    <row r="2211" spans="1:12" x14ac:dyDescent="0.2">
      <c r="A2211" t="s">
        <v>815</v>
      </c>
      <c r="E2211" s="20" t="str">
        <f t="shared" si="246"/>
        <v/>
      </c>
      <c r="F2211" s="21" t="str">
        <f>IF(OR(E2211="",E2211="!!!"),"",IF(NOT(ISNA(VLOOKUP(E2211,E$1:E2210,1,FALSE()))),"OLD",IF(AND(E2211&lt;&gt;"",E2211&lt;&gt;"!!!"),"NEW","")))</f>
        <v/>
      </c>
      <c r="G2211" s="22" t="str">
        <f>IF(OR(E2211="",E2211="!!!"),"",IF(OR(J2211=0,AND(J2211=1,K2211=1),AND(J2211=1,I2211="SBJ"),AND(J2211=1,I2211=0)),"?IN_FOCUS",IF(J2211&lt;=2,"?ACTIVATED",IF(J2211&lt;&gt;"","?FAMILIAR",IF(F2211="NEW",IF(ISNA(VLOOKUP(E2211,#REF!,1,FALSE())),"?TYPE_IDENTIFIABLE","?REFERENTIAL"),"_")))))</f>
        <v/>
      </c>
      <c r="H2211" s="23" t="str">
        <f t="shared" ca="1" si="247"/>
        <v/>
      </c>
      <c r="I2211" s="24" t="str">
        <f>IF(OR(E2211="",E2211="!!!",F2211="NEW"),"",INDEX(B$2:B2210,-1+SUMPRODUCT(MAX(ROW(E$2:E2210)*(E2211=E$2:E2210)))))</f>
        <v/>
      </c>
      <c r="J2211" s="24" t="str">
        <f ca="1">IF(OR(E2211="",E2211="!!!",F2211="NEW"),"",COUNTBLANK(OFFSET(A$1,,,SUMPRODUCT(MAX(ROW(E$2:E2211)*(E2211=E$2:E2211)))))-COUNTBLANK(OFFSET(A$1,,,SUMPRODUCT(MAX(ROW(E$1:E2210)*(E2=E$1:E2210))))))</f>
        <v/>
      </c>
      <c r="K2211" s="24" t="str">
        <f>IF(OR(E2211="",E2211="!!!",F2211="NEW"),"",INDEX(J$1:J2210,SUMPRODUCT(MAX(ROW(E$1:E2210)*(E2211=E$1:E2210)))))</f>
        <v/>
      </c>
      <c r="L2211" s="25"/>
    </row>
    <row r="2212" spans="1:12" x14ac:dyDescent="0.2">
      <c r="A2212" t="s">
        <v>845</v>
      </c>
      <c r="E2212" s="20" t="str">
        <f t="shared" si="246"/>
        <v/>
      </c>
      <c r="F2212" s="21" t="str">
        <f>IF(OR(E2212="",E2212="!!!"),"",IF(NOT(ISNA(VLOOKUP(E2212,E$1:E2211,1,FALSE()))),"OLD",IF(AND(E2212&lt;&gt;"",E2212&lt;&gt;"!!!"),"NEW","")))</f>
        <v/>
      </c>
      <c r="G2212" s="22" t="str">
        <f>IF(OR(E2212="",E2212="!!!"),"",IF(OR(J2212=0,AND(J2212=1,K2212=1),AND(J2212=1,I2212="SBJ"),AND(J2212=1,I2212=0)),"?IN_FOCUS",IF(J2212&lt;=2,"?ACTIVATED",IF(J2212&lt;&gt;"","?FAMILIAR",IF(F2212="NEW",IF(ISNA(VLOOKUP(E2212,#REF!,1,FALSE())),"?TYPE_IDENTIFIABLE","?REFERENTIAL"),"_")))))</f>
        <v/>
      </c>
      <c r="H2212" s="23" t="str">
        <f t="shared" ca="1" si="247"/>
        <v/>
      </c>
      <c r="I2212" s="24" t="str">
        <f>IF(OR(E2212="",E2212="!!!",F2212="NEW"),"",INDEX(B$2:B2211,-1+SUMPRODUCT(MAX(ROW(E$2:E2211)*(E2212=E$2:E2211)))))</f>
        <v/>
      </c>
      <c r="J2212" s="24" t="str">
        <f ca="1">IF(OR(E2212="",E2212="!!!",F2212="NEW"),"",COUNTBLANK(OFFSET(A$1,,,SUMPRODUCT(MAX(ROW(E$2:E2212)*(E2212=E$2:E2212)))))-COUNTBLANK(OFFSET(A$1,,,SUMPRODUCT(MAX(ROW(E$1:E2211)*(E2=E$1:E2211))))))</f>
        <v/>
      </c>
      <c r="K2212" s="24" t="str">
        <f>IF(OR(E2212="",E2212="!!!",F2212="NEW"),"",INDEX(J$1:J2211,SUMPRODUCT(MAX(ROW(E$1:E2211)*(E2212=E$1:E2211)))))</f>
        <v/>
      </c>
      <c r="L2212" s="25"/>
    </row>
    <row r="2213" spans="1:12" x14ac:dyDescent="0.2">
      <c r="A2213" t="s">
        <v>828</v>
      </c>
      <c r="E2213" s="20" t="str">
        <f t="shared" si="246"/>
        <v/>
      </c>
      <c r="F2213" s="21" t="str">
        <f>IF(OR(E2213="",E2213="!!!"),"",IF(NOT(ISNA(VLOOKUP(E2213,E$1:E2212,1,FALSE()))),"OLD",IF(AND(E2213&lt;&gt;"",E2213&lt;&gt;"!!!"),"NEW","")))</f>
        <v/>
      </c>
      <c r="G2213" s="22" t="str">
        <f>IF(OR(E2213="",E2213="!!!"),"",IF(OR(J2213=0,AND(J2213=1,K2213=1),AND(J2213=1,I2213="SBJ"),AND(J2213=1,I2213=0)),"?IN_FOCUS",IF(J2213&lt;=2,"?ACTIVATED",IF(J2213&lt;&gt;"","?FAMILIAR",IF(F2213="NEW",IF(ISNA(VLOOKUP(E2213,#REF!,1,FALSE())),"?TYPE_IDENTIFIABLE","?REFERENTIAL"),"_")))))</f>
        <v/>
      </c>
      <c r="H2213" s="23" t="str">
        <f t="shared" ca="1" si="247"/>
        <v/>
      </c>
      <c r="I2213" s="24" t="str">
        <f>IF(OR(E2213="",E2213="!!!",F2213="NEW"),"",INDEX(B$2:B2212,-1+SUMPRODUCT(MAX(ROW(E$2:E2212)*(E2213=E$2:E2212)))))</f>
        <v/>
      </c>
      <c r="J2213" s="24" t="str">
        <f ca="1">IF(OR(E2213="",E2213="!!!",F2213="NEW"),"",COUNTBLANK(OFFSET(A$1,,,SUMPRODUCT(MAX(ROW(E$2:E2213)*(E2213=E$2:E2213)))))-COUNTBLANK(OFFSET(A$1,,,SUMPRODUCT(MAX(ROW(E$1:E2212)*(E2=E$1:E2212))))))</f>
        <v/>
      </c>
      <c r="K2213" s="24" t="str">
        <f>IF(OR(E2213="",E2213="!!!",F2213="NEW"),"",INDEX(J$1:J2212,SUMPRODUCT(MAX(ROW(E$1:E2212)*(E2213=E$1:E2212)))))</f>
        <v/>
      </c>
      <c r="L2213" s="25"/>
    </row>
    <row r="2214" spans="1:12" x14ac:dyDescent="0.2">
      <c r="A2214" t="s">
        <v>1242</v>
      </c>
      <c r="B2214" s="26" t="s">
        <v>819</v>
      </c>
      <c r="C2214" s="26" t="s">
        <v>847</v>
      </c>
      <c r="D2214" s="26" t="s">
        <v>806</v>
      </c>
      <c r="E2214" s="20"/>
      <c r="F2214" s="21" t="s">
        <v>1764</v>
      </c>
      <c r="G2214" s="22" t="str">
        <f>IF(OR(E2214="",E2214="!!!"),"",IF(OR(J2214=0,AND(J2214=1,K2214=1),AND(J2214=1,I2214="SBJ"),AND(J2214=1,I2214=0)),"?IN_FOCUS",IF(J2214&lt;=2,"?ACTIVATED",IF(J2214&lt;&gt;"","?FAMILIAR",IF(F2214="NEW",IF(ISNA(VLOOKUP(E2214,#REF!,1,FALSE())),"?TYPE_IDENTIFIABLE","?REFERENTIAL"),"_")))))</f>
        <v/>
      </c>
      <c r="H2214" s="23" t="str">
        <f t="shared" ca="1" si="247"/>
        <v/>
      </c>
      <c r="I2214" s="24" t="str">
        <f>IF(OR(E2214="",E2214="!!!",F2214="NEW"),"",INDEX(B$2:B2213,-1+SUMPRODUCT(MAX(ROW(E$2:E2213)*(E2214=E$2:E2213)))))</f>
        <v/>
      </c>
      <c r="J2214" s="24" t="str">
        <f ca="1">IF(OR(E2214="",E2214="!!!",F2214="NEW"),"",COUNTBLANK(OFFSET(A$1,,,SUMPRODUCT(MAX(ROW(E$2:E2214)*(E2214=E$2:E2214)))))-COUNTBLANK(OFFSET(A$1,,,SUMPRODUCT(MAX(ROW(E$1:E2213)*(E2=E$1:E2213))))))</f>
        <v/>
      </c>
      <c r="K2214" s="24" t="str">
        <f>IF(OR(E2214="",E2214="!!!",F2214="NEW"),"",INDEX(J$1:J2213,SUMPRODUCT(MAX(ROW(E$1:E2213)*(E2214=E$1:E2213)))))</f>
        <v/>
      </c>
      <c r="L2214" s="25"/>
    </row>
    <row r="2215" spans="1:12" x14ac:dyDescent="0.2">
      <c r="A2215" t="s">
        <v>821</v>
      </c>
      <c r="E2215" s="20" t="str">
        <f t="shared" si="246"/>
        <v/>
      </c>
      <c r="F2215" s="21" t="str">
        <f>IF(OR(E2215="",E2215="!!!"),"",IF(NOT(ISNA(VLOOKUP(E2215,E$1:E2214,1,FALSE()))),"OLD",IF(AND(E2215&lt;&gt;"",E2215&lt;&gt;"!!!"),"NEW","")))</f>
        <v/>
      </c>
      <c r="G2215" s="22" t="str">
        <f>IF(OR(E2215="",E2215="!!!"),"",IF(OR(J2215=0,AND(J2215=1,K2215=1),AND(J2215=1,I2215="SBJ"),AND(J2215=1,I2215=0)),"?IN_FOCUS",IF(J2215&lt;=2,"?ACTIVATED",IF(J2215&lt;&gt;"","?FAMILIAR",IF(F2215="NEW",IF(ISNA(VLOOKUP(E2215,#REF!,1,FALSE())),"?TYPE_IDENTIFIABLE","?REFERENTIAL"),"_")))))</f>
        <v/>
      </c>
      <c r="H2215" s="23" t="str">
        <f t="shared" ca="1" si="247"/>
        <v/>
      </c>
      <c r="I2215" s="24" t="str">
        <f>IF(OR(E2215="",E2215="!!!",F2215="NEW"),"",INDEX(B$2:B2214,-1+SUMPRODUCT(MAX(ROW(E$2:E2214)*(E2215=E$2:E2214)))))</f>
        <v/>
      </c>
      <c r="J2215" s="24" t="str">
        <f ca="1">IF(OR(E2215="",E2215="!!!",F2215="NEW"),"",COUNTBLANK(OFFSET(A$1,,,SUMPRODUCT(MAX(ROW(E$2:E2215)*(E2215=E$2:E2215)))))-COUNTBLANK(OFFSET(A$1,,,SUMPRODUCT(MAX(ROW(E$1:E2214)*(E2=E$1:E2214))))))</f>
        <v/>
      </c>
      <c r="K2215" s="24" t="str">
        <f>IF(OR(E2215="",E2215="!!!",F2215="NEW"),"",INDEX(J$1:J2214,SUMPRODUCT(MAX(ROW(E$1:E2214)*(E2215=E$1:E2214)))))</f>
        <v/>
      </c>
      <c r="L2215" s="25"/>
    </row>
    <row r="2217" spans="1:12" x14ac:dyDescent="0.2">
      <c r="A2217" t="s">
        <v>1488</v>
      </c>
    </row>
    <row r="2218" spans="1:12" x14ac:dyDescent="0.2">
      <c r="A2218" t="s">
        <v>1216</v>
      </c>
      <c r="B2218" s="26" t="s">
        <v>804</v>
      </c>
      <c r="C2218" s="26" t="s">
        <v>805</v>
      </c>
      <c r="D2218" s="26" t="s">
        <v>806</v>
      </c>
      <c r="E2218" s="20" t="s">
        <v>1797</v>
      </c>
      <c r="F2218" s="21" t="str">
        <f>IF(OR(E2218="",E2218="!!!"),"",IF(NOT(ISNA(VLOOKUP(E2218,E$1:E2217,1,FALSE()))),"OLD",IF(AND(E2218&lt;&gt;"",E2218&lt;&gt;"!!!"),"NEW","")))</f>
        <v>OLD</v>
      </c>
      <c r="G2218" s="22" t="s">
        <v>1823</v>
      </c>
      <c r="H2218" s="23" t="str">
        <f t="shared" ref="H2218:H2236" ca="1" si="248">IF(J2218&lt;&gt;1,"",IF(I2218="SBJ","CB","?"))</f>
        <v/>
      </c>
      <c r="I2218" s="24" t="str">
        <f>IF(OR(E2218="",E2218="!!!",F2218="NEW"),"",INDEX(B$2:B2217,-1+SUMPRODUCT(MAX(ROW(E$2:E2217)*(E2218=E$2:E2217)))))</f>
        <v>SBJ</v>
      </c>
      <c r="J2218" s="24">
        <f ca="1">IF(OR(E2218="",E2218="!!!",F2218="NEW"),"",COUNTBLANK(OFFSET(A$1,,,SUMPRODUCT(MAX(ROW(E$2:E2218)*(E2218=E$2:E2218)))))-COUNTBLANK(OFFSET(A$1,,,SUMPRODUCT(MAX(ROW(E$1:E2217)*(E2=E$1:E2217))))))</f>
        <v>0</v>
      </c>
      <c r="K2218" s="24">
        <f ca="1">IF(OR(E2218="",E2218="!!!",F2218="NEW"),"",INDEX(J$1:J2217,SUMPRODUCT(MAX(ROW(E$1:E2217)*(E2218=E$1:E2217)))))</f>
        <v>0</v>
      </c>
      <c r="L2218" s="25"/>
    </row>
    <row r="2219" spans="1:12" x14ac:dyDescent="0.2">
      <c r="A2219" t="s">
        <v>1489</v>
      </c>
      <c r="E2219" s="20" t="str">
        <f t="shared" ref="E2218:E2236" si="249">IF(D2219="?OLD","!!!","")</f>
        <v/>
      </c>
      <c r="F2219" s="21" t="str">
        <f>IF(OR(E2219="",E2219="!!!"),"",IF(NOT(ISNA(VLOOKUP(E2219,E$1:E2218,1,FALSE()))),"OLD",IF(AND(E2219&lt;&gt;"",E2219&lt;&gt;"!!!"),"NEW","")))</f>
        <v/>
      </c>
      <c r="G2219" s="22" t="str">
        <f>IF(OR(E2219="",E2219="!!!"),"",IF(OR(J2219=0,AND(J2219=1,K2219=1),AND(J2219=1,I2219="SBJ"),AND(J2219=1,I2219=0)),"?IN_FOCUS",IF(J2219&lt;=2,"?ACTIVATED",IF(J2219&lt;&gt;"","?FAMILIAR",IF(F2219="NEW",IF(ISNA(VLOOKUP(E2219,#REF!,1,FALSE())),"?TYPE_IDENTIFIABLE","?REFERENTIAL"),"_")))))</f>
        <v/>
      </c>
      <c r="H2219" s="23" t="str">
        <f t="shared" ca="1" si="248"/>
        <v/>
      </c>
      <c r="I2219" s="24" t="str">
        <f>IF(OR(E2219="",E2219="!!!",F2219="NEW"),"",INDEX(B$2:B2218,-1+SUMPRODUCT(MAX(ROW(E$2:E2218)*(E2219=E$2:E2218)))))</f>
        <v/>
      </c>
      <c r="J2219" s="24" t="str">
        <f ca="1">IF(OR(E2219="",E2219="!!!",F2219="NEW"),"",COUNTBLANK(OFFSET(A$1,,,SUMPRODUCT(MAX(ROW(E$2:E2219)*(E2219=E$2:E2219)))))-COUNTBLANK(OFFSET(A$1,,,SUMPRODUCT(MAX(ROW(E$1:E2218)*(E2=E$1:E2218))))))</f>
        <v/>
      </c>
      <c r="K2219" s="24" t="str">
        <f>IF(OR(E2219="",E2219="!!!",F2219="NEW"),"",INDEX(J$1:J2218,SUMPRODUCT(MAX(ROW(E$1:E2218)*(E2219=E$1:E2218)))))</f>
        <v/>
      </c>
      <c r="L2219" s="25"/>
    </row>
    <row r="2220" spans="1:12" x14ac:dyDescent="0.2">
      <c r="A2220" t="s">
        <v>815</v>
      </c>
      <c r="E2220" s="20" t="str">
        <f t="shared" si="249"/>
        <v/>
      </c>
      <c r="F2220" s="21" t="str">
        <f>IF(OR(E2220="",E2220="!!!"),"",IF(NOT(ISNA(VLOOKUP(E2220,E$1:E2219,1,FALSE()))),"OLD",IF(AND(E2220&lt;&gt;"",E2220&lt;&gt;"!!!"),"NEW","")))</f>
        <v/>
      </c>
      <c r="G2220" s="22" t="str">
        <f>IF(OR(E2220="",E2220="!!!"),"",IF(OR(J2220=0,AND(J2220=1,K2220=1),AND(J2220=1,I2220="SBJ"),AND(J2220=1,I2220=0)),"?IN_FOCUS",IF(J2220&lt;=2,"?ACTIVATED",IF(J2220&lt;&gt;"","?FAMILIAR",IF(F2220="NEW",IF(ISNA(VLOOKUP(E2220,#REF!,1,FALSE())),"?TYPE_IDENTIFIABLE","?REFERENTIAL"),"_")))))</f>
        <v/>
      </c>
      <c r="H2220" s="23" t="str">
        <f t="shared" ca="1" si="248"/>
        <v/>
      </c>
      <c r="I2220" s="24" t="str">
        <f>IF(OR(E2220="",E2220="!!!",F2220="NEW"),"",INDEX(B$2:B2219,-1+SUMPRODUCT(MAX(ROW(E$2:E2219)*(E2220=E$2:E2219)))))</f>
        <v/>
      </c>
      <c r="J2220" s="24" t="str">
        <f ca="1">IF(OR(E2220="",E2220="!!!",F2220="NEW"),"",COUNTBLANK(OFFSET(A$1,,,SUMPRODUCT(MAX(ROW(E$2:E2220)*(E2220=E$2:E2220)))))-COUNTBLANK(OFFSET(A$1,,,SUMPRODUCT(MAX(ROW(E$1:E2219)*(E2=E$1:E2219))))))</f>
        <v/>
      </c>
      <c r="K2220" s="24" t="str">
        <f>IF(OR(E2220="",E2220="!!!",F2220="NEW"),"",INDEX(J$1:J2219,SUMPRODUCT(MAX(ROW(E$1:E2219)*(E2220=E$1:E2219)))))</f>
        <v/>
      </c>
      <c r="L2220" s="25"/>
    </row>
    <row r="2221" spans="1:12" x14ac:dyDescent="0.2">
      <c r="A2221" t="s">
        <v>809</v>
      </c>
      <c r="E2221" s="20" t="str">
        <f t="shared" si="249"/>
        <v/>
      </c>
      <c r="F2221" s="21" t="str">
        <f>IF(OR(E2221="",E2221="!!!"),"",IF(NOT(ISNA(VLOOKUP(E2221,E$1:E2220,1,FALSE()))),"OLD",IF(AND(E2221&lt;&gt;"",E2221&lt;&gt;"!!!"),"NEW","")))</f>
        <v/>
      </c>
      <c r="G2221" s="22" t="str">
        <f>IF(OR(E2221="",E2221="!!!"),"",IF(OR(J2221=0,AND(J2221=1,K2221=1),AND(J2221=1,I2221="SBJ"),AND(J2221=1,I2221=0)),"?IN_FOCUS",IF(J2221&lt;=2,"?ACTIVATED",IF(J2221&lt;&gt;"","?FAMILIAR",IF(F2221="NEW",IF(ISNA(VLOOKUP(E2221,#REF!,1,FALSE())),"?TYPE_IDENTIFIABLE","?REFERENTIAL"),"_")))))</f>
        <v/>
      </c>
      <c r="H2221" s="23" t="str">
        <f t="shared" ca="1" si="248"/>
        <v/>
      </c>
      <c r="I2221" s="24" t="str">
        <f>IF(OR(E2221="",E2221="!!!",F2221="NEW"),"",INDEX(B$2:B2220,-1+SUMPRODUCT(MAX(ROW(E$2:E2220)*(E2221=E$2:E2220)))))</f>
        <v/>
      </c>
      <c r="J2221" s="24" t="str">
        <f ca="1">IF(OR(E2221="",E2221="!!!",F2221="NEW"),"",COUNTBLANK(OFFSET(A$1,,,SUMPRODUCT(MAX(ROW(E$2:E2221)*(E2221=E$2:E2221)))))-COUNTBLANK(OFFSET(A$1,,,SUMPRODUCT(MAX(ROW(E$1:E2220)*(E2=E$1:E2220))))))</f>
        <v/>
      </c>
      <c r="K2221" s="24" t="str">
        <f>IF(OR(E2221="",E2221="!!!",F2221="NEW"),"",INDEX(J$1:J2220,SUMPRODUCT(MAX(ROW(E$1:E2220)*(E2221=E$1:E2220)))))</f>
        <v/>
      </c>
      <c r="L2221" s="25"/>
    </row>
    <row r="2222" spans="1:12" x14ac:dyDescent="0.2">
      <c r="A2222" t="s">
        <v>1490</v>
      </c>
      <c r="B2222" s="26" t="s">
        <v>819</v>
      </c>
      <c r="C2222" s="26" t="s">
        <v>811</v>
      </c>
      <c r="E2222" s="20" t="str">
        <f t="shared" si="249"/>
        <v/>
      </c>
      <c r="F2222" s="21" t="str">
        <f>IF(OR(E2222="",E2222="!!!"),"",IF(NOT(ISNA(VLOOKUP(E2222,E$1:E2221,1,FALSE()))),"OLD",IF(AND(E2222&lt;&gt;"",E2222&lt;&gt;"!!!"),"NEW","")))</f>
        <v/>
      </c>
      <c r="G2222" s="22" t="str">
        <f>IF(OR(E2222="",E2222="!!!"),"",IF(OR(J2222=0,AND(J2222=1,K2222=1),AND(J2222=1,I2222="SBJ"),AND(J2222=1,I2222=0)),"?IN_FOCUS",IF(J2222&lt;=2,"?ACTIVATED",IF(J2222&lt;&gt;"","?FAMILIAR",IF(F2222="NEW",IF(ISNA(VLOOKUP(E2222,#REF!,1,FALSE())),"?TYPE_IDENTIFIABLE","?REFERENTIAL"),"_")))))</f>
        <v/>
      </c>
      <c r="H2222" s="23" t="str">
        <f t="shared" ca="1" si="248"/>
        <v/>
      </c>
      <c r="I2222" s="24" t="str">
        <f>IF(OR(E2222="",E2222="!!!",F2222="NEW"),"",INDEX(B$2:B2221,-1+SUMPRODUCT(MAX(ROW(E$2:E2221)*(E2222=E$2:E2221)))))</f>
        <v/>
      </c>
      <c r="J2222" s="24" t="str">
        <f ca="1">IF(OR(E2222="",E2222="!!!",F2222="NEW"),"",COUNTBLANK(OFFSET(A$1,,,SUMPRODUCT(MAX(ROW(E$2:E2222)*(E2222=E$2:E2222)))))-COUNTBLANK(OFFSET(A$1,,,SUMPRODUCT(MAX(ROW(E$1:E2221)*(E2=E$1:E2221))))))</f>
        <v/>
      </c>
      <c r="K2222" s="24" t="str">
        <f>IF(OR(E2222="",E2222="!!!",F2222="NEW"),"",INDEX(J$1:J2221,SUMPRODUCT(MAX(ROW(E$1:E2221)*(E2222=E$1:E2221)))))</f>
        <v/>
      </c>
      <c r="L2222" s="25"/>
    </row>
    <row r="2223" spans="1:12" x14ac:dyDescent="0.2">
      <c r="A2223" t="s">
        <v>575</v>
      </c>
      <c r="E2223" s="20" t="str">
        <f t="shared" si="249"/>
        <v/>
      </c>
      <c r="F2223" s="21" t="str">
        <f>IF(OR(E2223="",E2223="!!!"),"",IF(NOT(ISNA(VLOOKUP(E2223,E$1:E2222,1,FALSE()))),"OLD",IF(AND(E2223&lt;&gt;"",E2223&lt;&gt;"!!!"),"NEW","")))</f>
        <v/>
      </c>
      <c r="G2223" s="22" t="str">
        <f>IF(OR(E2223="",E2223="!!!"),"",IF(OR(J2223=0,AND(J2223=1,K2223=1),AND(J2223=1,I2223="SBJ"),AND(J2223=1,I2223=0)),"?IN_FOCUS",IF(J2223&lt;=2,"?ACTIVATED",IF(J2223&lt;&gt;"","?FAMILIAR",IF(F2223="NEW",IF(ISNA(VLOOKUP(E2223,#REF!,1,FALSE())),"?TYPE_IDENTIFIABLE","?REFERENTIAL"),"_")))))</f>
        <v/>
      </c>
      <c r="H2223" s="23" t="str">
        <f t="shared" ca="1" si="248"/>
        <v/>
      </c>
      <c r="I2223" s="24" t="str">
        <f>IF(OR(E2223="",E2223="!!!",F2223="NEW"),"",INDEX(B$2:B2222,-1+SUMPRODUCT(MAX(ROW(E$2:E2222)*(E2223=E$2:E2222)))))</f>
        <v/>
      </c>
      <c r="J2223" s="24" t="str">
        <f ca="1">IF(OR(E2223="",E2223="!!!",F2223="NEW"),"",COUNTBLANK(OFFSET(A$1,,,SUMPRODUCT(MAX(ROW(E$2:E2223)*(E2223=E$2:E2223)))))-COUNTBLANK(OFFSET(A$1,,,SUMPRODUCT(MAX(ROW(E$1:E2222)*(E2=E$1:E2222))))))</f>
        <v/>
      </c>
      <c r="K2223" s="24" t="str">
        <f>IF(OR(E2223="",E2223="!!!",F2223="NEW"),"",INDEX(J$1:J2222,SUMPRODUCT(MAX(ROW(E$1:E2222)*(E2223=E$1:E2222)))))</f>
        <v/>
      </c>
      <c r="L2223" s="25"/>
    </row>
    <row r="2224" spans="1:12" x14ac:dyDescent="0.2">
      <c r="A2224" t="s">
        <v>1286</v>
      </c>
      <c r="B2224" s="26" t="s">
        <v>813</v>
      </c>
      <c r="C2224" s="26" t="s">
        <v>884</v>
      </c>
      <c r="E2224" s="20" t="str">
        <f t="shared" si="249"/>
        <v/>
      </c>
      <c r="F2224" s="21" t="str">
        <f>IF(OR(E2224="",E2224="!!!"),"",IF(NOT(ISNA(VLOOKUP(E2224,E$1:E2223,1,FALSE()))),"OLD",IF(AND(E2224&lt;&gt;"",E2224&lt;&gt;"!!!"),"NEW","")))</f>
        <v/>
      </c>
      <c r="G2224" s="22" t="str">
        <f>IF(OR(E2224="",E2224="!!!"),"",IF(OR(J2224=0,AND(J2224=1,K2224=1),AND(J2224=1,I2224="SBJ"),AND(J2224=1,I2224=0)),"?IN_FOCUS",IF(J2224&lt;=2,"?ACTIVATED",IF(J2224&lt;&gt;"","?FAMILIAR",IF(F2224="NEW",IF(ISNA(VLOOKUP(E2224,#REF!,1,FALSE())),"?TYPE_IDENTIFIABLE","?REFERENTIAL"),"_")))))</f>
        <v/>
      </c>
      <c r="H2224" s="23" t="str">
        <f t="shared" ca="1" si="248"/>
        <v/>
      </c>
      <c r="I2224" s="24" t="str">
        <f>IF(OR(E2224="",E2224="!!!",F2224="NEW"),"",INDEX(B$2:B2223,-1+SUMPRODUCT(MAX(ROW(E$2:E2223)*(E2224=E$2:E2223)))))</f>
        <v/>
      </c>
      <c r="J2224" s="24" t="str">
        <f ca="1">IF(OR(E2224="",E2224="!!!",F2224="NEW"),"",COUNTBLANK(OFFSET(A$1,,,SUMPRODUCT(MAX(ROW(E$2:E2224)*(E2224=E$2:E2224)))))-COUNTBLANK(OFFSET(A$1,,,SUMPRODUCT(MAX(ROW(E$1:E2223)*(E2=E$1:E2223))))))</f>
        <v/>
      </c>
      <c r="K2224" s="24" t="str">
        <f>IF(OR(E2224="",E2224="!!!",F2224="NEW"),"",INDEX(J$1:J2223,SUMPRODUCT(MAX(ROW(E$1:E2223)*(E2224=E$1:E2223)))))</f>
        <v/>
      </c>
      <c r="L2224" s="25"/>
    </row>
    <row r="2225" spans="1:12" x14ac:dyDescent="0.2">
      <c r="A2225" t="s">
        <v>1287</v>
      </c>
      <c r="E2225" s="20" t="str">
        <f t="shared" si="249"/>
        <v/>
      </c>
      <c r="F2225" s="21" t="str">
        <f>IF(OR(E2225="",E2225="!!!"),"",IF(NOT(ISNA(VLOOKUP(E2225,E$1:E2224,1,FALSE()))),"OLD",IF(AND(E2225&lt;&gt;"",E2225&lt;&gt;"!!!"),"NEW","")))</f>
        <v/>
      </c>
      <c r="G2225" s="22" t="str">
        <f>IF(OR(E2225="",E2225="!!!"),"",IF(OR(J2225=0,AND(J2225=1,K2225=1),AND(J2225=1,I2225="SBJ"),AND(J2225=1,I2225=0)),"?IN_FOCUS",IF(J2225&lt;=2,"?ACTIVATED",IF(J2225&lt;&gt;"","?FAMILIAR",IF(F2225="NEW",IF(ISNA(VLOOKUP(E2225,#REF!,1,FALSE())),"?TYPE_IDENTIFIABLE","?REFERENTIAL"),"_")))))</f>
        <v/>
      </c>
      <c r="H2225" s="23" t="str">
        <f t="shared" ca="1" si="248"/>
        <v/>
      </c>
      <c r="I2225" s="24" t="str">
        <f>IF(OR(E2225="",E2225="!!!",F2225="NEW"),"",INDEX(B$2:B2224,-1+SUMPRODUCT(MAX(ROW(E$2:E2224)*(E2225=E$2:E2224)))))</f>
        <v/>
      </c>
      <c r="J2225" s="24" t="str">
        <f ca="1">IF(OR(E2225="",E2225="!!!",F2225="NEW"),"",COUNTBLANK(OFFSET(A$1,,,SUMPRODUCT(MAX(ROW(E$2:E2225)*(E2225=E$2:E2225)))))-COUNTBLANK(OFFSET(A$1,,,SUMPRODUCT(MAX(ROW(E$1:E2224)*(E2=E$1:E2224))))))</f>
        <v/>
      </c>
      <c r="K2225" s="24" t="str">
        <f>IF(OR(E2225="",E2225="!!!",F2225="NEW"),"",INDEX(J$1:J2224,SUMPRODUCT(MAX(ROW(E$1:E2224)*(E2225=E$1:E2224)))))</f>
        <v/>
      </c>
      <c r="L2225" s="25"/>
    </row>
    <row r="2226" spans="1:12" x14ac:dyDescent="0.2">
      <c r="A2226" t="s">
        <v>802</v>
      </c>
      <c r="E2226" s="20" t="str">
        <f t="shared" si="249"/>
        <v/>
      </c>
      <c r="F2226" s="21" t="str">
        <f>IF(OR(E2226="",E2226="!!!"),"",IF(NOT(ISNA(VLOOKUP(E2226,E$1:E2225,1,FALSE()))),"OLD",IF(AND(E2226&lt;&gt;"",E2226&lt;&gt;"!!!"),"NEW","")))</f>
        <v/>
      </c>
      <c r="G2226" s="22" t="str">
        <f>IF(OR(E2226="",E2226="!!!"),"",IF(OR(J2226=0,AND(J2226=1,K2226=1),AND(J2226=1,I2226="SBJ"),AND(J2226=1,I2226=0)),"?IN_FOCUS",IF(J2226&lt;=2,"?ACTIVATED",IF(J2226&lt;&gt;"","?FAMILIAR",IF(F2226="NEW",IF(ISNA(VLOOKUP(E2226,#REF!,1,FALSE())),"?TYPE_IDENTIFIABLE","?REFERENTIAL"),"_")))))</f>
        <v/>
      </c>
      <c r="H2226" s="23" t="str">
        <f t="shared" ca="1" si="248"/>
        <v/>
      </c>
      <c r="I2226" s="24" t="str">
        <f>IF(OR(E2226="",E2226="!!!",F2226="NEW"),"",INDEX(B$2:B2225,-1+SUMPRODUCT(MAX(ROW(E$2:E2225)*(E2226=E$2:E2225)))))</f>
        <v/>
      </c>
      <c r="J2226" s="24" t="str">
        <f ca="1">IF(OR(E2226="",E2226="!!!",F2226="NEW"),"",COUNTBLANK(OFFSET(A$1,,,SUMPRODUCT(MAX(ROW(E$2:E2226)*(E2226=E$2:E2226)))))-COUNTBLANK(OFFSET(A$1,,,SUMPRODUCT(MAX(ROW(E$1:E2225)*(E2=E$1:E2225))))))</f>
        <v/>
      </c>
      <c r="K2226" s="24" t="str">
        <f>IF(OR(E2226="",E2226="!!!",F2226="NEW"),"",INDEX(J$1:J2225,SUMPRODUCT(MAX(ROW(E$1:E2225)*(E2226=E$1:E2225)))))</f>
        <v/>
      </c>
      <c r="L2226" s="25"/>
    </row>
    <row r="2227" spans="1:12" x14ac:dyDescent="0.2">
      <c r="A2227" t="s">
        <v>1151</v>
      </c>
      <c r="E2227" s="20" t="str">
        <f t="shared" si="249"/>
        <v/>
      </c>
      <c r="F2227" s="21" t="str">
        <f>IF(OR(E2227="",E2227="!!!"),"",IF(NOT(ISNA(VLOOKUP(E2227,E$1:E2226,1,FALSE()))),"OLD",IF(AND(E2227&lt;&gt;"",E2227&lt;&gt;"!!!"),"NEW","")))</f>
        <v/>
      </c>
      <c r="G2227" s="22" t="str">
        <f>IF(OR(E2227="",E2227="!!!"),"",IF(OR(J2227=0,AND(J2227=1,K2227=1),AND(J2227=1,I2227="SBJ"),AND(J2227=1,I2227=0)),"?IN_FOCUS",IF(J2227&lt;=2,"?ACTIVATED",IF(J2227&lt;&gt;"","?FAMILIAR",IF(F2227="NEW",IF(ISNA(VLOOKUP(E2227,#REF!,1,FALSE())),"?TYPE_IDENTIFIABLE","?REFERENTIAL"),"_")))))</f>
        <v/>
      </c>
      <c r="H2227" s="23" t="str">
        <f t="shared" ca="1" si="248"/>
        <v/>
      </c>
      <c r="I2227" s="24" t="str">
        <f>IF(OR(E2227="",E2227="!!!",F2227="NEW"),"",INDEX(B$2:B2226,-1+SUMPRODUCT(MAX(ROW(E$2:E2226)*(E2227=E$2:E2226)))))</f>
        <v/>
      </c>
      <c r="J2227" s="24" t="str">
        <f ca="1">IF(OR(E2227="",E2227="!!!",F2227="NEW"),"",COUNTBLANK(OFFSET(A$1,,,SUMPRODUCT(MAX(ROW(E$2:E2227)*(E2227=E$2:E2227)))))-COUNTBLANK(OFFSET(A$1,,,SUMPRODUCT(MAX(ROW(E$1:E2226)*(E2=E$1:E2226))))))</f>
        <v/>
      </c>
      <c r="K2227" s="24" t="str">
        <f>IF(OR(E2227="",E2227="!!!",F2227="NEW"),"",INDEX(J$1:J2226,SUMPRODUCT(MAX(ROW(E$1:E2226)*(E2227=E$1:E2226)))))</f>
        <v/>
      </c>
      <c r="L2227" s="25"/>
    </row>
    <row r="2228" spans="1:12" x14ac:dyDescent="0.2">
      <c r="A2228" t="s">
        <v>845</v>
      </c>
      <c r="E2228" s="20" t="str">
        <f t="shared" si="249"/>
        <v/>
      </c>
      <c r="F2228" s="21" t="str">
        <f>IF(OR(E2228="",E2228="!!!"),"",IF(NOT(ISNA(VLOOKUP(E2228,E$1:E2227,1,FALSE()))),"OLD",IF(AND(E2228&lt;&gt;"",E2228&lt;&gt;"!!!"),"NEW","")))</f>
        <v/>
      </c>
      <c r="G2228" s="22" t="str">
        <f>IF(OR(E2228="",E2228="!!!"),"",IF(OR(J2228=0,AND(J2228=1,K2228=1),AND(J2228=1,I2228="SBJ"),AND(J2228=1,I2228=0)),"?IN_FOCUS",IF(J2228&lt;=2,"?ACTIVATED",IF(J2228&lt;&gt;"","?FAMILIAR",IF(F2228="NEW",IF(ISNA(VLOOKUP(E2228,#REF!,1,FALSE())),"?TYPE_IDENTIFIABLE","?REFERENTIAL"),"_")))))</f>
        <v/>
      </c>
      <c r="H2228" s="23" t="str">
        <f t="shared" ca="1" si="248"/>
        <v/>
      </c>
      <c r="I2228" s="24" t="str">
        <f>IF(OR(E2228="",E2228="!!!",F2228="NEW"),"",INDEX(B$2:B2227,-1+SUMPRODUCT(MAX(ROW(E$2:E2227)*(E2228=E$2:E2227)))))</f>
        <v/>
      </c>
      <c r="J2228" s="24" t="str">
        <f ca="1">IF(OR(E2228="",E2228="!!!",F2228="NEW"),"",COUNTBLANK(OFFSET(A$1,,,SUMPRODUCT(MAX(ROW(E$2:E2228)*(E2228=E$2:E2228)))))-COUNTBLANK(OFFSET(A$1,,,SUMPRODUCT(MAX(ROW(E$1:E2227)*(E2=E$1:E2227))))))</f>
        <v/>
      </c>
      <c r="K2228" s="24" t="str">
        <f>IF(OR(E2228="",E2228="!!!",F2228="NEW"),"",INDEX(J$1:J2227,SUMPRODUCT(MAX(ROW(E$1:E2227)*(E2228=E$1:E2227)))))</f>
        <v/>
      </c>
      <c r="L2228" s="25"/>
    </row>
    <row r="2229" spans="1:12" x14ac:dyDescent="0.2">
      <c r="A2229" t="s">
        <v>1491</v>
      </c>
      <c r="E2229" s="20" t="str">
        <f t="shared" si="249"/>
        <v/>
      </c>
      <c r="F2229" s="21" t="str">
        <f>IF(OR(E2229="",E2229="!!!"),"",IF(NOT(ISNA(VLOOKUP(E2229,E$1:E2228,1,FALSE()))),"OLD",IF(AND(E2229&lt;&gt;"",E2229&lt;&gt;"!!!"),"NEW","")))</f>
        <v/>
      </c>
      <c r="G2229" s="22" t="str">
        <f>IF(OR(E2229="",E2229="!!!"),"",IF(OR(J2229=0,AND(J2229=1,K2229=1),AND(J2229=1,I2229="SBJ"),AND(J2229=1,I2229=0)),"?IN_FOCUS",IF(J2229&lt;=2,"?ACTIVATED",IF(J2229&lt;&gt;"","?FAMILIAR",IF(F2229="NEW",IF(ISNA(VLOOKUP(E2229,#REF!,1,FALSE())),"?TYPE_IDENTIFIABLE","?REFERENTIAL"),"_")))))</f>
        <v/>
      </c>
      <c r="H2229" s="23" t="str">
        <f t="shared" ca="1" si="248"/>
        <v/>
      </c>
      <c r="I2229" s="24" t="str">
        <f>IF(OR(E2229="",E2229="!!!",F2229="NEW"),"",INDEX(B$2:B2228,-1+SUMPRODUCT(MAX(ROW(E$2:E2228)*(E2229=E$2:E2228)))))</f>
        <v/>
      </c>
      <c r="J2229" s="24" t="str">
        <f ca="1">IF(OR(E2229="",E2229="!!!",F2229="NEW"),"",COUNTBLANK(OFFSET(A$1,,,SUMPRODUCT(MAX(ROW(E$2:E2229)*(E2229=E$2:E2229)))))-COUNTBLANK(OFFSET(A$1,,,SUMPRODUCT(MAX(ROW(E$1:E2228)*(E2=E$1:E2228))))))</f>
        <v/>
      </c>
      <c r="K2229" s="24" t="str">
        <f>IF(OR(E2229="",E2229="!!!",F2229="NEW"),"",INDEX(J$1:J2228,SUMPRODUCT(MAX(ROW(E$1:E2228)*(E2229=E$1:E2228)))))</f>
        <v/>
      </c>
      <c r="L2229" s="25"/>
    </row>
    <row r="2230" spans="1:12" x14ac:dyDescent="0.2">
      <c r="A2230" t="s">
        <v>1492</v>
      </c>
      <c r="B2230" s="26" t="s">
        <v>950</v>
      </c>
      <c r="C2230" s="26" t="s">
        <v>847</v>
      </c>
      <c r="D2230" s="26" t="s">
        <v>806</v>
      </c>
      <c r="E2230" s="20" t="s">
        <v>1492</v>
      </c>
      <c r="F2230" s="21" t="str">
        <f>IF(OR(E2230="",E2230="!!!"),"",IF(NOT(ISNA(VLOOKUP(E2230,E$1:E2229,1,FALSE()))),"OLD",IF(AND(E2230&lt;&gt;"",E2230&lt;&gt;"!!!"),"NEW","")))</f>
        <v>NEW</v>
      </c>
      <c r="G2230" s="22" t="s">
        <v>1832</v>
      </c>
      <c r="H2230" s="23" t="str">
        <f t="shared" ca="1" si="248"/>
        <v/>
      </c>
      <c r="I2230" s="24" t="str">
        <f>IF(OR(E2230="",E2230="!!!",F2230="NEW"),"",INDEX(B$2:B2229,-1+SUMPRODUCT(MAX(ROW(E$2:E2229)*(E2230=E$2:E2229)))))</f>
        <v/>
      </c>
      <c r="J2230" s="24" t="str">
        <f ca="1">IF(OR(E2230="",E2230="!!!",F2230="NEW"),"",COUNTBLANK(OFFSET(A$1,,,SUMPRODUCT(MAX(ROW(E$2:E2230)*(E2230=E$2:E2230)))))-COUNTBLANK(OFFSET(A$1,,,SUMPRODUCT(MAX(ROW(E$1:E2229)*(E2=E$1:E2229))))))</f>
        <v/>
      </c>
      <c r="K2230" s="24" t="str">
        <f>IF(OR(E2230="",E2230="!!!",F2230="NEW"),"",INDEX(J$1:J2229,SUMPRODUCT(MAX(ROW(E$1:E2229)*(E2230=E$1:E2229)))))</f>
        <v/>
      </c>
      <c r="L2230" s="25"/>
    </row>
    <row r="2231" spans="1:12" x14ac:dyDescent="0.2">
      <c r="A2231" t="s">
        <v>1018</v>
      </c>
      <c r="E2231" s="20" t="str">
        <f t="shared" si="249"/>
        <v/>
      </c>
      <c r="F2231" s="21" t="str">
        <f>IF(OR(E2231="",E2231="!!!"),"",IF(NOT(ISNA(VLOOKUP(E2231,E$1:E2230,1,FALSE()))),"OLD",IF(AND(E2231&lt;&gt;"",E2231&lt;&gt;"!!!"),"NEW","")))</f>
        <v/>
      </c>
      <c r="G2231" s="22" t="str">
        <f>IF(OR(E2231="",E2231="!!!"),"",IF(OR(J2231=0,AND(J2231=1,K2231=1),AND(J2231=1,I2231="SBJ"),AND(J2231=1,I2231=0)),"?IN_FOCUS",IF(J2231&lt;=2,"?ACTIVATED",IF(J2231&lt;&gt;"","?FAMILIAR",IF(F2231="NEW",IF(ISNA(VLOOKUP(E2231,#REF!,1,FALSE())),"?TYPE_IDENTIFIABLE","?REFERENTIAL"),"_")))))</f>
        <v/>
      </c>
      <c r="H2231" s="23" t="str">
        <f t="shared" ca="1" si="248"/>
        <v/>
      </c>
      <c r="I2231" s="24" t="str">
        <f>IF(OR(E2231="",E2231="!!!",F2231="NEW"),"",INDEX(B$2:B2230,-1+SUMPRODUCT(MAX(ROW(E$2:E2230)*(E2231=E$2:E2230)))))</f>
        <v/>
      </c>
      <c r="J2231" s="24" t="str">
        <f ca="1">IF(OR(E2231="",E2231="!!!",F2231="NEW"),"",COUNTBLANK(OFFSET(A$1,,,SUMPRODUCT(MAX(ROW(E$2:E2231)*(E2231=E$2:E2231)))))-COUNTBLANK(OFFSET(A$1,,,SUMPRODUCT(MAX(ROW(E$1:E2230)*(E2=E$1:E2230))))))</f>
        <v/>
      </c>
      <c r="K2231" s="24" t="str">
        <f>IF(OR(E2231="",E2231="!!!",F2231="NEW"),"",INDEX(J$1:J2230,SUMPRODUCT(MAX(ROW(E$1:E2230)*(E2231=E$1:E2230)))))</f>
        <v/>
      </c>
      <c r="L2231" s="25"/>
    </row>
    <row r="2232" spans="1:12" x14ac:dyDescent="0.2">
      <c r="A2232" t="s">
        <v>745</v>
      </c>
      <c r="E2232" s="20" t="str">
        <f t="shared" si="249"/>
        <v/>
      </c>
      <c r="F2232" s="21" t="str">
        <f>IF(OR(E2232="",E2232="!!!"),"",IF(NOT(ISNA(VLOOKUP(E2232,E$1:E2231,1,FALSE()))),"OLD",IF(AND(E2232&lt;&gt;"",E2232&lt;&gt;"!!!"),"NEW","")))</f>
        <v/>
      </c>
      <c r="G2232" s="22" t="str">
        <f>IF(OR(E2232="",E2232="!!!"),"",IF(OR(J2232=0,AND(J2232=1,K2232=1),AND(J2232=1,I2232="SBJ"),AND(J2232=1,I2232=0)),"?IN_FOCUS",IF(J2232&lt;=2,"?ACTIVATED",IF(J2232&lt;&gt;"","?FAMILIAR",IF(F2232="NEW",IF(ISNA(VLOOKUP(E2232,#REF!,1,FALSE())),"?TYPE_IDENTIFIABLE","?REFERENTIAL"),"_")))))</f>
        <v/>
      </c>
      <c r="H2232" s="23" t="str">
        <f t="shared" ca="1" si="248"/>
        <v/>
      </c>
      <c r="I2232" s="24" t="str">
        <f>IF(OR(E2232="",E2232="!!!",F2232="NEW"),"",INDEX(B$2:B2231,-1+SUMPRODUCT(MAX(ROW(E$2:E2231)*(E2232=E$2:E2231)))))</f>
        <v/>
      </c>
      <c r="J2232" s="24" t="str">
        <f ca="1">IF(OR(E2232="",E2232="!!!",F2232="NEW"),"",COUNTBLANK(OFFSET(A$1,,,SUMPRODUCT(MAX(ROW(E$2:E2232)*(E2232=E$2:E2232)))))-COUNTBLANK(OFFSET(A$1,,,SUMPRODUCT(MAX(ROW(E$1:E2231)*(E2=E$1:E2231))))))</f>
        <v/>
      </c>
      <c r="K2232" s="24" t="str">
        <f>IF(OR(E2232="",E2232="!!!",F2232="NEW"),"",INDEX(J$1:J2231,SUMPRODUCT(MAX(ROW(E$1:E2231)*(E2232=E$1:E2231)))))</f>
        <v/>
      </c>
      <c r="L2232" s="25"/>
    </row>
    <row r="2233" spans="1:12" x14ac:dyDescent="0.2">
      <c r="A2233" t="s">
        <v>878</v>
      </c>
      <c r="E2233" s="20" t="str">
        <f t="shared" si="249"/>
        <v/>
      </c>
      <c r="F2233" s="21" t="str">
        <f>IF(OR(E2233="",E2233="!!!"),"",IF(NOT(ISNA(VLOOKUP(E2233,E$1:E2232,1,FALSE()))),"OLD",IF(AND(E2233&lt;&gt;"",E2233&lt;&gt;"!!!"),"NEW","")))</f>
        <v/>
      </c>
      <c r="G2233" s="22" t="str">
        <f>IF(OR(E2233="",E2233="!!!"),"",IF(OR(J2233=0,AND(J2233=1,K2233=1),AND(J2233=1,I2233="SBJ"),AND(J2233=1,I2233=0)),"?IN_FOCUS",IF(J2233&lt;=2,"?ACTIVATED",IF(J2233&lt;&gt;"","?FAMILIAR",IF(F2233="NEW",IF(ISNA(VLOOKUP(E2233,#REF!,1,FALSE())),"?TYPE_IDENTIFIABLE","?REFERENTIAL"),"_")))))</f>
        <v/>
      </c>
      <c r="H2233" s="23" t="str">
        <f t="shared" ca="1" si="248"/>
        <v/>
      </c>
      <c r="I2233" s="24" t="str">
        <f>IF(OR(E2233="",E2233="!!!",F2233="NEW"),"",INDEX(B$2:B2232,-1+SUMPRODUCT(MAX(ROW(E$2:E2232)*(E2233=E$2:E2232)))))</f>
        <v/>
      </c>
      <c r="J2233" s="24" t="str">
        <f ca="1">IF(OR(E2233="",E2233="!!!",F2233="NEW"),"",COUNTBLANK(OFFSET(A$1,,,SUMPRODUCT(MAX(ROW(E$2:E2233)*(E2233=E$2:E2233)))))-COUNTBLANK(OFFSET(A$1,,,SUMPRODUCT(MAX(ROW(E$1:E2232)*(E2=E$1:E2232))))))</f>
        <v/>
      </c>
      <c r="K2233" s="24" t="str">
        <f>IF(OR(E2233="",E2233="!!!",F2233="NEW"),"",INDEX(J$1:J2232,SUMPRODUCT(MAX(ROW(E$1:E2232)*(E2233=E$1:E2232)))))</f>
        <v/>
      </c>
      <c r="L2233" s="25"/>
    </row>
    <row r="2234" spans="1:12" x14ac:dyDescent="0.2">
      <c r="A2234" t="s">
        <v>1493</v>
      </c>
      <c r="E2234" s="20" t="str">
        <f t="shared" si="249"/>
        <v/>
      </c>
      <c r="F2234" s="21" t="str">
        <f>IF(OR(E2234="",E2234="!!!"),"",IF(NOT(ISNA(VLOOKUP(E2234,E$1:E2233,1,FALSE()))),"OLD",IF(AND(E2234&lt;&gt;"",E2234&lt;&gt;"!!!"),"NEW","")))</f>
        <v/>
      </c>
      <c r="G2234" s="22" t="str">
        <f>IF(OR(E2234="",E2234="!!!"),"",IF(OR(J2234=0,AND(J2234=1,K2234=1),AND(J2234=1,I2234="SBJ"),AND(J2234=1,I2234=0)),"?IN_FOCUS",IF(J2234&lt;=2,"?ACTIVATED",IF(J2234&lt;&gt;"","?FAMILIAR",IF(F2234="NEW",IF(ISNA(VLOOKUP(E2234,#REF!,1,FALSE())),"?TYPE_IDENTIFIABLE","?REFERENTIAL"),"_")))))</f>
        <v/>
      </c>
      <c r="H2234" s="23" t="str">
        <f t="shared" ca="1" si="248"/>
        <v/>
      </c>
      <c r="I2234" s="24" t="str">
        <f>IF(OR(E2234="",E2234="!!!",F2234="NEW"),"",INDEX(B$2:B2233,-1+SUMPRODUCT(MAX(ROW(E$2:E2233)*(E2234=E$2:E2233)))))</f>
        <v/>
      </c>
      <c r="J2234" s="24" t="str">
        <f ca="1">IF(OR(E2234="",E2234="!!!",F2234="NEW"),"",COUNTBLANK(OFFSET(A$1,,,SUMPRODUCT(MAX(ROW(E$2:E2234)*(E2234=E$2:E2234)))))-COUNTBLANK(OFFSET(A$1,,,SUMPRODUCT(MAX(ROW(E$1:E2233)*(E2=E$1:E2233))))))</f>
        <v/>
      </c>
      <c r="K2234" s="24" t="str">
        <f>IF(OR(E2234="",E2234="!!!",F2234="NEW"),"",INDEX(J$1:J2233,SUMPRODUCT(MAX(ROW(E$1:E2233)*(E2234=E$1:E2233)))))</f>
        <v/>
      </c>
      <c r="L2234" s="25"/>
    </row>
    <row r="2235" spans="1:12" x14ac:dyDescent="0.2">
      <c r="A2235" t="s">
        <v>1494</v>
      </c>
      <c r="B2235" s="26" t="s">
        <v>813</v>
      </c>
      <c r="C2235" s="26" t="s">
        <v>814</v>
      </c>
      <c r="E2235" s="20" t="str">
        <f t="shared" si="249"/>
        <v/>
      </c>
      <c r="F2235" s="21" t="str">
        <f>IF(OR(E2235="",E2235="!!!"),"",IF(NOT(ISNA(VLOOKUP(E2235,E$1:E2234,1,FALSE()))),"OLD",IF(AND(E2235&lt;&gt;"",E2235&lt;&gt;"!!!"),"NEW","")))</f>
        <v/>
      </c>
      <c r="G2235" s="22" t="str">
        <f>IF(OR(E2235="",E2235="!!!"),"",IF(OR(J2235=0,AND(J2235=1,K2235=1),AND(J2235=1,I2235="SBJ"),AND(J2235=1,I2235=0)),"?IN_FOCUS",IF(J2235&lt;=2,"?ACTIVATED",IF(J2235&lt;&gt;"","?FAMILIAR",IF(F2235="NEW",IF(ISNA(VLOOKUP(E2235,#REF!,1,FALSE())),"?TYPE_IDENTIFIABLE","?REFERENTIAL"),"_")))))</f>
        <v/>
      </c>
      <c r="H2235" s="23" t="str">
        <f t="shared" ca="1" si="248"/>
        <v/>
      </c>
      <c r="I2235" s="24" t="str">
        <f>IF(OR(E2235="",E2235="!!!",F2235="NEW"),"",INDEX(B$2:B2234,-1+SUMPRODUCT(MAX(ROW(E$2:E2234)*(E2235=E$2:E2234)))))</f>
        <v/>
      </c>
      <c r="J2235" s="24" t="str">
        <f ca="1">IF(OR(E2235="",E2235="!!!",F2235="NEW"),"",COUNTBLANK(OFFSET(A$1,,,SUMPRODUCT(MAX(ROW(E$2:E2235)*(E2235=E$2:E2235)))))-COUNTBLANK(OFFSET(A$1,,,SUMPRODUCT(MAX(ROW(E$1:E2234)*(E2=E$1:E2234))))))</f>
        <v/>
      </c>
      <c r="K2235" s="24" t="str">
        <f>IF(OR(E2235="",E2235="!!!",F2235="NEW"),"",INDEX(J$1:J2234,SUMPRODUCT(MAX(ROW(E$1:E2234)*(E2235=E$1:E2234)))))</f>
        <v/>
      </c>
      <c r="L2235" s="25"/>
    </row>
    <row r="2236" spans="1:12" x14ac:dyDescent="0.2">
      <c r="A2236" t="s">
        <v>821</v>
      </c>
      <c r="E2236" s="20" t="str">
        <f t="shared" si="249"/>
        <v/>
      </c>
      <c r="F2236" s="21" t="str">
        <f>IF(OR(E2236="",E2236="!!!"),"",IF(NOT(ISNA(VLOOKUP(E2236,E$1:E2235,1,FALSE()))),"OLD",IF(AND(E2236&lt;&gt;"",E2236&lt;&gt;"!!!"),"NEW","")))</f>
        <v/>
      </c>
      <c r="G2236" s="22" t="str">
        <f>IF(OR(E2236="",E2236="!!!"),"",IF(OR(J2236=0,AND(J2236=1,K2236=1),AND(J2236=1,I2236="SBJ"),AND(J2236=1,I2236=0)),"?IN_FOCUS",IF(J2236&lt;=2,"?ACTIVATED",IF(J2236&lt;&gt;"","?FAMILIAR",IF(F2236="NEW",IF(ISNA(VLOOKUP(E2236,#REF!,1,FALSE())),"?TYPE_IDENTIFIABLE","?REFERENTIAL"),"_")))))</f>
        <v/>
      </c>
      <c r="H2236" s="23" t="str">
        <f t="shared" ca="1" si="248"/>
        <v/>
      </c>
      <c r="I2236" s="24" t="str">
        <f>IF(OR(E2236="",E2236="!!!",F2236="NEW"),"",INDEX(B$2:B2235,-1+SUMPRODUCT(MAX(ROW(E$2:E2235)*(E2236=E$2:E2235)))))</f>
        <v/>
      </c>
      <c r="J2236" s="24" t="str">
        <f ca="1">IF(OR(E2236="",E2236="!!!",F2236="NEW"),"",COUNTBLANK(OFFSET(A$1,,,SUMPRODUCT(MAX(ROW(E$2:E2236)*(E2236=E$2:E2236)))))-COUNTBLANK(OFFSET(A$1,,,SUMPRODUCT(MAX(ROW(E$1:E2235)*(E2=E$1:E2235))))))</f>
        <v/>
      </c>
      <c r="K2236" s="24" t="str">
        <f>IF(OR(E2236="",E2236="!!!",F2236="NEW"),"",INDEX(J$1:J2235,SUMPRODUCT(MAX(ROW(E$1:E2235)*(E2236=E$1:E2235)))))</f>
        <v/>
      </c>
      <c r="L2236" s="25"/>
    </row>
    <row r="2238" spans="1:12" x14ac:dyDescent="0.2">
      <c r="A2238" t="s">
        <v>1495</v>
      </c>
    </row>
    <row r="2239" spans="1:12" x14ac:dyDescent="0.2">
      <c r="A2239" t="s">
        <v>1496</v>
      </c>
      <c r="E2239" s="20" t="str">
        <f t="shared" ref="E2239:E2249" si="250">IF(D2239="?OLD","!!!","")</f>
        <v/>
      </c>
      <c r="F2239" s="21" t="str">
        <f>IF(OR(E2239="",E2239="!!!"),"",IF(NOT(ISNA(VLOOKUP(E2239,E$1:E2238,1,FALSE()))),"OLD",IF(AND(E2239&lt;&gt;"",E2239&lt;&gt;"!!!"),"NEW","")))</f>
        <v/>
      </c>
      <c r="G2239" s="22" t="str">
        <f>IF(OR(E2239="",E2239="!!!"),"",IF(OR(J2239=0,AND(J2239=1,K2239=1),AND(J2239=1,I2239="SBJ"),AND(J2239=1,I2239=0)),"?IN_FOCUS",IF(J2239&lt;=2,"?ACTIVATED",IF(J2239&lt;&gt;"","?FAMILIAR",IF(F2239="NEW",IF(ISNA(VLOOKUP(E2239,#REF!,1,FALSE())),"?TYPE_IDENTIFIABLE","?REFERENTIAL"),"_")))))</f>
        <v/>
      </c>
      <c r="H2239" s="23" t="str">
        <f t="shared" ref="H2239:H2249" ca="1" si="251">IF(J2239&lt;&gt;1,"",IF(I2239="SBJ","CB","?"))</f>
        <v/>
      </c>
      <c r="I2239" s="24" t="str">
        <f>IF(OR(E2239="",E2239="!!!",F2239="NEW"),"",INDEX(B$2:B2238,-1+SUMPRODUCT(MAX(ROW(E$2:E2238)*(E2239=E$2:E2238)))))</f>
        <v/>
      </c>
      <c r="J2239" s="24" t="str">
        <f ca="1">IF(OR(E2239="",E2239="!!!",F2239="NEW"),"",COUNTBLANK(OFFSET(A$1,,,SUMPRODUCT(MAX(ROW(E$2:E2239)*(E2239=E$2:E2239)))))-COUNTBLANK(OFFSET(A$1,,,SUMPRODUCT(MAX(ROW(E$1:E2238)*(E2=E$1:E2238))))))</f>
        <v/>
      </c>
      <c r="K2239" s="24" t="str">
        <f>IF(OR(E2239="",E2239="!!!",F2239="NEW"),"",INDEX(J$1:J2238,SUMPRODUCT(MAX(ROW(E$1:E2238)*(E2239=E$1:E2238)))))</f>
        <v/>
      </c>
      <c r="L2239" s="25"/>
    </row>
    <row r="2240" spans="1:12" x14ac:dyDescent="0.2">
      <c r="A2240" t="s">
        <v>1497</v>
      </c>
      <c r="B2240" s="26" t="s">
        <v>819</v>
      </c>
      <c r="C2240" s="26" t="s">
        <v>1498</v>
      </c>
      <c r="E2240" s="20" t="str">
        <f t="shared" si="250"/>
        <v/>
      </c>
      <c r="F2240" s="21" t="str">
        <f>IF(OR(E2240="",E2240="!!!"),"",IF(NOT(ISNA(VLOOKUP(E2240,E$1:E2239,1,FALSE()))),"OLD",IF(AND(E2240&lt;&gt;"",E2240&lt;&gt;"!!!"),"NEW","")))</f>
        <v/>
      </c>
      <c r="G2240" s="22" t="str">
        <f>IF(OR(E2240="",E2240="!!!"),"",IF(OR(J2240=0,AND(J2240=1,K2240=1),AND(J2240=1,I2240="SBJ"),AND(J2240=1,I2240=0)),"?IN_FOCUS",IF(J2240&lt;=2,"?ACTIVATED",IF(J2240&lt;&gt;"","?FAMILIAR",IF(F2240="NEW",IF(ISNA(VLOOKUP(E2240,#REF!,1,FALSE())),"?TYPE_IDENTIFIABLE","?REFERENTIAL"),"_")))))</f>
        <v/>
      </c>
      <c r="H2240" s="23" t="str">
        <f t="shared" ca="1" si="251"/>
        <v/>
      </c>
      <c r="I2240" s="24" t="str">
        <f>IF(OR(E2240="",E2240="!!!",F2240="NEW"),"",INDEX(B$2:B2239,-1+SUMPRODUCT(MAX(ROW(E$2:E2239)*(E2240=E$2:E2239)))))</f>
        <v/>
      </c>
      <c r="J2240" s="24" t="str">
        <f ca="1">IF(OR(E2240="",E2240="!!!",F2240="NEW"),"",COUNTBLANK(OFFSET(A$1,,,SUMPRODUCT(MAX(ROW(E$2:E2240)*(E2240=E$2:E2240)))))-COUNTBLANK(OFFSET(A$1,,,SUMPRODUCT(MAX(ROW(E$1:E2239)*(E2=E$1:E2239))))))</f>
        <v/>
      </c>
      <c r="K2240" s="24" t="str">
        <f>IF(OR(E2240="",E2240="!!!",F2240="NEW"),"",INDEX(J$1:J2239,SUMPRODUCT(MAX(ROW(E$1:E2239)*(E2240=E$1:E2239)))))</f>
        <v/>
      </c>
      <c r="L2240" s="25"/>
    </row>
    <row r="2241" spans="1:12" x14ac:dyDescent="0.2">
      <c r="A2241" t="s">
        <v>802</v>
      </c>
      <c r="E2241" s="20" t="str">
        <f t="shared" si="250"/>
        <v/>
      </c>
      <c r="F2241" s="21" t="str">
        <f>IF(OR(E2241="",E2241="!!!"),"",IF(NOT(ISNA(VLOOKUP(E2241,E$1:E2240,1,FALSE()))),"OLD",IF(AND(E2241&lt;&gt;"",E2241&lt;&gt;"!!!"),"NEW","")))</f>
        <v/>
      </c>
      <c r="G2241" s="22" t="str">
        <f>IF(OR(E2241="",E2241="!!!"),"",IF(OR(J2241=0,AND(J2241=1,K2241=1),AND(J2241=1,I2241="SBJ"),AND(J2241=1,I2241=0)),"?IN_FOCUS",IF(J2241&lt;=2,"?ACTIVATED",IF(J2241&lt;&gt;"","?FAMILIAR",IF(F2241="NEW",IF(ISNA(VLOOKUP(E2241,#REF!,1,FALSE())),"?TYPE_IDENTIFIABLE","?REFERENTIAL"),"_")))))</f>
        <v/>
      </c>
      <c r="H2241" s="23" t="str">
        <f t="shared" ca="1" si="251"/>
        <v/>
      </c>
      <c r="I2241" s="24" t="str">
        <f>IF(OR(E2241="",E2241="!!!",F2241="NEW"),"",INDEX(B$2:B2240,-1+SUMPRODUCT(MAX(ROW(E$2:E2240)*(E2241=E$2:E2240)))))</f>
        <v/>
      </c>
      <c r="J2241" s="24" t="str">
        <f ca="1">IF(OR(E2241="",E2241="!!!",F2241="NEW"),"",COUNTBLANK(OFFSET(A$1,,,SUMPRODUCT(MAX(ROW(E$2:E2241)*(E2241=E$2:E2241)))))-COUNTBLANK(OFFSET(A$1,,,SUMPRODUCT(MAX(ROW(E$1:E2240)*(E2=E$1:E2240))))))</f>
        <v/>
      </c>
      <c r="K2241" s="24" t="str">
        <f>IF(OR(E2241="",E2241="!!!",F2241="NEW"),"",INDEX(J$1:J2240,SUMPRODUCT(MAX(ROW(E$1:E2240)*(E2241=E$1:E2240)))))</f>
        <v/>
      </c>
      <c r="L2241" s="25"/>
    </row>
    <row r="2242" spans="1:12" x14ac:dyDescent="0.2">
      <c r="A2242" t="s">
        <v>949</v>
      </c>
      <c r="B2242" s="26" t="s">
        <v>804</v>
      </c>
      <c r="C2242" s="26" t="s">
        <v>805</v>
      </c>
      <c r="D2242" s="26" t="s">
        <v>806</v>
      </c>
      <c r="E2242" s="20" t="s">
        <v>1797</v>
      </c>
      <c r="F2242" s="21" t="str">
        <f>IF(OR(E2242="",E2242="!!!"),"",IF(NOT(ISNA(VLOOKUP(E2242,E$1:E2241,1,FALSE()))),"OLD",IF(AND(E2242&lt;&gt;"",E2242&lt;&gt;"!!!"),"NEW","")))</f>
        <v>OLD</v>
      </c>
      <c r="G2242" s="22" t="s">
        <v>1823</v>
      </c>
      <c r="H2242" s="23" t="str">
        <f t="shared" ca="1" si="251"/>
        <v/>
      </c>
      <c r="I2242" s="24" t="str">
        <f>IF(OR(E2242="",E2242="!!!",F2242="NEW"),"",INDEX(B$2:B2241,-1+SUMPRODUCT(MAX(ROW(E$2:E2241)*(E2242=E$2:E2241)))))</f>
        <v>SBJ</v>
      </c>
      <c r="J2242" s="24">
        <f ca="1">IF(OR(E2242="",E2242="!!!",F2242="NEW"),"",COUNTBLANK(OFFSET(A$1,,,SUMPRODUCT(MAX(ROW(E$2:E2242)*(E2242=E$2:E2242)))))-COUNTBLANK(OFFSET(A$1,,,SUMPRODUCT(MAX(ROW(E$1:E2241)*(E2=E$1:E2241))))))</f>
        <v>0</v>
      </c>
      <c r="K2242" s="24">
        <f ca="1">IF(OR(E2242="",E2242="!!!",F2242="NEW"),"",INDEX(J$1:J2241,SUMPRODUCT(MAX(ROW(E$1:E2241)*(E2242=E$1:E2241)))))</f>
        <v>0</v>
      </c>
      <c r="L2242" s="25"/>
    </row>
    <row r="2243" spans="1:12" x14ac:dyDescent="0.2">
      <c r="A2243" t="s">
        <v>562</v>
      </c>
      <c r="E2243" s="20" t="str">
        <f t="shared" si="250"/>
        <v/>
      </c>
      <c r="F2243" s="21" t="str">
        <f>IF(OR(E2243="",E2243="!!!"),"",IF(NOT(ISNA(VLOOKUP(E2243,E$1:E2242,1,FALSE()))),"OLD",IF(AND(E2243&lt;&gt;"",E2243&lt;&gt;"!!!"),"NEW","")))</f>
        <v/>
      </c>
      <c r="G2243" s="22" t="str">
        <f>IF(OR(E2243="",E2243="!!!"),"",IF(OR(J2243=0,AND(J2243=1,K2243=1),AND(J2243=1,I2243="SBJ"),AND(J2243=1,I2243=0)),"?IN_FOCUS",IF(J2243&lt;=2,"?ACTIVATED",IF(J2243&lt;&gt;"","?FAMILIAR",IF(F2243="NEW",IF(ISNA(VLOOKUP(E2243,#REF!,1,FALSE())),"?TYPE_IDENTIFIABLE","?REFERENTIAL"),"_")))))</f>
        <v/>
      </c>
      <c r="H2243" s="23" t="str">
        <f t="shared" ca="1" si="251"/>
        <v/>
      </c>
      <c r="I2243" s="24" t="str">
        <f>IF(OR(E2243="",E2243="!!!",F2243="NEW"),"",INDEX(B$2:B2242,-1+SUMPRODUCT(MAX(ROW(E$2:E2242)*(E2243=E$2:E2242)))))</f>
        <v/>
      </c>
      <c r="J2243" s="24" t="str">
        <f ca="1">IF(OR(E2243="",E2243="!!!",F2243="NEW"),"",COUNTBLANK(OFFSET(A$1,,,SUMPRODUCT(MAX(ROW(E$2:E2243)*(E2243=E$2:E2243)))))-COUNTBLANK(OFFSET(A$1,,,SUMPRODUCT(MAX(ROW(E$1:E2242)*(E2=E$1:E2242))))))</f>
        <v/>
      </c>
      <c r="K2243" s="24" t="str">
        <f>IF(OR(E2243="",E2243="!!!",F2243="NEW"),"",INDEX(J$1:J2242,SUMPRODUCT(MAX(ROW(E$1:E2242)*(E2243=E$1:E2242)))))</f>
        <v/>
      </c>
      <c r="L2243" s="25"/>
    </row>
    <row r="2244" spans="1:12" x14ac:dyDescent="0.2">
      <c r="A2244" t="s">
        <v>575</v>
      </c>
      <c r="E2244" s="20" t="str">
        <f t="shared" si="250"/>
        <v/>
      </c>
      <c r="F2244" s="21" t="str">
        <f>IF(OR(E2244="",E2244="!!!"),"",IF(NOT(ISNA(VLOOKUP(E2244,E$1:E2243,1,FALSE()))),"OLD",IF(AND(E2244&lt;&gt;"",E2244&lt;&gt;"!!!"),"NEW","")))</f>
        <v/>
      </c>
      <c r="G2244" s="22" t="str">
        <f>IF(OR(E2244="",E2244="!!!"),"",IF(OR(J2244=0,AND(J2244=1,K2244=1),AND(J2244=1,I2244="SBJ"),AND(J2244=1,I2244=0)),"?IN_FOCUS",IF(J2244&lt;=2,"?ACTIVATED",IF(J2244&lt;&gt;"","?FAMILIAR",IF(F2244="NEW",IF(ISNA(VLOOKUP(E2244,#REF!,1,FALSE())),"?TYPE_IDENTIFIABLE","?REFERENTIAL"),"_")))))</f>
        <v/>
      </c>
      <c r="H2244" s="23" t="str">
        <f t="shared" ca="1" si="251"/>
        <v/>
      </c>
      <c r="I2244" s="24" t="str">
        <f>IF(OR(E2244="",E2244="!!!",F2244="NEW"),"",INDEX(B$2:B2243,-1+SUMPRODUCT(MAX(ROW(E$2:E2243)*(E2244=E$2:E2243)))))</f>
        <v/>
      </c>
      <c r="J2244" s="24" t="str">
        <f ca="1">IF(OR(E2244="",E2244="!!!",F2244="NEW"),"",COUNTBLANK(OFFSET(A$1,,,SUMPRODUCT(MAX(ROW(E$2:E2244)*(E2244=E$2:E2244)))))-COUNTBLANK(OFFSET(A$1,,,SUMPRODUCT(MAX(ROW(E$1:E2243)*(E2=E$1:E2243))))))</f>
        <v/>
      </c>
      <c r="K2244" s="24" t="str">
        <f>IF(OR(E2244="",E2244="!!!",F2244="NEW"),"",INDEX(J$1:J2243,SUMPRODUCT(MAX(ROW(E$1:E2243)*(E2244=E$1:E2243)))))</f>
        <v/>
      </c>
      <c r="L2244" s="25"/>
    </row>
    <row r="2245" spans="1:12" x14ac:dyDescent="0.2">
      <c r="A2245" t="s">
        <v>1286</v>
      </c>
      <c r="B2245" s="26" t="s">
        <v>810</v>
      </c>
      <c r="C2245" s="26" t="s">
        <v>884</v>
      </c>
      <c r="E2245" s="20" t="str">
        <f t="shared" si="250"/>
        <v/>
      </c>
      <c r="F2245" s="21" t="str">
        <f>IF(OR(E2245="",E2245="!!!"),"",IF(NOT(ISNA(VLOOKUP(E2245,E$1:E2244,1,FALSE()))),"OLD",IF(AND(E2245&lt;&gt;"",E2245&lt;&gt;"!!!"),"NEW","")))</f>
        <v/>
      </c>
      <c r="G2245" s="22" t="str">
        <f>IF(OR(E2245="",E2245="!!!"),"",IF(OR(J2245=0,AND(J2245=1,K2245=1),AND(J2245=1,I2245="SBJ"),AND(J2245=1,I2245=0)),"?IN_FOCUS",IF(J2245&lt;=2,"?ACTIVATED",IF(J2245&lt;&gt;"","?FAMILIAR",IF(F2245="NEW",IF(ISNA(VLOOKUP(E2245,#REF!,1,FALSE())),"?TYPE_IDENTIFIABLE","?REFERENTIAL"),"_")))))</f>
        <v/>
      </c>
      <c r="H2245" s="23" t="str">
        <f t="shared" ca="1" si="251"/>
        <v/>
      </c>
      <c r="I2245" s="24" t="str">
        <f>IF(OR(E2245="",E2245="!!!",F2245="NEW"),"",INDEX(B$2:B2244,-1+SUMPRODUCT(MAX(ROW(E$2:E2244)*(E2245=E$2:E2244)))))</f>
        <v/>
      </c>
      <c r="J2245" s="24" t="str">
        <f ca="1">IF(OR(E2245="",E2245="!!!",F2245="NEW"),"",COUNTBLANK(OFFSET(A$1,,,SUMPRODUCT(MAX(ROW(E$2:E2245)*(E2245=E$2:E2245)))))-COUNTBLANK(OFFSET(A$1,,,SUMPRODUCT(MAX(ROW(E$1:E2244)*(E2=E$1:E2244))))))</f>
        <v/>
      </c>
      <c r="K2245" s="24" t="str">
        <f>IF(OR(E2245="",E2245="!!!",F2245="NEW"),"",INDEX(J$1:J2244,SUMPRODUCT(MAX(ROW(E$1:E2244)*(E2245=E$1:E2244)))))</f>
        <v/>
      </c>
      <c r="L2245" s="25"/>
    </row>
    <row r="2246" spans="1:12" x14ac:dyDescent="0.2">
      <c r="A2246" t="s">
        <v>1109</v>
      </c>
      <c r="E2246" s="20" t="str">
        <f t="shared" si="250"/>
        <v/>
      </c>
      <c r="F2246" s="21" t="str">
        <f>IF(OR(E2246="",E2246="!!!"),"",IF(NOT(ISNA(VLOOKUP(E2246,E$1:E2245,1,FALSE()))),"OLD",IF(AND(E2246&lt;&gt;"",E2246&lt;&gt;"!!!"),"NEW","")))</f>
        <v/>
      </c>
      <c r="G2246" s="22" t="str">
        <f>IF(OR(E2246="",E2246="!!!"),"",IF(OR(J2246=0,AND(J2246=1,K2246=1),AND(J2246=1,I2246="SBJ"),AND(J2246=1,I2246=0)),"?IN_FOCUS",IF(J2246&lt;=2,"?ACTIVATED",IF(J2246&lt;&gt;"","?FAMILIAR",IF(F2246="NEW",IF(ISNA(VLOOKUP(E2246,#REF!,1,FALSE())),"?TYPE_IDENTIFIABLE","?REFERENTIAL"),"_")))))</f>
        <v/>
      </c>
      <c r="H2246" s="23" t="str">
        <f t="shared" ca="1" si="251"/>
        <v/>
      </c>
      <c r="I2246" s="24" t="str">
        <f>IF(OR(E2246="",E2246="!!!",F2246="NEW"),"",INDEX(B$2:B2245,-1+SUMPRODUCT(MAX(ROW(E$2:E2245)*(E2246=E$2:E2245)))))</f>
        <v/>
      </c>
      <c r="J2246" s="24" t="str">
        <f ca="1">IF(OR(E2246="",E2246="!!!",F2246="NEW"),"",COUNTBLANK(OFFSET(A$1,,,SUMPRODUCT(MAX(ROW(E$2:E2246)*(E2246=E$2:E2246)))))-COUNTBLANK(OFFSET(A$1,,,SUMPRODUCT(MAX(ROW(E$1:E2245)*(E2=E$1:E2245))))))</f>
        <v/>
      </c>
      <c r="K2246" s="24" t="str">
        <f>IF(OR(E2246="",E2246="!!!",F2246="NEW"),"",INDEX(J$1:J2245,SUMPRODUCT(MAX(ROW(E$1:E2245)*(E2246=E$1:E2245)))))</f>
        <v/>
      </c>
      <c r="L2246" s="25"/>
    </row>
    <row r="2247" spans="1:12" x14ac:dyDescent="0.2">
      <c r="A2247" t="s">
        <v>845</v>
      </c>
      <c r="E2247" s="20" t="str">
        <f t="shared" si="250"/>
        <v/>
      </c>
      <c r="F2247" s="21" t="str">
        <f>IF(OR(E2247="",E2247="!!!"),"",IF(NOT(ISNA(VLOOKUP(E2247,E$1:E2246,1,FALSE()))),"OLD",IF(AND(E2247&lt;&gt;"",E2247&lt;&gt;"!!!"),"NEW","")))</f>
        <v/>
      </c>
      <c r="G2247" s="22" t="str">
        <f>IF(OR(E2247="",E2247="!!!"),"",IF(OR(J2247=0,AND(J2247=1,K2247=1),AND(J2247=1,I2247="SBJ"),AND(J2247=1,I2247=0)),"?IN_FOCUS",IF(J2247&lt;=2,"?ACTIVATED",IF(J2247&lt;&gt;"","?FAMILIAR",IF(F2247="NEW",IF(ISNA(VLOOKUP(E2247,#REF!,1,FALSE())),"?TYPE_IDENTIFIABLE","?REFERENTIAL"),"_")))))</f>
        <v/>
      </c>
      <c r="H2247" s="23" t="str">
        <f t="shared" ca="1" si="251"/>
        <v/>
      </c>
      <c r="I2247" s="24" t="str">
        <f>IF(OR(E2247="",E2247="!!!",F2247="NEW"),"",INDEX(B$2:B2246,-1+SUMPRODUCT(MAX(ROW(E$2:E2246)*(E2247=E$2:E2246)))))</f>
        <v/>
      </c>
      <c r="J2247" s="24" t="str">
        <f ca="1">IF(OR(E2247="",E2247="!!!",F2247="NEW"),"",COUNTBLANK(OFFSET(A$1,,,SUMPRODUCT(MAX(ROW(E$2:E2247)*(E2247=E$2:E2247)))))-COUNTBLANK(OFFSET(A$1,,,SUMPRODUCT(MAX(ROW(E$1:E2246)*(E2=E$1:E2246))))))</f>
        <v/>
      </c>
      <c r="K2247" s="24" t="str">
        <f>IF(OR(E2247="",E2247="!!!",F2247="NEW"),"",INDEX(J$1:J2246,SUMPRODUCT(MAX(ROW(E$1:E2246)*(E2247=E$1:E2246)))))</f>
        <v/>
      </c>
      <c r="L2247" s="25"/>
    </row>
    <row r="2248" spans="1:12" x14ac:dyDescent="0.2">
      <c r="A2248" t="s">
        <v>530</v>
      </c>
      <c r="B2248" s="26" t="s">
        <v>819</v>
      </c>
      <c r="C2248" s="26" t="s">
        <v>847</v>
      </c>
      <c r="D2248" s="26" t="s">
        <v>806</v>
      </c>
      <c r="E2248" s="20" t="s">
        <v>1776</v>
      </c>
      <c r="F2248" s="21" t="str">
        <f>IF(OR(E2248="",E2248="!!!"),"",IF(NOT(ISNA(VLOOKUP(E2248,E$1:E2247,1,FALSE()))),"OLD",IF(AND(E2248&lt;&gt;"",E2248&lt;&gt;"!!!"),"NEW","")))</f>
        <v>OLD</v>
      </c>
      <c r="G2248" s="22" t="s">
        <v>1822</v>
      </c>
      <c r="H2248" s="23" t="str">
        <f t="shared" ca="1" si="251"/>
        <v/>
      </c>
      <c r="I2248" s="24" t="str">
        <f>IF(OR(E2248="",E2248="!!!",F2248="NEW"),"",INDEX(B$2:B2247,-1+SUMPRODUCT(MAX(ROW(E$2:E2247)*(E2248=E$2:E2247)))))</f>
        <v>other</v>
      </c>
      <c r="J2248" s="24">
        <f ca="1">IF(OR(E2248="",E2248="!!!",F2248="NEW"),"",COUNTBLANK(OFFSET(A$1,,,SUMPRODUCT(MAX(ROW(E$2:E2248)*(E2248=E$2:E2248)))))-COUNTBLANK(OFFSET(A$1,,,SUMPRODUCT(MAX(ROW(E$1:E2247)*(E2=E$1:E2247))))))</f>
        <v>0</v>
      </c>
      <c r="K2248" s="24">
        <f ca="1">IF(OR(E2248="",E2248="!!!",F2248="NEW"),"",INDEX(J$1:J2247,SUMPRODUCT(MAX(ROW(E$1:E2247)*(E2248=E$1:E2247)))))</f>
        <v>0</v>
      </c>
      <c r="L2248" s="25"/>
    </row>
    <row r="2249" spans="1:12" x14ac:dyDescent="0.2">
      <c r="A2249" t="s">
        <v>821</v>
      </c>
      <c r="E2249" s="20" t="str">
        <f t="shared" si="250"/>
        <v/>
      </c>
      <c r="F2249" s="21" t="str">
        <f>IF(OR(E2249="",E2249="!!!"),"",IF(NOT(ISNA(VLOOKUP(E2249,E$1:E2248,1,FALSE()))),"OLD",IF(AND(E2249&lt;&gt;"",E2249&lt;&gt;"!!!"),"NEW","")))</f>
        <v/>
      </c>
      <c r="G2249" s="22" t="str">
        <f>IF(OR(E2249="",E2249="!!!"),"",IF(OR(J2249=0,AND(J2249=1,K2249=1),AND(J2249=1,I2249="SBJ"),AND(J2249=1,I2249=0)),"?IN_FOCUS",IF(J2249&lt;=2,"?ACTIVATED",IF(J2249&lt;&gt;"","?FAMILIAR",IF(F2249="NEW",IF(ISNA(VLOOKUP(E2249,#REF!,1,FALSE())),"?TYPE_IDENTIFIABLE","?REFERENTIAL"),"_")))))</f>
        <v/>
      </c>
      <c r="H2249" s="23" t="str">
        <f t="shared" ca="1" si="251"/>
        <v/>
      </c>
      <c r="I2249" s="24" t="str">
        <f>IF(OR(E2249="",E2249="!!!",F2249="NEW"),"",INDEX(B$2:B2248,-1+SUMPRODUCT(MAX(ROW(E$2:E2248)*(E2249=E$2:E2248)))))</f>
        <v/>
      </c>
      <c r="J2249" s="24" t="str">
        <f ca="1">IF(OR(E2249="",E2249="!!!",F2249="NEW"),"",COUNTBLANK(OFFSET(A$1,,,SUMPRODUCT(MAX(ROW(E$2:E2249)*(E2249=E$2:E2249)))))-COUNTBLANK(OFFSET(A$1,,,SUMPRODUCT(MAX(ROW(E$1:E2248)*(E2=E$1:E2248))))))</f>
        <v/>
      </c>
      <c r="K2249" s="24" t="str">
        <f>IF(OR(E2249="",E2249="!!!",F2249="NEW"),"",INDEX(J$1:J2248,SUMPRODUCT(MAX(ROW(E$1:E2248)*(E2249=E$1:E2248)))))</f>
        <v/>
      </c>
      <c r="L2249" s="25"/>
    </row>
    <row r="2251" spans="1:12" x14ac:dyDescent="0.2">
      <c r="A2251" t="s">
        <v>1499</v>
      </c>
    </row>
    <row r="2252" spans="1:12" x14ac:dyDescent="0.2">
      <c r="A2252" t="s">
        <v>1034</v>
      </c>
      <c r="E2252" s="20" t="str">
        <f t="shared" ref="E2252:E2261" si="252">IF(D2252="?OLD","!!!","")</f>
        <v/>
      </c>
      <c r="F2252" s="21" t="str">
        <f>IF(OR(E2252="",E2252="!!!"),"",IF(NOT(ISNA(VLOOKUP(E2252,E$1:E2251,1,FALSE()))),"OLD",IF(AND(E2252&lt;&gt;"",E2252&lt;&gt;"!!!"),"NEW","")))</f>
        <v/>
      </c>
      <c r="G2252" s="22" t="str">
        <f>IF(OR(E2252="",E2252="!!!"),"",IF(OR(J2252=0,AND(J2252=1,K2252=1),AND(J2252=1,I2252="SBJ"),AND(J2252=1,I2252=0)),"?IN_FOCUS",IF(J2252&lt;=2,"?ACTIVATED",IF(J2252&lt;&gt;"","?FAMILIAR",IF(F2252="NEW",IF(ISNA(VLOOKUP(E2252,#REF!,1,FALSE())),"?TYPE_IDENTIFIABLE","?REFERENTIAL"),"_")))))</f>
        <v/>
      </c>
      <c r="H2252" s="23" t="str">
        <f t="shared" ref="H2252:H2261" ca="1" si="253">IF(J2252&lt;&gt;1,"",IF(I2252="SBJ","CB","?"))</f>
        <v/>
      </c>
      <c r="I2252" s="24" t="str">
        <f>IF(OR(E2252="",E2252="!!!",F2252="NEW"),"",INDEX(B$2:B2251,-1+SUMPRODUCT(MAX(ROW(E$2:E2251)*(E2252=E$2:E2251)))))</f>
        <v/>
      </c>
      <c r="J2252" s="24" t="str">
        <f ca="1">IF(OR(E2252="",E2252="!!!",F2252="NEW"),"",COUNTBLANK(OFFSET(A$1,,,SUMPRODUCT(MAX(ROW(E$2:E2252)*(E2252=E$2:E2252)))))-COUNTBLANK(OFFSET(A$1,,,SUMPRODUCT(MAX(ROW(E$1:E2251)*(E2=E$1:E2251))))))</f>
        <v/>
      </c>
      <c r="K2252" s="24" t="str">
        <f>IF(OR(E2252="",E2252="!!!",F2252="NEW"),"",INDEX(J$1:J2251,SUMPRODUCT(MAX(ROW(E$1:E2251)*(E2252=E$1:E2251)))))</f>
        <v/>
      </c>
      <c r="L2252" s="25"/>
    </row>
    <row r="2253" spans="1:12" x14ac:dyDescent="0.2">
      <c r="A2253" t="s">
        <v>1500</v>
      </c>
      <c r="E2253" s="20" t="str">
        <f t="shared" si="252"/>
        <v/>
      </c>
      <c r="F2253" s="21" t="str">
        <f>IF(OR(E2253="",E2253="!!!"),"",IF(NOT(ISNA(VLOOKUP(E2253,E$1:E2252,1,FALSE()))),"OLD",IF(AND(E2253&lt;&gt;"",E2253&lt;&gt;"!!!"),"NEW","")))</f>
        <v/>
      </c>
      <c r="G2253" s="22" t="str">
        <f>IF(OR(E2253="",E2253="!!!"),"",IF(OR(J2253=0,AND(J2253=1,K2253=1),AND(J2253=1,I2253="SBJ"),AND(J2253=1,I2253=0)),"?IN_FOCUS",IF(J2253&lt;=2,"?ACTIVATED",IF(J2253&lt;&gt;"","?FAMILIAR",IF(F2253="NEW",IF(ISNA(VLOOKUP(E2253,#REF!,1,FALSE())),"?TYPE_IDENTIFIABLE","?REFERENTIAL"),"_")))))</f>
        <v/>
      </c>
      <c r="H2253" s="23" t="str">
        <f t="shared" ca="1" si="253"/>
        <v/>
      </c>
      <c r="I2253" s="24" t="str">
        <f>IF(OR(E2253="",E2253="!!!",F2253="NEW"),"",INDEX(B$2:B2252,-1+SUMPRODUCT(MAX(ROW(E$2:E2252)*(E2253=E$2:E2252)))))</f>
        <v/>
      </c>
      <c r="J2253" s="24" t="str">
        <f ca="1">IF(OR(E2253="",E2253="!!!",F2253="NEW"),"",COUNTBLANK(OFFSET(A$1,,,SUMPRODUCT(MAX(ROW(E$2:E2253)*(E2253=E$2:E2253)))))-COUNTBLANK(OFFSET(A$1,,,SUMPRODUCT(MAX(ROW(E$1:E2252)*(E2=E$1:E2252))))))</f>
        <v/>
      </c>
      <c r="K2253" s="24" t="str">
        <f>IF(OR(E2253="",E2253="!!!",F2253="NEW"),"",INDEX(J$1:J2252,SUMPRODUCT(MAX(ROW(E$1:E2252)*(E2253=E$1:E2252)))))</f>
        <v/>
      </c>
      <c r="L2253" s="25"/>
    </row>
    <row r="2254" spans="1:12" x14ac:dyDescent="0.2">
      <c r="A2254" t="s">
        <v>1501</v>
      </c>
      <c r="B2254" s="26" t="s">
        <v>819</v>
      </c>
      <c r="C2254" s="26" t="s">
        <v>1498</v>
      </c>
      <c r="E2254" s="20" t="str">
        <f t="shared" si="252"/>
        <v/>
      </c>
      <c r="F2254" s="21" t="str">
        <f>IF(OR(E2254="",E2254="!!!"),"",IF(NOT(ISNA(VLOOKUP(E2254,E$1:E2253,1,FALSE()))),"OLD",IF(AND(E2254&lt;&gt;"",E2254&lt;&gt;"!!!"),"NEW","")))</f>
        <v/>
      </c>
      <c r="G2254" s="22" t="str">
        <f>IF(OR(E2254="",E2254="!!!"),"",IF(OR(J2254=0,AND(J2254=1,K2254=1),AND(J2254=1,I2254="SBJ"),AND(J2254=1,I2254=0)),"?IN_FOCUS",IF(J2254&lt;=2,"?ACTIVATED",IF(J2254&lt;&gt;"","?FAMILIAR",IF(F2254="NEW",IF(ISNA(VLOOKUP(E2254,#REF!,1,FALSE())),"?TYPE_IDENTIFIABLE","?REFERENTIAL"),"_")))))</f>
        <v/>
      </c>
      <c r="H2254" s="23" t="str">
        <f t="shared" ca="1" si="253"/>
        <v/>
      </c>
      <c r="I2254" s="24" t="str">
        <f>IF(OR(E2254="",E2254="!!!",F2254="NEW"),"",INDEX(B$2:B2253,-1+SUMPRODUCT(MAX(ROW(E$2:E2253)*(E2254=E$2:E2253)))))</f>
        <v/>
      </c>
      <c r="J2254" s="24" t="str">
        <f ca="1">IF(OR(E2254="",E2254="!!!",F2254="NEW"),"",COUNTBLANK(OFFSET(A$1,,,SUMPRODUCT(MAX(ROW(E$2:E2254)*(E2254=E$2:E2254)))))-COUNTBLANK(OFFSET(A$1,,,SUMPRODUCT(MAX(ROW(E$1:E2253)*(E2=E$1:E2253))))))</f>
        <v/>
      </c>
      <c r="K2254" s="24" t="str">
        <f>IF(OR(E2254="",E2254="!!!",F2254="NEW"),"",INDEX(J$1:J2253,SUMPRODUCT(MAX(ROW(E$1:E2253)*(E2254=E$1:E2253)))))</f>
        <v/>
      </c>
      <c r="L2254" s="25"/>
    </row>
    <row r="2255" spans="1:12" x14ac:dyDescent="0.2">
      <c r="A2255" t="s">
        <v>802</v>
      </c>
      <c r="E2255" s="20" t="str">
        <f t="shared" si="252"/>
        <v/>
      </c>
      <c r="F2255" s="21" t="str">
        <f>IF(OR(E2255="",E2255="!!!"),"",IF(NOT(ISNA(VLOOKUP(E2255,E$1:E2254,1,FALSE()))),"OLD",IF(AND(E2255&lt;&gt;"",E2255&lt;&gt;"!!!"),"NEW","")))</f>
        <v/>
      </c>
      <c r="G2255" s="22" t="str">
        <f>IF(OR(E2255="",E2255="!!!"),"",IF(OR(J2255=0,AND(J2255=1,K2255=1),AND(J2255=1,I2255="SBJ"),AND(J2255=1,I2255=0)),"?IN_FOCUS",IF(J2255&lt;=2,"?ACTIVATED",IF(J2255&lt;&gt;"","?FAMILIAR",IF(F2255="NEW",IF(ISNA(VLOOKUP(E2255,#REF!,1,FALSE())),"?TYPE_IDENTIFIABLE","?REFERENTIAL"),"_")))))</f>
        <v/>
      </c>
      <c r="H2255" s="23" t="str">
        <f t="shared" ca="1" si="253"/>
        <v/>
      </c>
      <c r="I2255" s="24" t="str">
        <f>IF(OR(E2255="",E2255="!!!",F2255="NEW"),"",INDEX(B$2:B2254,-1+SUMPRODUCT(MAX(ROW(E$2:E2254)*(E2255=E$2:E2254)))))</f>
        <v/>
      </c>
      <c r="J2255" s="24" t="str">
        <f ca="1">IF(OR(E2255="",E2255="!!!",F2255="NEW"),"",COUNTBLANK(OFFSET(A$1,,,SUMPRODUCT(MAX(ROW(E$2:E2255)*(E2255=E$2:E2255)))))-COUNTBLANK(OFFSET(A$1,,,SUMPRODUCT(MAX(ROW(E$1:E2254)*(E2=E$1:E2254))))))</f>
        <v/>
      </c>
      <c r="K2255" s="24" t="str">
        <f>IF(OR(E2255="",E2255="!!!",F2255="NEW"),"",INDEX(J$1:J2254,SUMPRODUCT(MAX(ROW(E$1:E2254)*(E2255=E$1:E2254)))))</f>
        <v/>
      </c>
      <c r="L2255" s="25"/>
    </row>
    <row r="2256" spans="1:12" x14ac:dyDescent="0.2">
      <c r="A2256" t="s">
        <v>949</v>
      </c>
      <c r="B2256" s="26" t="s">
        <v>804</v>
      </c>
      <c r="C2256" s="26" t="s">
        <v>805</v>
      </c>
      <c r="D2256" s="26" t="s">
        <v>806</v>
      </c>
      <c r="E2256" s="20" t="s">
        <v>1797</v>
      </c>
      <c r="F2256" s="21" t="str">
        <f>IF(OR(E2256="",E2256="!!!"),"",IF(NOT(ISNA(VLOOKUP(E2256,E$1:E2255,1,FALSE()))),"OLD",IF(AND(E2256&lt;&gt;"",E2256&lt;&gt;"!!!"),"NEW","")))</f>
        <v>OLD</v>
      </c>
      <c r="G2256" s="22" t="s">
        <v>1823</v>
      </c>
      <c r="H2256" s="23" t="str">
        <f t="shared" ca="1" si="253"/>
        <v/>
      </c>
      <c r="I2256" s="24" t="str">
        <f>IF(OR(E2256="",E2256="!!!",F2256="NEW"),"",INDEX(B$2:B2255,-1+SUMPRODUCT(MAX(ROW(E$2:E2255)*(E2256=E$2:E2255)))))</f>
        <v>SBJ</v>
      </c>
      <c r="J2256" s="24">
        <f ca="1">IF(OR(E2256="",E2256="!!!",F2256="NEW"),"",COUNTBLANK(OFFSET(A$1,,,SUMPRODUCT(MAX(ROW(E$2:E2256)*(E2256=E$2:E2256)))))-COUNTBLANK(OFFSET(A$1,,,SUMPRODUCT(MAX(ROW(E$1:E2255)*(E2=E$1:E2255))))))</f>
        <v>0</v>
      </c>
      <c r="K2256" s="24">
        <f ca="1">IF(OR(E2256="",E2256="!!!",F2256="NEW"),"",INDEX(J$1:J2255,SUMPRODUCT(MAX(ROW(E$1:E2255)*(E2256=E$1:E2255)))))</f>
        <v>0</v>
      </c>
      <c r="L2256" s="25"/>
    </row>
    <row r="2257" spans="1:12" x14ac:dyDescent="0.2">
      <c r="A2257" t="s">
        <v>562</v>
      </c>
      <c r="E2257" s="20" t="str">
        <f t="shared" si="252"/>
        <v/>
      </c>
      <c r="F2257" s="21" t="str">
        <f>IF(OR(E2257="",E2257="!!!"),"",IF(NOT(ISNA(VLOOKUP(E2257,E$1:E2256,1,FALSE()))),"OLD",IF(AND(E2257&lt;&gt;"",E2257&lt;&gt;"!!!"),"NEW","")))</f>
        <v/>
      </c>
      <c r="G2257" s="22" t="str">
        <f>IF(OR(E2257="",E2257="!!!"),"",IF(OR(J2257=0,AND(J2257=1,K2257=1),AND(J2257=1,I2257="SBJ"),AND(J2257=1,I2257=0)),"?IN_FOCUS",IF(J2257&lt;=2,"?ACTIVATED",IF(J2257&lt;&gt;"","?FAMILIAR",IF(F2257="NEW",IF(ISNA(VLOOKUP(E2257,#REF!,1,FALSE())),"?TYPE_IDENTIFIABLE","?REFERENTIAL"),"_")))))</f>
        <v/>
      </c>
      <c r="H2257" s="23" t="str">
        <f t="shared" ca="1" si="253"/>
        <v/>
      </c>
      <c r="I2257" s="24" t="str">
        <f>IF(OR(E2257="",E2257="!!!",F2257="NEW"),"",INDEX(B$2:B2256,-1+SUMPRODUCT(MAX(ROW(E$2:E2256)*(E2257=E$2:E2256)))))</f>
        <v/>
      </c>
      <c r="J2257" s="24" t="str">
        <f ca="1">IF(OR(E2257="",E2257="!!!",F2257="NEW"),"",COUNTBLANK(OFFSET(A$1,,,SUMPRODUCT(MAX(ROW(E$2:E2257)*(E2257=E$2:E2257)))))-COUNTBLANK(OFFSET(A$1,,,SUMPRODUCT(MAX(ROW(E$1:E2256)*(E2=E$1:E2256))))))</f>
        <v/>
      </c>
      <c r="K2257" s="24" t="str">
        <f>IF(OR(E2257="",E2257="!!!",F2257="NEW"),"",INDEX(J$1:J2256,SUMPRODUCT(MAX(ROW(E$1:E2256)*(E2257=E$1:E2256)))))</f>
        <v/>
      </c>
      <c r="L2257" s="25"/>
    </row>
    <row r="2258" spans="1:12" x14ac:dyDescent="0.2">
      <c r="A2258" t="s">
        <v>575</v>
      </c>
      <c r="E2258" s="20" t="str">
        <f t="shared" si="252"/>
        <v/>
      </c>
      <c r="F2258" s="21" t="str">
        <f>IF(OR(E2258="",E2258="!!!"),"",IF(NOT(ISNA(VLOOKUP(E2258,E$1:E2257,1,FALSE()))),"OLD",IF(AND(E2258&lt;&gt;"",E2258&lt;&gt;"!!!"),"NEW","")))</f>
        <v/>
      </c>
      <c r="G2258" s="22" t="str">
        <f>IF(OR(E2258="",E2258="!!!"),"",IF(OR(J2258=0,AND(J2258=1,K2258=1),AND(J2258=1,I2258="SBJ"),AND(J2258=1,I2258=0)),"?IN_FOCUS",IF(J2258&lt;=2,"?ACTIVATED",IF(J2258&lt;&gt;"","?FAMILIAR",IF(F2258="NEW",IF(ISNA(VLOOKUP(E2258,#REF!,1,FALSE())),"?TYPE_IDENTIFIABLE","?REFERENTIAL"),"_")))))</f>
        <v/>
      </c>
      <c r="H2258" s="23" t="str">
        <f t="shared" ca="1" si="253"/>
        <v/>
      </c>
      <c r="I2258" s="24" t="str">
        <f>IF(OR(E2258="",E2258="!!!",F2258="NEW"),"",INDEX(B$2:B2257,-1+SUMPRODUCT(MAX(ROW(E$2:E2257)*(E2258=E$2:E2257)))))</f>
        <v/>
      </c>
      <c r="J2258" s="24" t="str">
        <f ca="1">IF(OR(E2258="",E2258="!!!",F2258="NEW"),"",COUNTBLANK(OFFSET(A$1,,,SUMPRODUCT(MAX(ROW(E$2:E2258)*(E2258=E$2:E2258)))))-COUNTBLANK(OFFSET(A$1,,,SUMPRODUCT(MAX(ROW(E$1:E2257)*(E2=E$1:E2257))))))</f>
        <v/>
      </c>
      <c r="K2258" s="24" t="str">
        <f>IF(OR(E2258="",E2258="!!!",F2258="NEW"),"",INDEX(J$1:J2257,SUMPRODUCT(MAX(ROW(E$1:E2257)*(E2258=E$1:E2257)))))</f>
        <v/>
      </c>
      <c r="L2258" s="25"/>
    </row>
    <row r="2259" spans="1:12" x14ac:dyDescent="0.2">
      <c r="A2259" t="s">
        <v>1286</v>
      </c>
      <c r="B2259" s="26" t="s">
        <v>810</v>
      </c>
      <c r="C2259" s="26" t="s">
        <v>884</v>
      </c>
      <c r="E2259" s="20" t="str">
        <f t="shared" si="252"/>
        <v/>
      </c>
      <c r="F2259" s="21" t="str">
        <f>IF(OR(E2259="",E2259="!!!"),"",IF(NOT(ISNA(VLOOKUP(E2259,E$1:E2258,1,FALSE()))),"OLD",IF(AND(E2259&lt;&gt;"",E2259&lt;&gt;"!!!"),"NEW","")))</f>
        <v/>
      </c>
      <c r="G2259" s="22" t="str">
        <f>IF(OR(E2259="",E2259="!!!"),"",IF(OR(J2259=0,AND(J2259=1,K2259=1),AND(J2259=1,I2259="SBJ"),AND(J2259=1,I2259=0)),"?IN_FOCUS",IF(J2259&lt;=2,"?ACTIVATED",IF(J2259&lt;&gt;"","?FAMILIAR",IF(F2259="NEW",IF(ISNA(VLOOKUP(E2259,#REF!,1,FALSE())),"?TYPE_IDENTIFIABLE","?REFERENTIAL"),"_")))))</f>
        <v/>
      </c>
      <c r="H2259" s="23" t="str">
        <f t="shared" ca="1" si="253"/>
        <v/>
      </c>
      <c r="I2259" s="24" t="str">
        <f>IF(OR(E2259="",E2259="!!!",F2259="NEW"),"",INDEX(B$2:B2258,-1+SUMPRODUCT(MAX(ROW(E$2:E2258)*(E2259=E$2:E2258)))))</f>
        <v/>
      </c>
      <c r="J2259" s="24" t="str">
        <f ca="1">IF(OR(E2259="",E2259="!!!",F2259="NEW"),"",COUNTBLANK(OFFSET(A$1,,,SUMPRODUCT(MAX(ROW(E$2:E2259)*(E2259=E$2:E2259)))))-COUNTBLANK(OFFSET(A$1,,,SUMPRODUCT(MAX(ROW(E$1:E2258)*(E2=E$1:E2258))))))</f>
        <v/>
      </c>
      <c r="K2259" s="24" t="str">
        <f>IF(OR(E2259="",E2259="!!!",F2259="NEW"),"",INDEX(J$1:J2258,SUMPRODUCT(MAX(ROW(E$1:E2258)*(E2259=E$1:E2258)))))</f>
        <v/>
      </c>
      <c r="L2259" s="25"/>
    </row>
    <row r="2260" spans="1:12" x14ac:dyDescent="0.2">
      <c r="A2260" t="s">
        <v>1263</v>
      </c>
      <c r="E2260" s="20" t="str">
        <f t="shared" si="252"/>
        <v/>
      </c>
      <c r="F2260" s="21" t="str">
        <f>IF(OR(E2260="",E2260="!!!"),"",IF(NOT(ISNA(VLOOKUP(E2260,E$1:E2259,1,FALSE()))),"OLD",IF(AND(E2260&lt;&gt;"",E2260&lt;&gt;"!!!"),"NEW","")))</f>
        <v/>
      </c>
      <c r="G2260" s="22" t="str">
        <f>IF(OR(E2260="",E2260="!!!"),"",IF(OR(J2260=0,AND(J2260=1,K2260=1),AND(J2260=1,I2260="SBJ"),AND(J2260=1,I2260=0)),"?IN_FOCUS",IF(J2260&lt;=2,"?ACTIVATED",IF(J2260&lt;&gt;"","?FAMILIAR",IF(F2260="NEW",IF(ISNA(VLOOKUP(E2260,#REF!,1,FALSE())),"?TYPE_IDENTIFIABLE","?REFERENTIAL"),"_")))))</f>
        <v/>
      </c>
      <c r="H2260" s="23" t="str">
        <f t="shared" ca="1" si="253"/>
        <v/>
      </c>
      <c r="I2260" s="24" t="str">
        <f>IF(OR(E2260="",E2260="!!!",F2260="NEW"),"",INDEX(B$2:B2259,-1+SUMPRODUCT(MAX(ROW(E$2:E2259)*(E2260=E$2:E2259)))))</f>
        <v/>
      </c>
      <c r="J2260" s="24" t="str">
        <f ca="1">IF(OR(E2260="",E2260="!!!",F2260="NEW"),"",COUNTBLANK(OFFSET(A$1,,,SUMPRODUCT(MAX(ROW(E$2:E2260)*(E2260=E$2:E2260)))))-COUNTBLANK(OFFSET(A$1,,,SUMPRODUCT(MAX(ROW(E$1:E2259)*(E2=E$1:E2259))))))</f>
        <v/>
      </c>
      <c r="K2260" s="24" t="str">
        <f>IF(OR(E2260="",E2260="!!!",F2260="NEW"),"",INDEX(J$1:J2259,SUMPRODUCT(MAX(ROW(E$1:E2259)*(E2260=E$1:E2259)))))</f>
        <v/>
      </c>
      <c r="L2260" s="25"/>
    </row>
    <row r="2261" spans="1:12" x14ac:dyDescent="0.2">
      <c r="A2261" t="s">
        <v>821</v>
      </c>
      <c r="E2261" s="20" t="str">
        <f t="shared" si="252"/>
        <v/>
      </c>
      <c r="F2261" s="21" t="str">
        <f>IF(OR(E2261="",E2261="!!!"),"",IF(NOT(ISNA(VLOOKUP(E2261,E$1:E2260,1,FALSE()))),"OLD",IF(AND(E2261&lt;&gt;"",E2261&lt;&gt;"!!!"),"NEW","")))</f>
        <v/>
      </c>
      <c r="G2261" s="22" t="str">
        <f>IF(OR(E2261="",E2261="!!!"),"",IF(OR(J2261=0,AND(J2261=1,K2261=1),AND(J2261=1,I2261="SBJ"),AND(J2261=1,I2261=0)),"?IN_FOCUS",IF(J2261&lt;=2,"?ACTIVATED",IF(J2261&lt;&gt;"","?FAMILIAR",IF(F2261="NEW",IF(ISNA(VLOOKUP(E2261,#REF!,1,FALSE())),"?TYPE_IDENTIFIABLE","?REFERENTIAL"),"_")))))</f>
        <v/>
      </c>
      <c r="H2261" s="23" t="str">
        <f t="shared" ca="1" si="253"/>
        <v/>
      </c>
      <c r="I2261" s="24" t="str">
        <f>IF(OR(E2261="",E2261="!!!",F2261="NEW"),"",INDEX(B$2:B2260,-1+SUMPRODUCT(MAX(ROW(E$2:E2260)*(E2261=E$2:E2260)))))</f>
        <v/>
      </c>
      <c r="J2261" s="24" t="str">
        <f ca="1">IF(OR(E2261="",E2261="!!!",F2261="NEW"),"",COUNTBLANK(OFFSET(A$1,,,SUMPRODUCT(MAX(ROW(E$2:E2261)*(E2261=E$2:E2261)))))-COUNTBLANK(OFFSET(A$1,,,SUMPRODUCT(MAX(ROW(E$1:E2260)*(E2=E$1:E2260))))))</f>
        <v/>
      </c>
      <c r="K2261" s="24" t="str">
        <f>IF(OR(E2261="",E2261="!!!",F2261="NEW"),"",INDEX(J$1:J2260,SUMPRODUCT(MAX(ROW(E$1:E2260)*(E2261=E$1:E2260)))))</f>
        <v/>
      </c>
      <c r="L2261" s="25"/>
    </row>
    <row r="2263" spans="1:12" x14ac:dyDescent="0.2">
      <c r="A2263" t="s">
        <v>1502</v>
      </c>
    </row>
    <row r="2264" spans="1:12" x14ac:dyDescent="0.2">
      <c r="A2264" t="s">
        <v>1216</v>
      </c>
      <c r="B2264" s="26" t="s">
        <v>804</v>
      </c>
      <c r="C2264" s="26" t="s">
        <v>805</v>
      </c>
      <c r="D2264" s="26" t="s">
        <v>806</v>
      </c>
      <c r="E2264" s="20" t="s">
        <v>1797</v>
      </c>
      <c r="F2264" s="21" t="str">
        <f>IF(OR(E2264="",E2264="!!!"),"",IF(NOT(ISNA(VLOOKUP(E2264,E$1:E2263,1,FALSE()))),"OLD",IF(AND(E2264&lt;&gt;"",E2264&lt;&gt;"!!!"),"NEW","")))</f>
        <v>OLD</v>
      </c>
      <c r="G2264" s="22" t="s">
        <v>1823</v>
      </c>
      <c r="H2264" s="23" t="str">
        <f t="shared" ref="H2264:H2280" ca="1" si="254">IF(J2264&lt;&gt;1,"",IF(I2264="SBJ","CB","?"))</f>
        <v/>
      </c>
      <c r="I2264" s="24" t="str">
        <f>IF(OR(E2264="",E2264="!!!",F2264="NEW"),"",INDEX(B$2:B2263,-1+SUMPRODUCT(MAX(ROW(E$2:E2263)*(E2264=E$2:E2263)))))</f>
        <v>SBJ</v>
      </c>
      <c r="J2264" s="24">
        <f ca="1">IF(OR(E2264="",E2264="!!!",F2264="NEW"),"",COUNTBLANK(OFFSET(A$1,,,SUMPRODUCT(MAX(ROW(E$2:E2264)*(E2264=E$2:E2264)))))-COUNTBLANK(OFFSET(A$1,,,SUMPRODUCT(MAX(ROW(E$1:E2263)*(E2=E$1:E2263))))))</f>
        <v>0</v>
      </c>
      <c r="K2264" s="24">
        <f ca="1">IF(OR(E2264="",E2264="!!!",F2264="NEW"),"",INDEX(J$1:J2263,SUMPRODUCT(MAX(ROW(E$1:E2263)*(E2264=E$1:E2263)))))</f>
        <v>0</v>
      </c>
      <c r="L2264" s="25"/>
    </row>
    <row r="2265" spans="1:12" x14ac:dyDescent="0.2">
      <c r="A2265" t="s">
        <v>309</v>
      </c>
      <c r="E2265" s="20" t="str">
        <f t="shared" ref="E2264:E2280" si="255">IF(D2265="?OLD","!!!","")</f>
        <v/>
      </c>
      <c r="F2265" s="21" t="str">
        <f>IF(OR(E2265="",E2265="!!!"),"",IF(NOT(ISNA(VLOOKUP(E2265,E$1:E2264,1,FALSE()))),"OLD",IF(AND(E2265&lt;&gt;"",E2265&lt;&gt;"!!!"),"NEW","")))</f>
        <v/>
      </c>
      <c r="G2265" s="22" t="str">
        <f>IF(OR(E2265="",E2265="!!!"),"",IF(OR(J2265=0,AND(J2265=1,K2265=1),AND(J2265=1,I2265="SBJ"),AND(J2265=1,I2265=0)),"?IN_FOCUS",IF(J2265&lt;=2,"?ACTIVATED",IF(J2265&lt;&gt;"","?FAMILIAR",IF(F2265="NEW",IF(ISNA(VLOOKUP(E2265,#REF!,1,FALSE())),"?TYPE_IDENTIFIABLE","?REFERENTIAL"),"_")))))</f>
        <v/>
      </c>
      <c r="H2265" s="23" t="str">
        <f t="shared" ca="1" si="254"/>
        <v/>
      </c>
      <c r="I2265" s="24" t="str">
        <f>IF(OR(E2265="",E2265="!!!",F2265="NEW"),"",INDEX(B$2:B2264,-1+SUMPRODUCT(MAX(ROW(E$2:E2264)*(E2265=E$2:E2264)))))</f>
        <v/>
      </c>
      <c r="J2265" s="24" t="str">
        <f ca="1">IF(OR(E2265="",E2265="!!!",F2265="NEW"),"",COUNTBLANK(OFFSET(A$1,,,SUMPRODUCT(MAX(ROW(E$2:E2265)*(E2265=E$2:E2265)))))-COUNTBLANK(OFFSET(A$1,,,SUMPRODUCT(MAX(ROW(E$1:E2264)*(E2=E$1:E2264))))))</f>
        <v/>
      </c>
      <c r="K2265" s="24" t="str">
        <f>IF(OR(E2265="",E2265="!!!",F2265="NEW"),"",INDEX(J$1:J2264,SUMPRODUCT(MAX(ROW(E$1:E2264)*(E2265=E$1:E2264)))))</f>
        <v/>
      </c>
      <c r="L2265" s="25"/>
    </row>
    <row r="2266" spans="1:12" x14ac:dyDescent="0.2">
      <c r="A2266" t="s">
        <v>1060</v>
      </c>
      <c r="B2266" s="26" t="s">
        <v>810</v>
      </c>
      <c r="E2266" s="20" t="str">
        <f t="shared" si="255"/>
        <v/>
      </c>
      <c r="F2266" s="21" t="str">
        <f>IF(OR(E2266="",E2266="!!!"),"",IF(NOT(ISNA(VLOOKUP(E2266,E$1:E2265,1,FALSE()))),"OLD",IF(AND(E2266&lt;&gt;"",E2266&lt;&gt;"!!!"),"NEW","")))</f>
        <v/>
      </c>
      <c r="G2266" s="22" t="str">
        <f>IF(OR(E2266="",E2266="!!!"),"",IF(OR(J2266=0,AND(J2266=1,K2266=1),AND(J2266=1,I2266="SBJ"),AND(J2266=1,I2266=0)),"?IN_FOCUS",IF(J2266&lt;=2,"?ACTIVATED",IF(J2266&lt;&gt;"","?FAMILIAR",IF(F2266="NEW",IF(ISNA(VLOOKUP(E2266,#REF!,1,FALSE())),"?TYPE_IDENTIFIABLE","?REFERENTIAL"),"_")))))</f>
        <v/>
      </c>
      <c r="H2266" s="23" t="str">
        <f t="shared" ca="1" si="254"/>
        <v/>
      </c>
      <c r="I2266" s="24" t="str">
        <f>IF(OR(E2266="",E2266="!!!",F2266="NEW"),"",INDEX(B$2:B2265,-1+SUMPRODUCT(MAX(ROW(E$2:E2265)*(E2266=E$2:E2265)))))</f>
        <v/>
      </c>
      <c r="J2266" s="24" t="str">
        <f ca="1">IF(OR(E2266="",E2266="!!!",F2266="NEW"),"",COUNTBLANK(OFFSET(A$1,,,SUMPRODUCT(MAX(ROW(E$2:E2266)*(E2266=E$2:E2266)))))-COUNTBLANK(OFFSET(A$1,,,SUMPRODUCT(MAX(ROW(E$1:E2265)*(E2=E$1:E2265))))))</f>
        <v/>
      </c>
      <c r="K2266" s="24" t="str">
        <f>IF(OR(E2266="",E2266="!!!",F2266="NEW"),"",INDEX(J$1:J2265,SUMPRODUCT(MAX(ROW(E$1:E2265)*(E2266=E$1:E2265)))))</f>
        <v/>
      </c>
      <c r="L2266" s="25"/>
    </row>
    <row r="2267" spans="1:12" x14ac:dyDescent="0.2">
      <c r="A2267" t="s">
        <v>1127</v>
      </c>
      <c r="E2267" s="20" t="str">
        <f t="shared" si="255"/>
        <v/>
      </c>
      <c r="F2267" s="21" t="str">
        <f>IF(OR(E2267="",E2267="!!!"),"",IF(NOT(ISNA(VLOOKUP(E2267,E$1:E2266,1,FALSE()))),"OLD",IF(AND(E2267&lt;&gt;"",E2267&lt;&gt;"!!!"),"NEW","")))</f>
        <v/>
      </c>
      <c r="G2267" s="22" t="str">
        <f>IF(OR(E2267="",E2267="!!!"),"",IF(OR(J2267=0,AND(J2267=1,K2267=1),AND(J2267=1,I2267="SBJ"),AND(J2267=1,I2267=0)),"?IN_FOCUS",IF(J2267&lt;=2,"?ACTIVATED",IF(J2267&lt;&gt;"","?FAMILIAR",IF(F2267="NEW",IF(ISNA(VLOOKUP(E2267,#REF!,1,FALSE())),"?TYPE_IDENTIFIABLE","?REFERENTIAL"),"_")))))</f>
        <v/>
      </c>
      <c r="H2267" s="23" t="str">
        <f t="shared" ca="1" si="254"/>
        <v/>
      </c>
      <c r="I2267" s="24" t="str">
        <f>IF(OR(E2267="",E2267="!!!",F2267="NEW"),"",INDEX(B$2:B2266,-1+SUMPRODUCT(MAX(ROW(E$2:E2266)*(E2267=E$2:E2266)))))</f>
        <v/>
      </c>
      <c r="J2267" s="24" t="str">
        <f ca="1">IF(OR(E2267="",E2267="!!!",F2267="NEW"),"",COUNTBLANK(OFFSET(A$1,,,SUMPRODUCT(MAX(ROW(E$2:E2267)*(E2267=E$2:E2267)))))-COUNTBLANK(OFFSET(A$1,,,SUMPRODUCT(MAX(ROW(E$1:E2266)*(E2=E$1:E2266))))))</f>
        <v/>
      </c>
      <c r="K2267" s="24" t="str">
        <f>IF(OR(E2267="",E2267="!!!",F2267="NEW"),"",INDEX(J$1:J2266,SUMPRODUCT(MAX(ROW(E$1:E2266)*(E2267=E$1:E2266)))))</f>
        <v/>
      </c>
      <c r="L2267" s="25"/>
    </row>
    <row r="2268" spans="1:12" x14ac:dyDescent="0.2">
      <c r="A2268" t="s">
        <v>949</v>
      </c>
      <c r="B2268" s="26" t="s">
        <v>950</v>
      </c>
      <c r="C2268" s="26" t="s">
        <v>805</v>
      </c>
      <c r="D2268" s="26" t="s">
        <v>806</v>
      </c>
      <c r="E2268" s="20" t="s">
        <v>1797</v>
      </c>
      <c r="F2268" s="21" t="str">
        <f>IF(OR(E2268="",E2268="!!!"),"",IF(NOT(ISNA(VLOOKUP(E2268,E$1:E2267,1,FALSE()))),"OLD",IF(AND(E2268&lt;&gt;"",E2268&lt;&gt;"!!!"),"NEW","")))</f>
        <v>OLD</v>
      </c>
      <c r="G2268" s="22" t="s">
        <v>1823</v>
      </c>
      <c r="H2268" s="23" t="str">
        <f t="shared" ca="1" si="254"/>
        <v/>
      </c>
      <c r="I2268" s="24" t="str">
        <f>IF(OR(E2268="",E2268="!!!",F2268="NEW"),"",INDEX(B$2:B2267,-1+SUMPRODUCT(MAX(ROW(E$2:E2267)*(E2268=E$2:E2267)))))</f>
        <v>SBJ</v>
      </c>
      <c r="J2268" s="24">
        <f ca="1">IF(OR(E2268="",E2268="!!!",F2268="NEW"),"",COUNTBLANK(OFFSET(A$1,,,SUMPRODUCT(MAX(ROW(E$2:E2268)*(E2268=E$2:E2268)))))-COUNTBLANK(OFFSET(A$1,,,SUMPRODUCT(MAX(ROW(E$1:E2267)*(E2=E$1:E2267))))))</f>
        <v>0</v>
      </c>
      <c r="K2268" s="24">
        <f ca="1">IF(OR(E2268="",E2268="!!!",F2268="NEW"),"",INDEX(J$1:J2267,SUMPRODUCT(MAX(ROW(E$1:E2267)*(E2268=E$1:E2267)))))</f>
        <v>0</v>
      </c>
      <c r="L2268" s="25"/>
    </row>
    <row r="2269" spans="1:12" x14ac:dyDescent="0.2">
      <c r="A2269" t="s">
        <v>977</v>
      </c>
      <c r="E2269" s="20" t="str">
        <f t="shared" si="255"/>
        <v/>
      </c>
      <c r="F2269" s="21" t="str">
        <f>IF(OR(E2269="",E2269="!!!"),"",IF(NOT(ISNA(VLOOKUP(E2269,E$1:E2268,1,FALSE()))),"OLD",IF(AND(E2269&lt;&gt;"",E2269&lt;&gt;"!!!"),"NEW","")))</f>
        <v/>
      </c>
      <c r="G2269" s="22" t="str">
        <f>IF(OR(E2269="",E2269="!!!"),"",IF(OR(J2269=0,AND(J2269=1,K2269=1),AND(J2269=1,I2269="SBJ"),AND(J2269=1,I2269=0)),"?IN_FOCUS",IF(J2269&lt;=2,"?ACTIVATED",IF(J2269&lt;&gt;"","?FAMILIAR",IF(F2269="NEW",IF(ISNA(VLOOKUP(E2269,#REF!,1,FALSE())),"?TYPE_IDENTIFIABLE","?REFERENTIAL"),"_")))))</f>
        <v/>
      </c>
      <c r="H2269" s="23" t="str">
        <f t="shared" ca="1" si="254"/>
        <v/>
      </c>
      <c r="I2269" s="24" t="str">
        <f>IF(OR(E2269="",E2269="!!!",F2269="NEW"),"",INDEX(B$2:B2268,-1+SUMPRODUCT(MAX(ROW(E$2:E2268)*(E2269=E$2:E2268)))))</f>
        <v/>
      </c>
      <c r="J2269" s="24" t="str">
        <f ca="1">IF(OR(E2269="",E2269="!!!",F2269="NEW"),"",COUNTBLANK(OFFSET(A$1,,,SUMPRODUCT(MAX(ROW(E$2:E2269)*(E2269=E$2:E2269)))))-COUNTBLANK(OFFSET(A$1,,,SUMPRODUCT(MAX(ROW(E$1:E2268)*(E2=E$1:E2268))))))</f>
        <v/>
      </c>
      <c r="K2269" s="24" t="str">
        <f>IF(OR(E2269="",E2269="!!!",F2269="NEW"),"",INDEX(J$1:J2268,SUMPRODUCT(MAX(ROW(E$1:E2268)*(E2269=E$1:E2268)))))</f>
        <v/>
      </c>
      <c r="L2269" s="25"/>
    </row>
    <row r="2270" spans="1:12" x14ac:dyDescent="0.2">
      <c r="A2270" t="s">
        <v>1503</v>
      </c>
      <c r="E2270" s="20" t="str">
        <f t="shared" si="255"/>
        <v/>
      </c>
      <c r="F2270" s="21" t="str">
        <f>IF(OR(E2270="",E2270="!!!"),"",IF(NOT(ISNA(VLOOKUP(E2270,E$1:E2269,1,FALSE()))),"OLD",IF(AND(E2270&lt;&gt;"",E2270&lt;&gt;"!!!"),"NEW","")))</f>
        <v/>
      </c>
      <c r="G2270" s="22" t="str">
        <f>IF(OR(E2270="",E2270="!!!"),"",IF(OR(J2270=0,AND(J2270=1,K2270=1),AND(J2270=1,I2270="SBJ"),AND(J2270=1,I2270=0)),"?IN_FOCUS",IF(J2270&lt;=2,"?ACTIVATED",IF(J2270&lt;&gt;"","?FAMILIAR",IF(F2270="NEW",IF(ISNA(VLOOKUP(E2270,#REF!,1,FALSE())),"?TYPE_IDENTIFIABLE","?REFERENTIAL"),"_")))))</f>
        <v/>
      </c>
      <c r="H2270" s="23" t="str">
        <f t="shared" ca="1" si="254"/>
        <v/>
      </c>
      <c r="I2270" s="24" t="str">
        <f>IF(OR(E2270="",E2270="!!!",F2270="NEW"),"",INDEX(B$2:B2269,-1+SUMPRODUCT(MAX(ROW(E$2:E2269)*(E2270=E$2:E2269)))))</f>
        <v/>
      </c>
      <c r="J2270" s="24" t="str">
        <f ca="1">IF(OR(E2270="",E2270="!!!",F2270="NEW"),"",COUNTBLANK(OFFSET(A$1,,,SUMPRODUCT(MAX(ROW(E$2:E2270)*(E2270=E$2:E2270)))))-COUNTBLANK(OFFSET(A$1,,,SUMPRODUCT(MAX(ROW(E$1:E2269)*(E2=E$1:E2269))))))</f>
        <v/>
      </c>
      <c r="K2270" s="24" t="str">
        <f>IF(OR(E2270="",E2270="!!!",F2270="NEW"),"",INDEX(J$1:J2269,SUMPRODUCT(MAX(ROW(E$1:E2269)*(E2270=E$1:E2269)))))</f>
        <v/>
      </c>
      <c r="L2270" s="25"/>
    </row>
    <row r="2271" spans="1:12" x14ac:dyDescent="0.2">
      <c r="A2271" t="s">
        <v>859</v>
      </c>
      <c r="E2271" s="20" t="str">
        <f t="shared" si="255"/>
        <v/>
      </c>
      <c r="F2271" s="21" t="str">
        <f>IF(OR(E2271="",E2271="!!!"),"",IF(NOT(ISNA(VLOOKUP(E2271,E$1:E2270,1,FALSE()))),"OLD",IF(AND(E2271&lt;&gt;"",E2271&lt;&gt;"!!!"),"NEW","")))</f>
        <v/>
      </c>
      <c r="G2271" s="22" t="str">
        <f>IF(OR(E2271="",E2271="!!!"),"",IF(OR(J2271=0,AND(J2271=1,K2271=1),AND(J2271=1,I2271="SBJ"),AND(J2271=1,I2271=0)),"?IN_FOCUS",IF(J2271&lt;=2,"?ACTIVATED",IF(J2271&lt;&gt;"","?FAMILIAR",IF(F2271="NEW",IF(ISNA(VLOOKUP(E2271,#REF!,1,FALSE())),"?TYPE_IDENTIFIABLE","?REFERENTIAL"),"_")))))</f>
        <v/>
      </c>
      <c r="H2271" s="23" t="str">
        <f t="shared" ca="1" si="254"/>
        <v/>
      </c>
      <c r="I2271" s="24" t="str">
        <f>IF(OR(E2271="",E2271="!!!",F2271="NEW"),"",INDEX(B$2:B2270,-1+SUMPRODUCT(MAX(ROW(E$2:E2270)*(E2271=E$2:E2270)))))</f>
        <v/>
      </c>
      <c r="J2271" s="24" t="str">
        <f ca="1">IF(OR(E2271="",E2271="!!!",F2271="NEW"),"",COUNTBLANK(OFFSET(A$1,,,SUMPRODUCT(MAX(ROW(E$2:E2271)*(E2271=E$2:E2271)))))-COUNTBLANK(OFFSET(A$1,,,SUMPRODUCT(MAX(ROW(E$1:E2270)*(E2=E$1:E2270))))))</f>
        <v/>
      </c>
      <c r="K2271" s="24" t="str">
        <f>IF(OR(E2271="",E2271="!!!",F2271="NEW"),"",INDEX(J$1:J2270,SUMPRODUCT(MAX(ROW(E$1:E2270)*(E2271=E$1:E2270)))))</f>
        <v/>
      </c>
      <c r="L2271" s="25"/>
    </row>
    <row r="2272" spans="1:12" x14ac:dyDescent="0.2">
      <c r="A2272" t="s">
        <v>1504</v>
      </c>
      <c r="E2272" s="20" t="str">
        <f t="shared" si="255"/>
        <v/>
      </c>
      <c r="F2272" s="21" t="str">
        <f>IF(OR(E2272="",E2272="!!!"),"",IF(NOT(ISNA(VLOOKUP(E2272,E$1:E2271,1,FALSE()))),"OLD",IF(AND(E2272&lt;&gt;"",E2272&lt;&gt;"!!!"),"NEW","")))</f>
        <v/>
      </c>
      <c r="G2272" s="22" t="str">
        <f>IF(OR(E2272="",E2272="!!!"),"",IF(OR(J2272=0,AND(J2272=1,K2272=1),AND(J2272=1,I2272="SBJ"),AND(J2272=1,I2272=0)),"?IN_FOCUS",IF(J2272&lt;=2,"?ACTIVATED",IF(J2272&lt;&gt;"","?FAMILIAR",IF(F2272="NEW",IF(ISNA(VLOOKUP(E2272,#REF!,1,FALSE())),"?TYPE_IDENTIFIABLE","?REFERENTIAL"),"_")))))</f>
        <v/>
      </c>
      <c r="H2272" s="23" t="str">
        <f t="shared" ca="1" si="254"/>
        <v/>
      </c>
      <c r="I2272" s="24" t="str">
        <f>IF(OR(E2272="",E2272="!!!",F2272="NEW"),"",INDEX(B$2:B2271,-1+SUMPRODUCT(MAX(ROW(E$2:E2271)*(E2272=E$2:E2271)))))</f>
        <v/>
      </c>
      <c r="J2272" s="24" t="str">
        <f ca="1">IF(OR(E2272="",E2272="!!!",F2272="NEW"),"",COUNTBLANK(OFFSET(A$1,,,SUMPRODUCT(MAX(ROW(E$2:E2272)*(E2272=E$2:E2272)))))-COUNTBLANK(OFFSET(A$1,,,SUMPRODUCT(MAX(ROW(E$1:E2271)*(E2=E$1:E2271))))))</f>
        <v/>
      </c>
      <c r="K2272" s="24" t="str">
        <f>IF(OR(E2272="",E2272="!!!",F2272="NEW"),"",INDEX(J$1:J2271,SUMPRODUCT(MAX(ROW(E$1:E2271)*(E2272=E$1:E2271)))))</f>
        <v/>
      </c>
      <c r="L2272" s="25"/>
    </row>
    <row r="2273" spans="1:12" x14ac:dyDescent="0.2">
      <c r="A2273" t="s">
        <v>845</v>
      </c>
      <c r="E2273" s="20" t="str">
        <f t="shared" si="255"/>
        <v/>
      </c>
      <c r="F2273" s="21" t="str">
        <f>IF(OR(E2273="",E2273="!!!"),"",IF(NOT(ISNA(VLOOKUP(E2273,E$1:E2272,1,FALSE()))),"OLD",IF(AND(E2273&lt;&gt;"",E2273&lt;&gt;"!!!"),"NEW","")))</f>
        <v/>
      </c>
      <c r="G2273" s="22" t="str">
        <f>IF(OR(E2273="",E2273="!!!"),"",IF(OR(J2273=0,AND(J2273=1,K2273=1),AND(J2273=1,I2273="SBJ"),AND(J2273=1,I2273=0)),"?IN_FOCUS",IF(J2273&lt;=2,"?ACTIVATED",IF(J2273&lt;&gt;"","?FAMILIAR",IF(F2273="NEW",IF(ISNA(VLOOKUP(E2273,#REF!,1,FALSE())),"?TYPE_IDENTIFIABLE","?REFERENTIAL"),"_")))))</f>
        <v/>
      </c>
      <c r="H2273" s="23" t="str">
        <f t="shared" ca="1" si="254"/>
        <v/>
      </c>
      <c r="I2273" s="24" t="str">
        <f>IF(OR(E2273="",E2273="!!!",F2273="NEW"),"",INDEX(B$2:B2272,-1+SUMPRODUCT(MAX(ROW(E$2:E2272)*(E2273=E$2:E2272)))))</f>
        <v/>
      </c>
      <c r="J2273" s="24" t="str">
        <f ca="1">IF(OR(E2273="",E2273="!!!",F2273="NEW"),"",COUNTBLANK(OFFSET(A$1,,,SUMPRODUCT(MAX(ROW(E$2:E2273)*(E2273=E$2:E2273)))))-COUNTBLANK(OFFSET(A$1,,,SUMPRODUCT(MAX(ROW(E$1:E2272)*(E2=E$1:E2272))))))</f>
        <v/>
      </c>
      <c r="K2273" s="24" t="str">
        <f>IF(OR(E2273="",E2273="!!!",F2273="NEW"),"",INDEX(J$1:J2272,SUMPRODUCT(MAX(ROW(E$1:E2272)*(E2273=E$1:E2272)))))</f>
        <v/>
      </c>
      <c r="L2273" s="25"/>
    </row>
    <row r="2274" spans="1:12" x14ac:dyDescent="0.2">
      <c r="A2274" t="s">
        <v>1505</v>
      </c>
      <c r="E2274" s="20" t="str">
        <f t="shared" si="255"/>
        <v/>
      </c>
      <c r="F2274" s="21" t="str">
        <f>IF(OR(E2274="",E2274="!!!"),"",IF(NOT(ISNA(VLOOKUP(E2274,E$1:E2273,1,FALSE()))),"OLD",IF(AND(E2274&lt;&gt;"",E2274&lt;&gt;"!!!"),"NEW","")))</f>
        <v/>
      </c>
      <c r="G2274" s="22" t="str">
        <f>IF(OR(E2274="",E2274="!!!"),"",IF(OR(J2274=0,AND(J2274=1,K2274=1),AND(J2274=1,I2274="SBJ"),AND(J2274=1,I2274=0)),"?IN_FOCUS",IF(J2274&lt;=2,"?ACTIVATED",IF(J2274&lt;&gt;"","?FAMILIAR",IF(F2274="NEW",IF(ISNA(VLOOKUP(E2274,#REF!,1,FALSE())),"?TYPE_IDENTIFIABLE","?REFERENTIAL"),"_")))))</f>
        <v/>
      </c>
      <c r="H2274" s="23" t="str">
        <f t="shared" ca="1" si="254"/>
        <v/>
      </c>
      <c r="I2274" s="24" t="str">
        <f>IF(OR(E2274="",E2274="!!!",F2274="NEW"),"",INDEX(B$2:B2273,-1+SUMPRODUCT(MAX(ROW(E$2:E2273)*(E2274=E$2:E2273)))))</f>
        <v/>
      </c>
      <c r="J2274" s="24" t="str">
        <f ca="1">IF(OR(E2274="",E2274="!!!",F2274="NEW"),"",COUNTBLANK(OFFSET(A$1,,,SUMPRODUCT(MAX(ROW(E$2:E2274)*(E2274=E$2:E2274)))))-COUNTBLANK(OFFSET(A$1,,,SUMPRODUCT(MAX(ROW(E$1:E2273)*(E2=E$1:E2273))))))</f>
        <v/>
      </c>
      <c r="K2274" s="24" t="str">
        <f>IF(OR(E2274="",E2274="!!!",F2274="NEW"),"",INDEX(J$1:J2273,SUMPRODUCT(MAX(ROW(E$1:E2273)*(E2274=E$1:E2273)))))</f>
        <v/>
      </c>
      <c r="L2274" s="25"/>
    </row>
    <row r="2275" spans="1:12" x14ac:dyDescent="0.2">
      <c r="A2275" t="s">
        <v>1172</v>
      </c>
      <c r="E2275" s="20" t="str">
        <f t="shared" si="255"/>
        <v/>
      </c>
      <c r="F2275" s="21" t="str">
        <f>IF(OR(E2275="",E2275="!!!"),"",IF(NOT(ISNA(VLOOKUP(E2275,E$1:E2274,1,FALSE()))),"OLD",IF(AND(E2275&lt;&gt;"",E2275&lt;&gt;"!!!"),"NEW","")))</f>
        <v/>
      </c>
      <c r="G2275" s="22" t="str">
        <f>IF(OR(E2275="",E2275="!!!"),"",IF(OR(J2275=0,AND(J2275=1,K2275=1),AND(J2275=1,I2275="SBJ"),AND(J2275=1,I2275=0)),"?IN_FOCUS",IF(J2275&lt;=2,"?ACTIVATED",IF(J2275&lt;&gt;"","?FAMILIAR",IF(F2275="NEW",IF(ISNA(VLOOKUP(E2275,#REF!,1,FALSE())),"?TYPE_IDENTIFIABLE","?REFERENTIAL"),"_")))))</f>
        <v/>
      </c>
      <c r="H2275" s="23" t="str">
        <f t="shared" ca="1" si="254"/>
        <v/>
      </c>
      <c r="I2275" s="24" t="str">
        <f>IF(OR(E2275="",E2275="!!!",F2275="NEW"),"",INDEX(B$2:B2274,-1+SUMPRODUCT(MAX(ROW(E$2:E2274)*(E2275=E$2:E2274)))))</f>
        <v/>
      </c>
      <c r="J2275" s="24" t="str">
        <f ca="1">IF(OR(E2275="",E2275="!!!",F2275="NEW"),"",COUNTBLANK(OFFSET(A$1,,,SUMPRODUCT(MAX(ROW(E$2:E2275)*(E2275=E$2:E2275)))))-COUNTBLANK(OFFSET(A$1,,,SUMPRODUCT(MAX(ROW(E$1:E2274)*(E2=E$1:E2274))))))</f>
        <v/>
      </c>
      <c r="K2275" s="24" t="str">
        <f>IF(OR(E2275="",E2275="!!!",F2275="NEW"),"",INDEX(J$1:J2274,SUMPRODUCT(MAX(ROW(E$1:E2274)*(E2275=E$1:E2274)))))</f>
        <v/>
      </c>
      <c r="L2275" s="25"/>
    </row>
    <row r="2276" spans="1:12" x14ac:dyDescent="0.2">
      <c r="A2276" t="s">
        <v>1121</v>
      </c>
      <c r="B2276" s="26" t="s">
        <v>871</v>
      </c>
      <c r="C2276" s="26" t="s">
        <v>847</v>
      </c>
      <c r="D2276" s="26" t="s">
        <v>806</v>
      </c>
      <c r="E2276" s="20" t="s">
        <v>1121</v>
      </c>
      <c r="F2276" s="21" t="str">
        <f>IF(OR(E2276="",E2276="!!!"),"",IF(NOT(ISNA(VLOOKUP(E2276,E$1:E2275,1,FALSE()))),"OLD",IF(AND(E2276&lt;&gt;"",E2276&lt;&gt;"!!!"),"NEW","")))</f>
        <v>NEW</v>
      </c>
      <c r="G2276" s="22" t="s">
        <v>1820</v>
      </c>
      <c r="H2276" s="23" t="str">
        <f t="shared" ca="1" si="254"/>
        <v/>
      </c>
      <c r="I2276" s="24" t="str">
        <f>IF(OR(E2276="",E2276="!!!",F2276="NEW"),"",INDEX(B$2:B2275,-1+SUMPRODUCT(MAX(ROW(E$2:E2275)*(E2276=E$2:E2275)))))</f>
        <v/>
      </c>
      <c r="J2276" s="24" t="str">
        <f ca="1">IF(OR(E2276="",E2276="!!!",F2276="NEW"),"",COUNTBLANK(OFFSET(A$1,,,SUMPRODUCT(MAX(ROW(E$2:E2276)*(E2276=E$2:E2276)))))-COUNTBLANK(OFFSET(A$1,,,SUMPRODUCT(MAX(ROW(E$1:E2275)*(E2=E$1:E2275))))))</f>
        <v/>
      </c>
      <c r="K2276" s="24" t="str">
        <f>IF(OR(E2276="",E2276="!!!",F2276="NEW"),"",INDEX(J$1:J2275,SUMPRODUCT(MAX(ROW(E$1:E2275)*(E2276=E$1:E2275)))))</f>
        <v/>
      </c>
      <c r="L2276" s="25"/>
    </row>
    <row r="2277" spans="1:12" x14ac:dyDescent="0.2">
      <c r="A2277" t="s">
        <v>812</v>
      </c>
      <c r="E2277" s="20" t="str">
        <f t="shared" si="255"/>
        <v/>
      </c>
      <c r="F2277" s="21" t="str">
        <f>IF(OR(E2277="",E2277="!!!"),"",IF(NOT(ISNA(VLOOKUP(E2277,E$1:E2276,1,FALSE()))),"OLD",IF(AND(E2277&lt;&gt;"",E2277&lt;&gt;"!!!"),"NEW","")))</f>
        <v/>
      </c>
      <c r="G2277" s="22" t="str">
        <f>IF(OR(E2277="",E2277="!!!"),"",IF(OR(J2277=0,AND(J2277=1,K2277=1),AND(J2277=1,I2277="SBJ"),AND(J2277=1,I2277=0)),"?IN_FOCUS",IF(J2277&lt;=2,"?ACTIVATED",IF(J2277&lt;&gt;"","?FAMILIAR",IF(F2277="NEW",IF(ISNA(VLOOKUP(E2277,#REF!,1,FALSE())),"?TYPE_IDENTIFIABLE","?REFERENTIAL"),"_")))))</f>
        <v/>
      </c>
      <c r="H2277" s="23" t="str">
        <f t="shared" ca="1" si="254"/>
        <v/>
      </c>
      <c r="I2277" s="24" t="str">
        <f>IF(OR(E2277="",E2277="!!!",F2277="NEW"),"",INDEX(B$2:B2276,-1+SUMPRODUCT(MAX(ROW(E$2:E2276)*(E2277=E$2:E2276)))))</f>
        <v/>
      </c>
      <c r="J2277" s="24" t="str">
        <f ca="1">IF(OR(E2277="",E2277="!!!",F2277="NEW"),"",COUNTBLANK(OFFSET(A$1,,,SUMPRODUCT(MAX(ROW(E$2:E2277)*(E2277=E$2:E2277)))))-COUNTBLANK(OFFSET(A$1,,,SUMPRODUCT(MAX(ROW(E$1:E2276)*(E2=E$1:E2276))))))</f>
        <v/>
      </c>
      <c r="K2277" s="24" t="str">
        <f>IF(OR(E2277="",E2277="!!!",F2277="NEW"),"",INDEX(J$1:J2276,SUMPRODUCT(MAX(ROW(E$1:E2276)*(E2277=E$1:E2276)))))</f>
        <v/>
      </c>
      <c r="L2277" s="25"/>
    </row>
    <row r="2278" spans="1:12" x14ac:dyDescent="0.2">
      <c r="A2278" t="s">
        <v>1506</v>
      </c>
      <c r="E2278" s="20" t="str">
        <f t="shared" si="255"/>
        <v/>
      </c>
      <c r="F2278" s="21" t="str">
        <f>IF(OR(E2278="",E2278="!!!"),"",IF(NOT(ISNA(VLOOKUP(E2278,E$1:E2277,1,FALSE()))),"OLD",IF(AND(E2278&lt;&gt;"",E2278&lt;&gt;"!!!"),"NEW","")))</f>
        <v/>
      </c>
      <c r="G2278" s="22" t="str">
        <f>IF(OR(E2278="",E2278="!!!"),"",IF(OR(J2278=0,AND(J2278=1,K2278=1),AND(J2278=1,I2278="SBJ"),AND(J2278=1,I2278=0)),"?IN_FOCUS",IF(J2278&lt;=2,"?ACTIVATED",IF(J2278&lt;&gt;"","?FAMILIAR",IF(F2278="NEW",IF(ISNA(VLOOKUP(E2278,#REF!,1,FALSE())),"?TYPE_IDENTIFIABLE","?REFERENTIAL"),"_")))))</f>
        <v/>
      </c>
      <c r="H2278" s="23" t="str">
        <f t="shared" ca="1" si="254"/>
        <v/>
      </c>
      <c r="I2278" s="24" t="str">
        <f>IF(OR(E2278="",E2278="!!!",F2278="NEW"),"",INDEX(B$2:B2277,-1+SUMPRODUCT(MAX(ROW(E$2:E2277)*(E2278=E$2:E2277)))))</f>
        <v/>
      </c>
      <c r="J2278" s="24" t="str">
        <f ca="1">IF(OR(E2278="",E2278="!!!",F2278="NEW"),"",COUNTBLANK(OFFSET(A$1,,,SUMPRODUCT(MAX(ROW(E$2:E2278)*(E2278=E$2:E2278)))))-COUNTBLANK(OFFSET(A$1,,,SUMPRODUCT(MAX(ROW(E$1:E2277)*(E2=E$1:E2277))))))</f>
        <v/>
      </c>
      <c r="K2278" s="24" t="str">
        <f>IF(OR(E2278="",E2278="!!!",F2278="NEW"),"",INDEX(J$1:J2277,SUMPRODUCT(MAX(ROW(E$1:E2277)*(E2278=E$1:E2277)))))</f>
        <v/>
      </c>
      <c r="L2278" s="25"/>
    </row>
    <row r="2279" spans="1:12" x14ac:dyDescent="0.2">
      <c r="A2279" t="s">
        <v>1507</v>
      </c>
      <c r="B2279" s="26" t="s">
        <v>899</v>
      </c>
      <c r="C2279" s="26" t="s">
        <v>814</v>
      </c>
      <c r="E2279" s="20" t="str">
        <f t="shared" si="255"/>
        <v/>
      </c>
      <c r="F2279" s="21" t="str">
        <f>IF(OR(E2279="",E2279="!!!"),"",IF(NOT(ISNA(VLOOKUP(E2279,E$1:E2278,1,FALSE()))),"OLD",IF(AND(E2279&lt;&gt;"",E2279&lt;&gt;"!!!"),"NEW","")))</f>
        <v/>
      </c>
      <c r="G2279" s="22" t="str">
        <f>IF(OR(E2279="",E2279="!!!"),"",IF(OR(J2279=0,AND(J2279=1,K2279=1),AND(J2279=1,I2279="SBJ"),AND(J2279=1,I2279=0)),"?IN_FOCUS",IF(J2279&lt;=2,"?ACTIVATED",IF(J2279&lt;&gt;"","?FAMILIAR",IF(F2279="NEW",IF(ISNA(VLOOKUP(E2279,#REF!,1,FALSE())),"?TYPE_IDENTIFIABLE","?REFERENTIAL"),"_")))))</f>
        <v/>
      </c>
      <c r="H2279" s="23" t="str">
        <f t="shared" ca="1" si="254"/>
        <v/>
      </c>
      <c r="I2279" s="24" t="str">
        <f>IF(OR(E2279="",E2279="!!!",F2279="NEW"),"",INDEX(B$2:B2278,-1+SUMPRODUCT(MAX(ROW(E$2:E2278)*(E2279=E$2:E2278)))))</f>
        <v/>
      </c>
      <c r="J2279" s="24" t="str">
        <f ca="1">IF(OR(E2279="",E2279="!!!",F2279="NEW"),"",COUNTBLANK(OFFSET(A$1,,,SUMPRODUCT(MAX(ROW(E$2:E2279)*(E2279=E$2:E2279)))))-COUNTBLANK(OFFSET(A$1,,,SUMPRODUCT(MAX(ROW(E$1:E2278)*(E2=E$1:E2278))))))</f>
        <v/>
      </c>
      <c r="K2279" s="24" t="str">
        <f>IF(OR(E2279="",E2279="!!!",F2279="NEW"),"",INDEX(J$1:J2278,SUMPRODUCT(MAX(ROW(E$1:E2278)*(E2279=E$1:E2278)))))</f>
        <v/>
      </c>
      <c r="L2279" s="25"/>
    </row>
    <row r="2280" spans="1:12" x14ac:dyDescent="0.2">
      <c r="A2280" t="s">
        <v>821</v>
      </c>
      <c r="E2280" s="20" t="str">
        <f t="shared" si="255"/>
        <v/>
      </c>
      <c r="F2280" s="21" t="str">
        <f>IF(OR(E2280="",E2280="!!!"),"",IF(NOT(ISNA(VLOOKUP(E2280,E$1:E2279,1,FALSE()))),"OLD",IF(AND(E2280&lt;&gt;"",E2280&lt;&gt;"!!!"),"NEW","")))</f>
        <v/>
      </c>
      <c r="G2280" s="22" t="str">
        <f>IF(OR(E2280="",E2280="!!!"),"",IF(OR(J2280=0,AND(J2280=1,K2280=1),AND(J2280=1,I2280="SBJ"),AND(J2280=1,I2280=0)),"?IN_FOCUS",IF(J2280&lt;=2,"?ACTIVATED",IF(J2280&lt;&gt;"","?FAMILIAR",IF(F2280="NEW",IF(ISNA(VLOOKUP(E2280,#REF!,1,FALSE())),"?TYPE_IDENTIFIABLE","?REFERENTIAL"),"_")))))</f>
        <v/>
      </c>
      <c r="H2280" s="23" t="str">
        <f t="shared" ca="1" si="254"/>
        <v/>
      </c>
      <c r="I2280" s="24" t="str">
        <f>IF(OR(E2280="",E2280="!!!",F2280="NEW"),"",INDEX(B$2:B2279,-1+SUMPRODUCT(MAX(ROW(E$2:E2279)*(E2280=E$2:E2279)))))</f>
        <v/>
      </c>
      <c r="J2280" s="24" t="str">
        <f ca="1">IF(OR(E2280="",E2280="!!!",F2280="NEW"),"",COUNTBLANK(OFFSET(A$1,,,SUMPRODUCT(MAX(ROW(E$2:E2280)*(E2280=E$2:E2280)))))-COUNTBLANK(OFFSET(A$1,,,SUMPRODUCT(MAX(ROW(E$1:E2279)*(E2=E$1:E2279))))))</f>
        <v/>
      </c>
      <c r="K2280" s="24" t="str">
        <f>IF(OR(E2280="",E2280="!!!",F2280="NEW"),"",INDEX(J$1:J2279,SUMPRODUCT(MAX(ROW(E$1:E2279)*(E2280=E$1:E2279)))))</f>
        <v/>
      </c>
      <c r="L2280" s="25"/>
    </row>
    <row r="2282" spans="1:12" x14ac:dyDescent="0.2">
      <c r="A2282" t="s">
        <v>1508</v>
      </c>
    </row>
    <row r="2283" spans="1:12" x14ac:dyDescent="0.2">
      <c r="A2283" t="s">
        <v>1126</v>
      </c>
      <c r="E2283" s="20" t="str">
        <f>IF(D2283="?OLD","!!!","")</f>
        <v/>
      </c>
      <c r="F2283" s="21" t="str">
        <f>IF(OR(E2283="",E2283="!!!"),"",IF(NOT(ISNA(VLOOKUP(E2283,E$1:E2282,1,FALSE()))),"OLD",IF(AND(E2283&lt;&gt;"",E2283&lt;&gt;"!!!"),"NEW","")))</f>
        <v/>
      </c>
      <c r="G2283" s="22" t="str">
        <f>IF(OR(E2283="",E2283="!!!"),"",IF(OR(J2283=0,AND(J2283=1,K2283=1),AND(J2283=1,I2283="SBJ"),AND(J2283=1,I2283=0)),"?IN_FOCUS",IF(J2283&lt;=2,"?ACTIVATED",IF(J2283&lt;&gt;"","?FAMILIAR",IF(F2283="NEW",IF(ISNA(VLOOKUP(E2283,#REF!,1,FALSE())),"?TYPE_IDENTIFIABLE","?REFERENTIAL"),"_")))))</f>
        <v/>
      </c>
      <c r="H2283" s="23" t="str">
        <f ca="1">IF(J2283&lt;&gt;1,"",IF(I2283="SBJ","CB","?"))</f>
        <v/>
      </c>
      <c r="I2283" s="24" t="str">
        <f>IF(OR(E2283="",E2283="!!!",F2283="NEW"),"",INDEX(B$2:B2282,-1+SUMPRODUCT(MAX(ROW(E$2:E2282)*(E2283=E$2:E2282)))))</f>
        <v/>
      </c>
      <c r="J2283" s="24" t="str">
        <f ca="1">IF(OR(E2283="",E2283="!!!",F2283="NEW"),"",COUNTBLANK(OFFSET(A$1,,,SUMPRODUCT(MAX(ROW(E$2:E2283)*(E2283=E$2:E2283)))))-COUNTBLANK(OFFSET(A$1,,,SUMPRODUCT(MAX(ROW(E$1:E2282)*(E2=E$1:E2282))))))</f>
        <v/>
      </c>
      <c r="K2283" s="24" t="str">
        <f>IF(OR(E2283="",E2283="!!!",F2283="NEW"),"",INDEX(J$1:J2282,SUMPRODUCT(MAX(ROW(E$1:E2282)*(E2283=E$1:E2282)))))</f>
        <v/>
      </c>
      <c r="L2283" s="25"/>
    </row>
    <row r="2284" spans="1:12" x14ac:dyDescent="0.2">
      <c r="A2284" t="s">
        <v>572</v>
      </c>
      <c r="B2284" s="26" t="s">
        <v>819</v>
      </c>
      <c r="C2284" s="26" t="s">
        <v>884</v>
      </c>
      <c r="E2284" s="20" t="str">
        <f>IF(D2284="?OLD","!!!","")</f>
        <v/>
      </c>
      <c r="F2284" s="21" t="str">
        <f>IF(OR(E2284="",E2284="!!!"),"",IF(NOT(ISNA(VLOOKUP(E2284,E$1:E2283,1,FALSE()))),"OLD",IF(AND(E2284&lt;&gt;"",E2284&lt;&gt;"!!!"),"NEW","")))</f>
        <v/>
      </c>
      <c r="G2284" s="22" t="str">
        <f>IF(OR(E2284="",E2284="!!!"),"",IF(OR(J2284=0,AND(J2284=1,K2284=1),AND(J2284=1,I2284="SBJ"),AND(J2284=1,I2284=0)),"?IN_FOCUS",IF(J2284&lt;=2,"?ACTIVATED",IF(J2284&lt;&gt;"","?FAMILIAR",IF(F2284="NEW",IF(ISNA(VLOOKUP(E2284,#REF!,1,FALSE())),"?TYPE_IDENTIFIABLE","?REFERENTIAL"),"_")))))</f>
        <v/>
      </c>
      <c r="H2284" s="23" t="str">
        <f ca="1">IF(J2284&lt;&gt;1,"",IF(I2284="SBJ","CB","?"))</f>
        <v/>
      </c>
      <c r="I2284" s="24" t="str">
        <f>IF(OR(E2284="",E2284="!!!",F2284="NEW"),"",INDEX(B$2:B2283,-1+SUMPRODUCT(MAX(ROW(E$2:E2283)*(E2284=E$2:E2283)))))</f>
        <v/>
      </c>
      <c r="J2284" s="24" t="str">
        <f ca="1">IF(OR(E2284="",E2284="!!!",F2284="NEW"),"",COUNTBLANK(OFFSET(A$1,,,SUMPRODUCT(MAX(ROW(E$2:E2284)*(E2284=E$2:E2284)))))-COUNTBLANK(OFFSET(A$1,,,SUMPRODUCT(MAX(ROW(E$1:E2283)*(E2=E$1:E2283))))))</f>
        <v/>
      </c>
      <c r="K2284" s="24" t="str">
        <f>IF(OR(E2284="",E2284="!!!",F2284="NEW"),"",INDEX(J$1:J2283,SUMPRODUCT(MAX(ROW(E$1:E2283)*(E2284=E$1:E2283)))))</f>
        <v/>
      </c>
      <c r="L2284" s="25"/>
    </row>
    <row r="2285" spans="1:12" x14ac:dyDescent="0.2">
      <c r="A2285" t="s">
        <v>821</v>
      </c>
      <c r="E2285" s="20" t="str">
        <f>IF(D2285="?OLD","!!!","")</f>
        <v/>
      </c>
      <c r="F2285" s="21" t="str">
        <f>IF(OR(E2285="",E2285="!!!"),"",IF(NOT(ISNA(VLOOKUP(E2285,E$1:E2284,1,FALSE()))),"OLD",IF(AND(E2285&lt;&gt;"",E2285&lt;&gt;"!!!"),"NEW","")))</f>
        <v/>
      </c>
      <c r="G2285" s="22" t="str">
        <f>IF(OR(E2285="",E2285="!!!"),"",IF(OR(J2285=0,AND(J2285=1,K2285=1),AND(J2285=1,I2285="SBJ"),AND(J2285=1,I2285=0)),"?IN_FOCUS",IF(J2285&lt;=2,"?ACTIVATED",IF(J2285&lt;&gt;"","?FAMILIAR",IF(F2285="NEW",IF(ISNA(VLOOKUP(E2285,#REF!,1,FALSE())),"?TYPE_IDENTIFIABLE","?REFERENTIAL"),"_")))))</f>
        <v/>
      </c>
      <c r="H2285" s="23" t="str">
        <f ca="1">IF(J2285&lt;&gt;1,"",IF(I2285="SBJ","CB","?"))</f>
        <v/>
      </c>
      <c r="I2285" s="24" t="str">
        <f>IF(OR(E2285="",E2285="!!!",F2285="NEW"),"",INDEX(B$2:B2284,-1+SUMPRODUCT(MAX(ROW(E$2:E2284)*(E2285=E$2:E2284)))))</f>
        <v/>
      </c>
      <c r="J2285" s="24" t="str">
        <f ca="1">IF(OR(E2285="",E2285="!!!",F2285="NEW"),"",COUNTBLANK(OFFSET(A$1,,,SUMPRODUCT(MAX(ROW(E$2:E2285)*(E2285=E$2:E2285)))))-COUNTBLANK(OFFSET(A$1,,,SUMPRODUCT(MAX(ROW(E$1:E2284)*(E2=E$1:E2284))))))</f>
        <v/>
      </c>
      <c r="K2285" s="24" t="str">
        <f>IF(OR(E2285="",E2285="!!!",F2285="NEW"),"",INDEX(J$1:J2284,SUMPRODUCT(MAX(ROW(E$1:E2284)*(E2285=E$1:E2284)))))</f>
        <v/>
      </c>
      <c r="L2285" s="25"/>
    </row>
    <row r="2287" spans="1:12" x14ac:dyDescent="0.2">
      <c r="A2287" t="s">
        <v>900</v>
      </c>
      <c r="E2287" s="20" t="str">
        <f>IF(D2287="?OLD","!!!","")</f>
        <v/>
      </c>
      <c r="F2287" s="21" t="str">
        <f>IF(OR(E2287="",E2287="!!!"),"",IF(NOT(ISNA(VLOOKUP(E2287,E$1:E2286,1,FALSE()))),"OLD",IF(AND(E2287&lt;&gt;"",E2287&lt;&gt;"!!!"),"NEW","")))</f>
        <v/>
      </c>
      <c r="G2287" s="22" t="str">
        <f>IF(OR(E2287="",E2287="!!!"),"",IF(OR(J2287=0,AND(J2287=1,K2287=1),AND(J2287=1,I2287="SBJ"),AND(J2287=1,I2287=0)),"?IN_FOCUS",IF(J2287&lt;=2,"?ACTIVATED",IF(J2287&lt;&gt;"","?FAMILIAR",IF(F2287="NEW",IF(ISNA(VLOOKUP(E2287,#REF!,1,FALSE())),"?TYPE_IDENTIFIABLE","?REFERENTIAL"),"_")))))</f>
        <v/>
      </c>
      <c r="H2287" s="23" t="str">
        <f ca="1">IF(J2287&lt;&gt;1,"",IF(I2287="SBJ","CB","?"))</f>
        <v/>
      </c>
      <c r="I2287" s="24" t="str">
        <f>IF(OR(E2287="",E2287="!!!",F2287="NEW"),"",INDEX(B$2:B2286,-1+SUMPRODUCT(MAX(ROW(E$2:E2286)*(E2287=E$2:E2286)))))</f>
        <v/>
      </c>
      <c r="J2287" s="24" t="str">
        <f ca="1">IF(OR(E2287="",E2287="!!!",F2287="NEW"),"",COUNTBLANK(OFFSET(A$1,,,SUMPRODUCT(MAX(ROW(E$2:E2287)*(E2287=E$2:E2287)))))-COUNTBLANK(OFFSET(A$1,,,SUMPRODUCT(MAX(ROW(E$1:E2286)*(E2=E$1:E2286))))))</f>
        <v/>
      </c>
      <c r="K2287" s="24" t="str">
        <f>IF(OR(E2287="",E2287="!!!",F2287="NEW"),"",INDEX(J$1:J2286,SUMPRODUCT(MAX(ROW(E$1:E2286)*(E2287=E$1:E2286)))))</f>
        <v/>
      </c>
      <c r="L2287" s="25"/>
    </row>
    <row r="2288" spans="1:12" x14ac:dyDescent="0.2">
      <c r="A2288" t="s">
        <v>1509</v>
      </c>
    </row>
    <row r="2289" spans="1:12" x14ac:dyDescent="0.2">
      <c r="A2289" t="s">
        <v>803</v>
      </c>
      <c r="B2289" s="26" t="s">
        <v>804</v>
      </c>
      <c r="C2289" s="26" t="s">
        <v>805</v>
      </c>
      <c r="D2289" s="26" t="s">
        <v>806</v>
      </c>
      <c r="E2289" s="20" t="s">
        <v>1747</v>
      </c>
      <c r="F2289" s="21" t="s">
        <v>1753</v>
      </c>
      <c r="G2289" s="22" t="s">
        <v>1823</v>
      </c>
      <c r="H2289" s="23" t="str">
        <f t="shared" ref="H2289:H2306" ca="1" si="256">IF(J2289&lt;&gt;1,"",IF(I2289="SBJ","CB","?"))</f>
        <v/>
      </c>
      <c r="I2289" s="24" t="str">
        <f>IF(OR(E2289="",E2289="!!!",F2289="NEW"),"",INDEX(B$2:B2288,-1+SUMPRODUCT(MAX(ROW(E$2:E2288)*(E2289=E$2:E2288)))))</f>
        <v>SBJ</v>
      </c>
      <c r="J2289" s="24">
        <f ca="1">IF(OR(E2289="",E2289="!!!",F2289="NEW"),"",COUNTBLANK(OFFSET(A$1,,,SUMPRODUCT(MAX(ROW(E$2:E2289)*(E2289=E$2:E2289)))))-COUNTBLANK(OFFSET(A$1,,,SUMPRODUCT(MAX(ROW(E$1:E2288)*(E2=E$1:E2288))))))</f>
        <v>0</v>
      </c>
      <c r="K2289" s="24">
        <f ca="1">IF(OR(E2289="",E2289="!!!",F2289="NEW"),"",INDEX(J$1:J2288,SUMPRODUCT(MAX(ROW(E$1:E2288)*(E2289=E$1:E2288)))))</f>
        <v>0</v>
      </c>
      <c r="L2289" s="25"/>
    </row>
    <row r="2290" spans="1:12" x14ac:dyDescent="0.2">
      <c r="A2290" t="s">
        <v>831</v>
      </c>
      <c r="E2290" s="20" t="str">
        <f t="shared" ref="E2289:E2306" si="257">IF(D2290="?OLD","!!!","")</f>
        <v/>
      </c>
      <c r="F2290" s="21" t="str">
        <f>IF(OR(E2290="",E2290="!!!"),"",IF(NOT(ISNA(VLOOKUP(E2290,E$1:E2289,1,FALSE()))),"OLD",IF(AND(E2290&lt;&gt;"",E2290&lt;&gt;"!!!"),"NEW","")))</f>
        <v/>
      </c>
      <c r="G2290" s="22" t="str">
        <f>IF(OR(E2290="",E2290="!!!"),"",IF(OR(J2290=0,AND(J2290=1,K2290=1),AND(J2290=1,I2290="SBJ"),AND(J2290=1,I2290=0)),"?IN_FOCUS",IF(J2290&lt;=2,"?ACTIVATED",IF(J2290&lt;&gt;"","?FAMILIAR",IF(F2290="NEW",IF(ISNA(VLOOKUP(E2290,#REF!,1,FALSE())),"?TYPE_IDENTIFIABLE","?REFERENTIAL"),"_")))))</f>
        <v/>
      </c>
      <c r="H2290" s="23" t="str">
        <f t="shared" ca="1" si="256"/>
        <v/>
      </c>
      <c r="I2290" s="24" t="str">
        <f>IF(OR(E2290="",E2290="!!!",F2290="NEW"),"",INDEX(B$2:B2289,-1+SUMPRODUCT(MAX(ROW(E$2:E2289)*(E2290=E$2:E2289)))))</f>
        <v/>
      </c>
      <c r="J2290" s="24" t="str">
        <f ca="1">IF(OR(E2290="",E2290="!!!",F2290="NEW"),"",COUNTBLANK(OFFSET(A$1,,,SUMPRODUCT(MAX(ROW(E$2:E2290)*(E2290=E$2:E2290)))))-COUNTBLANK(OFFSET(A$1,,,SUMPRODUCT(MAX(ROW(E$1:E2289)*(E2=E$1:E2289))))))</f>
        <v/>
      </c>
      <c r="K2290" s="24" t="str">
        <f>IF(OR(E2290="",E2290="!!!",F2290="NEW"),"",INDEX(J$1:J2289,SUMPRODUCT(MAX(ROW(E$1:E2289)*(E2290=E$1:E2289)))))</f>
        <v/>
      </c>
      <c r="L2290" s="25"/>
    </row>
    <row r="2291" spans="1:12" x14ac:dyDescent="0.2">
      <c r="A2291" t="s">
        <v>1510</v>
      </c>
      <c r="E2291" s="20" t="str">
        <f t="shared" si="257"/>
        <v/>
      </c>
      <c r="F2291" s="21" t="str">
        <f>IF(OR(E2291="",E2291="!!!"),"",IF(NOT(ISNA(VLOOKUP(E2291,E$1:E2290,1,FALSE()))),"OLD",IF(AND(E2291&lt;&gt;"",E2291&lt;&gt;"!!!"),"NEW","")))</f>
        <v/>
      </c>
      <c r="G2291" s="22" t="str">
        <f>IF(OR(E2291="",E2291="!!!"),"",IF(OR(J2291=0,AND(J2291=1,K2291=1),AND(J2291=1,I2291="SBJ"),AND(J2291=1,I2291=0)),"?IN_FOCUS",IF(J2291&lt;=2,"?ACTIVATED",IF(J2291&lt;&gt;"","?FAMILIAR",IF(F2291="NEW",IF(ISNA(VLOOKUP(E2291,#REF!,1,FALSE())),"?TYPE_IDENTIFIABLE","?REFERENTIAL"),"_")))))</f>
        <v/>
      </c>
      <c r="H2291" s="23" t="str">
        <f t="shared" ca="1" si="256"/>
        <v/>
      </c>
      <c r="I2291" s="24" t="str">
        <f>IF(OR(E2291="",E2291="!!!",F2291="NEW"),"",INDEX(B$2:B2290,-1+SUMPRODUCT(MAX(ROW(E$2:E2290)*(E2291=E$2:E2290)))))</f>
        <v/>
      </c>
      <c r="J2291" s="24" t="str">
        <f ca="1">IF(OR(E2291="",E2291="!!!",F2291="NEW"),"",COUNTBLANK(OFFSET(A$1,,,SUMPRODUCT(MAX(ROW(E$2:E2291)*(E2291=E$2:E2291)))))-COUNTBLANK(OFFSET(A$1,,,SUMPRODUCT(MAX(ROW(E$1:E2290)*(E2=E$1:E2290))))))</f>
        <v/>
      </c>
      <c r="K2291" s="24" t="str">
        <f>IF(OR(E2291="",E2291="!!!",F2291="NEW"),"",INDEX(J$1:J2290,SUMPRODUCT(MAX(ROW(E$1:E2290)*(E2291=E$1:E2290)))))</f>
        <v/>
      </c>
      <c r="L2291" s="25"/>
    </row>
    <row r="2292" spans="1:12" x14ac:dyDescent="0.2">
      <c r="A2292" t="s">
        <v>809</v>
      </c>
      <c r="E2292" s="20" t="str">
        <f t="shared" si="257"/>
        <v/>
      </c>
      <c r="F2292" s="21" t="str">
        <f>IF(OR(E2292="",E2292="!!!"),"",IF(NOT(ISNA(VLOOKUP(E2292,E$1:E2291,1,FALSE()))),"OLD",IF(AND(E2292&lt;&gt;"",E2292&lt;&gt;"!!!"),"NEW","")))</f>
        <v/>
      </c>
      <c r="G2292" s="22" t="str">
        <f>IF(OR(E2292="",E2292="!!!"),"",IF(OR(J2292=0,AND(J2292=1,K2292=1),AND(J2292=1,I2292="SBJ"),AND(J2292=1,I2292=0)),"?IN_FOCUS",IF(J2292&lt;=2,"?ACTIVATED",IF(J2292&lt;&gt;"","?FAMILIAR",IF(F2292="NEW",IF(ISNA(VLOOKUP(E2292,#REF!,1,FALSE())),"?TYPE_IDENTIFIABLE","?REFERENTIAL"),"_")))))</f>
        <v/>
      </c>
      <c r="H2292" s="23" t="str">
        <f t="shared" ca="1" si="256"/>
        <v/>
      </c>
      <c r="I2292" s="24" t="str">
        <f>IF(OR(E2292="",E2292="!!!",F2292="NEW"),"",INDEX(B$2:B2291,-1+SUMPRODUCT(MAX(ROW(E$2:E2291)*(E2292=E$2:E2291)))))</f>
        <v/>
      </c>
      <c r="J2292" s="24" t="str">
        <f ca="1">IF(OR(E2292="",E2292="!!!",F2292="NEW"),"",COUNTBLANK(OFFSET(A$1,,,SUMPRODUCT(MAX(ROW(E$2:E2292)*(E2292=E$2:E2292)))))-COUNTBLANK(OFFSET(A$1,,,SUMPRODUCT(MAX(ROW(E$1:E2291)*(E2=E$1:E2291))))))</f>
        <v/>
      </c>
      <c r="K2292" s="24" t="str">
        <f>IF(OR(E2292="",E2292="!!!",F2292="NEW"),"",INDEX(J$1:J2291,SUMPRODUCT(MAX(ROW(E$1:E2291)*(E2292=E$1:E2291)))))</f>
        <v/>
      </c>
      <c r="L2292" s="25"/>
    </row>
    <row r="2293" spans="1:12" x14ac:dyDescent="0.2">
      <c r="A2293" t="s">
        <v>902</v>
      </c>
      <c r="E2293" s="20" t="str">
        <f t="shared" si="257"/>
        <v/>
      </c>
      <c r="F2293" s="21" t="str">
        <f>IF(OR(E2293="",E2293="!!!"),"",IF(NOT(ISNA(VLOOKUP(E2293,E$1:E2292,1,FALSE()))),"OLD",IF(AND(E2293&lt;&gt;"",E2293&lt;&gt;"!!!"),"NEW","")))</f>
        <v/>
      </c>
      <c r="G2293" s="22" t="str">
        <f>IF(OR(E2293="",E2293="!!!"),"",IF(OR(J2293=0,AND(J2293=1,K2293=1),AND(J2293=1,I2293="SBJ"),AND(J2293=1,I2293=0)),"?IN_FOCUS",IF(J2293&lt;=2,"?ACTIVATED",IF(J2293&lt;&gt;"","?FAMILIAR",IF(F2293="NEW",IF(ISNA(VLOOKUP(E2293,#REF!,1,FALSE())),"?TYPE_IDENTIFIABLE","?REFERENTIAL"),"_")))))</f>
        <v/>
      </c>
      <c r="H2293" s="23" t="str">
        <f t="shared" ca="1" si="256"/>
        <v/>
      </c>
      <c r="I2293" s="24" t="str">
        <f>IF(OR(E2293="",E2293="!!!",F2293="NEW"),"",INDEX(B$2:B2292,-1+SUMPRODUCT(MAX(ROW(E$2:E2292)*(E2293=E$2:E2292)))))</f>
        <v/>
      </c>
      <c r="J2293" s="24" t="str">
        <f ca="1">IF(OR(E2293="",E2293="!!!",F2293="NEW"),"",COUNTBLANK(OFFSET(A$1,,,SUMPRODUCT(MAX(ROW(E$2:E2293)*(E2293=E$2:E2293)))))-COUNTBLANK(OFFSET(A$1,,,SUMPRODUCT(MAX(ROW(E$1:E2292)*(E2=E$1:E2292))))))</f>
        <v/>
      </c>
      <c r="K2293" s="24" t="str">
        <f>IF(OR(E2293="",E2293="!!!",F2293="NEW"),"",INDEX(J$1:J2292,SUMPRODUCT(MAX(ROW(E$1:E2292)*(E2293=E$1:E2292)))))</f>
        <v/>
      </c>
      <c r="L2293" s="25"/>
    </row>
    <row r="2294" spans="1:12" x14ac:dyDescent="0.2">
      <c r="A2294" t="s">
        <v>1511</v>
      </c>
      <c r="E2294" s="20" t="str">
        <f t="shared" si="257"/>
        <v/>
      </c>
      <c r="F2294" s="21" t="str">
        <f>IF(OR(E2294="",E2294="!!!"),"",IF(NOT(ISNA(VLOOKUP(E2294,E$1:E2293,1,FALSE()))),"OLD",IF(AND(E2294&lt;&gt;"",E2294&lt;&gt;"!!!"),"NEW","")))</f>
        <v/>
      </c>
      <c r="G2294" s="22" t="str">
        <f>IF(OR(E2294="",E2294="!!!"),"",IF(OR(J2294=0,AND(J2294=1,K2294=1),AND(J2294=1,I2294="SBJ"),AND(J2294=1,I2294=0)),"?IN_FOCUS",IF(J2294&lt;=2,"?ACTIVATED",IF(J2294&lt;&gt;"","?FAMILIAR",IF(F2294="NEW",IF(ISNA(VLOOKUP(E2294,#REF!,1,FALSE())),"?TYPE_IDENTIFIABLE","?REFERENTIAL"),"_")))))</f>
        <v/>
      </c>
      <c r="H2294" s="23" t="str">
        <f t="shared" ca="1" si="256"/>
        <v/>
      </c>
      <c r="I2294" s="24" t="str">
        <f>IF(OR(E2294="",E2294="!!!",F2294="NEW"),"",INDEX(B$2:B2293,-1+SUMPRODUCT(MAX(ROW(E$2:E2293)*(E2294=E$2:E2293)))))</f>
        <v/>
      </c>
      <c r="J2294" s="24" t="str">
        <f ca="1">IF(OR(E2294="",E2294="!!!",F2294="NEW"),"",COUNTBLANK(OFFSET(A$1,,,SUMPRODUCT(MAX(ROW(E$2:E2294)*(E2294=E$2:E2294)))))-COUNTBLANK(OFFSET(A$1,,,SUMPRODUCT(MAX(ROW(E$1:E2293)*(E2=E$1:E2293))))))</f>
        <v/>
      </c>
      <c r="K2294" s="24" t="str">
        <f>IF(OR(E2294="",E2294="!!!",F2294="NEW"),"",INDEX(J$1:J2293,SUMPRODUCT(MAX(ROW(E$1:E2293)*(E2294=E$1:E2293)))))</f>
        <v/>
      </c>
      <c r="L2294" s="25"/>
    </row>
    <row r="2295" spans="1:12" x14ac:dyDescent="0.2">
      <c r="A2295" t="s">
        <v>812</v>
      </c>
      <c r="E2295" s="20" t="str">
        <f t="shared" si="257"/>
        <v/>
      </c>
      <c r="F2295" s="21" t="str">
        <f>IF(OR(E2295="",E2295="!!!"),"",IF(NOT(ISNA(VLOOKUP(E2295,E$1:E2294,1,FALSE()))),"OLD",IF(AND(E2295&lt;&gt;"",E2295&lt;&gt;"!!!"),"NEW","")))</f>
        <v/>
      </c>
      <c r="G2295" s="22" t="str">
        <f>IF(OR(E2295="",E2295="!!!"),"",IF(OR(J2295=0,AND(J2295=1,K2295=1),AND(J2295=1,I2295="SBJ"),AND(J2295=1,I2295=0)),"?IN_FOCUS",IF(J2295&lt;=2,"?ACTIVATED",IF(J2295&lt;&gt;"","?FAMILIAR",IF(F2295="NEW",IF(ISNA(VLOOKUP(E2295,#REF!,1,FALSE())),"?TYPE_IDENTIFIABLE","?REFERENTIAL"),"_")))))</f>
        <v/>
      </c>
      <c r="H2295" s="23" t="str">
        <f t="shared" ca="1" si="256"/>
        <v/>
      </c>
      <c r="I2295" s="24" t="str">
        <f>IF(OR(E2295="",E2295="!!!",F2295="NEW"),"",INDEX(B$2:B2294,-1+SUMPRODUCT(MAX(ROW(E$2:E2294)*(E2295=E$2:E2294)))))</f>
        <v/>
      </c>
      <c r="J2295" s="24" t="str">
        <f ca="1">IF(OR(E2295="",E2295="!!!",F2295="NEW"),"",COUNTBLANK(OFFSET(A$1,,,SUMPRODUCT(MAX(ROW(E$2:E2295)*(E2295=E$2:E2295)))))-COUNTBLANK(OFFSET(A$1,,,SUMPRODUCT(MAX(ROW(E$1:E2294)*(E2=E$1:E2294))))))</f>
        <v/>
      </c>
      <c r="K2295" s="24" t="str">
        <f>IF(OR(E2295="",E2295="!!!",F2295="NEW"),"",INDEX(J$1:J2294,SUMPRODUCT(MAX(ROW(E$1:E2294)*(E2295=E$1:E2294)))))</f>
        <v/>
      </c>
      <c r="L2295" s="25"/>
    </row>
    <row r="2296" spans="1:12" x14ac:dyDescent="0.2">
      <c r="A2296" t="s">
        <v>845</v>
      </c>
      <c r="E2296" s="20" t="str">
        <f t="shared" si="257"/>
        <v/>
      </c>
      <c r="F2296" s="21" t="str">
        <f>IF(OR(E2296="",E2296="!!!"),"",IF(NOT(ISNA(VLOOKUP(E2296,E$1:E2295,1,FALSE()))),"OLD",IF(AND(E2296&lt;&gt;"",E2296&lt;&gt;"!!!"),"NEW","")))</f>
        <v/>
      </c>
      <c r="G2296" s="22" t="str">
        <f>IF(OR(E2296="",E2296="!!!"),"",IF(OR(J2296=0,AND(J2296=1,K2296=1),AND(J2296=1,I2296="SBJ"),AND(J2296=1,I2296=0)),"?IN_FOCUS",IF(J2296&lt;=2,"?ACTIVATED",IF(J2296&lt;&gt;"","?FAMILIAR",IF(F2296="NEW",IF(ISNA(VLOOKUP(E2296,#REF!,1,FALSE())),"?TYPE_IDENTIFIABLE","?REFERENTIAL"),"_")))))</f>
        <v/>
      </c>
      <c r="H2296" s="23" t="str">
        <f t="shared" ca="1" si="256"/>
        <v/>
      </c>
      <c r="I2296" s="24" t="str">
        <f>IF(OR(E2296="",E2296="!!!",F2296="NEW"),"",INDEX(B$2:B2295,-1+SUMPRODUCT(MAX(ROW(E$2:E2295)*(E2296=E$2:E2295)))))</f>
        <v/>
      </c>
      <c r="J2296" s="24" t="str">
        <f ca="1">IF(OR(E2296="",E2296="!!!",F2296="NEW"),"",COUNTBLANK(OFFSET(A$1,,,SUMPRODUCT(MAX(ROW(E$2:E2296)*(E2296=E$2:E2296)))))-COUNTBLANK(OFFSET(A$1,,,SUMPRODUCT(MAX(ROW(E$1:E2295)*(E2=E$1:E2295))))))</f>
        <v/>
      </c>
      <c r="K2296" s="24" t="str">
        <f>IF(OR(E2296="",E2296="!!!",F2296="NEW"),"",INDEX(J$1:J2295,SUMPRODUCT(MAX(ROW(E$1:E2295)*(E2296=E$1:E2295)))))</f>
        <v/>
      </c>
      <c r="L2296" s="25"/>
    </row>
    <row r="2297" spans="1:12" x14ac:dyDescent="0.2">
      <c r="A2297" t="s">
        <v>1512</v>
      </c>
      <c r="B2297" s="26" t="s">
        <v>864</v>
      </c>
      <c r="C2297" s="26" t="s">
        <v>847</v>
      </c>
      <c r="D2297" s="26" t="s">
        <v>806</v>
      </c>
      <c r="E2297" s="20" t="s">
        <v>1799</v>
      </c>
      <c r="F2297" s="21" t="str">
        <f>IF(OR(E2297="",E2297="!!!"),"",IF(NOT(ISNA(VLOOKUP(E2297,E$1:E2296,1,FALSE()))),"OLD",IF(AND(E2297&lt;&gt;"",E2297&lt;&gt;"!!!"),"NEW","")))</f>
        <v>NEW</v>
      </c>
      <c r="G2297" s="22" t="s">
        <v>1824</v>
      </c>
      <c r="H2297" s="23" t="str">
        <f t="shared" ca="1" si="256"/>
        <v/>
      </c>
      <c r="I2297" s="24" t="str">
        <f>IF(OR(E2297="",E2297="!!!",F2297="NEW"),"",INDEX(B$2:B2296,-1+SUMPRODUCT(MAX(ROW(E$2:E2296)*(E2297=E$2:E2296)))))</f>
        <v/>
      </c>
      <c r="J2297" s="24" t="str">
        <f ca="1">IF(OR(E2297="",E2297="!!!",F2297="NEW"),"",COUNTBLANK(OFFSET(A$1,,,SUMPRODUCT(MAX(ROW(E$2:E2297)*(E2297=E$2:E2297)))))-COUNTBLANK(OFFSET(A$1,,,SUMPRODUCT(MAX(ROW(E$1:E2296)*(E2=E$1:E2296))))))</f>
        <v/>
      </c>
      <c r="K2297" s="24" t="str">
        <f>IF(OR(E2297="",E2297="!!!",F2297="NEW"),"",INDEX(J$1:J2296,SUMPRODUCT(MAX(ROW(E$1:E2296)*(E2297=E$1:E2296)))))</f>
        <v/>
      </c>
      <c r="L2297" s="25"/>
    </row>
    <row r="2298" spans="1:12" x14ac:dyDescent="0.2">
      <c r="A2298" t="s">
        <v>902</v>
      </c>
      <c r="E2298" s="20" t="str">
        <f t="shared" si="257"/>
        <v/>
      </c>
      <c r="F2298" s="21" t="str">
        <f>IF(OR(E2298="",E2298="!!!"),"",IF(NOT(ISNA(VLOOKUP(E2298,E$1:E2297,1,FALSE()))),"OLD",IF(AND(E2298&lt;&gt;"",E2298&lt;&gt;"!!!"),"NEW","")))</f>
        <v/>
      </c>
      <c r="G2298" s="22" t="str">
        <f>IF(OR(E2298="",E2298="!!!"),"",IF(OR(J2298=0,AND(J2298=1,K2298=1),AND(J2298=1,I2298="SBJ"),AND(J2298=1,I2298=0)),"?IN_FOCUS",IF(J2298&lt;=2,"?ACTIVATED",IF(J2298&lt;&gt;"","?FAMILIAR",IF(F2298="NEW",IF(ISNA(VLOOKUP(E2298,#REF!,1,FALSE())),"?TYPE_IDENTIFIABLE","?REFERENTIAL"),"_")))))</f>
        <v/>
      </c>
      <c r="H2298" s="23" t="str">
        <f t="shared" ca="1" si="256"/>
        <v/>
      </c>
      <c r="I2298" s="24" t="str">
        <f>IF(OR(E2298="",E2298="!!!",F2298="NEW"),"",INDEX(B$2:B2297,-1+SUMPRODUCT(MAX(ROW(E$2:E2297)*(E2298=E$2:E2297)))))</f>
        <v/>
      </c>
      <c r="J2298" s="24" t="str">
        <f ca="1">IF(OR(E2298="",E2298="!!!",F2298="NEW"),"",COUNTBLANK(OFFSET(A$1,,,SUMPRODUCT(MAX(ROW(E$2:E2298)*(E2298=E$2:E2298)))))-COUNTBLANK(OFFSET(A$1,,,SUMPRODUCT(MAX(ROW(E$1:E2297)*(E2=E$1:E2297))))))</f>
        <v/>
      </c>
      <c r="K2298" s="24" t="str">
        <f>IF(OR(E2298="",E2298="!!!",F2298="NEW"),"",INDEX(J$1:J2297,SUMPRODUCT(MAX(ROW(E$1:E2297)*(E2298=E$1:E2297)))))</f>
        <v/>
      </c>
      <c r="L2298" s="25"/>
    </row>
    <row r="2299" spans="1:12" x14ac:dyDescent="0.2">
      <c r="A2299" t="s">
        <v>1365</v>
      </c>
      <c r="B2299" s="26" t="s">
        <v>810</v>
      </c>
      <c r="C2299" s="26" t="s">
        <v>811</v>
      </c>
      <c r="E2299" s="20" t="str">
        <f t="shared" si="257"/>
        <v/>
      </c>
      <c r="F2299" s="21" t="str">
        <f>IF(OR(E2299="",E2299="!!!"),"",IF(NOT(ISNA(VLOOKUP(E2299,E$1:E2298,1,FALSE()))),"OLD",IF(AND(E2299&lt;&gt;"",E2299&lt;&gt;"!!!"),"NEW","")))</f>
        <v/>
      </c>
      <c r="G2299" s="22" t="str">
        <f>IF(OR(E2299="",E2299="!!!"),"",IF(OR(J2299=0,AND(J2299=1,K2299=1),AND(J2299=1,I2299="SBJ"),AND(J2299=1,I2299=0)),"?IN_FOCUS",IF(J2299&lt;=2,"?ACTIVATED",IF(J2299&lt;&gt;"","?FAMILIAR",IF(F2299="NEW",IF(ISNA(VLOOKUP(E2299,#REF!,1,FALSE())),"?TYPE_IDENTIFIABLE","?REFERENTIAL"),"_")))))</f>
        <v/>
      </c>
      <c r="H2299" s="23" t="str">
        <f t="shared" ca="1" si="256"/>
        <v/>
      </c>
      <c r="I2299" s="24" t="str">
        <f>IF(OR(E2299="",E2299="!!!",F2299="NEW"),"",INDEX(B$2:B2298,-1+SUMPRODUCT(MAX(ROW(E$2:E2298)*(E2299=E$2:E2298)))))</f>
        <v/>
      </c>
      <c r="J2299" s="24" t="str">
        <f ca="1">IF(OR(E2299="",E2299="!!!",F2299="NEW"),"",COUNTBLANK(OFFSET(A$1,,,SUMPRODUCT(MAX(ROW(E$2:E2299)*(E2299=E$2:E2299)))))-COUNTBLANK(OFFSET(A$1,,,SUMPRODUCT(MAX(ROW(E$1:E2298)*(E2=E$1:E2298))))))</f>
        <v/>
      </c>
      <c r="K2299" s="24" t="str">
        <f>IF(OR(E2299="",E2299="!!!",F2299="NEW"),"",INDEX(J$1:J2298,SUMPRODUCT(MAX(ROW(E$1:E2298)*(E2299=E$1:E2298)))))</f>
        <v/>
      </c>
      <c r="L2299" s="25"/>
    </row>
    <row r="2300" spans="1:12" x14ac:dyDescent="0.2">
      <c r="A2300" t="s">
        <v>802</v>
      </c>
      <c r="E2300" s="20" t="str">
        <f t="shared" si="257"/>
        <v/>
      </c>
      <c r="F2300" s="21" t="str">
        <f>IF(OR(E2300="",E2300="!!!"),"",IF(NOT(ISNA(VLOOKUP(E2300,E$1:E2299,1,FALSE()))),"OLD",IF(AND(E2300&lt;&gt;"",E2300&lt;&gt;"!!!"),"NEW","")))</f>
        <v/>
      </c>
      <c r="G2300" s="22" t="str">
        <f>IF(OR(E2300="",E2300="!!!"),"",IF(OR(J2300=0,AND(J2300=1,K2300=1),AND(J2300=1,I2300="SBJ"),AND(J2300=1,I2300=0)),"?IN_FOCUS",IF(J2300&lt;=2,"?ACTIVATED",IF(J2300&lt;&gt;"","?FAMILIAR",IF(F2300="NEW",IF(ISNA(VLOOKUP(E2300,#REF!,1,FALSE())),"?TYPE_IDENTIFIABLE","?REFERENTIAL"),"_")))))</f>
        <v/>
      </c>
      <c r="H2300" s="23" t="str">
        <f t="shared" ca="1" si="256"/>
        <v/>
      </c>
      <c r="I2300" s="24" t="str">
        <f>IF(OR(E2300="",E2300="!!!",F2300="NEW"),"",INDEX(B$2:B2299,-1+SUMPRODUCT(MAX(ROW(E$2:E2299)*(E2300=E$2:E2299)))))</f>
        <v/>
      </c>
      <c r="J2300" s="24" t="str">
        <f ca="1">IF(OR(E2300="",E2300="!!!",F2300="NEW"),"",COUNTBLANK(OFFSET(A$1,,,SUMPRODUCT(MAX(ROW(E$2:E2300)*(E2300=E$2:E2300)))))-COUNTBLANK(OFFSET(A$1,,,SUMPRODUCT(MAX(ROW(E$1:E2299)*(E2=E$1:E2299))))))</f>
        <v/>
      </c>
      <c r="K2300" s="24" t="str">
        <f>IF(OR(E2300="",E2300="!!!",F2300="NEW"),"",INDEX(J$1:J2299,SUMPRODUCT(MAX(ROW(E$1:E2299)*(E2300=E$1:E2299)))))</f>
        <v/>
      </c>
      <c r="L2300" s="25"/>
    </row>
    <row r="2301" spans="1:12" x14ac:dyDescent="0.2">
      <c r="A2301" t="s">
        <v>544</v>
      </c>
      <c r="E2301" s="20" t="str">
        <f t="shared" si="257"/>
        <v/>
      </c>
      <c r="F2301" s="21" t="str">
        <f>IF(OR(E2301="",E2301="!!!"),"",IF(NOT(ISNA(VLOOKUP(E2301,E$1:E2300,1,FALSE()))),"OLD",IF(AND(E2301&lt;&gt;"",E2301&lt;&gt;"!!!"),"NEW","")))</f>
        <v/>
      </c>
      <c r="G2301" s="22" t="str">
        <f>IF(OR(E2301="",E2301="!!!"),"",IF(OR(J2301=0,AND(J2301=1,K2301=1),AND(J2301=1,I2301="SBJ"),AND(J2301=1,I2301=0)),"?IN_FOCUS",IF(J2301&lt;=2,"?ACTIVATED",IF(J2301&lt;&gt;"","?FAMILIAR",IF(F2301="NEW",IF(ISNA(VLOOKUP(E2301,#REF!,1,FALSE())),"?TYPE_IDENTIFIABLE","?REFERENTIAL"),"_")))))</f>
        <v/>
      </c>
      <c r="H2301" s="23" t="str">
        <f t="shared" ca="1" si="256"/>
        <v/>
      </c>
      <c r="I2301" s="24" t="str">
        <f>IF(OR(E2301="",E2301="!!!",F2301="NEW"),"",INDEX(B$2:B2300,-1+SUMPRODUCT(MAX(ROW(E$2:E2300)*(E2301=E$2:E2300)))))</f>
        <v/>
      </c>
      <c r="J2301" s="24" t="str">
        <f ca="1">IF(OR(E2301="",E2301="!!!",F2301="NEW"),"",COUNTBLANK(OFFSET(A$1,,,SUMPRODUCT(MAX(ROW(E$2:E2301)*(E2301=E$2:E2301)))))-COUNTBLANK(OFFSET(A$1,,,SUMPRODUCT(MAX(ROW(E$1:E2300)*(E2=E$1:E2300))))))</f>
        <v/>
      </c>
      <c r="K2301" s="24" t="str">
        <f>IF(OR(E2301="",E2301="!!!",F2301="NEW"),"",INDEX(J$1:J2300,SUMPRODUCT(MAX(ROW(E$1:E2300)*(E2301=E$1:E2300)))))</f>
        <v/>
      </c>
      <c r="L2301" s="25"/>
    </row>
    <row r="2302" spans="1:12" x14ac:dyDescent="0.2">
      <c r="A2302" t="s">
        <v>803</v>
      </c>
      <c r="B2302" s="26" t="s">
        <v>950</v>
      </c>
      <c r="C2302" s="26" t="s">
        <v>805</v>
      </c>
      <c r="D2302" s="26" t="s">
        <v>806</v>
      </c>
      <c r="E2302" s="20" t="s">
        <v>1747</v>
      </c>
      <c r="F2302" s="21" t="str">
        <f>IF(OR(E2302="",E2302="!!!"),"",IF(NOT(ISNA(VLOOKUP(E2302,E$1:E2301,1,FALSE()))),"OLD",IF(AND(E2302&lt;&gt;"",E2302&lt;&gt;"!!!"),"NEW","")))</f>
        <v>OLD</v>
      </c>
      <c r="G2302" s="22" t="s">
        <v>1823</v>
      </c>
      <c r="H2302" s="23" t="str">
        <f t="shared" ca="1" si="256"/>
        <v/>
      </c>
      <c r="I2302" s="24" t="str">
        <f>IF(OR(E2302="",E2302="!!!",F2302="NEW"),"",INDEX(B$2:B2301,-1+SUMPRODUCT(MAX(ROW(E$2:E2301)*(E2302=E$2:E2301)))))</f>
        <v>SBJ</v>
      </c>
      <c r="J2302" s="24">
        <f ca="1">IF(OR(E2302="",E2302="!!!",F2302="NEW"),"",COUNTBLANK(OFFSET(A$1,,,SUMPRODUCT(MAX(ROW(E$2:E2302)*(E2302=E$2:E2302)))))-COUNTBLANK(OFFSET(A$1,,,SUMPRODUCT(MAX(ROW(E$1:E2301)*(E2=E$1:E2301))))))</f>
        <v>0</v>
      </c>
      <c r="K2302" s="24">
        <f ca="1">IF(OR(E2302="",E2302="!!!",F2302="NEW"),"",INDEX(J$1:J2301,SUMPRODUCT(MAX(ROW(E$1:E2301)*(E2302=E$1:E2301)))))</f>
        <v>0</v>
      </c>
      <c r="L2302" s="25"/>
    </row>
    <row r="2303" spans="1:12" x14ac:dyDescent="0.2">
      <c r="A2303" t="s">
        <v>1513</v>
      </c>
      <c r="E2303" s="20" t="str">
        <f t="shared" si="257"/>
        <v/>
      </c>
      <c r="F2303" s="21" t="str">
        <f>IF(OR(E2303="",E2303="!!!"),"",IF(NOT(ISNA(VLOOKUP(E2303,E$1:E2302,1,FALSE()))),"OLD",IF(AND(E2303&lt;&gt;"",E2303&lt;&gt;"!!!"),"NEW","")))</f>
        <v/>
      </c>
      <c r="G2303" s="22" t="str">
        <f>IF(OR(E2303="",E2303="!!!"),"",IF(OR(J2303=0,AND(J2303=1,K2303=1),AND(J2303=1,I2303="SBJ"),AND(J2303=1,I2303=0)),"?IN_FOCUS",IF(J2303&lt;=2,"?ACTIVATED",IF(J2303&lt;&gt;"","?FAMILIAR",IF(F2303="NEW",IF(ISNA(VLOOKUP(E2303,#REF!,1,FALSE())),"?TYPE_IDENTIFIABLE","?REFERENTIAL"),"_")))))</f>
        <v/>
      </c>
      <c r="H2303" s="23" t="str">
        <f t="shared" ca="1" si="256"/>
        <v/>
      </c>
      <c r="I2303" s="24" t="str">
        <f>IF(OR(E2303="",E2303="!!!",F2303="NEW"),"",INDEX(B$2:B2302,-1+SUMPRODUCT(MAX(ROW(E$2:E2302)*(E2303=E$2:E2302)))))</f>
        <v/>
      </c>
      <c r="J2303" s="24" t="str">
        <f ca="1">IF(OR(E2303="",E2303="!!!",F2303="NEW"),"",COUNTBLANK(OFFSET(A$1,,,SUMPRODUCT(MAX(ROW(E$2:E2303)*(E2303=E$2:E2303)))))-COUNTBLANK(OFFSET(A$1,,,SUMPRODUCT(MAX(ROW(E$1:E2302)*(E2=E$1:E2302))))))</f>
        <v/>
      </c>
      <c r="K2303" s="24" t="str">
        <f>IF(OR(E2303="",E2303="!!!",F2303="NEW"),"",INDEX(J$1:J2302,SUMPRODUCT(MAX(ROW(E$1:E2302)*(E2303=E$1:E2302)))))</f>
        <v/>
      </c>
      <c r="L2303" s="25"/>
    </row>
    <row r="2304" spans="1:12" x14ac:dyDescent="0.2">
      <c r="A2304" t="s">
        <v>894</v>
      </c>
      <c r="E2304" s="20" t="str">
        <f t="shared" si="257"/>
        <v/>
      </c>
      <c r="F2304" s="21" t="str">
        <f>IF(OR(E2304="",E2304="!!!"),"",IF(NOT(ISNA(VLOOKUP(E2304,E$1:E2303,1,FALSE()))),"OLD",IF(AND(E2304&lt;&gt;"",E2304&lt;&gt;"!!!"),"NEW","")))</f>
        <v/>
      </c>
      <c r="G2304" s="22" t="str">
        <f>IF(OR(E2304="",E2304="!!!"),"",IF(OR(J2304=0,AND(J2304=1,K2304=1),AND(J2304=1,I2304="SBJ"),AND(J2304=1,I2304=0)),"?IN_FOCUS",IF(J2304&lt;=2,"?ACTIVATED",IF(J2304&lt;&gt;"","?FAMILIAR",IF(F2304="NEW",IF(ISNA(VLOOKUP(E2304,#REF!,1,FALSE())),"?TYPE_IDENTIFIABLE","?REFERENTIAL"),"_")))))</f>
        <v/>
      </c>
      <c r="H2304" s="23" t="str">
        <f t="shared" ca="1" si="256"/>
        <v/>
      </c>
      <c r="I2304" s="24" t="str">
        <f>IF(OR(E2304="",E2304="!!!",F2304="NEW"),"",INDEX(B$2:B2303,-1+SUMPRODUCT(MAX(ROW(E$2:E2303)*(E2304=E$2:E2303)))))</f>
        <v/>
      </c>
      <c r="J2304" s="24" t="str">
        <f ca="1">IF(OR(E2304="",E2304="!!!",F2304="NEW"),"",COUNTBLANK(OFFSET(A$1,,,SUMPRODUCT(MAX(ROW(E$2:E2304)*(E2304=E$2:E2304)))))-COUNTBLANK(OFFSET(A$1,,,SUMPRODUCT(MAX(ROW(E$1:E2303)*(E2=E$1:E2303))))))</f>
        <v/>
      </c>
      <c r="K2304" s="24" t="str">
        <f>IF(OR(E2304="",E2304="!!!",F2304="NEW"),"",INDEX(J$1:J2303,SUMPRODUCT(MAX(ROW(E$1:E2303)*(E2304=E$1:E2303)))))</f>
        <v/>
      </c>
      <c r="L2304" s="25"/>
    </row>
    <row r="2305" spans="1:12" x14ac:dyDescent="0.2">
      <c r="A2305" t="s">
        <v>1191</v>
      </c>
      <c r="B2305" s="26" t="s">
        <v>813</v>
      </c>
      <c r="C2305" s="26" t="s">
        <v>854</v>
      </c>
      <c r="D2305" s="26" t="s">
        <v>806</v>
      </c>
      <c r="E2305" s="20" t="s">
        <v>1175</v>
      </c>
      <c r="F2305" s="21" t="str">
        <f>IF(OR(E2305="",E2305="!!!"),"",IF(NOT(ISNA(VLOOKUP(E2305,E$1:E2304,1,FALSE()))),"OLD",IF(AND(E2305&lt;&gt;"",E2305&lt;&gt;"!!!"),"NEW","")))</f>
        <v>OLD</v>
      </c>
      <c r="G2305" s="22" t="s">
        <v>1822</v>
      </c>
      <c r="H2305" s="23" t="str">
        <f t="shared" ca="1" si="256"/>
        <v/>
      </c>
      <c r="I2305" s="24" t="str">
        <f>IF(OR(E2305="",E2305="!!!",F2305="NEW"),"",INDEX(B$2:B2304,-1+SUMPRODUCT(MAX(ROW(E$2:E2304)*(E2305=E$2:E2304)))))</f>
        <v>SBJ</v>
      </c>
      <c r="J2305" s="24">
        <f ca="1">IF(OR(E2305="",E2305="!!!",F2305="NEW"),"",COUNTBLANK(OFFSET(A$1,,,SUMPRODUCT(MAX(ROW(E$2:E2305)*(E2305=E$2:E2305)))))-COUNTBLANK(OFFSET(A$1,,,SUMPRODUCT(MAX(ROW(E$1:E2304)*(E2=E$1:E2304))))))</f>
        <v>0</v>
      </c>
      <c r="K2305" s="24">
        <f ca="1">IF(OR(E2305="",E2305="!!!",F2305="NEW"),"",INDEX(J$1:J2304,SUMPRODUCT(MAX(ROW(E$1:E2304)*(E2305=E$1:E2304)))))</f>
        <v>0</v>
      </c>
      <c r="L2305" s="25"/>
    </row>
    <row r="2306" spans="1:12" x14ac:dyDescent="0.2">
      <c r="A2306" t="s">
        <v>821</v>
      </c>
      <c r="E2306" s="20" t="str">
        <f t="shared" si="257"/>
        <v/>
      </c>
      <c r="F2306" s="21" t="str">
        <f>IF(OR(E2306="",E2306="!!!"),"",IF(NOT(ISNA(VLOOKUP(E2306,E$1:E2305,1,FALSE()))),"OLD",IF(AND(E2306&lt;&gt;"",E2306&lt;&gt;"!!!"),"NEW","")))</f>
        <v/>
      </c>
      <c r="G2306" s="22" t="str">
        <f>IF(OR(E2306="",E2306="!!!"),"",IF(OR(J2306=0,AND(J2306=1,K2306=1),AND(J2306=1,I2306="SBJ"),AND(J2306=1,I2306=0)),"?IN_FOCUS",IF(J2306&lt;=2,"?ACTIVATED",IF(J2306&lt;&gt;"","?FAMILIAR",IF(F2306="NEW",IF(ISNA(VLOOKUP(E2306,#REF!,1,FALSE())),"?TYPE_IDENTIFIABLE","?REFERENTIAL"),"_")))))</f>
        <v/>
      </c>
      <c r="H2306" s="23" t="str">
        <f t="shared" ca="1" si="256"/>
        <v/>
      </c>
      <c r="I2306" s="24" t="str">
        <f>IF(OR(E2306="",E2306="!!!",F2306="NEW"),"",INDEX(B$2:B2305,-1+SUMPRODUCT(MAX(ROW(E$2:E2305)*(E2306=E$2:E2305)))))</f>
        <v/>
      </c>
      <c r="J2306" s="24" t="str">
        <f ca="1">IF(OR(E2306="",E2306="!!!",F2306="NEW"),"",COUNTBLANK(OFFSET(A$1,,,SUMPRODUCT(MAX(ROW(E$2:E2306)*(E2306=E$2:E2306)))))-COUNTBLANK(OFFSET(A$1,,,SUMPRODUCT(MAX(ROW(E$1:E2305)*(E2=E$1:E2305))))))</f>
        <v/>
      </c>
      <c r="K2306" s="24" t="str">
        <f>IF(OR(E2306="",E2306="!!!",F2306="NEW"),"",INDEX(J$1:J2305,SUMPRODUCT(MAX(ROW(E$1:E2305)*(E2306=E$1:E2305)))))</f>
        <v/>
      </c>
      <c r="L2306" s="25"/>
    </row>
    <row r="2308" spans="1:12" x14ac:dyDescent="0.2">
      <c r="A2308" t="s">
        <v>900</v>
      </c>
      <c r="E2308" s="20" t="str">
        <f>IF(D2308="?OLD","!!!","")</f>
        <v/>
      </c>
      <c r="F2308" s="21" t="str">
        <f>IF(OR(E2308="",E2308="!!!"),"",IF(NOT(ISNA(VLOOKUP(E2308,E$1:E2307,1,FALSE()))),"OLD",IF(AND(E2308&lt;&gt;"",E2308&lt;&gt;"!!!"),"NEW","")))</f>
        <v/>
      </c>
      <c r="G2308" s="22" t="str">
        <f>IF(OR(E2308="",E2308="!!!"),"",IF(OR(J2308=0,AND(J2308=1,K2308=1),AND(J2308=1,I2308="SBJ"),AND(J2308=1,I2308=0)),"?IN_FOCUS",IF(J2308&lt;=2,"?ACTIVATED",IF(J2308&lt;&gt;"","?FAMILIAR",IF(F2308="NEW",IF(ISNA(VLOOKUP(E2308,#REF!,1,FALSE())),"?TYPE_IDENTIFIABLE","?REFERENTIAL"),"_")))))</f>
        <v/>
      </c>
      <c r="H2308" s="23" t="str">
        <f ca="1">IF(J2308&lt;&gt;1,"",IF(I2308="SBJ","CB","?"))</f>
        <v/>
      </c>
      <c r="I2308" s="24" t="str">
        <f>IF(OR(E2308="",E2308="!!!",F2308="NEW"),"",INDEX(B$2:B2307,-1+SUMPRODUCT(MAX(ROW(E$2:E2307)*(E2308=E$2:E2307)))))</f>
        <v/>
      </c>
      <c r="J2308" s="24" t="str">
        <f ca="1">IF(OR(E2308="",E2308="!!!",F2308="NEW"),"",COUNTBLANK(OFFSET(A$1,,,SUMPRODUCT(MAX(ROW(E$2:E2308)*(E2308=E$2:E2308)))))-COUNTBLANK(OFFSET(A$1,,,SUMPRODUCT(MAX(ROW(E$1:E2307)*(E2=E$1:E2307))))))</f>
        <v/>
      </c>
      <c r="K2308" s="24" t="str">
        <f>IF(OR(E2308="",E2308="!!!",F2308="NEW"),"",INDEX(J$1:J2307,SUMPRODUCT(MAX(ROW(E$1:E2307)*(E2308=E$1:E2307)))))</f>
        <v/>
      </c>
      <c r="L2308" s="25"/>
    </row>
    <row r="2309" spans="1:12" x14ac:dyDescent="0.2">
      <c r="A2309" t="s">
        <v>1514</v>
      </c>
    </row>
    <row r="2310" spans="1:12" x14ac:dyDescent="0.2">
      <c r="A2310" t="s">
        <v>803</v>
      </c>
      <c r="B2310" s="26" t="s">
        <v>804</v>
      </c>
      <c r="C2310" s="26" t="s">
        <v>805</v>
      </c>
      <c r="D2310" s="26" t="s">
        <v>806</v>
      </c>
      <c r="E2310" s="20" t="s">
        <v>1747</v>
      </c>
      <c r="F2310" s="21" t="str">
        <f>IF(OR(E2310="",E2310="!!!"),"",IF(NOT(ISNA(VLOOKUP(E2310,E$1:E2309,1,FALSE()))),"OLD",IF(AND(E2310&lt;&gt;"",E2310&lt;&gt;"!!!"),"NEW","")))</f>
        <v>OLD</v>
      </c>
      <c r="G2310" s="22" t="s">
        <v>1823</v>
      </c>
      <c r="H2310" s="23" t="str">
        <f t="shared" ref="H2310:H2335" ca="1" si="258">IF(J2310&lt;&gt;1,"",IF(I2310="SBJ","CB","?"))</f>
        <v/>
      </c>
      <c r="I2310" s="24" t="str">
        <f>IF(OR(E2310="",E2310="!!!",F2310="NEW"),"",INDEX(B$2:B2309,-1+SUMPRODUCT(MAX(ROW(E$2:E2309)*(E2310=E$2:E2309)))))</f>
        <v>SBJ_2</v>
      </c>
      <c r="J2310" s="24">
        <f ca="1">IF(OR(E2310="",E2310="!!!",F2310="NEW"),"",COUNTBLANK(OFFSET(A$1,,,SUMPRODUCT(MAX(ROW(E$2:E2310)*(E2310=E$2:E2310)))))-COUNTBLANK(OFFSET(A$1,,,SUMPRODUCT(MAX(ROW(E$1:E2309)*(E2=E$1:E2309))))))</f>
        <v>0</v>
      </c>
      <c r="K2310" s="24">
        <f ca="1">IF(OR(E2310="",E2310="!!!",F2310="NEW"),"",INDEX(J$1:J2309,SUMPRODUCT(MAX(ROW(E$1:E2309)*(E2310=E$1:E2309)))))</f>
        <v>0</v>
      </c>
      <c r="L2310" s="25"/>
    </row>
    <row r="2311" spans="1:12" x14ac:dyDescent="0.2">
      <c r="A2311" t="s">
        <v>904</v>
      </c>
      <c r="E2311" s="20" t="str">
        <f t="shared" ref="E2310:E2335" si="259">IF(D2311="?OLD","!!!","")</f>
        <v/>
      </c>
      <c r="F2311" s="21" t="str">
        <f>IF(OR(E2311="",E2311="!!!"),"",IF(NOT(ISNA(VLOOKUP(E2311,E$1:E2310,1,FALSE()))),"OLD",IF(AND(E2311&lt;&gt;"",E2311&lt;&gt;"!!!"),"NEW","")))</f>
        <v/>
      </c>
      <c r="G2311" s="22" t="str">
        <f>IF(OR(E2311="",E2311="!!!"),"",IF(OR(J2311=0,AND(J2311=1,K2311=1),AND(J2311=1,I2311="SBJ"),AND(J2311=1,I2311=0)),"?IN_FOCUS",IF(J2311&lt;=2,"?ACTIVATED",IF(J2311&lt;&gt;"","?FAMILIAR",IF(F2311="NEW",IF(ISNA(VLOOKUP(E2311,#REF!,1,FALSE())),"?TYPE_IDENTIFIABLE","?REFERENTIAL"),"_")))))</f>
        <v/>
      </c>
      <c r="H2311" s="23" t="str">
        <f t="shared" ca="1" si="258"/>
        <v/>
      </c>
      <c r="I2311" s="24" t="str">
        <f>IF(OR(E2311="",E2311="!!!",F2311="NEW"),"",INDEX(B$2:B2310,-1+SUMPRODUCT(MAX(ROW(E$2:E2310)*(E2311=E$2:E2310)))))</f>
        <v/>
      </c>
      <c r="J2311" s="24" t="str">
        <f ca="1">IF(OR(E2311="",E2311="!!!",F2311="NEW"),"",COUNTBLANK(OFFSET(A$1,,,SUMPRODUCT(MAX(ROW(E$2:E2311)*(E2311=E$2:E2311)))))-COUNTBLANK(OFFSET(A$1,,,SUMPRODUCT(MAX(ROW(E$1:E2310)*(E2=E$1:E2310))))))</f>
        <v/>
      </c>
      <c r="K2311" s="24" t="str">
        <f>IF(OR(E2311="",E2311="!!!",F2311="NEW"),"",INDEX(J$1:J2310,SUMPRODUCT(MAX(ROW(E$1:E2310)*(E2311=E$1:E2310)))))</f>
        <v/>
      </c>
      <c r="L2311" s="25"/>
    </row>
    <row r="2312" spans="1:12" x14ac:dyDescent="0.2">
      <c r="A2312" t="s">
        <v>802</v>
      </c>
      <c r="E2312" s="20" t="str">
        <f t="shared" si="259"/>
        <v/>
      </c>
      <c r="F2312" s="21" t="str">
        <f>IF(OR(E2312="",E2312="!!!"),"",IF(NOT(ISNA(VLOOKUP(E2312,E$1:E2311,1,FALSE()))),"OLD",IF(AND(E2312&lt;&gt;"",E2312&lt;&gt;"!!!"),"NEW","")))</f>
        <v/>
      </c>
      <c r="G2312" s="22" t="str">
        <f>IF(OR(E2312="",E2312="!!!"),"",IF(OR(J2312=0,AND(J2312=1,K2312=1),AND(J2312=1,I2312="SBJ"),AND(J2312=1,I2312=0)),"?IN_FOCUS",IF(J2312&lt;=2,"?ACTIVATED",IF(J2312&lt;&gt;"","?FAMILIAR",IF(F2312="NEW",IF(ISNA(VLOOKUP(E2312,#REF!,1,FALSE())),"?TYPE_IDENTIFIABLE","?REFERENTIAL"),"_")))))</f>
        <v/>
      </c>
      <c r="H2312" s="23" t="str">
        <f t="shared" ca="1" si="258"/>
        <v/>
      </c>
      <c r="I2312" s="24" t="str">
        <f>IF(OR(E2312="",E2312="!!!",F2312="NEW"),"",INDEX(B$2:B2311,-1+SUMPRODUCT(MAX(ROW(E$2:E2311)*(E2312=E$2:E2311)))))</f>
        <v/>
      </c>
      <c r="J2312" s="24" t="str">
        <f ca="1">IF(OR(E2312="",E2312="!!!",F2312="NEW"),"",COUNTBLANK(OFFSET(A$1,,,SUMPRODUCT(MAX(ROW(E$2:E2312)*(E2312=E$2:E2312)))))-COUNTBLANK(OFFSET(A$1,,,SUMPRODUCT(MAX(ROW(E$1:E2311)*(E2=E$1:E2311))))))</f>
        <v/>
      </c>
      <c r="K2312" s="24" t="str">
        <f>IF(OR(E2312="",E2312="!!!",F2312="NEW"),"",INDEX(J$1:J2311,SUMPRODUCT(MAX(ROW(E$1:E2311)*(E2312=E$1:E2311)))))</f>
        <v/>
      </c>
      <c r="L2312" s="25"/>
    </row>
    <row r="2313" spans="1:12" x14ac:dyDescent="0.2">
      <c r="A2313" t="s">
        <v>902</v>
      </c>
      <c r="E2313" s="20" t="str">
        <f t="shared" si="259"/>
        <v/>
      </c>
      <c r="F2313" s="21" t="str">
        <f>IF(OR(E2313="",E2313="!!!"),"",IF(NOT(ISNA(VLOOKUP(E2313,E$1:E2312,1,FALSE()))),"OLD",IF(AND(E2313&lt;&gt;"",E2313&lt;&gt;"!!!"),"NEW","")))</f>
        <v/>
      </c>
      <c r="G2313" s="22" t="str">
        <f>IF(OR(E2313="",E2313="!!!"),"",IF(OR(J2313=0,AND(J2313=1,K2313=1),AND(J2313=1,I2313="SBJ"),AND(J2313=1,I2313=0)),"?IN_FOCUS",IF(J2313&lt;=2,"?ACTIVATED",IF(J2313&lt;&gt;"","?FAMILIAR",IF(F2313="NEW",IF(ISNA(VLOOKUP(E2313,#REF!,1,FALSE())),"?TYPE_IDENTIFIABLE","?REFERENTIAL"),"_")))))</f>
        <v/>
      </c>
      <c r="H2313" s="23" t="str">
        <f t="shared" ca="1" si="258"/>
        <v/>
      </c>
      <c r="I2313" s="24" t="str">
        <f>IF(OR(E2313="",E2313="!!!",F2313="NEW"),"",INDEX(B$2:B2312,-1+SUMPRODUCT(MAX(ROW(E$2:E2312)*(E2313=E$2:E2312)))))</f>
        <v/>
      </c>
      <c r="J2313" s="24" t="str">
        <f ca="1">IF(OR(E2313="",E2313="!!!",F2313="NEW"),"",COUNTBLANK(OFFSET(A$1,,,SUMPRODUCT(MAX(ROW(E$2:E2313)*(E2313=E$2:E2313)))))-COUNTBLANK(OFFSET(A$1,,,SUMPRODUCT(MAX(ROW(E$1:E2312)*(E2=E$1:E2312))))))</f>
        <v/>
      </c>
      <c r="K2313" s="24" t="str">
        <f>IF(OR(E2313="",E2313="!!!",F2313="NEW"),"",INDEX(J$1:J2312,SUMPRODUCT(MAX(ROW(E$1:E2312)*(E2313=E$1:E2312)))))</f>
        <v/>
      </c>
      <c r="L2313" s="25"/>
    </row>
    <row r="2314" spans="1:12" x14ac:dyDescent="0.2">
      <c r="A2314" t="s">
        <v>1191</v>
      </c>
      <c r="B2314" s="26" t="s">
        <v>813</v>
      </c>
      <c r="C2314" s="26" t="s">
        <v>854</v>
      </c>
      <c r="D2314" s="26" t="s">
        <v>806</v>
      </c>
      <c r="E2314" s="20"/>
      <c r="F2314" s="21" t="str">
        <f>IF(OR(E2314="",E2314="!!!"),"",IF(NOT(ISNA(VLOOKUP(E2314,E$1:E2313,1,FALSE()))),"OLD",IF(AND(E2314&lt;&gt;"",E2314&lt;&gt;"!!!"),"NEW","")))</f>
        <v/>
      </c>
      <c r="G2314" s="22"/>
      <c r="H2314" s="23" t="str">
        <f t="shared" ca="1" si="258"/>
        <v/>
      </c>
      <c r="I2314" s="24" t="str">
        <f>IF(OR(E2314="",E2314="!!!",F2314="NEW"),"",INDEX(B$2:B2313,-1+SUMPRODUCT(MAX(ROW(E$2:E2313)*(E2314=E$2:E2313)))))</f>
        <v/>
      </c>
      <c r="J2314" s="24" t="str">
        <f ca="1">IF(OR(E2314="",E2314="!!!",F2314="NEW"),"",COUNTBLANK(OFFSET(A$1,,,SUMPRODUCT(MAX(ROW(E$2:E2314)*(E2314=E$2:E2314)))))-COUNTBLANK(OFFSET(A$1,,,SUMPRODUCT(MAX(ROW(E$1:E2313)*(E2=E$1:E2313))))))</f>
        <v/>
      </c>
      <c r="K2314" s="24" t="str">
        <f>IF(OR(E2314="",E2314="!!!",F2314="NEW"),"",INDEX(J$1:J2313,SUMPRODUCT(MAX(ROW(E$1:E2313)*(E2314=E$1:E2313)))))</f>
        <v/>
      </c>
      <c r="L2314" s="25"/>
    </row>
    <row r="2315" spans="1:12" x14ac:dyDescent="0.2">
      <c r="A2315" t="s">
        <v>802</v>
      </c>
      <c r="E2315" s="20" t="str">
        <f t="shared" si="259"/>
        <v/>
      </c>
      <c r="F2315" s="21" t="str">
        <f>IF(OR(E2315="",E2315="!!!"),"",IF(NOT(ISNA(VLOOKUP(E2315,E$1:E2314,1,FALSE()))),"OLD",IF(AND(E2315&lt;&gt;"",E2315&lt;&gt;"!!!"),"NEW","")))</f>
        <v/>
      </c>
      <c r="G2315" s="22" t="str">
        <f>IF(OR(E2315="",E2315="!!!"),"",IF(OR(J2315=0,AND(J2315=1,K2315=1),AND(J2315=1,I2315="SBJ"),AND(J2315=1,I2315=0)),"?IN_FOCUS",IF(J2315&lt;=2,"?ACTIVATED",IF(J2315&lt;&gt;"","?FAMILIAR",IF(F2315="NEW",IF(ISNA(VLOOKUP(E2315,#REF!,1,FALSE())),"?TYPE_IDENTIFIABLE","?REFERENTIAL"),"_")))))</f>
        <v/>
      </c>
      <c r="H2315" s="23" t="str">
        <f t="shared" ca="1" si="258"/>
        <v/>
      </c>
      <c r="I2315" s="24" t="str">
        <f>IF(OR(E2315="",E2315="!!!",F2315="NEW"),"",INDEX(B$2:B2314,-1+SUMPRODUCT(MAX(ROW(E$2:E2314)*(E2315=E$2:E2314)))))</f>
        <v/>
      </c>
      <c r="J2315" s="24" t="str">
        <f ca="1">IF(OR(E2315="",E2315="!!!",F2315="NEW"),"",COUNTBLANK(OFFSET(A$1,,,SUMPRODUCT(MAX(ROW(E$2:E2315)*(E2315=E$2:E2315)))))-COUNTBLANK(OFFSET(A$1,,,SUMPRODUCT(MAX(ROW(E$1:E2314)*(E2=E$1:E2314))))))</f>
        <v/>
      </c>
      <c r="K2315" s="24" t="str">
        <f>IF(OR(E2315="",E2315="!!!",F2315="NEW"),"",INDEX(J$1:J2314,SUMPRODUCT(MAX(ROW(E$1:E2314)*(E2315=E$1:E2314)))))</f>
        <v/>
      </c>
      <c r="L2315" s="25"/>
    </row>
    <row r="2316" spans="1:12" x14ac:dyDescent="0.2">
      <c r="A2316" t="s">
        <v>309</v>
      </c>
      <c r="E2316" s="20" t="str">
        <f t="shared" si="259"/>
        <v/>
      </c>
      <c r="F2316" s="21" t="str">
        <f>IF(OR(E2316="",E2316="!!!"),"",IF(NOT(ISNA(VLOOKUP(E2316,E$1:E2315,1,FALSE()))),"OLD",IF(AND(E2316&lt;&gt;"",E2316&lt;&gt;"!!!"),"NEW","")))</f>
        <v/>
      </c>
      <c r="G2316" s="22" t="str">
        <f>IF(OR(E2316="",E2316="!!!"),"",IF(OR(J2316=0,AND(J2316=1,K2316=1),AND(J2316=1,I2316="SBJ"),AND(J2316=1,I2316=0)),"?IN_FOCUS",IF(J2316&lt;=2,"?ACTIVATED",IF(J2316&lt;&gt;"","?FAMILIAR",IF(F2316="NEW",IF(ISNA(VLOOKUP(E2316,#REF!,1,FALSE())),"?TYPE_IDENTIFIABLE","?REFERENTIAL"),"_")))))</f>
        <v/>
      </c>
      <c r="H2316" s="23" t="str">
        <f t="shared" ca="1" si="258"/>
        <v/>
      </c>
      <c r="I2316" s="24" t="str">
        <f>IF(OR(E2316="",E2316="!!!",F2316="NEW"),"",INDEX(B$2:B2315,-1+SUMPRODUCT(MAX(ROW(E$2:E2315)*(E2316=E$2:E2315)))))</f>
        <v/>
      </c>
      <c r="J2316" s="24" t="str">
        <f ca="1">IF(OR(E2316="",E2316="!!!",F2316="NEW"),"",COUNTBLANK(OFFSET(A$1,,,SUMPRODUCT(MAX(ROW(E$2:E2316)*(E2316=E$2:E2316)))))-COUNTBLANK(OFFSET(A$1,,,SUMPRODUCT(MAX(ROW(E$1:E2315)*(E2=E$1:E2315))))))</f>
        <v/>
      </c>
      <c r="K2316" s="24" t="str">
        <f>IF(OR(E2316="",E2316="!!!",F2316="NEW"),"",INDEX(J$1:J2315,SUMPRODUCT(MAX(ROW(E$1:E2315)*(E2316=E$1:E2315)))))</f>
        <v/>
      </c>
      <c r="L2316" s="25"/>
    </row>
    <row r="2317" spans="1:12" x14ac:dyDescent="0.2">
      <c r="A2317" t="s">
        <v>949</v>
      </c>
      <c r="B2317" s="26" t="s">
        <v>950</v>
      </c>
      <c r="C2317" s="26" t="s">
        <v>805</v>
      </c>
      <c r="D2317" s="26" t="s">
        <v>806</v>
      </c>
      <c r="E2317" s="20" t="s">
        <v>1797</v>
      </c>
      <c r="F2317" s="21" t="str">
        <f>IF(OR(E2317="",E2317="!!!"),"",IF(NOT(ISNA(VLOOKUP(E2317,E$1:E2316,1,FALSE()))),"OLD",IF(AND(E2317&lt;&gt;"",E2317&lt;&gt;"!!!"),"NEW","")))</f>
        <v>OLD</v>
      </c>
      <c r="G2317" s="22" t="s">
        <v>1823</v>
      </c>
      <c r="H2317" s="23" t="str">
        <f t="shared" ca="1" si="258"/>
        <v/>
      </c>
      <c r="I2317" s="24" t="str">
        <f>IF(OR(E2317="",E2317="!!!",F2317="NEW"),"",INDEX(B$2:B2316,-1+SUMPRODUCT(MAX(ROW(E$2:E2316)*(E2317=E$2:E2316)))))</f>
        <v>SBJ_2</v>
      </c>
      <c r="J2317" s="24">
        <f ca="1">IF(OR(E2317="",E2317="!!!",F2317="NEW"),"",COUNTBLANK(OFFSET(A$1,,,SUMPRODUCT(MAX(ROW(E$2:E2317)*(E2317=E$2:E2317)))))-COUNTBLANK(OFFSET(A$1,,,SUMPRODUCT(MAX(ROW(E$1:E2316)*(E2=E$1:E2316))))))</f>
        <v>0</v>
      </c>
      <c r="K2317" s="24">
        <f ca="1">IF(OR(E2317="",E2317="!!!",F2317="NEW"),"",INDEX(J$1:J2316,SUMPRODUCT(MAX(ROW(E$1:E2316)*(E2317=E$1:E2316)))))</f>
        <v>0</v>
      </c>
      <c r="L2317" s="25"/>
    </row>
    <row r="2318" spans="1:12" x14ac:dyDescent="0.2">
      <c r="A2318" t="s">
        <v>562</v>
      </c>
      <c r="E2318" s="20" t="str">
        <f t="shared" si="259"/>
        <v/>
      </c>
      <c r="F2318" s="21" t="str">
        <f>IF(OR(E2318="",E2318="!!!"),"",IF(NOT(ISNA(VLOOKUP(E2318,E$1:E2317,1,FALSE()))),"OLD",IF(AND(E2318&lt;&gt;"",E2318&lt;&gt;"!!!"),"NEW","")))</f>
        <v/>
      </c>
      <c r="G2318" s="22" t="str">
        <f>IF(OR(E2318="",E2318="!!!"),"",IF(OR(J2318=0,AND(J2318=1,K2318=1),AND(J2318=1,I2318="SBJ"),AND(J2318=1,I2318=0)),"?IN_FOCUS",IF(J2318&lt;=2,"?ACTIVATED",IF(J2318&lt;&gt;"","?FAMILIAR",IF(F2318="NEW",IF(ISNA(VLOOKUP(E2318,#REF!,1,FALSE())),"?TYPE_IDENTIFIABLE","?REFERENTIAL"),"_")))))</f>
        <v/>
      </c>
      <c r="H2318" s="23" t="str">
        <f t="shared" ca="1" si="258"/>
        <v/>
      </c>
      <c r="I2318" s="24" t="str">
        <f>IF(OR(E2318="",E2318="!!!",F2318="NEW"),"",INDEX(B$2:B2317,-1+SUMPRODUCT(MAX(ROW(E$2:E2317)*(E2318=E$2:E2317)))))</f>
        <v/>
      </c>
      <c r="J2318" s="24" t="str">
        <f ca="1">IF(OR(E2318="",E2318="!!!",F2318="NEW"),"",COUNTBLANK(OFFSET(A$1,,,SUMPRODUCT(MAX(ROW(E$2:E2318)*(E2318=E$2:E2318)))))-COUNTBLANK(OFFSET(A$1,,,SUMPRODUCT(MAX(ROW(E$1:E2317)*(E2=E$1:E2317))))))</f>
        <v/>
      </c>
      <c r="K2318" s="24" t="str">
        <f>IF(OR(E2318="",E2318="!!!",F2318="NEW"),"",INDEX(J$1:J2317,SUMPRODUCT(MAX(ROW(E$1:E2317)*(E2318=E$1:E2317)))))</f>
        <v/>
      </c>
      <c r="L2318" s="25"/>
    </row>
    <row r="2319" spans="1:12" x14ac:dyDescent="0.2">
      <c r="A2319" t="s">
        <v>575</v>
      </c>
      <c r="E2319" s="20" t="str">
        <f t="shared" si="259"/>
        <v/>
      </c>
      <c r="F2319" s="21" t="str">
        <f>IF(OR(E2319="",E2319="!!!"),"",IF(NOT(ISNA(VLOOKUP(E2319,E$1:E2318,1,FALSE()))),"OLD",IF(AND(E2319&lt;&gt;"",E2319&lt;&gt;"!!!"),"NEW","")))</f>
        <v/>
      </c>
      <c r="G2319" s="22" t="str">
        <f>IF(OR(E2319="",E2319="!!!"),"",IF(OR(J2319=0,AND(J2319=1,K2319=1),AND(J2319=1,I2319="SBJ"),AND(J2319=1,I2319=0)),"?IN_FOCUS",IF(J2319&lt;=2,"?ACTIVATED",IF(J2319&lt;&gt;"","?FAMILIAR",IF(F2319="NEW",IF(ISNA(VLOOKUP(E2319,#REF!,1,FALSE())),"?TYPE_IDENTIFIABLE","?REFERENTIAL"),"_")))))</f>
        <v/>
      </c>
      <c r="H2319" s="23" t="str">
        <f t="shared" ca="1" si="258"/>
        <v/>
      </c>
      <c r="I2319" s="24" t="str">
        <f>IF(OR(E2319="",E2319="!!!",F2319="NEW"),"",INDEX(B$2:B2318,-1+SUMPRODUCT(MAX(ROW(E$2:E2318)*(E2319=E$2:E2318)))))</f>
        <v/>
      </c>
      <c r="J2319" s="24" t="str">
        <f ca="1">IF(OR(E2319="",E2319="!!!",F2319="NEW"),"",COUNTBLANK(OFFSET(A$1,,,SUMPRODUCT(MAX(ROW(E$2:E2319)*(E2319=E$2:E2319)))))-COUNTBLANK(OFFSET(A$1,,,SUMPRODUCT(MAX(ROW(E$1:E2318)*(E2=E$1:E2318))))))</f>
        <v/>
      </c>
      <c r="K2319" s="24" t="str">
        <f>IF(OR(E2319="",E2319="!!!",F2319="NEW"),"",INDEX(J$1:J2318,SUMPRODUCT(MAX(ROW(E$1:E2318)*(E2319=E$1:E2318)))))</f>
        <v/>
      </c>
      <c r="L2319" s="25"/>
    </row>
    <row r="2320" spans="1:12" x14ac:dyDescent="0.2">
      <c r="A2320" t="s">
        <v>1286</v>
      </c>
      <c r="B2320" s="26" t="s">
        <v>938</v>
      </c>
      <c r="C2320" s="26" t="s">
        <v>884</v>
      </c>
      <c r="E2320" s="20" t="str">
        <f t="shared" si="259"/>
        <v/>
      </c>
      <c r="F2320" s="21" t="str">
        <f>IF(OR(E2320="",E2320="!!!"),"",IF(NOT(ISNA(VLOOKUP(E2320,E$1:E2319,1,FALSE()))),"OLD",IF(AND(E2320&lt;&gt;"",E2320&lt;&gt;"!!!"),"NEW","")))</f>
        <v/>
      </c>
      <c r="G2320" s="22" t="str">
        <f>IF(OR(E2320="",E2320="!!!"),"",IF(OR(J2320=0,AND(J2320=1,K2320=1),AND(J2320=1,I2320="SBJ"),AND(J2320=1,I2320=0)),"?IN_FOCUS",IF(J2320&lt;=2,"?ACTIVATED",IF(J2320&lt;&gt;"","?FAMILIAR",IF(F2320="NEW",IF(ISNA(VLOOKUP(E2320,#REF!,1,FALSE())),"?TYPE_IDENTIFIABLE","?REFERENTIAL"),"_")))))</f>
        <v/>
      </c>
      <c r="H2320" s="23" t="str">
        <f t="shared" ca="1" si="258"/>
        <v/>
      </c>
      <c r="I2320" s="24" t="str">
        <f>IF(OR(E2320="",E2320="!!!",F2320="NEW"),"",INDEX(B$2:B2319,-1+SUMPRODUCT(MAX(ROW(E$2:E2319)*(E2320=E$2:E2319)))))</f>
        <v/>
      </c>
      <c r="J2320" s="24" t="str">
        <f ca="1">IF(OR(E2320="",E2320="!!!",F2320="NEW"),"",COUNTBLANK(OFFSET(A$1,,,SUMPRODUCT(MAX(ROW(E$2:E2320)*(E2320=E$2:E2320)))))-COUNTBLANK(OFFSET(A$1,,,SUMPRODUCT(MAX(ROW(E$1:E2319)*(E2=E$1:E2319))))))</f>
        <v/>
      </c>
      <c r="K2320" s="24" t="str">
        <f>IF(OR(E2320="",E2320="!!!",F2320="NEW"),"",INDEX(J$1:J2319,SUMPRODUCT(MAX(ROW(E$1:E2319)*(E2320=E$1:E2319)))))</f>
        <v/>
      </c>
      <c r="L2320" s="25"/>
    </row>
    <row r="2321" spans="1:12" x14ac:dyDescent="0.2">
      <c r="A2321" t="s">
        <v>859</v>
      </c>
      <c r="E2321" s="20" t="str">
        <f t="shared" si="259"/>
        <v/>
      </c>
      <c r="F2321" s="21" t="str">
        <f>IF(OR(E2321="",E2321="!!!"),"",IF(NOT(ISNA(VLOOKUP(E2321,E$1:E2320,1,FALSE()))),"OLD",IF(AND(E2321&lt;&gt;"",E2321&lt;&gt;"!!!"),"NEW","")))</f>
        <v/>
      </c>
      <c r="G2321" s="22" t="str">
        <f>IF(OR(E2321="",E2321="!!!"),"",IF(OR(J2321=0,AND(J2321=1,K2321=1),AND(J2321=1,I2321="SBJ"),AND(J2321=1,I2321=0)),"?IN_FOCUS",IF(J2321&lt;=2,"?ACTIVATED",IF(J2321&lt;&gt;"","?FAMILIAR",IF(F2321="NEW",IF(ISNA(VLOOKUP(E2321,#REF!,1,FALSE())),"?TYPE_IDENTIFIABLE","?REFERENTIAL"),"_")))))</f>
        <v/>
      </c>
      <c r="H2321" s="23" t="str">
        <f t="shared" ca="1" si="258"/>
        <v/>
      </c>
      <c r="I2321" s="24" t="str">
        <f>IF(OR(E2321="",E2321="!!!",F2321="NEW"),"",INDEX(B$2:B2320,-1+SUMPRODUCT(MAX(ROW(E$2:E2320)*(E2321=E$2:E2320)))))</f>
        <v/>
      </c>
      <c r="J2321" s="24" t="str">
        <f ca="1">IF(OR(E2321="",E2321="!!!",F2321="NEW"),"",COUNTBLANK(OFFSET(A$1,,,SUMPRODUCT(MAX(ROW(E$2:E2321)*(E2321=E$2:E2321)))))-COUNTBLANK(OFFSET(A$1,,,SUMPRODUCT(MAX(ROW(E$1:E2320)*(E2=E$1:E2320))))))</f>
        <v/>
      </c>
      <c r="K2321" s="24" t="str">
        <f>IF(OR(E2321="",E2321="!!!",F2321="NEW"),"",INDEX(J$1:J2320,SUMPRODUCT(MAX(ROW(E$1:E2320)*(E2321=E$1:E2320)))))</f>
        <v/>
      </c>
      <c r="L2321" s="25"/>
    </row>
    <row r="2322" spans="1:12" x14ac:dyDescent="0.2">
      <c r="A2322" t="s">
        <v>845</v>
      </c>
      <c r="E2322" s="20" t="str">
        <f t="shared" si="259"/>
        <v/>
      </c>
      <c r="F2322" s="21" t="str">
        <f>IF(OR(E2322="",E2322="!!!"),"",IF(NOT(ISNA(VLOOKUP(E2322,E$1:E2321,1,FALSE()))),"OLD",IF(AND(E2322&lt;&gt;"",E2322&lt;&gt;"!!!"),"NEW","")))</f>
        <v/>
      </c>
      <c r="G2322" s="22" t="str">
        <f>IF(OR(E2322="",E2322="!!!"),"",IF(OR(J2322=0,AND(J2322=1,K2322=1),AND(J2322=1,I2322="SBJ"),AND(J2322=1,I2322=0)),"?IN_FOCUS",IF(J2322&lt;=2,"?ACTIVATED",IF(J2322&lt;&gt;"","?FAMILIAR",IF(F2322="NEW",IF(ISNA(VLOOKUP(E2322,#REF!,1,FALSE())),"?TYPE_IDENTIFIABLE","?REFERENTIAL"),"_")))))</f>
        <v/>
      </c>
      <c r="H2322" s="23" t="str">
        <f t="shared" ca="1" si="258"/>
        <v/>
      </c>
      <c r="I2322" s="24" t="str">
        <f>IF(OR(E2322="",E2322="!!!",F2322="NEW"),"",INDEX(B$2:B2321,-1+SUMPRODUCT(MAX(ROW(E$2:E2321)*(E2322=E$2:E2321)))))</f>
        <v/>
      </c>
      <c r="J2322" s="24" t="str">
        <f ca="1">IF(OR(E2322="",E2322="!!!",F2322="NEW"),"",COUNTBLANK(OFFSET(A$1,,,SUMPRODUCT(MAX(ROW(E$2:E2322)*(E2322=E$2:E2322)))))-COUNTBLANK(OFFSET(A$1,,,SUMPRODUCT(MAX(ROW(E$1:E2321)*(E2=E$1:E2321))))))</f>
        <v/>
      </c>
      <c r="K2322" s="24" t="str">
        <f>IF(OR(E2322="",E2322="!!!",F2322="NEW"),"",INDEX(J$1:J2321,SUMPRODUCT(MAX(ROW(E$1:E2321)*(E2322=E$1:E2321)))))</f>
        <v/>
      </c>
      <c r="L2322" s="25"/>
    </row>
    <row r="2323" spans="1:12" x14ac:dyDescent="0.2">
      <c r="A2323" t="s">
        <v>530</v>
      </c>
      <c r="B2323" s="26" t="s">
        <v>813</v>
      </c>
      <c r="C2323" s="26" t="s">
        <v>847</v>
      </c>
      <c r="D2323" s="26" t="s">
        <v>806</v>
      </c>
      <c r="E2323" s="20" t="s">
        <v>1776</v>
      </c>
      <c r="F2323" s="21" t="str">
        <f>IF(OR(E2323="",E2323="!!!"),"",IF(NOT(ISNA(VLOOKUP(E2323,E$1:E2322,1,FALSE()))),"OLD",IF(AND(E2323&lt;&gt;"",E2323&lt;&gt;"!!!"),"NEW","")))</f>
        <v>OLD</v>
      </c>
      <c r="G2323" s="22" t="s">
        <v>1822</v>
      </c>
      <c r="H2323" s="23" t="str">
        <f t="shared" ca="1" si="258"/>
        <v/>
      </c>
      <c r="I2323" s="24" t="str">
        <f>IF(OR(E2323="",E2323="!!!",F2323="NEW"),"",INDEX(B$2:B2322,-1+SUMPRODUCT(MAX(ROW(E$2:E2322)*(E2323=E$2:E2322)))))</f>
        <v>other</v>
      </c>
      <c r="J2323" s="24">
        <f ca="1">IF(OR(E2323="",E2323="!!!",F2323="NEW"),"",COUNTBLANK(OFFSET(A$1,,,SUMPRODUCT(MAX(ROW(E$2:E2323)*(E2323=E$2:E2323)))))-COUNTBLANK(OFFSET(A$1,,,SUMPRODUCT(MAX(ROW(E$1:E2322)*(E2=E$1:E2322))))))</f>
        <v>0</v>
      </c>
      <c r="K2323" s="24">
        <f ca="1">IF(OR(E2323="",E2323="!!!",F2323="NEW"),"",INDEX(J$1:J2322,SUMPRODUCT(MAX(ROW(E$1:E2322)*(E2323=E$1:E2322)))))</f>
        <v>0</v>
      </c>
      <c r="L2323" s="25"/>
    </row>
    <row r="2324" spans="1:12" x14ac:dyDescent="0.2">
      <c r="A2324" t="s">
        <v>802</v>
      </c>
      <c r="E2324" s="20" t="str">
        <f t="shared" si="259"/>
        <v/>
      </c>
      <c r="F2324" s="21" t="str">
        <f>IF(OR(E2324="",E2324="!!!"),"",IF(NOT(ISNA(VLOOKUP(E2324,E$1:E2323,1,FALSE()))),"OLD",IF(AND(E2324&lt;&gt;"",E2324&lt;&gt;"!!!"),"NEW","")))</f>
        <v/>
      </c>
      <c r="G2324" s="22" t="str">
        <f>IF(OR(E2324="",E2324="!!!"),"",IF(OR(J2324=0,AND(J2324=1,K2324=1),AND(J2324=1,I2324="SBJ"),AND(J2324=1,I2324=0)),"?IN_FOCUS",IF(J2324&lt;=2,"?ACTIVATED",IF(J2324&lt;&gt;"","?FAMILIAR",IF(F2324="NEW",IF(ISNA(VLOOKUP(E2324,#REF!,1,FALSE())),"?TYPE_IDENTIFIABLE","?REFERENTIAL"),"_")))))</f>
        <v/>
      </c>
      <c r="H2324" s="23" t="str">
        <f t="shared" ca="1" si="258"/>
        <v/>
      </c>
      <c r="I2324" s="24" t="str">
        <f>IF(OR(E2324="",E2324="!!!",F2324="NEW"),"",INDEX(B$2:B2323,-1+SUMPRODUCT(MAX(ROW(E$2:E2323)*(E2324=E$2:E2323)))))</f>
        <v/>
      </c>
      <c r="J2324" s="24" t="str">
        <f ca="1">IF(OR(E2324="",E2324="!!!",F2324="NEW"),"",COUNTBLANK(OFFSET(A$1,,,SUMPRODUCT(MAX(ROW(E$2:E2324)*(E2324=E$2:E2324)))))-COUNTBLANK(OFFSET(A$1,,,SUMPRODUCT(MAX(ROW(E$1:E2323)*(E2=E$1:E2323))))))</f>
        <v/>
      </c>
      <c r="K2324" s="24" t="str">
        <f>IF(OR(E2324="",E2324="!!!",F2324="NEW"),"",INDEX(J$1:J2323,SUMPRODUCT(MAX(ROW(E$1:E2323)*(E2324=E$1:E2323)))))</f>
        <v/>
      </c>
      <c r="L2324" s="25"/>
    </row>
    <row r="2325" spans="1:12" x14ac:dyDescent="0.2">
      <c r="A2325" t="s">
        <v>888</v>
      </c>
      <c r="E2325" s="20" t="str">
        <f t="shared" si="259"/>
        <v/>
      </c>
      <c r="F2325" s="21" t="str">
        <f>IF(OR(E2325="",E2325="!!!"),"",IF(NOT(ISNA(VLOOKUP(E2325,E$1:E2324,1,FALSE()))),"OLD",IF(AND(E2325&lt;&gt;"",E2325&lt;&gt;"!!!"),"NEW","")))</f>
        <v/>
      </c>
      <c r="G2325" s="22" t="str">
        <f>IF(OR(E2325="",E2325="!!!"),"",IF(OR(J2325=0,AND(J2325=1,K2325=1),AND(J2325=1,I2325="SBJ"),AND(J2325=1,I2325=0)),"?IN_FOCUS",IF(J2325&lt;=2,"?ACTIVATED",IF(J2325&lt;&gt;"","?FAMILIAR",IF(F2325="NEW",IF(ISNA(VLOOKUP(E2325,#REF!,1,FALSE())),"?TYPE_IDENTIFIABLE","?REFERENTIAL"),"_")))))</f>
        <v/>
      </c>
      <c r="H2325" s="23" t="str">
        <f t="shared" ca="1" si="258"/>
        <v/>
      </c>
      <c r="I2325" s="24" t="str">
        <f>IF(OR(E2325="",E2325="!!!",F2325="NEW"),"",INDEX(B$2:B2324,-1+SUMPRODUCT(MAX(ROW(E$2:E2324)*(E2325=E$2:E2324)))))</f>
        <v/>
      </c>
      <c r="J2325" s="24" t="str">
        <f ca="1">IF(OR(E2325="",E2325="!!!",F2325="NEW"),"",COUNTBLANK(OFFSET(A$1,,,SUMPRODUCT(MAX(ROW(E$2:E2325)*(E2325=E$2:E2325)))))-COUNTBLANK(OFFSET(A$1,,,SUMPRODUCT(MAX(ROW(E$1:E2324)*(E2=E$1:E2324))))))</f>
        <v/>
      </c>
      <c r="K2325" s="24" t="str">
        <f>IF(OR(E2325="",E2325="!!!",F2325="NEW"),"",INDEX(J$1:J2324,SUMPRODUCT(MAX(ROW(E$1:E2324)*(E2325=E$1:E2324)))))</f>
        <v/>
      </c>
      <c r="L2325" s="25"/>
    </row>
    <row r="2326" spans="1:12" x14ac:dyDescent="0.2">
      <c r="A2326" t="s">
        <v>1035</v>
      </c>
      <c r="E2326" s="20" t="str">
        <f t="shared" si="259"/>
        <v/>
      </c>
      <c r="F2326" s="21" t="str">
        <f>IF(OR(E2326="",E2326="!!!"),"",IF(NOT(ISNA(VLOOKUP(E2326,E$1:E2325,1,FALSE()))),"OLD",IF(AND(E2326&lt;&gt;"",E2326&lt;&gt;"!!!"),"NEW","")))</f>
        <v/>
      </c>
      <c r="G2326" s="22" t="str">
        <f>IF(OR(E2326="",E2326="!!!"),"",IF(OR(J2326=0,AND(J2326=1,K2326=1),AND(J2326=1,I2326="SBJ"),AND(J2326=1,I2326=0)),"?IN_FOCUS",IF(J2326&lt;=2,"?ACTIVATED",IF(J2326&lt;&gt;"","?FAMILIAR",IF(F2326="NEW",IF(ISNA(VLOOKUP(E2326,#REF!,1,FALSE())),"?TYPE_IDENTIFIABLE","?REFERENTIAL"),"_")))))</f>
        <v/>
      </c>
      <c r="H2326" s="23" t="str">
        <f t="shared" ca="1" si="258"/>
        <v/>
      </c>
      <c r="I2326" s="24" t="str">
        <f>IF(OR(E2326="",E2326="!!!",F2326="NEW"),"",INDEX(B$2:B2325,-1+SUMPRODUCT(MAX(ROW(E$2:E2325)*(E2326=E$2:E2325)))))</f>
        <v/>
      </c>
      <c r="J2326" s="24" t="str">
        <f ca="1">IF(OR(E2326="",E2326="!!!",F2326="NEW"),"",COUNTBLANK(OFFSET(A$1,,,SUMPRODUCT(MAX(ROW(E$2:E2326)*(E2326=E$2:E2326)))))-COUNTBLANK(OFFSET(A$1,,,SUMPRODUCT(MAX(ROW(E$1:E2325)*(E2=E$1:E2325))))))</f>
        <v/>
      </c>
      <c r="K2326" s="24" t="str">
        <f>IF(OR(E2326="",E2326="!!!",F2326="NEW"),"",INDEX(J$1:J2325,SUMPRODUCT(MAX(ROW(E$1:E2325)*(E2326=E$1:E2325)))))</f>
        <v/>
      </c>
      <c r="L2326" s="25"/>
    </row>
    <row r="2327" spans="1:12" x14ac:dyDescent="0.2">
      <c r="A2327" t="s">
        <v>309</v>
      </c>
      <c r="E2327" s="20" t="str">
        <f t="shared" si="259"/>
        <v/>
      </c>
      <c r="F2327" s="21" t="str">
        <f>IF(OR(E2327="",E2327="!!!"),"",IF(NOT(ISNA(VLOOKUP(E2327,E$1:E2326,1,FALSE()))),"OLD",IF(AND(E2327&lt;&gt;"",E2327&lt;&gt;"!!!"),"NEW","")))</f>
        <v/>
      </c>
      <c r="G2327" s="22" t="str">
        <f>IF(OR(E2327="",E2327="!!!"),"",IF(OR(J2327=0,AND(J2327=1,K2327=1),AND(J2327=1,I2327="SBJ"),AND(J2327=1,I2327=0)),"?IN_FOCUS",IF(J2327&lt;=2,"?ACTIVATED",IF(J2327&lt;&gt;"","?FAMILIAR",IF(F2327="NEW",IF(ISNA(VLOOKUP(E2327,#REF!,1,FALSE())),"?TYPE_IDENTIFIABLE","?REFERENTIAL"),"_")))))</f>
        <v/>
      </c>
      <c r="H2327" s="23" t="str">
        <f t="shared" ca="1" si="258"/>
        <v/>
      </c>
      <c r="I2327" s="24" t="str">
        <f>IF(OR(E2327="",E2327="!!!",F2327="NEW"),"",INDEX(B$2:B2326,-1+SUMPRODUCT(MAX(ROW(E$2:E2326)*(E2327=E$2:E2326)))))</f>
        <v/>
      </c>
      <c r="J2327" s="24" t="str">
        <f ca="1">IF(OR(E2327="",E2327="!!!",F2327="NEW"),"",COUNTBLANK(OFFSET(A$1,,,SUMPRODUCT(MAX(ROW(E$2:E2327)*(E2327=E$2:E2327)))))-COUNTBLANK(OFFSET(A$1,,,SUMPRODUCT(MAX(ROW(E$1:E2326)*(E2=E$1:E2326))))))</f>
        <v/>
      </c>
      <c r="K2327" s="24" t="str">
        <f>IF(OR(E2327="",E2327="!!!",F2327="NEW"),"",INDEX(J$1:J2326,SUMPRODUCT(MAX(ROW(E$1:E2326)*(E2327=E$1:E2326)))))</f>
        <v/>
      </c>
      <c r="L2327" s="25"/>
    </row>
    <row r="2328" spans="1:12" x14ac:dyDescent="0.2">
      <c r="A2328" t="s">
        <v>949</v>
      </c>
      <c r="B2328" s="26" t="s">
        <v>891</v>
      </c>
      <c r="C2328" s="26" t="s">
        <v>805</v>
      </c>
      <c r="D2328" s="26" t="s">
        <v>806</v>
      </c>
      <c r="E2328" s="20" t="s">
        <v>1797</v>
      </c>
      <c r="F2328" s="21" t="str">
        <f>IF(OR(E2328="",E2328="!!!"),"",IF(NOT(ISNA(VLOOKUP(E2328,E$1:E2327,1,FALSE()))),"OLD",IF(AND(E2328&lt;&gt;"",E2328&lt;&gt;"!!!"),"NEW","")))</f>
        <v>OLD</v>
      </c>
      <c r="G2328" s="22" t="s">
        <v>1823</v>
      </c>
      <c r="H2328" s="23" t="str">
        <f t="shared" ca="1" si="258"/>
        <v/>
      </c>
      <c r="I2328" s="24" t="str">
        <f>IF(OR(E2328="",E2328="!!!",F2328="NEW"),"",INDEX(B$2:B2327,-1+SUMPRODUCT(MAX(ROW(E$2:E2327)*(E2328=E$2:E2327)))))</f>
        <v>SBJ_2</v>
      </c>
      <c r="J2328" s="24">
        <f ca="1">IF(OR(E2328="",E2328="!!!",F2328="NEW"),"",COUNTBLANK(OFFSET(A$1,,,SUMPRODUCT(MAX(ROW(E$2:E2328)*(E2328=E$2:E2328)))))-COUNTBLANK(OFFSET(A$1,,,SUMPRODUCT(MAX(ROW(E$1:E2327)*(E2=E$1:E2327))))))</f>
        <v>0</v>
      </c>
      <c r="K2328" s="24">
        <f ca="1">IF(OR(E2328="",E2328="!!!",F2328="NEW"),"",INDEX(J$1:J2327,SUMPRODUCT(MAX(ROW(E$1:E2327)*(E2328=E$1:E2327)))))</f>
        <v>0</v>
      </c>
      <c r="L2328" s="25"/>
    </row>
    <row r="2329" spans="1:12" x14ac:dyDescent="0.2">
      <c r="A2329" t="s">
        <v>562</v>
      </c>
      <c r="E2329" s="20" t="str">
        <f t="shared" si="259"/>
        <v/>
      </c>
      <c r="F2329" s="21" t="str">
        <f>IF(OR(E2329="",E2329="!!!"),"",IF(NOT(ISNA(VLOOKUP(E2329,E$1:E2328,1,FALSE()))),"OLD",IF(AND(E2329&lt;&gt;"",E2329&lt;&gt;"!!!"),"NEW","")))</f>
        <v/>
      </c>
      <c r="G2329" s="22" t="str">
        <f>IF(OR(E2329="",E2329="!!!"),"",IF(OR(J2329=0,AND(J2329=1,K2329=1),AND(J2329=1,I2329="SBJ"),AND(J2329=1,I2329=0)),"?IN_FOCUS",IF(J2329&lt;=2,"?ACTIVATED",IF(J2329&lt;&gt;"","?FAMILIAR",IF(F2329="NEW",IF(ISNA(VLOOKUP(E2329,#REF!,1,FALSE())),"?TYPE_IDENTIFIABLE","?REFERENTIAL"),"_")))))</f>
        <v/>
      </c>
      <c r="H2329" s="23" t="str">
        <f t="shared" ca="1" si="258"/>
        <v/>
      </c>
      <c r="I2329" s="24" t="str">
        <f>IF(OR(E2329="",E2329="!!!",F2329="NEW"),"",INDEX(B$2:B2328,-1+SUMPRODUCT(MAX(ROW(E$2:E2328)*(E2329=E$2:E2328)))))</f>
        <v/>
      </c>
      <c r="J2329" s="24" t="str">
        <f ca="1">IF(OR(E2329="",E2329="!!!",F2329="NEW"),"",COUNTBLANK(OFFSET(A$1,,,SUMPRODUCT(MAX(ROW(E$2:E2329)*(E2329=E$2:E2329)))))-COUNTBLANK(OFFSET(A$1,,,SUMPRODUCT(MAX(ROW(E$1:E2328)*(E2=E$1:E2328))))))</f>
        <v/>
      </c>
      <c r="K2329" s="24" t="str">
        <f>IF(OR(E2329="",E2329="!!!",F2329="NEW"),"",INDEX(J$1:J2328,SUMPRODUCT(MAX(ROW(E$1:E2328)*(E2329=E$1:E2328)))))</f>
        <v/>
      </c>
      <c r="L2329" s="25"/>
    </row>
    <row r="2330" spans="1:12" x14ac:dyDescent="0.2">
      <c r="A2330" t="s">
        <v>575</v>
      </c>
      <c r="E2330" s="20" t="str">
        <f t="shared" si="259"/>
        <v/>
      </c>
      <c r="F2330" s="21" t="str">
        <f>IF(OR(E2330="",E2330="!!!"),"",IF(NOT(ISNA(VLOOKUP(E2330,E$1:E2329,1,FALSE()))),"OLD",IF(AND(E2330&lt;&gt;"",E2330&lt;&gt;"!!!"),"NEW","")))</f>
        <v/>
      </c>
      <c r="G2330" s="22" t="str">
        <f>IF(OR(E2330="",E2330="!!!"),"",IF(OR(J2330=0,AND(J2330=1,K2330=1),AND(J2330=1,I2330="SBJ"),AND(J2330=1,I2330=0)),"?IN_FOCUS",IF(J2330&lt;=2,"?ACTIVATED",IF(J2330&lt;&gt;"","?FAMILIAR",IF(F2330="NEW",IF(ISNA(VLOOKUP(E2330,#REF!,1,FALSE())),"?TYPE_IDENTIFIABLE","?REFERENTIAL"),"_")))))</f>
        <v/>
      </c>
      <c r="H2330" s="23" t="str">
        <f t="shared" ca="1" si="258"/>
        <v/>
      </c>
      <c r="I2330" s="24" t="str">
        <f>IF(OR(E2330="",E2330="!!!",F2330="NEW"),"",INDEX(B$2:B2329,-1+SUMPRODUCT(MAX(ROW(E$2:E2329)*(E2330=E$2:E2329)))))</f>
        <v/>
      </c>
      <c r="J2330" s="24" t="str">
        <f ca="1">IF(OR(E2330="",E2330="!!!",F2330="NEW"),"",COUNTBLANK(OFFSET(A$1,,,SUMPRODUCT(MAX(ROW(E$2:E2330)*(E2330=E$2:E2330)))))-COUNTBLANK(OFFSET(A$1,,,SUMPRODUCT(MAX(ROW(E$1:E2329)*(E2=E$1:E2329))))))</f>
        <v/>
      </c>
      <c r="K2330" s="24" t="str">
        <f>IF(OR(E2330="",E2330="!!!",F2330="NEW"),"",INDEX(J$1:J2329,SUMPRODUCT(MAX(ROW(E$1:E2329)*(E2330=E$1:E2329)))))</f>
        <v/>
      </c>
      <c r="L2330" s="25"/>
    </row>
    <row r="2331" spans="1:12" x14ac:dyDescent="0.2">
      <c r="A2331" t="s">
        <v>1286</v>
      </c>
      <c r="B2331" s="26" t="s">
        <v>871</v>
      </c>
      <c r="C2331" s="26" t="s">
        <v>884</v>
      </c>
      <c r="E2331" s="20" t="str">
        <f t="shared" si="259"/>
        <v/>
      </c>
      <c r="F2331" s="21" t="str">
        <f>IF(OR(E2331="",E2331="!!!"),"",IF(NOT(ISNA(VLOOKUP(E2331,E$1:E2330,1,FALSE()))),"OLD",IF(AND(E2331&lt;&gt;"",E2331&lt;&gt;"!!!"),"NEW","")))</f>
        <v/>
      </c>
      <c r="G2331" s="22" t="str">
        <f>IF(OR(E2331="",E2331="!!!"),"",IF(OR(J2331=0,AND(J2331=1,K2331=1),AND(J2331=1,I2331="SBJ"),AND(J2331=1,I2331=0)),"?IN_FOCUS",IF(J2331&lt;=2,"?ACTIVATED",IF(J2331&lt;&gt;"","?FAMILIAR",IF(F2331="NEW",IF(ISNA(VLOOKUP(E2331,#REF!,1,FALSE())),"?TYPE_IDENTIFIABLE","?REFERENTIAL"),"_")))))</f>
        <v/>
      </c>
      <c r="H2331" s="23" t="str">
        <f t="shared" ca="1" si="258"/>
        <v/>
      </c>
      <c r="I2331" s="24" t="str">
        <f>IF(OR(E2331="",E2331="!!!",F2331="NEW"),"",INDEX(B$2:B2330,-1+SUMPRODUCT(MAX(ROW(E$2:E2330)*(E2331=E$2:E2330)))))</f>
        <v/>
      </c>
      <c r="J2331" s="24" t="str">
        <f ca="1">IF(OR(E2331="",E2331="!!!",F2331="NEW"),"",COUNTBLANK(OFFSET(A$1,,,SUMPRODUCT(MAX(ROW(E$2:E2331)*(E2331=E$2:E2331)))))-COUNTBLANK(OFFSET(A$1,,,SUMPRODUCT(MAX(ROW(E$1:E2330)*(E2=E$1:E2330))))))</f>
        <v/>
      </c>
      <c r="K2331" s="24" t="str">
        <f>IF(OR(E2331="",E2331="!!!",F2331="NEW"),"",INDEX(J$1:J2330,SUMPRODUCT(MAX(ROW(E$1:E2330)*(E2331=E$1:E2330)))))</f>
        <v/>
      </c>
      <c r="L2331" s="25"/>
    </row>
    <row r="2332" spans="1:12" x14ac:dyDescent="0.2">
      <c r="A2332" t="s">
        <v>1263</v>
      </c>
      <c r="E2332" s="20" t="str">
        <f t="shared" si="259"/>
        <v/>
      </c>
      <c r="F2332" s="21" t="str">
        <f>IF(OR(E2332="",E2332="!!!"),"",IF(NOT(ISNA(VLOOKUP(E2332,E$1:E2331,1,FALSE()))),"OLD",IF(AND(E2332&lt;&gt;"",E2332&lt;&gt;"!!!"),"NEW","")))</f>
        <v/>
      </c>
      <c r="G2332" s="22" t="str">
        <f>IF(OR(E2332="",E2332="!!!"),"",IF(OR(J2332=0,AND(J2332=1,K2332=1),AND(J2332=1,I2332="SBJ"),AND(J2332=1,I2332=0)),"?IN_FOCUS",IF(J2332&lt;=2,"?ACTIVATED",IF(J2332&lt;&gt;"","?FAMILIAR",IF(F2332="NEW",IF(ISNA(VLOOKUP(E2332,#REF!,1,FALSE())),"?TYPE_IDENTIFIABLE","?REFERENTIAL"),"_")))))</f>
        <v/>
      </c>
      <c r="H2332" s="23" t="str">
        <f t="shared" ca="1" si="258"/>
        <v/>
      </c>
      <c r="I2332" s="24" t="str">
        <f>IF(OR(E2332="",E2332="!!!",F2332="NEW"),"",INDEX(B$2:B2331,-1+SUMPRODUCT(MAX(ROW(E$2:E2331)*(E2332=E$2:E2331)))))</f>
        <v/>
      </c>
      <c r="J2332" s="24" t="str">
        <f ca="1">IF(OR(E2332="",E2332="!!!",F2332="NEW"),"",COUNTBLANK(OFFSET(A$1,,,SUMPRODUCT(MAX(ROW(E$2:E2332)*(E2332=E$2:E2332)))))-COUNTBLANK(OFFSET(A$1,,,SUMPRODUCT(MAX(ROW(E$1:E2331)*(E2=E$1:E2331))))))</f>
        <v/>
      </c>
      <c r="K2332" s="24" t="str">
        <f>IF(OR(E2332="",E2332="!!!",F2332="NEW"),"",INDEX(J$1:J2331,SUMPRODUCT(MAX(ROW(E$1:E2331)*(E2332=E$1:E2331)))))</f>
        <v/>
      </c>
      <c r="L2332" s="25"/>
    </row>
    <row r="2333" spans="1:12" x14ac:dyDescent="0.2">
      <c r="A2333" t="s">
        <v>894</v>
      </c>
      <c r="E2333" s="20" t="str">
        <f t="shared" si="259"/>
        <v/>
      </c>
      <c r="F2333" s="21" t="str">
        <f>IF(OR(E2333="",E2333="!!!"),"",IF(NOT(ISNA(VLOOKUP(E2333,E$1:E2332,1,FALSE()))),"OLD",IF(AND(E2333&lt;&gt;"",E2333&lt;&gt;"!!!"),"NEW","")))</f>
        <v/>
      </c>
      <c r="G2333" s="22" t="str">
        <f>IF(OR(E2333="",E2333="!!!"),"",IF(OR(J2333=0,AND(J2333=1,K2333=1),AND(J2333=1,I2333="SBJ"),AND(J2333=1,I2333=0)),"?IN_FOCUS",IF(J2333&lt;=2,"?ACTIVATED",IF(J2333&lt;&gt;"","?FAMILIAR",IF(F2333="NEW",IF(ISNA(VLOOKUP(E2333,#REF!,1,FALSE())),"?TYPE_IDENTIFIABLE","?REFERENTIAL"),"_")))))</f>
        <v/>
      </c>
      <c r="H2333" s="23" t="str">
        <f t="shared" ca="1" si="258"/>
        <v/>
      </c>
      <c r="I2333" s="24" t="str">
        <f>IF(OR(E2333="",E2333="!!!",F2333="NEW"),"",INDEX(B$2:B2332,-1+SUMPRODUCT(MAX(ROW(E$2:E2332)*(E2333=E$2:E2332)))))</f>
        <v/>
      </c>
      <c r="J2333" s="24" t="str">
        <f ca="1">IF(OR(E2333="",E2333="!!!",F2333="NEW"),"",COUNTBLANK(OFFSET(A$1,,,SUMPRODUCT(MAX(ROW(E$2:E2333)*(E2333=E$2:E2333)))))-COUNTBLANK(OFFSET(A$1,,,SUMPRODUCT(MAX(ROW(E$1:E2332)*(E2=E$1:E2332))))))</f>
        <v/>
      </c>
      <c r="K2333" s="24" t="str">
        <f>IF(OR(E2333="",E2333="!!!",F2333="NEW"),"",INDEX(J$1:J2332,SUMPRODUCT(MAX(ROW(E$1:E2332)*(E2333=E$1:E2332)))))</f>
        <v/>
      </c>
      <c r="L2333" s="25"/>
    </row>
    <row r="2334" spans="1:12" x14ac:dyDescent="0.2">
      <c r="A2334" t="s">
        <v>1061</v>
      </c>
      <c r="B2334" s="26" t="s">
        <v>864</v>
      </c>
      <c r="C2334" s="26" t="s">
        <v>814</v>
      </c>
      <c r="E2334" s="20" t="str">
        <f t="shared" si="259"/>
        <v/>
      </c>
      <c r="F2334" s="21" t="str">
        <f>IF(OR(E2334="",E2334="!!!"),"",IF(NOT(ISNA(VLOOKUP(E2334,E$1:E2333,1,FALSE()))),"OLD",IF(AND(E2334&lt;&gt;"",E2334&lt;&gt;"!!!"),"NEW","")))</f>
        <v/>
      </c>
      <c r="G2334" s="22" t="str">
        <f>IF(OR(E2334="",E2334="!!!"),"",IF(OR(J2334=0,AND(J2334=1,K2334=1),AND(J2334=1,I2334="SBJ"),AND(J2334=1,I2334=0)),"?IN_FOCUS",IF(J2334&lt;=2,"?ACTIVATED",IF(J2334&lt;&gt;"","?FAMILIAR",IF(F2334="NEW",IF(ISNA(VLOOKUP(E2334,#REF!,1,FALSE())),"?TYPE_IDENTIFIABLE","?REFERENTIAL"),"_")))))</f>
        <v/>
      </c>
      <c r="H2334" s="23" t="str">
        <f t="shared" ca="1" si="258"/>
        <v/>
      </c>
      <c r="I2334" s="24" t="str">
        <f>IF(OR(E2334="",E2334="!!!",F2334="NEW"),"",INDEX(B$2:B2333,-1+SUMPRODUCT(MAX(ROW(E$2:E2333)*(E2334=E$2:E2333)))))</f>
        <v/>
      </c>
      <c r="J2334" s="24" t="str">
        <f ca="1">IF(OR(E2334="",E2334="!!!",F2334="NEW"),"",COUNTBLANK(OFFSET(A$1,,,SUMPRODUCT(MAX(ROW(E$2:E2334)*(E2334=E$2:E2334)))))-COUNTBLANK(OFFSET(A$1,,,SUMPRODUCT(MAX(ROW(E$1:E2333)*(E2=E$1:E2333))))))</f>
        <v/>
      </c>
      <c r="K2334" s="24" t="str">
        <f>IF(OR(E2334="",E2334="!!!",F2334="NEW"),"",INDEX(J$1:J2333,SUMPRODUCT(MAX(ROW(E$1:E2333)*(E2334=E$1:E2333)))))</f>
        <v/>
      </c>
      <c r="L2334" s="25"/>
    </row>
    <row r="2335" spans="1:12" x14ac:dyDescent="0.2">
      <c r="A2335" t="s">
        <v>922</v>
      </c>
      <c r="E2335" s="20" t="str">
        <f t="shared" si="259"/>
        <v/>
      </c>
      <c r="F2335" s="21" t="str">
        <f>IF(OR(E2335="",E2335="!!!"),"",IF(NOT(ISNA(VLOOKUP(E2335,E$1:E2334,1,FALSE()))),"OLD",IF(AND(E2335&lt;&gt;"",E2335&lt;&gt;"!!!"),"NEW","")))</f>
        <v/>
      </c>
      <c r="G2335" s="22" t="str">
        <f>IF(OR(E2335="",E2335="!!!"),"",IF(OR(J2335=0,AND(J2335=1,K2335=1),AND(J2335=1,I2335="SBJ"),AND(J2335=1,I2335=0)),"?IN_FOCUS",IF(J2335&lt;=2,"?ACTIVATED",IF(J2335&lt;&gt;"","?FAMILIAR",IF(F2335="NEW",IF(ISNA(VLOOKUP(E2335,#REF!,1,FALSE())),"?TYPE_IDENTIFIABLE","?REFERENTIAL"),"_")))))</f>
        <v/>
      </c>
      <c r="H2335" s="23" t="str">
        <f t="shared" ca="1" si="258"/>
        <v/>
      </c>
      <c r="I2335" s="24" t="str">
        <f>IF(OR(E2335="",E2335="!!!",F2335="NEW"),"",INDEX(B$2:B2334,-1+SUMPRODUCT(MAX(ROW(E$2:E2334)*(E2335=E$2:E2334)))))</f>
        <v/>
      </c>
      <c r="J2335" s="24" t="str">
        <f ca="1">IF(OR(E2335="",E2335="!!!",F2335="NEW"),"",COUNTBLANK(OFFSET(A$1,,,SUMPRODUCT(MAX(ROW(E$2:E2335)*(E2335=E$2:E2335)))))-COUNTBLANK(OFFSET(A$1,,,SUMPRODUCT(MAX(ROW(E$1:E2334)*(E2=E$1:E2334))))))</f>
        <v/>
      </c>
      <c r="K2335" s="24" t="str">
        <f>IF(OR(E2335="",E2335="!!!",F2335="NEW"),"",INDEX(J$1:J2334,SUMPRODUCT(MAX(ROW(E$1:E2334)*(E2335=E$1:E2334)))))</f>
        <v/>
      </c>
      <c r="L2335" s="25"/>
    </row>
    <row r="2337" spans="1:12" x14ac:dyDescent="0.2">
      <c r="A2337" t="s">
        <v>900</v>
      </c>
      <c r="E2337" s="20" t="str">
        <f>IF(D2337="?OLD","!!!","")</f>
        <v/>
      </c>
      <c r="F2337" s="21" t="str">
        <f>IF(OR(E2337="",E2337="!!!"),"",IF(NOT(ISNA(VLOOKUP(E2337,E$1:E2336,1,FALSE()))),"OLD",IF(AND(E2337&lt;&gt;"",E2337&lt;&gt;"!!!"),"NEW","")))</f>
        <v/>
      </c>
      <c r="G2337" s="22" t="str">
        <f>IF(OR(E2337="",E2337="!!!"),"",IF(OR(J2337=0,AND(J2337=1,K2337=1),AND(J2337=1,I2337="SBJ"),AND(J2337=1,I2337=0)),"?IN_FOCUS",IF(J2337&lt;=2,"?ACTIVATED",IF(J2337&lt;&gt;"","?FAMILIAR",IF(F2337="NEW",IF(ISNA(VLOOKUP(E2337,#REF!,1,FALSE())),"?TYPE_IDENTIFIABLE","?REFERENTIAL"),"_")))))</f>
        <v/>
      </c>
      <c r="H2337" s="23" t="str">
        <f ca="1">IF(J2337&lt;&gt;1,"",IF(I2337="SBJ","CB","?"))</f>
        <v/>
      </c>
      <c r="I2337" s="24" t="str">
        <f>IF(OR(E2337="",E2337="!!!",F2337="NEW"),"",INDEX(B$2:B2336,-1+SUMPRODUCT(MAX(ROW(E$2:E2336)*(E2337=E$2:E2336)))))</f>
        <v/>
      </c>
      <c r="J2337" s="24" t="str">
        <f ca="1">IF(OR(E2337="",E2337="!!!",F2337="NEW"),"",COUNTBLANK(OFFSET(A$1,,,SUMPRODUCT(MAX(ROW(E$2:E2337)*(E2337=E$2:E2337)))))-COUNTBLANK(OFFSET(A$1,,,SUMPRODUCT(MAX(ROW(E$1:E2336)*(E2=E$1:E2336))))))</f>
        <v/>
      </c>
      <c r="K2337" s="24" t="str">
        <f>IF(OR(E2337="",E2337="!!!",F2337="NEW"),"",INDEX(J$1:J2336,SUMPRODUCT(MAX(ROW(E$1:E2336)*(E2337=E$1:E2336)))))</f>
        <v/>
      </c>
      <c r="L2337" s="25"/>
    </row>
    <row r="2338" spans="1:12" x14ac:dyDescent="0.2">
      <c r="A2338" t="s">
        <v>1515</v>
      </c>
    </row>
    <row r="2339" spans="1:12" x14ac:dyDescent="0.2">
      <c r="A2339" t="s">
        <v>1516</v>
      </c>
      <c r="E2339" s="20" t="str">
        <f t="shared" ref="E2339:E2347" si="260">IF(D2339="?OLD","!!!","")</f>
        <v/>
      </c>
      <c r="F2339" s="21" t="str">
        <f>IF(OR(E2339="",E2339="!!!"),"",IF(NOT(ISNA(VLOOKUP(E2339,E$1:E2338,1,FALSE()))),"OLD",IF(AND(E2339&lt;&gt;"",E2339&lt;&gt;"!!!"),"NEW","")))</f>
        <v/>
      </c>
      <c r="G2339" s="22" t="str">
        <f>IF(OR(E2339="",E2339="!!!"),"",IF(OR(J2339=0,AND(J2339=1,K2339=1),AND(J2339=1,I2339="SBJ"),AND(J2339=1,I2339=0)),"?IN_FOCUS",IF(J2339&lt;=2,"?ACTIVATED",IF(J2339&lt;&gt;"","?FAMILIAR",IF(F2339="NEW",IF(ISNA(VLOOKUP(E2339,#REF!,1,FALSE())),"?TYPE_IDENTIFIABLE","?REFERENTIAL"),"_")))))</f>
        <v/>
      </c>
      <c r="H2339" s="23" t="str">
        <f t="shared" ref="H2339:H2347" ca="1" si="261">IF(J2339&lt;&gt;1,"",IF(I2339="SBJ","CB","?"))</f>
        <v/>
      </c>
      <c r="I2339" s="24" t="str">
        <f>IF(OR(E2339="",E2339="!!!",F2339="NEW"),"",INDEX(B$2:B2338,-1+SUMPRODUCT(MAX(ROW(E$2:E2338)*(E2339=E$2:E2338)))))</f>
        <v/>
      </c>
      <c r="J2339" s="24" t="str">
        <f ca="1">IF(OR(E2339="",E2339="!!!",F2339="NEW"),"",COUNTBLANK(OFFSET(A$1,,,SUMPRODUCT(MAX(ROW(E$2:E2339)*(E2339=E$2:E2339)))))-COUNTBLANK(OFFSET(A$1,,,SUMPRODUCT(MAX(ROW(E$1:E2338)*(E2=E$1:E2338))))))</f>
        <v/>
      </c>
      <c r="K2339" s="24" t="str">
        <f>IF(OR(E2339="",E2339="!!!",F2339="NEW"),"",INDEX(J$1:J2338,SUMPRODUCT(MAX(ROW(E$1:E2338)*(E2339=E$1:E2338)))))</f>
        <v/>
      </c>
      <c r="L2339" s="25"/>
    </row>
    <row r="2340" spans="1:12" x14ac:dyDescent="0.2">
      <c r="A2340" t="s">
        <v>949</v>
      </c>
      <c r="B2340" s="26" t="s">
        <v>804</v>
      </c>
      <c r="C2340" s="26" t="s">
        <v>805</v>
      </c>
      <c r="D2340" s="26" t="s">
        <v>806</v>
      </c>
      <c r="E2340" s="20" t="s">
        <v>1797</v>
      </c>
      <c r="F2340" s="21" t="str">
        <f>IF(OR(E2340="",E2340="!!!"),"",IF(NOT(ISNA(VLOOKUP(E2340,E$1:E2339,1,FALSE()))),"OLD",IF(AND(E2340&lt;&gt;"",E2340&lt;&gt;"!!!"),"NEW","")))</f>
        <v>OLD</v>
      </c>
      <c r="G2340" s="22" t="s">
        <v>1823</v>
      </c>
      <c r="H2340" s="23" t="str">
        <f t="shared" ca="1" si="261"/>
        <v/>
      </c>
      <c r="I2340" s="24" t="str">
        <f>IF(OR(E2340="",E2340="!!!",F2340="NEW"),"",INDEX(B$2:B2339,-1+SUMPRODUCT(MAX(ROW(E$2:E2339)*(E2340=E$2:E2339)))))</f>
        <v>SBJ_3</v>
      </c>
      <c r="J2340" s="24">
        <f ca="1">IF(OR(E2340="",E2340="!!!",F2340="NEW"),"",COUNTBLANK(OFFSET(A$1,,,SUMPRODUCT(MAX(ROW(E$2:E2340)*(E2340=E$2:E2340)))))-COUNTBLANK(OFFSET(A$1,,,SUMPRODUCT(MAX(ROW(E$1:E2339)*(E2=E$1:E2339))))))</f>
        <v>0</v>
      </c>
      <c r="K2340" s="24">
        <f ca="1">IF(OR(E2340="",E2340="!!!",F2340="NEW"),"",INDEX(J$1:J2339,SUMPRODUCT(MAX(ROW(E$1:E2339)*(E2340=E$1:E2339)))))</f>
        <v>0</v>
      </c>
      <c r="L2340" s="25"/>
    </row>
    <row r="2341" spans="1:12" x14ac:dyDescent="0.2">
      <c r="A2341" t="s">
        <v>309</v>
      </c>
      <c r="E2341" s="20" t="str">
        <f t="shared" si="260"/>
        <v/>
      </c>
      <c r="F2341" s="21" t="str">
        <f>IF(OR(E2341="",E2341="!!!"),"",IF(NOT(ISNA(VLOOKUP(E2341,E$1:E2340,1,FALSE()))),"OLD",IF(AND(E2341&lt;&gt;"",E2341&lt;&gt;"!!!"),"NEW","")))</f>
        <v/>
      </c>
      <c r="G2341" s="22" t="str">
        <f>IF(OR(E2341="",E2341="!!!"),"",IF(OR(J2341=0,AND(J2341=1,K2341=1),AND(J2341=1,I2341="SBJ"),AND(J2341=1,I2341=0)),"?IN_FOCUS",IF(J2341&lt;=2,"?ACTIVATED",IF(J2341&lt;&gt;"","?FAMILIAR",IF(F2341="NEW",IF(ISNA(VLOOKUP(E2341,#REF!,1,FALSE())),"?TYPE_IDENTIFIABLE","?REFERENTIAL"),"_")))))</f>
        <v/>
      </c>
      <c r="H2341" s="23" t="str">
        <f t="shared" ca="1" si="261"/>
        <v/>
      </c>
      <c r="I2341" s="24" t="str">
        <f>IF(OR(E2341="",E2341="!!!",F2341="NEW"),"",INDEX(B$2:B2340,-1+SUMPRODUCT(MAX(ROW(E$2:E2340)*(E2341=E$2:E2340)))))</f>
        <v/>
      </c>
      <c r="J2341" s="24" t="str">
        <f ca="1">IF(OR(E2341="",E2341="!!!",F2341="NEW"),"",COUNTBLANK(OFFSET(A$1,,,SUMPRODUCT(MAX(ROW(E$2:E2341)*(E2341=E$2:E2341)))))-COUNTBLANK(OFFSET(A$1,,,SUMPRODUCT(MAX(ROW(E$1:E2340)*(E2=E$1:E2340))))))</f>
        <v/>
      </c>
      <c r="K2341" s="24" t="str">
        <f>IF(OR(E2341="",E2341="!!!",F2341="NEW"),"",INDEX(J$1:J2340,SUMPRODUCT(MAX(ROW(E$1:E2340)*(E2341=E$1:E2340)))))</f>
        <v/>
      </c>
      <c r="L2341" s="25"/>
    </row>
    <row r="2342" spans="1:12" x14ac:dyDescent="0.2">
      <c r="A2342" t="s">
        <v>1060</v>
      </c>
      <c r="B2342" s="26" t="s">
        <v>810</v>
      </c>
      <c r="C2342" s="26" t="s">
        <v>987</v>
      </c>
      <c r="D2342" s="26" t="s">
        <v>806</v>
      </c>
      <c r="E2342" s="20" t="s">
        <v>1800</v>
      </c>
      <c r="F2342" s="21" t="str">
        <f>IF(OR(E2342="",E2342="!!!"),"",IF(NOT(ISNA(VLOOKUP(E2342,E$1:E2341,1,FALSE()))),"OLD",IF(AND(E2342&lt;&gt;"",E2342&lt;&gt;"!!!"),"NEW","")))</f>
        <v>NEW</v>
      </c>
      <c r="G2342" s="22" t="s">
        <v>1822</v>
      </c>
      <c r="H2342" s="23" t="str">
        <f t="shared" ca="1" si="261"/>
        <v/>
      </c>
      <c r="I2342" s="24" t="str">
        <f>IF(OR(E2342="",E2342="!!!",F2342="NEW"),"",INDEX(B$2:B2341,-1+SUMPRODUCT(MAX(ROW(E$2:E2341)*(E2342=E$2:E2341)))))</f>
        <v/>
      </c>
      <c r="J2342" s="24" t="str">
        <f ca="1">IF(OR(E2342="",E2342="!!!",F2342="NEW"),"",COUNTBLANK(OFFSET(A$1,,,SUMPRODUCT(MAX(ROW(E$2:E2342)*(E2342=E$2:E2342)))))-COUNTBLANK(OFFSET(A$1,,,SUMPRODUCT(MAX(ROW(E$1:E2341)*(E2=E$1:E2341))))))</f>
        <v/>
      </c>
      <c r="K2342" s="24" t="str">
        <f>IF(OR(E2342="",E2342="!!!",F2342="NEW"),"",INDEX(J$1:J2341,SUMPRODUCT(MAX(ROW(E$1:E2341)*(E2342=E$1:E2341)))))</f>
        <v/>
      </c>
      <c r="L2342" s="25"/>
    </row>
    <row r="2343" spans="1:12" x14ac:dyDescent="0.2">
      <c r="A2343" t="s">
        <v>878</v>
      </c>
      <c r="E2343" s="20" t="str">
        <f t="shared" si="260"/>
        <v/>
      </c>
      <c r="F2343" s="21" t="str">
        <f>IF(OR(E2343="",E2343="!!!"),"",IF(NOT(ISNA(VLOOKUP(E2343,E$1:E2342,1,FALSE()))),"OLD",IF(AND(E2343&lt;&gt;"",E2343&lt;&gt;"!!!"),"NEW","")))</f>
        <v/>
      </c>
      <c r="G2343" s="22" t="str">
        <f>IF(OR(E2343="",E2343="!!!"),"",IF(OR(J2343=0,AND(J2343=1,K2343=1),AND(J2343=1,I2343="SBJ"),AND(J2343=1,I2343=0)),"?IN_FOCUS",IF(J2343&lt;=2,"?ACTIVATED",IF(J2343&lt;&gt;"","?FAMILIAR",IF(F2343="NEW",IF(ISNA(VLOOKUP(E2343,#REF!,1,FALSE())),"?TYPE_IDENTIFIABLE","?REFERENTIAL"),"_")))))</f>
        <v/>
      </c>
      <c r="H2343" s="23" t="str">
        <f t="shared" ca="1" si="261"/>
        <v/>
      </c>
      <c r="I2343" s="24" t="str">
        <f>IF(OR(E2343="",E2343="!!!",F2343="NEW"),"",INDEX(B$2:B2342,-1+SUMPRODUCT(MAX(ROW(E$2:E2342)*(E2343=E$2:E2342)))))</f>
        <v/>
      </c>
      <c r="J2343" s="24" t="str">
        <f ca="1">IF(OR(E2343="",E2343="!!!",F2343="NEW"),"",COUNTBLANK(OFFSET(A$1,,,SUMPRODUCT(MAX(ROW(E$2:E2343)*(E2343=E$2:E2343)))))-COUNTBLANK(OFFSET(A$1,,,SUMPRODUCT(MAX(ROW(E$1:E2342)*(E2=E$1:E2342))))))</f>
        <v/>
      </c>
      <c r="K2343" s="24" t="str">
        <f>IF(OR(E2343="",E2343="!!!",F2343="NEW"),"",INDEX(J$1:J2342,SUMPRODUCT(MAX(ROW(E$1:E2342)*(E2343=E$1:E2342)))))</f>
        <v/>
      </c>
      <c r="L2343" s="25"/>
    </row>
    <row r="2344" spans="1:12" x14ac:dyDescent="0.2">
      <c r="A2344" t="s">
        <v>845</v>
      </c>
      <c r="E2344" s="20" t="str">
        <f t="shared" si="260"/>
        <v/>
      </c>
      <c r="F2344" s="21" t="str">
        <f>IF(OR(E2344="",E2344="!!!"),"",IF(NOT(ISNA(VLOOKUP(E2344,E$1:E2343,1,FALSE()))),"OLD",IF(AND(E2344&lt;&gt;"",E2344&lt;&gt;"!!!"),"NEW","")))</f>
        <v/>
      </c>
      <c r="G2344" s="22" t="str">
        <f>IF(OR(E2344="",E2344="!!!"),"",IF(OR(J2344=0,AND(J2344=1,K2344=1),AND(J2344=1,I2344="SBJ"),AND(J2344=1,I2344=0)),"?IN_FOCUS",IF(J2344&lt;=2,"?ACTIVATED",IF(J2344&lt;&gt;"","?FAMILIAR",IF(F2344="NEW",IF(ISNA(VLOOKUP(E2344,#REF!,1,FALSE())),"?TYPE_IDENTIFIABLE","?REFERENTIAL"),"_")))))</f>
        <v/>
      </c>
      <c r="H2344" s="23" t="str">
        <f t="shared" ca="1" si="261"/>
        <v/>
      </c>
      <c r="I2344" s="24" t="str">
        <f>IF(OR(E2344="",E2344="!!!",F2344="NEW"),"",INDEX(B$2:B2343,-1+SUMPRODUCT(MAX(ROW(E$2:E2343)*(E2344=E$2:E2343)))))</f>
        <v/>
      </c>
      <c r="J2344" s="24" t="str">
        <f ca="1">IF(OR(E2344="",E2344="!!!",F2344="NEW"),"",COUNTBLANK(OFFSET(A$1,,,SUMPRODUCT(MAX(ROW(E$2:E2344)*(E2344=E$2:E2344)))))-COUNTBLANK(OFFSET(A$1,,,SUMPRODUCT(MAX(ROW(E$1:E2343)*(E2=E$1:E2343))))))</f>
        <v/>
      </c>
      <c r="K2344" s="24" t="str">
        <f>IF(OR(E2344="",E2344="!!!",F2344="NEW"),"",INDEX(J$1:J2343,SUMPRODUCT(MAX(ROW(E$1:E2343)*(E2344=E$1:E2343)))))</f>
        <v/>
      </c>
      <c r="L2344" s="25"/>
    </row>
    <row r="2345" spans="1:12" x14ac:dyDescent="0.2">
      <c r="A2345" t="s">
        <v>1517</v>
      </c>
      <c r="B2345" s="26" t="s">
        <v>819</v>
      </c>
      <c r="C2345" s="26" t="s">
        <v>847</v>
      </c>
      <c r="D2345" s="26" t="s">
        <v>806</v>
      </c>
      <c r="E2345" s="20" t="s">
        <v>1801</v>
      </c>
      <c r="F2345" s="21" t="str">
        <f>IF(OR(E2345="",E2345="!!!"),"",IF(NOT(ISNA(VLOOKUP(E2345,E$1:E2344,1,FALSE()))),"OLD",IF(AND(E2345&lt;&gt;"",E2345&lt;&gt;"!!!"),"NEW","")))</f>
        <v>NEW</v>
      </c>
      <c r="G2345" s="22" t="s">
        <v>1824</v>
      </c>
      <c r="H2345" s="23" t="str">
        <f t="shared" ca="1" si="261"/>
        <v/>
      </c>
      <c r="I2345" s="24" t="str">
        <f>IF(OR(E2345="",E2345="!!!",F2345="NEW"),"",INDEX(B$2:B2344,-1+SUMPRODUCT(MAX(ROW(E$2:E2344)*(E2345=E$2:E2344)))))</f>
        <v/>
      </c>
      <c r="J2345" s="24" t="str">
        <f ca="1">IF(OR(E2345="",E2345="!!!",F2345="NEW"),"",COUNTBLANK(OFFSET(A$1,,,SUMPRODUCT(MAX(ROW(E$2:E2345)*(E2345=E$2:E2345)))))-COUNTBLANK(OFFSET(A$1,,,SUMPRODUCT(MAX(ROW(E$1:E2344)*(E2=E$1:E2344))))))</f>
        <v/>
      </c>
      <c r="K2345" s="24" t="str">
        <f>IF(OR(E2345="",E2345="!!!",F2345="NEW"),"",INDEX(J$1:J2344,SUMPRODUCT(MAX(ROW(E$1:E2344)*(E2345=E$1:E2344)))))</f>
        <v/>
      </c>
      <c r="L2345" s="25"/>
    </row>
    <row r="2346" spans="1:12" x14ac:dyDescent="0.2">
      <c r="A2346" t="s">
        <v>922</v>
      </c>
      <c r="E2346" s="20" t="str">
        <f t="shared" si="260"/>
        <v/>
      </c>
      <c r="F2346" s="21" t="str">
        <f>IF(OR(E2346="",E2346="!!!"),"",IF(NOT(ISNA(VLOOKUP(E2346,E$1:E2345,1,FALSE()))),"OLD",IF(AND(E2346&lt;&gt;"",E2346&lt;&gt;"!!!"),"NEW","")))</f>
        <v/>
      </c>
      <c r="G2346" s="22" t="str">
        <f>IF(OR(E2346="",E2346="!!!"),"",IF(OR(J2346=0,AND(J2346=1,K2346=1),AND(J2346=1,I2346="SBJ"),AND(J2346=1,I2346=0)),"?IN_FOCUS",IF(J2346&lt;=2,"?ACTIVATED",IF(J2346&lt;&gt;"","?FAMILIAR",IF(F2346="NEW",IF(ISNA(VLOOKUP(E2346,#REF!,1,FALSE())),"?TYPE_IDENTIFIABLE","?REFERENTIAL"),"_")))))</f>
        <v/>
      </c>
      <c r="H2346" s="23" t="str">
        <f t="shared" ca="1" si="261"/>
        <v/>
      </c>
      <c r="I2346" s="24" t="str">
        <f>IF(OR(E2346="",E2346="!!!",F2346="NEW"),"",INDEX(B$2:B2345,-1+SUMPRODUCT(MAX(ROW(E$2:E2345)*(E2346=E$2:E2345)))))</f>
        <v/>
      </c>
      <c r="J2346" s="24" t="str">
        <f ca="1">IF(OR(E2346="",E2346="!!!",F2346="NEW"),"",COUNTBLANK(OFFSET(A$1,,,SUMPRODUCT(MAX(ROW(E$2:E2346)*(E2346=E$2:E2346)))))-COUNTBLANK(OFFSET(A$1,,,SUMPRODUCT(MAX(ROW(E$1:E2345)*(E2=E$1:E2345))))))</f>
        <v/>
      </c>
      <c r="K2346" s="24" t="str">
        <f>IF(OR(E2346="",E2346="!!!",F2346="NEW"),"",INDEX(J$1:J2345,SUMPRODUCT(MAX(ROW(E$1:E2345)*(E2346=E$1:E2345)))))</f>
        <v/>
      </c>
      <c r="L2346" s="25"/>
    </row>
    <row r="2347" spans="1:12" x14ac:dyDescent="0.2">
      <c r="A2347" t="s">
        <v>902</v>
      </c>
      <c r="E2347" s="20" t="str">
        <f t="shared" si="260"/>
        <v/>
      </c>
      <c r="F2347" s="21" t="str">
        <f>IF(OR(E2347="",E2347="!!!"),"",IF(NOT(ISNA(VLOOKUP(E2347,E$1:E2346,1,FALSE()))),"OLD",IF(AND(E2347&lt;&gt;"",E2347&lt;&gt;"!!!"),"NEW","")))</f>
        <v/>
      </c>
      <c r="G2347" s="22" t="str">
        <f>IF(OR(E2347="",E2347="!!!"),"",IF(OR(J2347=0,AND(J2347=1,K2347=1),AND(J2347=1,I2347="SBJ"),AND(J2347=1,I2347=0)),"?IN_FOCUS",IF(J2347&lt;=2,"?ACTIVATED",IF(J2347&lt;&gt;"","?FAMILIAR",IF(F2347="NEW",IF(ISNA(VLOOKUP(E2347,#REF!,1,FALSE())),"?TYPE_IDENTIFIABLE","?REFERENTIAL"),"_")))))</f>
        <v/>
      </c>
      <c r="H2347" s="23" t="str">
        <f t="shared" ca="1" si="261"/>
        <v/>
      </c>
      <c r="I2347" s="24" t="str">
        <f>IF(OR(E2347="",E2347="!!!",F2347="NEW"),"",INDEX(B$2:B2346,-1+SUMPRODUCT(MAX(ROW(E$2:E2346)*(E2347=E$2:E2346)))))</f>
        <v/>
      </c>
      <c r="J2347" s="24" t="str">
        <f ca="1">IF(OR(E2347="",E2347="!!!",F2347="NEW"),"",COUNTBLANK(OFFSET(A$1,,,SUMPRODUCT(MAX(ROW(E$2:E2347)*(E2347=E$2:E2347)))))-COUNTBLANK(OFFSET(A$1,,,SUMPRODUCT(MAX(ROW(E$1:E2346)*(E2=E$1:E2346))))))</f>
        <v/>
      </c>
      <c r="K2347" s="24" t="str">
        <f>IF(OR(E2347="",E2347="!!!",F2347="NEW"),"",INDEX(J$1:J2346,SUMPRODUCT(MAX(ROW(E$1:E2346)*(E2347=E$1:E2346)))))</f>
        <v/>
      </c>
      <c r="L2347" s="25"/>
    </row>
    <row r="2349" spans="1:12" x14ac:dyDescent="0.2">
      <c r="A2349" t="s">
        <v>1518</v>
      </c>
    </row>
    <row r="2350" spans="1:12" x14ac:dyDescent="0.2">
      <c r="A2350" t="s">
        <v>1073</v>
      </c>
      <c r="B2350" s="26" t="s">
        <v>804</v>
      </c>
      <c r="C2350" s="26" t="s">
        <v>805</v>
      </c>
      <c r="D2350" s="26" t="s">
        <v>806</v>
      </c>
      <c r="E2350" s="20" t="s">
        <v>1175</v>
      </c>
      <c r="F2350" s="21" t="str">
        <f>IF(OR(E2350="",E2350="!!!"),"",IF(NOT(ISNA(VLOOKUP(E2350,E$1:E2349,1,FALSE()))),"OLD",IF(AND(E2350&lt;&gt;"",E2350&lt;&gt;"!!!"),"NEW","")))</f>
        <v>OLD</v>
      </c>
      <c r="G2350" s="22" t="s">
        <v>1823</v>
      </c>
      <c r="H2350" s="23" t="str">
        <f t="shared" ref="H2350:H2363" ca="1" si="262">IF(J2350&lt;&gt;1,"",IF(I2350="SBJ","CB","?"))</f>
        <v/>
      </c>
      <c r="I2350" s="24" t="str">
        <f>IF(OR(E2350="",E2350="!!!",F2350="NEW"),"",INDEX(B$2:B2349,-1+SUMPRODUCT(MAX(ROW(E$2:E2349)*(E2350=E$2:E2349)))))</f>
        <v>other_2</v>
      </c>
      <c r="J2350" s="24">
        <f ca="1">IF(OR(E2350="",E2350="!!!",F2350="NEW"),"",COUNTBLANK(OFFSET(A$1,,,SUMPRODUCT(MAX(ROW(E$2:E2350)*(E2350=E$2:E2350)))))-COUNTBLANK(OFFSET(A$1,,,SUMPRODUCT(MAX(ROW(E$1:E2349)*(E2=E$1:E2349))))))</f>
        <v>0</v>
      </c>
      <c r="K2350" s="24">
        <f ca="1">IF(OR(E2350="",E2350="!!!",F2350="NEW"),"",INDEX(J$1:J2349,SUMPRODUCT(MAX(ROW(E$1:E2349)*(E2350=E$1:E2349)))))</f>
        <v>0</v>
      </c>
      <c r="L2350" s="25"/>
    </row>
    <row r="2351" spans="1:12" x14ac:dyDescent="0.2">
      <c r="A2351" t="s">
        <v>1513</v>
      </c>
      <c r="E2351" s="20" t="str">
        <f t="shared" ref="E2350:E2363" si="263">IF(D2351="?OLD","!!!","")</f>
        <v/>
      </c>
      <c r="F2351" s="21" t="str">
        <f>IF(OR(E2351="",E2351="!!!"),"",IF(NOT(ISNA(VLOOKUP(E2351,E$1:E2350,1,FALSE()))),"OLD",IF(AND(E2351&lt;&gt;"",E2351&lt;&gt;"!!!"),"NEW","")))</f>
        <v/>
      </c>
      <c r="G2351" s="22" t="str">
        <f>IF(OR(E2351="",E2351="!!!"),"",IF(OR(J2351=0,AND(J2351=1,K2351=1),AND(J2351=1,I2351="SBJ"),AND(J2351=1,I2351=0)),"?IN_FOCUS",IF(J2351&lt;=2,"?ACTIVATED",IF(J2351&lt;&gt;"","?FAMILIAR",IF(F2351="NEW",IF(ISNA(VLOOKUP(E2351,#REF!,1,FALSE())),"?TYPE_IDENTIFIABLE","?REFERENTIAL"),"_")))))</f>
        <v/>
      </c>
      <c r="H2351" s="23" t="str">
        <f t="shared" ca="1" si="262"/>
        <v/>
      </c>
      <c r="I2351" s="24" t="str">
        <f>IF(OR(E2351="",E2351="!!!",F2351="NEW"),"",INDEX(B$2:B2350,-1+SUMPRODUCT(MAX(ROW(E$2:E2350)*(E2351=E$2:E2350)))))</f>
        <v/>
      </c>
      <c r="J2351" s="24" t="str">
        <f ca="1">IF(OR(E2351="",E2351="!!!",F2351="NEW"),"",COUNTBLANK(OFFSET(A$1,,,SUMPRODUCT(MAX(ROW(E$2:E2351)*(E2351=E$2:E2351)))))-COUNTBLANK(OFFSET(A$1,,,SUMPRODUCT(MAX(ROW(E$1:E2350)*(E2=E$1:E2350))))))</f>
        <v/>
      </c>
      <c r="K2351" s="24" t="str">
        <f>IF(OR(E2351="",E2351="!!!",F2351="NEW"),"",INDEX(J$1:J2350,SUMPRODUCT(MAX(ROW(E$1:E2350)*(E2351=E$1:E2350)))))</f>
        <v/>
      </c>
      <c r="L2351" s="25"/>
    </row>
    <row r="2352" spans="1:12" x14ac:dyDescent="0.2">
      <c r="A2352" t="s">
        <v>894</v>
      </c>
      <c r="E2352" s="20" t="str">
        <f t="shared" si="263"/>
        <v/>
      </c>
      <c r="F2352" s="21" t="str">
        <f>IF(OR(E2352="",E2352="!!!"),"",IF(NOT(ISNA(VLOOKUP(E2352,E$1:E2351,1,FALSE()))),"OLD",IF(AND(E2352&lt;&gt;"",E2352&lt;&gt;"!!!"),"NEW","")))</f>
        <v/>
      </c>
      <c r="G2352" s="22" t="str">
        <f>IF(OR(E2352="",E2352="!!!"),"",IF(OR(J2352=0,AND(J2352=1,K2352=1),AND(J2352=1,I2352="SBJ"),AND(J2352=1,I2352=0)),"?IN_FOCUS",IF(J2352&lt;=2,"?ACTIVATED",IF(J2352&lt;&gt;"","?FAMILIAR",IF(F2352="NEW",IF(ISNA(VLOOKUP(E2352,#REF!,1,FALSE())),"?TYPE_IDENTIFIABLE","?REFERENTIAL"),"_")))))</f>
        <v/>
      </c>
      <c r="H2352" s="23" t="str">
        <f t="shared" ca="1" si="262"/>
        <v/>
      </c>
      <c r="I2352" s="24" t="str">
        <f>IF(OR(E2352="",E2352="!!!",F2352="NEW"),"",INDEX(B$2:B2351,-1+SUMPRODUCT(MAX(ROW(E$2:E2351)*(E2352=E$2:E2351)))))</f>
        <v/>
      </c>
      <c r="J2352" s="24" t="str">
        <f ca="1">IF(OR(E2352="",E2352="!!!",F2352="NEW"),"",COUNTBLANK(OFFSET(A$1,,,SUMPRODUCT(MAX(ROW(E$2:E2352)*(E2352=E$2:E2352)))))-COUNTBLANK(OFFSET(A$1,,,SUMPRODUCT(MAX(ROW(E$1:E2351)*(E2=E$1:E2351))))))</f>
        <v/>
      </c>
      <c r="K2352" s="24" t="str">
        <f>IF(OR(E2352="",E2352="!!!",F2352="NEW"),"",INDEX(J$1:J2351,SUMPRODUCT(MAX(ROW(E$1:E2351)*(E2352=E$1:E2351)))))</f>
        <v/>
      </c>
      <c r="L2352" s="25"/>
    </row>
    <row r="2353" spans="1:12" x14ac:dyDescent="0.2">
      <c r="A2353" t="s">
        <v>1085</v>
      </c>
      <c r="B2353" s="26" t="s">
        <v>819</v>
      </c>
      <c r="C2353" s="26" t="s">
        <v>805</v>
      </c>
      <c r="D2353" s="26" t="s">
        <v>806</v>
      </c>
      <c r="E2353" s="20" t="s">
        <v>1747</v>
      </c>
      <c r="F2353" s="21" t="str">
        <f>IF(OR(E2353="",E2353="!!!"),"",IF(NOT(ISNA(VLOOKUP(E2353,E$1:E2352,1,FALSE()))),"OLD",IF(AND(E2353&lt;&gt;"",E2353&lt;&gt;"!!!"),"NEW","")))</f>
        <v>OLD</v>
      </c>
      <c r="G2353" s="22" t="s">
        <v>1823</v>
      </c>
      <c r="H2353" s="23" t="str">
        <f t="shared" ca="1" si="262"/>
        <v/>
      </c>
      <c r="I2353" s="24" t="str">
        <f>IF(OR(E2353="",E2353="!!!",F2353="NEW"),"",INDEX(B$2:B2352,-1+SUMPRODUCT(MAX(ROW(E$2:E2352)*(E2353=E$2:E2352)))))</f>
        <v>SBJ</v>
      </c>
      <c r="J2353" s="24">
        <f ca="1">IF(OR(E2353="",E2353="!!!",F2353="NEW"),"",COUNTBLANK(OFFSET(A$1,,,SUMPRODUCT(MAX(ROW(E$2:E2353)*(E2353=E$2:E2353)))))-COUNTBLANK(OFFSET(A$1,,,SUMPRODUCT(MAX(ROW(E$1:E2352)*(E2=E$1:E2352))))))</f>
        <v>0</v>
      </c>
      <c r="K2353" s="24">
        <f ca="1">IF(OR(E2353="",E2353="!!!",F2353="NEW"),"",INDEX(J$1:J2352,SUMPRODUCT(MAX(ROW(E$1:E2352)*(E2353=E$1:E2352)))))</f>
        <v>0</v>
      </c>
      <c r="L2353" s="25"/>
    </row>
    <row r="2354" spans="1:12" x14ac:dyDescent="0.2">
      <c r="A2354" t="s">
        <v>833</v>
      </c>
      <c r="E2354" s="20" t="str">
        <f t="shared" si="263"/>
        <v/>
      </c>
      <c r="F2354" s="21" t="str">
        <f>IF(OR(E2354="",E2354="!!!"),"",IF(NOT(ISNA(VLOOKUP(E2354,E$1:E2353,1,FALSE()))),"OLD",IF(AND(E2354&lt;&gt;"",E2354&lt;&gt;"!!!"),"NEW","")))</f>
        <v/>
      </c>
      <c r="G2354" s="22" t="str">
        <f>IF(OR(E2354="",E2354="!!!"),"",IF(OR(J2354=0,AND(J2354=1,K2354=1),AND(J2354=1,I2354="SBJ"),AND(J2354=1,I2354=0)),"?IN_FOCUS",IF(J2354&lt;=2,"?ACTIVATED",IF(J2354&lt;&gt;"","?FAMILIAR",IF(F2354="NEW",IF(ISNA(VLOOKUP(E2354,#REF!,1,FALSE())),"?TYPE_IDENTIFIABLE","?REFERENTIAL"),"_")))))</f>
        <v/>
      </c>
      <c r="H2354" s="23" t="str">
        <f t="shared" ca="1" si="262"/>
        <v/>
      </c>
      <c r="I2354" s="24" t="str">
        <f>IF(OR(E2354="",E2354="!!!",F2354="NEW"),"",INDEX(B$2:B2353,-1+SUMPRODUCT(MAX(ROW(E$2:E2353)*(E2354=E$2:E2353)))))</f>
        <v/>
      </c>
      <c r="J2354" s="24" t="str">
        <f ca="1">IF(OR(E2354="",E2354="!!!",F2354="NEW"),"",COUNTBLANK(OFFSET(A$1,,,SUMPRODUCT(MAX(ROW(E$2:E2354)*(E2354=E$2:E2354)))))-COUNTBLANK(OFFSET(A$1,,,SUMPRODUCT(MAX(ROW(E$1:E2353)*(E2=E$1:E2353))))))</f>
        <v/>
      </c>
      <c r="K2354" s="24" t="str">
        <f>IF(OR(E2354="",E2354="!!!",F2354="NEW"),"",INDEX(J$1:J2353,SUMPRODUCT(MAX(ROW(E$1:E2353)*(E2354=E$1:E2353)))))</f>
        <v/>
      </c>
      <c r="L2354" s="25"/>
    </row>
    <row r="2355" spans="1:12" x14ac:dyDescent="0.2">
      <c r="A2355" t="s">
        <v>803</v>
      </c>
      <c r="B2355" s="26" t="s">
        <v>950</v>
      </c>
      <c r="C2355" s="26" t="s">
        <v>805</v>
      </c>
      <c r="D2355" s="26" t="s">
        <v>806</v>
      </c>
      <c r="E2355" s="20" t="s">
        <v>1747</v>
      </c>
      <c r="F2355" s="21" t="str">
        <f>IF(OR(E2355="",E2355="!!!"),"",IF(NOT(ISNA(VLOOKUP(E2355,E$1:E2354,1,FALSE()))),"OLD",IF(AND(E2355&lt;&gt;"",E2355&lt;&gt;"!!!"),"NEW","")))</f>
        <v>OLD</v>
      </c>
      <c r="G2355" s="22" t="s">
        <v>1823</v>
      </c>
      <c r="H2355" s="23" t="str">
        <f t="shared" ca="1" si="262"/>
        <v/>
      </c>
      <c r="I2355" s="24" t="str">
        <f>IF(OR(E2355="",E2355="!!!",F2355="NEW"),"",INDEX(B$2:B2354,-1+SUMPRODUCT(MAX(ROW(E$2:E2354)*(E2355=E$2:E2354)))))</f>
        <v>other</v>
      </c>
      <c r="J2355" s="24">
        <f ca="1">IF(OR(E2355="",E2355="!!!",F2355="NEW"),"",COUNTBLANK(OFFSET(A$1,,,SUMPRODUCT(MAX(ROW(E$2:E2355)*(E2355=E$2:E2355)))))-COUNTBLANK(OFFSET(A$1,,,SUMPRODUCT(MAX(ROW(E$1:E2354)*(E2=E$1:E2354))))))</f>
        <v>0</v>
      </c>
      <c r="K2355" s="24">
        <f ca="1">IF(OR(E2355="",E2355="!!!",F2355="NEW"),"",INDEX(J$1:J2354,SUMPRODUCT(MAX(ROW(E$1:E2354)*(E2355=E$1:E2354)))))</f>
        <v>0</v>
      </c>
      <c r="L2355" s="25"/>
    </row>
    <row r="2356" spans="1:12" x14ac:dyDescent="0.2">
      <c r="A2356" t="s">
        <v>1161</v>
      </c>
      <c r="E2356" s="20" t="str">
        <f t="shared" si="263"/>
        <v/>
      </c>
      <c r="F2356" s="21" t="str">
        <f>IF(OR(E2356="",E2356="!!!"),"",IF(NOT(ISNA(VLOOKUP(E2356,E$1:E2355,1,FALSE()))),"OLD",IF(AND(E2356&lt;&gt;"",E2356&lt;&gt;"!!!"),"NEW","")))</f>
        <v/>
      </c>
      <c r="G2356" s="22" t="str">
        <f>IF(OR(E2356="",E2356="!!!"),"",IF(OR(J2356=0,AND(J2356=1,K2356=1),AND(J2356=1,I2356="SBJ"),AND(J2356=1,I2356=0)),"?IN_FOCUS",IF(J2356&lt;=2,"?ACTIVATED",IF(J2356&lt;&gt;"","?FAMILIAR",IF(F2356="NEW",IF(ISNA(VLOOKUP(E2356,#REF!,1,FALSE())),"?TYPE_IDENTIFIABLE","?REFERENTIAL"),"_")))))</f>
        <v/>
      </c>
      <c r="H2356" s="23" t="str">
        <f t="shared" ca="1" si="262"/>
        <v/>
      </c>
      <c r="I2356" s="24" t="str">
        <f>IF(OR(E2356="",E2356="!!!",F2356="NEW"),"",INDEX(B$2:B2355,-1+SUMPRODUCT(MAX(ROW(E$2:E2355)*(E2356=E$2:E2355)))))</f>
        <v/>
      </c>
      <c r="J2356" s="24" t="str">
        <f ca="1">IF(OR(E2356="",E2356="!!!",F2356="NEW"),"",COUNTBLANK(OFFSET(A$1,,,SUMPRODUCT(MAX(ROW(E$2:E2356)*(E2356=E$2:E2356)))))-COUNTBLANK(OFFSET(A$1,,,SUMPRODUCT(MAX(ROW(E$1:E2355)*(E2=E$1:E2355))))))</f>
        <v/>
      </c>
      <c r="K2356" s="24" t="str">
        <f>IF(OR(E2356="",E2356="!!!",F2356="NEW"),"",INDEX(J$1:J2355,SUMPRODUCT(MAX(ROW(E$1:E2355)*(E2356=E$1:E2355)))))</f>
        <v/>
      </c>
      <c r="L2356" s="25"/>
    </row>
    <row r="2357" spans="1:12" x14ac:dyDescent="0.2">
      <c r="A2357" t="s">
        <v>1014</v>
      </c>
      <c r="E2357" s="20" t="str">
        <f t="shared" si="263"/>
        <v/>
      </c>
      <c r="F2357" s="21" t="str">
        <f>IF(OR(E2357="",E2357="!!!"),"",IF(NOT(ISNA(VLOOKUP(E2357,E$1:E2356,1,FALSE()))),"OLD",IF(AND(E2357&lt;&gt;"",E2357&lt;&gt;"!!!"),"NEW","")))</f>
        <v/>
      </c>
      <c r="G2357" s="22" t="str">
        <f>IF(OR(E2357="",E2357="!!!"),"",IF(OR(J2357=0,AND(J2357=1,K2357=1),AND(J2357=1,I2357="SBJ"),AND(J2357=1,I2357=0)),"?IN_FOCUS",IF(J2357&lt;=2,"?ACTIVATED",IF(J2357&lt;&gt;"","?FAMILIAR",IF(F2357="NEW",IF(ISNA(VLOOKUP(E2357,#REF!,1,FALSE())),"?TYPE_IDENTIFIABLE","?REFERENTIAL"),"_")))))</f>
        <v/>
      </c>
      <c r="H2357" s="23" t="str">
        <f t="shared" ca="1" si="262"/>
        <v/>
      </c>
      <c r="I2357" s="24" t="str">
        <f>IF(OR(E2357="",E2357="!!!",F2357="NEW"),"",INDEX(B$2:B2356,-1+SUMPRODUCT(MAX(ROW(E$2:E2356)*(E2357=E$2:E2356)))))</f>
        <v/>
      </c>
      <c r="J2357" s="24" t="str">
        <f ca="1">IF(OR(E2357="",E2357="!!!",F2357="NEW"),"",COUNTBLANK(OFFSET(A$1,,,SUMPRODUCT(MAX(ROW(E$2:E2357)*(E2357=E$2:E2357)))))-COUNTBLANK(OFFSET(A$1,,,SUMPRODUCT(MAX(ROW(E$1:E2356)*(E2=E$1:E2356))))))</f>
        <v/>
      </c>
      <c r="K2357" s="24" t="str">
        <f>IF(OR(E2357="",E2357="!!!",F2357="NEW"),"",INDEX(J$1:J2356,SUMPRODUCT(MAX(ROW(E$1:E2356)*(E2357=E$1:E2356)))))</f>
        <v/>
      </c>
      <c r="L2357" s="25"/>
    </row>
    <row r="2358" spans="1:12" x14ac:dyDescent="0.2">
      <c r="A2358" t="s">
        <v>1519</v>
      </c>
      <c r="E2358" s="20" t="str">
        <f t="shared" si="263"/>
        <v/>
      </c>
      <c r="F2358" s="21" t="str">
        <f>IF(OR(E2358="",E2358="!!!"),"",IF(NOT(ISNA(VLOOKUP(E2358,E$1:E2357,1,FALSE()))),"OLD",IF(AND(E2358&lt;&gt;"",E2358&lt;&gt;"!!!"),"NEW","")))</f>
        <v/>
      </c>
      <c r="G2358" s="22" t="str">
        <f>IF(OR(E2358="",E2358="!!!"),"",IF(OR(J2358=0,AND(J2358=1,K2358=1),AND(J2358=1,I2358="SBJ"),AND(J2358=1,I2358=0)),"?IN_FOCUS",IF(J2358&lt;=2,"?ACTIVATED",IF(J2358&lt;&gt;"","?FAMILIAR",IF(F2358="NEW",IF(ISNA(VLOOKUP(E2358,#REF!,1,FALSE())),"?TYPE_IDENTIFIABLE","?REFERENTIAL"),"_")))))</f>
        <v/>
      </c>
      <c r="H2358" s="23" t="str">
        <f t="shared" ca="1" si="262"/>
        <v/>
      </c>
      <c r="I2358" s="24" t="str">
        <f>IF(OR(E2358="",E2358="!!!",F2358="NEW"),"",INDEX(B$2:B2357,-1+SUMPRODUCT(MAX(ROW(E$2:E2357)*(E2358=E$2:E2357)))))</f>
        <v/>
      </c>
      <c r="J2358" s="24" t="str">
        <f ca="1">IF(OR(E2358="",E2358="!!!",F2358="NEW"),"",COUNTBLANK(OFFSET(A$1,,,SUMPRODUCT(MAX(ROW(E$2:E2358)*(E2358=E$2:E2358)))))-COUNTBLANK(OFFSET(A$1,,,SUMPRODUCT(MAX(ROW(E$1:E2357)*(E2=E$1:E2357))))))</f>
        <v/>
      </c>
      <c r="K2358" s="24" t="str">
        <f>IF(OR(E2358="",E2358="!!!",F2358="NEW"),"",INDEX(J$1:J2357,SUMPRODUCT(MAX(ROW(E$1:E2357)*(E2358=E$1:E2357)))))</f>
        <v/>
      </c>
      <c r="L2358" s="25"/>
    </row>
    <row r="2359" spans="1:12" x14ac:dyDescent="0.2">
      <c r="A2359" t="s">
        <v>809</v>
      </c>
      <c r="E2359" s="20" t="str">
        <f t="shared" si="263"/>
        <v/>
      </c>
      <c r="F2359" s="21" t="str">
        <f>IF(OR(E2359="",E2359="!!!"),"",IF(NOT(ISNA(VLOOKUP(E2359,E$1:E2358,1,FALSE()))),"OLD",IF(AND(E2359&lt;&gt;"",E2359&lt;&gt;"!!!"),"NEW","")))</f>
        <v/>
      </c>
      <c r="G2359" s="22" t="str">
        <f>IF(OR(E2359="",E2359="!!!"),"",IF(OR(J2359=0,AND(J2359=1,K2359=1),AND(J2359=1,I2359="SBJ"),AND(J2359=1,I2359=0)),"?IN_FOCUS",IF(J2359&lt;=2,"?ACTIVATED",IF(J2359&lt;&gt;"","?FAMILIAR",IF(F2359="NEW",IF(ISNA(VLOOKUP(E2359,#REF!,1,FALSE())),"?TYPE_IDENTIFIABLE","?REFERENTIAL"),"_")))))</f>
        <v/>
      </c>
      <c r="H2359" s="23" t="str">
        <f t="shared" ca="1" si="262"/>
        <v/>
      </c>
      <c r="I2359" s="24" t="str">
        <f>IF(OR(E2359="",E2359="!!!",F2359="NEW"),"",INDEX(B$2:B2358,-1+SUMPRODUCT(MAX(ROW(E$2:E2358)*(E2359=E$2:E2358)))))</f>
        <v/>
      </c>
      <c r="J2359" s="24" t="str">
        <f ca="1">IF(OR(E2359="",E2359="!!!",F2359="NEW"),"",COUNTBLANK(OFFSET(A$1,,,SUMPRODUCT(MAX(ROW(E$2:E2359)*(E2359=E$2:E2359)))))-COUNTBLANK(OFFSET(A$1,,,SUMPRODUCT(MAX(ROW(E$1:E2358)*(E2=E$1:E2358))))))</f>
        <v/>
      </c>
      <c r="K2359" s="24" t="str">
        <f>IF(OR(E2359="",E2359="!!!",F2359="NEW"),"",INDEX(J$1:J2358,SUMPRODUCT(MAX(ROW(E$1:E2358)*(E2359=E$1:E2358)))))</f>
        <v/>
      </c>
      <c r="L2359" s="25"/>
    </row>
    <row r="2360" spans="1:12" x14ac:dyDescent="0.2">
      <c r="A2360" t="s">
        <v>1520</v>
      </c>
      <c r="E2360" s="20" t="str">
        <f t="shared" si="263"/>
        <v/>
      </c>
      <c r="F2360" s="21" t="str">
        <f>IF(OR(E2360="",E2360="!!!"),"",IF(NOT(ISNA(VLOOKUP(E2360,E$1:E2359,1,FALSE()))),"OLD",IF(AND(E2360&lt;&gt;"",E2360&lt;&gt;"!!!"),"NEW","")))</f>
        <v/>
      </c>
      <c r="G2360" s="22" t="str">
        <f>IF(OR(E2360="",E2360="!!!"),"",IF(OR(J2360=0,AND(J2360=1,K2360=1),AND(J2360=1,I2360="SBJ"),AND(J2360=1,I2360=0)),"?IN_FOCUS",IF(J2360&lt;=2,"?ACTIVATED",IF(J2360&lt;&gt;"","?FAMILIAR",IF(F2360="NEW",IF(ISNA(VLOOKUP(E2360,#REF!,1,FALSE())),"?TYPE_IDENTIFIABLE","?REFERENTIAL"),"_")))))</f>
        <v/>
      </c>
      <c r="H2360" s="23" t="str">
        <f t="shared" ca="1" si="262"/>
        <v/>
      </c>
      <c r="I2360" s="24" t="str">
        <f>IF(OR(E2360="",E2360="!!!",F2360="NEW"),"",INDEX(B$2:B2359,-1+SUMPRODUCT(MAX(ROW(E$2:E2359)*(E2360=E$2:E2359)))))</f>
        <v/>
      </c>
      <c r="J2360" s="24" t="str">
        <f ca="1">IF(OR(E2360="",E2360="!!!",F2360="NEW"),"",COUNTBLANK(OFFSET(A$1,,,SUMPRODUCT(MAX(ROW(E$2:E2360)*(E2360=E$2:E2360)))))-COUNTBLANK(OFFSET(A$1,,,SUMPRODUCT(MAX(ROW(E$1:E2359)*(E2=E$1:E2359))))))</f>
        <v/>
      </c>
      <c r="K2360" s="24" t="str">
        <f>IF(OR(E2360="",E2360="!!!",F2360="NEW"),"",INDEX(J$1:J2359,SUMPRODUCT(MAX(ROW(E$1:E2359)*(E2360=E$1:E2359)))))</f>
        <v/>
      </c>
      <c r="L2360" s="25"/>
    </row>
    <row r="2361" spans="1:12" x14ac:dyDescent="0.2">
      <c r="A2361" t="s">
        <v>1521</v>
      </c>
      <c r="E2361" s="20" t="str">
        <f t="shared" si="263"/>
        <v/>
      </c>
      <c r="F2361" s="21" t="str">
        <f>IF(OR(E2361="",E2361="!!!"),"",IF(NOT(ISNA(VLOOKUP(E2361,E$1:E2360,1,FALSE()))),"OLD",IF(AND(E2361&lt;&gt;"",E2361&lt;&gt;"!!!"),"NEW","")))</f>
        <v/>
      </c>
      <c r="G2361" s="22" t="str">
        <f>IF(OR(E2361="",E2361="!!!"),"",IF(OR(J2361=0,AND(J2361=1,K2361=1),AND(J2361=1,I2361="SBJ"),AND(J2361=1,I2361=0)),"?IN_FOCUS",IF(J2361&lt;=2,"?ACTIVATED",IF(J2361&lt;&gt;"","?FAMILIAR",IF(F2361="NEW",IF(ISNA(VLOOKUP(E2361,#REF!,1,FALSE())),"?TYPE_IDENTIFIABLE","?REFERENTIAL"),"_")))))</f>
        <v/>
      </c>
      <c r="H2361" s="23" t="str">
        <f t="shared" ca="1" si="262"/>
        <v/>
      </c>
      <c r="I2361" s="24" t="str">
        <f>IF(OR(E2361="",E2361="!!!",F2361="NEW"),"",INDEX(B$2:B2360,-1+SUMPRODUCT(MAX(ROW(E$2:E2360)*(E2361=E$2:E2360)))))</f>
        <v/>
      </c>
      <c r="J2361" s="24" t="str">
        <f ca="1">IF(OR(E2361="",E2361="!!!",F2361="NEW"),"",COUNTBLANK(OFFSET(A$1,,,SUMPRODUCT(MAX(ROW(E$2:E2361)*(E2361=E$2:E2361)))))-COUNTBLANK(OFFSET(A$1,,,SUMPRODUCT(MAX(ROW(E$1:E2360)*(E2=E$1:E2360))))))</f>
        <v/>
      </c>
      <c r="K2361" s="24" t="str">
        <f>IF(OR(E2361="",E2361="!!!",F2361="NEW"),"",INDEX(J$1:J2360,SUMPRODUCT(MAX(ROW(E$1:E2360)*(E2361=E$1:E2360)))))</f>
        <v/>
      </c>
      <c r="L2361" s="25"/>
    </row>
    <row r="2362" spans="1:12" x14ac:dyDescent="0.2">
      <c r="A2362" t="s">
        <v>1522</v>
      </c>
      <c r="B2362" s="26" t="s">
        <v>938</v>
      </c>
      <c r="C2362" s="26" t="s">
        <v>811</v>
      </c>
      <c r="E2362" s="20" t="str">
        <f t="shared" si="263"/>
        <v/>
      </c>
      <c r="F2362" s="21" t="str">
        <f>IF(OR(E2362="",E2362="!!!"),"",IF(NOT(ISNA(VLOOKUP(E2362,E$1:E2361,1,FALSE()))),"OLD",IF(AND(E2362&lt;&gt;"",E2362&lt;&gt;"!!!"),"NEW","")))</f>
        <v/>
      </c>
      <c r="G2362" s="22" t="str">
        <f>IF(OR(E2362="",E2362="!!!"),"",IF(OR(J2362=0,AND(J2362=1,K2362=1),AND(J2362=1,I2362="SBJ"),AND(J2362=1,I2362=0)),"?IN_FOCUS",IF(J2362&lt;=2,"?ACTIVATED",IF(J2362&lt;&gt;"","?FAMILIAR",IF(F2362="NEW",IF(ISNA(VLOOKUP(E2362,#REF!,1,FALSE())),"?TYPE_IDENTIFIABLE","?REFERENTIAL"),"_")))))</f>
        <v/>
      </c>
      <c r="H2362" s="23" t="str">
        <f t="shared" ca="1" si="262"/>
        <v/>
      </c>
      <c r="I2362" s="24" t="str">
        <f>IF(OR(E2362="",E2362="!!!",F2362="NEW"),"",INDEX(B$2:B2361,-1+SUMPRODUCT(MAX(ROW(E$2:E2361)*(E2362=E$2:E2361)))))</f>
        <v/>
      </c>
      <c r="J2362" s="24" t="str">
        <f ca="1">IF(OR(E2362="",E2362="!!!",F2362="NEW"),"",COUNTBLANK(OFFSET(A$1,,,SUMPRODUCT(MAX(ROW(E$2:E2362)*(E2362=E$2:E2362)))))-COUNTBLANK(OFFSET(A$1,,,SUMPRODUCT(MAX(ROW(E$1:E2361)*(E2=E$1:E2361))))))</f>
        <v/>
      </c>
      <c r="K2362" s="24" t="str">
        <f>IF(OR(E2362="",E2362="!!!",F2362="NEW"),"",INDEX(J$1:J2361,SUMPRODUCT(MAX(ROW(E$1:E2361)*(E2362=E$1:E2361)))))</f>
        <v/>
      </c>
      <c r="L2362" s="25"/>
    </row>
    <row r="2363" spans="1:12" x14ac:dyDescent="0.2">
      <c r="A2363" t="s">
        <v>821</v>
      </c>
      <c r="E2363" s="20" t="str">
        <f t="shared" si="263"/>
        <v/>
      </c>
      <c r="F2363" s="21" t="str">
        <f>IF(OR(E2363="",E2363="!!!"),"",IF(NOT(ISNA(VLOOKUP(E2363,E$1:E2362,1,FALSE()))),"OLD",IF(AND(E2363&lt;&gt;"",E2363&lt;&gt;"!!!"),"NEW","")))</f>
        <v/>
      </c>
      <c r="G2363" s="22" t="str">
        <f>IF(OR(E2363="",E2363="!!!"),"",IF(OR(J2363=0,AND(J2363=1,K2363=1),AND(J2363=1,I2363="SBJ"),AND(J2363=1,I2363=0)),"?IN_FOCUS",IF(J2363&lt;=2,"?ACTIVATED",IF(J2363&lt;&gt;"","?FAMILIAR",IF(F2363="NEW",IF(ISNA(VLOOKUP(E2363,#REF!,1,FALSE())),"?TYPE_IDENTIFIABLE","?REFERENTIAL"),"_")))))</f>
        <v/>
      </c>
      <c r="H2363" s="23" t="str">
        <f t="shared" ca="1" si="262"/>
        <v/>
      </c>
      <c r="I2363" s="24" t="str">
        <f>IF(OR(E2363="",E2363="!!!",F2363="NEW"),"",INDEX(B$2:B2362,-1+SUMPRODUCT(MAX(ROW(E$2:E2362)*(E2363=E$2:E2362)))))</f>
        <v/>
      </c>
      <c r="J2363" s="24" t="str">
        <f ca="1">IF(OR(E2363="",E2363="!!!",F2363="NEW"),"",COUNTBLANK(OFFSET(A$1,,,SUMPRODUCT(MAX(ROW(E$2:E2363)*(E2363=E$2:E2363)))))-COUNTBLANK(OFFSET(A$1,,,SUMPRODUCT(MAX(ROW(E$1:E2362)*(E2=E$1:E2362))))))</f>
        <v/>
      </c>
      <c r="K2363" s="24" t="str">
        <f>IF(OR(E2363="",E2363="!!!",F2363="NEW"),"",INDEX(J$1:J2362,SUMPRODUCT(MAX(ROW(E$1:E2362)*(E2363=E$1:E2362)))))</f>
        <v/>
      </c>
      <c r="L2363" s="25"/>
    </row>
    <row r="2365" spans="1:12" x14ac:dyDescent="0.2">
      <c r="A2365" t="s">
        <v>900</v>
      </c>
      <c r="E2365" s="20" t="str">
        <f>IF(D2365="?OLD","!!!","")</f>
        <v/>
      </c>
      <c r="F2365" s="21" t="str">
        <f>IF(OR(E2365="",E2365="!!!"),"",IF(NOT(ISNA(VLOOKUP(E2365,E$1:E2364,1,FALSE()))),"OLD",IF(AND(E2365&lt;&gt;"",E2365&lt;&gt;"!!!"),"NEW","")))</f>
        <v/>
      </c>
      <c r="G2365" s="22" t="str">
        <f>IF(OR(E2365="",E2365="!!!"),"",IF(OR(J2365=0,AND(J2365=1,K2365=1),AND(J2365=1,I2365="SBJ"),AND(J2365=1,I2365=0)),"?IN_FOCUS",IF(J2365&lt;=2,"?ACTIVATED",IF(J2365&lt;&gt;"","?FAMILIAR",IF(F2365="NEW",IF(ISNA(VLOOKUP(E2365,#REF!,1,FALSE())),"?TYPE_IDENTIFIABLE","?REFERENTIAL"),"_")))))</f>
        <v/>
      </c>
      <c r="H2365" s="23" t="str">
        <f ca="1">IF(J2365&lt;&gt;1,"",IF(I2365="SBJ","CB","?"))</f>
        <v/>
      </c>
      <c r="I2365" s="24" t="str">
        <f>IF(OR(E2365="",E2365="!!!",F2365="NEW"),"",INDEX(B$2:B2364,-1+SUMPRODUCT(MAX(ROW(E$2:E2364)*(E2365=E$2:E2364)))))</f>
        <v/>
      </c>
      <c r="J2365" s="24" t="str">
        <f ca="1">IF(OR(E2365="",E2365="!!!",F2365="NEW"),"",COUNTBLANK(OFFSET(A$1,,,SUMPRODUCT(MAX(ROW(E$2:E2365)*(E2365=E$2:E2365)))))-COUNTBLANK(OFFSET(A$1,,,SUMPRODUCT(MAX(ROW(E$1:E2364)*(E2=E$1:E2364))))))</f>
        <v/>
      </c>
      <c r="K2365" s="24" t="str">
        <f>IF(OR(E2365="",E2365="!!!",F2365="NEW"),"",INDEX(J$1:J2364,SUMPRODUCT(MAX(ROW(E$1:E2364)*(E2365=E$1:E2364)))))</f>
        <v/>
      </c>
      <c r="L2365" s="25"/>
    </row>
    <row r="2366" spans="1:12" x14ac:dyDescent="0.2">
      <c r="A2366" t="s">
        <v>1523</v>
      </c>
    </row>
    <row r="2367" spans="1:12" x14ac:dyDescent="0.2">
      <c r="A2367" t="s">
        <v>1073</v>
      </c>
      <c r="B2367" s="26" t="s">
        <v>804</v>
      </c>
      <c r="C2367" s="26" t="s">
        <v>805</v>
      </c>
      <c r="D2367" s="26" t="s">
        <v>806</v>
      </c>
      <c r="E2367" s="20" t="s">
        <v>1175</v>
      </c>
      <c r="F2367" s="21" t="str">
        <f>IF(OR(E2367="",E2367="!!!"),"",IF(NOT(ISNA(VLOOKUP(E2367,E$1:E2366,1,FALSE()))),"OLD",IF(AND(E2367&lt;&gt;"",E2367&lt;&gt;"!!!"),"NEW","")))</f>
        <v>OLD</v>
      </c>
      <c r="G2367" s="22" t="s">
        <v>1823</v>
      </c>
      <c r="H2367" s="23" t="str">
        <f t="shared" ref="H2367:H2382" ca="1" si="264">IF(J2367&lt;&gt;1,"",IF(I2367="SBJ","CB","?"))</f>
        <v/>
      </c>
      <c r="I2367" s="24" t="str">
        <f>IF(OR(E2367="",E2367="!!!",F2367="NEW"),"",INDEX(B$2:B2366,-1+SUMPRODUCT(MAX(ROW(E$2:E2366)*(E2367=E$2:E2366)))))</f>
        <v>SBJ</v>
      </c>
      <c r="J2367" s="24">
        <f ca="1">IF(OR(E2367="",E2367="!!!",F2367="NEW"),"",COUNTBLANK(OFFSET(A$1,,,SUMPRODUCT(MAX(ROW(E$2:E2367)*(E2367=E$2:E2367)))))-COUNTBLANK(OFFSET(A$1,,,SUMPRODUCT(MAX(ROW(E$1:E2366)*(E2=E$1:E2366))))))</f>
        <v>0</v>
      </c>
      <c r="K2367" s="24">
        <f ca="1">IF(OR(E2367="",E2367="!!!",F2367="NEW"),"",INDEX(J$1:J2366,SUMPRODUCT(MAX(ROW(E$1:E2366)*(E2367=E$1:E2366)))))</f>
        <v>0</v>
      </c>
      <c r="L2367" s="25"/>
    </row>
    <row r="2368" spans="1:12" x14ac:dyDescent="0.2">
      <c r="A2368" t="s">
        <v>904</v>
      </c>
      <c r="E2368" s="20" t="str">
        <f t="shared" ref="E2367:E2382" si="265">IF(D2368="?OLD","!!!","")</f>
        <v/>
      </c>
      <c r="F2368" s="21" t="str">
        <f>IF(OR(E2368="",E2368="!!!"),"",IF(NOT(ISNA(VLOOKUP(E2368,E$1:E2367,1,FALSE()))),"OLD",IF(AND(E2368&lt;&gt;"",E2368&lt;&gt;"!!!"),"NEW","")))</f>
        <v/>
      </c>
      <c r="G2368" s="22" t="str">
        <f>IF(OR(E2368="",E2368="!!!"),"",IF(OR(J2368=0,AND(J2368=1,K2368=1),AND(J2368=1,I2368="SBJ"),AND(J2368=1,I2368=0)),"?IN_FOCUS",IF(J2368&lt;=2,"?ACTIVATED",IF(J2368&lt;&gt;"","?FAMILIAR",IF(F2368="NEW",IF(ISNA(VLOOKUP(E2368,#REF!,1,FALSE())),"?TYPE_IDENTIFIABLE","?REFERENTIAL"),"_")))))</f>
        <v/>
      </c>
      <c r="H2368" s="23" t="str">
        <f t="shared" ca="1" si="264"/>
        <v/>
      </c>
      <c r="I2368" s="24" t="str">
        <f>IF(OR(E2368="",E2368="!!!",F2368="NEW"),"",INDEX(B$2:B2367,-1+SUMPRODUCT(MAX(ROW(E$2:E2367)*(E2368=E$2:E2367)))))</f>
        <v/>
      </c>
      <c r="J2368" s="24" t="str">
        <f ca="1">IF(OR(E2368="",E2368="!!!",F2368="NEW"),"",COUNTBLANK(OFFSET(A$1,,,SUMPRODUCT(MAX(ROW(E$2:E2368)*(E2368=E$2:E2368)))))-COUNTBLANK(OFFSET(A$1,,,SUMPRODUCT(MAX(ROW(E$1:E2367)*(E2=E$1:E2367))))))</f>
        <v/>
      </c>
      <c r="K2368" s="24" t="str">
        <f>IF(OR(E2368="",E2368="!!!",F2368="NEW"),"",INDEX(J$1:J2367,SUMPRODUCT(MAX(ROW(E$1:E2367)*(E2368=E$1:E2367)))))</f>
        <v/>
      </c>
      <c r="L2368" s="25"/>
    </row>
    <row r="2369" spans="1:12" x14ac:dyDescent="0.2">
      <c r="A2369" t="s">
        <v>802</v>
      </c>
      <c r="E2369" s="20" t="str">
        <f t="shared" si="265"/>
        <v/>
      </c>
      <c r="F2369" s="21" t="str">
        <f>IF(OR(E2369="",E2369="!!!"),"",IF(NOT(ISNA(VLOOKUP(E2369,E$1:E2368,1,FALSE()))),"OLD",IF(AND(E2369&lt;&gt;"",E2369&lt;&gt;"!!!"),"NEW","")))</f>
        <v/>
      </c>
      <c r="G2369" s="22" t="str">
        <f>IF(OR(E2369="",E2369="!!!"),"",IF(OR(J2369=0,AND(J2369=1,K2369=1),AND(J2369=1,I2369="SBJ"),AND(J2369=1,I2369=0)),"?IN_FOCUS",IF(J2369&lt;=2,"?ACTIVATED",IF(J2369&lt;&gt;"","?FAMILIAR",IF(F2369="NEW",IF(ISNA(VLOOKUP(E2369,#REF!,1,FALSE())),"?TYPE_IDENTIFIABLE","?REFERENTIAL"),"_")))))</f>
        <v/>
      </c>
      <c r="H2369" s="23" t="str">
        <f t="shared" ca="1" si="264"/>
        <v/>
      </c>
      <c r="I2369" s="24" t="str">
        <f>IF(OR(E2369="",E2369="!!!",F2369="NEW"),"",INDEX(B$2:B2368,-1+SUMPRODUCT(MAX(ROW(E$2:E2368)*(E2369=E$2:E2368)))))</f>
        <v/>
      </c>
      <c r="J2369" s="24" t="str">
        <f ca="1">IF(OR(E2369="",E2369="!!!",F2369="NEW"),"",COUNTBLANK(OFFSET(A$1,,,SUMPRODUCT(MAX(ROW(E$2:E2369)*(E2369=E$2:E2369)))))-COUNTBLANK(OFFSET(A$1,,,SUMPRODUCT(MAX(ROW(E$1:E2368)*(E2=E$1:E2368))))))</f>
        <v/>
      </c>
      <c r="K2369" s="24" t="str">
        <f>IF(OR(E2369="",E2369="!!!",F2369="NEW"),"",INDEX(J$1:J2368,SUMPRODUCT(MAX(ROW(E$1:E2368)*(E2369=E$1:E2368)))))</f>
        <v/>
      </c>
      <c r="L2369" s="25"/>
    </row>
    <row r="2370" spans="1:12" x14ac:dyDescent="0.2">
      <c r="A2370" t="s">
        <v>902</v>
      </c>
      <c r="E2370" s="20" t="str">
        <f t="shared" si="265"/>
        <v/>
      </c>
      <c r="F2370" s="21" t="str">
        <f>IF(OR(E2370="",E2370="!!!"),"",IF(NOT(ISNA(VLOOKUP(E2370,E$1:E2369,1,FALSE()))),"OLD",IF(AND(E2370&lt;&gt;"",E2370&lt;&gt;"!!!"),"NEW","")))</f>
        <v/>
      </c>
      <c r="G2370" s="22" t="str">
        <f>IF(OR(E2370="",E2370="!!!"),"",IF(OR(J2370=0,AND(J2370=1,K2370=1),AND(J2370=1,I2370="SBJ"),AND(J2370=1,I2370=0)),"?IN_FOCUS",IF(J2370&lt;=2,"?ACTIVATED",IF(J2370&lt;&gt;"","?FAMILIAR",IF(F2370="NEW",IF(ISNA(VLOOKUP(E2370,#REF!,1,FALSE())),"?TYPE_IDENTIFIABLE","?REFERENTIAL"),"_")))))</f>
        <v/>
      </c>
      <c r="H2370" s="23" t="str">
        <f t="shared" ca="1" si="264"/>
        <v/>
      </c>
      <c r="I2370" s="24" t="str">
        <f>IF(OR(E2370="",E2370="!!!",F2370="NEW"),"",INDEX(B$2:B2369,-1+SUMPRODUCT(MAX(ROW(E$2:E2369)*(E2370=E$2:E2369)))))</f>
        <v/>
      </c>
      <c r="J2370" s="24" t="str">
        <f ca="1">IF(OR(E2370="",E2370="!!!",F2370="NEW"),"",COUNTBLANK(OFFSET(A$1,,,SUMPRODUCT(MAX(ROW(E$2:E2370)*(E2370=E$2:E2370)))))-COUNTBLANK(OFFSET(A$1,,,SUMPRODUCT(MAX(ROW(E$1:E2369)*(E2=E$1:E2369))))))</f>
        <v/>
      </c>
      <c r="K2370" s="24" t="str">
        <f>IF(OR(E2370="",E2370="!!!",F2370="NEW"),"",INDEX(J$1:J2369,SUMPRODUCT(MAX(ROW(E$1:E2369)*(E2370=E$1:E2369)))))</f>
        <v/>
      </c>
      <c r="L2370" s="25"/>
    </row>
    <row r="2371" spans="1:12" x14ac:dyDescent="0.2">
      <c r="A2371" t="s">
        <v>1126</v>
      </c>
      <c r="E2371" s="20" t="str">
        <f t="shared" si="265"/>
        <v/>
      </c>
      <c r="F2371" s="21" t="str">
        <f>IF(OR(E2371="",E2371="!!!"),"",IF(NOT(ISNA(VLOOKUP(E2371,E$1:E2370,1,FALSE()))),"OLD",IF(AND(E2371&lt;&gt;"",E2371&lt;&gt;"!!!"),"NEW","")))</f>
        <v/>
      </c>
      <c r="G2371" s="22" t="str">
        <f>IF(OR(E2371="",E2371="!!!"),"",IF(OR(J2371=0,AND(J2371=1,K2371=1),AND(J2371=1,I2371="SBJ"),AND(J2371=1,I2371=0)),"?IN_FOCUS",IF(J2371&lt;=2,"?ACTIVATED",IF(J2371&lt;&gt;"","?FAMILIAR",IF(F2371="NEW",IF(ISNA(VLOOKUP(E2371,#REF!,1,FALSE())),"?TYPE_IDENTIFIABLE","?REFERENTIAL"),"_")))))</f>
        <v/>
      </c>
      <c r="H2371" s="23" t="str">
        <f t="shared" ca="1" si="264"/>
        <v/>
      </c>
      <c r="I2371" s="24" t="str">
        <f>IF(OR(E2371="",E2371="!!!",F2371="NEW"),"",INDEX(B$2:B2370,-1+SUMPRODUCT(MAX(ROW(E$2:E2370)*(E2371=E$2:E2370)))))</f>
        <v/>
      </c>
      <c r="J2371" s="24" t="str">
        <f ca="1">IF(OR(E2371="",E2371="!!!",F2371="NEW"),"",COUNTBLANK(OFFSET(A$1,,,SUMPRODUCT(MAX(ROW(E$2:E2371)*(E2371=E$2:E2371)))))-COUNTBLANK(OFFSET(A$1,,,SUMPRODUCT(MAX(ROW(E$1:E2370)*(E2=E$1:E2370))))))</f>
        <v/>
      </c>
      <c r="K2371" s="24" t="str">
        <f>IF(OR(E2371="",E2371="!!!",F2371="NEW"),"",INDEX(J$1:J2370,SUMPRODUCT(MAX(ROW(E$1:E2370)*(E2371=E$1:E2370)))))</f>
        <v/>
      </c>
      <c r="L2371" s="25"/>
    </row>
    <row r="2372" spans="1:12" x14ac:dyDescent="0.2">
      <c r="A2372" t="s">
        <v>1082</v>
      </c>
      <c r="E2372" s="20" t="str">
        <f t="shared" si="265"/>
        <v/>
      </c>
      <c r="F2372" s="21" t="str">
        <f>IF(OR(E2372="",E2372="!!!"),"",IF(NOT(ISNA(VLOOKUP(E2372,E$1:E2371,1,FALSE()))),"OLD",IF(AND(E2372&lt;&gt;"",E2372&lt;&gt;"!!!"),"NEW","")))</f>
        <v/>
      </c>
      <c r="G2372" s="22" t="str">
        <f>IF(OR(E2372="",E2372="!!!"),"",IF(OR(J2372=0,AND(J2372=1,K2372=1),AND(J2372=1,I2372="SBJ"),AND(J2372=1,I2372=0)),"?IN_FOCUS",IF(J2372&lt;=2,"?ACTIVATED",IF(J2372&lt;&gt;"","?FAMILIAR",IF(F2372="NEW",IF(ISNA(VLOOKUP(E2372,#REF!,1,FALSE())),"?TYPE_IDENTIFIABLE","?REFERENTIAL"),"_")))))</f>
        <v/>
      </c>
      <c r="H2372" s="23" t="str">
        <f t="shared" ca="1" si="264"/>
        <v/>
      </c>
      <c r="I2372" s="24" t="str">
        <f>IF(OR(E2372="",E2372="!!!",F2372="NEW"),"",INDEX(B$2:B2371,-1+SUMPRODUCT(MAX(ROW(E$2:E2371)*(E2372=E$2:E2371)))))</f>
        <v/>
      </c>
      <c r="J2372" s="24" t="str">
        <f ca="1">IF(OR(E2372="",E2372="!!!",F2372="NEW"),"",COUNTBLANK(OFFSET(A$1,,,SUMPRODUCT(MAX(ROW(E$2:E2372)*(E2372=E$2:E2372)))))-COUNTBLANK(OFFSET(A$1,,,SUMPRODUCT(MAX(ROW(E$1:E2371)*(E2=E$1:E2371))))))</f>
        <v/>
      </c>
      <c r="K2372" s="24" t="str">
        <f>IF(OR(E2372="",E2372="!!!",F2372="NEW"),"",INDEX(J$1:J2371,SUMPRODUCT(MAX(ROW(E$1:E2371)*(E2372=E$1:E2371)))))</f>
        <v/>
      </c>
      <c r="L2372" s="25"/>
    </row>
    <row r="2373" spans="1:12" x14ac:dyDescent="0.2">
      <c r="A2373" t="s">
        <v>949</v>
      </c>
      <c r="B2373" s="26" t="s">
        <v>950</v>
      </c>
      <c r="C2373" s="26" t="s">
        <v>805</v>
      </c>
      <c r="D2373" s="26" t="s">
        <v>806</v>
      </c>
      <c r="E2373" s="20" t="s">
        <v>1797</v>
      </c>
      <c r="F2373" s="21" t="str">
        <f>IF(OR(E2373="",E2373="!!!"),"",IF(NOT(ISNA(VLOOKUP(E2373,E$1:E2372,1,FALSE()))),"OLD",IF(AND(E2373&lt;&gt;"",E2373&lt;&gt;"!!!"),"NEW","")))</f>
        <v>OLD</v>
      </c>
      <c r="G2373" s="22" t="s">
        <v>1823</v>
      </c>
      <c r="H2373" s="23" t="str">
        <f t="shared" ca="1" si="264"/>
        <v/>
      </c>
      <c r="I2373" s="24" t="str">
        <f>IF(OR(E2373="",E2373="!!!",F2373="NEW"),"",INDEX(B$2:B2372,-1+SUMPRODUCT(MAX(ROW(E$2:E2372)*(E2373=E$2:E2372)))))</f>
        <v>SBJ</v>
      </c>
      <c r="J2373" s="24">
        <f ca="1">IF(OR(E2373="",E2373="!!!",F2373="NEW"),"",COUNTBLANK(OFFSET(A$1,,,SUMPRODUCT(MAX(ROW(E$2:E2373)*(E2373=E$2:E2373)))))-COUNTBLANK(OFFSET(A$1,,,SUMPRODUCT(MAX(ROW(E$1:E2372)*(E2=E$1:E2372))))))</f>
        <v>0</v>
      </c>
      <c r="K2373" s="24">
        <f ca="1">IF(OR(E2373="",E2373="!!!",F2373="NEW"),"",INDEX(J$1:J2372,SUMPRODUCT(MAX(ROW(E$1:E2372)*(E2373=E$1:E2372)))))</f>
        <v>0</v>
      </c>
      <c r="L2373" s="25"/>
    </row>
    <row r="2374" spans="1:12" x14ac:dyDescent="0.2">
      <c r="A2374" t="s">
        <v>309</v>
      </c>
      <c r="E2374" s="20" t="str">
        <f t="shared" si="265"/>
        <v/>
      </c>
      <c r="F2374" s="21" t="str">
        <f>IF(OR(E2374="",E2374="!!!"),"",IF(NOT(ISNA(VLOOKUP(E2374,E$1:E2373,1,FALSE()))),"OLD",IF(AND(E2374&lt;&gt;"",E2374&lt;&gt;"!!!"),"NEW","")))</f>
        <v/>
      </c>
      <c r="G2374" s="22" t="str">
        <f>IF(OR(E2374="",E2374="!!!"),"",IF(OR(J2374=0,AND(J2374=1,K2374=1),AND(J2374=1,I2374="SBJ"),AND(J2374=1,I2374=0)),"?IN_FOCUS",IF(J2374&lt;=2,"?ACTIVATED",IF(J2374&lt;&gt;"","?FAMILIAR",IF(F2374="NEW",IF(ISNA(VLOOKUP(E2374,#REF!,1,FALSE())),"?TYPE_IDENTIFIABLE","?REFERENTIAL"),"_")))))</f>
        <v/>
      </c>
      <c r="H2374" s="23" t="str">
        <f t="shared" ca="1" si="264"/>
        <v/>
      </c>
      <c r="I2374" s="24" t="str">
        <f>IF(OR(E2374="",E2374="!!!",F2374="NEW"),"",INDEX(B$2:B2373,-1+SUMPRODUCT(MAX(ROW(E$2:E2373)*(E2374=E$2:E2373)))))</f>
        <v/>
      </c>
      <c r="J2374" s="24" t="str">
        <f ca="1">IF(OR(E2374="",E2374="!!!",F2374="NEW"),"",COUNTBLANK(OFFSET(A$1,,,SUMPRODUCT(MAX(ROW(E$2:E2374)*(E2374=E$2:E2374)))))-COUNTBLANK(OFFSET(A$1,,,SUMPRODUCT(MAX(ROW(E$1:E2373)*(E2=E$1:E2373))))))</f>
        <v/>
      </c>
      <c r="K2374" s="24" t="str">
        <f>IF(OR(E2374="",E2374="!!!",F2374="NEW"),"",INDEX(J$1:J2373,SUMPRODUCT(MAX(ROW(E$1:E2373)*(E2374=E$1:E2373)))))</f>
        <v/>
      </c>
      <c r="L2374" s="25"/>
    </row>
    <row r="2375" spans="1:12" x14ac:dyDescent="0.2">
      <c r="A2375" t="s">
        <v>830</v>
      </c>
      <c r="B2375" s="26" t="s">
        <v>938</v>
      </c>
      <c r="C2375" s="26" t="s">
        <v>805</v>
      </c>
      <c r="D2375" s="26" t="s">
        <v>806</v>
      </c>
      <c r="E2375" s="20" t="s">
        <v>1800</v>
      </c>
      <c r="F2375" s="21" t="str">
        <f>IF(OR(E2375="",E2375="!!!"),"",IF(NOT(ISNA(VLOOKUP(E2375,E$1:E2374,1,FALSE()))),"OLD",IF(AND(E2375&lt;&gt;"",E2375&lt;&gt;"!!!"),"NEW","")))</f>
        <v>OLD</v>
      </c>
      <c r="G2375" s="22" t="s">
        <v>1822</v>
      </c>
      <c r="H2375" s="23" t="str">
        <f t="shared" ca="1" si="264"/>
        <v/>
      </c>
      <c r="I2375" s="24" t="str">
        <f>IF(OR(E2375="",E2375="!!!",F2375="NEW"),"",INDEX(B$2:B2374,-1+SUMPRODUCT(MAX(ROW(E$2:E2374)*(E2375=E$2:E2374)))))</f>
        <v>OBJ</v>
      </c>
      <c r="J2375" s="24">
        <f ca="1">IF(OR(E2375="",E2375="!!!",F2375="NEW"),"",COUNTBLANK(OFFSET(A$1,,,SUMPRODUCT(MAX(ROW(E$2:E2375)*(E2375=E$2:E2375)))))-COUNTBLANK(OFFSET(A$1,,,SUMPRODUCT(MAX(ROW(E$1:E2374)*(E2=E$1:E2374))))))</f>
        <v>0</v>
      </c>
      <c r="K2375" s="24" t="str">
        <f ca="1">IF(OR(E2375="",E2375="!!!",F2375="NEW"),"",INDEX(J$1:J2374,SUMPRODUCT(MAX(ROW(E$1:E2374)*(E2375=E$1:E2374)))))</f>
        <v/>
      </c>
      <c r="L2375" s="25"/>
    </row>
    <row r="2376" spans="1:12" x14ac:dyDescent="0.2">
      <c r="A2376" t="s">
        <v>1127</v>
      </c>
      <c r="E2376" s="20" t="str">
        <f t="shared" si="265"/>
        <v/>
      </c>
      <c r="F2376" s="21" t="str">
        <f>IF(OR(E2376="",E2376="!!!"),"",IF(NOT(ISNA(VLOOKUP(E2376,E$1:E2375,1,FALSE()))),"OLD",IF(AND(E2376&lt;&gt;"",E2376&lt;&gt;"!!!"),"NEW","")))</f>
        <v/>
      </c>
      <c r="G2376" s="22" t="str">
        <f>IF(OR(E2376="",E2376="!!!"),"",IF(OR(J2376=0,AND(J2376=1,K2376=1),AND(J2376=1,I2376="SBJ"),AND(J2376=1,I2376=0)),"?IN_FOCUS",IF(J2376&lt;=2,"?ACTIVATED",IF(J2376&lt;&gt;"","?FAMILIAR",IF(F2376="NEW",IF(ISNA(VLOOKUP(E2376,#REF!,1,FALSE())),"?TYPE_IDENTIFIABLE","?REFERENTIAL"),"_")))))</f>
        <v/>
      </c>
      <c r="H2376" s="23" t="str">
        <f t="shared" ca="1" si="264"/>
        <v/>
      </c>
      <c r="I2376" s="24" t="str">
        <f>IF(OR(E2376="",E2376="!!!",F2376="NEW"),"",INDEX(B$2:B2375,-1+SUMPRODUCT(MAX(ROW(E$2:E2375)*(E2376=E$2:E2375)))))</f>
        <v/>
      </c>
      <c r="J2376" s="24" t="str">
        <f ca="1">IF(OR(E2376="",E2376="!!!",F2376="NEW"),"",COUNTBLANK(OFFSET(A$1,,,SUMPRODUCT(MAX(ROW(E$2:E2376)*(E2376=E$2:E2376)))))-COUNTBLANK(OFFSET(A$1,,,SUMPRODUCT(MAX(ROW(E$1:E2375)*(E2=E$1:E2375))))))</f>
        <v/>
      </c>
      <c r="K2376" s="24" t="str">
        <f>IF(OR(E2376="",E2376="!!!",F2376="NEW"),"",INDEX(J$1:J2375,SUMPRODUCT(MAX(ROW(E$1:E2375)*(E2376=E$1:E2375)))))</f>
        <v/>
      </c>
      <c r="L2376" s="25"/>
    </row>
    <row r="2377" spans="1:12" x14ac:dyDescent="0.2">
      <c r="A2377" t="s">
        <v>845</v>
      </c>
      <c r="E2377" s="20" t="str">
        <f t="shared" si="265"/>
        <v/>
      </c>
      <c r="F2377" s="21" t="str">
        <f>IF(OR(E2377="",E2377="!!!"),"",IF(NOT(ISNA(VLOOKUP(E2377,E$1:E2376,1,FALSE()))),"OLD",IF(AND(E2377&lt;&gt;"",E2377&lt;&gt;"!!!"),"NEW","")))</f>
        <v/>
      </c>
      <c r="G2377" s="22" t="str">
        <f>IF(OR(E2377="",E2377="!!!"),"",IF(OR(J2377=0,AND(J2377=1,K2377=1),AND(J2377=1,I2377="SBJ"),AND(J2377=1,I2377=0)),"?IN_FOCUS",IF(J2377&lt;=2,"?ACTIVATED",IF(J2377&lt;&gt;"","?FAMILIAR",IF(F2377="NEW",IF(ISNA(VLOOKUP(E2377,#REF!,1,FALSE())),"?TYPE_IDENTIFIABLE","?REFERENTIAL"),"_")))))</f>
        <v/>
      </c>
      <c r="H2377" s="23" t="str">
        <f t="shared" ca="1" si="264"/>
        <v/>
      </c>
      <c r="I2377" s="24" t="str">
        <f>IF(OR(E2377="",E2377="!!!",F2377="NEW"),"",INDEX(B$2:B2376,-1+SUMPRODUCT(MAX(ROW(E$2:E2376)*(E2377=E$2:E2376)))))</f>
        <v/>
      </c>
      <c r="J2377" s="24" t="str">
        <f ca="1">IF(OR(E2377="",E2377="!!!",F2377="NEW"),"",COUNTBLANK(OFFSET(A$1,,,SUMPRODUCT(MAX(ROW(E$2:E2377)*(E2377=E$2:E2377)))))-COUNTBLANK(OFFSET(A$1,,,SUMPRODUCT(MAX(ROW(E$1:E2376)*(E2=E$1:E2376))))))</f>
        <v/>
      </c>
      <c r="K2377" s="24" t="str">
        <f>IF(OR(E2377="",E2377="!!!",F2377="NEW"),"",INDEX(J$1:J2376,SUMPRODUCT(MAX(ROW(E$1:E2376)*(E2377=E$1:E2376)))))</f>
        <v/>
      </c>
      <c r="L2377" s="25"/>
    </row>
    <row r="2378" spans="1:12" x14ac:dyDescent="0.2">
      <c r="A2378" t="s">
        <v>1524</v>
      </c>
      <c r="B2378" s="26" t="s">
        <v>864</v>
      </c>
      <c r="C2378" s="26" t="s">
        <v>847</v>
      </c>
      <c r="D2378" s="26" t="s">
        <v>806</v>
      </c>
      <c r="E2378" s="20" t="s">
        <v>1524</v>
      </c>
      <c r="F2378" s="21" t="str">
        <f>IF(OR(E2378="",E2378="!!!"),"",IF(NOT(ISNA(VLOOKUP(E2378,E$1:E2377,1,FALSE()))),"OLD",IF(AND(E2378&lt;&gt;"",E2378&lt;&gt;"!!!"),"NEW","")))</f>
        <v>NEW</v>
      </c>
      <c r="G2378" s="22" t="s">
        <v>1820</v>
      </c>
      <c r="H2378" s="23" t="str">
        <f t="shared" ca="1" si="264"/>
        <v/>
      </c>
      <c r="I2378" s="24" t="str">
        <f>IF(OR(E2378="",E2378="!!!",F2378="NEW"),"",INDEX(B$2:B2377,-1+SUMPRODUCT(MAX(ROW(E$2:E2377)*(E2378=E$2:E2377)))))</f>
        <v/>
      </c>
      <c r="J2378" s="24" t="str">
        <f ca="1">IF(OR(E2378="",E2378="!!!",F2378="NEW"),"",COUNTBLANK(OFFSET(A$1,,,SUMPRODUCT(MAX(ROW(E$2:E2378)*(E2378=E$2:E2378)))))-COUNTBLANK(OFFSET(A$1,,,SUMPRODUCT(MAX(ROW(E$1:E2377)*(E2=E$1:E2377))))))</f>
        <v/>
      </c>
      <c r="K2378" s="24" t="str">
        <f>IF(OR(E2378="",E2378="!!!",F2378="NEW"),"",INDEX(J$1:J2377,SUMPRODUCT(MAX(ROW(E$1:E2377)*(E2378=E$1:E2377)))))</f>
        <v/>
      </c>
      <c r="L2378" s="25"/>
    </row>
    <row r="2379" spans="1:12" x14ac:dyDescent="0.2">
      <c r="A2379" t="s">
        <v>898</v>
      </c>
      <c r="E2379" s="20" t="str">
        <f t="shared" si="265"/>
        <v/>
      </c>
      <c r="F2379" s="21" t="str">
        <f>IF(OR(E2379="",E2379="!!!"),"",IF(NOT(ISNA(VLOOKUP(E2379,E$1:E2378,1,FALSE()))),"OLD",IF(AND(E2379&lt;&gt;"",E2379&lt;&gt;"!!!"),"NEW","")))</f>
        <v/>
      </c>
      <c r="G2379" s="22" t="str">
        <f>IF(OR(E2379="",E2379="!!!"),"",IF(OR(J2379=0,AND(J2379=1,K2379=1),AND(J2379=1,I2379="SBJ"),AND(J2379=1,I2379=0)),"?IN_FOCUS",IF(J2379&lt;=2,"?ACTIVATED",IF(J2379&lt;&gt;"","?FAMILIAR",IF(F2379="NEW",IF(ISNA(VLOOKUP(E2379,#REF!,1,FALSE())),"?TYPE_IDENTIFIABLE","?REFERENTIAL"),"_")))))</f>
        <v/>
      </c>
      <c r="H2379" s="23" t="str">
        <f t="shared" ca="1" si="264"/>
        <v/>
      </c>
      <c r="I2379" s="24" t="str">
        <f>IF(OR(E2379="",E2379="!!!",F2379="NEW"),"",INDEX(B$2:B2378,-1+SUMPRODUCT(MAX(ROW(E$2:E2378)*(E2379=E$2:E2378)))))</f>
        <v/>
      </c>
      <c r="J2379" s="24" t="str">
        <f ca="1">IF(OR(E2379="",E2379="!!!",F2379="NEW"),"",COUNTBLANK(OFFSET(A$1,,,SUMPRODUCT(MAX(ROW(E$2:E2379)*(E2379=E$2:E2379)))))-COUNTBLANK(OFFSET(A$1,,,SUMPRODUCT(MAX(ROW(E$1:E2378)*(E2=E$1:E2378))))))</f>
        <v/>
      </c>
      <c r="K2379" s="24" t="str">
        <f>IF(OR(E2379="",E2379="!!!",F2379="NEW"),"",INDEX(J$1:J2378,SUMPRODUCT(MAX(ROW(E$1:E2378)*(E2379=E$1:E2378)))))</f>
        <v/>
      </c>
      <c r="L2379" s="25"/>
    </row>
    <row r="2380" spans="1:12" x14ac:dyDescent="0.2">
      <c r="A2380" t="s">
        <v>745</v>
      </c>
      <c r="E2380" s="20" t="str">
        <f t="shared" si="265"/>
        <v/>
      </c>
      <c r="F2380" s="21" t="str">
        <f>IF(OR(E2380="",E2380="!!!"),"",IF(NOT(ISNA(VLOOKUP(E2380,E$1:E2379,1,FALSE()))),"OLD",IF(AND(E2380&lt;&gt;"",E2380&lt;&gt;"!!!"),"NEW","")))</f>
        <v/>
      </c>
      <c r="G2380" s="22" t="str">
        <f>IF(OR(E2380="",E2380="!!!"),"",IF(OR(J2380=0,AND(J2380=1,K2380=1),AND(J2380=1,I2380="SBJ"),AND(J2380=1,I2380=0)),"?IN_FOCUS",IF(J2380&lt;=2,"?ACTIVATED",IF(J2380&lt;&gt;"","?FAMILIAR",IF(F2380="NEW",IF(ISNA(VLOOKUP(E2380,#REF!,1,FALSE())),"?TYPE_IDENTIFIABLE","?REFERENTIAL"),"_")))))</f>
        <v/>
      </c>
      <c r="H2380" s="23" t="str">
        <f t="shared" ca="1" si="264"/>
        <v/>
      </c>
      <c r="I2380" s="24" t="str">
        <f>IF(OR(E2380="",E2380="!!!",F2380="NEW"),"",INDEX(B$2:B2379,-1+SUMPRODUCT(MAX(ROW(E$2:E2379)*(E2380=E$2:E2379)))))</f>
        <v/>
      </c>
      <c r="J2380" s="24" t="str">
        <f ca="1">IF(OR(E2380="",E2380="!!!",F2380="NEW"),"",COUNTBLANK(OFFSET(A$1,,,SUMPRODUCT(MAX(ROW(E$2:E2380)*(E2380=E$2:E2380)))))-COUNTBLANK(OFFSET(A$1,,,SUMPRODUCT(MAX(ROW(E$1:E2379)*(E2=E$1:E2379))))))</f>
        <v/>
      </c>
      <c r="K2380" s="24" t="str">
        <f>IF(OR(E2380="",E2380="!!!",F2380="NEW"),"",INDEX(J$1:J2379,SUMPRODUCT(MAX(ROW(E$1:E2379)*(E2380=E$1:E2379)))))</f>
        <v/>
      </c>
      <c r="L2380" s="25"/>
    </row>
    <row r="2381" spans="1:12" x14ac:dyDescent="0.2">
      <c r="A2381" t="s">
        <v>821</v>
      </c>
      <c r="E2381" s="20" t="str">
        <f t="shared" si="265"/>
        <v/>
      </c>
      <c r="F2381" s="21" t="str">
        <f>IF(OR(E2381="",E2381="!!!"),"",IF(NOT(ISNA(VLOOKUP(E2381,E$1:E2380,1,FALSE()))),"OLD",IF(AND(E2381&lt;&gt;"",E2381&lt;&gt;"!!!"),"NEW","")))</f>
        <v/>
      </c>
      <c r="G2381" s="22" t="str">
        <f>IF(OR(E2381="",E2381="!!!"),"",IF(OR(J2381=0,AND(J2381=1,K2381=1),AND(J2381=1,I2381="SBJ"),AND(J2381=1,I2381=0)),"?IN_FOCUS",IF(J2381&lt;=2,"?ACTIVATED",IF(J2381&lt;&gt;"","?FAMILIAR",IF(F2381="NEW",IF(ISNA(VLOOKUP(E2381,#REF!,1,FALSE())),"?TYPE_IDENTIFIABLE","?REFERENTIAL"),"_")))))</f>
        <v/>
      </c>
      <c r="H2381" s="23" t="str">
        <f t="shared" ca="1" si="264"/>
        <v/>
      </c>
      <c r="I2381" s="24" t="str">
        <f>IF(OR(E2381="",E2381="!!!",F2381="NEW"),"",INDEX(B$2:B2380,-1+SUMPRODUCT(MAX(ROW(E$2:E2380)*(E2381=E$2:E2380)))))</f>
        <v/>
      </c>
      <c r="J2381" s="24" t="str">
        <f ca="1">IF(OR(E2381="",E2381="!!!",F2381="NEW"),"",COUNTBLANK(OFFSET(A$1,,,SUMPRODUCT(MAX(ROW(E$2:E2381)*(E2381=E$2:E2381)))))-COUNTBLANK(OFFSET(A$1,,,SUMPRODUCT(MAX(ROW(E$1:E2380)*(E2=E$1:E2380))))))</f>
        <v/>
      </c>
      <c r="K2381" s="24" t="str">
        <f>IF(OR(E2381="",E2381="!!!",F2381="NEW"),"",INDEX(J$1:J2380,SUMPRODUCT(MAX(ROW(E$1:E2380)*(E2381=E$1:E2380)))))</f>
        <v/>
      </c>
      <c r="L2381" s="25"/>
    </row>
    <row r="2382" spans="1:12" x14ac:dyDescent="0.2">
      <c r="A2382" t="s">
        <v>902</v>
      </c>
      <c r="E2382" s="20" t="str">
        <f t="shared" si="265"/>
        <v/>
      </c>
      <c r="F2382" s="21" t="str">
        <f>IF(OR(E2382="",E2382="!!!"),"",IF(NOT(ISNA(VLOOKUP(E2382,E$1:E2381,1,FALSE()))),"OLD",IF(AND(E2382&lt;&gt;"",E2382&lt;&gt;"!!!"),"NEW","")))</f>
        <v/>
      </c>
      <c r="G2382" s="22" t="str">
        <f>IF(OR(E2382="",E2382="!!!"),"",IF(OR(J2382=0,AND(J2382=1,K2382=1),AND(J2382=1,I2382="SBJ"),AND(J2382=1,I2382=0)),"?IN_FOCUS",IF(J2382&lt;=2,"?ACTIVATED",IF(J2382&lt;&gt;"","?FAMILIAR",IF(F2382="NEW",IF(ISNA(VLOOKUP(E2382,#REF!,1,FALSE())),"?TYPE_IDENTIFIABLE","?REFERENTIAL"),"_")))))</f>
        <v/>
      </c>
      <c r="H2382" s="23" t="str">
        <f t="shared" ca="1" si="264"/>
        <v/>
      </c>
      <c r="I2382" s="24" t="str">
        <f>IF(OR(E2382="",E2382="!!!",F2382="NEW"),"",INDEX(B$2:B2381,-1+SUMPRODUCT(MAX(ROW(E$2:E2381)*(E2382=E$2:E2381)))))</f>
        <v/>
      </c>
      <c r="J2382" s="24" t="str">
        <f ca="1">IF(OR(E2382="",E2382="!!!",F2382="NEW"),"",COUNTBLANK(OFFSET(A$1,,,SUMPRODUCT(MAX(ROW(E$2:E2382)*(E2382=E$2:E2382)))))-COUNTBLANK(OFFSET(A$1,,,SUMPRODUCT(MAX(ROW(E$1:E2381)*(E2=E$1:E2381))))))</f>
        <v/>
      </c>
      <c r="K2382" s="24" t="str">
        <f>IF(OR(E2382="",E2382="!!!",F2382="NEW"),"",INDEX(J$1:J2381,SUMPRODUCT(MAX(ROW(E$1:E2381)*(E2382=E$1:E2381)))))</f>
        <v/>
      </c>
      <c r="L2382" s="25"/>
    </row>
    <row r="2384" spans="1:12" x14ac:dyDescent="0.2">
      <c r="A2384" t="s">
        <v>1525</v>
      </c>
    </row>
    <row r="2385" spans="1:12" x14ac:dyDescent="0.2">
      <c r="A2385" t="s">
        <v>803</v>
      </c>
      <c r="B2385" s="26" t="s">
        <v>804</v>
      </c>
      <c r="C2385" s="26" t="s">
        <v>805</v>
      </c>
      <c r="D2385" s="26" t="s">
        <v>806</v>
      </c>
      <c r="E2385" s="20" t="s">
        <v>1747</v>
      </c>
      <c r="F2385" s="21" t="str">
        <f>IF(OR(E2385="",E2385="!!!"),"",IF(NOT(ISNA(VLOOKUP(E2385,E$1:E2384,1,FALSE()))),"OLD",IF(AND(E2385&lt;&gt;"",E2385&lt;&gt;"!!!"),"NEW","")))</f>
        <v>OLD</v>
      </c>
      <c r="G2385" s="22" t="s">
        <v>1823</v>
      </c>
      <c r="H2385" s="23" t="str">
        <f t="shared" ref="H2385:H2421" ca="1" si="266">IF(J2385&lt;&gt;1,"",IF(I2385="SBJ","CB","?"))</f>
        <v/>
      </c>
      <c r="I2385" s="24" t="str">
        <f>IF(OR(E2385="",E2385="!!!",F2385="NEW"),"",INDEX(B$2:B2384,-1+SUMPRODUCT(MAX(ROW(E$2:E2384)*(E2385=E$2:E2384)))))</f>
        <v>SBJ_2</v>
      </c>
      <c r="J2385" s="24">
        <f ca="1">IF(OR(E2385="",E2385="!!!",F2385="NEW"),"",COUNTBLANK(OFFSET(A$1,,,SUMPRODUCT(MAX(ROW(E$2:E2385)*(E2385=E$2:E2385)))))-COUNTBLANK(OFFSET(A$1,,,SUMPRODUCT(MAX(ROW(E$1:E2384)*(E2=E$1:E2384))))))</f>
        <v>0</v>
      </c>
      <c r="K2385" s="24">
        <f ca="1">IF(OR(E2385="",E2385="!!!",F2385="NEW"),"",INDEX(J$1:J2384,SUMPRODUCT(MAX(ROW(E$1:E2384)*(E2385=E$1:E2384)))))</f>
        <v>0</v>
      </c>
      <c r="L2385" s="25"/>
    </row>
    <row r="2386" spans="1:12" x14ac:dyDescent="0.2">
      <c r="A2386" t="s">
        <v>1074</v>
      </c>
      <c r="E2386" s="20" t="str">
        <f t="shared" ref="E2385:E2421" si="267">IF(D2386="?OLD","!!!","")</f>
        <v/>
      </c>
      <c r="F2386" s="21" t="str">
        <f>IF(OR(E2386="",E2386="!!!"),"",IF(NOT(ISNA(VLOOKUP(E2386,E$1:E2385,1,FALSE()))),"OLD",IF(AND(E2386&lt;&gt;"",E2386&lt;&gt;"!!!"),"NEW","")))</f>
        <v/>
      </c>
      <c r="G2386" s="22" t="str">
        <f>IF(OR(E2386="",E2386="!!!"),"",IF(OR(J2386=0,AND(J2386=1,K2386=1),AND(J2386=1,I2386="SBJ"),AND(J2386=1,I2386=0)),"?IN_FOCUS",IF(J2386&lt;=2,"?ACTIVATED",IF(J2386&lt;&gt;"","?FAMILIAR",IF(F2386="NEW",IF(ISNA(VLOOKUP(E2386,#REF!,1,FALSE())),"?TYPE_IDENTIFIABLE","?REFERENTIAL"),"_")))))</f>
        <v/>
      </c>
      <c r="H2386" s="23" t="str">
        <f t="shared" ca="1" si="266"/>
        <v/>
      </c>
      <c r="I2386" s="24" t="str">
        <f>IF(OR(E2386="",E2386="!!!",F2386="NEW"),"",INDEX(B$2:B2385,-1+SUMPRODUCT(MAX(ROW(E$2:E2385)*(E2386=E$2:E2385)))))</f>
        <v/>
      </c>
      <c r="J2386" s="24" t="str">
        <f ca="1">IF(OR(E2386="",E2386="!!!",F2386="NEW"),"",COUNTBLANK(OFFSET(A$1,,,SUMPRODUCT(MAX(ROW(E$2:E2386)*(E2386=E$2:E2386)))))-COUNTBLANK(OFFSET(A$1,,,SUMPRODUCT(MAX(ROW(E$1:E2385)*(E2=E$1:E2385))))))</f>
        <v/>
      </c>
      <c r="K2386" s="24" t="str">
        <f>IF(OR(E2386="",E2386="!!!",F2386="NEW"),"",INDEX(J$1:J2385,SUMPRODUCT(MAX(ROW(E$1:E2385)*(E2386=E$1:E2385)))))</f>
        <v/>
      </c>
      <c r="L2386" s="25"/>
    </row>
    <row r="2387" spans="1:12" x14ac:dyDescent="0.2">
      <c r="A2387" t="s">
        <v>999</v>
      </c>
      <c r="E2387" s="20" t="str">
        <f t="shared" si="267"/>
        <v/>
      </c>
      <c r="F2387" s="21" t="str">
        <f>IF(OR(E2387="",E2387="!!!"),"",IF(NOT(ISNA(VLOOKUP(E2387,E$1:E2386,1,FALSE()))),"OLD",IF(AND(E2387&lt;&gt;"",E2387&lt;&gt;"!!!"),"NEW","")))</f>
        <v/>
      </c>
      <c r="G2387" s="22" t="str">
        <f>IF(OR(E2387="",E2387="!!!"),"",IF(OR(J2387=0,AND(J2387=1,K2387=1),AND(J2387=1,I2387="SBJ"),AND(J2387=1,I2387=0)),"?IN_FOCUS",IF(J2387&lt;=2,"?ACTIVATED",IF(J2387&lt;&gt;"","?FAMILIAR",IF(F2387="NEW",IF(ISNA(VLOOKUP(E2387,#REF!,1,FALSE())),"?TYPE_IDENTIFIABLE","?REFERENTIAL"),"_")))))</f>
        <v/>
      </c>
      <c r="H2387" s="23" t="str">
        <f t="shared" ca="1" si="266"/>
        <v/>
      </c>
      <c r="I2387" s="24" t="str">
        <f>IF(OR(E2387="",E2387="!!!",F2387="NEW"),"",INDEX(B$2:B2386,-1+SUMPRODUCT(MAX(ROW(E$2:E2386)*(E2387=E$2:E2386)))))</f>
        <v/>
      </c>
      <c r="J2387" s="24" t="str">
        <f ca="1">IF(OR(E2387="",E2387="!!!",F2387="NEW"),"",COUNTBLANK(OFFSET(A$1,,,SUMPRODUCT(MAX(ROW(E$2:E2387)*(E2387=E$2:E2387)))))-COUNTBLANK(OFFSET(A$1,,,SUMPRODUCT(MAX(ROW(E$1:E2386)*(E2=E$1:E2386))))))</f>
        <v/>
      </c>
      <c r="K2387" s="24" t="str">
        <f>IF(OR(E2387="",E2387="!!!",F2387="NEW"),"",INDEX(J$1:J2386,SUMPRODUCT(MAX(ROW(E$1:E2386)*(E2387=E$1:E2386)))))</f>
        <v/>
      </c>
      <c r="L2387" s="25"/>
    </row>
    <row r="2388" spans="1:12" x14ac:dyDescent="0.2">
      <c r="A2388" t="s">
        <v>388</v>
      </c>
      <c r="E2388" s="20" t="str">
        <f t="shared" si="267"/>
        <v/>
      </c>
      <c r="F2388" s="21" t="str">
        <f>IF(OR(E2388="",E2388="!!!"),"",IF(NOT(ISNA(VLOOKUP(E2388,E$1:E2387,1,FALSE()))),"OLD",IF(AND(E2388&lt;&gt;"",E2388&lt;&gt;"!!!"),"NEW","")))</f>
        <v/>
      </c>
      <c r="G2388" s="22" t="str">
        <f>IF(OR(E2388="",E2388="!!!"),"",IF(OR(J2388=0,AND(J2388=1,K2388=1),AND(J2388=1,I2388="SBJ"),AND(J2388=1,I2388=0)),"?IN_FOCUS",IF(J2388&lt;=2,"?ACTIVATED",IF(J2388&lt;&gt;"","?FAMILIAR",IF(F2388="NEW",IF(ISNA(VLOOKUP(E2388,#REF!,1,FALSE())),"?TYPE_IDENTIFIABLE","?REFERENTIAL"),"_")))))</f>
        <v/>
      </c>
      <c r="H2388" s="23" t="str">
        <f t="shared" ca="1" si="266"/>
        <v/>
      </c>
      <c r="I2388" s="24" t="str">
        <f>IF(OR(E2388="",E2388="!!!",F2388="NEW"),"",INDEX(B$2:B2387,-1+SUMPRODUCT(MAX(ROW(E$2:E2387)*(E2388=E$2:E2387)))))</f>
        <v/>
      </c>
      <c r="J2388" s="24" t="str">
        <f ca="1">IF(OR(E2388="",E2388="!!!",F2388="NEW"),"",COUNTBLANK(OFFSET(A$1,,,SUMPRODUCT(MAX(ROW(E$2:E2388)*(E2388=E$2:E2388)))))-COUNTBLANK(OFFSET(A$1,,,SUMPRODUCT(MAX(ROW(E$1:E2387)*(E2=E$1:E2387))))))</f>
        <v/>
      </c>
      <c r="K2388" s="24" t="str">
        <f>IF(OR(E2388="",E2388="!!!",F2388="NEW"),"",INDEX(J$1:J2387,SUMPRODUCT(MAX(ROW(E$1:E2387)*(E2388=E$1:E2387)))))</f>
        <v/>
      </c>
      <c r="L2388" s="25"/>
    </row>
    <row r="2389" spans="1:12" x14ac:dyDescent="0.2">
      <c r="A2389" t="s">
        <v>845</v>
      </c>
      <c r="E2389" s="20" t="str">
        <f t="shared" si="267"/>
        <v/>
      </c>
      <c r="F2389" s="21" t="str">
        <f>IF(OR(E2389="",E2389="!!!"),"",IF(NOT(ISNA(VLOOKUP(E2389,E$1:E2388,1,FALSE()))),"OLD",IF(AND(E2389&lt;&gt;"",E2389&lt;&gt;"!!!"),"NEW","")))</f>
        <v/>
      </c>
      <c r="G2389" s="22" t="str">
        <f>IF(OR(E2389="",E2389="!!!"),"",IF(OR(J2389=0,AND(J2389=1,K2389=1),AND(J2389=1,I2389="SBJ"),AND(J2389=1,I2389=0)),"?IN_FOCUS",IF(J2389&lt;=2,"?ACTIVATED",IF(J2389&lt;&gt;"","?FAMILIAR",IF(F2389="NEW",IF(ISNA(VLOOKUP(E2389,#REF!,1,FALSE())),"?TYPE_IDENTIFIABLE","?REFERENTIAL"),"_")))))</f>
        <v/>
      </c>
      <c r="H2389" s="23" t="str">
        <f t="shared" ca="1" si="266"/>
        <v/>
      </c>
      <c r="I2389" s="24" t="str">
        <f>IF(OR(E2389="",E2389="!!!",F2389="NEW"),"",INDEX(B$2:B2388,-1+SUMPRODUCT(MAX(ROW(E$2:E2388)*(E2389=E$2:E2388)))))</f>
        <v/>
      </c>
      <c r="J2389" s="24" t="str">
        <f ca="1">IF(OR(E2389="",E2389="!!!",F2389="NEW"),"",COUNTBLANK(OFFSET(A$1,,,SUMPRODUCT(MAX(ROW(E$2:E2389)*(E2389=E$2:E2389)))))-COUNTBLANK(OFFSET(A$1,,,SUMPRODUCT(MAX(ROW(E$1:E2388)*(E2=E$1:E2388))))))</f>
        <v/>
      </c>
      <c r="K2389" s="24" t="str">
        <f>IF(OR(E2389="",E2389="!!!",F2389="NEW"),"",INDEX(J$1:J2388,SUMPRODUCT(MAX(ROW(E$1:E2388)*(E2389=E$1:E2388)))))</f>
        <v/>
      </c>
      <c r="L2389" s="25"/>
    </row>
    <row r="2390" spans="1:12" x14ac:dyDescent="0.2">
      <c r="A2390" t="s">
        <v>1103</v>
      </c>
      <c r="B2390" s="26" t="s">
        <v>810</v>
      </c>
      <c r="C2390" s="26" t="s">
        <v>820</v>
      </c>
      <c r="D2390" s="26" t="s">
        <v>806</v>
      </c>
      <c r="E2390" s="20" t="s">
        <v>1802</v>
      </c>
      <c r="F2390" s="21" t="str">
        <f>IF(OR(E2390="",E2390="!!!"),"",IF(NOT(ISNA(VLOOKUP(E2390,E$1:E2389,1,FALSE()))),"OLD",IF(AND(E2390&lt;&gt;"",E2390&lt;&gt;"!!!"),"NEW","")))</f>
        <v>NEW</v>
      </c>
      <c r="G2390" s="22" t="s">
        <v>1824</v>
      </c>
      <c r="H2390" s="23" t="str">
        <f t="shared" ca="1" si="266"/>
        <v/>
      </c>
      <c r="I2390" s="24" t="str">
        <f>IF(OR(E2390="",E2390="!!!",F2390="NEW"),"",INDEX(B$2:B2389,-1+SUMPRODUCT(MAX(ROW(E$2:E2389)*(E2390=E$2:E2389)))))</f>
        <v/>
      </c>
      <c r="J2390" s="24" t="str">
        <f ca="1">IF(OR(E2390="",E2390="!!!",F2390="NEW"),"",COUNTBLANK(OFFSET(A$1,,,SUMPRODUCT(MAX(ROW(E$2:E2390)*(E2390=E$2:E2390)))))-COUNTBLANK(OFFSET(A$1,,,SUMPRODUCT(MAX(ROW(E$1:E2389)*(E2=E$1:E2389))))))</f>
        <v/>
      </c>
      <c r="K2390" s="24" t="str">
        <f>IF(OR(E2390="",E2390="!!!",F2390="NEW"),"",INDEX(J$1:J2389,SUMPRODUCT(MAX(ROW(E$1:E2389)*(E2390=E$1:E2389)))))</f>
        <v/>
      </c>
      <c r="L2390" s="25"/>
    </row>
    <row r="2391" spans="1:12" x14ac:dyDescent="0.2">
      <c r="A2391" t="s">
        <v>812</v>
      </c>
      <c r="E2391" s="20" t="str">
        <f t="shared" si="267"/>
        <v/>
      </c>
      <c r="F2391" s="21" t="str">
        <f>IF(OR(E2391="",E2391="!!!"),"",IF(NOT(ISNA(VLOOKUP(E2391,E$1:E2390,1,FALSE()))),"OLD",IF(AND(E2391&lt;&gt;"",E2391&lt;&gt;"!!!"),"NEW","")))</f>
        <v/>
      </c>
      <c r="G2391" s="22" t="str">
        <f>IF(OR(E2391="",E2391="!!!"),"",IF(OR(J2391=0,AND(J2391=1,K2391=1),AND(J2391=1,I2391="SBJ"),AND(J2391=1,I2391=0)),"?IN_FOCUS",IF(J2391&lt;=2,"?ACTIVATED",IF(J2391&lt;&gt;"","?FAMILIAR",IF(F2391="NEW",IF(ISNA(VLOOKUP(E2391,#REF!,1,FALSE())),"?TYPE_IDENTIFIABLE","?REFERENTIAL"),"_")))))</f>
        <v/>
      </c>
      <c r="H2391" s="23" t="str">
        <f t="shared" ca="1" si="266"/>
        <v/>
      </c>
      <c r="I2391" s="24" t="str">
        <f>IF(OR(E2391="",E2391="!!!",F2391="NEW"),"",INDEX(B$2:B2390,-1+SUMPRODUCT(MAX(ROW(E$2:E2390)*(E2391=E$2:E2390)))))</f>
        <v/>
      </c>
      <c r="J2391" s="24" t="str">
        <f ca="1">IF(OR(E2391="",E2391="!!!",F2391="NEW"),"",COUNTBLANK(OFFSET(A$1,,,SUMPRODUCT(MAX(ROW(E$2:E2391)*(E2391=E$2:E2391)))))-COUNTBLANK(OFFSET(A$1,,,SUMPRODUCT(MAX(ROW(E$1:E2390)*(E2=E$1:E2390))))))</f>
        <v/>
      </c>
      <c r="K2391" s="24" t="str">
        <f>IF(OR(E2391="",E2391="!!!",F2391="NEW"),"",INDEX(J$1:J2390,SUMPRODUCT(MAX(ROW(E$1:E2390)*(E2391=E$1:E2390)))))</f>
        <v/>
      </c>
      <c r="L2391" s="25"/>
    </row>
    <row r="2392" spans="1:12" x14ac:dyDescent="0.2">
      <c r="A2392" t="s">
        <v>816</v>
      </c>
      <c r="B2392" s="26" t="s">
        <v>864</v>
      </c>
      <c r="C2392" s="26" t="s">
        <v>817</v>
      </c>
      <c r="D2392" s="26" t="s">
        <v>806</v>
      </c>
      <c r="E2392" s="20"/>
      <c r="F2392" s="21" t="str">
        <f>IF(OR(E2392="",E2392="!!!"),"",IF(NOT(ISNA(VLOOKUP(E2392,E$1:E2391,1,FALSE()))),"OLD",IF(AND(E2392&lt;&gt;"",E2392&lt;&gt;"!!!"),"NEW","")))</f>
        <v/>
      </c>
      <c r="G2392" s="22" t="str">
        <f>IF(OR(E2392="",E2392="!!!"),"",IF(OR(J2392=0,AND(J2392=1,K2392=1),AND(J2392=1,I2392="SBJ"),AND(J2392=1,I2392=0)),"?IN_FOCUS",IF(J2392&lt;=2,"?ACTIVATED",IF(J2392&lt;&gt;"","?FAMILIAR",IF(F2392="NEW",IF(ISNA(VLOOKUP(E2392,#REF!,1,FALSE())),"?TYPE_IDENTIFIABLE","?REFERENTIAL"),"_")))))</f>
        <v/>
      </c>
      <c r="H2392" s="23" t="str">
        <f t="shared" ca="1" si="266"/>
        <v/>
      </c>
      <c r="I2392" s="24" t="str">
        <f>IF(OR(E2392="",E2392="!!!",F2392="NEW"),"",INDEX(B$2:B2391,-1+SUMPRODUCT(MAX(ROW(E$2:E2391)*(E2392=E$2:E2391)))))</f>
        <v/>
      </c>
      <c r="J2392" s="24" t="str">
        <f ca="1">IF(OR(E2392="",E2392="!!!",F2392="NEW"),"",COUNTBLANK(OFFSET(A$1,,,SUMPRODUCT(MAX(ROW(E$2:E2392)*(E2392=E$2:E2392)))))-COUNTBLANK(OFFSET(A$1,,,SUMPRODUCT(MAX(ROW(E$1:E2391)*(E2=E$1:E2391))))))</f>
        <v/>
      </c>
      <c r="K2392" s="24" t="str">
        <f>IF(OR(E2392="",E2392="!!!",F2392="NEW"),"",INDEX(J$1:J2391,SUMPRODUCT(MAX(ROW(E$1:E2391)*(E2392=E$1:E2391)))))</f>
        <v/>
      </c>
      <c r="L2392" s="25"/>
    </row>
    <row r="2393" spans="1:12" x14ac:dyDescent="0.2">
      <c r="A2393" t="s">
        <v>1526</v>
      </c>
      <c r="E2393" s="20" t="str">
        <f t="shared" si="267"/>
        <v/>
      </c>
      <c r="F2393" s="21" t="str">
        <f>IF(OR(E2393="",E2393="!!!"),"",IF(NOT(ISNA(VLOOKUP(E2393,E$1:E2392,1,FALSE()))),"OLD",IF(AND(E2393&lt;&gt;"",E2393&lt;&gt;"!!!"),"NEW","")))</f>
        <v/>
      </c>
      <c r="G2393" s="22" t="str">
        <f>IF(OR(E2393="",E2393="!!!"),"",IF(OR(J2393=0,AND(J2393=1,K2393=1),AND(J2393=1,I2393="SBJ"),AND(J2393=1,I2393=0)),"?IN_FOCUS",IF(J2393&lt;=2,"?ACTIVATED",IF(J2393&lt;&gt;"","?FAMILIAR",IF(F2393="NEW",IF(ISNA(VLOOKUP(E2393,#REF!,1,FALSE())),"?TYPE_IDENTIFIABLE","?REFERENTIAL"),"_")))))</f>
        <v/>
      </c>
      <c r="H2393" s="23" t="str">
        <f t="shared" ca="1" si="266"/>
        <v/>
      </c>
      <c r="I2393" s="24" t="str">
        <f>IF(OR(E2393="",E2393="!!!",F2393="NEW"),"",INDEX(B$2:B2392,-1+SUMPRODUCT(MAX(ROW(E$2:E2392)*(E2393=E$2:E2392)))))</f>
        <v/>
      </c>
      <c r="J2393" s="24" t="str">
        <f ca="1">IF(OR(E2393="",E2393="!!!",F2393="NEW"),"",COUNTBLANK(OFFSET(A$1,,,SUMPRODUCT(MAX(ROW(E$2:E2393)*(E2393=E$2:E2393)))))-COUNTBLANK(OFFSET(A$1,,,SUMPRODUCT(MAX(ROW(E$1:E2392)*(E2=E$1:E2392))))))</f>
        <v/>
      </c>
      <c r="K2393" s="24" t="str">
        <f>IF(OR(E2393="",E2393="!!!",F2393="NEW"),"",INDEX(J$1:J2392,SUMPRODUCT(MAX(ROW(E$1:E2392)*(E2393=E$1:E2392)))))</f>
        <v/>
      </c>
      <c r="L2393" s="25"/>
    </row>
    <row r="2394" spans="1:12" x14ac:dyDescent="0.2">
      <c r="A2394" t="s">
        <v>30</v>
      </c>
      <c r="B2394" s="26" t="s">
        <v>813</v>
      </c>
      <c r="C2394" s="26" t="s">
        <v>820</v>
      </c>
      <c r="D2394" s="26" t="s">
        <v>806</v>
      </c>
      <c r="E2394" s="20" t="s">
        <v>1771</v>
      </c>
      <c r="F2394" s="21" t="str">
        <f>IF(OR(E2394="",E2394="!!!"),"",IF(NOT(ISNA(VLOOKUP(E2394,E$1:E2393,1,FALSE()))),"OLD",IF(AND(E2394&lt;&gt;"",E2394&lt;&gt;"!!!"),"NEW","")))</f>
        <v>OLD</v>
      </c>
      <c r="G2394" s="22" t="s">
        <v>1825</v>
      </c>
      <c r="H2394" s="23" t="str">
        <f t="shared" ca="1" si="266"/>
        <v/>
      </c>
      <c r="I2394" s="24" t="str">
        <f>IF(OR(E2394="",E2394="!!!",F2394="NEW"),"",INDEX(B$2:B2393,-1+SUMPRODUCT(MAX(ROW(E$2:E2393)*(E2394=E$2:E2393)))))</f>
        <v>OBJ_4</v>
      </c>
      <c r="J2394" s="24">
        <f ca="1">IF(OR(E2394="",E2394="!!!",F2394="NEW"),"",COUNTBLANK(OFFSET(A$1,,,SUMPRODUCT(MAX(ROW(E$2:E2394)*(E2394=E$2:E2394)))))-COUNTBLANK(OFFSET(A$1,,,SUMPRODUCT(MAX(ROW(E$1:E2393)*(E2=E$1:E2393))))))</f>
        <v>0</v>
      </c>
      <c r="K2394" s="24">
        <f ca="1">IF(OR(E2394="",E2394="!!!",F2394="NEW"),"",INDEX(J$1:J2393,SUMPRODUCT(MAX(ROW(E$1:E2393)*(E2394=E$1:E2393)))))</f>
        <v>0</v>
      </c>
      <c r="L2394" s="25"/>
    </row>
    <row r="2395" spans="1:12" x14ac:dyDescent="0.2">
      <c r="A2395" t="s">
        <v>802</v>
      </c>
      <c r="E2395" s="20" t="str">
        <f t="shared" si="267"/>
        <v/>
      </c>
      <c r="F2395" s="21" t="str">
        <f>IF(OR(E2395="",E2395="!!!"),"",IF(NOT(ISNA(VLOOKUP(E2395,E$1:E2394,1,FALSE()))),"OLD",IF(AND(E2395&lt;&gt;"",E2395&lt;&gt;"!!!"),"NEW","")))</f>
        <v/>
      </c>
      <c r="G2395" s="22" t="str">
        <f>IF(OR(E2395="",E2395="!!!"),"",IF(OR(J2395=0,AND(J2395=1,K2395=1),AND(J2395=1,I2395="SBJ"),AND(J2395=1,I2395=0)),"?IN_FOCUS",IF(J2395&lt;=2,"?ACTIVATED",IF(J2395&lt;&gt;"","?FAMILIAR",IF(F2395="NEW",IF(ISNA(VLOOKUP(E2395,#REF!,1,FALSE())),"?TYPE_IDENTIFIABLE","?REFERENTIAL"),"_")))))</f>
        <v/>
      </c>
      <c r="H2395" s="23" t="str">
        <f t="shared" ca="1" si="266"/>
        <v/>
      </c>
      <c r="I2395" s="24" t="str">
        <f>IF(OR(E2395="",E2395="!!!",F2395="NEW"),"",INDEX(B$2:B2394,-1+SUMPRODUCT(MAX(ROW(E$2:E2394)*(E2395=E$2:E2394)))))</f>
        <v/>
      </c>
      <c r="J2395" s="24" t="str">
        <f ca="1">IF(OR(E2395="",E2395="!!!",F2395="NEW"),"",COUNTBLANK(OFFSET(A$1,,,SUMPRODUCT(MAX(ROW(E$2:E2395)*(E2395=E$2:E2395)))))-COUNTBLANK(OFFSET(A$1,,,SUMPRODUCT(MAX(ROW(E$1:E2394)*(E2=E$1:E2394))))))</f>
        <v/>
      </c>
      <c r="K2395" s="24" t="str">
        <f>IF(OR(E2395="",E2395="!!!",F2395="NEW"),"",INDEX(J$1:J2394,SUMPRODUCT(MAX(ROW(E$1:E2394)*(E2395=E$1:E2394)))))</f>
        <v/>
      </c>
      <c r="L2395" s="25"/>
    </row>
    <row r="2396" spans="1:12" x14ac:dyDescent="0.2">
      <c r="A2396" t="s">
        <v>1241</v>
      </c>
      <c r="B2396" s="26" t="s">
        <v>944</v>
      </c>
      <c r="E2396" s="20" t="str">
        <f t="shared" si="267"/>
        <v/>
      </c>
      <c r="F2396" s="21" t="str">
        <f>IF(OR(E2396="",E2396="!!!"),"",IF(NOT(ISNA(VLOOKUP(E2396,E$1:E2395,1,FALSE()))),"OLD",IF(AND(E2396&lt;&gt;"",E2396&lt;&gt;"!!!"),"NEW","")))</f>
        <v/>
      </c>
      <c r="G2396" s="22" t="str">
        <f>IF(OR(E2396="",E2396="!!!"),"",IF(OR(J2396=0,AND(J2396=1,K2396=1),AND(J2396=1,I2396="SBJ"),AND(J2396=1,I2396=0)),"?IN_FOCUS",IF(J2396&lt;=2,"?ACTIVATED",IF(J2396&lt;&gt;"","?FAMILIAR",IF(F2396="NEW",IF(ISNA(VLOOKUP(E2396,#REF!,1,FALSE())),"?TYPE_IDENTIFIABLE","?REFERENTIAL"),"_")))))</f>
        <v/>
      </c>
      <c r="H2396" s="23" t="str">
        <f t="shared" ca="1" si="266"/>
        <v/>
      </c>
      <c r="I2396" s="24" t="str">
        <f>IF(OR(E2396="",E2396="!!!",F2396="NEW"),"",INDEX(B$2:B2395,-1+SUMPRODUCT(MAX(ROW(E$2:E2395)*(E2396=E$2:E2395)))))</f>
        <v/>
      </c>
      <c r="J2396" s="24" t="str">
        <f ca="1">IF(OR(E2396="",E2396="!!!",F2396="NEW"),"",COUNTBLANK(OFFSET(A$1,,,SUMPRODUCT(MAX(ROW(E$2:E2396)*(E2396=E$2:E2396)))))-COUNTBLANK(OFFSET(A$1,,,SUMPRODUCT(MAX(ROW(E$1:E2395)*(E2=E$1:E2395))))))</f>
        <v/>
      </c>
      <c r="K2396" s="24" t="str">
        <f>IF(OR(E2396="",E2396="!!!",F2396="NEW"),"",INDEX(J$1:J2395,SUMPRODUCT(MAX(ROW(E$1:E2395)*(E2396=E$1:E2395)))))</f>
        <v/>
      </c>
      <c r="L2396" s="25"/>
    </row>
    <row r="2397" spans="1:12" x14ac:dyDescent="0.2">
      <c r="A2397" t="s">
        <v>831</v>
      </c>
      <c r="E2397" s="20" t="str">
        <f t="shared" si="267"/>
        <v/>
      </c>
      <c r="F2397" s="21" t="str">
        <f>IF(OR(E2397="",E2397="!!!"),"",IF(NOT(ISNA(VLOOKUP(E2397,E$1:E2396,1,FALSE()))),"OLD",IF(AND(E2397&lt;&gt;"",E2397&lt;&gt;"!!!"),"NEW","")))</f>
        <v/>
      </c>
      <c r="G2397" s="22" t="str">
        <f>IF(OR(E2397="",E2397="!!!"),"",IF(OR(J2397=0,AND(J2397=1,K2397=1),AND(J2397=1,I2397="SBJ"),AND(J2397=1,I2397=0)),"?IN_FOCUS",IF(J2397&lt;=2,"?ACTIVATED",IF(J2397&lt;&gt;"","?FAMILIAR",IF(F2397="NEW",IF(ISNA(VLOOKUP(E2397,#REF!,1,FALSE())),"?TYPE_IDENTIFIABLE","?REFERENTIAL"),"_")))))</f>
        <v/>
      </c>
      <c r="H2397" s="23" t="str">
        <f t="shared" ca="1" si="266"/>
        <v/>
      </c>
      <c r="I2397" s="24" t="str">
        <f>IF(OR(E2397="",E2397="!!!",F2397="NEW"),"",INDEX(B$2:B2396,-1+SUMPRODUCT(MAX(ROW(E$2:E2396)*(E2397=E$2:E2396)))))</f>
        <v/>
      </c>
      <c r="J2397" s="24" t="str">
        <f ca="1">IF(OR(E2397="",E2397="!!!",F2397="NEW"),"",COUNTBLANK(OFFSET(A$1,,,SUMPRODUCT(MAX(ROW(E$2:E2397)*(E2397=E$2:E2397)))))-COUNTBLANK(OFFSET(A$1,,,SUMPRODUCT(MAX(ROW(E$1:E2396)*(E2=E$1:E2396))))))</f>
        <v/>
      </c>
      <c r="K2397" s="24" t="str">
        <f>IF(OR(E2397="",E2397="!!!",F2397="NEW"),"",INDEX(J$1:J2396,SUMPRODUCT(MAX(ROW(E$1:E2396)*(E2397=E$1:E2396)))))</f>
        <v/>
      </c>
      <c r="L2397" s="25"/>
    </row>
    <row r="2398" spans="1:12" x14ac:dyDescent="0.2">
      <c r="A2398" t="s">
        <v>1183</v>
      </c>
      <c r="E2398" s="20" t="str">
        <f t="shared" si="267"/>
        <v/>
      </c>
      <c r="F2398" s="21" t="str">
        <f>IF(OR(E2398="",E2398="!!!"),"",IF(NOT(ISNA(VLOOKUP(E2398,E$1:E2397,1,FALSE()))),"OLD",IF(AND(E2398&lt;&gt;"",E2398&lt;&gt;"!!!"),"NEW","")))</f>
        <v/>
      </c>
      <c r="G2398" s="22" t="str">
        <f>IF(OR(E2398="",E2398="!!!"),"",IF(OR(J2398=0,AND(J2398=1,K2398=1),AND(J2398=1,I2398="SBJ"),AND(J2398=1,I2398=0)),"?IN_FOCUS",IF(J2398&lt;=2,"?ACTIVATED",IF(J2398&lt;&gt;"","?FAMILIAR",IF(F2398="NEW",IF(ISNA(VLOOKUP(E2398,#REF!,1,FALSE())),"?TYPE_IDENTIFIABLE","?REFERENTIAL"),"_")))))</f>
        <v/>
      </c>
      <c r="H2398" s="23" t="str">
        <f t="shared" ca="1" si="266"/>
        <v/>
      </c>
      <c r="I2398" s="24" t="str">
        <f>IF(OR(E2398="",E2398="!!!",F2398="NEW"),"",INDEX(B$2:B2397,-1+SUMPRODUCT(MAX(ROW(E$2:E2397)*(E2398=E$2:E2397)))))</f>
        <v/>
      </c>
      <c r="J2398" s="24" t="str">
        <f ca="1">IF(OR(E2398="",E2398="!!!",F2398="NEW"),"",COUNTBLANK(OFFSET(A$1,,,SUMPRODUCT(MAX(ROW(E$2:E2398)*(E2398=E$2:E2398)))))-COUNTBLANK(OFFSET(A$1,,,SUMPRODUCT(MAX(ROW(E$1:E2397)*(E2=E$1:E2397))))))</f>
        <v/>
      </c>
      <c r="K2398" s="24" t="str">
        <f>IF(OR(E2398="",E2398="!!!",F2398="NEW"),"",INDEX(J$1:J2397,SUMPRODUCT(MAX(ROW(E$1:E2397)*(E2398=E$1:E2397)))))</f>
        <v/>
      </c>
      <c r="L2398" s="25"/>
    </row>
    <row r="2399" spans="1:12" x14ac:dyDescent="0.2">
      <c r="A2399" t="s">
        <v>16</v>
      </c>
      <c r="E2399" s="20" t="str">
        <f t="shared" si="267"/>
        <v/>
      </c>
      <c r="F2399" s="21" t="str">
        <f>IF(OR(E2399="",E2399="!!!"),"",IF(NOT(ISNA(VLOOKUP(E2399,E$1:E2398,1,FALSE()))),"OLD",IF(AND(E2399&lt;&gt;"",E2399&lt;&gt;"!!!"),"NEW","")))</f>
        <v/>
      </c>
      <c r="G2399" s="22" t="str">
        <f>IF(OR(E2399="",E2399="!!!"),"",IF(OR(J2399=0,AND(J2399=1,K2399=1),AND(J2399=1,I2399="SBJ"),AND(J2399=1,I2399=0)),"?IN_FOCUS",IF(J2399&lt;=2,"?ACTIVATED",IF(J2399&lt;&gt;"","?FAMILIAR",IF(F2399="NEW",IF(ISNA(VLOOKUP(E2399,#REF!,1,FALSE())),"?TYPE_IDENTIFIABLE","?REFERENTIAL"),"_")))))</f>
        <v/>
      </c>
      <c r="H2399" s="23" t="str">
        <f t="shared" ca="1" si="266"/>
        <v/>
      </c>
      <c r="I2399" s="24" t="str">
        <f>IF(OR(E2399="",E2399="!!!",F2399="NEW"),"",INDEX(B$2:B2398,-1+SUMPRODUCT(MAX(ROW(E$2:E2398)*(E2399=E$2:E2398)))))</f>
        <v/>
      </c>
      <c r="J2399" s="24" t="str">
        <f ca="1">IF(OR(E2399="",E2399="!!!",F2399="NEW"),"",COUNTBLANK(OFFSET(A$1,,,SUMPRODUCT(MAX(ROW(E$2:E2399)*(E2399=E$2:E2399)))))-COUNTBLANK(OFFSET(A$1,,,SUMPRODUCT(MAX(ROW(E$1:E2398)*(E2=E$1:E2398))))))</f>
        <v/>
      </c>
      <c r="K2399" s="24" t="str">
        <f>IF(OR(E2399="",E2399="!!!",F2399="NEW"),"",INDEX(J$1:J2398,SUMPRODUCT(MAX(ROW(E$1:E2398)*(E2399=E$1:E2398)))))</f>
        <v/>
      </c>
      <c r="L2399" s="25"/>
    </row>
    <row r="2400" spans="1:12" x14ac:dyDescent="0.2">
      <c r="A2400" t="s">
        <v>888</v>
      </c>
      <c r="E2400" s="20" t="str">
        <f t="shared" si="267"/>
        <v/>
      </c>
      <c r="F2400" s="21" t="str">
        <f>IF(OR(E2400="",E2400="!!!"),"",IF(NOT(ISNA(VLOOKUP(E2400,E$1:E2399,1,FALSE()))),"OLD",IF(AND(E2400&lt;&gt;"",E2400&lt;&gt;"!!!"),"NEW","")))</f>
        <v/>
      </c>
      <c r="G2400" s="22" t="str">
        <f>IF(OR(E2400="",E2400="!!!"),"",IF(OR(J2400=0,AND(J2400=1,K2400=1),AND(J2400=1,I2400="SBJ"),AND(J2400=1,I2400=0)),"?IN_FOCUS",IF(J2400&lt;=2,"?ACTIVATED",IF(J2400&lt;&gt;"","?FAMILIAR",IF(F2400="NEW",IF(ISNA(VLOOKUP(E2400,#REF!,1,FALSE())),"?TYPE_IDENTIFIABLE","?REFERENTIAL"),"_")))))</f>
        <v/>
      </c>
      <c r="H2400" s="23" t="str">
        <f t="shared" ca="1" si="266"/>
        <v/>
      </c>
      <c r="I2400" s="24" t="str">
        <f>IF(OR(E2400="",E2400="!!!",F2400="NEW"),"",INDEX(B$2:B2399,-1+SUMPRODUCT(MAX(ROW(E$2:E2399)*(E2400=E$2:E2399)))))</f>
        <v/>
      </c>
      <c r="J2400" s="24" t="str">
        <f ca="1">IF(OR(E2400="",E2400="!!!",F2400="NEW"),"",COUNTBLANK(OFFSET(A$1,,,SUMPRODUCT(MAX(ROW(E$2:E2400)*(E2400=E$2:E2400)))))-COUNTBLANK(OFFSET(A$1,,,SUMPRODUCT(MAX(ROW(E$1:E2399)*(E2=E$1:E2399))))))</f>
        <v/>
      </c>
      <c r="K2400" s="24" t="str">
        <f>IF(OR(E2400="",E2400="!!!",F2400="NEW"),"",INDEX(J$1:J2399,SUMPRODUCT(MAX(ROW(E$1:E2399)*(E2400=E$1:E2399)))))</f>
        <v/>
      </c>
      <c r="L2400" s="25"/>
    </row>
    <row r="2401" spans="1:12" x14ac:dyDescent="0.2">
      <c r="A2401" t="s">
        <v>803</v>
      </c>
      <c r="B2401" s="26" t="s">
        <v>950</v>
      </c>
      <c r="C2401" s="26" t="s">
        <v>805</v>
      </c>
      <c r="D2401" s="26" t="s">
        <v>806</v>
      </c>
      <c r="E2401" s="20" t="s">
        <v>1747</v>
      </c>
      <c r="F2401" s="21" t="str">
        <f>IF(OR(E2401="",E2401="!!!"),"",IF(NOT(ISNA(VLOOKUP(E2401,E$1:E2400,1,FALSE()))),"OLD",IF(AND(E2401&lt;&gt;"",E2401&lt;&gt;"!!!"),"NEW","")))</f>
        <v>OLD</v>
      </c>
      <c r="G2401" s="22" t="s">
        <v>1823</v>
      </c>
      <c r="H2401" s="23" t="str">
        <f t="shared" ca="1" si="266"/>
        <v/>
      </c>
      <c r="I2401" s="24" t="str">
        <f>IF(OR(E2401="",E2401="!!!",F2401="NEW"),"",INDEX(B$2:B2400,-1+SUMPRODUCT(MAX(ROW(E$2:E2400)*(E2401=E$2:E2400)))))</f>
        <v>SBJ</v>
      </c>
      <c r="J2401" s="24">
        <f ca="1">IF(OR(E2401="",E2401="!!!",F2401="NEW"),"",COUNTBLANK(OFFSET(A$1,,,SUMPRODUCT(MAX(ROW(E$2:E2401)*(E2401=E$2:E2401)))))-COUNTBLANK(OFFSET(A$1,,,SUMPRODUCT(MAX(ROW(E$1:E2400)*(E2=E$1:E2400))))))</f>
        <v>0</v>
      </c>
      <c r="K2401" s="24">
        <f ca="1">IF(OR(E2401="",E2401="!!!",F2401="NEW"),"",INDEX(J$1:J2400,SUMPRODUCT(MAX(ROW(E$1:E2400)*(E2401=E$1:E2400)))))</f>
        <v>0</v>
      </c>
      <c r="L2401" s="25"/>
    </row>
    <row r="2402" spans="1:12" x14ac:dyDescent="0.2">
      <c r="A2402" t="s">
        <v>309</v>
      </c>
      <c r="E2402" s="20" t="str">
        <f t="shared" si="267"/>
        <v/>
      </c>
      <c r="F2402" s="21" t="str">
        <f>IF(OR(E2402="",E2402="!!!"),"",IF(NOT(ISNA(VLOOKUP(E2402,E$1:E2401,1,FALSE()))),"OLD",IF(AND(E2402&lt;&gt;"",E2402&lt;&gt;"!!!"),"NEW","")))</f>
        <v/>
      </c>
      <c r="G2402" s="22" t="str">
        <f>IF(OR(E2402="",E2402="!!!"),"",IF(OR(J2402=0,AND(J2402=1,K2402=1),AND(J2402=1,I2402="SBJ"),AND(J2402=1,I2402=0)),"?IN_FOCUS",IF(J2402&lt;=2,"?ACTIVATED",IF(J2402&lt;&gt;"","?FAMILIAR",IF(F2402="NEW",IF(ISNA(VLOOKUP(E2402,#REF!,1,FALSE())),"?TYPE_IDENTIFIABLE","?REFERENTIAL"),"_")))))</f>
        <v/>
      </c>
      <c r="H2402" s="23" t="str">
        <f t="shared" ca="1" si="266"/>
        <v/>
      </c>
      <c r="I2402" s="24" t="str">
        <f>IF(OR(E2402="",E2402="!!!",F2402="NEW"),"",INDEX(B$2:B2401,-1+SUMPRODUCT(MAX(ROW(E$2:E2401)*(E2402=E$2:E2401)))))</f>
        <v/>
      </c>
      <c r="J2402" s="24" t="str">
        <f ca="1">IF(OR(E2402="",E2402="!!!",F2402="NEW"),"",COUNTBLANK(OFFSET(A$1,,,SUMPRODUCT(MAX(ROW(E$2:E2402)*(E2402=E$2:E2402)))))-COUNTBLANK(OFFSET(A$1,,,SUMPRODUCT(MAX(ROW(E$1:E2401)*(E2=E$1:E2401))))))</f>
        <v/>
      </c>
      <c r="K2402" s="24" t="str">
        <f>IF(OR(E2402="",E2402="!!!",F2402="NEW"),"",INDEX(J$1:J2401,SUMPRODUCT(MAX(ROW(E$1:E2401)*(E2402=E$1:E2401)))))</f>
        <v/>
      </c>
      <c r="L2402" s="25"/>
    </row>
    <row r="2403" spans="1:12" x14ac:dyDescent="0.2">
      <c r="A2403" t="s">
        <v>999</v>
      </c>
      <c r="E2403" s="20" t="str">
        <f t="shared" si="267"/>
        <v/>
      </c>
      <c r="F2403" s="21" t="str">
        <f>IF(OR(E2403="",E2403="!!!"),"",IF(NOT(ISNA(VLOOKUP(E2403,E$1:E2402,1,FALSE()))),"OLD",IF(AND(E2403&lt;&gt;"",E2403&lt;&gt;"!!!"),"NEW","")))</f>
        <v/>
      </c>
      <c r="G2403" s="22" t="str">
        <f>IF(OR(E2403="",E2403="!!!"),"",IF(OR(J2403=0,AND(J2403=1,K2403=1),AND(J2403=1,I2403="SBJ"),AND(J2403=1,I2403=0)),"?IN_FOCUS",IF(J2403&lt;=2,"?ACTIVATED",IF(J2403&lt;&gt;"","?FAMILIAR",IF(F2403="NEW",IF(ISNA(VLOOKUP(E2403,#REF!,1,FALSE())),"?TYPE_IDENTIFIABLE","?REFERENTIAL"),"_")))))</f>
        <v/>
      </c>
      <c r="H2403" s="23" t="str">
        <f t="shared" ca="1" si="266"/>
        <v/>
      </c>
      <c r="I2403" s="24" t="str">
        <f>IF(OR(E2403="",E2403="!!!",F2403="NEW"),"",INDEX(B$2:B2402,-1+SUMPRODUCT(MAX(ROW(E$2:E2402)*(E2403=E$2:E2402)))))</f>
        <v/>
      </c>
      <c r="J2403" s="24" t="str">
        <f ca="1">IF(OR(E2403="",E2403="!!!",F2403="NEW"),"",COUNTBLANK(OFFSET(A$1,,,SUMPRODUCT(MAX(ROW(E$2:E2403)*(E2403=E$2:E2403)))))-COUNTBLANK(OFFSET(A$1,,,SUMPRODUCT(MAX(ROW(E$1:E2402)*(E2=E$1:E2402))))))</f>
        <v/>
      </c>
      <c r="K2403" s="24" t="str">
        <f>IF(OR(E2403="",E2403="!!!",F2403="NEW"),"",INDEX(J$1:J2402,SUMPRODUCT(MAX(ROW(E$1:E2402)*(E2403=E$1:E2402)))))</f>
        <v/>
      </c>
      <c r="L2403" s="25"/>
    </row>
    <row r="2404" spans="1:12" x14ac:dyDescent="0.2">
      <c r="A2404" t="s">
        <v>833</v>
      </c>
      <c r="E2404" s="20" t="str">
        <f t="shared" si="267"/>
        <v/>
      </c>
      <c r="F2404" s="21" t="str">
        <f>IF(OR(E2404="",E2404="!!!"),"",IF(NOT(ISNA(VLOOKUP(E2404,E$1:E2403,1,FALSE()))),"OLD",IF(AND(E2404&lt;&gt;"",E2404&lt;&gt;"!!!"),"NEW","")))</f>
        <v/>
      </c>
      <c r="G2404" s="22" t="str">
        <f>IF(OR(E2404="",E2404="!!!"),"",IF(OR(J2404=0,AND(J2404=1,K2404=1),AND(J2404=1,I2404="SBJ"),AND(J2404=1,I2404=0)),"?IN_FOCUS",IF(J2404&lt;=2,"?ACTIVATED",IF(J2404&lt;&gt;"","?FAMILIAR",IF(F2404="NEW",IF(ISNA(VLOOKUP(E2404,#REF!,1,FALSE())),"?TYPE_IDENTIFIABLE","?REFERENTIAL"),"_")))))</f>
        <v/>
      </c>
      <c r="H2404" s="23" t="str">
        <f t="shared" ca="1" si="266"/>
        <v/>
      </c>
      <c r="I2404" s="24" t="str">
        <f>IF(OR(E2404="",E2404="!!!",F2404="NEW"),"",INDEX(B$2:B2403,-1+SUMPRODUCT(MAX(ROW(E$2:E2403)*(E2404=E$2:E2403)))))</f>
        <v/>
      </c>
      <c r="J2404" s="24" t="str">
        <f ca="1">IF(OR(E2404="",E2404="!!!",F2404="NEW"),"",COUNTBLANK(OFFSET(A$1,,,SUMPRODUCT(MAX(ROW(E$2:E2404)*(E2404=E$2:E2404)))))-COUNTBLANK(OFFSET(A$1,,,SUMPRODUCT(MAX(ROW(E$1:E2403)*(E2=E$1:E2403))))))</f>
        <v/>
      </c>
      <c r="K2404" s="24" t="str">
        <f>IF(OR(E2404="",E2404="!!!",F2404="NEW"),"",INDEX(J$1:J2403,SUMPRODUCT(MAX(ROW(E$1:E2403)*(E2404=E$1:E2403)))))</f>
        <v/>
      </c>
      <c r="L2404" s="25"/>
    </row>
    <row r="2405" spans="1:12" x14ac:dyDescent="0.2">
      <c r="A2405" t="s">
        <v>30</v>
      </c>
      <c r="E2405" s="20" t="str">
        <f t="shared" si="267"/>
        <v/>
      </c>
      <c r="F2405" s="21" t="str">
        <f>IF(OR(E2405="",E2405="!!!"),"",IF(NOT(ISNA(VLOOKUP(E2405,E$1:E2404,1,FALSE()))),"OLD",IF(AND(E2405&lt;&gt;"",E2405&lt;&gt;"!!!"),"NEW","")))</f>
        <v/>
      </c>
      <c r="G2405" s="22" t="str">
        <f>IF(OR(E2405="",E2405="!!!"),"",IF(OR(J2405=0,AND(J2405=1,K2405=1),AND(J2405=1,I2405="SBJ"),AND(J2405=1,I2405=0)),"?IN_FOCUS",IF(J2405&lt;=2,"?ACTIVATED",IF(J2405&lt;&gt;"","?FAMILIAR",IF(F2405="NEW",IF(ISNA(VLOOKUP(E2405,#REF!,1,FALSE())),"?TYPE_IDENTIFIABLE","?REFERENTIAL"),"_")))))</f>
        <v/>
      </c>
      <c r="H2405" s="23" t="str">
        <f t="shared" ca="1" si="266"/>
        <v/>
      </c>
      <c r="I2405" s="24" t="str">
        <f>IF(OR(E2405="",E2405="!!!",F2405="NEW"),"",INDEX(B$2:B2404,-1+SUMPRODUCT(MAX(ROW(E$2:E2404)*(E2405=E$2:E2404)))))</f>
        <v/>
      </c>
      <c r="J2405" s="24" t="str">
        <f ca="1">IF(OR(E2405="",E2405="!!!",F2405="NEW"),"",COUNTBLANK(OFFSET(A$1,,,SUMPRODUCT(MAX(ROW(E$2:E2405)*(E2405=E$2:E2405)))))-COUNTBLANK(OFFSET(A$1,,,SUMPRODUCT(MAX(ROW(E$1:E2404)*(E2=E$1:E2404))))))</f>
        <v/>
      </c>
      <c r="K2405" s="24" t="str">
        <f>IF(OR(E2405="",E2405="!!!",F2405="NEW"),"",INDEX(J$1:J2404,SUMPRODUCT(MAX(ROW(E$1:E2404)*(E2405=E$1:E2404)))))</f>
        <v/>
      </c>
      <c r="L2405" s="25"/>
    </row>
    <row r="2406" spans="1:12" x14ac:dyDescent="0.2">
      <c r="A2406" t="s">
        <v>1103</v>
      </c>
      <c r="B2406" s="26" t="s">
        <v>938</v>
      </c>
      <c r="C2406" s="26" t="s">
        <v>814</v>
      </c>
      <c r="E2406" s="20" t="str">
        <f t="shared" si="267"/>
        <v/>
      </c>
      <c r="F2406" s="21" t="str">
        <f>IF(OR(E2406="",E2406="!!!"),"",IF(NOT(ISNA(VLOOKUP(E2406,E$1:E2405,1,FALSE()))),"OLD",IF(AND(E2406&lt;&gt;"",E2406&lt;&gt;"!!!"),"NEW","")))</f>
        <v/>
      </c>
      <c r="G2406" s="22" t="str">
        <f>IF(OR(E2406="",E2406="!!!"),"",IF(OR(J2406=0,AND(J2406=1,K2406=1),AND(J2406=1,I2406="SBJ"),AND(J2406=1,I2406=0)),"?IN_FOCUS",IF(J2406&lt;=2,"?ACTIVATED",IF(J2406&lt;&gt;"","?FAMILIAR",IF(F2406="NEW",IF(ISNA(VLOOKUP(E2406,#REF!,1,FALSE())),"?TYPE_IDENTIFIABLE","?REFERENTIAL"),"_")))))</f>
        <v/>
      </c>
      <c r="H2406" s="23" t="str">
        <f t="shared" ca="1" si="266"/>
        <v/>
      </c>
      <c r="I2406" s="24" t="str">
        <f>IF(OR(E2406="",E2406="!!!",F2406="NEW"),"",INDEX(B$2:B2405,-1+SUMPRODUCT(MAX(ROW(E$2:E2405)*(E2406=E$2:E2405)))))</f>
        <v/>
      </c>
      <c r="J2406" s="24" t="str">
        <f ca="1">IF(OR(E2406="",E2406="!!!",F2406="NEW"),"",COUNTBLANK(OFFSET(A$1,,,SUMPRODUCT(MAX(ROW(E$2:E2406)*(E2406=E$2:E2406)))))-COUNTBLANK(OFFSET(A$1,,,SUMPRODUCT(MAX(ROW(E$1:E2405)*(E2=E$1:E2405))))))</f>
        <v/>
      </c>
      <c r="K2406" s="24" t="str">
        <f>IF(OR(E2406="",E2406="!!!",F2406="NEW"),"",INDEX(J$1:J2405,SUMPRODUCT(MAX(ROW(E$1:E2405)*(E2406=E$1:E2405)))))</f>
        <v/>
      </c>
      <c r="L2406" s="25"/>
    </row>
    <row r="2407" spans="1:12" x14ac:dyDescent="0.2">
      <c r="A2407" t="s">
        <v>1082</v>
      </c>
      <c r="E2407" s="20" t="str">
        <f t="shared" si="267"/>
        <v/>
      </c>
      <c r="F2407" s="21" t="str">
        <f>IF(OR(E2407="",E2407="!!!"),"",IF(NOT(ISNA(VLOOKUP(E2407,E$1:E2406,1,FALSE()))),"OLD",IF(AND(E2407&lt;&gt;"",E2407&lt;&gt;"!!!"),"NEW","")))</f>
        <v/>
      </c>
      <c r="G2407" s="22" t="str">
        <f>IF(OR(E2407="",E2407="!!!"),"",IF(OR(J2407=0,AND(J2407=1,K2407=1),AND(J2407=1,I2407="SBJ"),AND(J2407=1,I2407=0)),"?IN_FOCUS",IF(J2407&lt;=2,"?ACTIVATED",IF(J2407&lt;&gt;"","?FAMILIAR",IF(F2407="NEW",IF(ISNA(VLOOKUP(E2407,#REF!,1,FALSE())),"?TYPE_IDENTIFIABLE","?REFERENTIAL"),"_")))))</f>
        <v/>
      </c>
      <c r="H2407" s="23" t="str">
        <f t="shared" ca="1" si="266"/>
        <v/>
      </c>
      <c r="I2407" s="24" t="str">
        <f>IF(OR(E2407="",E2407="!!!",F2407="NEW"),"",INDEX(B$2:B2406,-1+SUMPRODUCT(MAX(ROW(E$2:E2406)*(E2407=E$2:E2406)))))</f>
        <v/>
      </c>
      <c r="J2407" s="24" t="str">
        <f ca="1">IF(OR(E2407="",E2407="!!!",F2407="NEW"),"",COUNTBLANK(OFFSET(A$1,,,SUMPRODUCT(MAX(ROW(E$2:E2407)*(E2407=E$2:E2407)))))-COUNTBLANK(OFFSET(A$1,,,SUMPRODUCT(MAX(ROW(E$1:E2406)*(E2=E$1:E2406))))))</f>
        <v/>
      </c>
      <c r="K2407" s="24" t="str">
        <f>IF(OR(E2407="",E2407="!!!",F2407="NEW"),"",INDEX(J$1:J2406,SUMPRODUCT(MAX(ROW(E$1:E2406)*(E2407=E$1:E2406)))))</f>
        <v/>
      </c>
      <c r="L2407" s="25"/>
    </row>
    <row r="2408" spans="1:12" x14ac:dyDescent="0.2">
      <c r="A2408" t="s">
        <v>803</v>
      </c>
      <c r="B2408" s="26" t="s">
        <v>950</v>
      </c>
      <c r="C2408" s="26" t="s">
        <v>805</v>
      </c>
      <c r="D2408" s="26" t="s">
        <v>806</v>
      </c>
      <c r="E2408" s="20" t="s">
        <v>1747</v>
      </c>
      <c r="F2408" s="21" t="str">
        <f>IF(OR(E2408="",E2408="!!!"),"",IF(NOT(ISNA(VLOOKUP(E2408,E$1:E2407,1,FALSE()))),"OLD",IF(AND(E2408&lt;&gt;"",E2408&lt;&gt;"!!!"),"NEW","")))</f>
        <v>OLD</v>
      </c>
      <c r="G2408" s="22" t="s">
        <v>1823</v>
      </c>
      <c r="H2408" s="23" t="str">
        <f t="shared" ca="1" si="266"/>
        <v/>
      </c>
      <c r="I2408" s="24" t="str">
        <f>IF(OR(E2408="",E2408="!!!",F2408="NEW"),"",INDEX(B$2:B2407,-1+SUMPRODUCT(MAX(ROW(E$2:E2407)*(E2408=E$2:E2407)))))</f>
        <v>SBJ_2</v>
      </c>
      <c r="J2408" s="24">
        <f ca="1">IF(OR(E2408="",E2408="!!!",F2408="NEW"),"",COUNTBLANK(OFFSET(A$1,,,SUMPRODUCT(MAX(ROW(E$2:E2408)*(E2408=E$2:E2408)))))-COUNTBLANK(OFFSET(A$1,,,SUMPRODUCT(MAX(ROW(E$1:E2407)*(E2=E$1:E2407))))))</f>
        <v>0</v>
      </c>
      <c r="K2408" s="24">
        <f ca="1">IF(OR(E2408="",E2408="!!!",F2408="NEW"),"",INDEX(J$1:J2407,SUMPRODUCT(MAX(ROW(E$1:E2407)*(E2408=E$1:E2407)))))</f>
        <v>0</v>
      </c>
      <c r="L2408" s="25"/>
    </row>
    <row r="2409" spans="1:12" x14ac:dyDescent="0.2">
      <c r="A2409" t="s">
        <v>309</v>
      </c>
      <c r="E2409" s="20" t="str">
        <f t="shared" si="267"/>
        <v/>
      </c>
      <c r="F2409" s="21" t="str">
        <f>IF(OR(E2409="",E2409="!!!"),"",IF(NOT(ISNA(VLOOKUP(E2409,E$1:E2408,1,FALSE()))),"OLD",IF(AND(E2409&lt;&gt;"",E2409&lt;&gt;"!!!"),"NEW","")))</f>
        <v/>
      </c>
      <c r="G2409" s="22" t="str">
        <f>IF(OR(E2409="",E2409="!!!"),"",IF(OR(J2409=0,AND(J2409=1,K2409=1),AND(J2409=1,I2409="SBJ"),AND(J2409=1,I2409=0)),"?IN_FOCUS",IF(J2409&lt;=2,"?ACTIVATED",IF(J2409&lt;&gt;"","?FAMILIAR",IF(F2409="NEW",IF(ISNA(VLOOKUP(E2409,#REF!,1,FALSE())),"?TYPE_IDENTIFIABLE","?REFERENTIAL"),"_")))))</f>
        <v/>
      </c>
      <c r="H2409" s="23" t="str">
        <f t="shared" ca="1" si="266"/>
        <v/>
      </c>
      <c r="I2409" s="24" t="str">
        <f>IF(OR(E2409="",E2409="!!!",F2409="NEW"),"",INDEX(B$2:B2408,-1+SUMPRODUCT(MAX(ROW(E$2:E2408)*(E2409=E$2:E2408)))))</f>
        <v/>
      </c>
      <c r="J2409" s="24" t="str">
        <f ca="1">IF(OR(E2409="",E2409="!!!",F2409="NEW"),"",COUNTBLANK(OFFSET(A$1,,,SUMPRODUCT(MAX(ROW(E$2:E2409)*(E2409=E$2:E2409)))))-COUNTBLANK(OFFSET(A$1,,,SUMPRODUCT(MAX(ROW(E$1:E2408)*(E2=E$1:E2408))))))</f>
        <v/>
      </c>
      <c r="K2409" s="24" t="str">
        <f>IF(OR(E2409="",E2409="!!!",F2409="NEW"),"",INDEX(J$1:J2408,SUMPRODUCT(MAX(ROW(E$1:E2408)*(E2409=E$1:E2408)))))</f>
        <v/>
      </c>
      <c r="L2409" s="25"/>
    </row>
    <row r="2410" spans="1:12" x14ac:dyDescent="0.2">
      <c r="A2410" t="s">
        <v>999</v>
      </c>
      <c r="E2410" s="20" t="str">
        <f t="shared" si="267"/>
        <v/>
      </c>
      <c r="F2410" s="21" t="str">
        <f>IF(OR(E2410="",E2410="!!!"),"",IF(NOT(ISNA(VLOOKUP(E2410,E$1:E2409,1,FALSE()))),"OLD",IF(AND(E2410&lt;&gt;"",E2410&lt;&gt;"!!!"),"NEW","")))</f>
        <v/>
      </c>
      <c r="G2410" s="22" t="str">
        <f>IF(OR(E2410="",E2410="!!!"),"",IF(OR(J2410=0,AND(J2410=1,K2410=1),AND(J2410=1,I2410="SBJ"),AND(J2410=1,I2410=0)),"?IN_FOCUS",IF(J2410&lt;=2,"?ACTIVATED",IF(J2410&lt;&gt;"","?FAMILIAR",IF(F2410="NEW",IF(ISNA(VLOOKUP(E2410,#REF!,1,FALSE())),"?TYPE_IDENTIFIABLE","?REFERENTIAL"),"_")))))</f>
        <v/>
      </c>
      <c r="H2410" s="23" t="str">
        <f t="shared" ca="1" si="266"/>
        <v/>
      </c>
      <c r="I2410" s="24" t="str">
        <f>IF(OR(E2410="",E2410="!!!",F2410="NEW"),"",INDEX(B$2:B2409,-1+SUMPRODUCT(MAX(ROW(E$2:E2409)*(E2410=E$2:E2409)))))</f>
        <v/>
      </c>
      <c r="J2410" s="24" t="str">
        <f ca="1">IF(OR(E2410="",E2410="!!!",F2410="NEW"),"",COUNTBLANK(OFFSET(A$1,,,SUMPRODUCT(MAX(ROW(E$2:E2410)*(E2410=E$2:E2410)))))-COUNTBLANK(OFFSET(A$1,,,SUMPRODUCT(MAX(ROW(E$1:E2409)*(E2=E$1:E2409))))))</f>
        <v/>
      </c>
      <c r="K2410" s="24" t="str">
        <f>IF(OR(E2410="",E2410="!!!",F2410="NEW"),"",INDEX(J$1:J2409,SUMPRODUCT(MAX(ROW(E$1:E2409)*(E2410=E$1:E2409)))))</f>
        <v/>
      </c>
      <c r="L2410" s="25"/>
    </row>
    <row r="2411" spans="1:12" x14ac:dyDescent="0.2">
      <c r="A2411" t="s">
        <v>833</v>
      </c>
      <c r="E2411" s="20" t="str">
        <f t="shared" si="267"/>
        <v/>
      </c>
      <c r="F2411" s="21" t="str">
        <f>IF(OR(E2411="",E2411="!!!"),"",IF(NOT(ISNA(VLOOKUP(E2411,E$1:E2410,1,FALSE()))),"OLD",IF(AND(E2411&lt;&gt;"",E2411&lt;&gt;"!!!"),"NEW","")))</f>
        <v/>
      </c>
      <c r="G2411" s="22" t="str">
        <f>IF(OR(E2411="",E2411="!!!"),"",IF(OR(J2411=0,AND(J2411=1,K2411=1),AND(J2411=1,I2411="SBJ"),AND(J2411=1,I2411=0)),"?IN_FOCUS",IF(J2411&lt;=2,"?ACTIVATED",IF(J2411&lt;&gt;"","?FAMILIAR",IF(F2411="NEW",IF(ISNA(VLOOKUP(E2411,#REF!,1,FALSE())),"?TYPE_IDENTIFIABLE","?REFERENTIAL"),"_")))))</f>
        <v/>
      </c>
      <c r="H2411" s="23" t="str">
        <f t="shared" ca="1" si="266"/>
        <v/>
      </c>
      <c r="I2411" s="24" t="str">
        <f>IF(OR(E2411="",E2411="!!!",F2411="NEW"),"",INDEX(B$2:B2410,-1+SUMPRODUCT(MAX(ROW(E$2:E2410)*(E2411=E$2:E2410)))))</f>
        <v/>
      </c>
      <c r="J2411" s="24" t="str">
        <f ca="1">IF(OR(E2411="",E2411="!!!",F2411="NEW"),"",COUNTBLANK(OFFSET(A$1,,,SUMPRODUCT(MAX(ROW(E$2:E2411)*(E2411=E$2:E2411)))))-COUNTBLANK(OFFSET(A$1,,,SUMPRODUCT(MAX(ROW(E$1:E2410)*(E2=E$1:E2410))))))</f>
        <v/>
      </c>
      <c r="K2411" s="24" t="str">
        <f>IF(OR(E2411="",E2411="!!!",F2411="NEW"),"",INDEX(J$1:J2410,SUMPRODUCT(MAX(ROW(E$1:E2410)*(E2411=E$1:E2410)))))</f>
        <v/>
      </c>
      <c r="L2411" s="25"/>
    </row>
    <row r="2412" spans="1:12" x14ac:dyDescent="0.2">
      <c r="A2412" t="s">
        <v>830</v>
      </c>
      <c r="B2412" s="26" t="s">
        <v>938</v>
      </c>
      <c r="C2412" s="26" t="s">
        <v>805</v>
      </c>
      <c r="D2412" s="26" t="s">
        <v>806</v>
      </c>
      <c r="E2412" s="20" t="s">
        <v>1802</v>
      </c>
      <c r="F2412" s="21" t="str">
        <f>IF(OR(E2412="",E2412="!!!"),"",IF(NOT(ISNA(VLOOKUP(E2412,E$1:E2411,1,FALSE()))),"OLD",IF(AND(E2412&lt;&gt;"",E2412&lt;&gt;"!!!"),"NEW","")))</f>
        <v>OLD</v>
      </c>
      <c r="G2412" s="22" t="s">
        <v>1822</v>
      </c>
      <c r="H2412" s="23" t="str">
        <f t="shared" ca="1" si="266"/>
        <v/>
      </c>
      <c r="I2412" s="24" t="str">
        <f>IF(OR(E2412="",E2412="!!!",F2412="NEW"),"",INDEX(B$2:B2411,-1+SUMPRODUCT(MAX(ROW(E$2:E2411)*(E2412=E$2:E2411)))))</f>
        <v>OBJ</v>
      </c>
      <c r="J2412" s="24">
        <f ca="1">IF(OR(E2412="",E2412="!!!",F2412="NEW"),"",COUNTBLANK(OFFSET(A$1,,,SUMPRODUCT(MAX(ROW(E$2:E2412)*(E2412=E$2:E2412)))))-COUNTBLANK(OFFSET(A$1,,,SUMPRODUCT(MAX(ROW(E$1:E2411)*(E2=E$1:E2411))))))</f>
        <v>0</v>
      </c>
      <c r="K2412" s="24" t="str">
        <f ca="1">IF(OR(E2412="",E2412="!!!",F2412="NEW"),"",INDEX(J$1:J2411,SUMPRODUCT(MAX(ROW(E$1:E2411)*(E2412=E$1:E2411)))))</f>
        <v/>
      </c>
      <c r="L2412" s="25"/>
    </row>
    <row r="2413" spans="1:12" x14ac:dyDescent="0.2">
      <c r="A2413" t="s">
        <v>1527</v>
      </c>
      <c r="E2413" s="20" t="str">
        <f t="shared" si="267"/>
        <v/>
      </c>
      <c r="F2413" s="21" t="str">
        <f>IF(OR(E2413="",E2413="!!!"),"",IF(NOT(ISNA(VLOOKUP(E2413,E$1:E2412,1,FALSE()))),"OLD",IF(AND(E2413&lt;&gt;"",E2413&lt;&gt;"!!!"),"NEW","")))</f>
        <v/>
      </c>
      <c r="G2413" s="22" t="str">
        <f>IF(OR(E2413="",E2413="!!!"),"",IF(OR(J2413=0,AND(J2413=1,K2413=1),AND(J2413=1,I2413="SBJ"),AND(J2413=1,I2413=0)),"?IN_FOCUS",IF(J2413&lt;=2,"?ACTIVATED",IF(J2413&lt;&gt;"","?FAMILIAR",IF(F2413="NEW",IF(ISNA(VLOOKUP(E2413,#REF!,1,FALSE())),"?TYPE_IDENTIFIABLE","?REFERENTIAL"),"_")))))</f>
        <v/>
      </c>
      <c r="H2413" s="23" t="str">
        <f t="shared" ca="1" si="266"/>
        <v/>
      </c>
      <c r="I2413" s="24" t="str">
        <f>IF(OR(E2413="",E2413="!!!",F2413="NEW"),"",INDEX(B$2:B2412,-1+SUMPRODUCT(MAX(ROW(E$2:E2412)*(E2413=E$2:E2412)))))</f>
        <v/>
      </c>
      <c r="J2413" s="24" t="str">
        <f ca="1">IF(OR(E2413="",E2413="!!!",F2413="NEW"),"",COUNTBLANK(OFFSET(A$1,,,SUMPRODUCT(MAX(ROW(E$2:E2413)*(E2413=E$2:E2413)))))-COUNTBLANK(OFFSET(A$1,,,SUMPRODUCT(MAX(ROW(E$1:E2412)*(E2=E$1:E2412))))))</f>
        <v/>
      </c>
      <c r="K2413" s="24" t="str">
        <f>IF(OR(E2413="",E2413="!!!",F2413="NEW"),"",INDEX(J$1:J2412,SUMPRODUCT(MAX(ROW(E$1:E2412)*(E2413=E$1:E2412)))))</f>
        <v/>
      </c>
      <c r="L2413" s="25"/>
    </row>
    <row r="2414" spans="1:12" x14ac:dyDescent="0.2">
      <c r="A2414" t="s">
        <v>802</v>
      </c>
      <c r="E2414" s="20" t="str">
        <f t="shared" si="267"/>
        <v/>
      </c>
      <c r="F2414" s="21" t="str">
        <f>IF(OR(E2414="",E2414="!!!"),"",IF(NOT(ISNA(VLOOKUP(E2414,E$1:E2413,1,FALSE()))),"OLD",IF(AND(E2414&lt;&gt;"",E2414&lt;&gt;"!!!"),"NEW","")))</f>
        <v/>
      </c>
      <c r="G2414" s="22" t="str">
        <f>IF(OR(E2414="",E2414="!!!"),"",IF(OR(J2414=0,AND(J2414=1,K2414=1),AND(J2414=1,I2414="SBJ"),AND(J2414=1,I2414=0)),"?IN_FOCUS",IF(J2414&lt;=2,"?ACTIVATED",IF(J2414&lt;&gt;"","?FAMILIAR",IF(F2414="NEW",IF(ISNA(VLOOKUP(E2414,#REF!,1,FALSE())),"?TYPE_IDENTIFIABLE","?REFERENTIAL"),"_")))))</f>
        <v/>
      </c>
      <c r="H2414" s="23" t="str">
        <f t="shared" ca="1" si="266"/>
        <v/>
      </c>
      <c r="I2414" s="24" t="str">
        <f>IF(OR(E2414="",E2414="!!!",F2414="NEW"),"",INDEX(B$2:B2413,-1+SUMPRODUCT(MAX(ROW(E$2:E2413)*(E2414=E$2:E2413)))))</f>
        <v/>
      </c>
      <c r="J2414" s="24" t="str">
        <f ca="1">IF(OR(E2414="",E2414="!!!",F2414="NEW"),"",COUNTBLANK(OFFSET(A$1,,,SUMPRODUCT(MAX(ROW(E$2:E2414)*(E2414=E$2:E2414)))))-COUNTBLANK(OFFSET(A$1,,,SUMPRODUCT(MAX(ROW(E$1:E2413)*(E2=E$1:E2413))))))</f>
        <v/>
      </c>
      <c r="K2414" s="24" t="str">
        <f>IF(OR(E2414="",E2414="!!!",F2414="NEW"),"",INDEX(J$1:J2413,SUMPRODUCT(MAX(ROW(E$1:E2413)*(E2414=E$1:E2413)))))</f>
        <v/>
      </c>
      <c r="L2414" s="25"/>
    </row>
    <row r="2415" spans="1:12" x14ac:dyDescent="0.2">
      <c r="A2415" t="s">
        <v>803</v>
      </c>
      <c r="B2415" s="26" t="s">
        <v>891</v>
      </c>
      <c r="C2415" s="26" t="s">
        <v>805</v>
      </c>
      <c r="D2415" s="26" t="s">
        <v>806</v>
      </c>
      <c r="E2415" s="20" t="s">
        <v>1747</v>
      </c>
      <c r="F2415" s="21" t="str">
        <f>IF(OR(E2415="",E2415="!!!"),"",IF(NOT(ISNA(VLOOKUP(E2415,E$1:E2414,1,FALSE()))),"OLD",IF(AND(E2415&lt;&gt;"",E2415&lt;&gt;"!!!"),"NEW","")))</f>
        <v>OLD</v>
      </c>
      <c r="G2415" s="22" t="s">
        <v>1823</v>
      </c>
      <c r="H2415" s="23" t="str">
        <f t="shared" ca="1" si="266"/>
        <v/>
      </c>
      <c r="I2415" s="24" t="str">
        <f>IF(OR(E2415="",E2415="!!!",F2415="NEW"),"",INDEX(B$2:B2414,-1+SUMPRODUCT(MAX(ROW(E$2:E2414)*(E2415=E$2:E2414)))))</f>
        <v>SBJ_2</v>
      </c>
      <c r="J2415" s="24">
        <f ca="1">IF(OR(E2415="",E2415="!!!",F2415="NEW"),"",COUNTBLANK(OFFSET(A$1,,,SUMPRODUCT(MAX(ROW(E$2:E2415)*(E2415=E$2:E2415)))))-COUNTBLANK(OFFSET(A$1,,,SUMPRODUCT(MAX(ROW(E$1:E2414)*(E2=E$1:E2414))))))</f>
        <v>0</v>
      </c>
      <c r="K2415" s="24">
        <f ca="1">IF(OR(E2415="",E2415="!!!",F2415="NEW"),"",INDEX(J$1:J2414,SUMPRODUCT(MAX(ROW(E$1:E2414)*(E2415=E$1:E2414)))))</f>
        <v>0</v>
      </c>
      <c r="L2415" s="25"/>
    </row>
    <row r="2416" spans="1:12" x14ac:dyDescent="0.2">
      <c r="A2416" t="s">
        <v>309</v>
      </c>
      <c r="E2416" s="20" t="str">
        <f t="shared" si="267"/>
        <v/>
      </c>
      <c r="F2416" s="21" t="str">
        <f>IF(OR(E2416="",E2416="!!!"),"",IF(NOT(ISNA(VLOOKUP(E2416,E$1:E2415,1,FALSE()))),"OLD",IF(AND(E2416&lt;&gt;"",E2416&lt;&gt;"!!!"),"NEW","")))</f>
        <v/>
      </c>
      <c r="G2416" s="22" t="str">
        <f>IF(OR(E2416="",E2416="!!!"),"",IF(OR(J2416=0,AND(J2416=1,K2416=1),AND(J2416=1,I2416="SBJ"),AND(J2416=1,I2416=0)),"?IN_FOCUS",IF(J2416&lt;=2,"?ACTIVATED",IF(J2416&lt;&gt;"","?FAMILIAR",IF(F2416="NEW",IF(ISNA(VLOOKUP(E2416,#REF!,1,FALSE())),"?TYPE_IDENTIFIABLE","?REFERENTIAL"),"_")))))</f>
        <v/>
      </c>
      <c r="H2416" s="23" t="str">
        <f t="shared" ca="1" si="266"/>
        <v/>
      </c>
      <c r="I2416" s="24" t="str">
        <f>IF(OR(E2416="",E2416="!!!",F2416="NEW"),"",INDEX(B$2:B2415,-1+SUMPRODUCT(MAX(ROW(E$2:E2415)*(E2416=E$2:E2415)))))</f>
        <v/>
      </c>
      <c r="J2416" s="24" t="str">
        <f ca="1">IF(OR(E2416="",E2416="!!!",F2416="NEW"),"",COUNTBLANK(OFFSET(A$1,,,SUMPRODUCT(MAX(ROW(E$2:E2416)*(E2416=E$2:E2416)))))-COUNTBLANK(OFFSET(A$1,,,SUMPRODUCT(MAX(ROW(E$1:E2415)*(E2=E$1:E2415))))))</f>
        <v/>
      </c>
      <c r="K2416" s="24" t="str">
        <f>IF(OR(E2416="",E2416="!!!",F2416="NEW"),"",INDEX(J$1:J2415,SUMPRODUCT(MAX(ROW(E$1:E2415)*(E2416=E$1:E2415)))))</f>
        <v/>
      </c>
      <c r="L2416" s="25"/>
    </row>
    <row r="2417" spans="1:12" x14ac:dyDescent="0.2">
      <c r="A2417" t="s">
        <v>999</v>
      </c>
      <c r="E2417" s="20" t="str">
        <f t="shared" si="267"/>
        <v/>
      </c>
      <c r="F2417" s="21" t="str">
        <f>IF(OR(E2417="",E2417="!!!"),"",IF(NOT(ISNA(VLOOKUP(E2417,E$1:E2416,1,FALSE()))),"OLD",IF(AND(E2417&lt;&gt;"",E2417&lt;&gt;"!!!"),"NEW","")))</f>
        <v/>
      </c>
      <c r="G2417" s="22" t="str">
        <f>IF(OR(E2417="",E2417="!!!"),"",IF(OR(J2417=0,AND(J2417=1,K2417=1),AND(J2417=1,I2417="SBJ"),AND(J2417=1,I2417=0)),"?IN_FOCUS",IF(J2417&lt;=2,"?ACTIVATED",IF(J2417&lt;&gt;"","?FAMILIAR",IF(F2417="NEW",IF(ISNA(VLOOKUP(E2417,#REF!,1,FALSE())),"?TYPE_IDENTIFIABLE","?REFERENTIAL"),"_")))))</f>
        <v/>
      </c>
      <c r="H2417" s="23" t="str">
        <f t="shared" ca="1" si="266"/>
        <v/>
      </c>
      <c r="I2417" s="24" t="str">
        <f>IF(OR(E2417="",E2417="!!!",F2417="NEW"),"",INDEX(B$2:B2416,-1+SUMPRODUCT(MAX(ROW(E$2:E2416)*(E2417=E$2:E2416)))))</f>
        <v/>
      </c>
      <c r="J2417" s="24" t="str">
        <f ca="1">IF(OR(E2417="",E2417="!!!",F2417="NEW"),"",COUNTBLANK(OFFSET(A$1,,,SUMPRODUCT(MAX(ROW(E$2:E2417)*(E2417=E$2:E2417)))))-COUNTBLANK(OFFSET(A$1,,,SUMPRODUCT(MAX(ROW(E$1:E2416)*(E2=E$1:E2416))))))</f>
        <v/>
      </c>
      <c r="K2417" s="24" t="str">
        <f>IF(OR(E2417="",E2417="!!!",F2417="NEW"),"",INDEX(J$1:J2416,SUMPRODUCT(MAX(ROW(E$1:E2416)*(E2417=E$1:E2416)))))</f>
        <v/>
      </c>
      <c r="L2417" s="25"/>
    </row>
    <row r="2418" spans="1:12" x14ac:dyDescent="0.2">
      <c r="A2418" t="s">
        <v>833</v>
      </c>
      <c r="E2418" s="20" t="str">
        <f t="shared" si="267"/>
        <v/>
      </c>
      <c r="F2418" s="21" t="str">
        <f>IF(OR(E2418="",E2418="!!!"),"",IF(NOT(ISNA(VLOOKUP(E2418,E$1:E2417,1,FALSE()))),"OLD",IF(AND(E2418&lt;&gt;"",E2418&lt;&gt;"!!!"),"NEW","")))</f>
        <v/>
      </c>
      <c r="G2418" s="22" t="str">
        <f>IF(OR(E2418="",E2418="!!!"),"",IF(OR(J2418=0,AND(J2418=1,K2418=1),AND(J2418=1,I2418="SBJ"),AND(J2418=1,I2418=0)),"?IN_FOCUS",IF(J2418&lt;=2,"?ACTIVATED",IF(J2418&lt;&gt;"","?FAMILIAR",IF(F2418="NEW",IF(ISNA(VLOOKUP(E2418,#REF!,1,FALSE())),"?TYPE_IDENTIFIABLE","?REFERENTIAL"),"_")))))</f>
        <v/>
      </c>
      <c r="H2418" s="23" t="str">
        <f t="shared" ca="1" si="266"/>
        <v/>
      </c>
      <c r="I2418" s="24" t="str">
        <f>IF(OR(E2418="",E2418="!!!",F2418="NEW"),"",INDEX(B$2:B2417,-1+SUMPRODUCT(MAX(ROW(E$2:E2417)*(E2418=E$2:E2417)))))</f>
        <v/>
      </c>
      <c r="J2418" s="24" t="str">
        <f ca="1">IF(OR(E2418="",E2418="!!!",F2418="NEW"),"",COUNTBLANK(OFFSET(A$1,,,SUMPRODUCT(MAX(ROW(E$2:E2418)*(E2418=E$2:E2418)))))-COUNTBLANK(OFFSET(A$1,,,SUMPRODUCT(MAX(ROW(E$1:E2417)*(E2=E$1:E2417))))))</f>
        <v/>
      </c>
      <c r="K2418" s="24" t="str">
        <f>IF(OR(E2418="",E2418="!!!",F2418="NEW"),"",INDEX(J$1:J2417,SUMPRODUCT(MAX(ROW(E$1:E2417)*(E2418=E$1:E2417)))))</f>
        <v/>
      </c>
      <c r="L2418" s="25"/>
    </row>
    <row r="2419" spans="1:12" x14ac:dyDescent="0.2">
      <c r="A2419" t="s">
        <v>830</v>
      </c>
      <c r="B2419" s="26" t="s">
        <v>871</v>
      </c>
      <c r="C2419" s="26" t="s">
        <v>805</v>
      </c>
      <c r="D2419" s="26" t="s">
        <v>806</v>
      </c>
      <c r="E2419" s="20" t="s">
        <v>1802</v>
      </c>
      <c r="F2419" s="21" t="str">
        <f>IF(OR(E2419="",E2419="!!!"),"",IF(NOT(ISNA(VLOOKUP(E2419,E$1:E2418,1,FALSE()))),"OLD",IF(AND(E2419&lt;&gt;"",E2419&lt;&gt;"!!!"),"NEW","")))</f>
        <v>OLD</v>
      </c>
      <c r="G2419" s="22" t="s">
        <v>1822</v>
      </c>
      <c r="H2419" s="23" t="str">
        <f t="shared" ca="1" si="266"/>
        <v/>
      </c>
      <c r="I2419" s="24" t="str">
        <f>IF(OR(E2419="",E2419="!!!",F2419="NEW"),"",INDEX(B$2:B2418,-1+SUMPRODUCT(MAX(ROW(E$2:E2418)*(E2419=E$2:E2418)))))</f>
        <v>OBJ_2</v>
      </c>
      <c r="J2419" s="24">
        <f ca="1">IF(OR(E2419="",E2419="!!!",F2419="NEW"),"",COUNTBLANK(OFFSET(A$1,,,SUMPRODUCT(MAX(ROW(E$2:E2419)*(E2419=E$2:E2419)))))-COUNTBLANK(OFFSET(A$1,,,SUMPRODUCT(MAX(ROW(E$1:E2418)*(E2=E$1:E2418))))))</f>
        <v>0</v>
      </c>
      <c r="K2419" s="24">
        <f ca="1">IF(OR(E2419="",E2419="!!!",F2419="NEW"),"",INDEX(J$1:J2418,SUMPRODUCT(MAX(ROW(E$1:E2418)*(E2419=E$1:E2418)))))</f>
        <v>0</v>
      </c>
      <c r="L2419" s="25"/>
    </row>
    <row r="2420" spans="1:12" x14ac:dyDescent="0.2">
      <c r="A2420" t="s">
        <v>1528</v>
      </c>
      <c r="E2420" s="20" t="str">
        <f t="shared" si="267"/>
        <v/>
      </c>
      <c r="F2420" s="21" t="str">
        <f>IF(OR(E2420="",E2420="!!!"),"",IF(NOT(ISNA(VLOOKUP(E2420,E$1:E2419,1,FALSE()))),"OLD",IF(AND(E2420&lt;&gt;"",E2420&lt;&gt;"!!!"),"NEW","")))</f>
        <v/>
      </c>
      <c r="G2420" s="22" t="str">
        <f>IF(OR(E2420="",E2420="!!!"),"",IF(OR(J2420=0,AND(J2420=1,K2420=1),AND(J2420=1,I2420="SBJ"),AND(J2420=1,I2420=0)),"?IN_FOCUS",IF(J2420&lt;=2,"?ACTIVATED",IF(J2420&lt;&gt;"","?FAMILIAR",IF(F2420="NEW",IF(ISNA(VLOOKUP(E2420,#REF!,1,FALSE())),"?TYPE_IDENTIFIABLE","?REFERENTIAL"),"_")))))</f>
        <v/>
      </c>
      <c r="H2420" s="23" t="str">
        <f t="shared" ca="1" si="266"/>
        <v/>
      </c>
      <c r="I2420" s="24" t="str">
        <f>IF(OR(E2420="",E2420="!!!",F2420="NEW"),"",INDEX(B$2:B2419,-1+SUMPRODUCT(MAX(ROW(E$2:E2419)*(E2420=E$2:E2419)))))</f>
        <v/>
      </c>
      <c r="J2420" s="24" t="str">
        <f ca="1">IF(OR(E2420="",E2420="!!!",F2420="NEW"),"",COUNTBLANK(OFFSET(A$1,,,SUMPRODUCT(MAX(ROW(E$2:E2420)*(E2420=E$2:E2420)))))-COUNTBLANK(OFFSET(A$1,,,SUMPRODUCT(MAX(ROW(E$1:E2419)*(E2=E$1:E2419))))))</f>
        <v/>
      </c>
      <c r="K2420" s="24" t="str">
        <f>IF(OR(E2420="",E2420="!!!",F2420="NEW"),"",INDEX(J$1:J2419,SUMPRODUCT(MAX(ROW(E$1:E2419)*(E2420=E$1:E2419)))))</f>
        <v/>
      </c>
      <c r="L2420" s="25"/>
    </row>
    <row r="2421" spans="1:12" x14ac:dyDescent="0.2">
      <c r="A2421" t="s">
        <v>821</v>
      </c>
      <c r="E2421" s="20" t="str">
        <f t="shared" si="267"/>
        <v/>
      </c>
      <c r="F2421" s="21" t="str">
        <f>IF(OR(E2421="",E2421="!!!"),"",IF(NOT(ISNA(VLOOKUP(E2421,E$1:E2420,1,FALSE()))),"OLD",IF(AND(E2421&lt;&gt;"",E2421&lt;&gt;"!!!"),"NEW","")))</f>
        <v/>
      </c>
      <c r="G2421" s="22" t="str">
        <f>IF(OR(E2421="",E2421="!!!"),"",IF(OR(J2421=0,AND(J2421=1,K2421=1),AND(J2421=1,I2421="SBJ"),AND(J2421=1,I2421=0)),"?IN_FOCUS",IF(J2421&lt;=2,"?ACTIVATED",IF(J2421&lt;&gt;"","?FAMILIAR",IF(F2421="NEW",IF(ISNA(VLOOKUP(E2421,#REF!,1,FALSE())),"?TYPE_IDENTIFIABLE","?REFERENTIAL"),"_")))))</f>
        <v/>
      </c>
      <c r="H2421" s="23" t="str">
        <f t="shared" ca="1" si="266"/>
        <v/>
      </c>
      <c r="I2421" s="24" t="str">
        <f>IF(OR(E2421="",E2421="!!!",F2421="NEW"),"",INDEX(B$2:B2420,-1+SUMPRODUCT(MAX(ROW(E$2:E2420)*(E2421=E$2:E2420)))))</f>
        <v/>
      </c>
      <c r="J2421" s="24" t="str">
        <f ca="1">IF(OR(E2421="",E2421="!!!",F2421="NEW"),"",COUNTBLANK(OFFSET(A$1,,,SUMPRODUCT(MAX(ROW(E$2:E2421)*(E2421=E$2:E2421)))))-COUNTBLANK(OFFSET(A$1,,,SUMPRODUCT(MAX(ROW(E$1:E2420)*(E2=E$1:E2420))))))</f>
        <v/>
      </c>
      <c r="K2421" s="24" t="str">
        <f>IF(OR(E2421="",E2421="!!!",F2421="NEW"),"",INDEX(J$1:J2420,SUMPRODUCT(MAX(ROW(E$1:E2420)*(E2421=E$1:E2420)))))</f>
        <v/>
      </c>
      <c r="L2421" s="25"/>
    </row>
    <row r="2423" spans="1:12" x14ac:dyDescent="0.2">
      <c r="A2423" t="s">
        <v>1529</v>
      </c>
    </row>
    <row r="2424" spans="1:12" x14ac:dyDescent="0.2">
      <c r="A2424" t="s">
        <v>837</v>
      </c>
      <c r="B2424" s="26" t="s">
        <v>804</v>
      </c>
      <c r="C2424" s="26" t="s">
        <v>805</v>
      </c>
      <c r="D2424" s="26" t="s">
        <v>806</v>
      </c>
      <c r="E2424" s="20" t="s">
        <v>1802</v>
      </c>
      <c r="F2424" s="21" t="str">
        <f>IF(OR(E2424="",E2424="!!!"),"",IF(NOT(ISNA(VLOOKUP(E2424,E$1:E2423,1,FALSE()))),"OLD",IF(AND(E2424&lt;&gt;"",E2424&lt;&gt;"!!!"),"NEW","")))</f>
        <v>OLD</v>
      </c>
      <c r="G2424" s="22" t="s">
        <v>1823</v>
      </c>
      <c r="H2424" s="23" t="str">
        <f t="shared" ref="H2424:H2433" ca="1" si="268">IF(J2424&lt;&gt;1,"",IF(I2424="SBJ","CB","?"))</f>
        <v/>
      </c>
      <c r="I2424" s="24" t="str">
        <f>IF(OR(E2424="",E2424="!!!",F2424="NEW"),"",INDEX(B$2:B2423,-1+SUMPRODUCT(MAX(ROW(E$2:E2423)*(E2424=E$2:E2423)))))</f>
        <v>OBJ_3</v>
      </c>
      <c r="J2424" s="24">
        <f ca="1">IF(OR(E2424="",E2424="!!!",F2424="NEW"),"",COUNTBLANK(OFFSET(A$1,,,SUMPRODUCT(MAX(ROW(E$2:E2424)*(E2424=E$2:E2424)))))-COUNTBLANK(OFFSET(A$1,,,SUMPRODUCT(MAX(ROW(E$1:E2423)*(E2=E$1:E2423))))))</f>
        <v>0</v>
      </c>
      <c r="K2424" s="24">
        <f ca="1">IF(OR(E2424="",E2424="!!!",F2424="NEW"),"",INDEX(J$1:J2423,SUMPRODUCT(MAX(ROW(E$1:E2423)*(E2424=E$1:E2423)))))</f>
        <v>0</v>
      </c>
      <c r="L2424" s="25"/>
    </row>
    <row r="2425" spans="1:12" x14ac:dyDescent="0.2">
      <c r="A2425" t="s">
        <v>898</v>
      </c>
      <c r="E2425" s="20" t="str">
        <f t="shared" ref="E2424:E2433" si="269">IF(D2425="?OLD","!!!","")</f>
        <v/>
      </c>
      <c r="F2425" s="21" t="str">
        <f>IF(OR(E2425="",E2425="!!!"),"",IF(NOT(ISNA(VLOOKUP(E2425,E$1:E2424,1,FALSE()))),"OLD",IF(AND(E2425&lt;&gt;"",E2425&lt;&gt;"!!!"),"NEW","")))</f>
        <v/>
      </c>
      <c r="G2425" s="22" t="str">
        <f>IF(OR(E2425="",E2425="!!!"),"",IF(OR(J2425=0,AND(J2425=1,K2425=1),AND(J2425=1,I2425="SBJ"),AND(J2425=1,I2425=0)),"?IN_FOCUS",IF(J2425&lt;=2,"?ACTIVATED",IF(J2425&lt;&gt;"","?FAMILIAR",IF(F2425="NEW",IF(ISNA(VLOOKUP(E2425,#REF!,1,FALSE())),"?TYPE_IDENTIFIABLE","?REFERENTIAL"),"_")))))</f>
        <v/>
      </c>
      <c r="H2425" s="23" t="str">
        <f t="shared" ca="1" si="268"/>
        <v/>
      </c>
      <c r="I2425" s="24" t="str">
        <f>IF(OR(E2425="",E2425="!!!",F2425="NEW"),"",INDEX(B$2:B2424,-1+SUMPRODUCT(MAX(ROW(E$2:E2424)*(E2425=E$2:E2424)))))</f>
        <v/>
      </c>
      <c r="J2425" s="24" t="str">
        <f ca="1">IF(OR(E2425="",E2425="!!!",F2425="NEW"),"",COUNTBLANK(OFFSET(A$1,,,SUMPRODUCT(MAX(ROW(E$2:E2425)*(E2425=E$2:E2425)))))-COUNTBLANK(OFFSET(A$1,,,SUMPRODUCT(MAX(ROW(E$1:E2424)*(E2=E$1:E2424))))))</f>
        <v/>
      </c>
      <c r="K2425" s="24" t="str">
        <f>IF(OR(E2425="",E2425="!!!",F2425="NEW"),"",INDEX(J$1:J2424,SUMPRODUCT(MAX(ROW(E$1:E2424)*(E2425=E$1:E2424)))))</f>
        <v/>
      </c>
      <c r="L2425" s="25"/>
    </row>
    <row r="2426" spans="1:12" x14ac:dyDescent="0.2">
      <c r="A2426" t="s">
        <v>1060</v>
      </c>
      <c r="E2426" s="20" t="str">
        <f t="shared" si="269"/>
        <v/>
      </c>
      <c r="F2426" s="21" t="str">
        <f>IF(OR(E2426="",E2426="!!!"),"",IF(NOT(ISNA(VLOOKUP(E2426,E$1:E2425,1,FALSE()))),"OLD",IF(AND(E2426&lt;&gt;"",E2426&lt;&gt;"!!!"),"NEW","")))</f>
        <v/>
      </c>
      <c r="G2426" s="22" t="str">
        <f>IF(OR(E2426="",E2426="!!!"),"",IF(OR(J2426=0,AND(J2426=1,K2426=1),AND(J2426=1,I2426="SBJ"),AND(J2426=1,I2426=0)),"?IN_FOCUS",IF(J2426&lt;=2,"?ACTIVATED",IF(J2426&lt;&gt;"","?FAMILIAR",IF(F2426="NEW",IF(ISNA(VLOOKUP(E2426,#REF!,1,FALSE())),"?TYPE_IDENTIFIABLE","?REFERENTIAL"),"_")))))</f>
        <v/>
      </c>
      <c r="H2426" s="23" t="str">
        <f t="shared" ca="1" si="268"/>
        <v/>
      </c>
      <c r="I2426" s="24" t="str">
        <f>IF(OR(E2426="",E2426="!!!",F2426="NEW"),"",INDEX(B$2:B2425,-1+SUMPRODUCT(MAX(ROW(E$2:E2425)*(E2426=E$2:E2425)))))</f>
        <v/>
      </c>
      <c r="J2426" s="24" t="str">
        <f ca="1">IF(OR(E2426="",E2426="!!!",F2426="NEW"),"",COUNTBLANK(OFFSET(A$1,,,SUMPRODUCT(MAX(ROW(E$2:E2426)*(E2426=E$2:E2426)))))-COUNTBLANK(OFFSET(A$1,,,SUMPRODUCT(MAX(ROW(E$1:E2425)*(E2=E$1:E2425))))))</f>
        <v/>
      </c>
      <c r="K2426" s="24" t="str">
        <f>IF(OR(E2426="",E2426="!!!",F2426="NEW"),"",INDEX(J$1:J2425,SUMPRODUCT(MAX(ROW(E$1:E2425)*(E2426=E$1:E2425)))))</f>
        <v/>
      </c>
      <c r="L2426" s="25"/>
    </row>
    <row r="2427" spans="1:12" x14ac:dyDescent="0.2">
      <c r="A2427" t="s">
        <v>1530</v>
      </c>
      <c r="E2427" s="20" t="str">
        <f t="shared" si="269"/>
        <v/>
      </c>
      <c r="F2427" s="21" t="str">
        <f>IF(OR(E2427="",E2427="!!!"),"",IF(NOT(ISNA(VLOOKUP(E2427,E$1:E2426,1,FALSE()))),"OLD",IF(AND(E2427&lt;&gt;"",E2427&lt;&gt;"!!!"),"NEW","")))</f>
        <v/>
      </c>
      <c r="G2427" s="22" t="str">
        <f>IF(OR(E2427="",E2427="!!!"),"",IF(OR(J2427=0,AND(J2427=1,K2427=1),AND(J2427=1,I2427="SBJ"),AND(J2427=1,I2427=0)),"?IN_FOCUS",IF(J2427&lt;=2,"?ACTIVATED",IF(J2427&lt;&gt;"","?FAMILIAR",IF(F2427="NEW",IF(ISNA(VLOOKUP(E2427,#REF!,1,FALSE())),"?TYPE_IDENTIFIABLE","?REFERENTIAL"),"_")))))</f>
        <v/>
      </c>
      <c r="H2427" s="23" t="str">
        <f t="shared" ca="1" si="268"/>
        <v/>
      </c>
      <c r="I2427" s="24" t="str">
        <f>IF(OR(E2427="",E2427="!!!",F2427="NEW"),"",INDEX(B$2:B2426,-1+SUMPRODUCT(MAX(ROW(E$2:E2426)*(E2427=E$2:E2426)))))</f>
        <v/>
      </c>
      <c r="J2427" s="24" t="str">
        <f ca="1">IF(OR(E2427="",E2427="!!!",F2427="NEW"),"",COUNTBLANK(OFFSET(A$1,,,SUMPRODUCT(MAX(ROW(E$2:E2427)*(E2427=E$2:E2427)))))-COUNTBLANK(OFFSET(A$1,,,SUMPRODUCT(MAX(ROW(E$1:E2426)*(E2=E$1:E2426))))))</f>
        <v/>
      </c>
      <c r="K2427" s="24" t="str">
        <f>IF(OR(E2427="",E2427="!!!",F2427="NEW"),"",INDEX(J$1:J2426,SUMPRODUCT(MAX(ROW(E$1:E2426)*(E2427=E$1:E2426)))))</f>
        <v/>
      </c>
      <c r="L2427" s="25"/>
    </row>
    <row r="2428" spans="1:12" x14ac:dyDescent="0.2">
      <c r="A2428" t="s">
        <v>802</v>
      </c>
      <c r="E2428" s="20" t="str">
        <f t="shared" si="269"/>
        <v/>
      </c>
      <c r="F2428" s="21" t="str">
        <f>IF(OR(E2428="",E2428="!!!"),"",IF(NOT(ISNA(VLOOKUP(E2428,E$1:E2427,1,FALSE()))),"OLD",IF(AND(E2428&lt;&gt;"",E2428&lt;&gt;"!!!"),"NEW","")))</f>
        <v/>
      </c>
      <c r="G2428" s="22" t="str">
        <f>IF(OR(E2428="",E2428="!!!"),"",IF(OR(J2428=0,AND(J2428=1,K2428=1),AND(J2428=1,I2428="SBJ"),AND(J2428=1,I2428=0)),"?IN_FOCUS",IF(J2428&lt;=2,"?ACTIVATED",IF(J2428&lt;&gt;"","?FAMILIAR",IF(F2428="NEW",IF(ISNA(VLOOKUP(E2428,#REF!,1,FALSE())),"?TYPE_IDENTIFIABLE","?REFERENTIAL"),"_")))))</f>
        <v/>
      </c>
      <c r="H2428" s="23" t="str">
        <f t="shared" ca="1" si="268"/>
        <v/>
      </c>
      <c r="I2428" s="24" t="str">
        <f>IF(OR(E2428="",E2428="!!!",F2428="NEW"),"",INDEX(B$2:B2427,-1+SUMPRODUCT(MAX(ROW(E$2:E2427)*(E2428=E$2:E2427)))))</f>
        <v/>
      </c>
      <c r="J2428" s="24" t="str">
        <f ca="1">IF(OR(E2428="",E2428="!!!",F2428="NEW"),"",COUNTBLANK(OFFSET(A$1,,,SUMPRODUCT(MAX(ROW(E$2:E2428)*(E2428=E$2:E2428)))))-COUNTBLANK(OFFSET(A$1,,,SUMPRODUCT(MAX(ROW(E$1:E2427)*(E2=E$1:E2427))))))</f>
        <v/>
      </c>
      <c r="K2428" s="24" t="str">
        <f>IF(OR(E2428="",E2428="!!!",F2428="NEW"),"",INDEX(J$1:J2427,SUMPRODUCT(MAX(ROW(E$1:E2427)*(E2428=E$1:E2427)))))</f>
        <v/>
      </c>
      <c r="L2428" s="25"/>
    </row>
    <row r="2429" spans="1:12" x14ac:dyDescent="0.2">
      <c r="A2429" t="s">
        <v>1531</v>
      </c>
      <c r="E2429" s="20" t="str">
        <f t="shared" si="269"/>
        <v/>
      </c>
      <c r="F2429" s="21" t="str">
        <f>IF(OR(E2429="",E2429="!!!"),"",IF(NOT(ISNA(VLOOKUP(E2429,E$1:E2428,1,FALSE()))),"OLD",IF(AND(E2429&lt;&gt;"",E2429&lt;&gt;"!!!"),"NEW","")))</f>
        <v/>
      </c>
      <c r="G2429" s="22" t="str">
        <f>IF(OR(E2429="",E2429="!!!"),"",IF(OR(J2429=0,AND(J2429=1,K2429=1),AND(J2429=1,I2429="SBJ"),AND(J2429=1,I2429=0)),"?IN_FOCUS",IF(J2429&lt;=2,"?ACTIVATED",IF(J2429&lt;&gt;"","?FAMILIAR",IF(F2429="NEW",IF(ISNA(VLOOKUP(E2429,#REF!,1,FALSE())),"?TYPE_IDENTIFIABLE","?REFERENTIAL"),"_")))))</f>
        <v/>
      </c>
      <c r="H2429" s="23" t="str">
        <f t="shared" ca="1" si="268"/>
        <v/>
      </c>
      <c r="I2429" s="24" t="str">
        <f>IF(OR(E2429="",E2429="!!!",F2429="NEW"),"",INDEX(B$2:B2428,-1+SUMPRODUCT(MAX(ROW(E$2:E2428)*(E2429=E$2:E2428)))))</f>
        <v/>
      </c>
      <c r="J2429" s="24" t="str">
        <f ca="1">IF(OR(E2429="",E2429="!!!",F2429="NEW"),"",COUNTBLANK(OFFSET(A$1,,,SUMPRODUCT(MAX(ROW(E$2:E2429)*(E2429=E$2:E2429)))))-COUNTBLANK(OFFSET(A$1,,,SUMPRODUCT(MAX(ROW(E$1:E2428)*(E2=E$1:E2428))))))</f>
        <v/>
      </c>
      <c r="K2429" s="24" t="str">
        <f>IF(OR(E2429="",E2429="!!!",F2429="NEW"),"",INDEX(J$1:J2428,SUMPRODUCT(MAX(ROW(E$1:E2428)*(E2429=E$1:E2428)))))</f>
        <v/>
      </c>
      <c r="L2429" s="25"/>
    </row>
    <row r="2430" spans="1:12" x14ac:dyDescent="0.2">
      <c r="A2430" t="s">
        <v>16</v>
      </c>
      <c r="E2430" s="20" t="str">
        <f t="shared" si="269"/>
        <v/>
      </c>
      <c r="F2430" s="21" t="str">
        <f>IF(OR(E2430="",E2430="!!!"),"",IF(NOT(ISNA(VLOOKUP(E2430,E$1:E2429,1,FALSE()))),"OLD",IF(AND(E2430&lt;&gt;"",E2430&lt;&gt;"!!!"),"NEW","")))</f>
        <v/>
      </c>
      <c r="G2430" s="22" t="str">
        <f>IF(OR(E2430="",E2430="!!!"),"",IF(OR(J2430=0,AND(J2430=1,K2430=1),AND(J2430=1,I2430="SBJ"),AND(J2430=1,I2430=0)),"?IN_FOCUS",IF(J2430&lt;=2,"?ACTIVATED",IF(J2430&lt;&gt;"","?FAMILIAR",IF(F2430="NEW",IF(ISNA(VLOOKUP(E2430,#REF!,1,FALSE())),"?TYPE_IDENTIFIABLE","?REFERENTIAL"),"_")))))</f>
        <v/>
      </c>
      <c r="H2430" s="23" t="str">
        <f t="shared" ca="1" si="268"/>
        <v/>
      </c>
      <c r="I2430" s="24" t="str">
        <f>IF(OR(E2430="",E2430="!!!",F2430="NEW"),"",INDEX(B$2:B2429,-1+SUMPRODUCT(MAX(ROW(E$2:E2429)*(E2430=E$2:E2429)))))</f>
        <v/>
      </c>
      <c r="J2430" s="24" t="str">
        <f ca="1">IF(OR(E2430="",E2430="!!!",F2430="NEW"),"",COUNTBLANK(OFFSET(A$1,,,SUMPRODUCT(MAX(ROW(E$2:E2430)*(E2430=E$2:E2430)))))-COUNTBLANK(OFFSET(A$1,,,SUMPRODUCT(MAX(ROW(E$1:E2429)*(E2=E$1:E2429))))))</f>
        <v/>
      </c>
      <c r="K2430" s="24" t="str">
        <f>IF(OR(E2430="",E2430="!!!",F2430="NEW"),"",INDEX(J$1:J2429,SUMPRODUCT(MAX(ROW(E$1:E2429)*(E2430=E$1:E2429)))))</f>
        <v/>
      </c>
      <c r="L2430" s="25"/>
    </row>
    <row r="2431" spans="1:12" x14ac:dyDescent="0.2">
      <c r="A2431" t="s">
        <v>833</v>
      </c>
      <c r="E2431" s="20" t="str">
        <f t="shared" si="269"/>
        <v/>
      </c>
      <c r="F2431" s="21" t="str">
        <f>IF(OR(E2431="",E2431="!!!"),"",IF(NOT(ISNA(VLOOKUP(E2431,E$1:E2430,1,FALSE()))),"OLD",IF(AND(E2431&lt;&gt;"",E2431&lt;&gt;"!!!"),"NEW","")))</f>
        <v/>
      </c>
      <c r="G2431" s="22" t="str">
        <f>IF(OR(E2431="",E2431="!!!"),"",IF(OR(J2431=0,AND(J2431=1,K2431=1),AND(J2431=1,I2431="SBJ"),AND(J2431=1,I2431=0)),"?IN_FOCUS",IF(J2431&lt;=2,"?ACTIVATED",IF(J2431&lt;&gt;"","?FAMILIAR",IF(F2431="NEW",IF(ISNA(VLOOKUP(E2431,#REF!,1,FALSE())),"?TYPE_IDENTIFIABLE","?REFERENTIAL"),"_")))))</f>
        <v/>
      </c>
      <c r="H2431" s="23" t="str">
        <f t="shared" ca="1" si="268"/>
        <v/>
      </c>
      <c r="I2431" s="24" t="str">
        <f>IF(OR(E2431="",E2431="!!!",F2431="NEW"),"",INDEX(B$2:B2430,-1+SUMPRODUCT(MAX(ROW(E$2:E2430)*(E2431=E$2:E2430)))))</f>
        <v/>
      </c>
      <c r="J2431" s="24" t="str">
        <f ca="1">IF(OR(E2431="",E2431="!!!",F2431="NEW"),"",COUNTBLANK(OFFSET(A$1,,,SUMPRODUCT(MAX(ROW(E$2:E2431)*(E2431=E$2:E2431)))))-COUNTBLANK(OFFSET(A$1,,,SUMPRODUCT(MAX(ROW(E$1:E2430)*(E2=E$1:E2430))))))</f>
        <v/>
      </c>
      <c r="K2431" s="24" t="str">
        <f>IF(OR(E2431="",E2431="!!!",F2431="NEW"),"",INDEX(J$1:J2430,SUMPRODUCT(MAX(ROW(E$1:E2430)*(E2431=E$1:E2430)))))</f>
        <v/>
      </c>
      <c r="L2431" s="25"/>
    </row>
    <row r="2432" spans="1:12" x14ac:dyDescent="0.2">
      <c r="A2432" t="s">
        <v>1532</v>
      </c>
      <c r="B2432" s="26" t="s">
        <v>819</v>
      </c>
      <c r="C2432" s="26" t="s">
        <v>814</v>
      </c>
      <c r="E2432" s="20" t="str">
        <f t="shared" si="269"/>
        <v/>
      </c>
      <c r="F2432" s="21" t="str">
        <f>IF(OR(E2432="",E2432="!!!"),"",IF(NOT(ISNA(VLOOKUP(E2432,E$1:E2431,1,FALSE()))),"OLD",IF(AND(E2432&lt;&gt;"",E2432&lt;&gt;"!!!"),"NEW","")))</f>
        <v/>
      </c>
      <c r="G2432" s="22" t="str">
        <f>IF(OR(E2432="",E2432="!!!"),"",IF(OR(J2432=0,AND(J2432=1,K2432=1),AND(J2432=1,I2432="SBJ"),AND(J2432=1,I2432=0)),"?IN_FOCUS",IF(J2432&lt;=2,"?ACTIVATED",IF(J2432&lt;&gt;"","?FAMILIAR",IF(F2432="NEW",IF(ISNA(VLOOKUP(E2432,#REF!,1,FALSE())),"?TYPE_IDENTIFIABLE","?REFERENTIAL"),"_")))))</f>
        <v/>
      </c>
      <c r="H2432" s="23" t="str">
        <f t="shared" ca="1" si="268"/>
        <v/>
      </c>
      <c r="I2432" s="24" t="str">
        <f>IF(OR(E2432="",E2432="!!!",F2432="NEW"),"",INDEX(B$2:B2431,-1+SUMPRODUCT(MAX(ROW(E$2:E2431)*(E2432=E$2:E2431)))))</f>
        <v/>
      </c>
      <c r="J2432" s="24" t="str">
        <f ca="1">IF(OR(E2432="",E2432="!!!",F2432="NEW"),"",COUNTBLANK(OFFSET(A$1,,,SUMPRODUCT(MAX(ROW(E$2:E2432)*(E2432=E$2:E2432)))))-COUNTBLANK(OFFSET(A$1,,,SUMPRODUCT(MAX(ROW(E$1:E2431)*(E2=E$1:E2431))))))</f>
        <v/>
      </c>
      <c r="K2432" s="24" t="str">
        <f>IF(OR(E2432="",E2432="!!!",F2432="NEW"),"",INDEX(J$1:J2431,SUMPRODUCT(MAX(ROW(E$1:E2431)*(E2432=E$1:E2431)))))</f>
        <v/>
      </c>
      <c r="L2432" s="25"/>
    </row>
    <row r="2433" spans="1:12" x14ac:dyDescent="0.2">
      <c r="A2433" t="s">
        <v>821</v>
      </c>
      <c r="E2433" s="20" t="str">
        <f t="shared" si="269"/>
        <v/>
      </c>
      <c r="F2433" s="21" t="str">
        <f>IF(OR(E2433="",E2433="!!!"),"",IF(NOT(ISNA(VLOOKUP(E2433,E$1:E2432,1,FALSE()))),"OLD",IF(AND(E2433&lt;&gt;"",E2433&lt;&gt;"!!!"),"NEW","")))</f>
        <v/>
      </c>
      <c r="G2433" s="22" t="str">
        <f>IF(OR(E2433="",E2433="!!!"),"",IF(OR(J2433=0,AND(J2433=1,K2433=1),AND(J2433=1,I2433="SBJ"),AND(J2433=1,I2433=0)),"?IN_FOCUS",IF(J2433&lt;=2,"?ACTIVATED",IF(J2433&lt;&gt;"","?FAMILIAR",IF(F2433="NEW",IF(ISNA(VLOOKUP(E2433,#REF!,1,FALSE())),"?TYPE_IDENTIFIABLE","?REFERENTIAL"),"_")))))</f>
        <v/>
      </c>
      <c r="H2433" s="23" t="str">
        <f t="shared" ca="1" si="268"/>
        <v/>
      </c>
      <c r="I2433" s="24" t="str">
        <f>IF(OR(E2433="",E2433="!!!",F2433="NEW"),"",INDEX(B$2:B2432,-1+SUMPRODUCT(MAX(ROW(E$2:E2432)*(E2433=E$2:E2432)))))</f>
        <v/>
      </c>
      <c r="J2433" s="24" t="str">
        <f ca="1">IF(OR(E2433="",E2433="!!!",F2433="NEW"),"",COUNTBLANK(OFFSET(A$1,,,SUMPRODUCT(MAX(ROW(E$2:E2433)*(E2433=E$2:E2433)))))-COUNTBLANK(OFFSET(A$1,,,SUMPRODUCT(MAX(ROW(E$1:E2432)*(E2=E$1:E2432))))))</f>
        <v/>
      </c>
      <c r="K2433" s="24" t="str">
        <f>IF(OR(E2433="",E2433="!!!",F2433="NEW"),"",INDEX(J$1:J2432,SUMPRODUCT(MAX(ROW(E$1:E2432)*(E2433=E$1:E2432)))))</f>
        <v/>
      </c>
      <c r="L2433" s="25"/>
    </row>
    <row r="2435" spans="1:12" x14ac:dyDescent="0.2">
      <c r="A2435" t="s">
        <v>1533</v>
      </c>
    </row>
    <row r="2436" spans="1:12" x14ac:dyDescent="0.2">
      <c r="A2436" t="s">
        <v>803</v>
      </c>
      <c r="B2436" s="26" t="s">
        <v>804</v>
      </c>
      <c r="C2436" s="26" t="s">
        <v>805</v>
      </c>
      <c r="D2436" s="26" t="s">
        <v>806</v>
      </c>
      <c r="E2436" s="20" t="s">
        <v>1747</v>
      </c>
      <c r="F2436" s="21" t="str">
        <f>IF(OR(E2436="",E2436="!!!"),"",IF(NOT(ISNA(VLOOKUP(E2436,E$1:E2435,1,FALSE()))),"OLD",IF(AND(E2436&lt;&gt;"",E2436&lt;&gt;"!!!"),"NEW","")))</f>
        <v>OLD</v>
      </c>
      <c r="G2436" s="22" t="s">
        <v>1823</v>
      </c>
      <c r="H2436" s="23" t="str">
        <f t="shared" ref="H2436:H2442" ca="1" si="270">IF(J2436&lt;&gt;1,"",IF(I2436="SBJ","CB","?"))</f>
        <v/>
      </c>
      <c r="I2436" s="24" t="str">
        <f>IF(OR(E2436="",E2436="!!!",F2436="NEW"),"",INDEX(B$2:B2435,-1+SUMPRODUCT(MAX(ROW(E$2:E2435)*(E2436=E$2:E2435)))))</f>
        <v>SBJ_3</v>
      </c>
      <c r="J2436" s="24">
        <f ca="1">IF(OR(E2436="",E2436="!!!",F2436="NEW"),"",COUNTBLANK(OFFSET(A$1,,,SUMPRODUCT(MAX(ROW(E$2:E2436)*(E2436=E$2:E2436)))))-COUNTBLANK(OFFSET(A$1,,,SUMPRODUCT(MAX(ROW(E$1:E2435)*(E2=E$1:E2435))))))</f>
        <v>0</v>
      </c>
      <c r="K2436" s="24">
        <f ca="1">IF(OR(E2436="",E2436="!!!",F2436="NEW"),"",INDEX(J$1:J2435,SUMPRODUCT(MAX(ROW(E$1:E2435)*(E2436=E$1:E2435)))))</f>
        <v>0</v>
      </c>
      <c r="L2436" s="25"/>
    </row>
    <row r="2437" spans="1:12" x14ac:dyDescent="0.2">
      <c r="A2437" t="s">
        <v>954</v>
      </c>
      <c r="E2437" s="20" t="str">
        <f t="shared" ref="E2436:E2442" si="271">IF(D2437="?OLD","!!!","")</f>
        <v/>
      </c>
      <c r="F2437" s="21" t="str">
        <f>IF(OR(E2437="",E2437="!!!"),"",IF(NOT(ISNA(VLOOKUP(E2437,E$1:E2436,1,FALSE()))),"OLD",IF(AND(E2437&lt;&gt;"",E2437&lt;&gt;"!!!"),"NEW","")))</f>
        <v/>
      </c>
      <c r="G2437" s="22" t="str">
        <f>IF(OR(E2437="",E2437="!!!"),"",IF(OR(J2437=0,AND(J2437=1,K2437=1),AND(J2437=1,I2437="SBJ"),AND(J2437=1,I2437=0)),"?IN_FOCUS",IF(J2437&lt;=2,"?ACTIVATED",IF(J2437&lt;&gt;"","?FAMILIAR",IF(F2437="NEW",IF(ISNA(VLOOKUP(E2437,#REF!,1,FALSE())),"?TYPE_IDENTIFIABLE","?REFERENTIAL"),"_")))))</f>
        <v/>
      </c>
      <c r="H2437" s="23" t="str">
        <f t="shared" ca="1" si="270"/>
        <v/>
      </c>
      <c r="I2437" s="24" t="str">
        <f>IF(OR(E2437="",E2437="!!!",F2437="NEW"),"",INDEX(B$2:B2436,-1+SUMPRODUCT(MAX(ROW(E$2:E2436)*(E2437=E$2:E2436)))))</f>
        <v/>
      </c>
      <c r="J2437" s="24" t="str">
        <f ca="1">IF(OR(E2437="",E2437="!!!",F2437="NEW"),"",COUNTBLANK(OFFSET(A$1,,,SUMPRODUCT(MAX(ROW(E$2:E2437)*(E2437=E$2:E2437)))))-COUNTBLANK(OFFSET(A$1,,,SUMPRODUCT(MAX(ROW(E$1:E2436)*(E2=E$1:E2436))))))</f>
        <v/>
      </c>
      <c r="K2437" s="24" t="str">
        <f>IF(OR(E2437="",E2437="!!!",F2437="NEW"),"",INDEX(J$1:J2436,SUMPRODUCT(MAX(ROW(E$1:E2436)*(E2437=E$1:E2436)))))</f>
        <v/>
      </c>
      <c r="L2437" s="25"/>
    </row>
    <row r="2438" spans="1:12" x14ac:dyDescent="0.2">
      <c r="A2438" t="s">
        <v>1279</v>
      </c>
      <c r="E2438" s="20" t="str">
        <f t="shared" si="271"/>
        <v/>
      </c>
      <c r="F2438" s="21" t="str">
        <f>IF(OR(E2438="",E2438="!!!"),"",IF(NOT(ISNA(VLOOKUP(E2438,E$1:E2437,1,FALSE()))),"OLD",IF(AND(E2438&lt;&gt;"",E2438&lt;&gt;"!!!"),"NEW","")))</f>
        <v/>
      </c>
      <c r="G2438" s="22" t="str">
        <f>IF(OR(E2438="",E2438="!!!"),"",IF(OR(J2438=0,AND(J2438=1,K2438=1),AND(J2438=1,I2438="SBJ"),AND(J2438=1,I2438=0)),"?IN_FOCUS",IF(J2438&lt;=2,"?ACTIVATED",IF(J2438&lt;&gt;"","?FAMILIAR",IF(F2438="NEW",IF(ISNA(VLOOKUP(E2438,#REF!,1,FALSE())),"?TYPE_IDENTIFIABLE","?REFERENTIAL"),"_")))))</f>
        <v/>
      </c>
      <c r="H2438" s="23" t="str">
        <f t="shared" ca="1" si="270"/>
        <v/>
      </c>
      <c r="I2438" s="24" t="str">
        <f>IF(OR(E2438="",E2438="!!!",F2438="NEW"),"",INDEX(B$2:B2437,-1+SUMPRODUCT(MAX(ROW(E$2:E2437)*(E2438=E$2:E2437)))))</f>
        <v/>
      </c>
      <c r="J2438" s="24" t="str">
        <f ca="1">IF(OR(E2438="",E2438="!!!",F2438="NEW"),"",COUNTBLANK(OFFSET(A$1,,,SUMPRODUCT(MAX(ROW(E$2:E2438)*(E2438=E$2:E2438)))))-COUNTBLANK(OFFSET(A$1,,,SUMPRODUCT(MAX(ROW(E$1:E2437)*(E2=E$1:E2437))))))</f>
        <v/>
      </c>
      <c r="K2438" s="24" t="str">
        <f>IF(OR(E2438="",E2438="!!!",F2438="NEW"),"",INDEX(J$1:J2437,SUMPRODUCT(MAX(ROW(E$1:E2437)*(E2438=E$1:E2437)))))</f>
        <v/>
      </c>
      <c r="L2438" s="25"/>
    </row>
    <row r="2439" spans="1:12" x14ac:dyDescent="0.2">
      <c r="A2439" t="s">
        <v>1195</v>
      </c>
      <c r="E2439" s="20" t="str">
        <f t="shared" si="271"/>
        <v/>
      </c>
      <c r="F2439" s="21" t="str">
        <f>IF(OR(E2439="",E2439="!!!"),"",IF(NOT(ISNA(VLOOKUP(E2439,E$1:E2438,1,FALSE()))),"OLD",IF(AND(E2439&lt;&gt;"",E2439&lt;&gt;"!!!"),"NEW","")))</f>
        <v/>
      </c>
      <c r="G2439" s="22" t="str">
        <f>IF(OR(E2439="",E2439="!!!"),"",IF(OR(J2439=0,AND(J2439=1,K2439=1),AND(J2439=1,I2439="SBJ"),AND(J2439=1,I2439=0)),"?IN_FOCUS",IF(J2439&lt;=2,"?ACTIVATED",IF(J2439&lt;&gt;"","?FAMILIAR",IF(F2439="NEW",IF(ISNA(VLOOKUP(E2439,#REF!,1,FALSE())),"?TYPE_IDENTIFIABLE","?REFERENTIAL"),"_")))))</f>
        <v/>
      </c>
      <c r="H2439" s="23" t="str">
        <f t="shared" ca="1" si="270"/>
        <v/>
      </c>
      <c r="I2439" s="24" t="str">
        <f>IF(OR(E2439="",E2439="!!!",F2439="NEW"),"",INDEX(B$2:B2438,-1+SUMPRODUCT(MAX(ROW(E$2:E2438)*(E2439=E$2:E2438)))))</f>
        <v/>
      </c>
      <c r="J2439" s="24" t="str">
        <f ca="1">IF(OR(E2439="",E2439="!!!",F2439="NEW"),"",COUNTBLANK(OFFSET(A$1,,,SUMPRODUCT(MAX(ROW(E$2:E2439)*(E2439=E$2:E2439)))))-COUNTBLANK(OFFSET(A$1,,,SUMPRODUCT(MAX(ROW(E$1:E2438)*(E2=E$1:E2438))))))</f>
        <v/>
      </c>
      <c r="K2439" s="24" t="str">
        <f>IF(OR(E2439="",E2439="!!!",F2439="NEW"),"",INDEX(J$1:J2438,SUMPRODUCT(MAX(ROW(E$1:E2438)*(E2439=E$1:E2438)))))</f>
        <v/>
      </c>
      <c r="L2439" s="25"/>
    </row>
    <row r="2440" spans="1:12" x14ac:dyDescent="0.2">
      <c r="A2440" t="s">
        <v>874</v>
      </c>
      <c r="E2440" s="20" t="str">
        <f t="shared" si="271"/>
        <v/>
      </c>
      <c r="F2440" s="21" t="str">
        <f>IF(OR(E2440="",E2440="!!!"),"",IF(NOT(ISNA(VLOOKUP(E2440,E$1:E2439,1,FALSE()))),"OLD",IF(AND(E2440&lt;&gt;"",E2440&lt;&gt;"!!!"),"NEW","")))</f>
        <v/>
      </c>
      <c r="G2440" s="22" t="str">
        <f>IF(OR(E2440="",E2440="!!!"),"",IF(OR(J2440=0,AND(J2440=1,K2440=1),AND(J2440=1,I2440="SBJ"),AND(J2440=1,I2440=0)),"?IN_FOCUS",IF(J2440&lt;=2,"?ACTIVATED",IF(J2440&lt;&gt;"","?FAMILIAR",IF(F2440="NEW",IF(ISNA(VLOOKUP(E2440,#REF!,1,FALSE())),"?TYPE_IDENTIFIABLE","?REFERENTIAL"),"_")))))</f>
        <v/>
      </c>
      <c r="H2440" s="23" t="str">
        <f t="shared" ca="1" si="270"/>
        <v/>
      </c>
      <c r="I2440" s="24" t="str">
        <f>IF(OR(E2440="",E2440="!!!",F2440="NEW"),"",INDEX(B$2:B2439,-1+SUMPRODUCT(MAX(ROW(E$2:E2439)*(E2440=E$2:E2439)))))</f>
        <v/>
      </c>
      <c r="J2440" s="24" t="str">
        <f ca="1">IF(OR(E2440="",E2440="!!!",F2440="NEW"),"",COUNTBLANK(OFFSET(A$1,,,SUMPRODUCT(MAX(ROW(E$2:E2440)*(E2440=E$2:E2440)))))-COUNTBLANK(OFFSET(A$1,,,SUMPRODUCT(MAX(ROW(E$1:E2439)*(E2=E$1:E2439))))))</f>
        <v/>
      </c>
      <c r="K2440" s="24" t="str">
        <f>IF(OR(E2440="",E2440="!!!",F2440="NEW"),"",INDEX(J$1:J2439,SUMPRODUCT(MAX(ROW(E$1:E2439)*(E2440=E$1:E2439)))))</f>
        <v/>
      </c>
      <c r="L2440" s="25"/>
    </row>
    <row r="2441" spans="1:12" x14ac:dyDescent="0.2">
      <c r="A2441" t="s">
        <v>830</v>
      </c>
      <c r="B2441" s="26" t="s">
        <v>819</v>
      </c>
      <c r="C2441" s="26" t="s">
        <v>805</v>
      </c>
      <c r="D2441" s="26" t="s">
        <v>806</v>
      </c>
      <c r="E2441" s="20" t="s">
        <v>1802</v>
      </c>
      <c r="F2441" s="21" t="str">
        <f>IF(OR(E2441="",E2441="!!!"),"",IF(NOT(ISNA(VLOOKUP(E2441,E$1:E2440,1,FALSE()))),"OLD",IF(AND(E2441&lt;&gt;"",E2441&lt;&gt;"!!!"),"NEW","")))</f>
        <v>OLD</v>
      </c>
      <c r="G2441" s="22" t="s">
        <v>1822</v>
      </c>
      <c r="H2441" s="23" t="str">
        <f t="shared" ca="1" si="270"/>
        <v/>
      </c>
      <c r="I2441" s="24" t="str">
        <f>IF(OR(E2441="",E2441="!!!",F2441="NEW"),"",INDEX(B$2:B2440,-1+SUMPRODUCT(MAX(ROW(E$2:E2440)*(E2441=E$2:E2440)))))</f>
        <v>SBJ</v>
      </c>
      <c r="J2441" s="24">
        <f ca="1">IF(OR(E2441="",E2441="!!!",F2441="NEW"),"",COUNTBLANK(OFFSET(A$1,,,SUMPRODUCT(MAX(ROW(E$2:E2441)*(E2441=E$2:E2441)))))-COUNTBLANK(OFFSET(A$1,,,SUMPRODUCT(MAX(ROW(E$1:E2440)*(E2=E$1:E2440))))))</f>
        <v>0</v>
      </c>
      <c r="K2441" s="24">
        <f ca="1">IF(OR(E2441="",E2441="!!!",F2441="NEW"),"",INDEX(J$1:J2440,SUMPRODUCT(MAX(ROW(E$1:E2440)*(E2441=E$1:E2440)))))</f>
        <v>0</v>
      </c>
      <c r="L2441" s="25"/>
    </row>
    <row r="2442" spans="1:12" x14ac:dyDescent="0.2">
      <c r="A2442" t="s">
        <v>821</v>
      </c>
      <c r="E2442" s="20" t="str">
        <f t="shared" si="271"/>
        <v/>
      </c>
      <c r="F2442" s="21" t="str">
        <f>IF(OR(E2442="",E2442="!!!"),"",IF(NOT(ISNA(VLOOKUP(E2442,E$1:E2441,1,FALSE()))),"OLD",IF(AND(E2442&lt;&gt;"",E2442&lt;&gt;"!!!"),"NEW","")))</f>
        <v/>
      </c>
      <c r="G2442" s="22" t="str">
        <f>IF(OR(E2442="",E2442="!!!"),"",IF(OR(J2442=0,AND(J2442=1,K2442=1),AND(J2442=1,I2442="SBJ"),AND(J2442=1,I2442=0)),"?IN_FOCUS",IF(J2442&lt;=2,"?ACTIVATED",IF(J2442&lt;&gt;"","?FAMILIAR",IF(F2442="NEW",IF(ISNA(VLOOKUP(E2442,#REF!,1,FALSE())),"?TYPE_IDENTIFIABLE","?REFERENTIAL"),"_")))))</f>
        <v/>
      </c>
      <c r="H2442" s="23" t="str">
        <f t="shared" ca="1" si="270"/>
        <v/>
      </c>
      <c r="I2442" s="24" t="str">
        <f>IF(OR(E2442="",E2442="!!!",F2442="NEW"),"",INDEX(B$2:B2441,-1+SUMPRODUCT(MAX(ROW(E$2:E2441)*(E2442=E$2:E2441)))))</f>
        <v/>
      </c>
      <c r="J2442" s="24" t="str">
        <f ca="1">IF(OR(E2442="",E2442="!!!",F2442="NEW"),"",COUNTBLANK(OFFSET(A$1,,,SUMPRODUCT(MAX(ROW(E$2:E2442)*(E2442=E$2:E2442)))))-COUNTBLANK(OFFSET(A$1,,,SUMPRODUCT(MAX(ROW(E$1:E2441)*(E2=E$1:E2441))))))</f>
        <v/>
      </c>
      <c r="K2442" s="24" t="str">
        <f>IF(OR(E2442="",E2442="!!!",F2442="NEW"),"",INDEX(J$1:J2441,SUMPRODUCT(MAX(ROW(E$1:E2441)*(E2442=E$1:E2441)))))</f>
        <v/>
      </c>
      <c r="L2442" s="25"/>
    </row>
    <row r="2444" spans="1:12" x14ac:dyDescent="0.2">
      <c r="A2444" t="s">
        <v>1534</v>
      </c>
    </row>
    <row r="2445" spans="1:12" x14ac:dyDescent="0.2">
      <c r="A2445" t="s">
        <v>1535</v>
      </c>
      <c r="E2445" s="20" t="str">
        <f t="shared" ref="E2445:E2466" si="272">IF(D2445="?OLD","!!!","")</f>
        <v/>
      </c>
      <c r="F2445" s="21" t="str">
        <f>IF(OR(E2445="",E2445="!!!"),"",IF(NOT(ISNA(VLOOKUP(E2445,E$1:E2444,1,FALSE()))),"OLD",IF(AND(E2445&lt;&gt;"",E2445&lt;&gt;"!!!"),"NEW","")))</f>
        <v/>
      </c>
      <c r="G2445" s="22" t="str">
        <f>IF(OR(E2445="",E2445="!!!"),"",IF(OR(J2445=0,AND(J2445=1,K2445=1),AND(J2445=1,I2445="SBJ"),AND(J2445=1,I2445=0)),"?IN_FOCUS",IF(J2445&lt;=2,"?ACTIVATED",IF(J2445&lt;&gt;"","?FAMILIAR",IF(F2445="NEW",IF(ISNA(VLOOKUP(E2445,#REF!,1,FALSE())),"?TYPE_IDENTIFIABLE","?REFERENTIAL"),"_")))))</f>
        <v/>
      </c>
      <c r="H2445" s="23" t="str">
        <f t="shared" ref="H2445:H2466" ca="1" si="273">IF(J2445&lt;&gt;1,"",IF(I2445="SBJ","CB","?"))</f>
        <v/>
      </c>
      <c r="I2445" s="24" t="str">
        <f>IF(OR(E2445="",E2445="!!!",F2445="NEW"),"",INDEX(B$2:B2444,-1+SUMPRODUCT(MAX(ROW(E$2:E2444)*(E2445=E$2:E2444)))))</f>
        <v/>
      </c>
      <c r="J2445" s="24" t="str">
        <f ca="1">IF(OR(E2445="",E2445="!!!",F2445="NEW"),"",COUNTBLANK(OFFSET(A$1,,,SUMPRODUCT(MAX(ROW(E$2:E2445)*(E2445=E$2:E2445)))))-COUNTBLANK(OFFSET(A$1,,,SUMPRODUCT(MAX(ROW(E$1:E2444)*(E2=E$1:E2444))))))</f>
        <v/>
      </c>
      <c r="K2445" s="24" t="str">
        <f>IF(OR(E2445="",E2445="!!!",F2445="NEW"),"",INDEX(J$1:J2444,SUMPRODUCT(MAX(ROW(E$1:E2444)*(E2445=E$1:E2444)))))</f>
        <v/>
      </c>
      <c r="L2445" s="25"/>
    </row>
    <row r="2446" spans="1:12" x14ac:dyDescent="0.2">
      <c r="A2446" t="s">
        <v>802</v>
      </c>
      <c r="E2446" s="20" t="str">
        <f t="shared" si="272"/>
        <v/>
      </c>
      <c r="F2446" s="21" t="str">
        <f>IF(OR(E2446="",E2446="!!!"),"",IF(NOT(ISNA(VLOOKUP(E2446,E$1:E2445,1,FALSE()))),"OLD",IF(AND(E2446&lt;&gt;"",E2446&lt;&gt;"!!!"),"NEW","")))</f>
        <v/>
      </c>
      <c r="G2446" s="22" t="str">
        <f>IF(OR(E2446="",E2446="!!!"),"",IF(OR(J2446=0,AND(J2446=1,K2446=1),AND(J2446=1,I2446="SBJ"),AND(J2446=1,I2446=0)),"?IN_FOCUS",IF(J2446&lt;=2,"?ACTIVATED",IF(J2446&lt;&gt;"","?FAMILIAR",IF(F2446="NEW",IF(ISNA(VLOOKUP(E2446,#REF!,1,FALSE())),"?TYPE_IDENTIFIABLE","?REFERENTIAL"),"_")))))</f>
        <v/>
      </c>
      <c r="H2446" s="23" t="str">
        <f t="shared" ca="1" si="273"/>
        <v/>
      </c>
      <c r="I2446" s="24" t="str">
        <f>IF(OR(E2446="",E2446="!!!",F2446="NEW"),"",INDEX(B$2:B2445,-1+SUMPRODUCT(MAX(ROW(E$2:E2445)*(E2446=E$2:E2445)))))</f>
        <v/>
      </c>
      <c r="J2446" s="24" t="str">
        <f ca="1">IF(OR(E2446="",E2446="!!!",F2446="NEW"),"",COUNTBLANK(OFFSET(A$1,,,SUMPRODUCT(MAX(ROW(E$2:E2446)*(E2446=E$2:E2446)))))-COUNTBLANK(OFFSET(A$1,,,SUMPRODUCT(MAX(ROW(E$1:E2445)*(E2=E$1:E2445))))))</f>
        <v/>
      </c>
      <c r="K2446" s="24" t="str">
        <f>IF(OR(E2446="",E2446="!!!",F2446="NEW"),"",INDEX(J$1:J2445,SUMPRODUCT(MAX(ROW(E$1:E2445)*(E2446=E$1:E2445)))))</f>
        <v/>
      </c>
      <c r="L2446" s="25"/>
    </row>
    <row r="2447" spans="1:12" x14ac:dyDescent="0.2">
      <c r="A2447" t="s">
        <v>1536</v>
      </c>
      <c r="E2447" s="20" t="str">
        <f t="shared" si="272"/>
        <v/>
      </c>
      <c r="F2447" s="21" t="str">
        <f>IF(OR(E2447="",E2447="!!!"),"",IF(NOT(ISNA(VLOOKUP(E2447,E$1:E2446,1,FALSE()))),"OLD",IF(AND(E2447&lt;&gt;"",E2447&lt;&gt;"!!!"),"NEW","")))</f>
        <v/>
      </c>
      <c r="G2447" s="22" t="str">
        <f>IF(OR(E2447="",E2447="!!!"),"",IF(OR(J2447=0,AND(J2447=1,K2447=1),AND(J2447=1,I2447="SBJ"),AND(J2447=1,I2447=0)),"?IN_FOCUS",IF(J2447&lt;=2,"?ACTIVATED",IF(J2447&lt;&gt;"","?FAMILIAR",IF(F2447="NEW",IF(ISNA(VLOOKUP(E2447,#REF!,1,FALSE())),"?TYPE_IDENTIFIABLE","?REFERENTIAL"),"_")))))</f>
        <v/>
      </c>
      <c r="H2447" s="23" t="str">
        <f t="shared" ca="1" si="273"/>
        <v/>
      </c>
      <c r="I2447" s="24" t="str">
        <f>IF(OR(E2447="",E2447="!!!",F2447="NEW"),"",INDEX(B$2:B2446,-1+SUMPRODUCT(MAX(ROW(E$2:E2446)*(E2447=E$2:E2446)))))</f>
        <v/>
      </c>
      <c r="J2447" s="24" t="str">
        <f ca="1">IF(OR(E2447="",E2447="!!!",F2447="NEW"),"",COUNTBLANK(OFFSET(A$1,,,SUMPRODUCT(MAX(ROW(E$2:E2447)*(E2447=E$2:E2447)))))-COUNTBLANK(OFFSET(A$1,,,SUMPRODUCT(MAX(ROW(E$1:E2446)*(E2=E$1:E2446))))))</f>
        <v/>
      </c>
      <c r="K2447" s="24" t="str">
        <f>IF(OR(E2447="",E2447="!!!",F2447="NEW"),"",INDEX(J$1:J2446,SUMPRODUCT(MAX(ROW(E$1:E2446)*(E2447=E$1:E2446)))))</f>
        <v/>
      </c>
      <c r="L2447" s="25"/>
    </row>
    <row r="2448" spans="1:12" x14ac:dyDescent="0.2">
      <c r="A2448" t="s">
        <v>803</v>
      </c>
      <c r="B2448" s="26" t="s">
        <v>950</v>
      </c>
      <c r="C2448" s="26" t="s">
        <v>805</v>
      </c>
      <c r="D2448" s="26" t="s">
        <v>806</v>
      </c>
      <c r="E2448" s="20" t="s">
        <v>1747</v>
      </c>
      <c r="F2448" s="21" t="str">
        <f>IF(OR(E2448="",E2448="!!!"),"",IF(NOT(ISNA(VLOOKUP(E2448,E$1:E2447,1,FALSE()))),"OLD",IF(AND(E2448&lt;&gt;"",E2448&lt;&gt;"!!!"),"NEW","")))</f>
        <v>OLD</v>
      </c>
      <c r="G2448" s="22" t="s">
        <v>1823</v>
      </c>
      <c r="H2448" s="23" t="str">
        <f t="shared" ca="1" si="273"/>
        <v/>
      </c>
      <c r="I2448" s="24" t="str">
        <f>IF(OR(E2448="",E2448="!!!",F2448="NEW"),"",INDEX(B$2:B2447,-1+SUMPRODUCT(MAX(ROW(E$2:E2447)*(E2448=E$2:E2447)))))</f>
        <v>SBJ</v>
      </c>
      <c r="J2448" s="24">
        <f ca="1">IF(OR(E2448="",E2448="!!!",F2448="NEW"),"",COUNTBLANK(OFFSET(A$1,,,SUMPRODUCT(MAX(ROW(E$2:E2448)*(E2448=E$2:E2448)))))-COUNTBLANK(OFFSET(A$1,,,SUMPRODUCT(MAX(ROW(E$1:E2447)*(E2=E$1:E2447))))))</f>
        <v>0</v>
      </c>
      <c r="K2448" s="24">
        <f ca="1">IF(OR(E2448="",E2448="!!!",F2448="NEW"),"",INDEX(J$1:J2447,SUMPRODUCT(MAX(ROW(E$1:E2447)*(E2448=E$1:E2447)))))</f>
        <v>0</v>
      </c>
      <c r="L2448" s="25"/>
    </row>
    <row r="2449" spans="1:12" x14ac:dyDescent="0.2">
      <c r="A2449" t="s">
        <v>1142</v>
      </c>
      <c r="E2449" s="20" t="str">
        <f t="shared" si="272"/>
        <v/>
      </c>
      <c r="F2449" s="21" t="str">
        <f>IF(OR(E2449="",E2449="!!!"),"",IF(NOT(ISNA(VLOOKUP(E2449,E$1:E2448,1,FALSE()))),"OLD",IF(AND(E2449&lt;&gt;"",E2449&lt;&gt;"!!!"),"NEW","")))</f>
        <v/>
      </c>
      <c r="G2449" s="22" t="str">
        <f>IF(OR(E2449="",E2449="!!!"),"",IF(OR(J2449=0,AND(J2449=1,K2449=1),AND(J2449=1,I2449="SBJ"),AND(J2449=1,I2449=0)),"?IN_FOCUS",IF(J2449&lt;=2,"?ACTIVATED",IF(J2449&lt;&gt;"","?FAMILIAR",IF(F2449="NEW",IF(ISNA(VLOOKUP(E2449,#REF!,1,FALSE())),"?TYPE_IDENTIFIABLE","?REFERENTIAL"),"_")))))</f>
        <v/>
      </c>
      <c r="H2449" s="23" t="str">
        <f t="shared" ca="1" si="273"/>
        <v/>
      </c>
      <c r="I2449" s="24" t="str">
        <f>IF(OR(E2449="",E2449="!!!",F2449="NEW"),"",INDEX(B$2:B2448,-1+SUMPRODUCT(MAX(ROW(E$2:E2448)*(E2449=E$2:E2448)))))</f>
        <v/>
      </c>
      <c r="J2449" s="24" t="str">
        <f ca="1">IF(OR(E2449="",E2449="!!!",F2449="NEW"),"",COUNTBLANK(OFFSET(A$1,,,SUMPRODUCT(MAX(ROW(E$2:E2449)*(E2449=E$2:E2449)))))-COUNTBLANK(OFFSET(A$1,,,SUMPRODUCT(MAX(ROW(E$1:E2448)*(E2=E$1:E2448))))))</f>
        <v/>
      </c>
      <c r="K2449" s="24" t="str">
        <f>IF(OR(E2449="",E2449="!!!",F2449="NEW"),"",INDEX(J$1:J2448,SUMPRODUCT(MAX(ROW(E$1:E2448)*(E2449=E$1:E2448)))))</f>
        <v/>
      </c>
      <c r="L2449" s="25"/>
    </row>
    <row r="2450" spans="1:12" x14ac:dyDescent="0.2">
      <c r="A2450" t="s">
        <v>830</v>
      </c>
      <c r="B2450" s="26" t="s">
        <v>938</v>
      </c>
      <c r="C2450" s="26" t="s">
        <v>805</v>
      </c>
      <c r="D2450" s="26" t="s">
        <v>806</v>
      </c>
      <c r="E2450" s="20" t="s">
        <v>1802</v>
      </c>
      <c r="F2450" s="21" t="str">
        <f>IF(OR(E2450="",E2450="!!!"),"",IF(NOT(ISNA(VLOOKUP(E2450,E$1:E2449,1,FALSE()))),"OLD",IF(AND(E2450&lt;&gt;"",E2450&lt;&gt;"!!!"),"NEW","")))</f>
        <v>OLD</v>
      </c>
      <c r="G2450" s="22" t="s">
        <v>1822</v>
      </c>
      <c r="H2450" s="23" t="str">
        <f t="shared" ca="1" si="273"/>
        <v/>
      </c>
      <c r="I2450" s="24" t="str">
        <f>IF(OR(E2450="",E2450="!!!",F2450="NEW"),"",INDEX(B$2:B2449,-1+SUMPRODUCT(MAX(ROW(E$2:E2449)*(E2450=E$2:E2449)))))</f>
        <v>other</v>
      </c>
      <c r="J2450" s="24">
        <f ca="1">IF(OR(E2450="",E2450="!!!",F2450="NEW"),"",COUNTBLANK(OFFSET(A$1,,,SUMPRODUCT(MAX(ROW(E$2:E2450)*(E2450=E$2:E2450)))))-COUNTBLANK(OFFSET(A$1,,,SUMPRODUCT(MAX(ROW(E$1:E2449)*(E2=E$1:E2449))))))</f>
        <v>0</v>
      </c>
      <c r="K2450" s="24">
        <f ca="1">IF(OR(E2450="",E2450="!!!",F2450="NEW"),"",INDEX(J$1:J2449,SUMPRODUCT(MAX(ROW(E$1:E2449)*(E2450=E$1:E2449)))))</f>
        <v>0</v>
      </c>
      <c r="L2450" s="25"/>
    </row>
    <row r="2451" spans="1:12" x14ac:dyDescent="0.2">
      <c r="A2451" t="s">
        <v>894</v>
      </c>
      <c r="E2451" s="20" t="str">
        <f t="shared" si="272"/>
        <v/>
      </c>
      <c r="F2451" s="21" t="str">
        <f>IF(OR(E2451="",E2451="!!!"),"",IF(NOT(ISNA(VLOOKUP(E2451,E$1:E2450,1,FALSE()))),"OLD",IF(AND(E2451&lt;&gt;"",E2451&lt;&gt;"!!!"),"NEW","")))</f>
        <v/>
      </c>
      <c r="G2451" s="22" t="str">
        <f>IF(OR(E2451="",E2451="!!!"),"",IF(OR(J2451=0,AND(J2451=1,K2451=1),AND(J2451=1,I2451="SBJ"),AND(J2451=1,I2451=0)),"?IN_FOCUS",IF(J2451&lt;=2,"?ACTIVATED",IF(J2451&lt;&gt;"","?FAMILIAR",IF(F2451="NEW",IF(ISNA(VLOOKUP(E2451,#REF!,1,FALSE())),"?TYPE_IDENTIFIABLE","?REFERENTIAL"),"_")))))</f>
        <v/>
      </c>
      <c r="H2451" s="23" t="str">
        <f t="shared" ca="1" si="273"/>
        <v/>
      </c>
      <c r="I2451" s="24" t="str">
        <f>IF(OR(E2451="",E2451="!!!",F2451="NEW"),"",INDEX(B$2:B2450,-1+SUMPRODUCT(MAX(ROW(E$2:E2450)*(E2451=E$2:E2450)))))</f>
        <v/>
      </c>
      <c r="J2451" s="24" t="str">
        <f ca="1">IF(OR(E2451="",E2451="!!!",F2451="NEW"),"",COUNTBLANK(OFFSET(A$1,,,SUMPRODUCT(MAX(ROW(E$2:E2451)*(E2451=E$2:E2451)))))-COUNTBLANK(OFFSET(A$1,,,SUMPRODUCT(MAX(ROW(E$1:E2450)*(E2=E$1:E2450))))))</f>
        <v/>
      </c>
      <c r="K2451" s="24" t="str">
        <f>IF(OR(E2451="",E2451="!!!",F2451="NEW"),"",INDEX(J$1:J2450,SUMPRODUCT(MAX(ROW(E$1:E2450)*(E2451=E$1:E2450)))))</f>
        <v/>
      </c>
      <c r="L2451" s="25"/>
    </row>
    <row r="2452" spans="1:12" x14ac:dyDescent="0.2">
      <c r="A2452" t="s">
        <v>1060</v>
      </c>
      <c r="E2452" s="20" t="str">
        <f t="shared" si="272"/>
        <v/>
      </c>
      <c r="F2452" s="21" t="str">
        <f>IF(OR(E2452="",E2452="!!!"),"",IF(NOT(ISNA(VLOOKUP(E2452,E$1:E2451,1,FALSE()))),"OLD",IF(AND(E2452&lt;&gt;"",E2452&lt;&gt;"!!!"),"NEW","")))</f>
        <v/>
      </c>
      <c r="G2452" s="22" t="str">
        <f>IF(OR(E2452="",E2452="!!!"),"",IF(OR(J2452=0,AND(J2452=1,K2452=1),AND(J2452=1,I2452="SBJ"),AND(J2452=1,I2452=0)),"?IN_FOCUS",IF(J2452&lt;=2,"?ACTIVATED",IF(J2452&lt;&gt;"","?FAMILIAR",IF(F2452="NEW",IF(ISNA(VLOOKUP(E2452,#REF!,1,FALSE())),"?TYPE_IDENTIFIABLE","?REFERENTIAL"),"_")))))</f>
        <v/>
      </c>
      <c r="H2452" s="23" t="str">
        <f t="shared" ca="1" si="273"/>
        <v/>
      </c>
      <c r="I2452" s="24" t="str">
        <f>IF(OR(E2452="",E2452="!!!",F2452="NEW"),"",INDEX(B$2:B2451,-1+SUMPRODUCT(MAX(ROW(E$2:E2451)*(E2452=E$2:E2451)))))</f>
        <v/>
      </c>
      <c r="J2452" s="24" t="str">
        <f ca="1">IF(OR(E2452="",E2452="!!!",F2452="NEW"),"",COUNTBLANK(OFFSET(A$1,,,SUMPRODUCT(MAX(ROW(E$2:E2452)*(E2452=E$2:E2452)))))-COUNTBLANK(OFFSET(A$1,,,SUMPRODUCT(MAX(ROW(E$1:E2451)*(E2=E$1:E2451))))))</f>
        <v/>
      </c>
      <c r="K2452" s="24" t="str">
        <f>IF(OR(E2452="",E2452="!!!",F2452="NEW"),"",INDEX(J$1:J2451,SUMPRODUCT(MAX(ROW(E$1:E2451)*(E2452=E$1:E2451)))))</f>
        <v/>
      </c>
      <c r="L2452" s="25"/>
    </row>
    <row r="2453" spans="1:12" x14ac:dyDescent="0.2">
      <c r="A2453" t="s">
        <v>1155</v>
      </c>
      <c r="B2453" s="26" t="s">
        <v>813</v>
      </c>
      <c r="C2453" s="26" t="s">
        <v>877</v>
      </c>
      <c r="D2453" s="26" t="s">
        <v>806</v>
      </c>
      <c r="E2453" s="20" t="s">
        <v>1155</v>
      </c>
      <c r="F2453" s="21" t="str">
        <f>IF(OR(E2453="",E2453="!!!"),"",IF(NOT(ISNA(VLOOKUP(E2453,E$1:E2452,1,FALSE()))),"OLD",IF(AND(E2453&lt;&gt;"",E2453&lt;&gt;"!!!"),"NEW","")))</f>
        <v>OLD</v>
      </c>
      <c r="G2453" s="22" t="s">
        <v>1825</v>
      </c>
      <c r="H2453" s="23" t="str">
        <f t="shared" ca="1" si="273"/>
        <v/>
      </c>
      <c r="I2453" s="24" t="str">
        <f>IF(OR(E2453="",E2453="!!!",F2453="NEW"),"",INDEX(B$2:B2452,-1+SUMPRODUCT(MAX(ROW(E$2:E2452)*(E2453=E$2:E2452)))))</f>
        <v>other</v>
      </c>
      <c r="J2453" s="24">
        <f ca="1">IF(OR(E2453="",E2453="!!!",F2453="NEW"),"",COUNTBLANK(OFFSET(A$1,,,SUMPRODUCT(MAX(ROW(E$2:E2453)*(E2453=E$2:E2453)))))-COUNTBLANK(OFFSET(A$1,,,SUMPRODUCT(MAX(ROW(E$1:E2452)*(E2=E$1:E2452))))))</f>
        <v>0</v>
      </c>
      <c r="K2453" s="24" t="str">
        <f ca="1">IF(OR(E2453="",E2453="!!!",F2453="NEW"),"",INDEX(J$1:J2452,SUMPRODUCT(MAX(ROW(E$1:E2452)*(E2453=E$1:E2452)))))</f>
        <v/>
      </c>
      <c r="L2453" s="25"/>
    </row>
    <row r="2454" spans="1:12" x14ac:dyDescent="0.2">
      <c r="A2454" t="s">
        <v>815</v>
      </c>
      <c r="E2454" s="20" t="str">
        <f t="shared" si="272"/>
        <v/>
      </c>
      <c r="F2454" s="21" t="str">
        <f>IF(OR(E2454="",E2454="!!!"),"",IF(NOT(ISNA(VLOOKUP(E2454,E$1:E2453,1,FALSE()))),"OLD",IF(AND(E2454&lt;&gt;"",E2454&lt;&gt;"!!!"),"NEW","")))</f>
        <v/>
      </c>
      <c r="G2454" s="22" t="str">
        <f>IF(OR(E2454="",E2454="!!!"),"",IF(OR(J2454=0,AND(J2454=1,K2454=1),AND(J2454=1,I2454="SBJ"),AND(J2454=1,I2454=0)),"?IN_FOCUS",IF(J2454&lt;=2,"?ACTIVATED",IF(J2454&lt;&gt;"","?FAMILIAR",IF(F2454="NEW",IF(ISNA(VLOOKUP(E2454,#REF!,1,FALSE())),"?TYPE_IDENTIFIABLE","?REFERENTIAL"),"_")))))</f>
        <v/>
      </c>
      <c r="H2454" s="23" t="str">
        <f t="shared" ca="1" si="273"/>
        <v/>
      </c>
      <c r="I2454" s="24" t="str">
        <f>IF(OR(E2454="",E2454="!!!",F2454="NEW"),"",INDEX(B$2:B2453,-1+SUMPRODUCT(MAX(ROW(E$2:E2453)*(E2454=E$2:E2453)))))</f>
        <v/>
      </c>
      <c r="J2454" s="24" t="str">
        <f ca="1">IF(OR(E2454="",E2454="!!!",F2454="NEW"),"",COUNTBLANK(OFFSET(A$1,,,SUMPRODUCT(MAX(ROW(E$2:E2454)*(E2454=E$2:E2454)))))-COUNTBLANK(OFFSET(A$1,,,SUMPRODUCT(MAX(ROW(E$1:E2453)*(E2=E$1:E2453))))))</f>
        <v/>
      </c>
      <c r="K2454" s="24" t="str">
        <f>IF(OR(E2454="",E2454="!!!",F2454="NEW"),"",INDEX(J$1:J2453,SUMPRODUCT(MAX(ROW(E$1:E2453)*(E2454=E$1:E2453)))))</f>
        <v/>
      </c>
      <c r="L2454" s="25"/>
    </row>
    <row r="2455" spans="1:12" x14ac:dyDescent="0.2">
      <c r="A2455" t="s">
        <v>1156</v>
      </c>
      <c r="E2455" s="20" t="str">
        <f t="shared" si="272"/>
        <v/>
      </c>
      <c r="F2455" s="21" t="str">
        <f>IF(OR(E2455="",E2455="!!!"),"",IF(NOT(ISNA(VLOOKUP(E2455,E$1:E2454,1,FALSE()))),"OLD",IF(AND(E2455&lt;&gt;"",E2455&lt;&gt;"!!!"),"NEW","")))</f>
        <v/>
      </c>
      <c r="G2455" s="22" t="str">
        <f>IF(OR(E2455="",E2455="!!!"),"",IF(OR(J2455=0,AND(J2455=1,K2455=1),AND(J2455=1,I2455="SBJ"),AND(J2455=1,I2455=0)),"?IN_FOCUS",IF(J2455&lt;=2,"?ACTIVATED",IF(J2455&lt;&gt;"","?FAMILIAR",IF(F2455="NEW",IF(ISNA(VLOOKUP(E2455,#REF!,1,FALSE())),"?TYPE_IDENTIFIABLE","?REFERENTIAL"),"_")))))</f>
        <v/>
      </c>
      <c r="H2455" s="23" t="str">
        <f t="shared" ca="1" si="273"/>
        <v/>
      </c>
      <c r="I2455" s="24" t="str">
        <f>IF(OR(E2455="",E2455="!!!",F2455="NEW"),"",INDEX(B$2:B2454,-1+SUMPRODUCT(MAX(ROW(E$2:E2454)*(E2455=E$2:E2454)))))</f>
        <v/>
      </c>
      <c r="J2455" s="24" t="str">
        <f ca="1">IF(OR(E2455="",E2455="!!!",F2455="NEW"),"",COUNTBLANK(OFFSET(A$1,,,SUMPRODUCT(MAX(ROW(E$2:E2455)*(E2455=E$2:E2455)))))-COUNTBLANK(OFFSET(A$1,,,SUMPRODUCT(MAX(ROW(E$1:E2454)*(E2=E$1:E2454))))))</f>
        <v/>
      </c>
      <c r="K2455" s="24" t="str">
        <f>IF(OR(E2455="",E2455="!!!",F2455="NEW"),"",INDEX(J$1:J2454,SUMPRODUCT(MAX(ROW(E$1:E2454)*(E2455=E$1:E2454)))))</f>
        <v/>
      </c>
      <c r="L2455" s="25"/>
    </row>
    <row r="2456" spans="1:12" x14ac:dyDescent="0.2">
      <c r="A2456" t="s">
        <v>1157</v>
      </c>
      <c r="B2456" s="26" t="s">
        <v>813</v>
      </c>
      <c r="C2456" s="26" t="s">
        <v>854</v>
      </c>
      <c r="D2456" s="26" t="s">
        <v>806</v>
      </c>
      <c r="E2456" s="20" t="s">
        <v>1157</v>
      </c>
      <c r="F2456" s="21" t="str">
        <f>IF(OR(E2456="",E2456="!!!"),"",IF(NOT(ISNA(VLOOKUP(E2456,E$1:E2455,1,FALSE()))),"OLD",IF(AND(E2456&lt;&gt;"",E2456&lt;&gt;"!!!"),"NEW","")))</f>
        <v>OLD</v>
      </c>
      <c r="G2456" s="22" t="s">
        <v>1825</v>
      </c>
      <c r="H2456" s="23" t="str">
        <f t="shared" ca="1" si="273"/>
        <v/>
      </c>
      <c r="I2456" s="24" t="str">
        <f>IF(OR(E2456="",E2456="!!!",F2456="NEW"),"",INDEX(B$2:B2455,-1+SUMPRODUCT(MAX(ROW(E$2:E2455)*(E2456=E$2:E2455)))))</f>
        <v>other_2</v>
      </c>
      <c r="J2456" s="24">
        <f ca="1">IF(OR(E2456="",E2456="!!!",F2456="NEW"),"",COUNTBLANK(OFFSET(A$1,,,SUMPRODUCT(MAX(ROW(E$2:E2456)*(E2456=E$2:E2456)))))-COUNTBLANK(OFFSET(A$1,,,SUMPRODUCT(MAX(ROW(E$1:E2455)*(E2=E$1:E2455))))))</f>
        <v>0</v>
      </c>
      <c r="K2456" s="24">
        <f ca="1">IF(OR(E2456="",E2456="!!!",F2456="NEW"),"",INDEX(J$1:J2455,SUMPRODUCT(MAX(ROW(E$1:E2455)*(E2456=E$1:E2455)))))</f>
        <v>0</v>
      </c>
      <c r="L2456" s="25"/>
    </row>
    <row r="2457" spans="1:12" x14ac:dyDescent="0.2">
      <c r="A2457" t="s">
        <v>802</v>
      </c>
      <c r="E2457" s="20" t="str">
        <f t="shared" si="272"/>
        <v/>
      </c>
      <c r="F2457" s="21" t="str">
        <f>IF(OR(E2457="",E2457="!!!"),"",IF(NOT(ISNA(VLOOKUP(E2457,E$1:E2456,1,FALSE()))),"OLD",IF(AND(E2457&lt;&gt;"",E2457&lt;&gt;"!!!"),"NEW","")))</f>
        <v/>
      </c>
      <c r="G2457" s="22" t="str">
        <f>IF(OR(E2457="",E2457="!!!"),"",IF(OR(J2457=0,AND(J2457=1,K2457=1),AND(J2457=1,I2457="SBJ"),AND(J2457=1,I2457=0)),"?IN_FOCUS",IF(J2457&lt;=2,"?ACTIVATED",IF(J2457&lt;&gt;"","?FAMILIAR",IF(F2457="NEW",IF(ISNA(VLOOKUP(E2457,#REF!,1,FALSE())),"?TYPE_IDENTIFIABLE","?REFERENTIAL"),"_")))))</f>
        <v/>
      </c>
      <c r="H2457" s="23" t="str">
        <f t="shared" ca="1" si="273"/>
        <v/>
      </c>
      <c r="I2457" s="24" t="str">
        <f>IF(OR(E2457="",E2457="!!!",F2457="NEW"),"",INDEX(B$2:B2456,-1+SUMPRODUCT(MAX(ROW(E$2:E2456)*(E2457=E$2:E2456)))))</f>
        <v/>
      </c>
      <c r="J2457" s="24" t="str">
        <f ca="1">IF(OR(E2457="",E2457="!!!",F2457="NEW"),"",COUNTBLANK(OFFSET(A$1,,,SUMPRODUCT(MAX(ROW(E$2:E2457)*(E2457=E$2:E2457)))))-COUNTBLANK(OFFSET(A$1,,,SUMPRODUCT(MAX(ROW(E$1:E2456)*(E2=E$1:E2456))))))</f>
        <v/>
      </c>
      <c r="K2457" s="24" t="str">
        <f>IF(OR(E2457="",E2457="!!!",F2457="NEW"),"",INDEX(J$1:J2456,SUMPRODUCT(MAX(ROW(E$1:E2456)*(E2457=E$1:E2456)))))</f>
        <v/>
      </c>
      <c r="L2457" s="25"/>
    </row>
    <row r="2458" spans="1:12" x14ac:dyDescent="0.2">
      <c r="A2458" t="s">
        <v>830</v>
      </c>
      <c r="B2458" s="26" t="s">
        <v>804</v>
      </c>
      <c r="C2458" s="26" t="s">
        <v>805</v>
      </c>
      <c r="D2458" s="26" t="s">
        <v>806</v>
      </c>
      <c r="E2458" s="20" t="s">
        <v>1802</v>
      </c>
      <c r="F2458" s="21" t="str">
        <f>IF(OR(E2458="",E2458="!!!"),"",IF(NOT(ISNA(VLOOKUP(E2458,E$1:E2457,1,FALSE()))),"OLD",IF(AND(E2458&lt;&gt;"",E2458&lt;&gt;"!!!"),"NEW","")))</f>
        <v>OLD</v>
      </c>
      <c r="G2458" s="22" t="s">
        <v>1823</v>
      </c>
      <c r="H2458" s="23" t="str">
        <f t="shared" ca="1" si="273"/>
        <v/>
      </c>
      <c r="I2458" s="24" t="str">
        <f>IF(OR(E2458="",E2458="!!!",F2458="NEW"),"",INDEX(B$2:B2457,-1+SUMPRODUCT(MAX(ROW(E$2:E2457)*(E2458=E$2:E2457)))))</f>
        <v>OBJ_2</v>
      </c>
      <c r="J2458" s="24">
        <f ca="1">IF(OR(E2458="",E2458="!!!",F2458="NEW"),"",COUNTBLANK(OFFSET(A$1,,,SUMPRODUCT(MAX(ROW(E$2:E2458)*(E2458=E$2:E2458)))))-COUNTBLANK(OFFSET(A$1,,,SUMPRODUCT(MAX(ROW(E$1:E2457)*(E2=E$1:E2457))))))</f>
        <v>0</v>
      </c>
      <c r="K2458" s="24">
        <f ca="1">IF(OR(E2458="",E2458="!!!",F2458="NEW"),"",INDEX(J$1:J2457,SUMPRODUCT(MAX(ROW(E$1:E2457)*(E2458=E$1:E2457)))))</f>
        <v>0</v>
      </c>
      <c r="L2458" s="25"/>
    </row>
    <row r="2459" spans="1:12" x14ac:dyDescent="0.2">
      <c r="A2459" t="s">
        <v>1142</v>
      </c>
      <c r="E2459" s="20" t="str">
        <f t="shared" si="272"/>
        <v/>
      </c>
      <c r="F2459" s="21" t="str">
        <f>IF(OR(E2459="",E2459="!!!"),"",IF(NOT(ISNA(VLOOKUP(E2459,E$1:E2458,1,FALSE()))),"OLD",IF(AND(E2459&lt;&gt;"",E2459&lt;&gt;"!!!"),"NEW","")))</f>
        <v/>
      </c>
      <c r="G2459" s="22" t="str">
        <f>IF(OR(E2459="",E2459="!!!"),"",IF(OR(J2459=0,AND(J2459=1,K2459=1),AND(J2459=1,I2459="SBJ"),AND(J2459=1,I2459=0)),"?IN_FOCUS",IF(J2459&lt;=2,"?ACTIVATED",IF(J2459&lt;&gt;"","?FAMILIAR",IF(F2459="NEW",IF(ISNA(VLOOKUP(E2459,#REF!,1,FALSE())),"?TYPE_IDENTIFIABLE","?REFERENTIAL"),"_")))))</f>
        <v/>
      </c>
      <c r="H2459" s="23" t="str">
        <f t="shared" ca="1" si="273"/>
        <v/>
      </c>
      <c r="I2459" s="24" t="str">
        <f>IF(OR(E2459="",E2459="!!!",F2459="NEW"),"",INDEX(B$2:B2458,-1+SUMPRODUCT(MAX(ROW(E$2:E2458)*(E2459=E$2:E2458)))))</f>
        <v/>
      </c>
      <c r="J2459" s="24" t="str">
        <f ca="1">IF(OR(E2459="",E2459="!!!",F2459="NEW"),"",COUNTBLANK(OFFSET(A$1,,,SUMPRODUCT(MAX(ROW(E$2:E2459)*(E2459=E$2:E2459)))))-COUNTBLANK(OFFSET(A$1,,,SUMPRODUCT(MAX(ROW(E$1:E2458)*(E2=E$1:E2458))))))</f>
        <v/>
      </c>
      <c r="K2459" s="24" t="str">
        <f>IF(OR(E2459="",E2459="!!!",F2459="NEW"),"",INDEX(J$1:J2458,SUMPRODUCT(MAX(ROW(E$1:E2458)*(E2459=E$1:E2458)))))</f>
        <v/>
      </c>
      <c r="L2459" s="25"/>
    </row>
    <row r="2460" spans="1:12" x14ac:dyDescent="0.2">
      <c r="A2460" t="s">
        <v>1031</v>
      </c>
      <c r="E2460" s="20" t="str">
        <f t="shared" si="272"/>
        <v/>
      </c>
      <c r="F2460" s="21" t="str">
        <f>IF(OR(E2460="",E2460="!!!"),"",IF(NOT(ISNA(VLOOKUP(E2460,E$1:E2459,1,FALSE()))),"OLD",IF(AND(E2460&lt;&gt;"",E2460&lt;&gt;"!!!"),"NEW","")))</f>
        <v/>
      </c>
      <c r="G2460" s="22" t="str">
        <f>IF(OR(E2460="",E2460="!!!"),"",IF(OR(J2460=0,AND(J2460=1,K2460=1),AND(J2460=1,I2460="SBJ"),AND(J2460=1,I2460=0)),"?IN_FOCUS",IF(J2460&lt;=2,"?ACTIVATED",IF(J2460&lt;&gt;"","?FAMILIAR",IF(F2460="NEW",IF(ISNA(VLOOKUP(E2460,#REF!,1,FALSE())),"?TYPE_IDENTIFIABLE","?REFERENTIAL"),"_")))))</f>
        <v/>
      </c>
      <c r="H2460" s="23" t="str">
        <f t="shared" ca="1" si="273"/>
        <v/>
      </c>
      <c r="I2460" s="24" t="str">
        <f>IF(OR(E2460="",E2460="!!!",F2460="NEW"),"",INDEX(B$2:B2459,-1+SUMPRODUCT(MAX(ROW(E$2:E2459)*(E2460=E$2:E2459)))))</f>
        <v/>
      </c>
      <c r="J2460" s="24" t="str">
        <f ca="1">IF(OR(E2460="",E2460="!!!",F2460="NEW"),"",COUNTBLANK(OFFSET(A$1,,,SUMPRODUCT(MAX(ROW(E$2:E2460)*(E2460=E$2:E2460)))))-COUNTBLANK(OFFSET(A$1,,,SUMPRODUCT(MAX(ROW(E$1:E2459)*(E2=E$1:E2459))))))</f>
        <v/>
      </c>
      <c r="K2460" s="24" t="str">
        <f>IF(OR(E2460="",E2460="!!!",F2460="NEW"),"",INDEX(J$1:J2459,SUMPRODUCT(MAX(ROW(E$1:E2459)*(E2460=E$1:E2459)))))</f>
        <v/>
      </c>
      <c r="L2460" s="25"/>
    </row>
    <row r="2461" spans="1:12" x14ac:dyDescent="0.2">
      <c r="A2461" t="s">
        <v>894</v>
      </c>
      <c r="E2461" s="20" t="str">
        <f t="shared" si="272"/>
        <v/>
      </c>
      <c r="F2461" s="21" t="str">
        <f>IF(OR(E2461="",E2461="!!!"),"",IF(NOT(ISNA(VLOOKUP(E2461,E$1:E2460,1,FALSE()))),"OLD",IF(AND(E2461&lt;&gt;"",E2461&lt;&gt;"!!!"),"NEW","")))</f>
        <v/>
      </c>
      <c r="G2461" s="22" t="str">
        <f>IF(OR(E2461="",E2461="!!!"),"",IF(OR(J2461=0,AND(J2461=1,K2461=1),AND(J2461=1,I2461="SBJ"),AND(J2461=1,I2461=0)),"?IN_FOCUS",IF(J2461&lt;=2,"?ACTIVATED",IF(J2461&lt;&gt;"","?FAMILIAR",IF(F2461="NEW",IF(ISNA(VLOOKUP(E2461,#REF!,1,FALSE())),"?TYPE_IDENTIFIABLE","?REFERENTIAL"),"_")))))</f>
        <v/>
      </c>
      <c r="H2461" s="23" t="str">
        <f t="shared" ca="1" si="273"/>
        <v/>
      </c>
      <c r="I2461" s="24" t="str">
        <f>IF(OR(E2461="",E2461="!!!",F2461="NEW"),"",INDEX(B$2:B2460,-1+SUMPRODUCT(MAX(ROW(E$2:E2460)*(E2461=E$2:E2460)))))</f>
        <v/>
      </c>
      <c r="J2461" s="24" t="str">
        <f ca="1">IF(OR(E2461="",E2461="!!!",F2461="NEW"),"",COUNTBLANK(OFFSET(A$1,,,SUMPRODUCT(MAX(ROW(E$2:E2461)*(E2461=E$2:E2461)))))-COUNTBLANK(OFFSET(A$1,,,SUMPRODUCT(MAX(ROW(E$1:E2460)*(E2=E$1:E2460))))))</f>
        <v/>
      </c>
      <c r="K2461" s="24" t="str">
        <f>IF(OR(E2461="",E2461="!!!",F2461="NEW"),"",INDEX(J$1:J2460,SUMPRODUCT(MAX(ROW(E$1:E2460)*(E2461=E$1:E2460)))))</f>
        <v/>
      </c>
      <c r="L2461" s="25"/>
    </row>
    <row r="2462" spans="1:12" x14ac:dyDescent="0.2">
      <c r="A2462" t="s">
        <v>1288</v>
      </c>
      <c r="E2462" s="20" t="str">
        <f t="shared" si="272"/>
        <v/>
      </c>
      <c r="F2462" s="21" t="str">
        <f>IF(OR(E2462="",E2462="!!!"),"",IF(NOT(ISNA(VLOOKUP(E2462,E$1:E2461,1,FALSE()))),"OLD",IF(AND(E2462&lt;&gt;"",E2462&lt;&gt;"!!!"),"NEW","")))</f>
        <v/>
      </c>
      <c r="G2462" s="22" t="str">
        <f>IF(OR(E2462="",E2462="!!!"),"",IF(OR(J2462=0,AND(J2462=1,K2462=1),AND(J2462=1,I2462="SBJ"),AND(J2462=1,I2462=0)),"?IN_FOCUS",IF(J2462&lt;=2,"?ACTIVATED",IF(J2462&lt;&gt;"","?FAMILIAR",IF(F2462="NEW",IF(ISNA(VLOOKUP(E2462,#REF!,1,FALSE())),"?TYPE_IDENTIFIABLE","?REFERENTIAL"),"_")))))</f>
        <v/>
      </c>
      <c r="H2462" s="23" t="str">
        <f t="shared" ca="1" si="273"/>
        <v/>
      </c>
      <c r="I2462" s="24" t="str">
        <f>IF(OR(E2462="",E2462="!!!",F2462="NEW"),"",INDEX(B$2:B2461,-1+SUMPRODUCT(MAX(ROW(E$2:E2461)*(E2462=E$2:E2461)))))</f>
        <v/>
      </c>
      <c r="J2462" s="24" t="str">
        <f ca="1">IF(OR(E2462="",E2462="!!!",F2462="NEW"),"",COUNTBLANK(OFFSET(A$1,,,SUMPRODUCT(MAX(ROW(E$2:E2462)*(E2462=E$2:E2462)))))-COUNTBLANK(OFFSET(A$1,,,SUMPRODUCT(MAX(ROW(E$1:E2461)*(E2=E$1:E2461))))))</f>
        <v/>
      </c>
      <c r="K2462" s="24" t="str">
        <f>IF(OR(E2462="",E2462="!!!",F2462="NEW"),"",INDEX(J$1:J2461,SUMPRODUCT(MAX(ROW(E$1:E2461)*(E2462=E$1:E2461)))))</f>
        <v/>
      </c>
      <c r="L2462" s="25"/>
    </row>
    <row r="2463" spans="1:12" x14ac:dyDescent="0.2">
      <c r="A2463" t="s">
        <v>833</v>
      </c>
      <c r="E2463" s="20" t="str">
        <f t="shared" si="272"/>
        <v/>
      </c>
      <c r="F2463" s="21" t="str">
        <f>IF(OR(E2463="",E2463="!!!"),"",IF(NOT(ISNA(VLOOKUP(E2463,E$1:E2462,1,FALSE()))),"OLD",IF(AND(E2463&lt;&gt;"",E2463&lt;&gt;"!!!"),"NEW","")))</f>
        <v/>
      </c>
      <c r="G2463" s="22" t="str">
        <f>IF(OR(E2463="",E2463="!!!"),"",IF(OR(J2463=0,AND(J2463=1,K2463=1),AND(J2463=1,I2463="SBJ"),AND(J2463=1,I2463=0)),"?IN_FOCUS",IF(J2463&lt;=2,"?ACTIVATED",IF(J2463&lt;&gt;"","?FAMILIAR",IF(F2463="NEW",IF(ISNA(VLOOKUP(E2463,#REF!,1,FALSE())),"?TYPE_IDENTIFIABLE","?REFERENTIAL"),"_")))))</f>
        <v/>
      </c>
      <c r="H2463" s="23" t="str">
        <f t="shared" ca="1" si="273"/>
        <v/>
      </c>
      <c r="I2463" s="24" t="str">
        <f>IF(OR(E2463="",E2463="!!!",F2463="NEW"),"",INDEX(B$2:B2462,-1+SUMPRODUCT(MAX(ROW(E$2:E2462)*(E2463=E$2:E2462)))))</f>
        <v/>
      </c>
      <c r="J2463" s="24" t="str">
        <f ca="1">IF(OR(E2463="",E2463="!!!",F2463="NEW"),"",COUNTBLANK(OFFSET(A$1,,,SUMPRODUCT(MAX(ROW(E$2:E2463)*(E2463=E$2:E2463)))))-COUNTBLANK(OFFSET(A$1,,,SUMPRODUCT(MAX(ROW(E$1:E2462)*(E2=E$1:E2462))))))</f>
        <v/>
      </c>
      <c r="K2463" s="24" t="str">
        <f>IF(OR(E2463="",E2463="!!!",F2463="NEW"),"",INDEX(J$1:J2462,SUMPRODUCT(MAX(ROW(E$1:E2462)*(E2463=E$1:E2462)))))</f>
        <v/>
      </c>
      <c r="L2463" s="25"/>
    </row>
    <row r="2464" spans="1:12" x14ac:dyDescent="0.2">
      <c r="A2464" t="s">
        <v>30</v>
      </c>
      <c r="E2464" s="20" t="str">
        <f t="shared" si="272"/>
        <v/>
      </c>
      <c r="F2464" s="21" t="str">
        <f>IF(OR(E2464="",E2464="!!!"),"",IF(NOT(ISNA(VLOOKUP(E2464,E$1:E2463,1,FALSE()))),"OLD",IF(AND(E2464&lt;&gt;"",E2464&lt;&gt;"!!!"),"NEW","")))</f>
        <v/>
      </c>
      <c r="G2464" s="22" t="str">
        <f>IF(OR(E2464="",E2464="!!!"),"",IF(OR(J2464=0,AND(J2464=1,K2464=1),AND(J2464=1,I2464="SBJ"),AND(J2464=1,I2464=0)),"?IN_FOCUS",IF(J2464&lt;=2,"?ACTIVATED",IF(J2464&lt;&gt;"","?FAMILIAR",IF(F2464="NEW",IF(ISNA(VLOOKUP(E2464,#REF!,1,FALSE())),"?TYPE_IDENTIFIABLE","?REFERENTIAL"),"_")))))</f>
        <v/>
      </c>
      <c r="H2464" s="23" t="str">
        <f t="shared" ca="1" si="273"/>
        <v/>
      </c>
      <c r="I2464" s="24" t="str">
        <f>IF(OR(E2464="",E2464="!!!",F2464="NEW"),"",INDEX(B$2:B2463,-1+SUMPRODUCT(MAX(ROW(E$2:E2463)*(E2464=E$2:E2463)))))</f>
        <v/>
      </c>
      <c r="J2464" s="24" t="str">
        <f ca="1">IF(OR(E2464="",E2464="!!!",F2464="NEW"),"",COUNTBLANK(OFFSET(A$1,,,SUMPRODUCT(MAX(ROW(E$2:E2464)*(E2464=E$2:E2464)))))-COUNTBLANK(OFFSET(A$1,,,SUMPRODUCT(MAX(ROW(E$1:E2463)*(E2=E$1:E2463))))))</f>
        <v/>
      </c>
      <c r="K2464" s="24" t="str">
        <f>IF(OR(E2464="",E2464="!!!",F2464="NEW"),"",INDEX(J$1:J2463,SUMPRODUCT(MAX(ROW(E$1:E2463)*(E2464=E$1:E2463)))))</f>
        <v/>
      </c>
      <c r="L2464" s="25"/>
    </row>
    <row r="2465" spans="1:12" x14ac:dyDescent="0.2">
      <c r="A2465" t="s">
        <v>1103</v>
      </c>
      <c r="B2465" s="26" t="s">
        <v>819</v>
      </c>
      <c r="C2465" s="26" t="s">
        <v>814</v>
      </c>
      <c r="E2465" s="20" t="str">
        <f t="shared" si="272"/>
        <v/>
      </c>
      <c r="F2465" s="21" t="str">
        <f>IF(OR(E2465="",E2465="!!!"),"",IF(NOT(ISNA(VLOOKUP(E2465,E$1:E2464,1,FALSE()))),"OLD",IF(AND(E2465&lt;&gt;"",E2465&lt;&gt;"!!!"),"NEW","")))</f>
        <v/>
      </c>
      <c r="G2465" s="22" t="str">
        <f>IF(OR(E2465="",E2465="!!!"),"",IF(OR(J2465=0,AND(J2465=1,K2465=1),AND(J2465=1,I2465="SBJ"),AND(J2465=1,I2465=0)),"?IN_FOCUS",IF(J2465&lt;=2,"?ACTIVATED",IF(J2465&lt;&gt;"","?FAMILIAR",IF(F2465="NEW",IF(ISNA(VLOOKUP(E2465,#REF!,1,FALSE())),"?TYPE_IDENTIFIABLE","?REFERENTIAL"),"_")))))</f>
        <v/>
      </c>
      <c r="H2465" s="23" t="str">
        <f t="shared" ca="1" si="273"/>
        <v/>
      </c>
      <c r="I2465" s="24" t="str">
        <f>IF(OR(E2465="",E2465="!!!",F2465="NEW"),"",INDEX(B$2:B2464,-1+SUMPRODUCT(MAX(ROW(E$2:E2464)*(E2465=E$2:E2464)))))</f>
        <v/>
      </c>
      <c r="J2465" s="24" t="str">
        <f ca="1">IF(OR(E2465="",E2465="!!!",F2465="NEW"),"",COUNTBLANK(OFFSET(A$1,,,SUMPRODUCT(MAX(ROW(E$2:E2465)*(E2465=E$2:E2465)))))-COUNTBLANK(OFFSET(A$1,,,SUMPRODUCT(MAX(ROW(E$1:E2464)*(E2=E$1:E2464))))))</f>
        <v/>
      </c>
      <c r="K2465" s="24" t="str">
        <f>IF(OR(E2465="",E2465="!!!",F2465="NEW"),"",INDEX(J$1:J2464,SUMPRODUCT(MAX(ROW(E$1:E2464)*(E2465=E$1:E2464)))))</f>
        <v/>
      </c>
      <c r="L2465" s="25"/>
    </row>
    <row r="2466" spans="1:12" x14ac:dyDescent="0.2">
      <c r="A2466" t="s">
        <v>821</v>
      </c>
      <c r="E2466" s="20" t="str">
        <f t="shared" si="272"/>
        <v/>
      </c>
      <c r="F2466" s="21" t="str">
        <f>IF(OR(E2466="",E2466="!!!"),"",IF(NOT(ISNA(VLOOKUP(E2466,E$1:E2465,1,FALSE()))),"OLD",IF(AND(E2466&lt;&gt;"",E2466&lt;&gt;"!!!"),"NEW","")))</f>
        <v/>
      </c>
      <c r="G2466" s="22" t="str">
        <f>IF(OR(E2466="",E2466="!!!"),"",IF(OR(J2466=0,AND(J2466=1,K2466=1),AND(J2466=1,I2466="SBJ"),AND(J2466=1,I2466=0)),"?IN_FOCUS",IF(J2466&lt;=2,"?ACTIVATED",IF(J2466&lt;&gt;"","?FAMILIAR",IF(F2466="NEW",IF(ISNA(VLOOKUP(E2466,#REF!,1,FALSE())),"?TYPE_IDENTIFIABLE","?REFERENTIAL"),"_")))))</f>
        <v/>
      </c>
      <c r="H2466" s="23" t="str">
        <f t="shared" ca="1" si="273"/>
        <v/>
      </c>
      <c r="I2466" s="24" t="str">
        <f>IF(OR(E2466="",E2466="!!!",F2466="NEW"),"",INDEX(B$2:B2465,-1+SUMPRODUCT(MAX(ROW(E$2:E2465)*(E2466=E$2:E2465)))))</f>
        <v/>
      </c>
      <c r="J2466" s="24" t="str">
        <f ca="1">IF(OR(E2466="",E2466="!!!",F2466="NEW"),"",COUNTBLANK(OFFSET(A$1,,,SUMPRODUCT(MAX(ROW(E$2:E2466)*(E2466=E$2:E2466)))))-COUNTBLANK(OFFSET(A$1,,,SUMPRODUCT(MAX(ROW(E$1:E2465)*(E2=E$1:E2465))))))</f>
        <v/>
      </c>
      <c r="K2466" s="24" t="str">
        <f>IF(OR(E2466="",E2466="!!!",F2466="NEW"),"",INDEX(J$1:J2465,SUMPRODUCT(MAX(ROW(E$1:E2465)*(E2466=E$1:E2465)))))</f>
        <v/>
      </c>
      <c r="L2466" s="25"/>
    </row>
    <row r="2468" spans="1:12" x14ac:dyDescent="0.2">
      <c r="A2468" t="s">
        <v>1537</v>
      </c>
    </row>
    <row r="2469" spans="1:12" x14ac:dyDescent="0.2">
      <c r="A2469" t="s">
        <v>837</v>
      </c>
      <c r="B2469" s="26" t="s">
        <v>804</v>
      </c>
      <c r="C2469" s="26" t="s">
        <v>805</v>
      </c>
      <c r="D2469" s="26" t="s">
        <v>806</v>
      </c>
      <c r="E2469" s="20" t="s">
        <v>1802</v>
      </c>
      <c r="F2469" s="21" t="str">
        <f>IF(OR(E2469="",E2469="!!!"),"",IF(NOT(ISNA(VLOOKUP(E2469,E$1:E2468,1,FALSE()))),"OLD",IF(AND(E2469&lt;&gt;"",E2469&lt;&gt;"!!!"),"NEW","")))</f>
        <v>OLD</v>
      </c>
      <c r="G2469" s="22" t="s">
        <v>1823</v>
      </c>
      <c r="H2469" s="23" t="str">
        <f t="shared" ref="H2469:H2484" ca="1" si="274">IF(J2469&lt;&gt;1,"",IF(I2469="SBJ","CB","?"))</f>
        <v/>
      </c>
      <c r="I2469" s="24" t="str">
        <f>IF(OR(E2469="",E2469="!!!",F2469="NEW"),"",INDEX(B$2:B2468,-1+SUMPRODUCT(MAX(ROW(E$2:E2468)*(E2469=E$2:E2468)))))</f>
        <v>SBJ</v>
      </c>
      <c r="J2469" s="24">
        <f ca="1">IF(OR(E2469="",E2469="!!!",F2469="NEW"),"",COUNTBLANK(OFFSET(A$1,,,SUMPRODUCT(MAX(ROW(E$2:E2469)*(E2469=E$2:E2469)))))-COUNTBLANK(OFFSET(A$1,,,SUMPRODUCT(MAX(ROW(E$1:E2468)*(E2=E$1:E2468))))))</f>
        <v>0</v>
      </c>
      <c r="K2469" s="24">
        <f ca="1">IF(OR(E2469="",E2469="!!!",F2469="NEW"),"",INDEX(J$1:J2468,SUMPRODUCT(MAX(ROW(E$1:E2468)*(E2469=E$1:E2468)))))</f>
        <v>0</v>
      </c>
      <c r="L2469" s="25"/>
    </row>
    <row r="2470" spans="1:12" x14ac:dyDescent="0.2">
      <c r="A2470" t="s">
        <v>1142</v>
      </c>
      <c r="E2470" s="20" t="str">
        <f t="shared" ref="E2469:E2484" si="275">IF(D2470="?OLD","!!!","")</f>
        <v/>
      </c>
      <c r="F2470" s="21" t="str">
        <f>IF(OR(E2470="",E2470="!!!"),"",IF(NOT(ISNA(VLOOKUP(E2470,E$1:E2469,1,FALSE()))),"OLD",IF(AND(E2470&lt;&gt;"",E2470&lt;&gt;"!!!"),"NEW","")))</f>
        <v/>
      </c>
      <c r="G2470" s="22" t="str">
        <f>IF(OR(E2470="",E2470="!!!"),"",IF(OR(J2470=0,AND(J2470=1,K2470=1),AND(J2470=1,I2470="SBJ"),AND(J2470=1,I2470=0)),"?IN_FOCUS",IF(J2470&lt;=2,"?ACTIVATED",IF(J2470&lt;&gt;"","?FAMILIAR",IF(F2470="NEW",IF(ISNA(VLOOKUP(E2470,#REF!,1,FALSE())),"?TYPE_IDENTIFIABLE","?REFERENTIAL"),"_")))))</f>
        <v/>
      </c>
      <c r="H2470" s="23" t="str">
        <f t="shared" ca="1" si="274"/>
        <v/>
      </c>
      <c r="I2470" s="24" t="str">
        <f>IF(OR(E2470="",E2470="!!!",F2470="NEW"),"",INDEX(B$2:B2469,-1+SUMPRODUCT(MAX(ROW(E$2:E2469)*(E2470=E$2:E2469)))))</f>
        <v/>
      </c>
      <c r="J2470" s="24" t="str">
        <f ca="1">IF(OR(E2470="",E2470="!!!",F2470="NEW"),"",COUNTBLANK(OFFSET(A$1,,,SUMPRODUCT(MAX(ROW(E$2:E2470)*(E2470=E$2:E2470)))))-COUNTBLANK(OFFSET(A$1,,,SUMPRODUCT(MAX(ROW(E$1:E2469)*(E2=E$1:E2469))))))</f>
        <v/>
      </c>
      <c r="K2470" s="24" t="str">
        <f>IF(OR(E2470="",E2470="!!!",F2470="NEW"),"",INDEX(J$1:J2469,SUMPRODUCT(MAX(ROW(E$1:E2469)*(E2470=E$1:E2469)))))</f>
        <v/>
      </c>
      <c r="L2470" s="25"/>
    </row>
    <row r="2471" spans="1:12" x14ac:dyDescent="0.2">
      <c r="A2471" t="s">
        <v>1538</v>
      </c>
      <c r="E2471" s="20" t="str">
        <f t="shared" si="275"/>
        <v/>
      </c>
      <c r="F2471" s="21" t="str">
        <f>IF(OR(E2471="",E2471="!!!"),"",IF(NOT(ISNA(VLOOKUP(E2471,E$1:E2470,1,FALSE()))),"OLD",IF(AND(E2471&lt;&gt;"",E2471&lt;&gt;"!!!"),"NEW","")))</f>
        <v/>
      </c>
      <c r="G2471" s="22" t="str">
        <f>IF(OR(E2471="",E2471="!!!"),"",IF(OR(J2471=0,AND(J2471=1,K2471=1),AND(J2471=1,I2471="SBJ"),AND(J2471=1,I2471=0)),"?IN_FOCUS",IF(J2471&lt;=2,"?ACTIVATED",IF(J2471&lt;&gt;"","?FAMILIAR",IF(F2471="NEW",IF(ISNA(VLOOKUP(E2471,#REF!,1,FALSE())),"?TYPE_IDENTIFIABLE","?REFERENTIAL"),"_")))))</f>
        <v/>
      </c>
      <c r="H2471" s="23" t="str">
        <f t="shared" ca="1" si="274"/>
        <v/>
      </c>
      <c r="I2471" s="24" t="str">
        <f>IF(OR(E2471="",E2471="!!!",F2471="NEW"),"",INDEX(B$2:B2470,-1+SUMPRODUCT(MAX(ROW(E$2:E2470)*(E2471=E$2:E2470)))))</f>
        <v/>
      </c>
      <c r="J2471" s="24" t="str">
        <f ca="1">IF(OR(E2471="",E2471="!!!",F2471="NEW"),"",COUNTBLANK(OFFSET(A$1,,,SUMPRODUCT(MAX(ROW(E$2:E2471)*(E2471=E$2:E2471)))))-COUNTBLANK(OFFSET(A$1,,,SUMPRODUCT(MAX(ROW(E$1:E2470)*(E2=E$1:E2470))))))</f>
        <v/>
      </c>
      <c r="K2471" s="24" t="str">
        <f>IF(OR(E2471="",E2471="!!!",F2471="NEW"),"",INDEX(J$1:J2470,SUMPRODUCT(MAX(ROW(E$1:E2470)*(E2471=E$1:E2470)))))</f>
        <v/>
      </c>
      <c r="L2471" s="25"/>
    </row>
    <row r="2472" spans="1:12" x14ac:dyDescent="0.2">
      <c r="A2472" t="s">
        <v>888</v>
      </c>
      <c r="E2472" s="20" t="str">
        <f t="shared" si="275"/>
        <v/>
      </c>
      <c r="F2472" s="21" t="str">
        <f>IF(OR(E2472="",E2472="!!!"),"",IF(NOT(ISNA(VLOOKUP(E2472,E$1:E2471,1,FALSE()))),"OLD",IF(AND(E2472&lt;&gt;"",E2472&lt;&gt;"!!!"),"NEW","")))</f>
        <v/>
      </c>
      <c r="G2472" s="22" t="str">
        <f>IF(OR(E2472="",E2472="!!!"),"",IF(OR(J2472=0,AND(J2472=1,K2472=1),AND(J2472=1,I2472="SBJ"),AND(J2472=1,I2472=0)),"?IN_FOCUS",IF(J2472&lt;=2,"?ACTIVATED",IF(J2472&lt;&gt;"","?FAMILIAR",IF(F2472="NEW",IF(ISNA(VLOOKUP(E2472,#REF!,1,FALSE())),"?TYPE_IDENTIFIABLE","?REFERENTIAL"),"_")))))</f>
        <v/>
      </c>
      <c r="H2472" s="23" t="str">
        <f t="shared" ca="1" si="274"/>
        <v/>
      </c>
      <c r="I2472" s="24" t="str">
        <f>IF(OR(E2472="",E2472="!!!",F2472="NEW"),"",INDEX(B$2:B2471,-1+SUMPRODUCT(MAX(ROW(E$2:E2471)*(E2472=E$2:E2471)))))</f>
        <v/>
      </c>
      <c r="J2472" s="24" t="str">
        <f ca="1">IF(OR(E2472="",E2472="!!!",F2472="NEW"),"",COUNTBLANK(OFFSET(A$1,,,SUMPRODUCT(MAX(ROW(E$2:E2472)*(E2472=E$2:E2472)))))-COUNTBLANK(OFFSET(A$1,,,SUMPRODUCT(MAX(ROW(E$1:E2471)*(E2=E$1:E2471))))))</f>
        <v/>
      </c>
      <c r="K2472" s="24" t="str">
        <f>IF(OR(E2472="",E2472="!!!",F2472="NEW"),"",INDEX(J$1:J2471,SUMPRODUCT(MAX(ROW(E$1:E2471)*(E2472=E$1:E2471)))))</f>
        <v/>
      </c>
      <c r="L2472" s="25"/>
    </row>
    <row r="2473" spans="1:12" x14ac:dyDescent="0.2">
      <c r="A2473" t="s">
        <v>1539</v>
      </c>
      <c r="E2473" s="20" t="str">
        <f t="shared" si="275"/>
        <v/>
      </c>
      <c r="F2473" s="21" t="str">
        <f>IF(OR(E2473="",E2473="!!!"),"",IF(NOT(ISNA(VLOOKUP(E2473,E$1:E2472,1,FALSE()))),"OLD",IF(AND(E2473&lt;&gt;"",E2473&lt;&gt;"!!!"),"NEW","")))</f>
        <v/>
      </c>
      <c r="G2473" s="22" t="str">
        <f>IF(OR(E2473="",E2473="!!!"),"",IF(OR(J2473=0,AND(J2473=1,K2473=1),AND(J2473=1,I2473="SBJ"),AND(J2473=1,I2473=0)),"?IN_FOCUS",IF(J2473&lt;=2,"?ACTIVATED",IF(J2473&lt;&gt;"","?FAMILIAR",IF(F2473="NEW",IF(ISNA(VLOOKUP(E2473,#REF!,1,FALSE())),"?TYPE_IDENTIFIABLE","?REFERENTIAL"),"_")))))</f>
        <v/>
      </c>
      <c r="H2473" s="23" t="str">
        <f t="shared" ca="1" si="274"/>
        <v/>
      </c>
      <c r="I2473" s="24" t="str">
        <f>IF(OR(E2473="",E2473="!!!",F2473="NEW"),"",INDEX(B$2:B2472,-1+SUMPRODUCT(MAX(ROW(E$2:E2472)*(E2473=E$2:E2472)))))</f>
        <v/>
      </c>
      <c r="J2473" s="24" t="str">
        <f ca="1">IF(OR(E2473="",E2473="!!!",F2473="NEW"),"",COUNTBLANK(OFFSET(A$1,,,SUMPRODUCT(MAX(ROW(E$2:E2473)*(E2473=E$2:E2473)))))-COUNTBLANK(OFFSET(A$1,,,SUMPRODUCT(MAX(ROW(E$1:E2472)*(E2=E$1:E2472))))))</f>
        <v/>
      </c>
      <c r="K2473" s="24" t="str">
        <f>IF(OR(E2473="",E2473="!!!",F2473="NEW"),"",INDEX(J$1:J2472,SUMPRODUCT(MAX(ROW(E$1:E2472)*(E2473=E$1:E2472)))))</f>
        <v/>
      </c>
      <c r="L2473" s="25"/>
    </row>
    <row r="2474" spans="1:12" x14ac:dyDescent="0.2">
      <c r="A2474" t="s">
        <v>802</v>
      </c>
      <c r="E2474" s="20" t="str">
        <f t="shared" si="275"/>
        <v/>
      </c>
      <c r="F2474" s="21" t="str">
        <f>IF(OR(E2474="",E2474="!!!"),"",IF(NOT(ISNA(VLOOKUP(E2474,E$1:E2473,1,FALSE()))),"OLD",IF(AND(E2474&lt;&gt;"",E2474&lt;&gt;"!!!"),"NEW","")))</f>
        <v/>
      </c>
      <c r="G2474" s="22" t="str">
        <f>IF(OR(E2474="",E2474="!!!"),"",IF(OR(J2474=0,AND(J2474=1,K2474=1),AND(J2474=1,I2474="SBJ"),AND(J2474=1,I2474=0)),"?IN_FOCUS",IF(J2474&lt;=2,"?ACTIVATED",IF(J2474&lt;&gt;"","?FAMILIAR",IF(F2474="NEW",IF(ISNA(VLOOKUP(E2474,#REF!,1,FALSE())),"?TYPE_IDENTIFIABLE","?REFERENTIAL"),"_")))))</f>
        <v/>
      </c>
      <c r="H2474" s="23" t="str">
        <f t="shared" ca="1" si="274"/>
        <v/>
      </c>
      <c r="I2474" s="24" t="str">
        <f>IF(OR(E2474="",E2474="!!!",F2474="NEW"),"",INDEX(B$2:B2473,-1+SUMPRODUCT(MAX(ROW(E$2:E2473)*(E2474=E$2:E2473)))))</f>
        <v/>
      </c>
      <c r="J2474" s="24" t="str">
        <f ca="1">IF(OR(E2474="",E2474="!!!",F2474="NEW"),"",COUNTBLANK(OFFSET(A$1,,,SUMPRODUCT(MAX(ROW(E$2:E2474)*(E2474=E$2:E2474)))))-COUNTBLANK(OFFSET(A$1,,,SUMPRODUCT(MAX(ROW(E$1:E2473)*(E2=E$1:E2473))))))</f>
        <v/>
      </c>
      <c r="K2474" s="24" t="str">
        <f>IF(OR(E2474="",E2474="!!!",F2474="NEW"),"",INDEX(J$1:J2473,SUMPRODUCT(MAX(ROW(E$1:E2473)*(E2474=E$1:E2473)))))</f>
        <v/>
      </c>
      <c r="L2474" s="25"/>
    </row>
    <row r="2475" spans="1:12" x14ac:dyDescent="0.2">
      <c r="A2475" t="s">
        <v>833</v>
      </c>
      <c r="E2475" s="20" t="str">
        <f t="shared" si="275"/>
        <v/>
      </c>
      <c r="F2475" s="21" t="str">
        <f>IF(OR(E2475="",E2475="!!!"),"",IF(NOT(ISNA(VLOOKUP(E2475,E$1:E2474,1,FALSE()))),"OLD",IF(AND(E2475&lt;&gt;"",E2475&lt;&gt;"!!!"),"NEW","")))</f>
        <v/>
      </c>
      <c r="G2475" s="22" t="str">
        <f>IF(OR(E2475="",E2475="!!!"),"",IF(OR(J2475=0,AND(J2475=1,K2475=1),AND(J2475=1,I2475="SBJ"),AND(J2475=1,I2475=0)),"?IN_FOCUS",IF(J2475&lt;=2,"?ACTIVATED",IF(J2475&lt;&gt;"","?FAMILIAR",IF(F2475="NEW",IF(ISNA(VLOOKUP(E2475,#REF!,1,FALSE())),"?TYPE_IDENTIFIABLE","?REFERENTIAL"),"_")))))</f>
        <v/>
      </c>
      <c r="H2475" s="23" t="str">
        <f t="shared" ca="1" si="274"/>
        <v/>
      </c>
      <c r="I2475" s="24" t="str">
        <f>IF(OR(E2475="",E2475="!!!",F2475="NEW"),"",INDEX(B$2:B2474,-1+SUMPRODUCT(MAX(ROW(E$2:E2474)*(E2475=E$2:E2474)))))</f>
        <v/>
      </c>
      <c r="J2475" s="24" t="str">
        <f ca="1">IF(OR(E2475="",E2475="!!!",F2475="NEW"),"",COUNTBLANK(OFFSET(A$1,,,SUMPRODUCT(MAX(ROW(E$2:E2475)*(E2475=E$2:E2475)))))-COUNTBLANK(OFFSET(A$1,,,SUMPRODUCT(MAX(ROW(E$1:E2474)*(E2=E$1:E2474))))))</f>
        <v/>
      </c>
      <c r="K2475" s="24" t="str">
        <f>IF(OR(E2475="",E2475="!!!",F2475="NEW"),"",INDEX(J$1:J2474,SUMPRODUCT(MAX(ROW(E$1:E2474)*(E2475=E$1:E2474)))))</f>
        <v/>
      </c>
      <c r="L2475" s="25"/>
    </row>
    <row r="2476" spans="1:12" x14ac:dyDescent="0.2">
      <c r="A2476" t="s">
        <v>866</v>
      </c>
      <c r="B2476" s="26" t="s">
        <v>950</v>
      </c>
      <c r="C2476" s="26" t="s">
        <v>805</v>
      </c>
      <c r="D2476" s="26" t="s">
        <v>806</v>
      </c>
      <c r="E2476" s="20"/>
      <c r="F2476" s="21" t="s">
        <v>1781</v>
      </c>
      <c r="G2476" s="22" t="str">
        <f>IF(OR(E2476="",E2476="!!!"),"",IF(OR(J2476=0,AND(J2476=1,K2476=1),AND(J2476=1,I2476="SBJ"),AND(J2476=1,I2476=0)),"?IN_FOCUS",IF(J2476&lt;=2,"?ACTIVATED",IF(J2476&lt;&gt;"","?FAMILIAR",IF(F2476="NEW",IF(ISNA(VLOOKUP(E2476,#REF!,1,FALSE())),"?TYPE_IDENTIFIABLE","?REFERENTIAL"),"_")))))</f>
        <v/>
      </c>
      <c r="H2476" s="23" t="str">
        <f t="shared" ca="1" si="274"/>
        <v/>
      </c>
      <c r="I2476" s="24" t="str">
        <f>IF(OR(E2476="",E2476="!!!",F2476="NEW"),"",INDEX(B$2:B2475,-1+SUMPRODUCT(MAX(ROW(E$2:E2475)*(E2476=E$2:E2475)))))</f>
        <v/>
      </c>
      <c r="J2476" s="24" t="str">
        <f ca="1">IF(OR(E2476="",E2476="!!!",F2476="NEW"),"",COUNTBLANK(OFFSET(A$1,,,SUMPRODUCT(MAX(ROW(E$2:E2476)*(E2476=E$2:E2476)))))-COUNTBLANK(OFFSET(A$1,,,SUMPRODUCT(MAX(ROW(E$1:E2475)*(E2=E$1:E2475))))))</f>
        <v/>
      </c>
      <c r="K2476" s="24" t="str">
        <f>IF(OR(E2476="",E2476="!!!",F2476="NEW"),"",INDEX(J$1:J2475,SUMPRODUCT(MAX(ROW(E$1:E2475)*(E2476=E$1:E2475)))))</f>
        <v/>
      </c>
      <c r="L2476" s="25"/>
    </row>
    <row r="2477" spans="1:12" x14ac:dyDescent="0.2">
      <c r="A2477" t="s">
        <v>1540</v>
      </c>
      <c r="E2477" s="20" t="str">
        <f t="shared" si="275"/>
        <v/>
      </c>
      <c r="F2477" s="21" t="str">
        <f>IF(OR(E2477="",E2477="!!!"),"",IF(NOT(ISNA(VLOOKUP(E2477,E$1:E2476,1,FALSE()))),"OLD",IF(AND(E2477&lt;&gt;"",E2477&lt;&gt;"!!!"),"NEW","")))</f>
        <v/>
      </c>
      <c r="G2477" s="22" t="str">
        <f>IF(OR(E2477="",E2477="!!!"),"",IF(OR(J2477=0,AND(J2477=1,K2477=1),AND(J2477=1,I2477="SBJ"),AND(J2477=1,I2477=0)),"?IN_FOCUS",IF(J2477&lt;=2,"?ACTIVATED",IF(J2477&lt;&gt;"","?FAMILIAR",IF(F2477="NEW",IF(ISNA(VLOOKUP(E2477,#REF!,1,FALSE())),"?TYPE_IDENTIFIABLE","?REFERENTIAL"),"_")))))</f>
        <v/>
      </c>
      <c r="H2477" s="23" t="str">
        <f t="shared" ca="1" si="274"/>
        <v/>
      </c>
      <c r="I2477" s="24" t="str">
        <f>IF(OR(E2477="",E2477="!!!",F2477="NEW"),"",INDEX(B$2:B2476,-1+SUMPRODUCT(MAX(ROW(E$2:E2476)*(E2477=E$2:E2476)))))</f>
        <v/>
      </c>
      <c r="J2477" s="24" t="str">
        <f ca="1">IF(OR(E2477="",E2477="!!!",F2477="NEW"),"",COUNTBLANK(OFFSET(A$1,,,SUMPRODUCT(MAX(ROW(E$2:E2477)*(E2477=E$2:E2477)))))-COUNTBLANK(OFFSET(A$1,,,SUMPRODUCT(MAX(ROW(E$1:E2476)*(E2=E$1:E2476))))))</f>
        <v/>
      </c>
      <c r="K2477" s="24" t="str">
        <f>IF(OR(E2477="",E2477="!!!",F2477="NEW"),"",INDEX(J$1:J2476,SUMPRODUCT(MAX(ROW(E$1:E2476)*(E2477=E$1:E2476)))))</f>
        <v/>
      </c>
      <c r="L2477" s="25"/>
    </row>
    <row r="2478" spans="1:12" x14ac:dyDescent="0.2">
      <c r="A2478" t="s">
        <v>1541</v>
      </c>
      <c r="E2478" s="20" t="str">
        <f t="shared" si="275"/>
        <v/>
      </c>
      <c r="F2478" s="21" t="str">
        <f>IF(OR(E2478="",E2478="!!!"),"",IF(NOT(ISNA(VLOOKUP(E2478,E$1:E2477,1,FALSE()))),"OLD",IF(AND(E2478&lt;&gt;"",E2478&lt;&gt;"!!!"),"NEW","")))</f>
        <v/>
      </c>
      <c r="G2478" s="22" t="str">
        <f>IF(OR(E2478="",E2478="!!!"),"",IF(OR(J2478=0,AND(J2478=1,K2478=1),AND(J2478=1,I2478="SBJ"),AND(J2478=1,I2478=0)),"?IN_FOCUS",IF(J2478&lt;=2,"?ACTIVATED",IF(J2478&lt;&gt;"","?FAMILIAR",IF(F2478="NEW",IF(ISNA(VLOOKUP(E2478,#REF!,1,FALSE())),"?TYPE_IDENTIFIABLE","?REFERENTIAL"),"_")))))</f>
        <v/>
      </c>
      <c r="H2478" s="23" t="str">
        <f t="shared" ca="1" si="274"/>
        <v/>
      </c>
      <c r="I2478" s="24" t="str">
        <f>IF(OR(E2478="",E2478="!!!",F2478="NEW"),"",INDEX(B$2:B2477,-1+SUMPRODUCT(MAX(ROW(E$2:E2477)*(E2478=E$2:E2477)))))</f>
        <v/>
      </c>
      <c r="J2478" s="24" t="str">
        <f ca="1">IF(OR(E2478="",E2478="!!!",F2478="NEW"),"",COUNTBLANK(OFFSET(A$1,,,SUMPRODUCT(MAX(ROW(E$2:E2478)*(E2478=E$2:E2478)))))-COUNTBLANK(OFFSET(A$1,,,SUMPRODUCT(MAX(ROW(E$1:E2477)*(E2=E$1:E2477))))))</f>
        <v/>
      </c>
      <c r="K2478" s="24" t="str">
        <f>IF(OR(E2478="",E2478="!!!",F2478="NEW"),"",INDEX(J$1:J2477,SUMPRODUCT(MAX(ROW(E$1:E2477)*(E2478=E$1:E2477)))))</f>
        <v/>
      </c>
      <c r="L2478" s="25"/>
    </row>
    <row r="2479" spans="1:12" x14ac:dyDescent="0.2">
      <c r="A2479" t="s">
        <v>809</v>
      </c>
      <c r="E2479" s="20" t="str">
        <f t="shared" si="275"/>
        <v/>
      </c>
      <c r="F2479" s="21" t="str">
        <f>IF(OR(E2479="",E2479="!!!"),"",IF(NOT(ISNA(VLOOKUP(E2479,E$1:E2478,1,FALSE()))),"OLD",IF(AND(E2479&lt;&gt;"",E2479&lt;&gt;"!!!"),"NEW","")))</f>
        <v/>
      </c>
      <c r="G2479" s="22" t="str">
        <f>IF(OR(E2479="",E2479="!!!"),"",IF(OR(J2479=0,AND(J2479=1,K2479=1),AND(J2479=1,I2479="SBJ"),AND(J2479=1,I2479=0)),"?IN_FOCUS",IF(J2479&lt;=2,"?ACTIVATED",IF(J2479&lt;&gt;"","?FAMILIAR",IF(F2479="NEW",IF(ISNA(VLOOKUP(E2479,#REF!,1,FALSE())),"?TYPE_IDENTIFIABLE","?REFERENTIAL"),"_")))))</f>
        <v/>
      </c>
      <c r="H2479" s="23" t="str">
        <f t="shared" ca="1" si="274"/>
        <v/>
      </c>
      <c r="I2479" s="24" t="str">
        <f>IF(OR(E2479="",E2479="!!!",F2479="NEW"),"",INDEX(B$2:B2478,-1+SUMPRODUCT(MAX(ROW(E$2:E2478)*(E2479=E$2:E2478)))))</f>
        <v/>
      </c>
      <c r="J2479" s="24" t="str">
        <f ca="1">IF(OR(E2479="",E2479="!!!",F2479="NEW"),"",COUNTBLANK(OFFSET(A$1,,,SUMPRODUCT(MAX(ROW(E$2:E2479)*(E2479=E$2:E2479)))))-COUNTBLANK(OFFSET(A$1,,,SUMPRODUCT(MAX(ROW(E$1:E2478)*(E2=E$1:E2478))))))</f>
        <v/>
      </c>
      <c r="K2479" s="24" t="str">
        <f>IF(OR(E2479="",E2479="!!!",F2479="NEW"),"",INDEX(J$1:J2478,SUMPRODUCT(MAX(ROW(E$1:E2478)*(E2479=E$1:E2478)))))</f>
        <v/>
      </c>
      <c r="L2479" s="25"/>
    </row>
    <row r="2480" spans="1:12" x14ac:dyDescent="0.2">
      <c r="A2480" t="s">
        <v>1542</v>
      </c>
      <c r="B2480" s="26" t="s">
        <v>938</v>
      </c>
      <c r="C2480" s="26" t="s">
        <v>811</v>
      </c>
      <c r="E2480" s="20" t="str">
        <f t="shared" si="275"/>
        <v/>
      </c>
      <c r="F2480" s="21" t="str">
        <f>IF(OR(E2480="",E2480="!!!"),"",IF(NOT(ISNA(VLOOKUP(E2480,E$1:E2479,1,FALSE()))),"OLD",IF(AND(E2480&lt;&gt;"",E2480&lt;&gt;"!!!"),"NEW","")))</f>
        <v/>
      </c>
      <c r="G2480" s="22" t="str">
        <f>IF(OR(E2480="",E2480="!!!"),"",IF(OR(J2480=0,AND(J2480=1,K2480=1),AND(J2480=1,I2480="SBJ"),AND(J2480=1,I2480=0)),"?IN_FOCUS",IF(J2480&lt;=2,"?ACTIVATED",IF(J2480&lt;&gt;"","?FAMILIAR",IF(F2480="NEW",IF(ISNA(VLOOKUP(E2480,#REF!,1,FALSE())),"?TYPE_IDENTIFIABLE","?REFERENTIAL"),"_")))))</f>
        <v/>
      </c>
      <c r="H2480" s="23" t="str">
        <f t="shared" ca="1" si="274"/>
        <v/>
      </c>
      <c r="I2480" s="24" t="str">
        <f>IF(OR(E2480="",E2480="!!!",F2480="NEW"),"",INDEX(B$2:B2479,-1+SUMPRODUCT(MAX(ROW(E$2:E2479)*(E2480=E$2:E2479)))))</f>
        <v/>
      </c>
      <c r="J2480" s="24" t="str">
        <f ca="1">IF(OR(E2480="",E2480="!!!",F2480="NEW"),"",COUNTBLANK(OFFSET(A$1,,,SUMPRODUCT(MAX(ROW(E$2:E2480)*(E2480=E$2:E2480)))))-COUNTBLANK(OFFSET(A$1,,,SUMPRODUCT(MAX(ROW(E$1:E2479)*(E2=E$1:E2479))))))</f>
        <v/>
      </c>
      <c r="K2480" s="24" t="str">
        <f>IF(OR(E2480="",E2480="!!!",F2480="NEW"),"",INDEX(J$1:J2479,SUMPRODUCT(MAX(ROW(E$1:E2479)*(E2480=E$1:E2479)))))</f>
        <v/>
      </c>
      <c r="L2480" s="25"/>
    </row>
    <row r="2481" spans="1:12" x14ac:dyDescent="0.2">
      <c r="A2481" t="s">
        <v>812</v>
      </c>
      <c r="E2481" s="20" t="str">
        <f t="shared" si="275"/>
        <v/>
      </c>
      <c r="F2481" s="21" t="str">
        <f>IF(OR(E2481="",E2481="!!!"),"",IF(NOT(ISNA(VLOOKUP(E2481,E$1:E2480,1,FALSE()))),"OLD",IF(AND(E2481&lt;&gt;"",E2481&lt;&gt;"!!!"),"NEW","")))</f>
        <v/>
      </c>
      <c r="G2481" s="22" t="str">
        <f>IF(OR(E2481="",E2481="!!!"),"",IF(OR(J2481=0,AND(J2481=1,K2481=1),AND(J2481=1,I2481="SBJ"),AND(J2481=1,I2481=0)),"?IN_FOCUS",IF(J2481&lt;=2,"?ACTIVATED",IF(J2481&lt;&gt;"","?FAMILIAR",IF(F2481="NEW",IF(ISNA(VLOOKUP(E2481,#REF!,1,FALSE())),"?TYPE_IDENTIFIABLE","?REFERENTIAL"),"_")))))</f>
        <v/>
      </c>
      <c r="H2481" s="23" t="str">
        <f t="shared" ca="1" si="274"/>
        <v/>
      </c>
      <c r="I2481" s="24" t="str">
        <f>IF(OR(E2481="",E2481="!!!",F2481="NEW"),"",INDEX(B$2:B2480,-1+SUMPRODUCT(MAX(ROW(E$2:E2480)*(E2481=E$2:E2480)))))</f>
        <v/>
      </c>
      <c r="J2481" s="24" t="str">
        <f ca="1">IF(OR(E2481="",E2481="!!!",F2481="NEW"),"",COUNTBLANK(OFFSET(A$1,,,SUMPRODUCT(MAX(ROW(E$2:E2481)*(E2481=E$2:E2481)))))-COUNTBLANK(OFFSET(A$1,,,SUMPRODUCT(MAX(ROW(E$1:E2480)*(E2=E$1:E2480))))))</f>
        <v/>
      </c>
      <c r="K2481" s="24" t="str">
        <f>IF(OR(E2481="",E2481="!!!",F2481="NEW"),"",INDEX(J$1:J2480,SUMPRODUCT(MAX(ROW(E$1:E2480)*(E2481=E$1:E2480)))))</f>
        <v/>
      </c>
      <c r="L2481" s="25"/>
    </row>
    <row r="2482" spans="1:12" x14ac:dyDescent="0.2">
      <c r="A2482" t="s">
        <v>845</v>
      </c>
      <c r="E2482" s="20" t="str">
        <f t="shared" si="275"/>
        <v/>
      </c>
      <c r="F2482" s="21" t="str">
        <f>IF(OR(E2482="",E2482="!!!"),"",IF(NOT(ISNA(VLOOKUP(E2482,E$1:E2481,1,FALSE()))),"OLD",IF(AND(E2482&lt;&gt;"",E2482&lt;&gt;"!!!"),"NEW","")))</f>
        <v/>
      </c>
      <c r="G2482" s="22" t="str">
        <f>IF(OR(E2482="",E2482="!!!"),"",IF(OR(J2482=0,AND(J2482=1,K2482=1),AND(J2482=1,I2482="SBJ"),AND(J2482=1,I2482=0)),"?IN_FOCUS",IF(J2482&lt;=2,"?ACTIVATED",IF(J2482&lt;&gt;"","?FAMILIAR",IF(F2482="NEW",IF(ISNA(VLOOKUP(E2482,#REF!,1,FALSE())),"?TYPE_IDENTIFIABLE","?REFERENTIAL"),"_")))))</f>
        <v/>
      </c>
      <c r="H2482" s="23" t="str">
        <f t="shared" ca="1" si="274"/>
        <v/>
      </c>
      <c r="I2482" s="24" t="str">
        <f>IF(OR(E2482="",E2482="!!!",F2482="NEW"),"",INDEX(B$2:B2481,-1+SUMPRODUCT(MAX(ROW(E$2:E2481)*(E2482=E$2:E2481)))))</f>
        <v/>
      </c>
      <c r="J2482" s="24" t="str">
        <f ca="1">IF(OR(E2482="",E2482="!!!",F2482="NEW"),"",COUNTBLANK(OFFSET(A$1,,,SUMPRODUCT(MAX(ROW(E$2:E2482)*(E2482=E$2:E2482)))))-COUNTBLANK(OFFSET(A$1,,,SUMPRODUCT(MAX(ROW(E$1:E2481)*(E2=E$1:E2481))))))</f>
        <v/>
      </c>
      <c r="K2482" s="24" t="str">
        <f>IF(OR(E2482="",E2482="!!!",F2482="NEW"),"",INDEX(J$1:J2481,SUMPRODUCT(MAX(ROW(E$1:E2481)*(E2482=E$1:E2481)))))</f>
        <v/>
      </c>
      <c r="L2482" s="25"/>
    </row>
    <row r="2483" spans="1:12" x14ac:dyDescent="0.2">
      <c r="A2483" t="s">
        <v>1543</v>
      </c>
      <c r="B2483" s="26" t="s">
        <v>864</v>
      </c>
      <c r="C2483" s="26" t="s">
        <v>847</v>
      </c>
      <c r="D2483" s="26" t="s">
        <v>806</v>
      </c>
      <c r="E2483" s="20" t="s">
        <v>1543</v>
      </c>
      <c r="F2483" s="21" t="str">
        <f>IF(OR(E2483="",E2483="!!!"),"",IF(NOT(ISNA(VLOOKUP(E2483,E$1:E2482,1,FALSE()))),"OLD",IF(AND(E2483&lt;&gt;"",E2483&lt;&gt;"!!!"),"NEW","")))</f>
        <v>NEW</v>
      </c>
      <c r="G2483" s="22" t="s">
        <v>1820</v>
      </c>
      <c r="H2483" s="23" t="str">
        <f t="shared" ca="1" si="274"/>
        <v/>
      </c>
      <c r="I2483" s="24" t="str">
        <f>IF(OR(E2483="",E2483="!!!",F2483="NEW"),"",INDEX(B$2:B2482,-1+SUMPRODUCT(MAX(ROW(E$2:E2482)*(E2483=E$2:E2482)))))</f>
        <v/>
      </c>
      <c r="J2483" s="24" t="str">
        <f ca="1">IF(OR(E2483="",E2483="!!!",F2483="NEW"),"",COUNTBLANK(OFFSET(A$1,,,SUMPRODUCT(MAX(ROW(E$2:E2483)*(E2483=E$2:E2483)))))-COUNTBLANK(OFFSET(A$1,,,SUMPRODUCT(MAX(ROW(E$1:E2482)*(E2=E$1:E2482))))))</f>
        <v/>
      </c>
      <c r="K2483" s="24" t="str">
        <f>IF(OR(E2483="",E2483="!!!",F2483="NEW"),"",INDEX(J$1:J2482,SUMPRODUCT(MAX(ROW(E$1:E2482)*(E2483=E$1:E2482)))))</f>
        <v/>
      </c>
      <c r="L2483" s="25"/>
    </row>
    <row r="2484" spans="1:12" x14ac:dyDescent="0.2">
      <c r="A2484" t="s">
        <v>821</v>
      </c>
      <c r="E2484" s="20" t="str">
        <f t="shared" si="275"/>
        <v/>
      </c>
      <c r="F2484" s="21" t="str">
        <f>IF(OR(E2484="",E2484="!!!"),"",IF(NOT(ISNA(VLOOKUP(E2484,E$1:E2483,1,FALSE()))),"OLD",IF(AND(E2484&lt;&gt;"",E2484&lt;&gt;"!!!"),"NEW","")))</f>
        <v/>
      </c>
      <c r="G2484" s="22" t="str">
        <f>IF(OR(E2484="",E2484="!!!"),"",IF(OR(J2484=0,AND(J2484=1,K2484=1),AND(J2484=1,I2484="SBJ"),AND(J2484=1,I2484=0)),"?IN_FOCUS",IF(J2484&lt;=2,"?ACTIVATED",IF(J2484&lt;&gt;"","?FAMILIAR",IF(F2484="NEW",IF(ISNA(VLOOKUP(E2484,#REF!,1,FALSE())),"?TYPE_IDENTIFIABLE","?REFERENTIAL"),"_")))))</f>
        <v/>
      </c>
      <c r="H2484" s="23" t="str">
        <f t="shared" ca="1" si="274"/>
        <v/>
      </c>
      <c r="I2484" s="24" t="str">
        <f>IF(OR(E2484="",E2484="!!!",F2484="NEW"),"",INDEX(B$2:B2483,-1+SUMPRODUCT(MAX(ROW(E$2:E2483)*(E2484=E$2:E2483)))))</f>
        <v/>
      </c>
      <c r="J2484" s="24" t="str">
        <f ca="1">IF(OR(E2484="",E2484="!!!",F2484="NEW"),"",COUNTBLANK(OFFSET(A$1,,,SUMPRODUCT(MAX(ROW(E$2:E2484)*(E2484=E$2:E2484)))))-COUNTBLANK(OFFSET(A$1,,,SUMPRODUCT(MAX(ROW(E$1:E2483)*(E2=E$1:E2483))))))</f>
        <v/>
      </c>
      <c r="K2484" s="24" t="str">
        <f>IF(OR(E2484="",E2484="!!!",F2484="NEW"),"",INDEX(J$1:J2483,SUMPRODUCT(MAX(ROW(E$1:E2483)*(E2484=E$1:E2483)))))</f>
        <v/>
      </c>
      <c r="L2484" s="25"/>
    </row>
    <row r="2486" spans="1:12" x14ac:dyDescent="0.2">
      <c r="A2486" t="s">
        <v>1544</v>
      </c>
    </row>
    <row r="2487" spans="1:12" x14ac:dyDescent="0.2">
      <c r="A2487" t="s">
        <v>803</v>
      </c>
      <c r="B2487" s="26" t="s">
        <v>804</v>
      </c>
      <c r="C2487" s="26" t="s">
        <v>805</v>
      </c>
      <c r="D2487" s="26" t="s">
        <v>806</v>
      </c>
      <c r="E2487" s="20" t="s">
        <v>1747</v>
      </c>
      <c r="F2487" s="21" t="str">
        <f>IF(OR(E2487="",E2487="!!!"),"",IF(NOT(ISNA(VLOOKUP(E2487,E$1:E2486,1,FALSE()))),"OLD",IF(AND(E2487&lt;&gt;"",E2487&lt;&gt;"!!!"),"NEW","")))</f>
        <v>OLD</v>
      </c>
      <c r="G2487" s="22" t="s">
        <v>1823</v>
      </c>
      <c r="H2487" s="23" t="str">
        <f t="shared" ref="H2487:H2496" ca="1" si="276">IF(J2487&lt;&gt;1,"",IF(I2487="SBJ","CB","?"))</f>
        <v/>
      </c>
      <c r="I2487" s="24" t="str">
        <f>IF(OR(E2487="",E2487="!!!",F2487="NEW"),"",INDEX(B$2:B2486,-1+SUMPRODUCT(MAX(ROW(E$2:E2486)*(E2487=E$2:E2486)))))</f>
        <v>SBJ_2</v>
      </c>
      <c r="J2487" s="24">
        <f ca="1">IF(OR(E2487="",E2487="!!!",F2487="NEW"),"",COUNTBLANK(OFFSET(A$1,,,SUMPRODUCT(MAX(ROW(E$2:E2487)*(E2487=E$2:E2487)))))-COUNTBLANK(OFFSET(A$1,,,SUMPRODUCT(MAX(ROW(E$1:E2486)*(E2=E$1:E2486))))))</f>
        <v>0</v>
      </c>
      <c r="K2487" s="24">
        <f ca="1">IF(OR(E2487="",E2487="!!!",F2487="NEW"),"",INDEX(J$1:J2486,SUMPRODUCT(MAX(ROW(E$1:E2486)*(E2487=E$1:E2486)))))</f>
        <v>0</v>
      </c>
      <c r="L2487" s="25"/>
    </row>
    <row r="2488" spans="1:12" x14ac:dyDescent="0.2">
      <c r="A2488" t="s">
        <v>1093</v>
      </c>
      <c r="E2488" s="20" t="str">
        <f t="shared" ref="E2487:E2496" si="277">IF(D2488="?OLD","!!!","")</f>
        <v/>
      </c>
      <c r="F2488" s="21" t="str">
        <f>IF(OR(E2488="",E2488="!!!"),"",IF(NOT(ISNA(VLOOKUP(E2488,E$1:E2487,1,FALSE()))),"OLD",IF(AND(E2488&lt;&gt;"",E2488&lt;&gt;"!!!"),"NEW","")))</f>
        <v/>
      </c>
      <c r="G2488" s="22" t="str">
        <f>IF(OR(E2488="",E2488="!!!"),"",IF(OR(J2488=0,AND(J2488=1,K2488=1),AND(J2488=1,I2488="SBJ"),AND(J2488=1,I2488=0)),"?IN_FOCUS",IF(J2488&lt;=2,"?ACTIVATED",IF(J2488&lt;&gt;"","?FAMILIAR",IF(F2488="NEW",IF(ISNA(VLOOKUP(E2488,#REF!,1,FALSE())),"?TYPE_IDENTIFIABLE","?REFERENTIAL"),"_")))))</f>
        <v/>
      </c>
      <c r="H2488" s="23" t="str">
        <f t="shared" ca="1" si="276"/>
        <v/>
      </c>
      <c r="I2488" s="24" t="str">
        <f>IF(OR(E2488="",E2488="!!!",F2488="NEW"),"",INDEX(B$2:B2487,-1+SUMPRODUCT(MAX(ROW(E$2:E2487)*(E2488=E$2:E2487)))))</f>
        <v/>
      </c>
      <c r="J2488" s="24" t="str">
        <f ca="1">IF(OR(E2488="",E2488="!!!",F2488="NEW"),"",COUNTBLANK(OFFSET(A$1,,,SUMPRODUCT(MAX(ROW(E$2:E2488)*(E2488=E$2:E2488)))))-COUNTBLANK(OFFSET(A$1,,,SUMPRODUCT(MAX(ROW(E$1:E2487)*(E2=E$1:E2487))))))</f>
        <v/>
      </c>
      <c r="K2488" s="24" t="str">
        <f>IF(OR(E2488="",E2488="!!!",F2488="NEW"),"",INDEX(J$1:J2487,SUMPRODUCT(MAX(ROW(E$1:E2487)*(E2488=E$1:E2487)))))</f>
        <v/>
      </c>
      <c r="L2488" s="25"/>
    </row>
    <row r="2489" spans="1:12" x14ac:dyDescent="0.2">
      <c r="A2489" t="s">
        <v>1060</v>
      </c>
      <c r="B2489" s="26" t="s">
        <v>810</v>
      </c>
      <c r="C2489" s="26" t="s">
        <v>987</v>
      </c>
      <c r="D2489" s="26" t="s">
        <v>806</v>
      </c>
      <c r="E2489" s="20" t="s">
        <v>106</v>
      </c>
      <c r="F2489" s="21" t="str">
        <f>IF(OR(E2489="",E2489="!!!"),"",IF(NOT(ISNA(VLOOKUP(E2489,E$1:E2488,1,FALSE()))),"OLD",IF(AND(E2489&lt;&gt;"",E2489&lt;&gt;"!!!"),"NEW","")))</f>
        <v>NEW</v>
      </c>
      <c r="G2489" s="22" t="s">
        <v>1822</v>
      </c>
      <c r="H2489" s="23" t="str">
        <f t="shared" ca="1" si="276"/>
        <v/>
      </c>
      <c r="I2489" s="24" t="str">
        <f>IF(OR(E2489="",E2489="!!!",F2489="NEW"),"",INDEX(B$2:B2488,-1+SUMPRODUCT(MAX(ROW(E$2:E2488)*(E2489=E$2:E2488)))))</f>
        <v/>
      </c>
      <c r="J2489" s="24" t="str">
        <f ca="1">IF(OR(E2489="",E2489="!!!",F2489="NEW"),"",COUNTBLANK(OFFSET(A$1,,,SUMPRODUCT(MAX(ROW(E$2:E2489)*(E2489=E$2:E2489)))))-COUNTBLANK(OFFSET(A$1,,,SUMPRODUCT(MAX(ROW(E$1:E2488)*(E2=E$1:E2488))))))</f>
        <v/>
      </c>
      <c r="K2489" s="24" t="str">
        <f>IF(OR(E2489="",E2489="!!!",F2489="NEW"),"",INDEX(J$1:J2488,SUMPRODUCT(MAX(ROW(E$1:E2488)*(E2489=E$1:E2488)))))</f>
        <v/>
      </c>
      <c r="L2489" s="25"/>
    </row>
    <row r="2490" spans="1:12" x14ac:dyDescent="0.2">
      <c r="A2490" t="s">
        <v>859</v>
      </c>
      <c r="E2490" s="20" t="str">
        <f t="shared" si="277"/>
        <v/>
      </c>
      <c r="F2490" s="21" t="str">
        <f>IF(OR(E2490="",E2490="!!!"),"",IF(NOT(ISNA(VLOOKUP(E2490,E$1:E2489,1,FALSE()))),"OLD",IF(AND(E2490&lt;&gt;"",E2490&lt;&gt;"!!!"),"NEW","")))</f>
        <v/>
      </c>
      <c r="G2490" s="22" t="str">
        <f>IF(OR(E2490="",E2490="!!!"),"",IF(OR(J2490=0,AND(J2490=1,K2490=1),AND(J2490=1,I2490="SBJ"),AND(J2490=1,I2490=0)),"?IN_FOCUS",IF(J2490&lt;=2,"?ACTIVATED",IF(J2490&lt;&gt;"","?FAMILIAR",IF(F2490="NEW",IF(ISNA(VLOOKUP(E2490,#REF!,1,FALSE())),"?TYPE_IDENTIFIABLE","?REFERENTIAL"),"_")))))</f>
        <v/>
      </c>
      <c r="H2490" s="23" t="str">
        <f t="shared" ca="1" si="276"/>
        <v/>
      </c>
      <c r="I2490" s="24" t="str">
        <f>IF(OR(E2490="",E2490="!!!",F2490="NEW"),"",INDEX(B$2:B2489,-1+SUMPRODUCT(MAX(ROW(E$2:E2489)*(E2490=E$2:E2489)))))</f>
        <v/>
      </c>
      <c r="J2490" s="24" t="str">
        <f ca="1">IF(OR(E2490="",E2490="!!!",F2490="NEW"),"",COUNTBLANK(OFFSET(A$1,,,SUMPRODUCT(MAX(ROW(E$2:E2490)*(E2490=E$2:E2490)))))-COUNTBLANK(OFFSET(A$1,,,SUMPRODUCT(MAX(ROW(E$1:E2489)*(E2=E$1:E2489))))))</f>
        <v/>
      </c>
      <c r="K2490" s="24" t="str">
        <f>IF(OR(E2490="",E2490="!!!",F2490="NEW"),"",INDEX(J$1:J2489,SUMPRODUCT(MAX(ROW(E$1:E2489)*(E2490=E$1:E2489)))))</f>
        <v/>
      </c>
      <c r="L2490" s="25"/>
    </row>
    <row r="2491" spans="1:12" x14ac:dyDescent="0.2">
      <c r="A2491" t="s">
        <v>1191</v>
      </c>
      <c r="B2491" s="26" t="s">
        <v>819</v>
      </c>
      <c r="C2491" s="26" t="s">
        <v>854</v>
      </c>
      <c r="D2491" s="26" t="s">
        <v>806</v>
      </c>
      <c r="E2491" s="20" t="s">
        <v>1175</v>
      </c>
      <c r="F2491" s="21" t="str">
        <f>IF(OR(E2491="",E2491="!!!"),"",IF(NOT(ISNA(VLOOKUP(E2491,E$1:E2490,1,FALSE()))),"OLD",IF(AND(E2491&lt;&gt;"",E2491&lt;&gt;"!!!"),"NEW","")))</f>
        <v>OLD</v>
      </c>
      <c r="G2491" s="22" t="s">
        <v>1825</v>
      </c>
      <c r="H2491" s="23" t="str">
        <f t="shared" ca="1" si="276"/>
        <v/>
      </c>
      <c r="I2491" s="24" t="str">
        <f>IF(OR(E2491="",E2491="!!!",F2491="NEW"),"",INDEX(B$2:B2490,-1+SUMPRODUCT(MAX(ROW(E$2:E2490)*(E2491=E$2:E2490)))))</f>
        <v>SBJ</v>
      </c>
      <c r="J2491" s="24">
        <f ca="1">IF(OR(E2491="",E2491="!!!",F2491="NEW"),"",COUNTBLANK(OFFSET(A$1,,,SUMPRODUCT(MAX(ROW(E$2:E2491)*(E2491=E$2:E2491)))))-COUNTBLANK(OFFSET(A$1,,,SUMPRODUCT(MAX(ROW(E$1:E2490)*(E2=E$1:E2490))))))</f>
        <v>0</v>
      </c>
      <c r="K2491" s="24">
        <f ca="1">IF(OR(E2491="",E2491="!!!",F2491="NEW"),"",INDEX(J$1:J2490,SUMPRODUCT(MAX(ROW(E$1:E2490)*(E2491=E$1:E2490)))))</f>
        <v>0</v>
      </c>
      <c r="L2491" s="25"/>
    </row>
    <row r="2492" spans="1:12" x14ac:dyDescent="0.2">
      <c r="A2492" t="s">
        <v>802</v>
      </c>
      <c r="E2492" s="20" t="str">
        <f t="shared" si="277"/>
        <v/>
      </c>
      <c r="F2492" s="21" t="str">
        <f>IF(OR(E2492="",E2492="!!!"),"",IF(NOT(ISNA(VLOOKUP(E2492,E$1:E2491,1,FALSE()))),"OLD",IF(AND(E2492&lt;&gt;"",E2492&lt;&gt;"!!!"),"NEW","")))</f>
        <v/>
      </c>
      <c r="G2492" s="22" t="str">
        <f>IF(OR(E2492="",E2492="!!!"),"",IF(OR(J2492=0,AND(J2492=1,K2492=1),AND(J2492=1,I2492="SBJ"),AND(J2492=1,I2492=0)),"?IN_FOCUS",IF(J2492&lt;=2,"?ACTIVATED",IF(J2492&lt;&gt;"","?FAMILIAR",IF(F2492="NEW",IF(ISNA(VLOOKUP(E2492,#REF!,1,FALSE())),"?TYPE_IDENTIFIABLE","?REFERENTIAL"),"_")))))</f>
        <v/>
      </c>
      <c r="H2492" s="23" t="str">
        <f t="shared" ca="1" si="276"/>
        <v/>
      </c>
      <c r="I2492" s="24" t="str">
        <f>IF(OR(E2492="",E2492="!!!",F2492="NEW"),"",INDEX(B$2:B2491,-1+SUMPRODUCT(MAX(ROW(E$2:E2491)*(E2492=E$2:E2491)))))</f>
        <v/>
      </c>
      <c r="J2492" s="24" t="str">
        <f ca="1">IF(OR(E2492="",E2492="!!!",F2492="NEW"),"",COUNTBLANK(OFFSET(A$1,,,SUMPRODUCT(MAX(ROW(E$2:E2492)*(E2492=E$2:E2492)))))-COUNTBLANK(OFFSET(A$1,,,SUMPRODUCT(MAX(ROW(E$1:E2491)*(E2=E$1:E2491))))))</f>
        <v/>
      </c>
      <c r="K2492" s="24" t="str">
        <f>IF(OR(E2492="",E2492="!!!",F2492="NEW"),"",INDEX(J$1:J2491,SUMPRODUCT(MAX(ROW(E$1:E2491)*(E2492=E$1:E2491)))))</f>
        <v/>
      </c>
      <c r="L2492" s="25"/>
    </row>
    <row r="2493" spans="1:12" x14ac:dyDescent="0.2">
      <c r="A2493" t="s">
        <v>888</v>
      </c>
      <c r="E2493" s="20" t="str">
        <f t="shared" si="277"/>
        <v/>
      </c>
      <c r="F2493" s="21" t="str">
        <f>IF(OR(E2493="",E2493="!!!"),"",IF(NOT(ISNA(VLOOKUP(E2493,E$1:E2492,1,FALSE()))),"OLD",IF(AND(E2493&lt;&gt;"",E2493&lt;&gt;"!!!"),"NEW","")))</f>
        <v/>
      </c>
      <c r="G2493" s="22" t="str">
        <f>IF(OR(E2493="",E2493="!!!"),"",IF(OR(J2493=0,AND(J2493=1,K2493=1),AND(J2493=1,I2493="SBJ"),AND(J2493=1,I2493=0)),"?IN_FOCUS",IF(J2493&lt;=2,"?ACTIVATED",IF(J2493&lt;&gt;"","?FAMILIAR",IF(F2493="NEW",IF(ISNA(VLOOKUP(E2493,#REF!,1,FALSE())),"?TYPE_IDENTIFIABLE","?REFERENTIAL"),"_")))))</f>
        <v/>
      </c>
      <c r="H2493" s="23" t="str">
        <f t="shared" ca="1" si="276"/>
        <v/>
      </c>
      <c r="I2493" s="24" t="str">
        <f>IF(OR(E2493="",E2493="!!!",F2493="NEW"),"",INDEX(B$2:B2492,-1+SUMPRODUCT(MAX(ROW(E$2:E2492)*(E2493=E$2:E2492)))))</f>
        <v/>
      </c>
      <c r="J2493" s="24" t="str">
        <f ca="1">IF(OR(E2493="",E2493="!!!",F2493="NEW"),"",COUNTBLANK(OFFSET(A$1,,,SUMPRODUCT(MAX(ROW(E$2:E2493)*(E2493=E$2:E2493)))))-COUNTBLANK(OFFSET(A$1,,,SUMPRODUCT(MAX(ROW(E$1:E2492)*(E2=E$1:E2492))))))</f>
        <v/>
      </c>
      <c r="K2493" s="24" t="str">
        <f>IF(OR(E2493="",E2493="!!!",F2493="NEW"),"",INDEX(J$1:J2492,SUMPRODUCT(MAX(ROW(E$1:E2492)*(E2493=E$1:E2492)))))</f>
        <v/>
      </c>
      <c r="L2493" s="25"/>
    </row>
    <row r="2494" spans="1:12" x14ac:dyDescent="0.2">
      <c r="A2494" t="s">
        <v>1024</v>
      </c>
      <c r="B2494" s="26" t="s">
        <v>950</v>
      </c>
      <c r="C2494" s="26" t="s">
        <v>805</v>
      </c>
      <c r="D2494" s="26" t="s">
        <v>806</v>
      </c>
      <c r="E2494" s="20" t="s">
        <v>1175</v>
      </c>
      <c r="F2494" s="21" t="str">
        <f>IF(OR(E2494="",E2494="!!!"),"",IF(NOT(ISNA(VLOOKUP(E2494,E$1:E2493,1,FALSE()))),"OLD",IF(AND(E2494&lt;&gt;"",E2494&lt;&gt;"!!!"),"NEW","")))</f>
        <v>OLD</v>
      </c>
      <c r="G2494" s="22" t="s">
        <v>1823</v>
      </c>
      <c r="H2494" s="23" t="str">
        <f t="shared" ca="1" si="276"/>
        <v/>
      </c>
      <c r="I2494" s="24" t="str">
        <f>IF(OR(E2494="",E2494="!!!",F2494="NEW"),"",INDEX(B$2:B2493,-1+SUMPRODUCT(MAX(ROW(E$2:E2493)*(E2494=E$2:E2493)))))</f>
        <v>other</v>
      </c>
      <c r="J2494" s="24">
        <f ca="1">IF(OR(E2494="",E2494="!!!",F2494="NEW"),"",COUNTBLANK(OFFSET(A$1,,,SUMPRODUCT(MAX(ROW(E$2:E2494)*(E2494=E$2:E2494)))))-COUNTBLANK(OFFSET(A$1,,,SUMPRODUCT(MAX(ROW(E$1:E2493)*(E2=E$1:E2493))))))</f>
        <v>0</v>
      </c>
      <c r="K2494" s="24">
        <f ca="1">IF(OR(E2494="",E2494="!!!",F2494="NEW"),"",INDEX(J$1:J2493,SUMPRODUCT(MAX(ROW(E$1:E2493)*(E2494=E$1:E2493)))))</f>
        <v>0</v>
      </c>
      <c r="L2494" s="25"/>
    </row>
    <row r="2495" spans="1:12" x14ac:dyDescent="0.2">
      <c r="A2495" t="s">
        <v>1545</v>
      </c>
      <c r="E2495" s="20" t="str">
        <f t="shared" si="277"/>
        <v/>
      </c>
      <c r="F2495" s="21" t="str">
        <f>IF(OR(E2495="",E2495="!!!"),"",IF(NOT(ISNA(VLOOKUP(E2495,E$1:E2494,1,FALSE()))),"OLD",IF(AND(E2495&lt;&gt;"",E2495&lt;&gt;"!!!"),"NEW","")))</f>
        <v/>
      </c>
      <c r="G2495" s="22" t="str">
        <f>IF(OR(E2495="",E2495="!!!"),"",IF(OR(J2495=0,AND(J2495=1,K2495=1),AND(J2495=1,I2495="SBJ"),AND(J2495=1,I2495=0)),"?IN_FOCUS",IF(J2495&lt;=2,"?ACTIVATED",IF(J2495&lt;&gt;"","?FAMILIAR",IF(F2495="NEW",IF(ISNA(VLOOKUP(E2495,#REF!,1,FALSE())),"?TYPE_IDENTIFIABLE","?REFERENTIAL"),"_")))))</f>
        <v/>
      </c>
      <c r="H2495" s="23" t="str">
        <f t="shared" ca="1" si="276"/>
        <v/>
      </c>
      <c r="I2495" s="24" t="str">
        <f>IF(OR(E2495="",E2495="!!!",F2495="NEW"),"",INDEX(B$2:B2494,-1+SUMPRODUCT(MAX(ROW(E$2:E2494)*(E2495=E$2:E2494)))))</f>
        <v/>
      </c>
      <c r="J2495" s="24" t="str">
        <f ca="1">IF(OR(E2495="",E2495="!!!",F2495="NEW"),"",COUNTBLANK(OFFSET(A$1,,,SUMPRODUCT(MAX(ROW(E$2:E2495)*(E2495=E$2:E2495)))))-COUNTBLANK(OFFSET(A$1,,,SUMPRODUCT(MAX(ROW(E$1:E2494)*(E2=E$1:E2494))))))</f>
        <v/>
      </c>
      <c r="K2495" s="24" t="str">
        <f>IF(OR(E2495="",E2495="!!!",F2495="NEW"),"",INDEX(J$1:J2494,SUMPRODUCT(MAX(ROW(E$1:E2494)*(E2495=E$1:E2494)))))</f>
        <v/>
      </c>
      <c r="L2495" s="25"/>
    </row>
    <row r="2496" spans="1:12" x14ac:dyDescent="0.2">
      <c r="A2496" t="s">
        <v>821</v>
      </c>
      <c r="E2496" s="20" t="str">
        <f t="shared" si="277"/>
        <v/>
      </c>
      <c r="F2496" s="21" t="str">
        <f>IF(OR(E2496="",E2496="!!!"),"",IF(NOT(ISNA(VLOOKUP(E2496,E$1:E2495,1,FALSE()))),"OLD",IF(AND(E2496&lt;&gt;"",E2496&lt;&gt;"!!!"),"NEW","")))</f>
        <v/>
      </c>
      <c r="G2496" s="22" t="str">
        <f>IF(OR(E2496="",E2496="!!!"),"",IF(OR(J2496=0,AND(J2496=1,K2496=1),AND(J2496=1,I2496="SBJ"),AND(J2496=1,I2496=0)),"?IN_FOCUS",IF(J2496&lt;=2,"?ACTIVATED",IF(J2496&lt;&gt;"","?FAMILIAR",IF(F2496="NEW",IF(ISNA(VLOOKUP(E2496,#REF!,1,FALSE())),"?TYPE_IDENTIFIABLE","?REFERENTIAL"),"_")))))</f>
        <v/>
      </c>
      <c r="H2496" s="23" t="str">
        <f t="shared" ca="1" si="276"/>
        <v/>
      </c>
      <c r="I2496" s="24" t="str">
        <f>IF(OR(E2496="",E2496="!!!",F2496="NEW"),"",INDEX(B$2:B2495,-1+SUMPRODUCT(MAX(ROW(E$2:E2495)*(E2496=E$2:E2495)))))</f>
        <v/>
      </c>
      <c r="J2496" s="24" t="str">
        <f ca="1">IF(OR(E2496="",E2496="!!!",F2496="NEW"),"",COUNTBLANK(OFFSET(A$1,,,SUMPRODUCT(MAX(ROW(E$2:E2496)*(E2496=E$2:E2496)))))-COUNTBLANK(OFFSET(A$1,,,SUMPRODUCT(MAX(ROW(E$1:E2495)*(E2=E$1:E2495))))))</f>
        <v/>
      </c>
      <c r="K2496" s="24" t="str">
        <f>IF(OR(E2496="",E2496="!!!",F2496="NEW"),"",INDEX(J$1:J2495,SUMPRODUCT(MAX(ROW(E$1:E2495)*(E2496=E$1:E2495)))))</f>
        <v/>
      </c>
      <c r="L2496" s="25"/>
    </row>
    <row r="2498" spans="1:12" x14ac:dyDescent="0.2">
      <c r="A2498" t="s">
        <v>900</v>
      </c>
      <c r="E2498" s="20" t="str">
        <f>IF(D2498="?OLD","!!!","")</f>
        <v/>
      </c>
      <c r="F2498" s="21" t="str">
        <f>IF(OR(E2498="",E2498="!!!"),"",IF(NOT(ISNA(VLOOKUP(E2498,E$1:E2497,1,FALSE()))),"OLD",IF(AND(E2498&lt;&gt;"",E2498&lt;&gt;"!!!"),"NEW","")))</f>
        <v/>
      </c>
      <c r="G2498" s="22" t="str">
        <f>IF(OR(E2498="",E2498="!!!"),"",IF(OR(J2498=0,AND(J2498=1,K2498=1),AND(J2498=1,I2498="SBJ"),AND(J2498=1,I2498=0)),"?IN_FOCUS",IF(J2498&lt;=2,"?ACTIVATED",IF(J2498&lt;&gt;"","?FAMILIAR",IF(F2498="NEW",IF(ISNA(VLOOKUP(E2498,#REF!,1,FALSE())),"?TYPE_IDENTIFIABLE","?REFERENTIAL"),"_")))))</f>
        <v/>
      </c>
      <c r="H2498" s="23" t="str">
        <f ca="1">IF(J2498&lt;&gt;1,"",IF(I2498="SBJ","CB","?"))</f>
        <v/>
      </c>
      <c r="I2498" s="24" t="str">
        <f>IF(OR(E2498="",E2498="!!!",F2498="NEW"),"",INDEX(B$2:B2497,-1+SUMPRODUCT(MAX(ROW(E$2:E2497)*(E2498=E$2:E2497)))))</f>
        <v/>
      </c>
      <c r="J2498" s="24" t="str">
        <f ca="1">IF(OR(E2498="",E2498="!!!",F2498="NEW"),"",COUNTBLANK(OFFSET(A$1,,,SUMPRODUCT(MAX(ROW(E$2:E2498)*(E2498=E$2:E2498)))))-COUNTBLANK(OFFSET(A$1,,,SUMPRODUCT(MAX(ROW(E$1:E2497)*(E2=E$1:E2497))))))</f>
        <v/>
      </c>
      <c r="K2498" s="24" t="str">
        <f>IF(OR(E2498="",E2498="!!!",F2498="NEW"),"",INDEX(J$1:J2497,SUMPRODUCT(MAX(ROW(E$1:E2497)*(E2498=E$1:E2497)))))</f>
        <v/>
      </c>
      <c r="L2498" s="25"/>
    </row>
    <row r="2499" spans="1:12" x14ac:dyDescent="0.2">
      <c r="A2499" t="s">
        <v>1546</v>
      </c>
    </row>
    <row r="2500" spans="1:12" x14ac:dyDescent="0.2">
      <c r="A2500" t="s">
        <v>1073</v>
      </c>
      <c r="B2500" s="26" t="s">
        <v>804</v>
      </c>
      <c r="C2500" s="26" t="s">
        <v>805</v>
      </c>
      <c r="D2500" s="26" t="s">
        <v>806</v>
      </c>
      <c r="E2500" s="20" t="s">
        <v>1175</v>
      </c>
      <c r="F2500" s="21" t="str">
        <f>IF(OR(E2500="",E2500="!!!"),"",IF(NOT(ISNA(VLOOKUP(E2500,E$1:E2499,1,FALSE()))),"OLD",IF(AND(E2500&lt;&gt;"",E2500&lt;&gt;"!!!"),"NEW","")))</f>
        <v>OLD</v>
      </c>
      <c r="G2500" s="22" t="s">
        <v>1823</v>
      </c>
      <c r="H2500" s="23" t="str">
        <f t="shared" ref="H2500:H2510" ca="1" si="278">IF(J2500&lt;&gt;1,"",IF(I2500="SBJ","CB","?"))</f>
        <v/>
      </c>
      <c r="I2500" s="24" t="str">
        <f>IF(OR(E2500="",E2500="!!!",F2500="NEW"),"",INDEX(B$2:B2499,-1+SUMPRODUCT(MAX(ROW(E$2:E2499)*(E2500=E$2:E2499)))))</f>
        <v>SBJ_2</v>
      </c>
      <c r="J2500" s="24">
        <f ca="1">IF(OR(E2500="",E2500="!!!",F2500="NEW"),"",COUNTBLANK(OFFSET(A$1,,,SUMPRODUCT(MAX(ROW(E$2:E2500)*(E2500=E$2:E2500)))))-COUNTBLANK(OFFSET(A$1,,,SUMPRODUCT(MAX(ROW(E$1:E2499)*(E2=E$1:E2499))))))</f>
        <v>0</v>
      </c>
      <c r="K2500" s="24">
        <f ca="1">IF(OR(E2500="",E2500="!!!",F2500="NEW"),"",INDEX(J$1:J2499,SUMPRODUCT(MAX(ROW(E$1:E2499)*(E2500=E$1:E2499)))))</f>
        <v>0</v>
      </c>
      <c r="L2500" s="25"/>
    </row>
    <row r="2501" spans="1:12" x14ac:dyDescent="0.2">
      <c r="A2501" t="s">
        <v>904</v>
      </c>
      <c r="E2501" s="20" t="str">
        <f t="shared" ref="E2500:E2510" si="279">IF(D2501="?OLD","!!!","")</f>
        <v/>
      </c>
      <c r="F2501" s="21" t="str">
        <f>IF(OR(E2501="",E2501="!!!"),"",IF(NOT(ISNA(VLOOKUP(E2501,E$1:E2500,1,FALSE()))),"OLD",IF(AND(E2501&lt;&gt;"",E2501&lt;&gt;"!!!"),"NEW","")))</f>
        <v/>
      </c>
      <c r="G2501" s="22" t="str">
        <f>IF(OR(E2501="",E2501="!!!"),"",IF(OR(J2501=0,AND(J2501=1,K2501=1),AND(J2501=1,I2501="SBJ"),AND(J2501=1,I2501=0)),"?IN_FOCUS",IF(J2501&lt;=2,"?ACTIVATED",IF(J2501&lt;&gt;"","?FAMILIAR",IF(F2501="NEW",IF(ISNA(VLOOKUP(E2501,#REF!,1,FALSE())),"?TYPE_IDENTIFIABLE","?REFERENTIAL"),"_")))))</f>
        <v/>
      </c>
      <c r="H2501" s="23" t="str">
        <f t="shared" ca="1" si="278"/>
        <v/>
      </c>
      <c r="I2501" s="24" t="str">
        <f>IF(OR(E2501="",E2501="!!!",F2501="NEW"),"",INDEX(B$2:B2500,-1+SUMPRODUCT(MAX(ROW(E$2:E2500)*(E2501=E$2:E2500)))))</f>
        <v/>
      </c>
      <c r="J2501" s="24" t="str">
        <f ca="1">IF(OR(E2501="",E2501="!!!",F2501="NEW"),"",COUNTBLANK(OFFSET(A$1,,,SUMPRODUCT(MAX(ROW(E$2:E2501)*(E2501=E$2:E2501)))))-COUNTBLANK(OFFSET(A$1,,,SUMPRODUCT(MAX(ROW(E$1:E2500)*(E2=E$1:E2500))))))</f>
        <v/>
      </c>
      <c r="K2501" s="24" t="str">
        <f>IF(OR(E2501="",E2501="!!!",F2501="NEW"),"",INDEX(J$1:J2500,SUMPRODUCT(MAX(ROW(E$1:E2500)*(E2501=E$1:E2500)))))</f>
        <v/>
      </c>
      <c r="L2501" s="25"/>
    </row>
    <row r="2502" spans="1:12" x14ac:dyDescent="0.2">
      <c r="A2502" t="s">
        <v>802</v>
      </c>
      <c r="E2502" s="20" t="str">
        <f t="shared" si="279"/>
        <v/>
      </c>
      <c r="F2502" s="21" t="str">
        <f>IF(OR(E2502="",E2502="!!!"),"",IF(NOT(ISNA(VLOOKUP(E2502,E$1:E2501,1,FALSE()))),"OLD",IF(AND(E2502&lt;&gt;"",E2502&lt;&gt;"!!!"),"NEW","")))</f>
        <v/>
      </c>
      <c r="G2502" s="22" t="str">
        <f>IF(OR(E2502="",E2502="!!!"),"",IF(OR(J2502=0,AND(J2502=1,K2502=1),AND(J2502=1,I2502="SBJ"),AND(J2502=1,I2502=0)),"?IN_FOCUS",IF(J2502&lt;=2,"?ACTIVATED",IF(J2502&lt;&gt;"","?FAMILIAR",IF(F2502="NEW",IF(ISNA(VLOOKUP(E2502,#REF!,1,FALSE())),"?TYPE_IDENTIFIABLE","?REFERENTIAL"),"_")))))</f>
        <v/>
      </c>
      <c r="H2502" s="23" t="str">
        <f t="shared" ca="1" si="278"/>
        <v/>
      </c>
      <c r="I2502" s="24" t="str">
        <f>IF(OR(E2502="",E2502="!!!",F2502="NEW"),"",INDEX(B$2:B2501,-1+SUMPRODUCT(MAX(ROW(E$2:E2501)*(E2502=E$2:E2501)))))</f>
        <v/>
      </c>
      <c r="J2502" s="24" t="str">
        <f ca="1">IF(OR(E2502="",E2502="!!!",F2502="NEW"),"",COUNTBLANK(OFFSET(A$1,,,SUMPRODUCT(MAX(ROW(E$2:E2502)*(E2502=E$2:E2502)))))-COUNTBLANK(OFFSET(A$1,,,SUMPRODUCT(MAX(ROW(E$1:E2501)*(E2=E$1:E2501))))))</f>
        <v/>
      </c>
      <c r="K2502" s="24" t="str">
        <f>IF(OR(E2502="",E2502="!!!",F2502="NEW"),"",INDEX(J$1:J2501,SUMPRODUCT(MAX(ROW(E$1:E2501)*(E2502=E$1:E2501)))))</f>
        <v/>
      </c>
      <c r="L2502" s="25"/>
    </row>
    <row r="2503" spans="1:12" x14ac:dyDescent="0.2">
      <c r="A2503" t="s">
        <v>902</v>
      </c>
      <c r="E2503" s="20" t="str">
        <f t="shared" si="279"/>
        <v/>
      </c>
      <c r="F2503" s="21" t="str">
        <f>IF(OR(E2503="",E2503="!!!"),"",IF(NOT(ISNA(VLOOKUP(E2503,E$1:E2502,1,FALSE()))),"OLD",IF(AND(E2503&lt;&gt;"",E2503&lt;&gt;"!!!"),"NEW","")))</f>
        <v/>
      </c>
      <c r="G2503" s="22" t="str">
        <f>IF(OR(E2503="",E2503="!!!"),"",IF(OR(J2503=0,AND(J2503=1,K2503=1),AND(J2503=1,I2503="SBJ"),AND(J2503=1,I2503=0)),"?IN_FOCUS",IF(J2503&lt;=2,"?ACTIVATED",IF(J2503&lt;&gt;"","?FAMILIAR",IF(F2503="NEW",IF(ISNA(VLOOKUP(E2503,#REF!,1,FALSE())),"?TYPE_IDENTIFIABLE","?REFERENTIAL"),"_")))))</f>
        <v/>
      </c>
      <c r="H2503" s="23" t="str">
        <f t="shared" ca="1" si="278"/>
        <v/>
      </c>
      <c r="I2503" s="24" t="str">
        <f>IF(OR(E2503="",E2503="!!!",F2503="NEW"),"",INDEX(B$2:B2502,-1+SUMPRODUCT(MAX(ROW(E$2:E2502)*(E2503=E$2:E2502)))))</f>
        <v/>
      </c>
      <c r="J2503" s="24" t="str">
        <f ca="1">IF(OR(E2503="",E2503="!!!",F2503="NEW"),"",COUNTBLANK(OFFSET(A$1,,,SUMPRODUCT(MAX(ROW(E$2:E2503)*(E2503=E$2:E2503)))))-COUNTBLANK(OFFSET(A$1,,,SUMPRODUCT(MAX(ROW(E$1:E2502)*(E2=E$1:E2502))))))</f>
        <v/>
      </c>
      <c r="K2503" s="24" t="str">
        <f>IF(OR(E2503="",E2503="!!!",F2503="NEW"),"",INDEX(J$1:J2502,SUMPRODUCT(MAX(ROW(E$1:E2502)*(E2503=E$1:E2502)))))</f>
        <v/>
      </c>
      <c r="L2503" s="25"/>
    </row>
    <row r="2504" spans="1:12" x14ac:dyDescent="0.2">
      <c r="A2504" t="s">
        <v>1008</v>
      </c>
      <c r="E2504" s="20" t="str">
        <f t="shared" si="279"/>
        <v/>
      </c>
      <c r="F2504" s="21" t="str">
        <f>IF(OR(E2504="",E2504="!!!"),"",IF(NOT(ISNA(VLOOKUP(E2504,E$1:E2503,1,FALSE()))),"OLD",IF(AND(E2504&lt;&gt;"",E2504&lt;&gt;"!!!"),"NEW","")))</f>
        <v/>
      </c>
      <c r="G2504" s="22" t="str">
        <f>IF(OR(E2504="",E2504="!!!"),"",IF(OR(J2504=0,AND(J2504=1,K2504=1),AND(J2504=1,I2504="SBJ"),AND(J2504=1,I2504=0)),"?IN_FOCUS",IF(J2504&lt;=2,"?ACTIVATED",IF(J2504&lt;&gt;"","?FAMILIAR",IF(F2504="NEW",IF(ISNA(VLOOKUP(E2504,#REF!,1,FALSE())),"?TYPE_IDENTIFIABLE","?REFERENTIAL"),"_")))))</f>
        <v/>
      </c>
      <c r="H2504" s="23" t="str">
        <f t="shared" ca="1" si="278"/>
        <v/>
      </c>
      <c r="I2504" s="24" t="str">
        <f>IF(OR(E2504="",E2504="!!!",F2504="NEW"),"",INDEX(B$2:B2503,-1+SUMPRODUCT(MAX(ROW(E$2:E2503)*(E2504=E$2:E2503)))))</f>
        <v/>
      </c>
      <c r="J2504" s="24" t="str">
        <f ca="1">IF(OR(E2504="",E2504="!!!",F2504="NEW"),"",COUNTBLANK(OFFSET(A$1,,,SUMPRODUCT(MAX(ROW(E$2:E2504)*(E2504=E$2:E2504)))))-COUNTBLANK(OFFSET(A$1,,,SUMPRODUCT(MAX(ROW(E$1:E2503)*(E2=E$1:E2503))))))</f>
        <v/>
      </c>
      <c r="K2504" s="24" t="str">
        <f>IF(OR(E2504="",E2504="!!!",F2504="NEW"),"",INDEX(J$1:J2503,SUMPRODUCT(MAX(ROW(E$1:E2503)*(E2504=E$1:E2503)))))</f>
        <v/>
      </c>
      <c r="L2504" s="25"/>
    </row>
    <row r="2505" spans="1:12" x14ac:dyDescent="0.2">
      <c r="A2505" t="s">
        <v>1103</v>
      </c>
      <c r="B2505" s="26" t="s">
        <v>950</v>
      </c>
      <c r="C2505" s="26" t="s">
        <v>847</v>
      </c>
      <c r="D2505" s="26" t="s">
        <v>806</v>
      </c>
      <c r="E2505" s="20" t="s">
        <v>1802</v>
      </c>
      <c r="F2505" s="21" t="str">
        <f>IF(OR(E2505="",E2505="!!!"),"",IF(NOT(ISNA(VLOOKUP(E2505,E$1:E2504,1,FALSE()))),"OLD",IF(AND(E2505&lt;&gt;"",E2505&lt;&gt;"!!!"),"NEW","")))</f>
        <v>OLD</v>
      </c>
      <c r="G2505" s="22" t="s">
        <v>1823</v>
      </c>
      <c r="H2505" s="23" t="str">
        <f t="shared" ca="1" si="278"/>
        <v/>
      </c>
      <c r="I2505" s="24" t="str">
        <f>IF(OR(E2505="",E2505="!!!",F2505="NEW"),"",INDEX(B$2:B2504,-1+SUMPRODUCT(MAX(ROW(E$2:E2504)*(E2505=E$2:E2504)))))</f>
        <v>SBJ</v>
      </c>
      <c r="J2505" s="24">
        <f ca="1">IF(OR(E2505="",E2505="!!!",F2505="NEW"),"",COUNTBLANK(OFFSET(A$1,,,SUMPRODUCT(MAX(ROW(E$2:E2505)*(E2505=E$2:E2505)))))-COUNTBLANK(OFFSET(A$1,,,SUMPRODUCT(MAX(ROW(E$1:E2504)*(E2=E$1:E2504))))))</f>
        <v>0</v>
      </c>
      <c r="K2505" s="24">
        <f ca="1">IF(OR(E2505="",E2505="!!!",F2505="NEW"),"",INDEX(J$1:J2504,SUMPRODUCT(MAX(ROW(E$1:E2504)*(E2505=E$1:E2504)))))</f>
        <v>0</v>
      </c>
      <c r="L2505" s="25"/>
    </row>
    <row r="2506" spans="1:12" x14ac:dyDescent="0.2">
      <c r="A2506" t="s">
        <v>1547</v>
      </c>
      <c r="E2506" s="20" t="str">
        <f t="shared" si="279"/>
        <v/>
      </c>
      <c r="F2506" s="21" t="str">
        <f>IF(OR(E2506="",E2506="!!!"),"",IF(NOT(ISNA(VLOOKUP(E2506,E$1:E2505,1,FALSE()))),"OLD",IF(AND(E2506&lt;&gt;"",E2506&lt;&gt;"!!!"),"NEW","")))</f>
        <v/>
      </c>
      <c r="G2506" s="22" t="str">
        <f>IF(OR(E2506="",E2506="!!!"),"",IF(OR(J2506=0,AND(J2506=1,K2506=1),AND(J2506=1,I2506="SBJ"),AND(J2506=1,I2506=0)),"?IN_FOCUS",IF(J2506&lt;=2,"?ACTIVATED",IF(J2506&lt;&gt;"","?FAMILIAR",IF(F2506="NEW",IF(ISNA(VLOOKUP(E2506,#REF!,1,FALSE())),"?TYPE_IDENTIFIABLE","?REFERENTIAL"),"_")))))</f>
        <v/>
      </c>
      <c r="H2506" s="23" t="str">
        <f t="shared" ca="1" si="278"/>
        <v/>
      </c>
      <c r="I2506" s="24" t="str">
        <f>IF(OR(E2506="",E2506="!!!",F2506="NEW"),"",INDEX(B$2:B2505,-1+SUMPRODUCT(MAX(ROW(E$2:E2505)*(E2506=E$2:E2505)))))</f>
        <v/>
      </c>
      <c r="J2506" s="24" t="str">
        <f ca="1">IF(OR(E2506="",E2506="!!!",F2506="NEW"),"",COUNTBLANK(OFFSET(A$1,,,SUMPRODUCT(MAX(ROW(E$2:E2506)*(E2506=E$2:E2506)))))-COUNTBLANK(OFFSET(A$1,,,SUMPRODUCT(MAX(ROW(E$1:E2505)*(E2=E$1:E2505))))))</f>
        <v/>
      </c>
      <c r="K2506" s="24" t="str">
        <f>IF(OR(E2506="",E2506="!!!",F2506="NEW"),"",INDEX(J$1:J2505,SUMPRODUCT(MAX(ROW(E$1:E2505)*(E2506=E$1:E2505)))))</f>
        <v/>
      </c>
      <c r="L2506" s="25"/>
    </row>
    <row r="2507" spans="1:12" x14ac:dyDescent="0.2">
      <c r="A2507" t="s">
        <v>833</v>
      </c>
      <c r="E2507" s="20" t="str">
        <f t="shared" si="279"/>
        <v/>
      </c>
      <c r="F2507" s="21" t="str">
        <f>IF(OR(E2507="",E2507="!!!"),"",IF(NOT(ISNA(VLOOKUP(E2507,E$1:E2506,1,FALSE()))),"OLD",IF(AND(E2507&lt;&gt;"",E2507&lt;&gt;"!!!"),"NEW","")))</f>
        <v/>
      </c>
      <c r="G2507" s="22" t="str">
        <f>IF(OR(E2507="",E2507="!!!"),"",IF(OR(J2507=0,AND(J2507=1,K2507=1),AND(J2507=1,I2507="SBJ"),AND(J2507=1,I2507=0)),"?IN_FOCUS",IF(J2507&lt;=2,"?ACTIVATED",IF(J2507&lt;&gt;"","?FAMILIAR",IF(F2507="NEW",IF(ISNA(VLOOKUP(E2507,#REF!,1,FALSE())),"?TYPE_IDENTIFIABLE","?REFERENTIAL"),"_")))))</f>
        <v/>
      </c>
      <c r="H2507" s="23" t="str">
        <f t="shared" ca="1" si="278"/>
        <v/>
      </c>
      <c r="I2507" s="24" t="str">
        <f>IF(OR(E2507="",E2507="!!!",F2507="NEW"),"",INDEX(B$2:B2506,-1+SUMPRODUCT(MAX(ROW(E$2:E2506)*(E2507=E$2:E2506)))))</f>
        <v/>
      </c>
      <c r="J2507" s="24" t="str">
        <f ca="1">IF(OR(E2507="",E2507="!!!",F2507="NEW"),"",COUNTBLANK(OFFSET(A$1,,,SUMPRODUCT(MAX(ROW(E$2:E2507)*(E2507=E$2:E2507)))))-COUNTBLANK(OFFSET(A$1,,,SUMPRODUCT(MAX(ROW(E$1:E2506)*(E2=E$1:E2506))))))</f>
        <v/>
      </c>
      <c r="K2507" s="24" t="str">
        <f>IF(OR(E2507="",E2507="!!!",F2507="NEW"),"",INDEX(J$1:J2506,SUMPRODUCT(MAX(ROW(E$1:E2506)*(E2507=E$1:E2506)))))</f>
        <v/>
      </c>
      <c r="L2507" s="25"/>
    </row>
    <row r="2508" spans="1:12" x14ac:dyDescent="0.2">
      <c r="A2508" t="s">
        <v>809</v>
      </c>
      <c r="E2508" s="20" t="str">
        <f t="shared" si="279"/>
        <v/>
      </c>
      <c r="F2508" s="21" t="str">
        <f>IF(OR(E2508="",E2508="!!!"),"",IF(NOT(ISNA(VLOOKUP(E2508,E$1:E2507,1,FALSE()))),"OLD",IF(AND(E2508&lt;&gt;"",E2508&lt;&gt;"!!!"),"NEW","")))</f>
        <v/>
      </c>
      <c r="G2508" s="22" t="str">
        <f>IF(OR(E2508="",E2508="!!!"),"",IF(OR(J2508=0,AND(J2508=1,K2508=1),AND(J2508=1,I2508="SBJ"),AND(J2508=1,I2508=0)),"?IN_FOCUS",IF(J2508&lt;=2,"?ACTIVATED",IF(J2508&lt;&gt;"","?FAMILIAR",IF(F2508="NEW",IF(ISNA(VLOOKUP(E2508,#REF!,1,FALSE())),"?TYPE_IDENTIFIABLE","?REFERENTIAL"),"_")))))</f>
        <v/>
      </c>
      <c r="H2508" s="23" t="str">
        <f t="shared" ca="1" si="278"/>
        <v/>
      </c>
      <c r="I2508" s="24" t="str">
        <f>IF(OR(E2508="",E2508="!!!",F2508="NEW"),"",INDEX(B$2:B2507,-1+SUMPRODUCT(MAX(ROW(E$2:E2507)*(E2508=E$2:E2507)))))</f>
        <v/>
      </c>
      <c r="J2508" s="24" t="str">
        <f ca="1">IF(OR(E2508="",E2508="!!!",F2508="NEW"),"",COUNTBLANK(OFFSET(A$1,,,SUMPRODUCT(MAX(ROW(E$2:E2508)*(E2508=E$2:E2508)))))-COUNTBLANK(OFFSET(A$1,,,SUMPRODUCT(MAX(ROW(E$1:E2507)*(E2=E$1:E2507))))))</f>
        <v/>
      </c>
      <c r="K2508" s="24" t="str">
        <f>IF(OR(E2508="",E2508="!!!",F2508="NEW"),"",INDEX(J$1:J2507,SUMPRODUCT(MAX(ROW(E$1:E2507)*(E2508=E$1:E2507)))))</f>
        <v/>
      </c>
      <c r="L2508" s="25"/>
    </row>
    <row r="2509" spans="1:12" x14ac:dyDescent="0.2">
      <c r="A2509" t="s">
        <v>1548</v>
      </c>
      <c r="B2509" s="26" t="s">
        <v>813</v>
      </c>
      <c r="C2509" s="26" t="s">
        <v>811</v>
      </c>
      <c r="E2509" s="20" t="str">
        <f t="shared" si="279"/>
        <v/>
      </c>
      <c r="F2509" s="21" t="str">
        <f>IF(OR(E2509="",E2509="!!!"),"",IF(NOT(ISNA(VLOOKUP(E2509,E$1:E2508,1,FALSE()))),"OLD",IF(AND(E2509&lt;&gt;"",E2509&lt;&gt;"!!!"),"NEW","")))</f>
        <v/>
      </c>
      <c r="G2509" s="22" t="str">
        <f>IF(OR(E2509="",E2509="!!!"),"",IF(OR(J2509=0,AND(J2509=1,K2509=1),AND(J2509=1,I2509="SBJ"),AND(J2509=1,I2509=0)),"?IN_FOCUS",IF(J2509&lt;=2,"?ACTIVATED",IF(J2509&lt;&gt;"","?FAMILIAR",IF(F2509="NEW",IF(ISNA(VLOOKUP(E2509,#REF!,1,FALSE())),"?TYPE_IDENTIFIABLE","?REFERENTIAL"),"_")))))</f>
        <v/>
      </c>
      <c r="H2509" s="23" t="str">
        <f t="shared" ca="1" si="278"/>
        <v/>
      </c>
      <c r="I2509" s="24" t="str">
        <f>IF(OR(E2509="",E2509="!!!",F2509="NEW"),"",INDEX(B$2:B2508,-1+SUMPRODUCT(MAX(ROW(E$2:E2508)*(E2509=E$2:E2508)))))</f>
        <v/>
      </c>
      <c r="J2509" s="24" t="str">
        <f ca="1">IF(OR(E2509="",E2509="!!!",F2509="NEW"),"",COUNTBLANK(OFFSET(A$1,,,SUMPRODUCT(MAX(ROW(E$2:E2509)*(E2509=E$2:E2509)))))-COUNTBLANK(OFFSET(A$1,,,SUMPRODUCT(MAX(ROW(E$1:E2508)*(E2=E$1:E2508))))))</f>
        <v/>
      </c>
      <c r="K2509" s="24" t="str">
        <f>IF(OR(E2509="",E2509="!!!",F2509="NEW"),"",INDEX(J$1:J2508,SUMPRODUCT(MAX(ROW(E$1:E2508)*(E2509=E$1:E2508)))))</f>
        <v/>
      </c>
      <c r="L2509" s="25"/>
    </row>
    <row r="2510" spans="1:12" x14ac:dyDescent="0.2">
      <c r="A2510" t="s">
        <v>821</v>
      </c>
      <c r="E2510" s="20" t="str">
        <f t="shared" si="279"/>
        <v/>
      </c>
      <c r="F2510" s="21" t="str">
        <f>IF(OR(E2510="",E2510="!!!"),"",IF(NOT(ISNA(VLOOKUP(E2510,E$1:E2509,1,FALSE()))),"OLD",IF(AND(E2510&lt;&gt;"",E2510&lt;&gt;"!!!"),"NEW","")))</f>
        <v/>
      </c>
      <c r="G2510" s="22" t="str">
        <f>IF(OR(E2510="",E2510="!!!"),"",IF(OR(J2510=0,AND(J2510=1,K2510=1),AND(J2510=1,I2510="SBJ"),AND(J2510=1,I2510=0)),"?IN_FOCUS",IF(J2510&lt;=2,"?ACTIVATED",IF(J2510&lt;&gt;"","?FAMILIAR",IF(F2510="NEW",IF(ISNA(VLOOKUP(E2510,#REF!,1,FALSE())),"?TYPE_IDENTIFIABLE","?REFERENTIAL"),"_")))))</f>
        <v/>
      </c>
      <c r="H2510" s="23" t="str">
        <f t="shared" ca="1" si="278"/>
        <v/>
      </c>
      <c r="I2510" s="24" t="str">
        <f>IF(OR(E2510="",E2510="!!!",F2510="NEW"),"",INDEX(B$2:B2509,-1+SUMPRODUCT(MAX(ROW(E$2:E2509)*(E2510=E$2:E2509)))))</f>
        <v/>
      </c>
      <c r="J2510" s="24" t="str">
        <f ca="1">IF(OR(E2510="",E2510="!!!",F2510="NEW"),"",COUNTBLANK(OFFSET(A$1,,,SUMPRODUCT(MAX(ROW(E$2:E2510)*(E2510=E$2:E2510)))))-COUNTBLANK(OFFSET(A$1,,,SUMPRODUCT(MAX(ROW(E$1:E2509)*(E2=E$1:E2509))))))</f>
        <v/>
      </c>
      <c r="K2510" s="24" t="str">
        <f>IF(OR(E2510="",E2510="!!!",F2510="NEW"),"",INDEX(J$1:J2509,SUMPRODUCT(MAX(ROW(E$1:E2509)*(E2510=E$1:E2509)))))</f>
        <v/>
      </c>
      <c r="L2510" s="25"/>
    </row>
    <row r="2512" spans="1:12" x14ac:dyDescent="0.2">
      <c r="A2512" t="s">
        <v>1549</v>
      </c>
    </row>
    <row r="2513" spans="1:12" x14ac:dyDescent="0.2">
      <c r="A2513" t="s">
        <v>837</v>
      </c>
      <c r="B2513" s="26" t="s">
        <v>804</v>
      </c>
      <c r="C2513" s="26" t="s">
        <v>805</v>
      </c>
      <c r="D2513" s="26" t="s">
        <v>806</v>
      </c>
      <c r="E2513" s="20" t="s">
        <v>1802</v>
      </c>
      <c r="F2513" s="21" t="str">
        <f>IF(OR(E2513="",E2513="!!!"),"",IF(NOT(ISNA(VLOOKUP(E2513,E$1:E2512,1,FALSE()))),"OLD",IF(AND(E2513&lt;&gt;"",E2513&lt;&gt;"!!!"),"NEW","")))</f>
        <v>OLD</v>
      </c>
      <c r="G2513" s="22" t="s">
        <v>1823</v>
      </c>
      <c r="H2513" s="23" t="str">
        <f t="shared" ref="H2513:H2523" ca="1" si="280">IF(J2513&lt;&gt;1,"",IF(I2513="SBJ","CB","?"))</f>
        <v/>
      </c>
      <c r="I2513" s="24" t="str">
        <f>IF(OR(E2513="",E2513="!!!",F2513="NEW"),"",INDEX(B$2:B2512,-1+SUMPRODUCT(MAX(ROW(E$2:E2512)*(E2513=E$2:E2512)))))</f>
        <v>SBJ_2</v>
      </c>
      <c r="J2513" s="24">
        <f ca="1">IF(OR(E2513="",E2513="!!!",F2513="NEW"),"",COUNTBLANK(OFFSET(A$1,,,SUMPRODUCT(MAX(ROW(E$2:E2513)*(E2513=E$2:E2513)))))-COUNTBLANK(OFFSET(A$1,,,SUMPRODUCT(MAX(ROW(E$1:E2512)*(E2=E$1:E2512))))))</f>
        <v>0</v>
      </c>
      <c r="K2513" s="24">
        <f ca="1">IF(OR(E2513="",E2513="!!!",F2513="NEW"),"",INDEX(J$1:J2512,SUMPRODUCT(MAX(ROW(E$1:E2512)*(E2513=E$1:E2512)))))</f>
        <v>0</v>
      </c>
      <c r="L2513" s="25"/>
    </row>
    <row r="2514" spans="1:12" x14ac:dyDescent="0.2">
      <c r="A2514" t="s">
        <v>898</v>
      </c>
      <c r="E2514" s="20" t="str">
        <f t="shared" ref="E2513:E2523" si="281">IF(D2514="?OLD","!!!","")</f>
        <v/>
      </c>
      <c r="F2514" s="21" t="str">
        <f>IF(OR(E2514="",E2514="!!!"),"",IF(NOT(ISNA(VLOOKUP(E2514,E$1:E2513,1,FALSE()))),"OLD",IF(AND(E2514&lt;&gt;"",E2514&lt;&gt;"!!!"),"NEW","")))</f>
        <v/>
      </c>
      <c r="G2514" s="22" t="str">
        <f>IF(OR(E2514="",E2514="!!!"),"",IF(OR(J2514=0,AND(J2514=1,K2514=1),AND(J2514=1,I2514="SBJ"),AND(J2514=1,I2514=0)),"?IN_FOCUS",IF(J2514&lt;=2,"?ACTIVATED",IF(J2514&lt;&gt;"","?FAMILIAR",IF(F2514="NEW",IF(ISNA(VLOOKUP(E2514,#REF!,1,FALSE())),"?TYPE_IDENTIFIABLE","?REFERENTIAL"),"_")))))</f>
        <v/>
      </c>
      <c r="H2514" s="23" t="str">
        <f t="shared" ca="1" si="280"/>
        <v/>
      </c>
      <c r="I2514" s="24" t="str">
        <f>IF(OR(E2514="",E2514="!!!",F2514="NEW"),"",INDEX(B$2:B2513,-1+SUMPRODUCT(MAX(ROW(E$2:E2513)*(E2514=E$2:E2513)))))</f>
        <v/>
      </c>
      <c r="J2514" s="24" t="str">
        <f ca="1">IF(OR(E2514="",E2514="!!!",F2514="NEW"),"",COUNTBLANK(OFFSET(A$1,,,SUMPRODUCT(MAX(ROW(E$2:E2514)*(E2514=E$2:E2514)))))-COUNTBLANK(OFFSET(A$1,,,SUMPRODUCT(MAX(ROW(E$1:E2513)*(E2=E$1:E2513))))))</f>
        <v/>
      </c>
      <c r="K2514" s="24" t="str">
        <f>IF(OR(E2514="",E2514="!!!",F2514="NEW"),"",INDEX(J$1:J2513,SUMPRODUCT(MAX(ROW(E$1:E2513)*(E2514=E$1:E2513)))))</f>
        <v/>
      </c>
      <c r="L2514" s="25"/>
    </row>
    <row r="2515" spans="1:12" x14ac:dyDescent="0.2">
      <c r="A2515" t="s">
        <v>845</v>
      </c>
      <c r="E2515" s="20" t="str">
        <f t="shared" si="281"/>
        <v/>
      </c>
      <c r="F2515" s="21" t="str">
        <f>IF(OR(E2515="",E2515="!!!"),"",IF(NOT(ISNA(VLOOKUP(E2515,E$1:E2514,1,FALSE()))),"OLD",IF(AND(E2515&lt;&gt;"",E2515&lt;&gt;"!!!"),"NEW","")))</f>
        <v/>
      </c>
      <c r="G2515" s="22" t="str">
        <f>IF(OR(E2515="",E2515="!!!"),"",IF(OR(J2515=0,AND(J2515=1,K2515=1),AND(J2515=1,I2515="SBJ"),AND(J2515=1,I2515=0)),"?IN_FOCUS",IF(J2515&lt;=2,"?ACTIVATED",IF(J2515&lt;&gt;"","?FAMILIAR",IF(F2515="NEW",IF(ISNA(VLOOKUP(E2515,#REF!,1,FALSE())),"?TYPE_IDENTIFIABLE","?REFERENTIAL"),"_")))))</f>
        <v/>
      </c>
      <c r="H2515" s="23" t="str">
        <f t="shared" ca="1" si="280"/>
        <v/>
      </c>
      <c r="I2515" s="24" t="str">
        <f>IF(OR(E2515="",E2515="!!!",F2515="NEW"),"",INDEX(B$2:B2514,-1+SUMPRODUCT(MAX(ROW(E$2:E2514)*(E2515=E$2:E2514)))))</f>
        <v/>
      </c>
      <c r="J2515" s="24" t="str">
        <f ca="1">IF(OR(E2515="",E2515="!!!",F2515="NEW"),"",COUNTBLANK(OFFSET(A$1,,,SUMPRODUCT(MAX(ROW(E$2:E2515)*(E2515=E$2:E2515)))))-COUNTBLANK(OFFSET(A$1,,,SUMPRODUCT(MAX(ROW(E$1:E2514)*(E2=E$1:E2514))))))</f>
        <v/>
      </c>
      <c r="K2515" s="24" t="str">
        <f>IF(OR(E2515="",E2515="!!!",F2515="NEW"),"",INDEX(J$1:J2514,SUMPRODUCT(MAX(ROW(E$1:E2514)*(E2515=E$1:E2514)))))</f>
        <v/>
      </c>
      <c r="L2515" s="25"/>
    </row>
    <row r="2516" spans="1:12" x14ac:dyDescent="0.2">
      <c r="A2516" t="s">
        <v>1446</v>
      </c>
      <c r="E2516" s="20" t="str">
        <f t="shared" si="281"/>
        <v/>
      </c>
      <c r="F2516" s="21" t="str">
        <f>IF(OR(E2516="",E2516="!!!"),"",IF(NOT(ISNA(VLOOKUP(E2516,E$1:E2515,1,FALSE()))),"OLD",IF(AND(E2516&lt;&gt;"",E2516&lt;&gt;"!!!"),"NEW","")))</f>
        <v/>
      </c>
      <c r="G2516" s="22" t="str">
        <f>IF(OR(E2516="",E2516="!!!"),"",IF(OR(J2516=0,AND(J2516=1,K2516=1),AND(J2516=1,I2516="SBJ"),AND(J2516=1,I2516=0)),"?IN_FOCUS",IF(J2516&lt;=2,"?ACTIVATED",IF(J2516&lt;&gt;"","?FAMILIAR",IF(F2516="NEW",IF(ISNA(VLOOKUP(E2516,#REF!,1,FALSE())),"?TYPE_IDENTIFIABLE","?REFERENTIAL"),"_")))))</f>
        <v/>
      </c>
      <c r="H2516" s="23" t="str">
        <f t="shared" ca="1" si="280"/>
        <v/>
      </c>
      <c r="I2516" s="24" t="str">
        <f>IF(OR(E2516="",E2516="!!!",F2516="NEW"),"",INDEX(B$2:B2515,-1+SUMPRODUCT(MAX(ROW(E$2:E2515)*(E2516=E$2:E2515)))))</f>
        <v/>
      </c>
      <c r="J2516" s="24" t="str">
        <f ca="1">IF(OR(E2516="",E2516="!!!",F2516="NEW"),"",COUNTBLANK(OFFSET(A$1,,,SUMPRODUCT(MAX(ROW(E$2:E2516)*(E2516=E$2:E2516)))))-COUNTBLANK(OFFSET(A$1,,,SUMPRODUCT(MAX(ROW(E$1:E2515)*(E2=E$1:E2515))))))</f>
        <v/>
      </c>
      <c r="K2516" s="24" t="str">
        <f>IF(OR(E2516="",E2516="!!!",F2516="NEW"),"",INDEX(J$1:J2515,SUMPRODUCT(MAX(ROW(E$1:E2515)*(E2516=E$1:E2515)))))</f>
        <v/>
      </c>
      <c r="L2516" s="25"/>
    </row>
    <row r="2517" spans="1:12" x14ac:dyDescent="0.2">
      <c r="A2517" t="s">
        <v>1550</v>
      </c>
      <c r="B2517" s="26" t="s">
        <v>819</v>
      </c>
      <c r="C2517" s="26" t="s">
        <v>847</v>
      </c>
      <c r="D2517" s="26" t="s">
        <v>806</v>
      </c>
      <c r="E2517" s="20" t="s">
        <v>1550</v>
      </c>
      <c r="F2517" s="21" t="str">
        <f>IF(OR(E2517="",E2517="!!!"),"",IF(NOT(ISNA(VLOOKUP(E2517,E$1:E2516,1,FALSE()))),"OLD",IF(AND(E2517&lt;&gt;"",E2517&lt;&gt;"!!!"),"NEW","")))</f>
        <v>NEW</v>
      </c>
      <c r="G2517" s="22" t="s">
        <v>1824</v>
      </c>
      <c r="H2517" s="23" t="str">
        <f t="shared" ca="1" si="280"/>
        <v/>
      </c>
      <c r="I2517" s="24" t="str">
        <f>IF(OR(E2517="",E2517="!!!",F2517="NEW"),"",INDEX(B$2:B2516,-1+SUMPRODUCT(MAX(ROW(E$2:E2516)*(E2517=E$2:E2516)))))</f>
        <v/>
      </c>
      <c r="J2517" s="24" t="str">
        <f ca="1">IF(OR(E2517="",E2517="!!!",F2517="NEW"),"",COUNTBLANK(OFFSET(A$1,,,SUMPRODUCT(MAX(ROW(E$2:E2517)*(E2517=E$2:E2517)))))-COUNTBLANK(OFFSET(A$1,,,SUMPRODUCT(MAX(ROW(E$1:E2516)*(E2=E$1:E2516))))))</f>
        <v/>
      </c>
      <c r="K2517" s="24" t="str">
        <f>IF(OR(E2517="",E2517="!!!",F2517="NEW"),"",INDEX(J$1:J2516,SUMPRODUCT(MAX(ROW(E$1:E2516)*(E2517=E$1:E2516)))))</f>
        <v/>
      </c>
      <c r="L2517" s="25"/>
    </row>
    <row r="2518" spans="1:12" x14ac:dyDescent="0.2">
      <c r="A2518" t="s">
        <v>1009</v>
      </c>
      <c r="E2518" s="20" t="str">
        <f t="shared" si="281"/>
        <v/>
      </c>
      <c r="F2518" s="21" t="str">
        <f>IF(OR(E2518="",E2518="!!!"),"",IF(NOT(ISNA(VLOOKUP(E2518,E$1:E2517,1,FALSE()))),"OLD",IF(AND(E2518&lt;&gt;"",E2518&lt;&gt;"!!!"),"NEW","")))</f>
        <v/>
      </c>
      <c r="G2518" s="22" t="str">
        <f>IF(OR(E2518="",E2518="!!!"),"",IF(OR(J2518=0,AND(J2518=1,K2518=1),AND(J2518=1,I2518="SBJ"),AND(J2518=1,I2518=0)),"?IN_FOCUS",IF(J2518&lt;=2,"?ACTIVATED",IF(J2518&lt;&gt;"","?FAMILIAR",IF(F2518="NEW",IF(ISNA(VLOOKUP(E2518,#REF!,1,FALSE())),"?TYPE_IDENTIFIABLE","?REFERENTIAL"),"_")))))</f>
        <v/>
      </c>
      <c r="H2518" s="23" t="str">
        <f t="shared" ca="1" si="280"/>
        <v/>
      </c>
      <c r="I2518" s="24" t="str">
        <f>IF(OR(E2518="",E2518="!!!",F2518="NEW"),"",INDEX(B$2:B2517,-1+SUMPRODUCT(MAX(ROW(E$2:E2517)*(E2518=E$2:E2517)))))</f>
        <v/>
      </c>
      <c r="J2518" s="24" t="str">
        <f ca="1">IF(OR(E2518="",E2518="!!!",F2518="NEW"),"",COUNTBLANK(OFFSET(A$1,,,SUMPRODUCT(MAX(ROW(E$2:E2518)*(E2518=E$2:E2518)))))-COUNTBLANK(OFFSET(A$1,,,SUMPRODUCT(MAX(ROW(E$1:E2517)*(E2=E$1:E2517))))))</f>
        <v/>
      </c>
      <c r="K2518" s="24" t="str">
        <f>IF(OR(E2518="",E2518="!!!",F2518="NEW"),"",INDEX(J$1:J2517,SUMPRODUCT(MAX(ROW(E$1:E2517)*(E2518=E$1:E2517)))))</f>
        <v/>
      </c>
      <c r="L2518" s="25"/>
    </row>
    <row r="2519" spans="1:12" x14ac:dyDescent="0.2">
      <c r="A2519" t="s">
        <v>1281</v>
      </c>
      <c r="B2519" s="26" t="s">
        <v>950</v>
      </c>
      <c r="C2519" s="26" t="s">
        <v>956</v>
      </c>
      <c r="D2519" s="26" t="s">
        <v>806</v>
      </c>
      <c r="E2519" s="20"/>
      <c r="F2519" s="21" t="s">
        <v>1781</v>
      </c>
      <c r="G2519" s="22" t="str">
        <f>IF(OR(E2519="",E2519="!!!"),"",IF(OR(J2519=0,AND(J2519=1,K2519=1),AND(J2519=1,I2519="SBJ"),AND(J2519=1,I2519=0)),"?IN_FOCUS",IF(J2519&lt;=2,"?ACTIVATED",IF(J2519&lt;&gt;"","?FAMILIAR",IF(F2519="NEW",IF(ISNA(VLOOKUP(E2519,#REF!,1,FALSE())),"?TYPE_IDENTIFIABLE","?REFERENTIAL"),"_")))))</f>
        <v/>
      </c>
      <c r="H2519" s="23" t="str">
        <f t="shared" ca="1" si="280"/>
        <v/>
      </c>
      <c r="I2519" s="24" t="str">
        <f>IF(OR(E2519="",E2519="!!!",F2519="NEW"),"",INDEX(B$2:B2518,-1+SUMPRODUCT(MAX(ROW(E$2:E2518)*(E2519=E$2:E2518)))))</f>
        <v/>
      </c>
      <c r="J2519" s="24" t="str">
        <f ca="1">IF(OR(E2519="",E2519="!!!",F2519="NEW"),"",COUNTBLANK(OFFSET(A$1,,,SUMPRODUCT(MAX(ROW(E$2:E2519)*(E2519=E$2:E2519)))))-COUNTBLANK(OFFSET(A$1,,,SUMPRODUCT(MAX(ROW(E$1:E2518)*(E2=E$1:E2518))))))</f>
        <v/>
      </c>
      <c r="K2519" s="24" t="str">
        <f>IF(OR(E2519="",E2519="!!!",F2519="NEW"),"",INDEX(J$1:J2518,SUMPRODUCT(MAX(ROW(E$1:E2518)*(E2519=E$1:E2518)))))</f>
        <v/>
      </c>
      <c r="L2519" s="25"/>
    </row>
    <row r="2520" spans="1:12" x14ac:dyDescent="0.2">
      <c r="A2520" t="s">
        <v>1551</v>
      </c>
      <c r="E2520" s="20" t="str">
        <f t="shared" si="281"/>
        <v/>
      </c>
      <c r="F2520" s="21" t="str">
        <f>IF(OR(E2520="",E2520="!!!"),"",IF(NOT(ISNA(VLOOKUP(E2520,E$1:E2519,1,FALSE()))),"OLD",IF(AND(E2520&lt;&gt;"",E2520&lt;&gt;"!!!"),"NEW","")))</f>
        <v/>
      </c>
      <c r="G2520" s="22" t="str">
        <f>IF(OR(E2520="",E2520="!!!"),"",IF(OR(J2520=0,AND(J2520=1,K2520=1),AND(J2520=1,I2520="SBJ"),AND(J2520=1,I2520=0)),"?IN_FOCUS",IF(J2520&lt;=2,"?ACTIVATED",IF(J2520&lt;&gt;"","?FAMILIAR",IF(F2520="NEW",IF(ISNA(VLOOKUP(E2520,#REF!,1,FALSE())),"?TYPE_IDENTIFIABLE","?REFERENTIAL"),"_")))))</f>
        <v/>
      </c>
      <c r="H2520" s="23" t="str">
        <f t="shared" ca="1" si="280"/>
        <v/>
      </c>
      <c r="I2520" s="24" t="str">
        <f>IF(OR(E2520="",E2520="!!!",F2520="NEW"),"",INDEX(B$2:B2519,-1+SUMPRODUCT(MAX(ROW(E$2:E2519)*(E2520=E$2:E2519)))))</f>
        <v/>
      </c>
      <c r="J2520" s="24" t="str">
        <f ca="1">IF(OR(E2520="",E2520="!!!",F2520="NEW"),"",COUNTBLANK(OFFSET(A$1,,,SUMPRODUCT(MAX(ROW(E$2:E2520)*(E2520=E$2:E2520)))))-COUNTBLANK(OFFSET(A$1,,,SUMPRODUCT(MAX(ROW(E$1:E2519)*(E2=E$1:E2519))))))</f>
        <v/>
      </c>
      <c r="K2520" s="24" t="str">
        <f>IF(OR(E2520="",E2520="!!!",F2520="NEW"),"",INDEX(J$1:J2519,SUMPRODUCT(MAX(ROW(E$1:E2519)*(E2520=E$1:E2519)))))</f>
        <v/>
      </c>
      <c r="L2520" s="25"/>
    </row>
    <row r="2521" spans="1:12" x14ac:dyDescent="0.2">
      <c r="A2521" t="s">
        <v>845</v>
      </c>
      <c r="E2521" s="20" t="str">
        <f t="shared" si="281"/>
        <v/>
      </c>
      <c r="F2521" s="21" t="str">
        <f>IF(OR(E2521="",E2521="!!!"),"",IF(NOT(ISNA(VLOOKUP(E2521,E$1:E2520,1,FALSE()))),"OLD",IF(AND(E2521&lt;&gt;"",E2521&lt;&gt;"!!!"),"NEW","")))</f>
        <v/>
      </c>
      <c r="G2521" s="22" t="str">
        <f>IF(OR(E2521="",E2521="!!!"),"",IF(OR(J2521=0,AND(J2521=1,K2521=1),AND(J2521=1,I2521="SBJ"),AND(J2521=1,I2521=0)),"?IN_FOCUS",IF(J2521&lt;=2,"?ACTIVATED",IF(J2521&lt;&gt;"","?FAMILIAR",IF(F2521="NEW",IF(ISNA(VLOOKUP(E2521,#REF!,1,FALSE())),"?TYPE_IDENTIFIABLE","?REFERENTIAL"),"_")))))</f>
        <v/>
      </c>
      <c r="H2521" s="23" t="str">
        <f t="shared" ca="1" si="280"/>
        <v/>
      </c>
      <c r="I2521" s="24" t="str">
        <f>IF(OR(E2521="",E2521="!!!",F2521="NEW"),"",INDEX(B$2:B2520,-1+SUMPRODUCT(MAX(ROW(E$2:E2520)*(E2521=E$2:E2520)))))</f>
        <v/>
      </c>
      <c r="J2521" s="24" t="str">
        <f ca="1">IF(OR(E2521="",E2521="!!!",F2521="NEW"),"",COUNTBLANK(OFFSET(A$1,,,SUMPRODUCT(MAX(ROW(E$2:E2521)*(E2521=E$2:E2521)))))-COUNTBLANK(OFFSET(A$1,,,SUMPRODUCT(MAX(ROW(E$1:E2520)*(E2=E$1:E2520))))))</f>
        <v/>
      </c>
      <c r="K2521" s="24" t="str">
        <f>IF(OR(E2521="",E2521="!!!",F2521="NEW"),"",INDEX(J$1:J2520,SUMPRODUCT(MAX(ROW(E$1:E2520)*(E2521=E$1:E2520)))))</f>
        <v/>
      </c>
      <c r="L2521" s="25"/>
    </row>
    <row r="2522" spans="1:12" x14ac:dyDescent="0.2">
      <c r="A2522" t="s">
        <v>1552</v>
      </c>
      <c r="B2522" s="26" t="s">
        <v>938</v>
      </c>
      <c r="C2522" s="26" t="s">
        <v>847</v>
      </c>
      <c r="D2522" s="26" t="s">
        <v>806</v>
      </c>
      <c r="E2522" s="20" t="s">
        <v>1552</v>
      </c>
      <c r="F2522" s="21" t="str">
        <f>IF(OR(E2522="",E2522="!!!"),"",IF(NOT(ISNA(VLOOKUP(E2522,E$1:E2521,1,FALSE()))),"OLD",IF(AND(E2522&lt;&gt;"",E2522&lt;&gt;"!!!"),"NEW","")))</f>
        <v>NEW</v>
      </c>
      <c r="G2522" s="22" t="s">
        <v>1820</v>
      </c>
      <c r="H2522" s="23" t="str">
        <f t="shared" ca="1" si="280"/>
        <v/>
      </c>
      <c r="I2522" s="24" t="str">
        <f>IF(OR(E2522="",E2522="!!!",F2522="NEW"),"",INDEX(B$2:B2521,-1+SUMPRODUCT(MAX(ROW(E$2:E2521)*(E2522=E$2:E2521)))))</f>
        <v/>
      </c>
      <c r="J2522" s="24" t="str">
        <f ca="1">IF(OR(E2522="",E2522="!!!",F2522="NEW"),"",COUNTBLANK(OFFSET(A$1,,,SUMPRODUCT(MAX(ROW(E$2:E2522)*(E2522=E$2:E2522)))))-COUNTBLANK(OFFSET(A$1,,,SUMPRODUCT(MAX(ROW(E$1:E2521)*(E2=E$1:E2521))))))</f>
        <v/>
      </c>
      <c r="K2522" s="24" t="str">
        <f>IF(OR(E2522="",E2522="!!!",F2522="NEW"),"",INDEX(J$1:J2521,SUMPRODUCT(MAX(ROW(E$1:E2521)*(E2522=E$1:E2521)))))</f>
        <v/>
      </c>
      <c r="L2522" s="25"/>
    </row>
    <row r="2523" spans="1:12" x14ac:dyDescent="0.2">
      <c r="A2523" t="s">
        <v>821</v>
      </c>
      <c r="E2523" s="20" t="str">
        <f t="shared" si="281"/>
        <v/>
      </c>
      <c r="F2523" s="21" t="str">
        <f>IF(OR(E2523="",E2523="!!!"),"",IF(NOT(ISNA(VLOOKUP(E2523,E$1:E2522,1,FALSE()))),"OLD",IF(AND(E2523&lt;&gt;"",E2523&lt;&gt;"!!!"),"NEW","")))</f>
        <v/>
      </c>
      <c r="G2523" s="22" t="str">
        <f>IF(OR(E2523="",E2523="!!!"),"",IF(OR(J2523=0,AND(J2523=1,K2523=1),AND(J2523=1,I2523="SBJ"),AND(J2523=1,I2523=0)),"?IN_FOCUS",IF(J2523&lt;=2,"?ACTIVATED",IF(J2523&lt;&gt;"","?FAMILIAR",IF(F2523="NEW",IF(ISNA(VLOOKUP(E2523,#REF!,1,FALSE())),"?TYPE_IDENTIFIABLE","?REFERENTIAL"),"_")))))</f>
        <v/>
      </c>
      <c r="H2523" s="23" t="str">
        <f t="shared" ca="1" si="280"/>
        <v/>
      </c>
      <c r="I2523" s="24" t="str">
        <f>IF(OR(E2523="",E2523="!!!",F2523="NEW"),"",INDEX(B$2:B2522,-1+SUMPRODUCT(MAX(ROW(E$2:E2522)*(E2523=E$2:E2522)))))</f>
        <v/>
      </c>
      <c r="J2523" s="24" t="str">
        <f ca="1">IF(OR(E2523="",E2523="!!!",F2523="NEW"),"",COUNTBLANK(OFFSET(A$1,,,SUMPRODUCT(MAX(ROW(E$2:E2523)*(E2523=E$2:E2523)))))-COUNTBLANK(OFFSET(A$1,,,SUMPRODUCT(MAX(ROW(E$1:E2522)*(E2=E$1:E2522))))))</f>
        <v/>
      </c>
      <c r="K2523" s="24" t="str">
        <f>IF(OR(E2523="",E2523="!!!",F2523="NEW"),"",INDEX(J$1:J2522,SUMPRODUCT(MAX(ROW(E$1:E2522)*(E2523=E$1:E2522)))))</f>
        <v/>
      </c>
      <c r="L2523" s="25"/>
    </row>
    <row r="2525" spans="1:12" x14ac:dyDescent="0.2">
      <c r="A2525" t="s">
        <v>900</v>
      </c>
      <c r="E2525" s="20" t="str">
        <f>IF(D2525="?OLD","!!!","")</f>
        <v/>
      </c>
      <c r="F2525" s="21" t="str">
        <f>IF(OR(E2525="",E2525="!!!"),"",IF(NOT(ISNA(VLOOKUP(E2525,E$1:E2524,1,FALSE()))),"OLD",IF(AND(E2525&lt;&gt;"",E2525&lt;&gt;"!!!"),"NEW","")))</f>
        <v/>
      </c>
      <c r="G2525" s="22" t="str">
        <f>IF(OR(E2525="",E2525="!!!"),"",IF(OR(J2525=0,AND(J2525=1,K2525=1),AND(J2525=1,I2525="SBJ"),AND(J2525=1,I2525=0)),"?IN_FOCUS",IF(J2525&lt;=2,"?ACTIVATED",IF(J2525&lt;&gt;"","?FAMILIAR",IF(F2525="NEW",IF(ISNA(VLOOKUP(E2525,#REF!,1,FALSE())),"?TYPE_IDENTIFIABLE","?REFERENTIAL"),"_")))))</f>
        <v/>
      </c>
      <c r="H2525" s="23" t="str">
        <f ca="1">IF(J2525&lt;&gt;1,"",IF(I2525="SBJ","CB","?"))</f>
        <v/>
      </c>
      <c r="I2525" s="24" t="str">
        <f>IF(OR(E2525="",E2525="!!!",F2525="NEW"),"",INDEX(B$2:B2524,-1+SUMPRODUCT(MAX(ROW(E$2:E2524)*(E2525=E$2:E2524)))))</f>
        <v/>
      </c>
      <c r="J2525" s="24" t="str">
        <f ca="1">IF(OR(E2525="",E2525="!!!",F2525="NEW"),"",COUNTBLANK(OFFSET(A$1,,,SUMPRODUCT(MAX(ROW(E$2:E2525)*(E2525=E$2:E2525)))))-COUNTBLANK(OFFSET(A$1,,,SUMPRODUCT(MAX(ROW(E$1:E2524)*(E2=E$1:E2524))))))</f>
        <v/>
      </c>
      <c r="K2525" s="24" t="str">
        <f>IF(OR(E2525="",E2525="!!!",F2525="NEW"),"",INDEX(J$1:J2524,SUMPRODUCT(MAX(ROW(E$1:E2524)*(E2525=E$1:E2524)))))</f>
        <v/>
      </c>
      <c r="L2525" s="25"/>
    </row>
    <row r="2526" spans="1:12" x14ac:dyDescent="0.2">
      <c r="A2526" t="s">
        <v>1553</v>
      </c>
    </row>
    <row r="2527" spans="1:12" x14ac:dyDescent="0.2">
      <c r="A2527" t="s">
        <v>837</v>
      </c>
      <c r="B2527" s="26" t="s">
        <v>804</v>
      </c>
      <c r="C2527" s="26" t="s">
        <v>805</v>
      </c>
      <c r="D2527" s="26" t="s">
        <v>806</v>
      </c>
      <c r="E2527" s="20" t="s">
        <v>1802</v>
      </c>
      <c r="F2527" s="21" t="str">
        <f>IF(OR(E2527="",E2527="!!!"),"",IF(NOT(ISNA(VLOOKUP(E2527,E$1:E2526,1,FALSE()))),"OLD",IF(AND(E2527&lt;&gt;"",E2527&lt;&gt;"!!!"),"NEW","")))</f>
        <v>OLD</v>
      </c>
      <c r="G2527" s="22" t="s">
        <v>1823</v>
      </c>
      <c r="H2527" s="23" t="str">
        <f t="shared" ref="H2527:H2534" ca="1" si="282">IF(J2527&lt;&gt;1,"",IF(I2527="SBJ","CB","?"))</f>
        <v/>
      </c>
      <c r="I2527" s="24" t="str">
        <f>IF(OR(E2527="",E2527="!!!",F2527="NEW"),"",INDEX(B$2:B2526,-1+SUMPRODUCT(MAX(ROW(E$2:E2526)*(E2527=E$2:E2526)))))</f>
        <v>SBJ</v>
      </c>
      <c r="J2527" s="24">
        <f ca="1">IF(OR(E2527="",E2527="!!!",F2527="NEW"),"",COUNTBLANK(OFFSET(A$1,,,SUMPRODUCT(MAX(ROW(E$2:E2527)*(E2527=E$2:E2527)))))-COUNTBLANK(OFFSET(A$1,,,SUMPRODUCT(MAX(ROW(E$1:E2526)*(E2=E$1:E2526))))))</f>
        <v>0</v>
      </c>
      <c r="K2527" s="24">
        <f ca="1">IF(OR(E2527="",E2527="!!!",F2527="NEW"),"",INDEX(J$1:J2526,SUMPRODUCT(MAX(ROW(E$1:E2526)*(E2527=E$1:E2526)))))</f>
        <v>0</v>
      </c>
      <c r="L2527" s="25"/>
    </row>
    <row r="2528" spans="1:12" x14ac:dyDescent="0.2">
      <c r="A2528" t="s">
        <v>1554</v>
      </c>
      <c r="E2528" s="20" t="str">
        <f t="shared" ref="E2527:E2534" si="283">IF(D2528="?OLD","!!!","")</f>
        <v/>
      </c>
      <c r="F2528" s="21" t="str">
        <f>IF(OR(E2528="",E2528="!!!"),"",IF(NOT(ISNA(VLOOKUP(E2528,E$1:E2527,1,FALSE()))),"OLD",IF(AND(E2528&lt;&gt;"",E2528&lt;&gt;"!!!"),"NEW","")))</f>
        <v/>
      </c>
      <c r="G2528" s="22" t="str">
        <f>IF(OR(E2528="",E2528="!!!"),"",IF(OR(J2528=0,AND(J2528=1,K2528=1),AND(J2528=1,I2528="SBJ"),AND(J2528=1,I2528=0)),"?IN_FOCUS",IF(J2528&lt;=2,"?ACTIVATED",IF(J2528&lt;&gt;"","?FAMILIAR",IF(F2528="NEW",IF(ISNA(VLOOKUP(E2528,#REF!,1,FALSE())),"?TYPE_IDENTIFIABLE","?REFERENTIAL"),"_")))))</f>
        <v/>
      </c>
      <c r="H2528" s="23" t="str">
        <f t="shared" ca="1" si="282"/>
        <v/>
      </c>
      <c r="I2528" s="24" t="str">
        <f>IF(OR(E2528="",E2528="!!!",F2528="NEW"),"",INDEX(B$2:B2527,-1+SUMPRODUCT(MAX(ROW(E$2:E2527)*(E2528=E$2:E2527)))))</f>
        <v/>
      </c>
      <c r="J2528" s="24" t="str">
        <f ca="1">IF(OR(E2528="",E2528="!!!",F2528="NEW"),"",COUNTBLANK(OFFSET(A$1,,,SUMPRODUCT(MAX(ROW(E$2:E2528)*(E2528=E$2:E2528)))))-COUNTBLANK(OFFSET(A$1,,,SUMPRODUCT(MAX(ROW(E$1:E2527)*(E2=E$1:E2527))))))</f>
        <v/>
      </c>
      <c r="K2528" s="24" t="str">
        <f>IF(OR(E2528="",E2528="!!!",F2528="NEW"),"",INDEX(J$1:J2527,SUMPRODUCT(MAX(ROW(E$1:E2527)*(E2528=E$1:E2527)))))</f>
        <v/>
      </c>
      <c r="L2528" s="25"/>
    </row>
    <row r="2529" spans="1:12" x14ac:dyDescent="0.2">
      <c r="A2529" t="s">
        <v>859</v>
      </c>
      <c r="E2529" s="20" t="str">
        <f t="shared" si="283"/>
        <v/>
      </c>
      <c r="F2529" s="21" t="str">
        <f>IF(OR(E2529="",E2529="!!!"),"",IF(NOT(ISNA(VLOOKUP(E2529,E$1:E2528,1,FALSE()))),"OLD",IF(AND(E2529&lt;&gt;"",E2529&lt;&gt;"!!!"),"NEW","")))</f>
        <v/>
      </c>
      <c r="G2529" s="22" t="str">
        <f>IF(OR(E2529="",E2529="!!!"),"",IF(OR(J2529=0,AND(J2529=1,K2529=1),AND(J2529=1,I2529="SBJ"),AND(J2529=1,I2529=0)),"?IN_FOCUS",IF(J2529&lt;=2,"?ACTIVATED",IF(J2529&lt;&gt;"","?FAMILIAR",IF(F2529="NEW",IF(ISNA(VLOOKUP(E2529,#REF!,1,FALSE())),"?TYPE_IDENTIFIABLE","?REFERENTIAL"),"_")))))</f>
        <v/>
      </c>
      <c r="H2529" s="23" t="str">
        <f t="shared" ca="1" si="282"/>
        <v/>
      </c>
      <c r="I2529" s="24" t="str">
        <f>IF(OR(E2529="",E2529="!!!",F2529="NEW"),"",INDEX(B$2:B2528,-1+SUMPRODUCT(MAX(ROW(E$2:E2528)*(E2529=E$2:E2528)))))</f>
        <v/>
      </c>
      <c r="J2529" s="24" t="str">
        <f ca="1">IF(OR(E2529="",E2529="!!!",F2529="NEW"),"",COUNTBLANK(OFFSET(A$1,,,SUMPRODUCT(MAX(ROW(E$2:E2529)*(E2529=E$2:E2529)))))-COUNTBLANK(OFFSET(A$1,,,SUMPRODUCT(MAX(ROW(E$1:E2528)*(E2=E$1:E2528))))))</f>
        <v/>
      </c>
      <c r="K2529" s="24" t="str">
        <f>IF(OR(E2529="",E2529="!!!",F2529="NEW"),"",INDEX(J$1:J2528,SUMPRODUCT(MAX(ROW(E$1:E2528)*(E2529=E$1:E2528)))))</f>
        <v/>
      </c>
      <c r="L2529" s="25"/>
    </row>
    <row r="2530" spans="1:12" x14ac:dyDescent="0.2">
      <c r="A2530" t="s">
        <v>1555</v>
      </c>
      <c r="E2530" s="20" t="str">
        <f t="shared" si="283"/>
        <v/>
      </c>
      <c r="F2530" s="21" t="str">
        <f>IF(OR(E2530="",E2530="!!!"),"",IF(NOT(ISNA(VLOOKUP(E2530,E$1:E2529,1,FALSE()))),"OLD",IF(AND(E2530&lt;&gt;"",E2530&lt;&gt;"!!!"),"NEW","")))</f>
        <v/>
      </c>
      <c r="G2530" s="22" t="str">
        <f>IF(OR(E2530="",E2530="!!!"),"",IF(OR(J2530=0,AND(J2530=1,K2530=1),AND(J2530=1,I2530="SBJ"),AND(J2530=1,I2530=0)),"?IN_FOCUS",IF(J2530&lt;=2,"?ACTIVATED",IF(J2530&lt;&gt;"","?FAMILIAR",IF(F2530="NEW",IF(ISNA(VLOOKUP(E2530,#REF!,1,FALSE())),"?TYPE_IDENTIFIABLE","?REFERENTIAL"),"_")))))</f>
        <v/>
      </c>
      <c r="H2530" s="23" t="str">
        <f t="shared" ca="1" si="282"/>
        <v/>
      </c>
      <c r="I2530" s="24" t="str">
        <f>IF(OR(E2530="",E2530="!!!",F2530="NEW"),"",INDEX(B$2:B2529,-1+SUMPRODUCT(MAX(ROW(E$2:E2529)*(E2530=E$2:E2529)))))</f>
        <v/>
      </c>
      <c r="J2530" s="24" t="str">
        <f ca="1">IF(OR(E2530="",E2530="!!!",F2530="NEW"),"",COUNTBLANK(OFFSET(A$1,,,SUMPRODUCT(MAX(ROW(E$2:E2530)*(E2530=E$2:E2530)))))-COUNTBLANK(OFFSET(A$1,,,SUMPRODUCT(MAX(ROW(E$1:E2529)*(E2=E$1:E2529))))))</f>
        <v/>
      </c>
      <c r="K2530" s="24" t="str">
        <f>IF(OR(E2530="",E2530="!!!",F2530="NEW"),"",INDEX(J$1:J2529,SUMPRODUCT(MAX(ROW(E$1:E2529)*(E2530=E$1:E2529)))))</f>
        <v/>
      </c>
      <c r="L2530" s="25"/>
    </row>
    <row r="2531" spans="1:12" x14ac:dyDescent="0.2">
      <c r="A2531" t="s">
        <v>1166</v>
      </c>
      <c r="E2531" s="20" t="str">
        <f t="shared" si="283"/>
        <v/>
      </c>
      <c r="F2531" s="21" t="str">
        <f>IF(OR(E2531="",E2531="!!!"),"",IF(NOT(ISNA(VLOOKUP(E2531,E$1:E2530,1,FALSE()))),"OLD",IF(AND(E2531&lt;&gt;"",E2531&lt;&gt;"!!!"),"NEW","")))</f>
        <v/>
      </c>
      <c r="G2531" s="22" t="str">
        <f>IF(OR(E2531="",E2531="!!!"),"",IF(OR(J2531=0,AND(J2531=1,K2531=1),AND(J2531=1,I2531="SBJ"),AND(J2531=1,I2531=0)),"?IN_FOCUS",IF(J2531&lt;=2,"?ACTIVATED",IF(J2531&lt;&gt;"","?FAMILIAR",IF(F2531="NEW",IF(ISNA(VLOOKUP(E2531,#REF!,1,FALSE())),"?TYPE_IDENTIFIABLE","?REFERENTIAL"),"_")))))</f>
        <v/>
      </c>
      <c r="H2531" s="23" t="str">
        <f t="shared" ca="1" si="282"/>
        <v/>
      </c>
      <c r="I2531" s="24" t="str">
        <f>IF(OR(E2531="",E2531="!!!",F2531="NEW"),"",INDEX(B$2:B2530,-1+SUMPRODUCT(MAX(ROW(E$2:E2530)*(E2531=E$2:E2530)))))</f>
        <v/>
      </c>
      <c r="J2531" s="24" t="str">
        <f ca="1">IF(OR(E2531="",E2531="!!!",F2531="NEW"),"",COUNTBLANK(OFFSET(A$1,,,SUMPRODUCT(MAX(ROW(E$2:E2531)*(E2531=E$2:E2531)))))-COUNTBLANK(OFFSET(A$1,,,SUMPRODUCT(MAX(ROW(E$1:E2530)*(E2=E$1:E2530))))))</f>
        <v/>
      </c>
      <c r="K2531" s="24" t="str">
        <f>IF(OR(E2531="",E2531="!!!",F2531="NEW"),"",INDEX(J$1:J2530,SUMPRODUCT(MAX(ROW(E$1:E2530)*(E2531=E$1:E2530)))))</f>
        <v/>
      </c>
      <c r="L2531" s="25"/>
    </row>
    <row r="2532" spans="1:12" x14ac:dyDescent="0.2">
      <c r="A2532" t="s">
        <v>1556</v>
      </c>
      <c r="B2532" s="26" t="s">
        <v>938</v>
      </c>
      <c r="C2532" s="26" t="s">
        <v>814</v>
      </c>
      <c r="E2532" s="20" t="str">
        <f t="shared" si="283"/>
        <v/>
      </c>
      <c r="F2532" s="21" t="str">
        <f>IF(OR(E2532="",E2532="!!!"),"",IF(NOT(ISNA(VLOOKUP(E2532,E$1:E2531,1,FALSE()))),"OLD",IF(AND(E2532&lt;&gt;"",E2532&lt;&gt;"!!!"),"NEW","")))</f>
        <v/>
      </c>
      <c r="G2532" s="22" t="str">
        <f>IF(OR(E2532="",E2532="!!!"),"",IF(OR(J2532=0,AND(J2532=1,K2532=1),AND(J2532=1,I2532="SBJ"),AND(J2532=1,I2532=0)),"?IN_FOCUS",IF(J2532&lt;=2,"?ACTIVATED",IF(J2532&lt;&gt;"","?FAMILIAR",IF(F2532="NEW",IF(ISNA(VLOOKUP(E2532,#REF!,1,FALSE())),"?TYPE_IDENTIFIABLE","?REFERENTIAL"),"_")))))</f>
        <v/>
      </c>
      <c r="H2532" s="23" t="str">
        <f t="shared" ca="1" si="282"/>
        <v/>
      </c>
      <c r="I2532" s="24" t="str">
        <f>IF(OR(E2532="",E2532="!!!",F2532="NEW"),"",INDEX(B$2:B2531,-1+SUMPRODUCT(MAX(ROW(E$2:E2531)*(E2532=E$2:E2531)))))</f>
        <v/>
      </c>
      <c r="J2532" s="24" t="str">
        <f ca="1">IF(OR(E2532="",E2532="!!!",F2532="NEW"),"",COUNTBLANK(OFFSET(A$1,,,SUMPRODUCT(MAX(ROW(E$2:E2532)*(E2532=E$2:E2532)))))-COUNTBLANK(OFFSET(A$1,,,SUMPRODUCT(MAX(ROW(E$1:E2531)*(E2=E$1:E2531))))))</f>
        <v/>
      </c>
      <c r="K2532" s="24" t="str">
        <f>IF(OR(E2532="",E2532="!!!",F2532="NEW"),"",INDEX(J$1:J2531,SUMPRODUCT(MAX(ROW(E$1:E2531)*(E2532=E$1:E2531)))))</f>
        <v/>
      </c>
      <c r="L2532" s="25"/>
    </row>
    <row r="2533" spans="1:12" x14ac:dyDescent="0.2">
      <c r="A2533" t="s">
        <v>821</v>
      </c>
      <c r="E2533" s="20" t="str">
        <f t="shared" si="283"/>
        <v/>
      </c>
      <c r="F2533" s="21" t="str">
        <f>IF(OR(E2533="",E2533="!!!"),"",IF(NOT(ISNA(VLOOKUP(E2533,E$1:E2532,1,FALSE()))),"OLD",IF(AND(E2533&lt;&gt;"",E2533&lt;&gt;"!!!"),"NEW","")))</f>
        <v/>
      </c>
      <c r="G2533" s="22" t="str">
        <f>IF(OR(E2533="",E2533="!!!"),"",IF(OR(J2533=0,AND(J2533=1,K2533=1),AND(J2533=1,I2533="SBJ"),AND(J2533=1,I2533=0)),"?IN_FOCUS",IF(J2533&lt;=2,"?ACTIVATED",IF(J2533&lt;&gt;"","?FAMILIAR",IF(F2533="NEW",IF(ISNA(VLOOKUP(E2533,#REF!,1,FALSE())),"?TYPE_IDENTIFIABLE","?REFERENTIAL"),"_")))))</f>
        <v/>
      </c>
      <c r="H2533" s="23" t="str">
        <f t="shared" ca="1" si="282"/>
        <v/>
      </c>
      <c r="I2533" s="24" t="str">
        <f>IF(OR(E2533="",E2533="!!!",F2533="NEW"),"",INDEX(B$2:B2532,-1+SUMPRODUCT(MAX(ROW(E$2:E2532)*(E2533=E$2:E2532)))))</f>
        <v/>
      </c>
      <c r="J2533" s="24" t="str">
        <f ca="1">IF(OR(E2533="",E2533="!!!",F2533="NEW"),"",COUNTBLANK(OFFSET(A$1,,,SUMPRODUCT(MAX(ROW(E$2:E2533)*(E2533=E$2:E2533)))))-COUNTBLANK(OFFSET(A$1,,,SUMPRODUCT(MAX(ROW(E$1:E2532)*(E2=E$1:E2532))))))</f>
        <v/>
      </c>
      <c r="K2533" s="24" t="str">
        <f>IF(OR(E2533="",E2533="!!!",F2533="NEW"),"",INDEX(J$1:J2532,SUMPRODUCT(MAX(ROW(E$1:E2532)*(E2533=E$1:E2532)))))</f>
        <v/>
      </c>
      <c r="L2533" s="25"/>
    </row>
    <row r="2534" spans="1:12" x14ac:dyDescent="0.2">
      <c r="A2534" t="s">
        <v>902</v>
      </c>
      <c r="E2534" s="20" t="str">
        <f t="shared" si="283"/>
        <v/>
      </c>
      <c r="F2534" s="21" t="str">
        <f>IF(OR(E2534="",E2534="!!!"),"",IF(NOT(ISNA(VLOOKUP(E2534,E$1:E2533,1,FALSE()))),"OLD",IF(AND(E2534&lt;&gt;"",E2534&lt;&gt;"!!!"),"NEW","")))</f>
        <v/>
      </c>
      <c r="G2534" s="22" t="str">
        <f>IF(OR(E2534="",E2534="!!!"),"",IF(OR(J2534=0,AND(J2534=1,K2534=1),AND(J2534=1,I2534="SBJ"),AND(J2534=1,I2534=0)),"?IN_FOCUS",IF(J2534&lt;=2,"?ACTIVATED",IF(J2534&lt;&gt;"","?FAMILIAR",IF(F2534="NEW",IF(ISNA(VLOOKUP(E2534,#REF!,1,FALSE())),"?TYPE_IDENTIFIABLE","?REFERENTIAL"),"_")))))</f>
        <v/>
      </c>
      <c r="H2534" s="23" t="str">
        <f t="shared" ca="1" si="282"/>
        <v/>
      </c>
      <c r="I2534" s="24" t="str">
        <f>IF(OR(E2534="",E2534="!!!",F2534="NEW"),"",INDEX(B$2:B2533,-1+SUMPRODUCT(MAX(ROW(E$2:E2533)*(E2534=E$2:E2533)))))</f>
        <v/>
      </c>
      <c r="J2534" s="24" t="str">
        <f ca="1">IF(OR(E2534="",E2534="!!!",F2534="NEW"),"",COUNTBLANK(OFFSET(A$1,,,SUMPRODUCT(MAX(ROW(E$2:E2534)*(E2534=E$2:E2534)))))-COUNTBLANK(OFFSET(A$1,,,SUMPRODUCT(MAX(ROW(E$1:E2533)*(E2=E$1:E2533))))))</f>
        <v/>
      </c>
      <c r="K2534" s="24" t="str">
        <f>IF(OR(E2534="",E2534="!!!",F2534="NEW"),"",INDEX(J$1:J2533,SUMPRODUCT(MAX(ROW(E$1:E2533)*(E2534=E$1:E2533)))))</f>
        <v/>
      </c>
      <c r="L2534" s="25"/>
    </row>
    <row r="2536" spans="1:12" x14ac:dyDescent="0.2">
      <c r="A2536" t="s">
        <v>900</v>
      </c>
      <c r="E2536" s="20" t="str">
        <f>IF(D2536="?OLD","!!!","")</f>
        <v/>
      </c>
      <c r="F2536" s="21" t="str">
        <f>IF(OR(E2536="",E2536="!!!"),"",IF(NOT(ISNA(VLOOKUP(E2536,E$1:E2535,1,FALSE()))),"OLD",IF(AND(E2536&lt;&gt;"",E2536&lt;&gt;"!!!"),"NEW","")))</f>
        <v/>
      </c>
      <c r="G2536" s="22" t="str">
        <f>IF(OR(E2536="",E2536="!!!"),"",IF(OR(J2536=0,AND(J2536=1,K2536=1),AND(J2536=1,I2536="SBJ"),AND(J2536=1,I2536=0)),"?IN_FOCUS",IF(J2536&lt;=2,"?ACTIVATED",IF(J2536&lt;&gt;"","?FAMILIAR",IF(F2536="NEW",IF(ISNA(VLOOKUP(E2536,#REF!,1,FALSE())),"?TYPE_IDENTIFIABLE","?REFERENTIAL"),"_")))))</f>
        <v/>
      </c>
      <c r="H2536" s="23" t="str">
        <f ca="1">IF(J2536&lt;&gt;1,"",IF(I2536="SBJ","CB","?"))</f>
        <v/>
      </c>
      <c r="I2536" s="24" t="str">
        <f>IF(OR(E2536="",E2536="!!!",F2536="NEW"),"",INDEX(B$2:B2535,-1+SUMPRODUCT(MAX(ROW(E$2:E2535)*(E2536=E$2:E2535)))))</f>
        <v/>
      </c>
      <c r="J2536" s="24" t="str">
        <f ca="1">IF(OR(E2536="",E2536="!!!",F2536="NEW"),"",COUNTBLANK(OFFSET(A$1,,,SUMPRODUCT(MAX(ROW(E$2:E2536)*(E2536=E$2:E2536)))))-COUNTBLANK(OFFSET(A$1,,,SUMPRODUCT(MAX(ROW(E$1:E2535)*(E2=E$1:E2535))))))</f>
        <v/>
      </c>
      <c r="K2536" s="24" t="str">
        <f>IF(OR(E2536="",E2536="!!!",F2536="NEW"),"",INDEX(J$1:J2535,SUMPRODUCT(MAX(ROW(E$1:E2535)*(E2536=E$1:E2535)))))</f>
        <v/>
      </c>
      <c r="L2536" s="25"/>
    </row>
    <row r="2537" spans="1:12" x14ac:dyDescent="0.2">
      <c r="A2537" t="s">
        <v>1557</v>
      </c>
    </row>
    <row r="2538" spans="1:12" x14ac:dyDescent="0.2">
      <c r="A2538" t="s">
        <v>902</v>
      </c>
      <c r="E2538" s="20" t="str">
        <f t="shared" ref="E2538:E2546" si="284">IF(D2538="?OLD","!!!","")</f>
        <v/>
      </c>
      <c r="F2538" s="21" t="str">
        <f>IF(OR(E2538="",E2538="!!!"),"",IF(NOT(ISNA(VLOOKUP(E2538,E$1:E2537,1,FALSE()))),"OLD",IF(AND(E2538&lt;&gt;"",E2538&lt;&gt;"!!!"),"NEW","")))</f>
        <v/>
      </c>
      <c r="G2538" s="22" t="str">
        <f>IF(OR(E2538="",E2538="!!!"),"",IF(OR(J2538=0,AND(J2538=1,K2538=1),AND(J2538=1,I2538="SBJ"),AND(J2538=1,I2538=0)),"?IN_FOCUS",IF(J2538&lt;=2,"?ACTIVATED",IF(J2538&lt;&gt;"","?FAMILIAR",IF(F2538="NEW",IF(ISNA(VLOOKUP(E2538,#REF!,1,FALSE())),"?TYPE_IDENTIFIABLE","?REFERENTIAL"),"_")))))</f>
        <v/>
      </c>
      <c r="H2538" s="23" t="str">
        <f t="shared" ref="H2538:H2546" ca="1" si="285">IF(J2538&lt;&gt;1,"",IF(I2538="SBJ","CB","?"))</f>
        <v/>
      </c>
      <c r="I2538" s="24" t="str">
        <f>IF(OR(E2538="",E2538="!!!",F2538="NEW"),"",INDEX(B$2:B2537,-1+SUMPRODUCT(MAX(ROW(E$2:E2537)*(E2538=E$2:E2537)))))</f>
        <v/>
      </c>
      <c r="J2538" s="24" t="str">
        <f ca="1">IF(OR(E2538="",E2538="!!!",F2538="NEW"),"",COUNTBLANK(OFFSET(A$1,,,SUMPRODUCT(MAX(ROW(E$2:E2538)*(E2538=E$2:E2538)))))-COUNTBLANK(OFFSET(A$1,,,SUMPRODUCT(MAX(ROW(E$1:E2537)*(E2=E$1:E2537))))))</f>
        <v/>
      </c>
      <c r="K2538" s="24" t="str">
        <f>IF(OR(E2538="",E2538="!!!",F2538="NEW"),"",INDEX(J$1:J2537,SUMPRODUCT(MAX(ROW(E$1:E2537)*(E2538=E$1:E2537)))))</f>
        <v/>
      </c>
      <c r="L2538" s="25"/>
    </row>
    <row r="2539" spans="1:12" x14ac:dyDescent="0.2">
      <c r="A2539" t="s">
        <v>1382</v>
      </c>
      <c r="E2539" s="20" t="str">
        <f t="shared" si="284"/>
        <v/>
      </c>
      <c r="F2539" s="21" t="str">
        <f>IF(OR(E2539="",E2539="!!!"),"",IF(NOT(ISNA(VLOOKUP(E2539,E$1:E2538,1,FALSE()))),"OLD",IF(AND(E2539&lt;&gt;"",E2539&lt;&gt;"!!!"),"NEW","")))</f>
        <v/>
      </c>
      <c r="G2539" s="22" t="str">
        <f>IF(OR(E2539="",E2539="!!!"),"",IF(OR(J2539=0,AND(J2539=1,K2539=1),AND(J2539=1,I2539="SBJ"),AND(J2539=1,I2539=0)),"?IN_FOCUS",IF(J2539&lt;=2,"?ACTIVATED",IF(J2539&lt;&gt;"","?FAMILIAR",IF(F2539="NEW",IF(ISNA(VLOOKUP(E2539,#REF!,1,FALSE())),"?TYPE_IDENTIFIABLE","?REFERENTIAL"),"_")))))</f>
        <v/>
      </c>
      <c r="H2539" s="23" t="str">
        <f t="shared" ca="1" si="285"/>
        <v/>
      </c>
      <c r="I2539" s="24" t="str">
        <f>IF(OR(E2539="",E2539="!!!",F2539="NEW"),"",INDEX(B$2:B2538,-1+SUMPRODUCT(MAX(ROW(E$2:E2538)*(E2539=E$2:E2538)))))</f>
        <v/>
      </c>
      <c r="J2539" s="24" t="str">
        <f ca="1">IF(OR(E2539="",E2539="!!!",F2539="NEW"),"",COUNTBLANK(OFFSET(A$1,,,SUMPRODUCT(MAX(ROW(E$2:E2539)*(E2539=E$2:E2539)))))-COUNTBLANK(OFFSET(A$1,,,SUMPRODUCT(MAX(ROW(E$1:E2538)*(E2=E$1:E2538))))))</f>
        <v/>
      </c>
      <c r="K2539" s="24" t="str">
        <f>IF(OR(E2539="",E2539="!!!",F2539="NEW"),"",INDEX(J$1:J2538,SUMPRODUCT(MAX(ROW(E$1:E2538)*(E2539=E$1:E2538)))))</f>
        <v/>
      </c>
      <c r="L2539" s="25"/>
    </row>
    <row r="2540" spans="1:12" x14ac:dyDescent="0.2">
      <c r="A2540" t="s">
        <v>920</v>
      </c>
      <c r="B2540" s="26" t="s">
        <v>813</v>
      </c>
      <c r="C2540" s="26" t="s">
        <v>817</v>
      </c>
      <c r="D2540" s="26" t="s">
        <v>806</v>
      </c>
      <c r="E2540" s="20"/>
      <c r="F2540" s="21" t="str">
        <f>IF(OR(E2540="",E2540="!!!"),"",IF(NOT(ISNA(VLOOKUP(E2540,E$1:E2539,1,FALSE()))),"OLD",IF(AND(E2540&lt;&gt;"",E2540&lt;&gt;"!!!"),"NEW","")))</f>
        <v/>
      </c>
      <c r="G2540" s="22" t="str">
        <f>IF(OR(E2540="",E2540="!!!"),"",IF(OR(J2540=0,AND(J2540=1,K2540=1),AND(J2540=1,I2540="SBJ"),AND(J2540=1,I2540=0)),"?IN_FOCUS",IF(J2540&lt;=2,"?ACTIVATED",IF(J2540&lt;&gt;"","?FAMILIAR",IF(F2540="NEW",IF(ISNA(VLOOKUP(E2540,#REF!,1,FALSE())),"?TYPE_IDENTIFIABLE","?REFERENTIAL"),"_")))))</f>
        <v/>
      </c>
      <c r="H2540" s="23" t="str">
        <f t="shared" ca="1" si="285"/>
        <v/>
      </c>
      <c r="I2540" s="24" t="str">
        <f>IF(OR(E2540="",E2540="!!!",F2540="NEW"),"",INDEX(B$2:B2539,-1+SUMPRODUCT(MAX(ROW(E$2:E2539)*(E2540=E$2:E2539)))))</f>
        <v/>
      </c>
      <c r="J2540" s="24" t="str">
        <f ca="1">IF(OR(E2540="",E2540="!!!",F2540="NEW"),"",COUNTBLANK(OFFSET(A$1,,,SUMPRODUCT(MAX(ROW(E$2:E2540)*(E2540=E$2:E2540)))))-COUNTBLANK(OFFSET(A$1,,,SUMPRODUCT(MAX(ROW(E$1:E2539)*(E2=E$1:E2539))))))</f>
        <v/>
      </c>
      <c r="K2540" s="24" t="str">
        <f>IF(OR(E2540="",E2540="!!!",F2540="NEW"),"",INDEX(J$1:J2539,SUMPRODUCT(MAX(ROW(E$1:E2539)*(E2540=E$1:E2539)))))</f>
        <v/>
      </c>
      <c r="L2540" s="25"/>
    </row>
    <row r="2541" spans="1:12" x14ac:dyDescent="0.2">
      <c r="A2541" t="s">
        <v>1231</v>
      </c>
      <c r="B2541" s="26" t="s">
        <v>804</v>
      </c>
      <c r="C2541" s="26" t="s">
        <v>820</v>
      </c>
      <c r="D2541" s="26" t="s">
        <v>806</v>
      </c>
      <c r="E2541" s="20" t="s">
        <v>1803</v>
      </c>
      <c r="F2541" s="21" t="str">
        <f>IF(OR(E2541="",E2541="!!!"),"",IF(NOT(ISNA(VLOOKUP(E2541,E$1:E2540,1,FALSE()))),"OLD",IF(AND(E2541&lt;&gt;"",E2541&lt;&gt;"!!!"),"NEW","")))</f>
        <v>NEW</v>
      </c>
      <c r="G2541" s="22" t="s">
        <v>1824</v>
      </c>
      <c r="H2541" s="23" t="str">
        <f t="shared" ca="1" si="285"/>
        <v/>
      </c>
      <c r="I2541" s="24" t="str">
        <f>IF(OR(E2541="",E2541="!!!",F2541="NEW"),"",INDEX(B$2:B2540,-1+SUMPRODUCT(MAX(ROW(E$2:E2540)*(E2541=E$2:E2540)))))</f>
        <v/>
      </c>
      <c r="J2541" s="24" t="str">
        <f ca="1">IF(OR(E2541="",E2541="!!!",F2541="NEW"),"",COUNTBLANK(OFFSET(A$1,,,SUMPRODUCT(MAX(ROW(E$2:E2541)*(E2541=E$2:E2541)))))-COUNTBLANK(OFFSET(A$1,,,SUMPRODUCT(MAX(ROW(E$1:E2540)*(E2=E$1:E2540))))))</f>
        <v/>
      </c>
      <c r="K2541" s="24" t="str">
        <f>IF(OR(E2541="",E2541="!!!",F2541="NEW"),"",INDEX(J$1:J2540,SUMPRODUCT(MAX(ROW(E$1:E2540)*(E2541=E$1:E2540)))))</f>
        <v/>
      </c>
      <c r="L2541" s="25"/>
    </row>
    <row r="2542" spans="1:12" x14ac:dyDescent="0.2">
      <c r="A2542" t="s">
        <v>1558</v>
      </c>
      <c r="E2542" s="20" t="str">
        <f t="shared" si="284"/>
        <v/>
      </c>
      <c r="F2542" s="21" t="str">
        <f>IF(OR(E2542="",E2542="!!!"),"",IF(NOT(ISNA(VLOOKUP(E2542,E$1:E2541,1,FALSE()))),"OLD",IF(AND(E2542&lt;&gt;"",E2542&lt;&gt;"!!!"),"NEW","")))</f>
        <v/>
      </c>
      <c r="G2542" s="22" t="str">
        <f>IF(OR(E2542="",E2542="!!!"),"",IF(OR(J2542=0,AND(J2542=1,K2542=1),AND(J2542=1,I2542="SBJ"),AND(J2542=1,I2542=0)),"?IN_FOCUS",IF(J2542&lt;=2,"?ACTIVATED",IF(J2542&lt;&gt;"","?FAMILIAR",IF(F2542="NEW",IF(ISNA(VLOOKUP(E2542,#REF!,1,FALSE())),"?TYPE_IDENTIFIABLE","?REFERENTIAL"),"_")))))</f>
        <v/>
      </c>
      <c r="H2542" s="23" t="str">
        <f t="shared" ca="1" si="285"/>
        <v/>
      </c>
      <c r="I2542" s="24" t="str">
        <f>IF(OR(E2542="",E2542="!!!",F2542="NEW"),"",INDEX(B$2:B2541,-1+SUMPRODUCT(MAX(ROW(E$2:E2541)*(E2542=E$2:E2541)))))</f>
        <v/>
      </c>
      <c r="J2542" s="24" t="str">
        <f ca="1">IF(OR(E2542="",E2542="!!!",F2542="NEW"),"",COUNTBLANK(OFFSET(A$1,,,SUMPRODUCT(MAX(ROW(E$2:E2542)*(E2542=E$2:E2542)))))-COUNTBLANK(OFFSET(A$1,,,SUMPRODUCT(MAX(ROW(E$1:E2541)*(E2=E$1:E2541))))))</f>
        <v/>
      </c>
      <c r="K2542" s="24" t="str">
        <f>IF(OR(E2542="",E2542="!!!",F2542="NEW"),"",INDEX(J$1:J2541,SUMPRODUCT(MAX(ROW(E$1:E2541)*(E2542=E$1:E2541)))))</f>
        <v/>
      </c>
      <c r="L2542" s="25"/>
    </row>
    <row r="2543" spans="1:12" x14ac:dyDescent="0.2">
      <c r="A2543" t="s">
        <v>1083</v>
      </c>
      <c r="E2543" s="20" t="str">
        <f t="shared" si="284"/>
        <v/>
      </c>
      <c r="F2543" s="21" t="str">
        <f>IF(OR(E2543="",E2543="!!!"),"",IF(NOT(ISNA(VLOOKUP(E2543,E$1:E2542,1,FALSE()))),"OLD",IF(AND(E2543&lt;&gt;"",E2543&lt;&gt;"!!!"),"NEW","")))</f>
        <v/>
      </c>
      <c r="G2543" s="22" t="str">
        <f>IF(OR(E2543="",E2543="!!!"),"",IF(OR(J2543=0,AND(J2543=1,K2543=1),AND(J2543=1,I2543="SBJ"),AND(J2543=1,I2543=0)),"?IN_FOCUS",IF(J2543&lt;=2,"?ACTIVATED",IF(J2543&lt;&gt;"","?FAMILIAR",IF(F2543="NEW",IF(ISNA(VLOOKUP(E2543,#REF!,1,FALSE())),"?TYPE_IDENTIFIABLE","?REFERENTIAL"),"_")))))</f>
        <v/>
      </c>
      <c r="H2543" s="23" t="str">
        <f t="shared" ca="1" si="285"/>
        <v/>
      </c>
      <c r="I2543" s="24" t="str">
        <f>IF(OR(E2543="",E2543="!!!",F2543="NEW"),"",INDEX(B$2:B2542,-1+SUMPRODUCT(MAX(ROW(E$2:E2542)*(E2543=E$2:E2542)))))</f>
        <v/>
      </c>
      <c r="J2543" s="24" t="str">
        <f ca="1">IF(OR(E2543="",E2543="!!!",F2543="NEW"),"",COUNTBLANK(OFFSET(A$1,,,SUMPRODUCT(MAX(ROW(E$2:E2543)*(E2543=E$2:E2543)))))-COUNTBLANK(OFFSET(A$1,,,SUMPRODUCT(MAX(ROW(E$1:E2542)*(E2=E$1:E2542))))))</f>
        <v/>
      </c>
      <c r="K2543" s="24" t="str">
        <f>IF(OR(E2543="",E2543="!!!",F2543="NEW"),"",INDEX(J$1:J2542,SUMPRODUCT(MAX(ROW(E$1:E2542)*(E2543=E$1:E2542)))))</f>
        <v/>
      </c>
      <c r="L2543" s="25"/>
    </row>
    <row r="2544" spans="1:12" x14ac:dyDescent="0.2">
      <c r="A2544" t="s">
        <v>1556</v>
      </c>
      <c r="B2544" s="26" t="s">
        <v>810</v>
      </c>
      <c r="C2544" s="26" t="s">
        <v>884</v>
      </c>
      <c r="E2544" s="20" t="str">
        <f t="shared" si="284"/>
        <v/>
      </c>
      <c r="F2544" s="21" t="str">
        <f>IF(OR(E2544="",E2544="!!!"),"",IF(NOT(ISNA(VLOOKUP(E2544,E$1:E2543,1,FALSE()))),"OLD",IF(AND(E2544&lt;&gt;"",E2544&lt;&gt;"!!!"),"NEW","")))</f>
        <v/>
      </c>
      <c r="G2544" s="22" t="str">
        <f>IF(OR(E2544="",E2544="!!!"),"",IF(OR(J2544=0,AND(J2544=1,K2544=1),AND(J2544=1,I2544="SBJ"),AND(J2544=1,I2544=0)),"?IN_FOCUS",IF(J2544&lt;=2,"?ACTIVATED",IF(J2544&lt;&gt;"","?FAMILIAR",IF(F2544="NEW",IF(ISNA(VLOOKUP(E2544,#REF!,1,FALSE())),"?TYPE_IDENTIFIABLE","?REFERENTIAL"),"_")))))</f>
        <v/>
      </c>
      <c r="H2544" s="23" t="str">
        <f t="shared" ca="1" si="285"/>
        <v/>
      </c>
      <c r="I2544" s="24" t="str">
        <f>IF(OR(E2544="",E2544="!!!",F2544="NEW"),"",INDEX(B$2:B2543,-1+SUMPRODUCT(MAX(ROW(E$2:E2543)*(E2544=E$2:E2543)))))</f>
        <v/>
      </c>
      <c r="J2544" s="24" t="str">
        <f ca="1">IF(OR(E2544="",E2544="!!!",F2544="NEW"),"",COUNTBLANK(OFFSET(A$1,,,SUMPRODUCT(MAX(ROW(E$2:E2544)*(E2544=E$2:E2544)))))-COUNTBLANK(OFFSET(A$1,,,SUMPRODUCT(MAX(ROW(E$1:E2543)*(E2=E$1:E2543))))))</f>
        <v/>
      </c>
      <c r="K2544" s="24" t="str">
        <f>IF(OR(E2544="",E2544="!!!",F2544="NEW"),"",INDEX(J$1:J2543,SUMPRODUCT(MAX(ROW(E$1:E2543)*(E2544=E$1:E2543)))))</f>
        <v/>
      </c>
      <c r="L2544" s="25"/>
    </row>
    <row r="2545" spans="1:12" x14ac:dyDescent="0.2">
      <c r="A2545" t="s">
        <v>821</v>
      </c>
      <c r="E2545" s="20" t="str">
        <f t="shared" si="284"/>
        <v/>
      </c>
      <c r="F2545" s="21" t="str">
        <f>IF(OR(E2545="",E2545="!!!"),"",IF(NOT(ISNA(VLOOKUP(E2545,E$1:E2544,1,FALSE()))),"OLD",IF(AND(E2545&lt;&gt;"",E2545&lt;&gt;"!!!"),"NEW","")))</f>
        <v/>
      </c>
      <c r="G2545" s="22" t="str">
        <f>IF(OR(E2545="",E2545="!!!"),"",IF(OR(J2545=0,AND(J2545=1,K2545=1),AND(J2545=1,I2545="SBJ"),AND(J2545=1,I2545=0)),"?IN_FOCUS",IF(J2545&lt;=2,"?ACTIVATED",IF(J2545&lt;&gt;"","?FAMILIAR",IF(F2545="NEW",IF(ISNA(VLOOKUP(E2545,#REF!,1,FALSE())),"?TYPE_IDENTIFIABLE","?REFERENTIAL"),"_")))))</f>
        <v/>
      </c>
      <c r="H2545" s="23" t="str">
        <f t="shared" ca="1" si="285"/>
        <v/>
      </c>
      <c r="I2545" s="24" t="str">
        <f>IF(OR(E2545="",E2545="!!!",F2545="NEW"),"",INDEX(B$2:B2544,-1+SUMPRODUCT(MAX(ROW(E$2:E2544)*(E2545=E$2:E2544)))))</f>
        <v/>
      </c>
      <c r="J2545" s="24" t="str">
        <f ca="1">IF(OR(E2545="",E2545="!!!",F2545="NEW"),"",COUNTBLANK(OFFSET(A$1,,,SUMPRODUCT(MAX(ROW(E$2:E2545)*(E2545=E$2:E2545)))))-COUNTBLANK(OFFSET(A$1,,,SUMPRODUCT(MAX(ROW(E$1:E2544)*(E2=E$1:E2544))))))</f>
        <v/>
      </c>
      <c r="K2545" s="24" t="str">
        <f>IF(OR(E2545="",E2545="!!!",F2545="NEW"),"",INDEX(J$1:J2544,SUMPRODUCT(MAX(ROW(E$1:E2544)*(E2545=E$1:E2544)))))</f>
        <v/>
      </c>
      <c r="L2545" s="25"/>
    </row>
    <row r="2546" spans="1:12" x14ac:dyDescent="0.2">
      <c r="A2546" t="s">
        <v>902</v>
      </c>
      <c r="E2546" s="20" t="str">
        <f t="shared" si="284"/>
        <v/>
      </c>
      <c r="F2546" s="21" t="str">
        <f>IF(OR(E2546="",E2546="!!!"),"",IF(NOT(ISNA(VLOOKUP(E2546,E$1:E2545,1,FALSE()))),"OLD",IF(AND(E2546&lt;&gt;"",E2546&lt;&gt;"!!!"),"NEW","")))</f>
        <v/>
      </c>
      <c r="G2546" s="22" t="str">
        <f>IF(OR(E2546="",E2546="!!!"),"",IF(OR(J2546=0,AND(J2546=1,K2546=1),AND(J2546=1,I2546="SBJ"),AND(J2546=1,I2546=0)),"?IN_FOCUS",IF(J2546&lt;=2,"?ACTIVATED",IF(J2546&lt;&gt;"","?FAMILIAR",IF(F2546="NEW",IF(ISNA(VLOOKUP(E2546,#REF!,1,FALSE())),"?TYPE_IDENTIFIABLE","?REFERENTIAL"),"_")))))</f>
        <v/>
      </c>
      <c r="H2546" s="23" t="str">
        <f t="shared" ca="1" si="285"/>
        <v/>
      </c>
      <c r="I2546" s="24" t="str">
        <f>IF(OR(E2546="",E2546="!!!",F2546="NEW"),"",INDEX(B$2:B2545,-1+SUMPRODUCT(MAX(ROW(E$2:E2545)*(E2546=E$2:E2545)))))</f>
        <v/>
      </c>
      <c r="J2546" s="24" t="str">
        <f ca="1">IF(OR(E2546="",E2546="!!!",F2546="NEW"),"",COUNTBLANK(OFFSET(A$1,,,SUMPRODUCT(MAX(ROW(E$2:E2546)*(E2546=E$2:E2546)))))-COUNTBLANK(OFFSET(A$1,,,SUMPRODUCT(MAX(ROW(E$1:E2545)*(E2=E$1:E2545))))))</f>
        <v/>
      </c>
      <c r="K2546" s="24" t="str">
        <f>IF(OR(E2546="",E2546="!!!",F2546="NEW"),"",INDEX(J$1:J2545,SUMPRODUCT(MAX(ROW(E$1:E2545)*(E2546=E$1:E2545)))))</f>
        <v/>
      </c>
      <c r="L2546" s="25"/>
    </row>
    <row r="2548" spans="1:12" x14ac:dyDescent="0.2">
      <c r="A2548" t="s">
        <v>1559</v>
      </c>
    </row>
    <row r="2549" spans="1:12" x14ac:dyDescent="0.2">
      <c r="A2549" t="s">
        <v>1560</v>
      </c>
      <c r="E2549" s="20" t="str">
        <f>IF(D2549="?OLD","!!!","")</f>
        <v/>
      </c>
      <c r="F2549" s="21" t="str">
        <f>IF(OR(E2549="",E2549="!!!"),"",IF(NOT(ISNA(VLOOKUP(E2549,E$1:E2548,1,FALSE()))),"OLD",IF(AND(E2549&lt;&gt;"",E2549&lt;&gt;"!!!"),"NEW","")))</f>
        <v/>
      </c>
      <c r="G2549" s="22" t="str">
        <f>IF(OR(E2549="",E2549="!!!"),"",IF(OR(J2549=0,AND(J2549=1,K2549=1),AND(J2549=1,I2549="SBJ"),AND(J2549=1,I2549=0)),"?IN_FOCUS",IF(J2549&lt;=2,"?ACTIVATED",IF(J2549&lt;&gt;"","?FAMILIAR",IF(F2549="NEW",IF(ISNA(VLOOKUP(E2549,#REF!,1,FALSE())),"?TYPE_IDENTIFIABLE","?REFERENTIAL"),"_")))))</f>
        <v/>
      </c>
      <c r="H2549" s="23" t="str">
        <f ca="1">IF(J2549&lt;&gt;1,"",IF(I2549="SBJ","CB","?"))</f>
        <v/>
      </c>
      <c r="I2549" s="24" t="str">
        <f>IF(OR(E2549="",E2549="!!!",F2549="NEW"),"",INDEX(B$2:B2548,-1+SUMPRODUCT(MAX(ROW(E$2:E2548)*(E2549=E$2:E2548)))))</f>
        <v/>
      </c>
      <c r="J2549" s="24" t="str">
        <f ca="1">IF(OR(E2549="",E2549="!!!",F2549="NEW"),"",COUNTBLANK(OFFSET(A$1,,,SUMPRODUCT(MAX(ROW(E$2:E2549)*(E2549=E$2:E2549)))))-COUNTBLANK(OFFSET(A$1,,,SUMPRODUCT(MAX(ROW(E$1:E2548)*(E2=E$1:E2548))))))</f>
        <v/>
      </c>
      <c r="K2549" s="24" t="str">
        <f>IF(OR(E2549="",E2549="!!!",F2549="NEW"),"",INDEX(J$1:J2548,SUMPRODUCT(MAX(ROW(E$1:E2548)*(E2549=E$1:E2548)))))</f>
        <v/>
      </c>
      <c r="L2549" s="25"/>
    </row>
    <row r="2550" spans="1:12" x14ac:dyDescent="0.2">
      <c r="A2550" t="s">
        <v>821</v>
      </c>
      <c r="E2550" s="20" t="str">
        <f>IF(D2550="?OLD","!!!","")</f>
        <v/>
      </c>
      <c r="F2550" s="21" t="str">
        <f>IF(OR(E2550="",E2550="!!!"),"",IF(NOT(ISNA(VLOOKUP(E2550,E$1:E2549,1,FALSE()))),"OLD",IF(AND(E2550&lt;&gt;"",E2550&lt;&gt;"!!!"),"NEW","")))</f>
        <v/>
      </c>
      <c r="G2550" s="22" t="str">
        <f>IF(OR(E2550="",E2550="!!!"),"",IF(OR(J2550=0,AND(J2550=1,K2550=1),AND(J2550=1,I2550="SBJ"),AND(J2550=1,I2550=0)),"?IN_FOCUS",IF(J2550&lt;=2,"?ACTIVATED",IF(J2550&lt;&gt;"","?FAMILIAR",IF(F2550="NEW",IF(ISNA(VLOOKUP(E2550,#REF!,1,FALSE())),"?TYPE_IDENTIFIABLE","?REFERENTIAL"),"_")))))</f>
        <v/>
      </c>
      <c r="H2550" s="23" t="str">
        <f ca="1">IF(J2550&lt;&gt;1,"",IF(I2550="SBJ","CB","?"))</f>
        <v/>
      </c>
      <c r="I2550" s="24" t="str">
        <f>IF(OR(E2550="",E2550="!!!",F2550="NEW"),"",INDEX(B$2:B2549,-1+SUMPRODUCT(MAX(ROW(E$2:E2549)*(E2550=E$2:E2549)))))</f>
        <v/>
      </c>
      <c r="J2550" s="24" t="str">
        <f ca="1">IF(OR(E2550="",E2550="!!!",F2550="NEW"),"",COUNTBLANK(OFFSET(A$1,,,SUMPRODUCT(MAX(ROW(E$2:E2550)*(E2550=E$2:E2550)))))-COUNTBLANK(OFFSET(A$1,,,SUMPRODUCT(MAX(ROW(E$1:E2549)*(E2=E$1:E2549))))))</f>
        <v/>
      </c>
      <c r="K2550" s="24" t="str">
        <f>IF(OR(E2550="",E2550="!!!",F2550="NEW"),"",INDEX(J$1:J2549,SUMPRODUCT(MAX(ROW(E$1:E2549)*(E2550=E$1:E2549)))))</f>
        <v/>
      </c>
      <c r="L2550" s="25"/>
    </row>
    <row r="2552" spans="1:12" x14ac:dyDescent="0.2">
      <c r="A2552" t="s">
        <v>1561</v>
      </c>
    </row>
    <row r="2553" spans="1:12" x14ac:dyDescent="0.2">
      <c r="A2553" t="s">
        <v>968</v>
      </c>
      <c r="E2553" s="20" t="str">
        <f t="shared" ref="E2553:E2574" si="286">IF(D2553="?OLD","!!!","")</f>
        <v/>
      </c>
      <c r="F2553" s="21" t="str">
        <f>IF(OR(E2553="",E2553="!!!"),"",IF(NOT(ISNA(VLOOKUP(E2553,E$1:E2552,1,FALSE()))),"OLD",IF(AND(E2553&lt;&gt;"",E2553&lt;&gt;"!!!"),"NEW","")))</f>
        <v/>
      </c>
      <c r="G2553" s="22" t="str">
        <f>IF(OR(E2553="",E2553="!!!"),"",IF(OR(J2553=0,AND(J2553=1,K2553=1),AND(J2553=1,I2553="SBJ"),AND(J2553=1,I2553=0)),"?IN_FOCUS",IF(J2553&lt;=2,"?ACTIVATED",IF(J2553&lt;&gt;"","?FAMILIAR",IF(F2553="NEW",IF(ISNA(VLOOKUP(E2553,#REF!,1,FALSE())),"?TYPE_IDENTIFIABLE","?REFERENTIAL"),"_")))))</f>
        <v/>
      </c>
      <c r="H2553" s="23" t="str">
        <f t="shared" ref="H2553:H2574" ca="1" si="287">IF(J2553&lt;&gt;1,"",IF(I2553="SBJ","CB","?"))</f>
        <v/>
      </c>
      <c r="I2553" s="24" t="str">
        <f>IF(OR(E2553="",E2553="!!!",F2553="NEW"),"",INDEX(B$2:B2552,-1+SUMPRODUCT(MAX(ROW(E$2:E2552)*(E2553=E$2:E2552)))))</f>
        <v/>
      </c>
      <c r="J2553" s="24" t="str">
        <f ca="1">IF(OR(E2553="",E2553="!!!",F2553="NEW"),"",COUNTBLANK(OFFSET(A$1,,,SUMPRODUCT(MAX(ROW(E$2:E2553)*(E2553=E$2:E2553)))))-COUNTBLANK(OFFSET(A$1,,,SUMPRODUCT(MAX(ROW(E$1:E2552)*(E2=E$1:E2552))))))</f>
        <v/>
      </c>
      <c r="K2553" s="24" t="str">
        <f>IF(OR(E2553="",E2553="!!!",F2553="NEW"),"",INDEX(J$1:J2552,SUMPRODUCT(MAX(ROW(E$1:E2552)*(E2553=E$1:E2552)))))</f>
        <v/>
      </c>
      <c r="L2553" s="25"/>
    </row>
    <row r="2554" spans="1:12" x14ac:dyDescent="0.2">
      <c r="A2554" t="s">
        <v>530</v>
      </c>
      <c r="B2554" s="26" t="s">
        <v>819</v>
      </c>
      <c r="C2554" s="26" t="s">
        <v>811</v>
      </c>
      <c r="E2554" s="20" t="str">
        <f t="shared" si="286"/>
        <v/>
      </c>
      <c r="F2554" s="21" t="str">
        <f>IF(OR(E2554="",E2554="!!!"),"",IF(NOT(ISNA(VLOOKUP(E2554,E$1:E2553,1,FALSE()))),"OLD",IF(AND(E2554&lt;&gt;"",E2554&lt;&gt;"!!!"),"NEW","")))</f>
        <v/>
      </c>
      <c r="G2554" s="22" t="str">
        <f>IF(OR(E2554="",E2554="!!!"),"",IF(OR(J2554=0,AND(J2554=1,K2554=1),AND(J2554=1,I2554="SBJ"),AND(J2554=1,I2554=0)),"?IN_FOCUS",IF(J2554&lt;=2,"?ACTIVATED",IF(J2554&lt;&gt;"","?FAMILIAR",IF(F2554="NEW",IF(ISNA(VLOOKUP(E2554,#REF!,1,FALSE())),"?TYPE_IDENTIFIABLE","?REFERENTIAL"),"_")))))</f>
        <v/>
      </c>
      <c r="H2554" s="23" t="str">
        <f t="shared" ca="1" si="287"/>
        <v/>
      </c>
      <c r="I2554" s="24" t="str">
        <f>IF(OR(E2554="",E2554="!!!",F2554="NEW"),"",INDEX(B$2:B2553,-1+SUMPRODUCT(MAX(ROW(E$2:E2553)*(E2554=E$2:E2553)))))</f>
        <v/>
      </c>
      <c r="J2554" s="24" t="str">
        <f ca="1">IF(OR(E2554="",E2554="!!!",F2554="NEW"),"",COUNTBLANK(OFFSET(A$1,,,SUMPRODUCT(MAX(ROW(E$2:E2554)*(E2554=E$2:E2554)))))-COUNTBLANK(OFFSET(A$1,,,SUMPRODUCT(MAX(ROW(E$1:E2553)*(E2=E$1:E2553))))))</f>
        <v/>
      </c>
      <c r="K2554" s="24" t="str">
        <f>IF(OR(E2554="",E2554="!!!",F2554="NEW"),"",INDEX(J$1:J2553,SUMPRODUCT(MAX(ROW(E$1:E2553)*(E2554=E$1:E2553)))))</f>
        <v/>
      </c>
      <c r="L2554" s="25"/>
    </row>
    <row r="2555" spans="1:12" x14ac:dyDescent="0.2">
      <c r="A2555" t="s">
        <v>1060</v>
      </c>
      <c r="B2555" s="26" t="s">
        <v>950</v>
      </c>
      <c r="E2555" s="20" t="str">
        <f t="shared" si="286"/>
        <v/>
      </c>
      <c r="F2555" s="21" t="str">
        <f>IF(OR(E2555="",E2555="!!!"),"",IF(NOT(ISNA(VLOOKUP(E2555,E$1:E2554,1,FALSE()))),"OLD",IF(AND(E2555&lt;&gt;"",E2555&lt;&gt;"!!!"),"NEW","")))</f>
        <v/>
      </c>
      <c r="G2555" s="22" t="str">
        <f>IF(OR(E2555="",E2555="!!!"),"",IF(OR(J2555=0,AND(J2555=1,K2555=1),AND(J2555=1,I2555="SBJ"),AND(J2555=1,I2555=0)),"?IN_FOCUS",IF(J2555&lt;=2,"?ACTIVATED",IF(J2555&lt;&gt;"","?FAMILIAR",IF(F2555="NEW",IF(ISNA(VLOOKUP(E2555,#REF!,1,FALSE())),"?TYPE_IDENTIFIABLE","?REFERENTIAL"),"_")))))</f>
        <v/>
      </c>
      <c r="H2555" s="23" t="str">
        <f t="shared" ca="1" si="287"/>
        <v/>
      </c>
      <c r="I2555" s="24" t="str">
        <f>IF(OR(E2555="",E2555="!!!",F2555="NEW"),"",INDEX(B$2:B2554,-1+SUMPRODUCT(MAX(ROW(E$2:E2554)*(E2555=E$2:E2554)))))</f>
        <v/>
      </c>
      <c r="J2555" s="24" t="str">
        <f ca="1">IF(OR(E2555="",E2555="!!!",F2555="NEW"),"",COUNTBLANK(OFFSET(A$1,,,SUMPRODUCT(MAX(ROW(E$2:E2555)*(E2555=E$2:E2555)))))-COUNTBLANK(OFFSET(A$1,,,SUMPRODUCT(MAX(ROW(E$1:E2554)*(E2=E$1:E2554))))))</f>
        <v/>
      </c>
      <c r="K2555" s="24" t="str">
        <f>IF(OR(E2555="",E2555="!!!",F2555="NEW"),"",INDEX(J$1:J2554,SUMPRODUCT(MAX(ROW(E$1:E2554)*(E2555=E$1:E2554)))))</f>
        <v/>
      </c>
      <c r="L2555" s="25"/>
    </row>
    <row r="2556" spans="1:12" x14ac:dyDescent="0.2">
      <c r="A2556" t="s">
        <v>998</v>
      </c>
      <c r="E2556" s="20" t="str">
        <f t="shared" si="286"/>
        <v/>
      </c>
      <c r="F2556" s="21" t="str">
        <f>IF(OR(E2556="",E2556="!!!"),"",IF(NOT(ISNA(VLOOKUP(E2556,E$1:E2555,1,FALSE()))),"OLD",IF(AND(E2556&lt;&gt;"",E2556&lt;&gt;"!!!"),"NEW","")))</f>
        <v/>
      </c>
      <c r="G2556" s="22" t="str">
        <f>IF(OR(E2556="",E2556="!!!"),"",IF(OR(J2556=0,AND(J2556=1,K2556=1),AND(J2556=1,I2556="SBJ"),AND(J2556=1,I2556=0)),"?IN_FOCUS",IF(J2556&lt;=2,"?ACTIVATED",IF(J2556&lt;&gt;"","?FAMILIAR",IF(F2556="NEW",IF(ISNA(VLOOKUP(E2556,#REF!,1,FALSE())),"?TYPE_IDENTIFIABLE","?REFERENTIAL"),"_")))))</f>
        <v/>
      </c>
      <c r="H2556" s="23" t="str">
        <f t="shared" ca="1" si="287"/>
        <v/>
      </c>
      <c r="I2556" s="24" t="str">
        <f>IF(OR(E2556="",E2556="!!!",F2556="NEW"),"",INDEX(B$2:B2555,-1+SUMPRODUCT(MAX(ROW(E$2:E2555)*(E2556=E$2:E2555)))))</f>
        <v/>
      </c>
      <c r="J2556" s="24" t="str">
        <f ca="1">IF(OR(E2556="",E2556="!!!",F2556="NEW"),"",COUNTBLANK(OFFSET(A$1,,,SUMPRODUCT(MAX(ROW(E$2:E2556)*(E2556=E$2:E2556)))))-COUNTBLANK(OFFSET(A$1,,,SUMPRODUCT(MAX(ROW(E$1:E2555)*(E2=E$1:E2555))))))</f>
        <v/>
      </c>
      <c r="K2556" s="24" t="str">
        <f>IF(OR(E2556="",E2556="!!!",F2556="NEW"),"",INDEX(J$1:J2555,SUMPRODUCT(MAX(ROW(E$1:E2555)*(E2556=E$1:E2555)))))</f>
        <v/>
      </c>
      <c r="L2556" s="25"/>
    </row>
    <row r="2557" spans="1:12" x14ac:dyDescent="0.2">
      <c r="A2557" t="s">
        <v>999</v>
      </c>
      <c r="E2557" s="20" t="str">
        <f t="shared" si="286"/>
        <v/>
      </c>
      <c r="F2557" s="21" t="str">
        <f>IF(OR(E2557="",E2557="!!!"),"",IF(NOT(ISNA(VLOOKUP(E2557,E$1:E2556,1,FALSE()))),"OLD",IF(AND(E2557&lt;&gt;"",E2557&lt;&gt;"!!!"),"NEW","")))</f>
        <v/>
      </c>
      <c r="G2557" s="22" t="str">
        <f>IF(OR(E2557="",E2557="!!!"),"",IF(OR(J2557=0,AND(J2557=1,K2557=1),AND(J2557=1,I2557="SBJ"),AND(J2557=1,I2557=0)),"?IN_FOCUS",IF(J2557&lt;=2,"?ACTIVATED",IF(J2557&lt;&gt;"","?FAMILIAR",IF(F2557="NEW",IF(ISNA(VLOOKUP(E2557,#REF!,1,FALSE())),"?TYPE_IDENTIFIABLE","?REFERENTIAL"),"_")))))</f>
        <v/>
      </c>
      <c r="H2557" s="23" t="str">
        <f t="shared" ca="1" si="287"/>
        <v/>
      </c>
      <c r="I2557" s="24" t="str">
        <f>IF(OR(E2557="",E2557="!!!",F2557="NEW"),"",INDEX(B$2:B2556,-1+SUMPRODUCT(MAX(ROW(E$2:E2556)*(E2557=E$2:E2556)))))</f>
        <v/>
      </c>
      <c r="J2557" s="24" t="str">
        <f ca="1">IF(OR(E2557="",E2557="!!!",F2557="NEW"),"",COUNTBLANK(OFFSET(A$1,,,SUMPRODUCT(MAX(ROW(E$2:E2557)*(E2557=E$2:E2557)))))-COUNTBLANK(OFFSET(A$1,,,SUMPRODUCT(MAX(ROW(E$1:E2556)*(E2=E$1:E2556))))))</f>
        <v/>
      </c>
      <c r="K2557" s="24" t="str">
        <f>IF(OR(E2557="",E2557="!!!",F2557="NEW"),"",INDEX(J$1:J2556,SUMPRODUCT(MAX(ROW(E$1:E2556)*(E2557=E$1:E2556)))))</f>
        <v/>
      </c>
      <c r="L2557" s="25"/>
    </row>
    <row r="2558" spans="1:12" x14ac:dyDescent="0.2">
      <c r="A2558" t="s">
        <v>152</v>
      </c>
      <c r="E2558" s="20" t="str">
        <f t="shared" si="286"/>
        <v/>
      </c>
      <c r="F2558" s="21" t="str">
        <f>IF(OR(E2558="",E2558="!!!"),"",IF(NOT(ISNA(VLOOKUP(E2558,E$1:E2557,1,FALSE()))),"OLD",IF(AND(E2558&lt;&gt;"",E2558&lt;&gt;"!!!"),"NEW","")))</f>
        <v/>
      </c>
      <c r="G2558" s="22" t="str">
        <f>IF(OR(E2558="",E2558="!!!"),"",IF(OR(J2558=0,AND(J2558=1,K2558=1),AND(J2558=1,I2558="SBJ"),AND(J2558=1,I2558=0)),"?IN_FOCUS",IF(J2558&lt;=2,"?ACTIVATED",IF(J2558&lt;&gt;"","?FAMILIAR",IF(F2558="NEW",IF(ISNA(VLOOKUP(E2558,#REF!,1,FALSE())),"?TYPE_IDENTIFIABLE","?REFERENTIAL"),"_")))))</f>
        <v/>
      </c>
      <c r="H2558" s="23" t="str">
        <f t="shared" ca="1" si="287"/>
        <v/>
      </c>
      <c r="I2558" s="24" t="str">
        <f>IF(OR(E2558="",E2558="!!!",F2558="NEW"),"",INDEX(B$2:B2557,-1+SUMPRODUCT(MAX(ROW(E$2:E2557)*(E2558=E$2:E2557)))))</f>
        <v/>
      </c>
      <c r="J2558" s="24" t="str">
        <f ca="1">IF(OR(E2558="",E2558="!!!",F2558="NEW"),"",COUNTBLANK(OFFSET(A$1,,,SUMPRODUCT(MAX(ROW(E$2:E2558)*(E2558=E$2:E2558)))))-COUNTBLANK(OFFSET(A$1,,,SUMPRODUCT(MAX(ROW(E$1:E2557)*(E2=E$1:E2557))))))</f>
        <v/>
      </c>
      <c r="K2558" s="24" t="str">
        <f>IF(OR(E2558="",E2558="!!!",F2558="NEW"),"",INDEX(J$1:J2557,SUMPRODUCT(MAX(ROW(E$1:E2557)*(E2558=E$1:E2557)))))</f>
        <v/>
      </c>
      <c r="L2558" s="25"/>
    </row>
    <row r="2559" spans="1:12" x14ac:dyDescent="0.2">
      <c r="A2559" t="s">
        <v>1401</v>
      </c>
      <c r="B2559" s="26" t="s">
        <v>864</v>
      </c>
      <c r="C2559" s="26" t="s">
        <v>817</v>
      </c>
      <c r="D2559" s="26" t="s">
        <v>806</v>
      </c>
      <c r="E2559" s="20"/>
      <c r="F2559" s="21" t="s">
        <v>1793</v>
      </c>
      <c r="G2559" s="22" t="str">
        <f>IF(OR(E2559="",E2559="!!!"),"",IF(OR(J2559=0,AND(J2559=1,K2559=1),AND(J2559=1,I2559="SBJ"),AND(J2559=1,I2559=0)),"?IN_FOCUS",IF(J2559&lt;=2,"?ACTIVATED",IF(J2559&lt;&gt;"","?FAMILIAR",IF(F2559="NEW",IF(ISNA(VLOOKUP(E2559,#REF!,1,FALSE())),"?TYPE_IDENTIFIABLE","?REFERENTIAL"),"_")))))</f>
        <v/>
      </c>
      <c r="H2559" s="23" t="str">
        <f t="shared" ca="1" si="287"/>
        <v/>
      </c>
      <c r="I2559" s="24" t="str">
        <f>IF(OR(E2559="",E2559="!!!",F2559="NEW"),"",INDEX(B$2:B2558,-1+SUMPRODUCT(MAX(ROW(E$2:E2558)*(E2559=E$2:E2558)))))</f>
        <v/>
      </c>
      <c r="J2559" s="24" t="str">
        <f ca="1">IF(OR(E2559="",E2559="!!!",F2559="NEW"),"",COUNTBLANK(OFFSET(A$1,,,SUMPRODUCT(MAX(ROW(E$2:E2559)*(E2559=E$2:E2559)))))-COUNTBLANK(OFFSET(A$1,,,SUMPRODUCT(MAX(ROW(E$1:E2558)*(E2=E$1:E2558))))))</f>
        <v/>
      </c>
      <c r="K2559" s="24" t="str">
        <f>IF(OR(E2559="",E2559="!!!",F2559="NEW"),"",INDEX(J$1:J2558,SUMPRODUCT(MAX(ROW(E$1:E2558)*(E2559=E$1:E2558)))))</f>
        <v/>
      </c>
      <c r="L2559" s="25"/>
    </row>
    <row r="2560" spans="1:12" x14ac:dyDescent="0.2">
      <c r="A2560" t="s">
        <v>30</v>
      </c>
      <c r="B2560" s="26" t="s">
        <v>938</v>
      </c>
      <c r="C2560" s="26" t="s">
        <v>820</v>
      </c>
      <c r="D2560" s="26" t="s">
        <v>806</v>
      </c>
      <c r="E2560" s="20" t="s">
        <v>1790</v>
      </c>
      <c r="F2560" s="21" t="str">
        <f>IF(OR(E2560="",E2560="!!!"),"",IF(NOT(ISNA(VLOOKUP(E2560,E$1:E2559,1,FALSE()))),"OLD",IF(AND(E2560&lt;&gt;"",E2560&lt;&gt;"!!!"),"NEW","")))</f>
        <v>OLD</v>
      </c>
      <c r="G2560" s="22" t="s">
        <v>1822</v>
      </c>
      <c r="H2560" s="23" t="str">
        <f t="shared" ca="1" si="287"/>
        <v/>
      </c>
      <c r="I2560" s="24" t="str">
        <f>IF(OR(E2560="",E2560="!!!",F2560="NEW"),"",INDEX(B$2:B2559,-1+SUMPRODUCT(MAX(ROW(E$2:E2559)*(E2560=E$2:E2559)))))</f>
        <v>OBJ_3</v>
      </c>
      <c r="J2560" s="24">
        <f ca="1">IF(OR(E2560="",E2560="!!!",F2560="NEW"),"",COUNTBLANK(OFFSET(A$1,,,SUMPRODUCT(MAX(ROW(E$2:E2560)*(E2560=E$2:E2560)))))-COUNTBLANK(OFFSET(A$1,,,SUMPRODUCT(MAX(ROW(E$1:E2559)*(E2=E$1:E2559))))))</f>
        <v>0</v>
      </c>
      <c r="K2560" s="24">
        <f ca="1">IF(OR(E2560="",E2560="!!!",F2560="NEW"),"",INDEX(J$1:J2559,SUMPRODUCT(MAX(ROW(E$1:E2559)*(E2560=E$1:E2559)))))</f>
        <v>0</v>
      </c>
      <c r="L2560" s="25"/>
    </row>
    <row r="2561" spans="1:12" x14ac:dyDescent="0.2">
      <c r="A2561" t="s">
        <v>802</v>
      </c>
      <c r="E2561" s="20" t="str">
        <f t="shared" si="286"/>
        <v/>
      </c>
      <c r="F2561" s="21" t="str">
        <f>IF(OR(E2561="",E2561="!!!"),"",IF(NOT(ISNA(VLOOKUP(E2561,E$1:E2560,1,FALSE()))),"OLD",IF(AND(E2561&lt;&gt;"",E2561&lt;&gt;"!!!"),"NEW","")))</f>
        <v/>
      </c>
      <c r="G2561" s="22" t="str">
        <f>IF(OR(E2561="",E2561="!!!"),"",IF(OR(J2561=0,AND(J2561=1,K2561=1),AND(J2561=1,I2561="SBJ"),AND(J2561=1,I2561=0)),"?IN_FOCUS",IF(J2561&lt;=2,"?ACTIVATED",IF(J2561&lt;&gt;"","?FAMILIAR",IF(F2561="NEW",IF(ISNA(VLOOKUP(E2561,#REF!,1,FALSE())),"?TYPE_IDENTIFIABLE","?REFERENTIAL"),"_")))))</f>
        <v/>
      </c>
      <c r="H2561" s="23" t="str">
        <f t="shared" ca="1" si="287"/>
        <v/>
      </c>
      <c r="I2561" s="24" t="str">
        <f>IF(OR(E2561="",E2561="!!!",F2561="NEW"),"",INDEX(B$2:B2560,-1+SUMPRODUCT(MAX(ROW(E$2:E2560)*(E2561=E$2:E2560)))))</f>
        <v/>
      </c>
      <c r="J2561" s="24" t="str">
        <f ca="1">IF(OR(E2561="",E2561="!!!",F2561="NEW"),"",COUNTBLANK(OFFSET(A$1,,,SUMPRODUCT(MAX(ROW(E$2:E2561)*(E2561=E$2:E2561)))))-COUNTBLANK(OFFSET(A$1,,,SUMPRODUCT(MAX(ROW(E$1:E2560)*(E2=E$1:E2560))))))</f>
        <v/>
      </c>
      <c r="K2561" s="24" t="str">
        <f>IF(OR(E2561="",E2561="!!!",F2561="NEW"),"",INDEX(J$1:J2560,SUMPRODUCT(MAX(ROW(E$1:E2560)*(E2561=E$1:E2560)))))</f>
        <v/>
      </c>
      <c r="L2561" s="25"/>
    </row>
    <row r="2562" spans="1:12" x14ac:dyDescent="0.2">
      <c r="A2562" t="s">
        <v>809</v>
      </c>
      <c r="E2562" s="20" t="str">
        <f t="shared" si="286"/>
        <v/>
      </c>
      <c r="F2562" s="21" t="str">
        <f>IF(OR(E2562="",E2562="!!!"),"",IF(NOT(ISNA(VLOOKUP(E2562,E$1:E2561,1,FALSE()))),"OLD",IF(AND(E2562&lt;&gt;"",E2562&lt;&gt;"!!!"),"NEW","")))</f>
        <v/>
      </c>
      <c r="G2562" s="22" t="str">
        <f>IF(OR(E2562="",E2562="!!!"),"",IF(OR(J2562=0,AND(J2562=1,K2562=1),AND(J2562=1,I2562="SBJ"),AND(J2562=1,I2562=0)),"?IN_FOCUS",IF(J2562&lt;=2,"?ACTIVATED",IF(J2562&lt;&gt;"","?FAMILIAR",IF(F2562="NEW",IF(ISNA(VLOOKUP(E2562,#REF!,1,FALSE())),"?TYPE_IDENTIFIABLE","?REFERENTIAL"),"_")))))</f>
        <v/>
      </c>
      <c r="H2562" s="23" t="str">
        <f t="shared" ca="1" si="287"/>
        <v/>
      </c>
      <c r="I2562" s="24" t="str">
        <f>IF(OR(E2562="",E2562="!!!",F2562="NEW"),"",INDEX(B$2:B2561,-1+SUMPRODUCT(MAX(ROW(E$2:E2561)*(E2562=E$2:E2561)))))</f>
        <v/>
      </c>
      <c r="J2562" s="24" t="str">
        <f ca="1">IF(OR(E2562="",E2562="!!!",F2562="NEW"),"",COUNTBLANK(OFFSET(A$1,,,SUMPRODUCT(MAX(ROW(E$2:E2562)*(E2562=E$2:E2562)))))-COUNTBLANK(OFFSET(A$1,,,SUMPRODUCT(MAX(ROW(E$1:E2561)*(E2=E$1:E2561))))))</f>
        <v/>
      </c>
      <c r="K2562" s="24" t="str">
        <f>IF(OR(E2562="",E2562="!!!",F2562="NEW"),"",INDEX(J$1:J2561,SUMPRODUCT(MAX(ROW(E$1:E2561)*(E2562=E$1:E2561)))))</f>
        <v/>
      </c>
      <c r="L2562" s="25"/>
    </row>
    <row r="2563" spans="1:12" x14ac:dyDescent="0.2">
      <c r="A2563" t="s">
        <v>530</v>
      </c>
      <c r="B2563" s="26" t="s">
        <v>819</v>
      </c>
      <c r="C2563" s="26" t="s">
        <v>811</v>
      </c>
      <c r="E2563" s="20" t="str">
        <f t="shared" si="286"/>
        <v/>
      </c>
      <c r="F2563" s="21" t="str">
        <f>IF(OR(E2563="",E2563="!!!"),"",IF(NOT(ISNA(VLOOKUP(E2563,E$1:E2562,1,FALSE()))),"OLD",IF(AND(E2563&lt;&gt;"",E2563&lt;&gt;"!!!"),"NEW","")))</f>
        <v/>
      </c>
      <c r="G2563" s="22" t="str">
        <f>IF(OR(E2563="",E2563="!!!"),"",IF(OR(J2563=0,AND(J2563=1,K2563=1),AND(J2563=1,I2563="SBJ"),AND(J2563=1,I2563=0)),"?IN_FOCUS",IF(J2563&lt;=2,"?ACTIVATED",IF(J2563&lt;&gt;"","?FAMILIAR",IF(F2563="NEW",IF(ISNA(VLOOKUP(E2563,#REF!,1,FALSE())),"?TYPE_IDENTIFIABLE","?REFERENTIAL"),"_")))))</f>
        <v/>
      </c>
      <c r="H2563" s="23" t="str">
        <f t="shared" ca="1" si="287"/>
        <v/>
      </c>
      <c r="I2563" s="24" t="str">
        <f>IF(OR(E2563="",E2563="!!!",F2563="NEW"),"",INDEX(B$2:B2562,-1+SUMPRODUCT(MAX(ROW(E$2:E2562)*(E2563=E$2:E2562)))))</f>
        <v/>
      </c>
      <c r="J2563" s="24" t="str">
        <f ca="1">IF(OR(E2563="",E2563="!!!",F2563="NEW"),"",COUNTBLANK(OFFSET(A$1,,,SUMPRODUCT(MAX(ROW(E$2:E2563)*(E2563=E$2:E2563)))))-COUNTBLANK(OFFSET(A$1,,,SUMPRODUCT(MAX(ROW(E$1:E2562)*(E2=E$1:E2562))))))</f>
        <v/>
      </c>
      <c r="K2563" s="24" t="str">
        <f>IF(OR(E2563="",E2563="!!!",F2563="NEW"),"",INDEX(J$1:J2562,SUMPRODUCT(MAX(ROW(E$1:E2562)*(E2563=E$1:E2562)))))</f>
        <v/>
      </c>
      <c r="L2563" s="25"/>
    </row>
    <row r="2564" spans="1:12" x14ac:dyDescent="0.2">
      <c r="A2564" t="s">
        <v>1060</v>
      </c>
      <c r="B2564" s="26" t="s">
        <v>891</v>
      </c>
      <c r="E2564" s="20" t="str">
        <f t="shared" si="286"/>
        <v/>
      </c>
      <c r="F2564" s="21" t="str">
        <f>IF(OR(E2564="",E2564="!!!"),"",IF(NOT(ISNA(VLOOKUP(E2564,E$1:E2563,1,FALSE()))),"OLD",IF(AND(E2564&lt;&gt;"",E2564&lt;&gt;"!!!"),"NEW","")))</f>
        <v/>
      </c>
      <c r="G2564" s="22" t="str">
        <f>IF(OR(E2564="",E2564="!!!"),"",IF(OR(J2564=0,AND(J2564=1,K2564=1),AND(J2564=1,I2564="SBJ"),AND(J2564=1,I2564=0)),"?IN_FOCUS",IF(J2564&lt;=2,"?ACTIVATED",IF(J2564&lt;&gt;"","?FAMILIAR",IF(F2564="NEW",IF(ISNA(VLOOKUP(E2564,#REF!,1,FALSE())),"?TYPE_IDENTIFIABLE","?REFERENTIAL"),"_")))))</f>
        <v/>
      </c>
      <c r="H2564" s="23" t="str">
        <f t="shared" ca="1" si="287"/>
        <v/>
      </c>
      <c r="I2564" s="24" t="str">
        <f>IF(OR(E2564="",E2564="!!!",F2564="NEW"),"",INDEX(B$2:B2563,-1+SUMPRODUCT(MAX(ROW(E$2:E2563)*(E2564=E$2:E2563)))))</f>
        <v/>
      </c>
      <c r="J2564" s="24" t="str">
        <f ca="1">IF(OR(E2564="",E2564="!!!",F2564="NEW"),"",COUNTBLANK(OFFSET(A$1,,,SUMPRODUCT(MAX(ROW(E$2:E2564)*(E2564=E$2:E2564)))))-COUNTBLANK(OFFSET(A$1,,,SUMPRODUCT(MAX(ROW(E$1:E2563)*(E2=E$1:E2563))))))</f>
        <v/>
      </c>
      <c r="K2564" s="24" t="str">
        <f>IF(OR(E2564="",E2564="!!!",F2564="NEW"),"",INDEX(J$1:J2563,SUMPRODUCT(MAX(ROW(E$1:E2563)*(E2564=E$1:E2563)))))</f>
        <v/>
      </c>
      <c r="L2564" s="25"/>
    </row>
    <row r="2565" spans="1:12" x14ac:dyDescent="0.2">
      <c r="A2565" t="s">
        <v>1477</v>
      </c>
      <c r="E2565" s="20" t="str">
        <f t="shared" si="286"/>
        <v/>
      </c>
      <c r="F2565" s="21" t="str">
        <f>IF(OR(E2565="",E2565="!!!"),"",IF(NOT(ISNA(VLOOKUP(E2565,E$1:E2564,1,FALSE()))),"OLD",IF(AND(E2565&lt;&gt;"",E2565&lt;&gt;"!!!"),"NEW","")))</f>
        <v/>
      </c>
      <c r="G2565" s="22" t="str">
        <f>IF(OR(E2565="",E2565="!!!"),"",IF(OR(J2565=0,AND(J2565=1,K2565=1),AND(J2565=1,I2565="SBJ"),AND(J2565=1,I2565=0)),"?IN_FOCUS",IF(J2565&lt;=2,"?ACTIVATED",IF(J2565&lt;&gt;"","?FAMILIAR",IF(F2565="NEW",IF(ISNA(VLOOKUP(E2565,#REF!,1,FALSE())),"?TYPE_IDENTIFIABLE","?REFERENTIAL"),"_")))))</f>
        <v/>
      </c>
      <c r="H2565" s="23" t="str">
        <f t="shared" ca="1" si="287"/>
        <v/>
      </c>
      <c r="I2565" s="24" t="str">
        <f>IF(OR(E2565="",E2565="!!!",F2565="NEW"),"",INDEX(B$2:B2564,-1+SUMPRODUCT(MAX(ROW(E$2:E2564)*(E2565=E$2:E2564)))))</f>
        <v/>
      </c>
      <c r="J2565" s="24" t="str">
        <f ca="1">IF(OR(E2565="",E2565="!!!",F2565="NEW"),"",COUNTBLANK(OFFSET(A$1,,,SUMPRODUCT(MAX(ROW(E$2:E2565)*(E2565=E$2:E2565)))))-COUNTBLANK(OFFSET(A$1,,,SUMPRODUCT(MAX(ROW(E$1:E2564)*(E2=E$1:E2564))))))</f>
        <v/>
      </c>
      <c r="K2565" s="24" t="str">
        <f>IF(OR(E2565="",E2565="!!!",F2565="NEW"),"",INDEX(J$1:J2564,SUMPRODUCT(MAX(ROW(E$1:E2564)*(E2565=E$1:E2564)))))</f>
        <v/>
      </c>
      <c r="L2565" s="25"/>
    </row>
    <row r="2566" spans="1:12" x14ac:dyDescent="0.2">
      <c r="A2566" t="s">
        <v>1401</v>
      </c>
      <c r="B2566" s="26" t="s">
        <v>899</v>
      </c>
      <c r="C2566" s="26" t="s">
        <v>817</v>
      </c>
      <c r="D2566" s="26" t="s">
        <v>806</v>
      </c>
      <c r="E2566" s="20"/>
      <c r="F2566" s="21" t="s">
        <v>1793</v>
      </c>
      <c r="G2566" s="22" t="str">
        <f>IF(OR(E2566="",E2566="!!!"),"",IF(OR(J2566=0,AND(J2566=1,K2566=1),AND(J2566=1,I2566="SBJ"),AND(J2566=1,I2566=0)),"?IN_FOCUS",IF(J2566&lt;=2,"?ACTIVATED",IF(J2566&lt;&gt;"","?FAMILIAR",IF(F2566="NEW",IF(ISNA(VLOOKUP(E2566,#REF!,1,FALSE())),"?TYPE_IDENTIFIABLE","?REFERENTIAL"),"_")))))</f>
        <v/>
      </c>
      <c r="H2566" s="23" t="str">
        <f t="shared" ca="1" si="287"/>
        <v/>
      </c>
      <c r="I2566" s="24" t="str">
        <f>IF(OR(E2566="",E2566="!!!",F2566="NEW"),"",INDEX(B$2:B2565,-1+SUMPRODUCT(MAX(ROW(E$2:E2565)*(E2566=E$2:E2565)))))</f>
        <v/>
      </c>
      <c r="J2566" s="24" t="str">
        <f ca="1">IF(OR(E2566="",E2566="!!!",F2566="NEW"),"",COUNTBLANK(OFFSET(A$1,,,SUMPRODUCT(MAX(ROW(E$2:E2566)*(E2566=E$2:E2566)))))-COUNTBLANK(OFFSET(A$1,,,SUMPRODUCT(MAX(ROW(E$1:E2565)*(E2=E$1:E2565))))))</f>
        <v/>
      </c>
      <c r="K2566" s="24" t="str">
        <f>IF(OR(E2566="",E2566="!!!",F2566="NEW"),"",INDEX(J$1:J2565,SUMPRODUCT(MAX(ROW(E$1:E2565)*(E2566=E$1:E2565)))))</f>
        <v/>
      </c>
      <c r="L2566" s="25"/>
    </row>
    <row r="2567" spans="1:12" x14ac:dyDescent="0.2">
      <c r="A2567" t="s">
        <v>1413</v>
      </c>
      <c r="B2567" s="26" t="s">
        <v>871</v>
      </c>
      <c r="C2567" s="26" t="s">
        <v>820</v>
      </c>
      <c r="D2567" s="26" t="s">
        <v>806</v>
      </c>
      <c r="E2567" s="20" t="s">
        <v>1413</v>
      </c>
      <c r="F2567" s="21" t="str">
        <f>IF(OR(E2567="",E2567="!!!"),"",IF(NOT(ISNA(VLOOKUP(E2567,E$1:E2566,1,FALSE()))),"OLD",IF(AND(E2567&lt;&gt;"",E2567&lt;&gt;"!!!"),"NEW","")))</f>
        <v>OLD</v>
      </c>
      <c r="G2567" s="22" t="s">
        <v>1820</v>
      </c>
      <c r="H2567" s="23" t="str">
        <f t="shared" ca="1" si="287"/>
        <v/>
      </c>
      <c r="I2567" s="24" t="str">
        <f>IF(OR(E2567="",E2567="!!!",F2567="NEW"),"",INDEX(B$2:B2566,-1+SUMPRODUCT(MAX(ROW(E$2:E2566)*(E2567=E$2:E2566)))))</f>
        <v>OBJ_3</v>
      </c>
      <c r="J2567" s="24">
        <f ca="1">IF(OR(E2567="",E2567="!!!",F2567="NEW"),"",COUNTBLANK(OFFSET(A$1,,,SUMPRODUCT(MAX(ROW(E$2:E2567)*(E2567=E$2:E2567)))))-COUNTBLANK(OFFSET(A$1,,,SUMPRODUCT(MAX(ROW(E$1:E2566)*(E2=E$1:E2566))))))</f>
        <v>0</v>
      </c>
      <c r="K2567" s="24">
        <f ca="1">IF(OR(E2567="",E2567="!!!",F2567="NEW"),"",INDEX(J$1:J2566,SUMPRODUCT(MAX(ROW(E$1:E2566)*(E2567=E$1:E2566)))))</f>
        <v>0</v>
      </c>
      <c r="L2567" s="25"/>
    </row>
    <row r="2568" spans="1:12" x14ac:dyDescent="0.2">
      <c r="A2568" t="s">
        <v>1222</v>
      </c>
      <c r="E2568" s="20" t="str">
        <f t="shared" si="286"/>
        <v/>
      </c>
      <c r="F2568" s="21" t="str">
        <f>IF(OR(E2568="",E2568="!!!"),"",IF(NOT(ISNA(VLOOKUP(E2568,E$1:E2567,1,FALSE()))),"OLD",IF(AND(E2568&lt;&gt;"",E2568&lt;&gt;"!!!"),"NEW","")))</f>
        <v/>
      </c>
      <c r="G2568" s="22" t="str">
        <f>IF(OR(E2568="",E2568="!!!"),"",IF(OR(J2568=0,AND(J2568=1,K2568=1),AND(J2568=1,I2568="SBJ"),AND(J2568=1,I2568=0)),"?IN_FOCUS",IF(J2568&lt;=2,"?ACTIVATED",IF(J2568&lt;&gt;"","?FAMILIAR",IF(F2568="NEW",IF(ISNA(VLOOKUP(E2568,#REF!,1,FALSE())),"?TYPE_IDENTIFIABLE","?REFERENTIAL"),"_")))))</f>
        <v/>
      </c>
      <c r="H2568" s="23" t="str">
        <f t="shared" ca="1" si="287"/>
        <v/>
      </c>
      <c r="I2568" s="24" t="str">
        <f>IF(OR(E2568="",E2568="!!!",F2568="NEW"),"",INDEX(B$2:B2567,-1+SUMPRODUCT(MAX(ROW(E$2:E2567)*(E2568=E$2:E2567)))))</f>
        <v/>
      </c>
      <c r="J2568" s="24" t="str">
        <f ca="1">IF(OR(E2568="",E2568="!!!",F2568="NEW"),"",COUNTBLANK(OFFSET(A$1,,,SUMPRODUCT(MAX(ROW(E$2:E2568)*(E2568=E$2:E2568)))))-COUNTBLANK(OFFSET(A$1,,,SUMPRODUCT(MAX(ROW(E$1:E2567)*(E2=E$1:E2567))))))</f>
        <v/>
      </c>
      <c r="K2568" s="24" t="str">
        <f>IF(OR(E2568="",E2568="!!!",F2568="NEW"),"",INDEX(J$1:J2567,SUMPRODUCT(MAX(ROW(E$1:E2567)*(E2568=E$1:E2567)))))</f>
        <v/>
      </c>
      <c r="L2568" s="25"/>
    </row>
    <row r="2569" spans="1:12" x14ac:dyDescent="0.2">
      <c r="A2569" t="s">
        <v>845</v>
      </c>
      <c r="E2569" s="20" t="str">
        <f t="shared" si="286"/>
        <v/>
      </c>
      <c r="F2569" s="21" t="str">
        <f>IF(OR(E2569="",E2569="!!!"),"",IF(NOT(ISNA(VLOOKUP(E2569,E$1:E2568,1,FALSE()))),"OLD",IF(AND(E2569&lt;&gt;"",E2569&lt;&gt;"!!!"),"NEW","")))</f>
        <v/>
      </c>
      <c r="G2569" s="22" t="str">
        <f>IF(OR(E2569="",E2569="!!!"),"",IF(OR(J2569=0,AND(J2569=1,K2569=1),AND(J2569=1,I2569="SBJ"),AND(J2569=1,I2569=0)),"?IN_FOCUS",IF(J2569&lt;=2,"?ACTIVATED",IF(J2569&lt;&gt;"","?FAMILIAR",IF(F2569="NEW",IF(ISNA(VLOOKUP(E2569,#REF!,1,FALSE())),"?TYPE_IDENTIFIABLE","?REFERENTIAL"),"_")))))</f>
        <v/>
      </c>
      <c r="H2569" s="23" t="str">
        <f t="shared" ca="1" si="287"/>
        <v/>
      </c>
      <c r="I2569" s="24" t="str">
        <f>IF(OR(E2569="",E2569="!!!",F2569="NEW"),"",INDEX(B$2:B2568,-1+SUMPRODUCT(MAX(ROW(E$2:E2568)*(E2569=E$2:E2568)))))</f>
        <v/>
      </c>
      <c r="J2569" s="24" t="str">
        <f ca="1">IF(OR(E2569="",E2569="!!!",F2569="NEW"),"",COUNTBLANK(OFFSET(A$1,,,SUMPRODUCT(MAX(ROW(E$2:E2569)*(E2569=E$2:E2569)))))-COUNTBLANK(OFFSET(A$1,,,SUMPRODUCT(MAX(ROW(E$1:E2568)*(E2=E$1:E2568))))))</f>
        <v/>
      </c>
      <c r="K2569" s="24" t="str">
        <f>IF(OR(E2569="",E2569="!!!",F2569="NEW"),"",INDEX(J$1:J2568,SUMPRODUCT(MAX(ROW(E$1:E2568)*(E2569=E$1:E2568)))))</f>
        <v/>
      </c>
      <c r="L2569" s="25"/>
    </row>
    <row r="2570" spans="1:12" x14ac:dyDescent="0.2">
      <c r="A2570" t="s">
        <v>1413</v>
      </c>
      <c r="B2570" s="26" t="s">
        <v>899</v>
      </c>
      <c r="C2570" s="26" t="s">
        <v>820</v>
      </c>
      <c r="D2570" s="26" t="s">
        <v>806</v>
      </c>
      <c r="E2570" s="20" t="s">
        <v>1413</v>
      </c>
      <c r="F2570" s="21" t="str">
        <f>IF(OR(E2570="",E2570="!!!"),"",IF(NOT(ISNA(VLOOKUP(E2570,E$1:E2569,1,FALSE()))),"OLD",IF(AND(E2570&lt;&gt;"",E2570&lt;&gt;"!!!"),"NEW","")))</f>
        <v>OLD</v>
      </c>
      <c r="G2570" s="22" t="s">
        <v>1820</v>
      </c>
      <c r="H2570" s="23" t="str">
        <f t="shared" ca="1" si="287"/>
        <v/>
      </c>
      <c r="I2570" s="24" t="str">
        <f>IF(OR(E2570="",E2570="!!!",F2570="NEW"),"",INDEX(B$2:B2569,-1+SUMPRODUCT(MAX(ROW(E$2:E2569)*(E2570=E$2:E2569)))))</f>
        <v>OBJ_3</v>
      </c>
      <c r="J2570" s="24">
        <f ca="1">IF(OR(E2570="",E2570="!!!",F2570="NEW"),"",COUNTBLANK(OFFSET(A$1,,,SUMPRODUCT(MAX(ROW(E$2:E2570)*(E2570=E$2:E2570)))))-COUNTBLANK(OFFSET(A$1,,,SUMPRODUCT(MAX(ROW(E$1:E2569)*(E2=E$1:E2569))))))</f>
        <v>0</v>
      </c>
      <c r="K2570" s="24">
        <f ca="1">IF(OR(E2570="",E2570="!!!",F2570="NEW"),"",INDEX(J$1:J2569,SUMPRODUCT(MAX(ROW(E$1:E2569)*(E2570=E$1:E2569)))))</f>
        <v>0</v>
      </c>
      <c r="L2570" s="25"/>
    </row>
    <row r="2571" spans="1:12" x14ac:dyDescent="0.2">
      <c r="A2571" t="s">
        <v>812</v>
      </c>
      <c r="E2571" s="20" t="str">
        <f t="shared" si="286"/>
        <v/>
      </c>
      <c r="F2571" s="21" t="str">
        <f>IF(OR(E2571="",E2571="!!!"),"",IF(NOT(ISNA(VLOOKUP(E2571,E$1:E2570,1,FALSE()))),"OLD",IF(AND(E2571&lt;&gt;"",E2571&lt;&gt;"!!!"),"NEW","")))</f>
        <v/>
      </c>
      <c r="G2571" s="22" t="str">
        <f>IF(OR(E2571="",E2571="!!!"),"",IF(OR(J2571=0,AND(J2571=1,K2571=1),AND(J2571=1,I2571="SBJ"),AND(J2571=1,I2571=0)),"?IN_FOCUS",IF(J2571&lt;=2,"?ACTIVATED",IF(J2571&lt;&gt;"","?FAMILIAR",IF(F2571="NEW",IF(ISNA(VLOOKUP(E2571,#REF!,1,FALSE())),"?TYPE_IDENTIFIABLE","?REFERENTIAL"),"_")))))</f>
        <v/>
      </c>
      <c r="H2571" s="23" t="str">
        <f t="shared" ca="1" si="287"/>
        <v/>
      </c>
      <c r="I2571" s="24" t="str">
        <f>IF(OR(E2571="",E2571="!!!",F2571="NEW"),"",INDEX(B$2:B2570,-1+SUMPRODUCT(MAX(ROW(E$2:E2570)*(E2571=E$2:E2570)))))</f>
        <v/>
      </c>
      <c r="J2571" s="24" t="str">
        <f ca="1">IF(OR(E2571="",E2571="!!!",F2571="NEW"),"",COUNTBLANK(OFFSET(A$1,,,SUMPRODUCT(MAX(ROW(E$2:E2571)*(E2571=E$2:E2571)))))-COUNTBLANK(OFFSET(A$1,,,SUMPRODUCT(MAX(ROW(E$1:E2570)*(E2=E$1:E2570))))))</f>
        <v/>
      </c>
      <c r="K2571" s="24" t="str">
        <f>IF(OR(E2571="",E2571="!!!",F2571="NEW"),"",INDEX(J$1:J2570,SUMPRODUCT(MAX(ROW(E$1:E2570)*(E2571=E$1:E2570)))))</f>
        <v/>
      </c>
      <c r="L2571" s="25"/>
    </row>
    <row r="2572" spans="1:12" x14ac:dyDescent="0.2">
      <c r="A2572" t="s">
        <v>1401</v>
      </c>
      <c r="B2572" s="26" t="s">
        <v>916</v>
      </c>
      <c r="C2572" s="26" t="s">
        <v>817</v>
      </c>
      <c r="D2572" s="26" t="s">
        <v>806</v>
      </c>
      <c r="E2572" s="20"/>
      <c r="F2572" s="21" t="s">
        <v>1793</v>
      </c>
      <c r="G2572" s="22" t="str">
        <f>IF(OR(E2572="",E2572="!!!"),"",IF(OR(J2572=0,AND(J2572=1,K2572=1),AND(J2572=1,I2572="SBJ"),AND(J2572=1,I2572=0)),"?IN_FOCUS",IF(J2572&lt;=2,"?ACTIVATED",IF(J2572&lt;&gt;"","?FAMILIAR",IF(F2572="NEW",IF(ISNA(VLOOKUP(E2572,#REF!,1,FALSE())),"?TYPE_IDENTIFIABLE","?REFERENTIAL"),"_")))))</f>
        <v/>
      </c>
      <c r="H2572" s="23" t="str">
        <f t="shared" ca="1" si="287"/>
        <v/>
      </c>
      <c r="I2572" s="24" t="str">
        <f>IF(OR(E2572="",E2572="!!!",F2572="NEW"),"",INDEX(B$2:B2571,-1+SUMPRODUCT(MAX(ROW(E$2:E2571)*(E2572=E$2:E2571)))))</f>
        <v/>
      </c>
      <c r="J2572" s="24" t="str">
        <f ca="1">IF(OR(E2572="",E2572="!!!",F2572="NEW"),"",COUNTBLANK(OFFSET(A$1,,,SUMPRODUCT(MAX(ROW(E$2:E2572)*(E2572=E$2:E2572)))))-COUNTBLANK(OFFSET(A$1,,,SUMPRODUCT(MAX(ROW(E$1:E2571)*(E2=E$1:E2571))))))</f>
        <v/>
      </c>
      <c r="K2572" s="24" t="str">
        <f>IF(OR(E2572="",E2572="!!!",F2572="NEW"),"",INDEX(J$1:J2571,SUMPRODUCT(MAX(ROW(E$1:E2571)*(E2572=E$1:E2571)))))</f>
        <v/>
      </c>
      <c r="L2572" s="25"/>
    </row>
    <row r="2573" spans="1:12" x14ac:dyDescent="0.2">
      <c r="A2573" t="s">
        <v>1479</v>
      </c>
      <c r="B2573" s="26" t="s">
        <v>897</v>
      </c>
      <c r="C2573" s="26" t="s">
        <v>820</v>
      </c>
      <c r="D2573" s="26" t="s">
        <v>806</v>
      </c>
      <c r="E2573" s="20" t="s">
        <v>1479</v>
      </c>
      <c r="F2573" s="21" t="str">
        <f>IF(OR(E2573="",E2573="!!!"),"",IF(NOT(ISNA(VLOOKUP(E2573,E$1:E2572,1,FALSE()))),"OLD",IF(AND(E2573&lt;&gt;"",E2573&lt;&gt;"!!!"),"NEW","")))</f>
        <v>NEW</v>
      </c>
      <c r="G2573" s="22" t="s">
        <v>1824</v>
      </c>
      <c r="H2573" s="23" t="str">
        <f t="shared" ca="1" si="287"/>
        <v/>
      </c>
      <c r="I2573" s="24" t="str">
        <f>IF(OR(E2573="",E2573="!!!",F2573="NEW"),"",INDEX(B$2:B2572,-1+SUMPRODUCT(MAX(ROW(E$2:E2572)*(E2573=E$2:E2572)))))</f>
        <v/>
      </c>
      <c r="J2573" s="24" t="str">
        <f ca="1">IF(OR(E2573="",E2573="!!!",F2573="NEW"),"",COUNTBLANK(OFFSET(A$1,,,SUMPRODUCT(MAX(ROW(E$2:E2573)*(E2573=E$2:E2573)))))-COUNTBLANK(OFFSET(A$1,,,SUMPRODUCT(MAX(ROW(E$1:E2572)*(E2=E$1:E2572))))))</f>
        <v/>
      </c>
      <c r="K2573" s="24" t="str">
        <f>IF(OR(E2573="",E2573="!!!",F2573="NEW"),"",INDEX(J$1:J2572,SUMPRODUCT(MAX(ROW(E$1:E2572)*(E2573=E$1:E2572)))))</f>
        <v/>
      </c>
      <c r="L2573" s="25"/>
    </row>
    <row r="2574" spans="1:12" x14ac:dyDescent="0.2">
      <c r="A2574" t="s">
        <v>821</v>
      </c>
      <c r="E2574" s="20" t="str">
        <f t="shared" si="286"/>
        <v/>
      </c>
      <c r="F2574" s="21" t="str">
        <f>IF(OR(E2574="",E2574="!!!"),"",IF(NOT(ISNA(VLOOKUP(E2574,E$1:E2573,1,FALSE()))),"OLD",IF(AND(E2574&lt;&gt;"",E2574&lt;&gt;"!!!"),"NEW","")))</f>
        <v/>
      </c>
      <c r="G2574" s="22" t="str">
        <f>IF(OR(E2574="",E2574="!!!"),"",IF(OR(J2574=0,AND(J2574=1,K2574=1),AND(J2574=1,I2574="SBJ"),AND(J2574=1,I2574=0)),"?IN_FOCUS",IF(J2574&lt;=2,"?ACTIVATED",IF(J2574&lt;&gt;"","?FAMILIAR",IF(F2574="NEW",IF(ISNA(VLOOKUP(E2574,#REF!,1,FALSE())),"?TYPE_IDENTIFIABLE","?REFERENTIAL"),"_")))))</f>
        <v/>
      </c>
      <c r="H2574" s="23" t="str">
        <f t="shared" ca="1" si="287"/>
        <v/>
      </c>
      <c r="I2574" s="24" t="str">
        <f>IF(OR(E2574="",E2574="!!!",F2574="NEW"),"",INDEX(B$2:B2573,-1+SUMPRODUCT(MAX(ROW(E$2:E2573)*(E2574=E$2:E2573)))))</f>
        <v/>
      </c>
      <c r="J2574" s="24" t="str">
        <f ca="1">IF(OR(E2574="",E2574="!!!",F2574="NEW"),"",COUNTBLANK(OFFSET(A$1,,,SUMPRODUCT(MAX(ROW(E$2:E2574)*(E2574=E$2:E2574)))))-COUNTBLANK(OFFSET(A$1,,,SUMPRODUCT(MAX(ROW(E$1:E2573)*(E2=E$1:E2573))))))</f>
        <v/>
      </c>
      <c r="K2574" s="24" t="str">
        <f>IF(OR(E2574="",E2574="!!!",F2574="NEW"),"",INDEX(J$1:J2573,SUMPRODUCT(MAX(ROW(E$1:E2573)*(E2574=E$1:E2573)))))</f>
        <v/>
      </c>
      <c r="L2574" s="25"/>
    </row>
    <row r="2576" spans="1:12" x14ac:dyDescent="0.2">
      <c r="A2576" t="s">
        <v>900</v>
      </c>
      <c r="E2576" s="20" t="str">
        <f>IF(D2576="?OLD","!!!","")</f>
        <v/>
      </c>
      <c r="F2576" s="21" t="str">
        <f>IF(OR(E2576="",E2576="!!!"),"",IF(NOT(ISNA(VLOOKUP(E2576,E$1:E2575,1,FALSE()))),"OLD",IF(AND(E2576&lt;&gt;"",E2576&lt;&gt;"!!!"),"NEW","")))</f>
        <v/>
      </c>
      <c r="G2576" s="22" t="str">
        <f>IF(OR(E2576="",E2576="!!!"),"",IF(OR(J2576=0,AND(J2576=1,K2576=1),AND(J2576=1,I2576="SBJ"),AND(J2576=1,I2576=0)),"?IN_FOCUS",IF(J2576&lt;=2,"?ACTIVATED",IF(J2576&lt;&gt;"","?FAMILIAR",IF(F2576="NEW",IF(ISNA(VLOOKUP(E2576,#REF!,1,FALSE())),"?TYPE_IDENTIFIABLE","?REFERENTIAL"),"_")))))</f>
        <v/>
      </c>
      <c r="H2576" s="23" t="str">
        <f ca="1">IF(J2576&lt;&gt;1,"",IF(I2576="SBJ","CB","?"))</f>
        <v/>
      </c>
      <c r="I2576" s="24" t="str">
        <f>IF(OR(E2576="",E2576="!!!",F2576="NEW"),"",INDEX(B$2:B2575,-1+SUMPRODUCT(MAX(ROW(E$2:E2575)*(E2576=E$2:E2575)))))</f>
        <v/>
      </c>
      <c r="J2576" s="24" t="str">
        <f ca="1">IF(OR(E2576="",E2576="!!!",F2576="NEW"),"",COUNTBLANK(OFFSET(A$1,,,SUMPRODUCT(MAX(ROW(E$2:E2576)*(E2576=E$2:E2576)))))-COUNTBLANK(OFFSET(A$1,,,SUMPRODUCT(MAX(ROW(E$1:E2575)*(E2=E$1:E2575))))))</f>
        <v/>
      </c>
      <c r="K2576" s="24" t="str">
        <f>IF(OR(E2576="",E2576="!!!",F2576="NEW"),"",INDEX(J$1:J2575,SUMPRODUCT(MAX(ROW(E$1:E2575)*(E2576=E$1:E2575)))))</f>
        <v/>
      </c>
      <c r="L2576" s="25"/>
    </row>
    <row r="2577" spans="1:12" x14ac:dyDescent="0.2">
      <c r="A2577" t="s">
        <v>1562</v>
      </c>
    </row>
    <row r="2578" spans="1:12" x14ac:dyDescent="0.2">
      <c r="A2578" t="s">
        <v>1034</v>
      </c>
      <c r="E2578" s="20" t="str">
        <f t="shared" ref="E2578:E2615" si="288">IF(D2578="?OLD","!!!","")</f>
        <v/>
      </c>
      <c r="F2578" s="21" t="str">
        <f>IF(OR(E2578="",E2578="!!!"),"",IF(NOT(ISNA(VLOOKUP(E2578,E$1:E2577,1,FALSE()))),"OLD",IF(AND(E2578&lt;&gt;"",E2578&lt;&gt;"!!!"),"NEW","")))</f>
        <v/>
      </c>
      <c r="G2578" s="22" t="str">
        <f>IF(OR(E2578="",E2578="!!!"),"",IF(OR(J2578=0,AND(J2578=1,K2578=1),AND(J2578=1,I2578="SBJ"),AND(J2578=1,I2578=0)),"?IN_FOCUS",IF(J2578&lt;=2,"?ACTIVATED",IF(J2578&lt;&gt;"","?FAMILIAR",IF(F2578="NEW",IF(ISNA(VLOOKUP(E2578,#REF!,1,FALSE())),"?TYPE_IDENTIFIABLE","?REFERENTIAL"),"_")))))</f>
        <v/>
      </c>
      <c r="H2578" s="23" t="str">
        <f t="shared" ref="H2578:H2615" ca="1" si="289">IF(J2578&lt;&gt;1,"",IF(I2578="SBJ","CB","?"))</f>
        <v/>
      </c>
      <c r="I2578" s="24" t="str">
        <f>IF(OR(E2578="",E2578="!!!",F2578="NEW"),"",INDEX(B$2:B2577,-1+SUMPRODUCT(MAX(ROW(E$2:E2577)*(E2578=E$2:E2577)))))</f>
        <v/>
      </c>
      <c r="J2578" s="24" t="str">
        <f ca="1">IF(OR(E2578="",E2578="!!!",F2578="NEW"),"",COUNTBLANK(OFFSET(A$1,,,SUMPRODUCT(MAX(ROW(E$2:E2578)*(E2578=E$2:E2578)))))-COUNTBLANK(OFFSET(A$1,,,SUMPRODUCT(MAX(ROW(E$1:E2577)*(E2=E$1:E2577))))))</f>
        <v/>
      </c>
      <c r="K2578" s="24" t="str">
        <f>IF(OR(E2578="",E2578="!!!",F2578="NEW"),"",INDEX(J$1:J2577,SUMPRODUCT(MAX(ROW(E$1:E2577)*(E2578=E$1:E2577)))))</f>
        <v/>
      </c>
      <c r="L2578" s="25"/>
    </row>
    <row r="2579" spans="1:12" x14ac:dyDescent="0.2">
      <c r="A2579" t="s">
        <v>1035</v>
      </c>
      <c r="E2579" s="20" t="str">
        <f t="shared" si="288"/>
        <v/>
      </c>
      <c r="F2579" s="21" t="str">
        <f>IF(OR(E2579="",E2579="!!!"),"",IF(NOT(ISNA(VLOOKUP(E2579,E$1:E2578,1,FALSE()))),"OLD",IF(AND(E2579&lt;&gt;"",E2579&lt;&gt;"!!!"),"NEW","")))</f>
        <v/>
      </c>
      <c r="G2579" s="22" t="str">
        <f>IF(OR(E2579="",E2579="!!!"),"",IF(OR(J2579=0,AND(J2579=1,K2579=1),AND(J2579=1,I2579="SBJ"),AND(J2579=1,I2579=0)),"?IN_FOCUS",IF(J2579&lt;=2,"?ACTIVATED",IF(J2579&lt;&gt;"","?FAMILIAR",IF(F2579="NEW",IF(ISNA(VLOOKUP(E2579,#REF!,1,FALSE())),"?TYPE_IDENTIFIABLE","?REFERENTIAL"),"_")))))</f>
        <v/>
      </c>
      <c r="H2579" s="23" t="str">
        <f t="shared" ca="1" si="289"/>
        <v/>
      </c>
      <c r="I2579" s="24" t="str">
        <f>IF(OR(E2579="",E2579="!!!",F2579="NEW"),"",INDEX(B$2:B2578,-1+SUMPRODUCT(MAX(ROW(E$2:E2578)*(E2579=E$2:E2578)))))</f>
        <v/>
      </c>
      <c r="J2579" s="24" t="str">
        <f ca="1">IF(OR(E2579="",E2579="!!!",F2579="NEW"),"",COUNTBLANK(OFFSET(A$1,,,SUMPRODUCT(MAX(ROW(E$2:E2579)*(E2579=E$2:E2579)))))-COUNTBLANK(OFFSET(A$1,,,SUMPRODUCT(MAX(ROW(E$1:E2578)*(E2=E$1:E2578))))))</f>
        <v/>
      </c>
      <c r="K2579" s="24" t="str">
        <f>IF(OR(E2579="",E2579="!!!",F2579="NEW"),"",INDEX(J$1:J2578,SUMPRODUCT(MAX(ROW(E$1:E2578)*(E2579=E$1:E2578)))))</f>
        <v/>
      </c>
      <c r="L2579" s="25"/>
    </row>
    <row r="2580" spans="1:12" x14ac:dyDescent="0.2">
      <c r="A2580" t="s">
        <v>803</v>
      </c>
      <c r="B2580" s="26" t="s">
        <v>804</v>
      </c>
      <c r="C2580" s="26" t="s">
        <v>805</v>
      </c>
      <c r="D2580" s="26" t="s">
        <v>806</v>
      </c>
      <c r="E2580" s="20" t="s">
        <v>1747</v>
      </c>
      <c r="F2580" s="21" t="str">
        <f>IF(OR(E2580="",E2580="!!!"),"",IF(NOT(ISNA(VLOOKUP(E2580,E$1:E2579,1,FALSE()))),"OLD",IF(AND(E2580&lt;&gt;"",E2580&lt;&gt;"!!!"),"NEW","")))</f>
        <v>OLD</v>
      </c>
      <c r="G2580" s="22" t="s">
        <v>1823</v>
      </c>
      <c r="H2580" s="23" t="str">
        <f t="shared" ca="1" si="289"/>
        <v/>
      </c>
      <c r="I2580" s="24" t="str">
        <f>IF(OR(E2580="",E2580="!!!",F2580="NEW"),"",INDEX(B$2:B2579,-1+SUMPRODUCT(MAX(ROW(E$2:E2579)*(E2580=E$2:E2579)))))</f>
        <v>SBJ</v>
      </c>
      <c r="J2580" s="24">
        <f ca="1">IF(OR(E2580="",E2580="!!!",F2580="NEW"),"",COUNTBLANK(OFFSET(A$1,,,SUMPRODUCT(MAX(ROW(E$2:E2580)*(E2580=E$2:E2580)))))-COUNTBLANK(OFFSET(A$1,,,SUMPRODUCT(MAX(ROW(E$1:E2579)*(E2=E$1:E2579))))))</f>
        <v>0</v>
      </c>
      <c r="K2580" s="24">
        <f ca="1">IF(OR(E2580="",E2580="!!!",F2580="NEW"),"",INDEX(J$1:J2579,SUMPRODUCT(MAX(ROW(E$1:E2579)*(E2580=E$1:E2579)))))</f>
        <v>0</v>
      </c>
      <c r="L2580" s="25"/>
    </row>
    <row r="2581" spans="1:12" x14ac:dyDescent="0.2">
      <c r="A2581" t="s">
        <v>1563</v>
      </c>
      <c r="E2581" s="20" t="str">
        <f t="shared" si="288"/>
        <v/>
      </c>
      <c r="F2581" s="21" t="str">
        <f>IF(OR(E2581="",E2581="!!!"),"",IF(NOT(ISNA(VLOOKUP(E2581,E$1:E2580,1,FALSE()))),"OLD",IF(AND(E2581&lt;&gt;"",E2581&lt;&gt;"!!!"),"NEW","")))</f>
        <v/>
      </c>
      <c r="G2581" s="22" t="str">
        <f>IF(OR(E2581="",E2581="!!!"),"",IF(OR(J2581=0,AND(J2581=1,K2581=1),AND(J2581=1,I2581="SBJ"),AND(J2581=1,I2581=0)),"?IN_FOCUS",IF(J2581&lt;=2,"?ACTIVATED",IF(J2581&lt;&gt;"","?FAMILIAR",IF(F2581="NEW",IF(ISNA(VLOOKUP(E2581,#REF!,1,FALSE())),"?TYPE_IDENTIFIABLE","?REFERENTIAL"),"_")))))</f>
        <v/>
      </c>
      <c r="H2581" s="23" t="str">
        <f t="shared" ca="1" si="289"/>
        <v/>
      </c>
      <c r="I2581" s="24" t="str">
        <f>IF(OR(E2581="",E2581="!!!",F2581="NEW"),"",INDEX(B$2:B2580,-1+SUMPRODUCT(MAX(ROW(E$2:E2580)*(E2581=E$2:E2580)))))</f>
        <v/>
      </c>
      <c r="J2581" s="24" t="str">
        <f ca="1">IF(OR(E2581="",E2581="!!!",F2581="NEW"),"",COUNTBLANK(OFFSET(A$1,,,SUMPRODUCT(MAX(ROW(E$2:E2581)*(E2581=E$2:E2581)))))-COUNTBLANK(OFFSET(A$1,,,SUMPRODUCT(MAX(ROW(E$1:E2580)*(E2=E$1:E2580))))))</f>
        <v/>
      </c>
      <c r="K2581" s="24" t="str">
        <f>IF(OR(E2581="",E2581="!!!",F2581="NEW"),"",INDEX(J$1:J2580,SUMPRODUCT(MAX(ROW(E$1:E2580)*(E2581=E$1:E2580)))))</f>
        <v/>
      </c>
      <c r="L2581" s="25"/>
    </row>
    <row r="2582" spans="1:12" x14ac:dyDescent="0.2">
      <c r="A2582" t="s">
        <v>1536</v>
      </c>
      <c r="E2582" s="20" t="str">
        <f t="shared" si="288"/>
        <v/>
      </c>
      <c r="F2582" s="21" t="str">
        <f>IF(OR(E2582="",E2582="!!!"),"",IF(NOT(ISNA(VLOOKUP(E2582,E$1:E2581,1,FALSE()))),"OLD",IF(AND(E2582&lt;&gt;"",E2582&lt;&gt;"!!!"),"NEW","")))</f>
        <v/>
      </c>
      <c r="G2582" s="22" t="str">
        <f>IF(OR(E2582="",E2582="!!!"),"",IF(OR(J2582=0,AND(J2582=1,K2582=1),AND(J2582=1,I2582="SBJ"),AND(J2582=1,I2582=0)),"?IN_FOCUS",IF(J2582&lt;=2,"?ACTIVATED",IF(J2582&lt;&gt;"","?FAMILIAR",IF(F2582="NEW",IF(ISNA(VLOOKUP(E2582,#REF!,1,FALSE())),"?TYPE_IDENTIFIABLE","?REFERENTIAL"),"_")))))</f>
        <v/>
      </c>
      <c r="H2582" s="23" t="str">
        <f t="shared" ca="1" si="289"/>
        <v/>
      </c>
      <c r="I2582" s="24" t="str">
        <f>IF(OR(E2582="",E2582="!!!",F2582="NEW"),"",INDEX(B$2:B2581,-1+SUMPRODUCT(MAX(ROW(E$2:E2581)*(E2582=E$2:E2581)))))</f>
        <v/>
      </c>
      <c r="J2582" s="24" t="str">
        <f ca="1">IF(OR(E2582="",E2582="!!!",F2582="NEW"),"",COUNTBLANK(OFFSET(A$1,,,SUMPRODUCT(MAX(ROW(E$2:E2582)*(E2582=E$2:E2582)))))-COUNTBLANK(OFFSET(A$1,,,SUMPRODUCT(MAX(ROW(E$1:E2581)*(E2=E$1:E2581))))))</f>
        <v/>
      </c>
      <c r="K2582" s="24" t="str">
        <f>IF(OR(E2582="",E2582="!!!",F2582="NEW"),"",INDEX(J$1:J2581,SUMPRODUCT(MAX(ROW(E$1:E2581)*(E2582=E$1:E2581)))))</f>
        <v/>
      </c>
      <c r="L2582" s="25"/>
    </row>
    <row r="2583" spans="1:12" x14ac:dyDescent="0.2">
      <c r="A2583" t="s">
        <v>1024</v>
      </c>
      <c r="B2583" s="26" t="s">
        <v>891</v>
      </c>
      <c r="C2583" s="26" t="s">
        <v>805</v>
      </c>
      <c r="D2583" s="26" t="s">
        <v>806</v>
      </c>
      <c r="E2583" s="20" t="s">
        <v>1175</v>
      </c>
      <c r="F2583" s="21" t="str">
        <f>IF(OR(E2583="",E2583="!!!"),"",IF(NOT(ISNA(VLOOKUP(E2583,E$1:E2582,1,FALSE()))),"OLD",IF(AND(E2583&lt;&gt;"",E2583&lt;&gt;"!!!"),"NEW","")))</f>
        <v>OLD</v>
      </c>
      <c r="G2583" s="22" t="s">
        <v>1822</v>
      </c>
      <c r="H2583" s="23" t="str">
        <f t="shared" ca="1" si="289"/>
        <v/>
      </c>
      <c r="I2583" s="24" t="str">
        <f>IF(OR(E2583="",E2583="!!!",F2583="NEW"),"",INDEX(B$2:B2582,-1+SUMPRODUCT(MAX(ROW(E$2:E2582)*(E2583=E$2:E2582)))))</f>
        <v>SBJ</v>
      </c>
      <c r="J2583" s="24">
        <f ca="1">IF(OR(E2583="",E2583="!!!",F2583="NEW"),"",COUNTBLANK(OFFSET(A$1,,,SUMPRODUCT(MAX(ROW(E$2:E2583)*(E2583=E$2:E2583)))))-COUNTBLANK(OFFSET(A$1,,,SUMPRODUCT(MAX(ROW(E$1:E2582)*(E2=E$1:E2582))))))</f>
        <v>0</v>
      </c>
      <c r="K2583" s="24">
        <f ca="1">IF(OR(E2583="",E2583="!!!",F2583="NEW"),"",INDEX(J$1:J2582,SUMPRODUCT(MAX(ROW(E$1:E2582)*(E2583=E$1:E2582)))))</f>
        <v>0</v>
      </c>
      <c r="L2583" s="25"/>
    </row>
    <row r="2584" spans="1:12" x14ac:dyDescent="0.2">
      <c r="A2584" t="s">
        <v>1564</v>
      </c>
      <c r="E2584" s="20" t="str">
        <f t="shared" si="288"/>
        <v/>
      </c>
      <c r="F2584" s="21" t="str">
        <f>IF(OR(E2584="",E2584="!!!"),"",IF(NOT(ISNA(VLOOKUP(E2584,E$1:E2583,1,FALSE()))),"OLD",IF(AND(E2584&lt;&gt;"",E2584&lt;&gt;"!!!"),"NEW","")))</f>
        <v/>
      </c>
      <c r="G2584" s="22" t="str">
        <f>IF(OR(E2584="",E2584="!!!"),"",IF(OR(J2584=0,AND(J2584=1,K2584=1),AND(J2584=1,I2584="SBJ"),AND(J2584=1,I2584=0)),"?IN_FOCUS",IF(J2584&lt;=2,"?ACTIVATED",IF(J2584&lt;&gt;"","?FAMILIAR",IF(F2584="NEW",IF(ISNA(VLOOKUP(E2584,#REF!,1,FALSE())),"?TYPE_IDENTIFIABLE","?REFERENTIAL"),"_")))))</f>
        <v/>
      </c>
      <c r="H2584" s="23" t="str">
        <f t="shared" ca="1" si="289"/>
        <v/>
      </c>
      <c r="I2584" s="24" t="str">
        <f>IF(OR(E2584="",E2584="!!!",F2584="NEW"),"",INDEX(B$2:B2583,-1+SUMPRODUCT(MAX(ROW(E$2:E2583)*(E2584=E$2:E2583)))))</f>
        <v/>
      </c>
      <c r="J2584" s="24" t="str">
        <f ca="1">IF(OR(E2584="",E2584="!!!",F2584="NEW"),"",COUNTBLANK(OFFSET(A$1,,,SUMPRODUCT(MAX(ROW(E$2:E2584)*(E2584=E$2:E2584)))))-COUNTBLANK(OFFSET(A$1,,,SUMPRODUCT(MAX(ROW(E$1:E2583)*(E2=E$1:E2583))))))</f>
        <v/>
      </c>
      <c r="K2584" s="24" t="str">
        <f>IF(OR(E2584="",E2584="!!!",F2584="NEW"),"",INDEX(J$1:J2583,SUMPRODUCT(MAX(ROW(E$1:E2583)*(E2584=E$1:E2583)))))</f>
        <v/>
      </c>
      <c r="L2584" s="25"/>
    </row>
    <row r="2585" spans="1:12" x14ac:dyDescent="0.2">
      <c r="A2585" t="s">
        <v>802</v>
      </c>
      <c r="E2585" s="20" t="str">
        <f t="shared" si="288"/>
        <v/>
      </c>
      <c r="F2585" s="21" t="str">
        <f>IF(OR(E2585="",E2585="!!!"),"",IF(NOT(ISNA(VLOOKUP(E2585,E$1:E2584,1,FALSE()))),"OLD",IF(AND(E2585&lt;&gt;"",E2585&lt;&gt;"!!!"),"NEW","")))</f>
        <v/>
      </c>
      <c r="G2585" s="22" t="str">
        <f>IF(OR(E2585="",E2585="!!!"),"",IF(OR(J2585=0,AND(J2585=1,K2585=1),AND(J2585=1,I2585="SBJ"),AND(J2585=1,I2585=0)),"?IN_FOCUS",IF(J2585&lt;=2,"?ACTIVATED",IF(J2585&lt;&gt;"","?FAMILIAR",IF(F2585="NEW",IF(ISNA(VLOOKUP(E2585,#REF!,1,FALSE())),"?TYPE_IDENTIFIABLE","?REFERENTIAL"),"_")))))</f>
        <v/>
      </c>
      <c r="H2585" s="23" t="str">
        <f t="shared" ca="1" si="289"/>
        <v/>
      </c>
      <c r="I2585" s="24" t="str">
        <f>IF(OR(E2585="",E2585="!!!",F2585="NEW"),"",INDEX(B$2:B2584,-1+SUMPRODUCT(MAX(ROW(E$2:E2584)*(E2585=E$2:E2584)))))</f>
        <v/>
      </c>
      <c r="J2585" s="24" t="str">
        <f ca="1">IF(OR(E2585="",E2585="!!!",F2585="NEW"),"",COUNTBLANK(OFFSET(A$1,,,SUMPRODUCT(MAX(ROW(E$2:E2585)*(E2585=E$2:E2585)))))-COUNTBLANK(OFFSET(A$1,,,SUMPRODUCT(MAX(ROW(E$1:E2584)*(E2=E$1:E2584))))))</f>
        <v/>
      </c>
      <c r="K2585" s="24" t="str">
        <f>IF(OR(E2585="",E2585="!!!",F2585="NEW"),"",INDEX(J$1:J2584,SUMPRODUCT(MAX(ROW(E$1:E2584)*(E2585=E$1:E2584)))))</f>
        <v/>
      </c>
      <c r="L2585" s="25"/>
    </row>
    <row r="2586" spans="1:12" x14ac:dyDescent="0.2">
      <c r="A2586" t="s">
        <v>902</v>
      </c>
      <c r="E2586" s="20" t="str">
        <f t="shared" si="288"/>
        <v/>
      </c>
      <c r="F2586" s="21" t="str">
        <f>IF(OR(E2586="",E2586="!!!"),"",IF(NOT(ISNA(VLOOKUP(E2586,E$1:E2585,1,FALSE()))),"OLD",IF(AND(E2586&lt;&gt;"",E2586&lt;&gt;"!!!"),"NEW","")))</f>
        <v/>
      </c>
      <c r="G2586" s="22" t="str">
        <f>IF(OR(E2586="",E2586="!!!"),"",IF(OR(J2586=0,AND(J2586=1,K2586=1),AND(J2586=1,I2586="SBJ"),AND(J2586=1,I2586=0)),"?IN_FOCUS",IF(J2586&lt;=2,"?ACTIVATED",IF(J2586&lt;&gt;"","?FAMILIAR",IF(F2586="NEW",IF(ISNA(VLOOKUP(E2586,#REF!,1,FALSE())),"?TYPE_IDENTIFIABLE","?REFERENTIAL"),"_")))))</f>
        <v/>
      </c>
      <c r="H2586" s="23" t="str">
        <f t="shared" ca="1" si="289"/>
        <v/>
      </c>
      <c r="I2586" s="24" t="str">
        <f>IF(OR(E2586="",E2586="!!!",F2586="NEW"),"",INDEX(B$2:B2585,-1+SUMPRODUCT(MAX(ROW(E$2:E2585)*(E2586=E$2:E2585)))))</f>
        <v/>
      </c>
      <c r="J2586" s="24" t="str">
        <f ca="1">IF(OR(E2586="",E2586="!!!",F2586="NEW"),"",COUNTBLANK(OFFSET(A$1,,,SUMPRODUCT(MAX(ROW(E$2:E2586)*(E2586=E$2:E2586)))))-COUNTBLANK(OFFSET(A$1,,,SUMPRODUCT(MAX(ROW(E$1:E2585)*(E2=E$1:E2585))))))</f>
        <v/>
      </c>
      <c r="K2586" s="24" t="str">
        <f>IF(OR(E2586="",E2586="!!!",F2586="NEW"),"",INDEX(J$1:J2585,SUMPRODUCT(MAX(ROW(E$1:E2585)*(E2586=E$1:E2585)))))</f>
        <v/>
      </c>
      <c r="L2586" s="25"/>
    </row>
    <row r="2587" spans="1:12" x14ac:dyDescent="0.2">
      <c r="A2587" t="s">
        <v>968</v>
      </c>
      <c r="E2587" s="20" t="str">
        <f t="shared" si="288"/>
        <v/>
      </c>
      <c r="F2587" s="21" t="str">
        <f>IF(OR(E2587="",E2587="!!!"),"",IF(NOT(ISNA(VLOOKUP(E2587,E$1:E2586,1,FALSE()))),"OLD",IF(AND(E2587&lt;&gt;"",E2587&lt;&gt;"!!!"),"NEW","")))</f>
        <v/>
      </c>
      <c r="G2587" s="22" t="str">
        <f>IF(OR(E2587="",E2587="!!!"),"",IF(OR(J2587=0,AND(J2587=1,K2587=1),AND(J2587=1,I2587="SBJ"),AND(J2587=1,I2587=0)),"?IN_FOCUS",IF(J2587&lt;=2,"?ACTIVATED",IF(J2587&lt;&gt;"","?FAMILIAR",IF(F2587="NEW",IF(ISNA(VLOOKUP(E2587,#REF!,1,FALSE())),"?TYPE_IDENTIFIABLE","?REFERENTIAL"),"_")))))</f>
        <v/>
      </c>
      <c r="H2587" s="23" t="str">
        <f t="shared" ca="1" si="289"/>
        <v/>
      </c>
      <c r="I2587" s="24" t="str">
        <f>IF(OR(E2587="",E2587="!!!",F2587="NEW"),"",INDEX(B$2:B2586,-1+SUMPRODUCT(MAX(ROW(E$2:E2586)*(E2587=E$2:E2586)))))</f>
        <v/>
      </c>
      <c r="J2587" s="24" t="str">
        <f ca="1">IF(OR(E2587="",E2587="!!!",F2587="NEW"),"",COUNTBLANK(OFFSET(A$1,,,SUMPRODUCT(MAX(ROW(E$2:E2587)*(E2587=E$2:E2587)))))-COUNTBLANK(OFFSET(A$1,,,SUMPRODUCT(MAX(ROW(E$1:E2586)*(E2=E$1:E2586))))))</f>
        <v/>
      </c>
      <c r="K2587" s="24" t="str">
        <f>IF(OR(E2587="",E2587="!!!",F2587="NEW"),"",INDEX(J$1:J2586,SUMPRODUCT(MAX(ROW(E$1:E2586)*(E2587=E$1:E2586)))))</f>
        <v/>
      </c>
      <c r="L2587" s="25"/>
    </row>
    <row r="2588" spans="1:12" x14ac:dyDescent="0.2">
      <c r="A2588" t="s">
        <v>530</v>
      </c>
      <c r="B2588" s="26" t="s">
        <v>891</v>
      </c>
      <c r="C2588" s="26" t="s">
        <v>811</v>
      </c>
      <c r="E2588" s="20" t="str">
        <f t="shared" si="288"/>
        <v/>
      </c>
      <c r="F2588" s="21" t="str">
        <f>IF(OR(E2588="",E2588="!!!"),"",IF(NOT(ISNA(VLOOKUP(E2588,E$1:E2587,1,FALSE()))),"OLD",IF(AND(E2588&lt;&gt;"",E2588&lt;&gt;"!!!"),"NEW","")))</f>
        <v/>
      </c>
      <c r="G2588" s="22" t="str">
        <f>IF(OR(E2588="",E2588="!!!"),"",IF(OR(J2588=0,AND(J2588=1,K2588=1),AND(J2588=1,I2588="SBJ"),AND(J2588=1,I2588=0)),"?IN_FOCUS",IF(J2588&lt;=2,"?ACTIVATED",IF(J2588&lt;&gt;"","?FAMILIAR",IF(F2588="NEW",IF(ISNA(VLOOKUP(E2588,#REF!,1,FALSE())),"?TYPE_IDENTIFIABLE","?REFERENTIAL"),"_")))))</f>
        <v/>
      </c>
      <c r="H2588" s="23" t="str">
        <f t="shared" ca="1" si="289"/>
        <v/>
      </c>
      <c r="I2588" s="24" t="str">
        <f>IF(OR(E2588="",E2588="!!!",F2588="NEW"),"",INDEX(B$2:B2587,-1+SUMPRODUCT(MAX(ROW(E$2:E2587)*(E2588=E$2:E2587)))))</f>
        <v/>
      </c>
      <c r="J2588" s="24" t="str">
        <f ca="1">IF(OR(E2588="",E2588="!!!",F2588="NEW"),"",COUNTBLANK(OFFSET(A$1,,,SUMPRODUCT(MAX(ROW(E$2:E2588)*(E2588=E$2:E2588)))))-COUNTBLANK(OFFSET(A$1,,,SUMPRODUCT(MAX(ROW(E$1:E2587)*(E2=E$1:E2587))))))</f>
        <v/>
      </c>
      <c r="K2588" s="24" t="str">
        <f>IF(OR(E2588="",E2588="!!!",F2588="NEW"),"",INDEX(J$1:J2587,SUMPRODUCT(MAX(ROW(E$1:E2587)*(E2588=E$1:E2587)))))</f>
        <v/>
      </c>
      <c r="L2588" s="25"/>
    </row>
    <row r="2589" spans="1:12" x14ac:dyDescent="0.2">
      <c r="A2589" t="s">
        <v>1060</v>
      </c>
      <c r="B2589" s="26" t="s">
        <v>910</v>
      </c>
      <c r="E2589" s="20" t="str">
        <f t="shared" si="288"/>
        <v/>
      </c>
      <c r="F2589" s="21" t="str">
        <f>IF(OR(E2589="",E2589="!!!"),"",IF(NOT(ISNA(VLOOKUP(E2589,E$1:E2588,1,FALSE()))),"OLD",IF(AND(E2589&lt;&gt;"",E2589&lt;&gt;"!!!"),"NEW","")))</f>
        <v/>
      </c>
      <c r="G2589" s="22" t="str">
        <f>IF(OR(E2589="",E2589="!!!"),"",IF(OR(J2589=0,AND(J2589=1,K2589=1),AND(J2589=1,I2589="SBJ"),AND(J2589=1,I2589=0)),"?IN_FOCUS",IF(J2589&lt;=2,"?ACTIVATED",IF(J2589&lt;&gt;"","?FAMILIAR",IF(F2589="NEW",IF(ISNA(VLOOKUP(E2589,#REF!,1,FALSE())),"?TYPE_IDENTIFIABLE","?REFERENTIAL"),"_")))))</f>
        <v/>
      </c>
      <c r="H2589" s="23" t="str">
        <f t="shared" ca="1" si="289"/>
        <v/>
      </c>
      <c r="I2589" s="24" t="str">
        <f>IF(OR(E2589="",E2589="!!!",F2589="NEW"),"",INDEX(B$2:B2588,-1+SUMPRODUCT(MAX(ROW(E$2:E2588)*(E2589=E$2:E2588)))))</f>
        <v/>
      </c>
      <c r="J2589" s="24" t="str">
        <f ca="1">IF(OR(E2589="",E2589="!!!",F2589="NEW"),"",COUNTBLANK(OFFSET(A$1,,,SUMPRODUCT(MAX(ROW(E$2:E2589)*(E2589=E$2:E2589)))))-COUNTBLANK(OFFSET(A$1,,,SUMPRODUCT(MAX(ROW(E$1:E2588)*(E2=E$1:E2588))))))</f>
        <v/>
      </c>
      <c r="K2589" s="24" t="str">
        <f>IF(OR(E2589="",E2589="!!!",F2589="NEW"),"",INDEX(J$1:J2588,SUMPRODUCT(MAX(ROW(E$1:E2588)*(E2589=E$1:E2588)))))</f>
        <v/>
      </c>
      <c r="L2589" s="25"/>
    </row>
    <row r="2590" spans="1:12" x14ac:dyDescent="0.2">
      <c r="A2590" t="s">
        <v>1558</v>
      </c>
      <c r="E2590" s="20" t="str">
        <f t="shared" si="288"/>
        <v/>
      </c>
      <c r="F2590" s="21" t="str">
        <f>IF(OR(E2590="",E2590="!!!"),"",IF(NOT(ISNA(VLOOKUP(E2590,E$1:E2589,1,FALSE()))),"OLD",IF(AND(E2590&lt;&gt;"",E2590&lt;&gt;"!!!"),"NEW","")))</f>
        <v/>
      </c>
      <c r="G2590" s="22" t="str">
        <f>IF(OR(E2590="",E2590="!!!"),"",IF(OR(J2590=0,AND(J2590=1,K2590=1),AND(J2590=1,I2590="SBJ"),AND(J2590=1,I2590=0)),"?IN_FOCUS",IF(J2590&lt;=2,"?ACTIVATED",IF(J2590&lt;&gt;"","?FAMILIAR",IF(F2590="NEW",IF(ISNA(VLOOKUP(E2590,#REF!,1,FALSE())),"?TYPE_IDENTIFIABLE","?REFERENTIAL"),"_")))))</f>
        <v/>
      </c>
      <c r="H2590" s="23" t="str">
        <f t="shared" ca="1" si="289"/>
        <v/>
      </c>
      <c r="I2590" s="24" t="str">
        <f>IF(OR(E2590="",E2590="!!!",F2590="NEW"),"",INDEX(B$2:B2589,-1+SUMPRODUCT(MAX(ROW(E$2:E2589)*(E2590=E$2:E2589)))))</f>
        <v/>
      </c>
      <c r="J2590" s="24" t="str">
        <f ca="1">IF(OR(E2590="",E2590="!!!",F2590="NEW"),"",COUNTBLANK(OFFSET(A$1,,,SUMPRODUCT(MAX(ROW(E$2:E2590)*(E2590=E$2:E2590)))))-COUNTBLANK(OFFSET(A$1,,,SUMPRODUCT(MAX(ROW(E$1:E2589)*(E2=E$1:E2589))))))</f>
        <v/>
      </c>
      <c r="K2590" s="24" t="str">
        <f>IF(OR(E2590="",E2590="!!!",F2590="NEW"),"",INDEX(J$1:J2589,SUMPRODUCT(MAX(ROW(E$1:E2589)*(E2590=E$1:E2589)))))</f>
        <v/>
      </c>
      <c r="L2590" s="25"/>
    </row>
    <row r="2591" spans="1:12" x14ac:dyDescent="0.2">
      <c r="A2591" t="s">
        <v>1083</v>
      </c>
      <c r="E2591" s="20" t="str">
        <f t="shared" si="288"/>
        <v/>
      </c>
      <c r="F2591" s="21" t="str">
        <f>IF(OR(E2591="",E2591="!!!"),"",IF(NOT(ISNA(VLOOKUP(E2591,E$1:E2590,1,FALSE()))),"OLD",IF(AND(E2591&lt;&gt;"",E2591&lt;&gt;"!!!"),"NEW","")))</f>
        <v/>
      </c>
      <c r="G2591" s="22" t="str">
        <f>IF(OR(E2591="",E2591="!!!"),"",IF(OR(J2591=0,AND(J2591=1,K2591=1),AND(J2591=1,I2591="SBJ"),AND(J2591=1,I2591=0)),"?IN_FOCUS",IF(J2591&lt;=2,"?ACTIVATED",IF(J2591&lt;&gt;"","?FAMILIAR",IF(F2591="NEW",IF(ISNA(VLOOKUP(E2591,#REF!,1,FALSE())),"?TYPE_IDENTIFIABLE","?REFERENTIAL"),"_")))))</f>
        <v/>
      </c>
      <c r="H2591" s="23" t="str">
        <f t="shared" ca="1" si="289"/>
        <v/>
      </c>
      <c r="I2591" s="24" t="str">
        <f>IF(OR(E2591="",E2591="!!!",F2591="NEW"),"",INDEX(B$2:B2590,-1+SUMPRODUCT(MAX(ROW(E$2:E2590)*(E2591=E$2:E2590)))))</f>
        <v/>
      </c>
      <c r="J2591" s="24" t="str">
        <f ca="1">IF(OR(E2591="",E2591="!!!",F2591="NEW"),"",COUNTBLANK(OFFSET(A$1,,,SUMPRODUCT(MAX(ROW(E$2:E2591)*(E2591=E$2:E2591)))))-COUNTBLANK(OFFSET(A$1,,,SUMPRODUCT(MAX(ROW(E$1:E2590)*(E2=E$1:E2590))))))</f>
        <v/>
      </c>
      <c r="K2591" s="24" t="str">
        <f>IF(OR(E2591="",E2591="!!!",F2591="NEW"),"",INDEX(J$1:J2590,SUMPRODUCT(MAX(ROW(E$1:E2590)*(E2591=E$1:E2590)))))</f>
        <v/>
      </c>
      <c r="L2591" s="25"/>
    </row>
    <row r="2592" spans="1:12" x14ac:dyDescent="0.2">
      <c r="A2592" t="s">
        <v>1556</v>
      </c>
      <c r="B2592" s="26" t="s">
        <v>1117</v>
      </c>
      <c r="C2592" s="26" t="s">
        <v>884</v>
      </c>
      <c r="E2592" s="20" t="str">
        <f t="shared" si="288"/>
        <v/>
      </c>
      <c r="F2592" s="21" t="str">
        <f>IF(OR(E2592="",E2592="!!!"),"",IF(NOT(ISNA(VLOOKUP(E2592,E$1:E2591,1,FALSE()))),"OLD",IF(AND(E2592&lt;&gt;"",E2592&lt;&gt;"!!!"),"NEW","")))</f>
        <v/>
      </c>
      <c r="G2592" s="22" t="str">
        <f>IF(OR(E2592="",E2592="!!!"),"",IF(OR(J2592=0,AND(J2592=1,K2592=1),AND(J2592=1,I2592="SBJ"),AND(J2592=1,I2592=0)),"?IN_FOCUS",IF(J2592&lt;=2,"?ACTIVATED",IF(J2592&lt;&gt;"","?FAMILIAR",IF(F2592="NEW",IF(ISNA(VLOOKUP(E2592,#REF!,1,FALSE())),"?TYPE_IDENTIFIABLE","?REFERENTIAL"),"_")))))</f>
        <v/>
      </c>
      <c r="H2592" s="23" t="str">
        <f t="shared" ca="1" si="289"/>
        <v/>
      </c>
      <c r="I2592" s="24" t="str">
        <f>IF(OR(E2592="",E2592="!!!",F2592="NEW"),"",INDEX(B$2:B2591,-1+SUMPRODUCT(MAX(ROW(E$2:E2591)*(E2592=E$2:E2591)))))</f>
        <v/>
      </c>
      <c r="J2592" s="24" t="str">
        <f ca="1">IF(OR(E2592="",E2592="!!!",F2592="NEW"),"",COUNTBLANK(OFFSET(A$1,,,SUMPRODUCT(MAX(ROW(E$2:E2592)*(E2592=E$2:E2592)))))-COUNTBLANK(OFFSET(A$1,,,SUMPRODUCT(MAX(ROW(E$1:E2591)*(E2=E$1:E2591))))))</f>
        <v/>
      </c>
      <c r="K2592" s="24" t="str">
        <f>IF(OR(E2592="",E2592="!!!",F2592="NEW"),"",INDEX(J$1:J2591,SUMPRODUCT(MAX(ROW(E$1:E2591)*(E2592=E$1:E2591)))))</f>
        <v/>
      </c>
      <c r="L2592" s="25"/>
    </row>
    <row r="2593" spans="1:12" x14ac:dyDescent="0.2">
      <c r="A2593" t="s">
        <v>802</v>
      </c>
      <c r="E2593" s="20" t="str">
        <f t="shared" si="288"/>
        <v/>
      </c>
      <c r="F2593" s="21" t="str">
        <f>IF(OR(E2593="",E2593="!!!"),"",IF(NOT(ISNA(VLOOKUP(E2593,E$1:E2592,1,FALSE()))),"OLD",IF(AND(E2593&lt;&gt;"",E2593&lt;&gt;"!!!"),"NEW","")))</f>
        <v/>
      </c>
      <c r="G2593" s="22" t="str">
        <f>IF(OR(E2593="",E2593="!!!"),"",IF(OR(J2593=0,AND(J2593=1,K2593=1),AND(J2593=1,I2593="SBJ"),AND(J2593=1,I2593=0)),"?IN_FOCUS",IF(J2593&lt;=2,"?ACTIVATED",IF(J2593&lt;&gt;"","?FAMILIAR",IF(F2593="NEW",IF(ISNA(VLOOKUP(E2593,#REF!,1,FALSE())),"?TYPE_IDENTIFIABLE","?REFERENTIAL"),"_")))))</f>
        <v/>
      </c>
      <c r="H2593" s="23" t="str">
        <f t="shared" ca="1" si="289"/>
        <v/>
      </c>
      <c r="I2593" s="24" t="str">
        <f>IF(OR(E2593="",E2593="!!!",F2593="NEW"),"",INDEX(B$2:B2592,-1+SUMPRODUCT(MAX(ROW(E$2:E2592)*(E2593=E$2:E2592)))))</f>
        <v/>
      </c>
      <c r="J2593" s="24" t="str">
        <f ca="1">IF(OR(E2593="",E2593="!!!",F2593="NEW"),"",COUNTBLANK(OFFSET(A$1,,,SUMPRODUCT(MAX(ROW(E$2:E2593)*(E2593=E$2:E2593)))))-COUNTBLANK(OFFSET(A$1,,,SUMPRODUCT(MAX(ROW(E$1:E2592)*(E2=E$1:E2592))))))</f>
        <v/>
      </c>
      <c r="K2593" s="24" t="str">
        <f>IF(OR(E2593="",E2593="!!!",F2593="NEW"),"",INDEX(J$1:J2592,SUMPRODUCT(MAX(ROW(E$1:E2592)*(E2593=E$1:E2592)))))</f>
        <v/>
      </c>
      <c r="L2593" s="25"/>
    </row>
    <row r="2594" spans="1:12" x14ac:dyDescent="0.2">
      <c r="A2594" t="s">
        <v>902</v>
      </c>
      <c r="E2594" s="20" t="str">
        <f t="shared" si="288"/>
        <v/>
      </c>
      <c r="F2594" s="21" t="str">
        <f>IF(OR(E2594="",E2594="!!!"),"",IF(NOT(ISNA(VLOOKUP(E2594,E$1:E2593,1,FALSE()))),"OLD",IF(AND(E2594&lt;&gt;"",E2594&lt;&gt;"!!!"),"NEW","")))</f>
        <v/>
      </c>
      <c r="G2594" s="22" t="str">
        <f>IF(OR(E2594="",E2594="!!!"),"",IF(OR(J2594=0,AND(J2594=1,K2594=1),AND(J2594=1,I2594="SBJ"),AND(J2594=1,I2594=0)),"?IN_FOCUS",IF(J2594&lt;=2,"?ACTIVATED",IF(J2594&lt;&gt;"","?FAMILIAR",IF(F2594="NEW",IF(ISNA(VLOOKUP(E2594,#REF!,1,FALSE())),"?TYPE_IDENTIFIABLE","?REFERENTIAL"),"_")))))</f>
        <v/>
      </c>
      <c r="H2594" s="23" t="str">
        <f t="shared" ca="1" si="289"/>
        <v/>
      </c>
      <c r="I2594" s="24" t="str">
        <f>IF(OR(E2594="",E2594="!!!",F2594="NEW"),"",INDEX(B$2:B2593,-1+SUMPRODUCT(MAX(ROW(E$2:E2593)*(E2594=E$2:E2593)))))</f>
        <v/>
      </c>
      <c r="J2594" s="24" t="str">
        <f ca="1">IF(OR(E2594="",E2594="!!!",F2594="NEW"),"",COUNTBLANK(OFFSET(A$1,,,SUMPRODUCT(MAX(ROW(E$2:E2594)*(E2594=E$2:E2594)))))-COUNTBLANK(OFFSET(A$1,,,SUMPRODUCT(MAX(ROW(E$1:E2593)*(E2=E$1:E2593))))))</f>
        <v/>
      </c>
      <c r="K2594" s="24" t="str">
        <f>IF(OR(E2594="",E2594="!!!",F2594="NEW"),"",INDEX(J$1:J2593,SUMPRODUCT(MAX(ROW(E$1:E2593)*(E2594=E$1:E2593)))))</f>
        <v/>
      </c>
      <c r="L2594" s="25"/>
    </row>
    <row r="2595" spans="1:12" x14ac:dyDescent="0.2">
      <c r="A2595" t="s">
        <v>1024</v>
      </c>
      <c r="B2595" s="26" t="s">
        <v>950</v>
      </c>
      <c r="C2595" s="26" t="s">
        <v>805</v>
      </c>
      <c r="D2595" s="26" t="s">
        <v>806</v>
      </c>
      <c r="E2595" s="20" t="s">
        <v>1175</v>
      </c>
      <c r="F2595" s="21" t="str">
        <f>IF(OR(E2595="",E2595="!!!"),"",IF(NOT(ISNA(VLOOKUP(E2595,E$1:E2594,1,FALSE()))),"OLD",IF(AND(E2595&lt;&gt;"",E2595&lt;&gt;"!!!"),"NEW","")))</f>
        <v>OLD</v>
      </c>
      <c r="G2595" s="22" t="s">
        <v>1823</v>
      </c>
      <c r="H2595" s="23" t="str">
        <f t="shared" ca="1" si="289"/>
        <v/>
      </c>
      <c r="I2595" s="24" t="str">
        <f>IF(OR(E2595="",E2595="!!!",F2595="NEW"),"",INDEX(B$2:B2594,-1+SUMPRODUCT(MAX(ROW(E$2:E2594)*(E2595=E$2:E2594)))))</f>
        <v>SBJ_3</v>
      </c>
      <c r="J2595" s="24">
        <f ca="1">IF(OR(E2595="",E2595="!!!",F2595="NEW"),"",COUNTBLANK(OFFSET(A$1,,,SUMPRODUCT(MAX(ROW(E$2:E2595)*(E2595=E$2:E2595)))))-COUNTBLANK(OFFSET(A$1,,,SUMPRODUCT(MAX(ROW(E$1:E2594)*(E2=E$1:E2594))))))</f>
        <v>0</v>
      </c>
      <c r="K2595" s="24">
        <f ca="1">IF(OR(E2595="",E2595="!!!",F2595="NEW"),"",INDEX(J$1:J2594,SUMPRODUCT(MAX(ROW(E$1:E2594)*(E2595=E$1:E2594)))))</f>
        <v>0</v>
      </c>
      <c r="L2595" s="25"/>
    </row>
    <row r="2596" spans="1:12" x14ac:dyDescent="0.2">
      <c r="A2596" t="s">
        <v>1565</v>
      </c>
      <c r="E2596" s="20" t="str">
        <f t="shared" si="288"/>
        <v/>
      </c>
      <c r="F2596" s="21" t="str">
        <f>IF(OR(E2596="",E2596="!!!"),"",IF(NOT(ISNA(VLOOKUP(E2596,E$1:E2595,1,FALSE()))),"OLD",IF(AND(E2596&lt;&gt;"",E2596&lt;&gt;"!!!"),"NEW","")))</f>
        <v/>
      </c>
      <c r="G2596" s="22" t="str">
        <f>IF(OR(E2596="",E2596="!!!"),"",IF(OR(J2596=0,AND(J2596=1,K2596=1),AND(J2596=1,I2596="SBJ"),AND(J2596=1,I2596=0)),"?IN_FOCUS",IF(J2596&lt;=2,"?ACTIVATED",IF(J2596&lt;&gt;"","?FAMILIAR",IF(F2596="NEW",IF(ISNA(VLOOKUP(E2596,#REF!,1,FALSE())),"?TYPE_IDENTIFIABLE","?REFERENTIAL"),"_")))))</f>
        <v/>
      </c>
      <c r="H2596" s="23" t="str">
        <f t="shared" ca="1" si="289"/>
        <v/>
      </c>
      <c r="I2596" s="24" t="str">
        <f>IF(OR(E2596="",E2596="!!!",F2596="NEW"),"",INDEX(B$2:B2595,-1+SUMPRODUCT(MAX(ROW(E$2:E2595)*(E2596=E$2:E2595)))))</f>
        <v/>
      </c>
      <c r="J2596" s="24" t="str">
        <f ca="1">IF(OR(E2596="",E2596="!!!",F2596="NEW"),"",COUNTBLANK(OFFSET(A$1,,,SUMPRODUCT(MAX(ROW(E$2:E2596)*(E2596=E$2:E2596)))))-COUNTBLANK(OFFSET(A$1,,,SUMPRODUCT(MAX(ROW(E$1:E2595)*(E2=E$1:E2595))))))</f>
        <v/>
      </c>
      <c r="K2596" s="24" t="str">
        <f>IF(OR(E2596="",E2596="!!!",F2596="NEW"),"",INDEX(J$1:J2595,SUMPRODUCT(MAX(ROW(E$1:E2595)*(E2596=E$1:E2595)))))</f>
        <v/>
      </c>
      <c r="L2596" s="25"/>
    </row>
    <row r="2597" spans="1:12" x14ac:dyDescent="0.2">
      <c r="A2597" t="s">
        <v>809</v>
      </c>
      <c r="E2597" s="20" t="str">
        <f t="shared" si="288"/>
        <v/>
      </c>
      <c r="F2597" s="21" t="str">
        <f>IF(OR(E2597="",E2597="!!!"),"",IF(NOT(ISNA(VLOOKUP(E2597,E$1:E2596,1,FALSE()))),"OLD",IF(AND(E2597&lt;&gt;"",E2597&lt;&gt;"!!!"),"NEW","")))</f>
        <v/>
      </c>
      <c r="G2597" s="22" t="str">
        <f>IF(OR(E2597="",E2597="!!!"),"",IF(OR(J2597=0,AND(J2597=1,K2597=1),AND(J2597=1,I2597="SBJ"),AND(J2597=1,I2597=0)),"?IN_FOCUS",IF(J2597&lt;=2,"?ACTIVATED",IF(J2597&lt;&gt;"","?FAMILIAR",IF(F2597="NEW",IF(ISNA(VLOOKUP(E2597,#REF!,1,FALSE())),"?TYPE_IDENTIFIABLE","?REFERENTIAL"),"_")))))</f>
        <v/>
      </c>
      <c r="H2597" s="23" t="str">
        <f t="shared" ca="1" si="289"/>
        <v/>
      </c>
      <c r="I2597" s="24" t="str">
        <f>IF(OR(E2597="",E2597="!!!",F2597="NEW"),"",INDEX(B$2:B2596,-1+SUMPRODUCT(MAX(ROW(E$2:E2596)*(E2597=E$2:E2596)))))</f>
        <v/>
      </c>
      <c r="J2597" s="24" t="str">
        <f ca="1">IF(OR(E2597="",E2597="!!!",F2597="NEW"),"",COUNTBLANK(OFFSET(A$1,,,SUMPRODUCT(MAX(ROW(E$2:E2597)*(E2597=E$2:E2597)))))-COUNTBLANK(OFFSET(A$1,,,SUMPRODUCT(MAX(ROW(E$1:E2596)*(E2=E$1:E2596))))))</f>
        <v/>
      </c>
      <c r="K2597" s="24" t="str">
        <f>IF(OR(E2597="",E2597="!!!",F2597="NEW"),"",INDEX(J$1:J2596,SUMPRODUCT(MAX(ROW(E$1:E2596)*(E2597=E$1:E2596)))))</f>
        <v/>
      </c>
      <c r="L2597" s="25"/>
    </row>
    <row r="2598" spans="1:12" x14ac:dyDescent="0.2">
      <c r="A2598" t="s">
        <v>1566</v>
      </c>
      <c r="E2598" s="20" t="str">
        <f t="shared" si="288"/>
        <v/>
      </c>
      <c r="F2598" s="21" t="str">
        <f>IF(OR(E2598="",E2598="!!!"),"",IF(NOT(ISNA(VLOOKUP(E2598,E$1:E2597,1,FALSE()))),"OLD",IF(AND(E2598&lt;&gt;"",E2598&lt;&gt;"!!!"),"NEW","")))</f>
        <v/>
      </c>
      <c r="G2598" s="22" t="str">
        <f>IF(OR(E2598="",E2598="!!!"),"",IF(OR(J2598=0,AND(J2598=1,K2598=1),AND(J2598=1,I2598="SBJ"),AND(J2598=1,I2598=0)),"?IN_FOCUS",IF(J2598&lt;=2,"?ACTIVATED",IF(J2598&lt;&gt;"","?FAMILIAR",IF(F2598="NEW",IF(ISNA(VLOOKUP(E2598,#REF!,1,FALSE())),"?TYPE_IDENTIFIABLE","?REFERENTIAL"),"_")))))</f>
        <v/>
      </c>
      <c r="H2598" s="23" t="str">
        <f t="shared" ca="1" si="289"/>
        <v/>
      </c>
      <c r="I2598" s="24" t="str">
        <f>IF(OR(E2598="",E2598="!!!",F2598="NEW"),"",INDEX(B$2:B2597,-1+SUMPRODUCT(MAX(ROW(E$2:E2597)*(E2598=E$2:E2597)))))</f>
        <v/>
      </c>
      <c r="J2598" s="24" t="str">
        <f ca="1">IF(OR(E2598="",E2598="!!!",F2598="NEW"),"",COUNTBLANK(OFFSET(A$1,,,SUMPRODUCT(MAX(ROW(E$2:E2598)*(E2598=E$2:E2598)))))-COUNTBLANK(OFFSET(A$1,,,SUMPRODUCT(MAX(ROW(E$1:E2597)*(E2=E$1:E2597))))))</f>
        <v/>
      </c>
      <c r="K2598" s="24" t="str">
        <f>IF(OR(E2598="",E2598="!!!",F2598="NEW"),"",INDEX(J$1:J2597,SUMPRODUCT(MAX(ROW(E$1:E2597)*(E2598=E$1:E2597)))))</f>
        <v/>
      </c>
      <c r="L2598" s="25"/>
    </row>
    <row r="2599" spans="1:12" x14ac:dyDescent="0.2">
      <c r="A2599" t="s">
        <v>1567</v>
      </c>
      <c r="B2599" s="26" t="s">
        <v>938</v>
      </c>
      <c r="C2599" s="26" t="s">
        <v>811</v>
      </c>
      <c r="E2599" s="20" t="str">
        <f t="shared" si="288"/>
        <v/>
      </c>
      <c r="F2599" s="21" t="str">
        <f>IF(OR(E2599="",E2599="!!!"),"",IF(NOT(ISNA(VLOOKUP(E2599,E$1:E2598,1,FALSE()))),"OLD",IF(AND(E2599&lt;&gt;"",E2599&lt;&gt;"!!!"),"NEW","")))</f>
        <v/>
      </c>
      <c r="G2599" s="22" t="str">
        <f>IF(OR(E2599="",E2599="!!!"),"",IF(OR(J2599=0,AND(J2599=1,K2599=1),AND(J2599=1,I2599="SBJ"),AND(J2599=1,I2599=0)),"?IN_FOCUS",IF(J2599&lt;=2,"?ACTIVATED",IF(J2599&lt;&gt;"","?FAMILIAR",IF(F2599="NEW",IF(ISNA(VLOOKUP(E2599,#REF!,1,FALSE())),"?TYPE_IDENTIFIABLE","?REFERENTIAL"),"_")))))</f>
        <v/>
      </c>
      <c r="H2599" s="23" t="str">
        <f t="shared" ca="1" si="289"/>
        <v/>
      </c>
      <c r="I2599" s="24" t="str">
        <f>IF(OR(E2599="",E2599="!!!",F2599="NEW"),"",INDEX(B$2:B2598,-1+SUMPRODUCT(MAX(ROW(E$2:E2598)*(E2599=E$2:E2598)))))</f>
        <v/>
      </c>
      <c r="J2599" s="24" t="str">
        <f ca="1">IF(OR(E2599="",E2599="!!!",F2599="NEW"),"",COUNTBLANK(OFFSET(A$1,,,SUMPRODUCT(MAX(ROW(E$2:E2599)*(E2599=E$2:E2599)))))-COUNTBLANK(OFFSET(A$1,,,SUMPRODUCT(MAX(ROW(E$1:E2598)*(E2=E$1:E2598))))))</f>
        <v/>
      </c>
      <c r="K2599" s="24" t="str">
        <f>IF(OR(E2599="",E2599="!!!",F2599="NEW"),"",INDEX(J$1:J2598,SUMPRODUCT(MAX(ROW(E$1:E2598)*(E2599=E$1:E2598)))))</f>
        <v/>
      </c>
      <c r="L2599" s="25"/>
    </row>
    <row r="2600" spans="1:12" x14ac:dyDescent="0.2">
      <c r="A2600" t="s">
        <v>802</v>
      </c>
      <c r="E2600" s="20" t="str">
        <f t="shared" si="288"/>
        <v/>
      </c>
      <c r="F2600" s="21" t="str">
        <f>IF(OR(E2600="",E2600="!!!"),"",IF(NOT(ISNA(VLOOKUP(E2600,E$1:E2599,1,FALSE()))),"OLD",IF(AND(E2600&lt;&gt;"",E2600&lt;&gt;"!!!"),"NEW","")))</f>
        <v/>
      </c>
      <c r="G2600" s="22" t="str">
        <f>IF(OR(E2600="",E2600="!!!"),"",IF(OR(J2600=0,AND(J2600=1,K2600=1),AND(J2600=1,I2600="SBJ"),AND(J2600=1,I2600=0)),"?IN_FOCUS",IF(J2600&lt;=2,"?ACTIVATED",IF(J2600&lt;&gt;"","?FAMILIAR",IF(F2600="NEW",IF(ISNA(VLOOKUP(E2600,#REF!,1,FALSE())),"?TYPE_IDENTIFIABLE","?REFERENTIAL"),"_")))))</f>
        <v/>
      </c>
      <c r="H2600" s="23" t="str">
        <f t="shared" ca="1" si="289"/>
        <v/>
      </c>
      <c r="I2600" s="24" t="str">
        <f>IF(OR(E2600="",E2600="!!!",F2600="NEW"),"",INDEX(B$2:B2599,-1+SUMPRODUCT(MAX(ROW(E$2:E2599)*(E2600=E$2:E2599)))))</f>
        <v/>
      </c>
      <c r="J2600" s="24" t="str">
        <f ca="1">IF(OR(E2600="",E2600="!!!",F2600="NEW"),"",COUNTBLANK(OFFSET(A$1,,,SUMPRODUCT(MAX(ROW(E$2:E2600)*(E2600=E$2:E2600)))))-COUNTBLANK(OFFSET(A$1,,,SUMPRODUCT(MAX(ROW(E$1:E2599)*(E2=E$1:E2599))))))</f>
        <v/>
      </c>
      <c r="K2600" s="24" t="str">
        <f>IF(OR(E2600="",E2600="!!!",F2600="NEW"),"",INDEX(J$1:J2599,SUMPRODUCT(MAX(ROW(E$1:E2599)*(E2600=E$1:E2599)))))</f>
        <v/>
      </c>
      <c r="L2600" s="25"/>
    </row>
    <row r="2601" spans="1:12" x14ac:dyDescent="0.2">
      <c r="A2601" t="s">
        <v>1127</v>
      </c>
      <c r="E2601" s="20" t="str">
        <f t="shared" si="288"/>
        <v/>
      </c>
      <c r="F2601" s="21" t="str">
        <f>IF(OR(E2601="",E2601="!!!"),"",IF(NOT(ISNA(VLOOKUP(E2601,E$1:E2600,1,FALSE()))),"OLD",IF(AND(E2601&lt;&gt;"",E2601&lt;&gt;"!!!"),"NEW","")))</f>
        <v/>
      </c>
      <c r="G2601" s="22" t="str">
        <f>IF(OR(E2601="",E2601="!!!"),"",IF(OR(J2601=0,AND(J2601=1,K2601=1),AND(J2601=1,I2601="SBJ"),AND(J2601=1,I2601=0)),"?IN_FOCUS",IF(J2601&lt;=2,"?ACTIVATED",IF(J2601&lt;&gt;"","?FAMILIAR",IF(F2601="NEW",IF(ISNA(VLOOKUP(E2601,#REF!,1,FALSE())),"?TYPE_IDENTIFIABLE","?REFERENTIAL"),"_")))))</f>
        <v/>
      </c>
      <c r="H2601" s="23" t="str">
        <f t="shared" ca="1" si="289"/>
        <v/>
      </c>
      <c r="I2601" s="24" t="str">
        <f>IF(OR(E2601="",E2601="!!!",F2601="NEW"),"",INDEX(B$2:B2600,-1+SUMPRODUCT(MAX(ROW(E$2:E2600)*(E2601=E$2:E2600)))))</f>
        <v/>
      </c>
      <c r="J2601" s="24" t="str">
        <f ca="1">IF(OR(E2601="",E2601="!!!",F2601="NEW"),"",COUNTBLANK(OFFSET(A$1,,,SUMPRODUCT(MAX(ROW(E$2:E2601)*(E2601=E$2:E2601)))))-COUNTBLANK(OFFSET(A$1,,,SUMPRODUCT(MAX(ROW(E$1:E2600)*(E2=E$1:E2600))))))</f>
        <v/>
      </c>
      <c r="K2601" s="24" t="str">
        <f>IF(OR(E2601="",E2601="!!!",F2601="NEW"),"",INDEX(J$1:J2600,SUMPRODUCT(MAX(ROW(E$1:E2600)*(E2601=E$1:E2600)))))</f>
        <v/>
      </c>
      <c r="L2601" s="25"/>
    </row>
    <row r="2602" spans="1:12" x14ac:dyDescent="0.2">
      <c r="A2602" t="s">
        <v>845</v>
      </c>
      <c r="E2602" s="20" t="str">
        <f t="shared" si="288"/>
        <v/>
      </c>
      <c r="F2602" s="21" t="str">
        <f>IF(OR(E2602="",E2602="!!!"),"",IF(NOT(ISNA(VLOOKUP(E2602,E$1:E2601,1,FALSE()))),"OLD",IF(AND(E2602&lt;&gt;"",E2602&lt;&gt;"!!!"),"NEW","")))</f>
        <v/>
      </c>
      <c r="G2602" s="22" t="str">
        <f>IF(OR(E2602="",E2602="!!!"),"",IF(OR(J2602=0,AND(J2602=1,K2602=1),AND(J2602=1,I2602="SBJ"),AND(J2602=1,I2602=0)),"?IN_FOCUS",IF(J2602&lt;=2,"?ACTIVATED",IF(J2602&lt;&gt;"","?FAMILIAR",IF(F2602="NEW",IF(ISNA(VLOOKUP(E2602,#REF!,1,FALSE())),"?TYPE_IDENTIFIABLE","?REFERENTIAL"),"_")))))</f>
        <v/>
      </c>
      <c r="H2602" s="23" t="str">
        <f t="shared" ca="1" si="289"/>
        <v/>
      </c>
      <c r="I2602" s="24" t="str">
        <f>IF(OR(E2602="",E2602="!!!",F2602="NEW"),"",INDEX(B$2:B2601,-1+SUMPRODUCT(MAX(ROW(E$2:E2601)*(E2602=E$2:E2601)))))</f>
        <v/>
      </c>
      <c r="J2602" s="24" t="str">
        <f ca="1">IF(OR(E2602="",E2602="!!!",F2602="NEW"),"",COUNTBLANK(OFFSET(A$1,,,SUMPRODUCT(MAX(ROW(E$2:E2602)*(E2602=E$2:E2602)))))-COUNTBLANK(OFFSET(A$1,,,SUMPRODUCT(MAX(ROW(E$1:E2601)*(E2=E$1:E2601))))))</f>
        <v/>
      </c>
      <c r="K2602" s="24" t="str">
        <f>IF(OR(E2602="",E2602="!!!",F2602="NEW"),"",INDEX(J$1:J2601,SUMPRODUCT(MAX(ROW(E$1:E2601)*(E2602=E$1:E2601)))))</f>
        <v/>
      </c>
      <c r="L2602" s="25"/>
    </row>
    <row r="2603" spans="1:12" x14ac:dyDescent="0.2">
      <c r="A2603" t="s">
        <v>1231</v>
      </c>
      <c r="B2603" s="26" t="s">
        <v>950</v>
      </c>
      <c r="C2603" s="26" t="s">
        <v>847</v>
      </c>
      <c r="D2603" s="26" t="s">
        <v>806</v>
      </c>
      <c r="E2603" s="20" t="s">
        <v>1803</v>
      </c>
      <c r="F2603" s="21" t="str">
        <f>IF(OR(E2603="",E2603="!!!"),"",IF(NOT(ISNA(VLOOKUP(E2603,E$1:E2602,1,FALSE()))),"OLD",IF(AND(E2603&lt;&gt;"",E2603&lt;&gt;"!!!"),"NEW","")))</f>
        <v>OLD</v>
      </c>
      <c r="G2603" s="22" t="s">
        <v>1822</v>
      </c>
      <c r="H2603" s="23" t="str">
        <f t="shared" ca="1" si="289"/>
        <v/>
      </c>
      <c r="I2603" s="24" t="str">
        <f>IF(OR(E2603="",E2603="!!!",F2603="NEW"),"",INDEX(B$2:B2602,-1+SUMPRODUCT(MAX(ROW(E$2:E2602)*(E2603=E$2:E2602)))))</f>
        <v>SBJ</v>
      </c>
      <c r="J2603" s="24">
        <f ca="1">IF(OR(E2603="",E2603="!!!",F2603="NEW"),"",COUNTBLANK(OFFSET(A$1,,,SUMPRODUCT(MAX(ROW(E$2:E2603)*(E2603=E$2:E2603)))))-COUNTBLANK(OFFSET(A$1,,,SUMPRODUCT(MAX(ROW(E$1:E2602)*(E2=E$1:E2602))))))</f>
        <v>0</v>
      </c>
      <c r="K2603" s="24" t="str">
        <f ca="1">IF(OR(E2603="",E2603="!!!",F2603="NEW"),"",INDEX(J$1:J2602,SUMPRODUCT(MAX(ROW(E$1:E2602)*(E2603=E$1:E2602)))))</f>
        <v/>
      </c>
      <c r="L2603" s="25"/>
    </row>
    <row r="2604" spans="1:12" x14ac:dyDescent="0.2">
      <c r="A2604" t="s">
        <v>1060</v>
      </c>
      <c r="B2604" s="26" t="s">
        <v>944</v>
      </c>
      <c r="E2604" s="20" t="str">
        <f t="shared" si="288"/>
        <v/>
      </c>
      <c r="F2604" s="21" t="str">
        <f>IF(OR(E2604="",E2604="!!!"),"",IF(NOT(ISNA(VLOOKUP(E2604,E$1:E2603,1,FALSE()))),"OLD",IF(AND(E2604&lt;&gt;"",E2604&lt;&gt;"!!!"),"NEW","")))</f>
        <v/>
      </c>
      <c r="G2604" s="22" t="str">
        <f>IF(OR(E2604="",E2604="!!!"),"",IF(OR(J2604=0,AND(J2604=1,K2604=1),AND(J2604=1,I2604="SBJ"),AND(J2604=1,I2604=0)),"?IN_FOCUS",IF(J2604&lt;=2,"?ACTIVATED",IF(J2604&lt;&gt;"","?FAMILIAR",IF(F2604="NEW",IF(ISNA(VLOOKUP(E2604,#REF!,1,FALSE())),"?TYPE_IDENTIFIABLE","?REFERENTIAL"),"_")))))</f>
        <v/>
      </c>
      <c r="H2604" s="23" t="str">
        <f t="shared" ca="1" si="289"/>
        <v/>
      </c>
      <c r="I2604" s="24" t="str">
        <f>IF(OR(E2604="",E2604="!!!",F2604="NEW"),"",INDEX(B$2:B2603,-1+SUMPRODUCT(MAX(ROW(E$2:E2603)*(E2604=E$2:E2603)))))</f>
        <v/>
      </c>
      <c r="J2604" s="24" t="str">
        <f ca="1">IF(OR(E2604="",E2604="!!!",F2604="NEW"),"",COUNTBLANK(OFFSET(A$1,,,SUMPRODUCT(MAX(ROW(E$2:E2604)*(E2604=E$2:E2604)))))-COUNTBLANK(OFFSET(A$1,,,SUMPRODUCT(MAX(ROW(E$1:E2603)*(E2=E$1:E2603))))))</f>
        <v/>
      </c>
      <c r="K2604" s="24" t="str">
        <f>IF(OR(E2604="",E2604="!!!",F2604="NEW"),"",INDEX(J$1:J2603,SUMPRODUCT(MAX(ROW(E$1:E2603)*(E2604=E$1:E2603)))))</f>
        <v/>
      </c>
      <c r="L2604" s="25"/>
    </row>
    <row r="2605" spans="1:12" x14ac:dyDescent="0.2">
      <c r="A2605" t="s">
        <v>1568</v>
      </c>
      <c r="E2605" s="20" t="str">
        <f t="shared" si="288"/>
        <v/>
      </c>
      <c r="F2605" s="21" t="str">
        <f>IF(OR(E2605="",E2605="!!!"),"",IF(NOT(ISNA(VLOOKUP(E2605,E$1:E2604,1,FALSE()))),"OLD",IF(AND(E2605&lt;&gt;"",E2605&lt;&gt;"!!!"),"NEW","")))</f>
        <v/>
      </c>
      <c r="G2605" s="22" t="str">
        <f>IF(OR(E2605="",E2605="!!!"),"",IF(OR(J2605=0,AND(J2605=1,K2605=1),AND(J2605=1,I2605="SBJ"),AND(J2605=1,I2605=0)),"?IN_FOCUS",IF(J2605&lt;=2,"?ACTIVATED",IF(J2605&lt;&gt;"","?FAMILIAR",IF(F2605="NEW",IF(ISNA(VLOOKUP(E2605,#REF!,1,FALSE())),"?TYPE_IDENTIFIABLE","?REFERENTIAL"),"_")))))</f>
        <v/>
      </c>
      <c r="H2605" s="23" t="str">
        <f t="shared" ca="1" si="289"/>
        <v/>
      </c>
      <c r="I2605" s="24" t="str">
        <f>IF(OR(E2605="",E2605="!!!",F2605="NEW"),"",INDEX(B$2:B2604,-1+SUMPRODUCT(MAX(ROW(E$2:E2604)*(E2605=E$2:E2604)))))</f>
        <v/>
      </c>
      <c r="J2605" s="24" t="str">
        <f ca="1">IF(OR(E2605="",E2605="!!!",F2605="NEW"),"",COUNTBLANK(OFFSET(A$1,,,SUMPRODUCT(MAX(ROW(E$2:E2605)*(E2605=E$2:E2605)))))-COUNTBLANK(OFFSET(A$1,,,SUMPRODUCT(MAX(ROW(E$1:E2604)*(E2=E$1:E2604))))))</f>
        <v/>
      </c>
      <c r="K2605" s="24" t="str">
        <f>IF(OR(E2605="",E2605="!!!",F2605="NEW"),"",INDEX(J$1:J2604,SUMPRODUCT(MAX(ROW(E$1:E2604)*(E2605=E$1:E2604)))))</f>
        <v/>
      </c>
      <c r="L2605" s="25"/>
    </row>
    <row r="2606" spans="1:12" x14ac:dyDescent="0.2">
      <c r="A2606" t="s">
        <v>1307</v>
      </c>
      <c r="E2606" s="20" t="str">
        <f t="shared" si="288"/>
        <v/>
      </c>
      <c r="F2606" s="21" t="str">
        <f>IF(OR(E2606="",E2606="!!!"),"",IF(NOT(ISNA(VLOOKUP(E2606,E$1:E2605,1,FALSE()))),"OLD",IF(AND(E2606&lt;&gt;"",E2606&lt;&gt;"!!!"),"NEW","")))</f>
        <v/>
      </c>
      <c r="G2606" s="22" t="str">
        <f>IF(OR(E2606="",E2606="!!!"),"",IF(OR(J2606=0,AND(J2606=1,K2606=1),AND(J2606=1,I2606="SBJ"),AND(J2606=1,I2606=0)),"?IN_FOCUS",IF(J2606&lt;=2,"?ACTIVATED",IF(J2606&lt;&gt;"","?FAMILIAR",IF(F2606="NEW",IF(ISNA(VLOOKUP(E2606,#REF!,1,FALSE())),"?TYPE_IDENTIFIABLE","?REFERENTIAL"),"_")))))</f>
        <v/>
      </c>
      <c r="H2606" s="23" t="str">
        <f t="shared" ca="1" si="289"/>
        <v/>
      </c>
      <c r="I2606" s="24" t="str">
        <f>IF(OR(E2606="",E2606="!!!",F2606="NEW"),"",INDEX(B$2:B2605,-1+SUMPRODUCT(MAX(ROW(E$2:E2605)*(E2606=E$2:E2605)))))</f>
        <v/>
      </c>
      <c r="J2606" s="24" t="str">
        <f ca="1">IF(OR(E2606="",E2606="!!!",F2606="NEW"),"",COUNTBLANK(OFFSET(A$1,,,SUMPRODUCT(MAX(ROW(E$2:E2606)*(E2606=E$2:E2606)))))-COUNTBLANK(OFFSET(A$1,,,SUMPRODUCT(MAX(ROW(E$1:E2605)*(E2=E$1:E2605))))))</f>
        <v/>
      </c>
      <c r="K2606" s="24" t="str">
        <f>IF(OR(E2606="",E2606="!!!",F2606="NEW"),"",INDEX(J$1:J2605,SUMPRODUCT(MAX(ROW(E$1:E2605)*(E2606=E$1:E2605)))))</f>
        <v/>
      </c>
      <c r="L2606" s="25"/>
    </row>
    <row r="2607" spans="1:12" x14ac:dyDescent="0.2">
      <c r="A2607" t="s">
        <v>1060</v>
      </c>
      <c r="E2607" s="20" t="str">
        <f t="shared" si="288"/>
        <v/>
      </c>
      <c r="F2607" s="21" t="str">
        <f>IF(OR(E2607="",E2607="!!!"),"",IF(NOT(ISNA(VLOOKUP(E2607,E$1:E2606,1,FALSE()))),"OLD",IF(AND(E2607&lt;&gt;"",E2607&lt;&gt;"!!!"),"NEW","")))</f>
        <v/>
      </c>
      <c r="G2607" s="22" t="str">
        <f>IF(OR(E2607="",E2607="!!!"),"",IF(OR(J2607=0,AND(J2607=1,K2607=1),AND(J2607=1,I2607="SBJ"),AND(J2607=1,I2607=0)),"?IN_FOCUS",IF(J2607&lt;=2,"?ACTIVATED",IF(J2607&lt;&gt;"","?FAMILIAR",IF(F2607="NEW",IF(ISNA(VLOOKUP(E2607,#REF!,1,FALSE())),"?TYPE_IDENTIFIABLE","?REFERENTIAL"),"_")))))</f>
        <v/>
      </c>
      <c r="H2607" s="23" t="str">
        <f t="shared" ca="1" si="289"/>
        <v/>
      </c>
      <c r="I2607" s="24" t="str">
        <f>IF(OR(E2607="",E2607="!!!",F2607="NEW"),"",INDEX(B$2:B2606,-1+SUMPRODUCT(MAX(ROW(E$2:E2606)*(E2607=E$2:E2606)))))</f>
        <v/>
      </c>
      <c r="J2607" s="24" t="str">
        <f ca="1">IF(OR(E2607="",E2607="!!!",F2607="NEW"),"",COUNTBLANK(OFFSET(A$1,,,SUMPRODUCT(MAX(ROW(E$2:E2607)*(E2607=E$2:E2607)))))-COUNTBLANK(OFFSET(A$1,,,SUMPRODUCT(MAX(ROW(E$1:E2606)*(E2=E$1:E2606))))))</f>
        <v/>
      </c>
      <c r="K2607" s="24" t="str">
        <f>IF(OR(E2607="",E2607="!!!",F2607="NEW"),"",INDEX(J$1:J2606,SUMPRODUCT(MAX(ROW(E$1:E2606)*(E2607=E$1:E2606)))))</f>
        <v/>
      </c>
      <c r="L2607" s="25"/>
    </row>
    <row r="2608" spans="1:12" x14ac:dyDescent="0.2">
      <c r="A2608" t="s">
        <v>530</v>
      </c>
      <c r="B2608" s="26" t="s">
        <v>899</v>
      </c>
      <c r="C2608" s="26" t="s">
        <v>877</v>
      </c>
      <c r="D2608" s="26" t="s">
        <v>806</v>
      </c>
      <c r="E2608" s="20" t="s">
        <v>1776</v>
      </c>
      <c r="F2608" s="21" t="str">
        <f>IF(OR(E2608="",E2608="!!!"),"",IF(NOT(ISNA(VLOOKUP(E2608,E$1:E2607,1,FALSE()))),"OLD",IF(AND(E2608&lt;&gt;"",E2608&lt;&gt;"!!!"),"NEW","")))</f>
        <v>OLD</v>
      </c>
      <c r="G2608" s="22" t="s">
        <v>1825</v>
      </c>
      <c r="H2608" s="23" t="str">
        <f t="shared" ca="1" si="289"/>
        <v/>
      </c>
      <c r="I2608" s="24" t="str">
        <f>IF(OR(E2608="",E2608="!!!",F2608="NEW"),"",INDEX(B$2:B2607,-1+SUMPRODUCT(MAX(ROW(E$2:E2607)*(E2608=E$2:E2607)))))</f>
        <v>other_2</v>
      </c>
      <c r="J2608" s="24">
        <f ca="1">IF(OR(E2608="",E2608="!!!",F2608="NEW"),"",COUNTBLANK(OFFSET(A$1,,,SUMPRODUCT(MAX(ROW(E$2:E2608)*(E2608=E$2:E2608)))))-COUNTBLANK(OFFSET(A$1,,,SUMPRODUCT(MAX(ROW(E$1:E2607)*(E2=E$1:E2607))))))</f>
        <v>0</v>
      </c>
      <c r="K2608" s="24">
        <f ca="1">IF(OR(E2608="",E2608="!!!",F2608="NEW"),"",INDEX(J$1:J2607,SUMPRODUCT(MAX(ROW(E$1:E2607)*(E2608=E$1:E2607)))))</f>
        <v>0</v>
      </c>
      <c r="L2608" s="25"/>
    </row>
    <row r="2609" spans="1:12" x14ac:dyDescent="0.2">
      <c r="A2609" t="s">
        <v>1569</v>
      </c>
      <c r="E2609" s="20" t="str">
        <f t="shared" si="288"/>
        <v/>
      </c>
      <c r="F2609" s="21" t="str">
        <f>IF(OR(E2609="",E2609="!!!"),"",IF(NOT(ISNA(VLOOKUP(E2609,E$1:E2608,1,FALSE()))),"OLD",IF(AND(E2609&lt;&gt;"",E2609&lt;&gt;"!!!"),"NEW","")))</f>
        <v/>
      </c>
      <c r="G2609" s="22" t="str">
        <f>IF(OR(E2609="",E2609="!!!"),"",IF(OR(J2609=0,AND(J2609=1,K2609=1),AND(J2609=1,I2609="SBJ"),AND(J2609=1,I2609=0)),"?IN_FOCUS",IF(J2609&lt;=2,"?ACTIVATED",IF(J2609&lt;&gt;"","?FAMILIAR",IF(F2609="NEW",IF(ISNA(VLOOKUP(E2609,#REF!,1,FALSE())),"?TYPE_IDENTIFIABLE","?REFERENTIAL"),"_")))))</f>
        <v/>
      </c>
      <c r="H2609" s="23" t="str">
        <f t="shared" ca="1" si="289"/>
        <v/>
      </c>
      <c r="I2609" s="24" t="str">
        <f>IF(OR(E2609="",E2609="!!!",F2609="NEW"),"",INDEX(B$2:B2608,-1+SUMPRODUCT(MAX(ROW(E$2:E2608)*(E2609=E$2:E2608)))))</f>
        <v/>
      </c>
      <c r="J2609" s="24" t="str">
        <f ca="1">IF(OR(E2609="",E2609="!!!",F2609="NEW"),"",COUNTBLANK(OFFSET(A$1,,,SUMPRODUCT(MAX(ROW(E$2:E2609)*(E2609=E$2:E2609)))))-COUNTBLANK(OFFSET(A$1,,,SUMPRODUCT(MAX(ROW(E$1:E2608)*(E2=E$1:E2608))))))</f>
        <v/>
      </c>
      <c r="K2609" s="24" t="str">
        <f>IF(OR(E2609="",E2609="!!!",F2609="NEW"),"",INDEX(J$1:J2608,SUMPRODUCT(MAX(ROW(E$1:E2608)*(E2609=E$1:E2608)))))</f>
        <v/>
      </c>
      <c r="L2609" s="25"/>
    </row>
    <row r="2610" spans="1:12" x14ac:dyDescent="0.2">
      <c r="A2610" t="s">
        <v>815</v>
      </c>
      <c r="E2610" s="20" t="str">
        <f t="shared" si="288"/>
        <v/>
      </c>
      <c r="F2610" s="21" t="str">
        <f>IF(OR(E2610="",E2610="!!!"),"",IF(NOT(ISNA(VLOOKUP(E2610,E$1:E2609,1,FALSE()))),"OLD",IF(AND(E2610&lt;&gt;"",E2610&lt;&gt;"!!!"),"NEW","")))</f>
        <v/>
      </c>
      <c r="G2610" s="22" t="str">
        <f>IF(OR(E2610="",E2610="!!!"),"",IF(OR(J2610=0,AND(J2610=1,K2610=1),AND(J2610=1,I2610="SBJ"),AND(J2610=1,I2610=0)),"?IN_FOCUS",IF(J2610&lt;=2,"?ACTIVATED",IF(J2610&lt;&gt;"","?FAMILIAR",IF(F2610="NEW",IF(ISNA(VLOOKUP(E2610,#REF!,1,FALSE())),"?TYPE_IDENTIFIABLE","?REFERENTIAL"),"_")))))</f>
        <v/>
      </c>
      <c r="H2610" s="23" t="str">
        <f t="shared" ca="1" si="289"/>
        <v/>
      </c>
      <c r="I2610" s="24" t="str">
        <f>IF(OR(E2610="",E2610="!!!",F2610="NEW"),"",INDEX(B$2:B2609,-1+SUMPRODUCT(MAX(ROW(E$2:E2609)*(E2610=E$2:E2609)))))</f>
        <v/>
      </c>
      <c r="J2610" s="24" t="str">
        <f ca="1">IF(OR(E2610="",E2610="!!!",F2610="NEW"),"",COUNTBLANK(OFFSET(A$1,,,SUMPRODUCT(MAX(ROW(E$2:E2610)*(E2610=E$2:E2610)))))-COUNTBLANK(OFFSET(A$1,,,SUMPRODUCT(MAX(ROW(E$1:E2609)*(E2=E$1:E2609))))))</f>
        <v/>
      </c>
      <c r="K2610" s="24" t="str">
        <f>IF(OR(E2610="",E2610="!!!",F2610="NEW"),"",INDEX(J$1:J2609,SUMPRODUCT(MAX(ROW(E$1:E2609)*(E2610=E$1:E2609)))))</f>
        <v/>
      </c>
      <c r="L2610" s="25"/>
    </row>
    <row r="2611" spans="1:12" x14ac:dyDescent="0.2">
      <c r="A2611" t="s">
        <v>1028</v>
      </c>
      <c r="E2611" s="20" t="str">
        <f t="shared" si="288"/>
        <v/>
      </c>
      <c r="F2611" s="21" t="str">
        <f>IF(OR(E2611="",E2611="!!!"),"",IF(NOT(ISNA(VLOOKUP(E2611,E$1:E2610,1,FALSE()))),"OLD",IF(AND(E2611&lt;&gt;"",E2611&lt;&gt;"!!!"),"NEW","")))</f>
        <v/>
      </c>
      <c r="G2611" s="22" t="str">
        <f>IF(OR(E2611="",E2611="!!!"),"",IF(OR(J2611=0,AND(J2611=1,K2611=1),AND(J2611=1,I2611="SBJ"),AND(J2611=1,I2611=0)),"?IN_FOCUS",IF(J2611&lt;=2,"?ACTIVATED",IF(J2611&lt;&gt;"","?FAMILIAR",IF(F2611="NEW",IF(ISNA(VLOOKUP(E2611,#REF!,1,FALSE())),"?TYPE_IDENTIFIABLE","?REFERENTIAL"),"_")))))</f>
        <v/>
      </c>
      <c r="H2611" s="23" t="str">
        <f t="shared" ca="1" si="289"/>
        <v/>
      </c>
      <c r="I2611" s="24" t="str">
        <f>IF(OR(E2611="",E2611="!!!",F2611="NEW"),"",INDEX(B$2:B2610,-1+SUMPRODUCT(MAX(ROW(E$2:E2610)*(E2611=E$2:E2610)))))</f>
        <v/>
      </c>
      <c r="J2611" s="24" t="str">
        <f ca="1">IF(OR(E2611="",E2611="!!!",F2611="NEW"),"",COUNTBLANK(OFFSET(A$1,,,SUMPRODUCT(MAX(ROW(E$2:E2611)*(E2611=E$2:E2611)))))-COUNTBLANK(OFFSET(A$1,,,SUMPRODUCT(MAX(ROW(E$1:E2610)*(E2=E$1:E2610))))))</f>
        <v/>
      </c>
      <c r="K2611" s="24" t="str">
        <f>IF(OR(E2611="",E2611="!!!",F2611="NEW"),"",INDEX(J$1:J2610,SUMPRODUCT(MAX(ROW(E$1:E2610)*(E2611=E$1:E2610)))))</f>
        <v/>
      </c>
      <c r="L2611" s="25"/>
    </row>
    <row r="2612" spans="1:12" x14ac:dyDescent="0.2">
      <c r="A2612" t="s">
        <v>845</v>
      </c>
      <c r="E2612" s="20" t="str">
        <f t="shared" si="288"/>
        <v/>
      </c>
      <c r="F2612" s="21" t="str">
        <f>IF(OR(E2612="",E2612="!!!"),"",IF(NOT(ISNA(VLOOKUP(E2612,E$1:E2611,1,FALSE()))),"OLD",IF(AND(E2612&lt;&gt;"",E2612&lt;&gt;"!!!"),"NEW","")))</f>
        <v/>
      </c>
      <c r="G2612" s="22" t="str">
        <f>IF(OR(E2612="",E2612="!!!"),"",IF(OR(J2612=0,AND(J2612=1,K2612=1),AND(J2612=1,I2612="SBJ"),AND(J2612=1,I2612=0)),"?IN_FOCUS",IF(J2612&lt;=2,"?ACTIVATED",IF(J2612&lt;&gt;"","?FAMILIAR",IF(F2612="NEW",IF(ISNA(VLOOKUP(E2612,#REF!,1,FALSE())),"?TYPE_IDENTIFIABLE","?REFERENTIAL"),"_")))))</f>
        <v/>
      </c>
      <c r="H2612" s="23" t="str">
        <f t="shared" ca="1" si="289"/>
        <v/>
      </c>
      <c r="I2612" s="24" t="str">
        <f>IF(OR(E2612="",E2612="!!!",F2612="NEW"),"",INDEX(B$2:B2611,-1+SUMPRODUCT(MAX(ROW(E$2:E2611)*(E2612=E$2:E2611)))))</f>
        <v/>
      </c>
      <c r="J2612" s="24" t="str">
        <f ca="1">IF(OR(E2612="",E2612="!!!",F2612="NEW"),"",COUNTBLANK(OFFSET(A$1,,,SUMPRODUCT(MAX(ROW(E$2:E2612)*(E2612=E$2:E2612)))))-COUNTBLANK(OFFSET(A$1,,,SUMPRODUCT(MAX(ROW(E$1:E2611)*(E2=E$1:E2611))))))</f>
        <v/>
      </c>
      <c r="K2612" s="24" t="str">
        <f>IF(OR(E2612="",E2612="!!!",F2612="NEW"),"",INDEX(J$1:J2611,SUMPRODUCT(MAX(ROW(E$1:E2611)*(E2612=E$1:E2611)))))</f>
        <v/>
      </c>
      <c r="L2612" s="25"/>
    </row>
    <row r="2613" spans="1:12" x14ac:dyDescent="0.2">
      <c r="A2613" t="s">
        <v>1208</v>
      </c>
      <c r="E2613" s="20" t="str">
        <f t="shared" si="288"/>
        <v/>
      </c>
      <c r="F2613" s="21" t="str">
        <f>IF(OR(E2613="",E2613="!!!"),"",IF(NOT(ISNA(VLOOKUP(E2613,E$1:E2612,1,FALSE()))),"OLD",IF(AND(E2613&lt;&gt;"",E2613&lt;&gt;"!!!"),"NEW","")))</f>
        <v/>
      </c>
      <c r="G2613" s="22" t="str">
        <f>IF(OR(E2613="",E2613="!!!"),"",IF(OR(J2613=0,AND(J2613=1,K2613=1),AND(J2613=1,I2613="SBJ"),AND(J2613=1,I2613=0)),"?IN_FOCUS",IF(J2613&lt;=2,"?ACTIVATED",IF(J2613&lt;&gt;"","?FAMILIAR",IF(F2613="NEW",IF(ISNA(VLOOKUP(E2613,#REF!,1,FALSE())),"?TYPE_IDENTIFIABLE","?REFERENTIAL"),"_")))))</f>
        <v/>
      </c>
      <c r="H2613" s="23" t="str">
        <f t="shared" ca="1" si="289"/>
        <v/>
      </c>
      <c r="I2613" s="24" t="str">
        <f>IF(OR(E2613="",E2613="!!!",F2613="NEW"),"",INDEX(B$2:B2612,-1+SUMPRODUCT(MAX(ROW(E$2:E2612)*(E2613=E$2:E2612)))))</f>
        <v/>
      </c>
      <c r="J2613" s="24" t="str">
        <f ca="1">IF(OR(E2613="",E2613="!!!",F2613="NEW"),"",COUNTBLANK(OFFSET(A$1,,,SUMPRODUCT(MAX(ROW(E$2:E2613)*(E2613=E$2:E2613)))))-COUNTBLANK(OFFSET(A$1,,,SUMPRODUCT(MAX(ROW(E$1:E2612)*(E2=E$1:E2612))))))</f>
        <v/>
      </c>
      <c r="K2613" s="24" t="str">
        <f>IF(OR(E2613="",E2613="!!!",F2613="NEW"),"",INDEX(J$1:J2612,SUMPRODUCT(MAX(ROW(E$1:E2612)*(E2613=E$1:E2612)))))</f>
        <v/>
      </c>
      <c r="L2613" s="25"/>
    </row>
    <row r="2614" spans="1:12" x14ac:dyDescent="0.2">
      <c r="A2614" t="s">
        <v>1570</v>
      </c>
      <c r="B2614" s="26" t="s">
        <v>813</v>
      </c>
      <c r="C2614" s="26" t="s">
        <v>854</v>
      </c>
      <c r="D2614" s="26" t="s">
        <v>806</v>
      </c>
      <c r="E2614" s="20" t="s">
        <v>1209</v>
      </c>
      <c r="F2614" s="21" t="str">
        <f>IF(OR(E2614="",E2614="!!!"),"",IF(NOT(ISNA(VLOOKUP(E2614,E$1:E2613,1,FALSE()))),"OLD",IF(AND(E2614&lt;&gt;"",E2614&lt;&gt;"!!!"),"NEW","")))</f>
        <v>OLD</v>
      </c>
      <c r="G2614" s="22" t="s">
        <v>1825</v>
      </c>
      <c r="H2614" s="23" t="str">
        <f t="shared" ca="1" si="289"/>
        <v/>
      </c>
      <c r="I2614" s="24" t="str">
        <f>IF(OR(E2614="",E2614="!!!",F2614="NEW"),"",INDEX(B$2:B2613,-1+SUMPRODUCT(MAX(ROW(E$2:E2613)*(E2614=E$2:E2613)))))</f>
        <v>other_2</v>
      </c>
      <c r="J2614" s="24">
        <f ca="1">IF(OR(E2614="",E2614="!!!",F2614="NEW"),"",COUNTBLANK(OFFSET(A$1,,,SUMPRODUCT(MAX(ROW(E$2:E2614)*(E2614=E$2:E2614)))))-COUNTBLANK(OFFSET(A$1,,,SUMPRODUCT(MAX(ROW(E$1:E2613)*(E2=E$1:E2613))))))</f>
        <v>0</v>
      </c>
      <c r="K2614" s="24">
        <f ca="1">IF(OR(E2614="",E2614="!!!",F2614="NEW"),"",INDEX(J$1:J2613,SUMPRODUCT(MAX(ROW(E$1:E2613)*(E2614=E$1:E2613)))))</f>
        <v>0</v>
      </c>
      <c r="L2614" s="25"/>
    </row>
    <row r="2615" spans="1:12" x14ac:dyDescent="0.2">
      <c r="A2615" t="s">
        <v>821</v>
      </c>
      <c r="E2615" s="20" t="str">
        <f t="shared" si="288"/>
        <v/>
      </c>
      <c r="F2615" s="21" t="str">
        <f>IF(OR(E2615="",E2615="!!!"),"",IF(NOT(ISNA(VLOOKUP(E2615,E$1:E2614,1,FALSE()))),"OLD",IF(AND(E2615&lt;&gt;"",E2615&lt;&gt;"!!!"),"NEW","")))</f>
        <v/>
      </c>
      <c r="G2615" s="22" t="str">
        <f>IF(OR(E2615="",E2615="!!!"),"",IF(OR(J2615=0,AND(J2615=1,K2615=1),AND(J2615=1,I2615="SBJ"),AND(J2615=1,I2615=0)),"?IN_FOCUS",IF(J2615&lt;=2,"?ACTIVATED",IF(J2615&lt;&gt;"","?FAMILIAR",IF(F2615="NEW",IF(ISNA(VLOOKUP(E2615,#REF!,1,FALSE())),"?TYPE_IDENTIFIABLE","?REFERENTIAL"),"_")))))</f>
        <v/>
      </c>
      <c r="H2615" s="23" t="str">
        <f t="shared" ca="1" si="289"/>
        <v/>
      </c>
      <c r="I2615" s="24" t="str">
        <f>IF(OR(E2615="",E2615="!!!",F2615="NEW"),"",INDEX(B$2:B2614,-1+SUMPRODUCT(MAX(ROW(E$2:E2614)*(E2615=E$2:E2614)))))</f>
        <v/>
      </c>
      <c r="J2615" s="24" t="str">
        <f ca="1">IF(OR(E2615="",E2615="!!!",F2615="NEW"),"",COUNTBLANK(OFFSET(A$1,,,SUMPRODUCT(MAX(ROW(E$2:E2615)*(E2615=E$2:E2615)))))-COUNTBLANK(OFFSET(A$1,,,SUMPRODUCT(MAX(ROW(E$1:E2614)*(E2=E$1:E2614))))))</f>
        <v/>
      </c>
      <c r="K2615" s="24" t="str">
        <f>IF(OR(E2615="",E2615="!!!",F2615="NEW"),"",INDEX(J$1:J2614,SUMPRODUCT(MAX(ROW(E$1:E2614)*(E2615=E$1:E2614)))))</f>
        <v/>
      </c>
      <c r="L2615" s="25"/>
    </row>
    <row r="2617" spans="1:12" x14ac:dyDescent="0.2">
      <c r="A2617" t="s">
        <v>1571</v>
      </c>
    </row>
    <row r="2618" spans="1:12" x14ac:dyDescent="0.2">
      <c r="A2618" t="s">
        <v>837</v>
      </c>
      <c r="B2618" s="26" t="s">
        <v>804</v>
      </c>
      <c r="C2618" s="26" t="s">
        <v>805</v>
      </c>
      <c r="D2618" s="26" t="s">
        <v>806</v>
      </c>
      <c r="E2618" s="20" t="s">
        <v>1209</v>
      </c>
      <c r="F2618" s="21" t="str">
        <f>IF(OR(E2618="",E2618="!!!"),"",IF(NOT(ISNA(VLOOKUP(E2618,E$1:E2617,1,FALSE()))),"OLD",IF(AND(E2618&lt;&gt;"",E2618&lt;&gt;"!!!"),"NEW","")))</f>
        <v>OLD</v>
      </c>
      <c r="G2618" s="22" t="s">
        <v>1823</v>
      </c>
      <c r="H2618" s="23" t="str">
        <f t="shared" ref="H2618:H2642" ca="1" si="290">IF(J2618&lt;&gt;1,"",IF(I2618="SBJ","CB","?"))</f>
        <v/>
      </c>
      <c r="I2618" s="24" t="str">
        <f>IF(OR(E2618="",E2618="!!!",F2618="NEW"),"",INDEX(B$2:B2617,-1+SUMPRODUCT(MAX(ROW(E$2:E2617)*(E2618=E$2:E2617)))))</f>
        <v>other_2</v>
      </c>
      <c r="J2618" s="24">
        <f ca="1">IF(OR(E2618="",E2618="!!!",F2618="NEW"),"",COUNTBLANK(OFFSET(A$1,,,SUMPRODUCT(MAX(ROW(E$2:E2618)*(E2618=E$2:E2618)))))-COUNTBLANK(OFFSET(A$1,,,SUMPRODUCT(MAX(ROW(E$1:E2617)*(E2=E$1:E2617))))))</f>
        <v>0</v>
      </c>
      <c r="K2618" s="24">
        <f ca="1">IF(OR(E2618="",E2618="!!!",F2618="NEW"),"",INDEX(J$1:J2617,SUMPRODUCT(MAX(ROW(E$1:E2617)*(E2618=E$1:E2617)))))</f>
        <v>0</v>
      </c>
      <c r="L2618" s="25"/>
    </row>
    <row r="2619" spans="1:12" x14ac:dyDescent="0.2">
      <c r="A2619" t="s">
        <v>898</v>
      </c>
      <c r="E2619" s="20" t="str">
        <f t="shared" ref="E2618:E2642" si="291">IF(D2619="?OLD","!!!","")</f>
        <v/>
      </c>
      <c r="F2619" s="21" t="str">
        <f>IF(OR(E2619="",E2619="!!!"),"",IF(NOT(ISNA(VLOOKUP(E2619,E$1:E2618,1,FALSE()))),"OLD",IF(AND(E2619&lt;&gt;"",E2619&lt;&gt;"!!!"),"NEW","")))</f>
        <v/>
      </c>
      <c r="G2619" s="22" t="str">
        <f>IF(OR(E2619="",E2619="!!!"),"",IF(OR(J2619=0,AND(J2619=1,K2619=1),AND(J2619=1,I2619="SBJ"),AND(J2619=1,I2619=0)),"?IN_FOCUS",IF(J2619&lt;=2,"?ACTIVATED",IF(J2619&lt;&gt;"","?FAMILIAR",IF(F2619="NEW",IF(ISNA(VLOOKUP(E2619,#REF!,1,FALSE())),"?TYPE_IDENTIFIABLE","?REFERENTIAL"),"_")))))</f>
        <v/>
      </c>
      <c r="H2619" s="23" t="str">
        <f t="shared" ca="1" si="290"/>
        <v/>
      </c>
      <c r="I2619" s="24" t="str">
        <f>IF(OR(E2619="",E2619="!!!",F2619="NEW"),"",INDEX(B$2:B2618,-1+SUMPRODUCT(MAX(ROW(E$2:E2618)*(E2619=E$2:E2618)))))</f>
        <v/>
      </c>
      <c r="J2619" s="24" t="str">
        <f ca="1">IF(OR(E2619="",E2619="!!!",F2619="NEW"),"",COUNTBLANK(OFFSET(A$1,,,SUMPRODUCT(MAX(ROW(E$2:E2619)*(E2619=E$2:E2619)))))-COUNTBLANK(OFFSET(A$1,,,SUMPRODUCT(MAX(ROW(E$1:E2618)*(E2=E$1:E2618))))))</f>
        <v/>
      </c>
      <c r="K2619" s="24" t="str">
        <f>IF(OR(E2619="",E2619="!!!",F2619="NEW"),"",INDEX(J$1:J2618,SUMPRODUCT(MAX(ROW(E$1:E2618)*(E2619=E$1:E2618)))))</f>
        <v/>
      </c>
      <c r="L2619" s="25"/>
    </row>
    <row r="2620" spans="1:12" x14ac:dyDescent="0.2">
      <c r="A2620" t="s">
        <v>809</v>
      </c>
      <c r="E2620" s="20" t="str">
        <f t="shared" si="291"/>
        <v/>
      </c>
      <c r="F2620" s="21" t="str">
        <f>IF(OR(E2620="",E2620="!!!"),"",IF(NOT(ISNA(VLOOKUP(E2620,E$1:E2619,1,FALSE()))),"OLD",IF(AND(E2620&lt;&gt;"",E2620&lt;&gt;"!!!"),"NEW","")))</f>
        <v/>
      </c>
      <c r="G2620" s="22" t="str">
        <f>IF(OR(E2620="",E2620="!!!"),"",IF(OR(J2620=0,AND(J2620=1,K2620=1),AND(J2620=1,I2620="SBJ"),AND(J2620=1,I2620=0)),"?IN_FOCUS",IF(J2620&lt;=2,"?ACTIVATED",IF(J2620&lt;&gt;"","?FAMILIAR",IF(F2620="NEW",IF(ISNA(VLOOKUP(E2620,#REF!,1,FALSE())),"?TYPE_IDENTIFIABLE","?REFERENTIAL"),"_")))))</f>
        <v/>
      </c>
      <c r="H2620" s="23" t="str">
        <f t="shared" ca="1" si="290"/>
        <v/>
      </c>
      <c r="I2620" s="24" t="str">
        <f>IF(OR(E2620="",E2620="!!!",F2620="NEW"),"",INDEX(B$2:B2619,-1+SUMPRODUCT(MAX(ROW(E$2:E2619)*(E2620=E$2:E2619)))))</f>
        <v/>
      </c>
      <c r="J2620" s="24" t="str">
        <f ca="1">IF(OR(E2620="",E2620="!!!",F2620="NEW"),"",COUNTBLANK(OFFSET(A$1,,,SUMPRODUCT(MAX(ROW(E$2:E2620)*(E2620=E$2:E2620)))))-COUNTBLANK(OFFSET(A$1,,,SUMPRODUCT(MAX(ROW(E$1:E2619)*(E2=E$1:E2619))))))</f>
        <v/>
      </c>
      <c r="K2620" s="24" t="str">
        <f>IF(OR(E2620="",E2620="!!!",F2620="NEW"),"",INDEX(J$1:J2619,SUMPRODUCT(MAX(ROW(E$1:E2619)*(E2620=E$1:E2619)))))</f>
        <v/>
      </c>
      <c r="L2620" s="25"/>
    </row>
    <row r="2621" spans="1:12" x14ac:dyDescent="0.2">
      <c r="A2621" t="s">
        <v>1209</v>
      </c>
      <c r="B2621" s="26" t="s">
        <v>819</v>
      </c>
      <c r="C2621" s="26" t="s">
        <v>811</v>
      </c>
      <c r="E2621" s="20" t="str">
        <f t="shared" si="291"/>
        <v/>
      </c>
      <c r="F2621" s="21" t="str">
        <f>IF(OR(E2621="",E2621="!!!"),"",IF(NOT(ISNA(VLOOKUP(E2621,E$1:E2620,1,FALSE()))),"OLD",IF(AND(E2621&lt;&gt;"",E2621&lt;&gt;"!!!"),"NEW","")))</f>
        <v/>
      </c>
      <c r="G2621" s="22" t="str">
        <f>IF(OR(E2621="",E2621="!!!"),"",IF(OR(J2621=0,AND(J2621=1,K2621=1),AND(J2621=1,I2621="SBJ"),AND(J2621=1,I2621=0)),"?IN_FOCUS",IF(J2621&lt;=2,"?ACTIVATED",IF(J2621&lt;&gt;"","?FAMILIAR",IF(F2621="NEW",IF(ISNA(VLOOKUP(E2621,#REF!,1,FALSE())),"?TYPE_IDENTIFIABLE","?REFERENTIAL"),"_")))))</f>
        <v/>
      </c>
      <c r="H2621" s="23" t="str">
        <f t="shared" ca="1" si="290"/>
        <v/>
      </c>
      <c r="I2621" s="24" t="str">
        <f>IF(OR(E2621="",E2621="!!!",F2621="NEW"),"",INDEX(B$2:B2620,-1+SUMPRODUCT(MAX(ROW(E$2:E2620)*(E2621=E$2:E2620)))))</f>
        <v/>
      </c>
      <c r="J2621" s="24" t="str">
        <f ca="1">IF(OR(E2621="",E2621="!!!",F2621="NEW"),"",COUNTBLANK(OFFSET(A$1,,,SUMPRODUCT(MAX(ROW(E$2:E2621)*(E2621=E$2:E2621)))))-COUNTBLANK(OFFSET(A$1,,,SUMPRODUCT(MAX(ROW(E$1:E2620)*(E2=E$1:E2620))))))</f>
        <v/>
      </c>
      <c r="K2621" s="24" t="str">
        <f>IF(OR(E2621="",E2621="!!!",F2621="NEW"),"",INDEX(J$1:J2620,SUMPRODUCT(MAX(ROW(E$1:E2620)*(E2621=E$1:E2620)))))</f>
        <v/>
      </c>
      <c r="L2621" s="25"/>
    </row>
    <row r="2622" spans="1:12" x14ac:dyDescent="0.2">
      <c r="A2622" t="s">
        <v>1060</v>
      </c>
      <c r="B2622" s="26" t="s">
        <v>950</v>
      </c>
      <c r="E2622" s="20" t="str">
        <f t="shared" si="291"/>
        <v/>
      </c>
      <c r="F2622" s="21" t="str">
        <f>IF(OR(E2622="",E2622="!!!"),"",IF(NOT(ISNA(VLOOKUP(E2622,E$1:E2621,1,FALSE()))),"OLD",IF(AND(E2622&lt;&gt;"",E2622&lt;&gt;"!!!"),"NEW","")))</f>
        <v/>
      </c>
      <c r="G2622" s="22" t="str">
        <f>IF(OR(E2622="",E2622="!!!"),"",IF(OR(J2622=0,AND(J2622=1,K2622=1),AND(J2622=1,I2622="SBJ"),AND(J2622=1,I2622=0)),"?IN_FOCUS",IF(J2622&lt;=2,"?ACTIVATED",IF(J2622&lt;&gt;"","?FAMILIAR",IF(F2622="NEW",IF(ISNA(VLOOKUP(E2622,#REF!,1,FALSE())),"?TYPE_IDENTIFIABLE","?REFERENTIAL"),"_")))))</f>
        <v/>
      </c>
      <c r="H2622" s="23" t="str">
        <f t="shared" ca="1" si="290"/>
        <v/>
      </c>
      <c r="I2622" s="24" t="str">
        <f>IF(OR(E2622="",E2622="!!!",F2622="NEW"),"",INDEX(B$2:B2621,-1+SUMPRODUCT(MAX(ROW(E$2:E2621)*(E2622=E$2:E2621)))))</f>
        <v/>
      </c>
      <c r="J2622" s="24" t="str">
        <f ca="1">IF(OR(E2622="",E2622="!!!",F2622="NEW"),"",COUNTBLANK(OFFSET(A$1,,,SUMPRODUCT(MAX(ROW(E$2:E2622)*(E2622=E$2:E2622)))))-COUNTBLANK(OFFSET(A$1,,,SUMPRODUCT(MAX(ROW(E$1:E2621)*(E2=E$1:E2621))))))</f>
        <v/>
      </c>
      <c r="K2622" s="24" t="str">
        <f>IF(OR(E2622="",E2622="!!!",F2622="NEW"),"",INDEX(J$1:J2621,SUMPRODUCT(MAX(ROW(E$1:E2621)*(E2622=E$1:E2621)))))</f>
        <v/>
      </c>
      <c r="L2622" s="25"/>
    </row>
    <row r="2623" spans="1:12" x14ac:dyDescent="0.2">
      <c r="A2623" t="s">
        <v>1572</v>
      </c>
      <c r="E2623" s="20" t="str">
        <f t="shared" si="291"/>
        <v/>
      </c>
      <c r="F2623" s="21" t="str">
        <f>IF(OR(E2623="",E2623="!!!"),"",IF(NOT(ISNA(VLOOKUP(E2623,E$1:E2622,1,FALSE()))),"OLD",IF(AND(E2623&lt;&gt;"",E2623&lt;&gt;"!!!"),"NEW","")))</f>
        <v/>
      </c>
      <c r="G2623" s="22" t="str">
        <f>IF(OR(E2623="",E2623="!!!"),"",IF(OR(J2623=0,AND(J2623=1,K2623=1),AND(J2623=1,I2623="SBJ"),AND(J2623=1,I2623=0)),"?IN_FOCUS",IF(J2623&lt;=2,"?ACTIVATED",IF(J2623&lt;&gt;"","?FAMILIAR",IF(F2623="NEW",IF(ISNA(VLOOKUP(E2623,#REF!,1,FALSE())),"?TYPE_IDENTIFIABLE","?REFERENTIAL"),"_")))))</f>
        <v/>
      </c>
      <c r="H2623" s="23" t="str">
        <f t="shared" ca="1" si="290"/>
        <v/>
      </c>
      <c r="I2623" s="24" t="str">
        <f>IF(OR(E2623="",E2623="!!!",F2623="NEW"),"",INDEX(B$2:B2622,-1+SUMPRODUCT(MAX(ROW(E$2:E2622)*(E2623=E$2:E2622)))))</f>
        <v/>
      </c>
      <c r="J2623" s="24" t="str">
        <f ca="1">IF(OR(E2623="",E2623="!!!",F2623="NEW"),"",COUNTBLANK(OFFSET(A$1,,,SUMPRODUCT(MAX(ROW(E$2:E2623)*(E2623=E$2:E2623)))))-COUNTBLANK(OFFSET(A$1,,,SUMPRODUCT(MAX(ROW(E$1:E2622)*(E2=E$1:E2622))))))</f>
        <v/>
      </c>
      <c r="K2623" s="24" t="str">
        <f>IF(OR(E2623="",E2623="!!!",F2623="NEW"),"",INDEX(J$1:J2622,SUMPRODUCT(MAX(ROW(E$1:E2622)*(E2623=E$1:E2622)))))</f>
        <v/>
      </c>
      <c r="L2623" s="25"/>
    </row>
    <row r="2624" spans="1:12" x14ac:dyDescent="0.2">
      <c r="A2624" t="s">
        <v>874</v>
      </c>
      <c r="E2624" s="20" t="str">
        <f t="shared" si="291"/>
        <v/>
      </c>
      <c r="F2624" s="21" t="str">
        <f>IF(OR(E2624="",E2624="!!!"),"",IF(NOT(ISNA(VLOOKUP(E2624,E$1:E2623,1,FALSE()))),"OLD",IF(AND(E2624&lt;&gt;"",E2624&lt;&gt;"!!!"),"NEW","")))</f>
        <v/>
      </c>
      <c r="G2624" s="22" t="str">
        <f>IF(OR(E2624="",E2624="!!!"),"",IF(OR(J2624=0,AND(J2624=1,K2624=1),AND(J2624=1,I2624="SBJ"),AND(J2624=1,I2624=0)),"?IN_FOCUS",IF(J2624&lt;=2,"?ACTIVATED",IF(J2624&lt;&gt;"","?FAMILIAR",IF(F2624="NEW",IF(ISNA(VLOOKUP(E2624,#REF!,1,FALSE())),"?TYPE_IDENTIFIABLE","?REFERENTIAL"),"_")))))</f>
        <v/>
      </c>
      <c r="H2624" s="23" t="str">
        <f t="shared" ca="1" si="290"/>
        <v/>
      </c>
      <c r="I2624" s="24" t="str">
        <f>IF(OR(E2624="",E2624="!!!",F2624="NEW"),"",INDEX(B$2:B2623,-1+SUMPRODUCT(MAX(ROW(E$2:E2623)*(E2624=E$2:E2623)))))</f>
        <v/>
      </c>
      <c r="J2624" s="24" t="str">
        <f ca="1">IF(OR(E2624="",E2624="!!!",F2624="NEW"),"",COUNTBLANK(OFFSET(A$1,,,SUMPRODUCT(MAX(ROW(E$2:E2624)*(E2624=E$2:E2624)))))-COUNTBLANK(OFFSET(A$1,,,SUMPRODUCT(MAX(ROW(E$1:E2623)*(E2=E$1:E2623))))))</f>
        <v/>
      </c>
      <c r="K2624" s="24" t="str">
        <f>IF(OR(E2624="",E2624="!!!",F2624="NEW"),"",INDEX(J$1:J2623,SUMPRODUCT(MAX(ROW(E$1:E2623)*(E2624=E$1:E2623)))))</f>
        <v/>
      </c>
      <c r="L2624" s="25"/>
    </row>
    <row r="2625" spans="1:12" x14ac:dyDescent="0.2">
      <c r="A2625" t="s">
        <v>830</v>
      </c>
      <c r="B2625" s="26" t="s">
        <v>813</v>
      </c>
      <c r="C2625" s="26" t="s">
        <v>805</v>
      </c>
      <c r="D2625" s="26" t="s">
        <v>806</v>
      </c>
      <c r="E2625" s="20" t="s">
        <v>1209</v>
      </c>
      <c r="F2625" s="21" t="str">
        <f>IF(OR(E2625="",E2625="!!!"),"",IF(NOT(ISNA(VLOOKUP(E2625,E$1:E2624,1,FALSE()))),"OLD",IF(AND(E2625&lt;&gt;"",E2625&lt;&gt;"!!!"),"NEW","")))</f>
        <v>OLD</v>
      </c>
      <c r="G2625" s="22" t="s">
        <v>1823</v>
      </c>
      <c r="H2625" s="23" t="str">
        <f t="shared" ca="1" si="290"/>
        <v/>
      </c>
      <c r="I2625" s="24" t="str">
        <f>IF(OR(E2625="",E2625="!!!",F2625="NEW"),"",INDEX(B$2:B2624,-1+SUMPRODUCT(MAX(ROW(E$2:E2624)*(E2625=E$2:E2624)))))</f>
        <v>SBJ</v>
      </c>
      <c r="J2625" s="24">
        <f ca="1">IF(OR(E2625="",E2625="!!!",F2625="NEW"),"",COUNTBLANK(OFFSET(A$1,,,SUMPRODUCT(MAX(ROW(E$2:E2625)*(E2625=E$2:E2625)))))-COUNTBLANK(OFFSET(A$1,,,SUMPRODUCT(MAX(ROW(E$1:E2624)*(E2=E$1:E2624))))))</f>
        <v>0</v>
      </c>
      <c r="K2625" s="24">
        <f ca="1">IF(OR(E2625="",E2625="!!!",F2625="NEW"),"",INDEX(J$1:J2624,SUMPRODUCT(MAX(ROW(E$1:E2624)*(E2625=E$1:E2624)))))</f>
        <v>0</v>
      </c>
      <c r="L2625" s="25"/>
    </row>
    <row r="2626" spans="1:12" x14ac:dyDescent="0.2">
      <c r="A2626" t="s">
        <v>1288</v>
      </c>
      <c r="E2626" s="20" t="str">
        <f t="shared" si="291"/>
        <v/>
      </c>
      <c r="F2626" s="21" t="str">
        <f>IF(OR(E2626="",E2626="!!!"),"",IF(NOT(ISNA(VLOOKUP(E2626,E$1:E2625,1,FALSE()))),"OLD",IF(AND(E2626&lt;&gt;"",E2626&lt;&gt;"!!!"),"NEW","")))</f>
        <v/>
      </c>
      <c r="G2626" s="22" t="str">
        <f>IF(OR(E2626="",E2626="!!!"),"",IF(OR(J2626=0,AND(J2626=1,K2626=1),AND(J2626=1,I2626="SBJ"),AND(J2626=1,I2626=0)),"?IN_FOCUS",IF(J2626&lt;=2,"?ACTIVATED",IF(J2626&lt;&gt;"","?FAMILIAR",IF(F2626="NEW",IF(ISNA(VLOOKUP(E2626,#REF!,1,FALSE())),"?TYPE_IDENTIFIABLE","?REFERENTIAL"),"_")))))</f>
        <v/>
      </c>
      <c r="H2626" s="23" t="str">
        <f t="shared" ca="1" si="290"/>
        <v/>
      </c>
      <c r="I2626" s="24" t="str">
        <f>IF(OR(E2626="",E2626="!!!",F2626="NEW"),"",INDEX(B$2:B2625,-1+SUMPRODUCT(MAX(ROW(E$2:E2625)*(E2626=E$2:E2625)))))</f>
        <v/>
      </c>
      <c r="J2626" s="24" t="str">
        <f ca="1">IF(OR(E2626="",E2626="!!!",F2626="NEW"),"",COUNTBLANK(OFFSET(A$1,,,SUMPRODUCT(MAX(ROW(E$2:E2626)*(E2626=E$2:E2626)))))-COUNTBLANK(OFFSET(A$1,,,SUMPRODUCT(MAX(ROW(E$1:E2625)*(E2=E$1:E2625))))))</f>
        <v/>
      </c>
      <c r="K2626" s="24" t="str">
        <f>IF(OR(E2626="",E2626="!!!",F2626="NEW"),"",INDEX(J$1:J2625,SUMPRODUCT(MAX(ROW(E$1:E2625)*(E2626=E$1:E2625)))))</f>
        <v/>
      </c>
      <c r="L2626" s="25"/>
    </row>
    <row r="2627" spans="1:12" x14ac:dyDescent="0.2">
      <c r="A2627" t="s">
        <v>845</v>
      </c>
      <c r="E2627" s="20" t="str">
        <f t="shared" si="291"/>
        <v/>
      </c>
      <c r="F2627" s="21" t="str">
        <f>IF(OR(E2627="",E2627="!!!"),"",IF(NOT(ISNA(VLOOKUP(E2627,E$1:E2626,1,FALSE()))),"OLD",IF(AND(E2627&lt;&gt;"",E2627&lt;&gt;"!!!"),"NEW","")))</f>
        <v/>
      </c>
      <c r="G2627" s="22" t="str">
        <f>IF(OR(E2627="",E2627="!!!"),"",IF(OR(J2627=0,AND(J2627=1,K2627=1),AND(J2627=1,I2627="SBJ"),AND(J2627=1,I2627=0)),"?IN_FOCUS",IF(J2627&lt;=2,"?ACTIVATED",IF(J2627&lt;&gt;"","?FAMILIAR",IF(F2627="NEW",IF(ISNA(VLOOKUP(E2627,#REF!,1,FALSE())),"?TYPE_IDENTIFIABLE","?REFERENTIAL"),"_")))))</f>
        <v/>
      </c>
      <c r="H2627" s="23" t="str">
        <f t="shared" ca="1" si="290"/>
        <v/>
      </c>
      <c r="I2627" s="24" t="str">
        <f>IF(OR(E2627="",E2627="!!!",F2627="NEW"),"",INDEX(B$2:B2626,-1+SUMPRODUCT(MAX(ROW(E$2:E2626)*(E2627=E$2:E2626)))))</f>
        <v/>
      </c>
      <c r="J2627" s="24" t="str">
        <f ca="1">IF(OR(E2627="",E2627="!!!",F2627="NEW"),"",COUNTBLANK(OFFSET(A$1,,,SUMPRODUCT(MAX(ROW(E$2:E2627)*(E2627=E$2:E2627)))))-COUNTBLANK(OFFSET(A$1,,,SUMPRODUCT(MAX(ROW(E$1:E2626)*(E2=E$1:E2626))))))</f>
        <v/>
      </c>
      <c r="K2627" s="24" t="str">
        <f>IF(OR(E2627="",E2627="!!!",F2627="NEW"),"",INDEX(J$1:J2626,SUMPRODUCT(MAX(ROW(E$1:E2626)*(E2627=E$1:E2626)))))</f>
        <v/>
      </c>
      <c r="L2627" s="25"/>
    </row>
    <row r="2628" spans="1:12" x14ac:dyDescent="0.2">
      <c r="A2628" t="s">
        <v>1573</v>
      </c>
      <c r="B2628" s="26" t="s">
        <v>938</v>
      </c>
      <c r="C2628" s="26" t="s">
        <v>847</v>
      </c>
      <c r="D2628" s="26" t="s">
        <v>806</v>
      </c>
      <c r="E2628" s="20"/>
      <c r="F2628" s="21" t="s">
        <v>1781</v>
      </c>
      <c r="G2628" s="22" t="str">
        <f>IF(OR(E2628="",E2628="!!!"),"",IF(OR(J2628=0,AND(J2628=1,K2628=1),AND(J2628=1,I2628="SBJ"),AND(J2628=1,I2628=0)),"?IN_FOCUS",IF(J2628&lt;=2,"?ACTIVATED",IF(J2628&lt;&gt;"","?FAMILIAR",IF(F2628="NEW",IF(ISNA(VLOOKUP(E2628,#REF!,1,FALSE())),"?TYPE_IDENTIFIABLE","?REFERENTIAL"),"_")))))</f>
        <v/>
      </c>
      <c r="H2628" s="23" t="str">
        <f t="shared" ca="1" si="290"/>
        <v/>
      </c>
      <c r="I2628" s="24" t="str">
        <f>IF(OR(E2628="",E2628="!!!",F2628="NEW"),"",INDEX(B$2:B2627,-1+SUMPRODUCT(MAX(ROW(E$2:E2627)*(E2628=E$2:E2627)))))</f>
        <v/>
      </c>
      <c r="J2628" s="24" t="str">
        <f ca="1">IF(OR(E2628="",E2628="!!!",F2628="NEW"),"",COUNTBLANK(OFFSET(A$1,,,SUMPRODUCT(MAX(ROW(E$2:E2628)*(E2628=E$2:E2628)))))-COUNTBLANK(OFFSET(A$1,,,SUMPRODUCT(MAX(ROW(E$1:E2627)*(E2=E$1:E2627))))))</f>
        <v/>
      </c>
      <c r="K2628" s="24" t="str">
        <f>IF(OR(E2628="",E2628="!!!",F2628="NEW"),"",INDEX(J$1:J2627,SUMPRODUCT(MAX(ROW(E$1:E2627)*(E2628=E$1:E2627)))))</f>
        <v/>
      </c>
      <c r="L2628" s="25"/>
    </row>
    <row r="2629" spans="1:12" x14ac:dyDescent="0.2">
      <c r="A2629" t="s">
        <v>1060</v>
      </c>
      <c r="B2629" s="26" t="s">
        <v>1333</v>
      </c>
      <c r="E2629" s="20" t="str">
        <f t="shared" si="291"/>
        <v/>
      </c>
      <c r="F2629" s="21" t="str">
        <f>IF(OR(E2629="",E2629="!!!"),"",IF(NOT(ISNA(VLOOKUP(E2629,E$1:E2628,1,FALSE()))),"OLD",IF(AND(E2629&lt;&gt;"",E2629&lt;&gt;"!!!"),"NEW","")))</f>
        <v/>
      </c>
      <c r="G2629" s="22" t="str">
        <f>IF(OR(E2629="",E2629="!!!"),"",IF(OR(J2629=0,AND(J2629=1,K2629=1),AND(J2629=1,I2629="SBJ"),AND(J2629=1,I2629=0)),"?IN_FOCUS",IF(J2629&lt;=2,"?ACTIVATED",IF(J2629&lt;&gt;"","?FAMILIAR",IF(F2629="NEW",IF(ISNA(VLOOKUP(E2629,#REF!,1,FALSE())),"?TYPE_IDENTIFIABLE","?REFERENTIAL"),"_")))))</f>
        <v/>
      </c>
      <c r="H2629" s="23" t="str">
        <f t="shared" ca="1" si="290"/>
        <v/>
      </c>
      <c r="I2629" s="24" t="str">
        <f>IF(OR(E2629="",E2629="!!!",F2629="NEW"),"",INDEX(B$2:B2628,-1+SUMPRODUCT(MAX(ROW(E$2:E2628)*(E2629=E$2:E2628)))))</f>
        <v/>
      </c>
      <c r="J2629" s="24" t="str">
        <f ca="1">IF(OR(E2629="",E2629="!!!",F2629="NEW"),"",COUNTBLANK(OFFSET(A$1,,,SUMPRODUCT(MAX(ROW(E$2:E2629)*(E2629=E$2:E2629)))))-COUNTBLANK(OFFSET(A$1,,,SUMPRODUCT(MAX(ROW(E$1:E2628)*(E2=E$1:E2628))))))</f>
        <v/>
      </c>
      <c r="K2629" s="24" t="str">
        <f>IF(OR(E2629="",E2629="!!!",F2629="NEW"),"",INDEX(J$1:J2628,SUMPRODUCT(MAX(ROW(E$1:E2628)*(E2629=E$1:E2628)))))</f>
        <v/>
      </c>
      <c r="L2629" s="25"/>
    </row>
    <row r="2630" spans="1:12" x14ac:dyDescent="0.2">
      <c r="A2630" t="s">
        <v>1574</v>
      </c>
      <c r="B2630" s="26" t="s">
        <v>944</v>
      </c>
      <c r="C2630" s="26" t="s">
        <v>814</v>
      </c>
      <c r="E2630" s="20" t="str">
        <f t="shared" si="291"/>
        <v/>
      </c>
      <c r="F2630" s="21" t="str">
        <f>IF(OR(E2630="",E2630="!!!"),"",IF(NOT(ISNA(VLOOKUP(E2630,E$1:E2629,1,FALSE()))),"OLD",IF(AND(E2630&lt;&gt;"",E2630&lt;&gt;"!!!"),"NEW","")))</f>
        <v/>
      </c>
      <c r="G2630" s="22" t="str">
        <f>IF(OR(E2630="",E2630="!!!"),"",IF(OR(J2630=0,AND(J2630=1,K2630=1),AND(J2630=1,I2630="SBJ"),AND(J2630=1,I2630=0)),"?IN_FOCUS",IF(J2630&lt;=2,"?ACTIVATED",IF(J2630&lt;&gt;"","?FAMILIAR",IF(F2630="NEW",IF(ISNA(VLOOKUP(E2630,#REF!,1,FALSE())),"?TYPE_IDENTIFIABLE","?REFERENTIAL"),"_")))))</f>
        <v/>
      </c>
      <c r="H2630" s="23" t="str">
        <f t="shared" ca="1" si="290"/>
        <v/>
      </c>
      <c r="I2630" s="24" t="str">
        <f>IF(OR(E2630="",E2630="!!!",F2630="NEW"),"",INDEX(B$2:B2629,-1+SUMPRODUCT(MAX(ROW(E$2:E2629)*(E2630=E$2:E2629)))))</f>
        <v/>
      </c>
      <c r="J2630" s="24" t="str">
        <f ca="1">IF(OR(E2630="",E2630="!!!",F2630="NEW"),"",COUNTBLANK(OFFSET(A$1,,,SUMPRODUCT(MAX(ROW(E$2:E2630)*(E2630=E$2:E2630)))))-COUNTBLANK(OFFSET(A$1,,,SUMPRODUCT(MAX(ROW(E$1:E2629)*(E2=E$1:E2629))))))</f>
        <v/>
      </c>
      <c r="K2630" s="24" t="str">
        <f>IF(OR(E2630="",E2630="!!!",F2630="NEW"),"",INDEX(J$1:J2629,SUMPRODUCT(MAX(ROW(E$1:E2629)*(E2630=E$1:E2629)))))</f>
        <v/>
      </c>
      <c r="L2630" s="25"/>
    </row>
    <row r="2631" spans="1:12" x14ac:dyDescent="0.2">
      <c r="A2631" t="s">
        <v>1575</v>
      </c>
      <c r="E2631" s="20" t="str">
        <f t="shared" si="291"/>
        <v/>
      </c>
      <c r="F2631" s="21" t="str">
        <f>IF(OR(E2631="",E2631="!!!"),"",IF(NOT(ISNA(VLOOKUP(E2631,E$1:E2630,1,FALSE()))),"OLD",IF(AND(E2631&lt;&gt;"",E2631&lt;&gt;"!!!"),"NEW","")))</f>
        <v/>
      </c>
      <c r="G2631" s="22" t="str">
        <f>IF(OR(E2631="",E2631="!!!"),"",IF(OR(J2631=0,AND(J2631=1,K2631=1),AND(J2631=1,I2631="SBJ"),AND(J2631=1,I2631=0)),"?IN_FOCUS",IF(J2631&lt;=2,"?ACTIVATED",IF(J2631&lt;&gt;"","?FAMILIAR",IF(F2631="NEW",IF(ISNA(VLOOKUP(E2631,#REF!,1,FALSE())),"?TYPE_IDENTIFIABLE","?REFERENTIAL"),"_")))))</f>
        <v/>
      </c>
      <c r="H2631" s="23" t="str">
        <f t="shared" ca="1" si="290"/>
        <v/>
      </c>
      <c r="I2631" s="24" t="str">
        <f>IF(OR(E2631="",E2631="!!!",F2631="NEW"),"",INDEX(B$2:B2630,-1+SUMPRODUCT(MAX(ROW(E$2:E2630)*(E2631=E$2:E2630)))))</f>
        <v/>
      </c>
      <c r="J2631" s="24" t="str">
        <f ca="1">IF(OR(E2631="",E2631="!!!",F2631="NEW"),"",COUNTBLANK(OFFSET(A$1,,,SUMPRODUCT(MAX(ROW(E$2:E2631)*(E2631=E$2:E2631)))))-COUNTBLANK(OFFSET(A$1,,,SUMPRODUCT(MAX(ROW(E$1:E2630)*(E2=E$1:E2630))))))</f>
        <v/>
      </c>
      <c r="K2631" s="24" t="str">
        <f>IF(OR(E2631="",E2631="!!!",F2631="NEW"),"",INDEX(J$1:J2630,SUMPRODUCT(MAX(ROW(E$1:E2630)*(E2631=E$1:E2630)))))</f>
        <v/>
      </c>
      <c r="L2631" s="25"/>
    </row>
    <row r="2632" spans="1:12" x14ac:dyDescent="0.2">
      <c r="A2632" t="s">
        <v>859</v>
      </c>
      <c r="E2632" s="20" t="str">
        <f t="shared" si="291"/>
        <v/>
      </c>
      <c r="F2632" s="21" t="str">
        <f>IF(OR(E2632="",E2632="!!!"),"",IF(NOT(ISNA(VLOOKUP(E2632,E$1:E2631,1,FALSE()))),"OLD",IF(AND(E2632&lt;&gt;"",E2632&lt;&gt;"!!!"),"NEW","")))</f>
        <v/>
      </c>
      <c r="G2632" s="22" t="str">
        <f>IF(OR(E2632="",E2632="!!!"),"",IF(OR(J2632=0,AND(J2632=1,K2632=1),AND(J2632=1,I2632="SBJ"),AND(J2632=1,I2632=0)),"?IN_FOCUS",IF(J2632&lt;=2,"?ACTIVATED",IF(J2632&lt;&gt;"","?FAMILIAR",IF(F2632="NEW",IF(ISNA(VLOOKUP(E2632,#REF!,1,FALSE())),"?TYPE_IDENTIFIABLE","?REFERENTIAL"),"_")))))</f>
        <v/>
      </c>
      <c r="H2632" s="23" t="str">
        <f t="shared" ca="1" si="290"/>
        <v/>
      </c>
      <c r="I2632" s="24" t="str">
        <f>IF(OR(E2632="",E2632="!!!",F2632="NEW"),"",INDEX(B$2:B2631,-1+SUMPRODUCT(MAX(ROW(E$2:E2631)*(E2632=E$2:E2631)))))</f>
        <v/>
      </c>
      <c r="J2632" s="24" t="str">
        <f ca="1">IF(OR(E2632="",E2632="!!!",F2632="NEW"),"",COUNTBLANK(OFFSET(A$1,,,SUMPRODUCT(MAX(ROW(E$2:E2632)*(E2632=E$2:E2632)))))-COUNTBLANK(OFFSET(A$1,,,SUMPRODUCT(MAX(ROW(E$1:E2631)*(E2=E$1:E2631))))))</f>
        <v/>
      </c>
      <c r="K2632" s="24" t="str">
        <f>IF(OR(E2632="",E2632="!!!",F2632="NEW"),"",INDEX(J$1:J2631,SUMPRODUCT(MAX(ROW(E$1:E2631)*(E2632=E$1:E2631)))))</f>
        <v/>
      </c>
      <c r="L2632" s="25"/>
    </row>
    <row r="2633" spans="1:12" x14ac:dyDescent="0.2">
      <c r="A2633" t="s">
        <v>1576</v>
      </c>
      <c r="E2633" s="20" t="str">
        <f t="shared" si="291"/>
        <v/>
      </c>
      <c r="F2633" s="21" t="str">
        <f>IF(OR(E2633="",E2633="!!!"),"",IF(NOT(ISNA(VLOOKUP(E2633,E$1:E2632,1,FALSE()))),"OLD",IF(AND(E2633&lt;&gt;"",E2633&lt;&gt;"!!!"),"NEW","")))</f>
        <v/>
      </c>
      <c r="G2633" s="22" t="str">
        <f>IF(OR(E2633="",E2633="!!!"),"",IF(OR(J2633=0,AND(J2633=1,K2633=1),AND(J2633=1,I2633="SBJ"),AND(J2633=1,I2633=0)),"?IN_FOCUS",IF(J2633&lt;=2,"?ACTIVATED",IF(J2633&lt;&gt;"","?FAMILIAR",IF(F2633="NEW",IF(ISNA(VLOOKUP(E2633,#REF!,1,FALSE())),"?TYPE_IDENTIFIABLE","?REFERENTIAL"),"_")))))</f>
        <v/>
      </c>
      <c r="H2633" s="23" t="str">
        <f t="shared" ca="1" si="290"/>
        <v/>
      </c>
      <c r="I2633" s="24" t="str">
        <f>IF(OR(E2633="",E2633="!!!",F2633="NEW"),"",INDEX(B$2:B2632,-1+SUMPRODUCT(MAX(ROW(E$2:E2632)*(E2633=E$2:E2632)))))</f>
        <v/>
      </c>
      <c r="J2633" s="24" t="str">
        <f ca="1">IF(OR(E2633="",E2633="!!!",F2633="NEW"),"",COUNTBLANK(OFFSET(A$1,,,SUMPRODUCT(MAX(ROW(E$2:E2633)*(E2633=E$2:E2633)))))-COUNTBLANK(OFFSET(A$1,,,SUMPRODUCT(MAX(ROW(E$1:E2632)*(E2=E$1:E2632))))))</f>
        <v/>
      </c>
      <c r="K2633" s="24" t="str">
        <f>IF(OR(E2633="",E2633="!!!",F2633="NEW"),"",INDEX(J$1:J2632,SUMPRODUCT(MAX(ROW(E$1:E2632)*(E2633=E$1:E2632)))))</f>
        <v/>
      </c>
      <c r="L2633" s="25"/>
    </row>
    <row r="2634" spans="1:12" x14ac:dyDescent="0.2">
      <c r="A2634" t="s">
        <v>1577</v>
      </c>
      <c r="E2634" s="20" t="str">
        <f t="shared" si="291"/>
        <v/>
      </c>
      <c r="F2634" s="21" t="str">
        <f>IF(OR(E2634="",E2634="!!!"),"",IF(NOT(ISNA(VLOOKUP(E2634,E$1:E2633,1,FALSE()))),"OLD",IF(AND(E2634&lt;&gt;"",E2634&lt;&gt;"!!!"),"NEW","")))</f>
        <v/>
      </c>
      <c r="G2634" s="22" t="str">
        <f>IF(OR(E2634="",E2634="!!!"),"",IF(OR(J2634=0,AND(J2634=1,K2634=1),AND(J2634=1,I2634="SBJ"),AND(J2634=1,I2634=0)),"?IN_FOCUS",IF(J2634&lt;=2,"?ACTIVATED",IF(J2634&lt;&gt;"","?FAMILIAR",IF(F2634="NEW",IF(ISNA(VLOOKUP(E2634,#REF!,1,FALSE())),"?TYPE_IDENTIFIABLE","?REFERENTIAL"),"_")))))</f>
        <v/>
      </c>
      <c r="H2634" s="23" t="str">
        <f t="shared" ca="1" si="290"/>
        <v/>
      </c>
      <c r="I2634" s="24" t="str">
        <f>IF(OR(E2634="",E2634="!!!",F2634="NEW"),"",INDEX(B$2:B2633,-1+SUMPRODUCT(MAX(ROW(E$2:E2633)*(E2634=E$2:E2633)))))</f>
        <v/>
      </c>
      <c r="J2634" s="24" t="str">
        <f ca="1">IF(OR(E2634="",E2634="!!!",F2634="NEW"),"",COUNTBLANK(OFFSET(A$1,,,SUMPRODUCT(MAX(ROW(E$2:E2634)*(E2634=E$2:E2634)))))-COUNTBLANK(OFFSET(A$1,,,SUMPRODUCT(MAX(ROW(E$1:E2633)*(E2=E$1:E2633))))))</f>
        <v/>
      </c>
      <c r="K2634" s="24" t="str">
        <f>IF(OR(E2634="",E2634="!!!",F2634="NEW"),"",INDEX(J$1:J2633,SUMPRODUCT(MAX(ROW(E$1:E2633)*(E2634=E$1:E2633)))))</f>
        <v/>
      </c>
      <c r="L2634" s="25"/>
    </row>
    <row r="2635" spans="1:12" x14ac:dyDescent="0.2">
      <c r="A2635" t="s">
        <v>1578</v>
      </c>
      <c r="B2635" s="26" t="s">
        <v>899</v>
      </c>
      <c r="C2635" s="26" t="s">
        <v>877</v>
      </c>
      <c r="D2635" s="26" t="s">
        <v>806</v>
      </c>
      <c r="E2635" s="20"/>
      <c r="F2635" s="21" t="s">
        <v>1764</v>
      </c>
      <c r="G2635" s="22" t="str">
        <f>IF(OR(E2635="",E2635="!!!"),"",IF(OR(J2635=0,AND(J2635=1,K2635=1),AND(J2635=1,I2635="SBJ"),AND(J2635=1,I2635=0)),"?IN_FOCUS",IF(J2635&lt;=2,"?ACTIVATED",IF(J2635&lt;&gt;"","?FAMILIAR",IF(F2635="NEW",IF(ISNA(VLOOKUP(E2635,#REF!,1,FALSE())),"?TYPE_IDENTIFIABLE","?REFERENTIAL"),"_")))))</f>
        <v/>
      </c>
      <c r="H2635" s="23" t="str">
        <f t="shared" ca="1" si="290"/>
        <v/>
      </c>
      <c r="I2635" s="24" t="str">
        <f>IF(OR(E2635="",E2635="!!!",F2635="NEW"),"",INDEX(B$2:B2634,-1+SUMPRODUCT(MAX(ROW(E$2:E2634)*(E2635=E$2:E2634)))))</f>
        <v/>
      </c>
      <c r="J2635" s="24" t="str">
        <f ca="1">IF(OR(E2635="",E2635="!!!",F2635="NEW"),"",COUNTBLANK(OFFSET(A$1,,,SUMPRODUCT(MAX(ROW(E$2:E2635)*(E2635=E$2:E2635)))))-COUNTBLANK(OFFSET(A$1,,,SUMPRODUCT(MAX(ROW(E$1:E2634)*(E2=E$1:E2634))))))</f>
        <v/>
      </c>
      <c r="K2635" s="24" t="str">
        <f>IF(OR(E2635="",E2635="!!!",F2635="NEW"),"",INDEX(J$1:J2634,SUMPRODUCT(MAX(ROW(E$1:E2634)*(E2635=E$1:E2634)))))</f>
        <v/>
      </c>
      <c r="L2635" s="25"/>
    </row>
    <row r="2636" spans="1:12" x14ac:dyDescent="0.2">
      <c r="A2636" t="s">
        <v>839</v>
      </c>
      <c r="E2636" s="20" t="str">
        <f t="shared" si="291"/>
        <v/>
      </c>
      <c r="F2636" s="21" t="str">
        <f>IF(OR(E2636="",E2636="!!!"),"",IF(NOT(ISNA(VLOOKUP(E2636,E$1:E2635,1,FALSE()))),"OLD",IF(AND(E2636&lt;&gt;"",E2636&lt;&gt;"!!!"),"NEW","")))</f>
        <v/>
      </c>
      <c r="G2636" s="22" t="str">
        <f>IF(OR(E2636="",E2636="!!!"),"",IF(OR(J2636=0,AND(J2636=1,K2636=1),AND(J2636=1,I2636="SBJ"),AND(J2636=1,I2636=0)),"?IN_FOCUS",IF(J2636&lt;=2,"?ACTIVATED",IF(J2636&lt;&gt;"","?FAMILIAR",IF(F2636="NEW",IF(ISNA(VLOOKUP(E2636,#REF!,1,FALSE())),"?TYPE_IDENTIFIABLE","?REFERENTIAL"),"_")))))</f>
        <v/>
      </c>
      <c r="H2636" s="23" t="str">
        <f t="shared" ca="1" si="290"/>
        <v/>
      </c>
      <c r="I2636" s="24" t="str">
        <f>IF(OR(E2636="",E2636="!!!",F2636="NEW"),"",INDEX(B$2:B2635,-1+SUMPRODUCT(MAX(ROW(E$2:E2635)*(E2636=E$2:E2635)))))</f>
        <v/>
      </c>
      <c r="J2636" s="24" t="str">
        <f ca="1">IF(OR(E2636="",E2636="!!!",F2636="NEW"),"",COUNTBLANK(OFFSET(A$1,,,SUMPRODUCT(MAX(ROW(E$2:E2636)*(E2636=E$2:E2636)))))-COUNTBLANK(OFFSET(A$1,,,SUMPRODUCT(MAX(ROW(E$1:E2635)*(E2=E$1:E2635))))))</f>
        <v/>
      </c>
      <c r="K2636" s="24" t="str">
        <f>IF(OR(E2636="",E2636="!!!",F2636="NEW"),"",INDEX(J$1:J2635,SUMPRODUCT(MAX(ROW(E$1:E2635)*(E2636=E$1:E2635)))))</f>
        <v/>
      </c>
      <c r="L2636" s="25"/>
    </row>
    <row r="2637" spans="1:12" x14ac:dyDescent="0.2">
      <c r="A2637" t="s">
        <v>1579</v>
      </c>
      <c r="E2637" s="20" t="str">
        <f t="shared" si="291"/>
        <v/>
      </c>
      <c r="F2637" s="21" t="str">
        <f>IF(OR(E2637="",E2637="!!!"),"",IF(NOT(ISNA(VLOOKUP(E2637,E$1:E2636,1,FALSE()))),"OLD",IF(AND(E2637&lt;&gt;"",E2637&lt;&gt;"!!!"),"NEW","")))</f>
        <v/>
      </c>
      <c r="G2637" s="22" t="str">
        <f>IF(OR(E2637="",E2637="!!!"),"",IF(OR(J2637=0,AND(J2637=1,K2637=1),AND(J2637=1,I2637="SBJ"),AND(J2637=1,I2637=0)),"?IN_FOCUS",IF(J2637&lt;=2,"?ACTIVATED",IF(J2637&lt;&gt;"","?FAMILIAR",IF(F2637="NEW",IF(ISNA(VLOOKUP(E2637,#REF!,1,FALSE())),"?TYPE_IDENTIFIABLE","?REFERENTIAL"),"_")))))</f>
        <v/>
      </c>
      <c r="H2637" s="23" t="str">
        <f t="shared" ca="1" si="290"/>
        <v/>
      </c>
      <c r="I2637" s="24" t="str">
        <f>IF(OR(E2637="",E2637="!!!",F2637="NEW"),"",INDEX(B$2:B2636,-1+SUMPRODUCT(MAX(ROW(E$2:E2636)*(E2637=E$2:E2636)))))</f>
        <v/>
      </c>
      <c r="J2637" s="24" t="str">
        <f ca="1">IF(OR(E2637="",E2637="!!!",F2637="NEW"),"",COUNTBLANK(OFFSET(A$1,,,SUMPRODUCT(MAX(ROW(E$2:E2637)*(E2637=E$2:E2637)))))-COUNTBLANK(OFFSET(A$1,,,SUMPRODUCT(MAX(ROW(E$1:E2636)*(E2=E$1:E2636))))))</f>
        <v/>
      </c>
      <c r="K2637" s="24" t="str">
        <f>IF(OR(E2637="",E2637="!!!",F2637="NEW"),"",INDEX(J$1:J2636,SUMPRODUCT(MAX(ROW(E$1:E2636)*(E2637=E$1:E2636)))))</f>
        <v/>
      </c>
      <c r="L2637" s="25"/>
    </row>
    <row r="2638" spans="1:12" x14ac:dyDescent="0.2">
      <c r="A2638" t="s">
        <v>1580</v>
      </c>
      <c r="B2638" s="26" t="s">
        <v>864</v>
      </c>
      <c r="C2638" s="26" t="s">
        <v>814</v>
      </c>
      <c r="E2638" s="20" t="str">
        <f t="shared" si="291"/>
        <v/>
      </c>
      <c r="F2638" s="21" t="str">
        <f>IF(OR(E2638="",E2638="!!!"),"",IF(NOT(ISNA(VLOOKUP(E2638,E$1:E2637,1,FALSE()))),"OLD",IF(AND(E2638&lt;&gt;"",E2638&lt;&gt;"!!!"),"NEW","")))</f>
        <v/>
      </c>
      <c r="G2638" s="22" t="str">
        <f>IF(OR(E2638="",E2638="!!!"),"",IF(OR(J2638=0,AND(J2638=1,K2638=1),AND(J2638=1,I2638="SBJ"),AND(J2638=1,I2638=0)),"?IN_FOCUS",IF(J2638&lt;=2,"?ACTIVATED",IF(J2638&lt;&gt;"","?FAMILIAR",IF(F2638="NEW",IF(ISNA(VLOOKUP(E2638,#REF!,1,FALSE())),"?TYPE_IDENTIFIABLE","?REFERENTIAL"),"_")))))</f>
        <v/>
      </c>
      <c r="H2638" s="23" t="str">
        <f t="shared" ca="1" si="290"/>
        <v/>
      </c>
      <c r="I2638" s="24" t="str">
        <f>IF(OR(E2638="",E2638="!!!",F2638="NEW"),"",INDEX(B$2:B2637,-1+SUMPRODUCT(MAX(ROW(E$2:E2637)*(E2638=E$2:E2637)))))</f>
        <v/>
      </c>
      <c r="J2638" s="24" t="str">
        <f ca="1">IF(OR(E2638="",E2638="!!!",F2638="NEW"),"",COUNTBLANK(OFFSET(A$1,,,SUMPRODUCT(MAX(ROW(E$2:E2638)*(E2638=E$2:E2638)))))-COUNTBLANK(OFFSET(A$1,,,SUMPRODUCT(MAX(ROW(E$1:E2637)*(E2=E$1:E2637))))))</f>
        <v/>
      </c>
      <c r="K2638" s="24" t="str">
        <f>IF(OR(E2638="",E2638="!!!",F2638="NEW"),"",INDEX(J$1:J2637,SUMPRODUCT(MAX(ROW(E$1:E2637)*(E2638=E$1:E2637)))))</f>
        <v/>
      </c>
      <c r="L2638" s="25"/>
    </row>
    <row r="2639" spans="1:12" x14ac:dyDescent="0.2">
      <c r="A2639" t="s">
        <v>802</v>
      </c>
      <c r="E2639" s="20" t="str">
        <f t="shared" si="291"/>
        <v/>
      </c>
      <c r="F2639" s="21" t="str">
        <f>IF(OR(E2639="",E2639="!!!"),"",IF(NOT(ISNA(VLOOKUP(E2639,E$1:E2638,1,FALSE()))),"OLD",IF(AND(E2639&lt;&gt;"",E2639&lt;&gt;"!!!"),"NEW","")))</f>
        <v/>
      </c>
      <c r="G2639" s="22" t="str">
        <f>IF(OR(E2639="",E2639="!!!"),"",IF(OR(J2639=0,AND(J2639=1,K2639=1),AND(J2639=1,I2639="SBJ"),AND(J2639=1,I2639=0)),"?IN_FOCUS",IF(J2639&lt;=2,"?ACTIVATED",IF(J2639&lt;&gt;"","?FAMILIAR",IF(F2639="NEW",IF(ISNA(VLOOKUP(E2639,#REF!,1,FALSE())),"?TYPE_IDENTIFIABLE","?REFERENTIAL"),"_")))))</f>
        <v/>
      </c>
      <c r="H2639" s="23" t="str">
        <f t="shared" ca="1" si="290"/>
        <v/>
      </c>
      <c r="I2639" s="24" t="str">
        <f>IF(OR(E2639="",E2639="!!!",F2639="NEW"),"",INDEX(B$2:B2638,-1+SUMPRODUCT(MAX(ROW(E$2:E2638)*(E2639=E$2:E2638)))))</f>
        <v/>
      </c>
      <c r="J2639" s="24" t="str">
        <f ca="1">IF(OR(E2639="",E2639="!!!",F2639="NEW"),"",COUNTBLANK(OFFSET(A$1,,,SUMPRODUCT(MAX(ROW(E$2:E2639)*(E2639=E$2:E2639)))))-COUNTBLANK(OFFSET(A$1,,,SUMPRODUCT(MAX(ROW(E$1:E2638)*(E2=E$1:E2638))))))</f>
        <v/>
      </c>
      <c r="K2639" s="24" t="str">
        <f>IF(OR(E2639="",E2639="!!!",F2639="NEW"),"",INDEX(J$1:J2638,SUMPRODUCT(MAX(ROW(E$1:E2638)*(E2639=E$1:E2638)))))</f>
        <v/>
      </c>
      <c r="L2639" s="25"/>
    </row>
    <row r="2640" spans="1:12" x14ac:dyDescent="0.2">
      <c r="A2640" t="s">
        <v>1581</v>
      </c>
      <c r="E2640" s="20" t="str">
        <f t="shared" si="291"/>
        <v/>
      </c>
      <c r="F2640" s="21" t="str">
        <f>IF(OR(E2640="",E2640="!!!"),"",IF(NOT(ISNA(VLOOKUP(E2640,E$1:E2639,1,FALSE()))),"OLD",IF(AND(E2640&lt;&gt;"",E2640&lt;&gt;"!!!"),"NEW","")))</f>
        <v/>
      </c>
      <c r="G2640" s="22" t="str">
        <f>IF(OR(E2640="",E2640="!!!"),"",IF(OR(J2640=0,AND(J2640=1,K2640=1),AND(J2640=1,I2640="SBJ"),AND(J2640=1,I2640=0)),"?IN_FOCUS",IF(J2640&lt;=2,"?ACTIVATED",IF(J2640&lt;&gt;"","?FAMILIAR",IF(F2640="NEW",IF(ISNA(VLOOKUP(E2640,#REF!,1,FALSE())),"?TYPE_IDENTIFIABLE","?REFERENTIAL"),"_")))))</f>
        <v/>
      </c>
      <c r="H2640" s="23" t="str">
        <f t="shared" ca="1" si="290"/>
        <v/>
      </c>
      <c r="I2640" s="24" t="str">
        <f>IF(OR(E2640="",E2640="!!!",F2640="NEW"),"",INDEX(B$2:B2639,-1+SUMPRODUCT(MAX(ROW(E$2:E2639)*(E2640=E$2:E2639)))))</f>
        <v/>
      </c>
      <c r="J2640" s="24" t="str">
        <f ca="1">IF(OR(E2640="",E2640="!!!",F2640="NEW"),"",COUNTBLANK(OFFSET(A$1,,,SUMPRODUCT(MAX(ROW(E$2:E2640)*(E2640=E$2:E2640)))))-COUNTBLANK(OFFSET(A$1,,,SUMPRODUCT(MAX(ROW(E$1:E2639)*(E2=E$1:E2639))))))</f>
        <v/>
      </c>
      <c r="K2640" s="24" t="str">
        <f>IF(OR(E2640="",E2640="!!!",F2640="NEW"),"",INDEX(J$1:J2639,SUMPRODUCT(MAX(ROW(E$1:E2639)*(E2640=E$1:E2639)))))</f>
        <v/>
      </c>
      <c r="L2640" s="25"/>
    </row>
    <row r="2641" spans="1:12" x14ac:dyDescent="0.2">
      <c r="A2641" t="s">
        <v>1582</v>
      </c>
      <c r="B2641" s="26" t="s">
        <v>899</v>
      </c>
      <c r="C2641" s="26" t="s">
        <v>814</v>
      </c>
      <c r="E2641" s="20" t="str">
        <f t="shared" si="291"/>
        <v/>
      </c>
      <c r="F2641" s="21" t="str">
        <f>IF(OR(E2641="",E2641="!!!"),"",IF(NOT(ISNA(VLOOKUP(E2641,E$1:E2640,1,FALSE()))),"OLD",IF(AND(E2641&lt;&gt;"",E2641&lt;&gt;"!!!"),"NEW","")))</f>
        <v/>
      </c>
      <c r="G2641" s="22" t="str">
        <f>IF(OR(E2641="",E2641="!!!"),"",IF(OR(J2641=0,AND(J2641=1,K2641=1),AND(J2641=1,I2641="SBJ"),AND(J2641=1,I2641=0)),"?IN_FOCUS",IF(J2641&lt;=2,"?ACTIVATED",IF(J2641&lt;&gt;"","?FAMILIAR",IF(F2641="NEW",IF(ISNA(VLOOKUP(E2641,#REF!,1,FALSE())),"?TYPE_IDENTIFIABLE","?REFERENTIAL"),"_")))))</f>
        <v/>
      </c>
      <c r="H2641" s="23" t="str">
        <f t="shared" ca="1" si="290"/>
        <v/>
      </c>
      <c r="I2641" s="24" t="str">
        <f>IF(OR(E2641="",E2641="!!!",F2641="NEW"),"",INDEX(B$2:B2640,-1+SUMPRODUCT(MAX(ROW(E$2:E2640)*(E2641=E$2:E2640)))))</f>
        <v/>
      </c>
      <c r="J2641" s="24" t="str">
        <f ca="1">IF(OR(E2641="",E2641="!!!",F2641="NEW"),"",COUNTBLANK(OFFSET(A$1,,,SUMPRODUCT(MAX(ROW(E$2:E2641)*(E2641=E$2:E2641)))))-COUNTBLANK(OFFSET(A$1,,,SUMPRODUCT(MAX(ROW(E$1:E2640)*(E2=E$1:E2640))))))</f>
        <v/>
      </c>
      <c r="K2641" s="24" t="str">
        <f>IF(OR(E2641="",E2641="!!!",F2641="NEW"),"",INDEX(J$1:J2640,SUMPRODUCT(MAX(ROW(E$1:E2640)*(E2641=E$1:E2640)))))</f>
        <v/>
      </c>
      <c r="L2641" s="25"/>
    </row>
    <row r="2642" spans="1:12" x14ac:dyDescent="0.2">
      <c r="A2642" t="s">
        <v>821</v>
      </c>
      <c r="E2642" s="20" t="str">
        <f t="shared" si="291"/>
        <v/>
      </c>
      <c r="F2642" s="21" t="str">
        <f>IF(OR(E2642="",E2642="!!!"),"",IF(NOT(ISNA(VLOOKUP(E2642,E$1:E2641,1,FALSE()))),"OLD",IF(AND(E2642&lt;&gt;"",E2642&lt;&gt;"!!!"),"NEW","")))</f>
        <v/>
      </c>
      <c r="G2642" s="22" t="str">
        <f>IF(OR(E2642="",E2642="!!!"),"",IF(OR(J2642=0,AND(J2642=1,K2642=1),AND(J2642=1,I2642="SBJ"),AND(J2642=1,I2642=0)),"?IN_FOCUS",IF(J2642&lt;=2,"?ACTIVATED",IF(J2642&lt;&gt;"","?FAMILIAR",IF(F2642="NEW",IF(ISNA(VLOOKUP(E2642,#REF!,1,FALSE())),"?TYPE_IDENTIFIABLE","?REFERENTIAL"),"_")))))</f>
        <v/>
      </c>
      <c r="H2642" s="23" t="str">
        <f t="shared" ca="1" si="290"/>
        <v/>
      </c>
      <c r="I2642" s="24" t="str">
        <f>IF(OR(E2642="",E2642="!!!",F2642="NEW"),"",INDEX(B$2:B2641,-1+SUMPRODUCT(MAX(ROW(E$2:E2641)*(E2642=E$2:E2641)))))</f>
        <v/>
      </c>
      <c r="J2642" s="24" t="str">
        <f ca="1">IF(OR(E2642="",E2642="!!!",F2642="NEW"),"",COUNTBLANK(OFFSET(A$1,,,SUMPRODUCT(MAX(ROW(E$2:E2642)*(E2642=E$2:E2642)))))-COUNTBLANK(OFFSET(A$1,,,SUMPRODUCT(MAX(ROW(E$1:E2641)*(E2=E$1:E2641))))))</f>
        <v/>
      </c>
      <c r="K2642" s="24" t="str">
        <f>IF(OR(E2642="",E2642="!!!",F2642="NEW"),"",INDEX(J$1:J2641,SUMPRODUCT(MAX(ROW(E$1:E2641)*(E2642=E$1:E2641)))))</f>
        <v/>
      </c>
      <c r="L2642" s="25"/>
    </row>
    <row r="2644" spans="1:12" x14ac:dyDescent="0.2">
      <c r="A2644" t="s">
        <v>1583</v>
      </c>
    </row>
    <row r="2645" spans="1:12" x14ac:dyDescent="0.2">
      <c r="A2645" t="s">
        <v>1034</v>
      </c>
      <c r="E2645" s="20" t="str">
        <f t="shared" ref="E2645:E2665" si="292">IF(D2645="?OLD","!!!","")</f>
        <v/>
      </c>
      <c r="F2645" s="21" t="str">
        <f>IF(OR(E2645="",E2645="!!!"),"",IF(NOT(ISNA(VLOOKUP(E2645,E$1:E2644,1,FALSE()))),"OLD",IF(AND(E2645&lt;&gt;"",E2645&lt;&gt;"!!!"),"NEW","")))</f>
        <v/>
      </c>
      <c r="G2645" s="22" t="str">
        <f>IF(OR(E2645="",E2645="!!!"),"",IF(OR(J2645=0,AND(J2645=1,K2645=1),AND(J2645=1,I2645="SBJ"),AND(J2645=1,I2645=0)),"?IN_FOCUS",IF(J2645&lt;=2,"?ACTIVATED",IF(J2645&lt;&gt;"","?FAMILIAR",IF(F2645="NEW",IF(ISNA(VLOOKUP(E2645,#REF!,1,FALSE())),"?TYPE_IDENTIFIABLE","?REFERENTIAL"),"_")))))</f>
        <v/>
      </c>
      <c r="H2645" s="23" t="str">
        <f t="shared" ref="H2645:H2665" ca="1" si="293">IF(J2645&lt;&gt;1,"",IF(I2645="SBJ","CB","?"))</f>
        <v/>
      </c>
      <c r="I2645" s="24" t="str">
        <f>IF(OR(E2645="",E2645="!!!",F2645="NEW"),"",INDEX(B$2:B2644,-1+SUMPRODUCT(MAX(ROW(E$2:E2644)*(E2645=E$2:E2644)))))</f>
        <v/>
      </c>
      <c r="J2645" s="24" t="str">
        <f ca="1">IF(OR(E2645="",E2645="!!!",F2645="NEW"),"",COUNTBLANK(OFFSET(A$1,,,SUMPRODUCT(MAX(ROW(E$2:E2645)*(E2645=E$2:E2645)))))-COUNTBLANK(OFFSET(A$1,,,SUMPRODUCT(MAX(ROW(E$1:E2644)*(E2=E$1:E2644))))))</f>
        <v/>
      </c>
      <c r="K2645" s="24" t="str">
        <f>IF(OR(E2645="",E2645="!!!",F2645="NEW"),"",INDEX(J$1:J2644,SUMPRODUCT(MAX(ROW(E$1:E2644)*(E2645=E$1:E2644)))))</f>
        <v/>
      </c>
      <c r="L2645" s="25"/>
    </row>
    <row r="2646" spans="1:12" x14ac:dyDescent="0.2">
      <c r="A2646" t="s">
        <v>1536</v>
      </c>
      <c r="E2646" s="20" t="str">
        <f t="shared" si="292"/>
        <v/>
      </c>
      <c r="F2646" s="21" t="str">
        <f>IF(OR(E2646="",E2646="!!!"),"",IF(NOT(ISNA(VLOOKUP(E2646,E$1:E2645,1,FALSE()))),"OLD",IF(AND(E2646&lt;&gt;"",E2646&lt;&gt;"!!!"),"NEW","")))</f>
        <v/>
      </c>
      <c r="G2646" s="22" t="str">
        <f>IF(OR(E2646="",E2646="!!!"),"",IF(OR(J2646=0,AND(J2646=1,K2646=1),AND(J2646=1,I2646="SBJ"),AND(J2646=1,I2646=0)),"?IN_FOCUS",IF(J2646&lt;=2,"?ACTIVATED",IF(J2646&lt;&gt;"","?FAMILIAR",IF(F2646="NEW",IF(ISNA(VLOOKUP(E2646,#REF!,1,FALSE())),"?TYPE_IDENTIFIABLE","?REFERENTIAL"),"_")))))</f>
        <v/>
      </c>
      <c r="H2646" s="23" t="str">
        <f t="shared" ca="1" si="293"/>
        <v/>
      </c>
      <c r="I2646" s="24" t="str">
        <f>IF(OR(E2646="",E2646="!!!",F2646="NEW"),"",INDEX(B$2:B2645,-1+SUMPRODUCT(MAX(ROW(E$2:E2645)*(E2646=E$2:E2645)))))</f>
        <v/>
      </c>
      <c r="J2646" s="24" t="str">
        <f ca="1">IF(OR(E2646="",E2646="!!!",F2646="NEW"),"",COUNTBLANK(OFFSET(A$1,,,SUMPRODUCT(MAX(ROW(E$2:E2646)*(E2646=E$2:E2646)))))-COUNTBLANK(OFFSET(A$1,,,SUMPRODUCT(MAX(ROW(E$1:E2645)*(E2=E$1:E2645))))))</f>
        <v/>
      </c>
      <c r="K2646" s="24" t="str">
        <f>IF(OR(E2646="",E2646="!!!",F2646="NEW"),"",INDEX(J$1:J2645,SUMPRODUCT(MAX(ROW(E$1:E2645)*(E2646=E$1:E2645)))))</f>
        <v/>
      </c>
      <c r="L2646" s="25"/>
    </row>
    <row r="2647" spans="1:12" x14ac:dyDescent="0.2">
      <c r="A2647" t="s">
        <v>830</v>
      </c>
      <c r="B2647" s="26" t="s">
        <v>950</v>
      </c>
      <c r="C2647" s="26" t="s">
        <v>805</v>
      </c>
      <c r="D2647" s="26" t="s">
        <v>806</v>
      </c>
      <c r="E2647" s="20" t="s">
        <v>1209</v>
      </c>
      <c r="F2647" s="21" t="str">
        <f>IF(OR(E2647="",E2647="!!!"),"",IF(NOT(ISNA(VLOOKUP(E2647,E$1:E2646,1,FALSE()))),"OLD",IF(AND(E2647&lt;&gt;"",E2647&lt;&gt;"!!!"),"NEW","")))</f>
        <v>OLD</v>
      </c>
      <c r="G2647" s="22" t="s">
        <v>1823</v>
      </c>
      <c r="H2647" s="23" t="str">
        <f t="shared" ca="1" si="293"/>
        <v/>
      </c>
      <c r="I2647" s="24" t="str">
        <f>IF(OR(E2647="",E2647="!!!",F2647="NEW"),"",INDEX(B$2:B2646,-1+SUMPRODUCT(MAX(ROW(E$2:E2646)*(E2647=E$2:E2646)))))</f>
        <v>other_2</v>
      </c>
      <c r="J2647" s="24">
        <f ca="1">IF(OR(E2647="",E2647="!!!",F2647="NEW"),"",COUNTBLANK(OFFSET(A$1,,,SUMPRODUCT(MAX(ROW(E$2:E2647)*(E2647=E$2:E2647)))))-COUNTBLANK(OFFSET(A$1,,,SUMPRODUCT(MAX(ROW(E$1:E2646)*(E2=E$1:E2646))))))</f>
        <v>0</v>
      </c>
      <c r="K2647" s="24">
        <f ca="1">IF(OR(E2647="",E2647="!!!",F2647="NEW"),"",INDEX(J$1:J2646,SUMPRODUCT(MAX(ROW(E$1:E2646)*(E2647=E$1:E2646)))))</f>
        <v>0</v>
      </c>
      <c r="L2647" s="25"/>
    </row>
    <row r="2648" spans="1:12" x14ac:dyDescent="0.2">
      <c r="A2648" t="s">
        <v>1584</v>
      </c>
      <c r="E2648" s="20" t="str">
        <f t="shared" si="292"/>
        <v/>
      </c>
      <c r="F2648" s="21" t="str">
        <f>IF(OR(E2648="",E2648="!!!"),"",IF(NOT(ISNA(VLOOKUP(E2648,E$1:E2647,1,FALSE()))),"OLD",IF(AND(E2648&lt;&gt;"",E2648&lt;&gt;"!!!"),"NEW","")))</f>
        <v/>
      </c>
      <c r="G2648" s="22" t="str">
        <f>IF(OR(E2648="",E2648="!!!"),"",IF(OR(J2648=0,AND(J2648=1,K2648=1),AND(J2648=1,I2648="SBJ"),AND(J2648=1,I2648=0)),"?IN_FOCUS",IF(J2648&lt;=2,"?ACTIVATED",IF(J2648&lt;&gt;"","?FAMILIAR",IF(F2648="NEW",IF(ISNA(VLOOKUP(E2648,#REF!,1,FALSE())),"?TYPE_IDENTIFIABLE","?REFERENTIAL"),"_")))))</f>
        <v/>
      </c>
      <c r="H2648" s="23" t="str">
        <f t="shared" ca="1" si="293"/>
        <v/>
      </c>
      <c r="I2648" s="24" t="str">
        <f>IF(OR(E2648="",E2648="!!!",F2648="NEW"),"",INDEX(B$2:B2647,-1+SUMPRODUCT(MAX(ROW(E$2:E2647)*(E2648=E$2:E2647)))))</f>
        <v/>
      </c>
      <c r="J2648" s="24" t="str">
        <f ca="1">IF(OR(E2648="",E2648="!!!",F2648="NEW"),"",COUNTBLANK(OFFSET(A$1,,,SUMPRODUCT(MAX(ROW(E$2:E2648)*(E2648=E$2:E2648)))))-COUNTBLANK(OFFSET(A$1,,,SUMPRODUCT(MAX(ROW(E$1:E2647)*(E2=E$1:E2647))))))</f>
        <v/>
      </c>
      <c r="K2648" s="24" t="str">
        <f>IF(OR(E2648="",E2648="!!!",F2648="NEW"),"",INDEX(J$1:J2647,SUMPRODUCT(MAX(ROW(E$1:E2647)*(E2648=E$1:E2647)))))</f>
        <v/>
      </c>
      <c r="L2648" s="25"/>
    </row>
    <row r="2649" spans="1:12" x14ac:dyDescent="0.2">
      <c r="A2649" t="s">
        <v>1401</v>
      </c>
      <c r="B2649" s="26" t="s">
        <v>864</v>
      </c>
      <c r="C2649" s="26" t="s">
        <v>817</v>
      </c>
      <c r="D2649" s="26" t="s">
        <v>806</v>
      </c>
      <c r="E2649" s="20"/>
      <c r="F2649" s="21" t="s">
        <v>1793</v>
      </c>
      <c r="G2649" s="22" t="str">
        <f>IF(OR(E2649="",E2649="!!!"),"",IF(OR(J2649=0,AND(J2649=1,K2649=1),AND(J2649=1,I2649="SBJ"),AND(J2649=1,I2649=0)),"?IN_FOCUS",IF(J2649&lt;=2,"?ACTIVATED",IF(J2649&lt;&gt;"","?FAMILIAR",IF(F2649="NEW",IF(ISNA(VLOOKUP(E2649,#REF!,1,FALSE())),"?TYPE_IDENTIFIABLE","?REFERENTIAL"),"_")))))</f>
        <v/>
      </c>
      <c r="H2649" s="23" t="str">
        <f t="shared" ca="1" si="293"/>
        <v/>
      </c>
      <c r="I2649" s="24" t="str">
        <f>IF(OR(E2649="",E2649="!!!",F2649="NEW"),"",INDEX(B$2:B2648,-1+SUMPRODUCT(MAX(ROW(E$2:E2648)*(E2649=E$2:E2648)))))</f>
        <v/>
      </c>
      <c r="J2649" s="24" t="str">
        <f ca="1">IF(OR(E2649="",E2649="!!!",F2649="NEW"),"",COUNTBLANK(OFFSET(A$1,,,SUMPRODUCT(MAX(ROW(E$2:E2649)*(E2649=E$2:E2649)))))-COUNTBLANK(OFFSET(A$1,,,SUMPRODUCT(MAX(ROW(E$1:E2648)*(E2=E$1:E2648))))))</f>
        <v/>
      </c>
      <c r="K2649" s="24" t="str">
        <f>IF(OR(E2649="",E2649="!!!",F2649="NEW"),"",INDEX(J$1:J2648,SUMPRODUCT(MAX(ROW(E$1:E2648)*(E2649=E$1:E2648)))))</f>
        <v/>
      </c>
      <c r="L2649" s="25"/>
    </row>
    <row r="2650" spans="1:12" x14ac:dyDescent="0.2">
      <c r="A2650" t="s">
        <v>1197</v>
      </c>
      <c r="B2650" s="26" t="s">
        <v>938</v>
      </c>
      <c r="C2650" s="26" t="s">
        <v>820</v>
      </c>
      <c r="D2650" s="26" t="s">
        <v>806</v>
      </c>
      <c r="E2650" s="20" t="s">
        <v>1804</v>
      </c>
      <c r="F2650" s="21" t="str">
        <f>IF(OR(E2650="",E2650="!!!"),"",IF(NOT(ISNA(VLOOKUP(E2650,E$1:E2649,1,FALSE()))),"OLD",IF(AND(E2650&lt;&gt;"",E2650&lt;&gt;"!!!"),"NEW","")))</f>
        <v>NEW</v>
      </c>
      <c r="G2650" s="22" t="s">
        <v>1824</v>
      </c>
      <c r="H2650" s="23" t="str">
        <f t="shared" ca="1" si="293"/>
        <v/>
      </c>
      <c r="I2650" s="24" t="str">
        <f>IF(OR(E2650="",E2650="!!!",F2650="NEW"),"",INDEX(B$2:B2649,-1+SUMPRODUCT(MAX(ROW(E$2:E2649)*(E2650=E$2:E2649)))))</f>
        <v/>
      </c>
      <c r="J2650" s="24" t="str">
        <f ca="1">IF(OR(E2650="",E2650="!!!",F2650="NEW"),"",COUNTBLANK(OFFSET(A$1,,,SUMPRODUCT(MAX(ROW(E$2:E2650)*(E2650=E$2:E2650)))))-COUNTBLANK(OFFSET(A$1,,,SUMPRODUCT(MAX(ROW(E$1:E2649)*(E2=E$1:E2649))))))</f>
        <v/>
      </c>
      <c r="K2650" s="24" t="str">
        <f>IF(OR(E2650="",E2650="!!!",F2650="NEW"),"",INDEX(J$1:J2649,SUMPRODUCT(MAX(ROW(E$1:E2649)*(E2650=E$1:E2649)))))</f>
        <v/>
      </c>
      <c r="L2650" s="25"/>
    </row>
    <row r="2651" spans="1:12" x14ac:dyDescent="0.2">
      <c r="A2651" t="s">
        <v>1307</v>
      </c>
      <c r="E2651" s="20" t="str">
        <f t="shared" si="292"/>
        <v/>
      </c>
      <c r="F2651" s="21" t="str">
        <f>IF(OR(E2651="",E2651="!!!"),"",IF(NOT(ISNA(VLOOKUP(E2651,E$1:E2650,1,FALSE()))),"OLD",IF(AND(E2651&lt;&gt;"",E2651&lt;&gt;"!!!"),"NEW","")))</f>
        <v/>
      </c>
      <c r="G2651" s="22" t="str">
        <f>IF(OR(E2651="",E2651="!!!"),"",IF(OR(J2651=0,AND(J2651=1,K2651=1),AND(J2651=1,I2651="SBJ"),AND(J2651=1,I2651=0)),"?IN_FOCUS",IF(J2651&lt;=2,"?ACTIVATED",IF(J2651&lt;&gt;"","?FAMILIAR",IF(F2651="NEW",IF(ISNA(VLOOKUP(E2651,#REF!,1,FALSE())),"?TYPE_IDENTIFIABLE","?REFERENTIAL"),"_")))))</f>
        <v/>
      </c>
      <c r="H2651" s="23" t="str">
        <f t="shared" ca="1" si="293"/>
        <v/>
      </c>
      <c r="I2651" s="24" t="str">
        <f>IF(OR(E2651="",E2651="!!!",F2651="NEW"),"",INDEX(B$2:B2650,-1+SUMPRODUCT(MAX(ROW(E$2:E2650)*(E2651=E$2:E2650)))))</f>
        <v/>
      </c>
      <c r="J2651" s="24" t="str">
        <f ca="1">IF(OR(E2651="",E2651="!!!",F2651="NEW"),"",COUNTBLANK(OFFSET(A$1,,,SUMPRODUCT(MAX(ROW(E$2:E2651)*(E2651=E$2:E2651)))))-COUNTBLANK(OFFSET(A$1,,,SUMPRODUCT(MAX(ROW(E$1:E2650)*(E2=E$1:E2650))))))</f>
        <v/>
      </c>
      <c r="K2651" s="24" t="str">
        <f>IF(OR(E2651="",E2651="!!!",F2651="NEW"),"",INDEX(J$1:J2650,SUMPRODUCT(MAX(ROW(E$1:E2650)*(E2651=E$1:E2650)))))</f>
        <v/>
      </c>
      <c r="L2651" s="25"/>
    </row>
    <row r="2652" spans="1:12" x14ac:dyDescent="0.2">
      <c r="A2652" t="s">
        <v>845</v>
      </c>
      <c r="E2652" s="20" t="str">
        <f t="shared" si="292"/>
        <v/>
      </c>
      <c r="F2652" s="21" t="str">
        <f>IF(OR(E2652="",E2652="!!!"),"",IF(NOT(ISNA(VLOOKUP(E2652,E$1:E2651,1,FALSE()))),"OLD",IF(AND(E2652&lt;&gt;"",E2652&lt;&gt;"!!!"),"NEW","")))</f>
        <v/>
      </c>
      <c r="G2652" s="22" t="str">
        <f>IF(OR(E2652="",E2652="!!!"),"",IF(OR(J2652=0,AND(J2652=1,K2652=1),AND(J2652=1,I2652="SBJ"),AND(J2652=1,I2652=0)),"?IN_FOCUS",IF(J2652&lt;=2,"?ACTIVATED",IF(J2652&lt;&gt;"","?FAMILIAR",IF(F2652="NEW",IF(ISNA(VLOOKUP(E2652,#REF!,1,FALSE())),"?TYPE_IDENTIFIABLE","?REFERENTIAL"),"_")))))</f>
        <v/>
      </c>
      <c r="H2652" s="23" t="str">
        <f t="shared" ca="1" si="293"/>
        <v/>
      </c>
      <c r="I2652" s="24" t="str">
        <f>IF(OR(E2652="",E2652="!!!",F2652="NEW"),"",INDEX(B$2:B2651,-1+SUMPRODUCT(MAX(ROW(E$2:E2651)*(E2652=E$2:E2651)))))</f>
        <v/>
      </c>
      <c r="J2652" s="24" t="str">
        <f ca="1">IF(OR(E2652="",E2652="!!!",F2652="NEW"),"",COUNTBLANK(OFFSET(A$1,,,SUMPRODUCT(MAX(ROW(E$2:E2652)*(E2652=E$2:E2652)))))-COUNTBLANK(OFFSET(A$1,,,SUMPRODUCT(MAX(ROW(E$1:E2651)*(E2=E$1:E2651))))))</f>
        <v/>
      </c>
      <c r="K2652" s="24" t="str">
        <f>IF(OR(E2652="",E2652="!!!",F2652="NEW"),"",INDEX(J$1:J2651,SUMPRODUCT(MAX(ROW(E$1:E2651)*(E2652=E$1:E2651)))))</f>
        <v/>
      </c>
      <c r="L2652" s="25"/>
    </row>
    <row r="2653" spans="1:12" x14ac:dyDescent="0.2">
      <c r="A2653" t="s">
        <v>1388</v>
      </c>
      <c r="B2653" s="26" t="s">
        <v>813</v>
      </c>
      <c r="C2653" s="26" t="s">
        <v>847</v>
      </c>
      <c r="D2653" s="26" t="s">
        <v>806</v>
      </c>
      <c r="E2653" s="20" t="s">
        <v>1792</v>
      </c>
      <c r="F2653" s="21" t="str">
        <f>IF(OR(E2653="",E2653="!!!"),"",IF(NOT(ISNA(VLOOKUP(E2653,E$1:E2652,1,FALSE()))),"OLD",IF(AND(E2653&lt;&gt;"",E2653&lt;&gt;"!!!"),"NEW","")))</f>
        <v>OLD</v>
      </c>
      <c r="G2653" s="22" t="s">
        <v>1825</v>
      </c>
      <c r="H2653" s="23" t="str">
        <f t="shared" ca="1" si="293"/>
        <v/>
      </c>
      <c r="I2653" s="24" t="str">
        <f>IF(OR(E2653="",E2653="!!!",F2653="NEW"),"",INDEX(B$2:B2652,-1+SUMPRODUCT(MAX(ROW(E$2:E2652)*(E2653=E$2:E2652)))))</f>
        <v>other_2</v>
      </c>
      <c r="J2653" s="24">
        <f ca="1">IF(OR(E2653="",E2653="!!!",F2653="NEW"),"",COUNTBLANK(OFFSET(A$1,,,SUMPRODUCT(MAX(ROW(E$2:E2653)*(E2653=E$2:E2653)))))-COUNTBLANK(OFFSET(A$1,,,SUMPRODUCT(MAX(ROW(E$1:E2652)*(E2=E$1:E2652))))))</f>
        <v>0</v>
      </c>
      <c r="K2653" s="24">
        <f ca="1">IF(OR(E2653="",E2653="!!!",F2653="NEW"),"",INDEX(J$1:J2652,SUMPRODUCT(MAX(ROW(E$1:E2652)*(E2653=E$1:E2652)))))</f>
        <v>0</v>
      </c>
      <c r="L2653" s="25"/>
    </row>
    <row r="2654" spans="1:12" x14ac:dyDescent="0.2">
      <c r="A2654" t="s">
        <v>888</v>
      </c>
      <c r="E2654" s="20" t="str">
        <f t="shared" si="292"/>
        <v/>
      </c>
      <c r="F2654" s="21" t="str">
        <f>IF(OR(E2654="",E2654="!!!"),"",IF(NOT(ISNA(VLOOKUP(E2654,E$1:E2653,1,FALSE()))),"OLD",IF(AND(E2654&lt;&gt;"",E2654&lt;&gt;"!!!"),"NEW","")))</f>
        <v/>
      </c>
      <c r="G2654" s="22" t="str">
        <f>IF(OR(E2654="",E2654="!!!"),"",IF(OR(J2654=0,AND(J2654=1,K2654=1),AND(J2654=1,I2654="SBJ"),AND(J2654=1,I2654=0)),"?IN_FOCUS",IF(J2654&lt;=2,"?ACTIVATED",IF(J2654&lt;&gt;"","?FAMILIAR",IF(F2654="NEW",IF(ISNA(VLOOKUP(E2654,#REF!,1,FALSE())),"?TYPE_IDENTIFIABLE","?REFERENTIAL"),"_")))))</f>
        <v/>
      </c>
      <c r="H2654" s="23" t="str">
        <f t="shared" ca="1" si="293"/>
        <v/>
      </c>
      <c r="I2654" s="24" t="str">
        <f>IF(OR(E2654="",E2654="!!!",F2654="NEW"),"",INDEX(B$2:B2653,-1+SUMPRODUCT(MAX(ROW(E$2:E2653)*(E2654=E$2:E2653)))))</f>
        <v/>
      </c>
      <c r="J2654" s="24" t="str">
        <f ca="1">IF(OR(E2654="",E2654="!!!",F2654="NEW"),"",COUNTBLANK(OFFSET(A$1,,,SUMPRODUCT(MAX(ROW(E$2:E2654)*(E2654=E$2:E2654)))))-COUNTBLANK(OFFSET(A$1,,,SUMPRODUCT(MAX(ROW(E$1:E2653)*(E2=E$1:E2653))))))</f>
        <v/>
      </c>
      <c r="K2654" s="24" t="str">
        <f>IF(OR(E2654="",E2654="!!!",F2654="NEW"),"",INDEX(J$1:J2653,SUMPRODUCT(MAX(ROW(E$1:E2653)*(E2654=E$1:E2653)))))</f>
        <v/>
      </c>
      <c r="L2654" s="25"/>
    </row>
    <row r="2655" spans="1:12" x14ac:dyDescent="0.2">
      <c r="A2655" t="s">
        <v>1585</v>
      </c>
      <c r="E2655" s="20" t="str">
        <f t="shared" si="292"/>
        <v/>
      </c>
      <c r="F2655" s="21" t="str">
        <f>IF(OR(E2655="",E2655="!!!"),"",IF(NOT(ISNA(VLOOKUP(E2655,E$1:E2654,1,FALSE()))),"OLD",IF(AND(E2655&lt;&gt;"",E2655&lt;&gt;"!!!"),"NEW","")))</f>
        <v/>
      </c>
      <c r="G2655" s="22" t="str">
        <f>IF(OR(E2655="",E2655="!!!"),"",IF(OR(J2655=0,AND(J2655=1,K2655=1),AND(J2655=1,I2655="SBJ"),AND(J2655=1,I2655=0)),"?IN_FOCUS",IF(J2655&lt;=2,"?ACTIVATED",IF(J2655&lt;&gt;"","?FAMILIAR",IF(F2655="NEW",IF(ISNA(VLOOKUP(E2655,#REF!,1,FALSE())),"?TYPE_IDENTIFIABLE","?REFERENTIAL"),"_")))))</f>
        <v/>
      </c>
      <c r="H2655" s="23" t="str">
        <f t="shared" ca="1" si="293"/>
        <v/>
      </c>
      <c r="I2655" s="24" t="str">
        <f>IF(OR(E2655="",E2655="!!!",F2655="NEW"),"",INDEX(B$2:B2654,-1+SUMPRODUCT(MAX(ROW(E$2:E2654)*(E2655=E$2:E2654)))))</f>
        <v/>
      </c>
      <c r="J2655" s="24" t="str">
        <f ca="1">IF(OR(E2655="",E2655="!!!",F2655="NEW"),"",COUNTBLANK(OFFSET(A$1,,,SUMPRODUCT(MAX(ROW(E$2:E2655)*(E2655=E$2:E2655)))))-COUNTBLANK(OFFSET(A$1,,,SUMPRODUCT(MAX(ROW(E$1:E2654)*(E2=E$1:E2654))))))</f>
        <v/>
      </c>
      <c r="K2655" s="24" t="str">
        <f>IF(OR(E2655="",E2655="!!!",F2655="NEW"),"",INDEX(J$1:J2654,SUMPRODUCT(MAX(ROW(E$1:E2654)*(E2655=E$1:E2654)))))</f>
        <v/>
      </c>
      <c r="L2655" s="25"/>
    </row>
    <row r="2656" spans="1:12" x14ac:dyDescent="0.2">
      <c r="A2656" t="s">
        <v>802</v>
      </c>
      <c r="E2656" s="20" t="str">
        <f t="shared" si="292"/>
        <v/>
      </c>
      <c r="F2656" s="21" t="str">
        <f>IF(OR(E2656="",E2656="!!!"),"",IF(NOT(ISNA(VLOOKUP(E2656,E$1:E2655,1,FALSE()))),"OLD",IF(AND(E2656&lt;&gt;"",E2656&lt;&gt;"!!!"),"NEW","")))</f>
        <v/>
      </c>
      <c r="G2656" s="22" t="str">
        <f>IF(OR(E2656="",E2656="!!!"),"",IF(OR(J2656=0,AND(J2656=1,K2656=1),AND(J2656=1,I2656="SBJ"),AND(J2656=1,I2656=0)),"?IN_FOCUS",IF(J2656&lt;=2,"?ACTIVATED",IF(J2656&lt;&gt;"","?FAMILIAR",IF(F2656="NEW",IF(ISNA(VLOOKUP(E2656,#REF!,1,FALSE())),"?TYPE_IDENTIFIABLE","?REFERENTIAL"),"_")))))</f>
        <v/>
      </c>
      <c r="H2656" s="23" t="str">
        <f t="shared" ca="1" si="293"/>
        <v/>
      </c>
      <c r="I2656" s="24" t="str">
        <f>IF(OR(E2656="",E2656="!!!",F2656="NEW"),"",INDEX(B$2:B2655,-1+SUMPRODUCT(MAX(ROW(E$2:E2655)*(E2656=E$2:E2655)))))</f>
        <v/>
      </c>
      <c r="J2656" s="24" t="str">
        <f ca="1">IF(OR(E2656="",E2656="!!!",F2656="NEW"),"",COUNTBLANK(OFFSET(A$1,,,SUMPRODUCT(MAX(ROW(E$2:E2656)*(E2656=E$2:E2656)))))-COUNTBLANK(OFFSET(A$1,,,SUMPRODUCT(MAX(ROW(E$1:E2655)*(E2=E$1:E2655))))))</f>
        <v/>
      </c>
      <c r="K2656" s="24" t="str">
        <f>IF(OR(E2656="",E2656="!!!",F2656="NEW"),"",INDEX(J$1:J2655,SUMPRODUCT(MAX(ROW(E$1:E2655)*(E2656=E$1:E2655)))))</f>
        <v/>
      </c>
      <c r="L2656" s="25"/>
    </row>
    <row r="2657" spans="1:12" x14ac:dyDescent="0.2">
      <c r="A2657" t="s">
        <v>845</v>
      </c>
      <c r="E2657" s="20" t="str">
        <f t="shared" si="292"/>
        <v/>
      </c>
      <c r="F2657" s="21" t="str">
        <f>IF(OR(E2657="",E2657="!!!"),"",IF(NOT(ISNA(VLOOKUP(E2657,E$1:E2656,1,FALSE()))),"OLD",IF(AND(E2657&lt;&gt;"",E2657&lt;&gt;"!!!"),"NEW","")))</f>
        <v/>
      </c>
      <c r="G2657" s="22" t="str">
        <f>IF(OR(E2657="",E2657="!!!"),"",IF(OR(J2657=0,AND(J2657=1,K2657=1),AND(J2657=1,I2657="SBJ"),AND(J2657=1,I2657=0)),"?IN_FOCUS",IF(J2657&lt;=2,"?ACTIVATED",IF(J2657&lt;&gt;"","?FAMILIAR",IF(F2657="NEW",IF(ISNA(VLOOKUP(E2657,#REF!,1,FALSE())),"?TYPE_IDENTIFIABLE","?REFERENTIAL"),"_")))))</f>
        <v/>
      </c>
      <c r="H2657" s="23" t="str">
        <f t="shared" ca="1" si="293"/>
        <v/>
      </c>
      <c r="I2657" s="24" t="str">
        <f>IF(OR(E2657="",E2657="!!!",F2657="NEW"),"",INDEX(B$2:B2656,-1+SUMPRODUCT(MAX(ROW(E$2:E2656)*(E2657=E$2:E2656)))))</f>
        <v/>
      </c>
      <c r="J2657" s="24" t="str">
        <f ca="1">IF(OR(E2657="",E2657="!!!",F2657="NEW"),"",COUNTBLANK(OFFSET(A$1,,,SUMPRODUCT(MAX(ROW(E$2:E2657)*(E2657=E$2:E2657)))))-COUNTBLANK(OFFSET(A$1,,,SUMPRODUCT(MAX(ROW(E$1:E2656)*(E2=E$1:E2656))))))</f>
        <v/>
      </c>
      <c r="K2657" s="24" t="str">
        <f>IF(OR(E2657="",E2657="!!!",F2657="NEW"),"",INDEX(J$1:J2656,SUMPRODUCT(MAX(ROW(E$1:E2656)*(E2657=E$1:E2656)))))</f>
        <v/>
      </c>
      <c r="L2657" s="25"/>
    </row>
    <row r="2658" spans="1:12" x14ac:dyDescent="0.2">
      <c r="A2658" t="s">
        <v>1231</v>
      </c>
      <c r="B2658" s="26" t="s">
        <v>804</v>
      </c>
      <c r="C2658" s="26" t="s">
        <v>847</v>
      </c>
      <c r="D2658" s="26" t="s">
        <v>806</v>
      </c>
      <c r="E2658" s="20" t="s">
        <v>1209</v>
      </c>
      <c r="F2658" s="21" t="str">
        <f>IF(OR(E2658="",E2658="!!!"),"",IF(NOT(ISNA(VLOOKUP(E2658,E$1:E2657,1,FALSE()))),"OLD",IF(AND(E2658&lt;&gt;"",E2658&lt;&gt;"!!!"),"NEW","")))</f>
        <v>OLD</v>
      </c>
      <c r="G2658" s="22" t="s">
        <v>1823</v>
      </c>
      <c r="H2658" s="23" t="str">
        <f t="shared" ca="1" si="293"/>
        <v/>
      </c>
      <c r="I2658" s="24" t="str">
        <f>IF(OR(E2658="",E2658="!!!",F2658="NEW"),"",INDEX(B$2:B2657,-1+SUMPRODUCT(MAX(ROW(E$2:E2657)*(E2658=E$2:E2657)))))</f>
        <v>SBJ_2</v>
      </c>
      <c r="J2658" s="24">
        <f ca="1">IF(OR(E2658="",E2658="!!!",F2658="NEW"),"",COUNTBLANK(OFFSET(A$1,,,SUMPRODUCT(MAX(ROW(E$2:E2658)*(E2658=E$2:E2658)))))-COUNTBLANK(OFFSET(A$1,,,SUMPRODUCT(MAX(ROW(E$1:E2657)*(E2=E$1:E2657))))))</f>
        <v>0</v>
      </c>
      <c r="K2658" s="24">
        <f ca="1">IF(OR(E2658="",E2658="!!!",F2658="NEW"),"",INDEX(J$1:J2657,SUMPRODUCT(MAX(ROW(E$1:E2657)*(E2658=E$1:E2657)))))</f>
        <v>0</v>
      </c>
      <c r="L2658" s="25"/>
    </row>
    <row r="2659" spans="1:12" x14ac:dyDescent="0.2">
      <c r="A2659" t="s">
        <v>963</v>
      </c>
      <c r="E2659" s="20" t="str">
        <f t="shared" si="292"/>
        <v/>
      </c>
      <c r="F2659" s="21" t="str">
        <f>IF(OR(E2659="",E2659="!!!"),"",IF(NOT(ISNA(VLOOKUP(E2659,E$1:E2658,1,FALSE()))),"OLD",IF(AND(E2659&lt;&gt;"",E2659&lt;&gt;"!!!"),"NEW","")))</f>
        <v/>
      </c>
      <c r="G2659" s="22" t="str">
        <f>IF(OR(E2659="",E2659="!!!"),"",IF(OR(J2659=0,AND(J2659=1,K2659=1),AND(J2659=1,I2659="SBJ"),AND(J2659=1,I2659=0)),"?IN_FOCUS",IF(J2659&lt;=2,"?ACTIVATED",IF(J2659&lt;&gt;"","?FAMILIAR",IF(F2659="NEW",IF(ISNA(VLOOKUP(E2659,#REF!,1,FALSE())),"?TYPE_IDENTIFIABLE","?REFERENTIAL"),"_")))))</f>
        <v/>
      </c>
      <c r="H2659" s="23" t="str">
        <f t="shared" ca="1" si="293"/>
        <v/>
      </c>
      <c r="I2659" s="24" t="str">
        <f>IF(OR(E2659="",E2659="!!!",F2659="NEW"),"",INDEX(B$2:B2658,-1+SUMPRODUCT(MAX(ROW(E$2:E2658)*(E2659=E$2:E2658)))))</f>
        <v/>
      </c>
      <c r="J2659" s="24" t="str">
        <f ca="1">IF(OR(E2659="",E2659="!!!",F2659="NEW"),"",COUNTBLANK(OFFSET(A$1,,,SUMPRODUCT(MAX(ROW(E$2:E2659)*(E2659=E$2:E2659)))))-COUNTBLANK(OFFSET(A$1,,,SUMPRODUCT(MAX(ROW(E$1:E2658)*(E2=E$1:E2658))))))</f>
        <v/>
      </c>
      <c r="K2659" s="24" t="str">
        <f>IF(OR(E2659="",E2659="!!!",F2659="NEW"),"",INDEX(J$1:J2658,SUMPRODUCT(MAX(ROW(E$1:E2658)*(E2659=E$1:E2658)))))</f>
        <v/>
      </c>
      <c r="L2659" s="25"/>
    </row>
    <row r="2660" spans="1:12" x14ac:dyDescent="0.2">
      <c r="A2660" t="s">
        <v>1586</v>
      </c>
      <c r="E2660" s="20" t="str">
        <f t="shared" si="292"/>
        <v/>
      </c>
      <c r="F2660" s="21" t="str">
        <f>IF(OR(E2660="",E2660="!!!"),"",IF(NOT(ISNA(VLOOKUP(E2660,E$1:E2659,1,FALSE()))),"OLD",IF(AND(E2660&lt;&gt;"",E2660&lt;&gt;"!!!"),"NEW","")))</f>
        <v/>
      </c>
      <c r="G2660" s="22" t="str">
        <f>IF(OR(E2660="",E2660="!!!"),"",IF(OR(J2660=0,AND(J2660=1,K2660=1),AND(J2660=1,I2660="SBJ"),AND(J2660=1,I2660=0)),"?IN_FOCUS",IF(J2660&lt;=2,"?ACTIVATED",IF(J2660&lt;&gt;"","?FAMILIAR",IF(F2660="NEW",IF(ISNA(VLOOKUP(E2660,#REF!,1,FALSE())),"?TYPE_IDENTIFIABLE","?REFERENTIAL"),"_")))))</f>
        <v/>
      </c>
      <c r="H2660" s="23" t="str">
        <f t="shared" ca="1" si="293"/>
        <v/>
      </c>
      <c r="I2660" s="24" t="str">
        <f>IF(OR(E2660="",E2660="!!!",F2660="NEW"),"",INDEX(B$2:B2659,-1+SUMPRODUCT(MAX(ROW(E$2:E2659)*(E2660=E$2:E2659)))))</f>
        <v/>
      </c>
      <c r="J2660" s="24" t="str">
        <f ca="1">IF(OR(E2660="",E2660="!!!",F2660="NEW"),"",COUNTBLANK(OFFSET(A$1,,,SUMPRODUCT(MAX(ROW(E$2:E2660)*(E2660=E$2:E2660)))))-COUNTBLANK(OFFSET(A$1,,,SUMPRODUCT(MAX(ROW(E$1:E2659)*(E2=E$1:E2659))))))</f>
        <v/>
      </c>
      <c r="K2660" s="24" t="str">
        <f>IF(OR(E2660="",E2660="!!!",F2660="NEW"),"",INDEX(J$1:J2659,SUMPRODUCT(MAX(ROW(E$1:E2659)*(E2660=E$1:E2659)))))</f>
        <v/>
      </c>
      <c r="L2660" s="25"/>
    </row>
    <row r="2661" spans="1:12" x14ac:dyDescent="0.2">
      <c r="A2661" t="s">
        <v>1449</v>
      </c>
      <c r="E2661" s="20" t="str">
        <f t="shared" si="292"/>
        <v/>
      </c>
      <c r="F2661" s="21" t="str">
        <f>IF(OR(E2661="",E2661="!!!"),"",IF(NOT(ISNA(VLOOKUP(E2661,E$1:E2660,1,FALSE()))),"OLD",IF(AND(E2661&lt;&gt;"",E2661&lt;&gt;"!!!"),"NEW","")))</f>
        <v/>
      </c>
      <c r="G2661" s="22" t="str">
        <f>IF(OR(E2661="",E2661="!!!"),"",IF(OR(J2661=0,AND(J2661=1,K2661=1),AND(J2661=1,I2661="SBJ"),AND(J2661=1,I2661=0)),"?IN_FOCUS",IF(J2661&lt;=2,"?ACTIVATED",IF(J2661&lt;&gt;"","?FAMILIAR",IF(F2661="NEW",IF(ISNA(VLOOKUP(E2661,#REF!,1,FALSE())),"?TYPE_IDENTIFIABLE","?REFERENTIAL"),"_")))))</f>
        <v/>
      </c>
      <c r="H2661" s="23" t="str">
        <f t="shared" ca="1" si="293"/>
        <v/>
      </c>
      <c r="I2661" s="24" t="str">
        <f>IF(OR(E2661="",E2661="!!!",F2661="NEW"),"",INDEX(B$2:B2660,-1+SUMPRODUCT(MAX(ROW(E$2:E2660)*(E2661=E$2:E2660)))))</f>
        <v/>
      </c>
      <c r="J2661" s="24" t="str">
        <f ca="1">IF(OR(E2661="",E2661="!!!",F2661="NEW"),"",COUNTBLANK(OFFSET(A$1,,,SUMPRODUCT(MAX(ROW(E$2:E2661)*(E2661=E$2:E2661)))))-COUNTBLANK(OFFSET(A$1,,,SUMPRODUCT(MAX(ROW(E$1:E2660)*(E2=E$1:E2660))))))</f>
        <v/>
      </c>
      <c r="K2661" s="24" t="str">
        <f>IF(OR(E2661="",E2661="!!!",F2661="NEW"),"",INDEX(J$1:J2660,SUMPRODUCT(MAX(ROW(E$1:E2660)*(E2661=E$1:E2660)))))</f>
        <v/>
      </c>
      <c r="L2661" s="25"/>
    </row>
    <row r="2662" spans="1:12" x14ac:dyDescent="0.2">
      <c r="A2662" t="s">
        <v>1536</v>
      </c>
      <c r="E2662" s="20" t="str">
        <f t="shared" si="292"/>
        <v/>
      </c>
      <c r="F2662" s="21" t="str">
        <f>IF(OR(E2662="",E2662="!!!"),"",IF(NOT(ISNA(VLOOKUP(E2662,E$1:E2661,1,FALSE()))),"OLD",IF(AND(E2662&lt;&gt;"",E2662&lt;&gt;"!!!"),"NEW","")))</f>
        <v/>
      </c>
      <c r="G2662" s="22" t="str">
        <f>IF(OR(E2662="",E2662="!!!"),"",IF(OR(J2662=0,AND(J2662=1,K2662=1),AND(J2662=1,I2662="SBJ"),AND(J2662=1,I2662=0)),"?IN_FOCUS",IF(J2662&lt;=2,"?ACTIVATED",IF(J2662&lt;&gt;"","?FAMILIAR",IF(F2662="NEW",IF(ISNA(VLOOKUP(E2662,#REF!,1,FALSE())),"?TYPE_IDENTIFIABLE","?REFERENTIAL"),"_")))))</f>
        <v/>
      </c>
      <c r="H2662" s="23" t="str">
        <f t="shared" ca="1" si="293"/>
        <v/>
      </c>
      <c r="I2662" s="24" t="str">
        <f>IF(OR(E2662="",E2662="!!!",F2662="NEW"),"",INDEX(B$2:B2661,-1+SUMPRODUCT(MAX(ROW(E$2:E2661)*(E2662=E$2:E2661)))))</f>
        <v/>
      </c>
      <c r="J2662" s="24" t="str">
        <f ca="1">IF(OR(E2662="",E2662="!!!",F2662="NEW"),"",COUNTBLANK(OFFSET(A$1,,,SUMPRODUCT(MAX(ROW(E$2:E2662)*(E2662=E$2:E2662)))))-COUNTBLANK(OFFSET(A$1,,,SUMPRODUCT(MAX(ROW(E$1:E2661)*(E2=E$1:E2661))))))</f>
        <v/>
      </c>
      <c r="K2662" s="24" t="str">
        <f>IF(OR(E2662="",E2662="!!!",F2662="NEW"),"",INDEX(J$1:J2661,SUMPRODUCT(MAX(ROW(E$1:E2661)*(E2662=E$1:E2661)))))</f>
        <v/>
      </c>
      <c r="L2662" s="25"/>
    </row>
    <row r="2663" spans="1:12" x14ac:dyDescent="0.2">
      <c r="A2663" t="s">
        <v>830</v>
      </c>
      <c r="B2663" s="26" t="s">
        <v>950</v>
      </c>
      <c r="C2663" s="26" t="s">
        <v>805</v>
      </c>
      <c r="D2663" s="26" t="s">
        <v>806</v>
      </c>
      <c r="E2663" s="20" t="s">
        <v>1209</v>
      </c>
      <c r="F2663" s="21" t="str">
        <f>IF(OR(E2663="",E2663="!!!"),"",IF(NOT(ISNA(VLOOKUP(E2663,E$1:E2662,1,FALSE()))),"OLD",IF(AND(E2663&lt;&gt;"",E2663&lt;&gt;"!!!"),"NEW","")))</f>
        <v>OLD</v>
      </c>
      <c r="G2663" s="22" t="s">
        <v>1823</v>
      </c>
      <c r="H2663" s="23" t="str">
        <f t="shared" ca="1" si="293"/>
        <v/>
      </c>
      <c r="I2663" s="24" t="str">
        <f>IF(OR(E2663="",E2663="!!!",F2663="NEW"),"",INDEX(B$2:B2662,-1+SUMPRODUCT(MAX(ROW(E$2:E2662)*(E2663=E$2:E2662)))))</f>
        <v>SBJ</v>
      </c>
      <c r="J2663" s="24">
        <f ca="1">IF(OR(E2663="",E2663="!!!",F2663="NEW"),"",COUNTBLANK(OFFSET(A$1,,,SUMPRODUCT(MAX(ROW(E$2:E2663)*(E2663=E$2:E2663)))))-COUNTBLANK(OFFSET(A$1,,,SUMPRODUCT(MAX(ROW(E$1:E2662)*(E2=E$1:E2662))))))</f>
        <v>0</v>
      </c>
      <c r="K2663" s="24">
        <f ca="1">IF(OR(E2663="",E2663="!!!",F2663="NEW"),"",INDEX(J$1:J2662,SUMPRODUCT(MAX(ROW(E$1:E2662)*(E2663=E$1:E2662)))))</f>
        <v>0</v>
      </c>
      <c r="L2663" s="25"/>
    </row>
    <row r="2664" spans="1:12" x14ac:dyDescent="0.2">
      <c r="A2664" t="s">
        <v>1587</v>
      </c>
      <c r="E2664" s="20" t="str">
        <f t="shared" si="292"/>
        <v/>
      </c>
      <c r="F2664" s="21" t="str">
        <f>IF(OR(E2664="",E2664="!!!"),"",IF(NOT(ISNA(VLOOKUP(E2664,E$1:E2663,1,FALSE()))),"OLD",IF(AND(E2664&lt;&gt;"",E2664&lt;&gt;"!!!"),"NEW","")))</f>
        <v/>
      </c>
      <c r="G2664" s="22" t="str">
        <f>IF(OR(E2664="",E2664="!!!"),"",IF(OR(J2664=0,AND(J2664=1,K2664=1),AND(J2664=1,I2664="SBJ"),AND(J2664=1,I2664=0)),"?IN_FOCUS",IF(J2664&lt;=2,"?ACTIVATED",IF(J2664&lt;&gt;"","?FAMILIAR",IF(F2664="NEW",IF(ISNA(VLOOKUP(E2664,#REF!,1,FALSE())),"?TYPE_IDENTIFIABLE","?REFERENTIAL"),"_")))))</f>
        <v/>
      </c>
      <c r="H2664" s="23" t="str">
        <f t="shared" ca="1" si="293"/>
        <v/>
      </c>
      <c r="I2664" s="24" t="str">
        <f>IF(OR(E2664="",E2664="!!!",F2664="NEW"),"",INDEX(B$2:B2663,-1+SUMPRODUCT(MAX(ROW(E$2:E2663)*(E2664=E$2:E2663)))))</f>
        <v/>
      </c>
      <c r="J2664" s="24" t="str">
        <f ca="1">IF(OR(E2664="",E2664="!!!",F2664="NEW"),"",COUNTBLANK(OFFSET(A$1,,,SUMPRODUCT(MAX(ROW(E$2:E2664)*(E2664=E$2:E2664)))))-COUNTBLANK(OFFSET(A$1,,,SUMPRODUCT(MAX(ROW(E$1:E2663)*(E2=E$1:E2663))))))</f>
        <v/>
      </c>
      <c r="K2664" s="24" t="str">
        <f>IF(OR(E2664="",E2664="!!!",F2664="NEW"),"",INDEX(J$1:J2663,SUMPRODUCT(MAX(ROW(E$1:E2663)*(E2664=E$1:E2663)))))</f>
        <v/>
      </c>
      <c r="L2664" s="25"/>
    </row>
    <row r="2665" spans="1:12" x14ac:dyDescent="0.2">
      <c r="A2665" t="s">
        <v>821</v>
      </c>
      <c r="E2665" s="20" t="str">
        <f t="shared" si="292"/>
        <v/>
      </c>
      <c r="F2665" s="21" t="str">
        <f>IF(OR(E2665="",E2665="!!!"),"",IF(NOT(ISNA(VLOOKUP(E2665,E$1:E2664,1,FALSE()))),"OLD",IF(AND(E2665&lt;&gt;"",E2665&lt;&gt;"!!!"),"NEW","")))</f>
        <v/>
      </c>
      <c r="G2665" s="22" t="str">
        <f>IF(OR(E2665="",E2665="!!!"),"",IF(OR(J2665=0,AND(J2665=1,K2665=1),AND(J2665=1,I2665="SBJ"),AND(J2665=1,I2665=0)),"?IN_FOCUS",IF(J2665&lt;=2,"?ACTIVATED",IF(J2665&lt;&gt;"","?FAMILIAR",IF(F2665="NEW",IF(ISNA(VLOOKUP(E2665,#REF!,1,FALSE())),"?TYPE_IDENTIFIABLE","?REFERENTIAL"),"_")))))</f>
        <v/>
      </c>
      <c r="H2665" s="23" t="str">
        <f t="shared" ca="1" si="293"/>
        <v/>
      </c>
      <c r="I2665" s="24" t="str">
        <f>IF(OR(E2665="",E2665="!!!",F2665="NEW"),"",INDEX(B$2:B2664,-1+SUMPRODUCT(MAX(ROW(E$2:E2664)*(E2665=E$2:E2664)))))</f>
        <v/>
      </c>
      <c r="J2665" s="24" t="str">
        <f ca="1">IF(OR(E2665="",E2665="!!!",F2665="NEW"),"",COUNTBLANK(OFFSET(A$1,,,SUMPRODUCT(MAX(ROW(E$2:E2665)*(E2665=E$2:E2665)))))-COUNTBLANK(OFFSET(A$1,,,SUMPRODUCT(MAX(ROW(E$1:E2664)*(E2=E$1:E2664))))))</f>
        <v/>
      </c>
      <c r="K2665" s="24" t="str">
        <f>IF(OR(E2665="",E2665="!!!",F2665="NEW"),"",INDEX(J$1:J2664,SUMPRODUCT(MAX(ROW(E$1:E2664)*(E2665=E$1:E2664)))))</f>
        <v/>
      </c>
      <c r="L2665" s="25"/>
    </row>
    <row r="2667" spans="1:12" x14ac:dyDescent="0.2">
      <c r="A2667" t="s">
        <v>1588</v>
      </c>
    </row>
    <row r="2668" spans="1:12" x14ac:dyDescent="0.2">
      <c r="A2668" t="s">
        <v>1008</v>
      </c>
      <c r="E2668" s="20" t="str">
        <f t="shared" ref="E2668:E2678" si="294">IF(D2668="?OLD","!!!","")</f>
        <v/>
      </c>
      <c r="F2668" s="21" t="str">
        <f>IF(OR(E2668="",E2668="!!!"),"",IF(NOT(ISNA(VLOOKUP(E2668,E$1:E2667,1,FALSE()))),"OLD",IF(AND(E2668&lt;&gt;"",E2668&lt;&gt;"!!!"),"NEW","")))</f>
        <v/>
      </c>
      <c r="G2668" s="22" t="str">
        <f>IF(OR(E2668="",E2668="!!!"),"",IF(OR(J2668=0,AND(J2668=1,K2668=1),AND(J2668=1,I2668="SBJ"),AND(J2668=1,I2668=0)),"?IN_FOCUS",IF(J2668&lt;=2,"?ACTIVATED",IF(J2668&lt;&gt;"","?FAMILIAR",IF(F2668="NEW",IF(ISNA(VLOOKUP(E2668,#REF!,1,FALSE())),"?TYPE_IDENTIFIABLE","?REFERENTIAL"),"_")))))</f>
        <v/>
      </c>
      <c r="H2668" s="23" t="str">
        <f t="shared" ref="H2668:H2678" ca="1" si="295">IF(J2668&lt;&gt;1,"",IF(I2668="SBJ","CB","?"))</f>
        <v/>
      </c>
      <c r="I2668" s="24" t="str">
        <f>IF(OR(E2668="",E2668="!!!",F2668="NEW"),"",INDEX(B$2:B2667,-1+SUMPRODUCT(MAX(ROW(E$2:E2667)*(E2668=E$2:E2667)))))</f>
        <v/>
      </c>
      <c r="J2668" s="24" t="str">
        <f ca="1">IF(OR(E2668="",E2668="!!!",F2668="NEW"),"",COUNTBLANK(OFFSET(A$1,,,SUMPRODUCT(MAX(ROW(E$2:E2668)*(E2668=E$2:E2668)))))-COUNTBLANK(OFFSET(A$1,,,SUMPRODUCT(MAX(ROW(E$1:E2667)*(E2=E$1:E2667))))))</f>
        <v/>
      </c>
      <c r="K2668" s="24" t="str">
        <f>IF(OR(E2668="",E2668="!!!",F2668="NEW"),"",INDEX(J$1:J2667,SUMPRODUCT(MAX(ROW(E$1:E2667)*(E2668=E$1:E2667)))))</f>
        <v/>
      </c>
      <c r="L2668" s="25"/>
    </row>
    <row r="2669" spans="1:12" x14ac:dyDescent="0.2">
      <c r="A2669" t="s">
        <v>1388</v>
      </c>
      <c r="B2669" s="26" t="s">
        <v>804</v>
      </c>
      <c r="C2669" s="26" t="s">
        <v>847</v>
      </c>
      <c r="D2669" s="26" t="s">
        <v>806</v>
      </c>
      <c r="E2669" s="20" t="s">
        <v>1792</v>
      </c>
      <c r="F2669" s="21" t="str">
        <f>IF(OR(E2669="",E2669="!!!"),"",IF(NOT(ISNA(VLOOKUP(E2669,E$1:E2668,1,FALSE()))),"OLD",IF(AND(E2669&lt;&gt;"",E2669&lt;&gt;"!!!"),"NEW","")))</f>
        <v>OLD</v>
      </c>
      <c r="G2669" s="22" t="s">
        <v>1823</v>
      </c>
      <c r="H2669" s="23" t="str">
        <f t="shared" ca="1" si="295"/>
        <v/>
      </c>
      <c r="I2669" s="24" t="str">
        <f>IF(OR(E2669="",E2669="!!!",F2669="NEW"),"",INDEX(B$2:B2668,-1+SUMPRODUCT(MAX(ROW(E$2:E2668)*(E2669=E$2:E2668)))))</f>
        <v>other_2</v>
      </c>
      <c r="J2669" s="24">
        <f ca="1">IF(OR(E2669="",E2669="!!!",F2669="NEW"),"",COUNTBLANK(OFFSET(A$1,,,SUMPRODUCT(MAX(ROW(E$2:E2669)*(E2669=E$2:E2669)))))-COUNTBLANK(OFFSET(A$1,,,SUMPRODUCT(MAX(ROW(E$1:E2668)*(E2=E$1:E2668))))))</f>
        <v>0</v>
      </c>
      <c r="K2669" s="24">
        <f ca="1">IF(OR(E2669="",E2669="!!!",F2669="NEW"),"",INDEX(J$1:J2668,SUMPRODUCT(MAX(ROW(E$1:E2668)*(E2669=E$1:E2668)))))</f>
        <v>0</v>
      </c>
      <c r="L2669" s="25"/>
    </row>
    <row r="2670" spans="1:12" x14ac:dyDescent="0.2">
      <c r="A2670" t="s">
        <v>963</v>
      </c>
      <c r="E2670" s="20" t="str">
        <f t="shared" si="294"/>
        <v/>
      </c>
      <c r="F2670" s="21" t="str">
        <f>IF(OR(E2670="",E2670="!!!"),"",IF(NOT(ISNA(VLOOKUP(E2670,E$1:E2669,1,FALSE()))),"OLD",IF(AND(E2670&lt;&gt;"",E2670&lt;&gt;"!!!"),"NEW","")))</f>
        <v/>
      </c>
      <c r="G2670" s="22" t="str">
        <f>IF(OR(E2670="",E2670="!!!"),"",IF(OR(J2670=0,AND(J2670=1,K2670=1),AND(J2670=1,I2670="SBJ"),AND(J2670=1,I2670=0)),"?IN_FOCUS",IF(J2670&lt;=2,"?ACTIVATED",IF(J2670&lt;&gt;"","?FAMILIAR",IF(F2670="NEW",IF(ISNA(VLOOKUP(E2670,#REF!,1,FALSE())),"?TYPE_IDENTIFIABLE","?REFERENTIAL"),"_")))))</f>
        <v/>
      </c>
      <c r="H2670" s="23" t="str">
        <f t="shared" ca="1" si="295"/>
        <v/>
      </c>
      <c r="I2670" s="24" t="str">
        <f>IF(OR(E2670="",E2670="!!!",F2670="NEW"),"",INDEX(B$2:B2669,-1+SUMPRODUCT(MAX(ROW(E$2:E2669)*(E2670=E$2:E2669)))))</f>
        <v/>
      </c>
      <c r="J2670" s="24" t="str">
        <f ca="1">IF(OR(E2670="",E2670="!!!",F2670="NEW"),"",COUNTBLANK(OFFSET(A$1,,,SUMPRODUCT(MAX(ROW(E$2:E2670)*(E2670=E$2:E2670)))))-COUNTBLANK(OFFSET(A$1,,,SUMPRODUCT(MAX(ROW(E$1:E2669)*(E2=E$1:E2669))))))</f>
        <v/>
      </c>
      <c r="K2670" s="24" t="str">
        <f>IF(OR(E2670="",E2670="!!!",F2670="NEW"),"",INDEX(J$1:J2669,SUMPRODUCT(MAX(ROW(E$1:E2669)*(E2670=E$1:E2669)))))</f>
        <v/>
      </c>
      <c r="L2670" s="25"/>
    </row>
    <row r="2671" spans="1:12" x14ac:dyDescent="0.2">
      <c r="A2671" t="s">
        <v>544</v>
      </c>
      <c r="E2671" s="20" t="str">
        <f t="shared" si="294"/>
        <v/>
      </c>
      <c r="F2671" s="21" t="str">
        <f>IF(OR(E2671="",E2671="!!!"),"",IF(NOT(ISNA(VLOOKUP(E2671,E$1:E2670,1,FALSE()))),"OLD",IF(AND(E2671&lt;&gt;"",E2671&lt;&gt;"!!!"),"NEW","")))</f>
        <v/>
      </c>
      <c r="G2671" s="22" t="str">
        <f>IF(OR(E2671="",E2671="!!!"),"",IF(OR(J2671=0,AND(J2671=1,K2671=1),AND(J2671=1,I2671="SBJ"),AND(J2671=1,I2671=0)),"?IN_FOCUS",IF(J2671&lt;=2,"?ACTIVATED",IF(J2671&lt;&gt;"","?FAMILIAR",IF(F2671="NEW",IF(ISNA(VLOOKUP(E2671,#REF!,1,FALSE())),"?TYPE_IDENTIFIABLE","?REFERENTIAL"),"_")))))</f>
        <v/>
      </c>
      <c r="H2671" s="23" t="str">
        <f t="shared" ca="1" si="295"/>
        <v/>
      </c>
      <c r="I2671" s="24" t="str">
        <f>IF(OR(E2671="",E2671="!!!",F2671="NEW"),"",INDEX(B$2:B2670,-1+SUMPRODUCT(MAX(ROW(E$2:E2670)*(E2671=E$2:E2670)))))</f>
        <v/>
      </c>
      <c r="J2671" s="24" t="str">
        <f ca="1">IF(OR(E2671="",E2671="!!!",F2671="NEW"),"",COUNTBLANK(OFFSET(A$1,,,SUMPRODUCT(MAX(ROW(E$2:E2671)*(E2671=E$2:E2671)))))-COUNTBLANK(OFFSET(A$1,,,SUMPRODUCT(MAX(ROW(E$1:E2670)*(E2=E$1:E2670))))))</f>
        <v/>
      </c>
      <c r="K2671" s="24" t="str">
        <f>IF(OR(E2671="",E2671="!!!",F2671="NEW"),"",INDEX(J$1:J2670,SUMPRODUCT(MAX(ROW(E$1:E2670)*(E2671=E$1:E2670)))))</f>
        <v/>
      </c>
      <c r="L2671" s="25"/>
    </row>
    <row r="2672" spans="1:12" x14ac:dyDescent="0.2">
      <c r="A2672" t="s">
        <v>1395</v>
      </c>
      <c r="E2672" s="20" t="str">
        <f t="shared" si="294"/>
        <v/>
      </c>
      <c r="F2672" s="21" t="str">
        <f>IF(OR(E2672="",E2672="!!!"),"",IF(NOT(ISNA(VLOOKUP(E2672,E$1:E2671,1,FALSE()))),"OLD",IF(AND(E2672&lt;&gt;"",E2672&lt;&gt;"!!!"),"NEW","")))</f>
        <v/>
      </c>
      <c r="G2672" s="22" t="str">
        <f>IF(OR(E2672="",E2672="!!!"),"",IF(OR(J2672=0,AND(J2672=1,K2672=1),AND(J2672=1,I2672="SBJ"),AND(J2672=1,I2672=0)),"?IN_FOCUS",IF(J2672&lt;=2,"?ACTIVATED",IF(J2672&lt;&gt;"","?FAMILIAR",IF(F2672="NEW",IF(ISNA(VLOOKUP(E2672,#REF!,1,FALSE())),"?TYPE_IDENTIFIABLE","?REFERENTIAL"),"_")))))</f>
        <v/>
      </c>
      <c r="H2672" s="23" t="str">
        <f t="shared" ca="1" si="295"/>
        <v/>
      </c>
      <c r="I2672" s="24" t="str">
        <f>IF(OR(E2672="",E2672="!!!",F2672="NEW"),"",INDEX(B$2:B2671,-1+SUMPRODUCT(MAX(ROW(E$2:E2671)*(E2672=E$2:E2671)))))</f>
        <v/>
      </c>
      <c r="J2672" s="24" t="str">
        <f ca="1">IF(OR(E2672="",E2672="!!!",F2672="NEW"),"",COUNTBLANK(OFFSET(A$1,,,SUMPRODUCT(MAX(ROW(E$2:E2672)*(E2672=E$2:E2672)))))-COUNTBLANK(OFFSET(A$1,,,SUMPRODUCT(MAX(ROW(E$1:E2671)*(E2=E$1:E2671))))))</f>
        <v/>
      </c>
      <c r="K2672" s="24" t="str">
        <f>IF(OR(E2672="",E2672="!!!",F2672="NEW"),"",INDEX(J$1:J2671,SUMPRODUCT(MAX(ROW(E$1:E2671)*(E2672=E$1:E2671)))))</f>
        <v/>
      </c>
      <c r="L2672" s="25"/>
    </row>
    <row r="2673" spans="1:12" x14ac:dyDescent="0.2">
      <c r="A2673" t="s">
        <v>802</v>
      </c>
      <c r="E2673" s="20" t="str">
        <f t="shared" si="294"/>
        <v/>
      </c>
      <c r="F2673" s="21" t="str">
        <f>IF(OR(E2673="",E2673="!!!"),"",IF(NOT(ISNA(VLOOKUP(E2673,E$1:E2672,1,FALSE()))),"OLD",IF(AND(E2673&lt;&gt;"",E2673&lt;&gt;"!!!"),"NEW","")))</f>
        <v/>
      </c>
      <c r="G2673" s="22" t="str">
        <f>IF(OR(E2673="",E2673="!!!"),"",IF(OR(J2673=0,AND(J2673=1,K2673=1),AND(J2673=1,I2673="SBJ"),AND(J2673=1,I2673=0)),"?IN_FOCUS",IF(J2673&lt;=2,"?ACTIVATED",IF(J2673&lt;&gt;"","?FAMILIAR",IF(F2673="NEW",IF(ISNA(VLOOKUP(E2673,#REF!,1,FALSE())),"?TYPE_IDENTIFIABLE","?REFERENTIAL"),"_")))))</f>
        <v/>
      </c>
      <c r="H2673" s="23" t="str">
        <f t="shared" ca="1" si="295"/>
        <v/>
      </c>
      <c r="I2673" s="24" t="str">
        <f>IF(OR(E2673="",E2673="!!!",F2673="NEW"),"",INDEX(B$2:B2672,-1+SUMPRODUCT(MAX(ROW(E$2:E2672)*(E2673=E$2:E2672)))))</f>
        <v/>
      </c>
      <c r="J2673" s="24" t="str">
        <f ca="1">IF(OR(E2673="",E2673="!!!",F2673="NEW"),"",COUNTBLANK(OFFSET(A$1,,,SUMPRODUCT(MAX(ROW(E$2:E2673)*(E2673=E$2:E2673)))))-COUNTBLANK(OFFSET(A$1,,,SUMPRODUCT(MAX(ROW(E$1:E2672)*(E2=E$1:E2672))))))</f>
        <v/>
      </c>
      <c r="K2673" s="24" t="str">
        <f>IF(OR(E2673="",E2673="!!!",F2673="NEW"),"",INDEX(J$1:J2672,SUMPRODUCT(MAX(ROW(E$1:E2672)*(E2673=E$1:E2672)))))</f>
        <v/>
      </c>
      <c r="L2673" s="25"/>
    </row>
    <row r="2674" spans="1:12" x14ac:dyDescent="0.2">
      <c r="A2674" t="s">
        <v>830</v>
      </c>
      <c r="B2674" s="26" t="s">
        <v>950</v>
      </c>
      <c r="C2674" s="26" t="s">
        <v>805</v>
      </c>
      <c r="D2674" s="26" t="s">
        <v>806</v>
      </c>
      <c r="E2674" s="20" t="s">
        <v>1792</v>
      </c>
      <c r="F2674" s="21" t="str">
        <f>IF(OR(E2674="",E2674="!!!"),"",IF(NOT(ISNA(VLOOKUP(E2674,E$1:E2673,1,FALSE()))),"OLD",IF(AND(E2674&lt;&gt;"",E2674&lt;&gt;"!!!"),"NEW","")))</f>
        <v>OLD</v>
      </c>
      <c r="G2674" s="22" t="s">
        <v>1823</v>
      </c>
      <c r="H2674" s="23" t="str">
        <f t="shared" ca="1" si="295"/>
        <v/>
      </c>
      <c r="I2674" s="24" t="str">
        <f>IF(OR(E2674="",E2674="!!!",F2674="NEW"),"",INDEX(B$2:B2673,-1+SUMPRODUCT(MAX(ROW(E$2:E2673)*(E2674=E$2:E2673)))))</f>
        <v>SBJ</v>
      </c>
      <c r="J2674" s="24">
        <f ca="1">IF(OR(E2674="",E2674="!!!",F2674="NEW"),"",COUNTBLANK(OFFSET(A$1,,,SUMPRODUCT(MAX(ROW(E$2:E2674)*(E2674=E$2:E2674)))))-COUNTBLANK(OFFSET(A$1,,,SUMPRODUCT(MAX(ROW(E$1:E2673)*(E2=E$1:E2673))))))</f>
        <v>0</v>
      </c>
      <c r="K2674" s="24">
        <f ca="1">IF(OR(E2674="",E2674="!!!",F2674="NEW"),"",INDEX(J$1:J2673,SUMPRODUCT(MAX(ROW(E$1:E2673)*(E2674=E$1:E2673)))))</f>
        <v>0</v>
      </c>
      <c r="L2674" s="25"/>
    </row>
    <row r="2675" spans="1:12" x14ac:dyDescent="0.2">
      <c r="A2675" t="s">
        <v>1589</v>
      </c>
      <c r="E2675" s="20" t="str">
        <f t="shared" si="294"/>
        <v/>
      </c>
      <c r="F2675" s="21" t="str">
        <f>IF(OR(E2675="",E2675="!!!"),"",IF(NOT(ISNA(VLOOKUP(E2675,E$1:E2674,1,FALSE()))),"OLD",IF(AND(E2675&lt;&gt;"",E2675&lt;&gt;"!!!"),"NEW","")))</f>
        <v/>
      </c>
      <c r="G2675" s="22" t="str">
        <f>IF(OR(E2675="",E2675="!!!"),"",IF(OR(J2675=0,AND(J2675=1,K2675=1),AND(J2675=1,I2675="SBJ"),AND(J2675=1,I2675=0)),"?IN_FOCUS",IF(J2675&lt;=2,"?ACTIVATED",IF(J2675&lt;&gt;"","?FAMILIAR",IF(F2675="NEW",IF(ISNA(VLOOKUP(E2675,#REF!,1,FALSE())),"?TYPE_IDENTIFIABLE","?REFERENTIAL"),"_")))))</f>
        <v/>
      </c>
      <c r="H2675" s="23" t="str">
        <f t="shared" ca="1" si="295"/>
        <v/>
      </c>
      <c r="I2675" s="24" t="str">
        <f>IF(OR(E2675="",E2675="!!!",F2675="NEW"),"",INDEX(B$2:B2674,-1+SUMPRODUCT(MAX(ROW(E$2:E2674)*(E2675=E$2:E2674)))))</f>
        <v/>
      </c>
      <c r="J2675" s="24" t="str">
        <f ca="1">IF(OR(E2675="",E2675="!!!",F2675="NEW"),"",COUNTBLANK(OFFSET(A$1,,,SUMPRODUCT(MAX(ROW(E$2:E2675)*(E2675=E$2:E2675)))))-COUNTBLANK(OFFSET(A$1,,,SUMPRODUCT(MAX(ROW(E$1:E2674)*(E2=E$1:E2674))))))</f>
        <v/>
      </c>
      <c r="K2675" s="24" t="str">
        <f>IF(OR(E2675="",E2675="!!!",F2675="NEW"),"",INDEX(J$1:J2674,SUMPRODUCT(MAX(ROW(E$1:E2674)*(E2675=E$1:E2674)))))</f>
        <v/>
      </c>
      <c r="L2675" s="25"/>
    </row>
    <row r="2676" spans="1:12" x14ac:dyDescent="0.2">
      <c r="A2676" t="s">
        <v>845</v>
      </c>
      <c r="E2676" s="20" t="str">
        <f t="shared" si="294"/>
        <v/>
      </c>
      <c r="F2676" s="21" t="str">
        <f>IF(OR(E2676="",E2676="!!!"),"",IF(NOT(ISNA(VLOOKUP(E2676,E$1:E2675,1,FALSE()))),"OLD",IF(AND(E2676&lt;&gt;"",E2676&lt;&gt;"!!!"),"NEW","")))</f>
        <v/>
      </c>
      <c r="G2676" s="22" t="str">
        <f>IF(OR(E2676="",E2676="!!!"),"",IF(OR(J2676=0,AND(J2676=1,K2676=1),AND(J2676=1,I2676="SBJ"),AND(J2676=1,I2676=0)),"?IN_FOCUS",IF(J2676&lt;=2,"?ACTIVATED",IF(J2676&lt;&gt;"","?FAMILIAR",IF(F2676="NEW",IF(ISNA(VLOOKUP(E2676,#REF!,1,FALSE())),"?TYPE_IDENTIFIABLE","?REFERENTIAL"),"_")))))</f>
        <v/>
      </c>
      <c r="H2676" s="23" t="str">
        <f t="shared" ca="1" si="295"/>
        <v/>
      </c>
      <c r="I2676" s="24" t="str">
        <f>IF(OR(E2676="",E2676="!!!",F2676="NEW"),"",INDEX(B$2:B2675,-1+SUMPRODUCT(MAX(ROW(E$2:E2675)*(E2676=E$2:E2675)))))</f>
        <v/>
      </c>
      <c r="J2676" s="24" t="str">
        <f ca="1">IF(OR(E2676="",E2676="!!!",F2676="NEW"),"",COUNTBLANK(OFFSET(A$1,,,SUMPRODUCT(MAX(ROW(E$2:E2676)*(E2676=E$2:E2676)))))-COUNTBLANK(OFFSET(A$1,,,SUMPRODUCT(MAX(ROW(E$1:E2675)*(E2=E$1:E2675))))))</f>
        <v/>
      </c>
      <c r="K2676" s="24" t="str">
        <f>IF(OR(E2676="",E2676="!!!",F2676="NEW"),"",INDEX(J$1:J2675,SUMPRODUCT(MAX(ROW(E$1:E2675)*(E2676=E$1:E2675)))))</f>
        <v/>
      </c>
      <c r="L2676" s="25"/>
    </row>
    <row r="2677" spans="1:12" x14ac:dyDescent="0.2">
      <c r="A2677" t="s">
        <v>1231</v>
      </c>
      <c r="B2677" s="26" t="s">
        <v>938</v>
      </c>
      <c r="C2677" s="26" t="s">
        <v>847</v>
      </c>
      <c r="D2677" s="26" t="s">
        <v>806</v>
      </c>
      <c r="E2677" s="20" t="s">
        <v>1209</v>
      </c>
      <c r="F2677" s="21" t="str">
        <f>IF(OR(E2677="",E2677="!!!"),"",IF(NOT(ISNA(VLOOKUP(E2677,E$1:E2676,1,FALSE()))),"OLD",IF(AND(E2677&lt;&gt;"",E2677&lt;&gt;"!!!"),"NEW","")))</f>
        <v>OLD</v>
      </c>
      <c r="G2677" s="22" t="s">
        <v>1822</v>
      </c>
      <c r="H2677" s="23" t="str">
        <f t="shared" ca="1" si="295"/>
        <v/>
      </c>
      <c r="I2677" s="24" t="str">
        <f>IF(OR(E2677="",E2677="!!!",F2677="NEW"),"",INDEX(B$2:B2676,-1+SUMPRODUCT(MAX(ROW(E$2:E2676)*(E2677=E$2:E2676)))))</f>
        <v>SBJ_2</v>
      </c>
      <c r="J2677" s="24">
        <f ca="1">IF(OR(E2677="",E2677="!!!",F2677="NEW"),"",COUNTBLANK(OFFSET(A$1,,,SUMPRODUCT(MAX(ROW(E$2:E2677)*(E2677=E$2:E2677)))))-COUNTBLANK(OFFSET(A$1,,,SUMPRODUCT(MAX(ROW(E$1:E2676)*(E2=E$1:E2676))))))</f>
        <v>0</v>
      </c>
      <c r="K2677" s="24">
        <f ca="1">IF(OR(E2677="",E2677="!!!",F2677="NEW"),"",INDEX(J$1:J2676,SUMPRODUCT(MAX(ROW(E$1:E2676)*(E2677=E$1:E2676)))))</f>
        <v>0</v>
      </c>
      <c r="L2677" s="25"/>
    </row>
    <row r="2678" spans="1:12" x14ac:dyDescent="0.2">
      <c r="A2678" t="s">
        <v>821</v>
      </c>
      <c r="E2678" s="20" t="str">
        <f t="shared" si="294"/>
        <v/>
      </c>
      <c r="F2678" s="21" t="str">
        <f>IF(OR(E2678="",E2678="!!!"),"",IF(NOT(ISNA(VLOOKUP(E2678,E$1:E2677,1,FALSE()))),"OLD",IF(AND(E2678&lt;&gt;"",E2678&lt;&gt;"!!!"),"NEW","")))</f>
        <v/>
      </c>
      <c r="G2678" s="22" t="str">
        <f>IF(OR(E2678="",E2678="!!!"),"",IF(OR(J2678=0,AND(J2678=1,K2678=1),AND(J2678=1,I2678="SBJ"),AND(J2678=1,I2678=0)),"?IN_FOCUS",IF(J2678&lt;=2,"?ACTIVATED",IF(J2678&lt;&gt;"","?FAMILIAR",IF(F2678="NEW",IF(ISNA(VLOOKUP(E2678,#REF!,1,FALSE())),"?TYPE_IDENTIFIABLE","?REFERENTIAL"),"_")))))</f>
        <v/>
      </c>
      <c r="H2678" s="23" t="str">
        <f t="shared" ca="1" si="295"/>
        <v/>
      </c>
      <c r="I2678" s="24" t="str">
        <f>IF(OR(E2678="",E2678="!!!",F2678="NEW"),"",INDEX(B$2:B2677,-1+SUMPRODUCT(MAX(ROW(E$2:E2677)*(E2678=E$2:E2677)))))</f>
        <v/>
      </c>
      <c r="J2678" s="24" t="str">
        <f ca="1">IF(OR(E2678="",E2678="!!!",F2678="NEW"),"",COUNTBLANK(OFFSET(A$1,,,SUMPRODUCT(MAX(ROW(E$2:E2678)*(E2678=E$2:E2678)))))-COUNTBLANK(OFFSET(A$1,,,SUMPRODUCT(MAX(ROW(E$1:E2677)*(E2=E$1:E2677))))))</f>
        <v/>
      </c>
      <c r="K2678" s="24" t="str">
        <f>IF(OR(E2678="",E2678="!!!",F2678="NEW"),"",INDEX(J$1:J2677,SUMPRODUCT(MAX(ROW(E$1:E2677)*(E2678=E$1:E2677)))))</f>
        <v/>
      </c>
      <c r="L2678" s="25"/>
    </row>
    <row r="2680" spans="1:12" x14ac:dyDescent="0.2">
      <c r="A2680" t="s">
        <v>1590</v>
      </c>
    </row>
    <row r="2681" spans="1:12" x14ac:dyDescent="0.2">
      <c r="A2681" t="s">
        <v>801</v>
      </c>
      <c r="E2681" s="20" t="str">
        <f t="shared" ref="E2681:E2712" si="296">IF(D2681="?OLD","!!!","")</f>
        <v/>
      </c>
      <c r="F2681" s="21" t="str">
        <f>IF(OR(E2681="",E2681="!!!"),"",IF(NOT(ISNA(VLOOKUP(E2681,E$1:E2680,1,FALSE()))),"OLD",IF(AND(E2681&lt;&gt;"",E2681&lt;&gt;"!!!"),"NEW","")))</f>
        <v/>
      </c>
      <c r="G2681" s="22" t="str">
        <f>IF(OR(E2681="",E2681="!!!"),"",IF(OR(J2681=0,AND(J2681=1,K2681=1),AND(J2681=1,I2681="SBJ"),AND(J2681=1,I2681=0)),"?IN_FOCUS",IF(J2681&lt;=2,"?ACTIVATED",IF(J2681&lt;&gt;"","?FAMILIAR",IF(F2681="NEW",IF(ISNA(VLOOKUP(E2681,#REF!,1,FALSE())),"?TYPE_IDENTIFIABLE","?REFERENTIAL"),"_")))))</f>
        <v/>
      </c>
      <c r="H2681" s="23" t="str">
        <f t="shared" ref="H2681:H2712" ca="1" si="297">IF(J2681&lt;&gt;1,"",IF(I2681="SBJ","CB","?"))</f>
        <v/>
      </c>
      <c r="I2681" s="24" t="str">
        <f>IF(OR(E2681="",E2681="!!!",F2681="NEW"),"",INDEX(B$2:B2680,-1+SUMPRODUCT(MAX(ROW(E$2:E2680)*(E2681=E$2:E2680)))))</f>
        <v/>
      </c>
      <c r="J2681" s="24" t="str">
        <f ca="1">IF(OR(E2681="",E2681="!!!",F2681="NEW"),"",COUNTBLANK(OFFSET(A$1,,,SUMPRODUCT(MAX(ROW(E$2:E2681)*(E2681=E$2:E2681)))))-COUNTBLANK(OFFSET(A$1,,,SUMPRODUCT(MAX(ROW(E$1:E2680)*(E2=E$1:E2680))))))</f>
        <v/>
      </c>
      <c r="K2681" s="24" t="str">
        <f>IF(OR(E2681="",E2681="!!!",F2681="NEW"),"",INDEX(J$1:J2680,SUMPRODUCT(MAX(ROW(E$1:E2680)*(E2681=E$1:E2680)))))</f>
        <v/>
      </c>
      <c r="L2681" s="25"/>
    </row>
    <row r="2682" spans="1:12" x14ac:dyDescent="0.2">
      <c r="A2682" t="s">
        <v>802</v>
      </c>
      <c r="E2682" s="20" t="str">
        <f t="shared" si="296"/>
        <v/>
      </c>
      <c r="F2682" s="21" t="str">
        <f>IF(OR(E2682="",E2682="!!!"),"",IF(NOT(ISNA(VLOOKUP(E2682,E$1:E2681,1,FALSE()))),"OLD",IF(AND(E2682&lt;&gt;"",E2682&lt;&gt;"!!!"),"NEW","")))</f>
        <v/>
      </c>
      <c r="G2682" s="22" t="str">
        <f>IF(OR(E2682="",E2682="!!!"),"",IF(OR(J2682=0,AND(J2682=1,K2682=1),AND(J2682=1,I2682="SBJ"),AND(J2682=1,I2682=0)),"?IN_FOCUS",IF(J2682&lt;=2,"?ACTIVATED",IF(J2682&lt;&gt;"","?FAMILIAR",IF(F2682="NEW",IF(ISNA(VLOOKUP(E2682,#REF!,1,FALSE())),"?TYPE_IDENTIFIABLE","?REFERENTIAL"),"_")))))</f>
        <v/>
      </c>
      <c r="H2682" s="23" t="str">
        <f t="shared" ca="1" si="297"/>
        <v/>
      </c>
      <c r="I2682" s="24" t="str">
        <f>IF(OR(E2682="",E2682="!!!",F2682="NEW"),"",INDEX(B$2:B2681,-1+SUMPRODUCT(MAX(ROW(E$2:E2681)*(E2682=E$2:E2681)))))</f>
        <v/>
      </c>
      <c r="J2682" s="24" t="str">
        <f ca="1">IF(OR(E2682="",E2682="!!!",F2682="NEW"),"",COUNTBLANK(OFFSET(A$1,,,SUMPRODUCT(MAX(ROW(E$2:E2682)*(E2682=E$2:E2682)))))-COUNTBLANK(OFFSET(A$1,,,SUMPRODUCT(MAX(ROW(E$1:E2681)*(E2=E$1:E2681))))))</f>
        <v/>
      </c>
      <c r="K2682" s="24" t="str">
        <f>IF(OR(E2682="",E2682="!!!",F2682="NEW"),"",INDEX(J$1:J2681,SUMPRODUCT(MAX(ROW(E$1:E2681)*(E2682=E$1:E2681)))))</f>
        <v/>
      </c>
      <c r="L2682" s="25"/>
    </row>
    <row r="2683" spans="1:12" x14ac:dyDescent="0.2">
      <c r="A2683" t="s">
        <v>1031</v>
      </c>
      <c r="E2683" s="20" t="str">
        <f t="shared" si="296"/>
        <v/>
      </c>
      <c r="F2683" s="21" t="str">
        <f>IF(OR(E2683="",E2683="!!!"),"",IF(NOT(ISNA(VLOOKUP(E2683,E$1:E2682,1,FALSE()))),"OLD",IF(AND(E2683&lt;&gt;"",E2683&lt;&gt;"!!!"),"NEW","")))</f>
        <v/>
      </c>
      <c r="G2683" s="22" t="str">
        <f>IF(OR(E2683="",E2683="!!!"),"",IF(OR(J2683=0,AND(J2683=1,K2683=1),AND(J2683=1,I2683="SBJ"),AND(J2683=1,I2683=0)),"?IN_FOCUS",IF(J2683&lt;=2,"?ACTIVATED",IF(J2683&lt;&gt;"","?FAMILIAR",IF(F2683="NEW",IF(ISNA(VLOOKUP(E2683,#REF!,1,FALSE())),"?TYPE_IDENTIFIABLE","?REFERENTIAL"),"_")))))</f>
        <v/>
      </c>
      <c r="H2683" s="23" t="str">
        <f t="shared" ca="1" si="297"/>
        <v/>
      </c>
      <c r="I2683" s="24" t="str">
        <f>IF(OR(E2683="",E2683="!!!",F2683="NEW"),"",INDEX(B$2:B2682,-1+SUMPRODUCT(MAX(ROW(E$2:E2682)*(E2683=E$2:E2682)))))</f>
        <v/>
      </c>
      <c r="J2683" s="24" t="str">
        <f ca="1">IF(OR(E2683="",E2683="!!!",F2683="NEW"),"",COUNTBLANK(OFFSET(A$1,,,SUMPRODUCT(MAX(ROW(E$2:E2683)*(E2683=E$2:E2683)))))-COUNTBLANK(OFFSET(A$1,,,SUMPRODUCT(MAX(ROW(E$1:E2682)*(E2=E$1:E2682))))))</f>
        <v/>
      </c>
      <c r="K2683" s="24" t="str">
        <f>IF(OR(E2683="",E2683="!!!",F2683="NEW"),"",INDEX(J$1:J2682,SUMPRODUCT(MAX(ROW(E$1:E2682)*(E2683=E$1:E2682)))))</f>
        <v/>
      </c>
      <c r="L2683" s="25"/>
    </row>
    <row r="2684" spans="1:12" x14ac:dyDescent="0.2">
      <c r="A2684" t="s">
        <v>1014</v>
      </c>
      <c r="E2684" s="20" t="str">
        <f t="shared" si="296"/>
        <v/>
      </c>
      <c r="F2684" s="21" t="str">
        <f>IF(OR(E2684="",E2684="!!!"),"",IF(NOT(ISNA(VLOOKUP(E2684,E$1:E2683,1,FALSE()))),"OLD",IF(AND(E2684&lt;&gt;"",E2684&lt;&gt;"!!!"),"NEW","")))</f>
        <v/>
      </c>
      <c r="G2684" s="22" t="str">
        <f>IF(OR(E2684="",E2684="!!!"),"",IF(OR(J2684=0,AND(J2684=1,K2684=1),AND(J2684=1,I2684="SBJ"),AND(J2684=1,I2684=0)),"?IN_FOCUS",IF(J2684&lt;=2,"?ACTIVATED",IF(J2684&lt;&gt;"","?FAMILIAR",IF(F2684="NEW",IF(ISNA(VLOOKUP(E2684,#REF!,1,FALSE())),"?TYPE_IDENTIFIABLE","?REFERENTIAL"),"_")))))</f>
        <v/>
      </c>
      <c r="H2684" s="23" t="str">
        <f t="shared" ca="1" si="297"/>
        <v/>
      </c>
      <c r="I2684" s="24" t="str">
        <f>IF(OR(E2684="",E2684="!!!",F2684="NEW"),"",INDEX(B$2:B2683,-1+SUMPRODUCT(MAX(ROW(E$2:E2683)*(E2684=E$2:E2683)))))</f>
        <v/>
      </c>
      <c r="J2684" s="24" t="str">
        <f ca="1">IF(OR(E2684="",E2684="!!!",F2684="NEW"),"",COUNTBLANK(OFFSET(A$1,,,SUMPRODUCT(MAX(ROW(E$2:E2684)*(E2684=E$2:E2684)))))-COUNTBLANK(OFFSET(A$1,,,SUMPRODUCT(MAX(ROW(E$1:E2683)*(E2=E$1:E2683))))))</f>
        <v/>
      </c>
      <c r="K2684" s="24" t="str">
        <f>IF(OR(E2684="",E2684="!!!",F2684="NEW"),"",INDEX(J$1:J2683,SUMPRODUCT(MAX(ROW(E$1:E2683)*(E2684=E$1:E2683)))))</f>
        <v/>
      </c>
      <c r="L2684" s="25"/>
    </row>
    <row r="2685" spans="1:12" x14ac:dyDescent="0.2">
      <c r="A2685" t="s">
        <v>809</v>
      </c>
      <c r="E2685" s="20" t="str">
        <f t="shared" si="296"/>
        <v/>
      </c>
      <c r="F2685" s="21" t="str">
        <f>IF(OR(E2685="",E2685="!!!"),"",IF(NOT(ISNA(VLOOKUP(E2685,E$1:E2684,1,FALSE()))),"OLD",IF(AND(E2685&lt;&gt;"",E2685&lt;&gt;"!!!"),"NEW","")))</f>
        <v/>
      </c>
      <c r="G2685" s="22" t="str">
        <f>IF(OR(E2685="",E2685="!!!"),"",IF(OR(J2685=0,AND(J2685=1,K2685=1),AND(J2685=1,I2685="SBJ"),AND(J2685=1,I2685=0)),"?IN_FOCUS",IF(J2685&lt;=2,"?ACTIVATED",IF(J2685&lt;&gt;"","?FAMILIAR",IF(F2685="NEW",IF(ISNA(VLOOKUP(E2685,#REF!,1,FALSE())),"?TYPE_IDENTIFIABLE","?REFERENTIAL"),"_")))))</f>
        <v/>
      </c>
      <c r="H2685" s="23" t="str">
        <f t="shared" ca="1" si="297"/>
        <v/>
      </c>
      <c r="I2685" s="24" t="str">
        <f>IF(OR(E2685="",E2685="!!!",F2685="NEW"),"",INDEX(B$2:B2684,-1+SUMPRODUCT(MAX(ROW(E$2:E2684)*(E2685=E$2:E2684)))))</f>
        <v/>
      </c>
      <c r="J2685" s="24" t="str">
        <f ca="1">IF(OR(E2685="",E2685="!!!",F2685="NEW"),"",COUNTBLANK(OFFSET(A$1,,,SUMPRODUCT(MAX(ROW(E$2:E2685)*(E2685=E$2:E2685)))))-COUNTBLANK(OFFSET(A$1,,,SUMPRODUCT(MAX(ROW(E$1:E2684)*(E2=E$1:E2684))))))</f>
        <v/>
      </c>
      <c r="K2685" s="24" t="str">
        <f>IF(OR(E2685="",E2685="!!!",F2685="NEW"),"",INDEX(J$1:J2684,SUMPRODUCT(MAX(ROW(E$1:E2684)*(E2685=E$1:E2684)))))</f>
        <v/>
      </c>
      <c r="L2685" s="25"/>
    </row>
    <row r="2686" spans="1:12" x14ac:dyDescent="0.2">
      <c r="A2686" t="s">
        <v>530</v>
      </c>
      <c r="B2686" s="26" t="s">
        <v>819</v>
      </c>
      <c r="C2686" s="26" t="s">
        <v>811</v>
      </c>
      <c r="E2686" s="20" t="str">
        <f t="shared" si="296"/>
        <v/>
      </c>
      <c r="F2686" s="21" t="str">
        <f>IF(OR(E2686="",E2686="!!!"),"",IF(NOT(ISNA(VLOOKUP(E2686,E$1:E2685,1,FALSE()))),"OLD",IF(AND(E2686&lt;&gt;"",E2686&lt;&gt;"!!!"),"NEW","")))</f>
        <v/>
      </c>
      <c r="G2686" s="22" t="str">
        <f>IF(OR(E2686="",E2686="!!!"),"",IF(OR(J2686=0,AND(J2686=1,K2686=1),AND(J2686=1,I2686="SBJ"),AND(J2686=1,I2686=0)),"?IN_FOCUS",IF(J2686&lt;=2,"?ACTIVATED",IF(J2686&lt;&gt;"","?FAMILIAR",IF(F2686="NEW",IF(ISNA(VLOOKUP(E2686,#REF!,1,FALSE())),"?TYPE_IDENTIFIABLE","?REFERENTIAL"),"_")))))</f>
        <v/>
      </c>
      <c r="H2686" s="23" t="str">
        <f t="shared" ca="1" si="297"/>
        <v/>
      </c>
      <c r="I2686" s="24" t="str">
        <f>IF(OR(E2686="",E2686="!!!",F2686="NEW"),"",INDEX(B$2:B2685,-1+SUMPRODUCT(MAX(ROW(E$2:E2685)*(E2686=E$2:E2685)))))</f>
        <v/>
      </c>
      <c r="J2686" s="24" t="str">
        <f ca="1">IF(OR(E2686="",E2686="!!!",F2686="NEW"),"",COUNTBLANK(OFFSET(A$1,,,SUMPRODUCT(MAX(ROW(E$2:E2686)*(E2686=E$2:E2686)))))-COUNTBLANK(OFFSET(A$1,,,SUMPRODUCT(MAX(ROW(E$1:E2685)*(E2=E$1:E2685))))))</f>
        <v/>
      </c>
      <c r="K2686" s="24" t="str">
        <f>IF(OR(E2686="",E2686="!!!",F2686="NEW"),"",INDEX(J$1:J2685,SUMPRODUCT(MAX(ROW(E$1:E2685)*(E2686=E$1:E2685)))))</f>
        <v/>
      </c>
      <c r="L2686" s="25"/>
    </row>
    <row r="2687" spans="1:12" x14ac:dyDescent="0.2">
      <c r="A2687" t="s">
        <v>1060</v>
      </c>
      <c r="B2687" s="26" t="s">
        <v>950</v>
      </c>
      <c r="E2687" s="20" t="str">
        <f t="shared" si="296"/>
        <v/>
      </c>
      <c r="F2687" s="21" t="str">
        <f>IF(OR(E2687="",E2687="!!!"),"",IF(NOT(ISNA(VLOOKUP(E2687,E$1:E2686,1,FALSE()))),"OLD",IF(AND(E2687&lt;&gt;"",E2687&lt;&gt;"!!!"),"NEW","")))</f>
        <v/>
      </c>
      <c r="G2687" s="22" t="str">
        <f>IF(OR(E2687="",E2687="!!!"),"",IF(OR(J2687=0,AND(J2687=1,K2687=1),AND(J2687=1,I2687="SBJ"),AND(J2687=1,I2687=0)),"?IN_FOCUS",IF(J2687&lt;=2,"?ACTIVATED",IF(J2687&lt;&gt;"","?FAMILIAR",IF(F2687="NEW",IF(ISNA(VLOOKUP(E2687,#REF!,1,FALSE())),"?TYPE_IDENTIFIABLE","?REFERENTIAL"),"_")))))</f>
        <v/>
      </c>
      <c r="H2687" s="23" t="str">
        <f t="shared" ca="1" si="297"/>
        <v/>
      </c>
      <c r="I2687" s="24" t="str">
        <f>IF(OR(E2687="",E2687="!!!",F2687="NEW"),"",INDEX(B$2:B2686,-1+SUMPRODUCT(MAX(ROW(E$2:E2686)*(E2687=E$2:E2686)))))</f>
        <v/>
      </c>
      <c r="J2687" s="24" t="str">
        <f ca="1">IF(OR(E2687="",E2687="!!!",F2687="NEW"),"",COUNTBLANK(OFFSET(A$1,,,SUMPRODUCT(MAX(ROW(E$2:E2687)*(E2687=E$2:E2687)))))-COUNTBLANK(OFFSET(A$1,,,SUMPRODUCT(MAX(ROW(E$1:E2686)*(E2=E$1:E2686))))))</f>
        <v/>
      </c>
      <c r="K2687" s="24" t="str">
        <f>IF(OR(E2687="",E2687="!!!",F2687="NEW"),"",INDEX(J$1:J2686,SUMPRODUCT(MAX(ROW(E$1:E2686)*(E2687=E$1:E2686)))))</f>
        <v/>
      </c>
      <c r="L2687" s="25"/>
    </row>
    <row r="2688" spans="1:12" x14ac:dyDescent="0.2">
      <c r="A2688" t="s">
        <v>998</v>
      </c>
      <c r="E2688" s="20" t="str">
        <f t="shared" si="296"/>
        <v/>
      </c>
      <c r="F2688" s="21" t="str">
        <f>IF(OR(E2688="",E2688="!!!"),"",IF(NOT(ISNA(VLOOKUP(E2688,E$1:E2687,1,FALSE()))),"OLD",IF(AND(E2688&lt;&gt;"",E2688&lt;&gt;"!!!"),"NEW","")))</f>
        <v/>
      </c>
      <c r="G2688" s="22" t="str">
        <f>IF(OR(E2688="",E2688="!!!"),"",IF(OR(J2688=0,AND(J2688=1,K2688=1),AND(J2688=1,I2688="SBJ"),AND(J2688=1,I2688=0)),"?IN_FOCUS",IF(J2688&lt;=2,"?ACTIVATED",IF(J2688&lt;&gt;"","?FAMILIAR",IF(F2688="NEW",IF(ISNA(VLOOKUP(E2688,#REF!,1,FALSE())),"?TYPE_IDENTIFIABLE","?REFERENTIAL"),"_")))))</f>
        <v/>
      </c>
      <c r="H2688" s="23" t="str">
        <f t="shared" ca="1" si="297"/>
        <v/>
      </c>
      <c r="I2688" s="24" t="str">
        <f>IF(OR(E2688="",E2688="!!!",F2688="NEW"),"",INDEX(B$2:B2687,-1+SUMPRODUCT(MAX(ROW(E$2:E2687)*(E2688=E$2:E2687)))))</f>
        <v/>
      </c>
      <c r="J2688" s="24" t="str">
        <f ca="1">IF(OR(E2688="",E2688="!!!",F2688="NEW"),"",COUNTBLANK(OFFSET(A$1,,,SUMPRODUCT(MAX(ROW(E$2:E2688)*(E2688=E$2:E2688)))))-COUNTBLANK(OFFSET(A$1,,,SUMPRODUCT(MAX(ROW(E$1:E2687)*(E2=E$1:E2687))))))</f>
        <v/>
      </c>
      <c r="K2688" s="24" t="str">
        <f>IF(OR(E2688="",E2688="!!!",F2688="NEW"),"",INDEX(J$1:J2687,SUMPRODUCT(MAX(ROW(E$1:E2687)*(E2688=E$1:E2687)))))</f>
        <v/>
      </c>
      <c r="L2688" s="25"/>
    </row>
    <row r="2689" spans="1:12" x14ac:dyDescent="0.2">
      <c r="A2689" t="s">
        <v>999</v>
      </c>
      <c r="E2689" s="20" t="str">
        <f t="shared" si="296"/>
        <v/>
      </c>
      <c r="F2689" s="21" t="str">
        <f>IF(OR(E2689="",E2689="!!!"),"",IF(NOT(ISNA(VLOOKUP(E2689,E$1:E2688,1,FALSE()))),"OLD",IF(AND(E2689&lt;&gt;"",E2689&lt;&gt;"!!!"),"NEW","")))</f>
        <v/>
      </c>
      <c r="G2689" s="22" t="str">
        <f>IF(OR(E2689="",E2689="!!!"),"",IF(OR(J2689=0,AND(J2689=1,K2689=1),AND(J2689=1,I2689="SBJ"),AND(J2689=1,I2689=0)),"?IN_FOCUS",IF(J2689&lt;=2,"?ACTIVATED",IF(J2689&lt;&gt;"","?FAMILIAR",IF(F2689="NEW",IF(ISNA(VLOOKUP(E2689,#REF!,1,FALSE())),"?TYPE_IDENTIFIABLE","?REFERENTIAL"),"_")))))</f>
        <v/>
      </c>
      <c r="H2689" s="23" t="str">
        <f t="shared" ca="1" si="297"/>
        <v/>
      </c>
      <c r="I2689" s="24" t="str">
        <f>IF(OR(E2689="",E2689="!!!",F2689="NEW"),"",INDEX(B$2:B2688,-1+SUMPRODUCT(MAX(ROW(E$2:E2688)*(E2689=E$2:E2688)))))</f>
        <v/>
      </c>
      <c r="J2689" s="24" t="str">
        <f ca="1">IF(OR(E2689="",E2689="!!!",F2689="NEW"),"",COUNTBLANK(OFFSET(A$1,,,SUMPRODUCT(MAX(ROW(E$2:E2689)*(E2689=E$2:E2689)))))-COUNTBLANK(OFFSET(A$1,,,SUMPRODUCT(MAX(ROW(E$1:E2688)*(E2=E$1:E2688))))))</f>
        <v/>
      </c>
      <c r="K2689" s="24" t="str">
        <f>IF(OR(E2689="",E2689="!!!",F2689="NEW"),"",INDEX(J$1:J2688,SUMPRODUCT(MAX(ROW(E$1:E2688)*(E2689=E$1:E2688)))))</f>
        <v/>
      </c>
      <c r="L2689" s="25"/>
    </row>
    <row r="2690" spans="1:12" x14ac:dyDescent="0.2">
      <c r="A2690" t="s">
        <v>152</v>
      </c>
      <c r="E2690" s="20" t="str">
        <f t="shared" si="296"/>
        <v/>
      </c>
      <c r="F2690" s="21" t="str">
        <f>IF(OR(E2690="",E2690="!!!"),"",IF(NOT(ISNA(VLOOKUP(E2690,E$1:E2689,1,FALSE()))),"OLD",IF(AND(E2690&lt;&gt;"",E2690&lt;&gt;"!!!"),"NEW","")))</f>
        <v/>
      </c>
      <c r="G2690" s="22" t="str">
        <f>IF(OR(E2690="",E2690="!!!"),"",IF(OR(J2690=0,AND(J2690=1,K2690=1),AND(J2690=1,I2690="SBJ"),AND(J2690=1,I2690=0)),"?IN_FOCUS",IF(J2690&lt;=2,"?ACTIVATED",IF(J2690&lt;&gt;"","?FAMILIAR",IF(F2690="NEW",IF(ISNA(VLOOKUP(E2690,#REF!,1,FALSE())),"?TYPE_IDENTIFIABLE","?REFERENTIAL"),"_")))))</f>
        <v/>
      </c>
      <c r="H2690" s="23" t="str">
        <f t="shared" ca="1" si="297"/>
        <v/>
      </c>
      <c r="I2690" s="24" t="str">
        <f>IF(OR(E2690="",E2690="!!!",F2690="NEW"),"",INDEX(B$2:B2689,-1+SUMPRODUCT(MAX(ROW(E$2:E2689)*(E2690=E$2:E2689)))))</f>
        <v/>
      </c>
      <c r="J2690" s="24" t="str">
        <f ca="1">IF(OR(E2690="",E2690="!!!",F2690="NEW"),"",COUNTBLANK(OFFSET(A$1,,,SUMPRODUCT(MAX(ROW(E$2:E2690)*(E2690=E$2:E2690)))))-COUNTBLANK(OFFSET(A$1,,,SUMPRODUCT(MAX(ROW(E$1:E2689)*(E2=E$1:E2689))))))</f>
        <v/>
      </c>
      <c r="K2690" s="24" t="str">
        <f>IF(OR(E2690="",E2690="!!!",F2690="NEW"),"",INDEX(J$1:J2689,SUMPRODUCT(MAX(ROW(E$1:E2689)*(E2690=E$1:E2689)))))</f>
        <v/>
      </c>
      <c r="L2690" s="25"/>
    </row>
    <row r="2691" spans="1:12" x14ac:dyDescent="0.2">
      <c r="A2691" t="s">
        <v>1401</v>
      </c>
      <c r="B2691" s="26" t="s">
        <v>864</v>
      </c>
      <c r="C2691" s="26" t="s">
        <v>817</v>
      </c>
      <c r="D2691" s="26" t="s">
        <v>806</v>
      </c>
      <c r="E2691" s="20"/>
      <c r="F2691" s="21" t="s">
        <v>1793</v>
      </c>
      <c r="G2691" s="22" t="str">
        <f>IF(OR(E2691="",E2691="!!!"),"",IF(OR(J2691=0,AND(J2691=1,K2691=1),AND(J2691=1,I2691="SBJ"),AND(J2691=1,I2691=0)),"?IN_FOCUS",IF(J2691&lt;=2,"?ACTIVATED",IF(J2691&lt;&gt;"","?FAMILIAR",IF(F2691="NEW",IF(ISNA(VLOOKUP(E2691,#REF!,1,FALSE())),"?TYPE_IDENTIFIABLE","?REFERENTIAL"),"_")))))</f>
        <v/>
      </c>
      <c r="H2691" s="23" t="str">
        <f t="shared" ca="1" si="297"/>
        <v/>
      </c>
      <c r="I2691" s="24" t="str">
        <f>IF(OR(E2691="",E2691="!!!",F2691="NEW"),"",INDEX(B$2:B2690,-1+SUMPRODUCT(MAX(ROW(E$2:E2690)*(E2691=E$2:E2690)))))</f>
        <v/>
      </c>
      <c r="J2691" s="24" t="str">
        <f ca="1">IF(OR(E2691="",E2691="!!!",F2691="NEW"),"",COUNTBLANK(OFFSET(A$1,,,SUMPRODUCT(MAX(ROW(E$2:E2691)*(E2691=E$2:E2691)))))-COUNTBLANK(OFFSET(A$1,,,SUMPRODUCT(MAX(ROW(E$1:E2690)*(E2=E$1:E2690))))))</f>
        <v/>
      </c>
      <c r="K2691" s="24" t="str">
        <f>IF(OR(E2691="",E2691="!!!",F2691="NEW"),"",INDEX(J$1:J2690,SUMPRODUCT(MAX(ROW(E$1:E2690)*(E2691=E$1:E2690)))))</f>
        <v/>
      </c>
      <c r="L2691" s="25"/>
    </row>
    <row r="2692" spans="1:12" x14ac:dyDescent="0.2">
      <c r="A2692" t="s">
        <v>1402</v>
      </c>
      <c r="B2692" s="26" t="s">
        <v>938</v>
      </c>
      <c r="C2692" s="26" t="s">
        <v>820</v>
      </c>
      <c r="D2692" s="26" t="s">
        <v>806</v>
      </c>
      <c r="E2692" s="20" t="s">
        <v>1790</v>
      </c>
      <c r="F2692" s="21" t="str">
        <f>IF(OR(E2692="",E2692="!!!"),"",IF(NOT(ISNA(VLOOKUP(E2692,E$1:E2691,1,FALSE()))),"OLD",IF(AND(E2692&lt;&gt;"",E2692&lt;&gt;"!!!"),"NEW","")))</f>
        <v>OLD</v>
      </c>
      <c r="G2692" s="22" t="s">
        <v>1822</v>
      </c>
      <c r="H2692" s="23" t="str">
        <f t="shared" ca="1" si="297"/>
        <v/>
      </c>
      <c r="I2692" s="24" t="str">
        <f>IF(OR(E2692="",E2692="!!!",F2692="NEW"),"",INDEX(B$2:B2691,-1+SUMPRODUCT(MAX(ROW(E$2:E2691)*(E2692=E$2:E2691)))))</f>
        <v>OBJ_2</v>
      </c>
      <c r="J2692" s="24">
        <f ca="1">IF(OR(E2692="",E2692="!!!",F2692="NEW"),"",COUNTBLANK(OFFSET(A$1,,,SUMPRODUCT(MAX(ROW(E$2:E2692)*(E2692=E$2:E2692)))))-COUNTBLANK(OFFSET(A$1,,,SUMPRODUCT(MAX(ROW(E$1:E2691)*(E2=E$1:E2691))))))</f>
        <v>0</v>
      </c>
      <c r="K2692" s="24">
        <f ca="1">IF(OR(E2692="",E2692="!!!",F2692="NEW"),"",INDEX(J$1:J2691,SUMPRODUCT(MAX(ROW(E$1:E2691)*(E2692=E$1:E2691)))))</f>
        <v>0</v>
      </c>
      <c r="L2692" s="25"/>
    </row>
    <row r="2693" spans="1:12" x14ac:dyDescent="0.2">
      <c r="A2693" t="s">
        <v>802</v>
      </c>
      <c r="E2693" s="20" t="str">
        <f t="shared" si="296"/>
        <v/>
      </c>
      <c r="F2693" s="21" t="str">
        <f>IF(OR(E2693="",E2693="!!!"),"",IF(NOT(ISNA(VLOOKUP(E2693,E$1:E2692,1,FALSE()))),"OLD",IF(AND(E2693&lt;&gt;"",E2693&lt;&gt;"!!!"),"NEW","")))</f>
        <v/>
      </c>
      <c r="G2693" s="22" t="str">
        <f>IF(OR(E2693="",E2693="!!!"),"",IF(OR(J2693=0,AND(J2693=1,K2693=1),AND(J2693=1,I2693="SBJ"),AND(J2693=1,I2693=0)),"?IN_FOCUS",IF(J2693&lt;=2,"?ACTIVATED",IF(J2693&lt;&gt;"","?FAMILIAR",IF(F2693="NEW",IF(ISNA(VLOOKUP(E2693,#REF!,1,FALSE())),"?TYPE_IDENTIFIABLE","?REFERENTIAL"),"_")))))</f>
        <v/>
      </c>
      <c r="H2693" s="23" t="str">
        <f t="shared" ca="1" si="297"/>
        <v/>
      </c>
      <c r="I2693" s="24" t="str">
        <f>IF(OR(E2693="",E2693="!!!",F2693="NEW"),"",INDEX(B$2:B2692,-1+SUMPRODUCT(MAX(ROW(E$2:E2692)*(E2693=E$2:E2692)))))</f>
        <v/>
      </c>
      <c r="J2693" s="24" t="str">
        <f ca="1">IF(OR(E2693="",E2693="!!!",F2693="NEW"),"",COUNTBLANK(OFFSET(A$1,,,SUMPRODUCT(MAX(ROW(E$2:E2693)*(E2693=E$2:E2693)))))-COUNTBLANK(OFFSET(A$1,,,SUMPRODUCT(MAX(ROW(E$1:E2692)*(E2=E$1:E2692))))))</f>
        <v/>
      </c>
      <c r="K2693" s="24" t="str">
        <f>IF(OR(E2693="",E2693="!!!",F2693="NEW"),"",INDEX(J$1:J2692,SUMPRODUCT(MAX(ROW(E$1:E2692)*(E2693=E$1:E2692)))))</f>
        <v/>
      </c>
      <c r="L2693" s="25"/>
    </row>
    <row r="2694" spans="1:12" x14ac:dyDescent="0.2">
      <c r="A2694" t="s">
        <v>1031</v>
      </c>
      <c r="E2694" s="20" t="str">
        <f t="shared" si="296"/>
        <v/>
      </c>
      <c r="F2694" s="21" t="str">
        <f>IF(OR(E2694="",E2694="!!!"),"",IF(NOT(ISNA(VLOOKUP(E2694,E$1:E2693,1,FALSE()))),"OLD",IF(AND(E2694&lt;&gt;"",E2694&lt;&gt;"!!!"),"NEW","")))</f>
        <v/>
      </c>
      <c r="G2694" s="22" t="str">
        <f>IF(OR(E2694="",E2694="!!!"),"",IF(OR(J2694=0,AND(J2694=1,K2694=1),AND(J2694=1,I2694="SBJ"),AND(J2694=1,I2694=0)),"?IN_FOCUS",IF(J2694&lt;=2,"?ACTIVATED",IF(J2694&lt;&gt;"","?FAMILIAR",IF(F2694="NEW",IF(ISNA(VLOOKUP(E2694,#REF!,1,FALSE())),"?TYPE_IDENTIFIABLE","?REFERENTIAL"),"_")))))</f>
        <v/>
      </c>
      <c r="H2694" s="23" t="str">
        <f t="shared" ca="1" si="297"/>
        <v/>
      </c>
      <c r="I2694" s="24" t="str">
        <f>IF(OR(E2694="",E2694="!!!",F2694="NEW"),"",INDEX(B$2:B2693,-1+SUMPRODUCT(MAX(ROW(E$2:E2693)*(E2694=E$2:E2693)))))</f>
        <v/>
      </c>
      <c r="J2694" s="24" t="str">
        <f ca="1">IF(OR(E2694="",E2694="!!!",F2694="NEW"),"",COUNTBLANK(OFFSET(A$1,,,SUMPRODUCT(MAX(ROW(E$2:E2694)*(E2694=E$2:E2694)))))-COUNTBLANK(OFFSET(A$1,,,SUMPRODUCT(MAX(ROW(E$1:E2693)*(E2=E$1:E2693))))))</f>
        <v/>
      </c>
      <c r="K2694" s="24" t="str">
        <f>IF(OR(E2694="",E2694="!!!",F2694="NEW"),"",INDEX(J$1:J2693,SUMPRODUCT(MAX(ROW(E$1:E2693)*(E2694=E$1:E2693)))))</f>
        <v/>
      </c>
      <c r="L2694" s="25"/>
    </row>
    <row r="2695" spans="1:12" x14ac:dyDescent="0.2">
      <c r="A2695" t="s">
        <v>1014</v>
      </c>
      <c r="E2695" s="20" t="str">
        <f t="shared" si="296"/>
        <v/>
      </c>
      <c r="F2695" s="21" t="str">
        <f>IF(OR(E2695="",E2695="!!!"),"",IF(NOT(ISNA(VLOOKUP(E2695,E$1:E2694,1,FALSE()))),"OLD",IF(AND(E2695&lt;&gt;"",E2695&lt;&gt;"!!!"),"NEW","")))</f>
        <v/>
      </c>
      <c r="G2695" s="22" t="str">
        <f>IF(OR(E2695="",E2695="!!!"),"",IF(OR(J2695=0,AND(J2695=1,K2695=1),AND(J2695=1,I2695="SBJ"),AND(J2695=1,I2695=0)),"?IN_FOCUS",IF(J2695&lt;=2,"?ACTIVATED",IF(J2695&lt;&gt;"","?FAMILIAR",IF(F2695="NEW",IF(ISNA(VLOOKUP(E2695,#REF!,1,FALSE())),"?TYPE_IDENTIFIABLE","?REFERENTIAL"),"_")))))</f>
        <v/>
      </c>
      <c r="H2695" s="23" t="str">
        <f t="shared" ca="1" si="297"/>
        <v/>
      </c>
      <c r="I2695" s="24" t="str">
        <f>IF(OR(E2695="",E2695="!!!",F2695="NEW"),"",INDEX(B$2:B2694,-1+SUMPRODUCT(MAX(ROW(E$2:E2694)*(E2695=E$2:E2694)))))</f>
        <v/>
      </c>
      <c r="J2695" s="24" t="str">
        <f ca="1">IF(OR(E2695="",E2695="!!!",F2695="NEW"),"",COUNTBLANK(OFFSET(A$1,,,SUMPRODUCT(MAX(ROW(E$2:E2695)*(E2695=E$2:E2695)))))-COUNTBLANK(OFFSET(A$1,,,SUMPRODUCT(MAX(ROW(E$1:E2694)*(E2=E$1:E2694))))))</f>
        <v/>
      </c>
      <c r="K2695" s="24" t="str">
        <f>IF(OR(E2695="",E2695="!!!",F2695="NEW"),"",INDEX(J$1:J2694,SUMPRODUCT(MAX(ROW(E$1:E2694)*(E2695=E$1:E2694)))))</f>
        <v/>
      </c>
      <c r="L2695" s="25"/>
    </row>
    <row r="2696" spans="1:12" x14ac:dyDescent="0.2">
      <c r="A2696" t="s">
        <v>809</v>
      </c>
      <c r="E2696" s="20" t="str">
        <f t="shared" si="296"/>
        <v/>
      </c>
      <c r="F2696" s="21" t="str">
        <f>IF(OR(E2696="",E2696="!!!"),"",IF(NOT(ISNA(VLOOKUP(E2696,E$1:E2695,1,FALSE()))),"OLD",IF(AND(E2696&lt;&gt;"",E2696&lt;&gt;"!!!"),"NEW","")))</f>
        <v/>
      </c>
      <c r="G2696" s="22" t="str">
        <f>IF(OR(E2696="",E2696="!!!"),"",IF(OR(J2696=0,AND(J2696=1,K2696=1),AND(J2696=1,I2696="SBJ"),AND(J2696=1,I2696=0)),"?IN_FOCUS",IF(J2696&lt;=2,"?ACTIVATED",IF(J2696&lt;&gt;"","?FAMILIAR",IF(F2696="NEW",IF(ISNA(VLOOKUP(E2696,#REF!,1,FALSE())),"?TYPE_IDENTIFIABLE","?REFERENTIAL"),"_")))))</f>
        <v/>
      </c>
      <c r="H2696" s="23" t="str">
        <f t="shared" ca="1" si="297"/>
        <v/>
      </c>
      <c r="I2696" s="24" t="str">
        <f>IF(OR(E2696="",E2696="!!!",F2696="NEW"),"",INDEX(B$2:B2695,-1+SUMPRODUCT(MAX(ROW(E$2:E2695)*(E2696=E$2:E2695)))))</f>
        <v/>
      </c>
      <c r="J2696" s="24" t="str">
        <f ca="1">IF(OR(E2696="",E2696="!!!",F2696="NEW"),"",COUNTBLANK(OFFSET(A$1,,,SUMPRODUCT(MAX(ROW(E$2:E2696)*(E2696=E$2:E2696)))))-COUNTBLANK(OFFSET(A$1,,,SUMPRODUCT(MAX(ROW(E$1:E2695)*(E2=E$1:E2695))))))</f>
        <v/>
      </c>
      <c r="K2696" s="24" t="str">
        <f>IF(OR(E2696="",E2696="!!!",F2696="NEW"),"",INDEX(J$1:J2695,SUMPRODUCT(MAX(ROW(E$1:E2695)*(E2696=E$1:E2695)))))</f>
        <v/>
      </c>
      <c r="L2696" s="25"/>
    </row>
    <row r="2697" spans="1:12" x14ac:dyDescent="0.2">
      <c r="A2697" t="s">
        <v>530</v>
      </c>
      <c r="B2697" s="26" t="s">
        <v>819</v>
      </c>
      <c r="C2697" s="26" t="s">
        <v>811</v>
      </c>
      <c r="E2697" s="20" t="str">
        <f t="shared" si="296"/>
        <v/>
      </c>
      <c r="F2697" s="21" t="str">
        <f>IF(OR(E2697="",E2697="!!!"),"",IF(NOT(ISNA(VLOOKUP(E2697,E$1:E2696,1,FALSE()))),"OLD",IF(AND(E2697&lt;&gt;"",E2697&lt;&gt;"!!!"),"NEW","")))</f>
        <v/>
      </c>
      <c r="G2697" s="22" t="str">
        <f>IF(OR(E2697="",E2697="!!!"),"",IF(OR(J2697=0,AND(J2697=1,K2697=1),AND(J2697=1,I2697="SBJ"),AND(J2697=1,I2697=0)),"?IN_FOCUS",IF(J2697&lt;=2,"?ACTIVATED",IF(J2697&lt;&gt;"","?FAMILIAR",IF(F2697="NEW",IF(ISNA(VLOOKUP(E2697,#REF!,1,FALSE())),"?TYPE_IDENTIFIABLE","?REFERENTIAL"),"_")))))</f>
        <v/>
      </c>
      <c r="H2697" s="23" t="str">
        <f t="shared" ca="1" si="297"/>
        <v/>
      </c>
      <c r="I2697" s="24" t="str">
        <f>IF(OR(E2697="",E2697="!!!",F2697="NEW"),"",INDEX(B$2:B2696,-1+SUMPRODUCT(MAX(ROW(E$2:E2696)*(E2697=E$2:E2696)))))</f>
        <v/>
      </c>
      <c r="J2697" s="24" t="str">
        <f ca="1">IF(OR(E2697="",E2697="!!!",F2697="NEW"),"",COUNTBLANK(OFFSET(A$1,,,SUMPRODUCT(MAX(ROW(E$2:E2697)*(E2697=E$2:E2697)))))-COUNTBLANK(OFFSET(A$1,,,SUMPRODUCT(MAX(ROW(E$1:E2696)*(E2=E$1:E2696))))))</f>
        <v/>
      </c>
      <c r="K2697" s="24" t="str">
        <f>IF(OR(E2697="",E2697="!!!",F2697="NEW"),"",INDEX(J$1:J2696,SUMPRODUCT(MAX(ROW(E$1:E2696)*(E2697=E$1:E2696)))))</f>
        <v/>
      </c>
      <c r="L2697" s="25"/>
    </row>
    <row r="2698" spans="1:12" x14ac:dyDescent="0.2">
      <c r="A2698" t="s">
        <v>1060</v>
      </c>
      <c r="B2698" s="26" t="s">
        <v>891</v>
      </c>
      <c r="E2698" s="20" t="str">
        <f t="shared" si="296"/>
        <v/>
      </c>
      <c r="F2698" s="21" t="str">
        <f>IF(OR(E2698="",E2698="!!!"),"",IF(NOT(ISNA(VLOOKUP(E2698,E$1:E2697,1,FALSE()))),"OLD",IF(AND(E2698&lt;&gt;"",E2698&lt;&gt;"!!!"),"NEW","")))</f>
        <v/>
      </c>
      <c r="G2698" s="22" t="str">
        <f>IF(OR(E2698="",E2698="!!!"),"",IF(OR(J2698=0,AND(J2698=1,K2698=1),AND(J2698=1,I2698="SBJ"),AND(J2698=1,I2698=0)),"?IN_FOCUS",IF(J2698&lt;=2,"?ACTIVATED",IF(J2698&lt;&gt;"","?FAMILIAR",IF(F2698="NEW",IF(ISNA(VLOOKUP(E2698,#REF!,1,FALSE())),"?TYPE_IDENTIFIABLE","?REFERENTIAL"),"_")))))</f>
        <v/>
      </c>
      <c r="H2698" s="23" t="str">
        <f t="shared" ca="1" si="297"/>
        <v/>
      </c>
      <c r="I2698" s="24" t="str">
        <f>IF(OR(E2698="",E2698="!!!",F2698="NEW"),"",INDEX(B$2:B2697,-1+SUMPRODUCT(MAX(ROW(E$2:E2697)*(E2698=E$2:E2697)))))</f>
        <v/>
      </c>
      <c r="J2698" s="24" t="str">
        <f ca="1">IF(OR(E2698="",E2698="!!!",F2698="NEW"),"",COUNTBLANK(OFFSET(A$1,,,SUMPRODUCT(MAX(ROW(E$2:E2698)*(E2698=E$2:E2698)))))-COUNTBLANK(OFFSET(A$1,,,SUMPRODUCT(MAX(ROW(E$1:E2697)*(E2=E$1:E2697))))))</f>
        <v/>
      </c>
      <c r="K2698" s="24" t="str">
        <f>IF(OR(E2698="",E2698="!!!",F2698="NEW"),"",INDEX(J$1:J2697,SUMPRODUCT(MAX(ROW(E$1:E2697)*(E2698=E$1:E2697)))))</f>
        <v/>
      </c>
      <c r="L2698" s="25"/>
    </row>
    <row r="2699" spans="1:12" x14ac:dyDescent="0.2">
      <c r="A2699" t="s">
        <v>1477</v>
      </c>
      <c r="E2699" s="20" t="str">
        <f t="shared" si="296"/>
        <v/>
      </c>
      <c r="F2699" s="21" t="str">
        <f>IF(OR(E2699="",E2699="!!!"),"",IF(NOT(ISNA(VLOOKUP(E2699,E$1:E2698,1,FALSE()))),"OLD",IF(AND(E2699&lt;&gt;"",E2699&lt;&gt;"!!!"),"NEW","")))</f>
        <v/>
      </c>
      <c r="G2699" s="22" t="str">
        <f>IF(OR(E2699="",E2699="!!!"),"",IF(OR(J2699=0,AND(J2699=1,K2699=1),AND(J2699=1,I2699="SBJ"),AND(J2699=1,I2699=0)),"?IN_FOCUS",IF(J2699&lt;=2,"?ACTIVATED",IF(J2699&lt;&gt;"","?FAMILIAR",IF(F2699="NEW",IF(ISNA(VLOOKUP(E2699,#REF!,1,FALSE())),"?TYPE_IDENTIFIABLE","?REFERENTIAL"),"_")))))</f>
        <v/>
      </c>
      <c r="H2699" s="23" t="str">
        <f t="shared" ca="1" si="297"/>
        <v/>
      </c>
      <c r="I2699" s="24" t="str">
        <f>IF(OR(E2699="",E2699="!!!",F2699="NEW"),"",INDEX(B$2:B2698,-1+SUMPRODUCT(MAX(ROW(E$2:E2698)*(E2699=E$2:E2698)))))</f>
        <v/>
      </c>
      <c r="J2699" s="24" t="str">
        <f ca="1">IF(OR(E2699="",E2699="!!!",F2699="NEW"),"",COUNTBLANK(OFFSET(A$1,,,SUMPRODUCT(MAX(ROW(E$2:E2699)*(E2699=E$2:E2699)))))-COUNTBLANK(OFFSET(A$1,,,SUMPRODUCT(MAX(ROW(E$1:E2698)*(E2=E$1:E2698))))))</f>
        <v/>
      </c>
      <c r="K2699" s="24" t="str">
        <f>IF(OR(E2699="",E2699="!!!",F2699="NEW"),"",INDEX(J$1:J2698,SUMPRODUCT(MAX(ROW(E$1:E2698)*(E2699=E$1:E2698)))))</f>
        <v/>
      </c>
      <c r="L2699" s="25"/>
    </row>
    <row r="2700" spans="1:12" x14ac:dyDescent="0.2">
      <c r="A2700" t="s">
        <v>1401</v>
      </c>
      <c r="B2700" s="26" t="s">
        <v>899</v>
      </c>
      <c r="C2700" s="26" t="s">
        <v>817</v>
      </c>
      <c r="D2700" s="26" t="s">
        <v>806</v>
      </c>
      <c r="E2700" s="20"/>
      <c r="F2700" s="21" t="s">
        <v>1793</v>
      </c>
      <c r="G2700" s="22" t="str">
        <f>IF(OR(E2700="",E2700="!!!"),"",IF(OR(J2700=0,AND(J2700=1,K2700=1),AND(J2700=1,I2700="SBJ"),AND(J2700=1,I2700=0)),"?IN_FOCUS",IF(J2700&lt;=2,"?ACTIVATED",IF(J2700&lt;&gt;"","?FAMILIAR",IF(F2700="NEW",IF(ISNA(VLOOKUP(E2700,#REF!,1,FALSE())),"?TYPE_IDENTIFIABLE","?REFERENTIAL"),"_")))))</f>
        <v/>
      </c>
      <c r="H2700" s="23" t="str">
        <f t="shared" ca="1" si="297"/>
        <v/>
      </c>
      <c r="I2700" s="24" t="str">
        <f>IF(OR(E2700="",E2700="!!!",F2700="NEW"),"",INDEX(B$2:B2699,-1+SUMPRODUCT(MAX(ROW(E$2:E2699)*(E2700=E$2:E2699)))))</f>
        <v/>
      </c>
      <c r="J2700" s="24" t="str">
        <f ca="1">IF(OR(E2700="",E2700="!!!",F2700="NEW"),"",COUNTBLANK(OFFSET(A$1,,,SUMPRODUCT(MAX(ROW(E$2:E2700)*(E2700=E$2:E2700)))))-COUNTBLANK(OFFSET(A$1,,,SUMPRODUCT(MAX(ROW(E$1:E2699)*(E2=E$1:E2699))))))</f>
        <v/>
      </c>
      <c r="K2700" s="24" t="str">
        <f>IF(OR(E2700="",E2700="!!!",F2700="NEW"),"",INDEX(J$1:J2699,SUMPRODUCT(MAX(ROW(E$1:E2699)*(E2700=E$1:E2699)))))</f>
        <v/>
      </c>
      <c r="L2700" s="25"/>
    </row>
    <row r="2701" spans="1:12" x14ac:dyDescent="0.2">
      <c r="A2701" t="s">
        <v>1413</v>
      </c>
      <c r="B2701" s="26" t="s">
        <v>871</v>
      </c>
      <c r="C2701" s="26" t="s">
        <v>820</v>
      </c>
      <c r="D2701" s="26" t="s">
        <v>806</v>
      </c>
      <c r="E2701" s="20" t="s">
        <v>1413</v>
      </c>
      <c r="F2701" s="21" t="str">
        <f>IF(OR(E2701="",E2701="!!!"),"",IF(NOT(ISNA(VLOOKUP(E2701,E$1:E2700,1,FALSE()))),"OLD",IF(AND(E2701&lt;&gt;"",E2701&lt;&gt;"!!!"),"NEW","")))</f>
        <v>OLD</v>
      </c>
      <c r="G2701" s="22" t="s">
        <v>1825</v>
      </c>
      <c r="H2701" s="23" t="str">
        <f t="shared" ca="1" si="297"/>
        <v/>
      </c>
      <c r="I2701" s="24" t="str">
        <f>IF(OR(E2701="",E2701="!!!",F2701="NEW"),"",INDEX(B$2:B2700,-1+SUMPRODUCT(MAX(ROW(E$2:E2700)*(E2701=E$2:E2700)))))</f>
        <v>other_4</v>
      </c>
      <c r="J2701" s="24">
        <f ca="1">IF(OR(E2701="",E2701="!!!",F2701="NEW"),"",COUNTBLANK(OFFSET(A$1,,,SUMPRODUCT(MAX(ROW(E$2:E2701)*(E2701=E$2:E2701)))))-COUNTBLANK(OFFSET(A$1,,,SUMPRODUCT(MAX(ROW(E$1:E2700)*(E2=E$1:E2700))))))</f>
        <v>0</v>
      </c>
      <c r="K2701" s="24">
        <f ca="1">IF(OR(E2701="",E2701="!!!",F2701="NEW"),"",INDEX(J$1:J2700,SUMPRODUCT(MAX(ROW(E$1:E2700)*(E2701=E$1:E2700)))))</f>
        <v>0</v>
      </c>
      <c r="L2701" s="25"/>
    </row>
    <row r="2702" spans="1:12" x14ac:dyDescent="0.2">
      <c r="A2702" t="s">
        <v>1222</v>
      </c>
      <c r="E2702" s="20" t="str">
        <f t="shared" si="296"/>
        <v/>
      </c>
      <c r="F2702" s="21" t="str">
        <f>IF(OR(E2702="",E2702="!!!"),"",IF(NOT(ISNA(VLOOKUP(E2702,E$1:E2701,1,FALSE()))),"OLD",IF(AND(E2702&lt;&gt;"",E2702&lt;&gt;"!!!"),"NEW","")))</f>
        <v/>
      </c>
      <c r="G2702" s="22" t="str">
        <f>IF(OR(E2702="",E2702="!!!"),"",IF(OR(J2702=0,AND(J2702=1,K2702=1),AND(J2702=1,I2702="SBJ"),AND(J2702=1,I2702=0)),"?IN_FOCUS",IF(J2702&lt;=2,"?ACTIVATED",IF(J2702&lt;&gt;"","?FAMILIAR",IF(F2702="NEW",IF(ISNA(VLOOKUP(E2702,#REF!,1,FALSE())),"?TYPE_IDENTIFIABLE","?REFERENTIAL"),"_")))))</f>
        <v/>
      </c>
      <c r="H2702" s="23" t="str">
        <f t="shared" ca="1" si="297"/>
        <v/>
      </c>
      <c r="I2702" s="24" t="str">
        <f>IF(OR(E2702="",E2702="!!!",F2702="NEW"),"",INDEX(B$2:B2701,-1+SUMPRODUCT(MAX(ROW(E$2:E2701)*(E2702=E$2:E2701)))))</f>
        <v/>
      </c>
      <c r="J2702" s="24" t="str">
        <f ca="1">IF(OR(E2702="",E2702="!!!",F2702="NEW"),"",COUNTBLANK(OFFSET(A$1,,,SUMPRODUCT(MAX(ROW(E$2:E2702)*(E2702=E$2:E2702)))))-COUNTBLANK(OFFSET(A$1,,,SUMPRODUCT(MAX(ROW(E$1:E2701)*(E2=E$1:E2701))))))</f>
        <v/>
      </c>
      <c r="K2702" s="24" t="str">
        <f>IF(OR(E2702="",E2702="!!!",F2702="NEW"),"",INDEX(J$1:J2701,SUMPRODUCT(MAX(ROW(E$1:E2701)*(E2702=E$1:E2701)))))</f>
        <v/>
      </c>
      <c r="L2702" s="25"/>
    </row>
    <row r="2703" spans="1:12" x14ac:dyDescent="0.2">
      <c r="A2703" t="s">
        <v>845</v>
      </c>
      <c r="E2703" s="20" t="str">
        <f t="shared" si="296"/>
        <v/>
      </c>
      <c r="F2703" s="21" t="str">
        <f>IF(OR(E2703="",E2703="!!!"),"",IF(NOT(ISNA(VLOOKUP(E2703,E$1:E2702,1,FALSE()))),"OLD",IF(AND(E2703&lt;&gt;"",E2703&lt;&gt;"!!!"),"NEW","")))</f>
        <v/>
      </c>
      <c r="G2703" s="22" t="str">
        <f>IF(OR(E2703="",E2703="!!!"),"",IF(OR(J2703=0,AND(J2703=1,K2703=1),AND(J2703=1,I2703="SBJ"),AND(J2703=1,I2703=0)),"?IN_FOCUS",IF(J2703&lt;=2,"?ACTIVATED",IF(J2703&lt;&gt;"","?FAMILIAR",IF(F2703="NEW",IF(ISNA(VLOOKUP(E2703,#REF!,1,FALSE())),"?TYPE_IDENTIFIABLE","?REFERENTIAL"),"_")))))</f>
        <v/>
      </c>
      <c r="H2703" s="23" t="str">
        <f t="shared" ca="1" si="297"/>
        <v/>
      </c>
      <c r="I2703" s="24" t="str">
        <f>IF(OR(E2703="",E2703="!!!",F2703="NEW"),"",INDEX(B$2:B2702,-1+SUMPRODUCT(MAX(ROW(E$2:E2702)*(E2703=E$2:E2702)))))</f>
        <v/>
      </c>
      <c r="J2703" s="24" t="str">
        <f ca="1">IF(OR(E2703="",E2703="!!!",F2703="NEW"),"",COUNTBLANK(OFFSET(A$1,,,SUMPRODUCT(MAX(ROW(E$2:E2703)*(E2703=E$2:E2703)))))-COUNTBLANK(OFFSET(A$1,,,SUMPRODUCT(MAX(ROW(E$1:E2702)*(E2=E$1:E2702))))))</f>
        <v/>
      </c>
      <c r="K2703" s="24" t="str">
        <f>IF(OR(E2703="",E2703="!!!",F2703="NEW"),"",INDEX(J$1:J2702,SUMPRODUCT(MAX(ROW(E$1:E2702)*(E2703=E$1:E2702)))))</f>
        <v/>
      </c>
      <c r="L2703" s="25"/>
    </row>
    <row r="2704" spans="1:12" x14ac:dyDescent="0.2">
      <c r="A2704" t="s">
        <v>1478</v>
      </c>
      <c r="B2704" s="26" t="s">
        <v>899</v>
      </c>
      <c r="C2704" s="26" t="s">
        <v>820</v>
      </c>
      <c r="D2704" s="26" t="s">
        <v>806</v>
      </c>
      <c r="E2704" s="20"/>
      <c r="F2704" s="21" t="str">
        <f>IF(OR(E2704="",E2704="!!!"),"",IF(NOT(ISNA(VLOOKUP(E2704,E$1:E2703,1,FALSE()))),"OLD",IF(AND(E2704&lt;&gt;"",E2704&lt;&gt;"!!!"),"NEW","")))</f>
        <v/>
      </c>
      <c r="G2704" s="22" t="str">
        <f>IF(OR(E2704="",E2704="!!!"),"",IF(OR(J2704=0,AND(J2704=1,K2704=1),AND(J2704=1,I2704="SBJ"),AND(J2704=1,I2704=0)),"?IN_FOCUS",IF(J2704&lt;=2,"?ACTIVATED",IF(J2704&lt;&gt;"","?FAMILIAR",IF(F2704="NEW",IF(ISNA(VLOOKUP(E2704,#REF!,1,FALSE())),"?TYPE_IDENTIFIABLE","?REFERENTIAL"),"_")))))</f>
        <v/>
      </c>
      <c r="H2704" s="23" t="str">
        <f t="shared" ca="1" si="297"/>
        <v/>
      </c>
      <c r="I2704" s="24" t="str">
        <f>IF(OR(E2704="",E2704="!!!",F2704="NEW"),"",INDEX(B$2:B2703,-1+SUMPRODUCT(MAX(ROW(E$2:E2703)*(E2704=E$2:E2703)))))</f>
        <v/>
      </c>
      <c r="J2704" s="24" t="str">
        <f ca="1">IF(OR(E2704="",E2704="!!!",F2704="NEW"),"",COUNTBLANK(OFFSET(A$1,,,SUMPRODUCT(MAX(ROW(E$2:E2704)*(E2704=E$2:E2704)))))-COUNTBLANK(OFFSET(A$1,,,SUMPRODUCT(MAX(ROW(E$1:E2703)*(E2=E$1:E2703))))))</f>
        <v/>
      </c>
      <c r="K2704" s="24" t="str">
        <f>IF(OR(E2704="",E2704="!!!",F2704="NEW"),"",INDEX(J$1:J2703,SUMPRODUCT(MAX(ROW(E$1:E2703)*(E2704=E$1:E2703)))))</f>
        <v/>
      </c>
      <c r="L2704" s="25"/>
    </row>
    <row r="2705" spans="1:12" x14ac:dyDescent="0.2">
      <c r="A2705" t="s">
        <v>812</v>
      </c>
      <c r="E2705" s="20" t="str">
        <f t="shared" si="296"/>
        <v/>
      </c>
      <c r="F2705" s="21" t="str">
        <f>IF(OR(E2705="",E2705="!!!"),"",IF(NOT(ISNA(VLOOKUP(E2705,E$1:E2704,1,FALSE()))),"OLD",IF(AND(E2705&lt;&gt;"",E2705&lt;&gt;"!!!"),"NEW","")))</f>
        <v/>
      </c>
      <c r="G2705" s="22" t="str">
        <f>IF(OR(E2705="",E2705="!!!"),"",IF(OR(J2705=0,AND(J2705=1,K2705=1),AND(J2705=1,I2705="SBJ"),AND(J2705=1,I2705=0)),"?IN_FOCUS",IF(J2705&lt;=2,"?ACTIVATED",IF(J2705&lt;&gt;"","?FAMILIAR",IF(F2705="NEW",IF(ISNA(VLOOKUP(E2705,#REF!,1,FALSE())),"?TYPE_IDENTIFIABLE","?REFERENTIAL"),"_")))))</f>
        <v/>
      </c>
      <c r="H2705" s="23" t="str">
        <f t="shared" ca="1" si="297"/>
        <v/>
      </c>
      <c r="I2705" s="24" t="str">
        <f>IF(OR(E2705="",E2705="!!!",F2705="NEW"),"",INDEX(B$2:B2704,-1+SUMPRODUCT(MAX(ROW(E$2:E2704)*(E2705=E$2:E2704)))))</f>
        <v/>
      </c>
      <c r="J2705" s="24" t="str">
        <f ca="1">IF(OR(E2705="",E2705="!!!",F2705="NEW"),"",COUNTBLANK(OFFSET(A$1,,,SUMPRODUCT(MAX(ROW(E$2:E2705)*(E2705=E$2:E2705)))))-COUNTBLANK(OFFSET(A$1,,,SUMPRODUCT(MAX(ROW(E$1:E2704)*(E2=E$1:E2704))))))</f>
        <v/>
      </c>
      <c r="K2705" s="24" t="str">
        <f>IF(OR(E2705="",E2705="!!!",F2705="NEW"),"",INDEX(J$1:J2704,SUMPRODUCT(MAX(ROW(E$1:E2704)*(E2705=E$1:E2704)))))</f>
        <v/>
      </c>
      <c r="L2705" s="25"/>
    </row>
    <row r="2706" spans="1:12" x14ac:dyDescent="0.2">
      <c r="A2706" t="s">
        <v>1401</v>
      </c>
      <c r="B2706" s="26" t="s">
        <v>916</v>
      </c>
      <c r="C2706" s="26" t="s">
        <v>817</v>
      </c>
      <c r="D2706" s="26" t="s">
        <v>806</v>
      </c>
      <c r="E2706" s="20"/>
      <c r="F2706" s="21" t="s">
        <v>1793</v>
      </c>
      <c r="G2706" s="22" t="str">
        <f>IF(OR(E2706="",E2706="!!!"),"",IF(OR(J2706=0,AND(J2706=1,K2706=1),AND(J2706=1,I2706="SBJ"),AND(J2706=1,I2706=0)),"?IN_FOCUS",IF(J2706&lt;=2,"?ACTIVATED",IF(J2706&lt;&gt;"","?FAMILIAR",IF(F2706="NEW",IF(ISNA(VLOOKUP(E2706,#REF!,1,FALSE())),"?TYPE_IDENTIFIABLE","?REFERENTIAL"),"_")))))</f>
        <v/>
      </c>
      <c r="H2706" s="23" t="str">
        <f t="shared" ca="1" si="297"/>
        <v/>
      </c>
      <c r="I2706" s="24" t="str">
        <f>IF(OR(E2706="",E2706="!!!",F2706="NEW"),"",INDEX(B$2:B2705,-1+SUMPRODUCT(MAX(ROW(E$2:E2705)*(E2706=E$2:E2705)))))</f>
        <v/>
      </c>
      <c r="J2706" s="24" t="str">
        <f ca="1">IF(OR(E2706="",E2706="!!!",F2706="NEW"),"",COUNTBLANK(OFFSET(A$1,,,SUMPRODUCT(MAX(ROW(E$2:E2706)*(E2706=E$2:E2706)))))-COUNTBLANK(OFFSET(A$1,,,SUMPRODUCT(MAX(ROW(E$1:E2705)*(E2=E$1:E2705))))))</f>
        <v/>
      </c>
      <c r="K2706" s="24" t="str">
        <f>IF(OR(E2706="",E2706="!!!",F2706="NEW"),"",INDEX(J$1:J2705,SUMPRODUCT(MAX(ROW(E$1:E2705)*(E2706=E$1:E2705)))))</f>
        <v/>
      </c>
      <c r="L2706" s="25"/>
    </row>
    <row r="2707" spans="1:12" x14ac:dyDescent="0.2">
      <c r="A2707" t="s">
        <v>1479</v>
      </c>
      <c r="B2707" s="26" t="s">
        <v>897</v>
      </c>
      <c r="C2707" s="26" t="s">
        <v>820</v>
      </c>
      <c r="D2707" s="26" t="s">
        <v>806</v>
      </c>
      <c r="E2707" s="20" t="s">
        <v>1805</v>
      </c>
      <c r="F2707" s="21" t="str">
        <f>IF(OR(E2707="",E2707="!!!"),"",IF(NOT(ISNA(VLOOKUP(E2707,E$1:E2706,1,FALSE()))),"OLD",IF(AND(E2707&lt;&gt;"",E2707&lt;&gt;"!!!"),"NEW","")))</f>
        <v>OLD</v>
      </c>
      <c r="G2707" s="22" t="s">
        <v>1825</v>
      </c>
      <c r="H2707" s="23" t="str">
        <f t="shared" ca="1" si="297"/>
        <v/>
      </c>
      <c r="I2707" s="24" t="str">
        <f>IF(OR(E2707="",E2707="!!!",F2707="NEW"),"",INDEX(B$2:B2706,-1+SUMPRODUCT(MAX(ROW(E$2:E2706)*(E2707=E$2:E2706)))))</f>
        <v>other_5</v>
      </c>
      <c r="J2707" s="24">
        <f ca="1">IF(OR(E2707="",E2707="!!!",F2707="NEW"),"",COUNTBLANK(OFFSET(A$1,,,SUMPRODUCT(MAX(ROW(E$2:E2707)*(E2707=E$2:E2707)))))-COUNTBLANK(OFFSET(A$1,,,SUMPRODUCT(MAX(ROW(E$1:E2706)*(E2=E$1:E2706))))))</f>
        <v>0</v>
      </c>
      <c r="K2707" s="24" t="str">
        <f ca="1">IF(OR(E2707="",E2707="!!!",F2707="NEW"),"",INDEX(J$1:J2706,SUMPRODUCT(MAX(ROW(E$1:E2706)*(E2707=E$1:E2706)))))</f>
        <v/>
      </c>
      <c r="L2707" s="25"/>
    </row>
    <row r="2708" spans="1:12" x14ac:dyDescent="0.2">
      <c r="A2708" t="s">
        <v>802</v>
      </c>
      <c r="E2708" s="20" t="str">
        <f t="shared" si="296"/>
        <v/>
      </c>
      <c r="F2708" s="21" t="str">
        <f>IF(OR(E2708="",E2708="!!!"),"",IF(NOT(ISNA(VLOOKUP(E2708,E$1:E2707,1,FALSE()))),"OLD",IF(AND(E2708&lt;&gt;"",E2708&lt;&gt;"!!!"),"NEW","")))</f>
        <v/>
      </c>
      <c r="G2708" s="22" t="str">
        <f>IF(OR(E2708="",E2708="!!!"),"",IF(OR(J2708=0,AND(J2708=1,K2708=1),AND(J2708=1,I2708="SBJ"),AND(J2708=1,I2708=0)),"?IN_FOCUS",IF(J2708&lt;=2,"?ACTIVATED",IF(J2708&lt;&gt;"","?FAMILIAR",IF(F2708="NEW",IF(ISNA(VLOOKUP(E2708,#REF!,1,FALSE())),"?TYPE_IDENTIFIABLE","?REFERENTIAL"),"_")))))</f>
        <v/>
      </c>
      <c r="H2708" s="23" t="str">
        <f t="shared" ca="1" si="297"/>
        <v/>
      </c>
      <c r="I2708" s="24" t="str">
        <f>IF(OR(E2708="",E2708="!!!",F2708="NEW"),"",INDEX(B$2:B2707,-1+SUMPRODUCT(MAX(ROW(E$2:E2707)*(E2708=E$2:E2707)))))</f>
        <v/>
      </c>
      <c r="J2708" s="24" t="str">
        <f ca="1">IF(OR(E2708="",E2708="!!!",F2708="NEW"),"",COUNTBLANK(OFFSET(A$1,,,SUMPRODUCT(MAX(ROW(E$2:E2708)*(E2708=E$2:E2708)))))-COUNTBLANK(OFFSET(A$1,,,SUMPRODUCT(MAX(ROW(E$1:E2707)*(E2=E$1:E2707))))))</f>
        <v/>
      </c>
      <c r="K2708" s="24" t="str">
        <f>IF(OR(E2708="",E2708="!!!",F2708="NEW"),"",INDEX(J$1:J2707,SUMPRODUCT(MAX(ROW(E$1:E2707)*(E2708=E$1:E2707)))))</f>
        <v/>
      </c>
      <c r="L2708" s="25"/>
    </row>
    <row r="2709" spans="1:12" x14ac:dyDescent="0.2">
      <c r="A2709" t="s">
        <v>1188</v>
      </c>
      <c r="E2709" s="20" t="str">
        <f t="shared" si="296"/>
        <v/>
      </c>
      <c r="F2709" s="21" t="str">
        <f>IF(OR(E2709="",E2709="!!!"),"",IF(NOT(ISNA(VLOOKUP(E2709,E$1:E2708,1,FALSE()))),"OLD",IF(AND(E2709&lt;&gt;"",E2709&lt;&gt;"!!!"),"NEW","")))</f>
        <v/>
      </c>
      <c r="G2709" s="22" t="str">
        <f>IF(OR(E2709="",E2709="!!!"),"",IF(OR(J2709=0,AND(J2709=1,K2709=1),AND(J2709=1,I2709="SBJ"),AND(J2709=1,I2709=0)),"?IN_FOCUS",IF(J2709&lt;=2,"?ACTIVATED",IF(J2709&lt;&gt;"","?FAMILIAR",IF(F2709="NEW",IF(ISNA(VLOOKUP(E2709,#REF!,1,FALSE())),"?TYPE_IDENTIFIABLE","?REFERENTIAL"),"_")))))</f>
        <v/>
      </c>
      <c r="H2709" s="23" t="str">
        <f t="shared" ca="1" si="297"/>
        <v/>
      </c>
      <c r="I2709" s="24" t="str">
        <f>IF(OR(E2709="",E2709="!!!",F2709="NEW"),"",INDEX(B$2:B2708,-1+SUMPRODUCT(MAX(ROW(E$2:E2708)*(E2709=E$2:E2708)))))</f>
        <v/>
      </c>
      <c r="J2709" s="24" t="str">
        <f ca="1">IF(OR(E2709="",E2709="!!!",F2709="NEW"),"",COUNTBLANK(OFFSET(A$1,,,SUMPRODUCT(MAX(ROW(E$2:E2709)*(E2709=E$2:E2709)))))-COUNTBLANK(OFFSET(A$1,,,SUMPRODUCT(MAX(ROW(E$1:E2708)*(E2=E$1:E2708))))))</f>
        <v/>
      </c>
      <c r="K2709" s="24" t="str">
        <f>IF(OR(E2709="",E2709="!!!",F2709="NEW"),"",INDEX(J$1:J2708,SUMPRODUCT(MAX(ROW(E$1:E2708)*(E2709=E$1:E2708)))))</f>
        <v/>
      </c>
      <c r="L2709" s="25"/>
    </row>
    <row r="2710" spans="1:12" x14ac:dyDescent="0.2">
      <c r="A2710" t="s">
        <v>809</v>
      </c>
      <c r="E2710" s="20" t="str">
        <f t="shared" si="296"/>
        <v/>
      </c>
      <c r="F2710" s="21" t="str">
        <f>IF(OR(E2710="",E2710="!!!"),"",IF(NOT(ISNA(VLOOKUP(E2710,E$1:E2709,1,FALSE()))),"OLD",IF(AND(E2710&lt;&gt;"",E2710&lt;&gt;"!!!"),"NEW","")))</f>
        <v/>
      </c>
      <c r="G2710" s="22" t="str">
        <f>IF(OR(E2710="",E2710="!!!"),"",IF(OR(J2710=0,AND(J2710=1,K2710=1),AND(J2710=1,I2710="SBJ"),AND(J2710=1,I2710=0)),"?IN_FOCUS",IF(J2710&lt;=2,"?ACTIVATED",IF(J2710&lt;&gt;"","?FAMILIAR",IF(F2710="NEW",IF(ISNA(VLOOKUP(E2710,#REF!,1,FALSE())),"?TYPE_IDENTIFIABLE","?REFERENTIAL"),"_")))))</f>
        <v/>
      </c>
      <c r="H2710" s="23" t="str">
        <f t="shared" ca="1" si="297"/>
        <v/>
      </c>
      <c r="I2710" s="24" t="str">
        <f>IF(OR(E2710="",E2710="!!!",F2710="NEW"),"",INDEX(B$2:B2709,-1+SUMPRODUCT(MAX(ROW(E$2:E2709)*(E2710=E$2:E2709)))))</f>
        <v/>
      </c>
      <c r="J2710" s="24" t="str">
        <f ca="1">IF(OR(E2710="",E2710="!!!",F2710="NEW"),"",COUNTBLANK(OFFSET(A$1,,,SUMPRODUCT(MAX(ROW(E$2:E2710)*(E2710=E$2:E2710)))))-COUNTBLANK(OFFSET(A$1,,,SUMPRODUCT(MAX(ROW(E$1:E2709)*(E2=E$1:E2709))))))</f>
        <v/>
      </c>
      <c r="K2710" s="24" t="str">
        <f>IF(OR(E2710="",E2710="!!!",F2710="NEW"),"",INDEX(J$1:J2709,SUMPRODUCT(MAX(ROW(E$1:E2709)*(E2710=E$1:E2709)))))</f>
        <v/>
      </c>
      <c r="L2710" s="25"/>
    </row>
    <row r="2711" spans="1:12" x14ac:dyDescent="0.2">
      <c r="A2711" t="s">
        <v>530</v>
      </c>
      <c r="B2711" s="26" t="s">
        <v>819</v>
      </c>
      <c r="C2711" s="26" t="s">
        <v>811</v>
      </c>
      <c r="E2711" s="20" t="str">
        <f t="shared" si="296"/>
        <v/>
      </c>
      <c r="F2711" s="21" t="str">
        <f>IF(OR(E2711="",E2711="!!!"),"",IF(NOT(ISNA(VLOOKUP(E2711,E$1:E2710,1,FALSE()))),"OLD",IF(AND(E2711&lt;&gt;"",E2711&lt;&gt;"!!!"),"NEW","")))</f>
        <v/>
      </c>
      <c r="G2711" s="22" t="str">
        <f>IF(OR(E2711="",E2711="!!!"),"",IF(OR(J2711=0,AND(J2711=1,K2711=1),AND(J2711=1,I2711="SBJ"),AND(J2711=1,I2711=0)),"?IN_FOCUS",IF(J2711&lt;=2,"?ACTIVATED",IF(J2711&lt;&gt;"","?FAMILIAR",IF(F2711="NEW",IF(ISNA(VLOOKUP(E2711,#REF!,1,FALSE())),"?TYPE_IDENTIFIABLE","?REFERENTIAL"),"_")))))</f>
        <v/>
      </c>
      <c r="H2711" s="23" t="str">
        <f t="shared" ca="1" si="297"/>
        <v/>
      </c>
      <c r="I2711" s="24" t="str">
        <f>IF(OR(E2711="",E2711="!!!",F2711="NEW"),"",INDEX(B$2:B2710,-1+SUMPRODUCT(MAX(ROW(E$2:E2710)*(E2711=E$2:E2710)))))</f>
        <v/>
      </c>
      <c r="J2711" s="24" t="str">
        <f ca="1">IF(OR(E2711="",E2711="!!!",F2711="NEW"),"",COUNTBLANK(OFFSET(A$1,,,SUMPRODUCT(MAX(ROW(E$2:E2711)*(E2711=E$2:E2711)))))-COUNTBLANK(OFFSET(A$1,,,SUMPRODUCT(MAX(ROW(E$1:E2710)*(E2=E$1:E2710))))))</f>
        <v/>
      </c>
      <c r="K2711" s="24" t="str">
        <f>IF(OR(E2711="",E2711="!!!",F2711="NEW"),"",INDEX(J$1:J2710,SUMPRODUCT(MAX(ROW(E$1:E2710)*(E2711=E$1:E2710)))))</f>
        <v/>
      </c>
      <c r="L2711" s="25"/>
    </row>
    <row r="2712" spans="1:12" x14ac:dyDescent="0.2">
      <c r="A2712" t="s">
        <v>1060</v>
      </c>
      <c r="B2712" s="26" t="s">
        <v>891</v>
      </c>
      <c r="E2712" s="20" t="str">
        <f t="shared" si="296"/>
        <v/>
      </c>
      <c r="F2712" s="21" t="str">
        <f>IF(OR(E2712="",E2712="!!!"),"",IF(NOT(ISNA(VLOOKUP(E2712,E$1:E2711,1,FALSE()))),"OLD",IF(AND(E2712&lt;&gt;"",E2712&lt;&gt;"!!!"),"NEW","")))</f>
        <v/>
      </c>
      <c r="G2712" s="22" t="str">
        <f>IF(OR(E2712="",E2712="!!!"),"",IF(OR(J2712=0,AND(J2712=1,K2712=1),AND(J2712=1,I2712="SBJ"),AND(J2712=1,I2712=0)),"?IN_FOCUS",IF(J2712&lt;=2,"?ACTIVATED",IF(J2712&lt;&gt;"","?FAMILIAR",IF(F2712="NEW",IF(ISNA(VLOOKUP(E2712,#REF!,1,FALSE())),"?TYPE_IDENTIFIABLE","?REFERENTIAL"),"_")))))</f>
        <v/>
      </c>
      <c r="H2712" s="23" t="str">
        <f t="shared" ca="1" si="297"/>
        <v/>
      </c>
      <c r="I2712" s="24" t="str">
        <f>IF(OR(E2712="",E2712="!!!",F2712="NEW"),"",INDEX(B$2:B2711,-1+SUMPRODUCT(MAX(ROW(E$2:E2711)*(E2712=E$2:E2711)))))</f>
        <v/>
      </c>
      <c r="J2712" s="24" t="str">
        <f ca="1">IF(OR(E2712="",E2712="!!!",F2712="NEW"),"",COUNTBLANK(OFFSET(A$1,,,SUMPRODUCT(MAX(ROW(E$2:E2712)*(E2712=E$2:E2712)))))-COUNTBLANK(OFFSET(A$1,,,SUMPRODUCT(MAX(ROW(E$1:E2711)*(E2=E$1:E2711))))))</f>
        <v/>
      </c>
      <c r="K2712" s="24" t="str">
        <f>IF(OR(E2712="",E2712="!!!",F2712="NEW"),"",INDEX(J$1:J2711,SUMPRODUCT(MAX(ROW(E$1:E2711)*(E2712=E$1:E2711)))))</f>
        <v/>
      </c>
      <c r="L2712" s="25"/>
    </row>
    <row r="2713" spans="1:12" x14ac:dyDescent="0.2">
      <c r="A2713" t="s">
        <v>898</v>
      </c>
      <c r="E2713" s="20" t="str">
        <f t="shared" ref="E2713:E2734" si="298">IF(D2713="?OLD","!!!","")</f>
        <v/>
      </c>
      <c r="F2713" s="21" t="str">
        <f>IF(OR(E2713="",E2713="!!!"),"",IF(NOT(ISNA(VLOOKUP(E2713,E$1:E2712,1,FALSE()))),"OLD",IF(AND(E2713&lt;&gt;"",E2713&lt;&gt;"!!!"),"NEW","")))</f>
        <v/>
      </c>
      <c r="G2713" s="22" t="str">
        <f>IF(OR(E2713="",E2713="!!!"),"",IF(OR(J2713=0,AND(J2713=1,K2713=1),AND(J2713=1,I2713="SBJ"),AND(J2713=1,I2713=0)),"?IN_FOCUS",IF(J2713&lt;=2,"?ACTIVATED",IF(J2713&lt;&gt;"","?FAMILIAR",IF(F2713="NEW",IF(ISNA(VLOOKUP(E2713,#REF!,1,FALSE())),"?TYPE_IDENTIFIABLE","?REFERENTIAL"),"_")))))</f>
        <v/>
      </c>
      <c r="H2713" s="23" t="str">
        <f t="shared" ref="H2713:H2734" ca="1" si="299">IF(J2713&lt;&gt;1,"",IF(I2713="SBJ","CB","?"))</f>
        <v/>
      </c>
      <c r="I2713" s="24" t="str">
        <f>IF(OR(E2713="",E2713="!!!",F2713="NEW"),"",INDEX(B$2:B2712,-1+SUMPRODUCT(MAX(ROW(E$2:E2712)*(E2713=E$2:E2712)))))</f>
        <v/>
      </c>
      <c r="J2713" s="24" t="str">
        <f ca="1">IF(OR(E2713="",E2713="!!!",F2713="NEW"),"",COUNTBLANK(OFFSET(A$1,,,SUMPRODUCT(MAX(ROW(E$2:E2713)*(E2713=E$2:E2713)))))-COUNTBLANK(OFFSET(A$1,,,SUMPRODUCT(MAX(ROW(E$1:E2712)*(E2=E$1:E2712))))))</f>
        <v/>
      </c>
      <c r="K2713" s="24" t="str">
        <f>IF(OR(E2713="",E2713="!!!",F2713="NEW"),"",INDEX(J$1:J2712,SUMPRODUCT(MAX(ROW(E$1:E2712)*(E2713=E$1:E2712)))))</f>
        <v/>
      </c>
      <c r="L2713" s="25"/>
    </row>
    <row r="2714" spans="1:12" x14ac:dyDescent="0.2">
      <c r="A2714" t="s">
        <v>1254</v>
      </c>
      <c r="E2714" s="20" t="str">
        <f t="shared" si="298"/>
        <v/>
      </c>
      <c r="F2714" s="21" t="str">
        <f>IF(OR(E2714="",E2714="!!!"),"",IF(NOT(ISNA(VLOOKUP(E2714,E$1:E2713,1,FALSE()))),"OLD",IF(AND(E2714&lt;&gt;"",E2714&lt;&gt;"!!!"),"NEW","")))</f>
        <v/>
      </c>
      <c r="G2714" s="22" t="str">
        <f>IF(OR(E2714="",E2714="!!!"),"",IF(OR(J2714=0,AND(J2714=1,K2714=1),AND(J2714=1,I2714="SBJ"),AND(J2714=1,I2714=0)),"?IN_FOCUS",IF(J2714&lt;=2,"?ACTIVATED",IF(J2714&lt;&gt;"","?FAMILIAR",IF(F2714="NEW",IF(ISNA(VLOOKUP(E2714,#REF!,1,FALSE())),"?TYPE_IDENTIFIABLE","?REFERENTIAL"),"_")))))</f>
        <v/>
      </c>
      <c r="H2714" s="23" t="str">
        <f t="shared" ca="1" si="299"/>
        <v/>
      </c>
      <c r="I2714" s="24" t="str">
        <f>IF(OR(E2714="",E2714="!!!",F2714="NEW"),"",INDEX(B$2:B2713,-1+SUMPRODUCT(MAX(ROW(E$2:E2713)*(E2714=E$2:E2713)))))</f>
        <v/>
      </c>
      <c r="J2714" s="24" t="str">
        <f ca="1">IF(OR(E2714="",E2714="!!!",F2714="NEW"),"",COUNTBLANK(OFFSET(A$1,,,SUMPRODUCT(MAX(ROW(E$2:E2714)*(E2714=E$2:E2714)))))-COUNTBLANK(OFFSET(A$1,,,SUMPRODUCT(MAX(ROW(E$1:E2713)*(E2=E$1:E2713))))))</f>
        <v/>
      </c>
      <c r="K2714" s="24" t="str">
        <f>IF(OR(E2714="",E2714="!!!",F2714="NEW"),"",INDEX(J$1:J2713,SUMPRODUCT(MAX(ROW(E$1:E2713)*(E2714=E$1:E2713)))))</f>
        <v/>
      </c>
      <c r="L2714" s="25"/>
    </row>
    <row r="2715" spans="1:12" x14ac:dyDescent="0.2">
      <c r="A2715" t="s">
        <v>809</v>
      </c>
      <c r="E2715" s="20" t="str">
        <f t="shared" si="298"/>
        <v/>
      </c>
      <c r="F2715" s="21" t="str">
        <f>IF(OR(E2715="",E2715="!!!"),"",IF(NOT(ISNA(VLOOKUP(E2715,E$1:E2714,1,FALSE()))),"OLD",IF(AND(E2715&lt;&gt;"",E2715&lt;&gt;"!!!"),"NEW","")))</f>
        <v/>
      </c>
      <c r="G2715" s="22" t="str">
        <f>IF(OR(E2715="",E2715="!!!"),"",IF(OR(J2715=0,AND(J2715=1,K2715=1),AND(J2715=1,I2715="SBJ"),AND(J2715=1,I2715=0)),"?IN_FOCUS",IF(J2715&lt;=2,"?ACTIVATED",IF(J2715&lt;&gt;"","?FAMILIAR",IF(F2715="NEW",IF(ISNA(VLOOKUP(E2715,#REF!,1,FALSE())),"?TYPE_IDENTIFIABLE","?REFERENTIAL"),"_")))))</f>
        <v/>
      </c>
      <c r="H2715" s="23" t="str">
        <f t="shared" ca="1" si="299"/>
        <v/>
      </c>
      <c r="I2715" s="24" t="str">
        <f>IF(OR(E2715="",E2715="!!!",F2715="NEW"),"",INDEX(B$2:B2714,-1+SUMPRODUCT(MAX(ROW(E$2:E2714)*(E2715=E$2:E2714)))))</f>
        <v/>
      </c>
      <c r="J2715" s="24" t="str">
        <f ca="1">IF(OR(E2715="",E2715="!!!",F2715="NEW"),"",COUNTBLANK(OFFSET(A$1,,,SUMPRODUCT(MAX(ROW(E$2:E2715)*(E2715=E$2:E2715)))))-COUNTBLANK(OFFSET(A$1,,,SUMPRODUCT(MAX(ROW(E$1:E2714)*(E2=E$1:E2714))))))</f>
        <v/>
      </c>
      <c r="K2715" s="24" t="str">
        <f>IF(OR(E2715="",E2715="!!!",F2715="NEW"),"",INDEX(J$1:J2714,SUMPRODUCT(MAX(ROW(E$1:E2714)*(E2715=E$1:E2714)))))</f>
        <v/>
      </c>
      <c r="L2715" s="25"/>
    </row>
    <row r="2716" spans="1:12" x14ac:dyDescent="0.2">
      <c r="A2716" t="s">
        <v>1231</v>
      </c>
      <c r="E2716" s="20" t="str">
        <f t="shared" si="298"/>
        <v/>
      </c>
      <c r="F2716" s="21" t="str">
        <f>IF(OR(E2716="",E2716="!!!"),"",IF(NOT(ISNA(VLOOKUP(E2716,E$1:E2715,1,FALSE()))),"OLD",IF(AND(E2716&lt;&gt;"",E2716&lt;&gt;"!!!"),"NEW","")))</f>
        <v/>
      </c>
      <c r="G2716" s="22" t="str">
        <f>IF(OR(E2716="",E2716="!!!"),"",IF(OR(J2716=0,AND(J2716=1,K2716=1),AND(J2716=1,I2716="SBJ"),AND(J2716=1,I2716=0)),"?IN_FOCUS",IF(J2716&lt;=2,"?ACTIVATED",IF(J2716&lt;&gt;"","?FAMILIAR",IF(F2716="NEW",IF(ISNA(VLOOKUP(E2716,#REF!,1,FALSE())),"?TYPE_IDENTIFIABLE","?REFERENTIAL"),"_")))))</f>
        <v/>
      </c>
      <c r="H2716" s="23" t="str">
        <f t="shared" ca="1" si="299"/>
        <v/>
      </c>
      <c r="I2716" s="24" t="str">
        <f>IF(OR(E2716="",E2716="!!!",F2716="NEW"),"",INDEX(B$2:B2715,-1+SUMPRODUCT(MAX(ROW(E$2:E2715)*(E2716=E$2:E2715)))))</f>
        <v/>
      </c>
      <c r="J2716" s="24" t="str">
        <f ca="1">IF(OR(E2716="",E2716="!!!",F2716="NEW"),"",COUNTBLANK(OFFSET(A$1,,,SUMPRODUCT(MAX(ROW(E$2:E2716)*(E2716=E$2:E2716)))))-COUNTBLANK(OFFSET(A$1,,,SUMPRODUCT(MAX(ROW(E$1:E2715)*(E2=E$1:E2715))))))</f>
        <v/>
      </c>
      <c r="K2716" s="24" t="str">
        <f>IF(OR(E2716="",E2716="!!!",F2716="NEW"),"",INDEX(J$1:J2715,SUMPRODUCT(MAX(ROW(E$1:E2715)*(E2716=E$1:E2715)))))</f>
        <v/>
      </c>
      <c r="L2716" s="25"/>
    </row>
    <row r="2717" spans="1:12" x14ac:dyDescent="0.2">
      <c r="A2717" t="s">
        <v>1591</v>
      </c>
      <c r="E2717" s="20" t="str">
        <f t="shared" si="298"/>
        <v/>
      </c>
      <c r="F2717" s="21" t="str">
        <f>IF(OR(E2717="",E2717="!!!"),"",IF(NOT(ISNA(VLOOKUP(E2717,E$1:E2716,1,FALSE()))),"OLD",IF(AND(E2717&lt;&gt;"",E2717&lt;&gt;"!!!"),"NEW","")))</f>
        <v/>
      </c>
      <c r="G2717" s="22" t="str">
        <f>IF(OR(E2717="",E2717="!!!"),"",IF(OR(J2717=0,AND(J2717=1,K2717=1),AND(J2717=1,I2717="SBJ"),AND(J2717=1,I2717=0)),"?IN_FOCUS",IF(J2717&lt;=2,"?ACTIVATED",IF(J2717&lt;&gt;"","?FAMILIAR",IF(F2717="NEW",IF(ISNA(VLOOKUP(E2717,#REF!,1,FALSE())),"?TYPE_IDENTIFIABLE","?REFERENTIAL"),"_")))))</f>
        <v/>
      </c>
      <c r="H2717" s="23" t="str">
        <f t="shared" ca="1" si="299"/>
        <v/>
      </c>
      <c r="I2717" s="24" t="str">
        <f>IF(OR(E2717="",E2717="!!!",F2717="NEW"),"",INDEX(B$2:B2716,-1+SUMPRODUCT(MAX(ROW(E$2:E2716)*(E2717=E$2:E2716)))))</f>
        <v/>
      </c>
      <c r="J2717" s="24" t="str">
        <f ca="1">IF(OR(E2717="",E2717="!!!",F2717="NEW"),"",COUNTBLANK(OFFSET(A$1,,,SUMPRODUCT(MAX(ROW(E$2:E2717)*(E2717=E$2:E2717)))))-COUNTBLANK(OFFSET(A$1,,,SUMPRODUCT(MAX(ROW(E$1:E2716)*(E2=E$1:E2716))))))</f>
        <v/>
      </c>
      <c r="K2717" s="24" t="str">
        <f>IF(OR(E2717="",E2717="!!!",F2717="NEW"),"",INDEX(J$1:J2716,SUMPRODUCT(MAX(ROW(E$1:E2716)*(E2717=E$1:E2716)))))</f>
        <v/>
      </c>
      <c r="L2717" s="25"/>
    </row>
    <row r="2718" spans="1:12" x14ac:dyDescent="0.2">
      <c r="A2718" t="s">
        <v>1390</v>
      </c>
      <c r="B2718" s="26" t="s">
        <v>891</v>
      </c>
      <c r="C2718" s="26" t="s">
        <v>811</v>
      </c>
      <c r="E2718" s="20" t="str">
        <f t="shared" si="298"/>
        <v/>
      </c>
      <c r="F2718" s="21" t="str">
        <f>IF(OR(E2718="",E2718="!!!"),"",IF(NOT(ISNA(VLOOKUP(E2718,E$1:E2717,1,FALSE()))),"OLD",IF(AND(E2718&lt;&gt;"",E2718&lt;&gt;"!!!"),"NEW","")))</f>
        <v/>
      </c>
      <c r="G2718" s="22" t="str">
        <f>IF(OR(E2718="",E2718="!!!"),"",IF(OR(J2718=0,AND(J2718=1,K2718=1),AND(J2718=1,I2718="SBJ"),AND(J2718=1,I2718=0)),"?IN_FOCUS",IF(J2718&lt;=2,"?ACTIVATED",IF(J2718&lt;&gt;"","?FAMILIAR",IF(F2718="NEW",IF(ISNA(VLOOKUP(E2718,#REF!,1,FALSE())),"?TYPE_IDENTIFIABLE","?REFERENTIAL"),"_")))))</f>
        <v/>
      </c>
      <c r="H2718" s="23" t="str">
        <f t="shared" ca="1" si="299"/>
        <v/>
      </c>
      <c r="I2718" s="24" t="str">
        <f>IF(OR(E2718="",E2718="!!!",F2718="NEW"),"",INDEX(B$2:B2717,-1+SUMPRODUCT(MAX(ROW(E$2:E2717)*(E2718=E$2:E2717)))))</f>
        <v/>
      </c>
      <c r="J2718" s="24" t="str">
        <f ca="1">IF(OR(E2718="",E2718="!!!",F2718="NEW"),"",COUNTBLANK(OFFSET(A$1,,,SUMPRODUCT(MAX(ROW(E$2:E2718)*(E2718=E$2:E2718)))))-COUNTBLANK(OFFSET(A$1,,,SUMPRODUCT(MAX(ROW(E$1:E2717)*(E2=E$1:E2717))))))</f>
        <v/>
      </c>
      <c r="K2718" s="24" t="str">
        <f>IF(OR(E2718="",E2718="!!!",F2718="NEW"),"",INDEX(J$1:J2717,SUMPRODUCT(MAX(ROW(E$1:E2717)*(E2718=E$1:E2717)))))</f>
        <v/>
      </c>
      <c r="L2718" s="25"/>
    </row>
    <row r="2719" spans="1:12" x14ac:dyDescent="0.2">
      <c r="A2719" t="s">
        <v>16</v>
      </c>
      <c r="E2719" s="20" t="str">
        <f t="shared" si="298"/>
        <v/>
      </c>
      <c r="F2719" s="21" t="str">
        <f>IF(OR(E2719="",E2719="!!!"),"",IF(NOT(ISNA(VLOOKUP(E2719,E$1:E2718,1,FALSE()))),"OLD",IF(AND(E2719&lt;&gt;"",E2719&lt;&gt;"!!!"),"NEW","")))</f>
        <v/>
      </c>
      <c r="G2719" s="22" t="str">
        <f>IF(OR(E2719="",E2719="!!!"),"",IF(OR(J2719=0,AND(J2719=1,K2719=1),AND(J2719=1,I2719="SBJ"),AND(J2719=1,I2719=0)),"?IN_FOCUS",IF(J2719&lt;=2,"?ACTIVATED",IF(J2719&lt;&gt;"","?FAMILIAR",IF(F2719="NEW",IF(ISNA(VLOOKUP(E2719,#REF!,1,FALSE())),"?TYPE_IDENTIFIABLE","?REFERENTIAL"),"_")))))</f>
        <v/>
      </c>
      <c r="H2719" s="23" t="str">
        <f t="shared" ca="1" si="299"/>
        <v/>
      </c>
      <c r="I2719" s="24" t="str">
        <f>IF(OR(E2719="",E2719="!!!",F2719="NEW"),"",INDEX(B$2:B2718,-1+SUMPRODUCT(MAX(ROW(E$2:E2718)*(E2719=E$2:E2718)))))</f>
        <v/>
      </c>
      <c r="J2719" s="24" t="str">
        <f ca="1">IF(OR(E2719="",E2719="!!!",F2719="NEW"),"",COUNTBLANK(OFFSET(A$1,,,SUMPRODUCT(MAX(ROW(E$2:E2719)*(E2719=E$2:E2719)))))-COUNTBLANK(OFFSET(A$1,,,SUMPRODUCT(MAX(ROW(E$1:E2718)*(E2=E$1:E2718))))))</f>
        <v/>
      </c>
      <c r="K2719" s="24" t="str">
        <f>IF(OR(E2719="",E2719="!!!",F2719="NEW"),"",INDEX(J$1:J2718,SUMPRODUCT(MAX(ROW(E$1:E2718)*(E2719=E$1:E2718)))))</f>
        <v/>
      </c>
      <c r="L2719" s="25"/>
    </row>
    <row r="2720" spans="1:12" x14ac:dyDescent="0.2">
      <c r="A2720" t="s">
        <v>888</v>
      </c>
      <c r="E2720" s="20" t="str">
        <f t="shared" si="298"/>
        <v/>
      </c>
      <c r="F2720" s="21" t="str">
        <f>IF(OR(E2720="",E2720="!!!"),"",IF(NOT(ISNA(VLOOKUP(E2720,E$1:E2719,1,FALSE()))),"OLD",IF(AND(E2720&lt;&gt;"",E2720&lt;&gt;"!!!"),"NEW","")))</f>
        <v/>
      </c>
      <c r="G2720" s="22" t="str">
        <f>IF(OR(E2720="",E2720="!!!"),"",IF(OR(J2720=0,AND(J2720=1,K2720=1),AND(J2720=1,I2720="SBJ"),AND(J2720=1,I2720=0)),"?IN_FOCUS",IF(J2720&lt;=2,"?ACTIVATED",IF(J2720&lt;&gt;"","?FAMILIAR",IF(F2720="NEW",IF(ISNA(VLOOKUP(E2720,#REF!,1,FALSE())),"?TYPE_IDENTIFIABLE","?REFERENTIAL"),"_")))))</f>
        <v/>
      </c>
      <c r="H2720" s="23" t="str">
        <f t="shared" ca="1" si="299"/>
        <v/>
      </c>
      <c r="I2720" s="24" t="str">
        <f>IF(OR(E2720="",E2720="!!!",F2720="NEW"),"",INDEX(B$2:B2719,-1+SUMPRODUCT(MAX(ROW(E$2:E2719)*(E2720=E$2:E2719)))))</f>
        <v/>
      </c>
      <c r="J2720" s="24" t="str">
        <f ca="1">IF(OR(E2720="",E2720="!!!",F2720="NEW"),"",COUNTBLANK(OFFSET(A$1,,,SUMPRODUCT(MAX(ROW(E$2:E2720)*(E2720=E$2:E2720)))))-COUNTBLANK(OFFSET(A$1,,,SUMPRODUCT(MAX(ROW(E$1:E2719)*(E2=E$1:E2719))))))</f>
        <v/>
      </c>
      <c r="K2720" s="24" t="str">
        <f>IF(OR(E2720="",E2720="!!!",F2720="NEW"),"",INDEX(J$1:J2719,SUMPRODUCT(MAX(ROW(E$1:E2719)*(E2720=E$1:E2719)))))</f>
        <v/>
      </c>
      <c r="L2720" s="25"/>
    </row>
    <row r="2721" spans="1:12" x14ac:dyDescent="0.2">
      <c r="A2721" t="s">
        <v>1031</v>
      </c>
      <c r="E2721" s="20" t="str">
        <f t="shared" si="298"/>
        <v/>
      </c>
      <c r="F2721" s="21" t="str">
        <f>IF(OR(E2721="",E2721="!!!"),"",IF(NOT(ISNA(VLOOKUP(E2721,E$1:E2720,1,FALSE()))),"OLD",IF(AND(E2721&lt;&gt;"",E2721&lt;&gt;"!!!"),"NEW","")))</f>
        <v/>
      </c>
      <c r="G2721" s="22" t="str">
        <f>IF(OR(E2721="",E2721="!!!"),"",IF(OR(J2721=0,AND(J2721=1,K2721=1),AND(J2721=1,I2721="SBJ"),AND(J2721=1,I2721=0)),"?IN_FOCUS",IF(J2721&lt;=2,"?ACTIVATED",IF(J2721&lt;&gt;"","?FAMILIAR",IF(F2721="NEW",IF(ISNA(VLOOKUP(E2721,#REF!,1,FALSE())),"?TYPE_IDENTIFIABLE","?REFERENTIAL"),"_")))))</f>
        <v/>
      </c>
      <c r="H2721" s="23" t="str">
        <f t="shared" ca="1" si="299"/>
        <v/>
      </c>
      <c r="I2721" s="24" t="str">
        <f>IF(OR(E2721="",E2721="!!!",F2721="NEW"),"",INDEX(B$2:B2720,-1+SUMPRODUCT(MAX(ROW(E$2:E2720)*(E2721=E$2:E2720)))))</f>
        <v/>
      </c>
      <c r="J2721" s="24" t="str">
        <f ca="1">IF(OR(E2721="",E2721="!!!",F2721="NEW"),"",COUNTBLANK(OFFSET(A$1,,,SUMPRODUCT(MAX(ROW(E$2:E2721)*(E2721=E$2:E2721)))))-COUNTBLANK(OFFSET(A$1,,,SUMPRODUCT(MAX(ROW(E$1:E2720)*(E2=E$1:E2720))))))</f>
        <v/>
      </c>
      <c r="K2721" s="24" t="str">
        <f>IF(OR(E2721="",E2721="!!!",F2721="NEW"),"",INDEX(J$1:J2720,SUMPRODUCT(MAX(ROW(E$1:E2720)*(E2721=E$1:E2720)))))</f>
        <v/>
      </c>
      <c r="L2721" s="25"/>
    </row>
    <row r="2722" spans="1:12" x14ac:dyDescent="0.2">
      <c r="A2722" t="s">
        <v>1014</v>
      </c>
      <c r="E2722" s="20" t="str">
        <f t="shared" si="298"/>
        <v/>
      </c>
      <c r="F2722" s="21" t="str">
        <f>IF(OR(E2722="",E2722="!!!"),"",IF(NOT(ISNA(VLOOKUP(E2722,E$1:E2721,1,FALSE()))),"OLD",IF(AND(E2722&lt;&gt;"",E2722&lt;&gt;"!!!"),"NEW","")))</f>
        <v/>
      </c>
      <c r="G2722" s="22" t="str">
        <f>IF(OR(E2722="",E2722="!!!"),"",IF(OR(J2722=0,AND(J2722=1,K2722=1),AND(J2722=1,I2722="SBJ"),AND(J2722=1,I2722=0)),"?IN_FOCUS",IF(J2722&lt;=2,"?ACTIVATED",IF(J2722&lt;&gt;"","?FAMILIAR",IF(F2722="NEW",IF(ISNA(VLOOKUP(E2722,#REF!,1,FALSE())),"?TYPE_IDENTIFIABLE","?REFERENTIAL"),"_")))))</f>
        <v/>
      </c>
      <c r="H2722" s="23" t="str">
        <f t="shared" ca="1" si="299"/>
        <v/>
      </c>
      <c r="I2722" s="24" t="str">
        <f>IF(OR(E2722="",E2722="!!!",F2722="NEW"),"",INDEX(B$2:B2721,-1+SUMPRODUCT(MAX(ROW(E$2:E2721)*(E2722=E$2:E2721)))))</f>
        <v/>
      </c>
      <c r="J2722" s="24" t="str">
        <f ca="1">IF(OR(E2722="",E2722="!!!",F2722="NEW"),"",COUNTBLANK(OFFSET(A$1,,,SUMPRODUCT(MAX(ROW(E$2:E2722)*(E2722=E$2:E2722)))))-COUNTBLANK(OFFSET(A$1,,,SUMPRODUCT(MAX(ROW(E$1:E2721)*(E2=E$1:E2721))))))</f>
        <v/>
      </c>
      <c r="K2722" s="24" t="str">
        <f>IF(OR(E2722="",E2722="!!!",F2722="NEW"),"",INDEX(J$1:J2721,SUMPRODUCT(MAX(ROW(E$1:E2721)*(E2722=E$1:E2721)))))</f>
        <v/>
      </c>
      <c r="L2722" s="25"/>
    </row>
    <row r="2723" spans="1:12" x14ac:dyDescent="0.2">
      <c r="A2723" t="s">
        <v>878</v>
      </c>
      <c r="E2723" s="20" t="str">
        <f t="shared" si="298"/>
        <v/>
      </c>
      <c r="F2723" s="21" t="str">
        <f>IF(OR(E2723="",E2723="!!!"),"",IF(NOT(ISNA(VLOOKUP(E2723,E$1:E2722,1,FALSE()))),"OLD",IF(AND(E2723&lt;&gt;"",E2723&lt;&gt;"!!!"),"NEW","")))</f>
        <v/>
      </c>
      <c r="G2723" s="22" t="str">
        <f>IF(OR(E2723="",E2723="!!!"),"",IF(OR(J2723=0,AND(J2723=1,K2723=1),AND(J2723=1,I2723="SBJ"),AND(J2723=1,I2723=0)),"?IN_FOCUS",IF(J2723&lt;=2,"?ACTIVATED",IF(J2723&lt;&gt;"","?FAMILIAR",IF(F2723="NEW",IF(ISNA(VLOOKUP(E2723,#REF!,1,FALSE())),"?TYPE_IDENTIFIABLE","?REFERENTIAL"),"_")))))</f>
        <v/>
      </c>
      <c r="H2723" s="23" t="str">
        <f t="shared" ca="1" si="299"/>
        <v/>
      </c>
      <c r="I2723" s="24" t="str">
        <f>IF(OR(E2723="",E2723="!!!",F2723="NEW"),"",INDEX(B$2:B2722,-1+SUMPRODUCT(MAX(ROW(E$2:E2722)*(E2723=E$2:E2722)))))</f>
        <v/>
      </c>
      <c r="J2723" s="24" t="str">
        <f ca="1">IF(OR(E2723="",E2723="!!!",F2723="NEW"),"",COUNTBLANK(OFFSET(A$1,,,SUMPRODUCT(MAX(ROW(E$2:E2723)*(E2723=E$2:E2723)))))-COUNTBLANK(OFFSET(A$1,,,SUMPRODUCT(MAX(ROW(E$1:E2722)*(E2=E$1:E2722))))))</f>
        <v/>
      </c>
      <c r="K2723" s="24" t="str">
        <f>IF(OR(E2723="",E2723="!!!",F2723="NEW"),"",INDEX(J$1:J2722,SUMPRODUCT(MAX(ROW(E$1:E2722)*(E2723=E$1:E2722)))))</f>
        <v/>
      </c>
      <c r="L2723" s="25"/>
    </row>
    <row r="2724" spans="1:12" x14ac:dyDescent="0.2">
      <c r="A2724" t="s">
        <v>1485</v>
      </c>
      <c r="E2724" s="20" t="str">
        <f t="shared" si="298"/>
        <v/>
      </c>
      <c r="F2724" s="21" t="str">
        <f>IF(OR(E2724="",E2724="!!!"),"",IF(NOT(ISNA(VLOOKUP(E2724,E$1:E2723,1,FALSE()))),"OLD",IF(AND(E2724&lt;&gt;"",E2724&lt;&gt;"!!!"),"NEW","")))</f>
        <v/>
      </c>
      <c r="G2724" s="22" t="str">
        <f>IF(OR(E2724="",E2724="!!!"),"",IF(OR(J2724=0,AND(J2724=1,K2724=1),AND(J2724=1,I2724="SBJ"),AND(J2724=1,I2724=0)),"?IN_FOCUS",IF(J2724&lt;=2,"?ACTIVATED",IF(J2724&lt;&gt;"","?FAMILIAR",IF(F2724="NEW",IF(ISNA(VLOOKUP(E2724,#REF!,1,FALSE())),"?TYPE_IDENTIFIABLE","?REFERENTIAL"),"_")))))</f>
        <v/>
      </c>
      <c r="H2724" s="23" t="str">
        <f t="shared" ca="1" si="299"/>
        <v/>
      </c>
      <c r="I2724" s="24" t="str">
        <f>IF(OR(E2724="",E2724="!!!",F2724="NEW"),"",INDEX(B$2:B2723,-1+SUMPRODUCT(MAX(ROW(E$2:E2723)*(E2724=E$2:E2723)))))</f>
        <v/>
      </c>
      <c r="J2724" s="24" t="str">
        <f ca="1">IF(OR(E2724="",E2724="!!!",F2724="NEW"),"",COUNTBLANK(OFFSET(A$1,,,SUMPRODUCT(MAX(ROW(E$2:E2724)*(E2724=E$2:E2724)))))-COUNTBLANK(OFFSET(A$1,,,SUMPRODUCT(MAX(ROW(E$1:E2723)*(E2=E$1:E2723))))))</f>
        <v/>
      </c>
      <c r="K2724" s="24" t="str">
        <f>IF(OR(E2724="",E2724="!!!",F2724="NEW"),"",INDEX(J$1:J2723,SUMPRODUCT(MAX(ROW(E$1:E2723)*(E2724=E$1:E2723)))))</f>
        <v/>
      </c>
      <c r="L2724" s="25"/>
    </row>
    <row r="2725" spans="1:12" x14ac:dyDescent="0.2">
      <c r="A2725" t="s">
        <v>30</v>
      </c>
      <c r="B2725" s="26" t="s">
        <v>899</v>
      </c>
      <c r="C2725" s="26" t="s">
        <v>877</v>
      </c>
      <c r="D2725" s="26" t="s">
        <v>806</v>
      </c>
      <c r="E2725" s="20" t="s">
        <v>1790</v>
      </c>
      <c r="F2725" s="21" t="str">
        <f>IF(OR(E2725="",E2725="!!!"),"",IF(NOT(ISNA(VLOOKUP(E2725,E$1:E2724,1,FALSE()))),"OLD",IF(AND(E2725&lt;&gt;"",E2725&lt;&gt;"!!!"),"NEW","")))</f>
        <v>OLD</v>
      </c>
      <c r="G2725" s="22" t="s">
        <v>1822</v>
      </c>
      <c r="H2725" s="23" t="str">
        <f t="shared" ca="1" si="299"/>
        <v/>
      </c>
      <c r="I2725" s="24" t="str">
        <f>IF(OR(E2725="",E2725="!!!",F2725="NEW"),"",INDEX(B$2:B2724,-1+SUMPRODUCT(MAX(ROW(E$2:E2724)*(E2725=E$2:E2724)))))</f>
        <v>OBJ_2</v>
      </c>
      <c r="J2725" s="24">
        <f ca="1">IF(OR(E2725="",E2725="!!!",F2725="NEW"),"",COUNTBLANK(OFFSET(A$1,,,SUMPRODUCT(MAX(ROW(E$2:E2725)*(E2725=E$2:E2725)))))-COUNTBLANK(OFFSET(A$1,,,SUMPRODUCT(MAX(ROW(E$1:E2724)*(E2=E$1:E2724))))))</f>
        <v>0</v>
      </c>
      <c r="K2725" s="24">
        <f ca="1">IF(OR(E2725="",E2725="!!!",F2725="NEW"),"",INDEX(J$1:J2724,SUMPRODUCT(MAX(ROW(E$1:E2724)*(E2725=E$1:E2724)))))</f>
        <v>0</v>
      </c>
      <c r="L2725" s="25"/>
    </row>
    <row r="2726" spans="1:12" x14ac:dyDescent="0.2">
      <c r="A2726" t="s">
        <v>802</v>
      </c>
      <c r="E2726" s="20" t="str">
        <f t="shared" si="298"/>
        <v/>
      </c>
      <c r="F2726" s="21" t="str">
        <f>IF(OR(E2726="",E2726="!!!"),"",IF(NOT(ISNA(VLOOKUP(E2726,E$1:E2725,1,FALSE()))),"OLD",IF(AND(E2726&lt;&gt;"",E2726&lt;&gt;"!!!"),"NEW","")))</f>
        <v/>
      </c>
      <c r="G2726" s="22" t="str">
        <f>IF(OR(E2726="",E2726="!!!"),"",IF(OR(J2726=0,AND(J2726=1,K2726=1),AND(J2726=1,I2726="SBJ"),AND(J2726=1,I2726=0)),"?IN_FOCUS",IF(J2726&lt;=2,"?ACTIVATED",IF(J2726&lt;&gt;"","?FAMILIAR",IF(F2726="NEW",IF(ISNA(VLOOKUP(E2726,#REF!,1,FALSE())),"?TYPE_IDENTIFIABLE","?REFERENTIAL"),"_")))))</f>
        <v/>
      </c>
      <c r="H2726" s="23" t="str">
        <f t="shared" ca="1" si="299"/>
        <v/>
      </c>
      <c r="I2726" s="24" t="str">
        <f>IF(OR(E2726="",E2726="!!!",F2726="NEW"),"",INDEX(B$2:B2725,-1+SUMPRODUCT(MAX(ROW(E$2:E2725)*(E2726=E$2:E2725)))))</f>
        <v/>
      </c>
      <c r="J2726" s="24" t="str">
        <f ca="1">IF(OR(E2726="",E2726="!!!",F2726="NEW"),"",COUNTBLANK(OFFSET(A$1,,,SUMPRODUCT(MAX(ROW(E$2:E2726)*(E2726=E$2:E2726)))))-COUNTBLANK(OFFSET(A$1,,,SUMPRODUCT(MAX(ROW(E$1:E2725)*(E2=E$1:E2725))))))</f>
        <v/>
      </c>
      <c r="K2726" s="24" t="str">
        <f>IF(OR(E2726="",E2726="!!!",F2726="NEW"),"",INDEX(J$1:J2725,SUMPRODUCT(MAX(ROW(E$1:E2725)*(E2726=E$1:E2725)))))</f>
        <v/>
      </c>
      <c r="L2726" s="25"/>
    </row>
    <row r="2727" spans="1:12" x14ac:dyDescent="0.2">
      <c r="A2727" t="s">
        <v>1188</v>
      </c>
      <c r="E2727" s="20" t="str">
        <f t="shared" si="298"/>
        <v/>
      </c>
      <c r="F2727" s="21" t="str">
        <f>IF(OR(E2727="",E2727="!!!"),"",IF(NOT(ISNA(VLOOKUP(E2727,E$1:E2726,1,FALSE()))),"OLD",IF(AND(E2727&lt;&gt;"",E2727&lt;&gt;"!!!"),"NEW","")))</f>
        <v/>
      </c>
      <c r="G2727" s="22" t="str">
        <f>IF(OR(E2727="",E2727="!!!"),"",IF(OR(J2727=0,AND(J2727=1,K2727=1),AND(J2727=1,I2727="SBJ"),AND(J2727=1,I2727=0)),"?IN_FOCUS",IF(J2727&lt;=2,"?ACTIVATED",IF(J2727&lt;&gt;"","?FAMILIAR",IF(F2727="NEW",IF(ISNA(VLOOKUP(E2727,#REF!,1,FALSE())),"?TYPE_IDENTIFIABLE","?REFERENTIAL"),"_")))))</f>
        <v/>
      </c>
      <c r="H2727" s="23" t="str">
        <f t="shared" ca="1" si="299"/>
        <v/>
      </c>
      <c r="I2727" s="24" t="str">
        <f>IF(OR(E2727="",E2727="!!!",F2727="NEW"),"",INDEX(B$2:B2726,-1+SUMPRODUCT(MAX(ROW(E$2:E2726)*(E2727=E$2:E2726)))))</f>
        <v/>
      </c>
      <c r="J2727" s="24" t="str">
        <f ca="1">IF(OR(E2727="",E2727="!!!",F2727="NEW"),"",COUNTBLANK(OFFSET(A$1,,,SUMPRODUCT(MAX(ROW(E$2:E2727)*(E2727=E$2:E2727)))))-COUNTBLANK(OFFSET(A$1,,,SUMPRODUCT(MAX(ROW(E$1:E2726)*(E2=E$1:E2726))))))</f>
        <v/>
      </c>
      <c r="K2727" s="24" t="str">
        <f>IF(OR(E2727="",E2727="!!!",F2727="NEW"),"",INDEX(J$1:J2726,SUMPRODUCT(MAX(ROW(E$1:E2726)*(E2727=E$1:E2726)))))</f>
        <v/>
      </c>
      <c r="L2727" s="25"/>
    </row>
    <row r="2728" spans="1:12" x14ac:dyDescent="0.2">
      <c r="A2728" t="s">
        <v>878</v>
      </c>
      <c r="E2728" s="20" t="str">
        <f t="shared" si="298"/>
        <v/>
      </c>
      <c r="F2728" s="21" t="str">
        <f>IF(OR(E2728="",E2728="!!!"),"",IF(NOT(ISNA(VLOOKUP(E2728,E$1:E2727,1,FALSE()))),"OLD",IF(AND(E2728&lt;&gt;"",E2728&lt;&gt;"!!!"),"NEW","")))</f>
        <v/>
      </c>
      <c r="G2728" s="22" t="str">
        <f>IF(OR(E2728="",E2728="!!!"),"",IF(OR(J2728=0,AND(J2728=1,K2728=1),AND(J2728=1,I2728="SBJ"),AND(J2728=1,I2728=0)),"?IN_FOCUS",IF(J2728&lt;=2,"?ACTIVATED",IF(J2728&lt;&gt;"","?FAMILIAR",IF(F2728="NEW",IF(ISNA(VLOOKUP(E2728,#REF!,1,FALSE())),"?TYPE_IDENTIFIABLE","?REFERENTIAL"),"_")))))</f>
        <v/>
      </c>
      <c r="H2728" s="23" t="str">
        <f t="shared" ca="1" si="299"/>
        <v/>
      </c>
      <c r="I2728" s="24" t="str">
        <f>IF(OR(E2728="",E2728="!!!",F2728="NEW"),"",INDEX(B$2:B2727,-1+SUMPRODUCT(MAX(ROW(E$2:E2727)*(E2728=E$2:E2727)))))</f>
        <v/>
      </c>
      <c r="J2728" s="24" t="str">
        <f ca="1">IF(OR(E2728="",E2728="!!!",F2728="NEW"),"",COUNTBLANK(OFFSET(A$1,,,SUMPRODUCT(MAX(ROW(E$2:E2728)*(E2728=E$2:E2728)))))-COUNTBLANK(OFFSET(A$1,,,SUMPRODUCT(MAX(ROW(E$1:E2727)*(E2=E$1:E2727))))))</f>
        <v/>
      </c>
      <c r="K2728" s="24" t="str">
        <f>IF(OR(E2728="",E2728="!!!",F2728="NEW"),"",INDEX(J$1:J2727,SUMPRODUCT(MAX(ROW(E$1:E2727)*(E2728=E$1:E2727)))))</f>
        <v/>
      </c>
      <c r="L2728" s="25"/>
    </row>
    <row r="2729" spans="1:12" x14ac:dyDescent="0.2">
      <c r="A2729" t="s">
        <v>866</v>
      </c>
      <c r="B2729" s="26" t="s">
        <v>899</v>
      </c>
      <c r="C2729" s="26" t="s">
        <v>805</v>
      </c>
      <c r="D2729" s="26" t="s">
        <v>806</v>
      </c>
      <c r="E2729" s="20" t="s">
        <v>1761</v>
      </c>
      <c r="F2729" s="21" t="s">
        <v>1753</v>
      </c>
      <c r="G2729" s="22" t="s">
        <v>1822</v>
      </c>
      <c r="H2729" s="23" t="str">
        <f t="shared" ca="1" si="299"/>
        <v/>
      </c>
      <c r="I2729" s="24" t="str">
        <f>IF(OR(E2729="",E2729="!!!",F2729="NEW"),"",INDEX(B$2:B2728,-1+SUMPRODUCT(MAX(ROW(E$2:E2728)*(E2729=E$2:E2728)))))</f>
        <v>SBJ_4</v>
      </c>
      <c r="J2729" s="24">
        <f ca="1">IF(OR(E2729="",E2729="!!!",F2729="NEW"),"",COUNTBLANK(OFFSET(A$1,,,SUMPRODUCT(MAX(ROW(E$2:E2729)*(E2729=E$2:E2729)))))-COUNTBLANK(OFFSET(A$1,,,SUMPRODUCT(MAX(ROW(E$1:E2728)*(E2=E$1:E2728))))))</f>
        <v>0</v>
      </c>
      <c r="K2729" s="24">
        <f ca="1">IF(OR(E2729="",E2729="!!!",F2729="NEW"),"",INDEX(J$1:J2728,SUMPRODUCT(MAX(ROW(E$1:E2728)*(E2729=E$1:E2728)))))</f>
        <v>0</v>
      </c>
      <c r="L2729" s="25"/>
    </row>
    <row r="2730" spans="1:12" x14ac:dyDescent="0.2">
      <c r="A2730" t="s">
        <v>888</v>
      </c>
      <c r="E2730" s="20" t="str">
        <f t="shared" si="298"/>
        <v/>
      </c>
      <c r="F2730" s="21" t="str">
        <f>IF(OR(E2730="",E2730="!!!"),"",IF(NOT(ISNA(VLOOKUP(E2730,E$1:E2729,1,FALSE()))),"OLD",IF(AND(E2730&lt;&gt;"",E2730&lt;&gt;"!!!"),"NEW","")))</f>
        <v/>
      </c>
      <c r="G2730" s="22" t="str">
        <f>IF(OR(E2730="",E2730="!!!"),"",IF(OR(J2730=0,AND(J2730=1,K2730=1),AND(J2730=1,I2730="SBJ"),AND(J2730=1,I2730=0)),"?IN_FOCUS",IF(J2730&lt;=2,"?ACTIVATED",IF(J2730&lt;&gt;"","?FAMILIAR",IF(F2730="NEW",IF(ISNA(VLOOKUP(E2730,#REF!,1,FALSE())),"?TYPE_IDENTIFIABLE","?REFERENTIAL"),"_")))))</f>
        <v/>
      </c>
      <c r="H2730" s="23" t="str">
        <f t="shared" ca="1" si="299"/>
        <v/>
      </c>
      <c r="I2730" s="24" t="str">
        <f>IF(OR(E2730="",E2730="!!!",F2730="NEW"),"",INDEX(B$2:B2729,-1+SUMPRODUCT(MAX(ROW(E$2:E2729)*(E2730=E$2:E2729)))))</f>
        <v/>
      </c>
      <c r="J2730" s="24" t="str">
        <f ca="1">IF(OR(E2730="",E2730="!!!",F2730="NEW"),"",COUNTBLANK(OFFSET(A$1,,,SUMPRODUCT(MAX(ROW(E$2:E2730)*(E2730=E$2:E2730)))))-COUNTBLANK(OFFSET(A$1,,,SUMPRODUCT(MAX(ROW(E$1:E2729)*(E2=E$1:E2729))))))</f>
        <v/>
      </c>
      <c r="K2730" s="24" t="str">
        <f>IF(OR(E2730="",E2730="!!!",F2730="NEW"),"",INDEX(J$1:J2729,SUMPRODUCT(MAX(ROW(E$1:E2729)*(E2730=E$1:E2729)))))</f>
        <v/>
      </c>
      <c r="L2730" s="25"/>
    </row>
    <row r="2731" spans="1:12" x14ac:dyDescent="0.2">
      <c r="A2731" t="s">
        <v>1085</v>
      </c>
      <c r="B2731" s="26" t="s">
        <v>897</v>
      </c>
      <c r="C2731" s="26" t="s">
        <v>805</v>
      </c>
      <c r="D2731" s="26" t="s">
        <v>806</v>
      </c>
      <c r="E2731" s="20" t="s">
        <v>1747</v>
      </c>
      <c r="F2731" s="21" t="s">
        <v>1753</v>
      </c>
      <c r="G2731" s="22" t="s">
        <v>1823</v>
      </c>
      <c r="H2731" s="23" t="str">
        <f t="shared" ca="1" si="299"/>
        <v/>
      </c>
      <c r="I2731" s="24" t="str">
        <f>IF(OR(E2731="",E2731="!!!",F2731="NEW"),"",INDEX(B$2:B2730,-1+SUMPRODUCT(MAX(ROW(E$2:E2730)*(E2731=E$2:E2730)))))</f>
        <v>SBJ</v>
      </c>
      <c r="J2731" s="24">
        <f ca="1">IF(OR(E2731="",E2731="!!!",F2731="NEW"),"",COUNTBLANK(OFFSET(A$1,,,SUMPRODUCT(MAX(ROW(E$2:E2731)*(E2731=E$2:E2731)))))-COUNTBLANK(OFFSET(A$1,,,SUMPRODUCT(MAX(ROW(E$1:E2730)*(E2=E$1:E2730))))))</f>
        <v>0</v>
      </c>
      <c r="K2731" s="24">
        <f ca="1">IF(OR(E2731="",E2731="!!!",F2731="NEW"),"",INDEX(J$1:J2730,SUMPRODUCT(MAX(ROW(E$1:E2730)*(E2731=E$1:E2730)))))</f>
        <v>0</v>
      </c>
      <c r="L2731" s="25"/>
    </row>
    <row r="2732" spans="1:12" x14ac:dyDescent="0.2">
      <c r="A2732" t="s">
        <v>1417</v>
      </c>
      <c r="E2732" s="20" t="str">
        <f t="shared" si="298"/>
        <v/>
      </c>
      <c r="F2732" s="21" t="str">
        <f>IF(OR(E2732="",E2732="!!!"),"",IF(NOT(ISNA(VLOOKUP(E2732,E$1:E2731,1,FALSE()))),"OLD",IF(AND(E2732&lt;&gt;"",E2732&lt;&gt;"!!!"),"NEW","")))</f>
        <v/>
      </c>
      <c r="G2732" s="22" t="str">
        <f>IF(OR(E2732="",E2732="!!!"),"",IF(OR(J2732=0,AND(J2732=1,K2732=1),AND(J2732=1,I2732="SBJ"),AND(J2732=1,I2732=0)),"?IN_FOCUS",IF(J2732&lt;=2,"?ACTIVATED",IF(J2732&lt;&gt;"","?FAMILIAR",IF(F2732="NEW",IF(ISNA(VLOOKUP(E2732,#REF!,1,FALSE())),"?TYPE_IDENTIFIABLE","?REFERENTIAL"),"_")))))</f>
        <v/>
      </c>
      <c r="H2732" s="23" t="str">
        <f t="shared" ca="1" si="299"/>
        <v/>
      </c>
      <c r="I2732" s="24" t="str">
        <f>IF(OR(E2732="",E2732="!!!",F2732="NEW"),"",INDEX(B$2:B2731,-1+SUMPRODUCT(MAX(ROW(E$2:E2731)*(E2732=E$2:E2731)))))</f>
        <v/>
      </c>
      <c r="J2732" s="24" t="str">
        <f ca="1">IF(OR(E2732="",E2732="!!!",F2732="NEW"),"",COUNTBLANK(OFFSET(A$1,,,SUMPRODUCT(MAX(ROW(E$2:E2732)*(E2732=E$2:E2732)))))-COUNTBLANK(OFFSET(A$1,,,SUMPRODUCT(MAX(ROW(E$1:E2731)*(E2=E$1:E2731))))))</f>
        <v/>
      </c>
      <c r="K2732" s="24" t="str">
        <f>IF(OR(E2732="",E2732="!!!",F2732="NEW"),"",INDEX(J$1:J2731,SUMPRODUCT(MAX(ROW(E$1:E2731)*(E2732=E$1:E2731)))))</f>
        <v/>
      </c>
      <c r="L2732" s="25"/>
    </row>
    <row r="2733" spans="1:12" x14ac:dyDescent="0.2">
      <c r="A2733" t="s">
        <v>1592</v>
      </c>
      <c r="E2733" s="20" t="str">
        <f t="shared" si="298"/>
        <v/>
      </c>
      <c r="F2733" s="21" t="str">
        <f>IF(OR(E2733="",E2733="!!!"),"",IF(NOT(ISNA(VLOOKUP(E2733,E$1:E2732,1,FALSE()))),"OLD",IF(AND(E2733&lt;&gt;"",E2733&lt;&gt;"!!!"),"NEW","")))</f>
        <v/>
      </c>
      <c r="G2733" s="22" t="str">
        <f>IF(OR(E2733="",E2733="!!!"),"",IF(OR(J2733=0,AND(J2733=1,K2733=1),AND(J2733=1,I2733="SBJ"),AND(J2733=1,I2733=0)),"?IN_FOCUS",IF(J2733&lt;=2,"?ACTIVATED",IF(J2733&lt;&gt;"","?FAMILIAR",IF(F2733="NEW",IF(ISNA(VLOOKUP(E2733,#REF!,1,FALSE())),"?TYPE_IDENTIFIABLE","?REFERENTIAL"),"_")))))</f>
        <v/>
      </c>
      <c r="H2733" s="23" t="str">
        <f t="shared" ca="1" si="299"/>
        <v/>
      </c>
      <c r="I2733" s="24" t="str">
        <f>IF(OR(E2733="",E2733="!!!",F2733="NEW"),"",INDEX(B$2:B2732,-1+SUMPRODUCT(MAX(ROW(E$2:E2732)*(E2733=E$2:E2732)))))</f>
        <v/>
      </c>
      <c r="J2733" s="24" t="str">
        <f ca="1">IF(OR(E2733="",E2733="!!!",F2733="NEW"),"",COUNTBLANK(OFFSET(A$1,,,SUMPRODUCT(MAX(ROW(E$2:E2733)*(E2733=E$2:E2733)))))-COUNTBLANK(OFFSET(A$1,,,SUMPRODUCT(MAX(ROW(E$1:E2732)*(E2=E$1:E2732))))))</f>
        <v/>
      </c>
      <c r="K2733" s="24" t="str">
        <f>IF(OR(E2733="",E2733="!!!",F2733="NEW"),"",INDEX(J$1:J2732,SUMPRODUCT(MAX(ROW(E$1:E2732)*(E2733=E$1:E2732)))))</f>
        <v/>
      </c>
      <c r="L2733" s="25"/>
    </row>
    <row r="2734" spans="1:12" x14ac:dyDescent="0.2">
      <c r="A2734" t="s">
        <v>821</v>
      </c>
      <c r="E2734" s="20" t="str">
        <f t="shared" si="298"/>
        <v/>
      </c>
      <c r="F2734" s="21" t="str">
        <f>IF(OR(E2734="",E2734="!!!"),"",IF(NOT(ISNA(VLOOKUP(E2734,E$1:E2733,1,FALSE()))),"OLD",IF(AND(E2734&lt;&gt;"",E2734&lt;&gt;"!!!"),"NEW","")))</f>
        <v/>
      </c>
      <c r="G2734" s="22" t="str">
        <f>IF(OR(E2734="",E2734="!!!"),"",IF(OR(J2734=0,AND(J2734=1,K2734=1),AND(J2734=1,I2734="SBJ"),AND(J2734=1,I2734=0)),"?IN_FOCUS",IF(J2734&lt;=2,"?ACTIVATED",IF(J2734&lt;&gt;"","?FAMILIAR",IF(F2734="NEW",IF(ISNA(VLOOKUP(E2734,#REF!,1,FALSE())),"?TYPE_IDENTIFIABLE","?REFERENTIAL"),"_")))))</f>
        <v/>
      </c>
      <c r="H2734" s="23" t="str">
        <f t="shared" ca="1" si="299"/>
        <v/>
      </c>
      <c r="I2734" s="24" t="str">
        <f>IF(OR(E2734="",E2734="!!!",F2734="NEW"),"",INDEX(B$2:B2733,-1+SUMPRODUCT(MAX(ROW(E$2:E2733)*(E2734=E$2:E2733)))))</f>
        <v/>
      </c>
      <c r="J2734" s="24" t="str">
        <f ca="1">IF(OR(E2734="",E2734="!!!",F2734="NEW"),"",COUNTBLANK(OFFSET(A$1,,,SUMPRODUCT(MAX(ROW(E$2:E2734)*(E2734=E$2:E2734)))))-COUNTBLANK(OFFSET(A$1,,,SUMPRODUCT(MAX(ROW(E$1:E2733)*(E2=E$1:E2733))))))</f>
        <v/>
      </c>
      <c r="K2734" s="24" t="str">
        <f>IF(OR(E2734="",E2734="!!!",F2734="NEW"),"",INDEX(J$1:J2733,SUMPRODUCT(MAX(ROW(E$1:E2733)*(E2734=E$1:E2733)))))</f>
        <v/>
      </c>
      <c r="L2734" s="25"/>
    </row>
    <row r="2736" spans="1:12" x14ac:dyDescent="0.2">
      <c r="A2736" t="s">
        <v>1593</v>
      </c>
    </row>
    <row r="2737" spans="1:12" x14ac:dyDescent="0.2">
      <c r="A2737" t="s">
        <v>1594</v>
      </c>
      <c r="E2737" s="20" t="str">
        <f t="shared" ref="E2737:E2749" si="300">IF(D2737="?OLD","!!!","")</f>
        <v/>
      </c>
      <c r="F2737" s="21" t="str">
        <f>IF(OR(E2737="",E2737="!!!"),"",IF(NOT(ISNA(VLOOKUP(E2737,E$1:E2736,1,FALSE()))),"OLD",IF(AND(E2737&lt;&gt;"",E2737&lt;&gt;"!!!"),"NEW","")))</f>
        <v/>
      </c>
      <c r="G2737" s="22" t="str">
        <f>IF(OR(E2737="",E2737="!!!"),"",IF(OR(J2737=0,AND(J2737=1,K2737=1),AND(J2737=1,I2737="SBJ"),AND(J2737=1,I2737=0)),"?IN_FOCUS",IF(J2737&lt;=2,"?ACTIVATED",IF(J2737&lt;&gt;"","?FAMILIAR",IF(F2737="NEW",IF(ISNA(VLOOKUP(E2737,#REF!,1,FALSE())),"?TYPE_IDENTIFIABLE","?REFERENTIAL"),"_")))))</f>
        <v/>
      </c>
      <c r="H2737" s="23" t="str">
        <f t="shared" ref="H2737:H2749" ca="1" si="301">IF(J2737&lt;&gt;1,"",IF(I2737="SBJ","CB","?"))</f>
        <v/>
      </c>
      <c r="I2737" s="24" t="str">
        <f>IF(OR(E2737="",E2737="!!!",F2737="NEW"),"",INDEX(B$2:B2736,-1+SUMPRODUCT(MAX(ROW(E$2:E2736)*(E2737=E$2:E2736)))))</f>
        <v/>
      </c>
      <c r="J2737" s="24" t="str">
        <f ca="1">IF(OR(E2737="",E2737="!!!",F2737="NEW"),"",COUNTBLANK(OFFSET(A$1,,,SUMPRODUCT(MAX(ROW(E$2:E2737)*(E2737=E$2:E2737)))))-COUNTBLANK(OFFSET(A$1,,,SUMPRODUCT(MAX(ROW(E$1:E2736)*(E2=E$1:E2736))))))</f>
        <v/>
      </c>
      <c r="K2737" s="24" t="str">
        <f>IF(OR(E2737="",E2737="!!!",F2737="NEW"),"",INDEX(J$1:J2736,SUMPRODUCT(MAX(ROW(E$1:E2736)*(E2737=E$1:E2736)))))</f>
        <v/>
      </c>
      <c r="L2737" s="25"/>
    </row>
    <row r="2738" spans="1:12" x14ac:dyDescent="0.2">
      <c r="A2738" t="s">
        <v>1536</v>
      </c>
      <c r="E2738" s="20" t="str">
        <f t="shared" si="300"/>
        <v/>
      </c>
      <c r="F2738" s="21" t="str">
        <f>IF(OR(E2738="",E2738="!!!"),"",IF(NOT(ISNA(VLOOKUP(E2738,E$1:E2737,1,FALSE()))),"OLD",IF(AND(E2738&lt;&gt;"",E2738&lt;&gt;"!!!"),"NEW","")))</f>
        <v/>
      </c>
      <c r="G2738" s="22" t="str">
        <f>IF(OR(E2738="",E2738="!!!"),"",IF(OR(J2738=0,AND(J2738=1,K2738=1),AND(J2738=1,I2738="SBJ"),AND(J2738=1,I2738=0)),"?IN_FOCUS",IF(J2738&lt;=2,"?ACTIVATED",IF(J2738&lt;&gt;"","?FAMILIAR",IF(F2738="NEW",IF(ISNA(VLOOKUP(E2738,#REF!,1,FALSE())),"?TYPE_IDENTIFIABLE","?REFERENTIAL"),"_")))))</f>
        <v/>
      </c>
      <c r="H2738" s="23" t="str">
        <f t="shared" ca="1" si="301"/>
        <v/>
      </c>
      <c r="I2738" s="24" t="str">
        <f>IF(OR(E2738="",E2738="!!!",F2738="NEW"),"",INDEX(B$2:B2737,-1+SUMPRODUCT(MAX(ROW(E$2:E2737)*(E2738=E$2:E2737)))))</f>
        <v/>
      </c>
      <c r="J2738" s="24" t="str">
        <f ca="1">IF(OR(E2738="",E2738="!!!",F2738="NEW"),"",COUNTBLANK(OFFSET(A$1,,,SUMPRODUCT(MAX(ROW(E$2:E2738)*(E2738=E$2:E2738)))))-COUNTBLANK(OFFSET(A$1,,,SUMPRODUCT(MAX(ROW(E$1:E2737)*(E2=E$1:E2737))))))</f>
        <v/>
      </c>
      <c r="K2738" s="24" t="str">
        <f>IF(OR(E2738="",E2738="!!!",F2738="NEW"),"",INDEX(J$1:J2737,SUMPRODUCT(MAX(ROW(E$1:E2737)*(E2738=E$1:E2737)))))</f>
        <v/>
      </c>
      <c r="L2738" s="25"/>
    </row>
    <row r="2739" spans="1:12" x14ac:dyDescent="0.2">
      <c r="A2739" t="s">
        <v>1060</v>
      </c>
      <c r="E2739" s="20" t="str">
        <f t="shared" si="300"/>
        <v/>
      </c>
      <c r="F2739" s="21" t="str">
        <f>IF(OR(E2739="",E2739="!!!"),"",IF(NOT(ISNA(VLOOKUP(E2739,E$1:E2738,1,FALSE()))),"OLD",IF(AND(E2739&lt;&gt;"",E2739&lt;&gt;"!!!"),"NEW","")))</f>
        <v/>
      </c>
      <c r="G2739" s="22" t="str">
        <f>IF(OR(E2739="",E2739="!!!"),"",IF(OR(J2739=0,AND(J2739=1,K2739=1),AND(J2739=1,I2739="SBJ"),AND(J2739=1,I2739=0)),"?IN_FOCUS",IF(J2739&lt;=2,"?ACTIVATED",IF(J2739&lt;&gt;"","?FAMILIAR",IF(F2739="NEW",IF(ISNA(VLOOKUP(E2739,#REF!,1,FALSE())),"?TYPE_IDENTIFIABLE","?REFERENTIAL"),"_")))))</f>
        <v/>
      </c>
      <c r="H2739" s="23" t="str">
        <f t="shared" ca="1" si="301"/>
        <v/>
      </c>
      <c r="I2739" s="24" t="str">
        <f>IF(OR(E2739="",E2739="!!!",F2739="NEW"),"",INDEX(B$2:B2738,-1+SUMPRODUCT(MAX(ROW(E$2:E2738)*(E2739=E$2:E2738)))))</f>
        <v/>
      </c>
      <c r="J2739" s="24" t="str">
        <f ca="1">IF(OR(E2739="",E2739="!!!",F2739="NEW"),"",COUNTBLANK(OFFSET(A$1,,,SUMPRODUCT(MAX(ROW(E$2:E2739)*(E2739=E$2:E2739)))))-COUNTBLANK(OFFSET(A$1,,,SUMPRODUCT(MAX(ROW(E$1:E2738)*(E2=E$1:E2738))))))</f>
        <v/>
      </c>
      <c r="K2739" s="24" t="str">
        <f>IF(OR(E2739="",E2739="!!!",F2739="NEW"),"",INDEX(J$1:J2738,SUMPRODUCT(MAX(ROW(E$1:E2738)*(E2739=E$1:E2738)))))</f>
        <v/>
      </c>
      <c r="L2739" s="25"/>
    </row>
    <row r="2740" spans="1:12" x14ac:dyDescent="0.2">
      <c r="A2740" t="s">
        <v>1231</v>
      </c>
      <c r="B2740" s="26" t="s">
        <v>950</v>
      </c>
      <c r="C2740" s="26" t="s">
        <v>877</v>
      </c>
      <c r="D2740" s="26" t="s">
        <v>806</v>
      </c>
      <c r="E2740" s="20" t="s">
        <v>1209</v>
      </c>
      <c r="F2740" s="21" t="str">
        <f>IF(OR(E2740="",E2740="!!!"),"",IF(NOT(ISNA(VLOOKUP(E2740,E$1:E2739,1,FALSE()))),"OLD",IF(AND(E2740&lt;&gt;"",E2740&lt;&gt;"!!!"),"NEW","")))</f>
        <v>OLD</v>
      </c>
      <c r="G2740" s="22" t="s">
        <v>1822</v>
      </c>
      <c r="H2740" s="23" t="str">
        <f t="shared" ca="1" si="301"/>
        <v/>
      </c>
      <c r="I2740" s="24" t="str">
        <f>IF(OR(E2740="",E2740="!!!",F2740="NEW"),"",INDEX(B$2:B2739,-1+SUMPRODUCT(MAX(ROW(E$2:E2739)*(E2740=E$2:E2739)))))</f>
        <v>OBJ_2</v>
      </c>
      <c r="J2740" s="24">
        <f ca="1">IF(OR(E2740="",E2740="!!!",F2740="NEW"),"",COUNTBLANK(OFFSET(A$1,,,SUMPRODUCT(MAX(ROW(E$2:E2740)*(E2740=E$2:E2740)))))-COUNTBLANK(OFFSET(A$1,,,SUMPRODUCT(MAX(ROW(E$1:E2739)*(E2=E$1:E2739))))))</f>
        <v>0</v>
      </c>
      <c r="K2740" s="24">
        <f ca="1">IF(OR(E2740="",E2740="!!!",F2740="NEW"),"",INDEX(J$1:J2739,SUMPRODUCT(MAX(ROW(E$1:E2739)*(E2740=E$1:E2739)))))</f>
        <v>0</v>
      </c>
      <c r="L2740" s="25"/>
    </row>
    <row r="2741" spans="1:12" x14ac:dyDescent="0.2">
      <c r="A2741" t="s">
        <v>1585</v>
      </c>
      <c r="E2741" s="20" t="str">
        <f t="shared" si="300"/>
        <v/>
      </c>
      <c r="F2741" s="21" t="str">
        <f>IF(OR(E2741="",E2741="!!!"),"",IF(NOT(ISNA(VLOOKUP(E2741,E$1:E2740,1,FALSE()))),"OLD",IF(AND(E2741&lt;&gt;"",E2741&lt;&gt;"!!!"),"NEW","")))</f>
        <v/>
      </c>
      <c r="G2741" s="22" t="str">
        <f>IF(OR(E2741="",E2741="!!!"),"",IF(OR(J2741=0,AND(J2741=1,K2741=1),AND(J2741=1,I2741="SBJ"),AND(J2741=1,I2741=0)),"?IN_FOCUS",IF(J2741&lt;=2,"?ACTIVATED",IF(J2741&lt;&gt;"","?FAMILIAR",IF(F2741="NEW",IF(ISNA(VLOOKUP(E2741,#REF!,1,FALSE())),"?TYPE_IDENTIFIABLE","?REFERENTIAL"),"_")))))</f>
        <v/>
      </c>
      <c r="H2741" s="23" t="str">
        <f t="shared" ca="1" si="301"/>
        <v/>
      </c>
      <c r="I2741" s="24" t="str">
        <f>IF(OR(E2741="",E2741="!!!",F2741="NEW"),"",INDEX(B$2:B2740,-1+SUMPRODUCT(MAX(ROW(E$2:E2740)*(E2741=E$2:E2740)))))</f>
        <v/>
      </c>
      <c r="J2741" s="24" t="str">
        <f ca="1">IF(OR(E2741="",E2741="!!!",F2741="NEW"),"",COUNTBLANK(OFFSET(A$1,,,SUMPRODUCT(MAX(ROW(E$2:E2741)*(E2741=E$2:E2741)))))-COUNTBLANK(OFFSET(A$1,,,SUMPRODUCT(MAX(ROW(E$1:E2740)*(E2=E$1:E2740))))))</f>
        <v/>
      </c>
      <c r="K2741" s="24" t="str">
        <f>IF(OR(E2741="",E2741="!!!",F2741="NEW"),"",INDEX(J$1:J2740,SUMPRODUCT(MAX(ROW(E$1:E2740)*(E2741=E$1:E2740)))))</f>
        <v/>
      </c>
      <c r="L2741" s="25"/>
    </row>
    <row r="2742" spans="1:12" x14ac:dyDescent="0.2">
      <c r="A2742" t="s">
        <v>802</v>
      </c>
      <c r="E2742" s="20" t="str">
        <f t="shared" si="300"/>
        <v/>
      </c>
      <c r="F2742" s="21" t="str">
        <f>IF(OR(E2742="",E2742="!!!"),"",IF(NOT(ISNA(VLOOKUP(E2742,E$1:E2741,1,FALSE()))),"OLD",IF(AND(E2742&lt;&gt;"",E2742&lt;&gt;"!!!"),"NEW","")))</f>
        <v/>
      </c>
      <c r="G2742" s="22" t="str">
        <f>IF(OR(E2742="",E2742="!!!"),"",IF(OR(J2742=0,AND(J2742=1,K2742=1),AND(J2742=1,I2742="SBJ"),AND(J2742=1,I2742=0)),"?IN_FOCUS",IF(J2742&lt;=2,"?ACTIVATED",IF(J2742&lt;&gt;"","?FAMILIAR",IF(F2742="NEW",IF(ISNA(VLOOKUP(E2742,#REF!,1,FALSE())),"?TYPE_IDENTIFIABLE","?REFERENTIAL"),"_")))))</f>
        <v/>
      </c>
      <c r="H2742" s="23" t="str">
        <f t="shared" ca="1" si="301"/>
        <v/>
      </c>
      <c r="I2742" s="24" t="str">
        <f>IF(OR(E2742="",E2742="!!!",F2742="NEW"),"",INDEX(B$2:B2741,-1+SUMPRODUCT(MAX(ROW(E$2:E2741)*(E2742=E$2:E2741)))))</f>
        <v/>
      </c>
      <c r="J2742" s="24" t="str">
        <f ca="1">IF(OR(E2742="",E2742="!!!",F2742="NEW"),"",COUNTBLANK(OFFSET(A$1,,,SUMPRODUCT(MAX(ROW(E$2:E2742)*(E2742=E$2:E2742)))))-COUNTBLANK(OFFSET(A$1,,,SUMPRODUCT(MAX(ROW(E$1:E2741)*(E2=E$1:E2741))))))</f>
        <v/>
      </c>
      <c r="K2742" s="24" t="str">
        <f>IF(OR(E2742="",E2742="!!!",F2742="NEW"),"",INDEX(J$1:J2741,SUMPRODUCT(MAX(ROW(E$1:E2741)*(E2742=E$1:E2741)))))</f>
        <v/>
      </c>
      <c r="L2742" s="25"/>
    </row>
    <row r="2743" spans="1:12" x14ac:dyDescent="0.2">
      <c r="A2743" t="s">
        <v>830</v>
      </c>
      <c r="B2743" s="26" t="s">
        <v>804</v>
      </c>
      <c r="C2743" s="26" t="s">
        <v>805</v>
      </c>
      <c r="D2743" s="26" t="s">
        <v>806</v>
      </c>
      <c r="E2743" s="20" t="s">
        <v>1209</v>
      </c>
      <c r="F2743" s="21" t="str">
        <f>IF(OR(E2743="",E2743="!!!"),"",IF(NOT(ISNA(VLOOKUP(E2743,E$1:E2742,1,FALSE()))),"OLD",IF(AND(E2743&lt;&gt;"",E2743&lt;&gt;"!!!"),"NEW","")))</f>
        <v>OLD</v>
      </c>
      <c r="G2743" s="22" t="s">
        <v>1823</v>
      </c>
      <c r="H2743" s="23" t="str">
        <f t="shared" ca="1" si="301"/>
        <v/>
      </c>
      <c r="I2743" s="24" t="str">
        <f>IF(OR(E2743="",E2743="!!!",F2743="NEW"),"",INDEX(B$2:B2742,-1+SUMPRODUCT(MAX(ROW(E$2:E2742)*(E2743=E$2:E2742)))))</f>
        <v>SBJ_2</v>
      </c>
      <c r="J2743" s="24">
        <f ca="1">IF(OR(E2743="",E2743="!!!",F2743="NEW"),"",COUNTBLANK(OFFSET(A$1,,,SUMPRODUCT(MAX(ROW(E$2:E2743)*(E2743=E$2:E2743)))))-COUNTBLANK(OFFSET(A$1,,,SUMPRODUCT(MAX(ROW(E$1:E2742)*(E2=E$1:E2742))))))</f>
        <v>0</v>
      </c>
      <c r="K2743" s="24">
        <f ca="1">IF(OR(E2743="",E2743="!!!",F2743="NEW"),"",INDEX(J$1:J2742,SUMPRODUCT(MAX(ROW(E$1:E2742)*(E2743=E$1:E2742)))))</f>
        <v>0</v>
      </c>
      <c r="L2743" s="25"/>
    </row>
    <row r="2744" spans="1:12" x14ac:dyDescent="0.2">
      <c r="A2744" t="s">
        <v>1595</v>
      </c>
      <c r="E2744" s="20" t="str">
        <f t="shared" si="300"/>
        <v/>
      </c>
      <c r="F2744" s="21" t="str">
        <f>IF(OR(E2744="",E2744="!!!"),"",IF(NOT(ISNA(VLOOKUP(E2744,E$1:E2743,1,FALSE()))),"OLD",IF(AND(E2744&lt;&gt;"",E2744&lt;&gt;"!!!"),"NEW","")))</f>
        <v/>
      </c>
      <c r="G2744" s="22" t="str">
        <f>IF(OR(E2744="",E2744="!!!"),"",IF(OR(J2744=0,AND(J2744=1,K2744=1),AND(J2744=1,I2744="SBJ"),AND(J2744=1,I2744=0)),"?IN_FOCUS",IF(J2744&lt;=2,"?ACTIVATED",IF(J2744&lt;&gt;"","?FAMILIAR",IF(F2744="NEW",IF(ISNA(VLOOKUP(E2744,#REF!,1,FALSE())),"?TYPE_IDENTIFIABLE","?REFERENTIAL"),"_")))))</f>
        <v/>
      </c>
      <c r="H2744" s="23" t="str">
        <f t="shared" ca="1" si="301"/>
        <v/>
      </c>
      <c r="I2744" s="24" t="str">
        <f>IF(OR(E2744="",E2744="!!!",F2744="NEW"),"",INDEX(B$2:B2743,-1+SUMPRODUCT(MAX(ROW(E$2:E2743)*(E2744=E$2:E2743)))))</f>
        <v/>
      </c>
      <c r="J2744" s="24" t="str">
        <f ca="1">IF(OR(E2744="",E2744="!!!",F2744="NEW"),"",COUNTBLANK(OFFSET(A$1,,,SUMPRODUCT(MAX(ROW(E$2:E2744)*(E2744=E$2:E2744)))))-COUNTBLANK(OFFSET(A$1,,,SUMPRODUCT(MAX(ROW(E$1:E2743)*(E2=E$1:E2743))))))</f>
        <v/>
      </c>
      <c r="K2744" s="24" t="str">
        <f>IF(OR(E2744="",E2744="!!!",F2744="NEW"),"",INDEX(J$1:J2743,SUMPRODUCT(MAX(ROW(E$1:E2743)*(E2744=E$1:E2743)))))</f>
        <v/>
      </c>
      <c r="L2744" s="25"/>
    </row>
    <row r="2745" spans="1:12" x14ac:dyDescent="0.2">
      <c r="A2745" t="s">
        <v>1021</v>
      </c>
      <c r="E2745" s="20" t="str">
        <f t="shared" si="300"/>
        <v/>
      </c>
      <c r="F2745" s="21" t="str">
        <f>IF(OR(E2745="",E2745="!!!"),"",IF(NOT(ISNA(VLOOKUP(E2745,E$1:E2744,1,FALSE()))),"OLD",IF(AND(E2745&lt;&gt;"",E2745&lt;&gt;"!!!"),"NEW","")))</f>
        <v/>
      </c>
      <c r="G2745" s="22" t="str">
        <f>IF(OR(E2745="",E2745="!!!"),"",IF(OR(J2745=0,AND(J2745=1,K2745=1),AND(J2745=1,I2745="SBJ"),AND(J2745=1,I2745=0)),"?IN_FOCUS",IF(J2745&lt;=2,"?ACTIVATED",IF(J2745&lt;&gt;"","?FAMILIAR",IF(F2745="NEW",IF(ISNA(VLOOKUP(E2745,#REF!,1,FALSE())),"?TYPE_IDENTIFIABLE","?REFERENTIAL"),"_")))))</f>
        <v/>
      </c>
      <c r="H2745" s="23" t="str">
        <f t="shared" ca="1" si="301"/>
        <v/>
      </c>
      <c r="I2745" s="24" t="str">
        <f>IF(OR(E2745="",E2745="!!!",F2745="NEW"),"",INDEX(B$2:B2744,-1+SUMPRODUCT(MAX(ROW(E$2:E2744)*(E2745=E$2:E2744)))))</f>
        <v/>
      </c>
      <c r="J2745" s="24" t="str">
        <f ca="1">IF(OR(E2745="",E2745="!!!",F2745="NEW"),"",COUNTBLANK(OFFSET(A$1,,,SUMPRODUCT(MAX(ROW(E$2:E2745)*(E2745=E$2:E2745)))))-COUNTBLANK(OFFSET(A$1,,,SUMPRODUCT(MAX(ROW(E$1:E2744)*(E2=E$1:E2744))))))</f>
        <v/>
      </c>
      <c r="K2745" s="24" t="str">
        <f>IF(OR(E2745="",E2745="!!!",F2745="NEW"),"",INDEX(J$1:J2744,SUMPRODUCT(MAX(ROW(E$1:E2744)*(E2745=E$1:E2744)))))</f>
        <v/>
      </c>
      <c r="L2745" s="25"/>
    </row>
    <row r="2746" spans="1:12" x14ac:dyDescent="0.2">
      <c r="A2746" t="s">
        <v>1109</v>
      </c>
      <c r="E2746" s="20" t="str">
        <f t="shared" si="300"/>
        <v/>
      </c>
      <c r="F2746" s="21" t="str">
        <f>IF(OR(E2746="",E2746="!!!"),"",IF(NOT(ISNA(VLOOKUP(E2746,E$1:E2745,1,FALSE()))),"OLD",IF(AND(E2746&lt;&gt;"",E2746&lt;&gt;"!!!"),"NEW","")))</f>
        <v/>
      </c>
      <c r="G2746" s="22" t="str">
        <f>IF(OR(E2746="",E2746="!!!"),"",IF(OR(J2746=0,AND(J2746=1,K2746=1),AND(J2746=1,I2746="SBJ"),AND(J2746=1,I2746=0)),"?IN_FOCUS",IF(J2746&lt;=2,"?ACTIVATED",IF(J2746&lt;&gt;"","?FAMILIAR",IF(F2746="NEW",IF(ISNA(VLOOKUP(E2746,#REF!,1,FALSE())),"?TYPE_IDENTIFIABLE","?REFERENTIAL"),"_")))))</f>
        <v/>
      </c>
      <c r="H2746" s="23" t="str">
        <f t="shared" ca="1" si="301"/>
        <v/>
      </c>
      <c r="I2746" s="24" t="str">
        <f>IF(OR(E2746="",E2746="!!!",F2746="NEW"),"",INDEX(B$2:B2745,-1+SUMPRODUCT(MAX(ROW(E$2:E2745)*(E2746=E$2:E2745)))))</f>
        <v/>
      </c>
      <c r="J2746" s="24" t="str">
        <f ca="1">IF(OR(E2746="",E2746="!!!",F2746="NEW"),"",COUNTBLANK(OFFSET(A$1,,,SUMPRODUCT(MAX(ROW(E$2:E2746)*(E2746=E$2:E2746)))))-COUNTBLANK(OFFSET(A$1,,,SUMPRODUCT(MAX(ROW(E$1:E2745)*(E2=E$1:E2745))))))</f>
        <v/>
      </c>
      <c r="K2746" s="24" t="str">
        <f>IF(OR(E2746="",E2746="!!!",F2746="NEW"),"",INDEX(J$1:J2745,SUMPRODUCT(MAX(ROW(E$1:E2745)*(E2746=E$1:E2745)))))</f>
        <v/>
      </c>
      <c r="L2746" s="25"/>
    </row>
    <row r="2747" spans="1:12" x14ac:dyDescent="0.2">
      <c r="A2747" t="s">
        <v>845</v>
      </c>
      <c r="E2747" s="20" t="str">
        <f t="shared" si="300"/>
        <v/>
      </c>
      <c r="F2747" s="21" t="str">
        <f>IF(OR(E2747="",E2747="!!!"),"",IF(NOT(ISNA(VLOOKUP(E2747,E$1:E2746,1,FALSE()))),"OLD",IF(AND(E2747&lt;&gt;"",E2747&lt;&gt;"!!!"),"NEW","")))</f>
        <v/>
      </c>
      <c r="G2747" s="22" t="str">
        <f>IF(OR(E2747="",E2747="!!!"),"",IF(OR(J2747=0,AND(J2747=1,K2747=1),AND(J2747=1,I2747="SBJ"),AND(J2747=1,I2747=0)),"?IN_FOCUS",IF(J2747&lt;=2,"?ACTIVATED",IF(J2747&lt;&gt;"","?FAMILIAR",IF(F2747="NEW",IF(ISNA(VLOOKUP(E2747,#REF!,1,FALSE())),"?TYPE_IDENTIFIABLE","?REFERENTIAL"),"_")))))</f>
        <v/>
      </c>
      <c r="H2747" s="23" t="str">
        <f t="shared" ca="1" si="301"/>
        <v/>
      </c>
      <c r="I2747" s="24" t="str">
        <f>IF(OR(E2747="",E2747="!!!",F2747="NEW"),"",INDEX(B$2:B2746,-1+SUMPRODUCT(MAX(ROW(E$2:E2746)*(E2747=E$2:E2746)))))</f>
        <v/>
      </c>
      <c r="J2747" s="24" t="str">
        <f ca="1">IF(OR(E2747="",E2747="!!!",F2747="NEW"),"",COUNTBLANK(OFFSET(A$1,,,SUMPRODUCT(MAX(ROW(E$2:E2747)*(E2747=E$2:E2747)))))-COUNTBLANK(OFFSET(A$1,,,SUMPRODUCT(MAX(ROW(E$1:E2746)*(E2=E$1:E2746))))))</f>
        <v/>
      </c>
      <c r="K2747" s="24" t="str">
        <f>IF(OR(E2747="",E2747="!!!",F2747="NEW"),"",INDEX(J$1:J2746,SUMPRODUCT(MAX(ROW(E$1:E2746)*(E2747=E$1:E2746)))))</f>
        <v/>
      </c>
      <c r="L2747" s="25"/>
    </row>
    <row r="2748" spans="1:12" x14ac:dyDescent="0.2">
      <c r="A2748" t="s">
        <v>1596</v>
      </c>
      <c r="B2748" s="26" t="s">
        <v>819</v>
      </c>
      <c r="C2748" s="26" t="s">
        <v>854</v>
      </c>
      <c r="D2748" s="26" t="s">
        <v>806</v>
      </c>
      <c r="E2748" s="20" t="s">
        <v>1596</v>
      </c>
      <c r="F2748" s="21" t="str">
        <f>IF(OR(E2748="",E2748="!!!"),"",IF(NOT(ISNA(VLOOKUP(E2748,E$1:E2747,1,FALSE()))),"OLD",IF(AND(E2748&lt;&gt;"",E2748&lt;&gt;"!!!"),"NEW","")))</f>
        <v>NEW</v>
      </c>
      <c r="G2748" s="22" t="s">
        <v>1825</v>
      </c>
      <c r="H2748" s="23" t="str">
        <f t="shared" ca="1" si="301"/>
        <v/>
      </c>
      <c r="I2748" s="24" t="str">
        <f>IF(OR(E2748="",E2748="!!!",F2748="NEW"),"",INDEX(B$2:B2747,-1+SUMPRODUCT(MAX(ROW(E$2:E2747)*(E2748=E$2:E2747)))))</f>
        <v/>
      </c>
      <c r="J2748" s="24" t="str">
        <f ca="1">IF(OR(E2748="",E2748="!!!",F2748="NEW"),"",COUNTBLANK(OFFSET(A$1,,,SUMPRODUCT(MAX(ROW(E$2:E2748)*(E2748=E$2:E2748)))))-COUNTBLANK(OFFSET(A$1,,,SUMPRODUCT(MAX(ROW(E$1:E2747)*(E2=E$1:E2747))))))</f>
        <v/>
      </c>
      <c r="K2748" s="24" t="str">
        <f>IF(OR(E2748="",E2748="!!!",F2748="NEW"),"",INDEX(J$1:J2747,SUMPRODUCT(MAX(ROW(E$1:E2747)*(E2748=E$1:E2747)))))</f>
        <v/>
      </c>
      <c r="L2748" s="25"/>
    </row>
    <row r="2749" spans="1:12" x14ac:dyDescent="0.2">
      <c r="A2749" t="s">
        <v>821</v>
      </c>
      <c r="E2749" s="20" t="str">
        <f t="shared" si="300"/>
        <v/>
      </c>
      <c r="F2749" s="21" t="str">
        <f>IF(OR(E2749="",E2749="!!!"),"",IF(NOT(ISNA(VLOOKUP(E2749,E$1:E2748,1,FALSE()))),"OLD",IF(AND(E2749&lt;&gt;"",E2749&lt;&gt;"!!!"),"NEW","")))</f>
        <v/>
      </c>
      <c r="G2749" s="22" t="str">
        <f>IF(OR(E2749="",E2749="!!!"),"",IF(OR(J2749=0,AND(J2749=1,K2749=1),AND(J2749=1,I2749="SBJ"),AND(J2749=1,I2749=0)),"?IN_FOCUS",IF(J2749&lt;=2,"?ACTIVATED",IF(J2749&lt;&gt;"","?FAMILIAR",IF(F2749="NEW",IF(ISNA(VLOOKUP(E2749,#REF!,1,FALSE())),"?TYPE_IDENTIFIABLE","?REFERENTIAL"),"_")))))</f>
        <v/>
      </c>
      <c r="H2749" s="23" t="str">
        <f t="shared" ca="1" si="301"/>
        <v/>
      </c>
      <c r="I2749" s="24" t="str">
        <f>IF(OR(E2749="",E2749="!!!",F2749="NEW"),"",INDEX(B$2:B2748,-1+SUMPRODUCT(MAX(ROW(E$2:E2748)*(E2749=E$2:E2748)))))</f>
        <v/>
      </c>
      <c r="J2749" s="24" t="str">
        <f ca="1">IF(OR(E2749="",E2749="!!!",F2749="NEW"),"",COUNTBLANK(OFFSET(A$1,,,SUMPRODUCT(MAX(ROW(E$2:E2749)*(E2749=E$2:E2749)))))-COUNTBLANK(OFFSET(A$1,,,SUMPRODUCT(MAX(ROW(E$1:E2748)*(E2=E$1:E2748))))))</f>
        <v/>
      </c>
      <c r="K2749" s="24" t="str">
        <f>IF(OR(E2749="",E2749="!!!",F2749="NEW"),"",INDEX(J$1:J2748,SUMPRODUCT(MAX(ROW(E$1:E2748)*(E2749=E$1:E2748)))))</f>
        <v/>
      </c>
      <c r="L2749" s="25"/>
    </row>
    <row r="2751" spans="1:12" x14ac:dyDescent="0.2">
      <c r="A2751" t="s">
        <v>1597</v>
      </c>
    </row>
    <row r="2752" spans="1:12" x14ac:dyDescent="0.2">
      <c r="A2752" t="s">
        <v>968</v>
      </c>
      <c r="E2752" s="20" t="str">
        <f t="shared" ref="E2752:E2783" si="302">IF(D2752="?OLD","!!!","")</f>
        <v/>
      </c>
      <c r="F2752" s="21" t="str">
        <f>IF(OR(E2752="",E2752="!!!"),"",IF(NOT(ISNA(VLOOKUP(E2752,E$1:E2751,1,FALSE()))),"OLD",IF(AND(E2752&lt;&gt;"",E2752&lt;&gt;"!!!"),"NEW","")))</f>
        <v/>
      </c>
      <c r="G2752" s="22" t="str">
        <f>IF(OR(E2752="",E2752="!!!"),"",IF(OR(J2752=0,AND(J2752=1,K2752=1),AND(J2752=1,I2752="SBJ"),AND(J2752=1,I2752=0)),"?IN_FOCUS",IF(J2752&lt;=2,"?ACTIVATED",IF(J2752&lt;&gt;"","?FAMILIAR",IF(F2752="NEW",IF(ISNA(VLOOKUP(E2752,#REF!,1,FALSE())),"?TYPE_IDENTIFIABLE","?REFERENTIAL"),"_")))))</f>
        <v/>
      </c>
      <c r="H2752" s="23" t="str">
        <f t="shared" ref="H2752:H2783" ca="1" si="303">IF(J2752&lt;&gt;1,"",IF(I2752="SBJ","CB","?"))</f>
        <v/>
      </c>
      <c r="I2752" s="24" t="str">
        <f>IF(OR(E2752="",E2752="!!!",F2752="NEW"),"",INDEX(B$2:B2751,-1+SUMPRODUCT(MAX(ROW(E$2:E2751)*(E2752=E$2:E2751)))))</f>
        <v/>
      </c>
      <c r="J2752" s="24" t="str">
        <f ca="1">IF(OR(E2752="",E2752="!!!",F2752="NEW"),"",COUNTBLANK(OFFSET(A$1,,,SUMPRODUCT(MAX(ROW(E$2:E2752)*(E2752=E$2:E2752)))))-COUNTBLANK(OFFSET(A$1,,,SUMPRODUCT(MAX(ROW(E$1:E2751)*(E2=E$1:E2751))))))</f>
        <v/>
      </c>
      <c r="K2752" s="24" t="str">
        <f>IF(OR(E2752="",E2752="!!!",F2752="NEW"),"",INDEX(J$1:J2751,SUMPRODUCT(MAX(ROW(E$1:E2751)*(E2752=E$1:E2751)))))</f>
        <v/>
      </c>
      <c r="L2752" s="25"/>
    </row>
    <row r="2753" spans="1:12" x14ac:dyDescent="0.2">
      <c r="A2753" t="s">
        <v>655</v>
      </c>
      <c r="B2753" s="26" t="s">
        <v>819</v>
      </c>
      <c r="C2753" s="26" t="s">
        <v>811</v>
      </c>
      <c r="E2753" s="20" t="str">
        <f t="shared" si="302"/>
        <v/>
      </c>
      <c r="F2753" s="21" t="str">
        <f>IF(OR(E2753="",E2753="!!!"),"",IF(NOT(ISNA(VLOOKUP(E2753,E$1:E2752,1,FALSE()))),"OLD",IF(AND(E2753&lt;&gt;"",E2753&lt;&gt;"!!!"),"NEW","")))</f>
        <v/>
      </c>
      <c r="G2753" s="22" t="str">
        <f>IF(OR(E2753="",E2753="!!!"),"",IF(OR(J2753=0,AND(J2753=1,K2753=1),AND(J2753=1,I2753="SBJ"),AND(J2753=1,I2753=0)),"?IN_FOCUS",IF(J2753&lt;=2,"?ACTIVATED",IF(J2753&lt;&gt;"","?FAMILIAR",IF(F2753="NEW",IF(ISNA(VLOOKUP(E2753,#REF!,1,FALSE())),"?TYPE_IDENTIFIABLE","?REFERENTIAL"),"_")))))</f>
        <v/>
      </c>
      <c r="H2753" s="23" t="str">
        <f t="shared" ca="1" si="303"/>
        <v/>
      </c>
      <c r="I2753" s="24" t="str">
        <f>IF(OR(E2753="",E2753="!!!",F2753="NEW"),"",INDEX(B$2:B2752,-1+SUMPRODUCT(MAX(ROW(E$2:E2752)*(E2753=E$2:E2752)))))</f>
        <v/>
      </c>
      <c r="J2753" s="24" t="str">
        <f ca="1">IF(OR(E2753="",E2753="!!!",F2753="NEW"),"",COUNTBLANK(OFFSET(A$1,,,SUMPRODUCT(MAX(ROW(E$2:E2753)*(E2753=E$2:E2753)))))-COUNTBLANK(OFFSET(A$1,,,SUMPRODUCT(MAX(ROW(E$1:E2752)*(E2=E$1:E2752))))))</f>
        <v/>
      </c>
      <c r="K2753" s="24" t="str">
        <f>IF(OR(E2753="",E2753="!!!",F2753="NEW"),"",INDEX(J$1:J2752,SUMPRODUCT(MAX(ROW(E$1:E2752)*(E2753=E$1:E2752)))))</f>
        <v/>
      </c>
      <c r="L2753" s="25"/>
    </row>
    <row r="2754" spans="1:12" x14ac:dyDescent="0.2">
      <c r="A2754" t="s">
        <v>815</v>
      </c>
      <c r="E2754" s="20" t="str">
        <f t="shared" si="302"/>
        <v/>
      </c>
      <c r="F2754" s="21" t="str">
        <f>IF(OR(E2754="",E2754="!!!"),"",IF(NOT(ISNA(VLOOKUP(E2754,E$1:E2753,1,FALSE()))),"OLD",IF(AND(E2754&lt;&gt;"",E2754&lt;&gt;"!!!"),"NEW","")))</f>
        <v/>
      </c>
      <c r="G2754" s="22" t="str">
        <f>IF(OR(E2754="",E2754="!!!"),"",IF(OR(J2754=0,AND(J2754=1,K2754=1),AND(J2754=1,I2754="SBJ"),AND(J2754=1,I2754=0)),"?IN_FOCUS",IF(J2754&lt;=2,"?ACTIVATED",IF(J2754&lt;&gt;"","?FAMILIAR",IF(F2754="NEW",IF(ISNA(VLOOKUP(E2754,#REF!,1,FALSE())),"?TYPE_IDENTIFIABLE","?REFERENTIAL"),"_")))))</f>
        <v/>
      </c>
      <c r="H2754" s="23" t="str">
        <f t="shared" ca="1" si="303"/>
        <v/>
      </c>
      <c r="I2754" s="24" t="str">
        <f>IF(OR(E2754="",E2754="!!!",F2754="NEW"),"",INDEX(B$2:B2753,-1+SUMPRODUCT(MAX(ROW(E$2:E2753)*(E2754=E$2:E2753)))))</f>
        <v/>
      </c>
      <c r="J2754" s="24" t="str">
        <f ca="1">IF(OR(E2754="",E2754="!!!",F2754="NEW"),"",COUNTBLANK(OFFSET(A$1,,,SUMPRODUCT(MAX(ROW(E$2:E2754)*(E2754=E$2:E2754)))))-COUNTBLANK(OFFSET(A$1,,,SUMPRODUCT(MAX(ROW(E$1:E2753)*(E2=E$1:E2753))))))</f>
        <v/>
      </c>
      <c r="K2754" s="24" t="str">
        <f>IF(OR(E2754="",E2754="!!!",F2754="NEW"),"",INDEX(J$1:J2753,SUMPRODUCT(MAX(ROW(E$1:E2753)*(E2754=E$1:E2753)))))</f>
        <v/>
      </c>
      <c r="L2754" s="25"/>
    </row>
    <row r="2755" spans="1:12" x14ac:dyDescent="0.2">
      <c r="A2755" t="s">
        <v>845</v>
      </c>
      <c r="E2755" s="20" t="str">
        <f t="shared" si="302"/>
        <v/>
      </c>
      <c r="F2755" s="21" t="str">
        <f>IF(OR(E2755="",E2755="!!!"),"",IF(NOT(ISNA(VLOOKUP(E2755,E$1:E2754,1,FALSE()))),"OLD",IF(AND(E2755&lt;&gt;"",E2755&lt;&gt;"!!!"),"NEW","")))</f>
        <v/>
      </c>
      <c r="G2755" s="22" t="str">
        <f>IF(OR(E2755="",E2755="!!!"),"",IF(OR(J2755=0,AND(J2755=1,K2755=1),AND(J2755=1,I2755="SBJ"),AND(J2755=1,I2755=0)),"?IN_FOCUS",IF(J2755&lt;=2,"?ACTIVATED",IF(J2755&lt;&gt;"","?FAMILIAR",IF(F2755="NEW",IF(ISNA(VLOOKUP(E2755,#REF!,1,FALSE())),"?TYPE_IDENTIFIABLE","?REFERENTIAL"),"_")))))</f>
        <v/>
      </c>
      <c r="H2755" s="23" t="str">
        <f t="shared" ca="1" si="303"/>
        <v/>
      </c>
      <c r="I2755" s="24" t="str">
        <f>IF(OR(E2755="",E2755="!!!",F2755="NEW"),"",INDEX(B$2:B2754,-1+SUMPRODUCT(MAX(ROW(E$2:E2754)*(E2755=E$2:E2754)))))</f>
        <v/>
      </c>
      <c r="J2755" s="24" t="str">
        <f ca="1">IF(OR(E2755="",E2755="!!!",F2755="NEW"),"",COUNTBLANK(OFFSET(A$1,,,SUMPRODUCT(MAX(ROW(E$2:E2755)*(E2755=E$2:E2755)))))-COUNTBLANK(OFFSET(A$1,,,SUMPRODUCT(MAX(ROW(E$1:E2754)*(E2=E$1:E2754))))))</f>
        <v/>
      </c>
      <c r="K2755" s="24" t="str">
        <f>IF(OR(E2755="",E2755="!!!",F2755="NEW"),"",INDEX(J$1:J2754,SUMPRODUCT(MAX(ROW(E$1:E2754)*(E2755=E$1:E2754)))))</f>
        <v/>
      </c>
      <c r="L2755" s="25"/>
    </row>
    <row r="2756" spans="1:12" x14ac:dyDescent="0.2">
      <c r="A2756" t="s">
        <v>1543</v>
      </c>
      <c r="B2756" s="26" t="s">
        <v>819</v>
      </c>
      <c r="C2756" s="26" t="s">
        <v>847</v>
      </c>
      <c r="D2756" s="26" t="s">
        <v>806</v>
      </c>
      <c r="E2756" s="20" t="s">
        <v>1543</v>
      </c>
      <c r="F2756" s="21" t="str">
        <f>IF(OR(E2756="",E2756="!!!"),"",IF(NOT(ISNA(VLOOKUP(E2756,E$1:E2755,1,FALSE()))),"OLD",IF(AND(E2756&lt;&gt;"",E2756&lt;&gt;"!!!"),"NEW","")))</f>
        <v>OLD</v>
      </c>
      <c r="G2756" s="22" t="s">
        <v>1825</v>
      </c>
      <c r="H2756" s="23" t="str">
        <f t="shared" ca="1" si="303"/>
        <v/>
      </c>
      <c r="I2756" s="24" t="str">
        <f>IF(OR(E2756="",E2756="!!!",F2756="NEW"),"",INDEX(B$2:B2755,-1+SUMPRODUCT(MAX(ROW(E$2:E2755)*(E2756=E$2:E2755)))))</f>
        <v>other_3</v>
      </c>
      <c r="J2756" s="24">
        <f ca="1">IF(OR(E2756="",E2756="!!!",F2756="NEW"),"",COUNTBLANK(OFFSET(A$1,,,SUMPRODUCT(MAX(ROW(E$2:E2756)*(E2756=E$2:E2756)))))-COUNTBLANK(OFFSET(A$1,,,SUMPRODUCT(MAX(ROW(E$1:E2755)*(E2=E$1:E2755))))))</f>
        <v>0</v>
      </c>
      <c r="K2756" s="24" t="str">
        <f ca="1">IF(OR(E2756="",E2756="!!!",F2756="NEW"),"",INDEX(J$1:J2755,SUMPRODUCT(MAX(ROW(E$1:E2755)*(E2756=E$1:E2755)))))</f>
        <v/>
      </c>
      <c r="L2756" s="25"/>
    </row>
    <row r="2757" spans="1:12" x14ac:dyDescent="0.2">
      <c r="A2757" t="s">
        <v>802</v>
      </c>
      <c r="E2757" s="20" t="str">
        <f t="shared" si="302"/>
        <v/>
      </c>
      <c r="F2757" s="21" t="str">
        <f>IF(OR(E2757="",E2757="!!!"),"",IF(NOT(ISNA(VLOOKUP(E2757,E$1:E2756,1,FALSE()))),"OLD",IF(AND(E2757&lt;&gt;"",E2757&lt;&gt;"!!!"),"NEW","")))</f>
        <v/>
      </c>
      <c r="G2757" s="22" t="str">
        <f>IF(OR(E2757="",E2757="!!!"),"",IF(OR(J2757=0,AND(J2757=1,K2757=1),AND(J2757=1,I2757="SBJ"),AND(J2757=1,I2757=0)),"?IN_FOCUS",IF(J2757&lt;=2,"?ACTIVATED",IF(J2757&lt;&gt;"","?FAMILIAR",IF(F2757="NEW",IF(ISNA(VLOOKUP(E2757,#REF!,1,FALSE())),"?TYPE_IDENTIFIABLE","?REFERENTIAL"),"_")))))</f>
        <v/>
      </c>
      <c r="H2757" s="23" t="str">
        <f t="shared" ca="1" si="303"/>
        <v/>
      </c>
      <c r="I2757" s="24" t="str">
        <f>IF(OR(E2757="",E2757="!!!",F2757="NEW"),"",INDEX(B$2:B2756,-1+SUMPRODUCT(MAX(ROW(E$2:E2756)*(E2757=E$2:E2756)))))</f>
        <v/>
      </c>
      <c r="J2757" s="24" t="str">
        <f ca="1">IF(OR(E2757="",E2757="!!!",F2757="NEW"),"",COUNTBLANK(OFFSET(A$1,,,SUMPRODUCT(MAX(ROW(E$2:E2757)*(E2757=E$2:E2757)))))-COUNTBLANK(OFFSET(A$1,,,SUMPRODUCT(MAX(ROW(E$1:E2756)*(E2=E$1:E2756))))))</f>
        <v/>
      </c>
      <c r="K2757" s="24" t="str">
        <f>IF(OR(E2757="",E2757="!!!",F2757="NEW"),"",INDEX(J$1:J2756,SUMPRODUCT(MAX(ROW(E$1:E2756)*(E2757=E$1:E2756)))))</f>
        <v/>
      </c>
      <c r="L2757" s="25"/>
    </row>
    <row r="2758" spans="1:12" x14ac:dyDescent="0.2">
      <c r="A2758" t="s">
        <v>803</v>
      </c>
      <c r="B2758" s="26" t="s">
        <v>950</v>
      </c>
      <c r="C2758" s="26" t="s">
        <v>805</v>
      </c>
      <c r="D2758" s="26" t="s">
        <v>806</v>
      </c>
      <c r="E2758" s="20" t="s">
        <v>1747</v>
      </c>
      <c r="F2758" s="21" t="s">
        <v>1753</v>
      </c>
      <c r="G2758" s="22" t="s">
        <v>1823</v>
      </c>
      <c r="H2758" s="23" t="str">
        <f t="shared" ca="1" si="303"/>
        <v/>
      </c>
      <c r="I2758" s="24" t="str">
        <f>IF(OR(E2758="",E2758="!!!",F2758="NEW"),"",INDEX(B$2:B2757,-1+SUMPRODUCT(MAX(ROW(E$2:E2757)*(E2758=E$2:E2757)))))</f>
        <v>other_5</v>
      </c>
      <c r="J2758" s="24">
        <f ca="1">IF(OR(E2758="",E2758="!!!",F2758="NEW"),"",COUNTBLANK(OFFSET(A$1,,,SUMPRODUCT(MAX(ROW(E$2:E2758)*(E2758=E$2:E2758)))))-COUNTBLANK(OFFSET(A$1,,,SUMPRODUCT(MAX(ROW(E$1:E2757)*(E2=E$1:E2757))))))</f>
        <v>0</v>
      </c>
      <c r="K2758" s="24">
        <f ca="1">IF(OR(E2758="",E2758="!!!",F2758="NEW"),"",INDEX(J$1:J2757,SUMPRODUCT(MAX(ROW(E$1:E2757)*(E2758=E$1:E2757)))))</f>
        <v>0</v>
      </c>
      <c r="L2758" s="25"/>
    </row>
    <row r="2759" spans="1:12" x14ac:dyDescent="0.2">
      <c r="A2759" t="s">
        <v>13</v>
      </c>
      <c r="E2759" s="20" t="str">
        <f t="shared" si="302"/>
        <v/>
      </c>
      <c r="F2759" s="21" t="str">
        <f>IF(OR(E2759="",E2759="!!!"),"",IF(NOT(ISNA(VLOOKUP(E2759,E$1:E2758,1,FALSE()))),"OLD",IF(AND(E2759&lt;&gt;"",E2759&lt;&gt;"!!!"),"NEW","")))</f>
        <v/>
      </c>
      <c r="G2759" s="22" t="str">
        <f>IF(OR(E2759="",E2759="!!!"),"",IF(OR(J2759=0,AND(J2759=1,K2759=1),AND(J2759=1,I2759="SBJ"),AND(J2759=1,I2759=0)),"?IN_FOCUS",IF(J2759&lt;=2,"?ACTIVATED",IF(J2759&lt;&gt;"","?FAMILIAR",IF(F2759="NEW",IF(ISNA(VLOOKUP(E2759,#REF!,1,FALSE())),"?TYPE_IDENTIFIABLE","?REFERENTIAL"),"_")))))</f>
        <v/>
      </c>
      <c r="H2759" s="23" t="str">
        <f t="shared" ca="1" si="303"/>
        <v/>
      </c>
      <c r="I2759" s="24" t="str">
        <f>IF(OR(E2759="",E2759="!!!",F2759="NEW"),"",INDEX(B$2:B2758,-1+SUMPRODUCT(MAX(ROW(E$2:E2758)*(E2759=E$2:E2758)))))</f>
        <v/>
      </c>
      <c r="J2759" s="24" t="str">
        <f ca="1">IF(OR(E2759="",E2759="!!!",F2759="NEW"),"",COUNTBLANK(OFFSET(A$1,,,SUMPRODUCT(MAX(ROW(E$2:E2759)*(E2759=E$2:E2759)))))-COUNTBLANK(OFFSET(A$1,,,SUMPRODUCT(MAX(ROW(E$1:E2758)*(E2=E$1:E2758))))))</f>
        <v/>
      </c>
      <c r="K2759" s="24" t="str">
        <f>IF(OR(E2759="",E2759="!!!",F2759="NEW"),"",INDEX(J$1:J2758,SUMPRODUCT(MAX(ROW(E$1:E2758)*(E2759=E$1:E2758)))))</f>
        <v/>
      </c>
      <c r="L2759" s="25"/>
    </row>
    <row r="2760" spans="1:12" x14ac:dyDescent="0.2">
      <c r="A2760" t="s">
        <v>802</v>
      </c>
      <c r="E2760" s="20" t="str">
        <f t="shared" si="302"/>
        <v/>
      </c>
      <c r="F2760" s="21" t="str">
        <f>IF(OR(E2760="",E2760="!!!"),"",IF(NOT(ISNA(VLOOKUP(E2760,E$1:E2759,1,FALSE()))),"OLD",IF(AND(E2760&lt;&gt;"",E2760&lt;&gt;"!!!"),"NEW","")))</f>
        <v/>
      </c>
      <c r="G2760" s="22" t="str">
        <f>IF(OR(E2760="",E2760="!!!"),"",IF(OR(J2760=0,AND(J2760=1,K2760=1),AND(J2760=1,I2760="SBJ"),AND(J2760=1,I2760=0)),"?IN_FOCUS",IF(J2760&lt;=2,"?ACTIVATED",IF(J2760&lt;&gt;"","?FAMILIAR",IF(F2760="NEW",IF(ISNA(VLOOKUP(E2760,#REF!,1,FALSE())),"?TYPE_IDENTIFIABLE","?REFERENTIAL"),"_")))))</f>
        <v/>
      </c>
      <c r="H2760" s="23" t="str">
        <f t="shared" ca="1" si="303"/>
        <v/>
      </c>
      <c r="I2760" s="24" t="str">
        <f>IF(OR(E2760="",E2760="!!!",F2760="NEW"),"",INDEX(B$2:B2759,-1+SUMPRODUCT(MAX(ROW(E$2:E2759)*(E2760=E$2:E2759)))))</f>
        <v/>
      </c>
      <c r="J2760" s="24" t="str">
        <f ca="1">IF(OR(E2760="",E2760="!!!",F2760="NEW"),"",COUNTBLANK(OFFSET(A$1,,,SUMPRODUCT(MAX(ROW(E$2:E2760)*(E2760=E$2:E2760)))))-COUNTBLANK(OFFSET(A$1,,,SUMPRODUCT(MAX(ROW(E$1:E2759)*(E2=E$1:E2759))))))</f>
        <v/>
      </c>
      <c r="K2760" s="24" t="str">
        <f>IF(OR(E2760="",E2760="!!!",F2760="NEW"),"",INDEX(J$1:J2759,SUMPRODUCT(MAX(ROW(E$1:E2759)*(E2760=E$1:E2759)))))</f>
        <v/>
      </c>
      <c r="L2760" s="25"/>
    </row>
    <row r="2761" spans="1:12" x14ac:dyDescent="0.2">
      <c r="A2761" t="s">
        <v>1188</v>
      </c>
      <c r="E2761" s="20" t="str">
        <f t="shared" si="302"/>
        <v/>
      </c>
      <c r="F2761" s="21" t="str">
        <f>IF(OR(E2761="",E2761="!!!"),"",IF(NOT(ISNA(VLOOKUP(E2761,E$1:E2760,1,FALSE()))),"OLD",IF(AND(E2761&lt;&gt;"",E2761&lt;&gt;"!!!"),"NEW","")))</f>
        <v/>
      </c>
      <c r="G2761" s="22" t="str">
        <f>IF(OR(E2761="",E2761="!!!"),"",IF(OR(J2761=0,AND(J2761=1,K2761=1),AND(J2761=1,I2761="SBJ"),AND(J2761=1,I2761=0)),"?IN_FOCUS",IF(J2761&lt;=2,"?ACTIVATED",IF(J2761&lt;&gt;"","?FAMILIAR",IF(F2761="NEW",IF(ISNA(VLOOKUP(E2761,#REF!,1,FALSE())),"?TYPE_IDENTIFIABLE","?REFERENTIAL"),"_")))))</f>
        <v/>
      </c>
      <c r="H2761" s="23" t="str">
        <f t="shared" ca="1" si="303"/>
        <v/>
      </c>
      <c r="I2761" s="24" t="str">
        <f>IF(OR(E2761="",E2761="!!!",F2761="NEW"),"",INDEX(B$2:B2760,-1+SUMPRODUCT(MAX(ROW(E$2:E2760)*(E2761=E$2:E2760)))))</f>
        <v/>
      </c>
      <c r="J2761" s="24" t="str">
        <f ca="1">IF(OR(E2761="",E2761="!!!",F2761="NEW"),"",COUNTBLANK(OFFSET(A$1,,,SUMPRODUCT(MAX(ROW(E$2:E2761)*(E2761=E$2:E2761)))))-COUNTBLANK(OFFSET(A$1,,,SUMPRODUCT(MAX(ROW(E$1:E2760)*(E2=E$1:E2760))))))</f>
        <v/>
      </c>
      <c r="K2761" s="24" t="str">
        <f>IF(OR(E2761="",E2761="!!!",F2761="NEW"),"",INDEX(J$1:J2760,SUMPRODUCT(MAX(ROW(E$1:E2760)*(E2761=E$1:E2760)))))</f>
        <v/>
      </c>
      <c r="L2761" s="25"/>
    </row>
    <row r="2762" spans="1:12" x14ac:dyDescent="0.2">
      <c r="A2762" t="s">
        <v>803</v>
      </c>
      <c r="B2762" s="26" t="s">
        <v>950</v>
      </c>
      <c r="C2762" s="26" t="s">
        <v>805</v>
      </c>
      <c r="D2762" s="26" t="s">
        <v>806</v>
      </c>
      <c r="E2762" s="20" t="s">
        <v>1747</v>
      </c>
      <c r="F2762" s="21" t="s">
        <v>1753</v>
      </c>
      <c r="G2762" s="22" t="s">
        <v>1823</v>
      </c>
      <c r="H2762" s="23" t="str">
        <f t="shared" ca="1" si="303"/>
        <v/>
      </c>
      <c r="I2762" s="24" t="str">
        <f>IF(OR(E2762="",E2762="!!!",F2762="NEW"),"",INDEX(B$2:B2761,-1+SUMPRODUCT(MAX(ROW(E$2:E2761)*(E2762=E$2:E2761)))))</f>
        <v>SBJ_2</v>
      </c>
      <c r="J2762" s="24">
        <f ca="1">IF(OR(E2762="",E2762="!!!",F2762="NEW"),"",COUNTBLANK(OFFSET(A$1,,,SUMPRODUCT(MAX(ROW(E$2:E2762)*(E2762=E$2:E2762)))))-COUNTBLANK(OFFSET(A$1,,,SUMPRODUCT(MAX(ROW(E$1:E2761)*(E2=E$1:E2761))))))</f>
        <v>0</v>
      </c>
      <c r="K2762" s="24">
        <f ca="1">IF(OR(E2762="",E2762="!!!",F2762="NEW"),"",INDEX(J$1:J2761,SUMPRODUCT(MAX(ROW(E$1:E2761)*(E2762=E$1:E2761)))))</f>
        <v>0</v>
      </c>
      <c r="L2762" s="25"/>
    </row>
    <row r="2763" spans="1:12" x14ac:dyDescent="0.2">
      <c r="A2763" t="s">
        <v>1598</v>
      </c>
      <c r="E2763" s="20" t="str">
        <f t="shared" si="302"/>
        <v/>
      </c>
      <c r="F2763" s="21" t="str">
        <f>IF(OR(E2763="",E2763="!!!"),"",IF(NOT(ISNA(VLOOKUP(E2763,E$1:E2762,1,FALSE()))),"OLD",IF(AND(E2763&lt;&gt;"",E2763&lt;&gt;"!!!"),"NEW","")))</f>
        <v/>
      </c>
      <c r="G2763" s="22" t="str">
        <f>IF(OR(E2763="",E2763="!!!"),"",IF(OR(J2763=0,AND(J2763=1,K2763=1),AND(J2763=1,I2763="SBJ"),AND(J2763=1,I2763=0)),"?IN_FOCUS",IF(J2763&lt;=2,"?ACTIVATED",IF(J2763&lt;&gt;"","?FAMILIAR",IF(F2763="NEW",IF(ISNA(VLOOKUP(E2763,#REF!,1,FALSE())),"?TYPE_IDENTIFIABLE","?REFERENTIAL"),"_")))))</f>
        <v/>
      </c>
      <c r="H2763" s="23" t="str">
        <f t="shared" ca="1" si="303"/>
        <v/>
      </c>
      <c r="I2763" s="24" t="str">
        <f>IF(OR(E2763="",E2763="!!!",F2763="NEW"),"",INDEX(B$2:B2762,-1+SUMPRODUCT(MAX(ROW(E$2:E2762)*(E2763=E$2:E2762)))))</f>
        <v/>
      </c>
      <c r="J2763" s="24" t="str">
        <f ca="1">IF(OR(E2763="",E2763="!!!",F2763="NEW"),"",COUNTBLANK(OFFSET(A$1,,,SUMPRODUCT(MAX(ROW(E$2:E2763)*(E2763=E$2:E2763)))))-COUNTBLANK(OFFSET(A$1,,,SUMPRODUCT(MAX(ROW(E$1:E2762)*(E2=E$1:E2762))))))</f>
        <v/>
      </c>
      <c r="K2763" s="24" t="str">
        <f>IF(OR(E2763="",E2763="!!!",F2763="NEW"),"",INDEX(J$1:J2762,SUMPRODUCT(MAX(ROW(E$1:E2762)*(E2763=E$1:E2762)))))</f>
        <v/>
      </c>
      <c r="L2763" s="25"/>
    </row>
    <row r="2764" spans="1:12" x14ac:dyDescent="0.2">
      <c r="A2764" t="s">
        <v>90</v>
      </c>
      <c r="E2764" s="20" t="str">
        <f t="shared" si="302"/>
        <v/>
      </c>
      <c r="F2764" s="21" t="str">
        <f>IF(OR(E2764="",E2764="!!!"),"",IF(NOT(ISNA(VLOOKUP(E2764,E$1:E2763,1,FALSE()))),"OLD",IF(AND(E2764&lt;&gt;"",E2764&lt;&gt;"!!!"),"NEW","")))</f>
        <v/>
      </c>
      <c r="G2764" s="22" t="str">
        <f>IF(OR(E2764="",E2764="!!!"),"",IF(OR(J2764=0,AND(J2764=1,K2764=1),AND(J2764=1,I2764="SBJ"),AND(J2764=1,I2764=0)),"?IN_FOCUS",IF(J2764&lt;=2,"?ACTIVATED",IF(J2764&lt;&gt;"","?FAMILIAR",IF(F2764="NEW",IF(ISNA(VLOOKUP(E2764,#REF!,1,FALSE())),"?TYPE_IDENTIFIABLE","?REFERENTIAL"),"_")))))</f>
        <v/>
      </c>
      <c r="H2764" s="23" t="str">
        <f t="shared" ca="1" si="303"/>
        <v/>
      </c>
      <c r="I2764" s="24" t="str">
        <f>IF(OR(E2764="",E2764="!!!",F2764="NEW"),"",INDEX(B$2:B2763,-1+SUMPRODUCT(MAX(ROW(E$2:E2763)*(E2764=E$2:E2763)))))</f>
        <v/>
      </c>
      <c r="J2764" s="24" t="str">
        <f ca="1">IF(OR(E2764="",E2764="!!!",F2764="NEW"),"",COUNTBLANK(OFFSET(A$1,,,SUMPRODUCT(MAX(ROW(E$2:E2764)*(E2764=E$2:E2764)))))-COUNTBLANK(OFFSET(A$1,,,SUMPRODUCT(MAX(ROW(E$1:E2763)*(E2=E$1:E2763))))))</f>
        <v/>
      </c>
      <c r="K2764" s="24" t="str">
        <f>IF(OR(E2764="",E2764="!!!",F2764="NEW"),"",INDEX(J$1:J2763,SUMPRODUCT(MAX(ROW(E$1:E2763)*(E2764=E$1:E2763)))))</f>
        <v/>
      </c>
      <c r="L2764" s="25"/>
    </row>
    <row r="2765" spans="1:12" x14ac:dyDescent="0.2">
      <c r="A2765" t="s">
        <v>830</v>
      </c>
      <c r="B2765" s="26" t="s">
        <v>938</v>
      </c>
      <c r="C2765" s="26" t="s">
        <v>805</v>
      </c>
      <c r="D2765" s="26" t="s">
        <v>806</v>
      </c>
      <c r="E2765" s="20" t="s">
        <v>655</v>
      </c>
      <c r="F2765" s="21" t="str">
        <f>IF(OR(E2765="",E2765="!!!"),"",IF(NOT(ISNA(VLOOKUP(E2765,E$1:E2764,1,FALSE()))),"OLD",IF(AND(E2765&lt;&gt;"",E2765&lt;&gt;"!!!"),"NEW","")))</f>
        <v>NEW</v>
      </c>
      <c r="G2765" s="22" t="s">
        <v>1822</v>
      </c>
      <c r="H2765" s="23" t="str">
        <f t="shared" ca="1" si="303"/>
        <v/>
      </c>
      <c r="I2765" s="24" t="str">
        <f>IF(OR(E2765="",E2765="!!!",F2765="NEW"),"",INDEX(B$2:B2764,-1+SUMPRODUCT(MAX(ROW(E$2:E2764)*(E2765=E$2:E2764)))))</f>
        <v/>
      </c>
      <c r="J2765" s="24" t="str">
        <f ca="1">IF(OR(E2765="",E2765="!!!",F2765="NEW"),"",COUNTBLANK(OFFSET(A$1,,,SUMPRODUCT(MAX(ROW(E$2:E2765)*(E2765=E$2:E2765)))))-COUNTBLANK(OFFSET(A$1,,,SUMPRODUCT(MAX(ROW(E$1:E2764)*(E2=E$1:E2764))))))</f>
        <v/>
      </c>
      <c r="K2765" s="24" t="str">
        <f>IF(OR(E2765="",E2765="!!!",F2765="NEW"),"",INDEX(J$1:J2764,SUMPRODUCT(MAX(ROW(E$1:E2764)*(E2765=E$1:E2764)))))</f>
        <v/>
      </c>
      <c r="L2765" s="25"/>
    </row>
    <row r="2766" spans="1:12" x14ac:dyDescent="0.2">
      <c r="A2766" t="s">
        <v>802</v>
      </c>
      <c r="E2766" s="20" t="str">
        <f t="shared" si="302"/>
        <v/>
      </c>
      <c r="F2766" s="21" t="str">
        <f>IF(OR(E2766="",E2766="!!!"),"",IF(NOT(ISNA(VLOOKUP(E2766,E$1:E2765,1,FALSE()))),"OLD",IF(AND(E2766&lt;&gt;"",E2766&lt;&gt;"!!!"),"NEW","")))</f>
        <v/>
      </c>
      <c r="G2766" s="22" t="str">
        <f>IF(OR(E2766="",E2766="!!!"),"",IF(OR(J2766=0,AND(J2766=1,K2766=1),AND(J2766=1,I2766="SBJ"),AND(J2766=1,I2766=0)),"?IN_FOCUS",IF(J2766&lt;=2,"?ACTIVATED",IF(J2766&lt;&gt;"","?FAMILIAR",IF(F2766="NEW",IF(ISNA(VLOOKUP(E2766,#REF!,1,FALSE())),"?TYPE_IDENTIFIABLE","?REFERENTIAL"),"_")))))</f>
        <v/>
      </c>
      <c r="H2766" s="23" t="str">
        <f t="shared" ca="1" si="303"/>
        <v/>
      </c>
      <c r="I2766" s="24" t="str">
        <f>IF(OR(E2766="",E2766="!!!",F2766="NEW"),"",INDEX(B$2:B2765,-1+SUMPRODUCT(MAX(ROW(E$2:E2765)*(E2766=E$2:E2765)))))</f>
        <v/>
      </c>
      <c r="J2766" s="24" t="str">
        <f ca="1">IF(OR(E2766="",E2766="!!!",F2766="NEW"),"",COUNTBLANK(OFFSET(A$1,,,SUMPRODUCT(MAX(ROW(E$2:E2766)*(E2766=E$2:E2766)))))-COUNTBLANK(OFFSET(A$1,,,SUMPRODUCT(MAX(ROW(E$1:E2765)*(E2=E$1:E2765))))))</f>
        <v/>
      </c>
      <c r="K2766" s="24" t="str">
        <f>IF(OR(E2766="",E2766="!!!",F2766="NEW"),"",INDEX(J$1:J2765,SUMPRODUCT(MAX(ROW(E$1:E2765)*(E2766=E$1:E2765)))))</f>
        <v/>
      </c>
      <c r="L2766" s="25"/>
    </row>
    <row r="2767" spans="1:12" x14ac:dyDescent="0.2">
      <c r="A2767" t="s">
        <v>888</v>
      </c>
      <c r="E2767" s="20" t="str">
        <f t="shared" si="302"/>
        <v/>
      </c>
      <c r="F2767" s="21" t="str">
        <f>IF(OR(E2767="",E2767="!!!"),"",IF(NOT(ISNA(VLOOKUP(E2767,E$1:E2766,1,FALSE()))),"OLD",IF(AND(E2767&lt;&gt;"",E2767&lt;&gt;"!!!"),"NEW","")))</f>
        <v/>
      </c>
      <c r="G2767" s="22" t="str">
        <f>IF(OR(E2767="",E2767="!!!"),"",IF(OR(J2767=0,AND(J2767=1,K2767=1),AND(J2767=1,I2767="SBJ"),AND(J2767=1,I2767=0)),"?IN_FOCUS",IF(J2767&lt;=2,"?ACTIVATED",IF(J2767&lt;&gt;"","?FAMILIAR",IF(F2767="NEW",IF(ISNA(VLOOKUP(E2767,#REF!,1,FALSE())),"?TYPE_IDENTIFIABLE","?REFERENTIAL"),"_")))))</f>
        <v/>
      </c>
      <c r="H2767" s="23" t="str">
        <f t="shared" ca="1" si="303"/>
        <v/>
      </c>
      <c r="I2767" s="24" t="str">
        <f>IF(OR(E2767="",E2767="!!!",F2767="NEW"),"",INDEX(B$2:B2766,-1+SUMPRODUCT(MAX(ROW(E$2:E2766)*(E2767=E$2:E2766)))))</f>
        <v/>
      </c>
      <c r="J2767" s="24" t="str">
        <f ca="1">IF(OR(E2767="",E2767="!!!",F2767="NEW"),"",COUNTBLANK(OFFSET(A$1,,,SUMPRODUCT(MAX(ROW(E$2:E2767)*(E2767=E$2:E2767)))))-COUNTBLANK(OFFSET(A$1,,,SUMPRODUCT(MAX(ROW(E$1:E2766)*(E2=E$1:E2766))))))</f>
        <v/>
      </c>
      <c r="K2767" s="24" t="str">
        <f>IF(OR(E2767="",E2767="!!!",F2767="NEW"),"",INDEX(J$1:J2766,SUMPRODUCT(MAX(ROW(E$1:E2766)*(E2767=E$1:E2766)))))</f>
        <v/>
      </c>
      <c r="L2767" s="25"/>
    </row>
    <row r="2768" spans="1:12" x14ac:dyDescent="0.2">
      <c r="A2768" t="s">
        <v>544</v>
      </c>
      <c r="E2768" s="20" t="str">
        <f t="shared" si="302"/>
        <v/>
      </c>
      <c r="F2768" s="21" t="str">
        <f>IF(OR(E2768="",E2768="!!!"),"",IF(NOT(ISNA(VLOOKUP(E2768,E$1:E2767,1,FALSE()))),"OLD",IF(AND(E2768&lt;&gt;"",E2768&lt;&gt;"!!!"),"NEW","")))</f>
        <v/>
      </c>
      <c r="G2768" s="22" t="str">
        <f>IF(OR(E2768="",E2768="!!!"),"",IF(OR(J2768=0,AND(J2768=1,K2768=1),AND(J2768=1,I2768="SBJ"),AND(J2768=1,I2768=0)),"?IN_FOCUS",IF(J2768&lt;=2,"?ACTIVATED",IF(J2768&lt;&gt;"","?FAMILIAR",IF(F2768="NEW",IF(ISNA(VLOOKUP(E2768,#REF!,1,FALSE())),"?TYPE_IDENTIFIABLE","?REFERENTIAL"),"_")))))</f>
        <v/>
      </c>
      <c r="H2768" s="23" t="str">
        <f t="shared" ca="1" si="303"/>
        <v/>
      </c>
      <c r="I2768" s="24" t="str">
        <f>IF(OR(E2768="",E2768="!!!",F2768="NEW"),"",INDEX(B$2:B2767,-1+SUMPRODUCT(MAX(ROW(E$2:E2767)*(E2768=E$2:E2767)))))</f>
        <v/>
      </c>
      <c r="J2768" s="24" t="str">
        <f ca="1">IF(OR(E2768="",E2768="!!!",F2768="NEW"),"",COUNTBLANK(OFFSET(A$1,,,SUMPRODUCT(MAX(ROW(E$2:E2768)*(E2768=E$2:E2768)))))-COUNTBLANK(OFFSET(A$1,,,SUMPRODUCT(MAX(ROW(E$1:E2767)*(E2=E$1:E2767))))))</f>
        <v/>
      </c>
      <c r="K2768" s="24" t="str">
        <f>IF(OR(E2768="",E2768="!!!",F2768="NEW"),"",INDEX(J$1:J2767,SUMPRODUCT(MAX(ROW(E$1:E2767)*(E2768=E$1:E2767)))))</f>
        <v/>
      </c>
      <c r="L2768" s="25"/>
    </row>
    <row r="2769" spans="1:12" x14ac:dyDescent="0.2">
      <c r="A2769" t="s">
        <v>1486</v>
      </c>
      <c r="E2769" s="20" t="str">
        <f t="shared" si="302"/>
        <v/>
      </c>
      <c r="F2769" s="21" t="str">
        <f>IF(OR(E2769="",E2769="!!!"),"",IF(NOT(ISNA(VLOOKUP(E2769,E$1:E2768,1,FALSE()))),"OLD",IF(AND(E2769&lt;&gt;"",E2769&lt;&gt;"!!!"),"NEW","")))</f>
        <v/>
      </c>
      <c r="G2769" s="22" t="str">
        <f>IF(OR(E2769="",E2769="!!!"),"",IF(OR(J2769=0,AND(J2769=1,K2769=1),AND(J2769=1,I2769="SBJ"),AND(J2769=1,I2769=0)),"?IN_FOCUS",IF(J2769&lt;=2,"?ACTIVATED",IF(J2769&lt;&gt;"","?FAMILIAR",IF(F2769="NEW",IF(ISNA(VLOOKUP(E2769,#REF!,1,FALSE())),"?TYPE_IDENTIFIABLE","?REFERENTIAL"),"_")))))</f>
        <v/>
      </c>
      <c r="H2769" s="23" t="str">
        <f t="shared" ca="1" si="303"/>
        <v/>
      </c>
      <c r="I2769" s="24" t="str">
        <f>IF(OR(E2769="",E2769="!!!",F2769="NEW"),"",INDEX(B$2:B2768,-1+SUMPRODUCT(MAX(ROW(E$2:E2768)*(E2769=E$2:E2768)))))</f>
        <v/>
      </c>
      <c r="J2769" s="24" t="str">
        <f ca="1">IF(OR(E2769="",E2769="!!!",F2769="NEW"),"",COUNTBLANK(OFFSET(A$1,,,SUMPRODUCT(MAX(ROW(E$2:E2769)*(E2769=E$2:E2769)))))-COUNTBLANK(OFFSET(A$1,,,SUMPRODUCT(MAX(ROW(E$1:E2768)*(E2=E$1:E2768))))))</f>
        <v/>
      </c>
      <c r="K2769" s="24" t="str">
        <f>IF(OR(E2769="",E2769="!!!",F2769="NEW"),"",INDEX(J$1:J2768,SUMPRODUCT(MAX(ROW(E$1:E2768)*(E2769=E$1:E2768)))))</f>
        <v/>
      </c>
      <c r="L2769" s="25"/>
    </row>
    <row r="2770" spans="1:12" x14ac:dyDescent="0.2">
      <c r="A2770" t="s">
        <v>866</v>
      </c>
      <c r="B2770" s="26" t="s">
        <v>891</v>
      </c>
      <c r="C2770" s="26" t="s">
        <v>805</v>
      </c>
      <c r="D2770" s="26" t="s">
        <v>806</v>
      </c>
      <c r="E2770" s="20" t="s">
        <v>1761</v>
      </c>
      <c r="F2770" s="21" t="str">
        <f>IF(OR(E2770="",E2770="!!!"),"",IF(NOT(ISNA(VLOOKUP(E2770,E$1:E2769,1,FALSE()))),"OLD",IF(AND(E2770&lt;&gt;"",E2770&lt;&gt;"!!!"),"NEW","")))</f>
        <v>OLD</v>
      </c>
      <c r="G2770" s="22" t="s">
        <v>1822</v>
      </c>
      <c r="H2770" s="23" t="str">
        <f t="shared" ca="1" si="303"/>
        <v/>
      </c>
      <c r="I2770" s="24" t="str">
        <f>IF(OR(E2770="",E2770="!!!",F2770="NEW"),"",INDEX(B$2:B2769,-1+SUMPRODUCT(MAX(ROW(E$2:E2769)*(E2770=E$2:E2769)))))</f>
        <v>other_4</v>
      </c>
      <c r="J2770" s="24">
        <f ca="1">IF(OR(E2770="",E2770="!!!",F2770="NEW"),"",COUNTBLANK(OFFSET(A$1,,,SUMPRODUCT(MAX(ROW(E$2:E2770)*(E2770=E$2:E2770)))))-COUNTBLANK(OFFSET(A$1,,,SUMPRODUCT(MAX(ROW(E$1:E2769)*(E2=E$1:E2769))))))</f>
        <v>0</v>
      </c>
      <c r="K2770" s="24">
        <f ca="1">IF(OR(E2770="",E2770="!!!",F2770="NEW"),"",INDEX(J$1:J2769,SUMPRODUCT(MAX(ROW(E$1:E2769)*(E2770=E$1:E2769)))))</f>
        <v>0</v>
      </c>
      <c r="L2770" s="25"/>
    </row>
    <row r="2771" spans="1:12" x14ac:dyDescent="0.2">
      <c r="A2771" t="s">
        <v>802</v>
      </c>
      <c r="E2771" s="20" t="str">
        <f t="shared" si="302"/>
        <v/>
      </c>
      <c r="F2771" s="21" t="str">
        <f>IF(OR(E2771="",E2771="!!!"),"",IF(NOT(ISNA(VLOOKUP(E2771,E$1:E2770,1,FALSE()))),"OLD",IF(AND(E2771&lt;&gt;"",E2771&lt;&gt;"!!!"),"NEW","")))</f>
        <v/>
      </c>
      <c r="G2771" s="22" t="str">
        <f>IF(OR(E2771="",E2771="!!!"),"",IF(OR(J2771=0,AND(J2771=1,K2771=1),AND(J2771=1,I2771="SBJ"),AND(J2771=1,I2771=0)),"?IN_FOCUS",IF(J2771&lt;=2,"?ACTIVATED",IF(J2771&lt;&gt;"","?FAMILIAR",IF(F2771="NEW",IF(ISNA(VLOOKUP(E2771,#REF!,1,FALSE())),"?TYPE_IDENTIFIABLE","?REFERENTIAL"),"_")))))</f>
        <v/>
      </c>
      <c r="H2771" s="23" t="str">
        <f t="shared" ca="1" si="303"/>
        <v/>
      </c>
      <c r="I2771" s="24" t="str">
        <f>IF(OR(E2771="",E2771="!!!",F2771="NEW"),"",INDEX(B$2:B2770,-1+SUMPRODUCT(MAX(ROW(E$2:E2770)*(E2771=E$2:E2770)))))</f>
        <v/>
      </c>
      <c r="J2771" s="24" t="str">
        <f ca="1">IF(OR(E2771="",E2771="!!!",F2771="NEW"),"",COUNTBLANK(OFFSET(A$1,,,SUMPRODUCT(MAX(ROW(E$2:E2771)*(E2771=E$2:E2771)))))-COUNTBLANK(OFFSET(A$1,,,SUMPRODUCT(MAX(ROW(E$1:E2770)*(E2=E$1:E2770))))))</f>
        <v/>
      </c>
      <c r="K2771" s="24" t="str">
        <f>IF(OR(E2771="",E2771="!!!",F2771="NEW"),"",INDEX(J$1:J2770,SUMPRODUCT(MAX(ROW(E$1:E2770)*(E2771=E$1:E2770)))))</f>
        <v/>
      </c>
      <c r="L2771" s="25"/>
    </row>
    <row r="2772" spans="1:12" x14ac:dyDescent="0.2">
      <c r="A2772" t="s">
        <v>1127</v>
      </c>
      <c r="E2772" s="20" t="str">
        <f t="shared" si="302"/>
        <v/>
      </c>
      <c r="F2772" s="21" t="str">
        <f>IF(OR(E2772="",E2772="!!!"),"",IF(NOT(ISNA(VLOOKUP(E2772,E$1:E2771,1,FALSE()))),"OLD",IF(AND(E2772&lt;&gt;"",E2772&lt;&gt;"!!!"),"NEW","")))</f>
        <v/>
      </c>
      <c r="G2772" s="22" t="str">
        <f>IF(OR(E2772="",E2772="!!!"),"",IF(OR(J2772=0,AND(J2772=1,K2772=1),AND(J2772=1,I2772="SBJ"),AND(J2772=1,I2772=0)),"?IN_FOCUS",IF(J2772&lt;=2,"?ACTIVATED",IF(J2772&lt;&gt;"","?FAMILIAR",IF(F2772="NEW",IF(ISNA(VLOOKUP(E2772,#REF!,1,FALSE())),"?TYPE_IDENTIFIABLE","?REFERENTIAL"),"_")))))</f>
        <v/>
      </c>
      <c r="H2772" s="23" t="str">
        <f t="shared" ca="1" si="303"/>
        <v/>
      </c>
      <c r="I2772" s="24" t="str">
        <f>IF(OR(E2772="",E2772="!!!",F2772="NEW"),"",INDEX(B$2:B2771,-1+SUMPRODUCT(MAX(ROW(E$2:E2771)*(E2772=E$2:E2771)))))</f>
        <v/>
      </c>
      <c r="J2772" s="24" t="str">
        <f ca="1">IF(OR(E2772="",E2772="!!!",F2772="NEW"),"",COUNTBLANK(OFFSET(A$1,,,SUMPRODUCT(MAX(ROW(E$2:E2772)*(E2772=E$2:E2772)))))-COUNTBLANK(OFFSET(A$1,,,SUMPRODUCT(MAX(ROW(E$1:E2771)*(E2=E$1:E2771))))))</f>
        <v/>
      </c>
      <c r="K2772" s="24" t="str">
        <f>IF(OR(E2772="",E2772="!!!",F2772="NEW"),"",INDEX(J$1:J2771,SUMPRODUCT(MAX(ROW(E$1:E2771)*(E2772=E$1:E2771)))))</f>
        <v/>
      </c>
      <c r="L2772" s="25"/>
    </row>
    <row r="2773" spans="1:12" x14ac:dyDescent="0.2">
      <c r="A2773" t="s">
        <v>875</v>
      </c>
      <c r="E2773" s="20" t="str">
        <f t="shared" si="302"/>
        <v/>
      </c>
      <c r="F2773" s="21" t="str">
        <f>IF(OR(E2773="",E2773="!!!"),"",IF(NOT(ISNA(VLOOKUP(E2773,E$1:E2772,1,FALSE()))),"OLD",IF(AND(E2773&lt;&gt;"",E2773&lt;&gt;"!!!"),"NEW","")))</f>
        <v/>
      </c>
      <c r="G2773" s="22" t="str">
        <f>IF(OR(E2773="",E2773="!!!"),"",IF(OR(J2773=0,AND(J2773=1,K2773=1),AND(J2773=1,I2773="SBJ"),AND(J2773=1,I2773=0)),"?IN_FOCUS",IF(J2773&lt;=2,"?ACTIVATED",IF(J2773&lt;&gt;"","?FAMILIAR",IF(F2773="NEW",IF(ISNA(VLOOKUP(E2773,#REF!,1,FALSE())),"?TYPE_IDENTIFIABLE","?REFERENTIAL"),"_")))))</f>
        <v/>
      </c>
      <c r="H2773" s="23" t="str">
        <f t="shared" ca="1" si="303"/>
        <v/>
      </c>
      <c r="I2773" s="24" t="str">
        <f>IF(OR(E2773="",E2773="!!!",F2773="NEW"),"",INDEX(B$2:B2772,-1+SUMPRODUCT(MAX(ROW(E$2:E2772)*(E2773=E$2:E2772)))))</f>
        <v/>
      </c>
      <c r="J2773" s="24" t="str">
        <f ca="1">IF(OR(E2773="",E2773="!!!",F2773="NEW"),"",COUNTBLANK(OFFSET(A$1,,,SUMPRODUCT(MAX(ROW(E$2:E2773)*(E2773=E$2:E2773)))))-COUNTBLANK(OFFSET(A$1,,,SUMPRODUCT(MAX(ROW(E$1:E2772)*(E2=E$1:E2772))))))</f>
        <v/>
      </c>
      <c r="K2773" s="24" t="str">
        <f>IF(OR(E2773="",E2773="!!!",F2773="NEW"),"",INDEX(J$1:J2772,SUMPRODUCT(MAX(ROW(E$1:E2772)*(E2773=E$1:E2772)))))</f>
        <v/>
      </c>
      <c r="L2773" s="25"/>
    </row>
    <row r="2774" spans="1:12" x14ac:dyDescent="0.2">
      <c r="A2774" t="s">
        <v>19</v>
      </c>
      <c r="E2774" s="20" t="str">
        <f t="shared" si="302"/>
        <v/>
      </c>
      <c r="F2774" s="21" t="str">
        <f>IF(OR(E2774="",E2774="!!!"),"",IF(NOT(ISNA(VLOOKUP(E2774,E$1:E2773,1,FALSE()))),"OLD",IF(AND(E2774&lt;&gt;"",E2774&lt;&gt;"!!!"),"NEW","")))</f>
        <v/>
      </c>
      <c r="G2774" s="22" t="str">
        <f>IF(OR(E2774="",E2774="!!!"),"",IF(OR(J2774=0,AND(J2774=1,K2774=1),AND(J2774=1,I2774="SBJ"),AND(J2774=1,I2774=0)),"?IN_FOCUS",IF(J2774&lt;=2,"?ACTIVATED",IF(J2774&lt;&gt;"","?FAMILIAR",IF(F2774="NEW",IF(ISNA(VLOOKUP(E2774,#REF!,1,FALSE())),"?TYPE_IDENTIFIABLE","?REFERENTIAL"),"_")))))</f>
        <v/>
      </c>
      <c r="H2774" s="23" t="str">
        <f t="shared" ca="1" si="303"/>
        <v/>
      </c>
      <c r="I2774" s="24" t="str">
        <f>IF(OR(E2774="",E2774="!!!",F2774="NEW"),"",INDEX(B$2:B2773,-1+SUMPRODUCT(MAX(ROW(E$2:E2773)*(E2774=E$2:E2773)))))</f>
        <v/>
      </c>
      <c r="J2774" s="24" t="str">
        <f ca="1">IF(OR(E2774="",E2774="!!!",F2774="NEW"),"",COUNTBLANK(OFFSET(A$1,,,SUMPRODUCT(MAX(ROW(E$2:E2774)*(E2774=E$2:E2774)))))-COUNTBLANK(OFFSET(A$1,,,SUMPRODUCT(MAX(ROW(E$1:E2773)*(E2=E$1:E2773))))))</f>
        <v/>
      </c>
      <c r="K2774" s="24" t="str">
        <f>IF(OR(E2774="",E2774="!!!",F2774="NEW"),"",INDEX(J$1:J2773,SUMPRODUCT(MAX(ROW(E$1:E2773)*(E2774=E$1:E2773)))))</f>
        <v/>
      </c>
      <c r="L2774" s="25"/>
    </row>
    <row r="2775" spans="1:12" x14ac:dyDescent="0.2">
      <c r="A2775" t="s">
        <v>1148</v>
      </c>
      <c r="B2775" s="26" t="s">
        <v>944</v>
      </c>
      <c r="C2775" s="26" t="s">
        <v>877</v>
      </c>
      <c r="D2775" s="26" t="s">
        <v>806</v>
      </c>
      <c r="E2775" s="20" t="s">
        <v>1772</v>
      </c>
      <c r="F2775" s="21" t="str">
        <f>IF(OR(E2775="",E2775="!!!"),"",IF(NOT(ISNA(VLOOKUP(E2775,E$1:E2774,1,FALSE()))),"OLD",IF(AND(E2775&lt;&gt;"",E2775&lt;&gt;"!!!"),"NEW","")))</f>
        <v>OLD</v>
      </c>
      <c r="G2775" s="22" t="s">
        <v>1823</v>
      </c>
      <c r="H2775" s="23" t="str">
        <f t="shared" ca="1" si="303"/>
        <v/>
      </c>
      <c r="I2775" s="24" t="str">
        <f>IF(OR(E2775="",E2775="!!!",F2775="NEW"),"",INDEX(B$2:B2774,-1+SUMPRODUCT(MAX(ROW(E$2:E2774)*(E2775=E$2:E2774)))))</f>
        <v>SBJ</v>
      </c>
      <c r="J2775" s="24">
        <f ca="1">IF(OR(E2775="",E2775="!!!",F2775="NEW"),"",COUNTBLANK(OFFSET(A$1,,,SUMPRODUCT(MAX(ROW(E$2:E2775)*(E2775=E$2:E2775)))))-COUNTBLANK(OFFSET(A$1,,,SUMPRODUCT(MAX(ROW(E$1:E2774)*(E2=E$1:E2774))))))</f>
        <v>0</v>
      </c>
      <c r="K2775" s="24" t="str">
        <f ca="1">IF(OR(E2775="",E2775="!!!",F2775="NEW"),"",INDEX(J$1:J2774,SUMPRODUCT(MAX(ROW(E$1:E2774)*(E2775=E$1:E2774)))))</f>
        <v/>
      </c>
      <c r="L2775" s="25"/>
    </row>
    <row r="2776" spans="1:12" x14ac:dyDescent="0.2">
      <c r="A2776" t="s">
        <v>802</v>
      </c>
      <c r="E2776" s="20" t="str">
        <f t="shared" si="302"/>
        <v/>
      </c>
      <c r="F2776" s="21" t="str">
        <f>IF(OR(E2776="",E2776="!!!"),"",IF(NOT(ISNA(VLOOKUP(E2776,E$1:E2775,1,FALSE()))),"OLD",IF(AND(E2776&lt;&gt;"",E2776&lt;&gt;"!!!"),"NEW","")))</f>
        <v/>
      </c>
      <c r="G2776" s="22" t="str">
        <f>IF(OR(E2776="",E2776="!!!"),"",IF(OR(J2776=0,AND(J2776=1,K2776=1),AND(J2776=1,I2776="SBJ"),AND(J2776=1,I2776=0)),"?IN_FOCUS",IF(J2776&lt;=2,"?ACTIVATED",IF(J2776&lt;&gt;"","?FAMILIAR",IF(F2776="NEW",IF(ISNA(VLOOKUP(E2776,#REF!,1,FALSE())),"?TYPE_IDENTIFIABLE","?REFERENTIAL"),"_")))))</f>
        <v/>
      </c>
      <c r="H2776" s="23" t="str">
        <f t="shared" ca="1" si="303"/>
        <v/>
      </c>
      <c r="I2776" s="24" t="str">
        <f>IF(OR(E2776="",E2776="!!!",F2776="NEW"),"",INDEX(B$2:B2775,-1+SUMPRODUCT(MAX(ROW(E$2:E2775)*(E2776=E$2:E2775)))))</f>
        <v/>
      </c>
      <c r="J2776" s="24" t="str">
        <f ca="1">IF(OR(E2776="",E2776="!!!",F2776="NEW"),"",COUNTBLANK(OFFSET(A$1,,,SUMPRODUCT(MAX(ROW(E$2:E2776)*(E2776=E$2:E2776)))))-COUNTBLANK(OFFSET(A$1,,,SUMPRODUCT(MAX(ROW(E$1:E2775)*(E2=E$1:E2775))))))</f>
        <v/>
      </c>
      <c r="K2776" s="24" t="str">
        <f>IF(OR(E2776="",E2776="!!!",F2776="NEW"),"",INDEX(J$1:J2775,SUMPRODUCT(MAX(ROW(E$1:E2775)*(E2776=E$1:E2775)))))</f>
        <v/>
      </c>
      <c r="L2776" s="25"/>
    </row>
    <row r="2777" spans="1:12" x14ac:dyDescent="0.2">
      <c r="A2777" t="s">
        <v>1599</v>
      </c>
      <c r="E2777" s="20" t="str">
        <f t="shared" si="302"/>
        <v/>
      </c>
      <c r="F2777" s="21" t="str">
        <f>IF(OR(E2777="",E2777="!!!"),"",IF(NOT(ISNA(VLOOKUP(E2777,E$1:E2776,1,FALSE()))),"OLD",IF(AND(E2777&lt;&gt;"",E2777&lt;&gt;"!!!"),"NEW","")))</f>
        <v/>
      </c>
      <c r="G2777" s="22" t="str">
        <f>IF(OR(E2777="",E2777="!!!"),"",IF(OR(J2777=0,AND(J2777=1,K2777=1),AND(J2777=1,I2777="SBJ"),AND(J2777=1,I2777=0)),"?IN_FOCUS",IF(J2777&lt;=2,"?ACTIVATED",IF(J2777&lt;&gt;"","?FAMILIAR",IF(F2777="NEW",IF(ISNA(VLOOKUP(E2777,#REF!,1,FALSE())),"?TYPE_IDENTIFIABLE","?REFERENTIAL"),"_")))))</f>
        <v/>
      </c>
      <c r="H2777" s="23" t="str">
        <f t="shared" ca="1" si="303"/>
        <v/>
      </c>
      <c r="I2777" s="24" t="str">
        <f>IF(OR(E2777="",E2777="!!!",F2777="NEW"),"",INDEX(B$2:B2776,-1+SUMPRODUCT(MAX(ROW(E$2:E2776)*(E2777=E$2:E2776)))))</f>
        <v/>
      </c>
      <c r="J2777" s="24" t="str">
        <f ca="1">IF(OR(E2777="",E2777="!!!",F2777="NEW"),"",COUNTBLANK(OFFSET(A$1,,,SUMPRODUCT(MAX(ROW(E$2:E2777)*(E2777=E$2:E2777)))))-COUNTBLANK(OFFSET(A$1,,,SUMPRODUCT(MAX(ROW(E$1:E2776)*(E2=E$1:E2776))))))</f>
        <v/>
      </c>
      <c r="K2777" s="24" t="str">
        <f>IF(OR(E2777="",E2777="!!!",F2777="NEW"),"",INDEX(J$1:J2776,SUMPRODUCT(MAX(ROW(E$1:E2776)*(E2777=E$1:E2776)))))</f>
        <v/>
      </c>
      <c r="L2777" s="25"/>
    </row>
    <row r="2778" spans="1:12" x14ac:dyDescent="0.2">
      <c r="A2778" t="s">
        <v>1150</v>
      </c>
      <c r="E2778" s="20" t="str">
        <f t="shared" si="302"/>
        <v/>
      </c>
      <c r="F2778" s="21" t="str">
        <f>IF(OR(E2778="",E2778="!!!"),"",IF(NOT(ISNA(VLOOKUP(E2778,E$1:E2777,1,FALSE()))),"OLD",IF(AND(E2778&lt;&gt;"",E2778&lt;&gt;"!!!"),"NEW","")))</f>
        <v/>
      </c>
      <c r="G2778" s="22" t="str">
        <f>IF(OR(E2778="",E2778="!!!"),"",IF(OR(J2778=0,AND(J2778=1,K2778=1),AND(J2778=1,I2778="SBJ"),AND(J2778=1,I2778=0)),"?IN_FOCUS",IF(J2778&lt;=2,"?ACTIVATED",IF(J2778&lt;&gt;"","?FAMILIAR",IF(F2778="NEW",IF(ISNA(VLOOKUP(E2778,#REF!,1,FALSE())),"?TYPE_IDENTIFIABLE","?REFERENTIAL"),"_")))))</f>
        <v/>
      </c>
      <c r="H2778" s="23" t="str">
        <f t="shared" ca="1" si="303"/>
        <v/>
      </c>
      <c r="I2778" s="24" t="str">
        <f>IF(OR(E2778="",E2778="!!!",F2778="NEW"),"",INDEX(B$2:B2777,-1+SUMPRODUCT(MAX(ROW(E$2:E2777)*(E2778=E$2:E2777)))))</f>
        <v/>
      </c>
      <c r="J2778" s="24" t="str">
        <f ca="1">IF(OR(E2778="",E2778="!!!",F2778="NEW"),"",COUNTBLANK(OFFSET(A$1,,,SUMPRODUCT(MAX(ROW(E$2:E2778)*(E2778=E$2:E2778)))))-COUNTBLANK(OFFSET(A$1,,,SUMPRODUCT(MAX(ROW(E$1:E2777)*(E2=E$1:E2777))))))</f>
        <v/>
      </c>
      <c r="K2778" s="24" t="str">
        <f>IF(OR(E2778="",E2778="!!!",F2778="NEW"),"",INDEX(J$1:J2777,SUMPRODUCT(MAX(ROW(E$1:E2777)*(E2778=E$1:E2777)))))</f>
        <v/>
      </c>
      <c r="L2778" s="25"/>
    </row>
    <row r="2779" spans="1:12" x14ac:dyDescent="0.2">
      <c r="A2779" t="s">
        <v>802</v>
      </c>
      <c r="E2779" s="20" t="str">
        <f t="shared" si="302"/>
        <v/>
      </c>
      <c r="F2779" s="21" t="str">
        <f>IF(OR(E2779="",E2779="!!!"),"",IF(NOT(ISNA(VLOOKUP(E2779,E$1:E2778,1,FALSE()))),"OLD",IF(AND(E2779&lt;&gt;"",E2779&lt;&gt;"!!!"),"NEW","")))</f>
        <v/>
      </c>
      <c r="G2779" s="22" t="str">
        <f>IF(OR(E2779="",E2779="!!!"),"",IF(OR(J2779=0,AND(J2779=1,K2779=1),AND(J2779=1,I2779="SBJ"),AND(J2779=1,I2779=0)),"?IN_FOCUS",IF(J2779&lt;=2,"?ACTIVATED",IF(J2779&lt;&gt;"","?FAMILIAR",IF(F2779="NEW",IF(ISNA(VLOOKUP(E2779,#REF!,1,FALSE())),"?TYPE_IDENTIFIABLE","?REFERENTIAL"),"_")))))</f>
        <v/>
      </c>
      <c r="H2779" s="23" t="str">
        <f t="shared" ca="1" si="303"/>
        <v/>
      </c>
      <c r="I2779" s="24" t="str">
        <f>IF(OR(E2779="",E2779="!!!",F2779="NEW"),"",INDEX(B$2:B2778,-1+SUMPRODUCT(MAX(ROW(E$2:E2778)*(E2779=E$2:E2778)))))</f>
        <v/>
      </c>
      <c r="J2779" s="24" t="str">
        <f ca="1">IF(OR(E2779="",E2779="!!!",F2779="NEW"),"",COUNTBLANK(OFFSET(A$1,,,SUMPRODUCT(MAX(ROW(E$2:E2779)*(E2779=E$2:E2779)))))-COUNTBLANK(OFFSET(A$1,,,SUMPRODUCT(MAX(ROW(E$1:E2778)*(E2=E$1:E2778))))))</f>
        <v/>
      </c>
      <c r="K2779" s="24" t="str">
        <f>IF(OR(E2779="",E2779="!!!",F2779="NEW"),"",INDEX(J$1:J2778,SUMPRODUCT(MAX(ROW(E$1:E2778)*(E2779=E$1:E2778)))))</f>
        <v/>
      </c>
      <c r="L2779" s="25"/>
    </row>
    <row r="2780" spans="1:12" x14ac:dyDescent="0.2">
      <c r="A2780" t="s">
        <v>963</v>
      </c>
      <c r="E2780" s="20" t="str">
        <f t="shared" si="302"/>
        <v/>
      </c>
      <c r="F2780" s="21" t="str">
        <f>IF(OR(E2780="",E2780="!!!"),"",IF(NOT(ISNA(VLOOKUP(E2780,E$1:E2779,1,FALSE()))),"OLD",IF(AND(E2780&lt;&gt;"",E2780&lt;&gt;"!!!"),"NEW","")))</f>
        <v/>
      </c>
      <c r="G2780" s="22" t="str">
        <f>IF(OR(E2780="",E2780="!!!"),"",IF(OR(J2780=0,AND(J2780=1,K2780=1),AND(J2780=1,I2780="SBJ"),AND(J2780=1,I2780=0)),"?IN_FOCUS",IF(J2780&lt;=2,"?ACTIVATED",IF(J2780&lt;&gt;"","?FAMILIAR",IF(F2780="NEW",IF(ISNA(VLOOKUP(E2780,#REF!,1,FALSE())),"?TYPE_IDENTIFIABLE","?REFERENTIAL"),"_")))))</f>
        <v/>
      </c>
      <c r="H2780" s="23" t="str">
        <f t="shared" ca="1" si="303"/>
        <v/>
      </c>
      <c r="I2780" s="24" t="str">
        <f>IF(OR(E2780="",E2780="!!!",F2780="NEW"),"",INDEX(B$2:B2779,-1+SUMPRODUCT(MAX(ROW(E$2:E2779)*(E2780=E$2:E2779)))))</f>
        <v/>
      </c>
      <c r="J2780" s="24" t="str">
        <f ca="1">IF(OR(E2780="",E2780="!!!",F2780="NEW"),"",COUNTBLANK(OFFSET(A$1,,,SUMPRODUCT(MAX(ROW(E$2:E2780)*(E2780=E$2:E2780)))))-COUNTBLANK(OFFSET(A$1,,,SUMPRODUCT(MAX(ROW(E$1:E2779)*(E2=E$1:E2779))))))</f>
        <v/>
      </c>
      <c r="K2780" s="24" t="str">
        <f>IF(OR(E2780="",E2780="!!!",F2780="NEW"),"",INDEX(J$1:J2779,SUMPRODUCT(MAX(ROW(E$1:E2779)*(E2780=E$1:E2779)))))</f>
        <v/>
      </c>
      <c r="L2780" s="25"/>
    </row>
    <row r="2781" spans="1:12" x14ac:dyDescent="0.2">
      <c r="A2781" t="s">
        <v>1481</v>
      </c>
      <c r="E2781" s="20" t="str">
        <f t="shared" si="302"/>
        <v/>
      </c>
      <c r="F2781" s="21" t="str">
        <f>IF(OR(E2781="",E2781="!!!"),"",IF(NOT(ISNA(VLOOKUP(E2781,E$1:E2780,1,FALSE()))),"OLD",IF(AND(E2781&lt;&gt;"",E2781&lt;&gt;"!!!"),"NEW","")))</f>
        <v/>
      </c>
      <c r="G2781" s="22" t="str">
        <f>IF(OR(E2781="",E2781="!!!"),"",IF(OR(J2781=0,AND(J2781=1,K2781=1),AND(J2781=1,I2781="SBJ"),AND(J2781=1,I2781=0)),"?IN_FOCUS",IF(J2781&lt;=2,"?ACTIVATED",IF(J2781&lt;&gt;"","?FAMILIAR",IF(F2781="NEW",IF(ISNA(VLOOKUP(E2781,#REF!,1,FALSE())),"?TYPE_IDENTIFIABLE","?REFERENTIAL"),"_")))))</f>
        <v/>
      </c>
      <c r="H2781" s="23" t="str">
        <f t="shared" ca="1" si="303"/>
        <v/>
      </c>
      <c r="I2781" s="24" t="str">
        <f>IF(OR(E2781="",E2781="!!!",F2781="NEW"),"",INDEX(B$2:B2780,-1+SUMPRODUCT(MAX(ROW(E$2:E2780)*(E2781=E$2:E2780)))))</f>
        <v/>
      </c>
      <c r="J2781" s="24" t="str">
        <f ca="1">IF(OR(E2781="",E2781="!!!",F2781="NEW"),"",COUNTBLANK(OFFSET(A$1,,,SUMPRODUCT(MAX(ROW(E$2:E2781)*(E2781=E$2:E2781)))))-COUNTBLANK(OFFSET(A$1,,,SUMPRODUCT(MAX(ROW(E$1:E2780)*(E2=E$1:E2780))))))</f>
        <v/>
      </c>
      <c r="K2781" s="24" t="str">
        <f>IF(OR(E2781="",E2781="!!!",F2781="NEW"),"",INDEX(J$1:J2780,SUMPRODUCT(MAX(ROW(E$1:E2780)*(E2781=E$1:E2780)))))</f>
        <v/>
      </c>
      <c r="L2781" s="25"/>
    </row>
    <row r="2782" spans="1:12" x14ac:dyDescent="0.2">
      <c r="A2782" t="s">
        <v>1600</v>
      </c>
      <c r="E2782" s="20" t="str">
        <f t="shared" si="302"/>
        <v/>
      </c>
      <c r="F2782" s="21" t="str">
        <f>IF(OR(E2782="",E2782="!!!"),"",IF(NOT(ISNA(VLOOKUP(E2782,E$1:E2781,1,FALSE()))),"OLD",IF(AND(E2782&lt;&gt;"",E2782&lt;&gt;"!!!"),"NEW","")))</f>
        <v/>
      </c>
      <c r="G2782" s="22" t="str">
        <f>IF(OR(E2782="",E2782="!!!"),"",IF(OR(J2782=0,AND(J2782=1,K2782=1),AND(J2782=1,I2782="SBJ"),AND(J2782=1,I2782=0)),"?IN_FOCUS",IF(J2782&lt;=2,"?ACTIVATED",IF(J2782&lt;&gt;"","?FAMILIAR",IF(F2782="NEW",IF(ISNA(VLOOKUP(E2782,#REF!,1,FALSE())),"?TYPE_IDENTIFIABLE","?REFERENTIAL"),"_")))))</f>
        <v/>
      </c>
      <c r="H2782" s="23" t="str">
        <f t="shared" ca="1" si="303"/>
        <v/>
      </c>
      <c r="I2782" s="24" t="str">
        <f>IF(OR(E2782="",E2782="!!!",F2782="NEW"),"",INDEX(B$2:B2781,-1+SUMPRODUCT(MAX(ROW(E$2:E2781)*(E2782=E$2:E2781)))))</f>
        <v/>
      </c>
      <c r="J2782" s="24" t="str">
        <f ca="1">IF(OR(E2782="",E2782="!!!",F2782="NEW"),"",COUNTBLANK(OFFSET(A$1,,,SUMPRODUCT(MAX(ROW(E$2:E2782)*(E2782=E$2:E2782)))))-COUNTBLANK(OFFSET(A$1,,,SUMPRODUCT(MAX(ROW(E$1:E2781)*(E2=E$1:E2781))))))</f>
        <v/>
      </c>
      <c r="K2782" s="24" t="str">
        <f>IF(OR(E2782="",E2782="!!!",F2782="NEW"),"",INDEX(J$1:J2781,SUMPRODUCT(MAX(ROW(E$1:E2781)*(E2782=E$1:E2781)))))</f>
        <v/>
      </c>
      <c r="L2782" s="25"/>
    </row>
    <row r="2783" spans="1:12" x14ac:dyDescent="0.2">
      <c r="A2783" t="s">
        <v>821</v>
      </c>
      <c r="E2783" s="20" t="str">
        <f t="shared" si="302"/>
        <v/>
      </c>
      <c r="F2783" s="21" t="str">
        <f>IF(OR(E2783="",E2783="!!!"),"",IF(NOT(ISNA(VLOOKUP(E2783,E$1:E2782,1,FALSE()))),"OLD",IF(AND(E2783&lt;&gt;"",E2783&lt;&gt;"!!!"),"NEW","")))</f>
        <v/>
      </c>
      <c r="G2783" s="22" t="str">
        <f>IF(OR(E2783="",E2783="!!!"),"",IF(OR(J2783=0,AND(J2783=1,K2783=1),AND(J2783=1,I2783="SBJ"),AND(J2783=1,I2783=0)),"?IN_FOCUS",IF(J2783&lt;=2,"?ACTIVATED",IF(J2783&lt;&gt;"","?FAMILIAR",IF(F2783="NEW",IF(ISNA(VLOOKUP(E2783,#REF!,1,FALSE())),"?TYPE_IDENTIFIABLE","?REFERENTIAL"),"_")))))</f>
        <v/>
      </c>
      <c r="H2783" s="23" t="str">
        <f t="shared" ca="1" si="303"/>
        <v/>
      </c>
      <c r="I2783" s="24" t="str">
        <f>IF(OR(E2783="",E2783="!!!",F2783="NEW"),"",INDEX(B$2:B2782,-1+SUMPRODUCT(MAX(ROW(E$2:E2782)*(E2783=E$2:E2782)))))</f>
        <v/>
      </c>
      <c r="J2783" s="24" t="str">
        <f ca="1">IF(OR(E2783="",E2783="!!!",F2783="NEW"),"",COUNTBLANK(OFFSET(A$1,,,SUMPRODUCT(MAX(ROW(E$2:E2783)*(E2783=E$2:E2783)))))-COUNTBLANK(OFFSET(A$1,,,SUMPRODUCT(MAX(ROW(E$1:E2782)*(E2=E$1:E2782))))))</f>
        <v/>
      </c>
      <c r="K2783" s="24" t="str">
        <f>IF(OR(E2783="",E2783="!!!",F2783="NEW"),"",INDEX(J$1:J2782,SUMPRODUCT(MAX(ROW(E$1:E2782)*(E2783=E$1:E2782)))))</f>
        <v/>
      </c>
      <c r="L2783" s="25"/>
    </row>
    <row r="2785" spans="1:12" x14ac:dyDescent="0.2">
      <c r="A2785" t="s">
        <v>1601</v>
      </c>
    </row>
    <row r="2786" spans="1:12" x14ac:dyDescent="0.2">
      <c r="A2786" t="s">
        <v>1283</v>
      </c>
      <c r="B2786" s="26" t="s">
        <v>804</v>
      </c>
      <c r="C2786" s="26" t="s">
        <v>805</v>
      </c>
      <c r="D2786" s="26" t="s">
        <v>806</v>
      </c>
      <c r="E2786" s="20"/>
      <c r="F2786" s="21" t="s">
        <v>1781</v>
      </c>
      <c r="G2786" s="22" t="str">
        <f>IF(OR(E2786="",E2786="!!!"),"",IF(OR(J2786=0,AND(J2786=1,K2786=1),AND(J2786=1,I2786="SBJ"),AND(J2786=1,I2786=0)),"?IN_FOCUS",IF(J2786&lt;=2,"?ACTIVATED",IF(J2786&lt;&gt;"","?FAMILIAR",IF(F2786="NEW",IF(ISNA(VLOOKUP(E2786,#REF!,1,FALSE())),"?TYPE_IDENTIFIABLE","?REFERENTIAL"),"_")))))</f>
        <v/>
      </c>
      <c r="H2786" s="23" t="str">
        <f t="shared" ref="H2786:H2809" ca="1" si="304">IF(J2786&lt;&gt;1,"",IF(I2786="SBJ","CB","?"))</f>
        <v/>
      </c>
      <c r="I2786" s="24" t="str">
        <f>IF(OR(E2786="",E2786="!!!",F2786="NEW"),"",INDEX(B$2:B2785,-1+SUMPRODUCT(MAX(ROW(E$2:E2785)*(E2786=E$2:E2785)))))</f>
        <v/>
      </c>
      <c r="J2786" s="24" t="str">
        <f ca="1">IF(OR(E2786="",E2786="!!!",F2786="NEW"),"",COUNTBLANK(OFFSET(A$1,,,SUMPRODUCT(MAX(ROW(E$2:E2786)*(E2786=E$2:E2786)))))-COUNTBLANK(OFFSET(A$1,,,SUMPRODUCT(MAX(ROW(E$1:E2785)*(E2=E$1:E2785))))))</f>
        <v/>
      </c>
      <c r="K2786" s="24" t="str">
        <f>IF(OR(E2786="",E2786="!!!",F2786="NEW"),"",INDEX(J$1:J2785,SUMPRODUCT(MAX(ROW(E$1:E2785)*(E2786=E$1:E2785)))))</f>
        <v/>
      </c>
      <c r="L2786" s="25"/>
    </row>
    <row r="2787" spans="1:12" x14ac:dyDescent="0.2">
      <c r="A2787" t="s">
        <v>1602</v>
      </c>
      <c r="E2787" s="20" t="str">
        <f t="shared" ref="E2786:E2809" si="305">IF(D2787="?OLD","!!!","")</f>
        <v/>
      </c>
      <c r="F2787" s="21" t="str">
        <f>IF(OR(E2787="",E2787="!!!"),"",IF(NOT(ISNA(VLOOKUP(E2787,E$1:E2786,1,FALSE()))),"OLD",IF(AND(E2787&lt;&gt;"",E2787&lt;&gt;"!!!"),"NEW","")))</f>
        <v/>
      </c>
      <c r="G2787" s="22" t="str">
        <f>IF(OR(E2787="",E2787="!!!"),"",IF(OR(J2787=0,AND(J2787=1,K2787=1),AND(J2787=1,I2787="SBJ"),AND(J2787=1,I2787=0)),"?IN_FOCUS",IF(J2787&lt;=2,"?ACTIVATED",IF(J2787&lt;&gt;"","?FAMILIAR",IF(F2787="NEW",IF(ISNA(VLOOKUP(E2787,#REF!,1,FALSE())),"?TYPE_IDENTIFIABLE","?REFERENTIAL"),"_")))))</f>
        <v/>
      </c>
      <c r="H2787" s="23" t="str">
        <f t="shared" ca="1" si="304"/>
        <v/>
      </c>
      <c r="I2787" s="24" t="str">
        <f>IF(OR(E2787="",E2787="!!!",F2787="NEW"),"",INDEX(B$2:B2786,-1+SUMPRODUCT(MAX(ROW(E$2:E2786)*(E2787=E$2:E2786)))))</f>
        <v/>
      </c>
      <c r="J2787" s="24" t="str">
        <f ca="1">IF(OR(E2787="",E2787="!!!",F2787="NEW"),"",COUNTBLANK(OFFSET(A$1,,,SUMPRODUCT(MAX(ROW(E$2:E2787)*(E2787=E$2:E2787)))))-COUNTBLANK(OFFSET(A$1,,,SUMPRODUCT(MAX(ROW(E$1:E2786)*(E2=E$1:E2786))))))</f>
        <v/>
      </c>
      <c r="K2787" s="24" t="str">
        <f>IF(OR(E2787="",E2787="!!!",F2787="NEW"),"",INDEX(J$1:J2786,SUMPRODUCT(MAX(ROW(E$1:E2786)*(E2787=E$1:E2786)))))</f>
        <v/>
      </c>
      <c r="L2787" s="25"/>
    </row>
    <row r="2788" spans="1:12" x14ac:dyDescent="0.2">
      <c r="A2788" t="s">
        <v>55</v>
      </c>
      <c r="E2788" s="20" t="str">
        <f t="shared" si="305"/>
        <v/>
      </c>
      <c r="F2788" s="21" t="str">
        <f>IF(OR(E2788="",E2788="!!!"),"",IF(NOT(ISNA(VLOOKUP(E2788,E$1:E2787,1,FALSE()))),"OLD",IF(AND(E2788&lt;&gt;"",E2788&lt;&gt;"!!!"),"NEW","")))</f>
        <v/>
      </c>
      <c r="G2788" s="22" t="str">
        <f>IF(OR(E2788="",E2788="!!!"),"",IF(OR(J2788=0,AND(J2788=1,K2788=1),AND(J2788=1,I2788="SBJ"),AND(J2788=1,I2788=0)),"?IN_FOCUS",IF(J2788&lt;=2,"?ACTIVATED",IF(J2788&lt;&gt;"","?FAMILIAR",IF(F2788="NEW",IF(ISNA(VLOOKUP(E2788,#REF!,1,FALSE())),"?TYPE_IDENTIFIABLE","?REFERENTIAL"),"_")))))</f>
        <v/>
      </c>
      <c r="H2788" s="23" t="str">
        <f t="shared" ca="1" si="304"/>
        <v/>
      </c>
      <c r="I2788" s="24" t="str">
        <f>IF(OR(E2788="",E2788="!!!",F2788="NEW"),"",INDEX(B$2:B2787,-1+SUMPRODUCT(MAX(ROW(E$2:E2787)*(E2788=E$2:E2787)))))</f>
        <v/>
      </c>
      <c r="J2788" s="24" t="str">
        <f ca="1">IF(OR(E2788="",E2788="!!!",F2788="NEW"),"",COUNTBLANK(OFFSET(A$1,,,SUMPRODUCT(MAX(ROW(E$2:E2788)*(E2788=E$2:E2788)))))-COUNTBLANK(OFFSET(A$1,,,SUMPRODUCT(MAX(ROW(E$1:E2787)*(E2=E$1:E2787))))))</f>
        <v/>
      </c>
      <c r="K2788" s="24" t="str">
        <f>IF(OR(E2788="",E2788="!!!",F2788="NEW"),"",INDEX(J$1:J2787,SUMPRODUCT(MAX(ROW(E$1:E2787)*(E2788=E$1:E2787)))))</f>
        <v/>
      </c>
      <c r="L2788" s="25"/>
    </row>
    <row r="2789" spans="1:12" x14ac:dyDescent="0.2">
      <c r="A2789" t="s">
        <v>830</v>
      </c>
      <c r="B2789" s="26" t="s">
        <v>950</v>
      </c>
      <c r="C2789" s="26" t="s">
        <v>805</v>
      </c>
      <c r="D2789" s="26" t="s">
        <v>806</v>
      </c>
      <c r="E2789" s="20" t="s">
        <v>1792</v>
      </c>
      <c r="F2789" s="21" t="str">
        <f>IF(OR(E2789="",E2789="!!!"),"",IF(NOT(ISNA(VLOOKUP(E2789,E$1:E2788,1,FALSE()))),"OLD",IF(AND(E2789&lt;&gt;"",E2789&lt;&gt;"!!!"),"NEW","")))</f>
        <v>OLD</v>
      </c>
      <c r="G2789" s="22" t="s">
        <v>1823</v>
      </c>
      <c r="H2789" s="23" t="str">
        <f t="shared" ca="1" si="304"/>
        <v/>
      </c>
      <c r="I2789" s="24" t="str">
        <f>IF(OR(E2789="",E2789="!!!",F2789="NEW"),"",INDEX(B$2:B2788,-1+SUMPRODUCT(MAX(ROW(E$2:E2788)*(E2789=E$2:E2788)))))</f>
        <v>SBJ_2</v>
      </c>
      <c r="J2789" s="24">
        <f ca="1">IF(OR(E2789="",E2789="!!!",F2789="NEW"),"",COUNTBLANK(OFFSET(A$1,,,SUMPRODUCT(MAX(ROW(E$2:E2789)*(E2789=E$2:E2789)))))-COUNTBLANK(OFFSET(A$1,,,SUMPRODUCT(MAX(ROW(E$1:E2788)*(E2=E$1:E2788))))))</f>
        <v>0</v>
      </c>
      <c r="K2789" s="24">
        <f ca="1">IF(OR(E2789="",E2789="!!!",F2789="NEW"),"",INDEX(J$1:J2788,SUMPRODUCT(MAX(ROW(E$1:E2788)*(E2789=E$1:E2788)))))</f>
        <v>0</v>
      </c>
      <c r="L2789" s="25"/>
    </row>
    <row r="2790" spans="1:12" x14ac:dyDescent="0.2">
      <c r="A2790" t="s">
        <v>898</v>
      </c>
      <c r="E2790" s="20" t="str">
        <f t="shared" si="305"/>
        <v/>
      </c>
      <c r="F2790" s="21" t="str">
        <f>IF(OR(E2790="",E2790="!!!"),"",IF(NOT(ISNA(VLOOKUP(E2790,E$1:E2789,1,FALSE()))),"OLD",IF(AND(E2790&lt;&gt;"",E2790&lt;&gt;"!!!"),"NEW","")))</f>
        <v/>
      </c>
      <c r="G2790" s="22" t="str">
        <f>IF(OR(E2790="",E2790="!!!"),"",IF(OR(J2790=0,AND(J2790=1,K2790=1),AND(J2790=1,I2790="SBJ"),AND(J2790=1,I2790=0)),"?IN_FOCUS",IF(J2790&lt;=2,"?ACTIVATED",IF(J2790&lt;&gt;"","?FAMILIAR",IF(F2790="NEW",IF(ISNA(VLOOKUP(E2790,#REF!,1,FALSE())),"?TYPE_IDENTIFIABLE","?REFERENTIAL"),"_")))))</f>
        <v/>
      </c>
      <c r="H2790" s="23" t="str">
        <f t="shared" ca="1" si="304"/>
        <v/>
      </c>
      <c r="I2790" s="24" t="str">
        <f>IF(OR(E2790="",E2790="!!!",F2790="NEW"),"",INDEX(B$2:B2789,-1+SUMPRODUCT(MAX(ROW(E$2:E2789)*(E2790=E$2:E2789)))))</f>
        <v/>
      </c>
      <c r="J2790" s="24" t="str">
        <f ca="1">IF(OR(E2790="",E2790="!!!",F2790="NEW"),"",COUNTBLANK(OFFSET(A$1,,,SUMPRODUCT(MAX(ROW(E$2:E2790)*(E2790=E$2:E2790)))))-COUNTBLANK(OFFSET(A$1,,,SUMPRODUCT(MAX(ROW(E$1:E2789)*(E2=E$1:E2789))))))</f>
        <v/>
      </c>
      <c r="K2790" s="24" t="str">
        <f>IF(OR(E2790="",E2790="!!!",F2790="NEW"),"",INDEX(J$1:J2789,SUMPRODUCT(MAX(ROW(E$1:E2789)*(E2790=E$1:E2789)))))</f>
        <v/>
      </c>
      <c r="L2790" s="25"/>
    </row>
    <row r="2791" spans="1:12" x14ac:dyDescent="0.2">
      <c r="A2791" t="s">
        <v>809</v>
      </c>
      <c r="E2791" s="20" t="str">
        <f t="shared" si="305"/>
        <v/>
      </c>
      <c r="F2791" s="21" t="str">
        <f>IF(OR(E2791="",E2791="!!!"),"",IF(NOT(ISNA(VLOOKUP(E2791,E$1:E2790,1,FALSE()))),"OLD",IF(AND(E2791&lt;&gt;"",E2791&lt;&gt;"!!!"),"NEW","")))</f>
        <v/>
      </c>
      <c r="G2791" s="22" t="str">
        <f>IF(OR(E2791="",E2791="!!!"),"",IF(OR(J2791=0,AND(J2791=1,K2791=1),AND(J2791=1,I2791="SBJ"),AND(J2791=1,I2791=0)),"?IN_FOCUS",IF(J2791&lt;=2,"?ACTIVATED",IF(J2791&lt;&gt;"","?FAMILIAR",IF(F2791="NEW",IF(ISNA(VLOOKUP(E2791,#REF!,1,FALSE())),"?TYPE_IDENTIFIABLE","?REFERENTIAL"),"_")))))</f>
        <v/>
      </c>
      <c r="H2791" s="23" t="str">
        <f t="shared" ca="1" si="304"/>
        <v/>
      </c>
      <c r="I2791" s="24" t="str">
        <f>IF(OR(E2791="",E2791="!!!",F2791="NEW"),"",INDEX(B$2:B2790,-1+SUMPRODUCT(MAX(ROW(E$2:E2790)*(E2791=E$2:E2790)))))</f>
        <v/>
      </c>
      <c r="J2791" s="24" t="str">
        <f ca="1">IF(OR(E2791="",E2791="!!!",F2791="NEW"),"",COUNTBLANK(OFFSET(A$1,,,SUMPRODUCT(MAX(ROW(E$2:E2791)*(E2791=E$2:E2791)))))-COUNTBLANK(OFFSET(A$1,,,SUMPRODUCT(MAX(ROW(E$1:E2790)*(E2=E$1:E2790))))))</f>
        <v/>
      </c>
      <c r="K2791" s="24" t="str">
        <f>IF(OR(E2791="",E2791="!!!",F2791="NEW"),"",INDEX(J$1:J2790,SUMPRODUCT(MAX(ROW(E$1:E2790)*(E2791=E$1:E2790)))))</f>
        <v/>
      </c>
      <c r="L2791" s="25"/>
    </row>
    <row r="2792" spans="1:12" x14ac:dyDescent="0.2">
      <c r="A2792" t="s">
        <v>1603</v>
      </c>
      <c r="B2792" s="26" t="s">
        <v>819</v>
      </c>
      <c r="C2792" s="26" t="s">
        <v>811</v>
      </c>
      <c r="E2792" s="20" t="str">
        <f t="shared" si="305"/>
        <v/>
      </c>
      <c r="F2792" s="21" t="str">
        <f>IF(OR(E2792="",E2792="!!!"),"",IF(NOT(ISNA(VLOOKUP(E2792,E$1:E2791,1,FALSE()))),"OLD",IF(AND(E2792&lt;&gt;"",E2792&lt;&gt;"!!!"),"NEW","")))</f>
        <v/>
      </c>
      <c r="G2792" s="22" t="str">
        <f>IF(OR(E2792="",E2792="!!!"),"",IF(OR(J2792=0,AND(J2792=1,K2792=1),AND(J2792=1,I2792="SBJ"),AND(J2792=1,I2792=0)),"?IN_FOCUS",IF(J2792&lt;=2,"?ACTIVATED",IF(J2792&lt;&gt;"","?FAMILIAR",IF(F2792="NEW",IF(ISNA(VLOOKUP(E2792,#REF!,1,FALSE())),"?TYPE_IDENTIFIABLE","?REFERENTIAL"),"_")))))</f>
        <v/>
      </c>
      <c r="H2792" s="23" t="str">
        <f t="shared" ca="1" si="304"/>
        <v/>
      </c>
      <c r="I2792" s="24" t="str">
        <f>IF(OR(E2792="",E2792="!!!",F2792="NEW"),"",INDEX(B$2:B2791,-1+SUMPRODUCT(MAX(ROW(E$2:E2791)*(E2792=E$2:E2791)))))</f>
        <v/>
      </c>
      <c r="J2792" s="24" t="str">
        <f ca="1">IF(OR(E2792="",E2792="!!!",F2792="NEW"),"",COUNTBLANK(OFFSET(A$1,,,SUMPRODUCT(MAX(ROW(E$2:E2792)*(E2792=E$2:E2792)))))-COUNTBLANK(OFFSET(A$1,,,SUMPRODUCT(MAX(ROW(E$1:E2791)*(E2=E$1:E2791))))))</f>
        <v/>
      </c>
      <c r="K2792" s="24" t="str">
        <f>IF(OR(E2792="",E2792="!!!",F2792="NEW"),"",INDEX(J$1:J2791,SUMPRODUCT(MAX(ROW(E$1:E2791)*(E2792=E$1:E2791)))))</f>
        <v/>
      </c>
      <c r="L2792" s="25"/>
    </row>
    <row r="2793" spans="1:12" x14ac:dyDescent="0.2">
      <c r="A2793" t="s">
        <v>878</v>
      </c>
      <c r="E2793" s="20" t="str">
        <f t="shared" si="305"/>
        <v/>
      </c>
      <c r="F2793" s="21" t="str">
        <f>IF(OR(E2793="",E2793="!!!"),"",IF(NOT(ISNA(VLOOKUP(E2793,E$1:E2792,1,FALSE()))),"OLD",IF(AND(E2793&lt;&gt;"",E2793&lt;&gt;"!!!"),"NEW","")))</f>
        <v/>
      </c>
      <c r="G2793" s="22" t="str">
        <f>IF(OR(E2793="",E2793="!!!"),"",IF(OR(J2793=0,AND(J2793=1,K2793=1),AND(J2793=1,I2793="SBJ"),AND(J2793=1,I2793=0)),"?IN_FOCUS",IF(J2793&lt;=2,"?ACTIVATED",IF(J2793&lt;&gt;"","?FAMILIAR",IF(F2793="NEW",IF(ISNA(VLOOKUP(E2793,#REF!,1,FALSE())),"?TYPE_IDENTIFIABLE","?REFERENTIAL"),"_")))))</f>
        <v/>
      </c>
      <c r="H2793" s="23" t="str">
        <f t="shared" ca="1" si="304"/>
        <v/>
      </c>
      <c r="I2793" s="24" t="str">
        <f>IF(OR(E2793="",E2793="!!!",F2793="NEW"),"",INDEX(B$2:B2792,-1+SUMPRODUCT(MAX(ROW(E$2:E2792)*(E2793=E$2:E2792)))))</f>
        <v/>
      </c>
      <c r="J2793" s="24" t="str">
        <f ca="1">IF(OR(E2793="",E2793="!!!",F2793="NEW"),"",COUNTBLANK(OFFSET(A$1,,,SUMPRODUCT(MAX(ROW(E$2:E2793)*(E2793=E$2:E2793)))))-COUNTBLANK(OFFSET(A$1,,,SUMPRODUCT(MAX(ROW(E$1:E2792)*(E2=E$1:E2792))))))</f>
        <v/>
      </c>
      <c r="K2793" s="24" t="str">
        <f>IF(OR(E2793="",E2793="!!!",F2793="NEW"),"",INDEX(J$1:J2792,SUMPRODUCT(MAX(ROW(E$1:E2792)*(E2793=E$1:E2792)))))</f>
        <v/>
      </c>
      <c r="L2793" s="25"/>
    </row>
    <row r="2794" spans="1:12" x14ac:dyDescent="0.2">
      <c r="A2794" t="s">
        <v>845</v>
      </c>
      <c r="E2794" s="20" t="str">
        <f t="shared" si="305"/>
        <v/>
      </c>
      <c r="F2794" s="21" t="str">
        <f>IF(OR(E2794="",E2794="!!!"),"",IF(NOT(ISNA(VLOOKUP(E2794,E$1:E2793,1,FALSE()))),"OLD",IF(AND(E2794&lt;&gt;"",E2794&lt;&gt;"!!!"),"NEW","")))</f>
        <v/>
      </c>
      <c r="G2794" s="22" t="str">
        <f>IF(OR(E2794="",E2794="!!!"),"",IF(OR(J2794=0,AND(J2794=1,K2794=1),AND(J2794=1,I2794="SBJ"),AND(J2794=1,I2794=0)),"?IN_FOCUS",IF(J2794&lt;=2,"?ACTIVATED",IF(J2794&lt;&gt;"","?FAMILIAR",IF(F2794="NEW",IF(ISNA(VLOOKUP(E2794,#REF!,1,FALSE())),"?TYPE_IDENTIFIABLE","?REFERENTIAL"),"_")))))</f>
        <v/>
      </c>
      <c r="H2794" s="23" t="str">
        <f t="shared" ca="1" si="304"/>
        <v/>
      </c>
      <c r="I2794" s="24" t="str">
        <f>IF(OR(E2794="",E2794="!!!",F2794="NEW"),"",INDEX(B$2:B2793,-1+SUMPRODUCT(MAX(ROW(E$2:E2793)*(E2794=E$2:E2793)))))</f>
        <v/>
      </c>
      <c r="J2794" s="24" t="str">
        <f ca="1">IF(OR(E2794="",E2794="!!!",F2794="NEW"),"",COUNTBLANK(OFFSET(A$1,,,SUMPRODUCT(MAX(ROW(E$2:E2794)*(E2794=E$2:E2794)))))-COUNTBLANK(OFFSET(A$1,,,SUMPRODUCT(MAX(ROW(E$1:E2793)*(E2=E$1:E2793))))))</f>
        <v/>
      </c>
      <c r="K2794" s="24" t="str">
        <f>IF(OR(E2794="",E2794="!!!",F2794="NEW"),"",INDEX(J$1:J2793,SUMPRODUCT(MAX(ROW(E$1:E2793)*(E2794=E$1:E2793)))))</f>
        <v/>
      </c>
      <c r="L2794" s="25"/>
    </row>
    <row r="2795" spans="1:12" x14ac:dyDescent="0.2">
      <c r="A2795" t="s">
        <v>966</v>
      </c>
      <c r="B2795" s="26" t="s">
        <v>813</v>
      </c>
      <c r="C2795" s="26" t="s">
        <v>847</v>
      </c>
      <c r="D2795" s="26" t="s">
        <v>806</v>
      </c>
      <c r="E2795" s="20" t="s">
        <v>966</v>
      </c>
      <c r="F2795" s="21" t="str">
        <f>IF(OR(E2795="",E2795="!!!"),"",IF(NOT(ISNA(VLOOKUP(E2795,E$1:E2794,1,FALSE()))),"OLD",IF(AND(E2795&lt;&gt;"",E2795&lt;&gt;"!!!"),"NEW","")))</f>
        <v>OLD</v>
      </c>
      <c r="G2795" s="22" t="s">
        <v>1820</v>
      </c>
      <c r="H2795" s="23" t="str">
        <f t="shared" ca="1" si="304"/>
        <v/>
      </c>
      <c r="I2795" s="24" t="str">
        <f>IF(OR(E2795="",E2795="!!!",F2795="NEW"),"",INDEX(B$2:B2794,-1+SUMPRODUCT(MAX(ROW(E$2:E2794)*(E2795=E$2:E2794)))))</f>
        <v>other_2</v>
      </c>
      <c r="J2795" s="24">
        <f ca="1">IF(OR(E2795="",E2795="!!!",F2795="NEW"),"",COUNTBLANK(OFFSET(A$1,,,SUMPRODUCT(MAX(ROW(E$2:E2795)*(E2795=E$2:E2795)))))-COUNTBLANK(OFFSET(A$1,,,SUMPRODUCT(MAX(ROW(E$1:E2794)*(E2=E$1:E2794))))))</f>
        <v>0</v>
      </c>
      <c r="K2795" s="24" t="str">
        <f ca="1">IF(OR(E2795="",E2795="!!!",F2795="NEW"),"",INDEX(J$1:J2794,SUMPRODUCT(MAX(ROW(E$1:E2794)*(E2795=E$1:E2794)))))</f>
        <v/>
      </c>
      <c r="L2795" s="25"/>
    </row>
    <row r="2796" spans="1:12" x14ac:dyDescent="0.2">
      <c r="A2796" t="s">
        <v>812</v>
      </c>
      <c r="E2796" s="20" t="str">
        <f t="shared" si="305"/>
        <v/>
      </c>
      <c r="F2796" s="21" t="str">
        <f>IF(OR(E2796="",E2796="!!!"),"",IF(NOT(ISNA(VLOOKUP(E2796,E$1:E2795,1,FALSE()))),"OLD",IF(AND(E2796&lt;&gt;"",E2796&lt;&gt;"!!!"),"NEW","")))</f>
        <v/>
      </c>
      <c r="G2796" s="22" t="str">
        <f>IF(OR(E2796="",E2796="!!!"),"",IF(OR(J2796=0,AND(J2796=1,K2796=1),AND(J2796=1,I2796="SBJ"),AND(J2796=1,I2796=0)),"?IN_FOCUS",IF(J2796&lt;=2,"?ACTIVATED",IF(J2796&lt;&gt;"","?FAMILIAR",IF(F2796="NEW",IF(ISNA(VLOOKUP(E2796,#REF!,1,FALSE())),"?TYPE_IDENTIFIABLE","?REFERENTIAL"),"_")))))</f>
        <v/>
      </c>
      <c r="H2796" s="23" t="str">
        <f t="shared" ca="1" si="304"/>
        <v/>
      </c>
      <c r="I2796" s="24" t="str">
        <f>IF(OR(E2796="",E2796="!!!",F2796="NEW"),"",INDEX(B$2:B2795,-1+SUMPRODUCT(MAX(ROW(E$2:E2795)*(E2796=E$2:E2795)))))</f>
        <v/>
      </c>
      <c r="J2796" s="24" t="str">
        <f ca="1">IF(OR(E2796="",E2796="!!!",F2796="NEW"),"",COUNTBLANK(OFFSET(A$1,,,SUMPRODUCT(MAX(ROW(E$2:E2796)*(E2796=E$2:E2796)))))-COUNTBLANK(OFFSET(A$1,,,SUMPRODUCT(MAX(ROW(E$1:E2795)*(E2=E$1:E2795))))))</f>
        <v/>
      </c>
      <c r="K2796" s="24" t="str">
        <f>IF(OR(E2796="",E2796="!!!",F2796="NEW"),"",INDEX(J$1:J2795,SUMPRODUCT(MAX(ROW(E$1:E2795)*(E2796=E$1:E2795)))))</f>
        <v/>
      </c>
      <c r="L2796" s="25"/>
    </row>
    <row r="2797" spans="1:12" x14ac:dyDescent="0.2">
      <c r="A2797" t="s">
        <v>868</v>
      </c>
      <c r="E2797" s="20" t="str">
        <f t="shared" si="305"/>
        <v/>
      </c>
      <c r="F2797" s="21" t="str">
        <f>IF(OR(E2797="",E2797="!!!"),"",IF(NOT(ISNA(VLOOKUP(E2797,E$1:E2796,1,FALSE()))),"OLD",IF(AND(E2797&lt;&gt;"",E2797&lt;&gt;"!!!"),"NEW","")))</f>
        <v/>
      </c>
      <c r="G2797" s="22" t="str">
        <f>IF(OR(E2797="",E2797="!!!"),"",IF(OR(J2797=0,AND(J2797=1,K2797=1),AND(J2797=1,I2797="SBJ"),AND(J2797=1,I2797=0)),"?IN_FOCUS",IF(J2797&lt;=2,"?ACTIVATED",IF(J2797&lt;&gt;"","?FAMILIAR",IF(F2797="NEW",IF(ISNA(VLOOKUP(E2797,#REF!,1,FALSE())),"?TYPE_IDENTIFIABLE","?REFERENTIAL"),"_")))))</f>
        <v/>
      </c>
      <c r="H2797" s="23" t="str">
        <f t="shared" ca="1" si="304"/>
        <v/>
      </c>
      <c r="I2797" s="24" t="str">
        <f>IF(OR(E2797="",E2797="!!!",F2797="NEW"),"",INDEX(B$2:B2796,-1+SUMPRODUCT(MAX(ROW(E$2:E2796)*(E2797=E$2:E2796)))))</f>
        <v/>
      </c>
      <c r="J2797" s="24" t="str">
        <f ca="1">IF(OR(E2797="",E2797="!!!",F2797="NEW"),"",COUNTBLANK(OFFSET(A$1,,,SUMPRODUCT(MAX(ROW(E$2:E2797)*(E2797=E$2:E2797)))))-COUNTBLANK(OFFSET(A$1,,,SUMPRODUCT(MAX(ROW(E$1:E2796)*(E2=E$1:E2796))))))</f>
        <v/>
      </c>
      <c r="K2797" s="24" t="str">
        <f>IF(OR(E2797="",E2797="!!!",F2797="NEW"),"",INDEX(J$1:J2796,SUMPRODUCT(MAX(ROW(E$1:E2796)*(E2797=E$1:E2796)))))</f>
        <v/>
      </c>
      <c r="L2797" s="25"/>
    </row>
    <row r="2798" spans="1:12" x14ac:dyDescent="0.2">
      <c r="A2798" t="s">
        <v>1524</v>
      </c>
      <c r="B2798" s="26" t="s">
        <v>864</v>
      </c>
      <c r="C2798" s="26" t="s">
        <v>814</v>
      </c>
      <c r="E2798" s="20" t="str">
        <f t="shared" si="305"/>
        <v/>
      </c>
      <c r="F2798" s="21" t="str">
        <f>IF(OR(E2798="",E2798="!!!"),"",IF(NOT(ISNA(VLOOKUP(E2798,E$1:E2797,1,FALSE()))),"OLD",IF(AND(E2798&lt;&gt;"",E2798&lt;&gt;"!!!"),"NEW","")))</f>
        <v/>
      </c>
      <c r="G2798" s="22" t="str">
        <f>IF(OR(E2798="",E2798="!!!"),"",IF(OR(J2798=0,AND(J2798=1,K2798=1),AND(J2798=1,I2798="SBJ"),AND(J2798=1,I2798=0)),"?IN_FOCUS",IF(J2798&lt;=2,"?ACTIVATED",IF(J2798&lt;&gt;"","?FAMILIAR",IF(F2798="NEW",IF(ISNA(VLOOKUP(E2798,#REF!,1,FALSE())),"?TYPE_IDENTIFIABLE","?REFERENTIAL"),"_")))))</f>
        <v/>
      </c>
      <c r="H2798" s="23" t="str">
        <f t="shared" ca="1" si="304"/>
        <v/>
      </c>
      <c r="I2798" s="24" t="str">
        <f>IF(OR(E2798="",E2798="!!!",F2798="NEW"),"",INDEX(B$2:B2797,-1+SUMPRODUCT(MAX(ROW(E$2:E2797)*(E2798=E$2:E2797)))))</f>
        <v/>
      </c>
      <c r="J2798" s="24" t="str">
        <f ca="1">IF(OR(E2798="",E2798="!!!",F2798="NEW"),"",COUNTBLANK(OFFSET(A$1,,,SUMPRODUCT(MAX(ROW(E$2:E2798)*(E2798=E$2:E2798)))))-COUNTBLANK(OFFSET(A$1,,,SUMPRODUCT(MAX(ROW(E$1:E2797)*(E2=E$1:E2797))))))</f>
        <v/>
      </c>
      <c r="K2798" s="24" t="str">
        <f>IF(OR(E2798="",E2798="!!!",F2798="NEW"),"",INDEX(J$1:J2797,SUMPRODUCT(MAX(ROW(E$1:E2797)*(E2798=E$1:E2797)))))</f>
        <v/>
      </c>
      <c r="L2798" s="25"/>
    </row>
    <row r="2799" spans="1:12" x14ac:dyDescent="0.2">
      <c r="A2799" t="s">
        <v>802</v>
      </c>
      <c r="E2799" s="20" t="str">
        <f t="shared" si="305"/>
        <v/>
      </c>
      <c r="F2799" s="21" t="str">
        <f>IF(OR(E2799="",E2799="!!!"),"",IF(NOT(ISNA(VLOOKUP(E2799,E$1:E2798,1,FALSE()))),"OLD",IF(AND(E2799&lt;&gt;"",E2799&lt;&gt;"!!!"),"NEW","")))</f>
        <v/>
      </c>
      <c r="G2799" s="22" t="str">
        <f>IF(OR(E2799="",E2799="!!!"),"",IF(OR(J2799=0,AND(J2799=1,K2799=1),AND(J2799=1,I2799="SBJ"),AND(J2799=1,I2799=0)),"?IN_FOCUS",IF(J2799&lt;=2,"?ACTIVATED",IF(J2799&lt;&gt;"","?FAMILIAR",IF(F2799="NEW",IF(ISNA(VLOOKUP(E2799,#REF!,1,FALSE())),"?TYPE_IDENTIFIABLE","?REFERENTIAL"),"_")))))</f>
        <v/>
      </c>
      <c r="H2799" s="23" t="str">
        <f t="shared" ca="1" si="304"/>
        <v/>
      </c>
      <c r="I2799" s="24" t="str">
        <f>IF(OR(E2799="",E2799="!!!",F2799="NEW"),"",INDEX(B$2:B2798,-1+SUMPRODUCT(MAX(ROW(E$2:E2798)*(E2799=E$2:E2798)))))</f>
        <v/>
      </c>
      <c r="J2799" s="24" t="str">
        <f ca="1">IF(OR(E2799="",E2799="!!!",F2799="NEW"),"",COUNTBLANK(OFFSET(A$1,,,SUMPRODUCT(MAX(ROW(E$2:E2799)*(E2799=E$2:E2799)))))-COUNTBLANK(OFFSET(A$1,,,SUMPRODUCT(MAX(ROW(E$1:E2798)*(E2=E$1:E2798))))))</f>
        <v/>
      </c>
      <c r="K2799" s="24" t="str">
        <f>IF(OR(E2799="",E2799="!!!",F2799="NEW"),"",INDEX(J$1:J2798,SUMPRODUCT(MAX(ROW(E$1:E2798)*(E2799=E$1:E2798)))))</f>
        <v/>
      </c>
      <c r="L2799" s="25"/>
    </row>
    <row r="2800" spans="1:12" x14ac:dyDescent="0.2">
      <c r="A2800" t="s">
        <v>1604</v>
      </c>
      <c r="E2800" s="20" t="str">
        <f t="shared" si="305"/>
        <v/>
      </c>
      <c r="F2800" s="21" t="str">
        <f>IF(OR(E2800="",E2800="!!!"),"",IF(NOT(ISNA(VLOOKUP(E2800,E$1:E2799,1,FALSE()))),"OLD",IF(AND(E2800&lt;&gt;"",E2800&lt;&gt;"!!!"),"NEW","")))</f>
        <v/>
      </c>
      <c r="G2800" s="22" t="str">
        <f>IF(OR(E2800="",E2800="!!!"),"",IF(OR(J2800=0,AND(J2800=1,K2800=1),AND(J2800=1,I2800="SBJ"),AND(J2800=1,I2800=0)),"?IN_FOCUS",IF(J2800&lt;=2,"?ACTIVATED",IF(J2800&lt;&gt;"","?FAMILIAR",IF(F2800="NEW",IF(ISNA(VLOOKUP(E2800,#REF!,1,FALSE())),"?TYPE_IDENTIFIABLE","?REFERENTIAL"),"_")))))</f>
        <v/>
      </c>
      <c r="H2800" s="23" t="str">
        <f t="shared" ca="1" si="304"/>
        <v/>
      </c>
      <c r="I2800" s="24" t="str">
        <f>IF(OR(E2800="",E2800="!!!",F2800="NEW"),"",INDEX(B$2:B2799,-1+SUMPRODUCT(MAX(ROW(E$2:E2799)*(E2800=E$2:E2799)))))</f>
        <v/>
      </c>
      <c r="J2800" s="24" t="str">
        <f ca="1">IF(OR(E2800="",E2800="!!!",F2800="NEW"),"",COUNTBLANK(OFFSET(A$1,,,SUMPRODUCT(MAX(ROW(E$2:E2800)*(E2800=E$2:E2800)))))-COUNTBLANK(OFFSET(A$1,,,SUMPRODUCT(MAX(ROW(E$1:E2799)*(E2=E$1:E2799))))))</f>
        <v/>
      </c>
      <c r="K2800" s="24" t="str">
        <f>IF(OR(E2800="",E2800="!!!",F2800="NEW"),"",INDEX(J$1:J2799,SUMPRODUCT(MAX(ROW(E$1:E2799)*(E2800=E$1:E2799)))))</f>
        <v/>
      </c>
      <c r="L2800" s="25"/>
    </row>
    <row r="2801" spans="1:12" x14ac:dyDescent="0.2">
      <c r="A2801" t="s">
        <v>919</v>
      </c>
      <c r="B2801" s="26" t="s">
        <v>891</v>
      </c>
      <c r="C2801" s="26" t="s">
        <v>805</v>
      </c>
      <c r="D2801" s="26" t="s">
        <v>806</v>
      </c>
      <c r="E2801" s="20"/>
      <c r="F2801" s="21" t="s">
        <v>1781</v>
      </c>
      <c r="G2801" s="22" t="str">
        <f>IF(OR(E2801="",E2801="!!!"),"",IF(OR(J2801=0,AND(J2801=1,K2801=1),AND(J2801=1,I2801="SBJ"),AND(J2801=1,I2801=0)),"?IN_FOCUS",IF(J2801&lt;=2,"?ACTIVATED",IF(J2801&lt;&gt;"","?FAMILIAR",IF(F2801="NEW",IF(ISNA(VLOOKUP(E2801,#REF!,1,FALSE())),"?TYPE_IDENTIFIABLE","?REFERENTIAL"),"_")))))</f>
        <v/>
      </c>
      <c r="H2801" s="23" t="str">
        <f t="shared" ca="1" si="304"/>
        <v/>
      </c>
      <c r="I2801" s="24" t="str">
        <f>IF(OR(E2801="",E2801="!!!",F2801="NEW"),"",INDEX(B$2:B2800,-1+SUMPRODUCT(MAX(ROW(E$2:E2800)*(E2801=E$2:E2800)))))</f>
        <v/>
      </c>
      <c r="J2801" s="24" t="str">
        <f ca="1">IF(OR(E2801="",E2801="!!!",F2801="NEW"),"",COUNTBLANK(OFFSET(A$1,,,SUMPRODUCT(MAX(ROW(E$2:E2801)*(E2801=E$2:E2801)))))-COUNTBLANK(OFFSET(A$1,,,SUMPRODUCT(MAX(ROW(E$1:E2800)*(E2=E$1:E2800))))))</f>
        <v/>
      </c>
      <c r="K2801" s="24" t="str">
        <f>IF(OR(E2801="",E2801="!!!",F2801="NEW"),"",INDEX(J$1:J2800,SUMPRODUCT(MAX(ROW(E$1:E2800)*(E2801=E$1:E2800)))))</f>
        <v/>
      </c>
      <c r="L2801" s="25"/>
    </row>
    <row r="2802" spans="1:12" x14ac:dyDescent="0.2">
      <c r="A2802" t="s">
        <v>977</v>
      </c>
      <c r="E2802" s="20" t="str">
        <f t="shared" si="305"/>
        <v/>
      </c>
      <c r="F2802" s="21" t="str">
        <f>IF(OR(E2802="",E2802="!!!"),"",IF(NOT(ISNA(VLOOKUP(E2802,E$1:E2801,1,FALSE()))),"OLD",IF(AND(E2802&lt;&gt;"",E2802&lt;&gt;"!!!"),"NEW","")))</f>
        <v/>
      </c>
      <c r="G2802" s="22" t="str">
        <f>IF(OR(E2802="",E2802="!!!"),"",IF(OR(J2802=0,AND(J2802=1,K2802=1),AND(J2802=1,I2802="SBJ"),AND(J2802=1,I2802=0)),"?IN_FOCUS",IF(J2802&lt;=2,"?ACTIVATED",IF(J2802&lt;&gt;"","?FAMILIAR",IF(F2802="NEW",IF(ISNA(VLOOKUP(E2802,#REF!,1,FALSE())),"?TYPE_IDENTIFIABLE","?REFERENTIAL"),"_")))))</f>
        <v/>
      </c>
      <c r="H2802" s="23" t="str">
        <f t="shared" ca="1" si="304"/>
        <v/>
      </c>
      <c r="I2802" s="24" t="str">
        <f>IF(OR(E2802="",E2802="!!!",F2802="NEW"),"",INDEX(B$2:B2801,-1+SUMPRODUCT(MAX(ROW(E$2:E2801)*(E2802=E$2:E2801)))))</f>
        <v/>
      </c>
      <c r="J2802" s="24" t="str">
        <f ca="1">IF(OR(E2802="",E2802="!!!",F2802="NEW"),"",COUNTBLANK(OFFSET(A$1,,,SUMPRODUCT(MAX(ROW(E$2:E2802)*(E2802=E$2:E2802)))))-COUNTBLANK(OFFSET(A$1,,,SUMPRODUCT(MAX(ROW(E$1:E2801)*(E2=E$1:E2801))))))</f>
        <v/>
      </c>
      <c r="K2802" s="24" t="str">
        <f>IF(OR(E2802="",E2802="!!!",F2802="NEW"),"",INDEX(J$1:J2801,SUMPRODUCT(MAX(ROW(E$1:E2801)*(E2802=E$1:E2801)))))</f>
        <v/>
      </c>
      <c r="L2802" s="25"/>
    </row>
    <row r="2803" spans="1:12" x14ac:dyDescent="0.2">
      <c r="A2803" t="s">
        <v>1162</v>
      </c>
      <c r="E2803" s="20" t="str">
        <f t="shared" si="305"/>
        <v/>
      </c>
      <c r="F2803" s="21" t="str">
        <f>IF(OR(E2803="",E2803="!!!"),"",IF(NOT(ISNA(VLOOKUP(E2803,E$1:E2802,1,FALSE()))),"OLD",IF(AND(E2803&lt;&gt;"",E2803&lt;&gt;"!!!"),"NEW","")))</f>
        <v/>
      </c>
      <c r="G2803" s="22" t="str">
        <f>IF(OR(E2803="",E2803="!!!"),"",IF(OR(J2803=0,AND(J2803=1,K2803=1),AND(J2803=1,I2803="SBJ"),AND(J2803=1,I2803=0)),"?IN_FOCUS",IF(J2803&lt;=2,"?ACTIVATED",IF(J2803&lt;&gt;"","?FAMILIAR",IF(F2803="NEW",IF(ISNA(VLOOKUP(E2803,#REF!,1,FALSE())),"?TYPE_IDENTIFIABLE","?REFERENTIAL"),"_")))))</f>
        <v/>
      </c>
      <c r="H2803" s="23" t="str">
        <f t="shared" ca="1" si="304"/>
        <v/>
      </c>
      <c r="I2803" s="24" t="str">
        <f>IF(OR(E2803="",E2803="!!!",F2803="NEW"),"",INDEX(B$2:B2802,-1+SUMPRODUCT(MAX(ROW(E$2:E2802)*(E2803=E$2:E2802)))))</f>
        <v/>
      </c>
      <c r="J2803" s="24" t="str">
        <f ca="1">IF(OR(E2803="",E2803="!!!",F2803="NEW"),"",COUNTBLANK(OFFSET(A$1,,,SUMPRODUCT(MAX(ROW(E$2:E2803)*(E2803=E$2:E2803)))))-COUNTBLANK(OFFSET(A$1,,,SUMPRODUCT(MAX(ROW(E$1:E2802)*(E2=E$1:E2802))))))</f>
        <v/>
      </c>
      <c r="K2803" s="24" t="str">
        <f>IF(OR(E2803="",E2803="!!!",F2803="NEW"),"",INDEX(J$1:J2802,SUMPRODUCT(MAX(ROW(E$1:E2802)*(E2803=E$1:E2802)))))</f>
        <v/>
      </c>
      <c r="L2803" s="25"/>
    </row>
    <row r="2804" spans="1:12" x14ac:dyDescent="0.2">
      <c r="A2804" t="s">
        <v>869</v>
      </c>
      <c r="E2804" s="20" t="str">
        <f t="shared" si="305"/>
        <v/>
      </c>
      <c r="F2804" s="21" t="str">
        <f>IF(OR(E2804="",E2804="!!!"),"",IF(NOT(ISNA(VLOOKUP(E2804,E$1:E2803,1,FALSE()))),"OLD",IF(AND(E2804&lt;&gt;"",E2804&lt;&gt;"!!!"),"NEW","")))</f>
        <v/>
      </c>
      <c r="G2804" s="22" t="str">
        <f>IF(OR(E2804="",E2804="!!!"),"",IF(OR(J2804=0,AND(J2804=1,K2804=1),AND(J2804=1,I2804="SBJ"),AND(J2804=1,I2804=0)),"?IN_FOCUS",IF(J2804&lt;=2,"?ACTIVATED",IF(J2804&lt;&gt;"","?FAMILIAR",IF(F2804="NEW",IF(ISNA(VLOOKUP(E2804,#REF!,1,FALSE())),"?TYPE_IDENTIFIABLE","?REFERENTIAL"),"_")))))</f>
        <v/>
      </c>
      <c r="H2804" s="23" t="str">
        <f t="shared" ca="1" si="304"/>
        <v/>
      </c>
      <c r="I2804" s="24" t="str">
        <f>IF(OR(E2804="",E2804="!!!",F2804="NEW"),"",INDEX(B$2:B2803,-1+SUMPRODUCT(MAX(ROW(E$2:E2803)*(E2804=E$2:E2803)))))</f>
        <v/>
      </c>
      <c r="J2804" s="24" t="str">
        <f ca="1">IF(OR(E2804="",E2804="!!!",F2804="NEW"),"",COUNTBLANK(OFFSET(A$1,,,SUMPRODUCT(MAX(ROW(E$2:E2804)*(E2804=E$2:E2804)))))-COUNTBLANK(OFFSET(A$1,,,SUMPRODUCT(MAX(ROW(E$1:E2803)*(E2=E$1:E2803))))))</f>
        <v/>
      </c>
      <c r="K2804" s="24" t="str">
        <f>IF(OR(E2804="",E2804="!!!",F2804="NEW"),"",INDEX(J$1:J2803,SUMPRODUCT(MAX(ROW(E$1:E2803)*(E2804=E$1:E2803)))))</f>
        <v/>
      </c>
      <c r="L2804" s="25"/>
    </row>
    <row r="2805" spans="1:12" x14ac:dyDescent="0.2">
      <c r="A2805" t="s">
        <v>1270</v>
      </c>
      <c r="E2805" s="20" t="str">
        <f t="shared" si="305"/>
        <v/>
      </c>
      <c r="F2805" s="21" t="str">
        <f>IF(OR(E2805="",E2805="!!!"),"",IF(NOT(ISNA(VLOOKUP(E2805,E$1:E2804,1,FALSE()))),"OLD",IF(AND(E2805&lt;&gt;"",E2805&lt;&gt;"!!!"),"NEW","")))</f>
        <v/>
      </c>
      <c r="G2805" s="22" t="str">
        <f>IF(OR(E2805="",E2805="!!!"),"",IF(OR(J2805=0,AND(J2805=1,K2805=1),AND(J2805=1,I2805="SBJ"),AND(J2805=1,I2805=0)),"?IN_FOCUS",IF(J2805&lt;=2,"?ACTIVATED",IF(J2805&lt;&gt;"","?FAMILIAR",IF(F2805="NEW",IF(ISNA(VLOOKUP(E2805,#REF!,1,FALSE())),"?TYPE_IDENTIFIABLE","?REFERENTIAL"),"_")))))</f>
        <v/>
      </c>
      <c r="H2805" s="23" t="str">
        <f t="shared" ca="1" si="304"/>
        <v/>
      </c>
      <c r="I2805" s="24" t="str">
        <f>IF(OR(E2805="",E2805="!!!",F2805="NEW"),"",INDEX(B$2:B2804,-1+SUMPRODUCT(MAX(ROW(E$2:E2804)*(E2805=E$2:E2804)))))</f>
        <v/>
      </c>
      <c r="J2805" s="24" t="str">
        <f ca="1">IF(OR(E2805="",E2805="!!!",F2805="NEW"),"",COUNTBLANK(OFFSET(A$1,,,SUMPRODUCT(MAX(ROW(E$2:E2805)*(E2805=E$2:E2805)))))-COUNTBLANK(OFFSET(A$1,,,SUMPRODUCT(MAX(ROW(E$1:E2804)*(E2=E$1:E2804))))))</f>
        <v/>
      </c>
      <c r="K2805" s="24" t="str">
        <f>IF(OR(E2805="",E2805="!!!",F2805="NEW"),"",INDEX(J$1:J2804,SUMPRODUCT(MAX(ROW(E$1:E2804)*(E2805=E$1:E2804)))))</f>
        <v/>
      </c>
      <c r="L2805" s="25"/>
    </row>
    <row r="2806" spans="1:12" x14ac:dyDescent="0.2">
      <c r="A2806" t="s">
        <v>959</v>
      </c>
      <c r="E2806" s="20" t="str">
        <f t="shared" si="305"/>
        <v/>
      </c>
      <c r="F2806" s="21" t="str">
        <f>IF(OR(E2806="",E2806="!!!"),"",IF(NOT(ISNA(VLOOKUP(E2806,E$1:E2805,1,FALSE()))),"OLD",IF(AND(E2806&lt;&gt;"",E2806&lt;&gt;"!!!"),"NEW","")))</f>
        <v/>
      </c>
      <c r="G2806" s="22" t="str">
        <f>IF(OR(E2806="",E2806="!!!"),"",IF(OR(J2806=0,AND(J2806=1,K2806=1),AND(J2806=1,I2806="SBJ"),AND(J2806=1,I2806=0)),"?IN_FOCUS",IF(J2806&lt;=2,"?ACTIVATED",IF(J2806&lt;&gt;"","?FAMILIAR",IF(F2806="NEW",IF(ISNA(VLOOKUP(E2806,#REF!,1,FALSE())),"?TYPE_IDENTIFIABLE","?REFERENTIAL"),"_")))))</f>
        <v/>
      </c>
      <c r="H2806" s="23" t="str">
        <f t="shared" ca="1" si="304"/>
        <v/>
      </c>
      <c r="I2806" s="24" t="str">
        <f>IF(OR(E2806="",E2806="!!!",F2806="NEW"),"",INDEX(B$2:B2805,-1+SUMPRODUCT(MAX(ROW(E$2:E2805)*(E2806=E$2:E2805)))))</f>
        <v/>
      </c>
      <c r="J2806" s="24" t="str">
        <f ca="1">IF(OR(E2806="",E2806="!!!",F2806="NEW"),"",COUNTBLANK(OFFSET(A$1,,,SUMPRODUCT(MAX(ROW(E$2:E2806)*(E2806=E$2:E2806)))))-COUNTBLANK(OFFSET(A$1,,,SUMPRODUCT(MAX(ROW(E$1:E2805)*(E2=E$1:E2805))))))</f>
        <v/>
      </c>
      <c r="K2806" s="24" t="str">
        <f>IF(OR(E2806="",E2806="!!!",F2806="NEW"),"",INDEX(J$1:J2805,SUMPRODUCT(MAX(ROW(E$1:E2805)*(E2806=E$1:E2805)))))</f>
        <v/>
      </c>
      <c r="L2806" s="25"/>
    </row>
    <row r="2807" spans="1:12" x14ac:dyDescent="0.2">
      <c r="A2807" t="s">
        <v>1217</v>
      </c>
      <c r="B2807" s="26" t="s">
        <v>897</v>
      </c>
      <c r="C2807" s="26" t="s">
        <v>814</v>
      </c>
      <c r="E2807" s="20" t="str">
        <f t="shared" si="305"/>
        <v/>
      </c>
      <c r="F2807" s="21" t="str">
        <f>IF(OR(E2807="",E2807="!!!"),"",IF(NOT(ISNA(VLOOKUP(E2807,E$1:E2806,1,FALSE()))),"OLD",IF(AND(E2807&lt;&gt;"",E2807&lt;&gt;"!!!"),"NEW","")))</f>
        <v/>
      </c>
      <c r="G2807" s="22" t="str">
        <f>IF(OR(E2807="",E2807="!!!"),"",IF(OR(J2807=0,AND(J2807=1,K2807=1),AND(J2807=1,I2807="SBJ"),AND(J2807=1,I2807=0)),"?IN_FOCUS",IF(J2807&lt;=2,"?ACTIVATED",IF(J2807&lt;&gt;"","?FAMILIAR",IF(F2807="NEW",IF(ISNA(VLOOKUP(E2807,#REF!,1,FALSE())),"?TYPE_IDENTIFIABLE","?REFERENTIAL"),"_")))))</f>
        <v/>
      </c>
      <c r="H2807" s="23" t="str">
        <f t="shared" ca="1" si="304"/>
        <v/>
      </c>
      <c r="I2807" s="24" t="str">
        <f>IF(OR(E2807="",E2807="!!!",F2807="NEW"),"",INDEX(B$2:B2806,-1+SUMPRODUCT(MAX(ROW(E$2:E2806)*(E2807=E$2:E2806)))))</f>
        <v/>
      </c>
      <c r="J2807" s="24" t="str">
        <f ca="1">IF(OR(E2807="",E2807="!!!",F2807="NEW"),"",COUNTBLANK(OFFSET(A$1,,,SUMPRODUCT(MAX(ROW(E$2:E2807)*(E2807=E$2:E2807)))))-COUNTBLANK(OFFSET(A$1,,,SUMPRODUCT(MAX(ROW(E$1:E2806)*(E2=E$1:E2806))))))</f>
        <v/>
      </c>
      <c r="K2807" s="24" t="str">
        <f>IF(OR(E2807="",E2807="!!!",F2807="NEW"),"",INDEX(J$1:J2806,SUMPRODUCT(MAX(ROW(E$1:E2806)*(E2807=E$1:E2806)))))</f>
        <v/>
      </c>
      <c r="L2807" s="25"/>
    </row>
    <row r="2808" spans="1:12" x14ac:dyDescent="0.2">
      <c r="A2808" t="s">
        <v>1218</v>
      </c>
      <c r="B2808" s="26" t="s">
        <v>864</v>
      </c>
      <c r="C2808" s="26" t="s">
        <v>814</v>
      </c>
      <c r="E2808" s="20" t="str">
        <f t="shared" si="305"/>
        <v/>
      </c>
      <c r="F2808" s="21" t="str">
        <f>IF(OR(E2808="",E2808="!!!"),"",IF(NOT(ISNA(VLOOKUP(E2808,E$1:E2807,1,FALSE()))),"OLD",IF(AND(E2808&lt;&gt;"",E2808&lt;&gt;"!!!"),"NEW","")))</f>
        <v/>
      </c>
      <c r="G2808" s="22" t="str">
        <f>IF(OR(E2808="",E2808="!!!"),"",IF(OR(J2808=0,AND(J2808=1,K2808=1),AND(J2808=1,I2808="SBJ"),AND(J2808=1,I2808=0)),"?IN_FOCUS",IF(J2808&lt;=2,"?ACTIVATED",IF(J2808&lt;&gt;"","?FAMILIAR",IF(F2808="NEW",IF(ISNA(VLOOKUP(E2808,#REF!,1,FALSE())),"?TYPE_IDENTIFIABLE","?REFERENTIAL"),"_")))))</f>
        <v/>
      </c>
      <c r="H2808" s="23" t="str">
        <f t="shared" ca="1" si="304"/>
        <v/>
      </c>
      <c r="I2808" s="24" t="str">
        <f>IF(OR(E2808="",E2808="!!!",F2808="NEW"),"",INDEX(B$2:B2807,-1+SUMPRODUCT(MAX(ROW(E$2:E2807)*(E2808=E$2:E2807)))))</f>
        <v/>
      </c>
      <c r="J2808" s="24" t="str">
        <f ca="1">IF(OR(E2808="",E2808="!!!",F2808="NEW"),"",COUNTBLANK(OFFSET(A$1,,,SUMPRODUCT(MAX(ROW(E$2:E2808)*(E2808=E$2:E2808)))))-COUNTBLANK(OFFSET(A$1,,,SUMPRODUCT(MAX(ROW(E$1:E2807)*(E2=E$1:E2807))))))</f>
        <v/>
      </c>
      <c r="K2808" s="24" t="str">
        <f>IF(OR(E2808="",E2808="!!!",F2808="NEW"),"",INDEX(J$1:J2807,SUMPRODUCT(MAX(ROW(E$1:E2807)*(E2808=E$1:E2807)))))</f>
        <v/>
      </c>
      <c r="L2808" s="25"/>
    </row>
    <row r="2809" spans="1:12" x14ac:dyDescent="0.2">
      <c r="A2809" t="s">
        <v>821</v>
      </c>
      <c r="E2809" s="20" t="str">
        <f t="shared" si="305"/>
        <v/>
      </c>
      <c r="F2809" s="21" t="str">
        <f>IF(OR(E2809="",E2809="!!!"),"",IF(NOT(ISNA(VLOOKUP(E2809,E$1:E2808,1,FALSE()))),"OLD",IF(AND(E2809&lt;&gt;"",E2809&lt;&gt;"!!!"),"NEW","")))</f>
        <v/>
      </c>
      <c r="G2809" s="22" t="str">
        <f>IF(OR(E2809="",E2809="!!!"),"",IF(OR(J2809=0,AND(J2809=1,K2809=1),AND(J2809=1,I2809="SBJ"),AND(J2809=1,I2809=0)),"?IN_FOCUS",IF(J2809&lt;=2,"?ACTIVATED",IF(J2809&lt;&gt;"","?FAMILIAR",IF(F2809="NEW",IF(ISNA(VLOOKUP(E2809,#REF!,1,FALSE())),"?TYPE_IDENTIFIABLE","?REFERENTIAL"),"_")))))</f>
        <v/>
      </c>
      <c r="H2809" s="23" t="str">
        <f t="shared" ca="1" si="304"/>
        <v/>
      </c>
      <c r="I2809" s="24" t="str">
        <f>IF(OR(E2809="",E2809="!!!",F2809="NEW"),"",INDEX(B$2:B2808,-1+SUMPRODUCT(MAX(ROW(E$2:E2808)*(E2809=E$2:E2808)))))</f>
        <v/>
      </c>
      <c r="J2809" s="24" t="str">
        <f ca="1">IF(OR(E2809="",E2809="!!!",F2809="NEW"),"",COUNTBLANK(OFFSET(A$1,,,SUMPRODUCT(MAX(ROW(E$2:E2809)*(E2809=E$2:E2809)))))-COUNTBLANK(OFFSET(A$1,,,SUMPRODUCT(MAX(ROW(E$1:E2808)*(E2=E$1:E2808))))))</f>
        <v/>
      </c>
      <c r="K2809" s="24" t="str">
        <f>IF(OR(E2809="",E2809="!!!",F2809="NEW"),"",INDEX(J$1:J2808,SUMPRODUCT(MAX(ROW(E$1:E2808)*(E2809=E$1:E2808)))))</f>
        <v/>
      </c>
      <c r="L2809" s="25"/>
    </row>
    <row r="2811" spans="1:12" x14ac:dyDescent="0.2">
      <c r="A2811" t="s">
        <v>1605</v>
      </c>
    </row>
    <row r="2812" spans="1:12" x14ac:dyDescent="0.2">
      <c r="A2812" t="s">
        <v>849</v>
      </c>
      <c r="B2812" s="26" t="s">
        <v>804</v>
      </c>
      <c r="C2812" s="26" t="s">
        <v>850</v>
      </c>
      <c r="E2812" s="20" t="str">
        <f t="shared" ref="E2812:E2832" si="306">IF(D2812="?OLD","!!!","")</f>
        <v/>
      </c>
      <c r="F2812" s="21" t="str">
        <f>IF(OR(E2812="",E2812="!!!"),"",IF(NOT(ISNA(VLOOKUP(E2812,E$1:E2811,1,FALSE()))),"OLD",IF(AND(E2812&lt;&gt;"",E2812&lt;&gt;"!!!"),"NEW","")))</f>
        <v/>
      </c>
      <c r="G2812" s="22" t="str">
        <f>IF(OR(E2812="",E2812="!!!"),"",IF(OR(J2812=0,AND(J2812=1,K2812=1),AND(J2812=1,I2812="SBJ"),AND(J2812=1,I2812=0)),"?IN_FOCUS",IF(J2812&lt;=2,"?ACTIVATED",IF(J2812&lt;&gt;"","?FAMILIAR",IF(F2812="NEW",IF(ISNA(VLOOKUP(E2812,#REF!,1,FALSE())),"?TYPE_IDENTIFIABLE","?REFERENTIAL"),"_")))))</f>
        <v/>
      </c>
      <c r="H2812" s="23" t="str">
        <f t="shared" ref="H2812:H2832" ca="1" si="307">IF(J2812&lt;&gt;1,"",IF(I2812="SBJ","CB","?"))</f>
        <v/>
      </c>
      <c r="I2812" s="24" t="str">
        <f>IF(OR(E2812="",E2812="!!!",F2812="NEW"),"",INDEX(B$2:B2811,-1+SUMPRODUCT(MAX(ROW(E$2:E2811)*(E2812=E$2:E2811)))))</f>
        <v/>
      </c>
      <c r="J2812" s="24" t="str">
        <f ca="1">IF(OR(E2812="",E2812="!!!",F2812="NEW"),"",COUNTBLANK(OFFSET(A$1,,,SUMPRODUCT(MAX(ROW(E$2:E2812)*(E2812=E$2:E2812)))))-COUNTBLANK(OFFSET(A$1,,,SUMPRODUCT(MAX(ROW(E$1:E2811)*(E2=E$1:E2811))))))</f>
        <v/>
      </c>
      <c r="K2812" s="24" t="str">
        <f>IF(OR(E2812="",E2812="!!!",F2812="NEW"),"",INDEX(J$1:J2811,SUMPRODUCT(MAX(ROW(E$1:E2811)*(E2812=E$1:E2811)))))</f>
        <v/>
      </c>
      <c r="L2812" s="25"/>
    </row>
    <row r="2813" spans="1:12" x14ac:dyDescent="0.2">
      <c r="A2813" t="s">
        <v>919</v>
      </c>
      <c r="B2813" s="26" t="s">
        <v>891</v>
      </c>
      <c r="C2813" s="26" t="s">
        <v>805</v>
      </c>
      <c r="D2813" s="26" t="s">
        <v>806</v>
      </c>
      <c r="E2813" s="20"/>
      <c r="F2813" s="21" t="s">
        <v>1781</v>
      </c>
      <c r="G2813" s="22" t="str">
        <f>IF(OR(E2813="",E2813="!!!"),"",IF(OR(J2813=0,AND(J2813=1,K2813=1),AND(J2813=1,I2813="SBJ"),AND(J2813=1,I2813=0)),"?IN_FOCUS",IF(J2813&lt;=2,"?ACTIVATED",IF(J2813&lt;&gt;"","?FAMILIAR",IF(F2813="NEW",IF(ISNA(VLOOKUP(E2813,#REF!,1,FALSE())),"?TYPE_IDENTIFIABLE","?REFERENTIAL"),"_")))))</f>
        <v/>
      </c>
      <c r="H2813" s="23" t="str">
        <f t="shared" ca="1" si="307"/>
        <v/>
      </c>
      <c r="I2813" s="24" t="str">
        <f>IF(OR(E2813="",E2813="!!!",F2813="NEW"),"",INDEX(B$2:B2812,-1+SUMPRODUCT(MAX(ROW(E$2:E2812)*(E2813=E$2:E2812)))))</f>
        <v/>
      </c>
      <c r="J2813" s="24" t="str">
        <f ca="1">IF(OR(E2813="",E2813="!!!",F2813="NEW"),"",COUNTBLANK(OFFSET(A$1,,,SUMPRODUCT(MAX(ROW(E$2:E2813)*(E2813=E$2:E2813)))))-COUNTBLANK(OFFSET(A$1,,,SUMPRODUCT(MAX(ROW(E$1:E2812)*(E2=E$1:E2812))))))</f>
        <v/>
      </c>
      <c r="K2813" s="24" t="str">
        <f>IF(OR(E2813="",E2813="!!!",F2813="NEW"),"",INDEX(J$1:J2812,SUMPRODUCT(MAX(ROW(E$1:E2812)*(E2813=E$1:E2812)))))</f>
        <v/>
      </c>
      <c r="L2813" s="25"/>
    </row>
    <row r="2814" spans="1:12" x14ac:dyDescent="0.2">
      <c r="A2814" t="s">
        <v>1606</v>
      </c>
      <c r="E2814" s="20" t="str">
        <f t="shared" si="306"/>
        <v/>
      </c>
      <c r="F2814" s="21" t="str">
        <f>IF(OR(E2814="",E2814="!!!"),"",IF(NOT(ISNA(VLOOKUP(E2814,E$1:E2813,1,FALSE()))),"OLD",IF(AND(E2814&lt;&gt;"",E2814&lt;&gt;"!!!"),"NEW","")))</f>
        <v/>
      </c>
      <c r="G2814" s="22" t="str">
        <f>IF(OR(E2814="",E2814="!!!"),"",IF(OR(J2814=0,AND(J2814=1,K2814=1),AND(J2814=1,I2814="SBJ"),AND(J2814=1,I2814=0)),"?IN_FOCUS",IF(J2814&lt;=2,"?ACTIVATED",IF(J2814&lt;&gt;"","?FAMILIAR",IF(F2814="NEW",IF(ISNA(VLOOKUP(E2814,#REF!,1,FALSE())),"?TYPE_IDENTIFIABLE","?REFERENTIAL"),"_")))))</f>
        <v/>
      </c>
      <c r="H2814" s="23" t="str">
        <f t="shared" ca="1" si="307"/>
        <v/>
      </c>
      <c r="I2814" s="24" t="str">
        <f>IF(OR(E2814="",E2814="!!!",F2814="NEW"),"",INDEX(B$2:B2813,-1+SUMPRODUCT(MAX(ROW(E$2:E2813)*(E2814=E$2:E2813)))))</f>
        <v/>
      </c>
      <c r="J2814" s="24" t="str">
        <f ca="1">IF(OR(E2814="",E2814="!!!",F2814="NEW"),"",COUNTBLANK(OFFSET(A$1,,,SUMPRODUCT(MAX(ROW(E$2:E2814)*(E2814=E$2:E2814)))))-COUNTBLANK(OFFSET(A$1,,,SUMPRODUCT(MAX(ROW(E$1:E2813)*(E2=E$1:E2813))))))</f>
        <v/>
      </c>
      <c r="K2814" s="24" t="str">
        <f>IF(OR(E2814="",E2814="!!!",F2814="NEW"),"",INDEX(J$1:J2813,SUMPRODUCT(MAX(ROW(E$1:E2813)*(E2814=E$1:E2813)))))</f>
        <v/>
      </c>
      <c r="L2814" s="25"/>
    </row>
    <row r="2815" spans="1:12" x14ac:dyDescent="0.2">
      <c r="A2815" t="s">
        <v>1607</v>
      </c>
      <c r="E2815" s="20" t="str">
        <f t="shared" si="306"/>
        <v/>
      </c>
      <c r="F2815" s="21" t="str">
        <f>IF(OR(E2815="",E2815="!!!"),"",IF(NOT(ISNA(VLOOKUP(E2815,E$1:E2814,1,FALSE()))),"OLD",IF(AND(E2815&lt;&gt;"",E2815&lt;&gt;"!!!"),"NEW","")))</f>
        <v/>
      </c>
      <c r="G2815" s="22" t="str">
        <f>IF(OR(E2815="",E2815="!!!"),"",IF(OR(J2815=0,AND(J2815=1,K2815=1),AND(J2815=1,I2815="SBJ"),AND(J2815=1,I2815=0)),"?IN_FOCUS",IF(J2815&lt;=2,"?ACTIVATED",IF(J2815&lt;&gt;"","?FAMILIAR",IF(F2815="NEW",IF(ISNA(VLOOKUP(E2815,#REF!,1,FALSE())),"?TYPE_IDENTIFIABLE","?REFERENTIAL"),"_")))))</f>
        <v/>
      </c>
      <c r="H2815" s="23" t="str">
        <f t="shared" ca="1" si="307"/>
        <v/>
      </c>
      <c r="I2815" s="24" t="str">
        <f>IF(OR(E2815="",E2815="!!!",F2815="NEW"),"",INDEX(B$2:B2814,-1+SUMPRODUCT(MAX(ROW(E$2:E2814)*(E2815=E$2:E2814)))))</f>
        <v/>
      </c>
      <c r="J2815" s="24" t="str">
        <f ca="1">IF(OR(E2815="",E2815="!!!",F2815="NEW"),"",COUNTBLANK(OFFSET(A$1,,,SUMPRODUCT(MAX(ROW(E$2:E2815)*(E2815=E$2:E2815)))))-COUNTBLANK(OFFSET(A$1,,,SUMPRODUCT(MAX(ROW(E$1:E2814)*(E2=E$1:E2814))))))</f>
        <v/>
      </c>
      <c r="K2815" s="24" t="str">
        <f>IF(OR(E2815="",E2815="!!!",F2815="NEW"),"",INDEX(J$1:J2814,SUMPRODUCT(MAX(ROW(E$1:E2814)*(E2815=E$1:E2814)))))</f>
        <v/>
      </c>
      <c r="L2815" s="25"/>
    </row>
    <row r="2816" spans="1:12" x14ac:dyDescent="0.2">
      <c r="A2816" t="s">
        <v>963</v>
      </c>
      <c r="E2816" s="20" t="str">
        <f t="shared" si="306"/>
        <v/>
      </c>
      <c r="F2816" s="21" t="str">
        <f>IF(OR(E2816="",E2816="!!!"),"",IF(NOT(ISNA(VLOOKUP(E2816,E$1:E2815,1,FALSE()))),"OLD",IF(AND(E2816&lt;&gt;"",E2816&lt;&gt;"!!!"),"NEW","")))</f>
        <v/>
      </c>
      <c r="G2816" s="22" t="str">
        <f>IF(OR(E2816="",E2816="!!!"),"",IF(OR(J2816=0,AND(J2816=1,K2816=1),AND(J2816=1,I2816="SBJ"),AND(J2816=1,I2816=0)),"?IN_FOCUS",IF(J2816&lt;=2,"?ACTIVATED",IF(J2816&lt;&gt;"","?FAMILIAR",IF(F2816="NEW",IF(ISNA(VLOOKUP(E2816,#REF!,1,FALSE())),"?TYPE_IDENTIFIABLE","?REFERENTIAL"),"_")))))</f>
        <v/>
      </c>
      <c r="H2816" s="23" t="str">
        <f t="shared" ca="1" si="307"/>
        <v/>
      </c>
      <c r="I2816" s="24" t="str">
        <f>IF(OR(E2816="",E2816="!!!",F2816="NEW"),"",INDEX(B$2:B2815,-1+SUMPRODUCT(MAX(ROW(E$2:E2815)*(E2816=E$2:E2815)))))</f>
        <v/>
      </c>
      <c r="J2816" s="24" t="str">
        <f ca="1">IF(OR(E2816="",E2816="!!!",F2816="NEW"),"",COUNTBLANK(OFFSET(A$1,,,SUMPRODUCT(MAX(ROW(E$2:E2816)*(E2816=E$2:E2816)))))-COUNTBLANK(OFFSET(A$1,,,SUMPRODUCT(MAX(ROW(E$1:E2815)*(E2=E$1:E2815))))))</f>
        <v/>
      </c>
      <c r="K2816" s="24" t="str">
        <f>IF(OR(E2816="",E2816="!!!",F2816="NEW"),"",INDEX(J$1:J2815,SUMPRODUCT(MAX(ROW(E$1:E2815)*(E2816=E$1:E2815)))))</f>
        <v/>
      </c>
      <c r="L2816" s="25"/>
    </row>
    <row r="2817" spans="1:12" x14ac:dyDescent="0.2">
      <c r="A2817" t="s">
        <v>809</v>
      </c>
      <c r="E2817" s="20" t="str">
        <f t="shared" si="306"/>
        <v/>
      </c>
      <c r="F2817" s="21" t="str">
        <f>IF(OR(E2817="",E2817="!!!"),"",IF(NOT(ISNA(VLOOKUP(E2817,E$1:E2816,1,FALSE()))),"OLD",IF(AND(E2817&lt;&gt;"",E2817&lt;&gt;"!!!"),"NEW","")))</f>
        <v/>
      </c>
      <c r="G2817" s="22" t="str">
        <f>IF(OR(E2817="",E2817="!!!"),"",IF(OR(J2817=0,AND(J2817=1,K2817=1),AND(J2817=1,I2817="SBJ"),AND(J2817=1,I2817=0)),"?IN_FOCUS",IF(J2817&lt;=2,"?ACTIVATED",IF(J2817&lt;&gt;"","?FAMILIAR",IF(F2817="NEW",IF(ISNA(VLOOKUP(E2817,#REF!,1,FALSE())),"?TYPE_IDENTIFIABLE","?REFERENTIAL"),"_")))))</f>
        <v/>
      </c>
      <c r="H2817" s="23" t="str">
        <f t="shared" ca="1" si="307"/>
        <v/>
      </c>
      <c r="I2817" s="24" t="str">
        <f>IF(OR(E2817="",E2817="!!!",F2817="NEW"),"",INDEX(B$2:B2816,-1+SUMPRODUCT(MAX(ROW(E$2:E2816)*(E2817=E$2:E2816)))))</f>
        <v/>
      </c>
      <c r="J2817" s="24" t="str">
        <f ca="1">IF(OR(E2817="",E2817="!!!",F2817="NEW"),"",COUNTBLANK(OFFSET(A$1,,,SUMPRODUCT(MAX(ROW(E$2:E2817)*(E2817=E$2:E2817)))))-COUNTBLANK(OFFSET(A$1,,,SUMPRODUCT(MAX(ROW(E$1:E2816)*(E2=E$1:E2816))))))</f>
        <v/>
      </c>
      <c r="K2817" s="24" t="str">
        <f>IF(OR(E2817="",E2817="!!!",F2817="NEW"),"",INDEX(J$1:J2816,SUMPRODUCT(MAX(ROW(E$1:E2816)*(E2817=E$1:E2816)))))</f>
        <v/>
      </c>
      <c r="L2817" s="25"/>
    </row>
    <row r="2818" spans="1:12" x14ac:dyDescent="0.2">
      <c r="A2818" t="s">
        <v>1608</v>
      </c>
      <c r="E2818" s="20" t="str">
        <f t="shared" si="306"/>
        <v/>
      </c>
      <c r="F2818" s="21" t="str">
        <f>IF(OR(E2818="",E2818="!!!"),"",IF(NOT(ISNA(VLOOKUP(E2818,E$1:E2817,1,FALSE()))),"OLD",IF(AND(E2818&lt;&gt;"",E2818&lt;&gt;"!!!"),"NEW","")))</f>
        <v/>
      </c>
      <c r="G2818" s="22" t="str">
        <f>IF(OR(E2818="",E2818="!!!"),"",IF(OR(J2818=0,AND(J2818=1,K2818=1),AND(J2818=1,I2818="SBJ"),AND(J2818=1,I2818=0)),"?IN_FOCUS",IF(J2818&lt;=2,"?ACTIVATED",IF(J2818&lt;&gt;"","?FAMILIAR",IF(F2818="NEW",IF(ISNA(VLOOKUP(E2818,#REF!,1,FALSE())),"?TYPE_IDENTIFIABLE","?REFERENTIAL"),"_")))))</f>
        <v/>
      </c>
      <c r="H2818" s="23" t="str">
        <f t="shared" ca="1" si="307"/>
        <v/>
      </c>
      <c r="I2818" s="24" t="str">
        <f>IF(OR(E2818="",E2818="!!!",F2818="NEW"),"",INDEX(B$2:B2817,-1+SUMPRODUCT(MAX(ROW(E$2:E2817)*(E2818=E$2:E2817)))))</f>
        <v/>
      </c>
      <c r="J2818" s="24" t="str">
        <f ca="1">IF(OR(E2818="",E2818="!!!",F2818="NEW"),"",COUNTBLANK(OFFSET(A$1,,,SUMPRODUCT(MAX(ROW(E$2:E2818)*(E2818=E$2:E2818)))))-COUNTBLANK(OFFSET(A$1,,,SUMPRODUCT(MAX(ROW(E$1:E2817)*(E2=E$1:E2817))))))</f>
        <v/>
      </c>
      <c r="K2818" s="24" t="str">
        <f>IF(OR(E2818="",E2818="!!!",F2818="NEW"),"",INDEX(J$1:J2817,SUMPRODUCT(MAX(ROW(E$1:E2817)*(E2818=E$1:E2817)))))</f>
        <v/>
      </c>
      <c r="L2818" s="25"/>
    </row>
    <row r="2819" spans="1:12" x14ac:dyDescent="0.2">
      <c r="A2819" t="s">
        <v>1609</v>
      </c>
      <c r="E2819" s="20" t="str">
        <f t="shared" si="306"/>
        <v/>
      </c>
      <c r="F2819" s="21" t="str">
        <f>IF(OR(E2819="",E2819="!!!"),"",IF(NOT(ISNA(VLOOKUP(E2819,E$1:E2818,1,FALSE()))),"OLD",IF(AND(E2819&lt;&gt;"",E2819&lt;&gt;"!!!"),"NEW","")))</f>
        <v/>
      </c>
      <c r="G2819" s="22" t="str">
        <f>IF(OR(E2819="",E2819="!!!"),"",IF(OR(J2819=0,AND(J2819=1,K2819=1),AND(J2819=1,I2819="SBJ"),AND(J2819=1,I2819=0)),"?IN_FOCUS",IF(J2819&lt;=2,"?ACTIVATED",IF(J2819&lt;&gt;"","?FAMILIAR",IF(F2819="NEW",IF(ISNA(VLOOKUP(E2819,#REF!,1,FALSE())),"?TYPE_IDENTIFIABLE","?REFERENTIAL"),"_")))))</f>
        <v/>
      </c>
      <c r="H2819" s="23" t="str">
        <f t="shared" ca="1" si="307"/>
        <v/>
      </c>
      <c r="I2819" s="24" t="str">
        <f>IF(OR(E2819="",E2819="!!!",F2819="NEW"),"",INDEX(B$2:B2818,-1+SUMPRODUCT(MAX(ROW(E$2:E2818)*(E2819=E$2:E2818)))))</f>
        <v/>
      </c>
      <c r="J2819" s="24" t="str">
        <f ca="1">IF(OR(E2819="",E2819="!!!",F2819="NEW"),"",COUNTBLANK(OFFSET(A$1,,,SUMPRODUCT(MAX(ROW(E$2:E2819)*(E2819=E$2:E2819)))))-COUNTBLANK(OFFSET(A$1,,,SUMPRODUCT(MAX(ROW(E$1:E2818)*(E2=E$1:E2818))))))</f>
        <v/>
      </c>
      <c r="K2819" s="24" t="str">
        <f>IF(OR(E2819="",E2819="!!!",F2819="NEW"),"",INDEX(J$1:J2818,SUMPRODUCT(MAX(ROW(E$1:E2818)*(E2819=E$1:E2818)))))</f>
        <v/>
      </c>
      <c r="L2819" s="25"/>
    </row>
    <row r="2820" spans="1:12" x14ac:dyDescent="0.2">
      <c r="A2820" t="s">
        <v>1610</v>
      </c>
      <c r="B2820" s="26" t="s">
        <v>819</v>
      </c>
      <c r="C2820" s="26" t="s">
        <v>811</v>
      </c>
      <c r="E2820" s="20" t="str">
        <f t="shared" si="306"/>
        <v/>
      </c>
      <c r="F2820" s="21" t="str">
        <f>IF(OR(E2820="",E2820="!!!"),"",IF(NOT(ISNA(VLOOKUP(E2820,E$1:E2819,1,FALSE()))),"OLD",IF(AND(E2820&lt;&gt;"",E2820&lt;&gt;"!!!"),"NEW","")))</f>
        <v/>
      </c>
      <c r="G2820" s="22" t="str">
        <f>IF(OR(E2820="",E2820="!!!"),"",IF(OR(J2820=0,AND(J2820=1,K2820=1),AND(J2820=1,I2820="SBJ"),AND(J2820=1,I2820=0)),"?IN_FOCUS",IF(J2820&lt;=2,"?ACTIVATED",IF(J2820&lt;&gt;"","?FAMILIAR",IF(F2820="NEW",IF(ISNA(VLOOKUP(E2820,#REF!,1,FALSE())),"?TYPE_IDENTIFIABLE","?REFERENTIAL"),"_")))))</f>
        <v/>
      </c>
      <c r="H2820" s="23" t="str">
        <f t="shared" ca="1" si="307"/>
        <v/>
      </c>
      <c r="I2820" s="24" t="str">
        <f>IF(OR(E2820="",E2820="!!!",F2820="NEW"),"",INDEX(B$2:B2819,-1+SUMPRODUCT(MAX(ROW(E$2:E2819)*(E2820=E$2:E2819)))))</f>
        <v/>
      </c>
      <c r="J2820" s="24" t="str">
        <f ca="1">IF(OR(E2820="",E2820="!!!",F2820="NEW"),"",COUNTBLANK(OFFSET(A$1,,,SUMPRODUCT(MAX(ROW(E$2:E2820)*(E2820=E$2:E2820)))))-COUNTBLANK(OFFSET(A$1,,,SUMPRODUCT(MAX(ROW(E$1:E2819)*(E2=E$1:E2819))))))</f>
        <v/>
      </c>
      <c r="K2820" s="24" t="str">
        <f>IF(OR(E2820="",E2820="!!!",F2820="NEW"),"",INDEX(J$1:J2819,SUMPRODUCT(MAX(ROW(E$1:E2819)*(E2820=E$1:E2819)))))</f>
        <v/>
      </c>
      <c r="L2820" s="25"/>
    </row>
    <row r="2821" spans="1:12" x14ac:dyDescent="0.2">
      <c r="A2821" t="s">
        <v>812</v>
      </c>
      <c r="E2821" s="20" t="str">
        <f t="shared" si="306"/>
        <v/>
      </c>
      <c r="F2821" s="21" t="str">
        <f>IF(OR(E2821="",E2821="!!!"),"",IF(NOT(ISNA(VLOOKUP(E2821,E$1:E2820,1,FALSE()))),"OLD",IF(AND(E2821&lt;&gt;"",E2821&lt;&gt;"!!!"),"NEW","")))</f>
        <v/>
      </c>
      <c r="G2821" s="22" t="str">
        <f>IF(OR(E2821="",E2821="!!!"),"",IF(OR(J2821=0,AND(J2821=1,K2821=1),AND(J2821=1,I2821="SBJ"),AND(J2821=1,I2821=0)),"?IN_FOCUS",IF(J2821&lt;=2,"?ACTIVATED",IF(J2821&lt;&gt;"","?FAMILIAR",IF(F2821="NEW",IF(ISNA(VLOOKUP(E2821,#REF!,1,FALSE())),"?TYPE_IDENTIFIABLE","?REFERENTIAL"),"_")))))</f>
        <v/>
      </c>
      <c r="H2821" s="23" t="str">
        <f t="shared" ca="1" si="307"/>
        <v/>
      </c>
      <c r="I2821" s="24" t="str">
        <f>IF(OR(E2821="",E2821="!!!",F2821="NEW"),"",INDEX(B$2:B2820,-1+SUMPRODUCT(MAX(ROW(E$2:E2820)*(E2821=E$2:E2820)))))</f>
        <v/>
      </c>
      <c r="J2821" s="24" t="str">
        <f ca="1">IF(OR(E2821="",E2821="!!!",F2821="NEW"),"",COUNTBLANK(OFFSET(A$1,,,SUMPRODUCT(MAX(ROW(E$2:E2821)*(E2821=E$2:E2821)))))-COUNTBLANK(OFFSET(A$1,,,SUMPRODUCT(MAX(ROW(E$1:E2820)*(E2=E$1:E2820))))))</f>
        <v/>
      </c>
      <c r="K2821" s="24" t="str">
        <f>IF(OR(E2821="",E2821="!!!",F2821="NEW"),"",INDEX(J$1:J2820,SUMPRODUCT(MAX(ROW(E$1:E2820)*(E2821=E$1:E2820)))))</f>
        <v/>
      </c>
      <c r="L2821" s="25"/>
    </row>
    <row r="2822" spans="1:12" x14ac:dyDescent="0.2">
      <c r="A2822" t="s">
        <v>1611</v>
      </c>
      <c r="B2822" s="26" t="s">
        <v>819</v>
      </c>
      <c r="C2822" s="26" t="s">
        <v>814</v>
      </c>
      <c r="E2822" s="20" t="str">
        <f t="shared" si="306"/>
        <v/>
      </c>
      <c r="F2822" s="21" t="str">
        <f>IF(OR(E2822="",E2822="!!!"),"",IF(NOT(ISNA(VLOOKUP(E2822,E$1:E2821,1,FALSE()))),"OLD",IF(AND(E2822&lt;&gt;"",E2822&lt;&gt;"!!!"),"NEW","")))</f>
        <v/>
      </c>
      <c r="G2822" s="22" t="str">
        <f>IF(OR(E2822="",E2822="!!!"),"",IF(OR(J2822=0,AND(J2822=1,K2822=1),AND(J2822=1,I2822="SBJ"),AND(J2822=1,I2822=0)),"?IN_FOCUS",IF(J2822&lt;=2,"?ACTIVATED",IF(J2822&lt;&gt;"","?FAMILIAR",IF(F2822="NEW",IF(ISNA(VLOOKUP(E2822,#REF!,1,FALSE())),"?TYPE_IDENTIFIABLE","?REFERENTIAL"),"_")))))</f>
        <v/>
      </c>
      <c r="H2822" s="23" t="str">
        <f t="shared" ca="1" si="307"/>
        <v/>
      </c>
      <c r="I2822" s="24" t="str">
        <f>IF(OR(E2822="",E2822="!!!",F2822="NEW"),"",INDEX(B$2:B2821,-1+SUMPRODUCT(MAX(ROW(E$2:E2821)*(E2822=E$2:E2821)))))</f>
        <v/>
      </c>
      <c r="J2822" s="24" t="str">
        <f ca="1">IF(OR(E2822="",E2822="!!!",F2822="NEW"),"",COUNTBLANK(OFFSET(A$1,,,SUMPRODUCT(MAX(ROW(E$2:E2822)*(E2822=E$2:E2822)))))-COUNTBLANK(OFFSET(A$1,,,SUMPRODUCT(MAX(ROW(E$1:E2821)*(E2=E$1:E2821))))))</f>
        <v/>
      </c>
      <c r="K2822" s="24" t="str">
        <f>IF(OR(E2822="",E2822="!!!",F2822="NEW"),"",INDEX(J$1:J2821,SUMPRODUCT(MAX(ROW(E$1:E2821)*(E2822=E$1:E2821)))))</f>
        <v/>
      </c>
      <c r="L2822" s="25"/>
    </row>
    <row r="2823" spans="1:12" x14ac:dyDescent="0.2">
      <c r="A2823" t="s">
        <v>802</v>
      </c>
      <c r="E2823" s="20" t="str">
        <f t="shared" si="306"/>
        <v/>
      </c>
      <c r="F2823" s="21" t="str">
        <f>IF(OR(E2823="",E2823="!!!"),"",IF(NOT(ISNA(VLOOKUP(E2823,E$1:E2822,1,FALSE()))),"OLD",IF(AND(E2823&lt;&gt;"",E2823&lt;&gt;"!!!"),"NEW","")))</f>
        <v/>
      </c>
      <c r="G2823" s="22" t="str">
        <f>IF(OR(E2823="",E2823="!!!"),"",IF(OR(J2823=0,AND(J2823=1,K2823=1),AND(J2823=1,I2823="SBJ"),AND(J2823=1,I2823=0)),"?IN_FOCUS",IF(J2823&lt;=2,"?ACTIVATED",IF(J2823&lt;&gt;"","?FAMILIAR",IF(F2823="NEW",IF(ISNA(VLOOKUP(E2823,#REF!,1,FALSE())),"?TYPE_IDENTIFIABLE","?REFERENTIAL"),"_")))))</f>
        <v/>
      </c>
      <c r="H2823" s="23" t="str">
        <f t="shared" ca="1" si="307"/>
        <v/>
      </c>
      <c r="I2823" s="24" t="str">
        <f>IF(OR(E2823="",E2823="!!!",F2823="NEW"),"",INDEX(B$2:B2822,-1+SUMPRODUCT(MAX(ROW(E$2:E2822)*(E2823=E$2:E2822)))))</f>
        <v/>
      </c>
      <c r="J2823" s="24" t="str">
        <f ca="1">IF(OR(E2823="",E2823="!!!",F2823="NEW"),"",COUNTBLANK(OFFSET(A$1,,,SUMPRODUCT(MAX(ROW(E$2:E2823)*(E2823=E$2:E2823)))))-COUNTBLANK(OFFSET(A$1,,,SUMPRODUCT(MAX(ROW(E$1:E2822)*(E2=E$1:E2822))))))</f>
        <v/>
      </c>
      <c r="K2823" s="24" t="str">
        <f>IF(OR(E2823="",E2823="!!!",F2823="NEW"),"",INDEX(J$1:J2822,SUMPRODUCT(MAX(ROW(E$1:E2822)*(E2823=E$1:E2822)))))</f>
        <v/>
      </c>
      <c r="L2823" s="25"/>
    </row>
    <row r="2824" spans="1:12" x14ac:dyDescent="0.2">
      <c r="A2824" t="s">
        <v>829</v>
      </c>
      <c r="E2824" s="20" t="str">
        <f t="shared" si="306"/>
        <v/>
      </c>
      <c r="F2824" s="21" t="str">
        <f>IF(OR(E2824="",E2824="!!!"),"",IF(NOT(ISNA(VLOOKUP(E2824,E$1:E2823,1,FALSE()))),"OLD",IF(AND(E2824&lt;&gt;"",E2824&lt;&gt;"!!!"),"NEW","")))</f>
        <v/>
      </c>
      <c r="G2824" s="22" t="str">
        <f>IF(OR(E2824="",E2824="!!!"),"",IF(OR(J2824=0,AND(J2824=1,K2824=1),AND(J2824=1,I2824="SBJ"),AND(J2824=1,I2824=0)),"?IN_FOCUS",IF(J2824&lt;=2,"?ACTIVATED",IF(J2824&lt;&gt;"","?FAMILIAR",IF(F2824="NEW",IF(ISNA(VLOOKUP(E2824,#REF!,1,FALSE())),"?TYPE_IDENTIFIABLE","?REFERENTIAL"),"_")))))</f>
        <v/>
      </c>
      <c r="H2824" s="23" t="str">
        <f t="shared" ca="1" si="307"/>
        <v/>
      </c>
      <c r="I2824" s="24" t="str">
        <f>IF(OR(E2824="",E2824="!!!",F2824="NEW"),"",INDEX(B$2:B2823,-1+SUMPRODUCT(MAX(ROW(E$2:E2823)*(E2824=E$2:E2823)))))</f>
        <v/>
      </c>
      <c r="J2824" s="24" t="str">
        <f ca="1">IF(OR(E2824="",E2824="!!!",F2824="NEW"),"",COUNTBLANK(OFFSET(A$1,,,SUMPRODUCT(MAX(ROW(E$2:E2824)*(E2824=E$2:E2824)))))-COUNTBLANK(OFFSET(A$1,,,SUMPRODUCT(MAX(ROW(E$1:E2823)*(E2=E$1:E2823))))))</f>
        <v/>
      </c>
      <c r="K2824" s="24" t="str">
        <f>IF(OR(E2824="",E2824="!!!",F2824="NEW"),"",INDEX(J$1:J2823,SUMPRODUCT(MAX(ROW(E$1:E2823)*(E2824=E$1:E2823)))))</f>
        <v/>
      </c>
      <c r="L2824" s="25"/>
    </row>
    <row r="2825" spans="1:12" x14ac:dyDescent="0.2">
      <c r="A2825" t="s">
        <v>815</v>
      </c>
      <c r="E2825" s="20" t="str">
        <f t="shared" si="306"/>
        <v/>
      </c>
      <c r="F2825" s="21" t="str">
        <f>IF(OR(E2825="",E2825="!!!"),"",IF(NOT(ISNA(VLOOKUP(E2825,E$1:E2824,1,FALSE()))),"OLD",IF(AND(E2825&lt;&gt;"",E2825&lt;&gt;"!!!"),"NEW","")))</f>
        <v/>
      </c>
      <c r="G2825" s="22" t="str">
        <f>IF(OR(E2825="",E2825="!!!"),"",IF(OR(J2825=0,AND(J2825=1,K2825=1),AND(J2825=1,I2825="SBJ"),AND(J2825=1,I2825=0)),"?IN_FOCUS",IF(J2825&lt;=2,"?ACTIVATED",IF(J2825&lt;&gt;"","?FAMILIAR",IF(F2825="NEW",IF(ISNA(VLOOKUP(E2825,#REF!,1,FALSE())),"?TYPE_IDENTIFIABLE","?REFERENTIAL"),"_")))))</f>
        <v/>
      </c>
      <c r="H2825" s="23" t="str">
        <f t="shared" ca="1" si="307"/>
        <v/>
      </c>
      <c r="I2825" s="24" t="str">
        <f>IF(OR(E2825="",E2825="!!!",F2825="NEW"),"",INDEX(B$2:B2824,-1+SUMPRODUCT(MAX(ROW(E$2:E2824)*(E2825=E$2:E2824)))))</f>
        <v/>
      </c>
      <c r="J2825" s="24" t="str">
        <f ca="1">IF(OR(E2825="",E2825="!!!",F2825="NEW"),"",COUNTBLANK(OFFSET(A$1,,,SUMPRODUCT(MAX(ROW(E$2:E2825)*(E2825=E$2:E2825)))))-COUNTBLANK(OFFSET(A$1,,,SUMPRODUCT(MAX(ROW(E$1:E2824)*(E2=E$1:E2824))))))</f>
        <v/>
      </c>
      <c r="K2825" s="24" t="str">
        <f>IF(OR(E2825="",E2825="!!!",F2825="NEW"),"",INDEX(J$1:J2824,SUMPRODUCT(MAX(ROW(E$1:E2824)*(E2825=E$1:E2824)))))</f>
        <v/>
      </c>
      <c r="L2825" s="25"/>
    </row>
    <row r="2826" spans="1:12" x14ac:dyDescent="0.2">
      <c r="A2826" t="s">
        <v>1241</v>
      </c>
      <c r="E2826" s="20" t="str">
        <f t="shared" si="306"/>
        <v/>
      </c>
      <c r="F2826" s="21" t="str">
        <f>IF(OR(E2826="",E2826="!!!"),"",IF(NOT(ISNA(VLOOKUP(E2826,E$1:E2825,1,FALSE()))),"OLD",IF(AND(E2826&lt;&gt;"",E2826&lt;&gt;"!!!"),"NEW","")))</f>
        <v/>
      </c>
      <c r="G2826" s="22" t="str">
        <f>IF(OR(E2826="",E2826="!!!"),"",IF(OR(J2826=0,AND(J2826=1,K2826=1),AND(J2826=1,I2826="SBJ"),AND(J2826=1,I2826=0)),"?IN_FOCUS",IF(J2826&lt;=2,"?ACTIVATED",IF(J2826&lt;&gt;"","?FAMILIAR",IF(F2826="NEW",IF(ISNA(VLOOKUP(E2826,#REF!,1,FALSE())),"?TYPE_IDENTIFIABLE","?REFERENTIAL"),"_")))))</f>
        <v/>
      </c>
      <c r="H2826" s="23" t="str">
        <f t="shared" ca="1" si="307"/>
        <v/>
      </c>
      <c r="I2826" s="24" t="str">
        <f>IF(OR(E2826="",E2826="!!!",F2826="NEW"),"",INDEX(B$2:B2825,-1+SUMPRODUCT(MAX(ROW(E$2:E2825)*(E2826=E$2:E2825)))))</f>
        <v/>
      </c>
      <c r="J2826" s="24" t="str">
        <f ca="1">IF(OR(E2826="",E2826="!!!",F2826="NEW"),"",COUNTBLANK(OFFSET(A$1,,,SUMPRODUCT(MAX(ROW(E$2:E2826)*(E2826=E$2:E2826)))))-COUNTBLANK(OFFSET(A$1,,,SUMPRODUCT(MAX(ROW(E$1:E2825)*(E2=E$1:E2825))))))</f>
        <v/>
      </c>
      <c r="K2826" s="24" t="str">
        <f>IF(OR(E2826="",E2826="!!!",F2826="NEW"),"",INDEX(J$1:J2825,SUMPRODUCT(MAX(ROW(E$1:E2825)*(E2826=E$1:E2825)))))</f>
        <v/>
      </c>
      <c r="L2826" s="25"/>
    </row>
    <row r="2827" spans="1:12" x14ac:dyDescent="0.2">
      <c r="A2827" t="s">
        <v>845</v>
      </c>
      <c r="E2827" s="20" t="str">
        <f t="shared" si="306"/>
        <v/>
      </c>
      <c r="F2827" s="21" t="str">
        <f>IF(OR(E2827="",E2827="!!!"),"",IF(NOT(ISNA(VLOOKUP(E2827,E$1:E2826,1,FALSE()))),"OLD",IF(AND(E2827&lt;&gt;"",E2827&lt;&gt;"!!!"),"NEW","")))</f>
        <v/>
      </c>
      <c r="G2827" s="22" t="str">
        <f>IF(OR(E2827="",E2827="!!!"),"",IF(OR(J2827=0,AND(J2827=1,K2827=1),AND(J2827=1,I2827="SBJ"),AND(J2827=1,I2827=0)),"?IN_FOCUS",IF(J2827&lt;=2,"?ACTIVATED",IF(J2827&lt;&gt;"","?FAMILIAR",IF(F2827="NEW",IF(ISNA(VLOOKUP(E2827,#REF!,1,FALSE())),"?TYPE_IDENTIFIABLE","?REFERENTIAL"),"_")))))</f>
        <v/>
      </c>
      <c r="H2827" s="23" t="str">
        <f t="shared" ca="1" si="307"/>
        <v/>
      </c>
      <c r="I2827" s="24" t="str">
        <f>IF(OR(E2827="",E2827="!!!",F2827="NEW"),"",INDEX(B$2:B2826,-1+SUMPRODUCT(MAX(ROW(E$2:E2826)*(E2827=E$2:E2826)))))</f>
        <v/>
      </c>
      <c r="J2827" s="24" t="str">
        <f ca="1">IF(OR(E2827="",E2827="!!!",F2827="NEW"),"",COUNTBLANK(OFFSET(A$1,,,SUMPRODUCT(MAX(ROW(E$2:E2827)*(E2827=E$2:E2827)))))-COUNTBLANK(OFFSET(A$1,,,SUMPRODUCT(MAX(ROW(E$1:E2826)*(E2=E$1:E2826))))))</f>
        <v/>
      </c>
      <c r="K2827" s="24" t="str">
        <f>IF(OR(E2827="",E2827="!!!",F2827="NEW"),"",INDEX(J$1:J2826,SUMPRODUCT(MAX(ROW(E$1:E2826)*(E2827=E$1:E2826)))))</f>
        <v/>
      </c>
      <c r="L2827" s="25"/>
    </row>
    <row r="2828" spans="1:12" x14ac:dyDescent="0.2">
      <c r="A2828" t="s">
        <v>1524</v>
      </c>
      <c r="B2828" s="26" t="s">
        <v>891</v>
      </c>
      <c r="C2828" s="26" t="s">
        <v>847</v>
      </c>
      <c r="D2828" s="26" t="s">
        <v>806</v>
      </c>
      <c r="E2828" s="20"/>
      <c r="F2828" s="21" t="s">
        <v>1781</v>
      </c>
      <c r="G2828" s="22" t="str">
        <f>IF(OR(E2828="",E2828="!!!"),"",IF(OR(J2828=0,AND(J2828=1,K2828=1),AND(J2828=1,I2828="SBJ"),AND(J2828=1,I2828=0)),"?IN_FOCUS",IF(J2828&lt;=2,"?ACTIVATED",IF(J2828&lt;&gt;"","?FAMILIAR",IF(F2828="NEW",IF(ISNA(VLOOKUP(E2828,#REF!,1,FALSE())),"?TYPE_IDENTIFIABLE","?REFERENTIAL"),"_")))))</f>
        <v/>
      </c>
      <c r="H2828" s="23" t="str">
        <f t="shared" ca="1" si="307"/>
        <v/>
      </c>
      <c r="I2828" s="24" t="str">
        <f>IF(OR(E2828="",E2828="!!!",F2828="NEW"),"",INDEX(B$2:B2827,-1+SUMPRODUCT(MAX(ROW(E$2:E2827)*(E2828=E$2:E2827)))))</f>
        <v/>
      </c>
      <c r="J2828" s="24" t="str">
        <f ca="1">IF(OR(E2828="",E2828="!!!",F2828="NEW"),"",COUNTBLANK(OFFSET(A$1,,,SUMPRODUCT(MAX(ROW(E$2:E2828)*(E2828=E$2:E2828)))))-COUNTBLANK(OFFSET(A$1,,,SUMPRODUCT(MAX(ROW(E$1:E2827)*(E2=E$1:E2827))))))</f>
        <v/>
      </c>
      <c r="K2828" s="24" t="str">
        <f>IF(OR(E2828="",E2828="!!!",F2828="NEW"),"",INDEX(J$1:J2827,SUMPRODUCT(MAX(ROW(E$1:E2827)*(E2828=E$1:E2827)))))</f>
        <v/>
      </c>
      <c r="L2828" s="25"/>
    </row>
    <row r="2829" spans="1:12" x14ac:dyDescent="0.2">
      <c r="A2829" t="s">
        <v>1135</v>
      </c>
      <c r="E2829" s="20" t="str">
        <f t="shared" si="306"/>
        <v/>
      </c>
      <c r="F2829" s="21" t="str">
        <f>IF(OR(E2829="",E2829="!!!"),"",IF(NOT(ISNA(VLOOKUP(E2829,E$1:E2828,1,FALSE()))),"OLD",IF(AND(E2829&lt;&gt;"",E2829&lt;&gt;"!!!"),"NEW","")))</f>
        <v/>
      </c>
      <c r="G2829" s="22" t="str">
        <f>IF(OR(E2829="",E2829="!!!"),"",IF(OR(J2829=0,AND(J2829=1,K2829=1),AND(J2829=1,I2829="SBJ"),AND(J2829=1,I2829=0)),"?IN_FOCUS",IF(J2829&lt;=2,"?ACTIVATED",IF(J2829&lt;&gt;"","?FAMILIAR",IF(F2829="NEW",IF(ISNA(VLOOKUP(E2829,#REF!,1,FALSE())),"?TYPE_IDENTIFIABLE","?REFERENTIAL"),"_")))))</f>
        <v/>
      </c>
      <c r="H2829" s="23" t="str">
        <f t="shared" ca="1" si="307"/>
        <v/>
      </c>
      <c r="I2829" s="24" t="str">
        <f>IF(OR(E2829="",E2829="!!!",F2829="NEW"),"",INDEX(B$2:B2828,-1+SUMPRODUCT(MAX(ROW(E$2:E2828)*(E2829=E$2:E2828)))))</f>
        <v/>
      </c>
      <c r="J2829" s="24" t="str">
        <f ca="1">IF(OR(E2829="",E2829="!!!",F2829="NEW"),"",COUNTBLANK(OFFSET(A$1,,,SUMPRODUCT(MAX(ROW(E$2:E2829)*(E2829=E$2:E2829)))))-COUNTBLANK(OFFSET(A$1,,,SUMPRODUCT(MAX(ROW(E$1:E2828)*(E2=E$1:E2828))))))</f>
        <v/>
      </c>
      <c r="K2829" s="24" t="str">
        <f>IF(OR(E2829="",E2829="!!!",F2829="NEW"),"",INDEX(J$1:J2828,SUMPRODUCT(MAX(ROW(E$1:E2828)*(E2829=E$1:E2828)))))</f>
        <v/>
      </c>
      <c r="L2829" s="25"/>
    </row>
    <row r="2830" spans="1:12" x14ac:dyDescent="0.2">
      <c r="A2830" t="s">
        <v>1612</v>
      </c>
      <c r="E2830" s="20" t="str">
        <f t="shared" si="306"/>
        <v/>
      </c>
      <c r="F2830" s="21" t="str">
        <f>IF(OR(E2830="",E2830="!!!"),"",IF(NOT(ISNA(VLOOKUP(E2830,E$1:E2829,1,FALSE()))),"OLD",IF(AND(E2830&lt;&gt;"",E2830&lt;&gt;"!!!"),"NEW","")))</f>
        <v/>
      </c>
      <c r="G2830" s="22" t="str">
        <f>IF(OR(E2830="",E2830="!!!"),"",IF(OR(J2830=0,AND(J2830=1,K2830=1),AND(J2830=1,I2830="SBJ"),AND(J2830=1,I2830=0)),"?IN_FOCUS",IF(J2830&lt;=2,"?ACTIVATED",IF(J2830&lt;&gt;"","?FAMILIAR",IF(F2830="NEW",IF(ISNA(VLOOKUP(E2830,#REF!,1,FALSE())),"?TYPE_IDENTIFIABLE","?REFERENTIAL"),"_")))))</f>
        <v/>
      </c>
      <c r="H2830" s="23" t="str">
        <f t="shared" ca="1" si="307"/>
        <v/>
      </c>
      <c r="I2830" s="24" t="str">
        <f>IF(OR(E2830="",E2830="!!!",F2830="NEW"),"",INDEX(B$2:B2829,-1+SUMPRODUCT(MAX(ROW(E$2:E2829)*(E2830=E$2:E2829)))))</f>
        <v/>
      </c>
      <c r="J2830" s="24" t="str">
        <f ca="1">IF(OR(E2830="",E2830="!!!",F2830="NEW"),"",COUNTBLANK(OFFSET(A$1,,,SUMPRODUCT(MAX(ROW(E$2:E2830)*(E2830=E$2:E2830)))))-COUNTBLANK(OFFSET(A$1,,,SUMPRODUCT(MAX(ROW(E$1:E2829)*(E2=E$1:E2829))))))</f>
        <v/>
      </c>
      <c r="K2830" s="24" t="str">
        <f>IF(OR(E2830="",E2830="!!!",F2830="NEW"),"",INDEX(J$1:J2829,SUMPRODUCT(MAX(ROW(E$1:E2829)*(E2830=E$1:E2829)))))</f>
        <v/>
      </c>
      <c r="L2830" s="25"/>
    </row>
    <row r="2831" spans="1:12" x14ac:dyDescent="0.2">
      <c r="A2831" t="s">
        <v>868</v>
      </c>
      <c r="E2831" s="20" t="str">
        <f t="shared" si="306"/>
        <v/>
      </c>
      <c r="F2831" s="21" t="str">
        <f>IF(OR(E2831="",E2831="!!!"),"",IF(NOT(ISNA(VLOOKUP(E2831,E$1:E2830,1,FALSE()))),"OLD",IF(AND(E2831&lt;&gt;"",E2831&lt;&gt;"!!!"),"NEW","")))</f>
        <v/>
      </c>
      <c r="G2831" s="22" t="str">
        <f>IF(OR(E2831="",E2831="!!!"),"",IF(OR(J2831=0,AND(J2831=1,K2831=1),AND(J2831=1,I2831="SBJ"),AND(J2831=1,I2831=0)),"?IN_FOCUS",IF(J2831&lt;=2,"?ACTIVATED",IF(J2831&lt;&gt;"","?FAMILIAR",IF(F2831="NEW",IF(ISNA(VLOOKUP(E2831,#REF!,1,FALSE())),"?TYPE_IDENTIFIABLE","?REFERENTIAL"),"_")))))</f>
        <v/>
      </c>
      <c r="H2831" s="23" t="str">
        <f t="shared" ca="1" si="307"/>
        <v/>
      </c>
      <c r="I2831" s="24" t="str">
        <f>IF(OR(E2831="",E2831="!!!",F2831="NEW"),"",INDEX(B$2:B2830,-1+SUMPRODUCT(MAX(ROW(E$2:E2830)*(E2831=E$2:E2830)))))</f>
        <v/>
      </c>
      <c r="J2831" s="24" t="str">
        <f ca="1">IF(OR(E2831="",E2831="!!!",F2831="NEW"),"",COUNTBLANK(OFFSET(A$1,,,SUMPRODUCT(MAX(ROW(E$2:E2831)*(E2831=E$2:E2831)))))-COUNTBLANK(OFFSET(A$1,,,SUMPRODUCT(MAX(ROW(E$1:E2830)*(E2=E$1:E2830))))))</f>
        <v/>
      </c>
      <c r="K2831" s="24" t="str">
        <f>IF(OR(E2831="",E2831="!!!",F2831="NEW"),"",INDEX(J$1:J2830,SUMPRODUCT(MAX(ROW(E$1:E2830)*(E2831=E$1:E2830)))))</f>
        <v/>
      </c>
      <c r="L2831" s="25"/>
    </row>
    <row r="2832" spans="1:12" x14ac:dyDescent="0.2">
      <c r="A2832" t="s">
        <v>821</v>
      </c>
      <c r="E2832" s="20" t="str">
        <f t="shared" si="306"/>
        <v/>
      </c>
      <c r="F2832" s="21" t="str">
        <f>IF(OR(E2832="",E2832="!!!"),"",IF(NOT(ISNA(VLOOKUP(E2832,E$1:E2831,1,FALSE()))),"OLD",IF(AND(E2832&lt;&gt;"",E2832&lt;&gt;"!!!"),"NEW","")))</f>
        <v/>
      </c>
      <c r="G2832" s="22" t="str">
        <f>IF(OR(E2832="",E2832="!!!"),"",IF(OR(J2832=0,AND(J2832=1,K2832=1),AND(J2832=1,I2832="SBJ"),AND(J2832=1,I2832=0)),"?IN_FOCUS",IF(J2832&lt;=2,"?ACTIVATED",IF(J2832&lt;&gt;"","?FAMILIAR",IF(F2832="NEW",IF(ISNA(VLOOKUP(E2832,#REF!,1,FALSE())),"?TYPE_IDENTIFIABLE","?REFERENTIAL"),"_")))))</f>
        <v/>
      </c>
      <c r="H2832" s="23" t="str">
        <f t="shared" ca="1" si="307"/>
        <v/>
      </c>
      <c r="I2832" s="24" t="str">
        <f>IF(OR(E2832="",E2832="!!!",F2832="NEW"),"",INDEX(B$2:B2831,-1+SUMPRODUCT(MAX(ROW(E$2:E2831)*(E2832=E$2:E2831)))))</f>
        <v/>
      </c>
      <c r="J2832" s="24" t="str">
        <f ca="1">IF(OR(E2832="",E2832="!!!",F2832="NEW"),"",COUNTBLANK(OFFSET(A$1,,,SUMPRODUCT(MAX(ROW(E$2:E2832)*(E2832=E$2:E2832)))))-COUNTBLANK(OFFSET(A$1,,,SUMPRODUCT(MAX(ROW(E$1:E2831)*(E2=E$1:E2831))))))</f>
        <v/>
      </c>
      <c r="K2832" s="24" t="str">
        <f>IF(OR(E2832="",E2832="!!!",F2832="NEW"),"",INDEX(J$1:J2831,SUMPRODUCT(MAX(ROW(E$1:E2831)*(E2832=E$1:E2831)))))</f>
        <v/>
      </c>
      <c r="L2832" s="25"/>
    </row>
    <row r="2834" spans="1:12" x14ac:dyDescent="0.2">
      <c r="A2834" t="s">
        <v>1613</v>
      </c>
    </row>
    <row r="2835" spans="1:12" x14ac:dyDescent="0.2">
      <c r="A2835" t="s">
        <v>852</v>
      </c>
      <c r="E2835" s="20" t="str">
        <f>IF(D2835="?OLD","!!!","")</f>
        <v/>
      </c>
      <c r="F2835" s="21" t="str">
        <f>IF(OR(E2835="",E2835="!!!"),"",IF(NOT(ISNA(VLOOKUP(E2835,E$1:E2834,1,FALSE()))),"OLD",IF(AND(E2835&lt;&gt;"",E2835&lt;&gt;"!!!"),"NEW","")))</f>
        <v/>
      </c>
      <c r="G2835" s="22" t="str">
        <f>IF(OR(E2835="",E2835="!!!"),"",IF(OR(J2835=0,AND(J2835=1,K2835=1),AND(J2835=1,I2835="SBJ"),AND(J2835=1,I2835=0)),"?IN_FOCUS",IF(J2835&lt;=2,"?ACTIVATED",IF(J2835&lt;&gt;"","?FAMILIAR",IF(F2835="NEW",IF(ISNA(VLOOKUP(E2835,#REF!,1,FALSE())),"?TYPE_IDENTIFIABLE","?REFERENTIAL"),"_")))))</f>
        <v/>
      </c>
      <c r="H2835" s="23" t="str">
        <f ca="1">IF(J2835&lt;&gt;1,"",IF(I2835="SBJ","CB","?"))</f>
        <v/>
      </c>
      <c r="I2835" s="24" t="str">
        <f>IF(OR(E2835="",E2835="!!!",F2835="NEW"),"",INDEX(B$2:B2834,-1+SUMPRODUCT(MAX(ROW(E$2:E2834)*(E2835=E$2:E2834)))))</f>
        <v/>
      </c>
      <c r="J2835" s="24" t="str">
        <f ca="1">IF(OR(E2835="",E2835="!!!",F2835="NEW"),"",COUNTBLANK(OFFSET(A$1,,,SUMPRODUCT(MAX(ROW(E$2:E2835)*(E2835=E$2:E2835)))))-COUNTBLANK(OFFSET(A$1,,,SUMPRODUCT(MAX(ROW(E$1:E2834)*(E2=E$1:E2834))))))</f>
        <v/>
      </c>
      <c r="K2835" s="24" t="str">
        <f>IF(OR(E2835="",E2835="!!!",F2835="NEW"),"",INDEX(J$1:J2834,SUMPRODUCT(MAX(ROW(E$1:E2834)*(E2835=E$1:E2834)))))</f>
        <v/>
      </c>
      <c r="L2835" s="25"/>
    </row>
    <row r="2836" spans="1:12" x14ac:dyDescent="0.2">
      <c r="A2836" t="s">
        <v>666</v>
      </c>
      <c r="B2836" s="26" t="s">
        <v>819</v>
      </c>
      <c r="C2836" s="26" t="s">
        <v>854</v>
      </c>
      <c r="D2836" s="26" t="s">
        <v>806</v>
      </c>
      <c r="E2836" s="20"/>
      <c r="F2836" s="21" t="str">
        <f>IF(OR(E2836="",E2836="!!!"),"",IF(NOT(ISNA(VLOOKUP(E2836,E$1:E2835,1,FALSE()))),"OLD",IF(AND(E2836&lt;&gt;"",E2836&lt;&gt;"!!!"),"NEW","")))</f>
        <v/>
      </c>
      <c r="G2836" s="22" t="str">
        <f>IF(OR(E2836="",E2836="!!!"),"",IF(OR(J2836=0,AND(J2836=1,K2836=1),AND(J2836=1,I2836="SBJ"),AND(J2836=1,I2836=0)),"?IN_FOCUS",IF(J2836&lt;=2,"?ACTIVATED",IF(J2836&lt;&gt;"","?FAMILIAR",IF(F2836="NEW",IF(ISNA(VLOOKUP(E2836,#REF!,1,FALSE())),"?TYPE_IDENTIFIABLE","?REFERENTIAL"),"_")))))</f>
        <v/>
      </c>
      <c r="H2836" s="23" t="str">
        <f ca="1">IF(J2836&lt;&gt;1,"",IF(I2836="SBJ","CB","?"))</f>
        <v/>
      </c>
      <c r="I2836" s="24" t="str">
        <f>IF(OR(E2836="",E2836="!!!",F2836="NEW"),"",INDEX(B$2:B2835,-1+SUMPRODUCT(MAX(ROW(E$2:E2835)*(E2836=E$2:E2835)))))</f>
        <v/>
      </c>
      <c r="J2836" s="24" t="str">
        <f ca="1">IF(OR(E2836="",E2836="!!!",F2836="NEW"),"",COUNTBLANK(OFFSET(A$1,,,SUMPRODUCT(MAX(ROW(E$2:E2836)*(E2836=E$2:E2836)))))-COUNTBLANK(OFFSET(A$1,,,SUMPRODUCT(MAX(ROW(E$1:E2835)*(E2=E$1:E2835))))))</f>
        <v/>
      </c>
      <c r="K2836" s="24" t="str">
        <f>IF(OR(E2836="",E2836="!!!",F2836="NEW"),"",INDEX(J$1:J2835,SUMPRODUCT(MAX(ROW(E$1:E2835)*(E2836=E$1:E2835)))))</f>
        <v/>
      </c>
      <c r="L2836" s="25"/>
    </row>
    <row r="2837" spans="1:12" x14ac:dyDescent="0.2">
      <c r="A2837" t="s">
        <v>855</v>
      </c>
      <c r="E2837" s="20" t="str">
        <f>IF(D2837="?OLD","!!!","")</f>
        <v/>
      </c>
      <c r="F2837" s="21" t="str">
        <f>IF(OR(E2837="",E2837="!!!"),"",IF(NOT(ISNA(VLOOKUP(E2837,E$1:E2836,1,FALSE()))),"OLD",IF(AND(E2837&lt;&gt;"",E2837&lt;&gt;"!!!"),"NEW","")))</f>
        <v/>
      </c>
      <c r="G2837" s="22" t="str">
        <f>IF(OR(E2837="",E2837="!!!"),"",IF(OR(J2837=0,AND(J2837=1,K2837=1),AND(J2837=1,I2837="SBJ"),AND(J2837=1,I2837=0)),"?IN_FOCUS",IF(J2837&lt;=2,"?ACTIVATED",IF(J2837&lt;&gt;"","?FAMILIAR",IF(F2837="NEW",IF(ISNA(VLOOKUP(E2837,#REF!,1,FALSE())),"?TYPE_IDENTIFIABLE","?REFERENTIAL"),"_")))))</f>
        <v/>
      </c>
      <c r="H2837" s="23" t="str">
        <f ca="1">IF(J2837&lt;&gt;1,"",IF(I2837="SBJ","CB","?"))</f>
        <v/>
      </c>
      <c r="I2837" s="24" t="str">
        <f>IF(OR(E2837="",E2837="!!!",F2837="NEW"),"",INDEX(B$2:B2836,-1+SUMPRODUCT(MAX(ROW(E$2:E2836)*(E2837=E$2:E2836)))))</f>
        <v/>
      </c>
      <c r="J2837" s="24" t="str">
        <f ca="1">IF(OR(E2837="",E2837="!!!",F2837="NEW"),"",COUNTBLANK(OFFSET(A$1,,,SUMPRODUCT(MAX(ROW(E$2:E2837)*(E2837=E$2:E2837)))))-COUNTBLANK(OFFSET(A$1,,,SUMPRODUCT(MAX(ROW(E$1:E2836)*(E2=E$1:E2836))))))</f>
        <v/>
      </c>
      <c r="K2837" s="24" t="str">
        <f>IF(OR(E2837="",E2837="!!!",F2837="NEW"),"",INDEX(J$1:J2836,SUMPRODUCT(MAX(ROW(E$1:E2836)*(E2837=E$1:E2836)))))</f>
        <v/>
      </c>
      <c r="L2837" s="25"/>
    </row>
    <row r="2839" spans="1:12" x14ac:dyDescent="0.2">
      <c r="A2839" t="s">
        <v>1614</v>
      </c>
    </row>
    <row r="2840" spans="1:12" x14ac:dyDescent="0.2">
      <c r="A2840" t="s">
        <v>1382</v>
      </c>
      <c r="E2840" s="20" t="str">
        <f t="shared" ref="E2840:E2852" si="308">IF(D2840="?OLD","!!!","")</f>
        <v/>
      </c>
      <c r="F2840" s="21" t="str">
        <f>IF(OR(E2840="",E2840="!!!"),"",IF(NOT(ISNA(VLOOKUP(E2840,E$1:E2839,1,FALSE()))),"OLD",IF(AND(E2840&lt;&gt;"",E2840&lt;&gt;"!!!"),"NEW","")))</f>
        <v/>
      </c>
      <c r="G2840" s="22" t="str">
        <f>IF(OR(E2840="",E2840="!!!"),"",IF(OR(J2840=0,AND(J2840=1,K2840=1),AND(J2840=1,I2840="SBJ"),AND(J2840=1,I2840=0)),"?IN_FOCUS",IF(J2840&lt;=2,"?ACTIVATED",IF(J2840&lt;&gt;"","?FAMILIAR",IF(F2840="NEW",IF(ISNA(VLOOKUP(E2840,#REF!,1,FALSE())),"?TYPE_IDENTIFIABLE","?REFERENTIAL"),"_")))))</f>
        <v/>
      </c>
      <c r="H2840" s="23" t="str">
        <f t="shared" ref="H2840:H2852" ca="1" si="309">IF(J2840&lt;&gt;1,"",IF(I2840="SBJ","CB","?"))</f>
        <v/>
      </c>
      <c r="I2840" s="24" t="str">
        <f>IF(OR(E2840="",E2840="!!!",F2840="NEW"),"",INDEX(B$2:B2839,-1+SUMPRODUCT(MAX(ROW(E$2:E2839)*(E2840=E$2:E2839)))))</f>
        <v/>
      </c>
      <c r="J2840" s="24" t="str">
        <f ca="1">IF(OR(E2840="",E2840="!!!",F2840="NEW"),"",COUNTBLANK(OFFSET(A$1,,,SUMPRODUCT(MAX(ROW(E$2:E2840)*(E2840=E$2:E2840)))))-COUNTBLANK(OFFSET(A$1,,,SUMPRODUCT(MAX(ROW(E$1:E2839)*(E2=E$1:E2839))))))</f>
        <v/>
      </c>
      <c r="K2840" s="24" t="str">
        <f>IF(OR(E2840="",E2840="!!!",F2840="NEW"),"",INDEX(J$1:J2839,SUMPRODUCT(MAX(ROW(E$1:E2839)*(E2840=E$1:E2839)))))</f>
        <v/>
      </c>
      <c r="L2840" s="25"/>
    </row>
    <row r="2841" spans="1:12" x14ac:dyDescent="0.2">
      <c r="A2841" t="s">
        <v>878</v>
      </c>
      <c r="E2841" s="20" t="str">
        <f t="shared" si="308"/>
        <v/>
      </c>
      <c r="F2841" s="21" t="str">
        <f>IF(OR(E2841="",E2841="!!!"),"",IF(NOT(ISNA(VLOOKUP(E2841,E$1:E2840,1,FALSE()))),"OLD",IF(AND(E2841&lt;&gt;"",E2841&lt;&gt;"!!!"),"NEW","")))</f>
        <v/>
      </c>
      <c r="G2841" s="22" t="str">
        <f>IF(OR(E2841="",E2841="!!!"),"",IF(OR(J2841=0,AND(J2841=1,K2841=1),AND(J2841=1,I2841="SBJ"),AND(J2841=1,I2841=0)),"?IN_FOCUS",IF(J2841&lt;=2,"?ACTIVATED",IF(J2841&lt;&gt;"","?FAMILIAR",IF(F2841="NEW",IF(ISNA(VLOOKUP(E2841,#REF!,1,FALSE())),"?TYPE_IDENTIFIABLE","?REFERENTIAL"),"_")))))</f>
        <v/>
      </c>
      <c r="H2841" s="23" t="str">
        <f t="shared" ca="1" si="309"/>
        <v/>
      </c>
      <c r="I2841" s="24" t="str">
        <f>IF(OR(E2841="",E2841="!!!",F2841="NEW"),"",INDEX(B$2:B2840,-1+SUMPRODUCT(MAX(ROW(E$2:E2840)*(E2841=E$2:E2840)))))</f>
        <v/>
      </c>
      <c r="J2841" s="24" t="str">
        <f ca="1">IF(OR(E2841="",E2841="!!!",F2841="NEW"),"",COUNTBLANK(OFFSET(A$1,,,SUMPRODUCT(MAX(ROW(E$2:E2841)*(E2841=E$2:E2841)))))-COUNTBLANK(OFFSET(A$1,,,SUMPRODUCT(MAX(ROW(E$1:E2840)*(E2=E$1:E2840))))))</f>
        <v/>
      </c>
      <c r="K2841" s="24" t="str">
        <f>IF(OR(E2841="",E2841="!!!",F2841="NEW"),"",INDEX(J$1:J2840,SUMPRODUCT(MAX(ROW(E$1:E2840)*(E2841=E$1:E2840)))))</f>
        <v/>
      </c>
      <c r="L2841" s="25"/>
    </row>
    <row r="2842" spans="1:12" x14ac:dyDescent="0.2">
      <c r="A2842" t="s">
        <v>809</v>
      </c>
      <c r="E2842" s="20" t="str">
        <f t="shared" si="308"/>
        <v/>
      </c>
      <c r="F2842" s="21" t="str">
        <f>IF(OR(E2842="",E2842="!!!"),"",IF(NOT(ISNA(VLOOKUP(E2842,E$1:E2841,1,FALSE()))),"OLD",IF(AND(E2842&lt;&gt;"",E2842&lt;&gt;"!!!"),"NEW","")))</f>
        <v/>
      </c>
      <c r="G2842" s="22" t="str">
        <f>IF(OR(E2842="",E2842="!!!"),"",IF(OR(J2842=0,AND(J2842=1,K2842=1),AND(J2842=1,I2842="SBJ"),AND(J2842=1,I2842=0)),"?IN_FOCUS",IF(J2842&lt;=2,"?ACTIVATED",IF(J2842&lt;&gt;"","?FAMILIAR",IF(F2842="NEW",IF(ISNA(VLOOKUP(E2842,#REF!,1,FALSE())),"?TYPE_IDENTIFIABLE","?REFERENTIAL"),"_")))))</f>
        <v/>
      </c>
      <c r="H2842" s="23" t="str">
        <f t="shared" ca="1" si="309"/>
        <v/>
      </c>
      <c r="I2842" s="24" t="str">
        <f>IF(OR(E2842="",E2842="!!!",F2842="NEW"),"",INDEX(B$2:B2841,-1+SUMPRODUCT(MAX(ROW(E$2:E2841)*(E2842=E$2:E2841)))))</f>
        <v/>
      </c>
      <c r="J2842" s="24" t="str">
        <f ca="1">IF(OR(E2842="",E2842="!!!",F2842="NEW"),"",COUNTBLANK(OFFSET(A$1,,,SUMPRODUCT(MAX(ROW(E$2:E2842)*(E2842=E$2:E2842)))))-COUNTBLANK(OFFSET(A$1,,,SUMPRODUCT(MAX(ROW(E$1:E2841)*(E2=E$1:E2841))))))</f>
        <v/>
      </c>
      <c r="K2842" s="24" t="str">
        <f>IF(OR(E2842="",E2842="!!!",F2842="NEW"),"",INDEX(J$1:J2841,SUMPRODUCT(MAX(ROW(E$1:E2841)*(E2842=E$1:E2841)))))</f>
        <v/>
      </c>
      <c r="L2842" s="25"/>
    </row>
    <row r="2843" spans="1:12" x14ac:dyDescent="0.2">
      <c r="A2843" t="s">
        <v>86</v>
      </c>
      <c r="E2843" s="20" t="str">
        <f t="shared" si="308"/>
        <v/>
      </c>
      <c r="F2843" s="21" t="str">
        <f>IF(OR(E2843="",E2843="!!!"),"",IF(NOT(ISNA(VLOOKUP(E2843,E$1:E2842,1,FALSE()))),"OLD",IF(AND(E2843&lt;&gt;"",E2843&lt;&gt;"!!!"),"NEW","")))</f>
        <v/>
      </c>
      <c r="G2843" s="22" t="str">
        <f>IF(OR(E2843="",E2843="!!!"),"",IF(OR(J2843=0,AND(J2843=1,K2843=1),AND(J2843=1,I2843="SBJ"),AND(J2843=1,I2843=0)),"?IN_FOCUS",IF(J2843&lt;=2,"?ACTIVATED",IF(J2843&lt;&gt;"","?FAMILIAR",IF(F2843="NEW",IF(ISNA(VLOOKUP(E2843,#REF!,1,FALSE())),"?TYPE_IDENTIFIABLE","?REFERENTIAL"),"_")))))</f>
        <v/>
      </c>
      <c r="H2843" s="23" t="str">
        <f t="shared" ca="1" si="309"/>
        <v/>
      </c>
      <c r="I2843" s="24" t="str">
        <f>IF(OR(E2843="",E2843="!!!",F2843="NEW"),"",INDEX(B$2:B2842,-1+SUMPRODUCT(MAX(ROW(E$2:E2842)*(E2843=E$2:E2842)))))</f>
        <v/>
      </c>
      <c r="J2843" s="24" t="str">
        <f ca="1">IF(OR(E2843="",E2843="!!!",F2843="NEW"),"",COUNTBLANK(OFFSET(A$1,,,SUMPRODUCT(MAX(ROW(E$2:E2843)*(E2843=E$2:E2843)))))-COUNTBLANK(OFFSET(A$1,,,SUMPRODUCT(MAX(ROW(E$1:E2842)*(E2=E$1:E2842))))))</f>
        <v/>
      </c>
      <c r="K2843" s="24" t="str">
        <f>IF(OR(E2843="",E2843="!!!",F2843="NEW"),"",INDEX(J$1:J2842,SUMPRODUCT(MAX(ROW(E$1:E2842)*(E2843=E$1:E2842)))))</f>
        <v/>
      </c>
      <c r="L2843" s="25"/>
    </row>
    <row r="2844" spans="1:12" x14ac:dyDescent="0.2">
      <c r="A2844" t="s">
        <v>1081</v>
      </c>
      <c r="B2844" s="26" t="s">
        <v>819</v>
      </c>
      <c r="C2844" s="26" t="s">
        <v>811</v>
      </c>
      <c r="E2844" s="20" t="str">
        <f t="shared" si="308"/>
        <v/>
      </c>
      <c r="F2844" s="21" t="str">
        <f>IF(OR(E2844="",E2844="!!!"),"",IF(NOT(ISNA(VLOOKUP(E2844,E$1:E2843,1,FALSE()))),"OLD",IF(AND(E2844&lt;&gt;"",E2844&lt;&gt;"!!!"),"NEW","")))</f>
        <v/>
      </c>
      <c r="G2844" s="22" t="str">
        <f>IF(OR(E2844="",E2844="!!!"),"",IF(OR(J2844=0,AND(J2844=1,K2844=1),AND(J2844=1,I2844="SBJ"),AND(J2844=1,I2844=0)),"?IN_FOCUS",IF(J2844&lt;=2,"?ACTIVATED",IF(J2844&lt;&gt;"","?FAMILIAR",IF(F2844="NEW",IF(ISNA(VLOOKUP(E2844,#REF!,1,FALSE())),"?TYPE_IDENTIFIABLE","?REFERENTIAL"),"_")))))</f>
        <v/>
      </c>
      <c r="H2844" s="23" t="str">
        <f t="shared" ca="1" si="309"/>
        <v/>
      </c>
      <c r="I2844" s="24" t="str">
        <f>IF(OR(E2844="",E2844="!!!",F2844="NEW"),"",INDEX(B$2:B2843,-1+SUMPRODUCT(MAX(ROW(E$2:E2843)*(E2844=E$2:E2843)))))</f>
        <v/>
      </c>
      <c r="J2844" s="24" t="str">
        <f ca="1">IF(OR(E2844="",E2844="!!!",F2844="NEW"),"",COUNTBLANK(OFFSET(A$1,,,SUMPRODUCT(MAX(ROW(E$2:E2844)*(E2844=E$2:E2844)))))-COUNTBLANK(OFFSET(A$1,,,SUMPRODUCT(MAX(ROW(E$1:E2843)*(E2=E$1:E2843))))))</f>
        <v/>
      </c>
      <c r="K2844" s="24" t="str">
        <f>IF(OR(E2844="",E2844="!!!",F2844="NEW"),"",INDEX(J$1:J2843,SUMPRODUCT(MAX(ROW(E$1:E2843)*(E2844=E$1:E2843)))))</f>
        <v/>
      </c>
      <c r="L2844" s="25"/>
    </row>
    <row r="2845" spans="1:12" x14ac:dyDescent="0.2">
      <c r="A2845" t="s">
        <v>802</v>
      </c>
      <c r="E2845" s="20" t="str">
        <f t="shared" si="308"/>
        <v/>
      </c>
      <c r="F2845" s="21" t="str">
        <f>IF(OR(E2845="",E2845="!!!"),"",IF(NOT(ISNA(VLOOKUP(E2845,E$1:E2844,1,FALSE()))),"OLD",IF(AND(E2845&lt;&gt;"",E2845&lt;&gt;"!!!"),"NEW","")))</f>
        <v/>
      </c>
      <c r="G2845" s="22" t="str">
        <f>IF(OR(E2845="",E2845="!!!"),"",IF(OR(J2845=0,AND(J2845=1,K2845=1),AND(J2845=1,I2845="SBJ"),AND(J2845=1,I2845=0)),"?IN_FOCUS",IF(J2845&lt;=2,"?ACTIVATED",IF(J2845&lt;&gt;"","?FAMILIAR",IF(F2845="NEW",IF(ISNA(VLOOKUP(E2845,#REF!,1,FALSE())),"?TYPE_IDENTIFIABLE","?REFERENTIAL"),"_")))))</f>
        <v/>
      </c>
      <c r="H2845" s="23" t="str">
        <f t="shared" ca="1" si="309"/>
        <v/>
      </c>
      <c r="I2845" s="24" t="str">
        <f>IF(OR(E2845="",E2845="!!!",F2845="NEW"),"",INDEX(B$2:B2844,-1+SUMPRODUCT(MAX(ROW(E$2:E2844)*(E2845=E$2:E2844)))))</f>
        <v/>
      </c>
      <c r="J2845" s="24" t="str">
        <f ca="1">IF(OR(E2845="",E2845="!!!",F2845="NEW"),"",COUNTBLANK(OFFSET(A$1,,,SUMPRODUCT(MAX(ROW(E$2:E2845)*(E2845=E$2:E2845)))))-COUNTBLANK(OFFSET(A$1,,,SUMPRODUCT(MAX(ROW(E$1:E2844)*(E2=E$1:E2844))))))</f>
        <v/>
      </c>
      <c r="K2845" s="24" t="str">
        <f>IF(OR(E2845="",E2845="!!!",F2845="NEW"),"",INDEX(J$1:J2844,SUMPRODUCT(MAX(ROW(E$1:E2844)*(E2845=E$1:E2844)))))</f>
        <v/>
      </c>
      <c r="L2845" s="25"/>
    </row>
    <row r="2846" spans="1:12" x14ac:dyDescent="0.2">
      <c r="A2846" t="s">
        <v>1060</v>
      </c>
      <c r="B2846" s="26" t="s">
        <v>804</v>
      </c>
      <c r="C2846" s="26" t="s">
        <v>987</v>
      </c>
      <c r="D2846" s="26" t="s">
        <v>806</v>
      </c>
      <c r="E2846" s="20" t="s">
        <v>1806</v>
      </c>
      <c r="F2846" s="21" t="str">
        <f>IF(OR(E2846="",E2846="!!!"),"",IF(NOT(ISNA(VLOOKUP(E2846,E$1:E2845,1,FALSE()))),"OLD",IF(AND(E2846&lt;&gt;"",E2846&lt;&gt;"!!!"),"NEW","")))</f>
        <v>NEW</v>
      </c>
      <c r="G2846" s="22" t="s">
        <v>1824</v>
      </c>
      <c r="H2846" s="23" t="str">
        <f t="shared" ca="1" si="309"/>
        <v/>
      </c>
      <c r="I2846" s="24" t="str">
        <f>IF(OR(E2846="",E2846="!!!",F2846="NEW"),"",INDEX(B$2:B2845,-1+SUMPRODUCT(MAX(ROW(E$2:E2845)*(E2846=E$2:E2845)))))</f>
        <v/>
      </c>
      <c r="J2846" s="24" t="str">
        <f ca="1">IF(OR(E2846="",E2846="!!!",F2846="NEW"),"",COUNTBLANK(OFFSET(A$1,,,SUMPRODUCT(MAX(ROW(E$2:E2846)*(E2846=E$2:E2846)))))-COUNTBLANK(OFFSET(A$1,,,SUMPRODUCT(MAX(ROW(E$1:E2845)*(E2=E$1:E2845))))))</f>
        <v/>
      </c>
      <c r="K2846" s="24" t="str">
        <f>IF(OR(E2846="",E2846="!!!",F2846="NEW"),"",INDEX(J$1:J2845,SUMPRODUCT(MAX(ROW(E$1:E2845)*(E2846=E$1:E2845)))))</f>
        <v/>
      </c>
      <c r="L2846" s="25"/>
    </row>
    <row r="2847" spans="1:12" x14ac:dyDescent="0.2">
      <c r="A2847" t="s">
        <v>898</v>
      </c>
      <c r="E2847" s="20" t="str">
        <f t="shared" si="308"/>
        <v/>
      </c>
      <c r="F2847" s="21" t="str">
        <f>IF(OR(E2847="",E2847="!!!"),"",IF(NOT(ISNA(VLOOKUP(E2847,E$1:E2846,1,FALSE()))),"OLD",IF(AND(E2847&lt;&gt;"",E2847&lt;&gt;"!!!"),"NEW","")))</f>
        <v/>
      </c>
      <c r="G2847" s="22" t="str">
        <f>IF(OR(E2847="",E2847="!!!"),"",IF(OR(J2847=0,AND(J2847=1,K2847=1),AND(J2847=1,I2847="SBJ"),AND(J2847=1,I2847=0)),"?IN_FOCUS",IF(J2847&lt;=2,"?ACTIVATED",IF(J2847&lt;&gt;"","?FAMILIAR",IF(F2847="NEW",IF(ISNA(VLOOKUP(E2847,#REF!,1,FALSE())),"?TYPE_IDENTIFIABLE","?REFERENTIAL"),"_")))))</f>
        <v/>
      </c>
      <c r="H2847" s="23" t="str">
        <f t="shared" ca="1" si="309"/>
        <v/>
      </c>
      <c r="I2847" s="24" t="str">
        <f>IF(OR(E2847="",E2847="!!!",F2847="NEW"),"",INDEX(B$2:B2846,-1+SUMPRODUCT(MAX(ROW(E$2:E2846)*(E2847=E$2:E2846)))))</f>
        <v/>
      </c>
      <c r="J2847" s="24" t="str">
        <f ca="1">IF(OR(E2847="",E2847="!!!",F2847="NEW"),"",COUNTBLANK(OFFSET(A$1,,,SUMPRODUCT(MAX(ROW(E$2:E2847)*(E2847=E$2:E2847)))))-COUNTBLANK(OFFSET(A$1,,,SUMPRODUCT(MAX(ROW(E$1:E2846)*(E2=E$1:E2846))))))</f>
        <v/>
      </c>
      <c r="K2847" s="24" t="str">
        <f>IF(OR(E2847="",E2847="!!!",F2847="NEW"),"",INDEX(J$1:J2846,SUMPRODUCT(MAX(ROW(E$1:E2846)*(E2847=E$1:E2846)))))</f>
        <v/>
      </c>
      <c r="L2847" s="25"/>
    </row>
    <row r="2848" spans="1:12" x14ac:dyDescent="0.2">
      <c r="A2848" t="s">
        <v>809</v>
      </c>
      <c r="E2848" s="20" t="str">
        <f t="shared" si="308"/>
        <v/>
      </c>
      <c r="F2848" s="21" t="str">
        <f>IF(OR(E2848="",E2848="!!!"),"",IF(NOT(ISNA(VLOOKUP(E2848,E$1:E2847,1,FALSE()))),"OLD",IF(AND(E2848&lt;&gt;"",E2848&lt;&gt;"!!!"),"NEW","")))</f>
        <v/>
      </c>
      <c r="G2848" s="22" t="str">
        <f>IF(OR(E2848="",E2848="!!!"),"",IF(OR(J2848=0,AND(J2848=1,K2848=1),AND(J2848=1,I2848="SBJ"),AND(J2848=1,I2848=0)),"?IN_FOCUS",IF(J2848&lt;=2,"?ACTIVATED",IF(J2848&lt;&gt;"","?FAMILIAR",IF(F2848="NEW",IF(ISNA(VLOOKUP(E2848,#REF!,1,FALSE())),"?TYPE_IDENTIFIABLE","?REFERENTIAL"),"_")))))</f>
        <v/>
      </c>
      <c r="H2848" s="23" t="str">
        <f t="shared" ca="1" si="309"/>
        <v/>
      </c>
      <c r="I2848" s="24" t="str">
        <f>IF(OR(E2848="",E2848="!!!",F2848="NEW"),"",INDEX(B$2:B2847,-1+SUMPRODUCT(MAX(ROW(E$2:E2847)*(E2848=E$2:E2847)))))</f>
        <v/>
      </c>
      <c r="J2848" s="24" t="str">
        <f ca="1">IF(OR(E2848="",E2848="!!!",F2848="NEW"),"",COUNTBLANK(OFFSET(A$1,,,SUMPRODUCT(MAX(ROW(E$2:E2848)*(E2848=E$2:E2848)))))-COUNTBLANK(OFFSET(A$1,,,SUMPRODUCT(MAX(ROW(E$1:E2847)*(E2=E$1:E2847))))))</f>
        <v/>
      </c>
      <c r="K2848" s="24" t="str">
        <f>IF(OR(E2848="",E2848="!!!",F2848="NEW"),"",INDEX(J$1:J2847,SUMPRODUCT(MAX(ROW(E$1:E2847)*(E2848=E$1:E2847)))))</f>
        <v/>
      </c>
      <c r="L2848" s="25"/>
    </row>
    <row r="2849" spans="1:12" x14ac:dyDescent="0.2">
      <c r="A2849" t="s">
        <v>1615</v>
      </c>
      <c r="B2849" s="26" t="s">
        <v>819</v>
      </c>
      <c r="C2849" s="26" t="s">
        <v>811</v>
      </c>
      <c r="E2849" s="20" t="str">
        <f t="shared" si="308"/>
        <v/>
      </c>
      <c r="F2849" s="21" t="str">
        <f>IF(OR(E2849="",E2849="!!!"),"",IF(NOT(ISNA(VLOOKUP(E2849,E$1:E2848,1,FALSE()))),"OLD",IF(AND(E2849&lt;&gt;"",E2849&lt;&gt;"!!!"),"NEW","")))</f>
        <v/>
      </c>
      <c r="G2849" s="22" t="str">
        <f>IF(OR(E2849="",E2849="!!!"),"",IF(OR(J2849=0,AND(J2849=1,K2849=1),AND(J2849=1,I2849="SBJ"),AND(J2849=1,I2849=0)),"?IN_FOCUS",IF(J2849&lt;=2,"?ACTIVATED",IF(J2849&lt;&gt;"","?FAMILIAR",IF(F2849="NEW",IF(ISNA(VLOOKUP(E2849,#REF!,1,FALSE())),"?TYPE_IDENTIFIABLE","?REFERENTIAL"),"_")))))</f>
        <v/>
      </c>
      <c r="H2849" s="23" t="str">
        <f t="shared" ca="1" si="309"/>
        <v/>
      </c>
      <c r="I2849" s="24" t="str">
        <f>IF(OR(E2849="",E2849="!!!",F2849="NEW"),"",INDEX(B$2:B2848,-1+SUMPRODUCT(MAX(ROW(E$2:E2848)*(E2849=E$2:E2848)))))</f>
        <v/>
      </c>
      <c r="J2849" s="24" t="str">
        <f ca="1">IF(OR(E2849="",E2849="!!!",F2849="NEW"),"",COUNTBLANK(OFFSET(A$1,,,SUMPRODUCT(MAX(ROW(E$2:E2849)*(E2849=E$2:E2849)))))-COUNTBLANK(OFFSET(A$1,,,SUMPRODUCT(MAX(ROW(E$1:E2848)*(E2=E$1:E2848))))))</f>
        <v/>
      </c>
      <c r="K2849" s="24" t="str">
        <f>IF(OR(E2849="",E2849="!!!",F2849="NEW"),"",INDEX(J$1:J2848,SUMPRODUCT(MAX(ROW(E$1:E2848)*(E2849=E$1:E2848)))))</f>
        <v/>
      </c>
      <c r="L2849" s="25"/>
    </row>
    <row r="2850" spans="1:12" x14ac:dyDescent="0.2">
      <c r="A2850" t="s">
        <v>1090</v>
      </c>
      <c r="E2850" s="20" t="str">
        <f t="shared" si="308"/>
        <v/>
      </c>
      <c r="F2850" s="21" t="str">
        <f>IF(OR(E2850="",E2850="!!!"),"",IF(NOT(ISNA(VLOOKUP(E2850,E$1:E2849,1,FALSE()))),"OLD",IF(AND(E2850&lt;&gt;"",E2850&lt;&gt;"!!!"),"NEW","")))</f>
        <v/>
      </c>
      <c r="G2850" s="22" t="str">
        <f>IF(OR(E2850="",E2850="!!!"),"",IF(OR(J2850=0,AND(J2850=1,K2850=1),AND(J2850=1,I2850="SBJ"),AND(J2850=1,I2850=0)),"?IN_FOCUS",IF(J2850&lt;=2,"?ACTIVATED",IF(J2850&lt;&gt;"","?FAMILIAR",IF(F2850="NEW",IF(ISNA(VLOOKUP(E2850,#REF!,1,FALSE())),"?TYPE_IDENTIFIABLE","?REFERENTIAL"),"_")))))</f>
        <v/>
      </c>
      <c r="H2850" s="23" t="str">
        <f t="shared" ca="1" si="309"/>
        <v/>
      </c>
      <c r="I2850" s="24" t="str">
        <f>IF(OR(E2850="",E2850="!!!",F2850="NEW"),"",INDEX(B$2:B2849,-1+SUMPRODUCT(MAX(ROW(E$2:E2849)*(E2850=E$2:E2849)))))</f>
        <v/>
      </c>
      <c r="J2850" s="24" t="str">
        <f ca="1">IF(OR(E2850="",E2850="!!!",F2850="NEW"),"",COUNTBLANK(OFFSET(A$1,,,SUMPRODUCT(MAX(ROW(E$2:E2850)*(E2850=E$2:E2850)))))-COUNTBLANK(OFFSET(A$1,,,SUMPRODUCT(MAX(ROW(E$1:E2849)*(E2=E$1:E2849))))))</f>
        <v/>
      </c>
      <c r="K2850" s="24" t="str">
        <f>IF(OR(E2850="",E2850="!!!",F2850="NEW"),"",INDEX(J$1:J2849,SUMPRODUCT(MAX(ROW(E$1:E2849)*(E2850=E$1:E2849)))))</f>
        <v/>
      </c>
      <c r="L2850" s="25"/>
    </row>
    <row r="2851" spans="1:12" x14ac:dyDescent="0.2">
      <c r="A2851" t="s">
        <v>1616</v>
      </c>
      <c r="E2851" s="20" t="str">
        <f t="shared" si="308"/>
        <v/>
      </c>
      <c r="F2851" s="21" t="str">
        <f>IF(OR(E2851="",E2851="!!!"),"",IF(NOT(ISNA(VLOOKUP(E2851,E$1:E2850,1,FALSE()))),"OLD",IF(AND(E2851&lt;&gt;"",E2851&lt;&gt;"!!!"),"NEW","")))</f>
        <v/>
      </c>
      <c r="G2851" s="22" t="str">
        <f>IF(OR(E2851="",E2851="!!!"),"",IF(OR(J2851=0,AND(J2851=1,K2851=1),AND(J2851=1,I2851="SBJ"),AND(J2851=1,I2851=0)),"?IN_FOCUS",IF(J2851&lt;=2,"?ACTIVATED",IF(J2851&lt;&gt;"","?FAMILIAR",IF(F2851="NEW",IF(ISNA(VLOOKUP(E2851,#REF!,1,FALSE())),"?TYPE_IDENTIFIABLE","?REFERENTIAL"),"_")))))</f>
        <v/>
      </c>
      <c r="H2851" s="23" t="str">
        <f t="shared" ca="1" si="309"/>
        <v/>
      </c>
      <c r="I2851" s="24" t="str">
        <f>IF(OR(E2851="",E2851="!!!",F2851="NEW"),"",INDEX(B$2:B2850,-1+SUMPRODUCT(MAX(ROW(E$2:E2850)*(E2851=E$2:E2850)))))</f>
        <v/>
      </c>
      <c r="J2851" s="24" t="str">
        <f ca="1">IF(OR(E2851="",E2851="!!!",F2851="NEW"),"",COUNTBLANK(OFFSET(A$1,,,SUMPRODUCT(MAX(ROW(E$2:E2851)*(E2851=E$2:E2851)))))-COUNTBLANK(OFFSET(A$1,,,SUMPRODUCT(MAX(ROW(E$1:E2850)*(E2=E$1:E2850))))))</f>
        <v/>
      </c>
      <c r="K2851" s="24" t="str">
        <f>IF(OR(E2851="",E2851="!!!",F2851="NEW"),"",INDEX(J$1:J2850,SUMPRODUCT(MAX(ROW(E$1:E2850)*(E2851=E$1:E2850)))))</f>
        <v/>
      </c>
      <c r="L2851" s="25"/>
    </row>
    <row r="2852" spans="1:12" x14ac:dyDescent="0.2">
      <c r="A2852" t="s">
        <v>821</v>
      </c>
      <c r="E2852" s="20" t="str">
        <f t="shared" si="308"/>
        <v/>
      </c>
      <c r="F2852" s="21" t="str">
        <f>IF(OR(E2852="",E2852="!!!"),"",IF(NOT(ISNA(VLOOKUP(E2852,E$1:E2851,1,FALSE()))),"OLD",IF(AND(E2852&lt;&gt;"",E2852&lt;&gt;"!!!"),"NEW","")))</f>
        <v/>
      </c>
      <c r="G2852" s="22" t="str">
        <f>IF(OR(E2852="",E2852="!!!"),"",IF(OR(J2852=0,AND(J2852=1,K2852=1),AND(J2852=1,I2852="SBJ"),AND(J2852=1,I2852=0)),"?IN_FOCUS",IF(J2852&lt;=2,"?ACTIVATED",IF(J2852&lt;&gt;"","?FAMILIAR",IF(F2852="NEW",IF(ISNA(VLOOKUP(E2852,#REF!,1,FALSE())),"?TYPE_IDENTIFIABLE","?REFERENTIAL"),"_")))))</f>
        <v/>
      </c>
      <c r="H2852" s="23" t="str">
        <f t="shared" ca="1" si="309"/>
        <v/>
      </c>
      <c r="I2852" s="24" t="str">
        <f>IF(OR(E2852="",E2852="!!!",F2852="NEW"),"",INDEX(B$2:B2851,-1+SUMPRODUCT(MAX(ROW(E$2:E2851)*(E2852=E$2:E2851)))))</f>
        <v/>
      </c>
      <c r="J2852" s="24" t="str">
        <f ca="1">IF(OR(E2852="",E2852="!!!",F2852="NEW"),"",COUNTBLANK(OFFSET(A$1,,,SUMPRODUCT(MAX(ROW(E$2:E2852)*(E2852=E$2:E2852)))))-COUNTBLANK(OFFSET(A$1,,,SUMPRODUCT(MAX(ROW(E$1:E2851)*(E2=E$1:E2851))))))</f>
        <v/>
      </c>
      <c r="K2852" s="24" t="str">
        <f>IF(OR(E2852="",E2852="!!!",F2852="NEW"),"",INDEX(J$1:J2851,SUMPRODUCT(MAX(ROW(E$1:E2851)*(E2852=E$1:E2851)))))</f>
        <v/>
      </c>
      <c r="L2852" s="25"/>
    </row>
    <row r="2854" spans="1:12" x14ac:dyDescent="0.2">
      <c r="A2854" t="s">
        <v>1617</v>
      </c>
    </row>
    <row r="2855" spans="1:12" x14ac:dyDescent="0.2">
      <c r="A2855" t="s">
        <v>1026</v>
      </c>
      <c r="B2855" s="26" t="s">
        <v>804</v>
      </c>
      <c r="C2855" s="26" t="s">
        <v>805</v>
      </c>
      <c r="D2855" s="26" t="s">
        <v>806</v>
      </c>
      <c r="E2855" s="20" t="s">
        <v>1619</v>
      </c>
      <c r="F2855" s="21" t="str">
        <f>IF(OR(E2855="",E2855="!!!"),"",IF(NOT(ISNA(VLOOKUP(E2855,E$1:E2854,1,FALSE()))),"OLD",IF(AND(E2855&lt;&gt;"",E2855&lt;&gt;"!!!"),"NEW","")))</f>
        <v>NEW</v>
      </c>
      <c r="G2855" s="22" t="s">
        <v>1823</v>
      </c>
      <c r="H2855" s="23" t="str">
        <f t="shared" ref="H2855:H2866" ca="1" si="310">IF(J2855&lt;&gt;1,"",IF(I2855="SBJ","CB","?"))</f>
        <v/>
      </c>
      <c r="I2855" s="24" t="str">
        <f>IF(OR(E2855="",E2855="!!!",F2855="NEW"),"",INDEX(B$2:B2854,-1+SUMPRODUCT(MAX(ROW(E$2:E2854)*(E2855=E$2:E2854)))))</f>
        <v/>
      </c>
      <c r="J2855" s="24" t="str">
        <f ca="1">IF(OR(E2855="",E2855="!!!",F2855="NEW"),"",COUNTBLANK(OFFSET(A$1,,,SUMPRODUCT(MAX(ROW(E$2:E2855)*(E2855=E$2:E2855)))))-COUNTBLANK(OFFSET(A$1,,,SUMPRODUCT(MAX(ROW(E$1:E2854)*(E2=E$1:E2854))))))</f>
        <v/>
      </c>
      <c r="K2855" s="24" t="str">
        <f>IF(OR(E2855="",E2855="!!!",F2855="NEW"),"",INDEX(J$1:J2854,SUMPRODUCT(MAX(ROW(E$1:E2854)*(E2855=E$1:E2854)))))</f>
        <v/>
      </c>
      <c r="L2855" s="25"/>
    </row>
    <row r="2856" spans="1:12" x14ac:dyDescent="0.2">
      <c r="A2856" t="s">
        <v>977</v>
      </c>
      <c r="E2856" s="20" t="str">
        <f t="shared" ref="E2855:E2866" si="311">IF(D2856="?OLD","!!!","")</f>
        <v/>
      </c>
      <c r="F2856" s="21" t="str">
        <f>IF(OR(E2856="",E2856="!!!"),"",IF(NOT(ISNA(VLOOKUP(E2856,E$1:E2855,1,FALSE()))),"OLD",IF(AND(E2856&lt;&gt;"",E2856&lt;&gt;"!!!"),"NEW","")))</f>
        <v/>
      </c>
      <c r="G2856" s="22" t="str">
        <f>IF(OR(E2856="",E2856="!!!"),"",IF(OR(J2856=0,AND(J2856=1,K2856=1),AND(J2856=1,I2856="SBJ"),AND(J2856=1,I2856=0)),"?IN_FOCUS",IF(J2856&lt;=2,"?ACTIVATED",IF(J2856&lt;&gt;"","?FAMILIAR",IF(F2856="NEW",IF(ISNA(VLOOKUP(E2856,#REF!,1,FALSE())),"?TYPE_IDENTIFIABLE","?REFERENTIAL"),"_")))))</f>
        <v/>
      </c>
      <c r="H2856" s="23" t="str">
        <f t="shared" ca="1" si="310"/>
        <v/>
      </c>
      <c r="I2856" s="24" t="str">
        <f>IF(OR(E2856="",E2856="!!!",F2856="NEW"),"",INDEX(B$2:B2855,-1+SUMPRODUCT(MAX(ROW(E$2:E2855)*(E2856=E$2:E2855)))))</f>
        <v/>
      </c>
      <c r="J2856" s="24" t="str">
        <f ca="1">IF(OR(E2856="",E2856="!!!",F2856="NEW"),"",COUNTBLANK(OFFSET(A$1,,,SUMPRODUCT(MAX(ROW(E$2:E2856)*(E2856=E$2:E2856)))))-COUNTBLANK(OFFSET(A$1,,,SUMPRODUCT(MAX(ROW(E$1:E2855)*(E2=E$1:E2855))))))</f>
        <v/>
      </c>
      <c r="K2856" s="24" t="str">
        <f>IF(OR(E2856="",E2856="!!!",F2856="NEW"),"",INDEX(J$1:J2855,SUMPRODUCT(MAX(ROW(E$1:E2855)*(E2856=E$1:E2855)))))</f>
        <v/>
      </c>
      <c r="L2856" s="25"/>
    </row>
    <row r="2857" spans="1:12" x14ac:dyDescent="0.2">
      <c r="A2857" t="s">
        <v>1031</v>
      </c>
      <c r="E2857" s="20" t="str">
        <f t="shared" si="311"/>
        <v/>
      </c>
      <c r="F2857" s="21" t="str">
        <f>IF(OR(E2857="",E2857="!!!"),"",IF(NOT(ISNA(VLOOKUP(E2857,E$1:E2856,1,FALSE()))),"OLD",IF(AND(E2857&lt;&gt;"",E2857&lt;&gt;"!!!"),"NEW","")))</f>
        <v/>
      </c>
      <c r="G2857" s="22" t="str">
        <f>IF(OR(E2857="",E2857="!!!"),"",IF(OR(J2857=0,AND(J2857=1,K2857=1),AND(J2857=1,I2857="SBJ"),AND(J2857=1,I2857=0)),"?IN_FOCUS",IF(J2857&lt;=2,"?ACTIVATED",IF(J2857&lt;&gt;"","?FAMILIAR",IF(F2857="NEW",IF(ISNA(VLOOKUP(E2857,#REF!,1,FALSE())),"?TYPE_IDENTIFIABLE","?REFERENTIAL"),"_")))))</f>
        <v/>
      </c>
      <c r="H2857" s="23" t="str">
        <f t="shared" ca="1" si="310"/>
        <v/>
      </c>
      <c r="I2857" s="24" t="str">
        <f>IF(OR(E2857="",E2857="!!!",F2857="NEW"),"",INDEX(B$2:B2856,-1+SUMPRODUCT(MAX(ROW(E$2:E2856)*(E2857=E$2:E2856)))))</f>
        <v/>
      </c>
      <c r="J2857" s="24" t="str">
        <f ca="1">IF(OR(E2857="",E2857="!!!",F2857="NEW"),"",COUNTBLANK(OFFSET(A$1,,,SUMPRODUCT(MAX(ROW(E$2:E2857)*(E2857=E$2:E2857)))))-COUNTBLANK(OFFSET(A$1,,,SUMPRODUCT(MAX(ROW(E$1:E2856)*(E2=E$1:E2856))))))</f>
        <v/>
      </c>
      <c r="K2857" s="24" t="str">
        <f>IF(OR(E2857="",E2857="!!!",F2857="NEW"),"",INDEX(J$1:J2856,SUMPRODUCT(MAX(ROW(E$1:E2856)*(E2857=E$1:E2856)))))</f>
        <v/>
      </c>
      <c r="L2857" s="25"/>
    </row>
    <row r="2858" spans="1:12" x14ac:dyDescent="0.2">
      <c r="A2858" t="s">
        <v>1618</v>
      </c>
      <c r="E2858" s="20" t="str">
        <f t="shared" si="311"/>
        <v/>
      </c>
      <c r="F2858" s="21" t="str">
        <f>IF(OR(E2858="",E2858="!!!"),"",IF(NOT(ISNA(VLOOKUP(E2858,E$1:E2857,1,FALSE()))),"OLD",IF(AND(E2858&lt;&gt;"",E2858&lt;&gt;"!!!"),"NEW","")))</f>
        <v/>
      </c>
      <c r="G2858" s="22" t="str">
        <f>IF(OR(E2858="",E2858="!!!"),"",IF(OR(J2858=0,AND(J2858=1,K2858=1),AND(J2858=1,I2858="SBJ"),AND(J2858=1,I2858=0)),"?IN_FOCUS",IF(J2858&lt;=2,"?ACTIVATED",IF(J2858&lt;&gt;"","?FAMILIAR",IF(F2858="NEW",IF(ISNA(VLOOKUP(E2858,#REF!,1,FALSE())),"?TYPE_IDENTIFIABLE","?REFERENTIAL"),"_")))))</f>
        <v/>
      </c>
      <c r="H2858" s="23" t="str">
        <f t="shared" ca="1" si="310"/>
        <v/>
      </c>
      <c r="I2858" s="24" t="str">
        <f>IF(OR(E2858="",E2858="!!!",F2858="NEW"),"",INDEX(B$2:B2857,-1+SUMPRODUCT(MAX(ROW(E$2:E2857)*(E2858=E$2:E2857)))))</f>
        <v/>
      </c>
      <c r="J2858" s="24" t="str">
        <f ca="1">IF(OR(E2858="",E2858="!!!",F2858="NEW"),"",COUNTBLANK(OFFSET(A$1,,,SUMPRODUCT(MAX(ROW(E$2:E2858)*(E2858=E$2:E2858)))))-COUNTBLANK(OFFSET(A$1,,,SUMPRODUCT(MAX(ROW(E$1:E2857)*(E2=E$1:E2857))))))</f>
        <v/>
      </c>
      <c r="K2858" s="24" t="str">
        <f>IF(OR(E2858="",E2858="!!!",F2858="NEW"),"",INDEX(J$1:J2857,SUMPRODUCT(MAX(ROW(E$1:E2857)*(E2858=E$1:E2857)))))</f>
        <v/>
      </c>
      <c r="L2858" s="25"/>
    </row>
    <row r="2859" spans="1:12" x14ac:dyDescent="0.2">
      <c r="A2859" t="s">
        <v>802</v>
      </c>
      <c r="E2859" s="20" t="str">
        <f t="shared" si="311"/>
        <v/>
      </c>
      <c r="F2859" s="21" t="str">
        <f>IF(OR(E2859="",E2859="!!!"),"",IF(NOT(ISNA(VLOOKUP(E2859,E$1:E2858,1,FALSE()))),"OLD",IF(AND(E2859&lt;&gt;"",E2859&lt;&gt;"!!!"),"NEW","")))</f>
        <v/>
      </c>
      <c r="G2859" s="22" t="str">
        <f>IF(OR(E2859="",E2859="!!!"),"",IF(OR(J2859=0,AND(J2859=1,K2859=1),AND(J2859=1,I2859="SBJ"),AND(J2859=1,I2859=0)),"?IN_FOCUS",IF(J2859&lt;=2,"?ACTIVATED",IF(J2859&lt;&gt;"","?FAMILIAR",IF(F2859="NEW",IF(ISNA(VLOOKUP(E2859,#REF!,1,FALSE())),"?TYPE_IDENTIFIABLE","?REFERENTIAL"),"_")))))</f>
        <v/>
      </c>
      <c r="H2859" s="23" t="str">
        <f t="shared" ca="1" si="310"/>
        <v/>
      </c>
      <c r="I2859" s="24" t="str">
        <f>IF(OR(E2859="",E2859="!!!",F2859="NEW"),"",INDEX(B$2:B2858,-1+SUMPRODUCT(MAX(ROW(E$2:E2858)*(E2859=E$2:E2858)))))</f>
        <v/>
      </c>
      <c r="J2859" s="24" t="str">
        <f ca="1">IF(OR(E2859="",E2859="!!!",F2859="NEW"),"",COUNTBLANK(OFFSET(A$1,,,SUMPRODUCT(MAX(ROW(E$2:E2859)*(E2859=E$2:E2859)))))-COUNTBLANK(OFFSET(A$1,,,SUMPRODUCT(MAX(ROW(E$1:E2858)*(E2=E$1:E2858))))))</f>
        <v/>
      </c>
      <c r="K2859" s="24" t="str">
        <f>IF(OR(E2859="",E2859="!!!",F2859="NEW"),"",INDEX(J$1:J2858,SUMPRODUCT(MAX(ROW(E$1:E2858)*(E2859=E$1:E2858)))))</f>
        <v/>
      </c>
      <c r="L2859" s="25"/>
    </row>
    <row r="2860" spans="1:12" x14ac:dyDescent="0.2">
      <c r="A2860" t="s">
        <v>913</v>
      </c>
      <c r="B2860" s="26" t="s">
        <v>810</v>
      </c>
      <c r="C2860" s="26" t="s">
        <v>805</v>
      </c>
      <c r="D2860" s="26" t="s">
        <v>806</v>
      </c>
      <c r="E2860" s="20"/>
      <c r="F2860" s="21" t="str">
        <f>IF(OR(E2860="",E2860="!!!"),"",IF(NOT(ISNA(VLOOKUP(E2860,E$1:E2859,1,FALSE()))),"OLD",IF(AND(E2860&lt;&gt;"",E2860&lt;&gt;"!!!"),"NEW","")))</f>
        <v/>
      </c>
      <c r="G2860" s="22" t="str">
        <f>IF(OR(E2860="",E2860="!!!"),"",IF(OR(J2860=0,AND(J2860=1,K2860=1),AND(J2860=1,I2860="SBJ"),AND(J2860=1,I2860=0)),"?IN_FOCUS",IF(J2860&lt;=2,"?ACTIVATED",IF(J2860&lt;&gt;"","?FAMILIAR",IF(F2860="NEW",IF(ISNA(VLOOKUP(E2860,#REF!,1,FALSE())),"?TYPE_IDENTIFIABLE","?REFERENTIAL"),"_")))))</f>
        <v/>
      </c>
      <c r="H2860" s="23" t="str">
        <f t="shared" ca="1" si="310"/>
        <v/>
      </c>
      <c r="I2860" s="24" t="str">
        <f>IF(OR(E2860="",E2860="!!!",F2860="NEW"),"",INDEX(B$2:B2859,-1+SUMPRODUCT(MAX(ROW(E$2:E2859)*(E2860=E$2:E2859)))))</f>
        <v/>
      </c>
      <c r="J2860" s="24" t="str">
        <f ca="1">IF(OR(E2860="",E2860="!!!",F2860="NEW"),"",COUNTBLANK(OFFSET(A$1,,,SUMPRODUCT(MAX(ROW(E$2:E2860)*(E2860=E$2:E2860)))))-COUNTBLANK(OFFSET(A$1,,,SUMPRODUCT(MAX(ROW(E$1:E2859)*(E2=E$1:E2859))))))</f>
        <v/>
      </c>
      <c r="K2860" s="24" t="str">
        <f>IF(OR(E2860="",E2860="!!!",F2860="NEW"),"",INDEX(J$1:J2859,SUMPRODUCT(MAX(ROW(E$1:E2859)*(E2860=E$1:E2859)))))</f>
        <v/>
      </c>
      <c r="L2860" s="25"/>
    </row>
    <row r="2861" spans="1:12" x14ac:dyDescent="0.2">
      <c r="A2861" t="s">
        <v>1619</v>
      </c>
      <c r="B2861" s="26" t="s">
        <v>810</v>
      </c>
      <c r="C2861" s="26" t="s">
        <v>814</v>
      </c>
      <c r="E2861" s="20" t="str">
        <f t="shared" si="311"/>
        <v/>
      </c>
      <c r="F2861" s="21" t="str">
        <f>IF(OR(E2861="",E2861="!!!"),"",IF(NOT(ISNA(VLOOKUP(E2861,E$1:E2860,1,FALSE()))),"OLD",IF(AND(E2861&lt;&gt;"",E2861&lt;&gt;"!!!"),"NEW","")))</f>
        <v/>
      </c>
      <c r="G2861" s="22" t="str">
        <f>IF(OR(E2861="",E2861="!!!"),"",IF(OR(J2861=0,AND(J2861=1,K2861=1),AND(J2861=1,I2861="SBJ"),AND(J2861=1,I2861=0)),"?IN_FOCUS",IF(J2861&lt;=2,"?ACTIVATED",IF(J2861&lt;&gt;"","?FAMILIAR",IF(F2861="NEW",IF(ISNA(VLOOKUP(E2861,#REF!,1,FALSE())),"?TYPE_IDENTIFIABLE","?REFERENTIAL"),"_")))))</f>
        <v/>
      </c>
      <c r="H2861" s="23" t="str">
        <f t="shared" ca="1" si="310"/>
        <v/>
      </c>
      <c r="I2861" s="24" t="str">
        <f>IF(OR(E2861="",E2861="!!!",F2861="NEW"),"",INDEX(B$2:B2860,-1+SUMPRODUCT(MAX(ROW(E$2:E2860)*(E2861=E$2:E2860)))))</f>
        <v/>
      </c>
      <c r="J2861" s="24" t="str">
        <f ca="1">IF(OR(E2861="",E2861="!!!",F2861="NEW"),"",COUNTBLANK(OFFSET(A$1,,,SUMPRODUCT(MAX(ROW(E$2:E2861)*(E2861=E$2:E2861)))))-COUNTBLANK(OFFSET(A$1,,,SUMPRODUCT(MAX(ROW(E$1:E2860)*(E2=E$1:E2860))))))</f>
        <v/>
      </c>
      <c r="K2861" s="24" t="str">
        <f>IF(OR(E2861="",E2861="!!!",F2861="NEW"),"",INDEX(J$1:J2860,SUMPRODUCT(MAX(ROW(E$1:E2860)*(E2861=E$1:E2860)))))</f>
        <v/>
      </c>
      <c r="L2861" s="25"/>
    </row>
    <row r="2862" spans="1:12" x14ac:dyDescent="0.2">
      <c r="A2862" t="s">
        <v>1082</v>
      </c>
      <c r="E2862" s="20" t="str">
        <f t="shared" si="311"/>
        <v/>
      </c>
      <c r="F2862" s="21" t="str">
        <f>IF(OR(E2862="",E2862="!!!"),"",IF(NOT(ISNA(VLOOKUP(E2862,E$1:E2861,1,FALSE()))),"OLD",IF(AND(E2862&lt;&gt;"",E2862&lt;&gt;"!!!"),"NEW","")))</f>
        <v/>
      </c>
      <c r="G2862" s="22" t="str">
        <f>IF(OR(E2862="",E2862="!!!"),"",IF(OR(J2862=0,AND(J2862=1,K2862=1),AND(J2862=1,I2862="SBJ"),AND(J2862=1,I2862=0)),"?IN_FOCUS",IF(J2862&lt;=2,"?ACTIVATED",IF(J2862&lt;&gt;"","?FAMILIAR",IF(F2862="NEW",IF(ISNA(VLOOKUP(E2862,#REF!,1,FALSE())),"?TYPE_IDENTIFIABLE","?REFERENTIAL"),"_")))))</f>
        <v/>
      </c>
      <c r="H2862" s="23" t="str">
        <f t="shared" ca="1" si="310"/>
        <v/>
      </c>
      <c r="I2862" s="24" t="str">
        <f>IF(OR(E2862="",E2862="!!!",F2862="NEW"),"",INDEX(B$2:B2861,-1+SUMPRODUCT(MAX(ROW(E$2:E2861)*(E2862=E$2:E2861)))))</f>
        <v/>
      </c>
      <c r="J2862" s="24" t="str">
        <f ca="1">IF(OR(E2862="",E2862="!!!",F2862="NEW"),"",COUNTBLANK(OFFSET(A$1,,,SUMPRODUCT(MAX(ROW(E$2:E2862)*(E2862=E$2:E2862)))))-COUNTBLANK(OFFSET(A$1,,,SUMPRODUCT(MAX(ROW(E$1:E2861)*(E2=E$1:E2861))))))</f>
        <v/>
      </c>
      <c r="K2862" s="24" t="str">
        <f>IF(OR(E2862="",E2862="!!!",F2862="NEW"),"",INDEX(J$1:J2861,SUMPRODUCT(MAX(ROW(E$1:E2861)*(E2862=E$1:E2861)))))</f>
        <v/>
      </c>
      <c r="L2862" s="25"/>
    </row>
    <row r="2863" spans="1:12" x14ac:dyDescent="0.2">
      <c r="A2863" t="s">
        <v>919</v>
      </c>
      <c r="B2863" s="26" t="s">
        <v>950</v>
      </c>
      <c r="C2863" s="26" t="s">
        <v>805</v>
      </c>
      <c r="D2863" s="26" t="s">
        <v>806</v>
      </c>
      <c r="E2863" s="20" t="s">
        <v>1619</v>
      </c>
      <c r="F2863" s="21" t="str">
        <f>IF(OR(E2863="",E2863="!!!"),"",IF(NOT(ISNA(VLOOKUP(E2863,E$1:E2862,1,FALSE()))),"OLD",IF(AND(E2863&lt;&gt;"",E2863&lt;&gt;"!!!"),"NEW","")))</f>
        <v>OLD</v>
      </c>
      <c r="G2863" s="22" t="s">
        <v>1823</v>
      </c>
      <c r="H2863" s="23" t="str">
        <f t="shared" ca="1" si="310"/>
        <v/>
      </c>
      <c r="I2863" s="24" t="str">
        <f>IF(OR(E2863="",E2863="!!!",F2863="NEW"),"",INDEX(B$2:B2862,-1+SUMPRODUCT(MAX(ROW(E$2:E2862)*(E2863=E$2:E2862)))))</f>
        <v>SBJ</v>
      </c>
      <c r="J2863" s="24">
        <f ca="1">IF(OR(E2863="",E2863="!!!",F2863="NEW"),"",COUNTBLANK(OFFSET(A$1,,,SUMPRODUCT(MAX(ROW(E$2:E2863)*(E2863=E$2:E2863)))))-COUNTBLANK(OFFSET(A$1,,,SUMPRODUCT(MAX(ROW(E$1:E2862)*(E2=E$1:E2862))))))</f>
        <v>0</v>
      </c>
      <c r="K2863" s="24" t="str">
        <f ca="1">IF(OR(E2863="",E2863="!!!",F2863="NEW"),"",INDEX(J$1:J2862,SUMPRODUCT(MAX(ROW(E$1:E2862)*(E2863=E$1:E2862)))))</f>
        <v/>
      </c>
      <c r="L2863" s="25"/>
    </row>
    <row r="2864" spans="1:12" x14ac:dyDescent="0.2">
      <c r="A2864" t="s">
        <v>977</v>
      </c>
      <c r="E2864" s="20" t="str">
        <f t="shared" si="311"/>
        <v/>
      </c>
      <c r="F2864" s="21" t="str">
        <f>IF(OR(E2864="",E2864="!!!"),"",IF(NOT(ISNA(VLOOKUP(E2864,E$1:E2863,1,FALSE()))),"OLD",IF(AND(E2864&lt;&gt;"",E2864&lt;&gt;"!!!"),"NEW","")))</f>
        <v/>
      </c>
      <c r="G2864" s="22" t="str">
        <f>IF(OR(E2864="",E2864="!!!"),"",IF(OR(J2864=0,AND(J2864=1,K2864=1),AND(J2864=1,I2864="SBJ"),AND(J2864=1,I2864=0)),"?IN_FOCUS",IF(J2864&lt;=2,"?ACTIVATED",IF(J2864&lt;&gt;"","?FAMILIAR",IF(F2864="NEW",IF(ISNA(VLOOKUP(E2864,#REF!,1,FALSE())),"?TYPE_IDENTIFIABLE","?REFERENTIAL"),"_")))))</f>
        <v/>
      </c>
      <c r="H2864" s="23" t="str">
        <f t="shared" ca="1" si="310"/>
        <v/>
      </c>
      <c r="I2864" s="24" t="str">
        <f>IF(OR(E2864="",E2864="!!!",F2864="NEW"),"",INDEX(B$2:B2863,-1+SUMPRODUCT(MAX(ROW(E$2:E2863)*(E2864=E$2:E2863)))))</f>
        <v/>
      </c>
      <c r="J2864" s="24" t="str">
        <f ca="1">IF(OR(E2864="",E2864="!!!",F2864="NEW"),"",COUNTBLANK(OFFSET(A$1,,,SUMPRODUCT(MAX(ROW(E$2:E2864)*(E2864=E$2:E2864)))))-COUNTBLANK(OFFSET(A$1,,,SUMPRODUCT(MAX(ROW(E$1:E2863)*(E2=E$1:E2863))))))</f>
        <v/>
      </c>
      <c r="K2864" s="24" t="str">
        <f>IF(OR(E2864="",E2864="!!!",F2864="NEW"),"",INDEX(J$1:J2863,SUMPRODUCT(MAX(ROW(E$1:E2863)*(E2864=E$1:E2863)))))</f>
        <v/>
      </c>
      <c r="L2864" s="25"/>
    </row>
    <row r="2865" spans="1:12" x14ac:dyDescent="0.2">
      <c r="A2865" t="s">
        <v>1620</v>
      </c>
      <c r="B2865" s="26" t="s">
        <v>819</v>
      </c>
      <c r="C2865" s="26" t="s">
        <v>814</v>
      </c>
      <c r="E2865" s="20" t="str">
        <f t="shared" si="311"/>
        <v/>
      </c>
      <c r="F2865" s="21" t="str">
        <f>IF(OR(E2865="",E2865="!!!"),"",IF(NOT(ISNA(VLOOKUP(E2865,E$1:E2864,1,FALSE()))),"OLD",IF(AND(E2865&lt;&gt;"",E2865&lt;&gt;"!!!"),"NEW","")))</f>
        <v/>
      </c>
      <c r="G2865" s="22" t="str">
        <f>IF(OR(E2865="",E2865="!!!"),"",IF(OR(J2865=0,AND(J2865=1,K2865=1),AND(J2865=1,I2865="SBJ"),AND(J2865=1,I2865=0)),"?IN_FOCUS",IF(J2865&lt;=2,"?ACTIVATED",IF(J2865&lt;&gt;"","?FAMILIAR",IF(F2865="NEW",IF(ISNA(VLOOKUP(E2865,#REF!,1,FALSE())),"?TYPE_IDENTIFIABLE","?REFERENTIAL"),"_")))))</f>
        <v/>
      </c>
      <c r="H2865" s="23" t="str">
        <f t="shared" ca="1" si="310"/>
        <v/>
      </c>
      <c r="I2865" s="24" t="str">
        <f>IF(OR(E2865="",E2865="!!!",F2865="NEW"),"",INDEX(B$2:B2864,-1+SUMPRODUCT(MAX(ROW(E$2:E2864)*(E2865=E$2:E2864)))))</f>
        <v/>
      </c>
      <c r="J2865" s="24" t="str">
        <f ca="1">IF(OR(E2865="",E2865="!!!",F2865="NEW"),"",COUNTBLANK(OFFSET(A$1,,,SUMPRODUCT(MAX(ROW(E$2:E2865)*(E2865=E$2:E2865)))))-COUNTBLANK(OFFSET(A$1,,,SUMPRODUCT(MAX(ROW(E$1:E2864)*(E2=E$1:E2864))))))</f>
        <v/>
      </c>
      <c r="K2865" s="24" t="str">
        <f>IF(OR(E2865="",E2865="!!!",F2865="NEW"),"",INDEX(J$1:J2864,SUMPRODUCT(MAX(ROW(E$1:E2864)*(E2865=E$1:E2864)))))</f>
        <v/>
      </c>
      <c r="L2865" s="25"/>
    </row>
    <row r="2866" spans="1:12" x14ac:dyDescent="0.2">
      <c r="A2866" t="s">
        <v>821</v>
      </c>
      <c r="E2866" s="20" t="str">
        <f t="shared" si="311"/>
        <v/>
      </c>
      <c r="F2866" s="21" t="str">
        <f>IF(OR(E2866="",E2866="!!!"),"",IF(NOT(ISNA(VLOOKUP(E2866,E$1:E2865,1,FALSE()))),"OLD",IF(AND(E2866&lt;&gt;"",E2866&lt;&gt;"!!!"),"NEW","")))</f>
        <v/>
      </c>
      <c r="G2866" s="22" t="str">
        <f>IF(OR(E2866="",E2866="!!!"),"",IF(OR(J2866=0,AND(J2866=1,K2866=1),AND(J2866=1,I2866="SBJ"),AND(J2866=1,I2866=0)),"?IN_FOCUS",IF(J2866&lt;=2,"?ACTIVATED",IF(J2866&lt;&gt;"","?FAMILIAR",IF(F2866="NEW",IF(ISNA(VLOOKUP(E2866,#REF!,1,FALSE())),"?TYPE_IDENTIFIABLE","?REFERENTIAL"),"_")))))</f>
        <v/>
      </c>
      <c r="H2866" s="23" t="str">
        <f t="shared" ca="1" si="310"/>
        <v/>
      </c>
      <c r="I2866" s="24" t="str">
        <f>IF(OR(E2866="",E2866="!!!",F2866="NEW"),"",INDEX(B$2:B2865,-1+SUMPRODUCT(MAX(ROW(E$2:E2865)*(E2866=E$2:E2865)))))</f>
        <v/>
      </c>
      <c r="J2866" s="24" t="str">
        <f ca="1">IF(OR(E2866="",E2866="!!!",F2866="NEW"),"",COUNTBLANK(OFFSET(A$1,,,SUMPRODUCT(MAX(ROW(E$2:E2866)*(E2866=E$2:E2866)))))-COUNTBLANK(OFFSET(A$1,,,SUMPRODUCT(MAX(ROW(E$1:E2865)*(E2=E$1:E2865))))))</f>
        <v/>
      </c>
      <c r="K2866" s="24" t="str">
        <f>IF(OR(E2866="",E2866="!!!",F2866="NEW"),"",INDEX(J$1:J2865,SUMPRODUCT(MAX(ROW(E$1:E2865)*(E2866=E$1:E2865)))))</f>
        <v/>
      </c>
      <c r="L2866" s="25"/>
    </row>
    <row r="2868" spans="1:12" x14ac:dyDescent="0.2">
      <c r="A2868" t="s">
        <v>1621</v>
      </c>
    </row>
    <row r="2869" spans="1:12" x14ac:dyDescent="0.2">
      <c r="A2869" t="s">
        <v>1026</v>
      </c>
      <c r="B2869" s="26" t="s">
        <v>804</v>
      </c>
      <c r="C2869" s="26" t="s">
        <v>805</v>
      </c>
      <c r="D2869" s="26" t="s">
        <v>806</v>
      </c>
      <c r="E2869" s="20" t="s">
        <v>1619</v>
      </c>
      <c r="F2869" s="21" t="str">
        <f>IF(OR(E2869="",E2869="!!!"),"",IF(NOT(ISNA(VLOOKUP(E2869,E$1:E2868,1,FALSE()))),"OLD",IF(AND(E2869&lt;&gt;"",E2869&lt;&gt;"!!!"),"NEW","")))</f>
        <v>OLD</v>
      </c>
      <c r="G2869" s="22" t="s">
        <v>1823</v>
      </c>
      <c r="H2869" s="23" t="str">
        <f t="shared" ref="H2869:H2890" ca="1" si="312">IF(J2869&lt;&gt;1,"",IF(I2869="SBJ","CB","?"))</f>
        <v/>
      </c>
      <c r="I2869" s="24" t="str">
        <f>IF(OR(E2869="",E2869="!!!",F2869="NEW"),"",INDEX(B$2:B2868,-1+SUMPRODUCT(MAX(ROW(E$2:E2868)*(E2869=E$2:E2868)))))</f>
        <v>SBJ_2</v>
      </c>
      <c r="J2869" s="24">
        <f ca="1">IF(OR(E2869="",E2869="!!!",F2869="NEW"),"",COUNTBLANK(OFFSET(A$1,,,SUMPRODUCT(MAX(ROW(E$2:E2869)*(E2869=E$2:E2869)))))-COUNTBLANK(OFFSET(A$1,,,SUMPRODUCT(MAX(ROW(E$1:E2868)*(E2=E$1:E2868))))))</f>
        <v>0</v>
      </c>
      <c r="K2869" s="24">
        <f ca="1">IF(OR(E2869="",E2869="!!!",F2869="NEW"),"",INDEX(J$1:J2868,SUMPRODUCT(MAX(ROW(E$1:E2868)*(E2869=E$1:E2868)))))</f>
        <v>0</v>
      </c>
      <c r="L2869" s="25"/>
    </row>
    <row r="2870" spans="1:12" x14ac:dyDescent="0.2">
      <c r="A2870" t="s">
        <v>19</v>
      </c>
      <c r="E2870" s="20" t="str">
        <f t="shared" ref="E2869:E2890" si="313">IF(D2870="?OLD","!!!","")</f>
        <v/>
      </c>
      <c r="F2870" s="21" t="str">
        <f>IF(OR(E2870="",E2870="!!!"),"",IF(NOT(ISNA(VLOOKUP(E2870,E$1:E2869,1,FALSE()))),"OLD",IF(AND(E2870&lt;&gt;"",E2870&lt;&gt;"!!!"),"NEW","")))</f>
        <v/>
      </c>
      <c r="G2870" s="22" t="str">
        <f>IF(OR(E2870="",E2870="!!!"),"",IF(OR(J2870=0,AND(J2870=1,K2870=1),AND(J2870=1,I2870="SBJ"),AND(J2870=1,I2870=0)),"?IN_FOCUS",IF(J2870&lt;=2,"?ACTIVATED",IF(J2870&lt;&gt;"","?FAMILIAR",IF(F2870="NEW",IF(ISNA(VLOOKUP(E2870,#REF!,1,FALSE())),"?TYPE_IDENTIFIABLE","?REFERENTIAL"),"_")))))</f>
        <v/>
      </c>
      <c r="H2870" s="23" t="str">
        <f t="shared" ca="1" si="312"/>
        <v/>
      </c>
      <c r="I2870" s="24" t="str">
        <f>IF(OR(E2870="",E2870="!!!",F2870="NEW"),"",INDEX(B$2:B2869,-1+SUMPRODUCT(MAX(ROW(E$2:E2869)*(E2870=E$2:E2869)))))</f>
        <v/>
      </c>
      <c r="J2870" s="24" t="str">
        <f ca="1">IF(OR(E2870="",E2870="!!!",F2870="NEW"),"",COUNTBLANK(OFFSET(A$1,,,SUMPRODUCT(MAX(ROW(E$2:E2870)*(E2870=E$2:E2870)))))-COUNTBLANK(OFFSET(A$1,,,SUMPRODUCT(MAX(ROW(E$1:E2869)*(E2=E$1:E2869))))))</f>
        <v/>
      </c>
      <c r="K2870" s="24" t="str">
        <f>IF(OR(E2870="",E2870="!!!",F2870="NEW"),"",INDEX(J$1:J2869,SUMPRODUCT(MAX(ROW(E$1:E2869)*(E2870=E$1:E2869)))))</f>
        <v/>
      </c>
      <c r="L2870" s="25"/>
    </row>
    <row r="2871" spans="1:12" x14ac:dyDescent="0.2">
      <c r="A2871" t="s">
        <v>1622</v>
      </c>
      <c r="E2871" s="20" t="str">
        <f t="shared" si="313"/>
        <v/>
      </c>
      <c r="F2871" s="21" t="str">
        <f>IF(OR(E2871="",E2871="!!!"),"",IF(NOT(ISNA(VLOOKUP(E2871,E$1:E2870,1,FALSE()))),"OLD",IF(AND(E2871&lt;&gt;"",E2871&lt;&gt;"!!!"),"NEW","")))</f>
        <v/>
      </c>
      <c r="G2871" s="22" t="str">
        <f>IF(OR(E2871="",E2871="!!!"),"",IF(OR(J2871=0,AND(J2871=1,K2871=1),AND(J2871=1,I2871="SBJ"),AND(J2871=1,I2871=0)),"?IN_FOCUS",IF(J2871&lt;=2,"?ACTIVATED",IF(J2871&lt;&gt;"","?FAMILIAR",IF(F2871="NEW",IF(ISNA(VLOOKUP(E2871,#REF!,1,FALSE())),"?TYPE_IDENTIFIABLE","?REFERENTIAL"),"_")))))</f>
        <v/>
      </c>
      <c r="H2871" s="23" t="str">
        <f t="shared" ca="1" si="312"/>
        <v/>
      </c>
      <c r="I2871" s="24" t="str">
        <f>IF(OR(E2871="",E2871="!!!",F2871="NEW"),"",INDEX(B$2:B2870,-1+SUMPRODUCT(MAX(ROW(E$2:E2870)*(E2871=E$2:E2870)))))</f>
        <v/>
      </c>
      <c r="J2871" s="24" t="str">
        <f ca="1">IF(OR(E2871="",E2871="!!!",F2871="NEW"),"",COUNTBLANK(OFFSET(A$1,,,SUMPRODUCT(MAX(ROW(E$2:E2871)*(E2871=E$2:E2871)))))-COUNTBLANK(OFFSET(A$1,,,SUMPRODUCT(MAX(ROW(E$1:E2870)*(E2=E$1:E2870))))))</f>
        <v/>
      </c>
      <c r="K2871" s="24" t="str">
        <f>IF(OR(E2871="",E2871="!!!",F2871="NEW"),"",INDEX(J$1:J2870,SUMPRODUCT(MAX(ROW(E$1:E2870)*(E2871=E$1:E2870)))))</f>
        <v/>
      </c>
      <c r="L2871" s="25"/>
    </row>
    <row r="2872" spans="1:12" x14ac:dyDescent="0.2">
      <c r="A2872" t="s">
        <v>1623</v>
      </c>
      <c r="E2872" s="20" t="str">
        <f t="shared" si="313"/>
        <v/>
      </c>
      <c r="F2872" s="21" t="str">
        <f>IF(OR(E2872="",E2872="!!!"),"",IF(NOT(ISNA(VLOOKUP(E2872,E$1:E2871,1,FALSE()))),"OLD",IF(AND(E2872&lt;&gt;"",E2872&lt;&gt;"!!!"),"NEW","")))</f>
        <v/>
      </c>
      <c r="G2872" s="22" t="str">
        <f>IF(OR(E2872="",E2872="!!!"),"",IF(OR(J2872=0,AND(J2872=1,K2872=1),AND(J2872=1,I2872="SBJ"),AND(J2872=1,I2872=0)),"?IN_FOCUS",IF(J2872&lt;=2,"?ACTIVATED",IF(J2872&lt;&gt;"","?FAMILIAR",IF(F2872="NEW",IF(ISNA(VLOOKUP(E2872,#REF!,1,FALSE())),"?TYPE_IDENTIFIABLE","?REFERENTIAL"),"_")))))</f>
        <v/>
      </c>
      <c r="H2872" s="23" t="str">
        <f t="shared" ca="1" si="312"/>
        <v/>
      </c>
      <c r="I2872" s="24" t="str">
        <f>IF(OR(E2872="",E2872="!!!",F2872="NEW"),"",INDEX(B$2:B2871,-1+SUMPRODUCT(MAX(ROW(E$2:E2871)*(E2872=E$2:E2871)))))</f>
        <v/>
      </c>
      <c r="J2872" s="24" t="str">
        <f ca="1">IF(OR(E2872="",E2872="!!!",F2872="NEW"),"",COUNTBLANK(OFFSET(A$1,,,SUMPRODUCT(MAX(ROW(E$2:E2872)*(E2872=E$2:E2872)))))-COUNTBLANK(OFFSET(A$1,,,SUMPRODUCT(MAX(ROW(E$1:E2871)*(E2=E$1:E2871))))))</f>
        <v/>
      </c>
      <c r="K2872" s="24" t="str">
        <f>IF(OR(E2872="",E2872="!!!",F2872="NEW"),"",INDEX(J$1:J2871,SUMPRODUCT(MAX(ROW(E$1:E2871)*(E2872=E$1:E2871)))))</f>
        <v/>
      </c>
      <c r="L2872" s="25"/>
    </row>
    <row r="2873" spans="1:12" x14ac:dyDescent="0.2">
      <c r="A2873" t="s">
        <v>1624</v>
      </c>
      <c r="B2873" s="26" t="s">
        <v>819</v>
      </c>
      <c r="C2873" s="26" t="s">
        <v>814</v>
      </c>
      <c r="E2873" s="20" t="str">
        <f t="shared" si="313"/>
        <v/>
      </c>
      <c r="F2873" s="21" t="str">
        <f>IF(OR(E2873="",E2873="!!!"),"",IF(NOT(ISNA(VLOOKUP(E2873,E$1:E2872,1,FALSE()))),"OLD",IF(AND(E2873&lt;&gt;"",E2873&lt;&gt;"!!!"),"NEW","")))</f>
        <v/>
      </c>
      <c r="G2873" s="22" t="str">
        <f>IF(OR(E2873="",E2873="!!!"),"",IF(OR(J2873=0,AND(J2873=1,K2873=1),AND(J2873=1,I2873="SBJ"),AND(J2873=1,I2873=0)),"?IN_FOCUS",IF(J2873&lt;=2,"?ACTIVATED",IF(J2873&lt;&gt;"","?FAMILIAR",IF(F2873="NEW",IF(ISNA(VLOOKUP(E2873,#REF!,1,FALSE())),"?TYPE_IDENTIFIABLE","?REFERENTIAL"),"_")))))</f>
        <v/>
      </c>
      <c r="H2873" s="23" t="str">
        <f t="shared" ca="1" si="312"/>
        <v/>
      </c>
      <c r="I2873" s="24" t="str">
        <f>IF(OR(E2873="",E2873="!!!",F2873="NEW"),"",INDEX(B$2:B2872,-1+SUMPRODUCT(MAX(ROW(E$2:E2872)*(E2873=E$2:E2872)))))</f>
        <v/>
      </c>
      <c r="J2873" s="24" t="str">
        <f ca="1">IF(OR(E2873="",E2873="!!!",F2873="NEW"),"",COUNTBLANK(OFFSET(A$1,,,SUMPRODUCT(MAX(ROW(E$2:E2873)*(E2873=E$2:E2873)))))-COUNTBLANK(OFFSET(A$1,,,SUMPRODUCT(MAX(ROW(E$1:E2872)*(E2=E$1:E2872))))))</f>
        <v/>
      </c>
      <c r="K2873" s="24" t="str">
        <f>IF(OR(E2873="",E2873="!!!",F2873="NEW"),"",INDEX(J$1:J2872,SUMPRODUCT(MAX(ROW(E$1:E2872)*(E2873=E$1:E2872)))))</f>
        <v/>
      </c>
      <c r="L2873" s="25"/>
    </row>
    <row r="2874" spans="1:12" x14ac:dyDescent="0.2">
      <c r="A2874" t="s">
        <v>802</v>
      </c>
      <c r="E2874" s="20" t="str">
        <f t="shared" si="313"/>
        <v/>
      </c>
      <c r="F2874" s="21" t="str">
        <f>IF(OR(E2874="",E2874="!!!"),"",IF(NOT(ISNA(VLOOKUP(E2874,E$1:E2873,1,FALSE()))),"OLD",IF(AND(E2874&lt;&gt;"",E2874&lt;&gt;"!!!"),"NEW","")))</f>
        <v/>
      </c>
      <c r="G2874" s="22" t="str">
        <f>IF(OR(E2874="",E2874="!!!"),"",IF(OR(J2874=0,AND(J2874=1,K2874=1),AND(J2874=1,I2874="SBJ"),AND(J2874=1,I2874=0)),"?IN_FOCUS",IF(J2874&lt;=2,"?ACTIVATED",IF(J2874&lt;&gt;"","?FAMILIAR",IF(F2874="NEW",IF(ISNA(VLOOKUP(E2874,#REF!,1,FALSE())),"?TYPE_IDENTIFIABLE","?REFERENTIAL"),"_")))))</f>
        <v/>
      </c>
      <c r="H2874" s="23" t="str">
        <f t="shared" ca="1" si="312"/>
        <v/>
      </c>
      <c r="I2874" s="24" t="str">
        <f>IF(OR(E2874="",E2874="!!!",F2874="NEW"),"",INDEX(B$2:B2873,-1+SUMPRODUCT(MAX(ROW(E$2:E2873)*(E2874=E$2:E2873)))))</f>
        <v/>
      </c>
      <c r="J2874" s="24" t="str">
        <f ca="1">IF(OR(E2874="",E2874="!!!",F2874="NEW"),"",COUNTBLANK(OFFSET(A$1,,,SUMPRODUCT(MAX(ROW(E$2:E2874)*(E2874=E$2:E2874)))))-COUNTBLANK(OFFSET(A$1,,,SUMPRODUCT(MAX(ROW(E$1:E2873)*(E2=E$1:E2873))))))</f>
        <v/>
      </c>
      <c r="K2874" s="24" t="str">
        <f>IF(OR(E2874="",E2874="!!!",F2874="NEW"),"",INDEX(J$1:J2873,SUMPRODUCT(MAX(ROW(E$1:E2873)*(E2874=E$1:E2873)))))</f>
        <v/>
      </c>
      <c r="L2874" s="25"/>
    </row>
    <row r="2875" spans="1:12" x14ac:dyDescent="0.2">
      <c r="A2875" t="s">
        <v>919</v>
      </c>
      <c r="B2875" s="26" t="s">
        <v>950</v>
      </c>
      <c r="C2875" s="26" t="s">
        <v>805</v>
      </c>
      <c r="D2875" s="26" t="s">
        <v>806</v>
      </c>
      <c r="E2875" s="20" t="s">
        <v>1619</v>
      </c>
      <c r="F2875" s="21" t="str">
        <f>IF(OR(E2875="",E2875="!!!"),"",IF(NOT(ISNA(VLOOKUP(E2875,E$1:E2874,1,FALSE()))),"OLD",IF(AND(E2875&lt;&gt;"",E2875&lt;&gt;"!!!"),"NEW","")))</f>
        <v>OLD</v>
      </c>
      <c r="G2875" s="22" t="s">
        <v>1823</v>
      </c>
      <c r="H2875" s="23" t="str">
        <f t="shared" ca="1" si="312"/>
        <v/>
      </c>
      <c r="I2875" s="24" t="str">
        <f>IF(OR(E2875="",E2875="!!!",F2875="NEW"),"",INDEX(B$2:B2874,-1+SUMPRODUCT(MAX(ROW(E$2:E2874)*(E2875=E$2:E2874)))))</f>
        <v>SBJ</v>
      </c>
      <c r="J2875" s="24">
        <f ca="1">IF(OR(E2875="",E2875="!!!",F2875="NEW"),"",COUNTBLANK(OFFSET(A$1,,,SUMPRODUCT(MAX(ROW(E$2:E2875)*(E2875=E$2:E2875)))))-COUNTBLANK(OFFSET(A$1,,,SUMPRODUCT(MAX(ROW(E$1:E2874)*(E2=E$1:E2874))))))</f>
        <v>0</v>
      </c>
      <c r="K2875" s="24">
        <f ca="1">IF(OR(E2875="",E2875="!!!",F2875="NEW"),"",INDEX(J$1:J2874,SUMPRODUCT(MAX(ROW(E$1:E2874)*(E2875=E$1:E2874)))))</f>
        <v>0</v>
      </c>
      <c r="L2875" s="25"/>
    </row>
    <row r="2876" spans="1:12" x14ac:dyDescent="0.2">
      <c r="A2876" t="s">
        <v>19</v>
      </c>
      <c r="E2876" s="20" t="str">
        <f t="shared" si="313"/>
        <v/>
      </c>
      <c r="F2876" s="21" t="str">
        <f>IF(OR(E2876="",E2876="!!!"),"",IF(NOT(ISNA(VLOOKUP(E2876,E$1:E2875,1,FALSE()))),"OLD",IF(AND(E2876&lt;&gt;"",E2876&lt;&gt;"!!!"),"NEW","")))</f>
        <v/>
      </c>
      <c r="G2876" s="22" t="str">
        <f>IF(OR(E2876="",E2876="!!!"),"",IF(OR(J2876=0,AND(J2876=1,K2876=1),AND(J2876=1,I2876="SBJ"),AND(J2876=1,I2876=0)),"?IN_FOCUS",IF(J2876&lt;=2,"?ACTIVATED",IF(J2876&lt;&gt;"","?FAMILIAR",IF(F2876="NEW",IF(ISNA(VLOOKUP(E2876,#REF!,1,FALSE())),"?TYPE_IDENTIFIABLE","?REFERENTIAL"),"_")))))</f>
        <v/>
      </c>
      <c r="H2876" s="23" t="str">
        <f t="shared" ca="1" si="312"/>
        <v/>
      </c>
      <c r="I2876" s="24" t="str">
        <f>IF(OR(E2876="",E2876="!!!",F2876="NEW"),"",INDEX(B$2:B2875,-1+SUMPRODUCT(MAX(ROW(E$2:E2875)*(E2876=E$2:E2875)))))</f>
        <v/>
      </c>
      <c r="J2876" s="24" t="str">
        <f ca="1">IF(OR(E2876="",E2876="!!!",F2876="NEW"),"",COUNTBLANK(OFFSET(A$1,,,SUMPRODUCT(MAX(ROW(E$2:E2876)*(E2876=E$2:E2876)))))-COUNTBLANK(OFFSET(A$1,,,SUMPRODUCT(MAX(ROW(E$1:E2875)*(E2=E$1:E2875))))))</f>
        <v/>
      </c>
      <c r="K2876" s="24" t="str">
        <f>IF(OR(E2876="",E2876="!!!",F2876="NEW"),"",INDEX(J$1:J2875,SUMPRODUCT(MAX(ROW(E$1:E2875)*(E2876=E$1:E2875)))))</f>
        <v/>
      </c>
      <c r="L2876" s="25"/>
    </row>
    <row r="2877" spans="1:12" x14ac:dyDescent="0.2">
      <c r="A2877" t="s">
        <v>1625</v>
      </c>
      <c r="E2877" s="20" t="str">
        <f t="shared" si="313"/>
        <v/>
      </c>
      <c r="F2877" s="21" t="str">
        <f>IF(OR(E2877="",E2877="!!!"),"",IF(NOT(ISNA(VLOOKUP(E2877,E$1:E2876,1,FALSE()))),"OLD",IF(AND(E2877&lt;&gt;"",E2877&lt;&gt;"!!!"),"NEW","")))</f>
        <v/>
      </c>
      <c r="G2877" s="22" t="str">
        <f>IF(OR(E2877="",E2877="!!!"),"",IF(OR(J2877=0,AND(J2877=1,K2877=1),AND(J2877=1,I2877="SBJ"),AND(J2877=1,I2877=0)),"?IN_FOCUS",IF(J2877&lt;=2,"?ACTIVATED",IF(J2877&lt;&gt;"","?FAMILIAR",IF(F2877="NEW",IF(ISNA(VLOOKUP(E2877,#REF!,1,FALSE())),"?TYPE_IDENTIFIABLE","?REFERENTIAL"),"_")))))</f>
        <v/>
      </c>
      <c r="H2877" s="23" t="str">
        <f t="shared" ca="1" si="312"/>
        <v/>
      </c>
      <c r="I2877" s="24" t="str">
        <f>IF(OR(E2877="",E2877="!!!",F2877="NEW"),"",INDEX(B$2:B2876,-1+SUMPRODUCT(MAX(ROW(E$2:E2876)*(E2877=E$2:E2876)))))</f>
        <v/>
      </c>
      <c r="J2877" s="24" t="str">
        <f ca="1">IF(OR(E2877="",E2877="!!!",F2877="NEW"),"",COUNTBLANK(OFFSET(A$1,,,SUMPRODUCT(MAX(ROW(E$2:E2877)*(E2877=E$2:E2877)))))-COUNTBLANK(OFFSET(A$1,,,SUMPRODUCT(MAX(ROW(E$1:E2876)*(E2=E$1:E2876))))))</f>
        <v/>
      </c>
      <c r="K2877" s="24" t="str">
        <f>IF(OR(E2877="",E2877="!!!",F2877="NEW"),"",INDEX(J$1:J2876,SUMPRODUCT(MAX(ROW(E$1:E2876)*(E2877=E$1:E2876)))))</f>
        <v/>
      </c>
      <c r="L2877" s="25"/>
    </row>
    <row r="2878" spans="1:12" x14ac:dyDescent="0.2">
      <c r="A2878" t="s">
        <v>1626</v>
      </c>
      <c r="E2878" s="20" t="str">
        <f t="shared" si="313"/>
        <v/>
      </c>
      <c r="F2878" s="21" t="str">
        <f>IF(OR(E2878="",E2878="!!!"),"",IF(NOT(ISNA(VLOOKUP(E2878,E$1:E2877,1,FALSE()))),"OLD",IF(AND(E2878&lt;&gt;"",E2878&lt;&gt;"!!!"),"NEW","")))</f>
        <v/>
      </c>
      <c r="G2878" s="22" t="str">
        <f>IF(OR(E2878="",E2878="!!!"),"",IF(OR(J2878=0,AND(J2878=1,K2878=1),AND(J2878=1,I2878="SBJ"),AND(J2878=1,I2878=0)),"?IN_FOCUS",IF(J2878&lt;=2,"?ACTIVATED",IF(J2878&lt;&gt;"","?FAMILIAR",IF(F2878="NEW",IF(ISNA(VLOOKUP(E2878,#REF!,1,FALSE())),"?TYPE_IDENTIFIABLE","?REFERENTIAL"),"_")))))</f>
        <v/>
      </c>
      <c r="H2878" s="23" t="str">
        <f t="shared" ca="1" si="312"/>
        <v/>
      </c>
      <c r="I2878" s="24" t="str">
        <f>IF(OR(E2878="",E2878="!!!",F2878="NEW"),"",INDEX(B$2:B2877,-1+SUMPRODUCT(MAX(ROW(E$2:E2877)*(E2878=E$2:E2877)))))</f>
        <v/>
      </c>
      <c r="J2878" s="24" t="str">
        <f ca="1">IF(OR(E2878="",E2878="!!!",F2878="NEW"),"",COUNTBLANK(OFFSET(A$1,,,SUMPRODUCT(MAX(ROW(E$2:E2878)*(E2878=E$2:E2878)))))-COUNTBLANK(OFFSET(A$1,,,SUMPRODUCT(MAX(ROW(E$1:E2877)*(E2=E$1:E2877))))))</f>
        <v/>
      </c>
      <c r="K2878" s="24" t="str">
        <f>IF(OR(E2878="",E2878="!!!",F2878="NEW"),"",INDEX(J$1:J2877,SUMPRODUCT(MAX(ROW(E$1:E2877)*(E2878=E$1:E2877)))))</f>
        <v/>
      </c>
      <c r="L2878" s="25"/>
    </row>
    <row r="2879" spans="1:12" x14ac:dyDescent="0.2">
      <c r="A2879" t="s">
        <v>972</v>
      </c>
      <c r="B2879" s="26" t="s">
        <v>938</v>
      </c>
      <c r="C2879" s="26" t="s">
        <v>814</v>
      </c>
      <c r="E2879" s="20" t="str">
        <f t="shared" si="313"/>
        <v/>
      </c>
      <c r="F2879" s="21" t="str">
        <f>IF(OR(E2879="",E2879="!!!"),"",IF(NOT(ISNA(VLOOKUP(E2879,E$1:E2878,1,FALSE()))),"OLD",IF(AND(E2879&lt;&gt;"",E2879&lt;&gt;"!!!"),"NEW","")))</f>
        <v/>
      </c>
      <c r="G2879" s="22" t="str">
        <f>IF(OR(E2879="",E2879="!!!"),"",IF(OR(J2879=0,AND(J2879=1,K2879=1),AND(J2879=1,I2879="SBJ"),AND(J2879=1,I2879=0)),"?IN_FOCUS",IF(J2879&lt;=2,"?ACTIVATED",IF(J2879&lt;&gt;"","?FAMILIAR",IF(F2879="NEW",IF(ISNA(VLOOKUP(E2879,#REF!,1,FALSE())),"?TYPE_IDENTIFIABLE","?REFERENTIAL"),"_")))))</f>
        <v/>
      </c>
      <c r="H2879" s="23" t="str">
        <f t="shared" ca="1" si="312"/>
        <v/>
      </c>
      <c r="I2879" s="24" t="str">
        <f>IF(OR(E2879="",E2879="!!!",F2879="NEW"),"",INDEX(B$2:B2878,-1+SUMPRODUCT(MAX(ROW(E$2:E2878)*(E2879=E$2:E2878)))))</f>
        <v/>
      </c>
      <c r="J2879" s="24" t="str">
        <f ca="1">IF(OR(E2879="",E2879="!!!",F2879="NEW"),"",COUNTBLANK(OFFSET(A$1,,,SUMPRODUCT(MAX(ROW(E$2:E2879)*(E2879=E$2:E2879)))))-COUNTBLANK(OFFSET(A$1,,,SUMPRODUCT(MAX(ROW(E$1:E2878)*(E2=E$1:E2878))))))</f>
        <v/>
      </c>
      <c r="K2879" s="24" t="str">
        <f>IF(OR(E2879="",E2879="!!!",F2879="NEW"),"",INDEX(J$1:J2878,SUMPRODUCT(MAX(ROW(E$1:E2878)*(E2879=E$1:E2878)))))</f>
        <v/>
      </c>
      <c r="L2879" s="25"/>
    </row>
    <row r="2880" spans="1:12" x14ac:dyDescent="0.2">
      <c r="A2880" t="s">
        <v>802</v>
      </c>
      <c r="E2880" s="20" t="str">
        <f t="shared" si="313"/>
        <v/>
      </c>
      <c r="F2880" s="21" t="str">
        <f>IF(OR(E2880="",E2880="!!!"),"",IF(NOT(ISNA(VLOOKUP(E2880,E$1:E2879,1,FALSE()))),"OLD",IF(AND(E2880&lt;&gt;"",E2880&lt;&gt;"!!!"),"NEW","")))</f>
        <v/>
      </c>
      <c r="G2880" s="22" t="str">
        <f>IF(OR(E2880="",E2880="!!!"),"",IF(OR(J2880=0,AND(J2880=1,K2880=1),AND(J2880=1,I2880="SBJ"),AND(J2880=1,I2880=0)),"?IN_FOCUS",IF(J2880&lt;=2,"?ACTIVATED",IF(J2880&lt;&gt;"","?FAMILIAR",IF(F2880="NEW",IF(ISNA(VLOOKUP(E2880,#REF!,1,FALSE())),"?TYPE_IDENTIFIABLE","?REFERENTIAL"),"_")))))</f>
        <v/>
      </c>
      <c r="H2880" s="23" t="str">
        <f t="shared" ca="1" si="312"/>
        <v/>
      </c>
      <c r="I2880" s="24" t="str">
        <f>IF(OR(E2880="",E2880="!!!",F2880="NEW"),"",INDEX(B$2:B2879,-1+SUMPRODUCT(MAX(ROW(E$2:E2879)*(E2880=E$2:E2879)))))</f>
        <v/>
      </c>
      <c r="J2880" s="24" t="str">
        <f ca="1">IF(OR(E2880="",E2880="!!!",F2880="NEW"),"",COUNTBLANK(OFFSET(A$1,,,SUMPRODUCT(MAX(ROW(E$2:E2880)*(E2880=E$2:E2880)))))-COUNTBLANK(OFFSET(A$1,,,SUMPRODUCT(MAX(ROW(E$1:E2879)*(E2=E$1:E2879))))))</f>
        <v/>
      </c>
      <c r="K2880" s="24" t="str">
        <f>IF(OR(E2880="",E2880="!!!",F2880="NEW"),"",INDEX(J$1:J2879,SUMPRODUCT(MAX(ROW(E$1:E2879)*(E2880=E$1:E2879)))))</f>
        <v/>
      </c>
      <c r="L2880" s="25"/>
    </row>
    <row r="2881" spans="1:12" x14ac:dyDescent="0.2">
      <c r="A2881" t="s">
        <v>919</v>
      </c>
      <c r="B2881" s="26" t="s">
        <v>950</v>
      </c>
      <c r="C2881" s="26" t="s">
        <v>805</v>
      </c>
      <c r="D2881" s="26" t="s">
        <v>806</v>
      </c>
      <c r="E2881" s="20" t="s">
        <v>1619</v>
      </c>
      <c r="F2881" s="21" t="str">
        <f>IF(OR(E2881="",E2881="!!!"),"",IF(NOT(ISNA(VLOOKUP(E2881,E$1:E2880,1,FALSE()))),"OLD",IF(AND(E2881&lt;&gt;"",E2881&lt;&gt;"!!!"),"NEW","")))</f>
        <v>OLD</v>
      </c>
      <c r="G2881" s="22" t="s">
        <v>1823</v>
      </c>
      <c r="H2881" s="23" t="str">
        <f t="shared" ca="1" si="312"/>
        <v/>
      </c>
      <c r="I2881" s="24" t="str">
        <f>IF(OR(E2881="",E2881="!!!",F2881="NEW"),"",INDEX(B$2:B2880,-1+SUMPRODUCT(MAX(ROW(E$2:E2880)*(E2881=E$2:E2880)))))</f>
        <v>SBJ_2</v>
      </c>
      <c r="J2881" s="24">
        <f ca="1">IF(OR(E2881="",E2881="!!!",F2881="NEW"),"",COUNTBLANK(OFFSET(A$1,,,SUMPRODUCT(MAX(ROW(E$2:E2881)*(E2881=E$2:E2881)))))-COUNTBLANK(OFFSET(A$1,,,SUMPRODUCT(MAX(ROW(E$1:E2880)*(E2=E$1:E2880))))))</f>
        <v>0</v>
      </c>
      <c r="K2881" s="24">
        <f ca="1">IF(OR(E2881="",E2881="!!!",F2881="NEW"),"",INDEX(J$1:J2880,SUMPRODUCT(MAX(ROW(E$1:E2880)*(E2881=E$1:E2880)))))</f>
        <v>0</v>
      </c>
      <c r="L2881" s="25"/>
    </row>
    <row r="2882" spans="1:12" x14ac:dyDescent="0.2">
      <c r="A2882" t="s">
        <v>247</v>
      </c>
      <c r="E2882" s="20" t="str">
        <f t="shared" si="313"/>
        <v/>
      </c>
      <c r="F2882" s="21" t="str">
        <f>IF(OR(E2882="",E2882="!!!"),"",IF(NOT(ISNA(VLOOKUP(E2882,E$1:E2881,1,FALSE()))),"OLD",IF(AND(E2882&lt;&gt;"",E2882&lt;&gt;"!!!"),"NEW","")))</f>
        <v/>
      </c>
      <c r="G2882" s="22" t="str">
        <f>IF(OR(E2882="",E2882="!!!"),"",IF(OR(J2882=0,AND(J2882=1,K2882=1),AND(J2882=1,I2882="SBJ"),AND(J2882=1,I2882=0)),"?IN_FOCUS",IF(J2882&lt;=2,"?ACTIVATED",IF(J2882&lt;&gt;"","?FAMILIAR",IF(F2882="NEW",IF(ISNA(VLOOKUP(E2882,#REF!,1,FALSE())),"?TYPE_IDENTIFIABLE","?REFERENTIAL"),"_")))))</f>
        <v/>
      </c>
      <c r="H2882" s="23" t="str">
        <f t="shared" ca="1" si="312"/>
        <v/>
      </c>
      <c r="I2882" s="24" t="str">
        <f>IF(OR(E2882="",E2882="!!!",F2882="NEW"),"",INDEX(B$2:B2881,-1+SUMPRODUCT(MAX(ROW(E$2:E2881)*(E2882=E$2:E2881)))))</f>
        <v/>
      </c>
      <c r="J2882" s="24" t="str">
        <f ca="1">IF(OR(E2882="",E2882="!!!",F2882="NEW"),"",COUNTBLANK(OFFSET(A$1,,,SUMPRODUCT(MAX(ROW(E$2:E2882)*(E2882=E$2:E2882)))))-COUNTBLANK(OFFSET(A$1,,,SUMPRODUCT(MAX(ROW(E$1:E2881)*(E2=E$1:E2881))))))</f>
        <v/>
      </c>
      <c r="K2882" s="24" t="str">
        <f>IF(OR(E2882="",E2882="!!!",F2882="NEW"),"",INDEX(J$1:J2881,SUMPRODUCT(MAX(ROW(E$1:E2881)*(E2882=E$1:E2881)))))</f>
        <v/>
      </c>
      <c r="L2882" s="25"/>
    </row>
    <row r="2883" spans="1:12" x14ac:dyDescent="0.2">
      <c r="A2883" t="s">
        <v>869</v>
      </c>
      <c r="E2883" s="20" t="str">
        <f t="shared" si="313"/>
        <v/>
      </c>
      <c r="F2883" s="21" t="str">
        <f>IF(OR(E2883="",E2883="!!!"),"",IF(NOT(ISNA(VLOOKUP(E2883,E$1:E2882,1,FALSE()))),"OLD",IF(AND(E2883&lt;&gt;"",E2883&lt;&gt;"!!!"),"NEW","")))</f>
        <v/>
      </c>
      <c r="G2883" s="22" t="str">
        <f>IF(OR(E2883="",E2883="!!!"),"",IF(OR(J2883=0,AND(J2883=1,K2883=1),AND(J2883=1,I2883="SBJ"),AND(J2883=1,I2883=0)),"?IN_FOCUS",IF(J2883&lt;=2,"?ACTIVATED",IF(J2883&lt;&gt;"","?FAMILIAR",IF(F2883="NEW",IF(ISNA(VLOOKUP(E2883,#REF!,1,FALSE())),"?TYPE_IDENTIFIABLE","?REFERENTIAL"),"_")))))</f>
        <v/>
      </c>
      <c r="H2883" s="23" t="str">
        <f t="shared" ca="1" si="312"/>
        <v/>
      </c>
      <c r="I2883" s="24" t="str">
        <f>IF(OR(E2883="",E2883="!!!",F2883="NEW"),"",INDEX(B$2:B2882,-1+SUMPRODUCT(MAX(ROW(E$2:E2882)*(E2883=E$2:E2882)))))</f>
        <v/>
      </c>
      <c r="J2883" s="24" t="str">
        <f ca="1">IF(OR(E2883="",E2883="!!!",F2883="NEW"),"",COUNTBLANK(OFFSET(A$1,,,SUMPRODUCT(MAX(ROW(E$2:E2883)*(E2883=E$2:E2883)))))-COUNTBLANK(OFFSET(A$1,,,SUMPRODUCT(MAX(ROW(E$1:E2882)*(E2=E$1:E2882))))))</f>
        <v/>
      </c>
      <c r="K2883" s="24" t="str">
        <f>IF(OR(E2883="",E2883="!!!",F2883="NEW"),"",INDEX(J$1:J2882,SUMPRODUCT(MAX(ROW(E$1:E2882)*(E2883=E$1:E2882)))))</f>
        <v/>
      </c>
      <c r="L2883" s="25"/>
    </row>
    <row r="2884" spans="1:12" x14ac:dyDescent="0.2">
      <c r="A2884" t="s">
        <v>1627</v>
      </c>
      <c r="E2884" s="20" t="str">
        <f t="shared" si="313"/>
        <v/>
      </c>
      <c r="F2884" s="21" t="str">
        <f>IF(OR(E2884="",E2884="!!!"),"",IF(NOT(ISNA(VLOOKUP(E2884,E$1:E2883,1,FALSE()))),"OLD",IF(AND(E2884&lt;&gt;"",E2884&lt;&gt;"!!!"),"NEW","")))</f>
        <v/>
      </c>
      <c r="G2884" s="22" t="str">
        <f>IF(OR(E2884="",E2884="!!!"),"",IF(OR(J2884=0,AND(J2884=1,K2884=1),AND(J2884=1,I2884="SBJ"),AND(J2884=1,I2884=0)),"?IN_FOCUS",IF(J2884&lt;=2,"?ACTIVATED",IF(J2884&lt;&gt;"","?FAMILIAR",IF(F2884="NEW",IF(ISNA(VLOOKUP(E2884,#REF!,1,FALSE())),"?TYPE_IDENTIFIABLE","?REFERENTIAL"),"_")))))</f>
        <v/>
      </c>
      <c r="H2884" s="23" t="str">
        <f t="shared" ca="1" si="312"/>
        <v/>
      </c>
      <c r="I2884" s="24" t="str">
        <f>IF(OR(E2884="",E2884="!!!",F2884="NEW"),"",INDEX(B$2:B2883,-1+SUMPRODUCT(MAX(ROW(E$2:E2883)*(E2884=E$2:E2883)))))</f>
        <v/>
      </c>
      <c r="J2884" s="24" t="str">
        <f ca="1">IF(OR(E2884="",E2884="!!!",F2884="NEW"),"",COUNTBLANK(OFFSET(A$1,,,SUMPRODUCT(MAX(ROW(E$2:E2884)*(E2884=E$2:E2884)))))-COUNTBLANK(OFFSET(A$1,,,SUMPRODUCT(MAX(ROW(E$1:E2883)*(E2=E$1:E2883))))))</f>
        <v/>
      </c>
      <c r="K2884" s="24" t="str">
        <f>IF(OR(E2884="",E2884="!!!",F2884="NEW"),"",INDEX(J$1:J2883,SUMPRODUCT(MAX(ROW(E$1:E2883)*(E2884=E$1:E2883)))))</f>
        <v/>
      </c>
      <c r="L2884" s="25"/>
    </row>
    <row r="2885" spans="1:12" x14ac:dyDescent="0.2">
      <c r="A2885" t="s">
        <v>1524</v>
      </c>
      <c r="B2885" s="26" t="s">
        <v>813</v>
      </c>
      <c r="C2885" s="26" t="s">
        <v>814</v>
      </c>
      <c r="E2885" s="20" t="str">
        <f t="shared" si="313"/>
        <v/>
      </c>
      <c r="F2885" s="21" t="str">
        <f>IF(OR(E2885="",E2885="!!!"),"",IF(NOT(ISNA(VLOOKUP(E2885,E$1:E2884,1,FALSE()))),"OLD",IF(AND(E2885&lt;&gt;"",E2885&lt;&gt;"!!!"),"NEW","")))</f>
        <v/>
      </c>
      <c r="G2885" s="22" t="str">
        <f>IF(OR(E2885="",E2885="!!!"),"",IF(OR(J2885=0,AND(J2885=1,K2885=1),AND(J2885=1,I2885="SBJ"),AND(J2885=1,I2885=0)),"?IN_FOCUS",IF(J2885&lt;=2,"?ACTIVATED",IF(J2885&lt;&gt;"","?FAMILIAR",IF(F2885="NEW",IF(ISNA(VLOOKUP(E2885,#REF!,1,FALSE())),"?TYPE_IDENTIFIABLE","?REFERENTIAL"),"_")))))</f>
        <v/>
      </c>
      <c r="H2885" s="23" t="str">
        <f t="shared" ca="1" si="312"/>
        <v/>
      </c>
      <c r="I2885" s="24" t="str">
        <f>IF(OR(E2885="",E2885="!!!",F2885="NEW"),"",INDEX(B$2:B2884,-1+SUMPRODUCT(MAX(ROW(E$2:E2884)*(E2885=E$2:E2884)))))</f>
        <v/>
      </c>
      <c r="J2885" s="24" t="str">
        <f ca="1">IF(OR(E2885="",E2885="!!!",F2885="NEW"),"",COUNTBLANK(OFFSET(A$1,,,SUMPRODUCT(MAX(ROW(E$2:E2885)*(E2885=E$2:E2885)))))-COUNTBLANK(OFFSET(A$1,,,SUMPRODUCT(MAX(ROW(E$1:E2884)*(E2=E$1:E2884))))))</f>
        <v/>
      </c>
      <c r="K2885" s="24" t="str">
        <f>IF(OR(E2885="",E2885="!!!",F2885="NEW"),"",INDEX(J$1:J2884,SUMPRODUCT(MAX(ROW(E$1:E2884)*(E2885=E$1:E2884)))))</f>
        <v/>
      </c>
      <c r="L2885" s="25"/>
    </row>
    <row r="2886" spans="1:12" x14ac:dyDescent="0.2">
      <c r="A2886" t="s">
        <v>802</v>
      </c>
      <c r="E2886" s="20" t="str">
        <f t="shared" si="313"/>
        <v/>
      </c>
      <c r="F2886" s="21" t="str">
        <f>IF(OR(E2886="",E2886="!!!"),"",IF(NOT(ISNA(VLOOKUP(E2886,E$1:E2885,1,FALSE()))),"OLD",IF(AND(E2886&lt;&gt;"",E2886&lt;&gt;"!!!"),"NEW","")))</f>
        <v/>
      </c>
      <c r="G2886" s="22" t="str">
        <f>IF(OR(E2886="",E2886="!!!"),"",IF(OR(J2886=0,AND(J2886=1,K2886=1),AND(J2886=1,I2886="SBJ"),AND(J2886=1,I2886=0)),"?IN_FOCUS",IF(J2886&lt;=2,"?ACTIVATED",IF(J2886&lt;&gt;"","?FAMILIAR",IF(F2886="NEW",IF(ISNA(VLOOKUP(E2886,#REF!,1,FALSE())),"?TYPE_IDENTIFIABLE","?REFERENTIAL"),"_")))))</f>
        <v/>
      </c>
      <c r="H2886" s="23" t="str">
        <f t="shared" ca="1" si="312"/>
        <v/>
      </c>
      <c r="I2886" s="24" t="str">
        <f>IF(OR(E2886="",E2886="!!!",F2886="NEW"),"",INDEX(B$2:B2885,-1+SUMPRODUCT(MAX(ROW(E$2:E2885)*(E2886=E$2:E2885)))))</f>
        <v/>
      </c>
      <c r="J2886" s="24" t="str">
        <f ca="1">IF(OR(E2886="",E2886="!!!",F2886="NEW"),"",COUNTBLANK(OFFSET(A$1,,,SUMPRODUCT(MAX(ROW(E$2:E2886)*(E2886=E$2:E2886)))))-COUNTBLANK(OFFSET(A$1,,,SUMPRODUCT(MAX(ROW(E$1:E2885)*(E2=E$1:E2885))))))</f>
        <v/>
      </c>
      <c r="K2886" s="24" t="str">
        <f>IF(OR(E2886="",E2886="!!!",F2886="NEW"),"",INDEX(J$1:J2885,SUMPRODUCT(MAX(ROW(E$1:E2885)*(E2886=E$1:E2885)))))</f>
        <v/>
      </c>
      <c r="L2886" s="25"/>
    </row>
    <row r="2887" spans="1:12" x14ac:dyDescent="0.2">
      <c r="A2887" t="s">
        <v>919</v>
      </c>
      <c r="B2887" s="26" t="s">
        <v>950</v>
      </c>
      <c r="C2887" s="26" t="s">
        <v>805</v>
      </c>
      <c r="D2887" s="26" t="s">
        <v>806</v>
      </c>
      <c r="E2887" s="20" t="s">
        <v>1619</v>
      </c>
      <c r="F2887" s="21" t="str">
        <f>IF(OR(E2887="",E2887="!!!"),"",IF(NOT(ISNA(VLOOKUP(E2887,E$1:E2886,1,FALSE()))),"OLD",IF(AND(E2887&lt;&gt;"",E2887&lt;&gt;"!!!"),"NEW","")))</f>
        <v>OLD</v>
      </c>
      <c r="G2887" s="22" t="s">
        <v>1823</v>
      </c>
      <c r="H2887" s="23" t="str">
        <f t="shared" ca="1" si="312"/>
        <v/>
      </c>
      <c r="I2887" s="24" t="str">
        <f>IF(OR(E2887="",E2887="!!!",F2887="NEW"),"",INDEX(B$2:B2886,-1+SUMPRODUCT(MAX(ROW(E$2:E2886)*(E2887=E$2:E2886)))))</f>
        <v>SBJ_2</v>
      </c>
      <c r="J2887" s="24">
        <f ca="1">IF(OR(E2887="",E2887="!!!",F2887="NEW"),"",COUNTBLANK(OFFSET(A$1,,,SUMPRODUCT(MAX(ROW(E$2:E2887)*(E2887=E$2:E2887)))))-COUNTBLANK(OFFSET(A$1,,,SUMPRODUCT(MAX(ROW(E$1:E2886)*(E2=E$1:E2886))))))</f>
        <v>0</v>
      </c>
      <c r="K2887" s="24">
        <f ca="1">IF(OR(E2887="",E2887="!!!",F2887="NEW"),"",INDEX(J$1:J2886,SUMPRODUCT(MAX(ROW(E$1:E2886)*(E2887=E$1:E2886)))))</f>
        <v>0</v>
      </c>
      <c r="L2887" s="25"/>
    </row>
    <row r="2888" spans="1:12" x14ac:dyDescent="0.2">
      <c r="A2888" t="s">
        <v>243</v>
      </c>
      <c r="E2888" s="20" t="str">
        <f t="shared" si="313"/>
        <v/>
      </c>
      <c r="F2888" s="21" t="str">
        <f>IF(OR(E2888="",E2888="!!!"),"",IF(NOT(ISNA(VLOOKUP(E2888,E$1:E2887,1,FALSE()))),"OLD",IF(AND(E2888&lt;&gt;"",E2888&lt;&gt;"!!!"),"NEW","")))</f>
        <v/>
      </c>
      <c r="G2888" s="22" t="str">
        <f>IF(OR(E2888="",E2888="!!!"),"",IF(OR(J2888=0,AND(J2888=1,K2888=1),AND(J2888=1,I2888="SBJ"),AND(J2888=1,I2888=0)),"?IN_FOCUS",IF(J2888&lt;=2,"?ACTIVATED",IF(J2888&lt;&gt;"","?FAMILIAR",IF(F2888="NEW",IF(ISNA(VLOOKUP(E2888,#REF!,1,FALSE())),"?TYPE_IDENTIFIABLE","?REFERENTIAL"),"_")))))</f>
        <v/>
      </c>
      <c r="H2888" s="23" t="str">
        <f t="shared" ca="1" si="312"/>
        <v/>
      </c>
      <c r="I2888" s="24" t="str">
        <f>IF(OR(E2888="",E2888="!!!",F2888="NEW"),"",INDEX(B$2:B2887,-1+SUMPRODUCT(MAX(ROW(E$2:E2887)*(E2888=E$2:E2887)))))</f>
        <v/>
      </c>
      <c r="J2888" s="24" t="str">
        <f ca="1">IF(OR(E2888="",E2888="!!!",F2888="NEW"),"",COUNTBLANK(OFFSET(A$1,,,SUMPRODUCT(MAX(ROW(E$2:E2888)*(E2888=E$2:E2888)))))-COUNTBLANK(OFFSET(A$1,,,SUMPRODUCT(MAX(ROW(E$1:E2887)*(E2=E$1:E2887))))))</f>
        <v/>
      </c>
      <c r="K2888" s="24" t="str">
        <f>IF(OR(E2888="",E2888="!!!",F2888="NEW"),"",INDEX(J$1:J2887,SUMPRODUCT(MAX(ROW(E$1:E2887)*(E2888=E$1:E2887)))))</f>
        <v/>
      </c>
      <c r="L2888" s="25"/>
    </row>
    <row r="2889" spans="1:12" x14ac:dyDescent="0.2">
      <c r="A2889" t="s">
        <v>1628</v>
      </c>
      <c r="E2889" s="20" t="str">
        <f t="shared" si="313"/>
        <v/>
      </c>
      <c r="F2889" s="21" t="str">
        <f>IF(OR(E2889="",E2889="!!!"),"",IF(NOT(ISNA(VLOOKUP(E2889,E$1:E2888,1,FALSE()))),"OLD",IF(AND(E2889&lt;&gt;"",E2889&lt;&gt;"!!!"),"NEW","")))</f>
        <v/>
      </c>
      <c r="G2889" s="22" t="str">
        <f>IF(OR(E2889="",E2889="!!!"),"",IF(OR(J2889=0,AND(J2889=1,K2889=1),AND(J2889=1,I2889="SBJ"),AND(J2889=1,I2889=0)),"?IN_FOCUS",IF(J2889&lt;=2,"?ACTIVATED",IF(J2889&lt;&gt;"","?FAMILIAR",IF(F2889="NEW",IF(ISNA(VLOOKUP(E2889,#REF!,1,FALSE())),"?TYPE_IDENTIFIABLE","?REFERENTIAL"),"_")))))</f>
        <v/>
      </c>
      <c r="H2889" s="23" t="str">
        <f t="shared" ca="1" si="312"/>
        <v/>
      </c>
      <c r="I2889" s="24" t="str">
        <f>IF(OR(E2889="",E2889="!!!",F2889="NEW"),"",INDEX(B$2:B2888,-1+SUMPRODUCT(MAX(ROW(E$2:E2888)*(E2889=E$2:E2888)))))</f>
        <v/>
      </c>
      <c r="J2889" s="24" t="str">
        <f ca="1">IF(OR(E2889="",E2889="!!!",F2889="NEW"),"",COUNTBLANK(OFFSET(A$1,,,SUMPRODUCT(MAX(ROW(E$2:E2889)*(E2889=E$2:E2889)))))-COUNTBLANK(OFFSET(A$1,,,SUMPRODUCT(MAX(ROW(E$1:E2888)*(E2=E$1:E2888))))))</f>
        <v/>
      </c>
      <c r="K2889" s="24" t="str">
        <f>IF(OR(E2889="",E2889="!!!",F2889="NEW"),"",INDEX(J$1:J2888,SUMPRODUCT(MAX(ROW(E$1:E2888)*(E2889=E$1:E2888)))))</f>
        <v/>
      </c>
      <c r="L2889" s="25"/>
    </row>
    <row r="2890" spans="1:12" x14ac:dyDescent="0.2">
      <c r="A2890" t="s">
        <v>821</v>
      </c>
      <c r="E2890" s="20" t="str">
        <f t="shared" si="313"/>
        <v/>
      </c>
      <c r="F2890" s="21" t="str">
        <f>IF(OR(E2890="",E2890="!!!"),"",IF(NOT(ISNA(VLOOKUP(E2890,E$1:E2889,1,FALSE()))),"OLD",IF(AND(E2890&lt;&gt;"",E2890&lt;&gt;"!!!"),"NEW","")))</f>
        <v/>
      </c>
      <c r="G2890" s="22" t="str">
        <f>IF(OR(E2890="",E2890="!!!"),"",IF(OR(J2890=0,AND(J2890=1,K2890=1),AND(J2890=1,I2890="SBJ"),AND(J2890=1,I2890=0)),"?IN_FOCUS",IF(J2890&lt;=2,"?ACTIVATED",IF(J2890&lt;&gt;"","?FAMILIAR",IF(F2890="NEW",IF(ISNA(VLOOKUP(E2890,#REF!,1,FALSE())),"?TYPE_IDENTIFIABLE","?REFERENTIAL"),"_")))))</f>
        <v/>
      </c>
      <c r="H2890" s="23" t="str">
        <f t="shared" ca="1" si="312"/>
        <v/>
      </c>
      <c r="I2890" s="24" t="str">
        <f>IF(OR(E2890="",E2890="!!!",F2890="NEW"),"",INDEX(B$2:B2889,-1+SUMPRODUCT(MAX(ROW(E$2:E2889)*(E2890=E$2:E2889)))))</f>
        <v/>
      </c>
      <c r="J2890" s="24" t="str">
        <f ca="1">IF(OR(E2890="",E2890="!!!",F2890="NEW"),"",COUNTBLANK(OFFSET(A$1,,,SUMPRODUCT(MAX(ROW(E$2:E2890)*(E2890=E$2:E2890)))))-COUNTBLANK(OFFSET(A$1,,,SUMPRODUCT(MAX(ROW(E$1:E2889)*(E2=E$1:E2889))))))</f>
        <v/>
      </c>
      <c r="K2890" s="24" t="str">
        <f>IF(OR(E2890="",E2890="!!!",F2890="NEW"),"",INDEX(J$1:J2889,SUMPRODUCT(MAX(ROW(E$1:E2889)*(E2890=E$1:E2889)))))</f>
        <v/>
      </c>
      <c r="L2890" s="25"/>
    </row>
    <row r="2892" spans="1:12" x14ac:dyDescent="0.2">
      <c r="A2892" t="s">
        <v>900</v>
      </c>
      <c r="E2892" s="20" t="str">
        <f>IF(D2892="?OLD","!!!","")</f>
        <v/>
      </c>
      <c r="F2892" s="21" t="str">
        <f>IF(OR(E2892="",E2892="!!!"),"",IF(NOT(ISNA(VLOOKUP(E2892,E$1:E2891,1,FALSE()))),"OLD",IF(AND(E2892&lt;&gt;"",E2892&lt;&gt;"!!!"),"NEW","")))</f>
        <v/>
      </c>
      <c r="G2892" s="22" t="str">
        <f>IF(OR(E2892="",E2892="!!!"),"",IF(OR(J2892=0,AND(J2892=1,K2892=1),AND(J2892=1,I2892="SBJ"),AND(J2892=1,I2892=0)),"?IN_FOCUS",IF(J2892&lt;=2,"?ACTIVATED",IF(J2892&lt;&gt;"","?FAMILIAR",IF(F2892="NEW",IF(ISNA(VLOOKUP(E2892,#REF!,1,FALSE())),"?TYPE_IDENTIFIABLE","?REFERENTIAL"),"_")))))</f>
        <v/>
      </c>
      <c r="H2892" s="23" t="str">
        <f ca="1">IF(J2892&lt;&gt;1,"",IF(I2892="SBJ","CB","?"))</f>
        <v/>
      </c>
      <c r="I2892" s="24" t="str">
        <f>IF(OR(E2892="",E2892="!!!",F2892="NEW"),"",INDEX(B$2:B2891,-1+SUMPRODUCT(MAX(ROW(E$2:E2891)*(E2892=E$2:E2891)))))</f>
        <v/>
      </c>
      <c r="J2892" s="24" t="str">
        <f ca="1">IF(OR(E2892="",E2892="!!!",F2892="NEW"),"",COUNTBLANK(OFFSET(A$1,,,SUMPRODUCT(MAX(ROW(E$2:E2892)*(E2892=E$2:E2892)))))-COUNTBLANK(OFFSET(A$1,,,SUMPRODUCT(MAX(ROW(E$1:E2891)*(E2=E$1:E2891))))))</f>
        <v/>
      </c>
      <c r="K2892" s="24" t="str">
        <f>IF(OR(E2892="",E2892="!!!",F2892="NEW"),"",INDEX(J$1:J2891,SUMPRODUCT(MAX(ROW(E$1:E2891)*(E2892=E$1:E2891)))))</f>
        <v/>
      </c>
      <c r="L2892" s="25"/>
    </row>
    <row r="2893" spans="1:12" x14ac:dyDescent="0.2">
      <c r="A2893" t="s">
        <v>1629</v>
      </c>
    </row>
    <row r="2894" spans="1:12" x14ac:dyDescent="0.2">
      <c r="A2894" t="s">
        <v>1034</v>
      </c>
      <c r="E2894" s="20" t="str">
        <f t="shared" ref="E2894:E2938" si="314">IF(D2894="?OLD","!!!","")</f>
        <v/>
      </c>
      <c r="F2894" s="21" t="str">
        <f>IF(OR(E2894="",E2894="!!!"),"",IF(NOT(ISNA(VLOOKUP(E2894,E$1:E2893,1,FALSE()))),"OLD",IF(AND(E2894&lt;&gt;"",E2894&lt;&gt;"!!!"),"NEW","")))</f>
        <v/>
      </c>
      <c r="G2894" s="22" t="str">
        <f>IF(OR(E2894="",E2894="!!!"),"",IF(OR(J2894=0,AND(J2894=1,K2894=1),AND(J2894=1,I2894="SBJ"),AND(J2894=1,I2894=0)),"?IN_FOCUS",IF(J2894&lt;=2,"?ACTIVATED",IF(J2894&lt;&gt;"","?FAMILIAR",IF(F2894="NEW",IF(ISNA(VLOOKUP(E2894,#REF!,1,FALSE())),"?TYPE_IDENTIFIABLE","?REFERENTIAL"),"_")))))</f>
        <v/>
      </c>
      <c r="H2894" s="23" t="str">
        <f t="shared" ref="H2894:H2938" ca="1" si="315">IF(J2894&lt;&gt;1,"",IF(I2894="SBJ","CB","?"))</f>
        <v/>
      </c>
      <c r="I2894" s="24" t="str">
        <f>IF(OR(E2894="",E2894="!!!",F2894="NEW"),"",INDEX(B$2:B2893,-1+SUMPRODUCT(MAX(ROW(E$2:E2893)*(E2894=E$2:E2893)))))</f>
        <v/>
      </c>
      <c r="J2894" s="24" t="str">
        <f ca="1">IF(OR(E2894="",E2894="!!!",F2894="NEW"),"",COUNTBLANK(OFFSET(A$1,,,SUMPRODUCT(MAX(ROW(E$2:E2894)*(E2894=E$2:E2894)))))-COUNTBLANK(OFFSET(A$1,,,SUMPRODUCT(MAX(ROW(E$1:E2893)*(E2=E$1:E2893))))))</f>
        <v/>
      </c>
      <c r="K2894" s="24" t="str">
        <f>IF(OR(E2894="",E2894="!!!",F2894="NEW"),"",INDEX(J$1:J2893,SUMPRODUCT(MAX(ROW(E$1:E2893)*(E2894=E$1:E2893)))))</f>
        <v/>
      </c>
      <c r="L2894" s="25"/>
    </row>
    <row r="2895" spans="1:12" x14ac:dyDescent="0.2">
      <c r="A2895" t="s">
        <v>1536</v>
      </c>
      <c r="E2895" s="20" t="str">
        <f t="shared" si="314"/>
        <v/>
      </c>
      <c r="F2895" s="21" t="str">
        <f>IF(OR(E2895="",E2895="!!!"),"",IF(NOT(ISNA(VLOOKUP(E2895,E$1:E2894,1,FALSE()))),"OLD",IF(AND(E2895&lt;&gt;"",E2895&lt;&gt;"!!!"),"NEW","")))</f>
        <v/>
      </c>
      <c r="G2895" s="22" t="str">
        <f>IF(OR(E2895="",E2895="!!!"),"",IF(OR(J2895=0,AND(J2895=1,K2895=1),AND(J2895=1,I2895="SBJ"),AND(J2895=1,I2895=0)),"?IN_FOCUS",IF(J2895&lt;=2,"?ACTIVATED",IF(J2895&lt;&gt;"","?FAMILIAR",IF(F2895="NEW",IF(ISNA(VLOOKUP(E2895,#REF!,1,FALSE())),"?TYPE_IDENTIFIABLE","?REFERENTIAL"),"_")))))</f>
        <v/>
      </c>
      <c r="H2895" s="23" t="str">
        <f t="shared" ca="1" si="315"/>
        <v/>
      </c>
      <c r="I2895" s="24" t="str">
        <f>IF(OR(E2895="",E2895="!!!",F2895="NEW"),"",INDEX(B$2:B2894,-1+SUMPRODUCT(MAX(ROW(E$2:E2894)*(E2895=E$2:E2894)))))</f>
        <v/>
      </c>
      <c r="J2895" s="24" t="str">
        <f ca="1">IF(OR(E2895="",E2895="!!!",F2895="NEW"),"",COUNTBLANK(OFFSET(A$1,,,SUMPRODUCT(MAX(ROW(E$2:E2895)*(E2895=E$2:E2895)))))-COUNTBLANK(OFFSET(A$1,,,SUMPRODUCT(MAX(ROW(E$1:E2894)*(E2=E$1:E2894))))))</f>
        <v/>
      </c>
      <c r="K2895" s="24" t="str">
        <f>IF(OR(E2895="",E2895="!!!",F2895="NEW"),"",INDEX(J$1:J2894,SUMPRODUCT(MAX(ROW(E$1:E2894)*(E2895=E$1:E2894)))))</f>
        <v/>
      </c>
      <c r="L2895" s="25"/>
    </row>
    <row r="2896" spans="1:12" x14ac:dyDescent="0.2">
      <c r="A2896" t="s">
        <v>866</v>
      </c>
      <c r="B2896" s="26" t="s">
        <v>804</v>
      </c>
      <c r="C2896" s="26" t="s">
        <v>805</v>
      </c>
      <c r="D2896" s="26" t="s">
        <v>806</v>
      </c>
      <c r="E2896" s="20"/>
      <c r="F2896" s="21" t="s">
        <v>1781</v>
      </c>
      <c r="G2896" s="22" t="str">
        <f>IF(OR(E2896="",E2896="!!!"),"",IF(OR(J2896=0,AND(J2896=1,K2896=1),AND(J2896=1,I2896="SBJ"),AND(J2896=1,I2896=0)),"?IN_FOCUS",IF(J2896&lt;=2,"?ACTIVATED",IF(J2896&lt;&gt;"","?FAMILIAR",IF(F2896="NEW",IF(ISNA(VLOOKUP(E2896,#REF!,1,FALSE())),"?TYPE_IDENTIFIABLE","?REFERENTIAL"),"_")))))</f>
        <v/>
      </c>
      <c r="H2896" s="23" t="str">
        <f t="shared" ca="1" si="315"/>
        <v/>
      </c>
      <c r="I2896" s="24" t="str">
        <f>IF(OR(E2896="",E2896="!!!",F2896="NEW"),"",INDEX(B$2:B2895,-1+SUMPRODUCT(MAX(ROW(E$2:E2895)*(E2896=E$2:E2895)))))</f>
        <v/>
      </c>
      <c r="J2896" s="24" t="str">
        <f ca="1">IF(OR(E2896="",E2896="!!!",F2896="NEW"),"",COUNTBLANK(OFFSET(A$1,,,SUMPRODUCT(MAX(ROW(E$2:E2896)*(E2896=E$2:E2896)))))-COUNTBLANK(OFFSET(A$1,,,SUMPRODUCT(MAX(ROW(E$1:E2895)*(E2=E$1:E2895))))))</f>
        <v/>
      </c>
      <c r="K2896" s="24" t="str">
        <f>IF(OR(E2896="",E2896="!!!",F2896="NEW"),"",INDEX(J$1:J2895,SUMPRODUCT(MAX(ROW(E$1:E2895)*(E2896=E$1:E2895)))))</f>
        <v/>
      </c>
      <c r="L2896" s="25"/>
    </row>
    <row r="2897" spans="1:12" x14ac:dyDescent="0.2">
      <c r="A2897" t="s">
        <v>681</v>
      </c>
      <c r="E2897" s="20" t="str">
        <f t="shared" si="314"/>
        <v/>
      </c>
      <c r="F2897" s="21" t="str">
        <f>IF(OR(E2897="",E2897="!!!"),"",IF(NOT(ISNA(VLOOKUP(E2897,E$1:E2896,1,FALSE()))),"OLD",IF(AND(E2897&lt;&gt;"",E2897&lt;&gt;"!!!"),"NEW","")))</f>
        <v/>
      </c>
      <c r="G2897" s="22" t="str">
        <f>IF(OR(E2897="",E2897="!!!"),"",IF(OR(J2897=0,AND(J2897=1,K2897=1),AND(J2897=1,I2897="SBJ"),AND(J2897=1,I2897=0)),"?IN_FOCUS",IF(J2897&lt;=2,"?ACTIVATED",IF(J2897&lt;&gt;"","?FAMILIAR",IF(F2897="NEW",IF(ISNA(VLOOKUP(E2897,#REF!,1,FALSE())),"?TYPE_IDENTIFIABLE","?REFERENTIAL"),"_")))))</f>
        <v/>
      </c>
      <c r="H2897" s="23" t="str">
        <f t="shared" ca="1" si="315"/>
        <v/>
      </c>
      <c r="I2897" s="24" t="str">
        <f>IF(OR(E2897="",E2897="!!!",F2897="NEW"),"",INDEX(B$2:B2896,-1+SUMPRODUCT(MAX(ROW(E$2:E2896)*(E2897=E$2:E2896)))))</f>
        <v/>
      </c>
      <c r="J2897" s="24" t="str">
        <f ca="1">IF(OR(E2897="",E2897="!!!",F2897="NEW"),"",COUNTBLANK(OFFSET(A$1,,,SUMPRODUCT(MAX(ROW(E$2:E2897)*(E2897=E$2:E2897)))))-COUNTBLANK(OFFSET(A$1,,,SUMPRODUCT(MAX(ROW(E$1:E2896)*(E2=E$1:E2896))))))</f>
        <v/>
      </c>
      <c r="K2897" s="24" t="str">
        <f>IF(OR(E2897="",E2897="!!!",F2897="NEW"),"",INDEX(J$1:J2896,SUMPRODUCT(MAX(ROW(E$1:E2896)*(E2897=E$1:E2896)))))</f>
        <v/>
      </c>
      <c r="L2897" s="25"/>
    </row>
    <row r="2898" spans="1:12" x14ac:dyDescent="0.2">
      <c r="A2898" t="s">
        <v>1577</v>
      </c>
      <c r="B2898" s="26" t="s">
        <v>810</v>
      </c>
      <c r="C2898" s="26" t="s">
        <v>987</v>
      </c>
      <c r="D2898" s="26" t="s">
        <v>806</v>
      </c>
      <c r="E2898" s="20" t="s">
        <v>1806</v>
      </c>
      <c r="F2898" s="21" t="str">
        <f>IF(OR(E2898="",E2898="!!!"),"",IF(NOT(ISNA(VLOOKUP(E2898,E$1:E2897,1,FALSE()))),"OLD",IF(AND(E2898&lt;&gt;"",E2898&lt;&gt;"!!!"),"NEW","")))</f>
        <v>OLD</v>
      </c>
      <c r="G2898" s="22" t="s">
        <v>1823</v>
      </c>
      <c r="H2898" s="23" t="str">
        <f t="shared" ca="1" si="315"/>
        <v/>
      </c>
      <c r="I2898" s="24" t="str">
        <f>IF(OR(E2898="",E2898="!!!",F2898="NEW"),"",INDEX(B$2:B2897,-1+SUMPRODUCT(MAX(ROW(E$2:E2897)*(E2898=E$2:E2897)))))</f>
        <v>SBJ</v>
      </c>
      <c r="J2898" s="24">
        <f ca="1">IF(OR(E2898="",E2898="!!!",F2898="NEW"),"",COUNTBLANK(OFFSET(A$1,,,SUMPRODUCT(MAX(ROW(E$2:E2898)*(E2898=E$2:E2898)))))-COUNTBLANK(OFFSET(A$1,,,SUMPRODUCT(MAX(ROW(E$1:E2897)*(E2=E$1:E2897))))))</f>
        <v>0</v>
      </c>
      <c r="K2898" s="24" t="str">
        <f ca="1">IF(OR(E2898="",E2898="!!!",F2898="NEW"),"",INDEX(J$1:J2897,SUMPRODUCT(MAX(ROW(E$1:E2897)*(E2898=E$1:E2897)))))</f>
        <v/>
      </c>
      <c r="L2898" s="25"/>
    </row>
    <row r="2899" spans="1:12" x14ac:dyDescent="0.2">
      <c r="A2899" t="s">
        <v>1018</v>
      </c>
      <c r="E2899" s="20" t="str">
        <f t="shared" si="314"/>
        <v/>
      </c>
      <c r="F2899" s="21" t="str">
        <f>IF(OR(E2899="",E2899="!!!"),"",IF(NOT(ISNA(VLOOKUP(E2899,E$1:E2898,1,FALSE()))),"OLD",IF(AND(E2899&lt;&gt;"",E2899&lt;&gt;"!!!"),"NEW","")))</f>
        <v/>
      </c>
      <c r="G2899" s="22" t="str">
        <f>IF(OR(E2899="",E2899="!!!"),"",IF(OR(J2899=0,AND(J2899=1,K2899=1),AND(J2899=1,I2899="SBJ"),AND(J2899=1,I2899=0)),"?IN_FOCUS",IF(J2899&lt;=2,"?ACTIVATED",IF(J2899&lt;&gt;"","?FAMILIAR",IF(F2899="NEW",IF(ISNA(VLOOKUP(E2899,#REF!,1,FALSE())),"?TYPE_IDENTIFIABLE","?REFERENTIAL"),"_")))))</f>
        <v/>
      </c>
      <c r="H2899" s="23" t="str">
        <f t="shared" ca="1" si="315"/>
        <v/>
      </c>
      <c r="I2899" s="24" t="str">
        <f>IF(OR(E2899="",E2899="!!!",F2899="NEW"),"",INDEX(B$2:B2898,-1+SUMPRODUCT(MAX(ROW(E$2:E2898)*(E2899=E$2:E2898)))))</f>
        <v/>
      </c>
      <c r="J2899" s="24" t="str">
        <f ca="1">IF(OR(E2899="",E2899="!!!",F2899="NEW"),"",COUNTBLANK(OFFSET(A$1,,,SUMPRODUCT(MAX(ROW(E$2:E2899)*(E2899=E$2:E2899)))))-COUNTBLANK(OFFSET(A$1,,,SUMPRODUCT(MAX(ROW(E$1:E2898)*(E2=E$1:E2898))))))</f>
        <v/>
      </c>
      <c r="K2899" s="24" t="str">
        <f>IF(OR(E2899="",E2899="!!!",F2899="NEW"),"",INDEX(J$1:J2898,SUMPRODUCT(MAX(ROW(E$1:E2898)*(E2899=E$1:E2898)))))</f>
        <v/>
      </c>
      <c r="L2899" s="25"/>
    </row>
    <row r="2900" spans="1:12" x14ac:dyDescent="0.2">
      <c r="A2900" t="s">
        <v>845</v>
      </c>
      <c r="E2900" s="20" t="str">
        <f t="shared" si="314"/>
        <v/>
      </c>
      <c r="F2900" s="21" t="str">
        <f>IF(OR(E2900="",E2900="!!!"),"",IF(NOT(ISNA(VLOOKUP(E2900,E$1:E2899,1,FALSE()))),"OLD",IF(AND(E2900&lt;&gt;"",E2900&lt;&gt;"!!!"),"NEW","")))</f>
        <v/>
      </c>
      <c r="G2900" s="22" t="str">
        <f>IF(OR(E2900="",E2900="!!!"),"",IF(OR(J2900=0,AND(J2900=1,K2900=1),AND(J2900=1,I2900="SBJ"),AND(J2900=1,I2900=0)),"?IN_FOCUS",IF(J2900&lt;=2,"?ACTIVATED",IF(J2900&lt;&gt;"","?FAMILIAR",IF(F2900="NEW",IF(ISNA(VLOOKUP(E2900,#REF!,1,FALSE())),"?TYPE_IDENTIFIABLE","?REFERENTIAL"),"_")))))</f>
        <v/>
      </c>
      <c r="H2900" s="23" t="str">
        <f t="shared" ca="1" si="315"/>
        <v/>
      </c>
      <c r="I2900" s="24" t="str">
        <f>IF(OR(E2900="",E2900="!!!",F2900="NEW"),"",INDEX(B$2:B2899,-1+SUMPRODUCT(MAX(ROW(E$2:E2899)*(E2900=E$2:E2899)))))</f>
        <v/>
      </c>
      <c r="J2900" s="24" t="str">
        <f ca="1">IF(OR(E2900="",E2900="!!!",F2900="NEW"),"",COUNTBLANK(OFFSET(A$1,,,SUMPRODUCT(MAX(ROW(E$2:E2900)*(E2900=E$2:E2900)))))-COUNTBLANK(OFFSET(A$1,,,SUMPRODUCT(MAX(ROW(E$1:E2899)*(E2=E$1:E2899))))))</f>
        <v/>
      </c>
      <c r="K2900" s="24" t="str">
        <f>IF(OR(E2900="",E2900="!!!",F2900="NEW"),"",INDEX(J$1:J2899,SUMPRODUCT(MAX(ROW(E$1:E2899)*(E2900=E$1:E2899)))))</f>
        <v/>
      </c>
      <c r="L2900" s="25"/>
    </row>
    <row r="2901" spans="1:12" x14ac:dyDescent="0.2">
      <c r="A2901" t="s">
        <v>1573</v>
      </c>
      <c r="B2901" s="26" t="s">
        <v>804</v>
      </c>
      <c r="C2901" s="26" t="s">
        <v>847</v>
      </c>
      <c r="D2901" s="26" t="s">
        <v>806</v>
      </c>
      <c r="E2901" s="20" t="s">
        <v>1792</v>
      </c>
      <c r="F2901" s="21" t="str">
        <f>IF(OR(E2901="",E2901="!!!"),"",IF(NOT(ISNA(VLOOKUP(E2901,E$1:E2900,1,FALSE()))),"OLD",IF(AND(E2901&lt;&gt;"",E2901&lt;&gt;"!!!"),"NEW","")))</f>
        <v>OLD</v>
      </c>
      <c r="G2901" s="22" t="s">
        <v>1823</v>
      </c>
      <c r="H2901" s="23" t="str">
        <f t="shared" ca="1" si="315"/>
        <v/>
      </c>
      <c r="I2901" s="24" t="str">
        <f>IF(OR(E2901="",E2901="!!!",F2901="NEW"),"",INDEX(B$2:B2900,-1+SUMPRODUCT(MAX(ROW(E$2:E2900)*(E2901=E$2:E2900)))))</f>
        <v>SBJ_2</v>
      </c>
      <c r="J2901" s="24">
        <f ca="1">IF(OR(E2901="",E2901="!!!",F2901="NEW"),"",COUNTBLANK(OFFSET(A$1,,,SUMPRODUCT(MAX(ROW(E$2:E2901)*(E2901=E$2:E2901)))))-COUNTBLANK(OFFSET(A$1,,,SUMPRODUCT(MAX(ROW(E$1:E2900)*(E2=E$1:E2900))))))</f>
        <v>0</v>
      </c>
      <c r="K2901" s="24">
        <f ca="1">IF(OR(E2901="",E2901="!!!",F2901="NEW"),"",INDEX(J$1:J2900,SUMPRODUCT(MAX(ROW(E$1:E2900)*(E2901=E$1:E2900)))))</f>
        <v>0</v>
      </c>
      <c r="L2901" s="25"/>
    </row>
    <row r="2902" spans="1:12" x14ac:dyDescent="0.2">
      <c r="A2902" t="s">
        <v>1060</v>
      </c>
      <c r="B2902" s="26" t="s">
        <v>891</v>
      </c>
      <c r="E2902" s="20" t="str">
        <f t="shared" si="314"/>
        <v/>
      </c>
      <c r="F2902" s="21" t="str">
        <f>IF(OR(E2902="",E2902="!!!"),"",IF(NOT(ISNA(VLOOKUP(E2902,E$1:E2901,1,FALSE()))),"OLD",IF(AND(E2902&lt;&gt;"",E2902&lt;&gt;"!!!"),"NEW","")))</f>
        <v/>
      </c>
      <c r="G2902" s="22" t="str">
        <f>IF(OR(E2902="",E2902="!!!"),"",IF(OR(J2902=0,AND(J2902=1,K2902=1),AND(J2902=1,I2902="SBJ"),AND(J2902=1,I2902=0)),"?IN_FOCUS",IF(J2902&lt;=2,"?ACTIVATED",IF(J2902&lt;&gt;"","?FAMILIAR",IF(F2902="NEW",IF(ISNA(VLOOKUP(E2902,#REF!,1,FALSE())),"?TYPE_IDENTIFIABLE","?REFERENTIAL"),"_")))))</f>
        <v/>
      </c>
      <c r="H2902" s="23" t="str">
        <f t="shared" ca="1" si="315"/>
        <v/>
      </c>
      <c r="I2902" s="24" t="str">
        <f>IF(OR(E2902="",E2902="!!!",F2902="NEW"),"",INDEX(B$2:B2901,-1+SUMPRODUCT(MAX(ROW(E$2:E2901)*(E2902=E$2:E2901)))))</f>
        <v/>
      </c>
      <c r="J2902" s="24" t="str">
        <f ca="1">IF(OR(E2902="",E2902="!!!",F2902="NEW"),"",COUNTBLANK(OFFSET(A$1,,,SUMPRODUCT(MAX(ROW(E$2:E2902)*(E2902=E$2:E2902)))))-COUNTBLANK(OFFSET(A$1,,,SUMPRODUCT(MAX(ROW(E$1:E2901)*(E2=E$1:E2901))))))</f>
        <v/>
      </c>
      <c r="K2902" s="24" t="str">
        <f>IF(OR(E2902="",E2902="!!!",F2902="NEW"),"",INDEX(J$1:J2901,SUMPRODUCT(MAX(ROW(E$1:E2901)*(E2902=E$1:E2901)))))</f>
        <v/>
      </c>
      <c r="L2902" s="25"/>
    </row>
    <row r="2903" spans="1:12" x14ac:dyDescent="0.2">
      <c r="A2903" t="s">
        <v>1630</v>
      </c>
      <c r="E2903" s="20" t="str">
        <f t="shared" si="314"/>
        <v/>
      </c>
      <c r="F2903" s="21" t="str">
        <f>IF(OR(E2903="",E2903="!!!"),"",IF(NOT(ISNA(VLOOKUP(E2903,E$1:E2902,1,FALSE()))),"OLD",IF(AND(E2903&lt;&gt;"",E2903&lt;&gt;"!!!"),"NEW","")))</f>
        <v/>
      </c>
      <c r="G2903" s="22" t="str">
        <f>IF(OR(E2903="",E2903="!!!"),"",IF(OR(J2903=0,AND(J2903=1,K2903=1),AND(J2903=1,I2903="SBJ"),AND(J2903=1,I2903=0)),"?IN_FOCUS",IF(J2903&lt;=2,"?ACTIVATED",IF(J2903&lt;&gt;"","?FAMILIAR",IF(F2903="NEW",IF(ISNA(VLOOKUP(E2903,#REF!,1,FALSE())),"?TYPE_IDENTIFIABLE","?REFERENTIAL"),"_")))))</f>
        <v/>
      </c>
      <c r="H2903" s="23" t="str">
        <f t="shared" ca="1" si="315"/>
        <v/>
      </c>
      <c r="I2903" s="24" t="str">
        <f>IF(OR(E2903="",E2903="!!!",F2903="NEW"),"",INDEX(B$2:B2902,-1+SUMPRODUCT(MAX(ROW(E$2:E2902)*(E2903=E$2:E2902)))))</f>
        <v/>
      </c>
      <c r="J2903" s="24" t="str">
        <f ca="1">IF(OR(E2903="",E2903="!!!",F2903="NEW"),"",COUNTBLANK(OFFSET(A$1,,,SUMPRODUCT(MAX(ROW(E$2:E2903)*(E2903=E$2:E2903)))))-COUNTBLANK(OFFSET(A$1,,,SUMPRODUCT(MAX(ROW(E$1:E2902)*(E2=E$1:E2902))))))</f>
        <v/>
      </c>
      <c r="K2903" s="24" t="str">
        <f>IF(OR(E2903="",E2903="!!!",F2903="NEW"),"",INDEX(J$1:J2902,SUMPRODUCT(MAX(ROW(E$1:E2902)*(E2903=E$1:E2902)))))</f>
        <v/>
      </c>
      <c r="L2903" s="25"/>
    </row>
    <row r="2904" spans="1:12" x14ac:dyDescent="0.2">
      <c r="A2904" t="s">
        <v>1631</v>
      </c>
      <c r="E2904" s="20" t="str">
        <f t="shared" si="314"/>
        <v/>
      </c>
      <c r="F2904" s="21" t="str">
        <f>IF(OR(E2904="",E2904="!!!"),"",IF(NOT(ISNA(VLOOKUP(E2904,E$1:E2903,1,FALSE()))),"OLD",IF(AND(E2904&lt;&gt;"",E2904&lt;&gt;"!!!"),"NEW","")))</f>
        <v/>
      </c>
      <c r="G2904" s="22" t="str">
        <f>IF(OR(E2904="",E2904="!!!"),"",IF(OR(J2904=0,AND(J2904=1,K2904=1),AND(J2904=1,I2904="SBJ"),AND(J2904=1,I2904=0)),"?IN_FOCUS",IF(J2904&lt;=2,"?ACTIVATED",IF(J2904&lt;&gt;"","?FAMILIAR",IF(F2904="NEW",IF(ISNA(VLOOKUP(E2904,#REF!,1,FALSE())),"?TYPE_IDENTIFIABLE","?REFERENTIAL"),"_")))))</f>
        <v/>
      </c>
      <c r="H2904" s="23" t="str">
        <f t="shared" ca="1" si="315"/>
        <v/>
      </c>
      <c r="I2904" s="24" t="str">
        <f>IF(OR(E2904="",E2904="!!!",F2904="NEW"),"",INDEX(B$2:B2903,-1+SUMPRODUCT(MAX(ROW(E$2:E2903)*(E2904=E$2:E2903)))))</f>
        <v/>
      </c>
      <c r="J2904" s="24" t="str">
        <f ca="1">IF(OR(E2904="",E2904="!!!",F2904="NEW"),"",COUNTBLANK(OFFSET(A$1,,,SUMPRODUCT(MAX(ROW(E$2:E2904)*(E2904=E$2:E2904)))))-COUNTBLANK(OFFSET(A$1,,,SUMPRODUCT(MAX(ROW(E$1:E2903)*(E2=E$1:E2903))))))</f>
        <v/>
      </c>
      <c r="K2904" s="24" t="str">
        <f>IF(OR(E2904="",E2904="!!!",F2904="NEW"),"",INDEX(J$1:J2903,SUMPRODUCT(MAX(ROW(E$1:E2903)*(E2904=E$1:E2903)))))</f>
        <v/>
      </c>
      <c r="L2904" s="25"/>
    </row>
    <row r="2905" spans="1:12" x14ac:dyDescent="0.2">
      <c r="A2905" t="s">
        <v>845</v>
      </c>
      <c r="E2905" s="20" t="str">
        <f t="shared" si="314"/>
        <v/>
      </c>
      <c r="F2905" s="21" t="str">
        <f>IF(OR(E2905="",E2905="!!!"),"",IF(NOT(ISNA(VLOOKUP(E2905,E$1:E2904,1,FALSE()))),"OLD",IF(AND(E2905&lt;&gt;"",E2905&lt;&gt;"!!!"),"NEW","")))</f>
        <v/>
      </c>
      <c r="G2905" s="22" t="str">
        <f>IF(OR(E2905="",E2905="!!!"),"",IF(OR(J2905=0,AND(J2905=1,K2905=1),AND(J2905=1,I2905="SBJ"),AND(J2905=1,I2905=0)),"?IN_FOCUS",IF(J2905&lt;=2,"?ACTIVATED",IF(J2905&lt;&gt;"","?FAMILIAR",IF(F2905="NEW",IF(ISNA(VLOOKUP(E2905,#REF!,1,FALSE())),"?TYPE_IDENTIFIABLE","?REFERENTIAL"),"_")))))</f>
        <v/>
      </c>
      <c r="H2905" s="23" t="str">
        <f t="shared" ca="1" si="315"/>
        <v/>
      </c>
      <c r="I2905" s="24" t="str">
        <f>IF(OR(E2905="",E2905="!!!",F2905="NEW"),"",INDEX(B$2:B2904,-1+SUMPRODUCT(MAX(ROW(E$2:E2904)*(E2905=E$2:E2904)))))</f>
        <v/>
      </c>
      <c r="J2905" s="24" t="str">
        <f ca="1">IF(OR(E2905="",E2905="!!!",F2905="NEW"),"",COUNTBLANK(OFFSET(A$1,,,SUMPRODUCT(MAX(ROW(E$2:E2905)*(E2905=E$2:E2905)))))-COUNTBLANK(OFFSET(A$1,,,SUMPRODUCT(MAX(ROW(E$1:E2904)*(E2=E$1:E2904))))))</f>
        <v/>
      </c>
      <c r="K2905" s="24" t="str">
        <f>IF(OR(E2905="",E2905="!!!",F2905="NEW"),"",INDEX(J$1:J2904,SUMPRODUCT(MAX(ROW(E$1:E2904)*(E2905=E$1:E2904)))))</f>
        <v/>
      </c>
      <c r="L2905" s="25"/>
    </row>
    <row r="2906" spans="1:12" x14ac:dyDescent="0.2">
      <c r="A2906" t="s">
        <v>966</v>
      </c>
      <c r="B2906" s="26" t="s">
        <v>871</v>
      </c>
      <c r="C2906" s="26" t="s">
        <v>847</v>
      </c>
      <c r="D2906" s="26" t="s">
        <v>806</v>
      </c>
      <c r="E2906" s="20" t="s">
        <v>966</v>
      </c>
      <c r="F2906" s="21" t="str">
        <f>IF(OR(E2906="",E2906="!!!"),"",IF(NOT(ISNA(VLOOKUP(E2906,E$1:E2905,1,FALSE()))),"OLD",IF(AND(E2906&lt;&gt;"",E2906&lt;&gt;"!!!"),"NEW","")))</f>
        <v>OLD</v>
      </c>
      <c r="G2906" s="22" t="s">
        <v>1820</v>
      </c>
      <c r="H2906" s="23" t="str">
        <f t="shared" ca="1" si="315"/>
        <v/>
      </c>
      <c r="I2906" s="24" t="str">
        <f>IF(OR(E2906="",E2906="!!!",F2906="NEW"),"",INDEX(B$2:B2905,-1+SUMPRODUCT(MAX(ROW(E$2:E2905)*(E2906=E$2:E2905)))))</f>
        <v>other_2</v>
      </c>
      <c r="J2906" s="24">
        <f ca="1">IF(OR(E2906="",E2906="!!!",F2906="NEW"),"",COUNTBLANK(OFFSET(A$1,,,SUMPRODUCT(MAX(ROW(E$2:E2906)*(E2906=E$2:E2906)))))-COUNTBLANK(OFFSET(A$1,,,SUMPRODUCT(MAX(ROW(E$1:E2905)*(E2=E$1:E2905))))))</f>
        <v>0</v>
      </c>
      <c r="K2906" s="24">
        <f ca="1">IF(OR(E2906="",E2906="!!!",F2906="NEW"),"",INDEX(J$1:J2905,SUMPRODUCT(MAX(ROW(E$1:E2905)*(E2906=E$1:E2905)))))</f>
        <v>0</v>
      </c>
      <c r="L2906" s="25"/>
    </row>
    <row r="2907" spans="1:12" x14ac:dyDescent="0.2">
      <c r="A2907" t="s">
        <v>812</v>
      </c>
      <c r="E2907" s="20" t="str">
        <f t="shared" si="314"/>
        <v/>
      </c>
      <c r="F2907" s="21" t="str">
        <f>IF(OR(E2907="",E2907="!!!"),"",IF(NOT(ISNA(VLOOKUP(E2907,E$1:E2906,1,FALSE()))),"OLD",IF(AND(E2907&lt;&gt;"",E2907&lt;&gt;"!!!"),"NEW","")))</f>
        <v/>
      </c>
      <c r="G2907" s="22" t="str">
        <f>IF(OR(E2907="",E2907="!!!"),"",IF(OR(J2907=0,AND(J2907=1,K2907=1),AND(J2907=1,I2907="SBJ"),AND(J2907=1,I2907=0)),"?IN_FOCUS",IF(J2907&lt;=2,"?ACTIVATED",IF(J2907&lt;&gt;"","?FAMILIAR",IF(F2907="NEW",IF(ISNA(VLOOKUP(E2907,#REF!,1,FALSE())),"?TYPE_IDENTIFIABLE","?REFERENTIAL"),"_")))))</f>
        <v/>
      </c>
      <c r="H2907" s="23" t="str">
        <f t="shared" ca="1" si="315"/>
        <v/>
      </c>
      <c r="I2907" s="24" t="str">
        <f>IF(OR(E2907="",E2907="!!!",F2907="NEW"),"",INDEX(B$2:B2906,-1+SUMPRODUCT(MAX(ROW(E$2:E2906)*(E2907=E$2:E2906)))))</f>
        <v/>
      </c>
      <c r="J2907" s="24" t="str">
        <f ca="1">IF(OR(E2907="",E2907="!!!",F2907="NEW"),"",COUNTBLANK(OFFSET(A$1,,,SUMPRODUCT(MAX(ROW(E$2:E2907)*(E2907=E$2:E2907)))))-COUNTBLANK(OFFSET(A$1,,,SUMPRODUCT(MAX(ROW(E$1:E2906)*(E2=E$1:E2906))))))</f>
        <v/>
      </c>
      <c r="K2907" s="24" t="str">
        <f>IF(OR(E2907="",E2907="!!!",F2907="NEW"),"",INDEX(J$1:J2906,SUMPRODUCT(MAX(ROW(E$1:E2906)*(E2907=E$1:E2906)))))</f>
        <v/>
      </c>
      <c r="L2907" s="25"/>
    </row>
    <row r="2908" spans="1:12" x14ac:dyDescent="0.2">
      <c r="A2908" t="s">
        <v>868</v>
      </c>
      <c r="E2908" s="20" t="str">
        <f t="shared" si="314"/>
        <v/>
      </c>
      <c r="F2908" s="21" t="str">
        <f>IF(OR(E2908="",E2908="!!!"),"",IF(NOT(ISNA(VLOOKUP(E2908,E$1:E2907,1,FALSE()))),"OLD",IF(AND(E2908&lt;&gt;"",E2908&lt;&gt;"!!!"),"NEW","")))</f>
        <v/>
      </c>
      <c r="G2908" s="22" t="str">
        <f>IF(OR(E2908="",E2908="!!!"),"",IF(OR(J2908=0,AND(J2908=1,K2908=1),AND(J2908=1,I2908="SBJ"),AND(J2908=1,I2908=0)),"?IN_FOCUS",IF(J2908&lt;=2,"?ACTIVATED",IF(J2908&lt;&gt;"","?FAMILIAR",IF(F2908="NEW",IF(ISNA(VLOOKUP(E2908,#REF!,1,FALSE())),"?TYPE_IDENTIFIABLE","?REFERENTIAL"),"_")))))</f>
        <v/>
      </c>
      <c r="H2908" s="23" t="str">
        <f t="shared" ca="1" si="315"/>
        <v/>
      </c>
      <c r="I2908" s="24" t="str">
        <f>IF(OR(E2908="",E2908="!!!",F2908="NEW"),"",INDEX(B$2:B2907,-1+SUMPRODUCT(MAX(ROW(E$2:E2907)*(E2908=E$2:E2907)))))</f>
        <v/>
      </c>
      <c r="J2908" s="24" t="str">
        <f ca="1">IF(OR(E2908="",E2908="!!!",F2908="NEW"),"",COUNTBLANK(OFFSET(A$1,,,SUMPRODUCT(MAX(ROW(E$2:E2908)*(E2908=E$2:E2908)))))-COUNTBLANK(OFFSET(A$1,,,SUMPRODUCT(MAX(ROW(E$1:E2907)*(E2=E$1:E2907))))))</f>
        <v/>
      </c>
      <c r="K2908" s="24" t="str">
        <f>IF(OR(E2908="",E2908="!!!",F2908="NEW"),"",INDEX(J$1:J2907,SUMPRODUCT(MAX(ROW(E$1:E2907)*(E2908=E$1:E2907)))))</f>
        <v/>
      </c>
      <c r="L2908" s="25"/>
    </row>
    <row r="2909" spans="1:12" x14ac:dyDescent="0.2">
      <c r="A2909" t="s">
        <v>1524</v>
      </c>
      <c r="B2909" s="26" t="s">
        <v>899</v>
      </c>
      <c r="C2909" s="26" t="s">
        <v>814</v>
      </c>
      <c r="E2909" s="20" t="str">
        <f t="shared" si="314"/>
        <v/>
      </c>
      <c r="F2909" s="21" t="str">
        <f>IF(OR(E2909="",E2909="!!!"),"",IF(NOT(ISNA(VLOOKUP(E2909,E$1:E2908,1,FALSE()))),"OLD",IF(AND(E2909&lt;&gt;"",E2909&lt;&gt;"!!!"),"NEW","")))</f>
        <v/>
      </c>
      <c r="G2909" s="22" t="str">
        <f>IF(OR(E2909="",E2909="!!!"),"",IF(OR(J2909=0,AND(J2909=1,K2909=1),AND(J2909=1,I2909="SBJ"),AND(J2909=1,I2909=0)),"?IN_FOCUS",IF(J2909&lt;=2,"?ACTIVATED",IF(J2909&lt;&gt;"","?FAMILIAR",IF(F2909="NEW",IF(ISNA(VLOOKUP(E2909,#REF!,1,FALSE())),"?TYPE_IDENTIFIABLE","?REFERENTIAL"),"_")))))</f>
        <v/>
      </c>
      <c r="H2909" s="23" t="str">
        <f t="shared" ca="1" si="315"/>
        <v/>
      </c>
      <c r="I2909" s="24" t="str">
        <f>IF(OR(E2909="",E2909="!!!",F2909="NEW"),"",INDEX(B$2:B2908,-1+SUMPRODUCT(MAX(ROW(E$2:E2908)*(E2909=E$2:E2908)))))</f>
        <v/>
      </c>
      <c r="J2909" s="24" t="str">
        <f ca="1">IF(OR(E2909="",E2909="!!!",F2909="NEW"),"",COUNTBLANK(OFFSET(A$1,,,SUMPRODUCT(MAX(ROW(E$2:E2909)*(E2909=E$2:E2909)))))-COUNTBLANK(OFFSET(A$1,,,SUMPRODUCT(MAX(ROW(E$1:E2908)*(E2=E$1:E2908))))))</f>
        <v/>
      </c>
      <c r="K2909" s="24" t="str">
        <f>IF(OR(E2909="",E2909="!!!",F2909="NEW"),"",INDEX(J$1:J2908,SUMPRODUCT(MAX(ROW(E$1:E2908)*(E2909=E$1:E2908)))))</f>
        <v/>
      </c>
      <c r="L2909" s="25"/>
    </row>
    <row r="2910" spans="1:12" x14ac:dyDescent="0.2">
      <c r="A2910" t="s">
        <v>802</v>
      </c>
      <c r="E2910" s="20" t="str">
        <f t="shared" si="314"/>
        <v/>
      </c>
      <c r="F2910" s="21" t="str">
        <f>IF(OR(E2910="",E2910="!!!"),"",IF(NOT(ISNA(VLOOKUP(E2910,E$1:E2909,1,FALSE()))),"OLD",IF(AND(E2910&lt;&gt;"",E2910&lt;&gt;"!!!"),"NEW","")))</f>
        <v/>
      </c>
      <c r="G2910" s="22" t="str">
        <f>IF(OR(E2910="",E2910="!!!"),"",IF(OR(J2910=0,AND(J2910=1,K2910=1),AND(J2910=1,I2910="SBJ"),AND(J2910=1,I2910=0)),"?IN_FOCUS",IF(J2910&lt;=2,"?ACTIVATED",IF(J2910&lt;&gt;"","?FAMILIAR",IF(F2910="NEW",IF(ISNA(VLOOKUP(E2910,#REF!,1,FALSE())),"?TYPE_IDENTIFIABLE","?REFERENTIAL"),"_")))))</f>
        <v/>
      </c>
      <c r="H2910" s="23" t="str">
        <f t="shared" ca="1" si="315"/>
        <v/>
      </c>
      <c r="I2910" s="24" t="str">
        <f>IF(OR(E2910="",E2910="!!!",F2910="NEW"),"",INDEX(B$2:B2909,-1+SUMPRODUCT(MAX(ROW(E$2:E2909)*(E2910=E$2:E2909)))))</f>
        <v/>
      </c>
      <c r="J2910" s="24" t="str">
        <f ca="1">IF(OR(E2910="",E2910="!!!",F2910="NEW"),"",COUNTBLANK(OFFSET(A$1,,,SUMPRODUCT(MAX(ROW(E$2:E2910)*(E2910=E$2:E2910)))))-COUNTBLANK(OFFSET(A$1,,,SUMPRODUCT(MAX(ROW(E$1:E2909)*(E2=E$1:E2909))))))</f>
        <v/>
      </c>
      <c r="K2910" s="24" t="str">
        <f>IF(OR(E2910="",E2910="!!!",F2910="NEW"),"",INDEX(J$1:J2909,SUMPRODUCT(MAX(ROW(E$1:E2909)*(E2910=E$1:E2909)))))</f>
        <v/>
      </c>
      <c r="L2910" s="25"/>
    </row>
    <row r="2911" spans="1:12" x14ac:dyDescent="0.2">
      <c r="A2911" t="s">
        <v>1632</v>
      </c>
      <c r="B2911" s="26" t="s">
        <v>944</v>
      </c>
      <c r="C2911" s="26" t="s">
        <v>1633</v>
      </c>
      <c r="E2911" s="20" t="str">
        <f t="shared" si="314"/>
        <v/>
      </c>
      <c r="F2911" s="21" t="str">
        <f>IF(OR(E2911="",E2911="!!!"),"",IF(NOT(ISNA(VLOOKUP(E2911,E$1:E2910,1,FALSE()))),"OLD",IF(AND(E2911&lt;&gt;"",E2911&lt;&gt;"!!!"),"NEW","")))</f>
        <v/>
      </c>
      <c r="G2911" s="22" t="str">
        <f>IF(OR(E2911="",E2911="!!!"),"",IF(OR(J2911=0,AND(J2911=1,K2911=1),AND(J2911=1,I2911="SBJ"),AND(J2911=1,I2911=0)),"?IN_FOCUS",IF(J2911&lt;=2,"?ACTIVATED",IF(J2911&lt;&gt;"","?FAMILIAR",IF(F2911="NEW",IF(ISNA(VLOOKUP(E2911,#REF!,1,FALSE())),"?TYPE_IDENTIFIABLE","?REFERENTIAL"),"_")))))</f>
        <v/>
      </c>
      <c r="H2911" s="23" t="str">
        <f t="shared" ca="1" si="315"/>
        <v/>
      </c>
      <c r="I2911" s="24" t="str">
        <f>IF(OR(E2911="",E2911="!!!",F2911="NEW"),"",INDEX(B$2:B2910,-1+SUMPRODUCT(MAX(ROW(E$2:E2910)*(E2911=E$2:E2910)))))</f>
        <v/>
      </c>
      <c r="J2911" s="24" t="str">
        <f ca="1">IF(OR(E2911="",E2911="!!!",F2911="NEW"),"",COUNTBLANK(OFFSET(A$1,,,SUMPRODUCT(MAX(ROW(E$2:E2911)*(E2911=E$2:E2911)))))-COUNTBLANK(OFFSET(A$1,,,SUMPRODUCT(MAX(ROW(E$1:E2910)*(E2=E$1:E2910))))))</f>
        <v/>
      </c>
      <c r="K2911" s="24" t="str">
        <f>IF(OR(E2911="",E2911="!!!",F2911="NEW"),"",INDEX(J$1:J2910,SUMPRODUCT(MAX(ROW(E$1:E2910)*(E2911=E$1:E2910)))))</f>
        <v/>
      </c>
      <c r="L2911" s="25"/>
    </row>
    <row r="2912" spans="1:12" x14ac:dyDescent="0.2">
      <c r="A2912" t="s">
        <v>802</v>
      </c>
      <c r="E2912" s="20" t="str">
        <f t="shared" si="314"/>
        <v/>
      </c>
      <c r="F2912" s="21" t="str">
        <f>IF(OR(E2912="",E2912="!!!"),"",IF(NOT(ISNA(VLOOKUP(E2912,E$1:E2911,1,FALSE()))),"OLD",IF(AND(E2912&lt;&gt;"",E2912&lt;&gt;"!!!"),"NEW","")))</f>
        <v/>
      </c>
      <c r="G2912" s="22" t="str">
        <f>IF(OR(E2912="",E2912="!!!"),"",IF(OR(J2912=0,AND(J2912=1,K2912=1),AND(J2912=1,I2912="SBJ"),AND(J2912=1,I2912=0)),"?IN_FOCUS",IF(J2912&lt;=2,"?ACTIVATED",IF(J2912&lt;&gt;"","?FAMILIAR",IF(F2912="NEW",IF(ISNA(VLOOKUP(E2912,#REF!,1,FALSE())),"?TYPE_IDENTIFIABLE","?REFERENTIAL"),"_")))))</f>
        <v/>
      </c>
      <c r="H2912" s="23" t="str">
        <f t="shared" ca="1" si="315"/>
        <v/>
      </c>
      <c r="I2912" s="24" t="str">
        <f>IF(OR(E2912="",E2912="!!!",F2912="NEW"),"",INDEX(B$2:B2911,-1+SUMPRODUCT(MAX(ROW(E$2:E2911)*(E2912=E$2:E2911)))))</f>
        <v/>
      </c>
      <c r="J2912" s="24" t="str">
        <f ca="1">IF(OR(E2912="",E2912="!!!",F2912="NEW"),"",COUNTBLANK(OFFSET(A$1,,,SUMPRODUCT(MAX(ROW(E$2:E2912)*(E2912=E$2:E2912)))))-COUNTBLANK(OFFSET(A$1,,,SUMPRODUCT(MAX(ROW(E$1:E2911)*(E2=E$1:E2911))))))</f>
        <v/>
      </c>
      <c r="K2912" s="24" t="str">
        <f>IF(OR(E2912="",E2912="!!!",F2912="NEW"),"",INDEX(J$1:J2911,SUMPRODUCT(MAX(ROW(E$1:E2911)*(E2912=E$1:E2911)))))</f>
        <v/>
      </c>
      <c r="L2912" s="25"/>
    </row>
    <row r="2913" spans="1:12" x14ac:dyDescent="0.2">
      <c r="A2913" t="s">
        <v>1634</v>
      </c>
      <c r="E2913" s="20" t="str">
        <f t="shared" si="314"/>
        <v/>
      </c>
      <c r="F2913" s="21" t="str">
        <f>IF(OR(E2913="",E2913="!!!"),"",IF(NOT(ISNA(VLOOKUP(E2913,E$1:E2912,1,FALSE()))),"OLD",IF(AND(E2913&lt;&gt;"",E2913&lt;&gt;"!!!"),"NEW","")))</f>
        <v/>
      </c>
      <c r="G2913" s="22" t="str">
        <f>IF(OR(E2913="",E2913="!!!"),"",IF(OR(J2913=0,AND(J2913=1,K2913=1),AND(J2913=1,I2913="SBJ"),AND(J2913=1,I2913=0)),"?IN_FOCUS",IF(J2913&lt;=2,"?ACTIVATED",IF(J2913&lt;&gt;"","?FAMILIAR",IF(F2913="NEW",IF(ISNA(VLOOKUP(E2913,#REF!,1,FALSE())),"?TYPE_IDENTIFIABLE","?REFERENTIAL"),"_")))))</f>
        <v/>
      </c>
      <c r="H2913" s="23" t="str">
        <f t="shared" ca="1" si="315"/>
        <v/>
      </c>
      <c r="I2913" s="24" t="str">
        <f>IF(OR(E2913="",E2913="!!!",F2913="NEW"),"",INDEX(B$2:B2912,-1+SUMPRODUCT(MAX(ROW(E$2:E2912)*(E2913=E$2:E2912)))))</f>
        <v/>
      </c>
      <c r="J2913" s="24" t="str">
        <f ca="1">IF(OR(E2913="",E2913="!!!",F2913="NEW"),"",COUNTBLANK(OFFSET(A$1,,,SUMPRODUCT(MAX(ROW(E$2:E2913)*(E2913=E$2:E2913)))))-COUNTBLANK(OFFSET(A$1,,,SUMPRODUCT(MAX(ROW(E$1:E2912)*(E2=E$1:E2912))))))</f>
        <v/>
      </c>
      <c r="K2913" s="24" t="str">
        <f>IF(OR(E2913="",E2913="!!!",F2913="NEW"),"",INDEX(J$1:J2912,SUMPRODUCT(MAX(ROW(E$1:E2912)*(E2913=E$1:E2912)))))</f>
        <v/>
      </c>
      <c r="L2913" s="25"/>
    </row>
    <row r="2914" spans="1:12" x14ac:dyDescent="0.2">
      <c r="A2914" t="s">
        <v>1635</v>
      </c>
      <c r="E2914" s="20" t="str">
        <f t="shared" si="314"/>
        <v/>
      </c>
      <c r="F2914" s="21" t="str">
        <f>IF(OR(E2914="",E2914="!!!"),"",IF(NOT(ISNA(VLOOKUP(E2914,E$1:E2913,1,FALSE()))),"OLD",IF(AND(E2914&lt;&gt;"",E2914&lt;&gt;"!!!"),"NEW","")))</f>
        <v/>
      </c>
      <c r="G2914" s="22" t="str">
        <f>IF(OR(E2914="",E2914="!!!"),"",IF(OR(J2914=0,AND(J2914=1,K2914=1),AND(J2914=1,I2914="SBJ"),AND(J2914=1,I2914=0)),"?IN_FOCUS",IF(J2914&lt;=2,"?ACTIVATED",IF(J2914&lt;&gt;"","?FAMILIAR",IF(F2914="NEW",IF(ISNA(VLOOKUP(E2914,#REF!,1,FALSE())),"?TYPE_IDENTIFIABLE","?REFERENTIAL"),"_")))))</f>
        <v/>
      </c>
      <c r="H2914" s="23" t="str">
        <f t="shared" ca="1" si="315"/>
        <v/>
      </c>
      <c r="I2914" s="24" t="str">
        <f>IF(OR(E2914="",E2914="!!!",F2914="NEW"),"",INDEX(B$2:B2913,-1+SUMPRODUCT(MAX(ROW(E$2:E2913)*(E2914=E$2:E2913)))))</f>
        <v/>
      </c>
      <c r="J2914" s="24" t="str">
        <f ca="1">IF(OR(E2914="",E2914="!!!",F2914="NEW"),"",COUNTBLANK(OFFSET(A$1,,,SUMPRODUCT(MAX(ROW(E$2:E2914)*(E2914=E$2:E2914)))))-COUNTBLANK(OFFSET(A$1,,,SUMPRODUCT(MAX(ROW(E$1:E2913)*(E2=E$1:E2913))))))</f>
        <v/>
      </c>
      <c r="K2914" s="24" t="str">
        <f>IF(OR(E2914="",E2914="!!!",F2914="NEW"),"",INDEX(J$1:J2913,SUMPRODUCT(MAX(ROW(E$1:E2913)*(E2914=E$1:E2913)))))</f>
        <v/>
      </c>
      <c r="L2914" s="25"/>
    </row>
    <row r="2915" spans="1:12" x14ac:dyDescent="0.2">
      <c r="A2915" t="s">
        <v>1166</v>
      </c>
      <c r="E2915" s="20" t="str">
        <f t="shared" si="314"/>
        <v/>
      </c>
      <c r="F2915" s="21" t="str">
        <f>IF(OR(E2915="",E2915="!!!"),"",IF(NOT(ISNA(VLOOKUP(E2915,E$1:E2914,1,FALSE()))),"OLD",IF(AND(E2915&lt;&gt;"",E2915&lt;&gt;"!!!"),"NEW","")))</f>
        <v/>
      </c>
      <c r="G2915" s="22" t="str">
        <f>IF(OR(E2915="",E2915="!!!"),"",IF(OR(J2915=0,AND(J2915=1,K2915=1),AND(J2915=1,I2915="SBJ"),AND(J2915=1,I2915=0)),"?IN_FOCUS",IF(J2915&lt;=2,"?ACTIVATED",IF(J2915&lt;&gt;"","?FAMILIAR",IF(F2915="NEW",IF(ISNA(VLOOKUP(E2915,#REF!,1,FALSE())),"?TYPE_IDENTIFIABLE","?REFERENTIAL"),"_")))))</f>
        <v/>
      </c>
      <c r="H2915" s="23" t="str">
        <f t="shared" ca="1" si="315"/>
        <v/>
      </c>
      <c r="I2915" s="24" t="str">
        <f>IF(OR(E2915="",E2915="!!!",F2915="NEW"),"",INDEX(B$2:B2914,-1+SUMPRODUCT(MAX(ROW(E$2:E2914)*(E2915=E$2:E2914)))))</f>
        <v/>
      </c>
      <c r="J2915" s="24" t="str">
        <f ca="1">IF(OR(E2915="",E2915="!!!",F2915="NEW"),"",COUNTBLANK(OFFSET(A$1,,,SUMPRODUCT(MAX(ROW(E$2:E2915)*(E2915=E$2:E2915)))))-COUNTBLANK(OFFSET(A$1,,,SUMPRODUCT(MAX(ROW(E$1:E2914)*(E2=E$1:E2914))))))</f>
        <v/>
      </c>
      <c r="K2915" s="24" t="str">
        <f>IF(OR(E2915="",E2915="!!!",F2915="NEW"),"",INDEX(J$1:J2914,SUMPRODUCT(MAX(ROW(E$1:E2914)*(E2915=E$1:E2914)))))</f>
        <v/>
      </c>
      <c r="L2915" s="25"/>
    </row>
    <row r="2916" spans="1:12" x14ac:dyDescent="0.2">
      <c r="A2916" t="s">
        <v>888</v>
      </c>
      <c r="E2916" s="20" t="str">
        <f t="shared" si="314"/>
        <v/>
      </c>
      <c r="F2916" s="21" t="str">
        <f>IF(OR(E2916="",E2916="!!!"),"",IF(NOT(ISNA(VLOOKUP(E2916,E$1:E2915,1,FALSE()))),"OLD",IF(AND(E2916&lt;&gt;"",E2916&lt;&gt;"!!!"),"NEW","")))</f>
        <v/>
      </c>
      <c r="G2916" s="22" t="str">
        <f>IF(OR(E2916="",E2916="!!!"),"",IF(OR(J2916=0,AND(J2916=1,K2916=1),AND(J2916=1,I2916="SBJ"),AND(J2916=1,I2916=0)),"?IN_FOCUS",IF(J2916&lt;=2,"?ACTIVATED",IF(J2916&lt;&gt;"","?FAMILIAR",IF(F2916="NEW",IF(ISNA(VLOOKUP(E2916,#REF!,1,FALSE())),"?TYPE_IDENTIFIABLE","?REFERENTIAL"),"_")))))</f>
        <v/>
      </c>
      <c r="H2916" s="23" t="str">
        <f t="shared" ca="1" si="315"/>
        <v/>
      </c>
      <c r="I2916" s="24" t="str">
        <f>IF(OR(E2916="",E2916="!!!",F2916="NEW"),"",INDEX(B$2:B2915,-1+SUMPRODUCT(MAX(ROW(E$2:E2915)*(E2916=E$2:E2915)))))</f>
        <v/>
      </c>
      <c r="J2916" s="24" t="str">
        <f ca="1">IF(OR(E2916="",E2916="!!!",F2916="NEW"),"",COUNTBLANK(OFFSET(A$1,,,SUMPRODUCT(MAX(ROW(E$2:E2916)*(E2916=E$2:E2916)))))-COUNTBLANK(OFFSET(A$1,,,SUMPRODUCT(MAX(ROW(E$1:E2915)*(E2=E$1:E2915))))))</f>
        <v/>
      </c>
      <c r="K2916" s="24" t="str">
        <f>IF(OR(E2916="",E2916="!!!",F2916="NEW"),"",INDEX(J$1:J2915,SUMPRODUCT(MAX(ROW(E$1:E2915)*(E2916=E$1:E2915)))))</f>
        <v/>
      </c>
      <c r="L2916" s="25"/>
    </row>
    <row r="2917" spans="1:12" x14ac:dyDescent="0.2">
      <c r="A2917" t="s">
        <v>1564</v>
      </c>
      <c r="E2917" s="20" t="str">
        <f t="shared" si="314"/>
        <v/>
      </c>
      <c r="F2917" s="21" t="str">
        <f>IF(OR(E2917="",E2917="!!!"),"",IF(NOT(ISNA(VLOOKUP(E2917,E$1:E2916,1,FALSE()))),"OLD",IF(AND(E2917&lt;&gt;"",E2917&lt;&gt;"!!!"),"NEW","")))</f>
        <v/>
      </c>
      <c r="G2917" s="22" t="str">
        <f>IF(OR(E2917="",E2917="!!!"),"",IF(OR(J2917=0,AND(J2917=1,K2917=1),AND(J2917=1,I2917="SBJ"),AND(J2917=1,I2917=0)),"?IN_FOCUS",IF(J2917&lt;=2,"?ACTIVATED",IF(J2917&lt;&gt;"","?FAMILIAR",IF(F2917="NEW",IF(ISNA(VLOOKUP(E2917,#REF!,1,FALSE())),"?TYPE_IDENTIFIABLE","?REFERENTIAL"),"_")))))</f>
        <v/>
      </c>
      <c r="H2917" s="23" t="str">
        <f t="shared" ca="1" si="315"/>
        <v/>
      </c>
      <c r="I2917" s="24" t="str">
        <f>IF(OR(E2917="",E2917="!!!",F2917="NEW"),"",INDEX(B$2:B2916,-1+SUMPRODUCT(MAX(ROW(E$2:E2916)*(E2917=E$2:E2916)))))</f>
        <v/>
      </c>
      <c r="J2917" s="24" t="str">
        <f ca="1">IF(OR(E2917="",E2917="!!!",F2917="NEW"),"",COUNTBLANK(OFFSET(A$1,,,SUMPRODUCT(MAX(ROW(E$2:E2917)*(E2917=E$2:E2917)))))-COUNTBLANK(OFFSET(A$1,,,SUMPRODUCT(MAX(ROW(E$1:E2916)*(E2=E$1:E2916))))))</f>
        <v/>
      </c>
      <c r="K2917" s="24" t="str">
        <f>IF(OR(E2917="",E2917="!!!",F2917="NEW"),"",INDEX(J$1:J2916,SUMPRODUCT(MAX(ROW(E$1:E2916)*(E2917=E$1:E2916)))))</f>
        <v/>
      </c>
      <c r="L2917" s="25"/>
    </row>
    <row r="2918" spans="1:12" x14ac:dyDescent="0.2">
      <c r="A2918" t="s">
        <v>802</v>
      </c>
      <c r="E2918" s="20" t="str">
        <f t="shared" si="314"/>
        <v/>
      </c>
      <c r="F2918" s="21" t="str">
        <f>IF(OR(E2918="",E2918="!!!"),"",IF(NOT(ISNA(VLOOKUP(E2918,E$1:E2917,1,FALSE()))),"OLD",IF(AND(E2918&lt;&gt;"",E2918&lt;&gt;"!!!"),"NEW","")))</f>
        <v/>
      </c>
      <c r="G2918" s="22" t="str">
        <f>IF(OR(E2918="",E2918="!!!"),"",IF(OR(J2918=0,AND(J2918=1,K2918=1),AND(J2918=1,I2918="SBJ"),AND(J2918=1,I2918=0)),"?IN_FOCUS",IF(J2918&lt;=2,"?ACTIVATED",IF(J2918&lt;&gt;"","?FAMILIAR",IF(F2918="NEW",IF(ISNA(VLOOKUP(E2918,#REF!,1,FALSE())),"?TYPE_IDENTIFIABLE","?REFERENTIAL"),"_")))))</f>
        <v/>
      </c>
      <c r="H2918" s="23" t="str">
        <f t="shared" ca="1" si="315"/>
        <v/>
      </c>
      <c r="I2918" s="24" t="str">
        <f>IF(OR(E2918="",E2918="!!!",F2918="NEW"),"",INDEX(B$2:B2917,-1+SUMPRODUCT(MAX(ROW(E$2:E2917)*(E2918=E$2:E2917)))))</f>
        <v/>
      </c>
      <c r="J2918" s="24" t="str">
        <f ca="1">IF(OR(E2918="",E2918="!!!",F2918="NEW"),"",COUNTBLANK(OFFSET(A$1,,,SUMPRODUCT(MAX(ROW(E$2:E2918)*(E2918=E$2:E2918)))))-COUNTBLANK(OFFSET(A$1,,,SUMPRODUCT(MAX(ROW(E$1:E2917)*(E2=E$1:E2917))))))</f>
        <v/>
      </c>
      <c r="K2918" s="24" t="str">
        <f>IF(OR(E2918="",E2918="!!!",F2918="NEW"),"",INDEX(J$1:J2917,SUMPRODUCT(MAX(ROW(E$1:E2917)*(E2918=E$1:E2917)))))</f>
        <v/>
      </c>
      <c r="L2918" s="25"/>
    </row>
    <row r="2919" spans="1:12" x14ac:dyDescent="0.2">
      <c r="A2919" t="s">
        <v>902</v>
      </c>
      <c r="E2919" s="20" t="str">
        <f t="shared" si="314"/>
        <v/>
      </c>
      <c r="F2919" s="21" t="str">
        <f>IF(OR(E2919="",E2919="!!!"),"",IF(NOT(ISNA(VLOOKUP(E2919,E$1:E2918,1,FALSE()))),"OLD",IF(AND(E2919&lt;&gt;"",E2919&lt;&gt;"!!!"),"NEW","")))</f>
        <v/>
      </c>
      <c r="G2919" s="22" t="str">
        <f>IF(OR(E2919="",E2919="!!!"),"",IF(OR(J2919=0,AND(J2919=1,K2919=1),AND(J2919=1,I2919="SBJ"),AND(J2919=1,I2919=0)),"?IN_FOCUS",IF(J2919&lt;=2,"?ACTIVATED",IF(J2919&lt;&gt;"","?FAMILIAR",IF(F2919="NEW",IF(ISNA(VLOOKUP(E2919,#REF!,1,FALSE())),"?TYPE_IDENTIFIABLE","?REFERENTIAL"),"_")))))</f>
        <v/>
      </c>
      <c r="H2919" s="23" t="str">
        <f t="shared" ca="1" si="315"/>
        <v/>
      </c>
      <c r="I2919" s="24" t="str">
        <f>IF(OR(E2919="",E2919="!!!",F2919="NEW"),"",INDEX(B$2:B2918,-1+SUMPRODUCT(MAX(ROW(E$2:E2918)*(E2919=E$2:E2918)))))</f>
        <v/>
      </c>
      <c r="J2919" s="24" t="str">
        <f ca="1">IF(OR(E2919="",E2919="!!!",F2919="NEW"),"",COUNTBLANK(OFFSET(A$1,,,SUMPRODUCT(MAX(ROW(E$2:E2919)*(E2919=E$2:E2919)))))-COUNTBLANK(OFFSET(A$1,,,SUMPRODUCT(MAX(ROW(E$1:E2918)*(E2=E$1:E2918))))))</f>
        <v/>
      </c>
      <c r="K2919" s="24" t="str">
        <f>IF(OR(E2919="",E2919="!!!",F2919="NEW"),"",INDEX(J$1:J2918,SUMPRODUCT(MAX(ROW(E$1:E2918)*(E2919=E$1:E2918)))))</f>
        <v/>
      </c>
      <c r="L2919" s="25"/>
    </row>
    <row r="2920" spans="1:12" x14ac:dyDescent="0.2">
      <c r="A2920" t="s">
        <v>1636</v>
      </c>
      <c r="E2920" s="20" t="str">
        <f t="shared" si="314"/>
        <v/>
      </c>
      <c r="F2920" s="21" t="str">
        <f>IF(OR(E2920="",E2920="!!!"),"",IF(NOT(ISNA(VLOOKUP(E2920,E$1:E2919,1,FALSE()))),"OLD",IF(AND(E2920&lt;&gt;"",E2920&lt;&gt;"!!!"),"NEW","")))</f>
        <v/>
      </c>
      <c r="G2920" s="22" t="str">
        <f>IF(OR(E2920="",E2920="!!!"),"",IF(OR(J2920=0,AND(J2920=1,K2920=1),AND(J2920=1,I2920="SBJ"),AND(J2920=1,I2920=0)),"?IN_FOCUS",IF(J2920&lt;=2,"?ACTIVATED",IF(J2920&lt;&gt;"","?FAMILIAR",IF(F2920="NEW",IF(ISNA(VLOOKUP(E2920,#REF!,1,FALSE())),"?TYPE_IDENTIFIABLE","?REFERENTIAL"),"_")))))</f>
        <v/>
      </c>
      <c r="H2920" s="23" t="str">
        <f t="shared" ca="1" si="315"/>
        <v/>
      </c>
      <c r="I2920" s="24" t="str">
        <f>IF(OR(E2920="",E2920="!!!",F2920="NEW"),"",INDEX(B$2:B2919,-1+SUMPRODUCT(MAX(ROW(E$2:E2919)*(E2920=E$2:E2919)))))</f>
        <v/>
      </c>
      <c r="J2920" s="24" t="str">
        <f ca="1">IF(OR(E2920="",E2920="!!!",F2920="NEW"),"",COUNTBLANK(OFFSET(A$1,,,SUMPRODUCT(MAX(ROW(E$2:E2920)*(E2920=E$2:E2920)))))-COUNTBLANK(OFFSET(A$1,,,SUMPRODUCT(MAX(ROW(E$1:E2919)*(E2=E$1:E2919))))))</f>
        <v/>
      </c>
      <c r="K2920" s="24" t="str">
        <f>IF(OR(E2920="",E2920="!!!",F2920="NEW"),"",INDEX(J$1:J2919,SUMPRODUCT(MAX(ROW(E$1:E2919)*(E2920=E$1:E2919)))))</f>
        <v/>
      </c>
      <c r="L2920" s="25"/>
    </row>
    <row r="2921" spans="1:12" x14ac:dyDescent="0.2">
      <c r="A2921" t="s">
        <v>1189</v>
      </c>
      <c r="E2921" s="20" t="str">
        <f t="shared" si="314"/>
        <v/>
      </c>
      <c r="F2921" s="21" t="str">
        <f>IF(OR(E2921="",E2921="!!!"),"",IF(NOT(ISNA(VLOOKUP(E2921,E$1:E2920,1,FALSE()))),"OLD",IF(AND(E2921&lt;&gt;"",E2921&lt;&gt;"!!!"),"NEW","")))</f>
        <v/>
      </c>
      <c r="G2921" s="22" t="str">
        <f>IF(OR(E2921="",E2921="!!!"),"",IF(OR(J2921=0,AND(J2921=1,K2921=1),AND(J2921=1,I2921="SBJ"),AND(J2921=1,I2921=0)),"?IN_FOCUS",IF(J2921&lt;=2,"?ACTIVATED",IF(J2921&lt;&gt;"","?FAMILIAR",IF(F2921="NEW",IF(ISNA(VLOOKUP(E2921,#REF!,1,FALSE())),"?TYPE_IDENTIFIABLE","?REFERENTIAL"),"_")))))</f>
        <v/>
      </c>
      <c r="H2921" s="23" t="str">
        <f t="shared" ca="1" si="315"/>
        <v/>
      </c>
      <c r="I2921" s="24" t="str">
        <f>IF(OR(E2921="",E2921="!!!",F2921="NEW"),"",INDEX(B$2:B2920,-1+SUMPRODUCT(MAX(ROW(E$2:E2920)*(E2921=E$2:E2920)))))</f>
        <v/>
      </c>
      <c r="J2921" s="24" t="str">
        <f ca="1">IF(OR(E2921="",E2921="!!!",F2921="NEW"),"",COUNTBLANK(OFFSET(A$1,,,SUMPRODUCT(MAX(ROW(E$2:E2921)*(E2921=E$2:E2921)))))-COUNTBLANK(OFFSET(A$1,,,SUMPRODUCT(MAX(ROW(E$1:E2920)*(E2=E$1:E2920))))))</f>
        <v/>
      </c>
      <c r="K2921" s="24" t="str">
        <f>IF(OR(E2921="",E2921="!!!",F2921="NEW"),"",INDEX(J$1:J2920,SUMPRODUCT(MAX(ROW(E$1:E2920)*(E2921=E$1:E2920)))))</f>
        <v/>
      </c>
      <c r="L2921" s="25"/>
    </row>
    <row r="2922" spans="1:12" x14ac:dyDescent="0.2">
      <c r="A2922" t="s">
        <v>802</v>
      </c>
      <c r="E2922" s="20" t="str">
        <f t="shared" si="314"/>
        <v/>
      </c>
      <c r="F2922" s="21" t="str">
        <f>IF(OR(E2922="",E2922="!!!"),"",IF(NOT(ISNA(VLOOKUP(E2922,E$1:E2921,1,FALSE()))),"OLD",IF(AND(E2922&lt;&gt;"",E2922&lt;&gt;"!!!"),"NEW","")))</f>
        <v/>
      </c>
      <c r="G2922" s="22" t="str">
        <f>IF(OR(E2922="",E2922="!!!"),"",IF(OR(J2922=0,AND(J2922=1,K2922=1),AND(J2922=1,I2922="SBJ"),AND(J2922=1,I2922=0)),"?IN_FOCUS",IF(J2922&lt;=2,"?ACTIVATED",IF(J2922&lt;&gt;"","?FAMILIAR",IF(F2922="NEW",IF(ISNA(VLOOKUP(E2922,#REF!,1,FALSE())),"?TYPE_IDENTIFIABLE","?REFERENTIAL"),"_")))))</f>
        <v/>
      </c>
      <c r="H2922" s="23" t="str">
        <f t="shared" ca="1" si="315"/>
        <v/>
      </c>
      <c r="I2922" s="24" t="str">
        <f>IF(OR(E2922="",E2922="!!!",F2922="NEW"),"",INDEX(B$2:B2921,-1+SUMPRODUCT(MAX(ROW(E$2:E2921)*(E2922=E$2:E2921)))))</f>
        <v/>
      </c>
      <c r="J2922" s="24" t="str">
        <f ca="1">IF(OR(E2922="",E2922="!!!",F2922="NEW"),"",COUNTBLANK(OFFSET(A$1,,,SUMPRODUCT(MAX(ROW(E$2:E2922)*(E2922=E$2:E2922)))))-COUNTBLANK(OFFSET(A$1,,,SUMPRODUCT(MAX(ROW(E$1:E2921)*(E2=E$1:E2921))))))</f>
        <v/>
      </c>
      <c r="K2922" s="24" t="str">
        <f>IF(OR(E2922="",E2922="!!!",F2922="NEW"),"",INDEX(J$1:J2921,SUMPRODUCT(MAX(ROW(E$1:E2921)*(E2922=E$1:E2921)))))</f>
        <v/>
      </c>
      <c r="L2922" s="25"/>
    </row>
    <row r="2923" spans="1:12" x14ac:dyDescent="0.2">
      <c r="A2923" t="s">
        <v>803</v>
      </c>
      <c r="B2923" s="26" t="s">
        <v>910</v>
      </c>
      <c r="C2923" s="26" t="s">
        <v>805</v>
      </c>
      <c r="D2923" s="26" t="s">
        <v>806</v>
      </c>
      <c r="E2923" s="20" t="s">
        <v>1807</v>
      </c>
      <c r="F2923" s="21" t="str">
        <f>IF(OR(E2923="",E2923="!!!"),"",IF(NOT(ISNA(VLOOKUP(E2923,E$1:E2922,1,FALSE()))),"OLD",IF(AND(E2923&lt;&gt;"",E2923&lt;&gt;"!!!"),"NEW","")))</f>
        <v>NEW</v>
      </c>
      <c r="G2923" s="22" t="s">
        <v>1824</v>
      </c>
      <c r="H2923" s="23" t="str">
        <f t="shared" ca="1" si="315"/>
        <v/>
      </c>
      <c r="I2923" s="24" t="str">
        <f>IF(OR(E2923="",E2923="!!!",F2923="NEW"),"",INDEX(B$2:B2922,-1+SUMPRODUCT(MAX(ROW(E$2:E2922)*(E2923=E$2:E2922)))))</f>
        <v/>
      </c>
      <c r="J2923" s="24" t="str">
        <f ca="1">IF(OR(E2923="",E2923="!!!",F2923="NEW"),"",COUNTBLANK(OFFSET(A$1,,,SUMPRODUCT(MAX(ROW(E$2:E2923)*(E2923=E$2:E2923)))))-COUNTBLANK(OFFSET(A$1,,,SUMPRODUCT(MAX(ROW(E$1:E2922)*(E2=E$1:E2922))))))</f>
        <v/>
      </c>
      <c r="K2923" s="24" t="str">
        <f>IF(OR(E2923="",E2923="!!!",F2923="NEW"),"",INDEX(J$1:J2922,SUMPRODUCT(MAX(ROW(E$1:E2922)*(E2923=E$1:E2922)))))</f>
        <v/>
      </c>
      <c r="L2923" s="25"/>
    </row>
    <row r="2924" spans="1:12" x14ac:dyDescent="0.2">
      <c r="A2924" t="s">
        <v>19</v>
      </c>
      <c r="E2924" s="20" t="str">
        <f t="shared" si="314"/>
        <v/>
      </c>
      <c r="F2924" s="21" t="str">
        <f>IF(OR(E2924="",E2924="!!!"),"",IF(NOT(ISNA(VLOOKUP(E2924,E$1:E2923,1,FALSE()))),"OLD",IF(AND(E2924&lt;&gt;"",E2924&lt;&gt;"!!!"),"NEW","")))</f>
        <v/>
      </c>
      <c r="G2924" s="22" t="str">
        <f>IF(OR(E2924="",E2924="!!!"),"",IF(OR(J2924=0,AND(J2924=1,K2924=1),AND(J2924=1,I2924="SBJ"),AND(J2924=1,I2924=0)),"?IN_FOCUS",IF(J2924&lt;=2,"?ACTIVATED",IF(J2924&lt;&gt;"","?FAMILIAR",IF(F2924="NEW",IF(ISNA(VLOOKUP(E2924,#REF!,1,FALSE())),"?TYPE_IDENTIFIABLE","?REFERENTIAL"),"_")))))</f>
        <v/>
      </c>
      <c r="H2924" s="23" t="str">
        <f t="shared" ca="1" si="315"/>
        <v/>
      </c>
      <c r="I2924" s="24" t="str">
        <f>IF(OR(E2924="",E2924="!!!",F2924="NEW"),"",INDEX(B$2:B2923,-1+SUMPRODUCT(MAX(ROW(E$2:E2923)*(E2924=E$2:E2923)))))</f>
        <v/>
      </c>
      <c r="J2924" s="24" t="str">
        <f ca="1">IF(OR(E2924="",E2924="!!!",F2924="NEW"),"",COUNTBLANK(OFFSET(A$1,,,SUMPRODUCT(MAX(ROW(E$2:E2924)*(E2924=E$2:E2924)))))-COUNTBLANK(OFFSET(A$1,,,SUMPRODUCT(MAX(ROW(E$1:E2923)*(E2=E$1:E2923))))))</f>
        <v/>
      </c>
      <c r="K2924" s="24" t="str">
        <f>IF(OR(E2924="",E2924="!!!",F2924="NEW"),"",INDEX(J$1:J2923,SUMPRODUCT(MAX(ROW(E$1:E2923)*(E2924=E$1:E2923)))))</f>
        <v/>
      </c>
      <c r="L2924" s="25"/>
    </row>
    <row r="2925" spans="1:12" x14ac:dyDescent="0.2">
      <c r="A2925" t="s">
        <v>1426</v>
      </c>
      <c r="E2925" s="20" t="str">
        <f t="shared" si="314"/>
        <v/>
      </c>
      <c r="F2925" s="21" t="str">
        <f>IF(OR(E2925="",E2925="!!!"),"",IF(NOT(ISNA(VLOOKUP(E2925,E$1:E2924,1,FALSE()))),"OLD",IF(AND(E2925&lt;&gt;"",E2925&lt;&gt;"!!!"),"NEW","")))</f>
        <v/>
      </c>
      <c r="G2925" s="22" t="str">
        <f>IF(OR(E2925="",E2925="!!!"),"",IF(OR(J2925=0,AND(J2925=1,K2925=1),AND(J2925=1,I2925="SBJ"),AND(J2925=1,I2925=0)),"?IN_FOCUS",IF(J2925&lt;=2,"?ACTIVATED",IF(J2925&lt;&gt;"","?FAMILIAR",IF(F2925="NEW",IF(ISNA(VLOOKUP(E2925,#REF!,1,FALSE())),"?TYPE_IDENTIFIABLE","?REFERENTIAL"),"_")))))</f>
        <v/>
      </c>
      <c r="H2925" s="23" t="str">
        <f t="shared" ca="1" si="315"/>
        <v/>
      </c>
      <c r="I2925" s="24" t="str">
        <f>IF(OR(E2925="",E2925="!!!",F2925="NEW"),"",INDEX(B$2:B2924,-1+SUMPRODUCT(MAX(ROW(E$2:E2924)*(E2925=E$2:E2924)))))</f>
        <v/>
      </c>
      <c r="J2925" s="24" t="str">
        <f ca="1">IF(OR(E2925="",E2925="!!!",F2925="NEW"),"",COUNTBLANK(OFFSET(A$1,,,SUMPRODUCT(MAX(ROW(E$2:E2925)*(E2925=E$2:E2925)))))-COUNTBLANK(OFFSET(A$1,,,SUMPRODUCT(MAX(ROW(E$1:E2924)*(E2=E$1:E2924))))))</f>
        <v/>
      </c>
      <c r="K2925" s="24" t="str">
        <f>IF(OR(E2925="",E2925="!!!",F2925="NEW"),"",INDEX(J$1:J2924,SUMPRODUCT(MAX(ROW(E$1:E2924)*(E2925=E$1:E2924)))))</f>
        <v/>
      </c>
      <c r="L2925" s="25"/>
    </row>
    <row r="2926" spans="1:12" x14ac:dyDescent="0.2">
      <c r="A2926" t="s">
        <v>1427</v>
      </c>
      <c r="B2926" s="26" t="s">
        <v>1117</v>
      </c>
      <c r="C2926" s="26" t="s">
        <v>814</v>
      </c>
      <c r="E2926" s="20" t="str">
        <f t="shared" si="314"/>
        <v/>
      </c>
      <c r="F2926" s="21" t="str">
        <f>IF(OR(E2926="",E2926="!!!"),"",IF(NOT(ISNA(VLOOKUP(E2926,E$1:E2925,1,FALSE()))),"OLD",IF(AND(E2926&lt;&gt;"",E2926&lt;&gt;"!!!"),"NEW","")))</f>
        <v/>
      </c>
      <c r="G2926" s="22" t="str">
        <f>IF(OR(E2926="",E2926="!!!"),"",IF(OR(J2926=0,AND(J2926=1,K2926=1),AND(J2926=1,I2926="SBJ"),AND(J2926=1,I2926=0)),"?IN_FOCUS",IF(J2926&lt;=2,"?ACTIVATED",IF(J2926&lt;&gt;"","?FAMILIAR",IF(F2926="NEW",IF(ISNA(VLOOKUP(E2926,#REF!,1,FALSE())),"?TYPE_IDENTIFIABLE","?REFERENTIAL"),"_")))))</f>
        <v/>
      </c>
      <c r="H2926" s="23" t="str">
        <f t="shared" ca="1" si="315"/>
        <v/>
      </c>
      <c r="I2926" s="24" t="str">
        <f>IF(OR(E2926="",E2926="!!!",F2926="NEW"),"",INDEX(B$2:B2925,-1+SUMPRODUCT(MAX(ROW(E$2:E2925)*(E2926=E$2:E2925)))))</f>
        <v/>
      </c>
      <c r="J2926" s="24" t="str">
        <f ca="1">IF(OR(E2926="",E2926="!!!",F2926="NEW"),"",COUNTBLANK(OFFSET(A$1,,,SUMPRODUCT(MAX(ROW(E$2:E2926)*(E2926=E$2:E2926)))))-COUNTBLANK(OFFSET(A$1,,,SUMPRODUCT(MAX(ROW(E$1:E2925)*(E2=E$1:E2925))))))</f>
        <v/>
      </c>
      <c r="K2926" s="24" t="str">
        <f>IF(OR(E2926="",E2926="!!!",F2926="NEW"),"",INDEX(J$1:J2925,SUMPRODUCT(MAX(ROW(E$1:E2925)*(E2926=E$1:E2925)))))</f>
        <v/>
      </c>
      <c r="L2926" s="25"/>
    </row>
    <row r="2927" spans="1:12" x14ac:dyDescent="0.2">
      <c r="A2927" t="s">
        <v>802</v>
      </c>
      <c r="E2927" s="20" t="str">
        <f t="shared" si="314"/>
        <v/>
      </c>
      <c r="F2927" s="21" t="str">
        <f>IF(OR(E2927="",E2927="!!!"),"",IF(NOT(ISNA(VLOOKUP(E2927,E$1:E2926,1,FALSE()))),"OLD",IF(AND(E2927&lt;&gt;"",E2927&lt;&gt;"!!!"),"NEW","")))</f>
        <v/>
      </c>
      <c r="G2927" s="22" t="str">
        <f>IF(OR(E2927="",E2927="!!!"),"",IF(OR(J2927=0,AND(J2927=1,K2927=1),AND(J2927=1,I2927="SBJ"),AND(J2927=1,I2927=0)),"?IN_FOCUS",IF(J2927&lt;=2,"?ACTIVATED",IF(J2927&lt;&gt;"","?FAMILIAR",IF(F2927="NEW",IF(ISNA(VLOOKUP(E2927,#REF!,1,FALSE())),"?TYPE_IDENTIFIABLE","?REFERENTIAL"),"_")))))</f>
        <v/>
      </c>
      <c r="H2927" s="23" t="str">
        <f t="shared" ca="1" si="315"/>
        <v/>
      </c>
      <c r="I2927" s="24" t="str">
        <f>IF(OR(E2927="",E2927="!!!",F2927="NEW"),"",INDEX(B$2:B2926,-1+SUMPRODUCT(MAX(ROW(E$2:E2926)*(E2927=E$2:E2926)))))</f>
        <v/>
      </c>
      <c r="J2927" s="24" t="str">
        <f ca="1">IF(OR(E2927="",E2927="!!!",F2927="NEW"),"",COUNTBLANK(OFFSET(A$1,,,SUMPRODUCT(MAX(ROW(E$2:E2927)*(E2927=E$2:E2927)))))-COUNTBLANK(OFFSET(A$1,,,SUMPRODUCT(MAX(ROW(E$1:E2926)*(E2=E$1:E2926))))))</f>
        <v/>
      </c>
      <c r="K2927" s="24" t="str">
        <f>IF(OR(E2927="",E2927="!!!",F2927="NEW"),"",INDEX(J$1:J2926,SUMPRODUCT(MAX(ROW(E$1:E2926)*(E2927=E$1:E2926)))))</f>
        <v/>
      </c>
      <c r="L2927" s="25"/>
    </row>
    <row r="2928" spans="1:12" x14ac:dyDescent="0.2">
      <c r="A2928" t="s">
        <v>1188</v>
      </c>
      <c r="E2928" s="20" t="str">
        <f t="shared" si="314"/>
        <v/>
      </c>
      <c r="F2928" s="21" t="str">
        <f>IF(OR(E2928="",E2928="!!!"),"",IF(NOT(ISNA(VLOOKUP(E2928,E$1:E2927,1,FALSE()))),"OLD",IF(AND(E2928&lt;&gt;"",E2928&lt;&gt;"!!!"),"NEW","")))</f>
        <v/>
      </c>
      <c r="G2928" s="22" t="str">
        <f>IF(OR(E2928="",E2928="!!!"),"",IF(OR(J2928=0,AND(J2928=1,K2928=1),AND(J2928=1,I2928="SBJ"),AND(J2928=1,I2928=0)),"?IN_FOCUS",IF(J2928&lt;=2,"?ACTIVATED",IF(J2928&lt;&gt;"","?FAMILIAR",IF(F2928="NEW",IF(ISNA(VLOOKUP(E2928,#REF!,1,FALSE())),"?TYPE_IDENTIFIABLE","?REFERENTIAL"),"_")))))</f>
        <v/>
      </c>
      <c r="H2928" s="23" t="str">
        <f t="shared" ca="1" si="315"/>
        <v/>
      </c>
      <c r="I2928" s="24" t="str">
        <f>IF(OR(E2928="",E2928="!!!",F2928="NEW"),"",INDEX(B$2:B2927,-1+SUMPRODUCT(MAX(ROW(E$2:E2927)*(E2928=E$2:E2927)))))</f>
        <v/>
      </c>
      <c r="J2928" s="24" t="str">
        <f ca="1">IF(OR(E2928="",E2928="!!!",F2928="NEW"),"",COUNTBLANK(OFFSET(A$1,,,SUMPRODUCT(MAX(ROW(E$2:E2928)*(E2928=E$2:E2928)))))-COUNTBLANK(OFFSET(A$1,,,SUMPRODUCT(MAX(ROW(E$1:E2927)*(E2=E$1:E2927))))))</f>
        <v/>
      </c>
      <c r="K2928" s="24" t="str">
        <f>IF(OR(E2928="",E2928="!!!",F2928="NEW"),"",INDEX(J$1:J2927,SUMPRODUCT(MAX(ROW(E$1:E2927)*(E2928=E$1:E2927)))))</f>
        <v/>
      </c>
      <c r="L2928" s="25"/>
    </row>
    <row r="2929" spans="1:12" x14ac:dyDescent="0.2">
      <c r="A2929" t="s">
        <v>1345</v>
      </c>
      <c r="E2929" s="20" t="str">
        <f t="shared" si="314"/>
        <v/>
      </c>
      <c r="F2929" s="21" t="str">
        <f>IF(OR(E2929="",E2929="!!!"),"",IF(NOT(ISNA(VLOOKUP(E2929,E$1:E2928,1,FALSE()))),"OLD",IF(AND(E2929&lt;&gt;"",E2929&lt;&gt;"!!!"),"NEW","")))</f>
        <v/>
      </c>
      <c r="G2929" s="22" t="str">
        <f>IF(OR(E2929="",E2929="!!!"),"",IF(OR(J2929=0,AND(J2929=1,K2929=1),AND(J2929=1,I2929="SBJ"),AND(J2929=1,I2929=0)),"?IN_FOCUS",IF(J2929&lt;=2,"?ACTIVATED",IF(J2929&lt;&gt;"","?FAMILIAR",IF(F2929="NEW",IF(ISNA(VLOOKUP(E2929,#REF!,1,FALSE())),"?TYPE_IDENTIFIABLE","?REFERENTIAL"),"_")))))</f>
        <v/>
      </c>
      <c r="H2929" s="23" t="str">
        <f t="shared" ca="1" si="315"/>
        <v/>
      </c>
      <c r="I2929" s="24" t="str">
        <f>IF(OR(E2929="",E2929="!!!",F2929="NEW"),"",INDEX(B$2:B2928,-1+SUMPRODUCT(MAX(ROW(E$2:E2928)*(E2929=E$2:E2928)))))</f>
        <v/>
      </c>
      <c r="J2929" s="24" t="str">
        <f ca="1">IF(OR(E2929="",E2929="!!!",F2929="NEW"),"",COUNTBLANK(OFFSET(A$1,,,SUMPRODUCT(MAX(ROW(E$2:E2929)*(E2929=E$2:E2929)))))-COUNTBLANK(OFFSET(A$1,,,SUMPRODUCT(MAX(ROW(E$1:E2928)*(E2=E$1:E2928))))))</f>
        <v/>
      </c>
      <c r="K2929" s="24" t="str">
        <f>IF(OR(E2929="",E2929="!!!",F2929="NEW"),"",INDEX(J$1:J2928,SUMPRODUCT(MAX(ROW(E$1:E2928)*(E2929=E$1:E2928)))))</f>
        <v/>
      </c>
      <c r="L2929" s="25"/>
    </row>
    <row r="2930" spans="1:12" x14ac:dyDescent="0.2">
      <c r="A2930" t="s">
        <v>1018</v>
      </c>
      <c r="E2930" s="20" t="str">
        <f t="shared" si="314"/>
        <v/>
      </c>
      <c r="F2930" s="21" t="str">
        <f>IF(OR(E2930="",E2930="!!!"),"",IF(NOT(ISNA(VLOOKUP(E2930,E$1:E2929,1,FALSE()))),"OLD",IF(AND(E2930&lt;&gt;"",E2930&lt;&gt;"!!!"),"NEW","")))</f>
        <v/>
      </c>
      <c r="G2930" s="22" t="str">
        <f>IF(OR(E2930="",E2930="!!!"),"",IF(OR(J2930=0,AND(J2930=1,K2930=1),AND(J2930=1,I2930="SBJ"),AND(J2930=1,I2930=0)),"?IN_FOCUS",IF(J2930&lt;=2,"?ACTIVATED",IF(J2930&lt;&gt;"","?FAMILIAR",IF(F2930="NEW",IF(ISNA(VLOOKUP(E2930,#REF!,1,FALSE())),"?TYPE_IDENTIFIABLE","?REFERENTIAL"),"_")))))</f>
        <v/>
      </c>
      <c r="H2930" s="23" t="str">
        <f t="shared" ca="1" si="315"/>
        <v/>
      </c>
      <c r="I2930" s="24" t="str">
        <f>IF(OR(E2930="",E2930="!!!",F2930="NEW"),"",INDEX(B$2:B2929,-1+SUMPRODUCT(MAX(ROW(E$2:E2929)*(E2930=E$2:E2929)))))</f>
        <v/>
      </c>
      <c r="J2930" s="24" t="str">
        <f ca="1">IF(OR(E2930="",E2930="!!!",F2930="NEW"),"",COUNTBLANK(OFFSET(A$1,,,SUMPRODUCT(MAX(ROW(E$2:E2930)*(E2930=E$2:E2930)))))-COUNTBLANK(OFFSET(A$1,,,SUMPRODUCT(MAX(ROW(E$1:E2929)*(E2=E$1:E2929))))))</f>
        <v/>
      </c>
      <c r="K2930" s="24" t="str">
        <f>IF(OR(E2930="",E2930="!!!",F2930="NEW"),"",INDEX(J$1:J2929,SUMPRODUCT(MAX(ROW(E$1:E2929)*(E2930=E$1:E2929)))))</f>
        <v/>
      </c>
      <c r="L2930" s="25"/>
    </row>
    <row r="2931" spans="1:12" x14ac:dyDescent="0.2">
      <c r="A2931" t="s">
        <v>866</v>
      </c>
      <c r="B2931" s="26" t="s">
        <v>1637</v>
      </c>
      <c r="C2931" s="26" t="s">
        <v>805</v>
      </c>
      <c r="D2931" s="26" t="s">
        <v>806</v>
      </c>
      <c r="E2931" s="20"/>
      <c r="F2931" s="21" t="s">
        <v>1781</v>
      </c>
      <c r="G2931" s="22" t="str">
        <f>IF(OR(E2931="",E2931="!!!"),"",IF(OR(J2931=0,AND(J2931=1,K2931=1),AND(J2931=1,I2931="SBJ"),AND(J2931=1,I2931=0)),"?IN_FOCUS",IF(J2931&lt;=2,"?ACTIVATED",IF(J2931&lt;&gt;"","?FAMILIAR",IF(F2931="NEW",IF(ISNA(VLOOKUP(E2931,#REF!,1,FALSE())),"?TYPE_IDENTIFIABLE","?REFERENTIAL"),"_")))))</f>
        <v/>
      </c>
      <c r="H2931" s="23" t="str">
        <f t="shared" ca="1" si="315"/>
        <v/>
      </c>
      <c r="I2931" s="24" t="str">
        <f>IF(OR(E2931="",E2931="!!!",F2931="NEW"),"",INDEX(B$2:B2930,-1+SUMPRODUCT(MAX(ROW(E$2:E2930)*(E2931=E$2:E2930)))))</f>
        <v/>
      </c>
      <c r="J2931" s="24" t="str">
        <f ca="1">IF(OR(E2931="",E2931="!!!",F2931="NEW"),"",COUNTBLANK(OFFSET(A$1,,,SUMPRODUCT(MAX(ROW(E$2:E2931)*(E2931=E$2:E2931)))))-COUNTBLANK(OFFSET(A$1,,,SUMPRODUCT(MAX(ROW(E$1:E2930)*(E2=E$1:E2930))))))</f>
        <v/>
      </c>
      <c r="K2931" s="24" t="str">
        <f>IF(OR(E2931="",E2931="!!!",F2931="NEW"),"",INDEX(J$1:J2930,SUMPRODUCT(MAX(ROW(E$1:E2930)*(E2931=E$1:E2930)))))</f>
        <v/>
      </c>
      <c r="L2931" s="25"/>
    </row>
    <row r="2932" spans="1:12" x14ac:dyDescent="0.2">
      <c r="A2932" t="s">
        <v>964</v>
      </c>
      <c r="E2932" s="20" t="str">
        <f t="shared" si="314"/>
        <v/>
      </c>
      <c r="F2932" s="21" t="str">
        <f>IF(OR(E2932="",E2932="!!!"),"",IF(NOT(ISNA(VLOOKUP(E2932,E$1:E2931,1,FALSE()))),"OLD",IF(AND(E2932&lt;&gt;"",E2932&lt;&gt;"!!!"),"NEW","")))</f>
        <v/>
      </c>
      <c r="G2932" s="22" t="str">
        <f>IF(OR(E2932="",E2932="!!!"),"",IF(OR(J2932=0,AND(J2932=1,K2932=1),AND(J2932=1,I2932="SBJ"),AND(J2932=1,I2932=0)),"?IN_FOCUS",IF(J2932&lt;=2,"?ACTIVATED",IF(J2932&lt;&gt;"","?FAMILIAR",IF(F2932="NEW",IF(ISNA(VLOOKUP(E2932,#REF!,1,FALSE())),"?TYPE_IDENTIFIABLE","?REFERENTIAL"),"_")))))</f>
        <v/>
      </c>
      <c r="H2932" s="23" t="str">
        <f t="shared" ca="1" si="315"/>
        <v/>
      </c>
      <c r="I2932" s="24" t="str">
        <f>IF(OR(E2932="",E2932="!!!",F2932="NEW"),"",INDEX(B$2:B2931,-1+SUMPRODUCT(MAX(ROW(E$2:E2931)*(E2932=E$2:E2931)))))</f>
        <v/>
      </c>
      <c r="J2932" s="24" t="str">
        <f ca="1">IF(OR(E2932="",E2932="!!!",F2932="NEW"),"",COUNTBLANK(OFFSET(A$1,,,SUMPRODUCT(MAX(ROW(E$2:E2932)*(E2932=E$2:E2932)))))-COUNTBLANK(OFFSET(A$1,,,SUMPRODUCT(MAX(ROW(E$1:E2931)*(E2=E$1:E2931))))))</f>
        <v/>
      </c>
      <c r="K2932" s="24" t="str">
        <f>IF(OR(E2932="",E2932="!!!",F2932="NEW"),"",INDEX(J$1:J2931,SUMPRODUCT(MAX(ROW(E$1:E2931)*(E2932=E$1:E2931)))))</f>
        <v/>
      </c>
      <c r="L2932" s="25"/>
    </row>
    <row r="2933" spans="1:12" x14ac:dyDescent="0.2">
      <c r="A2933" t="s">
        <v>859</v>
      </c>
      <c r="E2933" s="20" t="str">
        <f t="shared" si="314"/>
        <v/>
      </c>
      <c r="F2933" s="21" t="str">
        <f>IF(OR(E2933="",E2933="!!!"),"",IF(NOT(ISNA(VLOOKUP(E2933,E$1:E2932,1,FALSE()))),"OLD",IF(AND(E2933&lt;&gt;"",E2933&lt;&gt;"!!!"),"NEW","")))</f>
        <v/>
      </c>
      <c r="G2933" s="22" t="str">
        <f>IF(OR(E2933="",E2933="!!!"),"",IF(OR(J2933=0,AND(J2933=1,K2933=1),AND(J2933=1,I2933="SBJ"),AND(J2933=1,I2933=0)),"?IN_FOCUS",IF(J2933&lt;=2,"?ACTIVATED",IF(J2933&lt;&gt;"","?FAMILIAR",IF(F2933="NEW",IF(ISNA(VLOOKUP(E2933,#REF!,1,FALSE())),"?TYPE_IDENTIFIABLE","?REFERENTIAL"),"_")))))</f>
        <v/>
      </c>
      <c r="H2933" s="23" t="str">
        <f t="shared" ca="1" si="315"/>
        <v/>
      </c>
      <c r="I2933" s="24" t="str">
        <f>IF(OR(E2933="",E2933="!!!",F2933="NEW"),"",INDEX(B$2:B2932,-1+SUMPRODUCT(MAX(ROW(E$2:E2932)*(E2933=E$2:E2932)))))</f>
        <v/>
      </c>
      <c r="J2933" s="24" t="str">
        <f ca="1">IF(OR(E2933="",E2933="!!!",F2933="NEW"),"",COUNTBLANK(OFFSET(A$1,,,SUMPRODUCT(MAX(ROW(E$2:E2933)*(E2933=E$2:E2933)))))-COUNTBLANK(OFFSET(A$1,,,SUMPRODUCT(MAX(ROW(E$1:E2932)*(E2=E$1:E2932))))))</f>
        <v/>
      </c>
      <c r="K2933" s="24" t="str">
        <f>IF(OR(E2933="",E2933="!!!",F2933="NEW"),"",INDEX(J$1:J2932,SUMPRODUCT(MAX(ROW(E$1:E2932)*(E2933=E$1:E2932)))))</f>
        <v/>
      </c>
      <c r="L2933" s="25"/>
    </row>
    <row r="2934" spans="1:12" x14ac:dyDescent="0.2">
      <c r="A2934" t="s">
        <v>152</v>
      </c>
      <c r="E2934" s="20" t="str">
        <f t="shared" si="314"/>
        <v/>
      </c>
      <c r="F2934" s="21" t="str">
        <f>IF(OR(E2934="",E2934="!!!"),"",IF(NOT(ISNA(VLOOKUP(E2934,E$1:E2933,1,FALSE()))),"OLD",IF(AND(E2934&lt;&gt;"",E2934&lt;&gt;"!!!"),"NEW","")))</f>
        <v/>
      </c>
      <c r="G2934" s="22" t="str">
        <f>IF(OR(E2934="",E2934="!!!"),"",IF(OR(J2934=0,AND(J2934=1,K2934=1),AND(J2934=1,I2934="SBJ"),AND(J2934=1,I2934=0)),"?IN_FOCUS",IF(J2934&lt;=2,"?ACTIVATED",IF(J2934&lt;&gt;"","?FAMILIAR",IF(F2934="NEW",IF(ISNA(VLOOKUP(E2934,#REF!,1,FALSE())),"?TYPE_IDENTIFIABLE","?REFERENTIAL"),"_")))))</f>
        <v/>
      </c>
      <c r="H2934" s="23" t="str">
        <f t="shared" ca="1" si="315"/>
        <v/>
      </c>
      <c r="I2934" s="24" t="str">
        <f>IF(OR(E2934="",E2934="!!!",F2934="NEW"),"",INDEX(B$2:B2933,-1+SUMPRODUCT(MAX(ROW(E$2:E2933)*(E2934=E$2:E2933)))))</f>
        <v/>
      </c>
      <c r="J2934" s="24" t="str">
        <f ca="1">IF(OR(E2934="",E2934="!!!",F2934="NEW"),"",COUNTBLANK(OFFSET(A$1,,,SUMPRODUCT(MAX(ROW(E$2:E2934)*(E2934=E$2:E2934)))))-COUNTBLANK(OFFSET(A$1,,,SUMPRODUCT(MAX(ROW(E$1:E2933)*(E2=E$1:E2933))))))</f>
        <v/>
      </c>
      <c r="K2934" s="24" t="str">
        <f>IF(OR(E2934="",E2934="!!!",F2934="NEW"),"",INDEX(J$1:J2933,SUMPRODUCT(MAX(ROW(E$1:E2933)*(E2934=E$1:E2933)))))</f>
        <v/>
      </c>
      <c r="L2934" s="25"/>
    </row>
    <row r="2935" spans="1:12" x14ac:dyDescent="0.2">
      <c r="A2935" t="s">
        <v>845</v>
      </c>
      <c r="E2935" s="20" t="str">
        <f t="shared" si="314"/>
        <v/>
      </c>
      <c r="F2935" s="21" t="str">
        <f>IF(OR(E2935="",E2935="!!!"),"",IF(NOT(ISNA(VLOOKUP(E2935,E$1:E2934,1,FALSE()))),"OLD",IF(AND(E2935&lt;&gt;"",E2935&lt;&gt;"!!!"),"NEW","")))</f>
        <v/>
      </c>
      <c r="G2935" s="22" t="str">
        <f>IF(OR(E2935="",E2935="!!!"),"",IF(OR(J2935=0,AND(J2935=1,K2935=1),AND(J2935=1,I2935="SBJ"),AND(J2935=1,I2935=0)),"?IN_FOCUS",IF(J2935&lt;=2,"?ACTIVATED",IF(J2935&lt;&gt;"","?FAMILIAR",IF(F2935="NEW",IF(ISNA(VLOOKUP(E2935,#REF!,1,FALSE())),"?TYPE_IDENTIFIABLE","?REFERENTIAL"),"_")))))</f>
        <v/>
      </c>
      <c r="H2935" s="23" t="str">
        <f t="shared" ca="1" si="315"/>
        <v/>
      </c>
      <c r="I2935" s="24" t="str">
        <f>IF(OR(E2935="",E2935="!!!",F2935="NEW"),"",INDEX(B$2:B2934,-1+SUMPRODUCT(MAX(ROW(E$2:E2934)*(E2935=E$2:E2934)))))</f>
        <v/>
      </c>
      <c r="J2935" s="24" t="str">
        <f ca="1">IF(OR(E2935="",E2935="!!!",F2935="NEW"),"",COUNTBLANK(OFFSET(A$1,,,SUMPRODUCT(MAX(ROW(E$2:E2935)*(E2935=E$2:E2935)))))-COUNTBLANK(OFFSET(A$1,,,SUMPRODUCT(MAX(ROW(E$1:E2934)*(E2=E$1:E2934))))))</f>
        <v/>
      </c>
      <c r="K2935" s="24" t="str">
        <f>IF(OR(E2935="",E2935="!!!",F2935="NEW"),"",INDEX(J$1:J2934,SUMPRODUCT(MAX(ROW(E$1:E2934)*(E2935=E$1:E2934)))))</f>
        <v/>
      </c>
      <c r="L2935" s="25"/>
    </row>
    <row r="2936" spans="1:12" x14ac:dyDescent="0.2">
      <c r="A2936" t="s">
        <v>1038</v>
      </c>
      <c r="B2936" s="26" t="s">
        <v>1638</v>
      </c>
      <c r="C2936" s="26" t="s">
        <v>847</v>
      </c>
      <c r="D2936" s="26" t="s">
        <v>806</v>
      </c>
      <c r="E2936" s="20" t="s">
        <v>1038</v>
      </c>
      <c r="F2936" s="21" t="str">
        <f>IF(OR(E2936="",E2936="!!!"),"",IF(NOT(ISNA(VLOOKUP(E2936,E$1:E2935,1,FALSE()))),"OLD",IF(AND(E2936&lt;&gt;"",E2936&lt;&gt;"!!!"),"NEW","")))</f>
        <v>NEW</v>
      </c>
      <c r="G2936" s="22" t="s">
        <v>1820</v>
      </c>
      <c r="H2936" s="23" t="str">
        <f t="shared" ca="1" si="315"/>
        <v/>
      </c>
      <c r="I2936" s="24" t="str">
        <f>IF(OR(E2936="",E2936="!!!",F2936="NEW"),"",INDEX(B$2:B2935,-1+SUMPRODUCT(MAX(ROW(E$2:E2935)*(E2936=E$2:E2935)))))</f>
        <v/>
      </c>
      <c r="J2936" s="24" t="str">
        <f ca="1">IF(OR(E2936="",E2936="!!!",F2936="NEW"),"",COUNTBLANK(OFFSET(A$1,,,SUMPRODUCT(MAX(ROW(E$2:E2936)*(E2936=E$2:E2936)))))-COUNTBLANK(OFFSET(A$1,,,SUMPRODUCT(MAX(ROW(E$1:E2935)*(E2=E$1:E2935))))))</f>
        <v/>
      </c>
      <c r="K2936" s="24" t="str">
        <f>IF(OR(E2936="",E2936="!!!",F2936="NEW"),"",INDEX(J$1:J2935,SUMPRODUCT(MAX(ROW(E$1:E2935)*(E2936=E$1:E2935)))))</f>
        <v/>
      </c>
      <c r="L2936" s="25"/>
    </row>
    <row r="2937" spans="1:12" x14ac:dyDescent="0.2">
      <c r="A2937" t="s">
        <v>922</v>
      </c>
      <c r="E2937" s="20" t="str">
        <f t="shared" si="314"/>
        <v/>
      </c>
      <c r="F2937" s="21" t="str">
        <f>IF(OR(E2937="",E2937="!!!"),"",IF(NOT(ISNA(VLOOKUP(E2937,E$1:E2936,1,FALSE()))),"OLD",IF(AND(E2937&lt;&gt;"",E2937&lt;&gt;"!!!"),"NEW","")))</f>
        <v/>
      </c>
      <c r="G2937" s="22" t="str">
        <f>IF(OR(E2937="",E2937="!!!"),"",IF(OR(J2937=0,AND(J2937=1,K2937=1),AND(J2937=1,I2937="SBJ"),AND(J2937=1,I2937=0)),"?IN_FOCUS",IF(J2937&lt;=2,"?ACTIVATED",IF(J2937&lt;&gt;"","?FAMILIAR",IF(F2937="NEW",IF(ISNA(VLOOKUP(E2937,#REF!,1,FALSE())),"?TYPE_IDENTIFIABLE","?REFERENTIAL"),"_")))))</f>
        <v/>
      </c>
      <c r="H2937" s="23" t="str">
        <f t="shared" ca="1" si="315"/>
        <v/>
      </c>
      <c r="I2937" s="24" t="str">
        <f>IF(OR(E2937="",E2937="!!!",F2937="NEW"),"",INDEX(B$2:B2936,-1+SUMPRODUCT(MAX(ROW(E$2:E2936)*(E2937=E$2:E2936)))))</f>
        <v/>
      </c>
      <c r="J2937" s="24" t="str">
        <f ca="1">IF(OR(E2937="",E2937="!!!",F2937="NEW"),"",COUNTBLANK(OFFSET(A$1,,,SUMPRODUCT(MAX(ROW(E$2:E2937)*(E2937=E$2:E2937)))))-COUNTBLANK(OFFSET(A$1,,,SUMPRODUCT(MAX(ROW(E$1:E2936)*(E2=E$1:E2936))))))</f>
        <v/>
      </c>
      <c r="K2937" s="24" t="str">
        <f>IF(OR(E2937="",E2937="!!!",F2937="NEW"),"",INDEX(J$1:J2936,SUMPRODUCT(MAX(ROW(E$1:E2936)*(E2937=E$1:E2936)))))</f>
        <v/>
      </c>
      <c r="L2937" s="25"/>
    </row>
    <row r="2938" spans="1:12" x14ac:dyDescent="0.2">
      <c r="A2938" t="s">
        <v>902</v>
      </c>
      <c r="E2938" s="20" t="str">
        <f t="shared" si="314"/>
        <v/>
      </c>
      <c r="F2938" s="21" t="str">
        <f>IF(OR(E2938="",E2938="!!!"),"",IF(NOT(ISNA(VLOOKUP(E2938,E$1:E2937,1,FALSE()))),"OLD",IF(AND(E2938&lt;&gt;"",E2938&lt;&gt;"!!!"),"NEW","")))</f>
        <v/>
      </c>
      <c r="G2938" s="22" t="str">
        <f>IF(OR(E2938="",E2938="!!!"),"",IF(OR(J2938=0,AND(J2938=1,K2938=1),AND(J2938=1,I2938="SBJ"),AND(J2938=1,I2938=0)),"?IN_FOCUS",IF(J2938&lt;=2,"?ACTIVATED",IF(J2938&lt;&gt;"","?FAMILIAR",IF(F2938="NEW",IF(ISNA(VLOOKUP(E2938,#REF!,1,FALSE())),"?TYPE_IDENTIFIABLE","?REFERENTIAL"),"_")))))</f>
        <v/>
      </c>
      <c r="H2938" s="23" t="str">
        <f t="shared" ca="1" si="315"/>
        <v/>
      </c>
      <c r="I2938" s="24" t="str">
        <f>IF(OR(E2938="",E2938="!!!",F2938="NEW"),"",INDEX(B$2:B2937,-1+SUMPRODUCT(MAX(ROW(E$2:E2937)*(E2938=E$2:E2937)))))</f>
        <v/>
      </c>
      <c r="J2938" s="24" t="str">
        <f ca="1">IF(OR(E2938="",E2938="!!!",F2938="NEW"),"",COUNTBLANK(OFFSET(A$1,,,SUMPRODUCT(MAX(ROW(E$2:E2938)*(E2938=E$2:E2938)))))-COUNTBLANK(OFFSET(A$1,,,SUMPRODUCT(MAX(ROW(E$1:E2937)*(E2=E$1:E2937))))))</f>
        <v/>
      </c>
      <c r="K2938" s="24" t="str">
        <f>IF(OR(E2938="",E2938="!!!",F2938="NEW"),"",INDEX(J$1:J2937,SUMPRODUCT(MAX(ROW(E$1:E2937)*(E2938=E$1:E2937)))))</f>
        <v/>
      </c>
      <c r="L2938" s="25"/>
    </row>
    <row r="2940" spans="1:12" x14ac:dyDescent="0.2">
      <c r="A2940" t="s">
        <v>1639</v>
      </c>
    </row>
    <row r="2941" spans="1:12" x14ac:dyDescent="0.2">
      <c r="A2941" t="s">
        <v>918</v>
      </c>
      <c r="E2941" s="20" t="str">
        <f t="shared" ref="E2941:E2949" si="316">IF(D2941="?OLD","!!!","")</f>
        <v/>
      </c>
      <c r="F2941" s="21" t="str">
        <f>IF(OR(E2941="",E2941="!!!"),"",IF(NOT(ISNA(VLOOKUP(E2941,E$1:E2940,1,FALSE()))),"OLD",IF(AND(E2941&lt;&gt;"",E2941&lt;&gt;"!!!"),"NEW","")))</f>
        <v/>
      </c>
      <c r="G2941" s="22" t="str">
        <f>IF(OR(E2941="",E2941="!!!"),"",IF(OR(J2941=0,AND(J2941=1,K2941=1),AND(J2941=1,I2941="SBJ"),AND(J2941=1,I2941=0)),"?IN_FOCUS",IF(J2941&lt;=2,"?ACTIVATED",IF(J2941&lt;&gt;"","?FAMILIAR",IF(F2941="NEW",IF(ISNA(VLOOKUP(E2941,#REF!,1,FALSE())),"?TYPE_IDENTIFIABLE","?REFERENTIAL"),"_")))))</f>
        <v/>
      </c>
      <c r="H2941" s="23" t="str">
        <f t="shared" ref="H2941:H2949" ca="1" si="317">IF(J2941&lt;&gt;1,"",IF(I2941="SBJ","CB","?"))</f>
        <v/>
      </c>
      <c r="I2941" s="24" t="str">
        <f>IF(OR(E2941="",E2941="!!!",F2941="NEW"),"",INDEX(B$2:B2940,-1+SUMPRODUCT(MAX(ROW(E$2:E2940)*(E2941=E$2:E2940)))))</f>
        <v/>
      </c>
      <c r="J2941" s="24" t="str">
        <f ca="1">IF(OR(E2941="",E2941="!!!",F2941="NEW"),"",COUNTBLANK(OFFSET(A$1,,,SUMPRODUCT(MAX(ROW(E$2:E2941)*(E2941=E$2:E2941)))))-COUNTBLANK(OFFSET(A$1,,,SUMPRODUCT(MAX(ROW(E$1:E2940)*(E2=E$1:E2940))))))</f>
        <v/>
      </c>
      <c r="K2941" s="24" t="str">
        <f>IF(OR(E2941="",E2941="!!!",F2941="NEW"),"",INDEX(J$1:J2940,SUMPRODUCT(MAX(ROW(E$1:E2940)*(E2941=E$1:E2940)))))</f>
        <v/>
      </c>
      <c r="L2941" s="25"/>
    </row>
    <row r="2942" spans="1:12" x14ac:dyDescent="0.2">
      <c r="A2942" t="s">
        <v>1018</v>
      </c>
      <c r="E2942" s="20" t="str">
        <f t="shared" si="316"/>
        <v/>
      </c>
      <c r="F2942" s="21" t="str">
        <f>IF(OR(E2942="",E2942="!!!"),"",IF(NOT(ISNA(VLOOKUP(E2942,E$1:E2941,1,FALSE()))),"OLD",IF(AND(E2942&lt;&gt;"",E2942&lt;&gt;"!!!"),"NEW","")))</f>
        <v/>
      </c>
      <c r="G2942" s="22" t="str">
        <f>IF(OR(E2942="",E2942="!!!"),"",IF(OR(J2942=0,AND(J2942=1,K2942=1),AND(J2942=1,I2942="SBJ"),AND(J2942=1,I2942=0)),"?IN_FOCUS",IF(J2942&lt;=2,"?ACTIVATED",IF(J2942&lt;&gt;"","?FAMILIAR",IF(F2942="NEW",IF(ISNA(VLOOKUP(E2942,#REF!,1,FALSE())),"?TYPE_IDENTIFIABLE","?REFERENTIAL"),"_")))))</f>
        <v/>
      </c>
      <c r="H2942" s="23" t="str">
        <f t="shared" ca="1" si="317"/>
        <v/>
      </c>
      <c r="I2942" s="24" t="str">
        <f>IF(OR(E2942="",E2942="!!!",F2942="NEW"),"",INDEX(B$2:B2941,-1+SUMPRODUCT(MAX(ROW(E$2:E2941)*(E2942=E$2:E2941)))))</f>
        <v/>
      </c>
      <c r="J2942" s="24" t="str">
        <f ca="1">IF(OR(E2942="",E2942="!!!",F2942="NEW"),"",COUNTBLANK(OFFSET(A$1,,,SUMPRODUCT(MAX(ROW(E$2:E2942)*(E2942=E$2:E2942)))))-COUNTBLANK(OFFSET(A$1,,,SUMPRODUCT(MAX(ROW(E$1:E2941)*(E2=E$1:E2941))))))</f>
        <v/>
      </c>
      <c r="K2942" s="24" t="str">
        <f>IF(OR(E2942="",E2942="!!!",F2942="NEW"),"",INDEX(J$1:J2941,SUMPRODUCT(MAX(ROW(E$1:E2941)*(E2942=E$1:E2941)))))</f>
        <v/>
      </c>
      <c r="L2942" s="25"/>
    </row>
    <row r="2943" spans="1:12" x14ac:dyDescent="0.2">
      <c r="A2943" t="s">
        <v>866</v>
      </c>
      <c r="B2943" s="26" t="s">
        <v>804</v>
      </c>
      <c r="C2943" s="26" t="s">
        <v>805</v>
      </c>
      <c r="D2943" s="26" t="s">
        <v>806</v>
      </c>
      <c r="E2943" s="20"/>
      <c r="F2943" s="21" t="s">
        <v>1781</v>
      </c>
      <c r="G2943" s="22" t="str">
        <f>IF(OR(E2943="",E2943="!!!"),"",IF(OR(J2943=0,AND(J2943=1,K2943=1),AND(J2943=1,I2943="SBJ"),AND(J2943=1,I2943=0)),"?IN_FOCUS",IF(J2943&lt;=2,"?ACTIVATED",IF(J2943&lt;&gt;"","?FAMILIAR",IF(F2943="NEW",IF(ISNA(VLOOKUP(E2943,#REF!,1,FALSE())),"?TYPE_IDENTIFIABLE","?REFERENTIAL"),"_")))))</f>
        <v/>
      </c>
      <c r="H2943" s="23" t="str">
        <f t="shared" ca="1" si="317"/>
        <v/>
      </c>
      <c r="I2943" s="24" t="str">
        <f>IF(OR(E2943="",E2943="!!!",F2943="NEW"),"",INDEX(B$2:B2942,-1+SUMPRODUCT(MAX(ROW(E$2:E2942)*(E2943=E$2:E2942)))))</f>
        <v/>
      </c>
      <c r="J2943" s="24" t="str">
        <f ca="1">IF(OR(E2943="",E2943="!!!",F2943="NEW"),"",COUNTBLANK(OFFSET(A$1,,,SUMPRODUCT(MAX(ROW(E$2:E2943)*(E2943=E$2:E2943)))))-COUNTBLANK(OFFSET(A$1,,,SUMPRODUCT(MAX(ROW(E$1:E2942)*(E2=E$1:E2942))))))</f>
        <v/>
      </c>
      <c r="K2943" s="24" t="str">
        <f>IF(OR(E2943="",E2943="!!!",F2943="NEW"),"",INDEX(J$1:J2942,SUMPRODUCT(MAX(ROW(E$1:E2942)*(E2943=E$1:E2942)))))</f>
        <v/>
      </c>
      <c r="L2943" s="25"/>
    </row>
    <row r="2944" spans="1:12" x14ac:dyDescent="0.2">
      <c r="A2944" t="s">
        <v>964</v>
      </c>
      <c r="E2944" s="20" t="str">
        <f t="shared" si="316"/>
        <v/>
      </c>
      <c r="F2944" s="21" t="str">
        <f>IF(OR(E2944="",E2944="!!!"),"",IF(NOT(ISNA(VLOOKUP(E2944,E$1:E2943,1,FALSE()))),"OLD",IF(AND(E2944&lt;&gt;"",E2944&lt;&gt;"!!!"),"NEW","")))</f>
        <v/>
      </c>
      <c r="G2944" s="22" t="str">
        <f>IF(OR(E2944="",E2944="!!!"),"",IF(OR(J2944=0,AND(J2944=1,K2944=1),AND(J2944=1,I2944="SBJ"),AND(J2944=1,I2944=0)),"?IN_FOCUS",IF(J2944&lt;=2,"?ACTIVATED",IF(J2944&lt;&gt;"","?FAMILIAR",IF(F2944="NEW",IF(ISNA(VLOOKUP(E2944,#REF!,1,FALSE())),"?TYPE_IDENTIFIABLE","?REFERENTIAL"),"_")))))</f>
        <v/>
      </c>
      <c r="H2944" s="23" t="str">
        <f t="shared" ca="1" si="317"/>
        <v/>
      </c>
      <c r="I2944" s="24" t="str">
        <f>IF(OR(E2944="",E2944="!!!",F2944="NEW"),"",INDEX(B$2:B2943,-1+SUMPRODUCT(MAX(ROW(E$2:E2943)*(E2944=E$2:E2943)))))</f>
        <v/>
      </c>
      <c r="J2944" s="24" t="str">
        <f ca="1">IF(OR(E2944="",E2944="!!!",F2944="NEW"),"",COUNTBLANK(OFFSET(A$1,,,SUMPRODUCT(MAX(ROW(E$2:E2944)*(E2944=E$2:E2944)))))-COUNTBLANK(OFFSET(A$1,,,SUMPRODUCT(MAX(ROW(E$1:E2943)*(E2=E$1:E2943))))))</f>
        <v/>
      </c>
      <c r="K2944" s="24" t="str">
        <f>IF(OR(E2944="",E2944="!!!",F2944="NEW"),"",INDEX(J$1:J2943,SUMPRODUCT(MAX(ROW(E$1:E2943)*(E2944=E$1:E2943)))))</f>
        <v/>
      </c>
      <c r="L2944" s="25"/>
    </row>
    <row r="2945" spans="1:12" x14ac:dyDescent="0.2">
      <c r="A2945" t="s">
        <v>859</v>
      </c>
      <c r="E2945" s="20" t="str">
        <f t="shared" si="316"/>
        <v/>
      </c>
      <c r="F2945" s="21" t="str">
        <f>IF(OR(E2945="",E2945="!!!"),"",IF(NOT(ISNA(VLOOKUP(E2945,E$1:E2944,1,FALSE()))),"OLD",IF(AND(E2945&lt;&gt;"",E2945&lt;&gt;"!!!"),"NEW","")))</f>
        <v/>
      </c>
      <c r="G2945" s="22" t="str">
        <f>IF(OR(E2945="",E2945="!!!"),"",IF(OR(J2945=0,AND(J2945=1,K2945=1),AND(J2945=1,I2945="SBJ"),AND(J2945=1,I2945=0)),"?IN_FOCUS",IF(J2945&lt;=2,"?ACTIVATED",IF(J2945&lt;&gt;"","?FAMILIAR",IF(F2945="NEW",IF(ISNA(VLOOKUP(E2945,#REF!,1,FALSE())),"?TYPE_IDENTIFIABLE","?REFERENTIAL"),"_")))))</f>
        <v/>
      </c>
      <c r="H2945" s="23" t="str">
        <f t="shared" ca="1" si="317"/>
        <v/>
      </c>
      <c r="I2945" s="24" t="str">
        <f>IF(OR(E2945="",E2945="!!!",F2945="NEW"),"",INDEX(B$2:B2944,-1+SUMPRODUCT(MAX(ROW(E$2:E2944)*(E2945=E$2:E2944)))))</f>
        <v/>
      </c>
      <c r="J2945" s="24" t="str">
        <f ca="1">IF(OR(E2945="",E2945="!!!",F2945="NEW"),"",COUNTBLANK(OFFSET(A$1,,,SUMPRODUCT(MAX(ROW(E$2:E2945)*(E2945=E$2:E2945)))))-COUNTBLANK(OFFSET(A$1,,,SUMPRODUCT(MAX(ROW(E$1:E2944)*(E2=E$1:E2944))))))</f>
        <v/>
      </c>
      <c r="K2945" s="24" t="str">
        <f>IF(OR(E2945="",E2945="!!!",F2945="NEW"),"",INDEX(J$1:J2944,SUMPRODUCT(MAX(ROW(E$1:E2944)*(E2945=E$1:E2944)))))</f>
        <v/>
      </c>
      <c r="L2945" s="25"/>
    </row>
    <row r="2946" spans="1:12" x14ac:dyDescent="0.2">
      <c r="A2946" t="s">
        <v>152</v>
      </c>
      <c r="E2946" s="20" t="str">
        <f t="shared" si="316"/>
        <v/>
      </c>
      <c r="F2946" s="21" t="str">
        <f>IF(OR(E2946="",E2946="!!!"),"",IF(NOT(ISNA(VLOOKUP(E2946,E$1:E2945,1,FALSE()))),"OLD",IF(AND(E2946&lt;&gt;"",E2946&lt;&gt;"!!!"),"NEW","")))</f>
        <v/>
      </c>
      <c r="G2946" s="22" t="str">
        <f>IF(OR(E2946="",E2946="!!!"),"",IF(OR(J2946=0,AND(J2946=1,K2946=1),AND(J2946=1,I2946="SBJ"),AND(J2946=1,I2946=0)),"?IN_FOCUS",IF(J2946&lt;=2,"?ACTIVATED",IF(J2946&lt;&gt;"","?FAMILIAR",IF(F2946="NEW",IF(ISNA(VLOOKUP(E2946,#REF!,1,FALSE())),"?TYPE_IDENTIFIABLE","?REFERENTIAL"),"_")))))</f>
        <v/>
      </c>
      <c r="H2946" s="23" t="str">
        <f t="shared" ca="1" si="317"/>
        <v/>
      </c>
      <c r="I2946" s="24" t="str">
        <f>IF(OR(E2946="",E2946="!!!",F2946="NEW"),"",INDEX(B$2:B2945,-1+SUMPRODUCT(MAX(ROW(E$2:E2945)*(E2946=E$2:E2945)))))</f>
        <v/>
      </c>
      <c r="J2946" s="24" t="str">
        <f ca="1">IF(OR(E2946="",E2946="!!!",F2946="NEW"),"",COUNTBLANK(OFFSET(A$1,,,SUMPRODUCT(MAX(ROW(E$2:E2946)*(E2946=E$2:E2946)))))-COUNTBLANK(OFFSET(A$1,,,SUMPRODUCT(MAX(ROW(E$1:E2945)*(E2=E$1:E2945))))))</f>
        <v/>
      </c>
      <c r="K2946" s="24" t="str">
        <f>IF(OR(E2946="",E2946="!!!",F2946="NEW"),"",INDEX(J$1:J2945,SUMPRODUCT(MAX(ROW(E$1:E2945)*(E2946=E$1:E2945)))))</f>
        <v/>
      </c>
      <c r="L2946" s="25"/>
    </row>
    <row r="2947" spans="1:12" x14ac:dyDescent="0.2">
      <c r="A2947" t="s">
        <v>845</v>
      </c>
      <c r="E2947" s="20" t="str">
        <f t="shared" si="316"/>
        <v/>
      </c>
      <c r="F2947" s="21" t="str">
        <f>IF(OR(E2947="",E2947="!!!"),"",IF(NOT(ISNA(VLOOKUP(E2947,E$1:E2946,1,FALSE()))),"OLD",IF(AND(E2947&lt;&gt;"",E2947&lt;&gt;"!!!"),"NEW","")))</f>
        <v/>
      </c>
      <c r="G2947" s="22" t="str">
        <f>IF(OR(E2947="",E2947="!!!"),"",IF(OR(J2947=0,AND(J2947=1,K2947=1),AND(J2947=1,I2947="SBJ"),AND(J2947=1,I2947=0)),"?IN_FOCUS",IF(J2947&lt;=2,"?ACTIVATED",IF(J2947&lt;&gt;"","?FAMILIAR",IF(F2947="NEW",IF(ISNA(VLOOKUP(E2947,#REF!,1,FALSE())),"?TYPE_IDENTIFIABLE","?REFERENTIAL"),"_")))))</f>
        <v/>
      </c>
      <c r="H2947" s="23" t="str">
        <f t="shared" ca="1" si="317"/>
        <v/>
      </c>
      <c r="I2947" s="24" t="str">
        <f>IF(OR(E2947="",E2947="!!!",F2947="NEW"),"",INDEX(B$2:B2946,-1+SUMPRODUCT(MAX(ROW(E$2:E2946)*(E2947=E$2:E2946)))))</f>
        <v/>
      </c>
      <c r="J2947" s="24" t="str">
        <f ca="1">IF(OR(E2947="",E2947="!!!",F2947="NEW"),"",COUNTBLANK(OFFSET(A$1,,,SUMPRODUCT(MAX(ROW(E$2:E2947)*(E2947=E$2:E2947)))))-COUNTBLANK(OFFSET(A$1,,,SUMPRODUCT(MAX(ROW(E$1:E2946)*(E2=E$1:E2946))))))</f>
        <v/>
      </c>
      <c r="K2947" s="24" t="str">
        <f>IF(OR(E2947="",E2947="!!!",F2947="NEW"),"",INDEX(J$1:J2946,SUMPRODUCT(MAX(ROW(E$1:E2946)*(E2947=E$1:E2946)))))</f>
        <v/>
      </c>
      <c r="L2947" s="25"/>
    </row>
    <row r="2948" spans="1:12" x14ac:dyDescent="0.2">
      <c r="A2948" t="s">
        <v>1038</v>
      </c>
      <c r="B2948" s="26" t="s">
        <v>938</v>
      </c>
      <c r="C2948" s="26" t="s">
        <v>847</v>
      </c>
      <c r="D2948" s="26" t="s">
        <v>806</v>
      </c>
      <c r="E2948" s="20" t="s">
        <v>1038</v>
      </c>
      <c r="F2948" s="21" t="str">
        <f>IF(OR(E2948="",E2948="!!!"),"",IF(NOT(ISNA(VLOOKUP(E2948,E$1:E2947,1,FALSE()))),"OLD",IF(AND(E2948&lt;&gt;"",E2948&lt;&gt;"!!!"),"NEW","")))</f>
        <v>OLD</v>
      </c>
      <c r="G2948" s="22" t="s">
        <v>1822</v>
      </c>
      <c r="H2948" s="23" t="str">
        <f t="shared" ca="1" si="317"/>
        <v/>
      </c>
      <c r="I2948" s="24" t="str">
        <f>IF(OR(E2948="",E2948="!!!",F2948="NEW"),"",INDEX(B$2:B2947,-1+SUMPRODUCT(MAX(ROW(E$2:E2947)*(E2948=E$2:E2947)))))</f>
        <v>OBJ_7</v>
      </c>
      <c r="J2948" s="24">
        <f ca="1">IF(OR(E2948="",E2948="!!!",F2948="NEW"),"",COUNTBLANK(OFFSET(A$1,,,SUMPRODUCT(MAX(ROW(E$2:E2948)*(E2948=E$2:E2948)))))-COUNTBLANK(OFFSET(A$1,,,SUMPRODUCT(MAX(ROW(E$1:E2947)*(E2=E$1:E2947))))))</f>
        <v>0</v>
      </c>
      <c r="K2948" s="24" t="str">
        <f ca="1">IF(OR(E2948="",E2948="!!!",F2948="NEW"),"",INDEX(J$1:J2947,SUMPRODUCT(MAX(ROW(E$1:E2947)*(E2948=E$1:E2947)))))</f>
        <v/>
      </c>
      <c r="L2948" s="25"/>
    </row>
    <row r="2949" spans="1:12" x14ac:dyDescent="0.2">
      <c r="A2949" t="s">
        <v>922</v>
      </c>
      <c r="E2949" s="20" t="str">
        <f t="shared" si="316"/>
        <v/>
      </c>
      <c r="F2949" s="21" t="str">
        <f>IF(OR(E2949="",E2949="!!!"),"",IF(NOT(ISNA(VLOOKUP(E2949,E$1:E2948,1,FALSE()))),"OLD",IF(AND(E2949&lt;&gt;"",E2949&lt;&gt;"!!!"),"NEW","")))</f>
        <v/>
      </c>
      <c r="G2949" s="22" t="str">
        <f>IF(OR(E2949="",E2949="!!!"),"",IF(OR(J2949=0,AND(J2949=1,K2949=1),AND(J2949=1,I2949="SBJ"),AND(J2949=1,I2949=0)),"?IN_FOCUS",IF(J2949&lt;=2,"?ACTIVATED",IF(J2949&lt;&gt;"","?FAMILIAR",IF(F2949="NEW",IF(ISNA(VLOOKUP(E2949,#REF!,1,FALSE())),"?TYPE_IDENTIFIABLE","?REFERENTIAL"),"_")))))</f>
        <v/>
      </c>
      <c r="H2949" s="23" t="str">
        <f t="shared" ca="1" si="317"/>
        <v/>
      </c>
      <c r="I2949" s="24" t="str">
        <f>IF(OR(E2949="",E2949="!!!",F2949="NEW"),"",INDEX(B$2:B2948,-1+SUMPRODUCT(MAX(ROW(E$2:E2948)*(E2949=E$2:E2948)))))</f>
        <v/>
      </c>
      <c r="J2949" s="24" t="str">
        <f ca="1">IF(OR(E2949="",E2949="!!!",F2949="NEW"),"",COUNTBLANK(OFFSET(A$1,,,SUMPRODUCT(MAX(ROW(E$2:E2949)*(E2949=E$2:E2949)))))-COUNTBLANK(OFFSET(A$1,,,SUMPRODUCT(MAX(ROW(E$1:E2948)*(E2=E$1:E2948))))))</f>
        <v/>
      </c>
      <c r="K2949" s="24" t="str">
        <f>IF(OR(E2949="",E2949="!!!",F2949="NEW"),"",INDEX(J$1:J2948,SUMPRODUCT(MAX(ROW(E$1:E2948)*(E2949=E$1:E2948)))))</f>
        <v/>
      </c>
      <c r="L2949" s="25"/>
    </row>
    <row r="2951" spans="1:12" x14ac:dyDescent="0.2">
      <c r="A2951" t="s">
        <v>1640</v>
      </c>
    </row>
    <row r="2952" spans="1:12" x14ac:dyDescent="0.2">
      <c r="A2952" t="s">
        <v>1641</v>
      </c>
      <c r="E2952" s="20" t="str">
        <f>IF(D2952="?OLD","!!!","")</f>
        <v/>
      </c>
      <c r="F2952" s="21" t="str">
        <f>IF(OR(E2952="",E2952="!!!"),"",IF(NOT(ISNA(VLOOKUP(E2952,E$1:E2951,1,FALSE()))),"OLD",IF(AND(E2952&lt;&gt;"",E2952&lt;&gt;"!!!"),"NEW","")))</f>
        <v/>
      </c>
      <c r="G2952" s="22" t="str">
        <f>IF(OR(E2952="",E2952="!!!"),"",IF(OR(J2952=0,AND(J2952=1,K2952=1),AND(J2952=1,I2952="SBJ"),AND(J2952=1,I2952=0)),"?IN_FOCUS",IF(J2952&lt;=2,"?ACTIVATED",IF(J2952&lt;&gt;"","?FAMILIAR",IF(F2952="NEW",IF(ISNA(VLOOKUP(E2952,#REF!,1,FALSE())),"?TYPE_IDENTIFIABLE","?REFERENTIAL"),"_")))))</f>
        <v/>
      </c>
      <c r="H2952" s="23" t="str">
        <f ca="1">IF(J2952&lt;&gt;1,"",IF(I2952="SBJ","CB","?"))</f>
        <v/>
      </c>
      <c r="I2952" s="24" t="str">
        <f>IF(OR(E2952="",E2952="!!!",F2952="NEW"),"",INDEX(B$2:B2951,-1+SUMPRODUCT(MAX(ROW(E$2:E2951)*(E2952=E$2:E2951)))))</f>
        <v/>
      </c>
      <c r="J2952" s="24" t="str">
        <f ca="1">IF(OR(E2952="",E2952="!!!",F2952="NEW"),"",COUNTBLANK(OFFSET(A$1,,,SUMPRODUCT(MAX(ROW(E$2:E2952)*(E2952=E$2:E2952)))))-COUNTBLANK(OFFSET(A$1,,,SUMPRODUCT(MAX(ROW(E$1:E2951)*(E2=E$1:E2951))))))</f>
        <v/>
      </c>
      <c r="K2952" s="24" t="str">
        <f>IF(OR(E2952="",E2952="!!!",F2952="NEW"),"",INDEX(J$1:J2951,SUMPRODUCT(MAX(ROW(E$1:E2951)*(E2952=E$1:E2951)))))</f>
        <v/>
      </c>
      <c r="L2952" s="25"/>
    </row>
    <row r="2953" spans="1:12" x14ac:dyDescent="0.2">
      <c r="A2953" t="s">
        <v>803</v>
      </c>
      <c r="B2953" s="26" t="s">
        <v>804</v>
      </c>
      <c r="C2953" s="26" t="s">
        <v>805</v>
      </c>
      <c r="D2953" s="26" t="s">
        <v>806</v>
      </c>
      <c r="E2953" s="20" t="s">
        <v>1747</v>
      </c>
      <c r="F2953" s="21" t="s">
        <v>1753</v>
      </c>
      <c r="G2953" s="22" t="s">
        <v>1823</v>
      </c>
      <c r="H2953" s="23" t="str">
        <f ca="1">IF(J2953&lt;&gt;1,"",IF(I2953="SBJ","CB","?"))</f>
        <v/>
      </c>
      <c r="I2953" s="24" t="str">
        <f>IF(OR(E2953="",E2953="!!!",F2953="NEW"),"",INDEX(B$2:B2952,-1+SUMPRODUCT(MAX(ROW(E$2:E2952)*(E2953=E$2:E2952)))))</f>
        <v>SBJ_2</v>
      </c>
      <c r="J2953" s="24">
        <f ca="1">IF(OR(E2953="",E2953="!!!",F2953="NEW"),"",COUNTBLANK(OFFSET(A$1,,,SUMPRODUCT(MAX(ROW(E$2:E2953)*(E2953=E$2:E2953)))))-COUNTBLANK(OFFSET(A$1,,,SUMPRODUCT(MAX(ROW(E$1:E2952)*(E2=E$1:E2952))))))</f>
        <v>0</v>
      </c>
      <c r="K2953" s="24">
        <f ca="1">IF(OR(E2953="",E2953="!!!",F2953="NEW"),"",INDEX(J$1:J2952,SUMPRODUCT(MAX(ROW(E$1:E2952)*(E2953=E$1:E2952)))))</f>
        <v>0</v>
      </c>
      <c r="L2953" s="25"/>
    </row>
    <row r="2954" spans="1:12" x14ac:dyDescent="0.2">
      <c r="A2954" t="s">
        <v>78</v>
      </c>
      <c r="E2954" s="20" t="str">
        <f>IF(D2954="?OLD","!!!","")</f>
        <v/>
      </c>
      <c r="F2954" s="21" t="str">
        <f>IF(OR(E2954="",E2954="!!!"),"",IF(NOT(ISNA(VLOOKUP(E2954,E$1:E2953,1,FALSE()))),"OLD",IF(AND(E2954&lt;&gt;"",E2954&lt;&gt;"!!!"),"NEW","")))</f>
        <v/>
      </c>
      <c r="G2954" s="22" t="str">
        <f>IF(OR(E2954="",E2954="!!!"),"",IF(OR(J2954=0,AND(J2954=1,K2954=1),AND(J2954=1,I2954="SBJ"),AND(J2954=1,I2954=0)),"?IN_FOCUS",IF(J2954&lt;=2,"?ACTIVATED",IF(J2954&lt;&gt;"","?FAMILIAR",IF(F2954="NEW",IF(ISNA(VLOOKUP(E2954,#REF!,1,FALSE())),"?TYPE_IDENTIFIABLE","?REFERENTIAL"),"_")))))</f>
        <v/>
      </c>
      <c r="H2954" s="23" t="str">
        <f ca="1">IF(J2954&lt;&gt;1,"",IF(I2954="SBJ","CB","?"))</f>
        <v/>
      </c>
      <c r="I2954" s="24" t="str">
        <f>IF(OR(E2954="",E2954="!!!",F2954="NEW"),"",INDEX(B$2:B2953,-1+SUMPRODUCT(MAX(ROW(E$2:E2953)*(E2954=E$2:E2953)))))</f>
        <v/>
      </c>
      <c r="J2954" s="24" t="str">
        <f ca="1">IF(OR(E2954="",E2954="!!!",F2954="NEW"),"",COUNTBLANK(OFFSET(A$1,,,SUMPRODUCT(MAX(ROW(E$2:E2954)*(E2954=E$2:E2954)))))-COUNTBLANK(OFFSET(A$1,,,SUMPRODUCT(MAX(ROW(E$1:E2953)*(E2=E$1:E2953))))))</f>
        <v/>
      </c>
      <c r="K2954" s="24" t="str">
        <f>IF(OR(E2954="",E2954="!!!",F2954="NEW"),"",INDEX(J$1:J2953,SUMPRODUCT(MAX(ROW(E$1:E2953)*(E2954=E$1:E2953)))))</f>
        <v/>
      </c>
      <c r="L2954" s="25"/>
    </row>
    <row r="2955" spans="1:12" x14ac:dyDescent="0.2">
      <c r="A2955" t="s">
        <v>1642</v>
      </c>
      <c r="E2955" s="20" t="str">
        <f>IF(D2955="?OLD","!!!","")</f>
        <v/>
      </c>
      <c r="F2955" s="21" t="str">
        <f>IF(OR(E2955="",E2955="!!!"),"",IF(NOT(ISNA(VLOOKUP(E2955,E$1:E2954,1,FALSE()))),"OLD",IF(AND(E2955&lt;&gt;"",E2955&lt;&gt;"!!!"),"NEW","")))</f>
        <v/>
      </c>
      <c r="G2955" s="22" t="str">
        <f>IF(OR(E2955="",E2955="!!!"),"",IF(OR(J2955=0,AND(J2955=1,K2955=1),AND(J2955=1,I2955="SBJ"),AND(J2955=1,I2955=0)),"?IN_FOCUS",IF(J2955&lt;=2,"?ACTIVATED",IF(J2955&lt;&gt;"","?FAMILIAR",IF(F2955="NEW",IF(ISNA(VLOOKUP(E2955,#REF!,1,FALSE())),"?TYPE_IDENTIFIABLE","?REFERENTIAL"),"_")))))</f>
        <v/>
      </c>
      <c r="H2955" s="23" t="str">
        <f ca="1">IF(J2955&lt;&gt;1,"",IF(I2955="SBJ","CB","?"))</f>
        <v/>
      </c>
      <c r="I2955" s="24" t="str">
        <f>IF(OR(E2955="",E2955="!!!",F2955="NEW"),"",INDEX(B$2:B2954,-1+SUMPRODUCT(MAX(ROW(E$2:E2954)*(E2955=E$2:E2954)))))</f>
        <v/>
      </c>
      <c r="J2955" s="24" t="str">
        <f ca="1">IF(OR(E2955="",E2955="!!!",F2955="NEW"),"",COUNTBLANK(OFFSET(A$1,,,SUMPRODUCT(MAX(ROW(E$2:E2955)*(E2955=E$2:E2955)))))-COUNTBLANK(OFFSET(A$1,,,SUMPRODUCT(MAX(ROW(E$1:E2954)*(E2=E$1:E2954))))))</f>
        <v/>
      </c>
      <c r="K2955" s="24" t="str">
        <f>IF(OR(E2955="",E2955="!!!",F2955="NEW"),"",INDEX(J$1:J2954,SUMPRODUCT(MAX(ROW(E$1:E2954)*(E2955=E$1:E2954)))))</f>
        <v/>
      </c>
      <c r="L2955" s="25"/>
    </row>
    <row r="2956" spans="1:12" x14ac:dyDescent="0.2">
      <c r="A2956" t="s">
        <v>922</v>
      </c>
      <c r="E2956" s="20" t="str">
        <f>IF(D2956="?OLD","!!!","")</f>
        <v/>
      </c>
      <c r="F2956" s="21" t="str">
        <f>IF(OR(E2956="",E2956="!!!"),"",IF(NOT(ISNA(VLOOKUP(E2956,E$1:E2955,1,FALSE()))),"OLD",IF(AND(E2956&lt;&gt;"",E2956&lt;&gt;"!!!"),"NEW","")))</f>
        <v/>
      </c>
      <c r="G2956" s="22" t="str">
        <f>IF(OR(E2956="",E2956="!!!"),"",IF(OR(J2956=0,AND(J2956=1,K2956=1),AND(J2956=1,I2956="SBJ"),AND(J2956=1,I2956=0)),"?IN_FOCUS",IF(J2956&lt;=2,"?ACTIVATED",IF(J2956&lt;&gt;"","?FAMILIAR",IF(F2956="NEW",IF(ISNA(VLOOKUP(E2956,#REF!,1,FALSE())),"?TYPE_IDENTIFIABLE","?REFERENTIAL"),"_")))))</f>
        <v/>
      </c>
      <c r="H2956" s="23" t="str">
        <f ca="1">IF(J2956&lt;&gt;1,"",IF(I2956="SBJ","CB","?"))</f>
        <v/>
      </c>
      <c r="I2956" s="24" t="str">
        <f>IF(OR(E2956="",E2956="!!!",F2956="NEW"),"",INDEX(B$2:B2955,-1+SUMPRODUCT(MAX(ROW(E$2:E2955)*(E2956=E$2:E2955)))))</f>
        <v/>
      </c>
      <c r="J2956" s="24" t="str">
        <f ca="1">IF(OR(E2956="",E2956="!!!",F2956="NEW"),"",COUNTBLANK(OFFSET(A$1,,,SUMPRODUCT(MAX(ROW(E$2:E2956)*(E2956=E$2:E2956)))))-COUNTBLANK(OFFSET(A$1,,,SUMPRODUCT(MAX(ROW(E$1:E2955)*(E2=E$1:E2955))))))</f>
        <v/>
      </c>
      <c r="K2956" s="24" t="str">
        <f>IF(OR(E2956="",E2956="!!!",F2956="NEW"),"",INDEX(J$1:J2955,SUMPRODUCT(MAX(ROW(E$1:E2955)*(E2956=E$1:E2955)))))</f>
        <v/>
      </c>
      <c r="L2956" s="25"/>
    </row>
    <row r="2958" spans="1:12" x14ac:dyDescent="0.2">
      <c r="A2958" t="s">
        <v>1643</v>
      </c>
    </row>
    <row r="2959" spans="1:12" x14ac:dyDescent="0.2">
      <c r="A2959" t="s">
        <v>803</v>
      </c>
      <c r="B2959" s="26" t="s">
        <v>804</v>
      </c>
      <c r="C2959" s="26" t="s">
        <v>805</v>
      </c>
      <c r="D2959" s="26" t="s">
        <v>806</v>
      </c>
      <c r="E2959" s="20" t="s">
        <v>1747</v>
      </c>
      <c r="F2959" s="21" t="s">
        <v>1753</v>
      </c>
      <c r="G2959" s="22" t="s">
        <v>1823</v>
      </c>
      <c r="H2959" s="23" t="str">
        <f t="shared" ref="H2959:H2965" ca="1" si="318">IF(J2959&lt;&gt;1,"",IF(I2959="SBJ","CB","?"))</f>
        <v/>
      </c>
      <c r="I2959" s="24" t="str">
        <f>IF(OR(E2959="",E2959="!!!",F2959="NEW"),"",INDEX(B$2:B2958,-1+SUMPRODUCT(MAX(ROW(E$2:E2958)*(E2959=E$2:E2958)))))</f>
        <v>SBJ</v>
      </c>
      <c r="J2959" s="24">
        <f ca="1">IF(OR(E2959="",E2959="!!!",F2959="NEW"),"",COUNTBLANK(OFFSET(A$1,,,SUMPRODUCT(MAX(ROW(E$2:E2959)*(E2959=E$2:E2959)))))-COUNTBLANK(OFFSET(A$1,,,SUMPRODUCT(MAX(ROW(E$1:E2958)*(E2=E$1:E2958))))))</f>
        <v>0</v>
      </c>
      <c r="K2959" s="24">
        <f ca="1">IF(OR(E2959="",E2959="!!!",F2959="NEW"),"",INDEX(J$1:J2958,SUMPRODUCT(MAX(ROW(E$1:E2958)*(E2959=E$1:E2958)))))</f>
        <v>0</v>
      </c>
      <c r="L2959" s="25"/>
    </row>
    <row r="2960" spans="1:12" x14ac:dyDescent="0.2">
      <c r="A2960" t="s">
        <v>309</v>
      </c>
      <c r="E2960" s="20" t="str">
        <f t="shared" ref="E2959:E2965" si="319">IF(D2960="?OLD","!!!","")</f>
        <v/>
      </c>
      <c r="F2960" s="21" t="str">
        <f>IF(OR(E2960="",E2960="!!!"),"",IF(NOT(ISNA(VLOOKUP(E2960,E$1:E2959,1,FALSE()))),"OLD",IF(AND(E2960&lt;&gt;"",E2960&lt;&gt;"!!!"),"NEW","")))</f>
        <v/>
      </c>
      <c r="G2960" s="22" t="str">
        <f>IF(OR(E2960="",E2960="!!!"),"",IF(OR(J2960=0,AND(J2960=1,K2960=1),AND(J2960=1,I2960="SBJ"),AND(J2960=1,I2960=0)),"?IN_FOCUS",IF(J2960&lt;=2,"?ACTIVATED",IF(J2960&lt;&gt;"","?FAMILIAR",IF(F2960="NEW",IF(ISNA(VLOOKUP(E2960,#REF!,1,FALSE())),"?TYPE_IDENTIFIABLE","?REFERENTIAL"),"_")))))</f>
        <v/>
      </c>
      <c r="H2960" s="23" t="str">
        <f t="shared" ca="1" si="318"/>
        <v/>
      </c>
      <c r="I2960" s="24" t="str">
        <f>IF(OR(E2960="",E2960="!!!",F2960="NEW"),"",INDEX(B$2:B2959,-1+SUMPRODUCT(MAX(ROW(E$2:E2959)*(E2960=E$2:E2959)))))</f>
        <v/>
      </c>
      <c r="J2960" s="24" t="str">
        <f ca="1">IF(OR(E2960="",E2960="!!!",F2960="NEW"),"",COUNTBLANK(OFFSET(A$1,,,SUMPRODUCT(MAX(ROW(E$2:E2960)*(E2960=E$2:E2960)))))-COUNTBLANK(OFFSET(A$1,,,SUMPRODUCT(MAX(ROW(E$1:E2959)*(E2=E$1:E2959))))))</f>
        <v/>
      </c>
      <c r="K2960" s="24" t="str">
        <f>IF(OR(E2960="",E2960="!!!",F2960="NEW"),"",INDEX(J$1:J2959,SUMPRODUCT(MAX(ROW(E$1:E2959)*(E2960=E$1:E2959)))))</f>
        <v/>
      </c>
      <c r="L2960" s="25"/>
    </row>
    <row r="2961" spans="1:12" x14ac:dyDescent="0.2">
      <c r="A2961" t="s">
        <v>999</v>
      </c>
      <c r="E2961" s="20" t="str">
        <f t="shared" si="319"/>
        <v/>
      </c>
      <c r="F2961" s="21" t="str">
        <f>IF(OR(E2961="",E2961="!!!"),"",IF(NOT(ISNA(VLOOKUP(E2961,E$1:E2960,1,FALSE()))),"OLD",IF(AND(E2961&lt;&gt;"",E2961&lt;&gt;"!!!"),"NEW","")))</f>
        <v/>
      </c>
      <c r="G2961" s="22" t="str">
        <f>IF(OR(E2961="",E2961="!!!"),"",IF(OR(J2961=0,AND(J2961=1,K2961=1),AND(J2961=1,I2961="SBJ"),AND(J2961=1,I2961=0)),"?IN_FOCUS",IF(J2961&lt;=2,"?ACTIVATED",IF(J2961&lt;&gt;"","?FAMILIAR",IF(F2961="NEW",IF(ISNA(VLOOKUP(E2961,#REF!,1,FALSE())),"?TYPE_IDENTIFIABLE","?REFERENTIAL"),"_")))))</f>
        <v/>
      </c>
      <c r="H2961" s="23" t="str">
        <f t="shared" ca="1" si="318"/>
        <v/>
      </c>
      <c r="I2961" s="24" t="str">
        <f>IF(OR(E2961="",E2961="!!!",F2961="NEW"),"",INDEX(B$2:B2960,-1+SUMPRODUCT(MAX(ROW(E$2:E2960)*(E2961=E$2:E2960)))))</f>
        <v/>
      </c>
      <c r="J2961" s="24" t="str">
        <f ca="1">IF(OR(E2961="",E2961="!!!",F2961="NEW"),"",COUNTBLANK(OFFSET(A$1,,,SUMPRODUCT(MAX(ROW(E$2:E2961)*(E2961=E$2:E2961)))))-COUNTBLANK(OFFSET(A$1,,,SUMPRODUCT(MAX(ROW(E$1:E2960)*(E2=E$1:E2960))))))</f>
        <v/>
      </c>
      <c r="K2961" s="24" t="str">
        <f>IF(OR(E2961="",E2961="!!!",F2961="NEW"),"",INDEX(J$1:J2960,SUMPRODUCT(MAX(ROW(E$1:E2960)*(E2961=E$1:E2960)))))</f>
        <v/>
      </c>
      <c r="L2961" s="25"/>
    </row>
    <row r="2962" spans="1:12" x14ac:dyDescent="0.2">
      <c r="A2962" t="s">
        <v>19</v>
      </c>
      <c r="E2962" s="20" t="str">
        <f t="shared" si="319"/>
        <v/>
      </c>
      <c r="F2962" s="21" t="str">
        <f>IF(OR(E2962="",E2962="!!!"),"",IF(NOT(ISNA(VLOOKUP(E2962,E$1:E2961,1,FALSE()))),"OLD",IF(AND(E2962&lt;&gt;"",E2962&lt;&gt;"!!!"),"NEW","")))</f>
        <v/>
      </c>
      <c r="G2962" s="22" t="str">
        <f>IF(OR(E2962="",E2962="!!!"),"",IF(OR(J2962=0,AND(J2962=1,K2962=1),AND(J2962=1,I2962="SBJ"),AND(J2962=1,I2962=0)),"?IN_FOCUS",IF(J2962&lt;=2,"?ACTIVATED",IF(J2962&lt;&gt;"","?FAMILIAR",IF(F2962="NEW",IF(ISNA(VLOOKUP(E2962,#REF!,1,FALSE())),"?TYPE_IDENTIFIABLE","?REFERENTIAL"),"_")))))</f>
        <v/>
      </c>
      <c r="H2962" s="23" t="str">
        <f t="shared" ca="1" si="318"/>
        <v/>
      </c>
      <c r="I2962" s="24" t="str">
        <f>IF(OR(E2962="",E2962="!!!",F2962="NEW"),"",INDEX(B$2:B2961,-1+SUMPRODUCT(MAX(ROW(E$2:E2961)*(E2962=E$2:E2961)))))</f>
        <v/>
      </c>
      <c r="J2962" s="24" t="str">
        <f ca="1">IF(OR(E2962="",E2962="!!!",F2962="NEW"),"",COUNTBLANK(OFFSET(A$1,,,SUMPRODUCT(MAX(ROW(E$2:E2962)*(E2962=E$2:E2962)))))-COUNTBLANK(OFFSET(A$1,,,SUMPRODUCT(MAX(ROW(E$1:E2961)*(E2=E$1:E2961))))))</f>
        <v/>
      </c>
      <c r="K2962" s="24" t="str">
        <f>IF(OR(E2962="",E2962="!!!",F2962="NEW"),"",INDEX(J$1:J2961,SUMPRODUCT(MAX(ROW(E$1:E2961)*(E2962=E$1:E2961)))))</f>
        <v/>
      </c>
      <c r="L2962" s="25"/>
    </row>
    <row r="2963" spans="1:12" x14ac:dyDescent="0.2">
      <c r="A2963" t="s">
        <v>1060</v>
      </c>
      <c r="E2963" s="20" t="str">
        <f t="shared" si="319"/>
        <v/>
      </c>
      <c r="F2963" s="21" t="str">
        <f>IF(OR(E2963="",E2963="!!!"),"",IF(NOT(ISNA(VLOOKUP(E2963,E$1:E2962,1,FALSE()))),"OLD",IF(AND(E2963&lt;&gt;"",E2963&lt;&gt;"!!!"),"NEW","")))</f>
        <v/>
      </c>
      <c r="G2963" s="22" t="str">
        <f>IF(OR(E2963="",E2963="!!!"),"",IF(OR(J2963=0,AND(J2963=1,K2963=1),AND(J2963=1,I2963="SBJ"),AND(J2963=1,I2963=0)),"?IN_FOCUS",IF(J2963&lt;=2,"?ACTIVATED",IF(J2963&lt;&gt;"","?FAMILIAR",IF(F2963="NEW",IF(ISNA(VLOOKUP(E2963,#REF!,1,FALSE())),"?TYPE_IDENTIFIABLE","?REFERENTIAL"),"_")))))</f>
        <v/>
      </c>
      <c r="H2963" s="23" t="str">
        <f t="shared" ca="1" si="318"/>
        <v/>
      </c>
      <c r="I2963" s="24" t="str">
        <f>IF(OR(E2963="",E2963="!!!",F2963="NEW"),"",INDEX(B$2:B2962,-1+SUMPRODUCT(MAX(ROW(E$2:E2962)*(E2963=E$2:E2962)))))</f>
        <v/>
      </c>
      <c r="J2963" s="24" t="str">
        <f ca="1">IF(OR(E2963="",E2963="!!!",F2963="NEW"),"",COUNTBLANK(OFFSET(A$1,,,SUMPRODUCT(MAX(ROW(E$2:E2963)*(E2963=E$2:E2963)))))-COUNTBLANK(OFFSET(A$1,,,SUMPRODUCT(MAX(ROW(E$1:E2962)*(E2=E$1:E2962))))))</f>
        <v/>
      </c>
      <c r="K2963" s="24" t="str">
        <f>IF(OR(E2963="",E2963="!!!",F2963="NEW"),"",INDEX(J$1:J2962,SUMPRODUCT(MAX(ROW(E$1:E2962)*(E2963=E$1:E2962)))))</f>
        <v/>
      </c>
      <c r="L2963" s="25"/>
    </row>
    <row r="2964" spans="1:12" x14ac:dyDescent="0.2">
      <c r="A2964" t="s">
        <v>1644</v>
      </c>
      <c r="B2964" s="26" t="s">
        <v>810</v>
      </c>
      <c r="C2964" s="26" t="s">
        <v>877</v>
      </c>
      <c r="D2964" s="26" t="s">
        <v>806</v>
      </c>
      <c r="E2964" s="20" t="s">
        <v>1644</v>
      </c>
      <c r="F2964" s="21" t="str">
        <f>IF(OR(E2964="",E2964="!!!"),"",IF(NOT(ISNA(VLOOKUP(E2964,E$1:E2963,1,FALSE()))),"OLD",IF(AND(E2964&lt;&gt;"",E2964&lt;&gt;"!!!"),"NEW","")))</f>
        <v>NEW</v>
      </c>
      <c r="G2964" s="22" t="s">
        <v>1823</v>
      </c>
      <c r="H2964" s="23" t="str">
        <f t="shared" ca="1" si="318"/>
        <v/>
      </c>
      <c r="I2964" s="24" t="str">
        <f>IF(OR(E2964="",E2964="!!!",F2964="NEW"),"",INDEX(B$2:B2963,-1+SUMPRODUCT(MAX(ROW(E$2:E2963)*(E2964=E$2:E2963)))))</f>
        <v/>
      </c>
      <c r="J2964" s="24" t="str">
        <f ca="1">IF(OR(E2964="",E2964="!!!",F2964="NEW"),"",COUNTBLANK(OFFSET(A$1,,,SUMPRODUCT(MAX(ROW(E$2:E2964)*(E2964=E$2:E2964)))))-COUNTBLANK(OFFSET(A$1,,,SUMPRODUCT(MAX(ROW(E$1:E2963)*(E2=E$1:E2963))))))</f>
        <v/>
      </c>
      <c r="K2964" s="24" t="str">
        <f>IF(OR(E2964="",E2964="!!!",F2964="NEW"),"",INDEX(J$1:J2963,SUMPRODUCT(MAX(ROW(E$1:E2963)*(E2964=E$1:E2963)))))</f>
        <v/>
      </c>
      <c r="L2964" s="25"/>
    </row>
    <row r="2965" spans="1:12" x14ac:dyDescent="0.2">
      <c r="A2965" t="s">
        <v>821</v>
      </c>
      <c r="E2965" s="20" t="str">
        <f t="shared" si="319"/>
        <v/>
      </c>
      <c r="F2965" s="21" t="str">
        <f>IF(OR(E2965="",E2965="!!!"),"",IF(NOT(ISNA(VLOOKUP(E2965,E$1:E2964,1,FALSE()))),"OLD",IF(AND(E2965&lt;&gt;"",E2965&lt;&gt;"!!!"),"NEW","")))</f>
        <v/>
      </c>
      <c r="G2965" s="22" t="str">
        <f>IF(OR(E2965="",E2965="!!!"),"",IF(OR(J2965=0,AND(J2965=1,K2965=1),AND(J2965=1,I2965="SBJ"),AND(J2965=1,I2965=0)),"?IN_FOCUS",IF(J2965&lt;=2,"?ACTIVATED",IF(J2965&lt;&gt;"","?FAMILIAR",IF(F2965="NEW",IF(ISNA(VLOOKUP(E2965,#REF!,1,FALSE())),"?TYPE_IDENTIFIABLE","?REFERENTIAL"),"_")))))</f>
        <v/>
      </c>
      <c r="H2965" s="23" t="str">
        <f t="shared" ca="1" si="318"/>
        <v/>
      </c>
      <c r="I2965" s="24" t="str">
        <f>IF(OR(E2965="",E2965="!!!",F2965="NEW"),"",INDEX(B$2:B2964,-1+SUMPRODUCT(MAX(ROW(E$2:E2964)*(E2965=E$2:E2964)))))</f>
        <v/>
      </c>
      <c r="J2965" s="24" t="str">
        <f ca="1">IF(OR(E2965="",E2965="!!!",F2965="NEW"),"",COUNTBLANK(OFFSET(A$1,,,SUMPRODUCT(MAX(ROW(E$2:E2965)*(E2965=E$2:E2965)))))-COUNTBLANK(OFFSET(A$1,,,SUMPRODUCT(MAX(ROW(E$1:E2964)*(E2=E$1:E2964))))))</f>
        <v/>
      </c>
      <c r="K2965" s="24" t="str">
        <f>IF(OR(E2965="",E2965="!!!",F2965="NEW"),"",INDEX(J$1:J2964,SUMPRODUCT(MAX(ROW(E$1:E2964)*(E2965=E$1:E2964)))))</f>
        <v/>
      </c>
      <c r="L2965" s="25"/>
    </row>
    <row r="2967" spans="1:12" x14ac:dyDescent="0.2">
      <c r="A2967" t="s">
        <v>1645</v>
      </c>
    </row>
    <row r="2968" spans="1:12" x14ac:dyDescent="0.2">
      <c r="A2968" t="s">
        <v>1126</v>
      </c>
      <c r="E2968" s="20" t="str">
        <f t="shared" ref="E2968:E2983" si="320">IF(D2968="?OLD","!!!","")</f>
        <v/>
      </c>
      <c r="F2968" s="21" t="str">
        <f>IF(OR(E2968="",E2968="!!!"),"",IF(NOT(ISNA(VLOOKUP(E2968,E$1:E2967,1,FALSE()))),"OLD",IF(AND(E2968&lt;&gt;"",E2968&lt;&gt;"!!!"),"NEW","")))</f>
        <v/>
      </c>
      <c r="G2968" s="22" t="str">
        <f>IF(OR(E2968="",E2968="!!!"),"",IF(OR(J2968=0,AND(J2968=1,K2968=1),AND(J2968=1,I2968="SBJ"),AND(J2968=1,I2968=0)),"?IN_FOCUS",IF(J2968&lt;=2,"?ACTIVATED",IF(J2968&lt;&gt;"","?FAMILIAR",IF(F2968="NEW",IF(ISNA(VLOOKUP(E2968,#REF!,1,FALSE())),"?TYPE_IDENTIFIABLE","?REFERENTIAL"),"_")))))</f>
        <v/>
      </c>
      <c r="H2968" s="23" t="str">
        <f t="shared" ref="H2968:H2983" ca="1" si="321">IF(J2968&lt;&gt;1,"",IF(I2968="SBJ","CB","?"))</f>
        <v/>
      </c>
      <c r="I2968" s="24" t="str">
        <f>IF(OR(E2968="",E2968="!!!",F2968="NEW"),"",INDEX(B$2:B2967,-1+SUMPRODUCT(MAX(ROW(E$2:E2967)*(E2968=E$2:E2967)))))</f>
        <v/>
      </c>
      <c r="J2968" s="24" t="str">
        <f ca="1">IF(OR(E2968="",E2968="!!!",F2968="NEW"),"",COUNTBLANK(OFFSET(A$1,,,SUMPRODUCT(MAX(ROW(E$2:E2968)*(E2968=E$2:E2968)))))-COUNTBLANK(OFFSET(A$1,,,SUMPRODUCT(MAX(ROW(E$1:E2967)*(E2=E$1:E2967))))))</f>
        <v/>
      </c>
      <c r="K2968" s="24" t="str">
        <f>IF(OR(E2968="",E2968="!!!",F2968="NEW"),"",INDEX(J$1:J2967,SUMPRODUCT(MAX(ROW(E$1:E2967)*(E2968=E$1:E2967)))))</f>
        <v/>
      </c>
      <c r="L2968" s="25"/>
    </row>
    <row r="2969" spans="1:12" x14ac:dyDescent="0.2">
      <c r="A2969" t="s">
        <v>802</v>
      </c>
      <c r="E2969" s="20" t="str">
        <f t="shared" si="320"/>
        <v/>
      </c>
      <c r="F2969" s="21" t="str">
        <f>IF(OR(E2969="",E2969="!!!"),"",IF(NOT(ISNA(VLOOKUP(E2969,E$1:E2968,1,FALSE()))),"OLD",IF(AND(E2969&lt;&gt;"",E2969&lt;&gt;"!!!"),"NEW","")))</f>
        <v/>
      </c>
      <c r="G2969" s="22" t="str">
        <f>IF(OR(E2969="",E2969="!!!"),"",IF(OR(J2969=0,AND(J2969=1,K2969=1),AND(J2969=1,I2969="SBJ"),AND(J2969=1,I2969=0)),"?IN_FOCUS",IF(J2969&lt;=2,"?ACTIVATED",IF(J2969&lt;&gt;"","?FAMILIAR",IF(F2969="NEW",IF(ISNA(VLOOKUP(E2969,#REF!,1,FALSE())),"?TYPE_IDENTIFIABLE","?REFERENTIAL"),"_")))))</f>
        <v/>
      </c>
      <c r="H2969" s="23" t="str">
        <f t="shared" ca="1" si="321"/>
        <v/>
      </c>
      <c r="I2969" s="24" t="str">
        <f>IF(OR(E2969="",E2969="!!!",F2969="NEW"),"",INDEX(B$2:B2968,-1+SUMPRODUCT(MAX(ROW(E$2:E2968)*(E2969=E$2:E2968)))))</f>
        <v/>
      </c>
      <c r="J2969" s="24" t="str">
        <f ca="1">IF(OR(E2969="",E2969="!!!",F2969="NEW"),"",COUNTBLANK(OFFSET(A$1,,,SUMPRODUCT(MAX(ROW(E$2:E2969)*(E2969=E$2:E2969)))))-COUNTBLANK(OFFSET(A$1,,,SUMPRODUCT(MAX(ROW(E$1:E2968)*(E2=E$1:E2968))))))</f>
        <v/>
      </c>
      <c r="K2969" s="24" t="str">
        <f>IF(OR(E2969="",E2969="!!!",F2969="NEW"),"",INDEX(J$1:J2968,SUMPRODUCT(MAX(ROW(E$1:E2968)*(E2969=E$1:E2968)))))</f>
        <v/>
      </c>
      <c r="L2969" s="25"/>
    </row>
    <row r="2970" spans="1:12" x14ac:dyDescent="0.2">
      <c r="A2970" t="s">
        <v>1031</v>
      </c>
      <c r="E2970" s="20" t="str">
        <f t="shared" si="320"/>
        <v/>
      </c>
      <c r="F2970" s="21" t="str">
        <f>IF(OR(E2970="",E2970="!!!"),"",IF(NOT(ISNA(VLOOKUP(E2970,E$1:E2969,1,FALSE()))),"OLD",IF(AND(E2970&lt;&gt;"",E2970&lt;&gt;"!!!"),"NEW","")))</f>
        <v/>
      </c>
      <c r="G2970" s="22" t="str">
        <f>IF(OR(E2970="",E2970="!!!"),"",IF(OR(J2970=0,AND(J2970=1,K2970=1),AND(J2970=1,I2970="SBJ"),AND(J2970=1,I2970=0)),"?IN_FOCUS",IF(J2970&lt;=2,"?ACTIVATED",IF(J2970&lt;&gt;"","?FAMILIAR",IF(F2970="NEW",IF(ISNA(VLOOKUP(E2970,#REF!,1,FALSE())),"?TYPE_IDENTIFIABLE","?REFERENTIAL"),"_")))))</f>
        <v/>
      </c>
      <c r="H2970" s="23" t="str">
        <f t="shared" ca="1" si="321"/>
        <v/>
      </c>
      <c r="I2970" s="24" t="str">
        <f>IF(OR(E2970="",E2970="!!!",F2970="NEW"),"",INDEX(B$2:B2969,-1+SUMPRODUCT(MAX(ROW(E$2:E2969)*(E2970=E$2:E2969)))))</f>
        <v/>
      </c>
      <c r="J2970" s="24" t="str">
        <f ca="1">IF(OR(E2970="",E2970="!!!",F2970="NEW"),"",COUNTBLANK(OFFSET(A$1,,,SUMPRODUCT(MAX(ROW(E$2:E2970)*(E2970=E$2:E2970)))))-COUNTBLANK(OFFSET(A$1,,,SUMPRODUCT(MAX(ROW(E$1:E2969)*(E2=E$1:E2969))))))</f>
        <v/>
      </c>
      <c r="K2970" s="24" t="str">
        <f>IF(OR(E2970="",E2970="!!!",F2970="NEW"),"",INDEX(J$1:J2969,SUMPRODUCT(MAX(ROW(E$1:E2969)*(E2970=E$1:E2969)))))</f>
        <v/>
      </c>
      <c r="L2970" s="25"/>
    </row>
    <row r="2971" spans="1:12" x14ac:dyDescent="0.2">
      <c r="A2971" t="s">
        <v>1127</v>
      </c>
      <c r="E2971" s="20" t="str">
        <f t="shared" si="320"/>
        <v/>
      </c>
      <c r="F2971" s="21" t="str">
        <f>IF(OR(E2971="",E2971="!!!"),"",IF(NOT(ISNA(VLOOKUP(E2971,E$1:E2970,1,FALSE()))),"OLD",IF(AND(E2971&lt;&gt;"",E2971&lt;&gt;"!!!"),"NEW","")))</f>
        <v/>
      </c>
      <c r="G2971" s="22" t="str">
        <f>IF(OR(E2971="",E2971="!!!"),"",IF(OR(J2971=0,AND(J2971=1,K2971=1),AND(J2971=1,I2971="SBJ"),AND(J2971=1,I2971=0)),"?IN_FOCUS",IF(J2971&lt;=2,"?ACTIVATED",IF(J2971&lt;&gt;"","?FAMILIAR",IF(F2971="NEW",IF(ISNA(VLOOKUP(E2971,#REF!,1,FALSE())),"?TYPE_IDENTIFIABLE","?REFERENTIAL"),"_")))))</f>
        <v/>
      </c>
      <c r="H2971" s="23" t="str">
        <f t="shared" ca="1" si="321"/>
        <v/>
      </c>
      <c r="I2971" s="24" t="str">
        <f>IF(OR(E2971="",E2971="!!!",F2971="NEW"),"",INDEX(B$2:B2970,-1+SUMPRODUCT(MAX(ROW(E$2:E2970)*(E2971=E$2:E2970)))))</f>
        <v/>
      </c>
      <c r="J2971" s="24" t="str">
        <f ca="1">IF(OR(E2971="",E2971="!!!",F2971="NEW"),"",COUNTBLANK(OFFSET(A$1,,,SUMPRODUCT(MAX(ROW(E$2:E2971)*(E2971=E$2:E2971)))))-COUNTBLANK(OFFSET(A$1,,,SUMPRODUCT(MAX(ROW(E$1:E2970)*(E2=E$1:E2970))))))</f>
        <v/>
      </c>
      <c r="K2971" s="24" t="str">
        <f>IF(OR(E2971="",E2971="!!!",F2971="NEW"),"",INDEX(J$1:J2970,SUMPRODUCT(MAX(ROW(E$1:E2970)*(E2971=E$1:E2970)))))</f>
        <v/>
      </c>
      <c r="L2971" s="25"/>
    </row>
    <row r="2972" spans="1:12" x14ac:dyDescent="0.2">
      <c r="A2972" t="s">
        <v>919</v>
      </c>
      <c r="B2972" s="26" t="s">
        <v>804</v>
      </c>
      <c r="C2972" s="26" t="s">
        <v>805</v>
      </c>
      <c r="D2972" s="26" t="s">
        <v>806</v>
      </c>
      <c r="E2972" s="20"/>
      <c r="F2972" s="21" t="s">
        <v>1781</v>
      </c>
      <c r="G2972" s="22" t="str">
        <f>IF(OR(E2972="",E2972="!!!"),"",IF(OR(J2972=0,AND(J2972=1,K2972=1),AND(J2972=1,I2972="SBJ"),AND(J2972=1,I2972=0)),"?IN_FOCUS",IF(J2972&lt;=2,"?ACTIVATED",IF(J2972&lt;&gt;"","?FAMILIAR",IF(F2972="NEW",IF(ISNA(VLOOKUP(E2972,#REF!,1,FALSE())),"?TYPE_IDENTIFIABLE","?REFERENTIAL"),"_")))))</f>
        <v/>
      </c>
      <c r="H2972" s="23" t="str">
        <f t="shared" ca="1" si="321"/>
        <v/>
      </c>
      <c r="I2972" s="24" t="str">
        <f>IF(OR(E2972="",E2972="!!!",F2972="NEW"),"",INDEX(B$2:B2971,-1+SUMPRODUCT(MAX(ROW(E$2:E2971)*(E2972=E$2:E2971)))))</f>
        <v/>
      </c>
      <c r="J2972" s="24" t="str">
        <f ca="1">IF(OR(E2972="",E2972="!!!",F2972="NEW"),"",COUNTBLANK(OFFSET(A$1,,,SUMPRODUCT(MAX(ROW(E$2:E2972)*(E2972=E$2:E2972)))))-COUNTBLANK(OFFSET(A$1,,,SUMPRODUCT(MAX(ROW(E$1:E2971)*(E2=E$1:E2971))))))</f>
        <v/>
      </c>
      <c r="K2972" s="24" t="str">
        <f>IF(OR(E2972="",E2972="!!!",F2972="NEW"),"",INDEX(J$1:J2971,SUMPRODUCT(MAX(ROW(E$1:E2971)*(E2972=E$1:E2971)))))</f>
        <v/>
      </c>
      <c r="L2972" s="25"/>
    </row>
    <row r="2973" spans="1:12" x14ac:dyDescent="0.2">
      <c r="A2973" t="s">
        <v>1646</v>
      </c>
      <c r="E2973" s="20" t="str">
        <f t="shared" si="320"/>
        <v/>
      </c>
      <c r="F2973" s="21" t="str">
        <f>IF(OR(E2973="",E2973="!!!"),"",IF(NOT(ISNA(VLOOKUP(E2973,E$1:E2972,1,FALSE()))),"OLD",IF(AND(E2973&lt;&gt;"",E2973&lt;&gt;"!!!"),"NEW","")))</f>
        <v/>
      </c>
      <c r="G2973" s="22" t="str">
        <f>IF(OR(E2973="",E2973="!!!"),"",IF(OR(J2973=0,AND(J2973=1,K2973=1),AND(J2973=1,I2973="SBJ"),AND(J2973=1,I2973=0)),"?IN_FOCUS",IF(J2973&lt;=2,"?ACTIVATED",IF(J2973&lt;&gt;"","?FAMILIAR",IF(F2973="NEW",IF(ISNA(VLOOKUP(E2973,#REF!,1,FALSE())),"?TYPE_IDENTIFIABLE","?REFERENTIAL"),"_")))))</f>
        <v/>
      </c>
      <c r="H2973" s="23" t="str">
        <f t="shared" ca="1" si="321"/>
        <v/>
      </c>
      <c r="I2973" s="24" t="str">
        <f>IF(OR(E2973="",E2973="!!!",F2973="NEW"),"",INDEX(B$2:B2972,-1+SUMPRODUCT(MAX(ROW(E$2:E2972)*(E2973=E$2:E2972)))))</f>
        <v/>
      </c>
      <c r="J2973" s="24" t="str">
        <f ca="1">IF(OR(E2973="",E2973="!!!",F2973="NEW"),"",COUNTBLANK(OFFSET(A$1,,,SUMPRODUCT(MAX(ROW(E$2:E2973)*(E2973=E$2:E2973)))))-COUNTBLANK(OFFSET(A$1,,,SUMPRODUCT(MAX(ROW(E$1:E2972)*(E2=E$1:E2972))))))</f>
        <v/>
      </c>
      <c r="K2973" s="24" t="str">
        <f>IF(OR(E2973="",E2973="!!!",F2973="NEW"),"",INDEX(J$1:J2972,SUMPRODUCT(MAX(ROW(E$1:E2972)*(E2973=E$1:E2972)))))</f>
        <v/>
      </c>
      <c r="L2973" s="25"/>
    </row>
    <row r="2974" spans="1:12" x14ac:dyDescent="0.2">
      <c r="A2974" t="s">
        <v>695</v>
      </c>
      <c r="E2974" s="20" t="str">
        <f t="shared" si="320"/>
        <v/>
      </c>
      <c r="F2974" s="21" t="str">
        <f>IF(OR(E2974="",E2974="!!!"),"",IF(NOT(ISNA(VLOOKUP(E2974,E$1:E2973,1,FALSE()))),"OLD",IF(AND(E2974&lt;&gt;"",E2974&lt;&gt;"!!!"),"NEW","")))</f>
        <v/>
      </c>
      <c r="G2974" s="22" t="str">
        <f>IF(OR(E2974="",E2974="!!!"),"",IF(OR(J2974=0,AND(J2974=1,K2974=1),AND(J2974=1,I2974="SBJ"),AND(J2974=1,I2974=0)),"?IN_FOCUS",IF(J2974&lt;=2,"?ACTIVATED",IF(J2974&lt;&gt;"","?FAMILIAR",IF(F2974="NEW",IF(ISNA(VLOOKUP(E2974,#REF!,1,FALSE())),"?TYPE_IDENTIFIABLE","?REFERENTIAL"),"_")))))</f>
        <v/>
      </c>
      <c r="H2974" s="23" t="str">
        <f t="shared" ca="1" si="321"/>
        <v/>
      </c>
      <c r="I2974" s="24" t="str">
        <f>IF(OR(E2974="",E2974="!!!",F2974="NEW"),"",INDEX(B$2:B2973,-1+SUMPRODUCT(MAX(ROW(E$2:E2973)*(E2974=E$2:E2973)))))</f>
        <v/>
      </c>
      <c r="J2974" s="24" t="str">
        <f ca="1">IF(OR(E2974="",E2974="!!!",F2974="NEW"),"",COUNTBLANK(OFFSET(A$1,,,SUMPRODUCT(MAX(ROW(E$2:E2974)*(E2974=E$2:E2974)))))-COUNTBLANK(OFFSET(A$1,,,SUMPRODUCT(MAX(ROW(E$1:E2973)*(E2=E$1:E2973))))))</f>
        <v/>
      </c>
      <c r="K2974" s="24" t="str">
        <f>IF(OR(E2974="",E2974="!!!",F2974="NEW"),"",INDEX(J$1:J2973,SUMPRODUCT(MAX(ROW(E$1:E2973)*(E2974=E$1:E2973)))))</f>
        <v/>
      </c>
      <c r="L2974" s="25"/>
    </row>
    <row r="2975" spans="1:12" x14ac:dyDescent="0.2">
      <c r="A2975" t="s">
        <v>1647</v>
      </c>
      <c r="E2975" s="20" t="str">
        <f t="shared" si="320"/>
        <v/>
      </c>
      <c r="F2975" s="21" t="str">
        <f>IF(OR(E2975="",E2975="!!!"),"",IF(NOT(ISNA(VLOOKUP(E2975,E$1:E2974,1,FALSE()))),"OLD",IF(AND(E2975&lt;&gt;"",E2975&lt;&gt;"!!!"),"NEW","")))</f>
        <v/>
      </c>
      <c r="G2975" s="22" t="str">
        <f>IF(OR(E2975="",E2975="!!!"),"",IF(OR(J2975=0,AND(J2975=1,K2975=1),AND(J2975=1,I2975="SBJ"),AND(J2975=1,I2975=0)),"?IN_FOCUS",IF(J2975&lt;=2,"?ACTIVATED",IF(J2975&lt;&gt;"","?FAMILIAR",IF(F2975="NEW",IF(ISNA(VLOOKUP(E2975,#REF!,1,FALSE())),"?TYPE_IDENTIFIABLE","?REFERENTIAL"),"_")))))</f>
        <v/>
      </c>
      <c r="H2975" s="23" t="str">
        <f t="shared" ca="1" si="321"/>
        <v/>
      </c>
      <c r="I2975" s="24" t="str">
        <f>IF(OR(E2975="",E2975="!!!",F2975="NEW"),"",INDEX(B$2:B2974,-1+SUMPRODUCT(MAX(ROW(E$2:E2974)*(E2975=E$2:E2974)))))</f>
        <v/>
      </c>
      <c r="J2975" s="24" t="str">
        <f ca="1">IF(OR(E2975="",E2975="!!!",F2975="NEW"),"",COUNTBLANK(OFFSET(A$1,,,SUMPRODUCT(MAX(ROW(E$2:E2975)*(E2975=E$2:E2975)))))-COUNTBLANK(OFFSET(A$1,,,SUMPRODUCT(MAX(ROW(E$1:E2974)*(E2=E$1:E2974))))))</f>
        <v/>
      </c>
      <c r="K2975" s="24" t="str">
        <f>IF(OR(E2975="",E2975="!!!",F2975="NEW"),"",INDEX(J$1:J2974,SUMPRODUCT(MAX(ROW(E$1:E2974)*(E2975=E$1:E2974)))))</f>
        <v/>
      </c>
      <c r="L2975" s="25"/>
    </row>
    <row r="2976" spans="1:12" x14ac:dyDescent="0.2">
      <c r="A2976" t="s">
        <v>1648</v>
      </c>
      <c r="B2976" s="26" t="s">
        <v>810</v>
      </c>
      <c r="C2976" s="26" t="s">
        <v>814</v>
      </c>
      <c r="E2976" s="20" t="str">
        <f t="shared" si="320"/>
        <v/>
      </c>
      <c r="F2976" s="21" t="str">
        <f>IF(OR(E2976="",E2976="!!!"),"",IF(NOT(ISNA(VLOOKUP(E2976,E$1:E2975,1,FALSE()))),"OLD",IF(AND(E2976&lt;&gt;"",E2976&lt;&gt;"!!!"),"NEW","")))</f>
        <v/>
      </c>
      <c r="G2976" s="22" t="str">
        <f>IF(OR(E2976="",E2976="!!!"),"",IF(OR(J2976=0,AND(J2976=1,K2976=1),AND(J2976=1,I2976="SBJ"),AND(J2976=1,I2976=0)),"?IN_FOCUS",IF(J2976&lt;=2,"?ACTIVATED",IF(J2976&lt;&gt;"","?FAMILIAR",IF(F2976="NEW",IF(ISNA(VLOOKUP(E2976,#REF!,1,FALSE())),"?TYPE_IDENTIFIABLE","?REFERENTIAL"),"_")))))</f>
        <v/>
      </c>
      <c r="H2976" s="23" t="str">
        <f t="shared" ca="1" si="321"/>
        <v/>
      </c>
      <c r="I2976" s="24" t="str">
        <f>IF(OR(E2976="",E2976="!!!",F2976="NEW"),"",INDEX(B$2:B2975,-1+SUMPRODUCT(MAX(ROW(E$2:E2975)*(E2976=E$2:E2975)))))</f>
        <v/>
      </c>
      <c r="J2976" s="24" t="str">
        <f ca="1">IF(OR(E2976="",E2976="!!!",F2976="NEW"),"",COUNTBLANK(OFFSET(A$1,,,SUMPRODUCT(MAX(ROW(E$2:E2976)*(E2976=E$2:E2976)))))-COUNTBLANK(OFFSET(A$1,,,SUMPRODUCT(MAX(ROW(E$1:E2975)*(E2=E$1:E2975))))))</f>
        <v/>
      </c>
      <c r="K2976" s="24" t="str">
        <f>IF(OR(E2976="",E2976="!!!",F2976="NEW"),"",INDEX(J$1:J2975,SUMPRODUCT(MAX(ROW(E$1:E2975)*(E2976=E$1:E2975)))))</f>
        <v/>
      </c>
      <c r="L2976" s="25"/>
    </row>
    <row r="2977" spans="1:12" x14ac:dyDescent="0.2">
      <c r="A2977" t="s">
        <v>859</v>
      </c>
      <c r="E2977" s="20" t="str">
        <f t="shared" si="320"/>
        <v/>
      </c>
      <c r="F2977" s="21" t="str">
        <f>IF(OR(E2977="",E2977="!!!"),"",IF(NOT(ISNA(VLOOKUP(E2977,E$1:E2976,1,FALSE()))),"OLD",IF(AND(E2977&lt;&gt;"",E2977&lt;&gt;"!!!"),"NEW","")))</f>
        <v/>
      </c>
      <c r="G2977" s="22" t="str">
        <f>IF(OR(E2977="",E2977="!!!"),"",IF(OR(J2977=0,AND(J2977=1,K2977=1),AND(J2977=1,I2977="SBJ"),AND(J2977=1,I2977=0)),"?IN_FOCUS",IF(J2977&lt;=2,"?ACTIVATED",IF(J2977&lt;&gt;"","?FAMILIAR",IF(F2977="NEW",IF(ISNA(VLOOKUP(E2977,#REF!,1,FALSE())),"?TYPE_IDENTIFIABLE","?REFERENTIAL"),"_")))))</f>
        <v/>
      </c>
      <c r="H2977" s="23" t="str">
        <f t="shared" ca="1" si="321"/>
        <v/>
      </c>
      <c r="I2977" s="24" t="str">
        <f>IF(OR(E2977="",E2977="!!!",F2977="NEW"),"",INDEX(B$2:B2976,-1+SUMPRODUCT(MAX(ROW(E$2:E2976)*(E2977=E$2:E2976)))))</f>
        <v/>
      </c>
      <c r="J2977" s="24" t="str">
        <f ca="1">IF(OR(E2977="",E2977="!!!",F2977="NEW"),"",COUNTBLANK(OFFSET(A$1,,,SUMPRODUCT(MAX(ROW(E$2:E2977)*(E2977=E$2:E2977)))))-COUNTBLANK(OFFSET(A$1,,,SUMPRODUCT(MAX(ROW(E$1:E2976)*(E2=E$1:E2976))))))</f>
        <v/>
      </c>
      <c r="K2977" s="24" t="str">
        <f>IF(OR(E2977="",E2977="!!!",F2977="NEW"),"",INDEX(J$1:J2976,SUMPRODUCT(MAX(ROW(E$1:E2976)*(E2977=E$1:E2976)))))</f>
        <v/>
      </c>
      <c r="L2977" s="25"/>
    </row>
    <row r="2978" spans="1:12" x14ac:dyDescent="0.2">
      <c r="A2978" t="s">
        <v>832</v>
      </c>
      <c r="E2978" s="20" t="str">
        <f t="shared" si="320"/>
        <v/>
      </c>
      <c r="F2978" s="21" t="str">
        <f>IF(OR(E2978="",E2978="!!!"),"",IF(NOT(ISNA(VLOOKUP(E2978,E$1:E2977,1,FALSE()))),"OLD",IF(AND(E2978&lt;&gt;"",E2978&lt;&gt;"!!!"),"NEW","")))</f>
        <v/>
      </c>
      <c r="G2978" s="22" t="str">
        <f>IF(OR(E2978="",E2978="!!!"),"",IF(OR(J2978=0,AND(J2978=1,K2978=1),AND(J2978=1,I2978="SBJ"),AND(J2978=1,I2978=0)),"?IN_FOCUS",IF(J2978&lt;=2,"?ACTIVATED",IF(J2978&lt;&gt;"","?FAMILIAR",IF(F2978="NEW",IF(ISNA(VLOOKUP(E2978,#REF!,1,FALSE())),"?TYPE_IDENTIFIABLE","?REFERENTIAL"),"_")))))</f>
        <v/>
      </c>
      <c r="H2978" s="23" t="str">
        <f t="shared" ca="1" si="321"/>
        <v/>
      </c>
      <c r="I2978" s="24" t="str">
        <f>IF(OR(E2978="",E2978="!!!",F2978="NEW"),"",INDEX(B$2:B2977,-1+SUMPRODUCT(MAX(ROW(E$2:E2977)*(E2978=E$2:E2977)))))</f>
        <v/>
      </c>
      <c r="J2978" s="24" t="str">
        <f ca="1">IF(OR(E2978="",E2978="!!!",F2978="NEW"),"",COUNTBLANK(OFFSET(A$1,,,SUMPRODUCT(MAX(ROW(E$2:E2978)*(E2978=E$2:E2978)))))-COUNTBLANK(OFFSET(A$1,,,SUMPRODUCT(MAX(ROW(E$1:E2977)*(E2=E$1:E2977))))))</f>
        <v/>
      </c>
      <c r="K2978" s="24" t="str">
        <f>IF(OR(E2978="",E2978="!!!",F2978="NEW"),"",INDEX(J$1:J2977,SUMPRODUCT(MAX(ROW(E$1:E2977)*(E2978=E$1:E2977)))))</f>
        <v/>
      </c>
      <c r="L2978" s="25"/>
    </row>
    <row r="2979" spans="1:12" x14ac:dyDescent="0.2">
      <c r="A2979" t="s">
        <v>1449</v>
      </c>
      <c r="E2979" s="20" t="str">
        <f t="shared" si="320"/>
        <v/>
      </c>
      <c r="F2979" s="21" t="str">
        <f>IF(OR(E2979="",E2979="!!!"),"",IF(NOT(ISNA(VLOOKUP(E2979,E$1:E2978,1,FALSE()))),"OLD",IF(AND(E2979&lt;&gt;"",E2979&lt;&gt;"!!!"),"NEW","")))</f>
        <v/>
      </c>
      <c r="G2979" s="22" t="str">
        <f>IF(OR(E2979="",E2979="!!!"),"",IF(OR(J2979=0,AND(J2979=1,K2979=1),AND(J2979=1,I2979="SBJ"),AND(J2979=1,I2979=0)),"?IN_FOCUS",IF(J2979&lt;=2,"?ACTIVATED",IF(J2979&lt;&gt;"","?FAMILIAR",IF(F2979="NEW",IF(ISNA(VLOOKUP(E2979,#REF!,1,FALSE())),"?TYPE_IDENTIFIABLE","?REFERENTIAL"),"_")))))</f>
        <v/>
      </c>
      <c r="H2979" s="23" t="str">
        <f t="shared" ca="1" si="321"/>
        <v/>
      </c>
      <c r="I2979" s="24" t="str">
        <f>IF(OR(E2979="",E2979="!!!",F2979="NEW"),"",INDEX(B$2:B2978,-1+SUMPRODUCT(MAX(ROW(E$2:E2978)*(E2979=E$2:E2978)))))</f>
        <v/>
      </c>
      <c r="J2979" s="24" t="str">
        <f ca="1">IF(OR(E2979="",E2979="!!!",F2979="NEW"),"",COUNTBLANK(OFFSET(A$1,,,SUMPRODUCT(MAX(ROW(E$2:E2979)*(E2979=E$2:E2979)))))-COUNTBLANK(OFFSET(A$1,,,SUMPRODUCT(MAX(ROW(E$1:E2978)*(E2=E$1:E2978))))))</f>
        <v/>
      </c>
      <c r="K2979" s="24" t="str">
        <f>IF(OR(E2979="",E2979="!!!",F2979="NEW"),"",INDEX(J$1:J2978,SUMPRODUCT(MAX(ROW(E$1:E2978)*(E2979=E$1:E2978)))))</f>
        <v/>
      </c>
      <c r="L2979" s="25"/>
    </row>
    <row r="2980" spans="1:12" x14ac:dyDescent="0.2">
      <c r="A2980" t="s">
        <v>152</v>
      </c>
      <c r="B2980" s="26" t="s">
        <v>813</v>
      </c>
      <c r="C2980" s="26" t="s">
        <v>814</v>
      </c>
      <c r="E2980" s="20" t="str">
        <f t="shared" si="320"/>
        <v/>
      </c>
      <c r="F2980" s="21" t="str">
        <f>IF(OR(E2980="",E2980="!!!"),"",IF(NOT(ISNA(VLOOKUP(E2980,E$1:E2979,1,FALSE()))),"OLD",IF(AND(E2980&lt;&gt;"",E2980&lt;&gt;"!!!"),"NEW","")))</f>
        <v/>
      </c>
      <c r="G2980" s="22" t="str">
        <f>IF(OR(E2980="",E2980="!!!"),"",IF(OR(J2980=0,AND(J2980=1,K2980=1),AND(J2980=1,I2980="SBJ"),AND(J2980=1,I2980=0)),"?IN_FOCUS",IF(J2980&lt;=2,"?ACTIVATED",IF(J2980&lt;&gt;"","?FAMILIAR",IF(F2980="NEW",IF(ISNA(VLOOKUP(E2980,#REF!,1,FALSE())),"?TYPE_IDENTIFIABLE","?REFERENTIAL"),"_")))))</f>
        <v/>
      </c>
      <c r="H2980" s="23" t="str">
        <f t="shared" ca="1" si="321"/>
        <v/>
      </c>
      <c r="I2980" s="24" t="str">
        <f>IF(OR(E2980="",E2980="!!!",F2980="NEW"),"",INDEX(B$2:B2979,-1+SUMPRODUCT(MAX(ROW(E$2:E2979)*(E2980=E$2:E2979)))))</f>
        <v/>
      </c>
      <c r="J2980" s="24" t="str">
        <f ca="1">IF(OR(E2980="",E2980="!!!",F2980="NEW"),"",COUNTBLANK(OFFSET(A$1,,,SUMPRODUCT(MAX(ROW(E$2:E2980)*(E2980=E$2:E2980)))))-COUNTBLANK(OFFSET(A$1,,,SUMPRODUCT(MAX(ROW(E$1:E2979)*(E2=E$1:E2979))))))</f>
        <v/>
      </c>
      <c r="K2980" s="24" t="str">
        <f>IF(OR(E2980="",E2980="!!!",F2980="NEW"),"",INDEX(J$1:J2979,SUMPRODUCT(MAX(ROW(E$1:E2979)*(E2980=E$1:E2979)))))</f>
        <v/>
      </c>
      <c r="L2980" s="25"/>
    </row>
    <row r="2981" spans="1:12" x14ac:dyDescent="0.2">
      <c r="A2981" t="s">
        <v>845</v>
      </c>
      <c r="E2981" s="20" t="str">
        <f t="shared" si="320"/>
        <v/>
      </c>
      <c r="F2981" s="21" t="str">
        <f>IF(OR(E2981="",E2981="!!!"),"",IF(NOT(ISNA(VLOOKUP(E2981,E$1:E2980,1,FALSE()))),"OLD",IF(AND(E2981&lt;&gt;"",E2981&lt;&gt;"!!!"),"NEW","")))</f>
        <v/>
      </c>
      <c r="G2981" s="22" t="str">
        <f>IF(OR(E2981="",E2981="!!!"),"",IF(OR(J2981=0,AND(J2981=1,K2981=1),AND(J2981=1,I2981="SBJ"),AND(J2981=1,I2981=0)),"?IN_FOCUS",IF(J2981&lt;=2,"?ACTIVATED",IF(J2981&lt;&gt;"","?FAMILIAR",IF(F2981="NEW",IF(ISNA(VLOOKUP(E2981,#REF!,1,FALSE())),"?TYPE_IDENTIFIABLE","?REFERENTIAL"),"_")))))</f>
        <v/>
      </c>
      <c r="H2981" s="23" t="str">
        <f t="shared" ca="1" si="321"/>
        <v/>
      </c>
      <c r="I2981" s="24" t="str">
        <f>IF(OR(E2981="",E2981="!!!",F2981="NEW"),"",INDEX(B$2:B2980,-1+SUMPRODUCT(MAX(ROW(E$2:E2980)*(E2981=E$2:E2980)))))</f>
        <v/>
      </c>
      <c r="J2981" s="24" t="str">
        <f ca="1">IF(OR(E2981="",E2981="!!!",F2981="NEW"),"",COUNTBLANK(OFFSET(A$1,,,SUMPRODUCT(MAX(ROW(E$2:E2981)*(E2981=E$2:E2981)))))-COUNTBLANK(OFFSET(A$1,,,SUMPRODUCT(MAX(ROW(E$1:E2980)*(E2=E$1:E2980))))))</f>
        <v/>
      </c>
      <c r="K2981" s="24" t="str">
        <f>IF(OR(E2981="",E2981="!!!",F2981="NEW"),"",INDEX(J$1:J2980,SUMPRODUCT(MAX(ROW(E$1:E2980)*(E2981=E$1:E2980)))))</f>
        <v/>
      </c>
      <c r="L2981" s="25"/>
    </row>
    <row r="2982" spans="1:12" x14ac:dyDescent="0.2">
      <c r="A2982" t="s">
        <v>1038</v>
      </c>
      <c r="B2982" s="26" t="s">
        <v>864</v>
      </c>
      <c r="C2982" s="26" t="s">
        <v>847</v>
      </c>
      <c r="D2982" s="26" t="s">
        <v>806</v>
      </c>
      <c r="E2982" s="20" t="s">
        <v>1038</v>
      </c>
      <c r="F2982" s="21" t="str">
        <f>IF(OR(E2982="",E2982="!!!"),"",IF(NOT(ISNA(VLOOKUP(E2982,E$1:E2981,1,FALSE()))),"OLD",IF(AND(E2982&lt;&gt;"",E2982&lt;&gt;"!!!"),"NEW","")))</f>
        <v>OLD</v>
      </c>
      <c r="G2982" s="22" t="s">
        <v>1822</v>
      </c>
      <c r="H2982" s="23" t="str">
        <f t="shared" ca="1" si="321"/>
        <v/>
      </c>
      <c r="I2982" s="24" t="str">
        <f>IF(OR(E2982="",E2982="!!!",F2982="NEW"),"",INDEX(B$2:B2981,-1+SUMPRODUCT(MAX(ROW(E$2:E2981)*(E2982=E$2:E2981)))))</f>
        <v>OBJ_2</v>
      </c>
      <c r="J2982" s="24">
        <f ca="1">IF(OR(E2982="",E2982="!!!",F2982="NEW"),"",COUNTBLANK(OFFSET(A$1,,,SUMPRODUCT(MAX(ROW(E$2:E2982)*(E2982=E$2:E2982)))))-COUNTBLANK(OFFSET(A$1,,,SUMPRODUCT(MAX(ROW(E$1:E2981)*(E2=E$1:E2981))))))</f>
        <v>0</v>
      </c>
      <c r="K2982" s="24">
        <f ca="1">IF(OR(E2982="",E2982="!!!",F2982="NEW"),"",INDEX(J$1:J2981,SUMPRODUCT(MAX(ROW(E$1:E2981)*(E2982=E$1:E2981)))))</f>
        <v>0</v>
      </c>
      <c r="L2982" s="25"/>
    </row>
    <row r="2983" spans="1:12" x14ac:dyDescent="0.2">
      <c r="A2983" t="s">
        <v>821</v>
      </c>
      <c r="E2983" s="20" t="str">
        <f t="shared" si="320"/>
        <v/>
      </c>
      <c r="F2983" s="21" t="str">
        <f>IF(OR(E2983="",E2983="!!!"),"",IF(NOT(ISNA(VLOOKUP(E2983,E$1:E2982,1,FALSE()))),"OLD",IF(AND(E2983&lt;&gt;"",E2983&lt;&gt;"!!!"),"NEW","")))</f>
        <v/>
      </c>
      <c r="G2983" s="22" t="str">
        <f>IF(OR(E2983="",E2983="!!!"),"",IF(OR(J2983=0,AND(J2983=1,K2983=1),AND(J2983=1,I2983="SBJ"),AND(J2983=1,I2983=0)),"?IN_FOCUS",IF(J2983&lt;=2,"?ACTIVATED",IF(J2983&lt;&gt;"","?FAMILIAR",IF(F2983="NEW",IF(ISNA(VLOOKUP(E2983,#REF!,1,FALSE())),"?TYPE_IDENTIFIABLE","?REFERENTIAL"),"_")))))</f>
        <v/>
      </c>
      <c r="H2983" s="23" t="str">
        <f t="shared" ca="1" si="321"/>
        <v/>
      </c>
      <c r="I2983" s="24" t="str">
        <f>IF(OR(E2983="",E2983="!!!",F2983="NEW"),"",INDEX(B$2:B2982,-1+SUMPRODUCT(MAX(ROW(E$2:E2982)*(E2983=E$2:E2982)))))</f>
        <v/>
      </c>
      <c r="J2983" s="24" t="str">
        <f ca="1">IF(OR(E2983="",E2983="!!!",F2983="NEW"),"",COUNTBLANK(OFFSET(A$1,,,SUMPRODUCT(MAX(ROW(E$2:E2983)*(E2983=E$2:E2983)))))-COUNTBLANK(OFFSET(A$1,,,SUMPRODUCT(MAX(ROW(E$1:E2982)*(E2=E$1:E2982))))))</f>
        <v/>
      </c>
      <c r="K2983" s="24" t="str">
        <f>IF(OR(E2983="",E2983="!!!",F2983="NEW"),"",INDEX(J$1:J2982,SUMPRODUCT(MAX(ROW(E$1:E2982)*(E2983=E$1:E2982)))))</f>
        <v/>
      </c>
      <c r="L2983" s="25"/>
    </row>
    <row r="2985" spans="1:12" x14ac:dyDescent="0.2">
      <c r="A2985" t="s">
        <v>1649</v>
      </c>
    </row>
    <row r="2986" spans="1:12" x14ac:dyDescent="0.2">
      <c r="A2986" t="s">
        <v>882</v>
      </c>
      <c r="E2986" s="20" t="str">
        <f t="shared" ref="E2986:E2993" si="322">IF(D2986="?OLD","!!!","")</f>
        <v/>
      </c>
      <c r="F2986" s="21" t="str">
        <f>IF(OR(E2986="",E2986="!!!"),"",IF(NOT(ISNA(VLOOKUP(E2986,E$1:E2985,1,FALSE()))),"OLD",IF(AND(E2986&lt;&gt;"",E2986&lt;&gt;"!!!"),"NEW","")))</f>
        <v/>
      </c>
      <c r="G2986" s="22" t="str">
        <f>IF(OR(E2986="",E2986="!!!"),"",IF(OR(J2986=0,AND(J2986=1,K2986=1),AND(J2986=1,I2986="SBJ"),AND(J2986=1,I2986=0)),"?IN_FOCUS",IF(J2986&lt;=2,"?ACTIVATED",IF(J2986&lt;&gt;"","?FAMILIAR",IF(F2986="NEW",IF(ISNA(VLOOKUP(E2986,#REF!,1,FALSE())),"?TYPE_IDENTIFIABLE","?REFERENTIAL"),"_")))))</f>
        <v/>
      </c>
      <c r="H2986" s="23" t="str">
        <f t="shared" ref="H2986:H2993" ca="1" si="323">IF(J2986&lt;&gt;1,"",IF(I2986="SBJ","CB","?"))</f>
        <v/>
      </c>
      <c r="I2986" s="24" t="str">
        <f>IF(OR(E2986="",E2986="!!!",F2986="NEW"),"",INDEX(B$2:B2985,-1+SUMPRODUCT(MAX(ROW(E$2:E2985)*(E2986=E$2:E2985)))))</f>
        <v/>
      </c>
      <c r="J2986" s="24" t="str">
        <f ca="1">IF(OR(E2986="",E2986="!!!",F2986="NEW"),"",COUNTBLANK(OFFSET(A$1,,,SUMPRODUCT(MAX(ROW(E$2:E2986)*(E2986=E$2:E2986)))))-COUNTBLANK(OFFSET(A$1,,,SUMPRODUCT(MAX(ROW(E$1:E2985)*(E2=E$1:E2985))))))</f>
        <v/>
      </c>
      <c r="K2986" s="24" t="str">
        <f>IF(OR(E2986="",E2986="!!!",F2986="NEW"),"",INDEX(J$1:J2985,SUMPRODUCT(MAX(ROW(E$1:E2985)*(E2986=E$1:E2985)))))</f>
        <v/>
      </c>
      <c r="L2986" s="25"/>
    </row>
    <row r="2987" spans="1:12" x14ac:dyDescent="0.2">
      <c r="A2987" t="s">
        <v>1650</v>
      </c>
      <c r="E2987" s="20" t="str">
        <f t="shared" si="322"/>
        <v/>
      </c>
      <c r="F2987" s="21" t="str">
        <f>IF(OR(E2987="",E2987="!!!"),"",IF(NOT(ISNA(VLOOKUP(E2987,E$1:E2986,1,FALSE()))),"OLD",IF(AND(E2987&lt;&gt;"",E2987&lt;&gt;"!!!"),"NEW","")))</f>
        <v/>
      </c>
      <c r="G2987" s="22" t="str">
        <f>IF(OR(E2987="",E2987="!!!"),"",IF(OR(J2987=0,AND(J2987=1,K2987=1),AND(J2987=1,I2987="SBJ"),AND(J2987=1,I2987=0)),"?IN_FOCUS",IF(J2987&lt;=2,"?ACTIVATED",IF(J2987&lt;&gt;"","?FAMILIAR",IF(F2987="NEW",IF(ISNA(VLOOKUP(E2987,#REF!,1,FALSE())),"?TYPE_IDENTIFIABLE","?REFERENTIAL"),"_")))))</f>
        <v/>
      </c>
      <c r="H2987" s="23" t="str">
        <f t="shared" ca="1" si="323"/>
        <v/>
      </c>
      <c r="I2987" s="24" t="str">
        <f>IF(OR(E2987="",E2987="!!!",F2987="NEW"),"",INDEX(B$2:B2986,-1+SUMPRODUCT(MAX(ROW(E$2:E2986)*(E2987=E$2:E2986)))))</f>
        <v/>
      </c>
      <c r="J2987" s="24" t="str">
        <f ca="1">IF(OR(E2987="",E2987="!!!",F2987="NEW"),"",COUNTBLANK(OFFSET(A$1,,,SUMPRODUCT(MAX(ROW(E$2:E2987)*(E2987=E$2:E2987)))))-COUNTBLANK(OFFSET(A$1,,,SUMPRODUCT(MAX(ROW(E$1:E2986)*(E2=E$1:E2986))))))</f>
        <v/>
      </c>
      <c r="K2987" s="24" t="str">
        <f>IF(OR(E2987="",E2987="!!!",F2987="NEW"),"",INDEX(J$1:J2986,SUMPRODUCT(MAX(ROW(E$1:E2986)*(E2987=E$1:E2986)))))</f>
        <v/>
      </c>
      <c r="L2987" s="25"/>
    </row>
    <row r="2988" spans="1:12" x14ac:dyDescent="0.2">
      <c r="A2988" t="s">
        <v>1081</v>
      </c>
      <c r="B2988" s="26" t="s">
        <v>804</v>
      </c>
      <c r="C2988" s="26" t="s">
        <v>884</v>
      </c>
      <c r="E2988" s="20" t="s">
        <v>1081</v>
      </c>
      <c r="F2988" s="21" t="str">
        <f>IF(OR(E2988="",E2988="!!!"),"",IF(NOT(ISNA(VLOOKUP(E2988,E$1:E2987,1,FALSE()))),"OLD",IF(AND(E2988&lt;&gt;"",E2988&lt;&gt;"!!!"),"NEW","")))</f>
        <v>NEW</v>
      </c>
      <c r="G2988" s="22" t="s">
        <v>1824</v>
      </c>
      <c r="H2988" s="23" t="str">
        <f t="shared" ca="1" si="323"/>
        <v/>
      </c>
      <c r="I2988" s="24" t="str">
        <f>IF(OR(E2988="",E2988="!!!",F2988="NEW"),"",INDEX(B$2:B2987,-1+SUMPRODUCT(MAX(ROW(E$2:E2987)*(E2988=E$2:E2987)))))</f>
        <v/>
      </c>
      <c r="J2988" s="24" t="str">
        <f ca="1">IF(OR(E2988="",E2988="!!!",F2988="NEW"),"",COUNTBLANK(OFFSET(A$1,,,SUMPRODUCT(MAX(ROW(E$2:E2988)*(E2988=E$2:E2988)))))-COUNTBLANK(OFFSET(A$1,,,SUMPRODUCT(MAX(ROW(E$1:E2987)*(E2=E$1:E2987))))))</f>
        <v/>
      </c>
      <c r="K2988" s="24" t="str">
        <f>IF(OR(E2988="",E2988="!!!",F2988="NEW"),"",INDEX(J$1:J2987,SUMPRODUCT(MAX(ROW(E$1:E2987)*(E2988=E$1:E2987)))))</f>
        <v/>
      </c>
      <c r="L2988" s="25"/>
    </row>
    <row r="2989" spans="1:12" x14ac:dyDescent="0.2">
      <c r="A2989" t="s">
        <v>1630</v>
      </c>
      <c r="E2989" s="20" t="str">
        <f t="shared" si="322"/>
        <v/>
      </c>
      <c r="F2989" s="21" t="str">
        <f>IF(OR(E2989="",E2989="!!!"),"",IF(NOT(ISNA(VLOOKUP(E2989,E$1:E2988,1,FALSE()))),"OLD",IF(AND(E2989&lt;&gt;"",E2989&lt;&gt;"!!!"),"NEW","")))</f>
        <v/>
      </c>
      <c r="G2989" s="22" t="str">
        <f>IF(OR(E2989="",E2989="!!!"),"",IF(OR(J2989=0,AND(J2989=1,K2989=1),AND(J2989=1,I2989="SBJ"),AND(J2989=1,I2989=0)),"?IN_FOCUS",IF(J2989&lt;=2,"?ACTIVATED",IF(J2989&lt;&gt;"","?FAMILIAR",IF(F2989="NEW",IF(ISNA(VLOOKUP(E2989,#REF!,1,FALSE())),"?TYPE_IDENTIFIABLE","?REFERENTIAL"),"_")))))</f>
        <v/>
      </c>
      <c r="H2989" s="23" t="str">
        <f t="shared" ca="1" si="323"/>
        <v/>
      </c>
      <c r="I2989" s="24" t="str">
        <f>IF(OR(E2989="",E2989="!!!",F2989="NEW"),"",INDEX(B$2:B2988,-1+SUMPRODUCT(MAX(ROW(E$2:E2988)*(E2989=E$2:E2988)))))</f>
        <v/>
      </c>
      <c r="J2989" s="24" t="str">
        <f ca="1">IF(OR(E2989="",E2989="!!!",F2989="NEW"),"",COUNTBLANK(OFFSET(A$1,,,SUMPRODUCT(MAX(ROW(E$2:E2989)*(E2989=E$2:E2989)))))-COUNTBLANK(OFFSET(A$1,,,SUMPRODUCT(MAX(ROW(E$1:E2988)*(E2=E$1:E2988))))))</f>
        <v/>
      </c>
      <c r="K2989" s="24" t="str">
        <f>IF(OR(E2989="",E2989="!!!",F2989="NEW"),"",INDEX(J$1:J2988,SUMPRODUCT(MAX(ROW(E$1:E2988)*(E2989=E$1:E2988)))))</f>
        <v/>
      </c>
      <c r="L2989" s="25"/>
    </row>
    <row r="2990" spans="1:12" x14ac:dyDescent="0.2">
      <c r="A2990" t="s">
        <v>82</v>
      </c>
      <c r="E2990" s="20" t="str">
        <f t="shared" si="322"/>
        <v/>
      </c>
      <c r="F2990" s="21" t="str">
        <f>IF(OR(E2990="",E2990="!!!"),"",IF(NOT(ISNA(VLOOKUP(E2990,E$1:E2989,1,FALSE()))),"OLD",IF(AND(E2990&lt;&gt;"",E2990&lt;&gt;"!!!"),"NEW","")))</f>
        <v/>
      </c>
      <c r="G2990" s="22" t="str">
        <f>IF(OR(E2990="",E2990="!!!"),"",IF(OR(J2990=0,AND(J2990=1,K2990=1),AND(J2990=1,I2990="SBJ"),AND(J2990=1,I2990=0)),"?IN_FOCUS",IF(J2990&lt;=2,"?ACTIVATED",IF(J2990&lt;&gt;"","?FAMILIAR",IF(F2990="NEW",IF(ISNA(VLOOKUP(E2990,#REF!,1,FALSE())),"?TYPE_IDENTIFIABLE","?REFERENTIAL"),"_")))))</f>
        <v/>
      </c>
      <c r="H2990" s="23" t="str">
        <f t="shared" ca="1" si="323"/>
        <v/>
      </c>
      <c r="I2990" s="24" t="str">
        <f>IF(OR(E2990="",E2990="!!!",F2990="NEW"),"",INDEX(B$2:B2989,-1+SUMPRODUCT(MAX(ROW(E$2:E2989)*(E2990=E$2:E2989)))))</f>
        <v/>
      </c>
      <c r="J2990" s="24" t="str">
        <f ca="1">IF(OR(E2990="",E2990="!!!",F2990="NEW"),"",COUNTBLANK(OFFSET(A$1,,,SUMPRODUCT(MAX(ROW(E$2:E2990)*(E2990=E$2:E2990)))))-COUNTBLANK(OFFSET(A$1,,,SUMPRODUCT(MAX(ROW(E$1:E2989)*(E2=E$1:E2989))))))</f>
        <v/>
      </c>
      <c r="K2990" s="24" t="str">
        <f>IF(OR(E2990="",E2990="!!!",F2990="NEW"),"",INDEX(J$1:J2989,SUMPRODUCT(MAX(ROW(E$1:E2989)*(E2990=E$1:E2989)))))</f>
        <v/>
      </c>
      <c r="L2990" s="25"/>
    </row>
    <row r="2991" spans="1:12" x14ac:dyDescent="0.2">
      <c r="A2991" t="s">
        <v>1651</v>
      </c>
      <c r="E2991" s="20" t="str">
        <f t="shared" si="322"/>
        <v/>
      </c>
      <c r="F2991" s="21" t="str">
        <f>IF(OR(E2991="",E2991="!!!"),"",IF(NOT(ISNA(VLOOKUP(E2991,E$1:E2990,1,FALSE()))),"OLD",IF(AND(E2991&lt;&gt;"",E2991&lt;&gt;"!!!"),"NEW","")))</f>
        <v/>
      </c>
      <c r="G2991" s="22" t="str">
        <f>IF(OR(E2991="",E2991="!!!"),"",IF(OR(J2991=0,AND(J2991=1,K2991=1),AND(J2991=1,I2991="SBJ"),AND(J2991=1,I2991=0)),"?IN_FOCUS",IF(J2991&lt;=2,"?ACTIVATED",IF(J2991&lt;&gt;"","?FAMILIAR",IF(F2991="NEW",IF(ISNA(VLOOKUP(E2991,#REF!,1,FALSE())),"?TYPE_IDENTIFIABLE","?REFERENTIAL"),"_")))))</f>
        <v/>
      </c>
      <c r="H2991" s="23" t="str">
        <f t="shared" ca="1" si="323"/>
        <v/>
      </c>
      <c r="I2991" s="24" t="str">
        <f>IF(OR(E2991="",E2991="!!!",F2991="NEW"),"",INDEX(B$2:B2990,-1+SUMPRODUCT(MAX(ROW(E$2:E2990)*(E2991=E$2:E2990)))))</f>
        <v/>
      </c>
      <c r="J2991" s="24" t="str">
        <f ca="1">IF(OR(E2991="",E2991="!!!",F2991="NEW"),"",COUNTBLANK(OFFSET(A$1,,,SUMPRODUCT(MAX(ROW(E$2:E2991)*(E2991=E$2:E2991)))))-COUNTBLANK(OFFSET(A$1,,,SUMPRODUCT(MAX(ROW(E$1:E2990)*(E2=E$1:E2990))))))</f>
        <v/>
      </c>
      <c r="K2991" s="24" t="str">
        <f>IF(OR(E2991="",E2991="!!!",F2991="NEW"),"",INDEX(J$1:J2990,SUMPRODUCT(MAX(ROW(E$1:E2990)*(E2991=E$1:E2990)))))</f>
        <v/>
      </c>
      <c r="L2991" s="25"/>
    </row>
    <row r="2992" spans="1:12" x14ac:dyDescent="0.2">
      <c r="A2992" t="s">
        <v>1453</v>
      </c>
      <c r="B2992" s="26" t="s">
        <v>819</v>
      </c>
      <c r="C2992" s="26" t="s">
        <v>814</v>
      </c>
      <c r="E2992" s="20" t="str">
        <f t="shared" si="322"/>
        <v/>
      </c>
      <c r="F2992" s="21" t="str">
        <f>IF(OR(E2992="",E2992="!!!"),"",IF(NOT(ISNA(VLOOKUP(E2992,E$1:E2991,1,FALSE()))),"OLD",IF(AND(E2992&lt;&gt;"",E2992&lt;&gt;"!!!"),"NEW","")))</f>
        <v/>
      </c>
      <c r="G2992" s="22" t="str">
        <f>IF(OR(E2992="",E2992="!!!"),"",IF(OR(J2992=0,AND(J2992=1,K2992=1),AND(J2992=1,I2992="SBJ"),AND(J2992=1,I2992=0)),"?IN_FOCUS",IF(J2992&lt;=2,"?ACTIVATED",IF(J2992&lt;&gt;"","?FAMILIAR",IF(F2992="NEW",IF(ISNA(VLOOKUP(E2992,#REF!,1,FALSE())),"?TYPE_IDENTIFIABLE","?REFERENTIAL"),"_")))))</f>
        <v/>
      </c>
      <c r="H2992" s="23" t="str">
        <f t="shared" ca="1" si="323"/>
        <v/>
      </c>
      <c r="I2992" s="24" t="str">
        <f>IF(OR(E2992="",E2992="!!!",F2992="NEW"),"",INDEX(B$2:B2991,-1+SUMPRODUCT(MAX(ROW(E$2:E2991)*(E2992=E$2:E2991)))))</f>
        <v/>
      </c>
      <c r="J2992" s="24" t="str">
        <f ca="1">IF(OR(E2992="",E2992="!!!",F2992="NEW"),"",COUNTBLANK(OFFSET(A$1,,,SUMPRODUCT(MAX(ROW(E$2:E2992)*(E2992=E$2:E2992)))))-COUNTBLANK(OFFSET(A$1,,,SUMPRODUCT(MAX(ROW(E$1:E2991)*(E2=E$1:E2991))))))</f>
        <v/>
      </c>
      <c r="K2992" s="24" t="str">
        <f>IF(OR(E2992="",E2992="!!!",F2992="NEW"),"",INDEX(J$1:J2991,SUMPRODUCT(MAX(ROW(E$1:E2991)*(E2992=E$1:E2991)))))</f>
        <v/>
      </c>
      <c r="L2992" s="25"/>
    </row>
    <row r="2993" spans="1:12" x14ac:dyDescent="0.2">
      <c r="A2993" t="s">
        <v>821</v>
      </c>
      <c r="E2993" s="20" t="str">
        <f t="shared" si="322"/>
        <v/>
      </c>
      <c r="F2993" s="21" t="str">
        <f>IF(OR(E2993="",E2993="!!!"),"",IF(NOT(ISNA(VLOOKUP(E2993,E$1:E2992,1,FALSE()))),"OLD",IF(AND(E2993&lt;&gt;"",E2993&lt;&gt;"!!!"),"NEW","")))</f>
        <v/>
      </c>
      <c r="G2993" s="22" t="str">
        <f>IF(OR(E2993="",E2993="!!!"),"",IF(OR(J2993=0,AND(J2993=1,K2993=1),AND(J2993=1,I2993="SBJ"),AND(J2993=1,I2993=0)),"?IN_FOCUS",IF(J2993&lt;=2,"?ACTIVATED",IF(J2993&lt;&gt;"","?FAMILIAR",IF(F2993="NEW",IF(ISNA(VLOOKUP(E2993,#REF!,1,FALSE())),"?TYPE_IDENTIFIABLE","?REFERENTIAL"),"_")))))</f>
        <v/>
      </c>
      <c r="H2993" s="23" t="str">
        <f t="shared" ca="1" si="323"/>
        <v/>
      </c>
      <c r="I2993" s="24" t="str">
        <f>IF(OR(E2993="",E2993="!!!",F2993="NEW"),"",INDEX(B$2:B2992,-1+SUMPRODUCT(MAX(ROW(E$2:E2992)*(E2993=E$2:E2992)))))</f>
        <v/>
      </c>
      <c r="J2993" s="24" t="str">
        <f ca="1">IF(OR(E2993="",E2993="!!!",F2993="NEW"),"",COUNTBLANK(OFFSET(A$1,,,SUMPRODUCT(MAX(ROW(E$2:E2993)*(E2993=E$2:E2993)))))-COUNTBLANK(OFFSET(A$1,,,SUMPRODUCT(MAX(ROW(E$1:E2992)*(E2=E$1:E2992))))))</f>
        <v/>
      </c>
      <c r="K2993" s="24" t="str">
        <f>IF(OR(E2993="",E2993="!!!",F2993="NEW"),"",INDEX(J$1:J2992,SUMPRODUCT(MAX(ROW(E$1:E2992)*(E2993=E$1:E2992)))))</f>
        <v/>
      </c>
      <c r="L2993" s="25"/>
    </row>
    <row r="2995" spans="1:12" x14ac:dyDescent="0.2">
      <c r="A2995" t="s">
        <v>1652</v>
      </c>
    </row>
    <row r="2996" spans="1:12" x14ac:dyDescent="0.2">
      <c r="A2996" t="s">
        <v>882</v>
      </c>
      <c r="E2996" s="20" t="str">
        <f t="shared" ref="E2996:E3015" si="324">IF(D2996="?OLD","!!!","")</f>
        <v/>
      </c>
      <c r="F2996" s="21" t="str">
        <f>IF(OR(E2996="",E2996="!!!"),"",IF(NOT(ISNA(VLOOKUP(E2996,E$1:E2995,1,FALSE()))),"OLD",IF(AND(E2996&lt;&gt;"",E2996&lt;&gt;"!!!"),"NEW","")))</f>
        <v/>
      </c>
      <c r="G2996" s="22" t="str">
        <f>IF(OR(E2996="",E2996="!!!"),"",IF(OR(J2996=0,AND(J2996=1,K2996=1),AND(J2996=1,I2996="SBJ"),AND(J2996=1,I2996=0)),"?IN_FOCUS",IF(J2996&lt;=2,"?ACTIVATED",IF(J2996&lt;&gt;"","?FAMILIAR",IF(F2996="NEW",IF(ISNA(VLOOKUP(E2996,#REF!,1,FALSE())),"?TYPE_IDENTIFIABLE","?REFERENTIAL"),"_")))))</f>
        <v/>
      </c>
      <c r="H2996" s="23" t="str">
        <f t="shared" ref="H2996:H3015" ca="1" si="325">IF(J2996&lt;&gt;1,"",IF(I2996="SBJ","CB","?"))</f>
        <v/>
      </c>
      <c r="I2996" s="24" t="str">
        <f>IF(OR(E2996="",E2996="!!!",F2996="NEW"),"",INDEX(B$2:B2995,-1+SUMPRODUCT(MAX(ROW(E$2:E2995)*(E2996=E$2:E2995)))))</f>
        <v/>
      </c>
      <c r="J2996" s="24" t="str">
        <f ca="1">IF(OR(E2996="",E2996="!!!",F2996="NEW"),"",COUNTBLANK(OFFSET(A$1,,,SUMPRODUCT(MAX(ROW(E$2:E2996)*(E2996=E$2:E2996)))))-COUNTBLANK(OFFSET(A$1,,,SUMPRODUCT(MAX(ROW(E$1:E2995)*(E2=E$1:E2995))))))</f>
        <v/>
      </c>
      <c r="K2996" s="24" t="str">
        <f>IF(OR(E2996="",E2996="!!!",F2996="NEW"),"",INDEX(J$1:J2995,SUMPRODUCT(MAX(ROW(E$1:E2995)*(E2996=E$1:E2995)))))</f>
        <v/>
      </c>
      <c r="L2996" s="25"/>
    </row>
    <row r="2997" spans="1:12" x14ac:dyDescent="0.2">
      <c r="A2997" t="s">
        <v>1650</v>
      </c>
      <c r="E2997" s="20" t="str">
        <f t="shared" si="324"/>
        <v/>
      </c>
      <c r="F2997" s="21" t="str">
        <f>IF(OR(E2997="",E2997="!!!"),"",IF(NOT(ISNA(VLOOKUP(E2997,E$1:E2996,1,FALSE()))),"OLD",IF(AND(E2997&lt;&gt;"",E2997&lt;&gt;"!!!"),"NEW","")))</f>
        <v/>
      </c>
      <c r="G2997" s="22" t="str">
        <f>IF(OR(E2997="",E2997="!!!"),"",IF(OR(J2997=0,AND(J2997=1,K2997=1),AND(J2997=1,I2997="SBJ"),AND(J2997=1,I2997=0)),"?IN_FOCUS",IF(J2997&lt;=2,"?ACTIVATED",IF(J2997&lt;&gt;"","?FAMILIAR",IF(F2997="NEW",IF(ISNA(VLOOKUP(E2997,#REF!,1,FALSE())),"?TYPE_IDENTIFIABLE","?REFERENTIAL"),"_")))))</f>
        <v/>
      </c>
      <c r="H2997" s="23" t="str">
        <f t="shared" ca="1" si="325"/>
        <v/>
      </c>
      <c r="I2997" s="24" t="str">
        <f>IF(OR(E2997="",E2997="!!!",F2997="NEW"),"",INDEX(B$2:B2996,-1+SUMPRODUCT(MAX(ROW(E$2:E2996)*(E2997=E$2:E2996)))))</f>
        <v/>
      </c>
      <c r="J2997" s="24" t="str">
        <f ca="1">IF(OR(E2997="",E2997="!!!",F2997="NEW"),"",COUNTBLANK(OFFSET(A$1,,,SUMPRODUCT(MAX(ROW(E$2:E2997)*(E2997=E$2:E2997)))))-COUNTBLANK(OFFSET(A$1,,,SUMPRODUCT(MAX(ROW(E$1:E2996)*(E2=E$1:E2996))))))</f>
        <v/>
      </c>
      <c r="K2997" s="24" t="str">
        <f>IF(OR(E2997="",E2997="!!!",F2997="NEW"),"",INDEX(J$1:J2996,SUMPRODUCT(MAX(ROW(E$1:E2996)*(E2997=E$1:E2996)))))</f>
        <v/>
      </c>
      <c r="L2997" s="25"/>
    </row>
    <row r="2998" spans="1:12" x14ac:dyDescent="0.2">
      <c r="A2998" t="s">
        <v>16</v>
      </c>
      <c r="E2998" s="20" t="str">
        <f t="shared" si="324"/>
        <v/>
      </c>
      <c r="F2998" s="21" t="str">
        <f>IF(OR(E2998="",E2998="!!!"),"",IF(NOT(ISNA(VLOOKUP(E2998,E$1:E2997,1,FALSE()))),"OLD",IF(AND(E2998&lt;&gt;"",E2998&lt;&gt;"!!!"),"NEW","")))</f>
        <v/>
      </c>
      <c r="G2998" s="22" t="str">
        <f>IF(OR(E2998="",E2998="!!!"),"",IF(OR(J2998=0,AND(J2998=1,K2998=1),AND(J2998=1,I2998="SBJ"),AND(J2998=1,I2998=0)),"?IN_FOCUS",IF(J2998&lt;=2,"?ACTIVATED",IF(J2998&lt;&gt;"","?FAMILIAR",IF(F2998="NEW",IF(ISNA(VLOOKUP(E2998,#REF!,1,FALSE())),"?TYPE_IDENTIFIABLE","?REFERENTIAL"),"_")))))</f>
        <v/>
      </c>
      <c r="H2998" s="23" t="str">
        <f t="shared" ca="1" si="325"/>
        <v/>
      </c>
      <c r="I2998" s="24" t="str">
        <f>IF(OR(E2998="",E2998="!!!",F2998="NEW"),"",INDEX(B$2:B2997,-1+SUMPRODUCT(MAX(ROW(E$2:E2997)*(E2998=E$2:E2997)))))</f>
        <v/>
      </c>
      <c r="J2998" s="24" t="str">
        <f ca="1">IF(OR(E2998="",E2998="!!!",F2998="NEW"),"",COUNTBLANK(OFFSET(A$1,,,SUMPRODUCT(MAX(ROW(E$2:E2998)*(E2998=E$2:E2998)))))-COUNTBLANK(OFFSET(A$1,,,SUMPRODUCT(MAX(ROW(E$1:E2997)*(E2=E$1:E2997))))))</f>
        <v/>
      </c>
      <c r="K2998" s="24" t="str">
        <f>IF(OR(E2998="",E2998="!!!",F2998="NEW"),"",INDEX(J$1:J2997,SUMPRODUCT(MAX(ROW(E$1:E2997)*(E2998=E$1:E2997)))))</f>
        <v/>
      </c>
      <c r="L2998" s="25"/>
    </row>
    <row r="2999" spans="1:12" x14ac:dyDescent="0.2">
      <c r="A2999" t="s">
        <v>1060</v>
      </c>
      <c r="B2999" s="26" t="s">
        <v>804</v>
      </c>
      <c r="C2999" s="26" t="s">
        <v>987</v>
      </c>
      <c r="D2999" s="26" t="s">
        <v>806</v>
      </c>
      <c r="E2999" s="20" t="s">
        <v>1808</v>
      </c>
      <c r="F2999" s="21" t="str">
        <f>IF(OR(E2999="",E2999="!!!"),"",IF(NOT(ISNA(VLOOKUP(E2999,E$1:E2998,1,FALSE()))),"OLD",IF(AND(E2999&lt;&gt;"",E2999&lt;&gt;"!!!"),"NEW","")))</f>
        <v>NEW</v>
      </c>
      <c r="G2999" s="22" t="s">
        <v>1823</v>
      </c>
      <c r="H2999" s="23" t="str">
        <f t="shared" ca="1" si="325"/>
        <v/>
      </c>
      <c r="I2999" s="24" t="str">
        <f>IF(OR(E2999="",E2999="!!!",F2999="NEW"),"",INDEX(B$2:B2998,-1+SUMPRODUCT(MAX(ROW(E$2:E2998)*(E2999=E$2:E2998)))))</f>
        <v/>
      </c>
      <c r="J2999" s="24" t="str">
        <f ca="1">IF(OR(E2999="",E2999="!!!",F2999="NEW"),"",COUNTBLANK(OFFSET(A$1,,,SUMPRODUCT(MAX(ROW(E$2:E2999)*(E2999=E$2:E2999)))))-COUNTBLANK(OFFSET(A$1,,,SUMPRODUCT(MAX(ROW(E$1:E2998)*(E2=E$1:E2998))))))</f>
        <v/>
      </c>
      <c r="K2999" s="24" t="str">
        <f>IF(OR(E2999="",E2999="!!!",F2999="NEW"),"",INDEX(J$1:J2998,SUMPRODUCT(MAX(ROW(E$1:E2998)*(E2999=E$1:E2998)))))</f>
        <v/>
      </c>
      <c r="L2999" s="25"/>
    </row>
    <row r="3000" spans="1:12" x14ac:dyDescent="0.2">
      <c r="A3000" t="s">
        <v>898</v>
      </c>
      <c r="E3000" s="20" t="str">
        <f t="shared" si="324"/>
        <v/>
      </c>
      <c r="F3000" s="21" t="str">
        <f>IF(OR(E3000="",E3000="!!!"),"",IF(NOT(ISNA(VLOOKUP(E3000,E$1:E2999,1,FALSE()))),"OLD",IF(AND(E3000&lt;&gt;"",E3000&lt;&gt;"!!!"),"NEW","")))</f>
        <v/>
      </c>
      <c r="G3000" s="22" t="str">
        <f>IF(OR(E3000="",E3000="!!!"),"",IF(OR(J3000=0,AND(J3000=1,K3000=1),AND(J3000=1,I3000="SBJ"),AND(J3000=1,I3000=0)),"?IN_FOCUS",IF(J3000&lt;=2,"?ACTIVATED",IF(J3000&lt;&gt;"","?FAMILIAR",IF(F3000="NEW",IF(ISNA(VLOOKUP(E3000,#REF!,1,FALSE())),"?TYPE_IDENTIFIABLE","?REFERENTIAL"),"_")))))</f>
        <v/>
      </c>
      <c r="H3000" s="23" t="str">
        <f t="shared" ca="1" si="325"/>
        <v/>
      </c>
      <c r="I3000" s="24" t="str">
        <f>IF(OR(E3000="",E3000="!!!",F3000="NEW"),"",INDEX(B$2:B2999,-1+SUMPRODUCT(MAX(ROW(E$2:E2999)*(E3000=E$2:E2999)))))</f>
        <v/>
      </c>
      <c r="J3000" s="24" t="str">
        <f ca="1">IF(OR(E3000="",E3000="!!!",F3000="NEW"),"",COUNTBLANK(OFFSET(A$1,,,SUMPRODUCT(MAX(ROW(E$2:E3000)*(E3000=E$2:E3000)))))-COUNTBLANK(OFFSET(A$1,,,SUMPRODUCT(MAX(ROW(E$1:E2999)*(E2=E$1:E2999))))))</f>
        <v/>
      </c>
      <c r="K3000" s="24" t="str">
        <f>IF(OR(E3000="",E3000="!!!",F3000="NEW"),"",INDEX(J$1:J2999,SUMPRODUCT(MAX(ROW(E$1:E2999)*(E3000=E$1:E2999)))))</f>
        <v/>
      </c>
      <c r="L3000" s="25"/>
    </row>
    <row r="3001" spans="1:12" x14ac:dyDescent="0.2">
      <c r="A3001" t="s">
        <v>832</v>
      </c>
      <c r="E3001" s="20" t="str">
        <f t="shared" si="324"/>
        <v/>
      </c>
      <c r="F3001" s="21" t="str">
        <f>IF(OR(E3001="",E3001="!!!"),"",IF(NOT(ISNA(VLOOKUP(E3001,E$1:E3000,1,FALSE()))),"OLD",IF(AND(E3001&lt;&gt;"",E3001&lt;&gt;"!!!"),"NEW","")))</f>
        <v/>
      </c>
      <c r="G3001" s="22" t="str">
        <f>IF(OR(E3001="",E3001="!!!"),"",IF(OR(J3001=0,AND(J3001=1,K3001=1),AND(J3001=1,I3001="SBJ"),AND(J3001=1,I3001=0)),"?IN_FOCUS",IF(J3001&lt;=2,"?ACTIVATED",IF(J3001&lt;&gt;"","?FAMILIAR",IF(F3001="NEW",IF(ISNA(VLOOKUP(E3001,#REF!,1,FALSE())),"?TYPE_IDENTIFIABLE","?REFERENTIAL"),"_")))))</f>
        <v/>
      </c>
      <c r="H3001" s="23" t="str">
        <f t="shared" ca="1" si="325"/>
        <v/>
      </c>
      <c r="I3001" s="24" t="str">
        <f>IF(OR(E3001="",E3001="!!!",F3001="NEW"),"",INDEX(B$2:B3000,-1+SUMPRODUCT(MAX(ROW(E$2:E3000)*(E3001=E$2:E3000)))))</f>
        <v/>
      </c>
      <c r="J3001" s="24" t="str">
        <f ca="1">IF(OR(E3001="",E3001="!!!",F3001="NEW"),"",COUNTBLANK(OFFSET(A$1,,,SUMPRODUCT(MAX(ROW(E$2:E3001)*(E3001=E$2:E3001)))))-COUNTBLANK(OFFSET(A$1,,,SUMPRODUCT(MAX(ROW(E$1:E3000)*(E2=E$1:E3000))))))</f>
        <v/>
      </c>
      <c r="K3001" s="24" t="str">
        <f>IF(OR(E3001="",E3001="!!!",F3001="NEW"),"",INDEX(J$1:J3000,SUMPRODUCT(MAX(ROW(E$1:E3000)*(E3001=E$1:E3000)))))</f>
        <v/>
      </c>
      <c r="L3001" s="25"/>
    </row>
    <row r="3002" spans="1:12" x14ac:dyDescent="0.2">
      <c r="A3002" t="s">
        <v>1449</v>
      </c>
      <c r="E3002" s="20" t="str">
        <f t="shared" si="324"/>
        <v/>
      </c>
      <c r="F3002" s="21" t="str">
        <f>IF(OR(E3002="",E3002="!!!"),"",IF(NOT(ISNA(VLOOKUP(E3002,E$1:E3001,1,FALSE()))),"OLD",IF(AND(E3002&lt;&gt;"",E3002&lt;&gt;"!!!"),"NEW","")))</f>
        <v/>
      </c>
      <c r="G3002" s="22" t="str">
        <f>IF(OR(E3002="",E3002="!!!"),"",IF(OR(J3002=0,AND(J3002=1,K3002=1),AND(J3002=1,I3002="SBJ"),AND(J3002=1,I3002=0)),"?IN_FOCUS",IF(J3002&lt;=2,"?ACTIVATED",IF(J3002&lt;&gt;"","?FAMILIAR",IF(F3002="NEW",IF(ISNA(VLOOKUP(E3002,#REF!,1,FALSE())),"?TYPE_IDENTIFIABLE","?REFERENTIAL"),"_")))))</f>
        <v/>
      </c>
      <c r="H3002" s="23" t="str">
        <f t="shared" ca="1" si="325"/>
        <v/>
      </c>
      <c r="I3002" s="24" t="str">
        <f>IF(OR(E3002="",E3002="!!!",F3002="NEW"),"",INDEX(B$2:B3001,-1+SUMPRODUCT(MAX(ROW(E$2:E3001)*(E3002=E$2:E3001)))))</f>
        <v/>
      </c>
      <c r="J3002" s="24" t="str">
        <f ca="1">IF(OR(E3002="",E3002="!!!",F3002="NEW"),"",COUNTBLANK(OFFSET(A$1,,,SUMPRODUCT(MAX(ROW(E$2:E3002)*(E3002=E$2:E3002)))))-COUNTBLANK(OFFSET(A$1,,,SUMPRODUCT(MAX(ROW(E$1:E3001)*(E2=E$1:E3001))))))</f>
        <v/>
      </c>
      <c r="K3002" s="24" t="str">
        <f>IF(OR(E3002="",E3002="!!!",F3002="NEW"),"",INDEX(J$1:J3001,SUMPRODUCT(MAX(ROW(E$1:E3001)*(E3002=E$1:E3001)))))</f>
        <v/>
      </c>
      <c r="L3002" s="25"/>
    </row>
    <row r="3003" spans="1:12" x14ac:dyDescent="0.2">
      <c r="A3003" t="s">
        <v>1411</v>
      </c>
      <c r="E3003" s="20" t="str">
        <f t="shared" si="324"/>
        <v/>
      </c>
      <c r="F3003" s="21" t="str">
        <f>IF(OR(E3003="",E3003="!!!"),"",IF(NOT(ISNA(VLOOKUP(E3003,E$1:E3002,1,FALSE()))),"OLD",IF(AND(E3003&lt;&gt;"",E3003&lt;&gt;"!!!"),"NEW","")))</f>
        <v/>
      </c>
      <c r="G3003" s="22" t="str">
        <f>IF(OR(E3003="",E3003="!!!"),"",IF(OR(J3003=0,AND(J3003=1,K3003=1),AND(J3003=1,I3003="SBJ"),AND(J3003=1,I3003=0)),"?IN_FOCUS",IF(J3003&lt;=2,"?ACTIVATED",IF(J3003&lt;&gt;"","?FAMILIAR",IF(F3003="NEW",IF(ISNA(VLOOKUP(E3003,#REF!,1,FALSE())),"?TYPE_IDENTIFIABLE","?REFERENTIAL"),"_")))))</f>
        <v/>
      </c>
      <c r="H3003" s="23" t="str">
        <f t="shared" ca="1" si="325"/>
        <v/>
      </c>
      <c r="I3003" s="24" t="str">
        <f>IF(OR(E3003="",E3003="!!!",F3003="NEW"),"",INDEX(B$2:B3002,-1+SUMPRODUCT(MAX(ROW(E$2:E3002)*(E3003=E$2:E3002)))))</f>
        <v/>
      </c>
      <c r="J3003" s="24" t="str">
        <f ca="1">IF(OR(E3003="",E3003="!!!",F3003="NEW"),"",COUNTBLANK(OFFSET(A$1,,,SUMPRODUCT(MAX(ROW(E$2:E3003)*(E3003=E$2:E3003)))))-COUNTBLANK(OFFSET(A$1,,,SUMPRODUCT(MAX(ROW(E$1:E3002)*(E2=E$1:E3002))))))</f>
        <v/>
      </c>
      <c r="K3003" s="24" t="str">
        <f>IF(OR(E3003="",E3003="!!!",F3003="NEW"),"",INDEX(J$1:J3002,SUMPRODUCT(MAX(ROW(E$1:E3002)*(E3003=E$1:E3002)))))</f>
        <v/>
      </c>
      <c r="L3003" s="25"/>
    </row>
    <row r="3004" spans="1:12" x14ac:dyDescent="0.2">
      <c r="A3004" t="s">
        <v>1009</v>
      </c>
      <c r="E3004" s="20" t="str">
        <f t="shared" si="324"/>
        <v/>
      </c>
      <c r="F3004" s="21" t="str">
        <f>IF(OR(E3004="",E3004="!!!"),"",IF(NOT(ISNA(VLOOKUP(E3004,E$1:E3003,1,FALSE()))),"OLD",IF(AND(E3004&lt;&gt;"",E3004&lt;&gt;"!!!"),"NEW","")))</f>
        <v/>
      </c>
      <c r="G3004" s="22" t="str">
        <f>IF(OR(E3004="",E3004="!!!"),"",IF(OR(J3004=0,AND(J3004=1,K3004=1),AND(J3004=1,I3004="SBJ"),AND(J3004=1,I3004=0)),"?IN_FOCUS",IF(J3004&lt;=2,"?ACTIVATED",IF(J3004&lt;&gt;"","?FAMILIAR",IF(F3004="NEW",IF(ISNA(VLOOKUP(E3004,#REF!,1,FALSE())),"?TYPE_IDENTIFIABLE","?REFERENTIAL"),"_")))))</f>
        <v/>
      </c>
      <c r="H3004" s="23" t="str">
        <f t="shared" ca="1" si="325"/>
        <v/>
      </c>
      <c r="I3004" s="24" t="str">
        <f>IF(OR(E3004="",E3004="!!!",F3004="NEW"),"",INDEX(B$2:B3003,-1+SUMPRODUCT(MAX(ROW(E$2:E3003)*(E3004=E$2:E3003)))))</f>
        <v/>
      </c>
      <c r="J3004" s="24" t="str">
        <f ca="1">IF(OR(E3004="",E3004="!!!",F3004="NEW"),"",COUNTBLANK(OFFSET(A$1,,,SUMPRODUCT(MAX(ROW(E$2:E3004)*(E3004=E$2:E3004)))))-COUNTBLANK(OFFSET(A$1,,,SUMPRODUCT(MAX(ROW(E$1:E3003)*(E2=E$1:E3003))))))</f>
        <v/>
      </c>
      <c r="K3004" s="24" t="str">
        <f>IF(OR(E3004="",E3004="!!!",F3004="NEW"),"",INDEX(J$1:J3003,SUMPRODUCT(MAX(ROW(E$1:E3003)*(E3004=E$1:E3003)))))</f>
        <v/>
      </c>
      <c r="L3004" s="25"/>
    </row>
    <row r="3005" spans="1:12" x14ac:dyDescent="0.2">
      <c r="A3005" t="s">
        <v>16</v>
      </c>
      <c r="E3005" s="20" t="str">
        <f t="shared" si="324"/>
        <v/>
      </c>
      <c r="F3005" s="21" t="str">
        <f>IF(OR(E3005="",E3005="!!!"),"",IF(NOT(ISNA(VLOOKUP(E3005,E$1:E3004,1,FALSE()))),"OLD",IF(AND(E3005&lt;&gt;"",E3005&lt;&gt;"!!!"),"NEW","")))</f>
        <v/>
      </c>
      <c r="G3005" s="22" t="str">
        <f>IF(OR(E3005="",E3005="!!!"),"",IF(OR(J3005=0,AND(J3005=1,K3005=1),AND(J3005=1,I3005="SBJ"),AND(J3005=1,I3005=0)),"?IN_FOCUS",IF(J3005&lt;=2,"?ACTIVATED",IF(J3005&lt;&gt;"","?FAMILIAR",IF(F3005="NEW",IF(ISNA(VLOOKUP(E3005,#REF!,1,FALSE())),"?TYPE_IDENTIFIABLE","?REFERENTIAL"),"_")))))</f>
        <v/>
      </c>
      <c r="H3005" s="23" t="str">
        <f t="shared" ca="1" si="325"/>
        <v/>
      </c>
      <c r="I3005" s="24" t="str">
        <f>IF(OR(E3005="",E3005="!!!",F3005="NEW"),"",INDEX(B$2:B3004,-1+SUMPRODUCT(MAX(ROW(E$2:E3004)*(E3005=E$2:E3004)))))</f>
        <v/>
      </c>
      <c r="J3005" s="24" t="str">
        <f ca="1">IF(OR(E3005="",E3005="!!!",F3005="NEW"),"",COUNTBLANK(OFFSET(A$1,,,SUMPRODUCT(MAX(ROW(E$2:E3005)*(E3005=E$2:E3005)))))-COUNTBLANK(OFFSET(A$1,,,SUMPRODUCT(MAX(ROW(E$1:E3004)*(E2=E$1:E3004))))))</f>
        <v/>
      </c>
      <c r="K3005" s="24" t="str">
        <f>IF(OR(E3005="",E3005="!!!",F3005="NEW"),"",INDEX(J$1:J3004,SUMPRODUCT(MAX(ROW(E$1:E3004)*(E3005=E$1:E3004)))))</f>
        <v/>
      </c>
      <c r="L3005" s="25"/>
    </row>
    <row r="3006" spans="1:12" x14ac:dyDescent="0.2">
      <c r="A3006" t="s">
        <v>1127</v>
      </c>
      <c r="E3006" s="20" t="str">
        <f t="shared" si="324"/>
        <v/>
      </c>
      <c r="F3006" s="21" t="str">
        <f>IF(OR(E3006="",E3006="!!!"),"",IF(NOT(ISNA(VLOOKUP(E3006,E$1:E3005,1,FALSE()))),"OLD",IF(AND(E3006&lt;&gt;"",E3006&lt;&gt;"!!!"),"NEW","")))</f>
        <v/>
      </c>
      <c r="G3006" s="22" t="str">
        <f>IF(OR(E3006="",E3006="!!!"),"",IF(OR(J3006=0,AND(J3006=1,K3006=1),AND(J3006=1,I3006="SBJ"),AND(J3006=1,I3006=0)),"?IN_FOCUS",IF(J3006&lt;=2,"?ACTIVATED",IF(J3006&lt;&gt;"","?FAMILIAR",IF(F3006="NEW",IF(ISNA(VLOOKUP(E3006,#REF!,1,FALSE())),"?TYPE_IDENTIFIABLE","?REFERENTIAL"),"_")))))</f>
        <v/>
      </c>
      <c r="H3006" s="23" t="str">
        <f t="shared" ca="1" si="325"/>
        <v/>
      </c>
      <c r="I3006" s="24" t="str">
        <f>IF(OR(E3006="",E3006="!!!",F3006="NEW"),"",INDEX(B$2:B3005,-1+SUMPRODUCT(MAX(ROW(E$2:E3005)*(E3006=E$2:E3005)))))</f>
        <v/>
      </c>
      <c r="J3006" s="24" t="str">
        <f ca="1">IF(OR(E3006="",E3006="!!!",F3006="NEW"),"",COUNTBLANK(OFFSET(A$1,,,SUMPRODUCT(MAX(ROW(E$2:E3006)*(E3006=E$2:E3006)))))-COUNTBLANK(OFFSET(A$1,,,SUMPRODUCT(MAX(ROW(E$1:E3005)*(E2=E$1:E3005))))))</f>
        <v/>
      </c>
      <c r="K3006" s="24" t="str">
        <f>IF(OR(E3006="",E3006="!!!",F3006="NEW"),"",INDEX(J$1:J3005,SUMPRODUCT(MAX(ROW(E$1:E3005)*(E3006=E$1:E3005)))))</f>
        <v/>
      </c>
      <c r="L3006" s="25"/>
    </row>
    <row r="3007" spans="1:12" x14ac:dyDescent="0.2">
      <c r="A3007" t="s">
        <v>812</v>
      </c>
      <c r="E3007" s="20" t="str">
        <f t="shared" si="324"/>
        <v/>
      </c>
      <c r="F3007" s="21" t="str">
        <f>IF(OR(E3007="",E3007="!!!"),"",IF(NOT(ISNA(VLOOKUP(E3007,E$1:E3006,1,FALSE()))),"OLD",IF(AND(E3007&lt;&gt;"",E3007&lt;&gt;"!!!"),"NEW","")))</f>
        <v/>
      </c>
      <c r="G3007" s="22" t="str">
        <f>IF(OR(E3007="",E3007="!!!"),"",IF(OR(J3007=0,AND(J3007=1,K3007=1),AND(J3007=1,I3007="SBJ"),AND(J3007=1,I3007=0)),"?IN_FOCUS",IF(J3007&lt;=2,"?ACTIVATED",IF(J3007&lt;&gt;"","?FAMILIAR",IF(F3007="NEW",IF(ISNA(VLOOKUP(E3007,#REF!,1,FALSE())),"?TYPE_IDENTIFIABLE","?REFERENTIAL"),"_")))))</f>
        <v/>
      </c>
      <c r="H3007" s="23" t="str">
        <f t="shared" ca="1" si="325"/>
        <v/>
      </c>
      <c r="I3007" s="24" t="str">
        <f>IF(OR(E3007="",E3007="!!!",F3007="NEW"),"",INDEX(B$2:B3006,-1+SUMPRODUCT(MAX(ROW(E$2:E3006)*(E3007=E$2:E3006)))))</f>
        <v/>
      </c>
      <c r="J3007" s="24" t="str">
        <f ca="1">IF(OR(E3007="",E3007="!!!",F3007="NEW"),"",COUNTBLANK(OFFSET(A$1,,,SUMPRODUCT(MAX(ROW(E$2:E3007)*(E3007=E$2:E3007)))))-COUNTBLANK(OFFSET(A$1,,,SUMPRODUCT(MAX(ROW(E$1:E3006)*(E2=E$1:E3006))))))</f>
        <v/>
      </c>
      <c r="K3007" s="24" t="str">
        <f>IF(OR(E3007="",E3007="!!!",F3007="NEW"),"",INDEX(J$1:J3006,SUMPRODUCT(MAX(ROW(E$1:E3006)*(E3007=E$1:E3006)))))</f>
        <v/>
      </c>
      <c r="L3007" s="25"/>
    </row>
    <row r="3008" spans="1:12" x14ac:dyDescent="0.2">
      <c r="A3008" t="s">
        <v>1653</v>
      </c>
      <c r="E3008" s="20" t="str">
        <f t="shared" si="324"/>
        <v/>
      </c>
      <c r="F3008" s="21" t="str">
        <f>IF(OR(E3008="",E3008="!!!"),"",IF(NOT(ISNA(VLOOKUP(E3008,E$1:E3007,1,FALSE()))),"OLD",IF(AND(E3008&lt;&gt;"",E3008&lt;&gt;"!!!"),"NEW","")))</f>
        <v/>
      </c>
      <c r="G3008" s="22" t="str">
        <f>IF(OR(E3008="",E3008="!!!"),"",IF(OR(J3008=0,AND(J3008=1,K3008=1),AND(J3008=1,I3008="SBJ"),AND(J3008=1,I3008=0)),"?IN_FOCUS",IF(J3008&lt;=2,"?ACTIVATED",IF(J3008&lt;&gt;"","?FAMILIAR",IF(F3008="NEW",IF(ISNA(VLOOKUP(E3008,#REF!,1,FALSE())),"?TYPE_IDENTIFIABLE","?REFERENTIAL"),"_")))))</f>
        <v/>
      </c>
      <c r="H3008" s="23" t="str">
        <f t="shared" ca="1" si="325"/>
        <v/>
      </c>
      <c r="I3008" s="24" t="str">
        <f>IF(OR(E3008="",E3008="!!!",F3008="NEW"),"",INDEX(B$2:B3007,-1+SUMPRODUCT(MAX(ROW(E$2:E3007)*(E3008=E$2:E3007)))))</f>
        <v/>
      </c>
      <c r="J3008" s="24" t="str">
        <f ca="1">IF(OR(E3008="",E3008="!!!",F3008="NEW"),"",COUNTBLANK(OFFSET(A$1,,,SUMPRODUCT(MAX(ROW(E$2:E3008)*(E3008=E$2:E3008)))))-COUNTBLANK(OFFSET(A$1,,,SUMPRODUCT(MAX(ROW(E$1:E3007)*(E2=E$1:E3007))))))</f>
        <v/>
      </c>
      <c r="K3008" s="24" t="str">
        <f>IF(OR(E3008="",E3008="!!!",F3008="NEW"),"",INDEX(J$1:J3007,SUMPRODUCT(MAX(ROW(E$1:E3007)*(E3008=E$1:E3007)))))</f>
        <v/>
      </c>
      <c r="L3008" s="25"/>
    </row>
    <row r="3009" spans="1:12" x14ac:dyDescent="0.2">
      <c r="A3009" t="s">
        <v>1654</v>
      </c>
      <c r="B3009" s="26" t="s">
        <v>819</v>
      </c>
      <c r="C3009" s="26" t="s">
        <v>814</v>
      </c>
      <c r="E3009" s="20" t="str">
        <f t="shared" si="324"/>
        <v/>
      </c>
      <c r="F3009" s="21" t="str">
        <f>IF(OR(E3009="",E3009="!!!"),"",IF(NOT(ISNA(VLOOKUP(E3009,E$1:E3008,1,FALSE()))),"OLD",IF(AND(E3009&lt;&gt;"",E3009&lt;&gt;"!!!"),"NEW","")))</f>
        <v/>
      </c>
      <c r="G3009" s="22" t="str">
        <f>IF(OR(E3009="",E3009="!!!"),"",IF(OR(J3009=0,AND(J3009=1,K3009=1),AND(J3009=1,I3009="SBJ"),AND(J3009=1,I3009=0)),"?IN_FOCUS",IF(J3009&lt;=2,"?ACTIVATED",IF(J3009&lt;&gt;"","?FAMILIAR",IF(F3009="NEW",IF(ISNA(VLOOKUP(E3009,#REF!,1,FALSE())),"?TYPE_IDENTIFIABLE","?REFERENTIAL"),"_")))))</f>
        <v/>
      </c>
      <c r="H3009" s="23" t="str">
        <f t="shared" ca="1" si="325"/>
        <v/>
      </c>
      <c r="I3009" s="24" t="str">
        <f>IF(OR(E3009="",E3009="!!!",F3009="NEW"),"",INDEX(B$2:B3008,-1+SUMPRODUCT(MAX(ROW(E$2:E3008)*(E3009=E$2:E3008)))))</f>
        <v/>
      </c>
      <c r="J3009" s="24" t="str">
        <f ca="1">IF(OR(E3009="",E3009="!!!",F3009="NEW"),"",COUNTBLANK(OFFSET(A$1,,,SUMPRODUCT(MAX(ROW(E$2:E3009)*(E3009=E$2:E3009)))))-COUNTBLANK(OFFSET(A$1,,,SUMPRODUCT(MAX(ROW(E$1:E3008)*(E2=E$1:E3008))))))</f>
        <v/>
      </c>
      <c r="K3009" s="24" t="str">
        <f>IF(OR(E3009="",E3009="!!!",F3009="NEW"),"",INDEX(J$1:J3008,SUMPRODUCT(MAX(ROW(E$1:E3008)*(E3009=E$1:E3008)))))</f>
        <v/>
      </c>
      <c r="L3009" s="25"/>
    </row>
    <row r="3010" spans="1:12" x14ac:dyDescent="0.2">
      <c r="A3010" t="s">
        <v>815</v>
      </c>
      <c r="E3010" s="20" t="str">
        <f t="shared" si="324"/>
        <v/>
      </c>
      <c r="F3010" s="21" t="str">
        <f>IF(OR(E3010="",E3010="!!!"),"",IF(NOT(ISNA(VLOOKUP(E3010,E$1:E3009,1,FALSE()))),"OLD",IF(AND(E3010&lt;&gt;"",E3010&lt;&gt;"!!!"),"NEW","")))</f>
        <v/>
      </c>
      <c r="G3010" s="22" t="str">
        <f>IF(OR(E3010="",E3010="!!!"),"",IF(OR(J3010=0,AND(J3010=1,K3010=1),AND(J3010=1,I3010="SBJ"),AND(J3010=1,I3010=0)),"?IN_FOCUS",IF(J3010&lt;=2,"?ACTIVATED",IF(J3010&lt;&gt;"","?FAMILIAR",IF(F3010="NEW",IF(ISNA(VLOOKUP(E3010,#REF!,1,FALSE())),"?TYPE_IDENTIFIABLE","?REFERENTIAL"),"_")))))</f>
        <v/>
      </c>
      <c r="H3010" s="23" t="str">
        <f t="shared" ca="1" si="325"/>
        <v/>
      </c>
      <c r="I3010" s="24" t="str">
        <f>IF(OR(E3010="",E3010="!!!",F3010="NEW"),"",INDEX(B$2:B3009,-1+SUMPRODUCT(MAX(ROW(E$2:E3009)*(E3010=E$2:E3009)))))</f>
        <v/>
      </c>
      <c r="J3010" s="24" t="str">
        <f ca="1">IF(OR(E3010="",E3010="!!!",F3010="NEW"),"",COUNTBLANK(OFFSET(A$1,,,SUMPRODUCT(MAX(ROW(E$2:E3010)*(E3010=E$2:E3010)))))-COUNTBLANK(OFFSET(A$1,,,SUMPRODUCT(MAX(ROW(E$1:E3009)*(E2=E$1:E3009))))))</f>
        <v/>
      </c>
      <c r="K3010" s="24" t="str">
        <f>IF(OR(E3010="",E3010="!!!",F3010="NEW"),"",INDEX(J$1:J3009,SUMPRODUCT(MAX(ROW(E$1:E3009)*(E3010=E$1:E3009)))))</f>
        <v/>
      </c>
      <c r="L3010" s="25"/>
    </row>
    <row r="3011" spans="1:12" x14ac:dyDescent="0.2">
      <c r="A3011" t="s">
        <v>1655</v>
      </c>
      <c r="B3011" s="26" t="s">
        <v>813</v>
      </c>
      <c r="C3011" s="26" t="s">
        <v>814</v>
      </c>
      <c r="E3011" s="20" t="str">
        <f t="shared" si="324"/>
        <v/>
      </c>
      <c r="F3011" s="21" t="str">
        <f>IF(OR(E3011="",E3011="!!!"),"",IF(NOT(ISNA(VLOOKUP(E3011,E$1:E3010,1,FALSE()))),"OLD",IF(AND(E3011&lt;&gt;"",E3011&lt;&gt;"!!!"),"NEW","")))</f>
        <v/>
      </c>
      <c r="G3011" s="22" t="str">
        <f>IF(OR(E3011="",E3011="!!!"),"",IF(OR(J3011=0,AND(J3011=1,K3011=1),AND(J3011=1,I3011="SBJ"),AND(J3011=1,I3011=0)),"?IN_FOCUS",IF(J3011&lt;=2,"?ACTIVATED",IF(J3011&lt;&gt;"","?FAMILIAR",IF(F3011="NEW",IF(ISNA(VLOOKUP(E3011,#REF!,1,FALSE())),"?TYPE_IDENTIFIABLE","?REFERENTIAL"),"_")))))</f>
        <v/>
      </c>
      <c r="H3011" s="23" t="str">
        <f t="shared" ca="1" si="325"/>
        <v/>
      </c>
      <c r="I3011" s="24" t="str">
        <f>IF(OR(E3011="",E3011="!!!",F3011="NEW"),"",INDEX(B$2:B3010,-1+SUMPRODUCT(MAX(ROW(E$2:E3010)*(E3011=E$2:E3010)))))</f>
        <v/>
      </c>
      <c r="J3011" s="24" t="str">
        <f ca="1">IF(OR(E3011="",E3011="!!!",F3011="NEW"),"",COUNTBLANK(OFFSET(A$1,,,SUMPRODUCT(MAX(ROW(E$2:E3011)*(E3011=E$2:E3011)))))-COUNTBLANK(OFFSET(A$1,,,SUMPRODUCT(MAX(ROW(E$1:E3010)*(E2=E$1:E3010))))))</f>
        <v/>
      </c>
      <c r="K3011" s="24" t="str">
        <f>IF(OR(E3011="",E3011="!!!",F3011="NEW"),"",INDEX(J$1:J3010,SUMPRODUCT(MAX(ROW(E$1:E3010)*(E3011=E$1:E3010)))))</f>
        <v/>
      </c>
      <c r="L3011" s="25"/>
    </row>
    <row r="3012" spans="1:12" x14ac:dyDescent="0.2">
      <c r="A3012" t="s">
        <v>802</v>
      </c>
      <c r="E3012" s="20" t="str">
        <f t="shared" si="324"/>
        <v/>
      </c>
      <c r="F3012" s="21" t="str">
        <f>IF(OR(E3012="",E3012="!!!"),"",IF(NOT(ISNA(VLOOKUP(E3012,E$1:E3011,1,FALSE()))),"OLD",IF(AND(E3012&lt;&gt;"",E3012&lt;&gt;"!!!"),"NEW","")))</f>
        <v/>
      </c>
      <c r="G3012" s="22" t="str">
        <f>IF(OR(E3012="",E3012="!!!"),"",IF(OR(J3012=0,AND(J3012=1,K3012=1),AND(J3012=1,I3012="SBJ"),AND(J3012=1,I3012=0)),"?IN_FOCUS",IF(J3012&lt;=2,"?ACTIVATED",IF(J3012&lt;&gt;"","?FAMILIAR",IF(F3012="NEW",IF(ISNA(VLOOKUP(E3012,#REF!,1,FALSE())),"?TYPE_IDENTIFIABLE","?REFERENTIAL"),"_")))))</f>
        <v/>
      </c>
      <c r="H3012" s="23" t="str">
        <f t="shared" ca="1" si="325"/>
        <v/>
      </c>
      <c r="I3012" s="24" t="str">
        <f>IF(OR(E3012="",E3012="!!!",F3012="NEW"),"",INDEX(B$2:B3011,-1+SUMPRODUCT(MAX(ROW(E$2:E3011)*(E3012=E$2:E3011)))))</f>
        <v/>
      </c>
      <c r="J3012" s="24" t="str">
        <f ca="1">IF(OR(E3012="",E3012="!!!",F3012="NEW"),"",COUNTBLANK(OFFSET(A$1,,,SUMPRODUCT(MAX(ROW(E$2:E3012)*(E3012=E$2:E3012)))))-COUNTBLANK(OFFSET(A$1,,,SUMPRODUCT(MAX(ROW(E$1:E3011)*(E2=E$1:E3011))))))</f>
        <v/>
      </c>
      <c r="K3012" s="24" t="str">
        <f>IF(OR(E3012="",E3012="!!!",F3012="NEW"),"",INDEX(J$1:J3011,SUMPRODUCT(MAX(ROW(E$1:E3011)*(E3012=E$1:E3011)))))</f>
        <v/>
      </c>
      <c r="L3012" s="25"/>
    </row>
    <row r="3013" spans="1:12" x14ac:dyDescent="0.2">
      <c r="A3013" t="s">
        <v>1031</v>
      </c>
      <c r="E3013" s="20" t="str">
        <f t="shared" si="324"/>
        <v/>
      </c>
      <c r="F3013" s="21" t="str">
        <f>IF(OR(E3013="",E3013="!!!"),"",IF(NOT(ISNA(VLOOKUP(E3013,E$1:E3012,1,FALSE()))),"OLD",IF(AND(E3013&lt;&gt;"",E3013&lt;&gt;"!!!"),"NEW","")))</f>
        <v/>
      </c>
      <c r="G3013" s="22" t="str">
        <f>IF(OR(E3013="",E3013="!!!"),"",IF(OR(J3013=0,AND(J3013=1,K3013=1),AND(J3013=1,I3013="SBJ"),AND(J3013=1,I3013=0)),"?IN_FOCUS",IF(J3013&lt;=2,"?ACTIVATED",IF(J3013&lt;&gt;"","?FAMILIAR",IF(F3013="NEW",IF(ISNA(VLOOKUP(E3013,#REF!,1,FALSE())),"?TYPE_IDENTIFIABLE","?REFERENTIAL"),"_")))))</f>
        <v/>
      </c>
      <c r="H3013" s="23" t="str">
        <f t="shared" ca="1" si="325"/>
        <v/>
      </c>
      <c r="I3013" s="24" t="str">
        <f>IF(OR(E3013="",E3013="!!!",F3013="NEW"),"",INDEX(B$2:B3012,-1+SUMPRODUCT(MAX(ROW(E$2:E3012)*(E3013=E$2:E3012)))))</f>
        <v/>
      </c>
      <c r="J3013" s="24" t="str">
        <f ca="1">IF(OR(E3013="",E3013="!!!",F3013="NEW"),"",COUNTBLANK(OFFSET(A$1,,,SUMPRODUCT(MAX(ROW(E$2:E3013)*(E3013=E$2:E3013)))))-COUNTBLANK(OFFSET(A$1,,,SUMPRODUCT(MAX(ROW(E$1:E3012)*(E2=E$1:E3012))))))</f>
        <v/>
      </c>
      <c r="K3013" s="24" t="str">
        <f>IF(OR(E3013="",E3013="!!!",F3013="NEW"),"",INDEX(J$1:J3012,SUMPRODUCT(MAX(ROW(E$1:E3012)*(E3013=E$1:E3012)))))</f>
        <v/>
      </c>
      <c r="L3013" s="25"/>
    </row>
    <row r="3014" spans="1:12" x14ac:dyDescent="0.2">
      <c r="A3014" t="s">
        <v>1656</v>
      </c>
      <c r="B3014" s="26" t="s">
        <v>813</v>
      </c>
      <c r="C3014" s="26" t="s">
        <v>814</v>
      </c>
      <c r="E3014" s="20" t="str">
        <f t="shared" si="324"/>
        <v/>
      </c>
      <c r="F3014" s="21" t="str">
        <f>IF(OR(E3014="",E3014="!!!"),"",IF(NOT(ISNA(VLOOKUP(E3014,E$1:E3013,1,FALSE()))),"OLD",IF(AND(E3014&lt;&gt;"",E3014&lt;&gt;"!!!"),"NEW","")))</f>
        <v/>
      </c>
      <c r="G3014" s="22" t="str">
        <f>IF(OR(E3014="",E3014="!!!"),"",IF(OR(J3014=0,AND(J3014=1,K3014=1),AND(J3014=1,I3014="SBJ"),AND(J3014=1,I3014=0)),"?IN_FOCUS",IF(J3014&lt;=2,"?ACTIVATED",IF(J3014&lt;&gt;"","?FAMILIAR",IF(F3014="NEW",IF(ISNA(VLOOKUP(E3014,#REF!,1,FALSE())),"?TYPE_IDENTIFIABLE","?REFERENTIAL"),"_")))))</f>
        <v/>
      </c>
      <c r="H3014" s="23" t="str">
        <f t="shared" ca="1" si="325"/>
        <v/>
      </c>
      <c r="I3014" s="24" t="str">
        <f>IF(OR(E3014="",E3014="!!!",F3014="NEW"),"",INDEX(B$2:B3013,-1+SUMPRODUCT(MAX(ROW(E$2:E3013)*(E3014=E$2:E3013)))))</f>
        <v/>
      </c>
      <c r="J3014" s="24" t="str">
        <f ca="1">IF(OR(E3014="",E3014="!!!",F3014="NEW"),"",COUNTBLANK(OFFSET(A$1,,,SUMPRODUCT(MAX(ROW(E$2:E3014)*(E3014=E$2:E3014)))))-COUNTBLANK(OFFSET(A$1,,,SUMPRODUCT(MAX(ROW(E$1:E3013)*(E2=E$1:E3013))))))</f>
        <v/>
      </c>
      <c r="K3014" s="24" t="str">
        <f>IF(OR(E3014="",E3014="!!!",F3014="NEW"),"",INDEX(J$1:J3013,SUMPRODUCT(MAX(ROW(E$1:E3013)*(E3014=E$1:E3013)))))</f>
        <v/>
      </c>
      <c r="L3014" s="25"/>
    </row>
    <row r="3015" spans="1:12" x14ac:dyDescent="0.2">
      <c r="A3015" t="s">
        <v>821</v>
      </c>
      <c r="E3015" s="20" t="str">
        <f t="shared" si="324"/>
        <v/>
      </c>
      <c r="F3015" s="21" t="str">
        <f>IF(OR(E3015="",E3015="!!!"),"",IF(NOT(ISNA(VLOOKUP(E3015,E$1:E3014,1,FALSE()))),"OLD",IF(AND(E3015&lt;&gt;"",E3015&lt;&gt;"!!!"),"NEW","")))</f>
        <v/>
      </c>
      <c r="G3015" s="22" t="str">
        <f>IF(OR(E3015="",E3015="!!!"),"",IF(OR(J3015=0,AND(J3015=1,K3015=1),AND(J3015=1,I3015="SBJ"),AND(J3015=1,I3015=0)),"?IN_FOCUS",IF(J3015&lt;=2,"?ACTIVATED",IF(J3015&lt;&gt;"","?FAMILIAR",IF(F3015="NEW",IF(ISNA(VLOOKUP(E3015,#REF!,1,FALSE())),"?TYPE_IDENTIFIABLE","?REFERENTIAL"),"_")))))</f>
        <v/>
      </c>
      <c r="H3015" s="23" t="str">
        <f t="shared" ca="1" si="325"/>
        <v/>
      </c>
      <c r="I3015" s="24" t="str">
        <f>IF(OR(E3015="",E3015="!!!",F3015="NEW"),"",INDEX(B$2:B3014,-1+SUMPRODUCT(MAX(ROW(E$2:E3014)*(E3015=E$2:E3014)))))</f>
        <v/>
      </c>
      <c r="J3015" s="24" t="str">
        <f ca="1">IF(OR(E3015="",E3015="!!!",F3015="NEW"),"",COUNTBLANK(OFFSET(A$1,,,SUMPRODUCT(MAX(ROW(E$2:E3015)*(E3015=E$2:E3015)))))-COUNTBLANK(OFFSET(A$1,,,SUMPRODUCT(MAX(ROW(E$1:E3014)*(E2=E$1:E3014))))))</f>
        <v/>
      </c>
      <c r="K3015" s="24" t="str">
        <f>IF(OR(E3015="",E3015="!!!",F3015="NEW"),"",INDEX(J$1:J3014,SUMPRODUCT(MAX(ROW(E$1:E3014)*(E3015=E$1:E3014)))))</f>
        <v/>
      </c>
      <c r="L3015" s="25"/>
    </row>
    <row r="3017" spans="1:12" x14ac:dyDescent="0.2">
      <c r="A3017" t="s">
        <v>1657</v>
      </c>
    </row>
    <row r="3018" spans="1:12" x14ac:dyDescent="0.2">
      <c r="A3018" t="s">
        <v>1323</v>
      </c>
      <c r="E3018" s="20" t="str">
        <f t="shared" ref="E3018:E3041" si="326">IF(D3018="?OLD","!!!","")</f>
        <v/>
      </c>
      <c r="F3018" s="21" t="str">
        <f>IF(OR(E3018="",E3018="!!!"),"",IF(NOT(ISNA(VLOOKUP(E3018,E$1:E3017,1,FALSE()))),"OLD",IF(AND(E3018&lt;&gt;"",E3018&lt;&gt;"!!!"),"NEW","")))</f>
        <v/>
      </c>
      <c r="G3018" s="22" t="str">
        <f>IF(OR(E3018="",E3018="!!!"),"",IF(OR(J3018=0,AND(J3018=1,K3018=1),AND(J3018=1,I3018="SBJ"),AND(J3018=1,I3018=0)),"?IN_FOCUS",IF(J3018&lt;=2,"?ACTIVATED",IF(J3018&lt;&gt;"","?FAMILIAR",IF(F3018="NEW",IF(ISNA(VLOOKUP(E3018,#REF!,1,FALSE())),"?TYPE_IDENTIFIABLE","?REFERENTIAL"),"_")))))</f>
        <v/>
      </c>
      <c r="H3018" s="23" t="str">
        <f t="shared" ref="H3018:H3041" ca="1" si="327">IF(J3018&lt;&gt;1,"",IF(I3018="SBJ","CB","?"))</f>
        <v/>
      </c>
      <c r="I3018" s="24" t="str">
        <f>IF(OR(E3018="",E3018="!!!",F3018="NEW"),"",INDEX(B$2:B3017,-1+SUMPRODUCT(MAX(ROW(E$2:E3017)*(E3018=E$2:E3017)))))</f>
        <v/>
      </c>
      <c r="J3018" s="24" t="str">
        <f ca="1">IF(OR(E3018="",E3018="!!!",F3018="NEW"),"",COUNTBLANK(OFFSET(A$1,,,SUMPRODUCT(MAX(ROW(E$2:E3018)*(E3018=E$2:E3018)))))-COUNTBLANK(OFFSET(A$1,,,SUMPRODUCT(MAX(ROW(E$1:E3017)*(E2=E$1:E3017))))))</f>
        <v/>
      </c>
      <c r="K3018" s="24" t="str">
        <f>IF(OR(E3018="",E3018="!!!",F3018="NEW"),"",INDEX(J$1:J3017,SUMPRODUCT(MAX(ROW(E$1:E3017)*(E3018=E$1:E3017)))))</f>
        <v/>
      </c>
      <c r="L3018" s="25"/>
    </row>
    <row r="3019" spans="1:12" x14ac:dyDescent="0.2">
      <c r="A3019" t="s">
        <v>802</v>
      </c>
      <c r="E3019" s="20" t="str">
        <f t="shared" si="326"/>
        <v/>
      </c>
      <c r="F3019" s="21" t="str">
        <f>IF(OR(E3019="",E3019="!!!"),"",IF(NOT(ISNA(VLOOKUP(E3019,E$1:E3018,1,FALSE()))),"OLD",IF(AND(E3019&lt;&gt;"",E3019&lt;&gt;"!!!"),"NEW","")))</f>
        <v/>
      </c>
      <c r="G3019" s="22" t="str">
        <f>IF(OR(E3019="",E3019="!!!"),"",IF(OR(J3019=0,AND(J3019=1,K3019=1),AND(J3019=1,I3019="SBJ"),AND(J3019=1,I3019=0)),"?IN_FOCUS",IF(J3019&lt;=2,"?ACTIVATED",IF(J3019&lt;&gt;"","?FAMILIAR",IF(F3019="NEW",IF(ISNA(VLOOKUP(E3019,#REF!,1,FALSE())),"?TYPE_IDENTIFIABLE","?REFERENTIAL"),"_")))))</f>
        <v/>
      </c>
      <c r="H3019" s="23" t="str">
        <f t="shared" ca="1" si="327"/>
        <v/>
      </c>
      <c r="I3019" s="24" t="str">
        <f>IF(OR(E3019="",E3019="!!!",F3019="NEW"),"",INDEX(B$2:B3018,-1+SUMPRODUCT(MAX(ROW(E$2:E3018)*(E3019=E$2:E3018)))))</f>
        <v/>
      </c>
      <c r="J3019" s="24" t="str">
        <f ca="1">IF(OR(E3019="",E3019="!!!",F3019="NEW"),"",COUNTBLANK(OFFSET(A$1,,,SUMPRODUCT(MAX(ROW(E$2:E3019)*(E3019=E$2:E3019)))))-COUNTBLANK(OFFSET(A$1,,,SUMPRODUCT(MAX(ROW(E$1:E3018)*(E2=E$1:E3018))))))</f>
        <v/>
      </c>
      <c r="K3019" s="24" t="str">
        <f>IF(OR(E3019="",E3019="!!!",F3019="NEW"),"",INDEX(J$1:J3018,SUMPRODUCT(MAX(ROW(E$1:E3018)*(E3019=E$1:E3018)))))</f>
        <v/>
      </c>
      <c r="L3019" s="25"/>
    </row>
    <row r="3020" spans="1:12" x14ac:dyDescent="0.2">
      <c r="A3020" t="s">
        <v>803</v>
      </c>
      <c r="B3020" s="26" t="s">
        <v>804</v>
      </c>
      <c r="C3020" s="26" t="s">
        <v>805</v>
      </c>
      <c r="D3020" s="26" t="s">
        <v>806</v>
      </c>
      <c r="E3020" s="20" t="s">
        <v>1747</v>
      </c>
      <c r="F3020" s="21" t="s">
        <v>1753</v>
      </c>
      <c r="G3020" s="22" t="s">
        <v>1823</v>
      </c>
      <c r="H3020" s="23" t="str">
        <f t="shared" ca="1" si="327"/>
        <v/>
      </c>
      <c r="I3020" s="24" t="str">
        <f>IF(OR(E3020="",E3020="!!!",F3020="NEW"),"",INDEX(B$2:B3019,-1+SUMPRODUCT(MAX(ROW(E$2:E3019)*(E3020=E$2:E3019)))))</f>
        <v>SBJ</v>
      </c>
      <c r="J3020" s="24">
        <f ca="1">IF(OR(E3020="",E3020="!!!",F3020="NEW"),"",COUNTBLANK(OFFSET(A$1,,,SUMPRODUCT(MAX(ROW(E$2:E3020)*(E3020=E$2:E3020)))))-COUNTBLANK(OFFSET(A$1,,,SUMPRODUCT(MAX(ROW(E$1:E3019)*(E2=E$1:E3019))))))</f>
        <v>0</v>
      </c>
      <c r="K3020" s="24">
        <f ca="1">IF(OR(E3020="",E3020="!!!",F3020="NEW"),"",INDEX(J$1:J3019,SUMPRODUCT(MAX(ROW(E$1:E3019)*(E3020=E$1:E3019)))))</f>
        <v>0</v>
      </c>
      <c r="L3020" s="25"/>
    </row>
    <row r="3021" spans="1:12" x14ac:dyDescent="0.2">
      <c r="A3021" t="s">
        <v>309</v>
      </c>
      <c r="E3021" s="20" t="str">
        <f t="shared" si="326"/>
        <v/>
      </c>
      <c r="F3021" s="21" t="str">
        <f>IF(OR(E3021="",E3021="!!!"),"",IF(NOT(ISNA(VLOOKUP(E3021,E$1:E3020,1,FALSE()))),"OLD",IF(AND(E3021&lt;&gt;"",E3021&lt;&gt;"!!!"),"NEW","")))</f>
        <v/>
      </c>
      <c r="G3021" s="22" t="str">
        <f>IF(OR(E3021="",E3021="!!!"),"",IF(OR(J3021=0,AND(J3021=1,K3021=1),AND(J3021=1,I3021="SBJ"),AND(J3021=1,I3021=0)),"?IN_FOCUS",IF(J3021&lt;=2,"?ACTIVATED",IF(J3021&lt;&gt;"","?FAMILIAR",IF(F3021="NEW",IF(ISNA(VLOOKUP(E3021,#REF!,1,FALSE())),"?TYPE_IDENTIFIABLE","?REFERENTIAL"),"_")))))</f>
        <v/>
      </c>
      <c r="H3021" s="23" t="str">
        <f t="shared" ca="1" si="327"/>
        <v/>
      </c>
      <c r="I3021" s="24" t="str">
        <f>IF(OR(E3021="",E3021="!!!",F3021="NEW"),"",INDEX(B$2:B3020,-1+SUMPRODUCT(MAX(ROW(E$2:E3020)*(E3021=E$2:E3020)))))</f>
        <v/>
      </c>
      <c r="J3021" s="24" t="str">
        <f ca="1">IF(OR(E3021="",E3021="!!!",F3021="NEW"),"",COUNTBLANK(OFFSET(A$1,,,SUMPRODUCT(MAX(ROW(E$2:E3021)*(E3021=E$2:E3021)))))-COUNTBLANK(OFFSET(A$1,,,SUMPRODUCT(MAX(ROW(E$1:E3020)*(E2=E$1:E3020))))))</f>
        <v/>
      </c>
      <c r="K3021" s="24" t="str">
        <f>IF(OR(E3021="",E3021="!!!",F3021="NEW"),"",INDEX(J$1:J3020,SUMPRODUCT(MAX(ROW(E$1:E3020)*(E3021=E$1:E3020)))))</f>
        <v/>
      </c>
      <c r="L3021" s="25"/>
    </row>
    <row r="3022" spans="1:12" x14ac:dyDescent="0.2">
      <c r="A3022" t="s">
        <v>999</v>
      </c>
      <c r="E3022" s="20" t="str">
        <f t="shared" si="326"/>
        <v/>
      </c>
      <c r="F3022" s="21" t="str">
        <f>IF(OR(E3022="",E3022="!!!"),"",IF(NOT(ISNA(VLOOKUP(E3022,E$1:E3021,1,FALSE()))),"OLD",IF(AND(E3022&lt;&gt;"",E3022&lt;&gt;"!!!"),"NEW","")))</f>
        <v/>
      </c>
      <c r="G3022" s="22" t="str">
        <f>IF(OR(E3022="",E3022="!!!"),"",IF(OR(J3022=0,AND(J3022=1,K3022=1),AND(J3022=1,I3022="SBJ"),AND(J3022=1,I3022=0)),"?IN_FOCUS",IF(J3022&lt;=2,"?ACTIVATED",IF(J3022&lt;&gt;"","?FAMILIAR",IF(F3022="NEW",IF(ISNA(VLOOKUP(E3022,#REF!,1,FALSE())),"?TYPE_IDENTIFIABLE","?REFERENTIAL"),"_")))))</f>
        <v/>
      </c>
      <c r="H3022" s="23" t="str">
        <f t="shared" ca="1" si="327"/>
        <v/>
      </c>
      <c r="I3022" s="24" t="str">
        <f>IF(OR(E3022="",E3022="!!!",F3022="NEW"),"",INDEX(B$2:B3021,-1+SUMPRODUCT(MAX(ROW(E$2:E3021)*(E3022=E$2:E3021)))))</f>
        <v/>
      </c>
      <c r="J3022" s="24" t="str">
        <f ca="1">IF(OR(E3022="",E3022="!!!",F3022="NEW"),"",COUNTBLANK(OFFSET(A$1,,,SUMPRODUCT(MAX(ROW(E$2:E3022)*(E3022=E$2:E3022)))))-COUNTBLANK(OFFSET(A$1,,,SUMPRODUCT(MAX(ROW(E$1:E3021)*(E2=E$1:E3021))))))</f>
        <v/>
      </c>
      <c r="K3022" s="24" t="str">
        <f>IF(OR(E3022="",E3022="!!!",F3022="NEW"),"",INDEX(J$1:J3021,SUMPRODUCT(MAX(ROW(E$1:E3021)*(E3022=E$1:E3021)))))</f>
        <v/>
      </c>
      <c r="L3022" s="25"/>
    </row>
    <row r="3023" spans="1:12" x14ac:dyDescent="0.2">
      <c r="A3023" t="s">
        <v>19</v>
      </c>
      <c r="E3023" s="20" t="str">
        <f t="shared" si="326"/>
        <v/>
      </c>
      <c r="F3023" s="21" t="str">
        <f>IF(OR(E3023="",E3023="!!!"),"",IF(NOT(ISNA(VLOOKUP(E3023,E$1:E3022,1,FALSE()))),"OLD",IF(AND(E3023&lt;&gt;"",E3023&lt;&gt;"!!!"),"NEW","")))</f>
        <v/>
      </c>
      <c r="G3023" s="22" t="str">
        <f>IF(OR(E3023="",E3023="!!!"),"",IF(OR(J3023=0,AND(J3023=1,K3023=1),AND(J3023=1,I3023="SBJ"),AND(J3023=1,I3023=0)),"?IN_FOCUS",IF(J3023&lt;=2,"?ACTIVATED",IF(J3023&lt;&gt;"","?FAMILIAR",IF(F3023="NEW",IF(ISNA(VLOOKUP(E3023,#REF!,1,FALSE())),"?TYPE_IDENTIFIABLE","?REFERENTIAL"),"_")))))</f>
        <v/>
      </c>
      <c r="H3023" s="23" t="str">
        <f t="shared" ca="1" si="327"/>
        <v/>
      </c>
      <c r="I3023" s="24" t="str">
        <f>IF(OR(E3023="",E3023="!!!",F3023="NEW"),"",INDEX(B$2:B3022,-1+SUMPRODUCT(MAX(ROW(E$2:E3022)*(E3023=E$2:E3022)))))</f>
        <v/>
      </c>
      <c r="J3023" s="24" t="str">
        <f ca="1">IF(OR(E3023="",E3023="!!!",F3023="NEW"),"",COUNTBLANK(OFFSET(A$1,,,SUMPRODUCT(MAX(ROW(E$2:E3023)*(E3023=E$2:E3023)))))-COUNTBLANK(OFFSET(A$1,,,SUMPRODUCT(MAX(ROW(E$1:E3022)*(E2=E$1:E3022))))))</f>
        <v/>
      </c>
      <c r="K3023" s="24" t="str">
        <f>IF(OR(E3023="",E3023="!!!",F3023="NEW"),"",INDEX(J$1:J3022,SUMPRODUCT(MAX(ROW(E$1:E3022)*(E3023=E$1:E3022)))))</f>
        <v/>
      </c>
      <c r="L3023" s="25"/>
    </row>
    <row r="3024" spans="1:12" x14ac:dyDescent="0.2">
      <c r="A3024" t="s">
        <v>875</v>
      </c>
      <c r="E3024" s="20" t="str">
        <f t="shared" si="326"/>
        <v/>
      </c>
      <c r="F3024" s="21" t="str">
        <f>IF(OR(E3024="",E3024="!!!"),"",IF(NOT(ISNA(VLOOKUP(E3024,E$1:E3023,1,FALSE()))),"OLD",IF(AND(E3024&lt;&gt;"",E3024&lt;&gt;"!!!"),"NEW","")))</f>
        <v/>
      </c>
      <c r="G3024" s="22" t="str">
        <f>IF(OR(E3024="",E3024="!!!"),"",IF(OR(J3024=0,AND(J3024=1,K3024=1),AND(J3024=1,I3024="SBJ"),AND(J3024=1,I3024=0)),"?IN_FOCUS",IF(J3024&lt;=2,"?ACTIVATED",IF(J3024&lt;&gt;"","?FAMILIAR",IF(F3024="NEW",IF(ISNA(VLOOKUP(E3024,#REF!,1,FALSE())),"?TYPE_IDENTIFIABLE","?REFERENTIAL"),"_")))))</f>
        <v/>
      </c>
      <c r="H3024" s="23" t="str">
        <f t="shared" ca="1" si="327"/>
        <v/>
      </c>
      <c r="I3024" s="24" t="str">
        <f>IF(OR(E3024="",E3024="!!!",F3024="NEW"),"",INDEX(B$2:B3023,-1+SUMPRODUCT(MAX(ROW(E$2:E3023)*(E3024=E$2:E3023)))))</f>
        <v/>
      </c>
      <c r="J3024" s="24" t="str">
        <f ca="1">IF(OR(E3024="",E3024="!!!",F3024="NEW"),"",COUNTBLANK(OFFSET(A$1,,,SUMPRODUCT(MAX(ROW(E$2:E3024)*(E3024=E$2:E3024)))))-COUNTBLANK(OFFSET(A$1,,,SUMPRODUCT(MAX(ROW(E$1:E3023)*(E2=E$1:E3023))))))</f>
        <v/>
      </c>
      <c r="K3024" s="24" t="str">
        <f>IF(OR(E3024="",E3024="!!!",F3024="NEW"),"",INDEX(J$1:J3023,SUMPRODUCT(MAX(ROW(E$1:E3023)*(E3024=E$1:E3023)))))</f>
        <v/>
      </c>
      <c r="L3024" s="25"/>
    </row>
    <row r="3025" spans="1:12" x14ac:dyDescent="0.2">
      <c r="A3025" t="s">
        <v>1644</v>
      </c>
      <c r="B3025" s="26" t="s">
        <v>810</v>
      </c>
      <c r="C3025" s="26" t="s">
        <v>877</v>
      </c>
      <c r="D3025" s="26" t="s">
        <v>806</v>
      </c>
      <c r="E3025" s="20" t="s">
        <v>1644</v>
      </c>
      <c r="F3025" s="21" t="str">
        <f>IF(OR(E3025="",E3025="!!!"),"",IF(NOT(ISNA(VLOOKUP(E3025,E$1:E3024,1,FALSE()))),"OLD",IF(AND(E3025&lt;&gt;"",E3025&lt;&gt;"!!!"),"NEW","")))</f>
        <v>OLD</v>
      </c>
      <c r="G3025" s="22" t="s">
        <v>1822</v>
      </c>
      <c r="H3025" s="23" t="str">
        <f t="shared" ca="1" si="327"/>
        <v/>
      </c>
      <c r="I3025" s="24" t="str">
        <f>IF(OR(E3025="",E3025="!!!",F3025="NEW"),"",INDEX(B$2:B3024,-1+SUMPRODUCT(MAX(ROW(E$2:E3024)*(E3025=E$2:E3024)))))</f>
        <v>OBJ</v>
      </c>
      <c r="J3025" s="24">
        <f ca="1">IF(OR(E3025="",E3025="!!!",F3025="NEW"),"",COUNTBLANK(OFFSET(A$1,,,SUMPRODUCT(MAX(ROW(E$2:E3025)*(E3025=E$2:E3025)))))-COUNTBLANK(OFFSET(A$1,,,SUMPRODUCT(MAX(ROW(E$1:E3024)*(E2=E$1:E3024))))))</f>
        <v>0</v>
      </c>
      <c r="K3025" s="24" t="str">
        <f ca="1">IF(OR(E3025="",E3025="!!!",F3025="NEW"),"",INDEX(J$1:J3024,SUMPRODUCT(MAX(ROW(E$1:E3024)*(E3025=E$1:E3024)))))</f>
        <v/>
      </c>
      <c r="L3025" s="25"/>
    </row>
    <row r="3026" spans="1:12" x14ac:dyDescent="0.2">
      <c r="A3026" t="s">
        <v>1127</v>
      </c>
      <c r="E3026" s="20" t="str">
        <f t="shared" si="326"/>
        <v/>
      </c>
      <c r="F3026" s="21" t="str">
        <f>IF(OR(E3026="",E3026="!!!"),"",IF(NOT(ISNA(VLOOKUP(E3026,E$1:E3025,1,FALSE()))),"OLD",IF(AND(E3026&lt;&gt;"",E3026&lt;&gt;"!!!"),"NEW","")))</f>
        <v/>
      </c>
      <c r="G3026" s="22" t="str">
        <f>IF(OR(E3026="",E3026="!!!"),"",IF(OR(J3026=0,AND(J3026=1,K3026=1),AND(J3026=1,I3026="SBJ"),AND(J3026=1,I3026=0)),"?IN_FOCUS",IF(J3026&lt;=2,"?ACTIVATED",IF(J3026&lt;&gt;"","?FAMILIAR",IF(F3026="NEW",IF(ISNA(VLOOKUP(E3026,#REF!,1,FALSE())),"?TYPE_IDENTIFIABLE","?REFERENTIAL"),"_")))))</f>
        <v/>
      </c>
      <c r="H3026" s="23" t="str">
        <f t="shared" ca="1" si="327"/>
        <v/>
      </c>
      <c r="I3026" s="24" t="str">
        <f>IF(OR(E3026="",E3026="!!!",F3026="NEW"),"",INDEX(B$2:B3025,-1+SUMPRODUCT(MAX(ROW(E$2:E3025)*(E3026=E$2:E3025)))))</f>
        <v/>
      </c>
      <c r="J3026" s="24" t="str">
        <f ca="1">IF(OR(E3026="",E3026="!!!",F3026="NEW"),"",COUNTBLANK(OFFSET(A$1,,,SUMPRODUCT(MAX(ROW(E$2:E3026)*(E3026=E$2:E3026)))))-COUNTBLANK(OFFSET(A$1,,,SUMPRODUCT(MAX(ROW(E$1:E3025)*(E2=E$1:E3025))))))</f>
        <v/>
      </c>
      <c r="K3026" s="24" t="str">
        <f>IF(OR(E3026="",E3026="!!!",F3026="NEW"),"",INDEX(J$1:J3025,SUMPRODUCT(MAX(ROW(E$1:E3025)*(E3026=E$1:E3025)))))</f>
        <v/>
      </c>
      <c r="L3026" s="25"/>
    </row>
    <row r="3027" spans="1:12" x14ac:dyDescent="0.2">
      <c r="A3027" t="s">
        <v>830</v>
      </c>
      <c r="B3027" s="26" t="s">
        <v>950</v>
      </c>
      <c r="C3027" s="26" t="s">
        <v>805</v>
      </c>
      <c r="D3027" s="26" t="s">
        <v>806</v>
      </c>
      <c r="E3027" s="20" t="s">
        <v>1644</v>
      </c>
      <c r="F3027" s="21" t="str">
        <f>IF(OR(E3027="",E3027="!!!"),"",IF(NOT(ISNA(VLOOKUP(E3027,E$1:E3026,1,FALSE()))),"OLD",IF(AND(E3027&lt;&gt;"",E3027&lt;&gt;"!!!"),"NEW","")))</f>
        <v>OLD</v>
      </c>
      <c r="G3027" s="22" t="s">
        <v>1823</v>
      </c>
      <c r="H3027" s="23" t="str">
        <f t="shared" ca="1" si="327"/>
        <v/>
      </c>
      <c r="I3027" s="24" t="str">
        <f>IF(OR(E3027="",E3027="!!!",F3027="NEW"),"",INDEX(B$2:B3026,-1+SUMPRODUCT(MAX(ROW(E$2:E3026)*(E3027=E$2:E3026)))))</f>
        <v>OBJ</v>
      </c>
      <c r="J3027" s="24">
        <f ca="1">IF(OR(E3027="",E3027="!!!",F3027="NEW"),"",COUNTBLANK(OFFSET(A$1,,,SUMPRODUCT(MAX(ROW(E$2:E3027)*(E3027=E$2:E3027)))))-COUNTBLANK(OFFSET(A$1,,,SUMPRODUCT(MAX(ROW(E$1:E3026)*(E2=E$1:E3026))))))</f>
        <v>0</v>
      </c>
      <c r="K3027" s="24">
        <f ca="1">IF(OR(E3027="",E3027="!!!",F3027="NEW"),"",INDEX(J$1:J3026,SUMPRODUCT(MAX(ROW(E$1:E3026)*(E3027=E$1:E3026)))))</f>
        <v>0</v>
      </c>
      <c r="L3027" s="25"/>
    </row>
    <row r="3028" spans="1:12" x14ac:dyDescent="0.2">
      <c r="A3028" t="s">
        <v>898</v>
      </c>
      <c r="E3028" s="20" t="str">
        <f t="shared" si="326"/>
        <v/>
      </c>
      <c r="F3028" s="21" t="str">
        <f>IF(OR(E3028="",E3028="!!!"),"",IF(NOT(ISNA(VLOOKUP(E3028,E$1:E3027,1,FALSE()))),"OLD",IF(AND(E3028&lt;&gt;"",E3028&lt;&gt;"!!!"),"NEW","")))</f>
        <v/>
      </c>
      <c r="G3028" s="22" t="str">
        <f>IF(OR(E3028="",E3028="!!!"),"",IF(OR(J3028=0,AND(J3028=1,K3028=1),AND(J3028=1,I3028="SBJ"),AND(J3028=1,I3028=0)),"?IN_FOCUS",IF(J3028&lt;=2,"?ACTIVATED",IF(J3028&lt;&gt;"","?FAMILIAR",IF(F3028="NEW",IF(ISNA(VLOOKUP(E3028,#REF!,1,FALSE())),"?TYPE_IDENTIFIABLE","?REFERENTIAL"),"_")))))</f>
        <v/>
      </c>
      <c r="H3028" s="23" t="str">
        <f t="shared" ca="1" si="327"/>
        <v/>
      </c>
      <c r="I3028" s="24" t="str">
        <f>IF(OR(E3028="",E3028="!!!",F3028="NEW"),"",INDEX(B$2:B3027,-1+SUMPRODUCT(MAX(ROW(E$2:E3027)*(E3028=E$2:E3027)))))</f>
        <v/>
      </c>
      <c r="J3028" s="24" t="str">
        <f ca="1">IF(OR(E3028="",E3028="!!!",F3028="NEW"),"",COUNTBLANK(OFFSET(A$1,,,SUMPRODUCT(MAX(ROW(E$2:E3028)*(E3028=E$2:E3028)))))-COUNTBLANK(OFFSET(A$1,,,SUMPRODUCT(MAX(ROW(E$1:E3027)*(E2=E$1:E3027))))))</f>
        <v/>
      </c>
      <c r="K3028" s="24" t="str">
        <f>IF(OR(E3028="",E3028="!!!",F3028="NEW"),"",INDEX(J$1:J3027,SUMPRODUCT(MAX(ROW(E$1:E3027)*(E3028=E$1:E3027)))))</f>
        <v/>
      </c>
      <c r="L3028" s="25"/>
    </row>
    <row r="3029" spans="1:12" x14ac:dyDescent="0.2">
      <c r="A3029" t="s">
        <v>1658</v>
      </c>
      <c r="E3029" s="20" t="str">
        <f t="shared" si="326"/>
        <v/>
      </c>
      <c r="F3029" s="21" t="str">
        <f>IF(OR(E3029="",E3029="!!!"),"",IF(NOT(ISNA(VLOOKUP(E3029,E$1:E3028,1,FALSE()))),"OLD",IF(AND(E3029&lt;&gt;"",E3029&lt;&gt;"!!!"),"NEW","")))</f>
        <v/>
      </c>
      <c r="G3029" s="22" t="str">
        <f>IF(OR(E3029="",E3029="!!!"),"",IF(OR(J3029=0,AND(J3029=1,K3029=1),AND(J3029=1,I3029="SBJ"),AND(J3029=1,I3029=0)),"?IN_FOCUS",IF(J3029&lt;=2,"?ACTIVATED",IF(J3029&lt;&gt;"","?FAMILIAR",IF(F3029="NEW",IF(ISNA(VLOOKUP(E3029,#REF!,1,FALSE())),"?TYPE_IDENTIFIABLE","?REFERENTIAL"),"_")))))</f>
        <v/>
      </c>
      <c r="H3029" s="23" t="str">
        <f t="shared" ca="1" si="327"/>
        <v/>
      </c>
      <c r="I3029" s="24" t="str">
        <f>IF(OR(E3029="",E3029="!!!",F3029="NEW"),"",INDEX(B$2:B3028,-1+SUMPRODUCT(MAX(ROW(E$2:E3028)*(E3029=E$2:E3028)))))</f>
        <v/>
      </c>
      <c r="J3029" s="24" t="str">
        <f ca="1">IF(OR(E3029="",E3029="!!!",F3029="NEW"),"",COUNTBLANK(OFFSET(A$1,,,SUMPRODUCT(MAX(ROW(E$2:E3029)*(E3029=E$2:E3029)))))-COUNTBLANK(OFFSET(A$1,,,SUMPRODUCT(MAX(ROW(E$1:E3028)*(E2=E$1:E3028))))))</f>
        <v/>
      </c>
      <c r="K3029" s="24" t="str">
        <f>IF(OR(E3029="",E3029="!!!",F3029="NEW"),"",INDEX(J$1:J3028,SUMPRODUCT(MAX(ROW(E$1:E3028)*(E3029=E$1:E3028)))))</f>
        <v/>
      </c>
      <c r="L3029" s="25"/>
    </row>
    <row r="3030" spans="1:12" x14ac:dyDescent="0.2">
      <c r="A3030" t="s">
        <v>845</v>
      </c>
      <c r="E3030" s="20" t="str">
        <f t="shared" si="326"/>
        <v/>
      </c>
      <c r="F3030" s="21" t="str">
        <f>IF(OR(E3030="",E3030="!!!"),"",IF(NOT(ISNA(VLOOKUP(E3030,E$1:E3029,1,FALSE()))),"OLD",IF(AND(E3030&lt;&gt;"",E3030&lt;&gt;"!!!"),"NEW","")))</f>
        <v/>
      </c>
      <c r="G3030" s="22" t="str">
        <f>IF(OR(E3030="",E3030="!!!"),"",IF(OR(J3030=0,AND(J3030=1,K3030=1),AND(J3030=1,I3030="SBJ"),AND(J3030=1,I3030=0)),"?IN_FOCUS",IF(J3030&lt;=2,"?ACTIVATED",IF(J3030&lt;&gt;"","?FAMILIAR",IF(F3030="NEW",IF(ISNA(VLOOKUP(E3030,#REF!,1,FALSE())),"?TYPE_IDENTIFIABLE","?REFERENTIAL"),"_")))))</f>
        <v/>
      </c>
      <c r="H3030" s="23" t="str">
        <f t="shared" ca="1" si="327"/>
        <v/>
      </c>
      <c r="I3030" s="24" t="str">
        <f>IF(OR(E3030="",E3030="!!!",F3030="NEW"),"",INDEX(B$2:B3029,-1+SUMPRODUCT(MAX(ROW(E$2:E3029)*(E3030=E$2:E3029)))))</f>
        <v/>
      </c>
      <c r="J3030" s="24" t="str">
        <f ca="1">IF(OR(E3030="",E3030="!!!",F3030="NEW"),"",COUNTBLANK(OFFSET(A$1,,,SUMPRODUCT(MAX(ROW(E$2:E3030)*(E3030=E$2:E3030)))))-COUNTBLANK(OFFSET(A$1,,,SUMPRODUCT(MAX(ROW(E$1:E3029)*(E2=E$1:E3029))))))</f>
        <v/>
      </c>
      <c r="K3030" s="24" t="str">
        <f>IF(OR(E3030="",E3030="!!!",F3030="NEW"),"",INDEX(J$1:J3029,SUMPRODUCT(MAX(ROW(E$1:E3029)*(E3030=E$1:E3029)))))</f>
        <v/>
      </c>
      <c r="L3030" s="25"/>
    </row>
    <row r="3031" spans="1:12" x14ac:dyDescent="0.2">
      <c r="A3031" t="s">
        <v>1659</v>
      </c>
      <c r="B3031" s="26" t="s">
        <v>938</v>
      </c>
      <c r="C3031" s="26" t="s">
        <v>820</v>
      </c>
      <c r="D3031" s="26" t="s">
        <v>806</v>
      </c>
      <c r="E3031" s="20"/>
      <c r="F3031" s="21" t="str">
        <f>IF(OR(E3031="",E3031="!!!"),"",IF(NOT(ISNA(VLOOKUP(E3031,E$1:E3030,1,FALSE()))),"OLD",IF(AND(E3031&lt;&gt;"",E3031&lt;&gt;"!!!"),"NEW","")))</f>
        <v/>
      </c>
      <c r="G3031" s="22" t="str">
        <f>IF(OR(E3031="",E3031="!!!"),"",IF(OR(J3031=0,AND(J3031=1,K3031=1),AND(J3031=1,I3031="SBJ"),AND(J3031=1,I3031=0)),"?IN_FOCUS",IF(J3031&lt;=2,"?ACTIVATED",IF(J3031&lt;&gt;"","?FAMILIAR",IF(F3031="NEW",IF(ISNA(VLOOKUP(E3031,#REF!,1,FALSE())),"?TYPE_IDENTIFIABLE","?REFERENTIAL"),"_")))))</f>
        <v/>
      </c>
      <c r="H3031" s="23" t="str">
        <f t="shared" ca="1" si="327"/>
        <v/>
      </c>
      <c r="I3031" s="24" t="str">
        <f>IF(OR(E3031="",E3031="!!!",F3031="NEW"),"",INDEX(B$2:B3030,-1+SUMPRODUCT(MAX(ROW(E$2:E3030)*(E3031=E$2:E3030)))))</f>
        <v/>
      </c>
      <c r="J3031" s="24" t="str">
        <f ca="1">IF(OR(E3031="",E3031="!!!",F3031="NEW"),"",COUNTBLANK(OFFSET(A$1,,,SUMPRODUCT(MAX(ROW(E$2:E3031)*(E3031=E$2:E3031)))))-COUNTBLANK(OFFSET(A$1,,,SUMPRODUCT(MAX(ROW(E$1:E3030)*(E2=E$1:E3030))))))</f>
        <v/>
      </c>
      <c r="K3031" s="24" t="str">
        <f>IF(OR(E3031="",E3031="!!!",F3031="NEW"),"",INDEX(J$1:J3030,SUMPRODUCT(MAX(ROW(E$1:E3030)*(E3031=E$1:E3030)))))</f>
        <v/>
      </c>
      <c r="L3031" s="25"/>
    </row>
    <row r="3032" spans="1:12" x14ac:dyDescent="0.2">
      <c r="A3032" t="s">
        <v>812</v>
      </c>
      <c r="E3032" s="20" t="str">
        <f t="shared" si="326"/>
        <v/>
      </c>
      <c r="F3032" s="21" t="str">
        <f>IF(OR(E3032="",E3032="!!!"),"",IF(NOT(ISNA(VLOOKUP(E3032,E$1:E3031,1,FALSE()))),"OLD",IF(AND(E3032&lt;&gt;"",E3032&lt;&gt;"!!!"),"NEW","")))</f>
        <v/>
      </c>
      <c r="G3032" s="22" t="str">
        <f>IF(OR(E3032="",E3032="!!!"),"",IF(OR(J3032=0,AND(J3032=1,K3032=1),AND(J3032=1,I3032="SBJ"),AND(J3032=1,I3032=0)),"?IN_FOCUS",IF(J3032&lt;=2,"?ACTIVATED",IF(J3032&lt;&gt;"","?FAMILIAR",IF(F3032="NEW",IF(ISNA(VLOOKUP(E3032,#REF!,1,FALSE())),"?TYPE_IDENTIFIABLE","?REFERENTIAL"),"_")))))</f>
        <v/>
      </c>
      <c r="H3032" s="23" t="str">
        <f t="shared" ca="1" si="327"/>
        <v/>
      </c>
      <c r="I3032" s="24" t="str">
        <f>IF(OR(E3032="",E3032="!!!",F3032="NEW"),"",INDEX(B$2:B3031,-1+SUMPRODUCT(MAX(ROW(E$2:E3031)*(E3032=E$2:E3031)))))</f>
        <v/>
      </c>
      <c r="J3032" s="24" t="str">
        <f ca="1">IF(OR(E3032="",E3032="!!!",F3032="NEW"),"",COUNTBLANK(OFFSET(A$1,,,SUMPRODUCT(MAX(ROW(E$2:E3032)*(E3032=E$2:E3032)))))-COUNTBLANK(OFFSET(A$1,,,SUMPRODUCT(MAX(ROW(E$1:E3031)*(E2=E$1:E3031))))))</f>
        <v/>
      </c>
      <c r="K3032" s="24" t="str">
        <f>IF(OR(E3032="",E3032="!!!",F3032="NEW"),"",INDEX(J$1:J3031,SUMPRODUCT(MAX(ROW(E$1:E3031)*(E3032=E$1:E3031)))))</f>
        <v/>
      </c>
      <c r="L3032" s="25"/>
    </row>
    <row r="3033" spans="1:12" x14ac:dyDescent="0.2">
      <c r="A3033" t="s">
        <v>920</v>
      </c>
      <c r="B3033" s="26" t="s">
        <v>899</v>
      </c>
      <c r="C3033" s="26" t="s">
        <v>817</v>
      </c>
      <c r="D3033" s="26" t="s">
        <v>806</v>
      </c>
      <c r="E3033" s="20"/>
      <c r="F3033" s="21" t="str">
        <f>IF(OR(E3033="",E3033="!!!"),"",IF(NOT(ISNA(VLOOKUP(E3033,E$1:E3032,1,FALSE()))),"OLD",IF(AND(E3033&lt;&gt;"",E3033&lt;&gt;"!!!"),"NEW","")))</f>
        <v/>
      </c>
      <c r="G3033" s="22" t="str">
        <f>IF(OR(E3033="",E3033="!!!"),"",IF(OR(J3033=0,AND(J3033=1,K3033=1),AND(J3033=1,I3033="SBJ"),AND(J3033=1,I3033=0)),"?IN_FOCUS",IF(J3033&lt;=2,"?ACTIVATED",IF(J3033&lt;&gt;"","?FAMILIAR",IF(F3033="NEW",IF(ISNA(VLOOKUP(E3033,#REF!,1,FALSE())),"?TYPE_IDENTIFIABLE","?REFERENTIAL"),"_")))))</f>
        <v/>
      </c>
      <c r="H3033" s="23" t="str">
        <f t="shared" ca="1" si="327"/>
        <v/>
      </c>
      <c r="I3033" s="24" t="str">
        <f>IF(OR(E3033="",E3033="!!!",F3033="NEW"),"",INDEX(B$2:B3032,-1+SUMPRODUCT(MAX(ROW(E$2:E3032)*(E3033=E$2:E3032)))))</f>
        <v/>
      </c>
      <c r="J3033" s="24" t="str">
        <f ca="1">IF(OR(E3033="",E3033="!!!",F3033="NEW"),"",COUNTBLANK(OFFSET(A$1,,,SUMPRODUCT(MAX(ROW(E$2:E3033)*(E3033=E$2:E3033)))))-COUNTBLANK(OFFSET(A$1,,,SUMPRODUCT(MAX(ROW(E$1:E3032)*(E2=E$1:E3032))))))</f>
        <v/>
      </c>
      <c r="K3033" s="24" t="str">
        <f>IF(OR(E3033="",E3033="!!!",F3033="NEW"),"",INDEX(J$1:J3032,SUMPRODUCT(MAX(ROW(E$1:E3032)*(E3033=E$1:E3032)))))</f>
        <v/>
      </c>
      <c r="L3033" s="25"/>
    </row>
    <row r="3034" spans="1:12" x14ac:dyDescent="0.2">
      <c r="A3034" t="s">
        <v>1524</v>
      </c>
      <c r="E3034" s="20" t="str">
        <f t="shared" si="326"/>
        <v/>
      </c>
      <c r="F3034" s="21" t="str">
        <f>IF(OR(E3034="",E3034="!!!"),"",IF(NOT(ISNA(VLOOKUP(E3034,E$1:E3033,1,FALSE()))),"OLD",IF(AND(E3034&lt;&gt;"",E3034&lt;&gt;"!!!"),"NEW","")))</f>
        <v/>
      </c>
      <c r="G3034" s="22" t="str">
        <f>IF(OR(E3034="",E3034="!!!"),"",IF(OR(J3034=0,AND(J3034=1,K3034=1),AND(J3034=1,I3034="SBJ"),AND(J3034=1,I3034=0)),"?IN_FOCUS",IF(J3034&lt;=2,"?ACTIVATED",IF(J3034&lt;&gt;"","?FAMILIAR",IF(F3034="NEW",IF(ISNA(VLOOKUP(E3034,#REF!,1,FALSE())),"?TYPE_IDENTIFIABLE","?REFERENTIAL"),"_")))))</f>
        <v/>
      </c>
      <c r="H3034" s="23" t="str">
        <f t="shared" ca="1" si="327"/>
        <v/>
      </c>
      <c r="I3034" s="24" t="str">
        <f>IF(OR(E3034="",E3034="!!!",F3034="NEW"),"",INDEX(B$2:B3033,-1+SUMPRODUCT(MAX(ROW(E$2:E3033)*(E3034=E$2:E3033)))))</f>
        <v/>
      </c>
      <c r="J3034" s="24" t="str">
        <f ca="1">IF(OR(E3034="",E3034="!!!",F3034="NEW"),"",COUNTBLANK(OFFSET(A$1,,,SUMPRODUCT(MAX(ROW(E$2:E3034)*(E3034=E$2:E3034)))))-COUNTBLANK(OFFSET(A$1,,,SUMPRODUCT(MAX(ROW(E$1:E3033)*(E2=E$1:E3033))))))</f>
        <v/>
      </c>
      <c r="K3034" s="24" t="str">
        <f>IF(OR(E3034="",E3034="!!!",F3034="NEW"),"",INDEX(J$1:J3033,SUMPRODUCT(MAX(ROW(E$1:E3033)*(E3034=E$1:E3033)))))</f>
        <v/>
      </c>
      <c r="L3034" s="25"/>
    </row>
    <row r="3035" spans="1:12" x14ac:dyDescent="0.2">
      <c r="A3035" t="s">
        <v>1388</v>
      </c>
      <c r="B3035" s="26" t="s">
        <v>864</v>
      </c>
      <c r="C3035" s="26" t="s">
        <v>820</v>
      </c>
      <c r="D3035" s="26" t="s">
        <v>806</v>
      </c>
      <c r="E3035" s="20" t="s">
        <v>1809</v>
      </c>
      <c r="F3035" s="21" t="str">
        <f>IF(OR(E3035="",E3035="!!!"),"",IF(NOT(ISNA(VLOOKUP(E3035,E$1:E3034,1,FALSE()))),"OLD",IF(AND(E3035&lt;&gt;"",E3035&lt;&gt;"!!!"),"NEW","")))</f>
        <v>NEW</v>
      </c>
      <c r="G3035" s="22" t="s">
        <v>1824</v>
      </c>
      <c r="H3035" s="23" t="str">
        <f t="shared" ca="1" si="327"/>
        <v/>
      </c>
      <c r="I3035" s="24" t="str">
        <f>IF(OR(E3035="",E3035="!!!",F3035="NEW"),"",INDEX(B$2:B3034,-1+SUMPRODUCT(MAX(ROW(E$2:E3034)*(E3035=E$2:E3034)))))</f>
        <v/>
      </c>
      <c r="J3035" s="24" t="str">
        <f ca="1">IF(OR(E3035="",E3035="!!!",F3035="NEW"),"",COUNTBLANK(OFFSET(A$1,,,SUMPRODUCT(MAX(ROW(E$2:E3035)*(E3035=E$2:E3035)))))-COUNTBLANK(OFFSET(A$1,,,SUMPRODUCT(MAX(ROW(E$1:E3034)*(E2=E$1:E3034))))))</f>
        <v/>
      </c>
      <c r="K3035" s="24" t="str">
        <f>IF(OR(E3035="",E3035="!!!",F3035="NEW"),"",INDEX(J$1:J3034,SUMPRODUCT(MAX(ROW(E$1:E3034)*(E3035=E$1:E3034)))))</f>
        <v/>
      </c>
      <c r="L3035" s="25"/>
    </row>
    <row r="3036" spans="1:12" x14ac:dyDescent="0.2">
      <c r="A3036" t="s">
        <v>878</v>
      </c>
      <c r="E3036" s="20" t="str">
        <f t="shared" si="326"/>
        <v/>
      </c>
      <c r="F3036" s="21" t="str">
        <f>IF(OR(E3036="",E3036="!!!"),"",IF(NOT(ISNA(VLOOKUP(E3036,E$1:E3035,1,FALSE()))),"OLD",IF(AND(E3036&lt;&gt;"",E3036&lt;&gt;"!!!"),"NEW","")))</f>
        <v/>
      </c>
      <c r="G3036" s="22" t="str">
        <f>IF(OR(E3036="",E3036="!!!"),"",IF(OR(J3036=0,AND(J3036=1,K3036=1),AND(J3036=1,I3036="SBJ"),AND(J3036=1,I3036=0)),"?IN_FOCUS",IF(J3036&lt;=2,"?ACTIVATED",IF(J3036&lt;&gt;"","?FAMILIAR",IF(F3036="NEW",IF(ISNA(VLOOKUP(E3036,#REF!,1,FALSE())),"?TYPE_IDENTIFIABLE","?REFERENTIAL"),"_")))))</f>
        <v/>
      </c>
      <c r="H3036" s="23" t="str">
        <f t="shared" ca="1" si="327"/>
        <v/>
      </c>
      <c r="I3036" s="24" t="str">
        <f>IF(OR(E3036="",E3036="!!!",F3036="NEW"),"",INDEX(B$2:B3035,-1+SUMPRODUCT(MAX(ROW(E$2:E3035)*(E3036=E$2:E3035)))))</f>
        <v/>
      </c>
      <c r="J3036" s="24" t="str">
        <f ca="1">IF(OR(E3036="",E3036="!!!",F3036="NEW"),"",COUNTBLANK(OFFSET(A$1,,,SUMPRODUCT(MAX(ROW(E$2:E3036)*(E3036=E$2:E3036)))))-COUNTBLANK(OFFSET(A$1,,,SUMPRODUCT(MAX(ROW(E$1:E3035)*(E2=E$1:E3035))))))</f>
        <v/>
      </c>
      <c r="K3036" s="24" t="str">
        <f>IF(OR(E3036="",E3036="!!!",F3036="NEW"),"",INDEX(J$1:J3035,SUMPRODUCT(MAX(ROW(E$1:E3035)*(E3036=E$1:E3035)))))</f>
        <v/>
      </c>
      <c r="L3036" s="25"/>
    </row>
    <row r="3037" spans="1:12" x14ac:dyDescent="0.2">
      <c r="A3037" t="s">
        <v>845</v>
      </c>
      <c r="E3037" s="20" t="str">
        <f t="shared" si="326"/>
        <v/>
      </c>
      <c r="F3037" s="21" t="str">
        <f>IF(OR(E3037="",E3037="!!!"),"",IF(NOT(ISNA(VLOOKUP(E3037,E$1:E3036,1,FALSE()))),"OLD",IF(AND(E3037&lt;&gt;"",E3037&lt;&gt;"!!!"),"NEW","")))</f>
        <v/>
      </c>
      <c r="G3037" s="22" t="str">
        <f>IF(OR(E3037="",E3037="!!!"),"",IF(OR(J3037=0,AND(J3037=1,K3037=1),AND(J3037=1,I3037="SBJ"),AND(J3037=1,I3037=0)),"?IN_FOCUS",IF(J3037&lt;=2,"?ACTIVATED",IF(J3037&lt;&gt;"","?FAMILIAR",IF(F3037="NEW",IF(ISNA(VLOOKUP(E3037,#REF!,1,FALSE())),"?TYPE_IDENTIFIABLE","?REFERENTIAL"),"_")))))</f>
        <v/>
      </c>
      <c r="H3037" s="23" t="str">
        <f t="shared" ca="1" si="327"/>
        <v/>
      </c>
      <c r="I3037" s="24" t="str">
        <f>IF(OR(E3037="",E3037="!!!",F3037="NEW"),"",INDEX(B$2:B3036,-1+SUMPRODUCT(MAX(ROW(E$2:E3036)*(E3037=E$2:E3036)))))</f>
        <v/>
      </c>
      <c r="J3037" s="24" t="str">
        <f ca="1">IF(OR(E3037="",E3037="!!!",F3037="NEW"),"",COUNTBLANK(OFFSET(A$1,,,SUMPRODUCT(MAX(ROW(E$2:E3037)*(E3037=E$2:E3037)))))-COUNTBLANK(OFFSET(A$1,,,SUMPRODUCT(MAX(ROW(E$1:E3036)*(E2=E$1:E3036))))))</f>
        <v/>
      </c>
      <c r="K3037" s="24" t="str">
        <f>IF(OR(E3037="",E3037="!!!",F3037="NEW"),"",INDEX(J$1:J3036,SUMPRODUCT(MAX(ROW(E$1:E3036)*(E3037=E$1:E3036)))))</f>
        <v/>
      </c>
      <c r="L3037" s="25"/>
    </row>
    <row r="3038" spans="1:12" x14ac:dyDescent="0.2">
      <c r="A3038" t="s">
        <v>1446</v>
      </c>
      <c r="E3038" s="20" t="str">
        <f t="shared" si="326"/>
        <v/>
      </c>
      <c r="F3038" s="21" t="str">
        <f>IF(OR(E3038="",E3038="!!!"),"",IF(NOT(ISNA(VLOOKUP(E3038,E$1:E3037,1,FALSE()))),"OLD",IF(AND(E3038&lt;&gt;"",E3038&lt;&gt;"!!!"),"NEW","")))</f>
        <v/>
      </c>
      <c r="G3038" s="22" t="str">
        <f>IF(OR(E3038="",E3038="!!!"),"",IF(OR(J3038=0,AND(J3038=1,K3038=1),AND(J3038=1,I3038="SBJ"),AND(J3038=1,I3038=0)),"?IN_FOCUS",IF(J3038&lt;=2,"?ACTIVATED",IF(J3038&lt;&gt;"","?FAMILIAR",IF(F3038="NEW",IF(ISNA(VLOOKUP(E3038,#REF!,1,FALSE())),"?TYPE_IDENTIFIABLE","?REFERENTIAL"),"_")))))</f>
        <v/>
      </c>
      <c r="H3038" s="23" t="str">
        <f t="shared" ca="1" si="327"/>
        <v/>
      </c>
      <c r="I3038" s="24" t="str">
        <f>IF(OR(E3038="",E3038="!!!",F3038="NEW"),"",INDEX(B$2:B3037,-1+SUMPRODUCT(MAX(ROW(E$2:E3037)*(E3038=E$2:E3037)))))</f>
        <v/>
      </c>
      <c r="J3038" s="24" t="str">
        <f ca="1">IF(OR(E3038="",E3038="!!!",F3038="NEW"),"",COUNTBLANK(OFFSET(A$1,,,SUMPRODUCT(MAX(ROW(E$2:E3038)*(E3038=E$2:E3038)))))-COUNTBLANK(OFFSET(A$1,,,SUMPRODUCT(MAX(ROW(E$1:E3037)*(E2=E$1:E3037))))))</f>
        <v/>
      </c>
      <c r="K3038" s="24" t="str">
        <f>IF(OR(E3038="",E3038="!!!",F3038="NEW"),"",INDEX(J$1:J3037,SUMPRODUCT(MAX(ROW(E$1:E3037)*(E3038=E$1:E3037)))))</f>
        <v/>
      </c>
      <c r="L3038" s="25"/>
    </row>
    <row r="3039" spans="1:12" x14ac:dyDescent="0.2">
      <c r="A3039" t="s">
        <v>201</v>
      </c>
      <c r="E3039" s="20" t="str">
        <f t="shared" si="326"/>
        <v/>
      </c>
      <c r="F3039" s="21" t="str">
        <f>IF(OR(E3039="",E3039="!!!"),"",IF(NOT(ISNA(VLOOKUP(E3039,E$1:E3038,1,FALSE()))),"OLD",IF(AND(E3039&lt;&gt;"",E3039&lt;&gt;"!!!"),"NEW","")))</f>
        <v/>
      </c>
      <c r="G3039" s="22" t="str">
        <f>IF(OR(E3039="",E3039="!!!"),"",IF(OR(J3039=0,AND(J3039=1,K3039=1),AND(J3039=1,I3039="SBJ"),AND(J3039=1,I3039=0)),"?IN_FOCUS",IF(J3039&lt;=2,"?ACTIVATED",IF(J3039&lt;&gt;"","?FAMILIAR",IF(F3039="NEW",IF(ISNA(VLOOKUP(E3039,#REF!,1,FALSE())),"?TYPE_IDENTIFIABLE","?REFERENTIAL"),"_")))))</f>
        <v/>
      </c>
      <c r="H3039" s="23" t="str">
        <f t="shared" ca="1" si="327"/>
        <v/>
      </c>
      <c r="I3039" s="24" t="str">
        <f>IF(OR(E3039="",E3039="!!!",F3039="NEW"),"",INDEX(B$2:B3038,-1+SUMPRODUCT(MAX(ROW(E$2:E3038)*(E3039=E$2:E3038)))))</f>
        <v/>
      </c>
      <c r="J3039" s="24" t="str">
        <f ca="1">IF(OR(E3039="",E3039="!!!",F3039="NEW"),"",COUNTBLANK(OFFSET(A$1,,,SUMPRODUCT(MAX(ROW(E$2:E3039)*(E3039=E$2:E3039)))))-COUNTBLANK(OFFSET(A$1,,,SUMPRODUCT(MAX(ROW(E$1:E3038)*(E2=E$1:E3038))))))</f>
        <v/>
      </c>
      <c r="K3039" s="24" t="str">
        <f>IF(OR(E3039="",E3039="!!!",F3039="NEW"),"",INDEX(J$1:J3038,SUMPRODUCT(MAX(ROW(E$1:E3038)*(E3039=E$1:E3038)))))</f>
        <v/>
      </c>
      <c r="L3039" s="25"/>
    </row>
    <row r="3040" spans="1:12" x14ac:dyDescent="0.2">
      <c r="A3040" t="s">
        <v>926</v>
      </c>
      <c r="B3040" s="26" t="s">
        <v>899</v>
      </c>
      <c r="C3040" s="26" t="s">
        <v>927</v>
      </c>
      <c r="D3040" s="26" t="s">
        <v>806</v>
      </c>
      <c r="E3040" s="20" t="s">
        <v>1818</v>
      </c>
      <c r="F3040" s="21" t="s">
        <v>1819</v>
      </c>
      <c r="G3040" s="22" t="s">
        <v>1825</v>
      </c>
      <c r="H3040" s="23" t="str">
        <f t="shared" ca="1" si="327"/>
        <v/>
      </c>
      <c r="I3040" s="24" t="str">
        <f>IF(OR(E3040="",E3040="!!!",F3040="NEW"),"",INDEX(B$2:B3039,-1+SUMPRODUCT(MAX(ROW(E$2:E3039)*(E3040=E$2:E3039)))))</f>
        <v>other</v>
      </c>
      <c r="J3040" s="24">
        <f ca="1">IF(OR(E3040="",E3040="!!!",F3040="NEW"),"",COUNTBLANK(OFFSET(A$1,,,SUMPRODUCT(MAX(ROW(E$2:E3040)*(E3040=E$2:E3040)))))-COUNTBLANK(OFFSET(A$1,,,SUMPRODUCT(MAX(ROW(E$1:E3039)*(E2=E$1:E3039))))))</f>
        <v>0</v>
      </c>
      <c r="K3040" s="24" t="str">
        <f ca="1">IF(OR(E3040="",E3040="!!!",F3040="NEW"),"",INDEX(J$1:J3039,SUMPRODUCT(MAX(ROW(E$1:E3039)*(E3040=E$1:E3039)))))</f>
        <v/>
      </c>
      <c r="L3040" s="25"/>
    </row>
    <row r="3041" spans="1:12" x14ac:dyDescent="0.2">
      <c r="A3041" t="s">
        <v>821</v>
      </c>
      <c r="E3041" s="20" t="str">
        <f t="shared" si="326"/>
        <v/>
      </c>
      <c r="F3041" s="21" t="str">
        <f>IF(OR(E3041="",E3041="!!!"),"",IF(NOT(ISNA(VLOOKUP(E3041,E$1:E3040,1,FALSE()))),"OLD",IF(AND(E3041&lt;&gt;"",E3041&lt;&gt;"!!!"),"NEW","")))</f>
        <v/>
      </c>
      <c r="G3041" s="22" t="str">
        <f>IF(OR(E3041="",E3041="!!!"),"",IF(OR(J3041=0,AND(J3041=1,K3041=1),AND(J3041=1,I3041="SBJ"),AND(J3041=1,I3041=0)),"?IN_FOCUS",IF(J3041&lt;=2,"?ACTIVATED",IF(J3041&lt;&gt;"","?FAMILIAR",IF(F3041="NEW",IF(ISNA(VLOOKUP(E3041,#REF!,1,FALSE())),"?TYPE_IDENTIFIABLE","?REFERENTIAL"),"_")))))</f>
        <v/>
      </c>
      <c r="H3041" s="23" t="str">
        <f t="shared" ca="1" si="327"/>
        <v/>
      </c>
      <c r="I3041" s="24" t="str">
        <f>IF(OR(E3041="",E3041="!!!",F3041="NEW"),"",INDEX(B$2:B3040,-1+SUMPRODUCT(MAX(ROW(E$2:E3040)*(E3041=E$2:E3040)))))</f>
        <v/>
      </c>
      <c r="J3041" s="24" t="str">
        <f ca="1">IF(OR(E3041="",E3041="!!!",F3041="NEW"),"",COUNTBLANK(OFFSET(A$1,,,SUMPRODUCT(MAX(ROW(E$2:E3041)*(E3041=E$2:E3041)))))-COUNTBLANK(OFFSET(A$1,,,SUMPRODUCT(MAX(ROW(E$1:E3040)*(E2=E$1:E3040))))))</f>
        <v/>
      </c>
      <c r="K3041" s="24" t="str">
        <f>IF(OR(E3041="",E3041="!!!",F3041="NEW"),"",INDEX(J$1:J3040,SUMPRODUCT(MAX(ROW(E$1:E3040)*(E3041=E$1:E3040)))))</f>
        <v/>
      </c>
      <c r="L3041" s="25"/>
    </row>
    <row r="3043" spans="1:12" x14ac:dyDescent="0.2">
      <c r="A3043" t="s">
        <v>900</v>
      </c>
      <c r="E3043" s="20" t="str">
        <f>IF(D3043="?OLD","!!!","")</f>
        <v/>
      </c>
      <c r="F3043" s="21" t="str">
        <f>IF(OR(E3043="",E3043="!!!"),"",IF(NOT(ISNA(VLOOKUP(E3043,E$1:E3042,1,FALSE()))),"OLD",IF(AND(E3043&lt;&gt;"",E3043&lt;&gt;"!!!"),"NEW","")))</f>
        <v/>
      </c>
      <c r="G3043" s="22" t="str">
        <f>IF(OR(E3043="",E3043="!!!"),"",IF(OR(J3043=0,AND(J3043=1,K3043=1),AND(J3043=1,I3043="SBJ"),AND(J3043=1,I3043=0)),"?IN_FOCUS",IF(J3043&lt;=2,"?ACTIVATED",IF(J3043&lt;&gt;"","?FAMILIAR",IF(F3043="NEW",IF(ISNA(VLOOKUP(E3043,#REF!,1,FALSE())),"?TYPE_IDENTIFIABLE","?REFERENTIAL"),"_")))))</f>
        <v/>
      </c>
      <c r="H3043" s="23" t="str">
        <f ca="1">IF(J3043&lt;&gt;1,"",IF(I3043="SBJ","CB","?"))</f>
        <v/>
      </c>
      <c r="I3043" s="24" t="str">
        <f>IF(OR(E3043="",E3043="!!!",F3043="NEW"),"",INDEX(B$2:B3042,-1+SUMPRODUCT(MAX(ROW(E$2:E3042)*(E3043=E$2:E3042)))))</f>
        <v/>
      </c>
      <c r="J3043" s="24" t="str">
        <f ca="1">IF(OR(E3043="",E3043="!!!",F3043="NEW"),"",COUNTBLANK(OFFSET(A$1,,,SUMPRODUCT(MAX(ROW(E$2:E3043)*(E3043=E$2:E3043)))))-COUNTBLANK(OFFSET(A$1,,,SUMPRODUCT(MAX(ROW(E$1:E3042)*(E2=E$1:E3042))))))</f>
        <v/>
      </c>
      <c r="K3043" s="24" t="str">
        <f>IF(OR(E3043="",E3043="!!!",F3043="NEW"),"",INDEX(J$1:J3042,SUMPRODUCT(MAX(ROW(E$1:E3042)*(E3043=E$1:E3042)))))</f>
        <v/>
      </c>
      <c r="L3043" s="25"/>
    </row>
    <row r="3044" spans="1:12" x14ac:dyDescent="0.2">
      <c r="A3044" t="s">
        <v>1660</v>
      </c>
    </row>
    <row r="3045" spans="1:12" x14ac:dyDescent="0.2">
      <c r="A3045" t="s">
        <v>1661</v>
      </c>
      <c r="E3045" s="20" t="str">
        <f t="shared" ref="E3045:E3086" si="328">IF(D3045="?OLD","!!!","")</f>
        <v/>
      </c>
      <c r="F3045" s="21" t="str">
        <f>IF(OR(E3045="",E3045="!!!"),"",IF(NOT(ISNA(VLOOKUP(E3045,E$1:E3044,1,FALSE()))),"OLD",IF(AND(E3045&lt;&gt;"",E3045&lt;&gt;"!!!"),"NEW","")))</f>
        <v/>
      </c>
      <c r="G3045" s="22" t="str">
        <f>IF(OR(E3045="",E3045="!!!"),"",IF(OR(J3045=0,AND(J3045=1,K3045=1),AND(J3045=1,I3045="SBJ"),AND(J3045=1,I3045=0)),"?IN_FOCUS",IF(J3045&lt;=2,"?ACTIVATED",IF(J3045&lt;&gt;"","?FAMILIAR",IF(F3045="NEW",IF(ISNA(VLOOKUP(E3045,#REF!,1,FALSE())),"?TYPE_IDENTIFIABLE","?REFERENTIAL"),"_")))))</f>
        <v/>
      </c>
      <c r="H3045" s="23" t="str">
        <f t="shared" ref="H3045:H3086" ca="1" si="329">IF(J3045&lt;&gt;1,"",IF(I3045="SBJ","CB","?"))</f>
        <v/>
      </c>
      <c r="I3045" s="24" t="str">
        <f>IF(OR(E3045="",E3045="!!!",F3045="NEW"),"",INDEX(B$2:B3044,-1+SUMPRODUCT(MAX(ROW(E$2:E3044)*(E3045=E$2:E3044)))))</f>
        <v/>
      </c>
      <c r="J3045" s="24" t="str">
        <f ca="1">IF(OR(E3045="",E3045="!!!",F3045="NEW"),"",COUNTBLANK(OFFSET(A$1,,,SUMPRODUCT(MAX(ROW(E$2:E3045)*(E3045=E$2:E3045)))))-COUNTBLANK(OFFSET(A$1,,,SUMPRODUCT(MAX(ROW(E$1:E3044)*(E2=E$1:E3044))))))</f>
        <v/>
      </c>
      <c r="K3045" s="24" t="str">
        <f>IF(OR(E3045="",E3045="!!!",F3045="NEW"),"",INDEX(J$1:J3044,SUMPRODUCT(MAX(ROW(E$1:E3044)*(E3045=E$1:E3044)))))</f>
        <v/>
      </c>
      <c r="L3045" s="25"/>
    </row>
    <row r="3046" spans="1:12" x14ac:dyDescent="0.2">
      <c r="A3046" t="s">
        <v>1662</v>
      </c>
      <c r="B3046" s="26" t="s">
        <v>810</v>
      </c>
      <c r="C3046" s="26" t="s">
        <v>814</v>
      </c>
      <c r="E3046" s="20" t="str">
        <f t="shared" si="328"/>
        <v/>
      </c>
      <c r="F3046" s="21" t="str">
        <f>IF(OR(E3046="",E3046="!!!"),"",IF(NOT(ISNA(VLOOKUP(E3046,E$1:E3045,1,FALSE()))),"OLD",IF(AND(E3046&lt;&gt;"",E3046&lt;&gt;"!!!"),"NEW","")))</f>
        <v/>
      </c>
      <c r="G3046" s="22" t="str">
        <f>IF(OR(E3046="",E3046="!!!"),"",IF(OR(J3046=0,AND(J3046=1,K3046=1),AND(J3046=1,I3046="SBJ"),AND(J3046=1,I3046=0)),"?IN_FOCUS",IF(J3046&lt;=2,"?ACTIVATED",IF(J3046&lt;&gt;"","?FAMILIAR",IF(F3046="NEW",IF(ISNA(VLOOKUP(E3046,#REF!,1,FALSE())),"?TYPE_IDENTIFIABLE","?REFERENTIAL"),"_")))))</f>
        <v/>
      </c>
      <c r="H3046" s="23" t="str">
        <f t="shared" ca="1" si="329"/>
        <v/>
      </c>
      <c r="I3046" s="24" t="str">
        <f>IF(OR(E3046="",E3046="!!!",F3046="NEW"),"",INDEX(B$2:B3045,-1+SUMPRODUCT(MAX(ROW(E$2:E3045)*(E3046=E$2:E3045)))))</f>
        <v/>
      </c>
      <c r="J3046" s="24" t="str">
        <f ca="1">IF(OR(E3046="",E3046="!!!",F3046="NEW"),"",COUNTBLANK(OFFSET(A$1,,,SUMPRODUCT(MAX(ROW(E$2:E3046)*(E3046=E$2:E3046)))))-COUNTBLANK(OFFSET(A$1,,,SUMPRODUCT(MAX(ROW(E$1:E3045)*(E2=E$1:E3045))))))</f>
        <v/>
      </c>
      <c r="K3046" s="24" t="str">
        <f>IF(OR(E3046="",E3046="!!!",F3046="NEW"),"",INDEX(J$1:J3045,SUMPRODUCT(MAX(ROW(E$1:E3045)*(E3046=E$1:E3045)))))</f>
        <v/>
      </c>
      <c r="L3046" s="25"/>
    </row>
    <row r="3047" spans="1:12" x14ac:dyDescent="0.2">
      <c r="A3047" t="s">
        <v>859</v>
      </c>
      <c r="E3047" s="20" t="str">
        <f t="shared" si="328"/>
        <v/>
      </c>
      <c r="F3047" s="21" t="str">
        <f>IF(OR(E3047="",E3047="!!!"),"",IF(NOT(ISNA(VLOOKUP(E3047,E$1:E3046,1,FALSE()))),"OLD",IF(AND(E3047&lt;&gt;"",E3047&lt;&gt;"!!!"),"NEW","")))</f>
        <v/>
      </c>
      <c r="G3047" s="22" t="str">
        <f>IF(OR(E3047="",E3047="!!!"),"",IF(OR(J3047=0,AND(J3047=1,K3047=1),AND(J3047=1,I3047="SBJ"),AND(J3047=1,I3047=0)),"?IN_FOCUS",IF(J3047&lt;=2,"?ACTIVATED",IF(J3047&lt;&gt;"","?FAMILIAR",IF(F3047="NEW",IF(ISNA(VLOOKUP(E3047,#REF!,1,FALSE())),"?TYPE_IDENTIFIABLE","?REFERENTIAL"),"_")))))</f>
        <v/>
      </c>
      <c r="H3047" s="23" t="str">
        <f t="shared" ca="1" si="329"/>
        <v/>
      </c>
      <c r="I3047" s="24" t="str">
        <f>IF(OR(E3047="",E3047="!!!",F3047="NEW"),"",INDEX(B$2:B3046,-1+SUMPRODUCT(MAX(ROW(E$2:E3046)*(E3047=E$2:E3046)))))</f>
        <v/>
      </c>
      <c r="J3047" s="24" t="str">
        <f ca="1">IF(OR(E3047="",E3047="!!!",F3047="NEW"),"",COUNTBLANK(OFFSET(A$1,,,SUMPRODUCT(MAX(ROW(E$2:E3047)*(E3047=E$2:E3047)))))-COUNTBLANK(OFFSET(A$1,,,SUMPRODUCT(MAX(ROW(E$1:E3046)*(E2=E$1:E3046))))))</f>
        <v/>
      </c>
      <c r="K3047" s="24" t="str">
        <f>IF(OR(E3047="",E3047="!!!",F3047="NEW"),"",INDEX(J$1:J3046,SUMPRODUCT(MAX(ROW(E$1:E3046)*(E3047=E$1:E3046)))))</f>
        <v/>
      </c>
      <c r="L3047" s="25"/>
    </row>
    <row r="3048" spans="1:12" x14ac:dyDescent="0.2">
      <c r="A3048" t="s">
        <v>1663</v>
      </c>
      <c r="B3048" s="26" t="s">
        <v>819</v>
      </c>
      <c r="C3048" s="26" t="s">
        <v>814</v>
      </c>
      <c r="E3048" s="20" t="str">
        <f t="shared" si="328"/>
        <v/>
      </c>
      <c r="F3048" s="21" t="str">
        <f>IF(OR(E3048="",E3048="!!!"),"",IF(NOT(ISNA(VLOOKUP(E3048,E$1:E3047,1,FALSE()))),"OLD",IF(AND(E3048&lt;&gt;"",E3048&lt;&gt;"!!!"),"NEW","")))</f>
        <v/>
      </c>
      <c r="G3048" s="22" t="str">
        <f>IF(OR(E3048="",E3048="!!!"),"",IF(OR(J3048=0,AND(J3048=1,K3048=1),AND(J3048=1,I3048="SBJ"),AND(J3048=1,I3048=0)),"?IN_FOCUS",IF(J3048&lt;=2,"?ACTIVATED",IF(J3048&lt;&gt;"","?FAMILIAR",IF(F3048="NEW",IF(ISNA(VLOOKUP(E3048,#REF!,1,FALSE())),"?TYPE_IDENTIFIABLE","?REFERENTIAL"),"_")))))</f>
        <v/>
      </c>
      <c r="H3048" s="23" t="str">
        <f t="shared" ca="1" si="329"/>
        <v/>
      </c>
      <c r="I3048" s="24" t="str">
        <f>IF(OR(E3048="",E3048="!!!",F3048="NEW"),"",INDEX(B$2:B3047,-1+SUMPRODUCT(MAX(ROW(E$2:E3047)*(E3048=E$2:E3047)))))</f>
        <v/>
      </c>
      <c r="J3048" s="24" t="str">
        <f ca="1">IF(OR(E3048="",E3048="!!!",F3048="NEW"),"",COUNTBLANK(OFFSET(A$1,,,SUMPRODUCT(MAX(ROW(E$2:E3048)*(E3048=E$2:E3048)))))-COUNTBLANK(OFFSET(A$1,,,SUMPRODUCT(MAX(ROW(E$1:E3047)*(E2=E$1:E3047))))))</f>
        <v/>
      </c>
      <c r="K3048" s="24" t="str">
        <f>IF(OR(E3048="",E3048="!!!",F3048="NEW"),"",INDEX(J$1:J3047,SUMPRODUCT(MAX(ROW(E$1:E3047)*(E3048=E$1:E3047)))))</f>
        <v/>
      </c>
      <c r="L3048" s="25"/>
    </row>
    <row r="3049" spans="1:12" x14ac:dyDescent="0.2">
      <c r="A3049" t="s">
        <v>802</v>
      </c>
      <c r="E3049" s="20" t="str">
        <f t="shared" si="328"/>
        <v/>
      </c>
      <c r="F3049" s="21" t="str">
        <f>IF(OR(E3049="",E3049="!!!"),"",IF(NOT(ISNA(VLOOKUP(E3049,E$1:E3048,1,FALSE()))),"OLD",IF(AND(E3049&lt;&gt;"",E3049&lt;&gt;"!!!"),"NEW","")))</f>
        <v/>
      </c>
      <c r="G3049" s="22" t="str">
        <f>IF(OR(E3049="",E3049="!!!"),"",IF(OR(J3049=0,AND(J3049=1,K3049=1),AND(J3049=1,I3049="SBJ"),AND(J3049=1,I3049=0)),"?IN_FOCUS",IF(J3049&lt;=2,"?ACTIVATED",IF(J3049&lt;&gt;"","?FAMILIAR",IF(F3049="NEW",IF(ISNA(VLOOKUP(E3049,#REF!,1,FALSE())),"?TYPE_IDENTIFIABLE","?REFERENTIAL"),"_")))))</f>
        <v/>
      </c>
      <c r="H3049" s="23" t="str">
        <f t="shared" ca="1" si="329"/>
        <v/>
      </c>
      <c r="I3049" s="24" t="str">
        <f>IF(OR(E3049="",E3049="!!!",F3049="NEW"),"",INDEX(B$2:B3048,-1+SUMPRODUCT(MAX(ROW(E$2:E3048)*(E3049=E$2:E3048)))))</f>
        <v/>
      </c>
      <c r="J3049" s="24" t="str">
        <f ca="1">IF(OR(E3049="",E3049="!!!",F3049="NEW"),"",COUNTBLANK(OFFSET(A$1,,,SUMPRODUCT(MAX(ROW(E$2:E3049)*(E3049=E$2:E3049)))))-COUNTBLANK(OFFSET(A$1,,,SUMPRODUCT(MAX(ROW(E$1:E3048)*(E2=E$1:E3048))))))</f>
        <v/>
      </c>
      <c r="K3049" s="24" t="str">
        <f>IF(OR(E3049="",E3049="!!!",F3049="NEW"),"",INDEX(J$1:J3048,SUMPRODUCT(MAX(ROW(E$1:E3048)*(E3049=E$1:E3048)))))</f>
        <v/>
      </c>
      <c r="L3049" s="25"/>
    </row>
    <row r="3050" spans="1:12" x14ac:dyDescent="0.2">
      <c r="A3050" t="s">
        <v>1664</v>
      </c>
      <c r="B3050" s="26" t="s">
        <v>819</v>
      </c>
      <c r="C3050" s="26" t="s">
        <v>814</v>
      </c>
      <c r="E3050" s="20" t="str">
        <f t="shared" si="328"/>
        <v/>
      </c>
      <c r="F3050" s="21" t="str">
        <f>IF(OR(E3050="",E3050="!!!"),"",IF(NOT(ISNA(VLOOKUP(E3050,E$1:E3049,1,FALSE()))),"OLD",IF(AND(E3050&lt;&gt;"",E3050&lt;&gt;"!!!"),"NEW","")))</f>
        <v/>
      </c>
      <c r="G3050" s="22" t="str">
        <f>IF(OR(E3050="",E3050="!!!"),"",IF(OR(J3050=0,AND(J3050=1,K3050=1),AND(J3050=1,I3050="SBJ"),AND(J3050=1,I3050=0)),"?IN_FOCUS",IF(J3050&lt;=2,"?ACTIVATED",IF(J3050&lt;&gt;"","?FAMILIAR",IF(F3050="NEW",IF(ISNA(VLOOKUP(E3050,#REF!,1,FALSE())),"?TYPE_IDENTIFIABLE","?REFERENTIAL"),"_")))))</f>
        <v/>
      </c>
      <c r="H3050" s="23" t="str">
        <f t="shared" ca="1" si="329"/>
        <v/>
      </c>
      <c r="I3050" s="24" t="str">
        <f>IF(OR(E3050="",E3050="!!!",F3050="NEW"),"",INDEX(B$2:B3049,-1+SUMPRODUCT(MAX(ROW(E$2:E3049)*(E3050=E$2:E3049)))))</f>
        <v/>
      </c>
      <c r="J3050" s="24" t="str">
        <f ca="1">IF(OR(E3050="",E3050="!!!",F3050="NEW"),"",COUNTBLANK(OFFSET(A$1,,,SUMPRODUCT(MAX(ROW(E$2:E3050)*(E3050=E$2:E3050)))))-COUNTBLANK(OFFSET(A$1,,,SUMPRODUCT(MAX(ROW(E$1:E3049)*(E2=E$1:E3049))))))</f>
        <v/>
      </c>
      <c r="K3050" s="24" t="str">
        <f>IF(OR(E3050="",E3050="!!!",F3050="NEW"),"",INDEX(J$1:J3049,SUMPRODUCT(MAX(ROW(E$1:E3049)*(E3050=E$1:E3049)))))</f>
        <v/>
      </c>
      <c r="L3050" s="25"/>
    </row>
    <row r="3051" spans="1:12" x14ac:dyDescent="0.2">
      <c r="A3051" t="s">
        <v>859</v>
      </c>
      <c r="E3051" s="20" t="str">
        <f t="shared" si="328"/>
        <v/>
      </c>
      <c r="F3051" s="21" t="str">
        <f>IF(OR(E3051="",E3051="!!!"),"",IF(NOT(ISNA(VLOOKUP(E3051,E$1:E3050,1,FALSE()))),"OLD",IF(AND(E3051&lt;&gt;"",E3051&lt;&gt;"!!!"),"NEW","")))</f>
        <v/>
      </c>
      <c r="G3051" s="22" t="str">
        <f>IF(OR(E3051="",E3051="!!!"),"",IF(OR(J3051=0,AND(J3051=1,K3051=1),AND(J3051=1,I3051="SBJ"),AND(J3051=1,I3051=0)),"?IN_FOCUS",IF(J3051&lt;=2,"?ACTIVATED",IF(J3051&lt;&gt;"","?FAMILIAR",IF(F3051="NEW",IF(ISNA(VLOOKUP(E3051,#REF!,1,FALSE())),"?TYPE_IDENTIFIABLE","?REFERENTIAL"),"_")))))</f>
        <v/>
      </c>
      <c r="H3051" s="23" t="str">
        <f t="shared" ca="1" si="329"/>
        <v/>
      </c>
      <c r="I3051" s="24" t="str">
        <f>IF(OR(E3051="",E3051="!!!",F3051="NEW"),"",INDEX(B$2:B3050,-1+SUMPRODUCT(MAX(ROW(E$2:E3050)*(E3051=E$2:E3050)))))</f>
        <v/>
      </c>
      <c r="J3051" s="24" t="str">
        <f ca="1">IF(OR(E3051="",E3051="!!!",F3051="NEW"),"",COUNTBLANK(OFFSET(A$1,,,SUMPRODUCT(MAX(ROW(E$2:E3051)*(E3051=E$2:E3051)))))-COUNTBLANK(OFFSET(A$1,,,SUMPRODUCT(MAX(ROW(E$1:E3050)*(E2=E$1:E3050))))))</f>
        <v/>
      </c>
      <c r="K3051" s="24" t="str">
        <f>IF(OR(E3051="",E3051="!!!",F3051="NEW"),"",INDEX(J$1:J3050,SUMPRODUCT(MAX(ROW(E$1:E3050)*(E3051=E$1:E3050)))))</f>
        <v/>
      </c>
      <c r="L3051" s="25"/>
    </row>
    <row r="3052" spans="1:12" x14ac:dyDescent="0.2">
      <c r="A3052" t="s">
        <v>1665</v>
      </c>
      <c r="B3052" s="26" t="s">
        <v>813</v>
      </c>
      <c r="C3052" s="26" t="s">
        <v>814</v>
      </c>
      <c r="E3052" s="20" t="str">
        <f t="shared" si="328"/>
        <v/>
      </c>
      <c r="F3052" s="21" t="str">
        <f>IF(OR(E3052="",E3052="!!!"),"",IF(NOT(ISNA(VLOOKUP(E3052,E$1:E3051,1,FALSE()))),"OLD",IF(AND(E3052&lt;&gt;"",E3052&lt;&gt;"!!!"),"NEW","")))</f>
        <v/>
      </c>
      <c r="G3052" s="22" t="str">
        <f>IF(OR(E3052="",E3052="!!!"),"",IF(OR(J3052=0,AND(J3052=1,K3052=1),AND(J3052=1,I3052="SBJ"),AND(J3052=1,I3052=0)),"?IN_FOCUS",IF(J3052&lt;=2,"?ACTIVATED",IF(J3052&lt;&gt;"","?FAMILIAR",IF(F3052="NEW",IF(ISNA(VLOOKUP(E3052,#REF!,1,FALSE())),"?TYPE_IDENTIFIABLE","?REFERENTIAL"),"_")))))</f>
        <v/>
      </c>
      <c r="H3052" s="23" t="str">
        <f t="shared" ca="1" si="329"/>
        <v/>
      </c>
      <c r="I3052" s="24" t="str">
        <f>IF(OR(E3052="",E3052="!!!",F3052="NEW"),"",INDEX(B$2:B3051,-1+SUMPRODUCT(MAX(ROW(E$2:E3051)*(E3052=E$2:E3051)))))</f>
        <v/>
      </c>
      <c r="J3052" s="24" t="str">
        <f ca="1">IF(OR(E3052="",E3052="!!!",F3052="NEW"),"",COUNTBLANK(OFFSET(A$1,,,SUMPRODUCT(MAX(ROW(E$2:E3052)*(E3052=E$2:E3052)))))-COUNTBLANK(OFFSET(A$1,,,SUMPRODUCT(MAX(ROW(E$1:E3051)*(E2=E$1:E3051))))))</f>
        <v/>
      </c>
      <c r="K3052" s="24" t="str">
        <f>IF(OR(E3052="",E3052="!!!",F3052="NEW"),"",INDEX(J$1:J3051,SUMPRODUCT(MAX(ROW(E$1:E3051)*(E3052=E$1:E3051)))))</f>
        <v/>
      </c>
      <c r="L3052" s="25"/>
    </row>
    <row r="3053" spans="1:12" x14ac:dyDescent="0.2">
      <c r="A3053" t="s">
        <v>802</v>
      </c>
      <c r="E3053" s="20" t="str">
        <f t="shared" si="328"/>
        <v/>
      </c>
      <c r="F3053" s="21" t="str">
        <f>IF(OR(E3053="",E3053="!!!"),"",IF(NOT(ISNA(VLOOKUP(E3053,E$1:E3052,1,FALSE()))),"OLD",IF(AND(E3053&lt;&gt;"",E3053&lt;&gt;"!!!"),"NEW","")))</f>
        <v/>
      </c>
      <c r="G3053" s="22" t="str">
        <f>IF(OR(E3053="",E3053="!!!"),"",IF(OR(J3053=0,AND(J3053=1,K3053=1),AND(J3053=1,I3053="SBJ"),AND(J3053=1,I3053=0)),"?IN_FOCUS",IF(J3053&lt;=2,"?ACTIVATED",IF(J3053&lt;&gt;"","?FAMILIAR",IF(F3053="NEW",IF(ISNA(VLOOKUP(E3053,#REF!,1,FALSE())),"?TYPE_IDENTIFIABLE","?REFERENTIAL"),"_")))))</f>
        <v/>
      </c>
      <c r="H3053" s="23" t="str">
        <f t="shared" ca="1" si="329"/>
        <v/>
      </c>
      <c r="I3053" s="24" t="str">
        <f>IF(OR(E3053="",E3053="!!!",F3053="NEW"),"",INDEX(B$2:B3052,-1+SUMPRODUCT(MAX(ROW(E$2:E3052)*(E3053=E$2:E3052)))))</f>
        <v/>
      </c>
      <c r="J3053" s="24" t="str">
        <f ca="1">IF(OR(E3053="",E3053="!!!",F3053="NEW"),"",COUNTBLANK(OFFSET(A$1,,,SUMPRODUCT(MAX(ROW(E$2:E3053)*(E3053=E$2:E3053)))))-COUNTBLANK(OFFSET(A$1,,,SUMPRODUCT(MAX(ROW(E$1:E3052)*(E2=E$1:E3052))))))</f>
        <v/>
      </c>
      <c r="K3053" s="24" t="str">
        <f>IF(OR(E3053="",E3053="!!!",F3053="NEW"),"",INDEX(J$1:J3052,SUMPRODUCT(MAX(ROW(E$1:E3052)*(E3053=E$1:E3052)))))</f>
        <v/>
      </c>
      <c r="L3053" s="25"/>
    </row>
    <row r="3054" spans="1:12" x14ac:dyDescent="0.2">
      <c r="A3054" t="s">
        <v>1666</v>
      </c>
      <c r="B3054" s="26" t="s">
        <v>819</v>
      </c>
      <c r="C3054" s="26" t="s">
        <v>814</v>
      </c>
      <c r="E3054" s="20" t="str">
        <f t="shared" si="328"/>
        <v/>
      </c>
      <c r="F3054" s="21" t="str">
        <f>IF(OR(E3054="",E3054="!!!"),"",IF(NOT(ISNA(VLOOKUP(E3054,E$1:E3053,1,FALSE()))),"OLD",IF(AND(E3054&lt;&gt;"",E3054&lt;&gt;"!!!"),"NEW","")))</f>
        <v/>
      </c>
      <c r="G3054" s="22" t="str">
        <f>IF(OR(E3054="",E3054="!!!"),"",IF(OR(J3054=0,AND(J3054=1,K3054=1),AND(J3054=1,I3054="SBJ"),AND(J3054=1,I3054=0)),"?IN_FOCUS",IF(J3054&lt;=2,"?ACTIVATED",IF(J3054&lt;&gt;"","?FAMILIAR",IF(F3054="NEW",IF(ISNA(VLOOKUP(E3054,#REF!,1,FALSE())),"?TYPE_IDENTIFIABLE","?REFERENTIAL"),"_")))))</f>
        <v/>
      </c>
      <c r="H3054" s="23" t="str">
        <f t="shared" ca="1" si="329"/>
        <v/>
      </c>
      <c r="I3054" s="24" t="str">
        <f>IF(OR(E3054="",E3054="!!!",F3054="NEW"),"",INDEX(B$2:B3053,-1+SUMPRODUCT(MAX(ROW(E$2:E3053)*(E3054=E$2:E3053)))))</f>
        <v/>
      </c>
      <c r="J3054" s="24" t="str">
        <f ca="1">IF(OR(E3054="",E3054="!!!",F3054="NEW"),"",COUNTBLANK(OFFSET(A$1,,,SUMPRODUCT(MAX(ROW(E$2:E3054)*(E3054=E$2:E3054)))))-COUNTBLANK(OFFSET(A$1,,,SUMPRODUCT(MAX(ROW(E$1:E3053)*(E2=E$1:E3053))))))</f>
        <v/>
      </c>
      <c r="K3054" s="24" t="str">
        <f>IF(OR(E3054="",E3054="!!!",F3054="NEW"),"",INDEX(J$1:J3053,SUMPRODUCT(MAX(ROW(E$1:E3053)*(E3054=E$1:E3053)))))</f>
        <v/>
      </c>
      <c r="L3054" s="25"/>
    </row>
    <row r="3055" spans="1:12" x14ac:dyDescent="0.2">
      <c r="A3055" t="s">
        <v>859</v>
      </c>
      <c r="E3055" s="20" t="str">
        <f t="shared" si="328"/>
        <v/>
      </c>
      <c r="F3055" s="21" t="str">
        <f>IF(OR(E3055="",E3055="!!!"),"",IF(NOT(ISNA(VLOOKUP(E3055,E$1:E3054,1,FALSE()))),"OLD",IF(AND(E3055&lt;&gt;"",E3055&lt;&gt;"!!!"),"NEW","")))</f>
        <v/>
      </c>
      <c r="G3055" s="22" t="str">
        <f>IF(OR(E3055="",E3055="!!!"),"",IF(OR(J3055=0,AND(J3055=1,K3055=1),AND(J3055=1,I3055="SBJ"),AND(J3055=1,I3055=0)),"?IN_FOCUS",IF(J3055&lt;=2,"?ACTIVATED",IF(J3055&lt;&gt;"","?FAMILIAR",IF(F3055="NEW",IF(ISNA(VLOOKUP(E3055,#REF!,1,FALSE())),"?TYPE_IDENTIFIABLE","?REFERENTIAL"),"_")))))</f>
        <v/>
      </c>
      <c r="H3055" s="23" t="str">
        <f t="shared" ca="1" si="329"/>
        <v/>
      </c>
      <c r="I3055" s="24" t="str">
        <f>IF(OR(E3055="",E3055="!!!",F3055="NEW"),"",INDEX(B$2:B3054,-1+SUMPRODUCT(MAX(ROW(E$2:E3054)*(E3055=E$2:E3054)))))</f>
        <v/>
      </c>
      <c r="J3055" s="24" t="str">
        <f ca="1">IF(OR(E3055="",E3055="!!!",F3055="NEW"),"",COUNTBLANK(OFFSET(A$1,,,SUMPRODUCT(MAX(ROW(E$2:E3055)*(E3055=E$2:E3055)))))-COUNTBLANK(OFFSET(A$1,,,SUMPRODUCT(MAX(ROW(E$1:E3054)*(E2=E$1:E3054))))))</f>
        <v/>
      </c>
      <c r="K3055" s="24" t="str">
        <f>IF(OR(E3055="",E3055="!!!",F3055="NEW"),"",INDEX(J$1:J3054,SUMPRODUCT(MAX(ROW(E$1:E3054)*(E3055=E$1:E3054)))))</f>
        <v/>
      </c>
      <c r="L3055" s="25"/>
    </row>
    <row r="3056" spans="1:12" x14ac:dyDescent="0.2">
      <c r="A3056" t="s">
        <v>1491</v>
      </c>
      <c r="B3056" s="26" t="s">
        <v>813</v>
      </c>
      <c r="C3056" s="26" t="s">
        <v>814</v>
      </c>
      <c r="E3056" s="20" t="str">
        <f t="shared" si="328"/>
        <v/>
      </c>
      <c r="F3056" s="21" t="str">
        <f>IF(OR(E3056="",E3056="!!!"),"",IF(NOT(ISNA(VLOOKUP(E3056,E$1:E3055,1,FALSE()))),"OLD",IF(AND(E3056&lt;&gt;"",E3056&lt;&gt;"!!!"),"NEW","")))</f>
        <v/>
      </c>
      <c r="G3056" s="22" t="str">
        <f>IF(OR(E3056="",E3056="!!!"),"",IF(OR(J3056=0,AND(J3056=1,K3056=1),AND(J3056=1,I3056="SBJ"),AND(J3056=1,I3056=0)),"?IN_FOCUS",IF(J3056&lt;=2,"?ACTIVATED",IF(J3056&lt;&gt;"","?FAMILIAR",IF(F3056="NEW",IF(ISNA(VLOOKUP(E3056,#REF!,1,FALSE())),"?TYPE_IDENTIFIABLE","?REFERENTIAL"),"_")))))</f>
        <v/>
      </c>
      <c r="H3056" s="23" t="str">
        <f t="shared" ca="1" si="329"/>
        <v/>
      </c>
      <c r="I3056" s="24" t="str">
        <f>IF(OR(E3056="",E3056="!!!",F3056="NEW"),"",INDEX(B$2:B3055,-1+SUMPRODUCT(MAX(ROW(E$2:E3055)*(E3056=E$2:E3055)))))</f>
        <v/>
      </c>
      <c r="J3056" s="24" t="str">
        <f ca="1">IF(OR(E3056="",E3056="!!!",F3056="NEW"),"",COUNTBLANK(OFFSET(A$1,,,SUMPRODUCT(MAX(ROW(E$2:E3056)*(E3056=E$2:E3056)))))-COUNTBLANK(OFFSET(A$1,,,SUMPRODUCT(MAX(ROW(E$1:E3055)*(E2=E$1:E3055))))))</f>
        <v/>
      </c>
      <c r="K3056" s="24" t="str">
        <f>IF(OR(E3056="",E3056="!!!",F3056="NEW"),"",INDEX(J$1:J3055,SUMPRODUCT(MAX(ROW(E$1:E3055)*(E3056=E$1:E3055)))))</f>
        <v/>
      </c>
      <c r="L3056" s="25"/>
    </row>
    <row r="3057" spans="1:12" x14ac:dyDescent="0.2">
      <c r="A3057" t="s">
        <v>802</v>
      </c>
      <c r="E3057" s="20" t="str">
        <f t="shared" si="328"/>
        <v/>
      </c>
      <c r="F3057" s="21" t="str">
        <f>IF(OR(E3057="",E3057="!!!"),"",IF(NOT(ISNA(VLOOKUP(E3057,E$1:E3056,1,FALSE()))),"OLD",IF(AND(E3057&lt;&gt;"",E3057&lt;&gt;"!!!"),"NEW","")))</f>
        <v/>
      </c>
      <c r="G3057" s="22" t="str">
        <f>IF(OR(E3057="",E3057="!!!"),"",IF(OR(J3057=0,AND(J3057=1,K3057=1),AND(J3057=1,I3057="SBJ"),AND(J3057=1,I3057=0)),"?IN_FOCUS",IF(J3057&lt;=2,"?ACTIVATED",IF(J3057&lt;&gt;"","?FAMILIAR",IF(F3057="NEW",IF(ISNA(VLOOKUP(E3057,#REF!,1,FALSE())),"?TYPE_IDENTIFIABLE","?REFERENTIAL"),"_")))))</f>
        <v/>
      </c>
      <c r="H3057" s="23" t="str">
        <f t="shared" ca="1" si="329"/>
        <v/>
      </c>
      <c r="I3057" s="24" t="str">
        <f>IF(OR(E3057="",E3057="!!!",F3057="NEW"),"",INDEX(B$2:B3056,-1+SUMPRODUCT(MAX(ROW(E$2:E3056)*(E3057=E$2:E3056)))))</f>
        <v/>
      </c>
      <c r="J3057" s="24" t="str">
        <f ca="1">IF(OR(E3057="",E3057="!!!",F3057="NEW"),"",COUNTBLANK(OFFSET(A$1,,,SUMPRODUCT(MAX(ROW(E$2:E3057)*(E3057=E$2:E3057)))))-COUNTBLANK(OFFSET(A$1,,,SUMPRODUCT(MAX(ROW(E$1:E3056)*(E2=E$1:E3056))))))</f>
        <v/>
      </c>
      <c r="K3057" s="24" t="str">
        <f>IF(OR(E3057="",E3057="!!!",F3057="NEW"),"",INDEX(J$1:J3056,SUMPRODUCT(MAX(ROW(E$1:E3056)*(E3057=E$1:E3056)))))</f>
        <v/>
      </c>
      <c r="L3057" s="25"/>
    </row>
    <row r="3058" spans="1:12" x14ac:dyDescent="0.2">
      <c r="A3058" t="s">
        <v>1096</v>
      </c>
      <c r="B3058" s="26" t="s">
        <v>819</v>
      </c>
      <c r="C3058" s="26" t="s">
        <v>814</v>
      </c>
      <c r="E3058" s="20" t="str">
        <f t="shared" si="328"/>
        <v/>
      </c>
      <c r="F3058" s="21" t="str">
        <f>IF(OR(E3058="",E3058="!!!"),"",IF(NOT(ISNA(VLOOKUP(E3058,E$1:E3057,1,FALSE()))),"OLD",IF(AND(E3058&lt;&gt;"",E3058&lt;&gt;"!!!"),"NEW","")))</f>
        <v/>
      </c>
      <c r="G3058" s="22" t="str">
        <f>IF(OR(E3058="",E3058="!!!"),"",IF(OR(J3058=0,AND(J3058=1,K3058=1),AND(J3058=1,I3058="SBJ"),AND(J3058=1,I3058=0)),"?IN_FOCUS",IF(J3058&lt;=2,"?ACTIVATED",IF(J3058&lt;&gt;"","?FAMILIAR",IF(F3058="NEW",IF(ISNA(VLOOKUP(E3058,#REF!,1,FALSE())),"?TYPE_IDENTIFIABLE","?REFERENTIAL"),"_")))))</f>
        <v/>
      </c>
      <c r="H3058" s="23" t="str">
        <f t="shared" ca="1" si="329"/>
        <v/>
      </c>
      <c r="I3058" s="24" t="str">
        <f>IF(OR(E3058="",E3058="!!!",F3058="NEW"),"",INDEX(B$2:B3057,-1+SUMPRODUCT(MAX(ROW(E$2:E3057)*(E3058=E$2:E3057)))))</f>
        <v/>
      </c>
      <c r="J3058" s="24" t="str">
        <f ca="1">IF(OR(E3058="",E3058="!!!",F3058="NEW"),"",COUNTBLANK(OFFSET(A$1,,,SUMPRODUCT(MAX(ROW(E$2:E3058)*(E3058=E$2:E3058)))))-COUNTBLANK(OFFSET(A$1,,,SUMPRODUCT(MAX(ROW(E$1:E3057)*(E2=E$1:E3057))))))</f>
        <v/>
      </c>
      <c r="K3058" s="24" t="str">
        <f>IF(OR(E3058="",E3058="!!!",F3058="NEW"),"",INDEX(J$1:J3057,SUMPRODUCT(MAX(ROW(E$1:E3057)*(E3058=E$1:E3057)))))</f>
        <v/>
      </c>
      <c r="L3058" s="25"/>
    </row>
    <row r="3059" spans="1:12" x14ac:dyDescent="0.2">
      <c r="A3059" t="s">
        <v>859</v>
      </c>
      <c r="E3059" s="20" t="str">
        <f t="shared" si="328"/>
        <v/>
      </c>
      <c r="F3059" s="21" t="str">
        <f>IF(OR(E3059="",E3059="!!!"),"",IF(NOT(ISNA(VLOOKUP(E3059,E$1:E3058,1,FALSE()))),"OLD",IF(AND(E3059&lt;&gt;"",E3059&lt;&gt;"!!!"),"NEW","")))</f>
        <v/>
      </c>
      <c r="G3059" s="22" t="str">
        <f>IF(OR(E3059="",E3059="!!!"),"",IF(OR(J3059=0,AND(J3059=1,K3059=1),AND(J3059=1,I3059="SBJ"),AND(J3059=1,I3059=0)),"?IN_FOCUS",IF(J3059&lt;=2,"?ACTIVATED",IF(J3059&lt;&gt;"","?FAMILIAR",IF(F3059="NEW",IF(ISNA(VLOOKUP(E3059,#REF!,1,FALSE())),"?TYPE_IDENTIFIABLE","?REFERENTIAL"),"_")))))</f>
        <v/>
      </c>
      <c r="H3059" s="23" t="str">
        <f t="shared" ca="1" si="329"/>
        <v/>
      </c>
      <c r="I3059" s="24" t="str">
        <f>IF(OR(E3059="",E3059="!!!",F3059="NEW"),"",INDEX(B$2:B3058,-1+SUMPRODUCT(MAX(ROW(E$2:E3058)*(E3059=E$2:E3058)))))</f>
        <v/>
      </c>
      <c r="J3059" s="24" t="str">
        <f ca="1">IF(OR(E3059="",E3059="!!!",F3059="NEW"),"",COUNTBLANK(OFFSET(A$1,,,SUMPRODUCT(MAX(ROW(E$2:E3059)*(E3059=E$2:E3059)))))-COUNTBLANK(OFFSET(A$1,,,SUMPRODUCT(MAX(ROW(E$1:E3058)*(E2=E$1:E3058))))))</f>
        <v/>
      </c>
      <c r="K3059" s="24" t="str">
        <f>IF(OR(E3059="",E3059="!!!",F3059="NEW"),"",INDEX(J$1:J3058,SUMPRODUCT(MAX(ROW(E$1:E3058)*(E3059=E$1:E3058)))))</f>
        <v/>
      </c>
      <c r="L3059" s="25"/>
    </row>
    <row r="3060" spans="1:12" x14ac:dyDescent="0.2">
      <c r="A3060" t="s">
        <v>30</v>
      </c>
      <c r="B3060" s="26" t="s">
        <v>813</v>
      </c>
      <c r="C3060" s="26" t="s">
        <v>814</v>
      </c>
      <c r="E3060" s="20" t="str">
        <f t="shared" si="328"/>
        <v/>
      </c>
      <c r="F3060" s="21" t="str">
        <f>IF(OR(E3060="",E3060="!!!"),"",IF(NOT(ISNA(VLOOKUP(E3060,E$1:E3059,1,FALSE()))),"OLD",IF(AND(E3060&lt;&gt;"",E3060&lt;&gt;"!!!"),"NEW","")))</f>
        <v/>
      </c>
      <c r="G3060" s="22" t="str">
        <f>IF(OR(E3060="",E3060="!!!"),"",IF(OR(J3060=0,AND(J3060=1,K3060=1),AND(J3060=1,I3060="SBJ"),AND(J3060=1,I3060=0)),"?IN_FOCUS",IF(J3060&lt;=2,"?ACTIVATED",IF(J3060&lt;&gt;"","?FAMILIAR",IF(F3060="NEW",IF(ISNA(VLOOKUP(E3060,#REF!,1,FALSE())),"?TYPE_IDENTIFIABLE","?REFERENTIAL"),"_")))))</f>
        <v/>
      </c>
      <c r="H3060" s="23" t="str">
        <f t="shared" ca="1" si="329"/>
        <v/>
      </c>
      <c r="I3060" s="24" t="str">
        <f>IF(OR(E3060="",E3060="!!!",F3060="NEW"),"",INDEX(B$2:B3059,-1+SUMPRODUCT(MAX(ROW(E$2:E3059)*(E3060=E$2:E3059)))))</f>
        <v/>
      </c>
      <c r="J3060" s="24" t="str">
        <f ca="1">IF(OR(E3060="",E3060="!!!",F3060="NEW"),"",COUNTBLANK(OFFSET(A$1,,,SUMPRODUCT(MAX(ROW(E$2:E3060)*(E3060=E$2:E3060)))))-COUNTBLANK(OFFSET(A$1,,,SUMPRODUCT(MAX(ROW(E$1:E3059)*(E2=E$1:E3059))))))</f>
        <v/>
      </c>
      <c r="K3060" s="24" t="str">
        <f>IF(OR(E3060="",E3060="!!!",F3060="NEW"),"",INDEX(J$1:J3059,SUMPRODUCT(MAX(ROW(E$1:E3059)*(E3060=E$1:E3059)))))</f>
        <v/>
      </c>
      <c r="L3060" s="25"/>
    </row>
    <row r="3061" spans="1:12" x14ac:dyDescent="0.2">
      <c r="A3061" t="s">
        <v>802</v>
      </c>
      <c r="E3061" s="20" t="str">
        <f t="shared" si="328"/>
        <v/>
      </c>
      <c r="F3061" s="21" t="str">
        <f>IF(OR(E3061="",E3061="!!!"),"",IF(NOT(ISNA(VLOOKUP(E3061,E$1:E3060,1,FALSE()))),"OLD",IF(AND(E3061&lt;&gt;"",E3061&lt;&gt;"!!!"),"NEW","")))</f>
        <v/>
      </c>
      <c r="G3061" s="22" t="str">
        <f>IF(OR(E3061="",E3061="!!!"),"",IF(OR(J3061=0,AND(J3061=1,K3061=1),AND(J3061=1,I3061="SBJ"),AND(J3061=1,I3061=0)),"?IN_FOCUS",IF(J3061&lt;=2,"?ACTIVATED",IF(J3061&lt;&gt;"","?FAMILIAR",IF(F3061="NEW",IF(ISNA(VLOOKUP(E3061,#REF!,1,FALSE())),"?TYPE_IDENTIFIABLE","?REFERENTIAL"),"_")))))</f>
        <v/>
      </c>
      <c r="H3061" s="23" t="str">
        <f t="shared" ca="1" si="329"/>
        <v/>
      </c>
      <c r="I3061" s="24" t="str">
        <f>IF(OR(E3061="",E3061="!!!",F3061="NEW"),"",INDEX(B$2:B3060,-1+SUMPRODUCT(MAX(ROW(E$2:E3060)*(E3061=E$2:E3060)))))</f>
        <v/>
      </c>
      <c r="J3061" s="24" t="str">
        <f ca="1">IF(OR(E3061="",E3061="!!!",F3061="NEW"),"",COUNTBLANK(OFFSET(A$1,,,SUMPRODUCT(MAX(ROW(E$2:E3061)*(E3061=E$2:E3061)))))-COUNTBLANK(OFFSET(A$1,,,SUMPRODUCT(MAX(ROW(E$1:E3060)*(E2=E$1:E3060))))))</f>
        <v/>
      </c>
      <c r="K3061" s="24" t="str">
        <f>IF(OR(E3061="",E3061="!!!",F3061="NEW"),"",INDEX(J$1:J3060,SUMPRODUCT(MAX(ROW(E$1:E3060)*(E3061=E$1:E3060)))))</f>
        <v/>
      </c>
      <c r="L3061" s="25"/>
    </row>
    <row r="3062" spans="1:12" x14ac:dyDescent="0.2">
      <c r="A3062" t="s">
        <v>888</v>
      </c>
      <c r="E3062" s="20" t="str">
        <f t="shared" si="328"/>
        <v/>
      </c>
      <c r="F3062" s="21" t="str">
        <f>IF(OR(E3062="",E3062="!!!"),"",IF(NOT(ISNA(VLOOKUP(E3062,E$1:E3061,1,FALSE()))),"OLD",IF(AND(E3062&lt;&gt;"",E3062&lt;&gt;"!!!"),"NEW","")))</f>
        <v/>
      </c>
      <c r="G3062" s="22" t="str">
        <f>IF(OR(E3062="",E3062="!!!"),"",IF(OR(J3062=0,AND(J3062=1,K3062=1),AND(J3062=1,I3062="SBJ"),AND(J3062=1,I3062=0)),"?IN_FOCUS",IF(J3062&lt;=2,"?ACTIVATED",IF(J3062&lt;&gt;"","?FAMILIAR",IF(F3062="NEW",IF(ISNA(VLOOKUP(E3062,#REF!,1,FALSE())),"?TYPE_IDENTIFIABLE","?REFERENTIAL"),"_")))))</f>
        <v/>
      </c>
      <c r="H3062" s="23" t="str">
        <f t="shared" ca="1" si="329"/>
        <v/>
      </c>
      <c r="I3062" s="24" t="str">
        <f>IF(OR(E3062="",E3062="!!!",F3062="NEW"),"",INDEX(B$2:B3061,-1+SUMPRODUCT(MAX(ROW(E$2:E3061)*(E3062=E$2:E3061)))))</f>
        <v/>
      </c>
      <c r="J3062" s="24" t="str">
        <f ca="1">IF(OR(E3062="",E3062="!!!",F3062="NEW"),"",COUNTBLANK(OFFSET(A$1,,,SUMPRODUCT(MAX(ROW(E$2:E3062)*(E3062=E$2:E3062)))))-COUNTBLANK(OFFSET(A$1,,,SUMPRODUCT(MAX(ROW(E$1:E3061)*(E2=E$1:E3061))))))</f>
        <v/>
      </c>
      <c r="K3062" s="24" t="str">
        <f>IF(OR(E3062="",E3062="!!!",F3062="NEW"),"",INDEX(J$1:J3061,SUMPRODUCT(MAX(ROW(E$1:E3061)*(E3062=E$1:E3061)))))</f>
        <v/>
      </c>
      <c r="L3062" s="25"/>
    </row>
    <row r="3063" spans="1:12" x14ac:dyDescent="0.2">
      <c r="A3063" t="s">
        <v>1288</v>
      </c>
      <c r="E3063" s="20" t="str">
        <f t="shared" si="328"/>
        <v/>
      </c>
      <c r="F3063" s="21" t="str">
        <f>IF(OR(E3063="",E3063="!!!"),"",IF(NOT(ISNA(VLOOKUP(E3063,E$1:E3062,1,FALSE()))),"OLD",IF(AND(E3063&lt;&gt;"",E3063&lt;&gt;"!!!"),"NEW","")))</f>
        <v/>
      </c>
      <c r="G3063" s="22" t="str">
        <f>IF(OR(E3063="",E3063="!!!"),"",IF(OR(J3063=0,AND(J3063=1,K3063=1),AND(J3063=1,I3063="SBJ"),AND(J3063=1,I3063=0)),"?IN_FOCUS",IF(J3063&lt;=2,"?ACTIVATED",IF(J3063&lt;&gt;"","?FAMILIAR",IF(F3063="NEW",IF(ISNA(VLOOKUP(E3063,#REF!,1,FALSE())),"?TYPE_IDENTIFIABLE","?REFERENTIAL"),"_")))))</f>
        <v/>
      </c>
      <c r="H3063" s="23" t="str">
        <f t="shared" ca="1" si="329"/>
        <v/>
      </c>
      <c r="I3063" s="24" t="str">
        <f>IF(OR(E3063="",E3063="!!!",F3063="NEW"),"",INDEX(B$2:B3062,-1+SUMPRODUCT(MAX(ROW(E$2:E3062)*(E3063=E$2:E3062)))))</f>
        <v/>
      </c>
      <c r="J3063" s="24" t="str">
        <f ca="1">IF(OR(E3063="",E3063="!!!",F3063="NEW"),"",COUNTBLANK(OFFSET(A$1,,,SUMPRODUCT(MAX(ROW(E$2:E3063)*(E3063=E$2:E3063)))))-COUNTBLANK(OFFSET(A$1,,,SUMPRODUCT(MAX(ROW(E$1:E3062)*(E2=E$1:E3062))))))</f>
        <v/>
      </c>
      <c r="K3063" s="24" t="str">
        <f>IF(OR(E3063="",E3063="!!!",F3063="NEW"),"",INDEX(J$1:J3062,SUMPRODUCT(MAX(ROW(E$1:E3062)*(E3063=E$1:E3062)))))</f>
        <v/>
      </c>
      <c r="L3063" s="25"/>
    </row>
    <row r="3064" spans="1:12" x14ac:dyDescent="0.2">
      <c r="A3064" t="s">
        <v>1667</v>
      </c>
      <c r="E3064" s="20" t="str">
        <f t="shared" si="328"/>
        <v/>
      </c>
      <c r="F3064" s="21" t="str">
        <f>IF(OR(E3064="",E3064="!!!"),"",IF(NOT(ISNA(VLOOKUP(E3064,E$1:E3063,1,FALSE()))),"OLD",IF(AND(E3064&lt;&gt;"",E3064&lt;&gt;"!!!"),"NEW","")))</f>
        <v/>
      </c>
      <c r="G3064" s="22" t="str">
        <f>IF(OR(E3064="",E3064="!!!"),"",IF(OR(J3064=0,AND(J3064=1,K3064=1),AND(J3064=1,I3064="SBJ"),AND(J3064=1,I3064=0)),"?IN_FOCUS",IF(J3064&lt;=2,"?ACTIVATED",IF(J3064&lt;&gt;"","?FAMILIAR",IF(F3064="NEW",IF(ISNA(VLOOKUP(E3064,#REF!,1,FALSE())),"?TYPE_IDENTIFIABLE","?REFERENTIAL"),"_")))))</f>
        <v/>
      </c>
      <c r="H3064" s="23" t="str">
        <f t="shared" ca="1" si="329"/>
        <v/>
      </c>
      <c r="I3064" s="24" t="str">
        <f>IF(OR(E3064="",E3064="!!!",F3064="NEW"),"",INDEX(B$2:B3063,-1+SUMPRODUCT(MAX(ROW(E$2:E3063)*(E3064=E$2:E3063)))))</f>
        <v/>
      </c>
      <c r="J3064" s="24" t="str">
        <f ca="1">IF(OR(E3064="",E3064="!!!",F3064="NEW"),"",COUNTBLANK(OFFSET(A$1,,,SUMPRODUCT(MAX(ROW(E$2:E3064)*(E3064=E$2:E3064)))))-COUNTBLANK(OFFSET(A$1,,,SUMPRODUCT(MAX(ROW(E$1:E3063)*(E2=E$1:E3063))))))</f>
        <v/>
      </c>
      <c r="K3064" s="24" t="str">
        <f>IF(OR(E3064="",E3064="!!!",F3064="NEW"),"",INDEX(J$1:J3063,SUMPRODUCT(MAX(ROW(E$1:E3063)*(E3064=E$1:E3063)))))</f>
        <v/>
      </c>
      <c r="L3064" s="25"/>
    </row>
    <row r="3065" spans="1:12" x14ac:dyDescent="0.2">
      <c r="A3065" t="s">
        <v>1668</v>
      </c>
      <c r="B3065" s="26" t="s">
        <v>819</v>
      </c>
      <c r="C3065" s="26" t="s">
        <v>814</v>
      </c>
      <c r="E3065" s="20" t="str">
        <f t="shared" si="328"/>
        <v/>
      </c>
      <c r="F3065" s="21" t="str">
        <f>IF(OR(E3065="",E3065="!!!"),"",IF(NOT(ISNA(VLOOKUP(E3065,E$1:E3064,1,FALSE()))),"OLD",IF(AND(E3065&lt;&gt;"",E3065&lt;&gt;"!!!"),"NEW","")))</f>
        <v/>
      </c>
      <c r="G3065" s="22" t="str">
        <f>IF(OR(E3065="",E3065="!!!"),"",IF(OR(J3065=0,AND(J3065=1,K3065=1),AND(J3065=1,I3065="SBJ"),AND(J3065=1,I3065=0)),"?IN_FOCUS",IF(J3065&lt;=2,"?ACTIVATED",IF(J3065&lt;&gt;"","?FAMILIAR",IF(F3065="NEW",IF(ISNA(VLOOKUP(E3065,#REF!,1,FALSE())),"?TYPE_IDENTIFIABLE","?REFERENTIAL"),"_")))))</f>
        <v/>
      </c>
      <c r="H3065" s="23" t="str">
        <f t="shared" ca="1" si="329"/>
        <v/>
      </c>
      <c r="I3065" s="24" t="str">
        <f>IF(OR(E3065="",E3065="!!!",F3065="NEW"),"",INDEX(B$2:B3064,-1+SUMPRODUCT(MAX(ROW(E$2:E3064)*(E3065=E$2:E3064)))))</f>
        <v/>
      </c>
      <c r="J3065" s="24" t="str">
        <f ca="1">IF(OR(E3065="",E3065="!!!",F3065="NEW"),"",COUNTBLANK(OFFSET(A$1,,,SUMPRODUCT(MAX(ROW(E$2:E3065)*(E3065=E$2:E3065)))))-COUNTBLANK(OFFSET(A$1,,,SUMPRODUCT(MAX(ROW(E$1:E3064)*(E2=E$1:E3064))))))</f>
        <v/>
      </c>
      <c r="K3065" s="24" t="str">
        <f>IF(OR(E3065="",E3065="!!!",F3065="NEW"),"",INDEX(J$1:J3064,SUMPRODUCT(MAX(ROW(E$1:E3064)*(E3065=E$1:E3064)))))</f>
        <v/>
      </c>
      <c r="L3065" s="25"/>
    </row>
    <row r="3066" spans="1:12" x14ac:dyDescent="0.2">
      <c r="A3066" t="s">
        <v>1558</v>
      </c>
      <c r="E3066" s="20" t="str">
        <f t="shared" si="328"/>
        <v/>
      </c>
      <c r="F3066" s="21" t="str">
        <f>IF(OR(E3066="",E3066="!!!"),"",IF(NOT(ISNA(VLOOKUP(E3066,E$1:E3065,1,FALSE()))),"OLD",IF(AND(E3066&lt;&gt;"",E3066&lt;&gt;"!!!"),"NEW","")))</f>
        <v/>
      </c>
      <c r="G3066" s="22" t="str">
        <f>IF(OR(E3066="",E3066="!!!"),"",IF(OR(J3066=0,AND(J3066=1,K3066=1),AND(J3066=1,I3066="SBJ"),AND(J3066=1,I3066=0)),"?IN_FOCUS",IF(J3066&lt;=2,"?ACTIVATED",IF(J3066&lt;&gt;"","?FAMILIAR",IF(F3066="NEW",IF(ISNA(VLOOKUP(E3066,#REF!,1,FALSE())),"?TYPE_IDENTIFIABLE","?REFERENTIAL"),"_")))))</f>
        <v/>
      </c>
      <c r="H3066" s="23" t="str">
        <f t="shared" ca="1" si="329"/>
        <v/>
      </c>
      <c r="I3066" s="24" t="str">
        <f>IF(OR(E3066="",E3066="!!!",F3066="NEW"),"",INDEX(B$2:B3065,-1+SUMPRODUCT(MAX(ROW(E$2:E3065)*(E3066=E$2:E3065)))))</f>
        <v/>
      </c>
      <c r="J3066" s="24" t="str">
        <f ca="1">IF(OR(E3066="",E3066="!!!",F3066="NEW"),"",COUNTBLANK(OFFSET(A$1,,,SUMPRODUCT(MAX(ROW(E$2:E3066)*(E3066=E$2:E3066)))))-COUNTBLANK(OFFSET(A$1,,,SUMPRODUCT(MAX(ROW(E$1:E3065)*(E2=E$1:E3065))))))</f>
        <v/>
      </c>
      <c r="K3066" s="24" t="str">
        <f>IF(OR(E3066="",E3066="!!!",F3066="NEW"),"",INDEX(J$1:J3065,SUMPRODUCT(MAX(ROW(E$1:E3065)*(E3066=E$1:E3065)))))</f>
        <v/>
      </c>
      <c r="L3066" s="25"/>
    </row>
    <row r="3067" spans="1:12" x14ac:dyDescent="0.2">
      <c r="A3067" t="s">
        <v>1669</v>
      </c>
      <c r="E3067" s="20" t="str">
        <f t="shared" si="328"/>
        <v/>
      </c>
      <c r="F3067" s="21" t="str">
        <f>IF(OR(E3067="",E3067="!!!"),"",IF(NOT(ISNA(VLOOKUP(E3067,E$1:E3066,1,FALSE()))),"OLD",IF(AND(E3067&lt;&gt;"",E3067&lt;&gt;"!!!"),"NEW","")))</f>
        <v/>
      </c>
      <c r="G3067" s="22" t="str">
        <f>IF(OR(E3067="",E3067="!!!"),"",IF(OR(J3067=0,AND(J3067=1,K3067=1),AND(J3067=1,I3067="SBJ"),AND(J3067=1,I3067=0)),"?IN_FOCUS",IF(J3067&lt;=2,"?ACTIVATED",IF(J3067&lt;&gt;"","?FAMILIAR",IF(F3067="NEW",IF(ISNA(VLOOKUP(E3067,#REF!,1,FALSE())),"?TYPE_IDENTIFIABLE","?REFERENTIAL"),"_")))))</f>
        <v/>
      </c>
      <c r="H3067" s="23" t="str">
        <f t="shared" ca="1" si="329"/>
        <v/>
      </c>
      <c r="I3067" s="24" t="str">
        <f>IF(OR(E3067="",E3067="!!!",F3067="NEW"),"",INDEX(B$2:B3066,-1+SUMPRODUCT(MAX(ROW(E$2:E3066)*(E3067=E$2:E3066)))))</f>
        <v/>
      </c>
      <c r="J3067" s="24" t="str">
        <f ca="1">IF(OR(E3067="",E3067="!!!",F3067="NEW"),"",COUNTBLANK(OFFSET(A$1,,,SUMPRODUCT(MAX(ROW(E$2:E3067)*(E3067=E$2:E3067)))))-COUNTBLANK(OFFSET(A$1,,,SUMPRODUCT(MAX(ROW(E$1:E3066)*(E2=E$1:E3066))))))</f>
        <v/>
      </c>
      <c r="K3067" s="24" t="str">
        <f>IF(OR(E3067="",E3067="!!!",F3067="NEW"),"",INDEX(J$1:J3066,SUMPRODUCT(MAX(ROW(E$1:E3066)*(E3067=E$1:E3066)))))</f>
        <v/>
      </c>
      <c r="L3067" s="25"/>
    </row>
    <row r="3068" spans="1:12" x14ac:dyDescent="0.2">
      <c r="A3068" t="s">
        <v>889</v>
      </c>
      <c r="E3068" s="20" t="str">
        <f t="shared" si="328"/>
        <v/>
      </c>
      <c r="F3068" s="21" t="str">
        <f>IF(OR(E3068="",E3068="!!!"),"",IF(NOT(ISNA(VLOOKUP(E3068,E$1:E3067,1,FALSE()))),"OLD",IF(AND(E3068&lt;&gt;"",E3068&lt;&gt;"!!!"),"NEW","")))</f>
        <v/>
      </c>
      <c r="G3068" s="22" t="str">
        <f>IF(OR(E3068="",E3068="!!!"),"",IF(OR(J3068=0,AND(J3068=1,K3068=1),AND(J3068=1,I3068="SBJ"),AND(J3068=1,I3068=0)),"?IN_FOCUS",IF(J3068&lt;=2,"?ACTIVATED",IF(J3068&lt;&gt;"","?FAMILIAR",IF(F3068="NEW",IF(ISNA(VLOOKUP(E3068,#REF!,1,FALSE())),"?TYPE_IDENTIFIABLE","?REFERENTIAL"),"_")))))</f>
        <v/>
      </c>
      <c r="H3068" s="23" t="str">
        <f t="shared" ca="1" si="329"/>
        <v/>
      </c>
      <c r="I3068" s="24" t="str">
        <f>IF(OR(E3068="",E3068="!!!",F3068="NEW"),"",INDEX(B$2:B3067,-1+SUMPRODUCT(MAX(ROW(E$2:E3067)*(E3068=E$2:E3067)))))</f>
        <v/>
      </c>
      <c r="J3068" s="24" t="str">
        <f ca="1">IF(OR(E3068="",E3068="!!!",F3068="NEW"),"",COUNTBLANK(OFFSET(A$1,,,SUMPRODUCT(MAX(ROW(E$2:E3068)*(E3068=E$2:E3068)))))-COUNTBLANK(OFFSET(A$1,,,SUMPRODUCT(MAX(ROW(E$1:E3067)*(E2=E$1:E3067))))))</f>
        <v/>
      </c>
      <c r="K3068" s="24" t="str">
        <f>IF(OR(E3068="",E3068="!!!",F3068="NEW"),"",INDEX(J$1:J3067,SUMPRODUCT(MAX(ROW(E$1:E3067)*(E3068=E$1:E3067)))))</f>
        <v/>
      </c>
      <c r="L3068" s="25"/>
    </row>
    <row r="3069" spans="1:12" x14ac:dyDescent="0.2">
      <c r="A3069" t="s">
        <v>802</v>
      </c>
      <c r="E3069" s="20" t="str">
        <f t="shared" si="328"/>
        <v/>
      </c>
      <c r="F3069" s="21" t="str">
        <f>IF(OR(E3069="",E3069="!!!"),"",IF(NOT(ISNA(VLOOKUP(E3069,E$1:E3068,1,FALSE()))),"OLD",IF(AND(E3069&lt;&gt;"",E3069&lt;&gt;"!!!"),"NEW","")))</f>
        <v/>
      </c>
      <c r="G3069" s="22" t="str">
        <f>IF(OR(E3069="",E3069="!!!"),"",IF(OR(J3069=0,AND(J3069=1,K3069=1),AND(J3069=1,I3069="SBJ"),AND(J3069=1,I3069=0)),"?IN_FOCUS",IF(J3069&lt;=2,"?ACTIVATED",IF(J3069&lt;&gt;"","?FAMILIAR",IF(F3069="NEW",IF(ISNA(VLOOKUP(E3069,#REF!,1,FALSE())),"?TYPE_IDENTIFIABLE","?REFERENTIAL"),"_")))))</f>
        <v/>
      </c>
      <c r="H3069" s="23" t="str">
        <f t="shared" ca="1" si="329"/>
        <v/>
      </c>
      <c r="I3069" s="24" t="str">
        <f>IF(OR(E3069="",E3069="!!!",F3069="NEW"),"",INDEX(B$2:B3068,-1+SUMPRODUCT(MAX(ROW(E$2:E3068)*(E3069=E$2:E3068)))))</f>
        <v/>
      </c>
      <c r="J3069" s="24" t="str">
        <f ca="1">IF(OR(E3069="",E3069="!!!",F3069="NEW"),"",COUNTBLANK(OFFSET(A$1,,,SUMPRODUCT(MAX(ROW(E$2:E3069)*(E3069=E$2:E3069)))))-COUNTBLANK(OFFSET(A$1,,,SUMPRODUCT(MAX(ROW(E$1:E3068)*(E2=E$1:E3068))))))</f>
        <v/>
      </c>
      <c r="K3069" s="24" t="str">
        <f>IF(OR(E3069="",E3069="!!!",F3069="NEW"),"",INDEX(J$1:J3068,SUMPRODUCT(MAX(ROW(E$1:E3068)*(E3069=E$1:E3068)))))</f>
        <v/>
      </c>
      <c r="L3069" s="25"/>
    </row>
    <row r="3070" spans="1:12" x14ac:dyDescent="0.2">
      <c r="A3070" t="s">
        <v>902</v>
      </c>
      <c r="E3070" s="20" t="str">
        <f t="shared" si="328"/>
        <v/>
      </c>
      <c r="F3070" s="21" t="str">
        <f>IF(OR(E3070="",E3070="!!!"),"",IF(NOT(ISNA(VLOOKUP(E3070,E$1:E3069,1,FALSE()))),"OLD",IF(AND(E3070&lt;&gt;"",E3070&lt;&gt;"!!!"),"NEW","")))</f>
        <v/>
      </c>
      <c r="G3070" s="22" t="str">
        <f>IF(OR(E3070="",E3070="!!!"),"",IF(OR(J3070=0,AND(J3070=1,K3070=1),AND(J3070=1,I3070="SBJ"),AND(J3070=1,I3070=0)),"?IN_FOCUS",IF(J3070&lt;=2,"?ACTIVATED",IF(J3070&lt;&gt;"","?FAMILIAR",IF(F3070="NEW",IF(ISNA(VLOOKUP(E3070,#REF!,1,FALSE())),"?TYPE_IDENTIFIABLE","?REFERENTIAL"),"_")))))</f>
        <v/>
      </c>
      <c r="H3070" s="23" t="str">
        <f t="shared" ca="1" si="329"/>
        <v/>
      </c>
      <c r="I3070" s="24" t="str">
        <f>IF(OR(E3070="",E3070="!!!",F3070="NEW"),"",INDEX(B$2:B3069,-1+SUMPRODUCT(MAX(ROW(E$2:E3069)*(E3070=E$2:E3069)))))</f>
        <v/>
      </c>
      <c r="J3070" s="24" t="str">
        <f ca="1">IF(OR(E3070="",E3070="!!!",F3070="NEW"),"",COUNTBLANK(OFFSET(A$1,,,SUMPRODUCT(MAX(ROW(E$2:E3070)*(E3070=E$2:E3070)))))-COUNTBLANK(OFFSET(A$1,,,SUMPRODUCT(MAX(ROW(E$1:E3069)*(E2=E$1:E3069))))))</f>
        <v/>
      </c>
      <c r="K3070" s="24" t="str">
        <f>IF(OR(E3070="",E3070="!!!",F3070="NEW"),"",INDEX(J$1:J3069,SUMPRODUCT(MAX(ROW(E$1:E3069)*(E3070=E$1:E3069)))))</f>
        <v/>
      </c>
      <c r="L3070" s="25"/>
    </row>
    <row r="3071" spans="1:12" x14ac:dyDescent="0.2">
      <c r="A3071" t="s">
        <v>1670</v>
      </c>
      <c r="E3071" s="20" t="str">
        <f t="shared" si="328"/>
        <v/>
      </c>
      <c r="F3071" s="21" t="str">
        <f>IF(OR(E3071="",E3071="!!!"),"",IF(NOT(ISNA(VLOOKUP(E3071,E$1:E3070,1,FALSE()))),"OLD",IF(AND(E3071&lt;&gt;"",E3071&lt;&gt;"!!!"),"NEW","")))</f>
        <v/>
      </c>
      <c r="G3071" s="22" t="str">
        <f>IF(OR(E3071="",E3071="!!!"),"",IF(OR(J3071=0,AND(J3071=1,K3071=1),AND(J3071=1,I3071="SBJ"),AND(J3071=1,I3071=0)),"?IN_FOCUS",IF(J3071&lt;=2,"?ACTIVATED",IF(J3071&lt;&gt;"","?FAMILIAR",IF(F3071="NEW",IF(ISNA(VLOOKUP(E3071,#REF!,1,FALSE())),"?TYPE_IDENTIFIABLE","?REFERENTIAL"),"_")))))</f>
        <v/>
      </c>
      <c r="H3071" s="23" t="str">
        <f t="shared" ca="1" si="329"/>
        <v/>
      </c>
      <c r="I3071" s="24" t="str">
        <f>IF(OR(E3071="",E3071="!!!",F3071="NEW"),"",INDEX(B$2:B3070,-1+SUMPRODUCT(MAX(ROW(E$2:E3070)*(E3071=E$2:E3070)))))</f>
        <v/>
      </c>
      <c r="J3071" s="24" t="str">
        <f ca="1">IF(OR(E3071="",E3071="!!!",F3071="NEW"),"",COUNTBLANK(OFFSET(A$1,,,SUMPRODUCT(MAX(ROW(E$2:E3071)*(E3071=E$2:E3071)))))-COUNTBLANK(OFFSET(A$1,,,SUMPRODUCT(MAX(ROW(E$1:E3070)*(E2=E$1:E3070))))))</f>
        <v/>
      </c>
      <c r="K3071" s="24" t="str">
        <f>IF(OR(E3071="",E3071="!!!",F3071="NEW"),"",INDEX(J$1:J3070,SUMPRODUCT(MAX(ROW(E$1:E3070)*(E3071=E$1:E3070)))))</f>
        <v/>
      </c>
      <c r="L3071" s="25"/>
    </row>
    <row r="3072" spans="1:12" x14ac:dyDescent="0.2">
      <c r="A3072" t="s">
        <v>919</v>
      </c>
      <c r="B3072" s="26" t="s">
        <v>891</v>
      </c>
      <c r="C3072" s="26" t="s">
        <v>805</v>
      </c>
      <c r="D3072" s="26" t="s">
        <v>806</v>
      </c>
      <c r="E3072" s="20" t="s">
        <v>1668</v>
      </c>
      <c r="F3072" s="21" t="str">
        <f>IF(OR(E3072="",E3072="!!!"),"",IF(NOT(ISNA(VLOOKUP(E3072,E$1:E3071,1,FALSE()))),"OLD",IF(AND(E3072&lt;&gt;"",E3072&lt;&gt;"!!!"),"NEW","")))</f>
        <v>NEW</v>
      </c>
      <c r="G3072" s="22" t="s">
        <v>1823</v>
      </c>
      <c r="H3072" s="23" t="str">
        <f t="shared" ca="1" si="329"/>
        <v/>
      </c>
      <c r="I3072" s="24" t="str">
        <f>IF(OR(E3072="",E3072="!!!",F3072="NEW"),"",INDEX(B$2:B3071,-1+SUMPRODUCT(MAX(ROW(E$2:E3071)*(E3072=E$2:E3071)))))</f>
        <v/>
      </c>
      <c r="J3072" s="24" t="str">
        <f ca="1">IF(OR(E3072="",E3072="!!!",F3072="NEW"),"",COUNTBLANK(OFFSET(A$1,,,SUMPRODUCT(MAX(ROW(E$2:E3072)*(E3072=E$2:E3072)))))-COUNTBLANK(OFFSET(A$1,,,SUMPRODUCT(MAX(ROW(E$1:E3071)*(E2=E$1:E3071))))))</f>
        <v/>
      </c>
      <c r="K3072" s="24" t="str">
        <f>IF(OR(E3072="",E3072="!!!",F3072="NEW"),"",INDEX(J$1:J3071,SUMPRODUCT(MAX(ROW(E$1:E3071)*(E3072=E$1:E3071)))))</f>
        <v/>
      </c>
      <c r="L3072" s="25"/>
    </row>
    <row r="3073" spans="1:12" x14ac:dyDescent="0.2">
      <c r="A3073" t="s">
        <v>977</v>
      </c>
      <c r="E3073" s="20" t="str">
        <f t="shared" si="328"/>
        <v/>
      </c>
      <c r="F3073" s="21" t="str">
        <f>IF(OR(E3073="",E3073="!!!"),"",IF(NOT(ISNA(VLOOKUP(E3073,E$1:E3072,1,FALSE()))),"OLD",IF(AND(E3073&lt;&gt;"",E3073&lt;&gt;"!!!"),"NEW","")))</f>
        <v/>
      </c>
      <c r="G3073" s="22" t="str">
        <f>IF(OR(E3073="",E3073="!!!"),"",IF(OR(J3073=0,AND(J3073=1,K3073=1),AND(J3073=1,I3073="SBJ"),AND(J3073=1,I3073=0)),"?IN_FOCUS",IF(J3073&lt;=2,"?ACTIVATED",IF(J3073&lt;&gt;"","?FAMILIAR",IF(F3073="NEW",IF(ISNA(VLOOKUP(E3073,#REF!,1,FALSE())),"?TYPE_IDENTIFIABLE","?REFERENTIAL"),"_")))))</f>
        <v/>
      </c>
      <c r="H3073" s="23" t="str">
        <f t="shared" ca="1" si="329"/>
        <v/>
      </c>
      <c r="I3073" s="24" t="str">
        <f>IF(OR(E3073="",E3073="!!!",F3073="NEW"),"",INDEX(B$2:B3072,-1+SUMPRODUCT(MAX(ROW(E$2:E3072)*(E3073=E$2:E3072)))))</f>
        <v/>
      </c>
      <c r="J3073" s="24" t="str">
        <f ca="1">IF(OR(E3073="",E3073="!!!",F3073="NEW"),"",COUNTBLANK(OFFSET(A$1,,,SUMPRODUCT(MAX(ROW(E$2:E3073)*(E3073=E$2:E3073)))))-COUNTBLANK(OFFSET(A$1,,,SUMPRODUCT(MAX(ROW(E$1:E3072)*(E2=E$1:E3072))))))</f>
        <v/>
      </c>
      <c r="K3073" s="24" t="str">
        <f>IF(OR(E3073="",E3073="!!!",F3073="NEW"),"",INDEX(J$1:J3072,SUMPRODUCT(MAX(ROW(E$1:E3072)*(E3073=E$1:E3072)))))</f>
        <v/>
      </c>
      <c r="L3073" s="25"/>
    </row>
    <row r="3074" spans="1:12" x14ac:dyDescent="0.2">
      <c r="A3074" t="s">
        <v>1049</v>
      </c>
      <c r="E3074" s="20" t="str">
        <f t="shared" si="328"/>
        <v/>
      </c>
      <c r="F3074" s="21" t="str">
        <f>IF(OR(E3074="",E3074="!!!"),"",IF(NOT(ISNA(VLOOKUP(E3074,E$1:E3073,1,FALSE()))),"OLD",IF(AND(E3074&lt;&gt;"",E3074&lt;&gt;"!!!"),"NEW","")))</f>
        <v/>
      </c>
      <c r="G3074" s="22" t="str">
        <f>IF(OR(E3074="",E3074="!!!"),"",IF(OR(J3074=0,AND(J3074=1,K3074=1),AND(J3074=1,I3074="SBJ"),AND(J3074=1,I3074=0)),"?IN_FOCUS",IF(J3074&lt;=2,"?ACTIVATED",IF(J3074&lt;&gt;"","?FAMILIAR",IF(F3074="NEW",IF(ISNA(VLOOKUP(E3074,#REF!,1,FALSE())),"?TYPE_IDENTIFIABLE","?REFERENTIAL"),"_")))))</f>
        <v/>
      </c>
      <c r="H3074" s="23" t="str">
        <f t="shared" ca="1" si="329"/>
        <v/>
      </c>
      <c r="I3074" s="24" t="str">
        <f>IF(OR(E3074="",E3074="!!!",F3074="NEW"),"",INDEX(B$2:B3073,-1+SUMPRODUCT(MAX(ROW(E$2:E3073)*(E3074=E$2:E3073)))))</f>
        <v/>
      </c>
      <c r="J3074" s="24" t="str">
        <f ca="1">IF(OR(E3074="",E3074="!!!",F3074="NEW"),"",COUNTBLANK(OFFSET(A$1,,,SUMPRODUCT(MAX(ROW(E$2:E3074)*(E3074=E$2:E3074)))))-COUNTBLANK(OFFSET(A$1,,,SUMPRODUCT(MAX(ROW(E$1:E3073)*(E2=E$1:E3073))))))</f>
        <v/>
      </c>
      <c r="K3074" s="24" t="str">
        <f>IF(OR(E3074="",E3074="!!!",F3074="NEW"),"",INDEX(J$1:J3073,SUMPRODUCT(MAX(ROW(E$1:E3073)*(E3074=E$1:E3073)))))</f>
        <v/>
      </c>
      <c r="L3074" s="25"/>
    </row>
    <row r="3075" spans="1:12" x14ac:dyDescent="0.2">
      <c r="A3075" t="s">
        <v>832</v>
      </c>
      <c r="E3075" s="20" t="str">
        <f t="shared" si="328"/>
        <v/>
      </c>
      <c r="F3075" s="21" t="str">
        <f>IF(OR(E3075="",E3075="!!!"),"",IF(NOT(ISNA(VLOOKUP(E3075,E$1:E3074,1,FALSE()))),"OLD",IF(AND(E3075&lt;&gt;"",E3075&lt;&gt;"!!!"),"NEW","")))</f>
        <v/>
      </c>
      <c r="G3075" s="22" t="str">
        <f>IF(OR(E3075="",E3075="!!!"),"",IF(OR(J3075=0,AND(J3075=1,K3075=1),AND(J3075=1,I3075="SBJ"),AND(J3075=1,I3075=0)),"?IN_FOCUS",IF(J3075&lt;=2,"?ACTIVATED",IF(J3075&lt;&gt;"","?FAMILIAR",IF(F3075="NEW",IF(ISNA(VLOOKUP(E3075,#REF!,1,FALSE())),"?TYPE_IDENTIFIABLE","?REFERENTIAL"),"_")))))</f>
        <v/>
      </c>
      <c r="H3075" s="23" t="str">
        <f t="shared" ca="1" si="329"/>
        <v/>
      </c>
      <c r="I3075" s="24" t="str">
        <f>IF(OR(E3075="",E3075="!!!",F3075="NEW"),"",INDEX(B$2:B3074,-1+SUMPRODUCT(MAX(ROW(E$2:E3074)*(E3075=E$2:E3074)))))</f>
        <v/>
      </c>
      <c r="J3075" s="24" t="str">
        <f ca="1">IF(OR(E3075="",E3075="!!!",F3075="NEW"),"",COUNTBLANK(OFFSET(A$1,,,SUMPRODUCT(MAX(ROW(E$2:E3075)*(E3075=E$2:E3075)))))-COUNTBLANK(OFFSET(A$1,,,SUMPRODUCT(MAX(ROW(E$1:E3074)*(E2=E$1:E3074))))))</f>
        <v/>
      </c>
      <c r="K3075" s="24" t="str">
        <f>IF(OR(E3075="",E3075="!!!",F3075="NEW"),"",INDEX(J$1:J3074,SUMPRODUCT(MAX(ROW(E$1:E3074)*(E3075=E$1:E3074)))))</f>
        <v/>
      </c>
      <c r="L3075" s="25"/>
    </row>
    <row r="3076" spans="1:12" x14ac:dyDescent="0.2">
      <c r="A3076" t="s">
        <v>1081</v>
      </c>
      <c r="B3076" s="26" t="s">
        <v>871</v>
      </c>
      <c r="C3076" s="26" t="s">
        <v>814</v>
      </c>
      <c r="E3076" s="20" t="str">
        <f t="shared" si="328"/>
        <v/>
      </c>
      <c r="F3076" s="21" t="str">
        <f>IF(OR(E3076="",E3076="!!!"),"",IF(NOT(ISNA(VLOOKUP(E3076,E$1:E3075,1,FALSE()))),"OLD",IF(AND(E3076&lt;&gt;"",E3076&lt;&gt;"!!!"),"NEW","")))</f>
        <v/>
      </c>
      <c r="G3076" s="22" t="str">
        <f>IF(OR(E3076="",E3076="!!!"),"",IF(OR(J3076=0,AND(J3076=1,K3076=1),AND(J3076=1,I3076="SBJ"),AND(J3076=1,I3076=0)),"?IN_FOCUS",IF(J3076&lt;=2,"?ACTIVATED",IF(J3076&lt;&gt;"","?FAMILIAR",IF(F3076="NEW",IF(ISNA(VLOOKUP(E3076,#REF!,1,FALSE())),"?TYPE_IDENTIFIABLE","?REFERENTIAL"),"_")))))</f>
        <v/>
      </c>
      <c r="H3076" s="23" t="str">
        <f t="shared" ca="1" si="329"/>
        <v/>
      </c>
      <c r="I3076" s="24" t="str">
        <f>IF(OR(E3076="",E3076="!!!",F3076="NEW"),"",INDEX(B$2:B3075,-1+SUMPRODUCT(MAX(ROW(E$2:E3075)*(E3076=E$2:E3075)))))</f>
        <v/>
      </c>
      <c r="J3076" s="24" t="str">
        <f ca="1">IF(OR(E3076="",E3076="!!!",F3076="NEW"),"",COUNTBLANK(OFFSET(A$1,,,SUMPRODUCT(MAX(ROW(E$2:E3076)*(E3076=E$2:E3076)))))-COUNTBLANK(OFFSET(A$1,,,SUMPRODUCT(MAX(ROW(E$1:E3075)*(E2=E$1:E3075))))))</f>
        <v/>
      </c>
      <c r="K3076" s="24" t="str">
        <f>IF(OR(E3076="",E3076="!!!",F3076="NEW"),"",INDEX(J$1:J3075,SUMPRODUCT(MAX(ROW(E$1:E3075)*(E3076=E$1:E3075)))))</f>
        <v/>
      </c>
      <c r="L3076" s="25"/>
    </row>
    <row r="3077" spans="1:12" x14ac:dyDescent="0.2">
      <c r="A3077" t="s">
        <v>832</v>
      </c>
      <c r="E3077" s="20" t="str">
        <f t="shared" si="328"/>
        <v/>
      </c>
      <c r="F3077" s="21" t="str">
        <f>IF(OR(E3077="",E3077="!!!"),"",IF(NOT(ISNA(VLOOKUP(E3077,E$1:E3076,1,FALSE()))),"OLD",IF(AND(E3077&lt;&gt;"",E3077&lt;&gt;"!!!"),"NEW","")))</f>
        <v/>
      </c>
      <c r="G3077" s="22" t="str">
        <f>IF(OR(E3077="",E3077="!!!"),"",IF(OR(J3077=0,AND(J3077=1,K3077=1),AND(J3077=1,I3077="SBJ"),AND(J3077=1,I3077=0)),"?IN_FOCUS",IF(J3077&lt;=2,"?ACTIVATED",IF(J3077&lt;&gt;"","?FAMILIAR",IF(F3077="NEW",IF(ISNA(VLOOKUP(E3077,#REF!,1,FALSE())),"?TYPE_IDENTIFIABLE","?REFERENTIAL"),"_")))))</f>
        <v/>
      </c>
      <c r="H3077" s="23" t="str">
        <f t="shared" ca="1" si="329"/>
        <v/>
      </c>
      <c r="I3077" s="24" t="str">
        <f>IF(OR(E3077="",E3077="!!!",F3077="NEW"),"",INDEX(B$2:B3076,-1+SUMPRODUCT(MAX(ROW(E$2:E3076)*(E3077=E$2:E3076)))))</f>
        <v/>
      </c>
      <c r="J3077" s="24" t="str">
        <f ca="1">IF(OR(E3077="",E3077="!!!",F3077="NEW"),"",COUNTBLANK(OFFSET(A$1,,,SUMPRODUCT(MAX(ROW(E$2:E3077)*(E3077=E$2:E3077)))))-COUNTBLANK(OFFSET(A$1,,,SUMPRODUCT(MAX(ROW(E$1:E3076)*(E2=E$1:E3076))))))</f>
        <v/>
      </c>
      <c r="K3077" s="24" t="str">
        <f>IF(OR(E3077="",E3077="!!!",F3077="NEW"),"",INDEX(J$1:J3076,SUMPRODUCT(MAX(ROW(E$1:E3076)*(E3077=E$1:E3076)))))</f>
        <v/>
      </c>
      <c r="L3077" s="25"/>
    </row>
    <row r="3078" spans="1:12" x14ac:dyDescent="0.2">
      <c r="A3078" t="s">
        <v>1671</v>
      </c>
      <c r="E3078" s="20" t="str">
        <f t="shared" si="328"/>
        <v/>
      </c>
      <c r="F3078" s="21" t="str">
        <f>IF(OR(E3078="",E3078="!!!"),"",IF(NOT(ISNA(VLOOKUP(E3078,E$1:E3077,1,FALSE()))),"OLD",IF(AND(E3078&lt;&gt;"",E3078&lt;&gt;"!!!"),"NEW","")))</f>
        <v/>
      </c>
      <c r="G3078" s="22" t="str">
        <f>IF(OR(E3078="",E3078="!!!"),"",IF(OR(J3078=0,AND(J3078=1,K3078=1),AND(J3078=1,I3078="SBJ"),AND(J3078=1,I3078=0)),"?IN_FOCUS",IF(J3078&lt;=2,"?ACTIVATED",IF(J3078&lt;&gt;"","?FAMILIAR",IF(F3078="NEW",IF(ISNA(VLOOKUP(E3078,#REF!,1,FALSE())),"?TYPE_IDENTIFIABLE","?REFERENTIAL"),"_")))))</f>
        <v/>
      </c>
      <c r="H3078" s="23" t="str">
        <f t="shared" ca="1" si="329"/>
        <v/>
      </c>
      <c r="I3078" s="24" t="str">
        <f>IF(OR(E3078="",E3078="!!!",F3078="NEW"),"",INDEX(B$2:B3077,-1+SUMPRODUCT(MAX(ROW(E$2:E3077)*(E3078=E$2:E3077)))))</f>
        <v/>
      </c>
      <c r="J3078" s="24" t="str">
        <f ca="1">IF(OR(E3078="",E3078="!!!",F3078="NEW"),"",COUNTBLANK(OFFSET(A$1,,,SUMPRODUCT(MAX(ROW(E$2:E3078)*(E3078=E$2:E3078)))))-COUNTBLANK(OFFSET(A$1,,,SUMPRODUCT(MAX(ROW(E$1:E3077)*(E2=E$1:E3077))))))</f>
        <v/>
      </c>
      <c r="K3078" s="24" t="str">
        <f>IF(OR(E3078="",E3078="!!!",F3078="NEW"),"",INDEX(J$1:J3077,SUMPRODUCT(MAX(ROW(E$1:E3077)*(E3078=E$1:E3077)))))</f>
        <v/>
      </c>
      <c r="L3078" s="25"/>
    </row>
    <row r="3079" spans="1:12" x14ac:dyDescent="0.2">
      <c r="A3079" t="s">
        <v>802</v>
      </c>
      <c r="E3079" s="20" t="str">
        <f t="shared" si="328"/>
        <v/>
      </c>
      <c r="F3079" s="21" t="str">
        <f>IF(OR(E3079="",E3079="!!!"),"",IF(NOT(ISNA(VLOOKUP(E3079,E$1:E3078,1,FALSE()))),"OLD",IF(AND(E3079&lt;&gt;"",E3079&lt;&gt;"!!!"),"NEW","")))</f>
        <v/>
      </c>
      <c r="G3079" s="22" t="str">
        <f>IF(OR(E3079="",E3079="!!!"),"",IF(OR(J3079=0,AND(J3079=1,K3079=1),AND(J3079=1,I3079="SBJ"),AND(J3079=1,I3079=0)),"?IN_FOCUS",IF(J3079&lt;=2,"?ACTIVATED",IF(J3079&lt;&gt;"","?FAMILIAR",IF(F3079="NEW",IF(ISNA(VLOOKUP(E3079,#REF!,1,FALSE())),"?TYPE_IDENTIFIABLE","?REFERENTIAL"),"_")))))</f>
        <v/>
      </c>
      <c r="H3079" s="23" t="str">
        <f t="shared" ca="1" si="329"/>
        <v/>
      </c>
      <c r="I3079" s="24" t="str">
        <f>IF(OR(E3079="",E3079="!!!",F3079="NEW"),"",INDEX(B$2:B3078,-1+SUMPRODUCT(MAX(ROW(E$2:E3078)*(E3079=E$2:E3078)))))</f>
        <v/>
      </c>
      <c r="J3079" s="24" t="str">
        <f ca="1">IF(OR(E3079="",E3079="!!!",F3079="NEW"),"",COUNTBLANK(OFFSET(A$1,,,SUMPRODUCT(MAX(ROW(E$2:E3079)*(E3079=E$2:E3079)))))-COUNTBLANK(OFFSET(A$1,,,SUMPRODUCT(MAX(ROW(E$1:E3078)*(E2=E$1:E3078))))))</f>
        <v/>
      </c>
      <c r="K3079" s="24" t="str">
        <f>IF(OR(E3079="",E3079="!!!",F3079="NEW"),"",INDEX(J$1:J3078,SUMPRODUCT(MAX(ROW(E$1:E3078)*(E3079=E$1:E3078)))))</f>
        <v/>
      </c>
      <c r="L3079" s="25"/>
    </row>
    <row r="3080" spans="1:12" x14ac:dyDescent="0.2">
      <c r="A3080" t="s">
        <v>1345</v>
      </c>
      <c r="E3080" s="20" t="str">
        <f t="shared" si="328"/>
        <v/>
      </c>
      <c r="F3080" s="21" t="str">
        <f>IF(OR(E3080="",E3080="!!!"),"",IF(NOT(ISNA(VLOOKUP(E3080,E$1:E3079,1,FALSE()))),"OLD",IF(AND(E3080&lt;&gt;"",E3080&lt;&gt;"!!!"),"NEW","")))</f>
        <v/>
      </c>
      <c r="G3080" s="22" t="str">
        <f>IF(OR(E3080="",E3080="!!!"),"",IF(OR(J3080=0,AND(J3080=1,K3080=1),AND(J3080=1,I3080="SBJ"),AND(J3080=1,I3080=0)),"?IN_FOCUS",IF(J3080&lt;=2,"?ACTIVATED",IF(J3080&lt;&gt;"","?FAMILIAR",IF(F3080="NEW",IF(ISNA(VLOOKUP(E3080,#REF!,1,FALSE())),"?TYPE_IDENTIFIABLE","?REFERENTIAL"),"_")))))</f>
        <v/>
      </c>
      <c r="H3080" s="23" t="str">
        <f t="shared" ca="1" si="329"/>
        <v/>
      </c>
      <c r="I3080" s="24" t="str">
        <f>IF(OR(E3080="",E3080="!!!",F3080="NEW"),"",INDEX(B$2:B3079,-1+SUMPRODUCT(MAX(ROW(E$2:E3079)*(E3080=E$2:E3079)))))</f>
        <v/>
      </c>
      <c r="J3080" s="24" t="str">
        <f ca="1">IF(OR(E3080="",E3080="!!!",F3080="NEW"),"",COUNTBLANK(OFFSET(A$1,,,SUMPRODUCT(MAX(ROW(E$2:E3080)*(E3080=E$2:E3080)))))-COUNTBLANK(OFFSET(A$1,,,SUMPRODUCT(MAX(ROW(E$1:E3079)*(E2=E$1:E3079))))))</f>
        <v/>
      </c>
      <c r="K3080" s="24" t="str">
        <f>IF(OR(E3080="",E3080="!!!",F3080="NEW"),"",INDEX(J$1:J3079,SUMPRODUCT(MAX(ROW(E$1:E3079)*(E3080=E$1:E3079)))))</f>
        <v/>
      </c>
      <c r="L3080" s="25"/>
    </row>
    <row r="3081" spans="1:12" x14ac:dyDescent="0.2">
      <c r="A3081" t="s">
        <v>1672</v>
      </c>
      <c r="E3081" s="20" t="str">
        <f t="shared" si="328"/>
        <v/>
      </c>
      <c r="F3081" s="21" t="str">
        <f>IF(OR(E3081="",E3081="!!!"),"",IF(NOT(ISNA(VLOOKUP(E3081,E$1:E3080,1,FALSE()))),"OLD",IF(AND(E3081&lt;&gt;"",E3081&lt;&gt;"!!!"),"NEW","")))</f>
        <v/>
      </c>
      <c r="G3081" s="22" t="str">
        <f>IF(OR(E3081="",E3081="!!!"),"",IF(OR(J3081=0,AND(J3081=1,K3081=1),AND(J3081=1,I3081="SBJ"),AND(J3081=1,I3081=0)),"?IN_FOCUS",IF(J3081&lt;=2,"?ACTIVATED",IF(J3081&lt;&gt;"","?FAMILIAR",IF(F3081="NEW",IF(ISNA(VLOOKUP(E3081,#REF!,1,FALSE())),"?TYPE_IDENTIFIABLE","?REFERENTIAL"),"_")))))</f>
        <v/>
      </c>
      <c r="H3081" s="23" t="str">
        <f t="shared" ca="1" si="329"/>
        <v/>
      </c>
      <c r="I3081" s="24" t="str">
        <f>IF(OR(E3081="",E3081="!!!",F3081="NEW"),"",INDEX(B$2:B3080,-1+SUMPRODUCT(MAX(ROW(E$2:E3080)*(E3081=E$2:E3080)))))</f>
        <v/>
      </c>
      <c r="J3081" s="24" t="str">
        <f ca="1">IF(OR(E3081="",E3081="!!!",F3081="NEW"),"",COUNTBLANK(OFFSET(A$1,,,SUMPRODUCT(MAX(ROW(E$2:E3081)*(E3081=E$2:E3081)))))-COUNTBLANK(OFFSET(A$1,,,SUMPRODUCT(MAX(ROW(E$1:E3080)*(E2=E$1:E3080))))))</f>
        <v/>
      </c>
      <c r="K3081" s="24" t="str">
        <f>IF(OR(E3081="",E3081="!!!",F3081="NEW"),"",INDEX(J$1:J3080,SUMPRODUCT(MAX(ROW(E$1:E3080)*(E3081=E$1:E3080)))))</f>
        <v/>
      </c>
      <c r="L3081" s="25"/>
    </row>
    <row r="3082" spans="1:12" x14ac:dyDescent="0.2">
      <c r="A3082" t="s">
        <v>867</v>
      </c>
      <c r="E3082" s="20" t="str">
        <f t="shared" si="328"/>
        <v/>
      </c>
      <c r="F3082" s="21" t="str">
        <f>IF(OR(E3082="",E3082="!!!"),"",IF(NOT(ISNA(VLOOKUP(E3082,E$1:E3081,1,FALSE()))),"OLD",IF(AND(E3082&lt;&gt;"",E3082&lt;&gt;"!!!"),"NEW","")))</f>
        <v/>
      </c>
      <c r="G3082" s="22" t="str">
        <f>IF(OR(E3082="",E3082="!!!"),"",IF(OR(J3082=0,AND(J3082=1,K3082=1),AND(J3082=1,I3082="SBJ"),AND(J3082=1,I3082=0)),"?IN_FOCUS",IF(J3082&lt;=2,"?ACTIVATED",IF(J3082&lt;&gt;"","?FAMILIAR",IF(F3082="NEW",IF(ISNA(VLOOKUP(E3082,#REF!,1,FALSE())),"?TYPE_IDENTIFIABLE","?REFERENTIAL"),"_")))))</f>
        <v/>
      </c>
      <c r="H3082" s="23" t="str">
        <f t="shared" ca="1" si="329"/>
        <v/>
      </c>
      <c r="I3082" s="24" t="str">
        <f>IF(OR(E3082="",E3082="!!!",F3082="NEW"),"",INDEX(B$2:B3081,-1+SUMPRODUCT(MAX(ROW(E$2:E3081)*(E3082=E$2:E3081)))))</f>
        <v/>
      </c>
      <c r="J3082" s="24" t="str">
        <f ca="1">IF(OR(E3082="",E3082="!!!",F3082="NEW"),"",COUNTBLANK(OFFSET(A$1,,,SUMPRODUCT(MAX(ROW(E$2:E3082)*(E3082=E$2:E3082)))))-COUNTBLANK(OFFSET(A$1,,,SUMPRODUCT(MAX(ROW(E$1:E3081)*(E2=E$1:E3081))))))</f>
        <v/>
      </c>
      <c r="K3082" s="24" t="str">
        <f>IF(OR(E3082="",E3082="!!!",F3082="NEW"),"",INDEX(J$1:J3081,SUMPRODUCT(MAX(ROW(E$1:E3081)*(E3082=E$1:E3081)))))</f>
        <v/>
      </c>
      <c r="L3082" s="25"/>
    </row>
    <row r="3083" spans="1:12" x14ac:dyDescent="0.2">
      <c r="A3083" t="s">
        <v>1060</v>
      </c>
      <c r="B3083" s="26" t="s">
        <v>891</v>
      </c>
      <c r="C3083" s="26" t="s">
        <v>987</v>
      </c>
      <c r="D3083" s="26" t="s">
        <v>806</v>
      </c>
      <c r="E3083" s="20" t="s">
        <v>1810</v>
      </c>
      <c r="F3083" s="21" t="str">
        <f>IF(OR(E3083="",E3083="!!!"),"",IF(NOT(ISNA(VLOOKUP(E3083,E$1:E3082,1,FALSE()))),"OLD",IF(AND(E3083&lt;&gt;"",E3083&lt;&gt;"!!!"),"NEW","")))</f>
        <v>NEW</v>
      </c>
      <c r="G3083" s="22" t="s">
        <v>1823</v>
      </c>
      <c r="H3083" s="23" t="str">
        <f t="shared" ca="1" si="329"/>
        <v/>
      </c>
      <c r="I3083" s="24" t="str">
        <f>IF(OR(E3083="",E3083="!!!",F3083="NEW"),"",INDEX(B$2:B3082,-1+SUMPRODUCT(MAX(ROW(E$2:E3082)*(E3083=E$2:E3082)))))</f>
        <v/>
      </c>
      <c r="J3083" s="24" t="str">
        <f ca="1">IF(OR(E3083="",E3083="!!!",F3083="NEW"),"",COUNTBLANK(OFFSET(A$1,,,SUMPRODUCT(MAX(ROW(E$2:E3083)*(E3083=E$2:E3083)))))-COUNTBLANK(OFFSET(A$1,,,SUMPRODUCT(MAX(ROW(E$1:E3082)*(E2=E$1:E3082))))))</f>
        <v/>
      </c>
      <c r="K3083" s="24" t="str">
        <f>IF(OR(E3083="",E3083="!!!",F3083="NEW"),"",INDEX(J$1:J3082,SUMPRODUCT(MAX(ROW(E$1:E3082)*(E3083=E$1:E3082)))))</f>
        <v/>
      </c>
      <c r="L3083" s="25"/>
    </row>
    <row r="3084" spans="1:12" x14ac:dyDescent="0.2">
      <c r="A3084" t="s">
        <v>78</v>
      </c>
      <c r="E3084" s="20" t="str">
        <f t="shared" si="328"/>
        <v/>
      </c>
      <c r="F3084" s="21" t="str">
        <f>IF(OR(E3084="",E3084="!!!"),"",IF(NOT(ISNA(VLOOKUP(E3084,E$1:E3083,1,FALSE()))),"OLD",IF(AND(E3084&lt;&gt;"",E3084&lt;&gt;"!!!"),"NEW","")))</f>
        <v/>
      </c>
      <c r="G3084" s="22" t="str">
        <f>IF(OR(E3084="",E3084="!!!"),"",IF(OR(J3084=0,AND(J3084=1,K3084=1),AND(J3084=1,I3084="SBJ"),AND(J3084=1,I3084=0)),"?IN_FOCUS",IF(J3084&lt;=2,"?ACTIVATED",IF(J3084&lt;&gt;"","?FAMILIAR",IF(F3084="NEW",IF(ISNA(VLOOKUP(E3084,#REF!,1,FALSE())),"?TYPE_IDENTIFIABLE","?REFERENTIAL"),"_")))))</f>
        <v/>
      </c>
      <c r="H3084" s="23" t="str">
        <f t="shared" ca="1" si="329"/>
        <v/>
      </c>
      <c r="I3084" s="24" t="str">
        <f>IF(OR(E3084="",E3084="!!!",F3084="NEW"),"",INDEX(B$2:B3083,-1+SUMPRODUCT(MAX(ROW(E$2:E3083)*(E3084=E$2:E3083)))))</f>
        <v/>
      </c>
      <c r="J3084" s="24" t="str">
        <f ca="1">IF(OR(E3084="",E3084="!!!",F3084="NEW"),"",COUNTBLANK(OFFSET(A$1,,,SUMPRODUCT(MAX(ROW(E$2:E3084)*(E3084=E$2:E3084)))))-COUNTBLANK(OFFSET(A$1,,,SUMPRODUCT(MAX(ROW(E$1:E3083)*(E2=E$1:E3083))))))</f>
        <v/>
      </c>
      <c r="K3084" s="24" t="str">
        <f>IF(OR(E3084="",E3084="!!!",F3084="NEW"),"",INDEX(J$1:J3083,SUMPRODUCT(MAX(ROW(E$1:E3083)*(E3084=E$1:E3083)))))</f>
        <v/>
      </c>
      <c r="L3084" s="25"/>
    </row>
    <row r="3085" spans="1:12" x14ac:dyDescent="0.2">
      <c r="A3085" t="s">
        <v>922</v>
      </c>
      <c r="E3085" s="20" t="str">
        <f t="shared" si="328"/>
        <v/>
      </c>
      <c r="F3085" s="21" t="str">
        <f>IF(OR(E3085="",E3085="!!!"),"",IF(NOT(ISNA(VLOOKUP(E3085,E$1:E3084,1,FALSE()))),"OLD",IF(AND(E3085&lt;&gt;"",E3085&lt;&gt;"!!!"),"NEW","")))</f>
        <v/>
      </c>
      <c r="G3085" s="22" t="str">
        <f>IF(OR(E3085="",E3085="!!!"),"",IF(OR(J3085=0,AND(J3085=1,K3085=1),AND(J3085=1,I3085="SBJ"),AND(J3085=1,I3085=0)),"?IN_FOCUS",IF(J3085&lt;=2,"?ACTIVATED",IF(J3085&lt;&gt;"","?FAMILIAR",IF(F3085="NEW",IF(ISNA(VLOOKUP(E3085,#REF!,1,FALSE())),"?TYPE_IDENTIFIABLE","?REFERENTIAL"),"_")))))</f>
        <v/>
      </c>
      <c r="H3085" s="23" t="str">
        <f t="shared" ca="1" si="329"/>
        <v/>
      </c>
      <c r="I3085" s="24" t="str">
        <f>IF(OR(E3085="",E3085="!!!",F3085="NEW"),"",INDEX(B$2:B3084,-1+SUMPRODUCT(MAX(ROW(E$2:E3084)*(E3085=E$2:E3084)))))</f>
        <v/>
      </c>
      <c r="J3085" s="24" t="str">
        <f ca="1">IF(OR(E3085="",E3085="!!!",F3085="NEW"),"",COUNTBLANK(OFFSET(A$1,,,SUMPRODUCT(MAX(ROW(E$2:E3085)*(E3085=E$2:E3085)))))-COUNTBLANK(OFFSET(A$1,,,SUMPRODUCT(MAX(ROW(E$1:E3084)*(E2=E$1:E3084))))))</f>
        <v/>
      </c>
      <c r="K3085" s="24" t="str">
        <f>IF(OR(E3085="",E3085="!!!",F3085="NEW"),"",INDEX(J$1:J3084,SUMPRODUCT(MAX(ROW(E$1:E3084)*(E3085=E$1:E3084)))))</f>
        <v/>
      </c>
      <c r="L3085" s="25"/>
    </row>
    <row r="3086" spans="1:12" x14ac:dyDescent="0.2">
      <c r="A3086" t="s">
        <v>902</v>
      </c>
      <c r="E3086" s="20" t="str">
        <f t="shared" si="328"/>
        <v/>
      </c>
      <c r="F3086" s="21" t="str">
        <f>IF(OR(E3086="",E3086="!!!"),"",IF(NOT(ISNA(VLOOKUP(E3086,E$1:E3085,1,FALSE()))),"OLD",IF(AND(E3086&lt;&gt;"",E3086&lt;&gt;"!!!"),"NEW","")))</f>
        <v/>
      </c>
      <c r="G3086" s="22" t="str">
        <f>IF(OR(E3086="",E3086="!!!"),"",IF(OR(J3086=0,AND(J3086=1,K3086=1),AND(J3086=1,I3086="SBJ"),AND(J3086=1,I3086=0)),"?IN_FOCUS",IF(J3086&lt;=2,"?ACTIVATED",IF(J3086&lt;&gt;"","?FAMILIAR",IF(F3086="NEW",IF(ISNA(VLOOKUP(E3086,#REF!,1,FALSE())),"?TYPE_IDENTIFIABLE","?REFERENTIAL"),"_")))))</f>
        <v/>
      </c>
      <c r="H3086" s="23" t="str">
        <f t="shared" ca="1" si="329"/>
        <v/>
      </c>
      <c r="I3086" s="24" t="str">
        <f>IF(OR(E3086="",E3086="!!!",F3086="NEW"),"",INDEX(B$2:B3085,-1+SUMPRODUCT(MAX(ROW(E$2:E3085)*(E3086=E$2:E3085)))))</f>
        <v/>
      </c>
      <c r="J3086" s="24" t="str">
        <f ca="1">IF(OR(E3086="",E3086="!!!",F3086="NEW"),"",COUNTBLANK(OFFSET(A$1,,,SUMPRODUCT(MAX(ROW(E$2:E3086)*(E3086=E$2:E3086)))))-COUNTBLANK(OFFSET(A$1,,,SUMPRODUCT(MAX(ROW(E$1:E3085)*(E2=E$1:E3085))))))</f>
        <v/>
      </c>
      <c r="K3086" s="24" t="str">
        <f>IF(OR(E3086="",E3086="!!!",F3086="NEW"),"",INDEX(J$1:J3085,SUMPRODUCT(MAX(ROW(E$1:E3085)*(E3086=E$1:E3085)))))</f>
        <v/>
      </c>
      <c r="L3086" s="25"/>
    </row>
    <row r="3088" spans="1:12" x14ac:dyDescent="0.2">
      <c r="A3088" t="s">
        <v>1673</v>
      </c>
    </row>
    <row r="3089" spans="1:12" x14ac:dyDescent="0.2">
      <c r="A3089" t="s">
        <v>827</v>
      </c>
      <c r="B3089" s="26" t="s">
        <v>804</v>
      </c>
      <c r="C3089" s="26" t="s">
        <v>987</v>
      </c>
      <c r="D3089" s="26" t="s">
        <v>806</v>
      </c>
      <c r="E3089" s="20" t="s">
        <v>1810</v>
      </c>
      <c r="F3089" s="21" t="str">
        <f>IF(OR(E3089="",E3089="!!!"),"",IF(NOT(ISNA(VLOOKUP(E3089,E$1:E3088,1,FALSE()))),"OLD",IF(AND(E3089&lt;&gt;"",E3089&lt;&gt;"!!!"),"NEW","")))</f>
        <v>OLD</v>
      </c>
      <c r="G3089" s="22" t="s">
        <v>1823</v>
      </c>
      <c r="H3089" s="23" t="str">
        <f t="shared" ref="H3089:H3100" ca="1" si="330">IF(J3089&lt;&gt;1,"",IF(I3089="SBJ","CB","?"))</f>
        <v/>
      </c>
      <c r="I3089" s="24" t="str">
        <f>IF(OR(E3089="",E3089="!!!",F3089="NEW"),"",INDEX(B$2:B3088,-1+SUMPRODUCT(MAX(ROW(E$2:E3088)*(E3089=E$2:E3088)))))</f>
        <v>SBJ_3</v>
      </c>
      <c r="J3089" s="24">
        <f ca="1">IF(OR(E3089="",E3089="!!!",F3089="NEW"),"",COUNTBLANK(OFFSET(A$1,,,SUMPRODUCT(MAX(ROW(E$2:E3089)*(E3089=E$2:E3089)))))-COUNTBLANK(OFFSET(A$1,,,SUMPRODUCT(MAX(ROW(E$1:E3088)*(E2=E$1:E3088))))))</f>
        <v>0</v>
      </c>
      <c r="K3089" s="24" t="str">
        <f ca="1">IF(OR(E3089="",E3089="!!!",F3089="NEW"),"",INDEX(J$1:J3088,SUMPRODUCT(MAX(ROW(E$1:E3088)*(E3089=E$1:E3088)))))</f>
        <v/>
      </c>
      <c r="L3089" s="25"/>
    </row>
    <row r="3090" spans="1:12" x14ac:dyDescent="0.2">
      <c r="A3090" t="s">
        <v>898</v>
      </c>
      <c r="E3090" s="20" t="str">
        <f t="shared" ref="E3089:E3100" si="331">IF(D3090="?OLD","!!!","")</f>
        <v/>
      </c>
      <c r="F3090" s="21" t="str">
        <f>IF(OR(E3090="",E3090="!!!"),"",IF(NOT(ISNA(VLOOKUP(E3090,E$1:E3089,1,FALSE()))),"OLD",IF(AND(E3090&lt;&gt;"",E3090&lt;&gt;"!!!"),"NEW","")))</f>
        <v/>
      </c>
      <c r="G3090" s="22" t="str">
        <f>IF(OR(E3090="",E3090="!!!"),"",IF(OR(J3090=0,AND(J3090=1,K3090=1),AND(J3090=1,I3090="SBJ"),AND(J3090=1,I3090=0)),"?IN_FOCUS",IF(J3090&lt;=2,"?ACTIVATED",IF(J3090&lt;&gt;"","?FAMILIAR",IF(F3090="NEW",IF(ISNA(VLOOKUP(E3090,#REF!,1,FALSE())),"?TYPE_IDENTIFIABLE","?REFERENTIAL"),"_")))))</f>
        <v/>
      </c>
      <c r="H3090" s="23" t="str">
        <f t="shared" ca="1" si="330"/>
        <v/>
      </c>
      <c r="I3090" s="24" t="str">
        <f>IF(OR(E3090="",E3090="!!!",F3090="NEW"),"",INDEX(B$2:B3089,-1+SUMPRODUCT(MAX(ROW(E$2:E3089)*(E3090=E$2:E3089)))))</f>
        <v/>
      </c>
      <c r="J3090" s="24" t="str">
        <f ca="1">IF(OR(E3090="",E3090="!!!",F3090="NEW"),"",COUNTBLANK(OFFSET(A$1,,,SUMPRODUCT(MAX(ROW(E$2:E3090)*(E3090=E$2:E3090)))))-COUNTBLANK(OFFSET(A$1,,,SUMPRODUCT(MAX(ROW(E$1:E3089)*(E2=E$1:E3089))))))</f>
        <v/>
      </c>
      <c r="K3090" s="24" t="str">
        <f>IF(OR(E3090="",E3090="!!!",F3090="NEW"),"",INDEX(J$1:J3089,SUMPRODUCT(MAX(ROW(E$1:E3089)*(E3090=E$1:E3089)))))</f>
        <v/>
      </c>
      <c r="L3090" s="25"/>
    </row>
    <row r="3091" spans="1:12" x14ac:dyDescent="0.2">
      <c r="A3091" t="s">
        <v>928</v>
      </c>
      <c r="E3091" s="20" t="str">
        <f t="shared" si="331"/>
        <v/>
      </c>
      <c r="F3091" s="21" t="str">
        <f>IF(OR(E3091="",E3091="!!!"),"",IF(NOT(ISNA(VLOOKUP(E3091,E$1:E3090,1,FALSE()))),"OLD",IF(AND(E3091&lt;&gt;"",E3091&lt;&gt;"!!!"),"NEW","")))</f>
        <v/>
      </c>
      <c r="G3091" s="22" t="str">
        <f>IF(OR(E3091="",E3091="!!!"),"",IF(OR(J3091=0,AND(J3091=1,K3091=1),AND(J3091=1,I3091="SBJ"),AND(J3091=1,I3091=0)),"?IN_FOCUS",IF(J3091&lt;=2,"?ACTIVATED",IF(J3091&lt;&gt;"","?FAMILIAR",IF(F3091="NEW",IF(ISNA(VLOOKUP(E3091,#REF!,1,FALSE())),"?TYPE_IDENTIFIABLE","?REFERENTIAL"),"_")))))</f>
        <v/>
      </c>
      <c r="H3091" s="23" t="str">
        <f t="shared" ca="1" si="330"/>
        <v/>
      </c>
      <c r="I3091" s="24" t="str">
        <f>IF(OR(E3091="",E3091="!!!",F3091="NEW"),"",INDEX(B$2:B3090,-1+SUMPRODUCT(MAX(ROW(E$2:E3090)*(E3091=E$2:E3090)))))</f>
        <v/>
      </c>
      <c r="J3091" s="24" t="str">
        <f ca="1">IF(OR(E3091="",E3091="!!!",F3091="NEW"),"",COUNTBLANK(OFFSET(A$1,,,SUMPRODUCT(MAX(ROW(E$2:E3091)*(E3091=E$2:E3091)))))-COUNTBLANK(OFFSET(A$1,,,SUMPRODUCT(MAX(ROW(E$1:E3090)*(E2=E$1:E3090))))))</f>
        <v/>
      </c>
      <c r="K3091" s="24" t="str">
        <f>IF(OR(E3091="",E3091="!!!",F3091="NEW"),"",INDEX(J$1:J3090,SUMPRODUCT(MAX(ROW(E$1:E3090)*(E3091=E$1:E3090)))))</f>
        <v/>
      </c>
      <c r="L3091" s="25"/>
    </row>
    <row r="3092" spans="1:12" x14ac:dyDescent="0.2">
      <c r="A3092" t="s">
        <v>845</v>
      </c>
      <c r="E3092" s="20" t="str">
        <f t="shared" si="331"/>
        <v/>
      </c>
      <c r="F3092" s="21" t="str">
        <f>IF(OR(E3092="",E3092="!!!"),"",IF(NOT(ISNA(VLOOKUP(E3092,E$1:E3091,1,FALSE()))),"OLD",IF(AND(E3092&lt;&gt;"",E3092&lt;&gt;"!!!"),"NEW","")))</f>
        <v/>
      </c>
      <c r="G3092" s="22" t="str">
        <f>IF(OR(E3092="",E3092="!!!"),"",IF(OR(J3092=0,AND(J3092=1,K3092=1),AND(J3092=1,I3092="SBJ"),AND(J3092=1,I3092=0)),"?IN_FOCUS",IF(J3092&lt;=2,"?ACTIVATED",IF(J3092&lt;&gt;"","?FAMILIAR",IF(F3092="NEW",IF(ISNA(VLOOKUP(E3092,#REF!,1,FALSE())),"?TYPE_IDENTIFIABLE","?REFERENTIAL"),"_")))))</f>
        <v/>
      </c>
      <c r="H3092" s="23" t="str">
        <f t="shared" ca="1" si="330"/>
        <v/>
      </c>
      <c r="I3092" s="24" t="str">
        <f>IF(OR(E3092="",E3092="!!!",F3092="NEW"),"",INDEX(B$2:B3091,-1+SUMPRODUCT(MAX(ROW(E$2:E3091)*(E3092=E$2:E3091)))))</f>
        <v/>
      </c>
      <c r="J3092" s="24" t="str">
        <f ca="1">IF(OR(E3092="",E3092="!!!",F3092="NEW"),"",COUNTBLANK(OFFSET(A$1,,,SUMPRODUCT(MAX(ROW(E$2:E3092)*(E3092=E$2:E3092)))))-COUNTBLANK(OFFSET(A$1,,,SUMPRODUCT(MAX(ROW(E$1:E3091)*(E2=E$1:E3091))))))</f>
        <v/>
      </c>
      <c r="K3092" s="24" t="str">
        <f>IF(OR(E3092="",E3092="!!!",F3092="NEW"),"",INDEX(J$1:J3091,SUMPRODUCT(MAX(ROW(E$1:E3091)*(E3092=E$1:E3091)))))</f>
        <v/>
      </c>
      <c r="L3092" s="25"/>
    </row>
    <row r="3093" spans="1:12" x14ac:dyDescent="0.2">
      <c r="A3093" t="s">
        <v>1674</v>
      </c>
      <c r="B3093" s="26" t="s">
        <v>819</v>
      </c>
      <c r="C3093" s="26" t="s">
        <v>847</v>
      </c>
      <c r="D3093" s="26" t="s">
        <v>806</v>
      </c>
      <c r="E3093" s="20" t="s">
        <v>1674</v>
      </c>
      <c r="F3093" s="21" t="str">
        <f>IF(OR(E3093="",E3093="!!!"),"",IF(NOT(ISNA(VLOOKUP(E3093,E$1:E3092,1,FALSE()))),"OLD",IF(AND(E3093&lt;&gt;"",E3093&lt;&gt;"!!!"),"NEW","")))</f>
        <v>NEW</v>
      </c>
      <c r="G3093" s="22" t="s">
        <v>1824</v>
      </c>
      <c r="H3093" s="23" t="str">
        <f t="shared" ca="1" si="330"/>
        <v/>
      </c>
      <c r="I3093" s="24" t="str">
        <f>IF(OR(E3093="",E3093="!!!",F3093="NEW"),"",INDEX(B$2:B3092,-1+SUMPRODUCT(MAX(ROW(E$2:E3092)*(E3093=E$2:E3092)))))</f>
        <v/>
      </c>
      <c r="J3093" s="24" t="str">
        <f ca="1">IF(OR(E3093="",E3093="!!!",F3093="NEW"),"",COUNTBLANK(OFFSET(A$1,,,SUMPRODUCT(MAX(ROW(E$2:E3093)*(E3093=E$2:E3093)))))-COUNTBLANK(OFFSET(A$1,,,SUMPRODUCT(MAX(ROW(E$1:E3092)*(E2=E$1:E3092))))))</f>
        <v/>
      </c>
      <c r="K3093" s="24" t="str">
        <f>IF(OR(E3093="",E3093="!!!",F3093="NEW"),"",INDEX(J$1:J3092,SUMPRODUCT(MAX(ROW(E$1:E3092)*(E3093=E$1:E3092)))))</f>
        <v/>
      </c>
      <c r="L3093" s="25"/>
    </row>
    <row r="3094" spans="1:12" x14ac:dyDescent="0.2">
      <c r="A3094" t="s">
        <v>802</v>
      </c>
      <c r="E3094" s="20" t="str">
        <f t="shared" si="331"/>
        <v/>
      </c>
      <c r="F3094" s="21" t="str">
        <f>IF(OR(E3094="",E3094="!!!"),"",IF(NOT(ISNA(VLOOKUP(E3094,E$1:E3093,1,FALSE()))),"OLD",IF(AND(E3094&lt;&gt;"",E3094&lt;&gt;"!!!"),"NEW","")))</f>
        <v/>
      </c>
      <c r="G3094" s="22" t="str">
        <f>IF(OR(E3094="",E3094="!!!"),"",IF(OR(J3094=0,AND(J3094=1,K3094=1),AND(J3094=1,I3094="SBJ"),AND(J3094=1,I3094=0)),"?IN_FOCUS",IF(J3094&lt;=2,"?ACTIVATED",IF(J3094&lt;&gt;"","?FAMILIAR",IF(F3094="NEW",IF(ISNA(VLOOKUP(E3094,#REF!,1,FALSE())),"?TYPE_IDENTIFIABLE","?REFERENTIAL"),"_")))))</f>
        <v/>
      </c>
      <c r="H3094" s="23" t="str">
        <f t="shared" ca="1" si="330"/>
        <v/>
      </c>
      <c r="I3094" s="24" t="str">
        <f>IF(OR(E3094="",E3094="!!!",F3094="NEW"),"",INDEX(B$2:B3093,-1+SUMPRODUCT(MAX(ROW(E$2:E3093)*(E3094=E$2:E3093)))))</f>
        <v/>
      </c>
      <c r="J3094" s="24" t="str">
        <f ca="1">IF(OR(E3094="",E3094="!!!",F3094="NEW"),"",COUNTBLANK(OFFSET(A$1,,,SUMPRODUCT(MAX(ROW(E$2:E3094)*(E3094=E$2:E3094)))))-COUNTBLANK(OFFSET(A$1,,,SUMPRODUCT(MAX(ROW(E$1:E3093)*(E2=E$1:E3093))))))</f>
        <v/>
      </c>
      <c r="K3094" s="24" t="str">
        <f>IF(OR(E3094="",E3094="!!!",F3094="NEW"),"",INDEX(J$1:J3093,SUMPRODUCT(MAX(ROW(E$1:E3093)*(E3094=E$1:E3093)))))</f>
        <v/>
      </c>
      <c r="L3094" s="25"/>
    </row>
    <row r="3095" spans="1:12" x14ac:dyDescent="0.2">
      <c r="A3095" t="s">
        <v>830</v>
      </c>
      <c r="B3095" s="26" t="s">
        <v>950</v>
      </c>
      <c r="C3095" s="26" t="s">
        <v>805</v>
      </c>
      <c r="D3095" s="26" t="s">
        <v>806</v>
      </c>
      <c r="E3095" s="20" t="s">
        <v>1810</v>
      </c>
      <c r="F3095" s="21" t="str">
        <f>IF(OR(E3095="",E3095="!!!"),"",IF(NOT(ISNA(VLOOKUP(E3095,E$1:E3094,1,FALSE()))),"OLD",IF(AND(E3095&lt;&gt;"",E3095&lt;&gt;"!!!"),"NEW","")))</f>
        <v>OLD</v>
      </c>
      <c r="G3095" s="22" t="s">
        <v>1823</v>
      </c>
      <c r="H3095" s="23" t="str">
        <f t="shared" ca="1" si="330"/>
        <v/>
      </c>
      <c r="I3095" s="24" t="str">
        <f>IF(OR(E3095="",E3095="!!!",F3095="NEW"),"",INDEX(B$2:B3094,-1+SUMPRODUCT(MAX(ROW(E$2:E3094)*(E3095=E$2:E3094)))))</f>
        <v>SBJ</v>
      </c>
      <c r="J3095" s="24">
        <f ca="1">IF(OR(E3095="",E3095="!!!",F3095="NEW"),"",COUNTBLANK(OFFSET(A$1,,,SUMPRODUCT(MAX(ROW(E$2:E3095)*(E3095=E$2:E3095)))))-COUNTBLANK(OFFSET(A$1,,,SUMPRODUCT(MAX(ROW(E$1:E3094)*(E2=E$1:E3094))))))</f>
        <v>0</v>
      </c>
      <c r="K3095" s="24">
        <f ca="1">IF(OR(E3095="",E3095="!!!",F3095="NEW"),"",INDEX(J$1:J3094,SUMPRODUCT(MAX(ROW(E$1:E3094)*(E3095=E$1:E3094)))))</f>
        <v>0</v>
      </c>
      <c r="L3095" s="25"/>
    </row>
    <row r="3096" spans="1:12" x14ac:dyDescent="0.2">
      <c r="A3096" t="s">
        <v>898</v>
      </c>
      <c r="E3096" s="20" t="str">
        <f t="shared" si="331"/>
        <v/>
      </c>
      <c r="F3096" s="21" t="str">
        <f>IF(OR(E3096="",E3096="!!!"),"",IF(NOT(ISNA(VLOOKUP(E3096,E$1:E3095,1,FALSE()))),"OLD",IF(AND(E3096&lt;&gt;"",E3096&lt;&gt;"!!!"),"NEW","")))</f>
        <v/>
      </c>
      <c r="G3096" s="22" t="str">
        <f>IF(OR(E3096="",E3096="!!!"),"",IF(OR(J3096=0,AND(J3096=1,K3096=1),AND(J3096=1,I3096="SBJ"),AND(J3096=1,I3096=0)),"?IN_FOCUS",IF(J3096&lt;=2,"?ACTIVATED",IF(J3096&lt;&gt;"","?FAMILIAR",IF(F3096="NEW",IF(ISNA(VLOOKUP(E3096,#REF!,1,FALSE())),"?TYPE_IDENTIFIABLE","?REFERENTIAL"),"_")))))</f>
        <v/>
      </c>
      <c r="H3096" s="23" t="str">
        <f t="shared" ca="1" si="330"/>
        <v/>
      </c>
      <c r="I3096" s="24" t="str">
        <f>IF(OR(E3096="",E3096="!!!",F3096="NEW"),"",INDEX(B$2:B3095,-1+SUMPRODUCT(MAX(ROW(E$2:E3095)*(E3096=E$2:E3095)))))</f>
        <v/>
      </c>
      <c r="J3096" s="24" t="str">
        <f ca="1">IF(OR(E3096="",E3096="!!!",F3096="NEW"),"",COUNTBLANK(OFFSET(A$1,,,SUMPRODUCT(MAX(ROW(E$2:E3096)*(E3096=E$2:E3096)))))-COUNTBLANK(OFFSET(A$1,,,SUMPRODUCT(MAX(ROW(E$1:E3095)*(E2=E$1:E3095))))))</f>
        <v/>
      </c>
      <c r="K3096" s="24" t="str">
        <f>IF(OR(E3096="",E3096="!!!",F3096="NEW"),"",INDEX(J$1:J3095,SUMPRODUCT(MAX(ROW(E$1:E3095)*(E3096=E$1:E3095)))))</f>
        <v/>
      </c>
      <c r="L3096" s="25"/>
    </row>
    <row r="3097" spans="1:12" x14ac:dyDescent="0.2">
      <c r="A3097" t="s">
        <v>928</v>
      </c>
      <c r="E3097" s="20" t="str">
        <f t="shared" si="331"/>
        <v/>
      </c>
      <c r="F3097" s="21" t="str">
        <f>IF(OR(E3097="",E3097="!!!"),"",IF(NOT(ISNA(VLOOKUP(E3097,E$1:E3096,1,FALSE()))),"OLD",IF(AND(E3097&lt;&gt;"",E3097&lt;&gt;"!!!"),"NEW","")))</f>
        <v/>
      </c>
      <c r="G3097" s="22" t="str">
        <f>IF(OR(E3097="",E3097="!!!"),"",IF(OR(J3097=0,AND(J3097=1,K3097=1),AND(J3097=1,I3097="SBJ"),AND(J3097=1,I3097=0)),"?IN_FOCUS",IF(J3097&lt;=2,"?ACTIVATED",IF(J3097&lt;&gt;"","?FAMILIAR",IF(F3097="NEW",IF(ISNA(VLOOKUP(E3097,#REF!,1,FALSE())),"?TYPE_IDENTIFIABLE","?REFERENTIAL"),"_")))))</f>
        <v/>
      </c>
      <c r="H3097" s="23" t="str">
        <f t="shared" ca="1" si="330"/>
        <v/>
      </c>
      <c r="I3097" s="24" t="str">
        <f>IF(OR(E3097="",E3097="!!!",F3097="NEW"),"",INDEX(B$2:B3096,-1+SUMPRODUCT(MAX(ROW(E$2:E3096)*(E3097=E$2:E3096)))))</f>
        <v/>
      </c>
      <c r="J3097" s="24" t="str">
        <f ca="1">IF(OR(E3097="",E3097="!!!",F3097="NEW"),"",COUNTBLANK(OFFSET(A$1,,,SUMPRODUCT(MAX(ROW(E$2:E3097)*(E3097=E$2:E3097)))))-COUNTBLANK(OFFSET(A$1,,,SUMPRODUCT(MAX(ROW(E$1:E3096)*(E2=E$1:E3096))))))</f>
        <v/>
      </c>
      <c r="K3097" s="24" t="str">
        <f>IF(OR(E3097="",E3097="!!!",F3097="NEW"),"",INDEX(J$1:J3096,SUMPRODUCT(MAX(ROW(E$1:E3096)*(E3097=E$1:E3096)))))</f>
        <v/>
      </c>
      <c r="L3097" s="25"/>
    </row>
    <row r="3098" spans="1:12" x14ac:dyDescent="0.2">
      <c r="A3098" t="s">
        <v>845</v>
      </c>
      <c r="E3098" s="20" t="str">
        <f t="shared" si="331"/>
        <v/>
      </c>
      <c r="F3098" s="21" t="str">
        <f>IF(OR(E3098="",E3098="!!!"),"",IF(NOT(ISNA(VLOOKUP(E3098,E$1:E3097,1,FALSE()))),"OLD",IF(AND(E3098&lt;&gt;"",E3098&lt;&gt;"!!!"),"NEW","")))</f>
        <v/>
      </c>
      <c r="G3098" s="22" t="str">
        <f>IF(OR(E3098="",E3098="!!!"),"",IF(OR(J3098=0,AND(J3098=1,K3098=1),AND(J3098=1,I3098="SBJ"),AND(J3098=1,I3098=0)),"?IN_FOCUS",IF(J3098&lt;=2,"?ACTIVATED",IF(J3098&lt;&gt;"","?FAMILIAR",IF(F3098="NEW",IF(ISNA(VLOOKUP(E3098,#REF!,1,FALSE())),"?TYPE_IDENTIFIABLE","?REFERENTIAL"),"_")))))</f>
        <v/>
      </c>
      <c r="H3098" s="23" t="str">
        <f t="shared" ca="1" si="330"/>
        <v/>
      </c>
      <c r="I3098" s="24" t="str">
        <f>IF(OR(E3098="",E3098="!!!",F3098="NEW"),"",INDEX(B$2:B3097,-1+SUMPRODUCT(MAX(ROW(E$2:E3097)*(E3098=E$2:E3097)))))</f>
        <v/>
      </c>
      <c r="J3098" s="24" t="str">
        <f ca="1">IF(OR(E3098="",E3098="!!!",F3098="NEW"),"",COUNTBLANK(OFFSET(A$1,,,SUMPRODUCT(MAX(ROW(E$2:E3098)*(E3098=E$2:E3098)))))-COUNTBLANK(OFFSET(A$1,,,SUMPRODUCT(MAX(ROW(E$1:E3097)*(E2=E$1:E3097))))))</f>
        <v/>
      </c>
      <c r="K3098" s="24" t="str">
        <f>IF(OR(E3098="",E3098="!!!",F3098="NEW"),"",INDEX(J$1:J3097,SUMPRODUCT(MAX(ROW(E$1:E3097)*(E3098=E$1:E3097)))))</f>
        <v/>
      </c>
      <c r="L3098" s="25"/>
    </row>
    <row r="3099" spans="1:12" x14ac:dyDescent="0.2">
      <c r="A3099" t="s">
        <v>1675</v>
      </c>
      <c r="B3099" s="26" t="s">
        <v>819</v>
      </c>
      <c r="C3099" s="26" t="s">
        <v>847</v>
      </c>
      <c r="D3099" s="26" t="s">
        <v>806</v>
      </c>
      <c r="E3099" s="20" t="s">
        <v>1675</v>
      </c>
      <c r="F3099" s="21" t="str">
        <f>IF(OR(E3099="",E3099="!!!"),"",IF(NOT(ISNA(VLOOKUP(E3099,E$1:E3098,1,FALSE()))),"OLD",IF(AND(E3099&lt;&gt;"",E3099&lt;&gt;"!!!"),"NEW","")))</f>
        <v>NEW</v>
      </c>
      <c r="G3099" s="22" t="s">
        <v>1824</v>
      </c>
      <c r="H3099" s="23" t="str">
        <f t="shared" ca="1" si="330"/>
        <v/>
      </c>
      <c r="I3099" s="24" t="str">
        <f>IF(OR(E3099="",E3099="!!!",F3099="NEW"),"",INDEX(B$2:B3098,-1+SUMPRODUCT(MAX(ROW(E$2:E3098)*(E3099=E$2:E3098)))))</f>
        <v/>
      </c>
      <c r="J3099" s="24" t="str">
        <f ca="1">IF(OR(E3099="",E3099="!!!",F3099="NEW"),"",COUNTBLANK(OFFSET(A$1,,,SUMPRODUCT(MAX(ROW(E$2:E3099)*(E3099=E$2:E3099)))))-COUNTBLANK(OFFSET(A$1,,,SUMPRODUCT(MAX(ROW(E$1:E3098)*(E2=E$1:E3098))))))</f>
        <v/>
      </c>
      <c r="K3099" s="24" t="str">
        <f>IF(OR(E3099="",E3099="!!!",F3099="NEW"),"",INDEX(J$1:J3098,SUMPRODUCT(MAX(ROW(E$1:E3098)*(E3099=E$1:E3098)))))</f>
        <v/>
      </c>
      <c r="L3099" s="25"/>
    </row>
    <row r="3100" spans="1:12" x14ac:dyDescent="0.2">
      <c r="A3100" t="s">
        <v>839</v>
      </c>
      <c r="E3100" s="20" t="str">
        <f t="shared" si="331"/>
        <v/>
      </c>
      <c r="F3100" s="21" t="str">
        <f>IF(OR(E3100="",E3100="!!!"),"",IF(NOT(ISNA(VLOOKUP(E3100,E$1:E3099,1,FALSE()))),"OLD",IF(AND(E3100&lt;&gt;"",E3100&lt;&gt;"!!!"),"NEW","")))</f>
        <v/>
      </c>
      <c r="G3100" s="22" t="str">
        <f>IF(OR(E3100="",E3100="!!!"),"",IF(OR(J3100=0,AND(J3100=1,K3100=1),AND(J3100=1,I3100="SBJ"),AND(J3100=1,I3100=0)),"?IN_FOCUS",IF(J3100&lt;=2,"?ACTIVATED",IF(J3100&lt;&gt;"","?FAMILIAR",IF(F3100="NEW",IF(ISNA(VLOOKUP(E3100,#REF!,1,FALSE())),"?TYPE_IDENTIFIABLE","?REFERENTIAL"),"_")))))</f>
        <v/>
      </c>
      <c r="H3100" s="23" t="str">
        <f t="shared" ca="1" si="330"/>
        <v/>
      </c>
      <c r="I3100" s="24" t="str">
        <f>IF(OR(E3100="",E3100="!!!",F3100="NEW"),"",INDEX(B$2:B3099,-1+SUMPRODUCT(MAX(ROW(E$2:E3099)*(E3100=E$2:E3099)))))</f>
        <v/>
      </c>
      <c r="J3100" s="24" t="str">
        <f ca="1">IF(OR(E3100="",E3100="!!!",F3100="NEW"),"",COUNTBLANK(OFFSET(A$1,,,SUMPRODUCT(MAX(ROW(E$2:E3100)*(E3100=E$2:E3100)))))-COUNTBLANK(OFFSET(A$1,,,SUMPRODUCT(MAX(ROW(E$1:E3099)*(E2=E$1:E3099))))))</f>
        <v/>
      </c>
      <c r="K3100" s="24" t="str">
        <f>IF(OR(E3100="",E3100="!!!",F3100="NEW"),"",INDEX(J$1:J3099,SUMPRODUCT(MAX(ROW(E$1:E3099)*(E3100=E$1:E3099)))))</f>
        <v/>
      </c>
      <c r="L3100" s="25"/>
    </row>
    <row r="3102" spans="1:12" x14ac:dyDescent="0.2">
      <c r="A3102" t="s">
        <v>1676</v>
      </c>
    </row>
    <row r="3103" spans="1:12" x14ac:dyDescent="0.2">
      <c r="A3103" t="s">
        <v>830</v>
      </c>
      <c r="B3103" s="26" t="s">
        <v>804</v>
      </c>
      <c r="C3103" s="26" t="s">
        <v>805</v>
      </c>
      <c r="D3103" s="26" t="s">
        <v>806</v>
      </c>
      <c r="E3103" s="20" t="s">
        <v>1810</v>
      </c>
      <c r="F3103" s="21" t="str">
        <f>IF(OR(E3103="",E3103="!!!"),"",IF(NOT(ISNA(VLOOKUP(E3103,E$1:E3102,1,FALSE()))),"OLD",IF(AND(E3103&lt;&gt;"",E3103&lt;&gt;"!!!"),"NEW","")))</f>
        <v>OLD</v>
      </c>
      <c r="G3103" s="22" t="s">
        <v>1823</v>
      </c>
      <c r="H3103" s="23" t="str">
        <f t="shared" ref="H3103:H3112" ca="1" si="332">IF(J3103&lt;&gt;1,"",IF(I3103="SBJ","CB","?"))</f>
        <v/>
      </c>
      <c r="I3103" s="24" t="str">
        <f>IF(OR(E3103="",E3103="!!!",F3103="NEW"),"",INDEX(B$2:B3102,-1+SUMPRODUCT(MAX(ROW(E$2:E3102)*(E3103=E$2:E3102)))))</f>
        <v>SBJ_2</v>
      </c>
      <c r="J3103" s="24">
        <f ca="1">IF(OR(E3103="",E3103="!!!",F3103="NEW"),"",COUNTBLANK(OFFSET(A$1,,,SUMPRODUCT(MAX(ROW(E$2:E3103)*(E3103=E$2:E3103)))))-COUNTBLANK(OFFSET(A$1,,,SUMPRODUCT(MAX(ROW(E$1:E3102)*(E2=E$1:E3102))))))</f>
        <v>0</v>
      </c>
      <c r="K3103" s="24">
        <f ca="1">IF(OR(E3103="",E3103="!!!",F3103="NEW"),"",INDEX(J$1:J3102,SUMPRODUCT(MAX(ROW(E$1:E3102)*(E3103=E$1:E3102)))))</f>
        <v>0</v>
      </c>
      <c r="L3103" s="25"/>
    </row>
    <row r="3104" spans="1:12" x14ac:dyDescent="0.2">
      <c r="A3104" t="s">
        <v>898</v>
      </c>
      <c r="E3104" s="20" t="str">
        <f t="shared" ref="E3103:E3112" si="333">IF(D3104="?OLD","!!!","")</f>
        <v/>
      </c>
      <c r="F3104" s="21" t="str">
        <f>IF(OR(E3104="",E3104="!!!"),"",IF(NOT(ISNA(VLOOKUP(E3104,E$1:E3103,1,FALSE()))),"OLD",IF(AND(E3104&lt;&gt;"",E3104&lt;&gt;"!!!"),"NEW","")))</f>
        <v/>
      </c>
      <c r="G3104" s="22" t="str">
        <f>IF(OR(E3104="",E3104="!!!"),"",IF(OR(J3104=0,AND(J3104=1,K3104=1),AND(J3104=1,I3104="SBJ"),AND(J3104=1,I3104=0)),"?IN_FOCUS",IF(J3104&lt;=2,"?ACTIVATED",IF(J3104&lt;&gt;"","?FAMILIAR",IF(F3104="NEW",IF(ISNA(VLOOKUP(E3104,#REF!,1,FALSE())),"?TYPE_IDENTIFIABLE","?REFERENTIAL"),"_")))))</f>
        <v/>
      </c>
      <c r="H3104" s="23" t="str">
        <f t="shared" ca="1" si="332"/>
        <v/>
      </c>
      <c r="I3104" s="24" t="str">
        <f>IF(OR(E3104="",E3104="!!!",F3104="NEW"),"",INDEX(B$2:B3103,-1+SUMPRODUCT(MAX(ROW(E$2:E3103)*(E3104=E$2:E3103)))))</f>
        <v/>
      </c>
      <c r="J3104" s="24" t="str">
        <f ca="1">IF(OR(E3104="",E3104="!!!",F3104="NEW"),"",COUNTBLANK(OFFSET(A$1,,,SUMPRODUCT(MAX(ROW(E$2:E3104)*(E3104=E$2:E3104)))))-COUNTBLANK(OFFSET(A$1,,,SUMPRODUCT(MAX(ROW(E$1:E3103)*(E2=E$1:E3103))))))</f>
        <v/>
      </c>
      <c r="K3104" s="24" t="str">
        <f>IF(OR(E3104="",E3104="!!!",F3104="NEW"),"",INDEX(J$1:J3103,SUMPRODUCT(MAX(ROW(E$1:E3103)*(E3104=E$1:E3103)))))</f>
        <v/>
      </c>
      <c r="L3104" s="25"/>
    </row>
    <row r="3105" spans="1:12" x14ac:dyDescent="0.2">
      <c r="A3105" t="s">
        <v>928</v>
      </c>
      <c r="E3105" s="20" t="str">
        <f t="shared" si="333"/>
        <v/>
      </c>
      <c r="F3105" s="21" t="str">
        <f>IF(OR(E3105="",E3105="!!!"),"",IF(NOT(ISNA(VLOOKUP(E3105,E$1:E3104,1,FALSE()))),"OLD",IF(AND(E3105&lt;&gt;"",E3105&lt;&gt;"!!!"),"NEW","")))</f>
        <v/>
      </c>
      <c r="G3105" s="22" t="str">
        <f>IF(OR(E3105="",E3105="!!!"),"",IF(OR(J3105=0,AND(J3105=1,K3105=1),AND(J3105=1,I3105="SBJ"),AND(J3105=1,I3105=0)),"?IN_FOCUS",IF(J3105&lt;=2,"?ACTIVATED",IF(J3105&lt;&gt;"","?FAMILIAR",IF(F3105="NEW",IF(ISNA(VLOOKUP(E3105,#REF!,1,FALSE())),"?TYPE_IDENTIFIABLE","?REFERENTIAL"),"_")))))</f>
        <v/>
      </c>
      <c r="H3105" s="23" t="str">
        <f t="shared" ca="1" si="332"/>
        <v/>
      </c>
      <c r="I3105" s="24" t="str">
        <f>IF(OR(E3105="",E3105="!!!",F3105="NEW"),"",INDEX(B$2:B3104,-1+SUMPRODUCT(MAX(ROW(E$2:E3104)*(E3105=E$2:E3104)))))</f>
        <v/>
      </c>
      <c r="J3105" s="24" t="str">
        <f ca="1">IF(OR(E3105="",E3105="!!!",F3105="NEW"),"",COUNTBLANK(OFFSET(A$1,,,SUMPRODUCT(MAX(ROW(E$2:E3105)*(E3105=E$2:E3105)))))-COUNTBLANK(OFFSET(A$1,,,SUMPRODUCT(MAX(ROW(E$1:E3104)*(E2=E$1:E3104))))))</f>
        <v/>
      </c>
      <c r="K3105" s="24" t="str">
        <f>IF(OR(E3105="",E3105="!!!",F3105="NEW"),"",INDEX(J$1:J3104,SUMPRODUCT(MAX(ROW(E$1:E3104)*(E3105=E$1:E3104)))))</f>
        <v/>
      </c>
      <c r="L3105" s="25"/>
    </row>
    <row r="3106" spans="1:12" x14ac:dyDescent="0.2">
      <c r="A3106" t="s">
        <v>845</v>
      </c>
      <c r="E3106" s="20" t="str">
        <f t="shared" si="333"/>
        <v/>
      </c>
      <c r="F3106" s="21" t="str">
        <f>IF(OR(E3106="",E3106="!!!"),"",IF(NOT(ISNA(VLOOKUP(E3106,E$1:E3105,1,FALSE()))),"OLD",IF(AND(E3106&lt;&gt;"",E3106&lt;&gt;"!!!"),"NEW","")))</f>
        <v/>
      </c>
      <c r="G3106" s="22" t="str">
        <f>IF(OR(E3106="",E3106="!!!"),"",IF(OR(J3106=0,AND(J3106=1,K3106=1),AND(J3106=1,I3106="SBJ"),AND(J3106=1,I3106=0)),"?IN_FOCUS",IF(J3106&lt;=2,"?ACTIVATED",IF(J3106&lt;&gt;"","?FAMILIAR",IF(F3106="NEW",IF(ISNA(VLOOKUP(E3106,#REF!,1,FALSE())),"?TYPE_IDENTIFIABLE","?REFERENTIAL"),"_")))))</f>
        <v/>
      </c>
      <c r="H3106" s="23" t="str">
        <f t="shared" ca="1" si="332"/>
        <v/>
      </c>
      <c r="I3106" s="24" t="str">
        <f>IF(OR(E3106="",E3106="!!!",F3106="NEW"),"",INDEX(B$2:B3105,-1+SUMPRODUCT(MAX(ROW(E$2:E3105)*(E3106=E$2:E3105)))))</f>
        <v/>
      </c>
      <c r="J3106" s="24" t="str">
        <f ca="1">IF(OR(E3106="",E3106="!!!",F3106="NEW"),"",COUNTBLANK(OFFSET(A$1,,,SUMPRODUCT(MAX(ROW(E$2:E3106)*(E3106=E$2:E3106)))))-COUNTBLANK(OFFSET(A$1,,,SUMPRODUCT(MAX(ROW(E$1:E3105)*(E2=E$1:E3105))))))</f>
        <v/>
      </c>
      <c r="K3106" s="24" t="str">
        <f>IF(OR(E3106="",E3106="!!!",F3106="NEW"),"",INDEX(J$1:J3105,SUMPRODUCT(MAX(ROW(E$1:E3105)*(E3106=E$1:E3105)))))</f>
        <v/>
      </c>
      <c r="L3106" s="25"/>
    </row>
    <row r="3107" spans="1:12" x14ac:dyDescent="0.2">
      <c r="A3107" t="s">
        <v>1046</v>
      </c>
      <c r="E3107" s="20" t="str">
        <f t="shared" si="333"/>
        <v/>
      </c>
      <c r="F3107" s="21" t="str">
        <f>IF(OR(E3107="",E3107="!!!"),"",IF(NOT(ISNA(VLOOKUP(E3107,E$1:E3106,1,FALSE()))),"OLD",IF(AND(E3107&lt;&gt;"",E3107&lt;&gt;"!!!"),"NEW","")))</f>
        <v/>
      </c>
      <c r="G3107" s="22" t="str">
        <f>IF(OR(E3107="",E3107="!!!"),"",IF(OR(J3107=0,AND(J3107=1,K3107=1),AND(J3107=1,I3107="SBJ"),AND(J3107=1,I3107=0)),"?IN_FOCUS",IF(J3107&lt;=2,"?ACTIVATED",IF(J3107&lt;&gt;"","?FAMILIAR",IF(F3107="NEW",IF(ISNA(VLOOKUP(E3107,#REF!,1,FALSE())),"?TYPE_IDENTIFIABLE","?REFERENTIAL"),"_")))))</f>
        <v/>
      </c>
      <c r="H3107" s="23" t="str">
        <f t="shared" ca="1" si="332"/>
        <v/>
      </c>
      <c r="I3107" s="24" t="str">
        <f>IF(OR(E3107="",E3107="!!!",F3107="NEW"),"",INDEX(B$2:B3106,-1+SUMPRODUCT(MAX(ROW(E$2:E3106)*(E3107=E$2:E3106)))))</f>
        <v/>
      </c>
      <c r="J3107" s="24" t="str">
        <f ca="1">IF(OR(E3107="",E3107="!!!",F3107="NEW"),"",COUNTBLANK(OFFSET(A$1,,,SUMPRODUCT(MAX(ROW(E$2:E3107)*(E3107=E$2:E3107)))))-COUNTBLANK(OFFSET(A$1,,,SUMPRODUCT(MAX(ROW(E$1:E3106)*(E2=E$1:E3106))))))</f>
        <v/>
      </c>
      <c r="K3107" s="24" t="str">
        <f>IF(OR(E3107="",E3107="!!!",F3107="NEW"),"",INDEX(J$1:J3106,SUMPRODUCT(MAX(ROW(E$1:E3106)*(E3107=E$1:E3106)))))</f>
        <v/>
      </c>
      <c r="L3107" s="25"/>
    </row>
    <row r="3108" spans="1:12" x14ac:dyDescent="0.2">
      <c r="A3108" t="s">
        <v>1677</v>
      </c>
      <c r="B3108" s="26" t="s">
        <v>819</v>
      </c>
      <c r="C3108" s="26" t="s">
        <v>847</v>
      </c>
      <c r="D3108" s="26" t="s">
        <v>806</v>
      </c>
      <c r="E3108" s="20" t="s">
        <v>1811</v>
      </c>
      <c r="F3108" s="21" t="str">
        <f>IF(OR(E3108="",E3108="!!!"),"",IF(NOT(ISNA(VLOOKUP(E3108,E$1:E3107,1,FALSE()))),"OLD",IF(AND(E3108&lt;&gt;"",E3108&lt;&gt;"!!!"),"NEW","")))</f>
        <v>NEW</v>
      </c>
      <c r="G3108" s="22" t="s">
        <v>1824</v>
      </c>
      <c r="H3108" s="23" t="str">
        <f t="shared" ca="1" si="332"/>
        <v/>
      </c>
      <c r="I3108" s="24" t="str">
        <f>IF(OR(E3108="",E3108="!!!",F3108="NEW"),"",INDEX(B$2:B3107,-1+SUMPRODUCT(MAX(ROW(E$2:E3107)*(E3108=E$2:E3107)))))</f>
        <v/>
      </c>
      <c r="J3108" s="24" t="str">
        <f ca="1">IF(OR(E3108="",E3108="!!!",F3108="NEW"),"",COUNTBLANK(OFFSET(A$1,,,SUMPRODUCT(MAX(ROW(E$2:E3108)*(E3108=E$2:E3108)))))-COUNTBLANK(OFFSET(A$1,,,SUMPRODUCT(MAX(ROW(E$1:E3107)*(E2=E$1:E3107))))))</f>
        <v/>
      </c>
      <c r="K3108" s="24" t="str">
        <f>IF(OR(E3108="",E3108="!!!",F3108="NEW"),"",INDEX(J$1:J3107,SUMPRODUCT(MAX(ROW(E$1:E3107)*(E3108=E$1:E3107)))))</f>
        <v/>
      </c>
      <c r="L3108" s="25"/>
    </row>
    <row r="3109" spans="1:12" x14ac:dyDescent="0.2">
      <c r="A3109" t="s">
        <v>812</v>
      </c>
      <c r="E3109" s="20" t="str">
        <f t="shared" si="333"/>
        <v/>
      </c>
      <c r="F3109" s="21" t="str">
        <f>IF(OR(E3109="",E3109="!!!"),"",IF(NOT(ISNA(VLOOKUP(E3109,E$1:E3108,1,FALSE()))),"OLD",IF(AND(E3109&lt;&gt;"",E3109&lt;&gt;"!!!"),"NEW","")))</f>
        <v/>
      </c>
      <c r="G3109" s="22" t="str">
        <f>IF(OR(E3109="",E3109="!!!"),"",IF(OR(J3109=0,AND(J3109=1,K3109=1),AND(J3109=1,I3109="SBJ"),AND(J3109=1,I3109=0)),"?IN_FOCUS",IF(J3109&lt;=2,"?ACTIVATED",IF(J3109&lt;&gt;"","?FAMILIAR",IF(F3109="NEW",IF(ISNA(VLOOKUP(E3109,#REF!,1,FALSE())),"?TYPE_IDENTIFIABLE","?REFERENTIAL"),"_")))))</f>
        <v/>
      </c>
      <c r="H3109" s="23" t="str">
        <f t="shared" ca="1" si="332"/>
        <v/>
      </c>
      <c r="I3109" s="24" t="str">
        <f>IF(OR(E3109="",E3109="!!!",F3109="NEW"),"",INDEX(B$2:B3108,-1+SUMPRODUCT(MAX(ROW(E$2:E3108)*(E3109=E$2:E3108)))))</f>
        <v/>
      </c>
      <c r="J3109" s="24" t="str">
        <f ca="1">IF(OR(E3109="",E3109="!!!",F3109="NEW"),"",COUNTBLANK(OFFSET(A$1,,,SUMPRODUCT(MAX(ROW(E$2:E3109)*(E3109=E$2:E3109)))))-COUNTBLANK(OFFSET(A$1,,,SUMPRODUCT(MAX(ROW(E$1:E3108)*(E2=E$1:E3108))))))</f>
        <v/>
      </c>
      <c r="K3109" s="24" t="str">
        <f>IF(OR(E3109="",E3109="!!!",F3109="NEW"),"",INDEX(J$1:J3108,SUMPRODUCT(MAX(ROW(E$1:E3108)*(E3109=E$1:E3108)))))</f>
        <v/>
      </c>
      <c r="L3109" s="25"/>
    </row>
    <row r="3110" spans="1:12" x14ac:dyDescent="0.2">
      <c r="A3110" t="s">
        <v>1678</v>
      </c>
      <c r="E3110" s="20" t="str">
        <f t="shared" si="333"/>
        <v/>
      </c>
      <c r="F3110" s="21" t="str">
        <f>IF(OR(E3110="",E3110="!!!"),"",IF(NOT(ISNA(VLOOKUP(E3110,E$1:E3109,1,FALSE()))),"OLD",IF(AND(E3110&lt;&gt;"",E3110&lt;&gt;"!!!"),"NEW","")))</f>
        <v/>
      </c>
      <c r="G3110" s="22" t="str">
        <f>IF(OR(E3110="",E3110="!!!"),"",IF(OR(J3110=0,AND(J3110=1,K3110=1),AND(J3110=1,I3110="SBJ"),AND(J3110=1,I3110=0)),"?IN_FOCUS",IF(J3110&lt;=2,"?ACTIVATED",IF(J3110&lt;&gt;"","?FAMILIAR",IF(F3110="NEW",IF(ISNA(VLOOKUP(E3110,#REF!,1,FALSE())),"?TYPE_IDENTIFIABLE","?REFERENTIAL"),"_")))))</f>
        <v/>
      </c>
      <c r="H3110" s="23" t="str">
        <f t="shared" ca="1" si="332"/>
        <v/>
      </c>
      <c r="I3110" s="24" t="str">
        <f>IF(OR(E3110="",E3110="!!!",F3110="NEW"),"",INDEX(B$2:B3109,-1+SUMPRODUCT(MAX(ROW(E$2:E3109)*(E3110=E$2:E3109)))))</f>
        <v/>
      </c>
      <c r="J3110" s="24" t="str">
        <f ca="1">IF(OR(E3110="",E3110="!!!",F3110="NEW"),"",COUNTBLANK(OFFSET(A$1,,,SUMPRODUCT(MAX(ROW(E$2:E3110)*(E3110=E$2:E3110)))))-COUNTBLANK(OFFSET(A$1,,,SUMPRODUCT(MAX(ROW(E$1:E3109)*(E2=E$1:E3109))))))</f>
        <v/>
      </c>
      <c r="K3110" s="24" t="str">
        <f>IF(OR(E3110="",E3110="!!!",F3110="NEW"),"",INDEX(J$1:J3109,SUMPRODUCT(MAX(ROW(E$1:E3109)*(E3110=E$1:E3109)))))</f>
        <v/>
      </c>
      <c r="L3110" s="25"/>
    </row>
    <row r="3111" spans="1:12" x14ac:dyDescent="0.2">
      <c r="A3111" t="s">
        <v>1611</v>
      </c>
      <c r="B3111" s="26" t="s">
        <v>819</v>
      </c>
      <c r="C3111" s="26" t="s">
        <v>814</v>
      </c>
      <c r="E3111" s="20" t="str">
        <f t="shared" si="333"/>
        <v/>
      </c>
      <c r="F3111" s="21" t="str">
        <f>IF(OR(E3111="",E3111="!!!"),"",IF(NOT(ISNA(VLOOKUP(E3111,E$1:E3110,1,FALSE()))),"OLD",IF(AND(E3111&lt;&gt;"",E3111&lt;&gt;"!!!"),"NEW","")))</f>
        <v/>
      </c>
      <c r="G3111" s="22" t="str">
        <f>IF(OR(E3111="",E3111="!!!"),"",IF(OR(J3111=0,AND(J3111=1,K3111=1),AND(J3111=1,I3111="SBJ"),AND(J3111=1,I3111=0)),"?IN_FOCUS",IF(J3111&lt;=2,"?ACTIVATED",IF(J3111&lt;&gt;"","?FAMILIAR",IF(F3111="NEW",IF(ISNA(VLOOKUP(E3111,#REF!,1,FALSE())),"?TYPE_IDENTIFIABLE","?REFERENTIAL"),"_")))))</f>
        <v/>
      </c>
      <c r="H3111" s="23" t="str">
        <f t="shared" ca="1" si="332"/>
        <v/>
      </c>
      <c r="I3111" s="24" t="str">
        <f>IF(OR(E3111="",E3111="!!!",F3111="NEW"),"",INDEX(B$2:B3110,-1+SUMPRODUCT(MAX(ROW(E$2:E3110)*(E3111=E$2:E3110)))))</f>
        <v/>
      </c>
      <c r="J3111" s="24" t="str">
        <f ca="1">IF(OR(E3111="",E3111="!!!",F3111="NEW"),"",COUNTBLANK(OFFSET(A$1,,,SUMPRODUCT(MAX(ROW(E$2:E3111)*(E3111=E$2:E3111)))))-COUNTBLANK(OFFSET(A$1,,,SUMPRODUCT(MAX(ROW(E$1:E3110)*(E2=E$1:E3110))))))</f>
        <v/>
      </c>
      <c r="K3111" s="24" t="str">
        <f>IF(OR(E3111="",E3111="!!!",F3111="NEW"),"",INDEX(J$1:J3110,SUMPRODUCT(MAX(ROW(E$1:E3110)*(E3111=E$1:E3110)))))</f>
        <v/>
      </c>
      <c r="L3111" s="25"/>
    </row>
    <row r="3112" spans="1:12" x14ac:dyDescent="0.2">
      <c r="A3112" t="s">
        <v>821</v>
      </c>
      <c r="E3112" s="20" t="str">
        <f t="shared" si="333"/>
        <v/>
      </c>
      <c r="F3112" s="21" t="str">
        <f>IF(OR(E3112="",E3112="!!!"),"",IF(NOT(ISNA(VLOOKUP(E3112,E$1:E3111,1,FALSE()))),"OLD",IF(AND(E3112&lt;&gt;"",E3112&lt;&gt;"!!!"),"NEW","")))</f>
        <v/>
      </c>
      <c r="G3112" s="22" t="str">
        <f>IF(OR(E3112="",E3112="!!!"),"",IF(OR(J3112=0,AND(J3112=1,K3112=1),AND(J3112=1,I3112="SBJ"),AND(J3112=1,I3112=0)),"?IN_FOCUS",IF(J3112&lt;=2,"?ACTIVATED",IF(J3112&lt;&gt;"","?FAMILIAR",IF(F3112="NEW",IF(ISNA(VLOOKUP(E3112,#REF!,1,FALSE())),"?TYPE_IDENTIFIABLE","?REFERENTIAL"),"_")))))</f>
        <v/>
      </c>
      <c r="H3112" s="23" t="str">
        <f t="shared" ca="1" si="332"/>
        <v/>
      </c>
      <c r="I3112" s="24" t="str">
        <f>IF(OR(E3112="",E3112="!!!",F3112="NEW"),"",INDEX(B$2:B3111,-1+SUMPRODUCT(MAX(ROW(E$2:E3111)*(E3112=E$2:E3111)))))</f>
        <v/>
      </c>
      <c r="J3112" s="24" t="str">
        <f ca="1">IF(OR(E3112="",E3112="!!!",F3112="NEW"),"",COUNTBLANK(OFFSET(A$1,,,SUMPRODUCT(MAX(ROW(E$2:E3112)*(E3112=E$2:E3112)))))-COUNTBLANK(OFFSET(A$1,,,SUMPRODUCT(MAX(ROW(E$1:E3111)*(E2=E$1:E3111))))))</f>
        <v/>
      </c>
      <c r="K3112" s="24" t="str">
        <f>IF(OR(E3112="",E3112="!!!",F3112="NEW"),"",INDEX(J$1:J3111,SUMPRODUCT(MAX(ROW(E$1:E3111)*(E3112=E$1:E3111)))))</f>
        <v/>
      </c>
      <c r="L3112" s="25"/>
    </row>
    <row r="3114" spans="1:12" x14ac:dyDescent="0.2">
      <c r="A3114" t="s">
        <v>1679</v>
      </c>
    </row>
    <row r="3115" spans="1:12" x14ac:dyDescent="0.2">
      <c r="A3115" t="s">
        <v>1026</v>
      </c>
      <c r="B3115" s="26" t="s">
        <v>804</v>
      </c>
      <c r="C3115" s="26" t="s">
        <v>805</v>
      </c>
      <c r="D3115" s="26" t="s">
        <v>806</v>
      </c>
      <c r="E3115" s="20"/>
      <c r="F3115" s="21" t="s">
        <v>1781</v>
      </c>
      <c r="G3115" s="22" t="str">
        <f>IF(OR(E3115="",E3115="!!!"),"",IF(OR(J3115=0,AND(J3115=1,K3115=1),AND(J3115=1,I3115="SBJ"),AND(J3115=1,I3115=0)),"?IN_FOCUS",IF(J3115&lt;=2,"?ACTIVATED",IF(J3115&lt;&gt;"","?FAMILIAR",IF(F3115="NEW",IF(ISNA(VLOOKUP(E3115,#REF!,1,FALSE())),"?TYPE_IDENTIFIABLE","?REFERENTIAL"),"_")))))</f>
        <v/>
      </c>
      <c r="H3115" s="23" t="str">
        <f t="shared" ref="H3115:H3142" ca="1" si="334">IF(J3115&lt;&gt;1,"",IF(I3115="SBJ","CB","?"))</f>
        <v/>
      </c>
      <c r="I3115" s="24" t="str">
        <f>IF(OR(E3115="",E3115="!!!",F3115="NEW"),"",INDEX(B$2:B3114,-1+SUMPRODUCT(MAX(ROW(E$2:E3114)*(E3115=E$2:E3114)))))</f>
        <v/>
      </c>
      <c r="J3115" s="24" t="str">
        <f ca="1">IF(OR(E3115="",E3115="!!!",F3115="NEW"),"",COUNTBLANK(OFFSET(A$1,,,SUMPRODUCT(MAX(ROW(E$2:E3115)*(E3115=E$2:E3115)))))-COUNTBLANK(OFFSET(A$1,,,SUMPRODUCT(MAX(ROW(E$1:E3114)*(E2=E$1:E3114))))))</f>
        <v/>
      </c>
      <c r="K3115" s="24" t="str">
        <f>IF(OR(E3115="",E3115="!!!",F3115="NEW"),"",INDEX(J$1:J3114,SUMPRODUCT(MAX(ROW(E$1:E3114)*(E3115=E$1:E3114)))))</f>
        <v/>
      </c>
      <c r="L3115" s="25"/>
    </row>
    <row r="3116" spans="1:12" x14ac:dyDescent="0.2">
      <c r="A3116" t="s">
        <v>1486</v>
      </c>
      <c r="E3116" s="20" t="str">
        <f t="shared" ref="E3115:E3142" si="335">IF(D3116="?OLD","!!!","")</f>
        <v/>
      </c>
      <c r="F3116" s="21" t="str">
        <f>IF(OR(E3116="",E3116="!!!"),"",IF(NOT(ISNA(VLOOKUP(E3116,E$1:E3115,1,FALSE()))),"OLD",IF(AND(E3116&lt;&gt;"",E3116&lt;&gt;"!!!"),"NEW","")))</f>
        <v/>
      </c>
      <c r="G3116" s="22" t="str">
        <f>IF(OR(E3116="",E3116="!!!"),"",IF(OR(J3116=0,AND(J3116=1,K3116=1),AND(J3116=1,I3116="SBJ"),AND(J3116=1,I3116=0)),"?IN_FOCUS",IF(J3116&lt;=2,"?ACTIVATED",IF(J3116&lt;&gt;"","?FAMILIAR",IF(F3116="NEW",IF(ISNA(VLOOKUP(E3116,#REF!,1,FALSE())),"?TYPE_IDENTIFIABLE","?REFERENTIAL"),"_")))))</f>
        <v/>
      </c>
      <c r="H3116" s="23" t="str">
        <f t="shared" ca="1" si="334"/>
        <v/>
      </c>
      <c r="I3116" s="24" t="str">
        <f>IF(OR(E3116="",E3116="!!!",F3116="NEW"),"",INDEX(B$2:B3115,-1+SUMPRODUCT(MAX(ROW(E$2:E3115)*(E3116=E$2:E3115)))))</f>
        <v/>
      </c>
      <c r="J3116" s="24" t="str">
        <f ca="1">IF(OR(E3116="",E3116="!!!",F3116="NEW"),"",COUNTBLANK(OFFSET(A$1,,,SUMPRODUCT(MAX(ROW(E$2:E3116)*(E3116=E$2:E3116)))))-COUNTBLANK(OFFSET(A$1,,,SUMPRODUCT(MAX(ROW(E$1:E3115)*(E2=E$1:E3115))))))</f>
        <v/>
      </c>
      <c r="K3116" s="24" t="str">
        <f>IF(OR(E3116="",E3116="!!!",F3116="NEW"),"",INDEX(J$1:J3115,SUMPRODUCT(MAX(ROW(E$1:E3115)*(E3116=E$1:E3115)))))</f>
        <v/>
      </c>
      <c r="L3116" s="25"/>
    </row>
    <row r="3117" spans="1:12" x14ac:dyDescent="0.2">
      <c r="A3117" t="s">
        <v>51</v>
      </c>
      <c r="E3117" s="20" t="str">
        <f t="shared" si="335"/>
        <v/>
      </c>
      <c r="F3117" s="21" t="str">
        <f>IF(OR(E3117="",E3117="!!!"),"",IF(NOT(ISNA(VLOOKUP(E3117,E$1:E3116,1,FALSE()))),"OLD",IF(AND(E3117&lt;&gt;"",E3117&lt;&gt;"!!!"),"NEW","")))</f>
        <v/>
      </c>
      <c r="G3117" s="22" t="str">
        <f>IF(OR(E3117="",E3117="!!!"),"",IF(OR(J3117=0,AND(J3117=1,K3117=1),AND(J3117=1,I3117="SBJ"),AND(J3117=1,I3117=0)),"?IN_FOCUS",IF(J3117&lt;=2,"?ACTIVATED",IF(J3117&lt;&gt;"","?FAMILIAR",IF(F3117="NEW",IF(ISNA(VLOOKUP(E3117,#REF!,1,FALSE())),"?TYPE_IDENTIFIABLE","?REFERENTIAL"),"_")))))</f>
        <v/>
      </c>
      <c r="H3117" s="23" t="str">
        <f t="shared" ca="1" si="334"/>
        <v/>
      </c>
      <c r="I3117" s="24" t="str">
        <f>IF(OR(E3117="",E3117="!!!",F3117="NEW"),"",INDEX(B$2:B3116,-1+SUMPRODUCT(MAX(ROW(E$2:E3116)*(E3117=E$2:E3116)))))</f>
        <v/>
      </c>
      <c r="J3117" s="24" t="str">
        <f ca="1">IF(OR(E3117="",E3117="!!!",F3117="NEW"),"",COUNTBLANK(OFFSET(A$1,,,SUMPRODUCT(MAX(ROW(E$2:E3117)*(E3117=E$2:E3117)))))-COUNTBLANK(OFFSET(A$1,,,SUMPRODUCT(MAX(ROW(E$1:E3116)*(E2=E$1:E3116))))))</f>
        <v/>
      </c>
      <c r="K3117" s="24" t="str">
        <f>IF(OR(E3117="",E3117="!!!",F3117="NEW"),"",INDEX(J$1:J3116,SUMPRODUCT(MAX(ROW(E$1:E3116)*(E3117=E$1:E3116)))))</f>
        <v/>
      </c>
      <c r="L3117" s="25"/>
    </row>
    <row r="3118" spans="1:12" x14ac:dyDescent="0.2">
      <c r="A3118" t="s">
        <v>830</v>
      </c>
      <c r="B3118" s="26" t="s">
        <v>810</v>
      </c>
      <c r="C3118" s="26" t="s">
        <v>805</v>
      </c>
      <c r="D3118" s="26" t="s">
        <v>806</v>
      </c>
      <c r="E3118" s="20" t="s">
        <v>1810</v>
      </c>
      <c r="F3118" s="21" t="str">
        <f>IF(OR(E3118="",E3118="!!!"),"",IF(NOT(ISNA(VLOOKUP(E3118,E$1:E3117,1,FALSE()))),"OLD",IF(AND(E3118&lt;&gt;"",E3118&lt;&gt;"!!!"),"NEW","")))</f>
        <v>OLD</v>
      </c>
      <c r="G3118" s="22" t="s">
        <v>1823</v>
      </c>
      <c r="H3118" s="23" t="str">
        <f t="shared" ca="1" si="334"/>
        <v/>
      </c>
      <c r="I3118" s="24" t="str">
        <f>IF(OR(E3118="",E3118="!!!",F3118="NEW"),"",INDEX(B$2:B3117,-1+SUMPRODUCT(MAX(ROW(E$2:E3117)*(E3118=E$2:E3117)))))</f>
        <v>SBJ</v>
      </c>
      <c r="J3118" s="24">
        <f ca="1">IF(OR(E3118="",E3118="!!!",F3118="NEW"),"",COUNTBLANK(OFFSET(A$1,,,SUMPRODUCT(MAX(ROW(E$2:E3118)*(E3118=E$2:E3118)))))-COUNTBLANK(OFFSET(A$1,,,SUMPRODUCT(MAX(ROW(E$1:E3117)*(E2=E$1:E3117))))))</f>
        <v>0</v>
      </c>
      <c r="K3118" s="24">
        <f ca="1">IF(OR(E3118="",E3118="!!!",F3118="NEW"),"",INDEX(J$1:J3117,SUMPRODUCT(MAX(ROW(E$1:E3117)*(E3118=E$1:E3117)))))</f>
        <v>0</v>
      </c>
      <c r="L3118" s="25"/>
    </row>
    <row r="3119" spans="1:12" x14ac:dyDescent="0.2">
      <c r="A3119" t="s">
        <v>148</v>
      </c>
      <c r="B3119" s="26" t="s">
        <v>819</v>
      </c>
      <c r="C3119" s="26" t="s">
        <v>850</v>
      </c>
      <c r="E3119" s="20" t="str">
        <f t="shared" si="335"/>
        <v/>
      </c>
      <c r="F3119" s="21" t="str">
        <f>IF(OR(E3119="",E3119="!!!"),"",IF(NOT(ISNA(VLOOKUP(E3119,E$1:E3118,1,FALSE()))),"OLD",IF(AND(E3119&lt;&gt;"",E3119&lt;&gt;"!!!"),"NEW","")))</f>
        <v/>
      </c>
      <c r="G3119" s="22" t="str">
        <f>IF(OR(E3119="",E3119="!!!"),"",IF(OR(J3119=0,AND(J3119=1,K3119=1),AND(J3119=1,I3119="SBJ"),AND(J3119=1,I3119=0)),"?IN_FOCUS",IF(J3119&lt;=2,"?ACTIVATED",IF(J3119&lt;&gt;"","?FAMILIAR",IF(F3119="NEW",IF(ISNA(VLOOKUP(E3119,#REF!,1,FALSE())),"?TYPE_IDENTIFIABLE","?REFERENTIAL"),"_")))))</f>
        <v/>
      </c>
      <c r="H3119" s="23" t="str">
        <f t="shared" ca="1" si="334"/>
        <v/>
      </c>
      <c r="I3119" s="24" t="str">
        <f>IF(OR(E3119="",E3119="!!!",F3119="NEW"),"",INDEX(B$2:B3118,-1+SUMPRODUCT(MAX(ROW(E$2:E3118)*(E3119=E$2:E3118)))))</f>
        <v/>
      </c>
      <c r="J3119" s="24" t="str">
        <f ca="1">IF(OR(E3119="",E3119="!!!",F3119="NEW"),"",COUNTBLANK(OFFSET(A$1,,,SUMPRODUCT(MAX(ROW(E$2:E3119)*(E3119=E$2:E3119)))))-COUNTBLANK(OFFSET(A$1,,,SUMPRODUCT(MAX(ROW(E$1:E3118)*(E2=E$1:E3118))))))</f>
        <v/>
      </c>
      <c r="K3119" s="24" t="str">
        <f>IF(OR(E3119="",E3119="!!!",F3119="NEW"),"",INDEX(J$1:J3118,SUMPRODUCT(MAX(ROW(E$1:E3118)*(E3119=E$1:E3118)))))</f>
        <v/>
      </c>
      <c r="L3119" s="25"/>
    </row>
    <row r="3120" spans="1:12" x14ac:dyDescent="0.2">
      <c r="A3120" t="s">
        <v>830</v>
      </c>
      <c r="B3120" s="26" t="s">
        <v>950</v>
      </c>
      <c r="C3120" s="26" t="s">
        <v>805</v>
      </c>
      <c r="D3120" s="26" t="s">
        <v>806</v>
      </c>
      <c r="E3120" s="20" t="s">
        <v>1810</v>
      </c>
      <c r="F3120" s="21" t="str">
        <f>IF(OR(E3120="",E3120="!!!"),"",IF(NOT(ISNA(VLOOKUP(E3120,E$1:E3119,1,FALSE()))),"OLD",IF(AND(E3120&lt;&gt;"",E3120&lt;&gt;"!!!"),"NEW","")))</f>
        <v>OLD</v>
      </c>
      <c r="G3120" s="22" t="s">
        <v>1823</v>
      </c>
      <c r="H3120" s="23" t="str">
        <f t="shared" ca="1" si="334"/>
        <v/>
      </c>
      <c r="I3120" s="24" t="str">
        <f>IF(OR(E3120="",E3120="!!!",F3120="NEW"),"",INDEX(B$2:B3119,-1+SUMPRODUCT(MAX(ROW(E$2:E3119)*(E3120=E$2:E3119)))))</f>
        <v>OBJ</v>
      </c>
      <c r="J3120" s="24">
        <f ca="1">IF(OR(E3120="",E3120="!!!",F3120="NEW"),"",COUNTBLANK(OFFSET(A$1,,,SUMPRODUCT(MAX(ROW(E$2:E3120)*(E3120=E$2:E3120)))))-COUNTBLANK(OFFSET(A$1,,,SUMPRODUCT(MAX(ROW(E$1:E3119)*(E2=E$1:E3119))))))</f>
        <v>0</v>
      </c>
      <c r="K3120" s="24">
        <f ca="1">IF(OR(E3120="",E3120="!!!",F3120="NEW"),"",INDEX(J$1:J3119,SUMPRODUCT(MAX(ROW(E$1:E3119)*(E3120=E$1:E3119)))))</f>
        <v>0</v>
      </c>
      <c r="L3120" s="25"/>
    </row>
    <row r="3121" spans="1:12" x14ac:dyDescent="0.2">
      <c r="A3121" t="s">
        <v>963</v>
      </c>
      <c r="E3121" s="20" t="str">
        <f t="shared" si="335"/>
        <v/>
      </c>
      <c r="F3121" s="21" t="str">
        <f>IF(OR(E3121="",E3121="!!!"),"",IF(NOT(ISNA(VLOOKUP(E3121,E$1:E3120,1,FALSE()))),"OLD",IF(AND(E3121&lt;&gt;"",E3121&lt;&gt;"!!!"),"NEW","")))</f>
        <v/>
      </c>
      <c r="G3121" s="22" t="str">
        <f>IF(OR(E3121="",E3121="!!!"),"",IF(OR(J3121=0,AND(J3121=1,K3121=1),AND(J3121=1,I3121="SBJ"),AND(J3121=1,I3121=0)),"?IN_FOCUS",IF(J3121&lt;=2,"?ACTIVATED",IF(J3121&lt;&gt;"","?FAMILIAR",IF(F3121="NEW",IF(ISNA(VLOOKUP(E3121,#REF!,1,FALSE())),"?TYPE_IDENTIFIABLE","?REFERENTIAL"),"_")))))</f>
        <v/>
      </c>
      <c r="H3121" s="23" t="str">
        <f t="shared" ca="1" si="334"/>
        <v/>
      </c>
      <c r="I3121" s="24" t="str">
        <f>IF(OR(E3121="",E3121="!!!",F3121="NEW"),"",INDEX(B$2:B3120,-1+SUMPRODUCT(MAX(ROW(E$2:E3120)*(E3121=E$2:E3120)))))</f>
        <v/>
      </c>
      <c r="J3121" s="24" t="str">
        <f ca="1">IF(OR(E3121="",E3121="!!!",F3121="NEW"),"",COUNTBLANK(OFFSET(A$1,,,SUMPRODUCT(MAX(ROW(E$2:E3121)*(E3121=E$2:E3121)))))-COUNTBLANK(OFFSET(A$1,,,SUMPRODUCT(MAX(ROW(E$1:E3120)*(E2=E$1:E3120))))))</f>
        <v/>
      </c>
      <c r="K3121" s="24" t="str">
        <f>IF(OR(E3121="",E3121="!!!",F3121="NEW"),"",INDEX(J$1:J3120,SUMPRODUCT(MAX(ROW(E$1:E3120)*(E3121=E$1:E3120)))))</f>
        <v/>
      </c>
      <c r="L3121" s="25"/>
    </row>
    <row r="3122" spans="1:12" x14ac:dyDescent="0.2">
      <c r="A3122" t="s">
        <v>839</v>
      </c>
      <c r="E3122" s="20" t="str">
        <f t="shared" si="335"/>
        <v/>
      </c>
      <c r="F3122" s="21" t="str">
        <f>IF(OR(E3122="",E3122="!!!"),"",IF(NOT(ISNA(VLOOKUP(E3122,E$1:E3121,1,FALSE()))),"OLD",IF(AND(E3122&lt;&gt;"",E3122&lt;&gt;"!!!"),"NEW","")))</f>
        <v/>
      </c>
      <c r="G3122" s="22" t="str">
        <f>IF(OR(E3122="",E3122="!!!"),"",IF(OR(J3122=0,AND(J3122=1,K3122=1),AND(J3122=1,I3122="SBJ"),AND(J3122=1,I3122=0)),"?IN_FOCUS",IF(J3122&lt;=2,"?ACTIVATED",IF(J3122&lt;&gt;"","?FAMILIAR",IF(F3122="NEW",IF(ISNA(VLOOKUP(E3122,#REF!,1,FALSE())),"?TYPE_IDENTIFIABLE","?REFERENTIAL"),"_")))))</f>
        <v/>
      </c>
      <c r="H3122" s="23" t="str">
        <f t="shared" ca="1" si="334"/>
        <v/>
      </c>
      <c r="I3122" s="24" t="str">
        <f>IF(OR(E3122="",E3122="!!!",F3122="NEW"),"",INDEX(B$2:B3121,-1+SUMPRODUCT(MAX(ROW(E$2:E3121)*(E3122=E$2:E3121)))))</f>
        <v/>
      </c>
      <c r="J3122" s="24" t="str">
        <f ca="1">IF(OR(E3122="",E3122="!!!",F3122="NEW"),"",COUNTBLANK(OFFSET(A$1,,,SUMPRODUCT(MAX(ROW(E$2:E3122)*(E3122=E$2:E3122)))))-COUNTBLANK(OFFSET(A$1,,,SUMPRODUCT(MAX(ROW(E$1:E3121)*(E2=E$1:E3121))))))</f>
        <v/>
      </c>
      <c r="K3122" s="24" t="str">
        <f>IF(OR(E3122="",E3122="!!!",F3122="NEW"),"",INDEX(J$1:J3121,SUMPRODUCT(MAX(ROW(E$1:E3121)*(E3122=E$1:E3121)))))</f>
        <v/>
      </c>
      <c r="L3122" s="25"/>
    </row>
    <row r="3123" spans="1:12" x14ac:dyDescent="0.2">
      <c r="A3123" t="s">
        <v>809</v>
      </c>
      <c r="E3123" s="20" t="str">
        <f t="shared" si="335"/>
        <v/>
      </c>
      <c r="F3123" s="21" t="str">
        <f>IF(OR(E3123="",E3123="!!!"),"",IF(NOT(ISNA(VLOOKUP(E3123,E$1:E3122,1,FALSE()))),"OLD",IF(AND(E3123&lt;&gt;"",E3123&lt;&gt;"!!!"),"NEW","")))</f>
        <v/>
      </c>
      <c r="G3123" s="22" t="str">
        <f>IF(OR(E3123="",E3123="!!!"),"",IF(OR(J3123=0,AND(J3123=1,K3123=1),AND(J3123=1,I3123="SBJ"),AND(J3123=1,I3123=0)),"?IN_FOCUS",IF(J3123&lt;=2,"?ACTIVATED",IF(J3123&lt;&gt;"","?FAMILIAR",IF(F3123="NEW",IF(ISNA(VLOOKUP(E3123,#REF!,1,FALSE())),"?TYPE_IDENTIFIABLE","?REFERENTIAL"),"_")))))</f>
        <v/>
      </c>
      <c r="H3123" s="23" t="str">
        <f t="shared" ca="1" si="334"/>
        <v/>
      </c>
      <c r="I3123" s="24" t="str">
        <f>IF(OR(E3123="",E3123="!!!",F3123="NEW"),"",INDEX(B$2:B3122,-1+SUMPRODUCT(MAX(ROW(E$2:E3122)*(E3123=E$2:E3122)))))</f>
        <v/>
      </c>
      <c r="J3123" s="24" t="str">
        <f ca="1">IF(OR(E3123="",E3123="!!!",F3123="NEW"),"",COUNTBLANK(OFFSET(A$1,,,SUMPRODUCT(MAX(ROW(E$2:E3123)*(E3123=E$2:E3123)))))-COUNTBLANK(OFFSET(A$1,,,SUMPRODUCT(MAX(ROW(E$1:E3122)*(E2=E$1:E3122))))))</f>
        <v/>
      </c>
      <c r="K3123" s="24" t="str">
        <f>IF(OR(E3123="",E3123="!!!",F3123="NEW"),"",INDEX(J$1:J3122,SUMPRODUCT(MAX(ROW(E$1:E3122)*(E3123=E$1:E3122)))))</f>
        <v/>
      </c>
      <c r="L3123" s="25"/>
    </row>
    <row r="3124" spans="1:12" x14ac:dyDescent="0.2">
      <c r="A3124" t="s">
        <v>1046</v>
      </c>
      <c r="B3124" s="26" t="s">
        <v>813</v>
      </c>
      <c r="C3124" s="26" t="s">
        <v>811</v>
      </c>
      <c r="E3124" s="20" t="str">
        <f t="shared" si="335"/>
        <v/>
      </c>
      <c r="F3124" s="21" t="str">
        <f>IF(OR(E3124="",E3124="!!!"),"",IF(NOT(ISNA(VLOOKUP(E3124,E$1:E3123,1,FALSE()))),"OLD",IF(AND(E3124&lt;&gt;"",E3124&lt;&gt;"!!!"),"NEW","")))</f>
        <v/>
      </c>
      <c r="G3124" s="22" t="str">
        <f>IF(OR(E3124="",E3124="!!!"),"",IF(OR(J3124=0,AND(J3124=1,K3124=1),AND(J3124=1,I3124="SBJ"),AND(J3124=1,I3124=0)),"?IN_FOCUS",IF(J3124&lt;=2,"?ACTIVATED",IF(J3124&lt;&gt;"","?FAMILIAR",IF(F3124="NEW",IF(ISNA(VLOOKUP(E3124,#REF!,1,FALSE())),"?TYPE_IDENTIFIABLE","?REFERENTIAL"),"_")))))</f>
        <v/>
      </c>
      <c r="H3124" s="23" t="str">
        <f t="shared" ca="1" si="334"/>
        <v/>
      </c>
      <c r="I3124" s="24" t="str">
        <f>IF(OR(E3124="",E3124="!!!",F3124="NEW"),"",INDEX(B$2:B3123,-1+SUMPRODUCT(MAX(ROW(E$2:E3123)*(E3124=E$2:E3123)))))</f>
        <v/>
      </c>
      <c r="J3124" s="24" t="str">
        <f ca="1">IF(OR(E3124="",E3124="!!!",F3124="NEW"),"",COUNTBLANK(OFFSET(A$1,,,SUMPRODUCT(MAX(ROW(E$2:E3124)*(E3124=E$2:E3124)))))-COUNTBLANK(OFFSET(A$1,,,SUMPRODUCT(MAX(ROW(E$1:E3123)*(E2=E$1:E3123))))))</f>
        <v/>
      </c>
      <c r="K3124" s="24" t="str">
        <f>IF(OR(E3124="",E3124="!!!",F3124="NEW"),"",INDEX(J$1:J3123,SUMPRODUCT(MAX(ROW(E$1:E3123)*(E3124=E$1:E3123)))))</f>
        <v/>
      </c>
      <c r="L3124" s="25"/>
    </row>
    <row r="3125" spans="1:12" x14ac:dyDescent="0.2">
      <c r="A3125" t="s">
        <v>815</v>
      </c>
      <c r="E3125" s="20" t="str">
        <f t="shared" si="335"/>
        <v/>
      </c>
      <c r="F3125" s="21" t="str">
        <f>IF(OR(E3125="",E3125="!!!"),"",IF(NOT(ISNA(VLOOKUP(E3125,E$1:E3124,1,FALSE()))),"OLD",IF(AND(E3125&lt;&gt;"",E3125&lt;&gt;"!!!"),"NEW","")))</f>
        <v/>
      </c>
      <c r="G3125" s="22" t="str">
        <f>IF(OR(E3125="",E3125="!!!"),"",IF(OR(J3125=0,AND(J3125=1,K3125=1),AND(J3125=1,I3125="SBJ"),AND(J3125=1,I3125=0)),"?IN_FOCUS",IF(J3125&lt;=2,"?ACTIVATED",IF(J3125&lt;&gt;"","?FAMILIAR",IF(F3125="NEW",IF(ISNA(VLOOKUP(E3125,#REF!,1,FALSE())),"?TYPE_IDENTIFIABLE","?REFERENTIAL"),"_")))))</f>
        <v/>
      </c>
      <c r="H3125" s="23" t="str">
        <f t="shared" ca="1" si="334"/>
        <v/>
      </c>
      <c r="I3125" s="24" t="str">
        <f>IF(OR(E3125="",E3125="!!!",F3125="NEW"),"",INDEX(B$2:B3124,-1+SUMPRODUCT(MAX(ROW(E$2:E3124)*(E3125=E$2:E3124)))))</f>
        <v/>
      </c>
      <c r="J3125" s="24" t="str">
        <f ca="1">IF(OR(E3125="",E3125="!!!",F3125="NEW"),"",COUNTBLANK(OFFSET(A$1,,,SUMPRODUCT(MAX(ROW(E$2:E3125)*(E3125=E$2:E3125)))))-COUNTBLANK(OFFSET(A$1,,,SUMPRODUCT(MAX(ROW(E$1:E3124)*(E2=E$1:E3124))))))</f>
        <v/>
      </c>
      <c r="K3125" s="24" t="str">
        <f>IF(OR(E3125="",E3125="!!!",F3125="NEW"),"",INDEX(J$1:J3124,SUMPRODUCT(MAX(ROW(E$1:E3124)*(E3125=E$1:E3124)))))</f>
        <v/>
      </c>
      <c r="L3125" s="25"/>
    </row>
    <row r="3126" spans="1:12" x14ac:dyDescent="0.2">
      <c r="A3126" t="s">
        <v>1680</v>
      </c>
      <c r="B3126" s="26" t="s">
        <v>864</v>
      </c>
      <c r="C3126" s="26" t="s">
        <v>814</v>
      </c>
      <c r="E3126" s="20" t="str">
        <f t="shared" si="335"/>
        <v/>
      </c>
      <c r="F3126" s="21" t="str">
        <f>IF(OR(E3126="",E3126="!!!"),"",IF(NOT(ISNA(VLOOKUP(E3126,E$1:E3125,1,FALSE()))),"OLD",IF(AND(E3126&lt;&gt;"",E3126&lt;&gt;"!!!"),"NEW","")))</f>
        <v/>
      </c>
      <c r="G3126" s="22" t="str">
        <f>IF(OR(E3126="",E3126="!!!"),"",IF(OR(J3126=0,AND(J3126=1,K3126=1),AND(J3126=1,I3126="SBJ"),AND(J3126=1,I3126=0)),"?IN_FOCUS",IF(J3126&lt;=2,"?ACTIVATED",IF(J3126&lt;&gt;"","?FAMILIAR",IF(F3126="NEW",IF(ISNA(VLOOKUP(E3126,#REF!,1,FALSE())),"?TYPE_IDENTIFIABLE","?REFERENTIAL"),"_")))))</f>
        <v/>
      </c>
      <c r="H3126" s="23" t="str">
        <f t="shared" ca="1" si="334"/>
        <v/>
      </c>
      <c r="I3126" s="24" t="str">
        <f>IF(OR(E3126="",E3126="!!!",F3126="NEW"),"",INDEX(B$2:B3125,-1+SUMPRODUCT(MAX(ROW(E$2:E3125)*(E3126=E$2:E3125)))))</f>
        <v/>
      </c>
      <c r="J3126" s="24" t="str">
        <f ca="1">IF(OR(E3126="",E3126="!!!",F3126="NEW"),"",COUNTBLANK(OFFSET(A$1,,,SUMPRODUCT(MAX(ROW(E$2:E3126)*(E3126=E$2:E3126)))))-COUNTBLANK(OFFSET(A$1,,,SUMPRODUCT(MAX(ROW(E$1:E3125)*(E2=E$1:E3125))))))</f>
        <v/>
      </c>
      <c r="K3126" s="24" t="str">
        <f>IF(OR(E3126="",E3126="!!!",F3126="NEW"),"",INDEX(J$1:J3125,SUMPRODUCT(MAX(ROW(E$1:E3125)*(E3126=E$1:E3125)))))</f>
        <v/>
      </c>
      <c r="L3126" s="25"/>
    </row>
    <row r="3127" spans="1:12" x14ac:dyDescent="0.2">
      <c r="A3127" t="s">
        <v>802</v>
      </c>
      <c r="E3127" s="20" t="str">
        <f t="shared" si="335"/>
        <v/>
      </c>
      <c r="F3127" s="21" t="str">
        <f>IF(OR(E3127="",E3127="!!!"),"",IF(NOT(ISNA(VLOOKUP(E3127,E$1:E3126,1,FALSE()))),"OLD",IF(AND(E3127&lt;&gt;"",E3127&lt;&gt;"!!!"),"NEW","")))</f>
        <v/>
      </c>
      <c r="G3127" s="22" t="str">
        <f>IF(OR(E3127="",E3127="!!!"),"",IF(OR(J3127=0,AND(J3127=1,K3127=1),AND(J3127=1,I3127="SBJ"),AND(J3127=1,I3127=0)),"?IN_FOCUS",IF(J3127&lt;=2,"?ACTIVATED",IF(J3127&lt;&gt;"","?FAMILIAR",IF(F3127="NEW",IF(ISNA(VLOOKUP(E3127,#REF!,1,FALSE())),"?TYPE_IDENTIFIABLE","?REFERENTIAL"),"_")))))</f>
        <v/>
      </c>
      <c r="H3127" s="23" t="str">
        <f t="shared" ca="1" si="334"/>
        <v/>
      </c>
      <c r="I3127" s="24" t="str">
        <f>IF(OR(E3127="",E3127="!!!",F3127="NEW"),"",INDEX(B$2:B3126,-1+SUMPRODUCT(MAX(ROW(E$2:E3126)*(E3127=E$2:E3126)))))</f>
        <v/>
      </c>
      <c r="J3127" s="24" t="str">
        <f ca="1">IF(OR(E3127="",E3127="!!!",F3127="NEW"),"",COUNTBLANK(OFFSET(A$1,,,SUMPRODUCT(MAX(ROW(E$2:E3127)*(E3127=E$2:E3127)))))-COUNTBLANK(OFFSET(A$1,,,SUMPRODUCT(MAX(ROW(E$1:E3126)*(E2=E$1:E3126))))))</f>
        <v/>
      </c>
      <c r="K3127" s="24" t="str">
        <f>IF(OR(E3127="",E3127="!!!",F3127="NEW"),"",INDEX(J$1:J3126,SUMPRODUCT(MAX(ROW(E$1:E3126)*(E3127=E$1:E3126)))))</f>
        <v/>
      </c>
      <c r="L3127" s="25"/>
    </row>
    <row r="3128" spans="1:12" x14ac:dyDescent="0.2">
      <c r="A3128" t="s">
        <v>809</v>
      </c>
      <c r="E3128" s="20" t="str">
        <f t="shared" si="335"/>
        <v/>
      </c>
      <c r="F3128" s="21" t="str">
        <f>IF(OR(E3128="",E3128="!!!"),"",IF(NOT(ISNA(VLOOKUP(E3128,E$1:E3127,1,FALSE()))),"OLD",IF(AND(E3128&lt;&gt;"",E3128&lt;&gt;"!!!"),"NEW","")))</f>
        <v/>
      </c>
      <c r="G3128" s="22" t="str">
        <f>IF(OR(E3128="",E3128="!!!"),"",IF(OR(J3128=0,AND(J3128=1,K3128=1),AND(J3128=1,I3128="SBJ"),AND(J3128=1,I3128=0)),"?IN_FOCUS",IF(J3128&lt;=2,"?ACTIVATED",IF(J3128&lt;&gt;"","?FAMILIAR",IF(F3128="NEW",IF(ISNA(VLOOKUP(E3128,#REF!,1,FALSE())),"?TYPE_IDENTIFIABLE","?REFERENTIAL"),"_")))))</f>
        <v/>
      </c>
      <c r="H3128" s="23" t="str">
        <f t="shared" ca="1" si="334"/>
        <v/>
      </c>
      <c r="I3128" s="24" t="str">
        <f>IF(OR(E3128="",E3128="!!!",F3128="NEW"),"",INDEX(B$2:B3127,-1+SUMPRODUCT(MAX(ROW(E$2:E3127)*(E3128=E$2:E3127)))))</f>
        <v/>
      </c>
      <c r="J3128" s="24" t="str">
        <f ca="1">IF(OR(E3128="",E3128="!!!",F3128="NEW"),"",COUNTBLANK(OFFSET(A$1,,,SUMPRODUCT(MAX(ROW(E$2:E3128)*(E3128=E$2:E3128)))))-COUNTBLANK(OFFSET(A$1,,,SUMPRODUCT(MAX(ROW(E$1:E3127)*(E2=E$1:E3127))))))</f>
        <v/>
      </c>
      <c r="K3128" s="24" t="str">
        <f>IF(OR(E3128="",E3128="!!!",F3128="NEW"),"",INDEX(J$1:J3127,SUMPRODUCT(MAX(ROW(E$1:E3127)*(E3128=E$1:E3127)))))</f>
        <v/>
      </c>
      <c r="L3128" s="25"/>
    </row>
    <row r="3129" spans="1:12" x14ac:dyDescent="0.2">
      <c r="A3129" t="s">
        <v>1046</v>
      </c>
      <c r="B3129" s="26" t="s">
        <v>864</v>
      </c>
      <c r="C3129" s="26" t="s">
        <v>811</v>
      </c>
      <c r="E3129" s="20" t="str">
        <f t="shared" si="335"/>
        <v/>
      </c>
      <c r="F3129" s="21" t="str">
        <f>IF(OR(E3129="",E3129="!!!"),"",IF(NOT(ISNA(VLOOKUP(E3129,E$1:E3128,1,FALSE()))),"OLD",IF(AND(E3129&lt;&gt;"",E3129&lt;&gt;"!!!"),"NEW","")))</f>
        <v/>
      </c>
      <c r="G3129" s="22" t="str">
        <f>IF(OR(E3129="",E3129="!!!"),"",IF(OR(J3129=0,AND(J3129=1,K3129=1),AND(J3129=1,I3129="SBJ"),AND(J3129=1,I3129=0)),"?IN_FOCUS",IF(J3129&lt;=2,"?ACTIVATED",IF(J3129&lt;&gt;"","?FAMILIAR",IF(F3129="NEW",IF(ISNA(VLOOKUP(E3129,#REF!,1,FALSE())),"?TYPE_IDENTIFIABLE","?REFERENTIAL"),"_")))))</f>
        <v/>
      </c>
      <c r="H3129" s="23" t="str">
        <f t="shared" ca="1" si="334"/>
        <v/>
      </c>
      <c r="I3129" s="24" t="str">
        <f>IF(OR(E3129="",E3129="!!!",F3129="NEW"),"",INDEX(B$2:B3128,-1+SUMPRODUCT(MAX(ROW(E$2:E3128)*(E3129=E$2:E3128)))))</f>
        <v/>
      </c>
      <c r="J3129" s="24" t="str">
        <f ca="1">IF(OR(E3129="",E3129="!!!",F3129="NEW"),"",COUNTBLANK(OFFSET(A$1,,,SUMPRODUCT(MAX(ROW(E$2:E3129)*(E3129=E$2:E3129)))))-COUNTBLANK(OFFSET(A$1,,,SUMPRODUCT(MAX(ROW(E$1:E3128)*(E2=E$1:E3128))))))</f>
        <v/>
      </c>
      <c r="K3129" s="24" t="str">
        <f>IF(OR(E3129="",E3129="!!!",F3129="NEW"),"",INDEX(J$1:J3128,SUMPRODUCT(MAX(ROW(E$1:E3128)*(E3129=E$1:E3128)))))</f>
        <v/>
      </c>
      <c r="L3129" s="25"/>
    </row>
    <row r="3130" spans="1:12" x14ac:dyDescent="0.2">
      <c r="A3130" t="s">
        <v>1060</v>
      </c>
      <c r="B3130" s="26" t="s">
        <v>910</v>
      </c>
      <c r="E3130" s="20" t="str">
        <f t="shared" si="335"/>
        <v/>
      </c>
      <c r="F3130" s="21" t="str">
        <f>IF(OR(E3130="",E3130="!!!"),"",IF(NOT(ISNA(VLOOKUP(E3130,E$1:E3129,1,FALSE()))),"OLD",IF(AND(E3130&lt;&gt;"",E3130&lt;&gt;"!!!"),"NEW","")))</f>
        <v/>
      </c>
      <c r="G3130" s="22" t="str">
        <f>IF(OR(E3130="",E3130="!!!"),"",IF(OR(J3130=0,AND(J3130=1,K3130=1),AND(J3130=1,I3130="SBJ"),AND(J3130=1,I3130=0)),"?IN_FOCUS",IF(J3130&lt;=2,"?ACTIVATED",IF(J3130&lt;&gt;"","?FAMILIAR",IF(F3130="NEW",IF(ISNA(VLOOKUP(E3130,#REF!,1,FALSE())),"?TYPE_IDENTIFIABLE","?REFERENTIAL"),"_")))))</f>
        <v/>
      </c>
      <c r="H3130" s="23" t="str">
        <f t="shared" ca="1" si="334"/>
        <v/>
      </c>
      <c r="I3130" s="24" t="str">
        <f>IF(OR(E3130="",E3130="!!!",F3130="NEW"),"",INDEX(B$2:B3129,-1+SUMPRODUCT(MAX(ROW(E$2:E3129)*(E3130=E$2:E3129)))))</f>
        <v/>
      </c>
      <c r="J3130" s="24" t="str">
        <f ca="1">IF(OR(E3130="",E3130="!!!",F3130="NEW"),"",COUNTBLANK(OFFSET(A$1,,,SUMPRODUCT(MAX(ROW(E$2:E3130)*(E3130=E$2:E3130)))))-COUNTBLANK(OFFSET(A$1,,,SUMPRODUCT(MAX(ROW(E$1:E3129)*(E2=E$1:E3129))))))</f>
        <v/>
      </c>
      <c r="K3130" s="24" t="str">
        <f>IF(OR(E3130="",E3130="!!!",F3130="NEW"),"",INDEX(J$1:J3129,SUMPRODUCT(MAX(ROW(E$1:E3129)*(E3130=E$1:E3129)))))</f>
        <v/>
      </c>
      <c r="L3130" s="25"/>
    </row>
    <row r="3131" spans="1:12" x14ac:dyDescent="0.2">
      <c r="A3131" t="s">
        <v>898</v>
      </c>
      <c r="E3131" s="20" t="str">
        <f t="shared" si="335"/>
        <v/>
      </c>
      <c r="F3131" s="21" t="str">
        <f>IF(OR(E3131="",E3131="!!!"),"",IF(NOT(ISNA(VLOOKUP(E3131,E$1:E3130,1,FALSE()))),"OLD",IF(AND(E3131&lt;&gt;"",E3131&lt;&gt;"!!!"),"NEW","")))</f>
        <v/>
      </c>
      <c r="G3131" s="22" t="str">
        <f>IF(OR(E3131="",E3131="!!!"),"",IF(OR(J3131=0,AND(J3131=1,K3131=1),AND(J3131=1,I3131="SBJ"),AND(J3131=1,I3131=0)),"?IN_FOCUS",IF(J3131&lt;=2,"?ACTIVATED",IF(J3131&lt;&gt;"","?FAMILIAR",IF(F3131="NEW",IF(ISNA(VLOOKUP(E3131,#REF!,1,FALSE())),"?TYPE_IDENTIFIABLE","?REFERENTIAL"),"_")))))</f>
        <v/>
      </c>
      <c r="H3131" s="23" t="str">
        <f t="shared" ca="1" si="334"/>
        <v/>
      </c>
      <c r="I3131" s="24" t="str">
        <f>IF(OR(E3131="",E3131="!!!",F3131="NEW"),"",INDEX(B$2:B3130,-1+SUMPRODUCT(MAX(ROW(E$2:E3130)*(E3131=E$2:E3130)))))</f>
        <v/>
      </c>
      <c r="J3131" s="24" t="str">
        <f ca="1">IF(OR(E3131="",E3131="!!!",F3131="NEW"),"",COUNTBLANK(OFFSET(A$1,,,SUMPRODUCT(MAX(ROW(E$2:E3131)*(E3131=E$2:E3131)))))-COUNTBLANK(OFFSET(A$1,,,SUMPRODUCT(MAX(ROW(E$1:E3130)*(E2=E$1:E3130))))))</f>
        <v/>
      </c>
      <c r="K3131" s="24" t="str">
        <f>IF(OR(E3131="",E3131="!!!",F3131="NEW"),"",INDEX(J$1:J3130,SUMPRODUCT(MAX(ROW(E$1:E3130)*(E3131=E$1:E3130)))))</f>
        <v/>
      </c>
      <c r="L3131" s="25"/>
    </row>
    <row r="3132" spans="1:12" x14ac:dyDescent="0.2">
      <c r="A3132" t="s">
        <v>1681</v>
      </c>
      <c r="E3132" s="20" t="str">
        <f t="shared" si="335"/>
        <v/>
      </c>
      <c r="F3132" s="21" t="str">
        <f>IF(OR(E3132="",E3132="!!!"),"",IF(NOT(ISNA(VLOOKUP(E3132,E$1:E3131,1,FALSE()))),"OLD",IF(AND(E3132&lt;&gt;"",E3132&lt;&gt;"!!!"),"NEW","")))</f>
        <v/>
      </c>
      <c r="G3132" s="22" t="str">
        <f>IF(OR(E3132="",E3132="!!!"),"",IF(OR(J3132=0,AND(J3132=1,K3132=1),AND(J3132=1,I3132="SBJ"),AND(J3132=1,I3132=0)),"?IN_FOCUS",IF(J3132&lt;=2,"?ACTIVATED",IF(J3132&lt;&gt;"","?FAMILIAR",IF(F3132="NEW",IF(ISNA(VLOOKUP(E3132,#REF!,1,FALSE())),"?TYPE_IDENTIFIABLE","?REFERENTIAL"),"_")))))</f>
        <v/>
      </c>
      <c r="H3132" s="23" t="str">
        <f t="shared" ca="1" si="334"/>
        <v/>
      </c>
      <c r="I3132" s="24" t="str">
        <f>IF(OR(E3132="",E3132="!!!",F3132="NEW"),"",INDEX(B$2:B3131,-1+SUMPRODUCT(MAX(ROW(E$2:E3131)*(E3132=E$2:E3131)))))</f>
        <v/>
      </c>
      <c r="J3132" s="24" t="str">
        <f ca="1">IF(OR(E3132="",E3132="!!!",F3132="NEW"),"",COUNTBLANK(OFFSET(A$1,,,SUMPRODUCT(MAX(ROW(E$2:E3132)*(E3132=E$2:E3132)))))-COUNTBLANK(OFFSET(A$1,,,SUMPRODUCT(MAX(ROW(E$1:E3131)*(E2=E$1:E3131))))))</f>
        <v/>
      </c>
      <c r="K3132" s="24" t="str">
        <f>IF(OR(E3132="",E3132="!!!",F3132="NEW"),"",INDEX(J$1:J3131,SUMPRODUCT(MAX(ROW(E$1:E3131)*(E3132=E$1:E3131)))))</f>
        <v/>
      </c>
      <c r="L3132" s="25"/>
    </row>
    <row r="3133" spans="1:12" x14ac:dyDescent="0.2">
      <c r="A3133" t="s">
        <v>1682</v>
      </c>
      <c r="E3133" s="20" t="str">
        <f t="shared" si="335"/>
        <v/>
      </c>
      <c r="F3133" s="21" t="str">
        <f>IF(OR(E3133="",E3133="!!!"),"",IF(NOT(ISNA(VLOOKUP(E3133,E$1:E3132,1,FALSE()))),"OLD",IF(AND(E3133&lt;&gt;"",E3133&lt;&gt;"!!!"),"NEW","")))</f>
        <v/>
      </c>
      <c r="G3133" s="22" t="str">
        <f>IF(OR(E3133="",E3133="!!!"),"",IF(OR(J3133=0,AND(J3133=1,K3133=1),AND(J3133=1,I3133="SBJ"),AND(J3133=1,I3133=0)),"?IN_FOCUS",IF(J3133&lt;=2,"?ACTIVATED",IF(J3133&lt;&gt;"","?FAMILIAR",IF(F3133="NEW",IF(ISNA(VLOOKUP(E3133,#REF!,1,FALSE())),"?TYPE_IDENTIFIABLE","?REFERENTIAL"),"_")))))</f>
        <v/>
      </c>
      <c r="H3133" s="23" t="str">
        <f t="shared" ca="1" si="334"/>
        <v/>
      </c>
      <c r="I3133" s="24" t="str">
        <f>IF(OR(E3133="",E3133="!!!",F3133="NEW"),"",INDEX(B$2:B3132,-1+SUMPRODUCT(MAX(ROW(E$2:E3132)*(E3133=E$2:E3132)))))</f>
        <v/>
      </c>
      <c r="J3133" s="24" t="str">
        <f ca="1">IF(OR(E3133="",E3133="!!!",F3133="NEW"),"",COUNTBLANK(OFFSET(A$1,,,SUMPRODUCT(MAX(ROW(E$2:E3133)*(E3133=E$2:E3133)))))-COUNTBLANK(OFFSET(A$1,,,SUMPRODUCT(MAX(ROW(E$1:E3132)*(E2=E$1:E3132))))))</f>
        <v/>
      </c>
      <c r="K3133" s="24" t="str">
        <f>IF(OR(E3133="",E3133="!!!",F3133="NEW"),"",INDEX(J$1:J3132,SUMPRODUCT(MAX(ROW(E$1:E3132)*(E3133=E$1:E3132)))))</f>
        <v/>
      </c>
      <c r="L3133" s="25"/>
    </row>
    <row r="3134" spans="1:12" x14ac:dyDescent="0.2">
      <c r="A3134" t="s">
        <v>1276</v>
      </c>
      <c r="E3134" s="20" t="str">
        <f t="shared" si="335"/>
        <v/>
      </c>
      <c r="F3134" s="21" t="str">
        <f>IF(OR(E3134="",E3134="!!!"),"",IF(NOT(ISNA(VLOOKUP(E3134,E$1:E3133,1,FALSE()))),"OLD",IF(AND(E3134&lt;&gt;"",E3134&lt;&gt;"!!!"),"NEW","")))</f>
        <v/>
      </c>
      <c r="G3134" s="22" t="str">
        <f>IF(OR(E3134="",E3134="!!!"),"",IF(OR(J3134=0,AND(J3134=1,K3134=1),AND(J3134=1,I3134="SBJ"),AND(J3134=1,I3134=0)),"?IN_FOCUS",IF(J3134&lt;=2,"?ACTIVATED",IF(J3134&lt;&gt;"","?FAMILIAR",IF(F3134="NEW",IF(ISNA(VLOOKUP(E3134,#REF!,1,FALSE())),"?TYPE_IDENTIFIABLE","?REFERENTIAL"),"_")))))</f>
        <v/>
      </c>
      <c r="H3134" s="23" t="str">
        <f t="shared" ca="1" si="334"/>
        <v/>
      </c>
      <c r="I3134" s="24" t="str">
        <f>IF(OR(E3134="",E3134="!!!",F3134="NEW"),"",INDEX(B$2:B3133,-1+SUMPRODUCT(MAX(ROW(E$2:E3133)*(E3134=E$2:E3133)))))</f>
        <v/>
      </c>
      <c r="J3134" s="24" t="str">
        <f ca="1">IF(OR(E3134="",E3134="!!!",F3134="NEW"),"",COUNTBLANK(OFFSET(A$1,,,SUMPRODUCT(MAX(ROW(E$2:E3134)*(E3134=E$2:E3134)))))-COUNTBLANK(OFFSET(A$1,,,SUMPRODUCT(MAX(ROW(E$1:E3133)*(E2=E$1:E3133))))))</f>
        <v/>
      </c>
      <c r="K3134" s="24" t="str">
        <f>IF(OR(E3134="",E3134="!!!",F3134="NEW"),"",INDEX(J$1:J3133,SUMPRODUCT(MAX(ROW(E$1:E3133)*(E3134=E$1:E3133)))))</f>
        <v/>
      </c>
      <c r="L3134" s="25"/>
    </row>
    <row r="3135" spans="1:12" x14ac:dyDescent="0.2">
      <c r="A3135" t="s">
        <v>1683</v>
      </c>
      <c r="B3135" s="26" t="s">
        <v>1117</v>
      </c>
      <c r="C3135" s="26" t="s">
        <v>814</v>
      </c>
      <c r="E3135" s="20" t="str">
        <f t="shared" si="335"/>
        <v/>
      </c>
      <c r="F3135" s="21" t="str">
        <f>IF(OR(E3135="",E3135="!!!"),"",IF(NOT(ISNA(VLOOKUP(E3135,E$1:E3134,1,FALSE()))),"OLD",IF(AND(E3135&lt;&gt;"",E3135&lt;&gt;"!!!"),"NEW","")))</f>
        <v/>
      </c>
      <c r="G3135" s="22" t="str">
        <f>IF(OR(E3135="",E3135="!!!"),"",IF(OR(J3135=0,AND(J3135=1,K3135=1),AND(J3135=1,I3135="SBJ"),AND(J3135=1,I3135=0)),"?IN_FOCUS",IF(J3135&lt;=2,"?ACTIVATED",IF(J3135&lt;&gt;"","?FAMILIAR",IF(F3135="NEW",IF(ISNA(VLOOKUP(E3135,#REF!,1,FALSE())),"?TYPE_IDENTIFIABLE","?REFERENTIAL"),"_")))))</f>
        <v/>
      </c>
      <c r="H3135" s="23" t="str">
        <f t="shared" ca="1" si="334"/>
        <v/>
      </c>
      <c r="I3135" s="24" t="str">
        <f>IF(OR(E3135="",E3135="!!!",F3135="NEW"),"",INDEX(B$2:B3134,-1+SUMPRODUCT(MAX(ROW(E$2:E3134)*(E3135=E$2:E3134)))))</f>
        <v/>
      </c>
      <c r="J3135" s="24" t="str">
        <f ca="1">IF(OR(E3135="",E3135="!!!",F3135="NEW"),"",COUNTBLANK(OFFSET(A$1,,,SUMPRODUCT(MAX(ROW(E$2:E3135)*(E3135=E$2:E3135)))))-COUNTBLANK(OFFSET(A$1,,,SUMPRODUCT(MAX(ROW(E$1:E3134)*(E2=E$1:E3134))))))</f>
        <v/>
      </c>
      <c r="K3135" s="24" t="str">
        <f>IF(OR(E3135="",E3135="!!!",F3135="NEW"),"",INDEX(J$1:J3134,SUMPRODUCT(MAX(ROW(E$1:E3134)*(E3135=E$1:E3134)))))</f>
        <v/>
      </c>
      <c r="L3135" s="25"/>
    </row>
    <row r="3136" spans="1:12" x14ac:dyDescent="0.2">
      <c r="A3136" t="s">
        <v>1060</v>
      </c>
      <c r="B3136" s="26" t="s">
        <v>1684</v>
      </c>
      <c r="E3136" s="20" t="str">
        <f t="shared" si="335"/>
        <v/>
      </c>
      <c r="F3136" s="21" t="str">
        <f>IF(OR(E3136="",E3136="!!!"),"",IF(NOT(ISNA(VLOOKUP(E3136,E$1:E3135,1,FALSE()))),"OLD",IF(AND(E3136&lt;&gt;"",E3136&lt;&gt;"!!!"),"NEW","")))</f>
        <v/>
      </c>
      <c r="G3136" s="22" t="str">
        <f>IF(OR(E3136="",E3136="!!!"),"",IF(OR(J3136=0,AND(J3136=1,K3136=1),AND(J3136=1,I3136="SBJ"),AND(J3136=1,I3136=0)),"?IN_FOCUS",IF(J3136&lt;=2,"?ACTIVATED",IF(J3136&lt;&gt;"","?FAMILIAR",IF(F3136="NEW",IF(ISNA(VLOOKUP(E3136,#REF!,1,FALSE())),"?TYPE_IDENTIFIABLE","?REFERENTIAL"),"_")))))</f>
        <v/>
      </c>
      <c r="H3136" s="23" t="str">
        <f t="shared" ca="1" si="334"/>
        <v/>
      </c>
      <c r="I3136" s="24" t="str">
        <f>IF(OR(E3136="",E3136="!!!",F3136="NEW"),"",INDEX(B$2:B3135,-1+SUMPRODUCT(MAX(ROW(E$2:E3135)*(E3136=E$2:E3135)))))</f>
        <v/>
      </c>
      <c r="J3136" s="24" t="str">
        <f ca="1">IF(OR(E3136="",E3136="!!!",F3136="NEW"),"",COUNTBLANK(OFFSET(A$1,,,SUMPRODUCT(MAX(ROW(E$2:E3136)*(E3136=E$2:E3136)))))-COUNTBLANK(OFFSET(A$1,,,SUMPRODUCT(MAX(ROW(E$1:E3135)*(E2=E$1:E3135))))))</f>
        <v/>
      </c>
      <c r="K3136" s="24" t="str">
        <f>IF(OR(E3136="",E3136="!!!",F3136="NEW"),"",INDEX(J$1:J3135,SUMPRODUCT(MAX(ROW(E$1:E3135)*(E3136=E$1:E3135)))))</f>
        <v/>
      </c>
      <c r="L3136" s="25"/>
    </row>
    <row r="3137" spans="1:12" x14ac:dyDescent="0.2">
      <c r="A3137" t="s">
        <v>1374</v>
      </c>
      <c r="E3137" s="20" t="str">
        <f t="shared" si="335"/>
        <v/>
      </c>
      <c r="F3137" s="21" t="str">
        <f>IF(OR(E3137="",E3137="!!!"),"",IF(NOT(ISNA(VLOOKUP(E3137,E$1:E3136,1,FALSE()))),"OLD",IF(AND(E3137&lt;&gt;"",E3137&lt;&gt;"!!!"),"NEW","")))</f>
        <v/>
      </c>
      <c r="G3137" s="22" t="str">
        <f>IF(OR(E3137="",E3137="!!!"),"",IF(OR(J3137=0,AND(J3137=1,K3137=1),AND(J3137=1,I3137="SBJ"),AND(J3137=1,I3137=0)),"?IN_FOCUS",IF(J3137&lt;=2,"?ACTIVATED",IF(J3137&lt;&gt;"","?FAMILIAR",IF(F3137="NEW",IF(ISNA(VLOOKUP(E3137,#REF!,1,FALSE())),"?TYPE_IDENTIFIABLE","?REFERENTIAL"),"_")))))</f>
        <v/>
      </c>
      <c r="H3137" s="23" t="str">
        <f t="shared" ca="1" si="334"/>
        <v/>
      </c>
      <c r="I3137" s="24" t="str">
        <f>IF(OR(E3137="",E3137="!!!",F3137="NEW"),"",INDEX(B$2:B3136,-1+SUMPRODUCT(MAX(ROW(E$2:E3136)*(E3137=E$2:E3136)))))</f>
        <v/>
      </c>
      <c r="J3137" s="24" t="str">
        <f ca="1">IF(OR(E3137="",E3137="!!!",F3137="NEW"),"",COUNTBLANK(OFFSET(A$1,,,SUMPRODUCT(MAX(ROW(E$2:E3137)*(E3137=E$2:E3137)))))-COUNTBLANK(OFFSET(A$1,,,SUMPRODUCT(MAX(ROW(E$1:E3136)*(E2=E$1:E3136))))))</f>
        <v/>
      </c>
      <c r="K3137" s="24" t="str">
        <f>IF(OR(E3137="",E3137="!!!",F3137="NEW"),"",INDEX(J$1:J3136,SUMPRODUCT(MAX(ROW(E$1:E3136)*(E3137=E$1:E3136)))))</f>
        <v/>
      </c>
      <c r="L3137" s="25"/>
    </row>
    <row r="3138" spans="1:12" x14ac:dyDescent="0.2">
      <c r="A3138" t="s">
        <v>1060</v>
      </c>
      <c r="E3138" s="20" t="str">
        <f t="shared" si="335"/>
        <v/>
      </c>
      <c r="F3138" s="21" t="str">
        <f>IF(OR(E3138="",E3138="!!!"),"",IF(NOT(ISNA(VLOOKUP(E3138,E$1:E3137,1,FALSE()))),"OLD",IF(AND(E3138&lt;&gt;"",E3138&lt;&gt;"!!!"),"NEW","")))</f>
        <v/>
      </c>
      <c r="G3138" s="22" t="str">
        <f>IF(OR(E3138="",E3138="!!!"),"",IF(OR(J3138=0,AND(J3138=1,K3138=1),AND(J3138=1,I3138="SBJ"),AND(J3138=1,I3138=0)),"?IN_FOCUS",IF(J3138&lt;=2,"?ACTIVATED",IF(J3138&lt;&gt;"","?FAMILIAR",IF(F3138="NEW",IF(ISNA(VLOOKUP(E3138,#REF!,1,FALSE())),"?TYPE_IDENTIFIABLE","?REFERENTIAL"),"_")))))</f>
        <v/>
      </c>
      <c r="H3138" s="23" t="str">
        <f t="shared" ca="1" si="334"/>
        <v/>
      </c>
      <c r="I3138" s="24" t="str">
        <f>IF(OR(E3138="",E3138="!!!",F3138="NEW"),"",INDEX(B$2:B3137,-1+SUMPRODUCT(MAX(ROW(E$2:E3137)*(E3138=E$2:E3137)))))</f>
        <v/>
      </c>
      <c r="J3138" s="24" t="str">
        <f ca="1">IF(OR(E3138="",E3138="!!!",F3138="NEW"),"",COUNTBLANK(OFFSET(A$1,,,SUMPRODUCT(MAX(ROW(E$2:E3138)*(E3138=E$2:E3138)))))-COUNTBLANK(OFFSET(A$1,,,SUMPRODUCT(MAX(ROW(E$1:E3137)*(E2=E$1:E3137))))))</f>
        <v/>
      </c>
      <c r="K3138" s="24" t="str">
        <f>IF(OR(E3138="",E3138="!!!",F3138="NEW"),"",INDEX(J$1:J3137,SUMPRODUCT(MAX(ROW(E$1:E3137)*(E3138=E$1:E3137)))))</f>
        <v/>
      </c>
      <c r="L3138" s="25"/>
    </row>
    <row r="3139" spans="1:12" x14ac:dyDescent="0.2">
      <c r="A3139" t="s">
        <v>996</v>
      </c>
      <c r="E3139" s="20" t="str">
        <f t="shared" si="335"/>
        <v/>
      </c>
      <c r="F3139" s="21" t="str">
        <f>IF(OR(E3139="",E3139="!!!"),"",IF(NOT(ISNA(VLOOKUP(E3139,E$1:E3138,1,FALSE()))),"OLD",IF(AND(E3139&lt;&gt;"",E3139&lt;&gt;"!!!"),"NEW","")))</f>
        <v/>
      </c>
      <c r="G3139" s="22" t="str">
        <f>IF(OR(E3139="",E3139="!!!"),"",IF(OR(J3139=0,AND(J3139=1,K3139=1),AND(J3139=1,I3139="SBJ"),AND(J3139=1,I3139=0)),"?IN_FOCUS",IF(J3139&lt;=2,"?ACTIVATED",IF(J3139&lt;&gt;"","?FAMILIAR",IF(F3139="NEW",IF(ISNA(VLOOKUP(E3139,#REF!,1,FALSE())),"?TYPE_IDENTIFIABLE","?REFERENTIAL"),"_")))))</f>
        <v/>
      </c>
      <c r="H3139" s="23" t="str">
        <f t="shared" ca="1" si="334"/>
        <v/>
      </c>
      <c r="I3139" s="24" t="str">
        <f>IF(OR(E3139="",E3139="!!!",F3139="NEW"),"",INDEX(B$2:B3138,-1+SUMPRODUCT(MAX(ROW(E$2:E3138)*(E3139=E$2:E3138)))))</f>
        <v/>
      </c>
      <c r="J3139" s="24" t="str">
        <f ca="1">IF(OR(E3139="",E3139="!!!",F3139="NEW"),"",COUNTBLANK(OFFSET(A$1,,,SUMPRODUCT(MAX(ROW(E$2:E3139)*(E3139=E$2:E3139)))))-COUNTBLANK(OFFSET(A$1,,,SUMPRODUCT(MAX(ROW(E$1:E3138)*(E2=E$1:E3138))))))</f>
        <v/>
      </c>
      <c r="K3139" s="24" t="str">
        <f>IF(OR(E3139="",E3139="!!!",F3139="NEW"),"",INDEX(J$1:J3138,SUMPRODUCT(MAX(ROW(E$1:E3138)*(E3139=E$1:E3138)))))</f>
        <v/>
      </c>
      <c r="L3139" s="25"/>
    </row>
    <row r="3140" spans="1:12" x14ac:dyDescent="0.2">
      <c r="A3140" t="s">
        <v>1685</v>
      </c>
      <c r="B3140" s="26" t="s">
        <v>1638</v>
      </c>
      <c r="C3140" s="26" t="s">
        <v>877</v>
      </c>
      <c r="D3140" s="26" t="s">
        <v>806</v>
      </c>
      <c r="E3140" s="20" t="s">
        <v>1685</v>
      </c>
      <c r="F3140" s="21" t="str">
        <f>IF(OR(E3140="",E3140="!!!"),"",IF(NOT(ISNA(VLOOKUP(E3140,E$1:E3139,1,FALSE()))),"OLD",IF(AND(E3140&lt;&gt;"",E3140&lt;&gt;"!!!"),"NEW","")))</f>
        <v>NEW</v>
      </c>
      <c r="G3140" s="22" t="s">
        <v>1820</v>
      </c>
      <c r="H3140" s="23" t="str">
        <f t="shared" ca="1" si="334"/>
        <v/>
      </c>
      <c r="I3140" s="24" t="str">
        <f>IF(OR(E3140="",E3140="!!!",F3140="NEW"),"",INDEX(B$2:B3139,-1+SUMPRODUCT(MAX(ROW(E$2:E3139)*(E3140=E$2:E3139)))))</f>
        <v/>
      </c>
      <c r="J3140" s="24" t="str">
        <f ca="1">IF(OR(E3140="",E3140="!!!",F3140="NEW"),"",COUNTBLANK(OFFSET(A$1,,,SUMPRODUCT(MAX(ROW(E$2:E3140)*(E3140=E$2:E3140)))))-COUNTBLANK(OFFSET(A$1,,,SUMPRODUCT(MAX(ROW(E$1:E3139)*(E2=E$1:E3139))))))</f>
        <v/>
      </c>
      <c r="K3140" s="24" t="str">
        <f>IF(OR(E3140="",E3140="!!!",F3140="NEW"),"",INDEX(J$1:J3139,SUMPRODUCT(MAX(ROW(E$1:E3139)*(E3140=E$1:E3139)))))</f>
        <v/>
      </c>
      <c r="L3140" s="25"/>
    </row>
    <row r="3141" spans="1:12" x14ac:dyDescent="0.2">
      <c r="A3141" t="s">
        <v>1686</v>
      </c>
      <c r="E3141" s="20" t="str">
        <f t="shared" si="335"/>
        <v/>
      </c>
      <c r="F3141" s="21" t="str">
        <f>IF(OR(E3141="",E3141="!!!"),"",IF(NOT(ISNA(VLOOKUP(E3141,E$1:E3140,1,FALSE()))),"OLD",IF(AND(E3141&lt;&gt;"",E3141&lt;&gt;"!!!"),"NEW","")))</f>
        <v/>
      </c>
      <c r="G3141" s="22" t="str">
        <f>IF(OR(E3141="",E3141="!!!"),"",IF(OR(J3141=0,AND(J3141=1,K3141=1),AND(J3141=1,I3141="SBJ"),AND(J3141=1,I3141=0)),"?IN_FOCUS",IF(J3141&lt;=2,"?ACTIVATED",IF(J3141&lt;&gt;"","?FAMILIAR",IF(F3141="NEW",IF(ISNA(VLOOKUP(E3141,#REF!,1,FALSE())),"?TYPE_IDENTIFIABLE","?REFERENTIAL"),"_")))))</f>
        <v/>
      </c>
      <c r="H3141" s="23" t="str">
        <f t="shared" ca="1" si="334"/>
        <v/>
      </c>
      <c r="I3141" s="24" t="str">
        <f>IF(OR(E3141="",E3141="!!!",F3141="NEW"),"",INDEX(B$2:B3140,-1+SUMPRODUCT(MAX(ROW(E$2:E3140)*(E3141=E$2:E3140)))))</f>
        <v/>
      </c>
      <c r="J3141" s="24" t="str">
        <f ca="1">IF(OR(E3141="",E3141="!!!",F3141="NEW"),"",COUNTBLANK(OFFSET(A$1,,,SUMPRODUCT(MAX(ROW(E$2:E3141)*(E3141=E$2:E3141)))))-COUNTBLANK(OFFSET(A$1,,,SUMPRODUCT(MAX(ROW(E$1:E3140)*(E2=E$1:E3140))))))</f>
        <v/>
      </c>
      <c r="K3141" s="24" t="str">
        <f>IF(OR(E3141="",E3141="!!!",F3141="NEW"),"",INDEX(J$1:J3140,SUMPRODUCT(MAX(ROW(E$1:E3140)*(E3141=E$1:E3140)))))</f>
        <v/>
      </c>
      <c r="L3141" s="25"/>
    </row>
    <row r="3142" spans="1:12" x14ac:dyDescent="0.2">
      <c r="A3142" t="s">
        <v>821</v>
      </c>
      <c r="E3142" s="20" t="str">
        <f t="shared" si="335"/>
        <v/>
      </c>
      <c r="F3142" s="21" t="str">
        <f>IF(OR(E3142="",E3142="!!!"),"",IF(NOT(ISNA(VLOOKUP(E3142,E$1:E3141,1,FALSE()))),"OLD",IF(AND(E3142&lt;&gt;"",E3142&lt;&gt;"!!!"),"NEW","")))</f>
        <v/>
      </c>
      <c r="G3142" s="22" t="str">
        <f>IF(OR(E3142="",E3142="!!!"),"",IF(OR(J3142=0,AND(J3142=1,K3142=1),AND(J3142=1,I3142="SBJ"),AND(J3142=1,I3142=0)),"?IN_FOCUS",IF(J3142&lt;=2,"?ACTIVATED",IF(J3142&lt;&gt;"","?FAMILIAR",IF(F3142="NEW",IF(ISNA(VLOOKUP(E3142,#REF!,1,FALSE())),"?TYPE_IDENTIFIABLE","?REFERENTIAL"),"_")))))</f>
        <v/>
      </c>
      <c r="H3142" s="23" t="str">
        <f t="shared" ca="1" si="334"/>
        <v/>
      </c>
      <c r="I3142" s="24" t="str">
        <f>IF(OR(E3142="",E3142="!!!",F3142="NEW"),"",INDEX(B$2:B3141,-1+SUMPRODUCT(MAX(ROW(E$2:E3141)*(E3142=E$2:E3141)))))</f>
        <v/>
      </c>
      <c r="J3142" s="24" t="str">
        <f ca="1">IF(OR(E3142="",E3142="!!!",F3142="NEW"),"",COUNTBLANK(OFFSET(A$1,,,SUMPRODUCT(MAX(ROW(E$2:E3142)*(E3142=E$2:E3142)))))-COUNTBLANK(OFFSET(A$1,,,SUMPRODUCT(MAX(ROW(E$1:E3141)*(E2=E$1:E3141))))))</f>
        <v/>
      </c>
      <c r="K3142" s="24" t="str">
        <f>IF(OR(E3142="",E3142="!!!",F3142="NEW"),"",INDEX(J$1:J3141,SUMPRODUCT(MAX(ROW(E$1:E3141)*(E3142=E$1:E3141)))))</f>
        <v/>
      </c>
      <c r="L3142" s="25"/>
    </row>
    <row r="3144" spans="1:12" x14ac:dyDescent="0.2">
      <c r="A3144" t="s">
        <v>1687</v>
      </c>
    </row>
    <row r="3145" spans="1:12" x14ac:dyDescent="0.2">
      <c r="A3145" t="s">
        <v>827</v>
      </c>
      <c r="B3145" s="26" t="s">
        <v>804</v>
      </c>
      <c r="C3145" s="26" t="s">
        <v>987</v>
      </c>
      <c r="D3145" s="26" t="s">
        <v>806</v>
      </c>
      <c r="E3145" s="20" t="s">
        <v>1810</v>
      </c>
      <c r="F3145" s="21" t="str">
        <f>IF(OR(E3145="",E3145="!!!"),"",IF(NOT(ISNA(VLOOKUP(E3145,E$1:E3144,1,FALSE()))),"OLD",IF(AND(E3145&lt;&gt;"",E3145&lt;&gt;"!!!"),"NEW","")))</f>
        <v>OLD</v>
      </c>
      <c r="G3145" s="22" t="s">
        <v>1823</v>
      </c>
      <c r="H3145" s="23" t="str">
        <f t="shared" ref="H3145:H3156" ca="1" si="336">IF(J3145&lt;&gt;1,"",IF(I3145="SBJ","CB","?"))</f>
        <v/>
      </c>
      <c r="I3145" s="24" t="str">
        <f>IF(OR(E3145="",E3145="!!!",F3145="NEW"),"",INDEX(B$2:B3144,-1+SUMPRODUCT(MAX(ROW(E$2:E3144)*(E3145=E$2:E3144)))))</f>
        <v>SBJ_2</v>
      </c>
      <c r="J3145" s="24">
        <f ca="1">IF(OR(E3145="",E3145="!!!",F3145="NEW"),"",COUNTBLANK(OFFSET(A$1,,,SUMPRODUCT(MAX(ROW(E$2:E3145)*(E3145=E$2:E3145)))))-COUNTBLANK(OFFSET(A$1,,,SUMPRODUCT(MAX(ROW(E$1:E3144)*(E2=E$1:E3144))))))</f>
        <v>0</v>
      </c>
      <c r="K3145" s="24">
        <f ca="1">IF(OR(E3145="",E3145="!!!",F3145="NEW"),"",INDEX(J$1:J3144,SUMPRODUCT(MAX(ROW(E$1:E3144)*(E3145=E$1:E3144)))))</f>
        <v>0</v>
      </c>
      <c r="L3145" s="25"/>
    </row>
    <row r="3146" spans="1:12" x14ac:dyDescent="0.2">
      <c r="A3146" t="s">
        <v>898</v>
      </c>
      <c r="E3146" s="20" t="str">
        <f t="shared" ref="E3145:E3156" si="337">IF(D3146="?OLD","!!!","")</f>
        <v/>
      </c>
      <c r="F3146" s="21" t="str">
        <f>IF(OR(E3146="",E3146="!!!"),"",IF(NOT(ISNA(VLOOKUP(E3146,E$1:E3145,1,FALSE()))),"OLD",IF(AND(E3146&lt;&gt;"",E3146&lt;&gt;"!!!"),"NEW","")))</f>
        <v/>
      </c>
      <c r="G3146" s="22" t="str">
        <f>IF(OR(E3146="",E3146="!!!"),"",IF(OR(J3146=0,AND(J3146=1,K3146=1),AND(J3146=1,I3146="SBJ"),AND(J3146=1,I3146=0)),"?IN_FOCUS",IF(J3146&lt;=2,"?ACTIVATED",IF(J3146&lt;&gt;"","?FAMILIAR",IF(F3146="NEW",IF(ISNA(VLOOKUP(E3146,#REF!,1,FALSE())),"?TYPE_IDENTIFIABLE","?REFERENTIAL"),"_")))))</f>
        <v/>
      </c>
      <c r="H3146" s="23" t="str">
        <f t="shared" ca="1" si="336"/>
        <v/>
      </c>
      <c r="I3146" s="24" t="str">
        <f>IF(OR(E3146="",E3146="!!!",F3146="NEW"),"",INDEX(B$2:B3145,-1+SUMPRODUCT(MAX(ROW(E$2:E3145)*(E3146=E$2:E3145)))))</f>
        <v/>
      </c>
      <c r="J3146" s="24" t="str">
        <f ca="1">IF(OR(E3146="",E3146="!!!",F3146="NEW"),"",COUNTBLANK(OFFSET(A$1,,,SUMPRODUCT(MAX(ROW(E$2:E3146)*(E3146=E$2:E3146)))))-COUNTBLANK(OFFSET(A$1,,,SUMPRODUCT(MAX(ROW(E$1:E3145)*(E2=E$1:E3145))))))</f>
        <v/>
      </c>
      <c r="K3146" s="24" t="str">
        <f>IF(OR(E3146="",E3146="!!!",F3146="NEW"),"",INDEX(J$1:J3145,SUMPRODUCT(MAX(ROW(E$1:E3145)*(E3146=E$1:E3145)))))</f>
        <v/>
      </c>
      <c r="L3146" s="25"/>
    </row>
    <row r="3147" spans="1:12" x14ac:dyDescent="0.2">
      <c r="A3147" t="s">
        <v>1031</v>
      </c>
      <c r="E3147" s="20" t="str">
        <f t="shared" si="337"/>
        <v/>
      </c>
      <c r="F3147" s="21" t="str">
        <f>IF(OR(E3147="",E3147="!!!"),"",IF(NOT(ISNA(VLOOKUP(E3147,E$1:E3146,1,FALSE()))),"OLD",IF(AND(E3147&lt;&gt;"",E3147&lt;&gt;"!!!"),"NEW","")))</f>
        <v/>
      </c>
      <c r="G3147" s="22" t="str">
        <f>IF(OR(E3147="",E3147="!!!"),"",IF(OR(J3147=0,AND(J3147=1,K3147=1),AND(J3147=1,I3147="SBJ"),AND(J3147=1,I3147=0)),"?IN_FOCUS",IF(J3147&lt;=2,"?ACTIVATED",IF(J3147&lt;&gt;"","?FAMILIAR",IF(F3147="NEW",IF(ISNA(VLOOKUP(E3147,#REF!,1,FALSE())),"?TYPE_IDENTIFIABLE","?REFERENTIAL"),"_")))))</f>
        <v/>
      </c>
      <c r="H3147" s="23" t="str">
        <f t="shared" ca="1" si="336"/>
        <v/>
      </c>
      <c r="I3147" s="24" t="str">
        <f>IF(OR(E3147="",E3147="!!!",F3147="NEW"),"",INDEX(B$2:B3146,-1+SUMPRODUCT(MAX(ROW(E$2:E3146)*(E3147=E$2:E3146)))))</f>
        <v/>
      </c>
      <c r="J3147" s="24" t="str">
        <f ca="1">IF(OR(E3147="",E3147="!!!",F3147="NEW"),"",COUNTBLANK(OFFSET(A$1,,,SUMPRODUCT(MAX(ROW(E$2:E3147)*(E3147=E$2:E3147)))))-COUNTBLANK(OFFSET(A$1,,,SUMPRODUCT(MAX(ROW(E$1:E3146)*(E2=E$1:E3146))))))</f>
        <v/>
      </c>
      <c r="K3147" s="24" t="str">
        <f>IF(OR(E3147="",E3147="!!!",F3147="NEW"),"",INDEX(J$1:J3146,SUMPRODUCT(MAX(ROW(E$1:E3146)*(E3147=E$1:E3146)))))</f>
        <v/>
      </c>
      <c r="L3147" s="25"/>
    </row>
    <row r="3148" spans="1:12" x14ac:dyDescent="0.2">
      <c r="A3148" t="s">
        <v>809</v>
      </c>
      <c r="E3148" s="20" t="str">
        <f t="shared" si="337"/>
        <v/>
      </c>
      <c r="F3148" s="21" t="str">
        <f>IF(OR(E3148="",E3148="!!!"),"",IF(NOT(ISNA(VLOOKUP(E3148,E$1:E3147,1,FALSE()))),"OLD",IF(AND(E3148&lt;&gt;"",E3148&lt;&gt;"!!!"),"NEW","")))</f>
        <v/>
      </c>
      <c r="G3148" s="22" t="str">
        <f>IF(OR(E3148="",E3148="!!!"),"",IF(OR(J3148=0,AND(J3148=1,K3148=1),AND(J3148=1,I3148="SBJ"),AND(J3148=1,I3148=0)),"?IN_FOCUS",IF(J3148&lt;=2,"?ACTIVATED",IF(J3148&lt;&gt;"","?FAMILIAR",IF(F3148="NEW",IF(ISNA(VLOOKUP(E3148,#REF!,1,FALSE())),"?TYPE_IDENTIFIABLE","?REFERENTIAL"),"_")))))</f>
        <v/>
      </c>
      <c r="H3148" s="23" t="str">
        <f t="shared" ca="1" si="336"/>
        <v/>
      </c>
      <c r="I3148" s="24" t="str">
        <f>IF(OR(E3148="",E3148="!!!",F3148="NEW"),"",INDEX(B$2:B3147,-1+SUMPRODUCT(MAX(ROW(E$2:E3147)*(E3148=E$2:E3147)))))</f>
        <v/>
      </c>
      <c r="J3148" s="24" t="str">
        <f ca="1">IF(OR(E3148="",E3148="!!!",F3148="NEW"),"",COUNTBLANK(OFFSET(A$1,,,SUMPRODUCT(MAX(ROW(E$2:E3148)*(E3148=E$2:E3148)))))-COUNTBLANK(OFFSET(A$1,,,SUMPRODUCT(MAX(ROW(E$1:E3147)*(E2=E$1:E3147))))))</f>
        <v/>
      </c>
      <c r="K3148" s="24" t="str">
        <f>IF(OR(E3148="",E3148="!!!",F3148="NEW"),"",INDEX(J$1:J3147,SUMPRODUCT(MAX(ROW(E$1:E3147)*(E3148=E$1:E3147)))))</f>
        <v/>
      </c>
      <c r="L3148" s="25"/>
    </row>
    <row r="3149" spans="1:12" x14ac:dyDescent="0.2">
      <c r="A3149" t="s">
        <v>1046</v>
      </c>
      <c r="B3149" s="26" t="s">
        <v>819</v>
      </c>
      <c r="C3149" s="26" t="s">
        <v>811</v>
      </c>
      <c r="E3149" s="20" t="str">
        <f t="shared" si="337"/>
        <v/>
      </c>
      <c r="F3149" s="21" t="str">
        <f>IF(OR(E3149="",E3149="!!!"),"",IF(NOT(ISNA(VLOOKUP(E3149,E$1:E3148,1,FALSE()))),"OLD",IF(AND(E3149&lt;&gt;"",E3149&lt;&gt;"!!!"),"NEW","")))</f>
        <v/>
      </c>
      <c r="G3149" s="22" t="str">
        <f>IF(OR(E3149="",E3149="!!!"),"",IF(OR(J3149=0,AND(J3149=1,K3149=1),AND(J3149=1,I3149="SBJ"),AND(J3149=1,I3149=0)),"?IN_FOCUS",IF(J3149&lt;=2,"?ACTIVATED",IF(J3149&lt;&gt;"","?FAMILIAR",IF(F3149="NEW",IF(ISNA(VLOOKUP(E3149,#REF!,1,FALSE())),"?TYPE_IDENTIFIABLE","?REFERENTIAL"),"_")))))</f>
        <v/>
      </c>
      <c r="H3149" s="23" t="str">
        <f t="shared" ca="1" si="336"/>
        <v/>
      </c>
      <c r="I3149" s="24" t="str">
        <f>IF(OR(E3149="",E3149="!!!",F3149="NEW"),"",INDEX(B$2:B3148,-1+SUMPRODUCT(MAX(ROW(E$2:E3148)*(E3149=E$2:E3148)))))</f>
        <v/>
      </c>
      <c r="J3149" s="24" t="str">
        <f ca="1">IF(OR(E3149="",E3149="!!!",F3149="NEW"),"",COUNTBLANK(OFFSET(A$1,,,SUMPRODUCT(MAX(ROW(E$2:E3149)*(E3149=E$2:E3149)))))-COUNTBLANK(OFFSET(A$1,,,SUMPRODUCT(MAX(ROW(E$1:E3148)*(E2=E$1:E3148))))))</f>
        <v/>
      </c>
      <c r="K3149" s="24" t="str">
        <f>IF(OR(E3149="",E3149="!!!",F3149="NEW"),"",INDEX(J$1:J3148,SUMPRODUCT(MAX(ROW(E$1:E3148)*(E3149=E$1:E3148)))))</f>
        <v/>
      </c>
      <c r="L3149" s="25"/>
    </row>
    <row r="3150" spans="1:12" x14ac:dyDescent="0.2">
      <c r="A3150" t="s">
        <v>802</v>
      </c>
      <c r="E3150" s="20" t="str">
        <f t="shared" si="337"/>
        <v/>
      </c>
      <c r="F3150" s="21" t="str">
        <f>IF(OR(E3150="",E3150="!!!"),"",IF(NOT(ISNA(VLOOKUP(E3150,E$1:E3149,1,FALSE()))),"OLD",IF(AND(E3150&lt;&gt;"",E3150&lt;&gt;"!!!"),"NEW","")))</f>
        <v/>
      </c>
      <c r="G3150" s="22" t="str">
        <f>IF(OR(E3150="",E3150="!!!"),"",IF(OR(J3150=0,AND(J3150=1,K3150=1),AND(J3150=1,I3150="SBJ"),AND(J3150=1,I3150=0)),"?IN_FOCUS",IF(J3150&lt;=2,"?ACTIVATED",IF(J3150&lt;&gt;"","?FAMILIAR",IF(F3150="NEW",IF(ISNA(VLOOKUP(E3150,#REF!,1,FALSE())),"?TYPE_IDENTIFIABLE","?REFERENTIAL"),"_")))))</f>
        <v/>
      </c>
      <c r="H3150" s="23" t="str">
        <f t="shared" ca="1" si="336"/>
        <v/>
      </c>
      <c r="I3150" s="24" t="str">
        <f>IF(OR(E3150="",E3150="!!!",F3150="NEW"),"",INDEX(B$2:B3149,-1+SUMPRODUCT(MAX(ROW(E$2:E3149)*(E3150=E$2:E3149)))))</f>
        <v/>
      </c>
      <c r="J3150" s="24" t="str">
        <f ca="1">IF(OR(E3150="",E3150="!!!",F3150="NEW"),"",COUNTBLANK(OFFSET(A$1,,,SUMPRODUCT(MAX(ROW(E$2:E3150)*(E3150=E$2:E3150)))))-COUNTBLANK(OFFSET(A$1,,,SUMPRODUCT(MAX(ROW(E$1:E3149)*(E2=E$1:E3149))))))</f>
        <v/>
      </c>
      <c r="K3150" s="24" t="str">
        <f>IF(OR(E3150="",E3150="!!!",F3150="NEW"),"",INDEX(J$1:J3149,SUMPRODUCT(MAX(ROW(E$1:E3149)*(E3150=E$1:E3149)))))</f>
        <v/>
      </c>
      <c r="L3150" s="25"/>
    </row>
    <row r="3151" spans="1:12" x14ac:dyDescent="0.2">
      <c r="A3151" t="s">
        <v>888</v>
      </c>
      <c r="E3151" s="20" t="str">
        <f t="shared" si="337"/>
        <v/>
      </c>
      <c r="F3151" s="21" t="str">
        <f>IF(OR(E3151="",E3151="!!!"),"",IF(NOT(ISNA(VLOOKUP(E3151,E$1:E3150,1,FALSE()))),"OLD",IF(AND(E3151&lt;&gt;"",E3151&lt;&gt;"!!!"),"NEW","")))</f>
        <v/>
      </c>
      <c r="G3151" s="22" t="str">
        <f>IF(OR(E3151="",E3151="!!!"),"",IF(OR(J3151=0,AND(J3151=1,K3151=1),AND(J3151=1,I3151="SBJ"),AND(J3151=1,I3151=0)),"?IN_FOCUS",IF(J3151&lt;=2,"?ACTIVATED",IF(J3151&lt;&gt;"","?FAMILIAR",IF(F3151="NEW",IF(ISNA(VLOOKUP(E3151,#REF!,1,FALSE())),"?TYPE_IDENTIFIABLE","?REFERENTIAL"),"_")))))</f>
        <v/>
      </c>
      <c r="H3151" s="23" t="str">
        <f t="shared" ca="1" si="336"/>
        <v/>
      </c>
      <c r="I3151" s="24" t="str">
        <f>IF(OR(E3151="",E3151="!!!",F3151="NEW"),"",INDEX(B$2:B3150,-1+SUMPRODUCT(MAX(ROW(E$2:E3150)*(E3151=E$2:E3150)))))</f>
        <v/>
      </c>
      <c r="J3151" s="24" t="str">
        <f ca="1">IF(OR(E3151="",E3151="!!!",F3151="NEW"),"",COUNTBLANK(OFFSET(A$1,,,SUMPRODUCT(MAX(ROW(E$2:E3151)*(E3151=E$2:E3151)))))-COUNTBLANK(OFFSET(A$1,,,SUMPRODUCT(MAX(ROW(E$1:E3150)*(E2=E$1:E3150))))))</f>
        <v/>
      </c>
      <c r="K3151" s="24" t="str">
        <f>IF(OR(E3151="",E3151="!!!",F3151="NEW"),"",INDEX(J$1:J3150,SUMPRODUCT(MAX(ROW(E$1:E3150)*(E3151=E$1:E3150)))))</f>
        <v/>
      </c>
      <c r="L3151" s="25"/>
    </row>
    <row r="3152" spans="1:12" x14ac:dyDescent="0.2">
      <c r="A3152" t="s">
        <v>830</v>
      </c>
      <c r="B3152" s="26" t="s">
        <v>950</v>
      </c>
      <c r="C3152" s="26" t="s">
        <v>805</v>
      </c>
      <c r="D3152" s="26" t="s">
        <v>806</v>
      </c>
      <c r="E3152" s="20" t="s">
        <v>1810</v>
      </c>
      <c r="F3152" s="21" t="str">
        <f>IF(OR(E3152="",E3152="!!!"),"",IF(NOT(ISNA(VLOOKUP(E3152,E$1:E3151,1,FALSE()))),"OLD",IF(AND(E3152&lt;&gt;"",E3152&lt;&gt;"!!!"),"NEW","")))</f>
        <v>OLD</v>
      </c>
      <c r="G3152" s="22" t="s">
        <v>1823</v>
      </c>
      <c r="H3152" s="23" t="str">
        <f t="shared" ca="1" si="336"/>
        <v/>
      </c>
      <c r="I3152" s="24" t="str">
        <f>IF(OR(E3152="",E3152="!!!",F3152="NEW"),"",INDEX(B$2:B3151,-1+SUMPRODUCT(MAX(ROW(E$2:E3151)*(E3152=E$2:E3151)))))</f>
        <v>SBJ</v>
      </c>
      <c r="J3152" s="24">
        <f ca="1">IF(OR(E3152="",E3152="!!!",F3152="NEW"),"",COUNTBLANK(OFFSET(A$1,,,SUMPRODUCT(MAX(ROW(E$2:E3152)*(E3152=E$2:E3152)))))-COUNTBLANK(OFFSET(A$1,,,SUMPRODUCT(MAX(ROW(E$1:E3151)*(E2=E$1:E3151))))))</f>
        <v>0</v>
      </c>
      <c r="K3152" s="24">
        <f ca="1">IF(OR(E3152="",E3152="!!!",F3152="NEW"),"",INDEX(J$1:J3151,SUMPRODUCT(MAX(ROW(E$1:E3151)*(E3152=E$1:E3151)))))</f>
        <v>0</v>
      </c>
      <c r="L3152" s="25"/>
    </row>
    <row r="3153" spans="1:12" x14ac:dyDescent="0.2">
      <c r="A3153" t="s">
        <v>963</v>
      </c>
      <c r="E3153" s="20" t="str">
        <f t="shared" si="337"/>
        <v/>
      </c>
      <c r="F3153" s="21" t="str">
        <f>IF(OR(E3153="",E3153="!!!"),"",IF(NOT(ISNA(VLOOKUP(E3153,E$1:E3152,1,FALSE()))),"OLD",IF(AND(E3153&lt;&gt;"",E3153&lt;&gt;"!!!"),"NEW","")))</f>
        <v/>
      </c>
      <c r="G3153" s="22" t="str">
        <f>IF(OR(E3153="",E3153="!!!"),"",IF(OR(J3153=0,AND(J3153=1,K3153=1),AND(J3153=1,I3153="SBJ"),AND(J3153=1,I3153=0)),"?IN_FOCUS",IF(J3153&lt;=2,"?ACTIVATED",IF(J3153&lt;&gt;"","?FAMILIAR",IF(F3153="NEW",IF(ISNA(VLOOKUP(E3153,#REF!,1,FALSE())),"?TYPE_IDENTIFIABLE","?REFERENTIAL"),"_")))))</f>
        <v/>
      </c>
      <c r="H3153" s="23" t="str">
        <f t="shared" ca="1" si="336"/>
        <v/>
      </c>
      <c r="I3153" s="24" t="str">
        <f>IF(OR(E3153="",E3153="!!!",F3153="NEW"),"",INDEX(B$2:B3152,-1+SUMPRODUCT(MAX(ROW(E$2:E3152)*(E3153=E$2:E3152)))))</f>
        <v/>
      </c>
      <c r="J3153" s="24" t="str">
        <f ca="1">IF(OR(E3153="",E3153="!!!",F3153="NEW"),"",COUNTBLANK(OFFSET(A$1,,,SUMPRODUCT(MAX(ROW(E$2:E3153)*(E3153=E$2:E3153)))))-COUNTBLANK(OFFSET(A$1,,,SUMPRODUCT(MAX(ROW(E$1:E3152)*(E2=E$1:E3152))))))</f>
        <v/>
      </c>
      <c r="K3153" s="24" t="str">
        <f>IF(OR(E3153="",E3153="!!!",F3153="NEW"),"",INDEX(J$1:J3152,SUMPRODUCT(MAX(ROW(E$1:E3152)*(E3153=E$1:E3152)))))</f>
        <v/>
      </c>
      <c r="L3153" s="25"/>
    </row>
    <row r="3154" spans="1:12" x14ac:dyDescent="0.2">
      <c r="A3154" t="s">
        <v>999</v>
      </c>
      <c r="E3154" s="20" t="str">
        <f t="shared" si="337"/>
        <v/>
      </c>
      <c r="F3154" s="21" t="str">
        <f>IF(OR(E3154="",E3154="!!!"),"",IF(NOT(ISNA(VLOOKUP(E3154,E$1:E3153,1,FALSE()))),"OLD",IF(AND(E3154&lt;&gt;"",E3154&lt;&gt;"!!!"),"NEW","")))</f>
        <v/>
      </c>
      <c r="G3154" s="22" t="str">
        <f>IF(OR(E3154="",E3154="!!!"),"",IF(OR(J3154=0,AND(J3154=1,K3154=1),AND(J3154=1,I3154="SBJ"),AND(J3154=1,I3154=0)),"?IN_FOCUS",IF(J3154&lt;=2,"?ACTIVATED",IF(J3154&lt;&gt;"","?FAMILIAR",IF(F3154="NEW",IF(ISNA(VLOOKUP(E3154,#REF!,1,FALSE())),"?TYPE_IDENTIFIABLE","?REFERENTIAL"),"_")))))</f>
        <v/>
      </c>
      <c r="H3154" s="23" t="str">
        <f t="shared" ca="1" si="336"/>
        <v/>
      </c>
      <c r="I3154" s="24" t="str">
        <f>IF(OR(E3154="",E3154="!!!",F3154="NEW"),"",INDEX(B$2:B3153,-1+SUMPRODUCT(MAX(ROW(E$2:E3153)*(E3154=E$2:E3153)))))</f>
        <v/>
      </c>
      <c r="J3154" s="24" t="str">
        <f ca="1">IF(OR(E3154="",E3154="!!!",F3154="NEW"),"",COUNTBLANK(OFFSET(A$1,,,SUMPRODUCT(MAX(ROW(E$2:E3154)*(E3154=E$2:E3154)))))-COUNTBLANK(OFFSET(A$1,,,SUMPRODUCT(MAX(ROW(E$1:E3153)*(E2=E$1:E3153))))))</f>
        <v/>
      </c>
      <c r="K3154" s="24" t="str">
        <f>IF(OR(E3154="",E3154="!!!",F3154="NEW"),"",INDEX(J$1:J3153,SUMPRODUCT(MAX(ROW(E$1:E3153)*(E3154=E$1:E3153)))))</f>
        <v/>
      </c>
      <c r="L3154" s="25"/>
    </row>
    <row r="3155" spans="1:12" x14ac:dyDescent="0.2">
      <c r="A3155" t="s">
        <v>1611</v>
      </c>
      <c r="E3155" s="20" t="str">
        <f t="shared" si="337"/>
        <v/>
      </c>
      <c r="F3155" s="21" t="str">
        <f>IF(OR(E3155="",E3155="!!!"),"",IF(NOT(ISNA(VLOOKUP(E3155,E$1:E3154,1,FALSE()))),"OLD",IF(AND(E3155&lt;&gt;"",E3155&lt;&gt;"!!!"),"NEW","")))</f>
        <v/>
      </c>
      <c r="G3155" s="22" t="str">
        <f>IF(OR(E3155="",E3155="!!!"),"",IF(OR(J3155=0,AND(J3155=1,K3155=1),AND(J3155=1,I3155="SBJ"),AND(J3155=1,I3155=0)),"?IN_FOCUS",IF(J3155&lt;=2,"?ACTIVATED",IF(J3155&lt;&gt;"","?FAMILIAR",IF(F3155="NEW",IF(ISNA(VLOOKUP(E3155,#REF!,1,FALSE())),"?TYPE_IDENTIFIABLE","?REFERENTIAL"),"_")))))</f>
        <v/>
      </c>
      <c r="H3155" s="23" t="str">
        <f t="shared" ca="1" si="336"/>
        <v/>
      </c>
      <c r="I3155" s="24" t="str">
        <f>IF(OR(E3155="",E3155="!!!",F3155="NEW"),"",INDEX(B$2:B3154,-1+SUMPRODUCT(MAX(ROW(E$2:E3154)*(E3155=E$2:E3154)))))</f>
        <v/>
      </c>
      <c r="J3155" s="24" t="str">
        <f ca="1">IF(OR(E3155="",E3155="!!!",F3155="NEW"),"",COUNTBLANK(OFFSET(A$1,,,SUMPRODUCT(MAX(ROW(E$2:E3155)*(E3155=E$2:E3155)))))-COUNTBLANK(OFFSET(A$1,,,SUMPRODUCT(MAX(ROW(E$1:E3154)*(E2=E$1:E3154))))))</f>
        <v/>
      </c>
      <c r="K3155" s="24" t="str">
        <f>IF(OR(E3155="",E3155="!!!",F3155="NEW"),"",INDEX(J$1:J3154,SUMPRODUCT(MAX(ROW(E$1:E3154)*(E3155=E$1:E3154)))))</f>
        <v/>
      </c>
      <c r="L3155" s="25"/>
    </row>
    <row r="3156" spans="1:12" x14ac:dyDescent="0.2">
      <c r="A3156" t="s">
        <v>821</v>
      </c>
      <c r="E3156" s="20" t="str">
        <f t="shared" si="337"/>
        <v/>
      </c>
      <c r="F3156" s="21" t="str">
        <f>IF(OR(E3156="",E3156="!!!"),"",IF(NOT(ISNA(VLOOKUP(E3156,E$1:E3155,1,FALSE()))),"OLD",IF(AND(E3156&lt;&gt;"",E3156&lt;&gt;"!!!"),"NEW","")))</f>
        <v/>
      </c>
      <c r="G3156" s="22" t="str">
        <f>IF(OR(E3156="",E3156="!!!"),"",IF(OR(J3156=0,AND(J3156=1,K3156=1),AND(J3156=1,I3156="SBJ"),AND(J3156=1,I3156=0)),"?IN_FOCUS",IF(J3156&lt;=2,"?ACTIVATED",IF(J3156&lt;&gt;"","?FAMILIAR",IF(F3156="NEW",IF(ISNA(VLOOKUP(E3156,#REF!,1,FALSE())),"?TYPE_IDENTIFIABLE","?REFERENTIAL"),"_")))))</f>
        <v/>
      </c>
      <c r="H3156" s="23" t="str">
        <f t="shared" ca="1" si="336"/>
        <v/>
      </c>
      <c r="I3156" s="24" t="str">
        <f>IF(OR(E3156="",E3156="!!!",F3156="NEW"),"",INDEX(B$2:B3155,-1+SUMPRODUCT(MAX(ROW(E$2:E3155)*(E3156=E$2:E3155)))))</f>
        <v/>
      </c>
      <c r="J3156" s="24" t="str">
        <f ca="1">IF(OR(E3156="",E3156="!!!",F3156="NEW"),"",COUNTBLANK(OFFSET(A$1,,,SUMPRODUCT(MAX(ROW(E$2:E3156)*(E3156=E$2:E3156)))))-COUNTBLANK(OFFSET(A$1,,,SUMPRODUCT(MAX(ROW(E$1:E3155)*(E2=E$1:E3155))))))</f>
        <v/>
      </c>
      <c r="K3156" s="24" t="str">
        <f>IF(OR(E3156="",E3156="!!!",F3156="NEW"),"",INDEX(J$1:J3155,SUMPRODUCT(MAX(ROW(E$1:E3155)*(E3156=E$1:E3155)))))</f>
        <v/>
      </c>
      <c r="L3156" s="25"/>
    </row>
    <row r="3158" spans="1:12" x14ac:dyDescent="0.2">
      <c r="A3158" t="s">
        <v>1688</v>
      </c>
    </row>
    <row r="3159" spans="1:12" x14ac:dyDescent="0.2">
      <c r="A3159" t="s">
        <v>1689</v>
      </c>
      <c r="B3159" s="26" t="s">
        <v>813</v>
      </c>
      <c r="C3159" s="26" t="s">
        <v>817</v>
      </c>
      <c r="D3159" s="26" t="s">
        <v>806</v>
      </c>
      <c r="E3159" s="20"/>
      <c r="F3159" s="21" t="str">
        <f>IF(OR(E3159="",E3159="!!!"),"",IF(NOT(ISNA(VLOOKUP(E3159,E$1:E3158,1,FALSE()))),"OLD",IF(AND(E3159&lt;&gt;"",E3159&lt;&gt;"!!!"),"NEW","")))</f>
        <v/>
      </c>
      <c r="G3159" s="22" t="str">
        <f>IF(OR(E3159="",E3159="!!!"),"",IF(OR(J3159=0,AND(J3159=1,K3159=1),AND(J3159=1,I3159="SBJ"),AND(J3159=1,I3159=0)),"?IN_FOCUS",IF(J3159&lt;=2,"?ACTIVATED",IF(J3159&lt;&gt;"","?FAMILIAR",IF(F3159="NEW",IF(ISNA(VLOOKUP(E3159,#REF!,1,FALSE())),"?TYPE_IDENTIFIABLE","?REFERENTIAL"),"_")))))</f>
        <v/>
      </c>
      <c r="H3159" s="23" t="str">
        <f t="shared" ref="H3159:H3176" ca="1" si="338">IF(J3159&lt;&gt;1,"",IF(I3159="SBJ","CB","?"))</f>
        <v/>
      </c>
      <c r="I3159" s="24" t="str">
        <f>IF(OR(E3159="",E3159="!!!",F3159="NEW"),"",INDEX(B$2:B3158,-1+SUMPRODUCT(MAX(ROW(E$2:E3158)*(E3159=E$2:E3158)))))</f>
        <v/>
      </c>
      <c r="J3159" s="24" t="str">
        <f ca="1">IF(OR(E3159="",E3159="!!!",F3159="NEW"),"",COUNTBLANK(OFFSET(A$1,,,SUMPRODUCT(MAX(ROW(E$2:E3159)*(E3159=E$2:E3159)))))-COUNTBLANK(OFFSET(A$1,,,SUMPRODUCT(MAX(ROW(E$1:E3158)*(E2=E$1:E3158))))))</f>
        <v/>
      </c>
      <c r="K3159" s="24" t="str">
        <f>IF(OR(E3159="",E3159="!!!",F3159="NEW"),"",INDEX(J$1:J3158,SUMPRODUCT(MAX(ROW(E$1:E3158)*(E3159=E$1:E3158)))))</f>
        <v/>
      </c>
      <c r="L3159" s="25"/>
    </row>
    <row r="3160" spans="1:12" x14ac:dyDescent="0.2">
      <c r="A3160" t="s">
        <v>1690</v>
      </c>
      <c r="B3160" s="26" t="s">
        <v>804</v>
      </c>
      <c r="C3160" s="26" t="s">
        <v>820</v>
      </c>
      <c r="D3160" s="26" t="s">
        <v>806</v>
      </c>
      <c r="E3160" s="20"/>
      <c r="F3160" s="21" t="s">
        <v>1764</v>
      </c>
      <c r="G3160" s="22" t="str">
        <f>IF(OR(E3160="",E3160="!!!"),"",IF(OR(J3160=0,AND(J3160=1,K3160=1),AND(J3160=1,I3160="SBJ"),AND(J3160=1,I3160=0)),"?IN_FOCUS",IF(J3160&lt;=2,"?ACTIVATED",IF(J3160&lt;&gt;"","?FAMILIAR",IF(F3160="NEW",IF(ISNA(VLOOKUP(E3160,#REF!,1,FALSE())),"?TYPE_IDENTIFIABLE","?REFERENTIAL"),"_")))))</f>
        <v/>
      </c>
      <c r="H3160" s="23" t="str">
        <f t="shared" ca="1" si="338"/>
        <v/>
      </c>
      <c r="I3160" s="24" t="str">
        <f>IF(OR(E3160="",E3160="!!!",F3160="NEW"),"",INDEX(B$2:B3159,-1+SUMPRODUCT(MAX(ROW(E$2:E3159)*(E3160=E$2:E3159)))))</f>
        <v/>
      </c>
      <c r="J3160" s="24" t="str">
        <f ca="1">IF(OR(E3160="",E3160="!!!",F3160="NEW"),"",COUNTBLANK(OFFSET(A$1,,,SUMPRODUCT(MAX(ROW(E$2:E3160)*(E3160=E$2:E3160)))))-COUNTBLANK(OFFSET(A$1,,,SUMPRODUCT(MAX(ROW(E$1:E3159)*(E2=E$1:E3159))))))</f>
        <v/>
      </c>
      <c r="K3160" s="24" t="str">
        <f>IF(OR(E3160="",E3160="!!!",F3160="NEW"),"",INDEX(J$1:J3159,SUMPRODUCT(MAX(ROW(E$1:E3159)*(E3160=E$1:E3159)))))</f>
        <v/>
      </c>
      <c r="L3160" s="25"/>
    </row>
    <row r="3161" spans="1:12" x14ac:dyDescent="0.2">
      <c r="A3161" t="s">
        <v>963</v>
      </c>
      <c r="E3161" s="20" t="str">
        <f t="shared" ref="E3159:E3176" si="339">IF(D3161="?OLD","!!!","")</f>
        <v/>
      </c>
      <c r="F3161" s="21" t="str">
        <f>IF(OR(E3161="",E3161="!!!"),"",IF(NOT(ISNA(VLOOKUP(E3161,E$1:E3160,1,FALSE()))),"OLD",IF(AND(E3161&lt;&gt;"",E3161&lt;&gt;"!!!"),"NEW","")))</f>
        <v/>
      </c>
      <c r="G3161" s="22" t="str">
        <f>IF(OR(E3161="",E3161="!!!"),"",IF(OR(J3161=0,AND(J3161=1,K3161=1),AND(J3161=1,I3161="SBJ"),AND(J3161=1,I3161=0)),"?IN_FOCUS",IF(J3161&lt;=2,"?ACTIVATED",IF(J3161&lt;&gt;"","?FAMILIAR",IF(F3161="NEW",IF(ISNA(VLOOKUP(E3161,#REF!,1,FALSE())),"?TYPE_IDENTIFIABLE","?REFERENTIAL"),"_")))))</f>
        <v/>
      </c>
      <c r="H3161" s="23" t="str">
        <f t="shared" ca="1" si="338"/>
        <v/>
      </c>
      <c r="I3161" s="24" t="str">
        <f>IF(OR(E3161="",E3161="!!!",F3161="NEW"),"",INDEX(B$2:B3160,-1+SUMPRODUCT(MAX(ROW(E$2:E3160)*(E3161=E$2:E3160)))))</f>
        <v/>
      </c>
      <c r="J3161" s="24" t="str">
        <f ca="1">IF(OR(E3161="",E3161="!!!",F3161="NEW"),"",COUNTBLANK(OFFSET(A$1,,,SUMPRODUCT(MAX(ROW(E$2:E3161)*(E3161=E$2:E3161)))))-COUNTBLANK(OFFSET(A$1,,,SUMPRODUCT(MAX(ROW(E$1:E3160)*(E2=E$1:E3160))))))</f>
        <v/>
      </c>
      <c r="K3161" s="24" t="str">
        <f>IF(OR(E3161="",E3161="!!!",F3161="NEW"),"",INDEX(J$1:J3160,SUMPRODUCT(MAX(ROW(E$1:E3160)*(E3161=E$1:E3160)))))</f>
        <v/>
      </c>
      <c r="L3161" s="25"/>
    </row>
    <row r="3162" spans="1:12" x14ac:dyDescent="0.2">
      <c r="A3162" t="s">
        <v>1691</v>
      </c>
      <c r="E3162" s="20" t="str">
        <f t="shared" si="339"/>
        <v/>
      </c>
      <c r="F3162" s="21" t="str">
        <f>IF(OR(E3162="",E3162="!!!"),"",IF(NOT(ISNA(VLOOKUP(E3162,E$1:E3161,1,FALSE()))),"OLD",IF(AND(E3162&lt;&gt;"",E3162&lt;&gt;"!!!"),"NEW","")))</f>
        <v/>
      </c>
      <c r="G3162" s="22" t="str">
        <f>IF(OR(E3162="",E3162="!!!"),"",IF(OR(J3162=0,AND(J3162=1,K3162=1),AND(J3162=1,I3162="SBJ"),AND(J3162=1,I3162=0)),"?IN_FOCUS",IF(J3162&lt;=2,"?ACTIVATED",IF(J3162&lt;&gt;"","?FAMILIAR",IF(F3162="NEW",IF(ISNA(VLOOKUP(E3162,#REF!,1,FALSE())),"?TYPE_IDENTIFIABLE","?REFERENTIAL"),"_")))))</f>
        <v/>
      </c>
      <c r="H3162" s="23" t="str">
        <f t="shared" ca="1" si="338"/>
        <v/>
      </c>
      <c r="I3162" s="24" t="str">
        <f>IF(OR(E3162="",E3162="!!!",F3162="NEW"),"",INDEX(B$2:B3161,-1+SUMPRODUCT(MAX(ROW(E$2:E3161)*(E3162=E$2:E3161)))))</f>
        <v/>
      </c>
      <c r="J3162" s="24" t="str">
        <f ca="1">IF(OR(E3162="",E3162="!!!",F3162="NEW"),"",COUNTBLANK(OFFSET(A$1,,,SUMPRODUCT(MAX(ROW(E$2:E3162)*(E3162=E$2:E3162)))))-COUNTBLANK(OFFSET(A$1,,,SUMPRODUCT(MAX(ROW(E$1:E3161)*(E2=E$1:E3161))))))</f>
        <v/>
      </c>
      <c r="K3162" s="24" t="str">
        <f>IF(OR(E3162="",E3162="!!!",F3162="NEW"),"",INDEX(J$1:J3161,SUMPRODUCT(MAX(ROW(E$1:E3161)*(E3162=E$1:E3161)))))</f>
        <v/>
      </c>
      <c r="L3162" s="25"/>
    </row>
    <row r="3163" spans="1:12" x14ac:dyDescent="0.2">
      <c r="A3163" t="s">
        <v>1453</v>
      </c>
      <c r="B3163" s="26" t="s">
        <v>819</v>
      </c>
      <c r="C3163" s="26" t="s">
        <v>814</v>
      </c>
      <c r="E3163" s="20" t="str">
        <f t="shared" si="339"/>
        <v/>
      </c>
      <c r="F3163" s="21" t="str">
        <f>IF(OR(E3163="",E3163="!!!"),"",IF(NOT(ISNA(VLOOKUP(E3163,E$1:E3162,1,FALSE()))),"OLD",IF(AND(E3163&lt;&gt;"",E3163&lt;&gt;"!!!"),"NEW","")))</f>
        <v/>
      </c>
      <c r="G3163" s="22" t="str">
        <f>IF(OR(E3163="",E3163="!!!"),"",IF(OR(J3163=0,AND(J3163=1,K3163=1),AND(J3163=1,I3163="SBJ"),AND(J3163=1,I3163=0)),"?IN_FOCUS",IF(J3163&lt;=2,"?ACTIVATED",IF(J3163&lt;&gt;"","?FAMILIAR",IF(F3163="NEW",IF(ISNA(VLOOKUP(E3163,#REF!,1,FALSE())),"?TYPE_IDENTIFIABLE","?REFERENTIAL"),"_")))))</f>
        <v/>
      </c>
      <c r="H3163" s="23" t="str">
        <f t="shared" ca="1" si="338"/>
        <v/>
      </c>
      <c r="I3163" s="24" t="str">
        <f>IF(OR(E3163="",E3163="!!!",F3163="NEW"),"",INDEX(B$2:B3162,-1+SUMPRODUCT(MAX(ROW(E$2:E3162)*(E3163=E$2:E3162)))))</f>
        <v/>
      </c>
      <c r="J3163" s="24" t="str">
        <f ca="1">IF(OR(E3163="",E3163="!!!",F3163="NEW"),"",COUNTBLANK(OFFSET(A$1,,,SUMPRODUCT(MAX(ROW(E$2:E3163)*(E3163=E$2:E3163)))))-COUNTBLANK(OFFSET(A$1,,,SUMPRODUCT(MAX(ROW(E$1:E3162)*(E2=E$1:E3162))))))</f>
        <v/>
      </c>
      <c r="K3163" s="24" t="str">
        <f>IF(OR(E3163="",E3163="!!!",F3163="NEW"),"",INDEX(J$1:J3162,SUMPRODUCT(MAX(ROW(E$1:E3162)*(E3163=E$1:E3162)))))</f>
        <v/>
      </c>
      <c r="L3163" s="25"/>
    </row>
    <row r="3164" spans="1:12" x14ac:dyDescent="0.2">
      <c r="A3164" t="s">
        <v>802</v>
      </c>
      <c r="E3164" s="20" t="str">
        <f t="shared" si="339"/>
        <v/>
      </c>
      <c r="F3164" s="21" t="str">
        <f>IF(OR(E3164="",E3164="!!!"),"",IF(NOT(ISNA(VLOOKUP(E3164,E$1:E3163,1,FALSE()))),"OLD",IF(AND(E3164&lt;&gt;"",E3164&lt;&gt;"!!!"),"NEW","")))</f>
        <v/>
      </c>
      <c r="G3164" s="22" t="str">
        <f>IF(OR(E3164="",E3164="!!!"),"",IF(OR(J3164=0,AND(J3164=1,K3164=1),AND(J3164=1,I3164="SBJ"),AND(J3164=1,I3164=0)),"?IN_FOCUS",IF(J3164&lt;=2,"?ACTIVATED",IF(J3164&lt;&gt;"","?FAMILIAR",IF(F3164="NEW",IF(ISNA(VLOOKUP(E3164,#REF!,1,FALSE())),"?TYPE_IDENTIFIABLE","?REFERENTIAL"),"_")))))</f>
        <v/>
      </c>
      <c r="H3164" s="23" t="str">
        <f t="shared" ca="1" si="338"/>
        <v/>
      </c>
      <c r="I3164" s="24" t="str">
        <f>IF(OR(E3164="",E3164="!!!",F3164="NEW"),"",INDEX(B$2:B3163,-1+SUMPRODUCT(MAX(ROW(E$2:E3163)*(E3164=E$2:E3163)))))</f>
        <v/>
      </c>
      <c r="J3164" s="24" t="str">
        <f ca="1">IF(OR(E3164="",E3164="!!!",F3164="NEW"),"",COUNTBLANK(OFFSET(A$1,,,SUMPRODUCT(MAX(ROW(E$2:E3164)*(E3164=E$2:E3164)))))-COUNTBLANK(OFFSET(A$1,,,SUMPRODUCT(MAX(ROW(E$1:E3163)*(E2=E$1:E3163))))))</f>
        <v/>
      </c>
      <c r="K3164" s="24" t="str">
        <f>IF(OR(E3164="",E3164="!!!",F3164="NEW"),"",INDEX(J$1:J3163,SUMPRODUCT(MAX(ROW(E$1:E3163)*(E3164=E$1:E3163)))))</f>
        <v/>
      </c>
      <c r="L3164" s="25"/>
    </row>
    <row r="3165" spans="1:12" x14ac:dyDescent="0.2">
      <c r="A3165" t="s">
        <v>1031</v>
      </c>
      <c r="E3165" s="20" t="str">
        <f t="shared" si="339"/>
        <v/>
      </c>
      <c r="F3165" s="21" t="str">
        <f>IF(OR(E3165="",E3165="!!!"),"",IF(NOT(ISNA(VLOOKUP(E3165,E$1:E3164,1,FALSE()))),"OLD",IF(AND(E3165&lt;&gt;"",E3165&lt;&gt;"!!!"),"NEW","")))</f>
        <v/>
      </c>
      <c r="G3165" s="22" t="str">
        <f>IF(OR(E3165="",E3165="!!!"),"",IF(OR(J3165=0,AND(J3165=1,K3165=1),AND(J3165=1,I3165="SBJ"),AND(J3165=1,I3165=0)),"?IN_FOCUS",IF(J3165&lt;=2,"?ACTIVATED",IF(J3165&lt;&gt;"","?FAMILIAR",IF(F3165="NEW",IF(ISNA(VLOOKUP(E3165,#REF!,1,FALSE())),"?TYPE_IDENTIFIABLE","?REFERENTIAL"),"_")))))</f>
        <v/>
      </c>
      <c r="H3165" s="23" t="str">
        <f t="shared" ca="1" si="338"/>
        <v/>
      </c>
      <c r="I3165" s="24" t="str">
        <f>IF(OR(E3165="",E3165="!!!",F3165="NEW"),"",INDEX(B$2:B3164,-1+SUMPRODUCT(MAX(ROW(E$2:E3164)*(E3165=E$2:E3164)))))</f>
        <v/>
      </c>
      <c r="J3165" s="24" t="str">
        <f ca="1">IF(OR(E3165="",E3165="!!!",F3165="NEW"),"",COUNTBLANK(OFFSET(A$1,,,SUMPRODUCT(MAX(ROW(E$2:E3165)*(E3165=E$2:E3165)))))-COUNTBLANK(OFFSET(A$1,,,SUMPRODUCT(MAX(ROW(E$1:E3164)*(E2=E$1:E3164))))))</f>
        <v/>
      </c>
      <c r="K3165" s="24" t="str">
        <f>IF(OR(E3165="",E3165="!!!",F3165="NEW"),"",INDEX(J$1:J3164,SUMPRODUCT(MAX(ROW(E$1:E3164)*(E3165=E$1:E3164)))))</f>
        <v/>
      </c>
      <c r="L3165" s="25"/>
    </row>
    <row r="3166" spans="1:12" x14ac:dyDescent="0.2">
      <c r="A3166" t="s">
        <v>1127</v>
      </c>
      <c r="E3166" s="20" t="str">
        <f t="shared" si="339"/>
        <v/>
      </c>
      <c r="F3166" s="21" t="str">
        <f>IF(OR(E3166="",E3166="!!!"),"",IF(NOT(ISNA(VLOOKUP(E3166,E$1:E3165,1,FALSE()))),"OLD",IF(AND(E3166&lt;&gt;"",E3166&lt;&gt;"!!!"),"NEW","")))</f>
        <v/>
      </c>
      <c r="G3166" s="22" t="str">
        <f>IF(OR(E3166="",E3166="!!!"),"",IF(OR(J3166=0,AND(J3166=1,K3166=1),AND(J3166=1,I3166="SBJ"),AND(J3166=1,I3166=0)),"?IN_FOCUS",IF(J3166&lt;=2,"?ACTIVATED",IF(J3166&lt;&gt;"","?FAMILIAR",IF(F3166="NEW",IF(ISNA(VLOOKUP(E3166,#REF!,1,FALSE())),"?TYPE_IDENTIFIABLE","?REFERENTIAL"),"_")))))</f>
        <v/>
      </c>
      <c r="H3166" s="23" t="str">
        <f t="shared" ca="1" si="338"/>
        <v/>
      </c>
      <c r="I3166" s="24" t="str">
        <f>IF(OR(E3166="",E3166="!!!",F3166="NEW"),"",INDEX(B$2:B3165,-1+SUMPRODUCT(MAX(ROW(E$2:E3165)*(E3166=E$2:E3165)))))</f>
        <v/>
      </c>
      <c r="J3166" s="24" t="str">
        <f ca="1">IF(OR(E3166="",E3166="!!!",F3166="NEW"),"",COUNTBLANK(OFFSET(A$1,,,SUMPRODUCT(MAX(ROW(E$2:E3166)*(E3166=E$2:E3166)))))-COUNTBLANK(OFFSET(A$1,,,SUMPRODUCT(MAX(ROW(E$1:E3165)*(E2=E$1:E3165))))))</f>
        <v/>
      </c>
      <c r="K3166" s="24" t="str">
        <f>IF(OR(E3166="",E3166="!!!",F3166="NEW"),"",INDEX(J$1:J3165,SUMPRODUCT(MAX(ROW(E$1:E3165)*(E3166=E$1:E3165)))))</f>
        <v/>
      </c>
      <c r="L3166" s="25"/>
    </row>
    <row r="3167" spans="1:12" x14ac:dyDescent="0.2">
      <c r="A3167" t="s">
        <v>812</v>
      </c>
      <c r="E3167" s="20" t="str">
        <f t="shared" si="339"/>
        <v/>
      </c>
      <c r="F3167" s="21" t="str">
        <f>IF(OR(E3167="",E3167="!!!"),"",IF(NOT(ISNA(VLOOKUP(E3167,E$1:E3166,1,FALSE()))),"OLD",IF(AND(E3167&lt;&gt;"",E3167&lt;&gt;"!!!"),"NEW","")))</f>
        <v/>
      </c>
      <c r="G3167" s="22" t="str">
        <f>IF(OR(E3167="",E3167="!!!"),"",IF(OR(J3167=0,AND(J3167=1,K3167=1),AND(J3167=1,I3167="SBJ"),AND(J3167=1,I3167=0)),"?IN_FOCUS",IF(J3167&lt;=2,"?ACTIVATED",IF(J3167&lt;&gt;"","?FAMILIAR",IF(F3167="NEW",IF(ISNA(VLOOKUP(E3167,#REF!,1,FALSE())),"?TYPE_IDENTIFIABLE","?REFERENTIAL"),"_")))))</f>
        <v/>
      </c>
      <c r="H3167" s="23" t="str">
        <f t="shared" ca="1" si="338"/>
        <v/>
      </c>
      <c r="I3167" s="24" t="str">
        <f>IF(OR(E3167="",E3167="!!!",F3167="NEW"),"",INDEX(B$2:B3166,-1+SUMPRODUCT(MAX(ROW(E$2:E3166)*(E3167=E$2:E3166)))))</f>
        <v/>
      </c>
      <c r="J3167" s="24" t="str">
        <f ca="1">IF(OR(E3167="",E3167="!!!",F3167="NEW"),"",COUNTBLANK(OFFSET(A$1,,,SUMPRODUCT(MAX(ROW(E$2:E3167)*(E3167=E$2:E3167)))))-COUNTBLANK(OFFSET(A$1,,,SUMPRODUCT(MAX(ROW(E$1:E3166)*(E2=E$1:E3166))))))</f>
        <v/>
      </c>
      <c r="K3167" s="24" t="str">
        <f>IF(OR(E3167="",E3167="!!!",F3167="NEW"),"",INDEX(J$1:J3166,SUMPRODUCT(MAX(ROW(E$1:E3166)*(E3167=E$1:E3166)))))</f>
        <v/>
      </c>
      <c r="L3167" s="25"/>
    </row>
    <row r="3168" spans="1:12" x14ac:dyDescent="0.2">
      <c r="A3168" t="s">
        <v>1692</v>
      </c>
      <c r="E3168" s="20" t="str">
        <f t="shared" si="339"/>
        <v/>
      </c>
      <c r="F3168" s="21" t="str">
        <f>IF(OR(E3168="",E3168="!!!"),"",IF(NOT(ISNA(VLOOKUP(E3168,E$1:E3167,1,FALSE()))),"OLD",IF(AND(E3168&lt;&gt;"",E3168&lt;&gt;"!!!"),"NEW","")))</f>
        <v/>
      </c>
      <c r="G3168" s="22" t="str">
        <f>IF(OR(E3168="",E3168="!!!"),"",IF(OR(J3168=0,AND(J3168=1,K3168=1),AND(J3168=1,I3168="SBJ"),AND(J3168=1,I3168=0)),"?IN_FOCUS",IF(J3168&lt;=2,"?ACTIVATED",IF(J3168&lt;&gt;"","?FAMILIAR",IF(F3168="NEW",IF(ISNA(VLOOKUP(E3168,#REF!,1,FALSE())),"?TYPE_IDENTIFIABLE","?REFERENTIAL"),"_")))))</f>
        <v/>
      </c>
      <c r="H3168" s="23" t="str">
        <f t="shared" ca="1" si="338"/>
        <v/>
      </c>
      <c r="I3168" s="24" t="str">
        <f>IF(OR(E3168="",E3168="!!!",F3168="NEW"),"",INDEX(B$2:B3167,-1+SUMPRODUCT(MAX(ROW(E$2:E3167)*(E3168=E$2:E3167)))))</f>
        <v/>
      </c>
      <c r="J3168" s="24" t="str">
        <f ca="1">IF(OR(E3168="",E3168="!!!",F3168="NEW"),"",COUNTBLANK(OFFSET(A$1,,,SUMPRODUCT(MAX(ROW(E$2:E3168)*(E3168=E$2:E3168)))))-COUNTBLANK(OFFSET(A$1,,,SUMPRODUCT(MAX(ROW(E$1:E3167)*(E2=E$1:E3167))))))</f>
        <v/>
      </c>
      <c r="K3168" s="24" t="str">
        <f>IF(OR(E3168="",E3168="!!!",F3168="NEW"),"",INDEX(J$1:J3167,SUMPRODUCT(MAX(ROW(E$1:E3167)*(E3168=E$1:E3167)))))</f>
        <v/>
      </c>
      <c r="L3168" s="25"/>
    </row>
    <row r="3169" spans="1:12" x14ac:dyDescent="0.2">
      <c r="A3169" t="s">
        <v>1693</v>
      </c>
      <c r="B3169" s="26" t="s">
        <v>938</v>
      </c>
      <c r="C3169" s="26" t="s">
        <v>814</v>
      </c>
      <c r="E3169" s="20" t="str">
        <f t="shared" si="339"/>
        <v/>
      </c>
      <c r="F3169" s="21" t="str">
        <f>IF(OR(E3169="",E3169="!!!"),"",IF(NOT(ISNA(VLOOKUP(E3169,E$1:E3168,1,FALSE()))),"OLD",IF(AND(E3169&lt;&gt;"",E3169&lt;&gt;"!!!"),"NEW","")))</f>
        <v/>
      </c>
      <c r="G3169" s="22" t="str">
        <f>IF(OR(E3169="",E3169="!!!"),"",IF(OR(J3169=0,AND(J3169=1,K3169=1),AND(J3169=1,I3169="SBJ"),AND(J3169=1,I3169=0)),"?IN_FOCUS",IF(J3169&lt;=2,"?ACTIVATED",IF(J3169&lt;&gt;"","?FAMILIAR",IF(F3169="NEW",IF(ISNA(VLOOKUP(E3169,#REF!,1,FALSE())),"?TYPE_IDENTIFIABLE","?REFERENTIAL"),"_")))))</f>
        <v/>
      </c>
      <c r="H3169" s="23" t="str">
        <f t="shared" ca="1" si="338"/>
        <v/>
      </c>
      <c r="I3169" s="24" t="str">
        <f>IF(OR(E3169="",E3169="!!!",F3169="NEW"),"",INDEX(B$2:B3168,-1+SUMPRODUCT(MAX(ROW(E$2:E3168)*(E3169=E$2:E3168)))))</f>
        <v/>
      </c>
      <c r="J3169" s="24" t="str">
        <f ca="1">IF(OR(E3169="",E3169="!!!",F3169="NEW"),"",COUNTBLANK(OFFSET(A$1,,,SUMPRODUCT(MAX(ROW(E$2:E3169)*(E3169=E$2:E3169)))))-COUNTBLANK(OFFSET(A$1,,,SUMPRODUCT(MAX(ROW(E$1:E3168)*(E2=E$1:E3168))))))</f>
        <v/>
      </c>
      <c r="K3169" s="24" t="str">
        <f>IF(OR(E3169="",E3169="!!!",F3169="NEW"),"",INDEX(J$1:J3168,SUMPRODUCT(MAX(ROW(E$1:E3168)*(E3169=E$1:E3168)))))</f>
        <v/>
      </c>
      <c r="L3169" s="25"/>
    </row>
    <row r="3170" spans="1:12" x14ac:dyDescent="0.2">
      <c r="A3170" t="s">
        <v>802</v>
      </c>
      <c r="E3170" s="20" t="str">
        <f t="shared" si="339"/>
        <v/>
      </c>
      <c r="F3170" s="21" t="str">
        <f>IF(OR(E3170="",E3170="!!!"),"",IF(NOT(ISNA(VLOOKUP(E3170,E$1:E3169,1,FALSE()))),"OLD",IF(AND(E3170&lt;&gt;"",E3170&lt;&gt;"!!!"),"NEW","")))</f>
        <v/>
      </c>
      <c r="G3170" s="22" t="str">
        <f>IF(OR(E3170="",E3170="!!!"),"",IF(OR(J3170=0,AND(J3170=1,K3170=1),AND(J3170=1,I3170="SBJ"),AND(J3170=1,I3170=0)),"?IN_FOCUS",IF(J3170&lt;=2,"?ACTIVATED",IF(J3170&lt;&gt;"","?FAMILIAR",IF(F3170="NEW",IF(ISNA(VLOOKUP(E3170,#REF!,1,FALSE())),"?TYPE_IDENTIFIABLE","?REFERENTIAL"),"_")))))</f>
        <v/>
      </c>
      <c r="H3170" s="23" t="str">
        <f t="shared" ca="1" si="338"/>
        <v/>
      </c>
      <c r="I3170" s="24" t="str">
        <f>IF(OR(E3170="",E3170="!!!",F3170="NEW"),"",INDEX(B$2:B3169,-1+SUMPRODUCT(MAX(ROW(E$2:E3169)*(E3170=E$2:E3169)))))</f>
        <v/>
      </c>
      <c r="J3170" s="24" t="str">
        <f ca="1">IF(OR(E3170="",E3170="!!!",F3170="NEW"),"",COUNTBLANK(OFFSET(A$1,,,SUMPRODUCT(MAX(ROW(E$2:E3170)*(E3170=E$2:E3170)))))-COUNTBLANK(OFFSET(A$1,,,SUMPRODUCT(MAX(ROW(E$1:E3169)*(E2=E$1:E3169))))))</f>
        <v/>
      </c>
      <c r="K3170" s="24" t="str">
        <f>IF(OR(E3170="",E3170="!!!",F3170="NEW"),"",INDEX(J$1:J3169,SUMPRODUCT(MAX(ROW(E$1:E3169)*(E3170=E$1:E3169)))))</f>
        <v/>
      </c>
      <c r="L3170" s="25"/>
    </row>
    <row r="3171" spans="1:12" x14ac:dyDescent="0.2">
      <c r="A3171" t="s">
        <v>1188</v>
      </c>
      <c r="E3171" s="20" t="str">
        <f t="shared" si="339"/>
        <v/>
      </c>
      <c r="F3171" s="21" t="str">
        <f>IF(OR(E3171="",E3171="!!!"),"",IF(NOT(ISNA(VLOOKUP(E3171,E$1:E3170,1,FALSE()))),"OLD",IF(AND(E3171&lt;&gt;"",E3171&lt;&gt;"!!!"),"NEW","")))</f>
        <v/>
      </c>
      <c r="G3171" s="22" t="str">
        <f>IF(OR(E3171="",E3171="!!!"),"",IF(OR(J3171=0,AND(J3171=1,K3171=1),AND(J3171=1,I3171="SBJ"),AND(J3171=1,I3171=0)),"?IN_FOCUS",IF(J3171&lt;=2,"?ACTIVATED",IF(J3171&lt;&gt;"","?FAMILIAR",IF(F3171="NEW",IF(ISNA(VLOOKUP(E3171,#REF!,1,FALSE())),"?TYPE_IDENTIFIABLE","?REFERENTIAL"),"_")))))</f>
        <v/>
      </c>
      <c r="H3171" s="23" t="str">
        <f t="shared" ca="1" si="338"/>
        <v/>
      </c>
      <c r="I3171" s="24" t="str">
        <f>IF(OR(E3171="",E3171="!!!",F3171="NEW"),"",INDEX(B$2:B3170,-1+SUMPRODUCT(MAX(ROW(E$2:E3170)*(E3171=E$2:E3170)))))</f>
        <v/>
      </c>
      <c r="J3171" s="24" t="str">
        <f ca="1">IF(OR(E3171="",E3171="!!!",F3171="NEW"),"",COUNTBLANK(OFFSET(A$1,,,SUMPRODUCT(MAX(ROW(E$2:E3171)*(E3171=E$2:E3171)))))-COUNTBLANK(OFFSET(A$1,,,SUMPRODUCT(MAX(ROW(E$1:E3170)*(E2=E$1:E3170))))))</f>
        <v/>
      </c>
      <c r="K3171" s="24" t="str">
        <f>IF(OR(E3171="",E3171="!!!",F3171="NEW"),"",INDEX(J$1:J3170,SUMPRODUCT(MAX(ROW(E$1:E3170)*(E3171=E$1:E3170)))))</f>
        <v/>
      </c>
      <c r="L3171" s="25"/>
    </row>
    <row r="3172" spans="1:12" x14ac:dyDescent="0.2">
      <c r="A3172" t="s">
        <v>1127</v>
      </c>
      <c r="E3172" s="20" t="str">
        <f t="shared" si="339"/>
        <v/>
      </c>
      <c r="F3172" s="21" t="str">
        <f>IF(OR(E3172="",E3172="!!!"),"",IF(NOT(ISNA(VLOOKUP(E3172,E$1:E3171,1,FALSE()))),"OLD",IF(AND(E3172&lt;&gt;"",E3172&lt;&gt;"!!!"),"NEW","")))</f>
        <v/>
      </c>
      <c r="G3172" s="22" t="str">
        <f>IF(OR(E3172="",E3172="!!!"),"",IF(OR(J3172=0,AND(J3172=1,K3172=1),AND(J3172=1,I3172="SBJ"),AND(J3172=1,I3172=0)),"?IN_FOCUS",IF(J3172&lt;=2,"?ACTIVATED",IF(J3172&lt;&gt;"","?FAMILIAR",IF(F3172="NEW",IF(ISNA(VLOOKUP(E3172,#REF!,1,FALSE())),"?TYPE_IDENTIFIABLE","?REFERENTIAL"),"_")))))</f>
        <v/>
      </c>
      <c r="H3172" s="23" t="str">
        <f t="shared" ca="1" si="338"/>
        <v/>
      </c>
      <c r="I3172" s="24" t="str">
        <f>IF(OR(E3172="",E3172="!!!",F3172="NEW"),"",INDEX(B$2:B3171,-1+SUMPRODUCT(MAX(ROW(E$2:E3171)*(E3172=E$2:E3171)))))</f>
        <v/>
      </c>
      <c r="J3172" s="24" t="str">
        <f ca="1">IF(OR(E3172="",E3172="!!!",F3172="NEW"),"",COUNTBLANK(OFFSET(A$1,,,SUMPRODUCT(MAX(ROW(E$2:E3172)*(E3172=E$2:E3172)))))-COUNTBLANK(OFFSET(A$1,,,SUMPRODUCT(MAX(ROW(E$1:E3171)*(E2=E$1:E3171))))))</f>
        <v/>
      </c>
      <c r="K3172" s="24" t="str">
        <f>IF(OR(E3172="",E3172="!!!",F3172="NEW"),"",INDEX(J$1:J3171,SUMPRODUCT(MAX(ROW(E$1:E3171)*(E3172=E$1:E3171)))))</f>
        <v/>
      </c>
      <c r="L3172" s="25"/>
    </row>
    <row r="3173" spans="1:12" x14ac:dyDescent="0.2">
      <c r="A3173" t="s">
        <v>812</v>
      </c>
      <c r="E3173" s="20" t="str">
        <f t="shared" si="339"/>
        <v/>
      </c>
      <c r="F3173" s="21" t="str">
        <f>IF(OR(E3173="",E3173="!!!"),"",IF(NOT(ISNA(VLOOKUP(E3173,E$1:E3172,1,FALSE()))),"OLD",IF(AND(E3173&lt;&gt;"",E3173&lt;&gt;"!!!"),"NEW","")))</f>
        <v/>
      </c>
      <c r="G3173" s="22" t="str">
        <f>IF(OR(E3173="",E3173="!!!"),"",IF(OR(J3173=0,AND(J3173=1,K3173=1),AND(J3173=1,I3173="SBJ"),AND(J3173=1,I3173=0)),"?IN_FOCUS",IF(J3173&lt;=2,"?ACTIVATED",IF(J3173&lt;&gt;"","?FAMILIAR",IF(F3173="NEW",IF(ISNA(VLOOKUP(E3173,#REF!,1,FALSE())),"?TYPE_IDENTIFIABLE","?REFERENTIAL"),"_")))))</f>
        <v/>
      </c>
      <c r="H3173" s="23" t="str">
        <f t="shared" ca="1" si="338"/>
        <v/>
      </c>
      <c r="I3173" s="24" t="str">
        <f>IF(OR(E3173="",E3173="!!!",F3173="NEW"),"",INDEX(B$2:B3172,-1+SUMPRODUCT(MAX(ROW(E$2:E3172)*(E3173=E$2:E3172)))))</f>
        <v/>
      </c>
      <c r="J3173" s="24" t="str">
        <f ca="1">IF(OR(E3173="",E3173="!!!",F3173="NEW"),"",COUNTBLANK(OFFSET(A$1,,,SUMPRODUCT(MAX(ROW(E$2:E3173)*(E3173=E$2:E3173)))))-COUNTBLANK(OFFSET(A$1,,,SUMPRODUCT(MAX(ROW(E$1:E3172)*(E2=E$1:E3172))))))</f>
        <v/>
      </c>
      <c r="K3173" s="24" t="str">
        <f>IF(OR(E3173="",E3173="!!!",F3173="NEW"),"",INDEX(J$1:J3172,SUMPRODUCT(MAX(ROW(E$1:E3172)*(E3173=E$1:E3172)))))</f>
        <v/>
      </c>
      <c r="L3173" s="25"/>
    </row>
    <row r="3174" spans="1:12" x14ac:dyDescent="0.2">
      <c r="A3174" t="s">
        <v>1692</v>
      </c>
      <c r="E3174" s="20" t="str">
        <f t="shared" si="339"/>
        <v/>
      </c>
      <c r="F3174" s="21" t="str">
        <f>IF(OR(E3174="",E3174="!!!"),"",IF(NOT(ISNA(VLOOKUP(E3174,E$1:E3173,1,FALSE()))),"OLD",IF(AND(E3174&lt;&gt;"",E3174&lt;&gt;"!!!"),"NEW","")))</f>
        <v/>
      </c>
      <c r="G3174" s="22" t="str">
        <f>IF(OR(E3174="",E3174="!!!"),"",IF(OR(J3174=0,AND(J3174=1,K3174=1),AND(J3174=1,I3174="SBJ"),AND(J3174=1,I3174=0)),"?IN_FOCUS",IF(J3174&lt;=2,"?ACTIVATED",IF(J3174&lt;&gt;"","?FAMILIAR",IF(F3174="NEW",IF(ISNA(VLOOKUP(E3174,#REF!,1,FALSE())),"?TYPE_IDENTIFIABLE","?REFERENTIAL"),"_")))))</f>
        <v/>
      </c>
      <c r="H3174" s="23" t="str">
        <f t="shared" ca="1" si="338"/>
        <v/>
      </c>
      <c r="I3174" s="24" t="str">
        <f>IF(OR(E3174="",E3174="!!!",F3174="NEW"),"",INDEX(B$2:B3173,-1+SUMPRODUCT(MAX(ROW(E$2:E3173)*(E3174=E$2:E3173)))))</f>
        <v/>
      </c>
      <c r="J3174" s="24" t="str">
        <f ca="1">IF(OR(E3174="",E3174="!!!",F3174="NEW"),"",COUNTBLANK(OFFSET(A$1,,,SUMPRODUCT(MAX(ROW(E$2:E3174)*(E3174=E$2:E3174)))))-COUNTBLANK(OFFSET(A$1,,,SUMPRODUCT(MAX(ROW(E$1:E3173)*(E2=E$1:E3173))))))</f>
        <v/>
      </c>
      <c r="K3174" s="24" t="str">
        <f>IF(OR(E3174="",E3174="!!!",F3174="NEW"),"",INDEX(J$1:J3173,SUMPRODUCT(MAX(ROW(E$1:E3173)*(E3174=E$1:E3173)))))</f>
        <v/>
      </c>
      <c r="L3174" s="25"/>
    </row>
    <row r="3175" spans="1:12" x14ac:dyDescent="0.2">
      <c r="A3175" t="s">
        <v>1694</v>
      </c>
      <c r="B3175" s="26" t="s">
        <v>871</v>
      </c>
      <c r="C3175" s="26" t="s">
        <v>814</v>
      </c>
      <c r="E3175" s="20" t="str">
        <f t="shared" si="339"/>
        <v/>
      </c>
      <c r="F3175" s="21" t="str">
        <f>IF(OR(E3175="",E3175="!!!"),"",IF(NOT(ISNA(VLOOKUP(E3175,E$1:E3174,1,FALSE()))),"OLD",IF(AND(E3175&lt;&gt;"",E3175&lt;&gt;"!!!"),"NEW","")))</f>
        <v/>
      </c>
      <c r="G3175" s="22" t="str">
        <f>IF(OR(E3175="",E3175="!!!"),"",IF(OR(J3175=0,AND(J3175=1,K3175=1),AND(J3175=1,I3175="SBJ"),AND(J3175=1,I3175=0)),"?IN_FOCUS",IF(J3175&lt;=2,"?ACTIVATED",IF(J3175&lt;&gt;"","?FAMILIAR",IF(F3175="NEW",IF(ISNA(VLOOKUP(E3175,#REF!,1,FALSE())),"?TYPE_IDENTIFIABLE","?REFERENTIAL"),"_")))))</f>
        <v/>
      </c>
      <c r="H3175" s="23" t="str">
        <f t="shared" ca="1" si="338"/>
        <v/>
      </c>
      <c r="I3175" s="24" t="str">
        <f>IF(OR(E3175="",E3175="!!!",F3175="NEW"),"",INDEX(B$2:B3174,-1+SUMPRODUCT(MAX(ROW(E$2:E3174)*(E3175=E$2:E3174)))))</f>
        <v/>
      </c>
      <c r="J3175" s="24" t="str">
        <f ca="1">IF(OR(E3175="",E3175="!!!",F3175="NEW"),"",COUNTBLANK(OFFSET(A$1,,,SUMPRODUCT(MAX(ROW(E$2:E3175)*(E3175=E$2:E3175)))))-COUNTBLANK(OFFSET(A$1,,,SUMPRODUCT(MAX(ROW(E$1:E3174)*(E2=E$1:E3174))))))</f>
        <v/>
      </c>
      <c r="K3175" s="24" t="str">
        <f>IF(OR(E3175="",E3175="!!!",F3175="NEW"),"",INDEX(J$1:J3174,SUMPRODUCT(MAX(ROW(E$1:E3174)*(E3175=E$1:E3174)))))</f>
        <v/>
      </c>
      <c r="L3175" s="25"/>
    </row>
    <row r="3176" spans="1:12" x14ac:dyDescent="0.2">
      <c r="A3176" t="s">
        <v>821</v>
      </c>
      <c r="E3176" s="20" t="str">
        <f t="shared" si="339"/>
        <v/>
      </c>
      <c r="F3176" s="21" t="str">
        <f>IF(OR(E3176="",E3176="!!!"),"",IF(NOT(ISNA(VLOOKUP(E3176,E$1:E3175,1,FALSE()))),"OLD",IF(AND(E3176&lt;&gt;"",E3176&lt;&gt;"!!!"),"NEW","")))</f>
        <v/>
      </c>
      <c r="G3176" s="22" t="str">
        <f>IF(OR(E3176="",E3176="!!!"),"",IF(OR(J3176=0,AND(J3176=1,K3176=1),AND(J3176=1,I3176="SBJ"),AND(J3176=1,I3176=0)),"?IN_FOCUS",IF(J3176&lt;=2,"?ACTIVATED",IF(J3176&lt;&gt;"","?FAMILIAR",IF(F3176="NEW",IF(ISNA(VLOOKUP(E3176,#REF!,1,FALSE())),"?TYPE_IDENTIFIABLE","?REFERENTIAL"),"_")))))</f>
        <v/>
      </c>
      <c r="H3176" s="23" t="str">
        <f t="shared" ca="1" si="338"/>
        <v/>
      </c>
      <c r="I3176" s="24" t="str">
        <f>IF(OR(E3176="",E3176="!!!",F3176="NEW"),"",INDEX(B$2:B3175,-1+SUMPRODUCT(MAX(ROW(E$2:E3175)*(E3176=E$2:E3175)))))</f>
        <v/>
      </c>
      <c r="J3176" s="24" t="str">
        <f ca="1">IF(OR(E3176="",E3176="!!!",F3176="NEW"),"",COUNTBLANK(OFFSET(A$1,,,SUMPRODUCT(MAX(ROW(E$2:E3176)*(E3176=E$2:E3176)))))-COUNTBLANK(OFFSET(A$1,,,SUMPRODUCT(MAX(ROW(E$1:E3175)*(E2=E$1:E3175))))))</f>
        <v/>
      </c>
      <c r="K3176" s="24" t="str">
        <f>IF(OR(E3176="",E3176="!!!",F3176="NEW"),"",INDEX(J$1:J3175,SUMPRODUCT(MAX(ROW(E$1:E3175)*(E3176=E$1:E3175)))))</f>
        <v/>
      </c>
      <c r="L3176" s="25"/>
    </row>
    <row r="3178" spans="1:12" x14ac:dyDescent="0.2">
      <c r="A3178" t="s">
        <v>1695</v>
      </c>
    </row>
    <row r="3179" spans="1:12" x14ac:dyDescent="0.2">
      <c r="A3179" t="s">
        <v>995</v>
      </c>
      <c r="E3179" s="20" t="str">
        <f t="shared" ref="E3179:E3224" si="340">IF(D3179="?OLD","!!!","")</f>
        <v/>
      </c>
      <c r="F3179" s="21" t="str">
        <f>IF(OR(E3179="",E3179="!!!"),"",IF(NOT(ISNA(VLOOKUP(E3179,E$1:E3178,1,FALSE()))),"OLD",IF(AND(E3179&lt;&gt;"",E3179&lt;&gt;"!!!"),"NEW","")))</f>
        <v/>
      </c>
      <c r="G3179" s="22" t="str">
        <f>IF(OR(E3179="",E3179="!!!"),"",IF(OR(J3179=0,AND(J3179=1,K3179=1),AND(J3179=1,I3179="SBJ"),AND(J3179=1,I3179=0)),"?IN_FOCUS",IF(J3179&lt;=2,"?ACTIVATED",IF(J3179&lt;&gt;"","?FAMILIAR",IF(F3179="NEW",IF(ISNA(VLOOKUP(E3179,#REF!,1,FALSE())),"?TYPE_IDENTIFIABLE","?REFERENTIAL"),"_")))))</f>
        <v/>
      </c>
      <c r="H3179" s="23" t="str">
        <f t="shared" ref="H3179:H3224" ca="1" si="341">IF(J3179&lt;&gt;1,"",IF(I3179="SBJ","CB","?"))</f>
        <v/>
      </c>
      <c r="I3179" s="24" t="str">
        <f>IF(OR(E3179="",E3179="!!!",F3179="NEW"),"",INDEX(B$2:B3178,-1+SUMPRODUCT(MAX(ROW(E$2:E3178)*(E3179=E$2:E3178)))))</f>
        <v/>
      </c>
      <c r="J3179" s="24" t="str">
        <f ca="1">IF(OR(E3179="",E3179="!!!",F3179="NEW"),"",COUNTBLANK(OFFSET(A$1,,,SUMPRODUCT(MAX(ROW(E$2:E3179)*(E3179=E$2:E3179)))))-COUNTBLANK(OFFSET(A$1,,,SUMPRODUCT(MAX(ROW(E$1:E3178)*(E2=E$1:E3178))))))</f>
        <v/>
      </c>
      <c r="K3179" s="24" t="str">
        <f>IF(OR(E3179="",E3179="!!!",F3179="NEW"),"",INDEX(J$1:J3178,SUMPRODUCT(MAX(ROW(E$1:E3178)*(E3179=E$1:E3178)))))</f>
        <v/>
      </c>
      <c r="L3179" s="25"/>
    </row>
    <row r="3180" spans="1:12" x14ac:dyDescent="0.2">
      <c r="A3180" t="s">
        <v>1222</v>
      </c>
      <c r="E3180" s="20" t="str">
        <f t="shared" si="340"/>
        <v/>
      </c>
      <c r="F3180" s="21" t="str">
        <f>IF(OR(E3180="",E3180="!!!"),"",IF(NOT(ISNA(VLOOKUP(E3180,E$1:E3179,1,FALSE()))),"OLD",IF(AND(E3180&lt;&gt;"",E3180&lt;&gt;"!!!"),"NEW","")))</f>
        <v/>
      </c>
      <c r="G3180" s="22" t="str">
        <f>IF(OR(E3180="",E3180="!!!"),"",IF(OR(J3180=0,AND(J3180=1,K3180=1),AND(J3180=1,I3180="SBJ"),AND(J3180=1,I3180=0)),"?IN_FOCUS",IF(J3180&lt;=2,"?ACTIVATED",IF(J3180&lt;&gt;"","?FAMILIAR",IF(F3180="NEW",IF(ISNA(VLOOKUP(E3180,#REF!,1,FALSE())),"?TYPE_IDENTIFIABLE","?REFERENTIAL"),"_")))))</f>
        <v/>
      </c>
      <c r="H3180" s="23" t="str">
        <f t="shared" ca="1" si="341"/>
        <v/>
      </c>
      <c r="I3180" s="24" t="str">
        <f>IF(OR(E3180="",E3180="!!!",F3180="NEW"),"",INDEX(B$2:B3179,-1+SUMPRODUCT(MAX(ROW(E$2:E3179)*(E3180=E$2:E3179)))))</f>
        <v/>
      </c>
      <c r="J3180" s="24" t="str">
        <f ca="1">IF(OR(E3180="",E3180="!!!",F3180="NEW"),"",COUNTBLANK(OFFSET(A$1,,,SUMPRODUCT(MAX(ROW(E$2:E3180)*(E3180=E$2:E3180)))))-COUNTBLANK(OFFSET(A$1,,,SUMPRODUCT(MAX(ROW(E$1:E3179)*(E2=E$1:E3179))))))</f>
        <v/>
      </c>
      <c r="K3180" s="24" t="str">
        <f>IF(OR(E3180="",E3180="!!!",F3180="NEW"),"",INDEX(J$1:J3179,SUMPRODUCT(MAX(ROW(E$1:E3179)*(E3180=E$1:E3179)))))</f>
        <v/>
      </c>
      <c r="L3180" s="25"/>
    </row>
    <row r="3181" spans="1:12" x14ac:dyDescent="0.2">
      <c r="A3181" t="s">
        <v>845</v>
      </c>
      <c r="E3181" s="20" t="str">
        <f t="shared" si="340"/>
        <v/>
      </c>
      <c r="F3181" s="21" t="str">
        <f>IF(OR(E3181="",E3181="!!!"),"",IF(NOT(ISNA(VLOOKUP(E3181,E$1:E3180,1,FALSE()))),"OLD",IF(AND(E3181&lt;&gt;"",E3181&lt;&gt;"!!!"),"NEW","")))</f>
        <v/>
      </c>
      <c r="G3181" s="22" t="str">
        <f>IF(OR(E3181="",E3181="!!!"),"",IF(OR(J3181=0,AND(J3181=1,K3181=1),AND(J3181=1,I3181="SBJ"),AND(J3181=1,I3181=0)),"?IN_FOCUS",IF(J3181&lt;=2,"?ACTIVATED",IF(J3181&lt;&gt;"","?FAMILIAR",IF(F3181="NEW",IF(ISNA(VLOOKUP(E3181,#REF!,1,FALSE())),"?TYPE_IDENTIFIABLE","?REFERENTIAL"),"_")))))</f>
        <v/>
      </c>
      <c r="H3181" s="23" t="str">
        <f t="shared" ca="1" si="341"/>
        <v/>
      </c>
      <c r="I3181" s="24" t="str">
        <f>IF(OR(E3181="",E3181="!!!",F3181="NEW"),"",INDEX(B$2:B3180,-1+SUMPRODUCT(MAX(ROW(E$2:E3180)*(E3181=E$2:E3180)))))</f>
        <v/>
      </c>
      <c r="J3181" s="24" t="str">
        <f ca="1">IF(OR(E3181="",E3181="!!!",F3181="NEW"),"",COUNTBLANK(OFFSET(A$1,,,SUMPRODUCT(MAX(ROW(E$2:E3181)*(E3181=E$2:E3181)))))-COUNTBLANK(OFFSET(A$1,,,SUMPRODUCT(MAX(ROW(E$1:E3180)*(E2=E$1:E3180))))))</f>
        <v/>
      </c>
      <c r="K3181" s="24" t="str">
        <f>IF(OR(E3181="",E3181="!!!",F3181="NEW"),"",INDEX(J$1:J3180,SUMPRODUCT(MAX(ROW(E$1:E3180)*(E3181=E$1:E3180)))))</f>
        <v/>
      </c>
      <c r="L3181" s="25"/>
    </row>
    <row r="3182" spans="1:12" x14ac:dyDescent="0.2">
      <c r="A3182" t="s">
        <v>1696</v>
      </c>
      <c r="E3182" s="20" t="str">
        <f t="shared" si="340"/>
        <v/>
      </c>
      <c r="F3182" s="21" t="str">
        <f>IF(OR(E3182="",E3182="!!!"),"",IF(NOT(ISNA(VLOOKUP(E3182,E$1:E3181,1,FALSE()))),"OLD",IF(AND(E3182&lt;&gt;"",E3182&lt;&gt;"!!!"),"NEW","")))</f>
        <v/>
      </c>
      <c r="G3182" s="22" t="str">
        <f>IF(OR(E3182="",E3182="!!!"),"",IF(OR(J3182=0,AND(J3182=1,K3182=1),AND(J3182=1,I3182="SBJ"),AND(J3182=1,I3182=0)),"?IN_FOCUS",IF(J3182&lt;=2,"?ACTIVATED",IF(J3182&lt;&gt;"","?FAMILIAR",IF(F3182="NEW",IF(ISNA(VLOOKUP(E3182,#REF!,1,FALSE())),"?TYPE_IDENTIFIABLE","?REFERENTIAL"),"_")))))</f>
        <v/>
      </c>
      <c r="H3182" s="23" t="str">
        <f t="shared" ca="1" si="341"/>
        <v/>
      </c>
      <c r="I3182" s="24" t="str">
        <f>IF(OR(E3182="",E3182="!!!",F3182="NEW"),"",INDEX(B$2:B3181,-1+SUMPRODUCT(MAX(ROW(E$2:E3181)*(E3182=E$2:E3181)))))</f>
        <v/>
      </c>
      <c r="J3182" s="24" t="str">
        <f ca="1">IF(OR(E3182="",E3182="!!!",F3182="NEW"),"",COUNTBLANK(OFFSET(A$1,,,SUMPRODUCT(MAX(ROW(E$2:E3182)*(E3182=E$2:E3182)))))-COUNTBLANK(OFFSET(A$1,,,SUMPRODUCT(MAX(ROW(E$1:E3181)*(E2=E$1:E3181))))))</f>
        <v/>
      </c>
      <c r="K3182" s="24" t="str">
        <f>IF(OR(E3182="",E3182="!!!",F3182="NEW"),"",INDEX(J$1:J3181,SUMPRODUCT(MAX(ROW(E$1:E3181)*(E3182=E$1:E3181)))))</f>
        <v/>
      </c>
      <c r="L3182" s="25"/>
    </row>
    <row r="3183" spans="1:12" x14ac:dyDescent="0.2">
      <c r="A3183" t="s">
        <v>1697</v>
      </c>
      <c r="E3183" s="20" t="str">
        <f t="shared" si="340"/>
        <v/>
      </c>
      <c r="F3183" s="21" t="str">
        <f>IF(OR(E3183="",E3183="!!!"),"",IF(NOT(ISNA(VLOOKUP(E3183,E$1:E3182,1,FALSE()))),"OLD",IF(AND(E3183&lt;&gt;"",E3183&lt;&gt;"!!!"),"NEW","")))</f>
        <v/>
      </c>
      <c r="G3183" s="22" t="str">
        <f>IF(OR(E3183="",E3183="!!!"),"",IF(OR(J3183=0,AND(J3183=1,K3183=1),AND(J3183=1,I3183="SBJ"),AND(J3183=1,I3183=0)),"?IN_FOCUS",IF(J3183&lt;=2,"?ACTIVATED",IF(J3183&lt;&gt;"","?FAMILIAR",IF(F3183="NEW",IF(ISNA(VLOOKUP(E3183,#REF!,1,FALSE())),"?TYPE_IDENTIFIABLE","?REFERENTIAL"),"_")))))</f>
        <v/>
      </c>
      <c r="H3183" s="23" t="str">
        <f t="shared" ca="1" si="341"/>
        <v/>
      </c>
      <c r="I3183" s="24" t="str">
        <f>IF(OR(E3183="",E3183="!!!",F3183="NEW"),"",INDEX(B$2:B3182,-1+SUMPRODUCT(MAX(ROW(E$2:E3182)*(E3183=E$2:E3182)))))</f>
        <v/>
      </c>
      <c r="J3183" s="24" t="str">
        <f ca="1">IF(OR(E3183="",E3183="!!!",F3183="NEW"),"",COUNTBLANK(OFFSET(A$1,,,SUMPRODUCT(MAX(ROW(E$2:E3183)*(E3183=E$2:E3183)))))-COUNTBLANK(OFFSET(A$1,,,SUMPRODUCT(MAX(ROW(E$1:E3182)*(E2=E$1:E3182))))))</f>
        <v/>
      </c>
      <c r="K3183" s="24" t="str">
        <f>IF(OR(E3183="",E3183="!!!",F3183="NEW"),"",INDEX(J$1:J3182,SUMPRODUCT(MAX(ROW(E$1:E3182)*(E3183=E$1:E3182)))))</f>
        <v/>
      </c>
      <c r="L3183" s="25"/>
    </row>
    <row r="3184" spans="1:12" x14ac:dyDescent="0.2">
      <c r="A3184" t="s">
        <v>888</v>
      </c>
      <c r="E3184" s="20" t="str">
        <f t="shared" si="340"/>
        <v/>
      </c>
      <c r="F3184" s="21" t="str">
        <f>IF(OR(E3184="",E3184="!!!"),"",IF(NOT(ISNA(VLOOKUP(E3184,E$1:E3183,1,FALSE()))),"OLD",IF(AND(E3184&lt;&gt;"",E3184&lt;&gt;"!!!"),"NEW","")))</f>
        <v/>
      </c>
      <c r="G3184" s="22" t="str">
        <f>IF(OR(E3184="",E3184="!!!"),"",IF(OR(J3184=0,AND(J3184=1,K3184=1),AND(J3184=1,I3184="SBJ"),AND(J3184=1,I3184=0)),"?IN_FOCUS",IF(J3184&lt;=2,"?ACTIVATED",IF(J3184&lt;&gt;"","?FAMILIAR",IF(F3184="NEW",IF(ISNA(VLOOKUP(E3184,#REF!,1,FALSE())),"?TYPE_IDENTIFIABLE","?REFERENTIAL"),"_")))))</f>
        <v/>
      </c>
      <c r="H3184" s="23" t="str">
        <f t="shared" ca="1" si="341"/>
        <v/>
      </c>
      <c r="I3184" s="24" t="str">
        <f>IF(OR(E3184="",E3184="!!!",F3184="NEW"),"",INDEX(B$2:B3183,-1+SUMPRODUCT(MAX(ROW(E$2:E3183)*(E3184=E$2:E3183)))))</f>
        <v/>
      </c>
      <c r="J3184" s="24" t="str">
        <f ca="1">IF(OR(E3184="",E3184="!!!",F3184="NEW"),"",COUNTBLANK(OFFSET(A$1,,,SUMPRODUCT(MAX(ROW(E$2:E3184)*(E3184=E$2:E3184)))))-COUNTBLANK(OFFSET(A$1,,,SUMPRODUCT(MAX(ROW(E$1:E3183)*(E2=E$1:E3183))))))</f>
        <v/>
      </c>
      <c r="K3184" s="24" t="str">
        <f>IF(OR(E3184="",E3184="!!!",F3184="NEW"),"",INDEX(J$1:J3183,SUMPRODUCT(MAX(ROW(E$1:E3183)*(E3184=E$1:E3183)))))</f>
        <v/>
      </c>
      <c r="L3184" s="25"/>
    </row>
    <row r="3185" spans="1:12" x14ac:dyDescent="0.2">
      <c r="A3185" t="s">
        <v>1698</v>
      </c>
      <c r="B3185" s="26" t="s">
        <v>813</v>
      </c>
      <c r="C3185" s="26" t="s">
        <v>814</v>
      </c>
      <c r="E3185" s="20" t="str">
        <f t="shared" si="340"/>
        <v/>
      </c>
      <c r="F3185" s="21" t="str">
        <f>IF(OR(E3185="",E3185="!!!"),"",IF(NOT(ISNA(VLOOKUP(E3185,E$1:E3184,1,FALSE()))),"OLD",IF(AND(E3185&lt;&gt;"",E3185&lt;&gt;"!!!"),"NEW","")))</f>
        <v/>
      </c>
      <c r="G3185" s="22" t="str">
        <f>IF(OR(E3185="",E3185="!!!"),"",IF(OR(J3185=0,AND(J3185=1,K3185=1),AND(J3185=1,I3185="SBJ"),AND(J3185=1,I3185=0)),"?IN_FOCUS",IF(J3185&lt;=2,"?ACTIVATED",IF(J3185&lt;&gt;"","?FAMILIAR",IF(F3185="NEW",IF(ISNA(VLOOKUP(E3185,#REF!,1,FALSE())),"?TYPE_IDENTIFIABLE","?REFERENTIAL"),"_")))))</f>
        <v/>
      </c>
      <c r="H3185" s="23" t="str">
        <f t="shared" ca="1" si="341"/>
        <v/>
      </c>
      <c r="I3185" s="24" t="str">
        <f>IF(OR(E3185="",E3185="!!!",F3185="NEW"),"",INDEX(B$2:B3184,-1+SUMPRODUCT(MAX(ROW(E$2:E3184)*(E3185=E$2:E3184)))))</f>
        <v/>
      </c>
      <c r="J3185" s="24" t="str">
        <f ca="1">IF(OR(E3185="",E3185="!!!",F3185="NEW"),"",COUNTBLANK(OFFSET(A$1,,,SUMPRODUCT(MAX(ROW(E$2:E3185)*(E3185=E$2:E3185)))))-COUNTBLANK(OFFSET(A$1,,,SUMPRODUCT(MAX(ROW(E$1:E3184)*(E2=E$1:E3184))))))</f>
        <v/>
      </c>
      <c r="K3185" s="24" t="str">
        <f>IF(OR(E3185="",E3185="!!!",F3185="NEW"),"",INDEX(J$1:J3184,SUMPRODUCT(MAX(ROW(E$1:E3184)*(E3185=E$1:E3184)))))</f>
        <v/>
      </c>
      <c r="L3185" s="25"/>
    </row>
    <row r="3186" spans="1:12" x14ac:dyDescent="0.2">
      <c r="A3186" t="s">
        <v>730</v>
      </c>
      <c r="B3186" s="26" t="s">
        <v>819</v>
      </c>
      <c r="C3186" s="26" t="s">
        <v>847</v>
      </c>
      <c r="D3186" s="26" t="s">
        <v>806</v>
      </c>
      <c r="E3186" s="20" t="s">
        <v>1812</v>
      </c>
      <c r="F3186" s="21" t="str">
        <f>IF(OR(E3186="",E3186="!!!"),"",IF(NOT(ISNA(VLOOKUP(E3186,E$1:E3185,1,FALSE()))),"OLD",IF(AND(E3186&lt;&gt;"",E3186&lt;&gt;"!!!"),"NEW","")))</f>
        <v>NEW</v>
      </c>
      <c r="G3186" s="22" t="s">
        <v>1824</v>
      </c>
      <c r="H3186" s="23" t="str">
        <f t="shared" ca="1" si="341"/>
        <v/>
      </c>
      <c r="I3186" s="24" t="str">
        <f>IF(OR(E3186="",E3186="!!!",F3186="NEW"),"",INDEX(B$2:B3185,-1+SUMPRODUCT(MAX(ROW(E$2:E3185)*(E3186=E$2:E3185)))))</f>
        <v/>
      </c>
      <c r="J3186" s="24" t="str">
        <f ca="1">IF(OR(E3186="",E3186="!!!",F3186="NEW"),"",COUNTBLANK(OFFSET(A$1,,,SUMPRODUCT(MAX(ROW(E$2:E3186)*(E3186=E$2:E3186)))))-COUNTBLANK(OFFSET(A$1,,,SUMPRODUCT(MAX(ROW(E$1:E3185)*(E2=E$1:E3185))))))</f>
        <v/>
      </c>
      <c r="K3186" s="24" t="str">
        <f>IF(OR(E3186="",E3186="!!!",F3186="NEW"),"",INDEX(J$1:J3185,SUMPRODUCT(MAX(ROW(E$1:E3185)*(E3186=E$1:E3185)))))</f>
        <v/>
      </c>
      <c r="L3186" s="25"/>
    </row>
    <row r="3187" spans="1:12" x14ac:dyDescent="0.2">
      <c r="A3187" t="s">
        <v>802</v>
      </c>
      <c r="E3187" s="20" t="str">
        <f t="shared" si="340"/>
        <v/>
      </c>
      <c r="F3187" s="21" t="str">
        <f>IF(OR(E3187="",E3187="!!!"),"",IF(NOT(ISNA(VLOOKUP(E3187,E$1:E3186,1,FALSE()))),"OLD",IF(AND(E3187&lt;&gt;"",E3187&lt;&gt;"!!!"),"NEW","")))</f>
        <v/>
      </c>
      <c r="G3187" s="22" t="str">
        <f>IF(OR(E3187="",E3187="!!!"),"",IF(OR(J3187=0,AND(J3187=1,K3187=1),AND(J3187=1,I3187="SBJ"),AND(J3187=1,I3187=0)),"?IN_FOCUS",IF(J3187&lt;=2,"?ACTIVATED",IF(J3187&lt;&gt;"","?FAMILIAR",IF(F3187="NEW",IF(ISNA(VLOOKUP(E3187,#REF!,1,FALSE())),"?TYPE_IDENTIFIABLE","?REFERENTIAL"),"_")))))</f>
        <v/>
      </c>
      <c r="H3187" s="23" t="str">
        <f t="shared" ca="1" si="341"/>
        <v/>
      </c>
      <c r="I3187" s="24" t="str">
        <f>IF(OR(E3187="",E3187="!!!",F3187="NEW"),"",INDEX(B$2:B3186,-1+SUMPRODUCT(MAX(ROW(E$2:E3186)*(E3187=E$2:E3186)))))</f>
        <v/>
      </c>
      <c r="J3187" s="24" t="str">
        <f ca="1">IF(OR(E3187="",E3187="!!!",F3187="NEW"),"",COUNTBLANK(OFFSET(A$1,,,SUMPRODUCT(MAX(ROW(E$2:E3187)*(E3187=E$2:E3187)))))-COUNTBLANK(OFFSET(A$1,,,SUMPRODUCT(MAX(ROW(E$1:E3186)*(E2=E$1:E3186))))))</f>
        <v/>
      </c>
      <c r="K3187" s="24" t="str">
        <f>IF(OR(E3187="",E3187="!!!",F3187="NEW"),"",INDEX(J$1:J3186,SUMPRODUCT(MAX(ROW(E$1:E3186)*(E3187=E$1:E3186)))))</f>
        <v/>
      </c>
      <c r="L3187" s="25"/>
    </row>
    <row r="3188" spans="1:12" x14ac:dyDescent="0.2">
      <c r="A3188" t="s">
        <v>1188</v>
      </c>
      <c r="E3188" s="20" t="str">
        <f t="shared" si="340"/>
        <v/>
      </c>
      <c r="F3188" s="21" t="str">
        <f>IF(OR(E3188="",E3188="!!!"),"",IF(NOT(ISNA(VLOOKUP(E3188,E$1:E3187,1,FALSE()))),"OLD",IF(AND(E3188&lt;&gt;"",E3188&lt;&gt;"!!!"),"NEW","")))</f>
        <v/>
      </c>
      <c r="G3188" s="22" t="str">
        <f>IF(OR(E3188="",E3188="!!!"),"",IF(OR(J3188=0,AND(J3188=1,K3188=1),AND(J3188=1,I3188="SBJ"),AND(J3188=1,I3188=0)),"?IN_FOCUS",IF(J3188&lt;=2,"?ACTIVATED",IF(J3188&lt;&gt;"","?FAMILIAR",IF(F3188="NEW",IF(ISNA(VLOOKUP(E3188,#REF!,1,FALSE())),"?TYPE_IDENTIFIABLE","?REFERENTIAL"),"_")))))</f>
        <v/>
      </c>
      <c r="H3188" s="23" t="str">
        <f t="shared" ca="1" si="341"/>
        <v/>
      </c>
      <c r="I3188" s="24" t="str">
        <f>IF(OR(E3188="",E3188="!!!",F3188="NEW"),"",INDEX(B$2:B3187,-1+SUMPRODUCT(MAX(ROW(E$2:E3187)*(E3188=E$2:E3187)))))</f>
        <v/>
      </c>
      <c r="J3188" s="24" t="str">
        <f ca="1">IF(OR(E3188="",E3188="!!!",F3188="NEW"),"",COUNTBLANK(OFFSET(A$1,,,SUMPRODUCT(MAX(ROW(E$2:E3188)*(E3188=E$2:E3188)))))-COUNTBLANK(OFFSET(A$1,,,SUMPRODUCT(MAX(ROW(E$1:E3187)*(E2=E$1:E3187))))))</f>
        <v/>
      </c>
      <c r="K3188" s="24" t="str">
        <f>IF(OR(E3188="",E3188="!!!",F3188="NEW"),"",INDEX(J$1:J3187,SUMPRODUCT(MAX(ROW(E$1:E3187)*(E3188=E$1:E3187)))))</f>
        <v/>
      </c>
      <c r="L3188" s="25"/>
    </row>
    <row r="3189" spans="1:12" x14ac:dyDescent="0.2">
      <c r="A3189" t="s">
        <v>1222</v>
      </c>
      <c r="E3189" s="20" t="str">
        <f t="shared" si="340"/>
        <v/>
      </c>
      <c r="F3189" s="21" t="str">
        <f>IF(OR(E3189="",E3189="!!!"),"",IF(NOT(ISNA(VLOOKUP(E3189,E$1:E3188,1,FALSE()))),"OLD",IF(AND(E3189&lt;&gt;"",E3189&lt;&gt;"!!!"),"NEW","")))</f>
        <v/>
      </c>
      <c r="G3189" s="22" t="str">
        <f>IF(OR(E3189="",E3189="!!!"),"",IF(OR(J3189=0,AND(J3189=1,K3189=1),AND(J3189=1,I3189="SBJ"),AND(J3189=1,I3189=0)),"?IN_FOCUS",IF(J3189&lt;=2,"?ACTIVATED",IF(J3189&lt;&gt;"","?FAMILIAR",IF(F3189="NEW",IF(ISNA(VLOOKUP(E3189,#REF!,1,FALSE())),"?TYPE_IDENTIFIABLE","?REFERENTIAL"),"_")))))</f>
        <v/>
      </c>
      <c r="H3189" s="23" t="str">
        <f t="shared" ca="1" si="341"/>
        <v/>
      </c>
      <c r="I3189" s="24" t="str">
        <f>IF(OR(E3189="",E3189="!!!",F3189="NEW"),"",INDEX(B$2:B3188,-1+SUMPRODUCT(MAX(ROW(E$2:E3188)*(E3189=E$2:E3188)))))</f>
        <v/>
      </c>
      <c r="J3189" s="24" t="str">
        <f ca="1">IF(OR(E3189="",E3189="!!!",F3189="NEW"),"",COUNTBLANK(OFFSET(A$1,,,SUMPRODUCT(MAX(ROW(E$2:E3189)*(E3189=E$2:E3189)))))-COUNTBLANK(OFFSET(A$1,,,SUMPRODUCT(MAX(ROW(E$1:E3188)*(E2=E$1:E3188))))))</f>
        <v/>
      </c>
      <c r="K3189" s="24" t="str">
        <f>IF(OR(E3189="",E3189="!!!",F3189="NEW"),"",INDEX(J$1:J3188,SUMPRODUCT(MAX(ROW(E$1:E3188)*(E3189=E$1:E3188)))))</f>
        <v/>
      </c>
      <c r="L3189" s="25"/>
    </row>
    <row r="3190" spans="1:12" x14ac:dyDescent="0.2">
      <c r="A3190" t="s">
        <v>1699</v>
      </c>
      <c r="E3190" s="20" t="str">
        <f t="shared" si="340"/>
        <v/>
      </c>
      <c r="F3190" s="21" t="str">
        <f>IF(OR(E3190="",E3190="!!!"),"",IF(NOT(ISNA(VLOOKUP(E3190,E$1:E3189,1,FALSE()))),"OLD",IF(AND(E3190&lt;&gt;"",E3190&lt;&gt;"!!!"),"NEW","")))</f>
        <v/>
      </c>
      <c r="G3190" s="22" t="str">
        <f>IF(OR(E3190="",E3190="!!!"),"",IF(OR(J3190=0,AND(J3190=1,K3190=1),AND(J3190=1,I3190="SBJ"),AND(J3190=1,I3190=0)),"?IN_FOCUS",IF(J3190&lt;=2,"?ACTIVATED",IF(J3190&lt;&gt;"","?FAMILIAR",IF(F3190="NEW",IF(ISNA(VLOOKUP(E3190,#REF!,1,FALSE())),"?TYPE_IDENTIFIABLE","?REFERENTIAL"),"_")))))</f>
        <v/>
      </c>
      <c r="H3190" s="23" t="str">
        <f t="shared" ca="1" si="341"/>
        <v/>
      </c>
      <c r="I3190" s="24" t="str">
        <f>IF(OR(E3190="",E3190="!!!",F3190="NEW"),"",INDEX(B$2:B3189,-1+SUMPRODUCT(MAX(ROW(E$2:E3189)*(E3190=E$2:E3189)))))</f>
        <v/>
      </c>
      <c r="J3190" s="24" t="str">
        <f ca="1">IF(OR(E3190="",E3190="!!!",F3190="NEW"),"",COUNTBLANK(OFFSET(A$1,,,SUMPRODUCT(MAX(ROW(E$2:E3190)*(E3190=E$2:E3190)))))-COUNTBLANK(OFFSET(A$1,,,SUMPRODUCT(MAX(ROW(E$1:E3189)*(E2=E$1:E3189))))))</f>
        <v/>
      </c>
      <c r="K3190" s="24" t="str">
        <f>IF(OR(E3190="",E3190="!!!",F3190="NEW"),"",INDEX(J$1:J3189,SUMPRODUCT(MAX(ROW(E$1:E3189)*(E3190=E$1:E3189)))))</f>
        <v/>
      </c>
      <c r="L3190" s="25"/>
    </row>
    <row r="3191" spans="1:12" x14ac:dyDescent="0.2">
      <c r="A3191" t="s">
        <v>1224</v>
      </c>
      <c r="B3191" s="26" t="s">
        <v>950</v>
      </c>
      <c r="C3191" s="26" t="s">
        <v>814</v>
      </c>
      <c r="E3191" s="20" t="str">
        <f t="shared" si="340"/>
        <v/>
      </c>
      <c r="F3191" s="21" t="str">
        <f>IF(OR(E3191="",E3191="!!!"),"",IF(NOT(ISNA(VLOOKUP(E3191,E$1:E3190,1,FALSE()))),"OLD",IF(AND(E3191&lt;&gt;"",E3191&lt;&gt;"!!!"),"NEW","")))</f>
        <v/>
      </c>
      <c r="G3191" s="22" t="str">
        <f>IF(OR(E3191="",E3191="!!!"),"",IF(OR(J3191=0,AND(J3191=1,K3191=1),AND(J3191=1,I3191="SBJ"),AND(J3191=1,I3191=0)),"?IN_FOCUS",IF(J3191&lt;=2,"?ACTIVATED",IF(J3191&lt;&gt;"","?FAMILIAR",IF(F3191="NEW",IF(ISNA(VLOOKUP(E3191,#REF!,1,FALSE())),"?TYPE_IDENTIFIABLE","?REFERENTIAL"),"_")))))</f>
        <v/>
      </c>
      <c r="H3191" s="23" t="str">
        <f t="shared" ca="1" si="341"/>
        <v/>
      </c>
      <c r="I3191" s="24" t="str">
        <f>IF(OR(E3191="",E3191="!!!",F3191="NEW"),"",INDEX(B$2:B3190,-1+SUMPRODUCT(MAX(ROW(E$2:E3190)*(E3191=E$2:E3190)))))</f>
        <v/>
      </c>
      <c r="J3191" s="24" t="str">
        <f ca="1">IF(OR(E3191="",E3191="!!!",F3191="NEW"),"",COUNTBLANK(OFFSET(A$1,,,SUMPRODUCT(MAX(ROW(E$2:E3191)*(E3191=E$2:E3191)))))-COUNTBLANK(OFFSET(A$1,,,SUMPRODUCT(MAX(ROW(E$1:E3190)*(E2=E$1:E3190))))))</f>
        <v/>
      </c>
      <c r="K3191" s="24" t="str">
        <f>IF(OR(E3191="",E3191="!!!",F3191="NEW"),"",INDEX(J$1:J3190,SUMPRODUCT(MAX(ROW(E$1:E3190)*(E3191=E$1:E3190)))))</f>
        <v/>
      </c>
      <c r="L3191" s="25"/>
    </row>
    <row r="3192" spans="1:12" x14ac:dyDescent="0.2">
      <c r="A3192" t="s">
        <v>1082</v>
      </c>
      <c r="E3192" s="20" t="str">
        <f t="shared" si="340"/>
        <v/>
      </c>
      <c r="F3192" s="21" t="str">
        <f>IF(OR(E3192="",E3192="!!!"),"",IF(NOT(ISNA(VLOOKUP(E3192,E$1:E3191,1,FALSE()))),"OLD",IF(AND(E3192&lt;&gt;"",E3192&lt;&gt;"!!!"),"NEW","")))</f>
        <v/>
      </c>
      <c r="G3192" s="22" t="str">
        <f>IF(OR(E3192="",E3192="!!!"),"",IF(OR(J3192=0,AND(J3192=1,K3192=1),AND(J3192=1,I3192="SBJ"),AND(J3192=1,I3192=0)),"?IN_FOCUS",IF(J3192&lt;=2,"?ACTIVATED",IF(J3192&lt;&gt;"","?FAMILIAR",IF(F3192="NEW",IF(ISNA(VLOOKUP(E3192,#REF!,1,FALSE())),"?TYPE_IDENTIFIABLE","?REFERENTIAL"),"_")))))</f>
        <v/>
      </c>
      <c r="H3192" s="23" t="str">
        <f t="shared" ca="1" si="341"/>
        <v/>
      </c>
      <c r="I3192" s="24" t="str">
        <f>IF(OR(E3192="",E3192="!!!",F3192="NEW"),"",INDEX(B$2:B3191,-1+SUMPRODUCT(MAX(ROW(E$2:E3191)*(E3192=E$2:E3191)))))</f>
        <v/>
      </c>
      <c r="J3192" s="24" t="str">
        <f ca="1">IF(OR(E3192="",E3192="!!!",F3192="NEW"),"",COUNTBLANK(OFFSET(A$1,,,SUMPRODUCT(MAX(ROW(E$2:E3192)*(E3192=E$2:E3192)))))-COUNTBLANK(OFFSET(A$1,,,SUMPRODUCT(MAX(ROW(E$1:E3191)*(E2=E$1:E3191))))))</f>
        <v/>
      </c>
      <c r="K3192" s="24" t="str">
        <f>IF(OR(E3192="",E3192="!!!",F3192="NEW"),"",INDEX(J$1:J3191,SUMPRODUCT(MAX(ROW(E$1:E3191)*(E3192=E$1:E3191)))))</f>
        <v/>
      </c>
      <c r="L3192" s="25"/>
    </row>
    <row r="3193" spans="1:12" x14ac:dyDescent="0.2">
      <c r="A3193" t="s">
        <v>1031</v>
      </c>
      <c r="E3193" s="20" t="str">
        <f t="shared" si="340"/>
        <v/>
      </c>
      <c r="F3193" s="21" t="str">
        <f>IF(OR(E3193="",E3193="!!!"),"",IF(NOT(ISNA(VLOOKUP(E3193,E$1:E3192,1,FALSE()))),"OLD",IF(AND(E3193&lt;&gt;"",E3193&lt;&gt;"!!!"),"NEW","")))</f>
        <v/>
      </c>
      <c r="G3193" s="22" t="str">
        <f>IF(OR(E3193="",E3193="!!!"),"",IF(OR(J3193=0,AND(J3193=1,K3193=1),AND(J3193=1,I3193="SBJ"),AND(J3193=1,I3193=0)),"?IN_FOCUS",IF(J3193&lt;=2,"?ACTIVATED",IF(J3193&lt;&gt;"","?FAMILIAR",IF(F3193="NEW",IF(ISNA(VLOOKUP(E3193,#REF!,1,FALSE())),"?TYPE_IDENTIFIABLE","?REFERENTIAL"),"_")))))</f>
        <v/>
      </c>
      <c r="H3193" s="23" t="str">
        <f t="shared" ca="1" si="341"/>
        <v/>
      </c>
      <c r="I3193" s="24" t="str">
        <f>IF(OR(E3193="",E3193="!!!",F3193="NEW"),"",INDEX(B$2:B3192,-1+SUMPRODUCT(MAX(ROW(E$2:E3192)*(E3193=E$2:E3192)))))</f>
        <v/>
      </c>
      <c r="J3193" s="24" t="str">
        <f ca="1">IF(OR(E3193="",E3193="!!!",F3193="NEW"),"",COUNTBLANK(OFFSET(A$1,,,SUMPRODUCT(MAX(ROW(E$2:E3193)*(E3193=E$2:E3193)))))-COUNTBLANK(OFFSET(A$1,,,SUMPRODUCT(MAX(ROW(E$1:E3192)*(E2=E$1:E3192))))))</f>
        <v/>
      </c>
      <c r="K3193" s="24" t="str">
        <f>IF(OR(E3193="",E3193="!!!",F3193="NEW"),"",INDEX(J$1:J3192,SUMPRODUCT(MAX(ROW(E$1:E3192)*(E3193=E$1:E3192)))))</f>
        <v/>
      </c>
      <c r="L3193" s="25"/>
    </row>
    <row r="3194" spans="1:12" x14ac:dyDescent="0.2">
      <c r="A3194" t="s">
        <v>1222</v>
      </c>
      <c r="E3194" s="20" t="str">
        <f t="shared" si="340"/>
        <v/>
      </c>
      <c r="F3194" s="21" t="str">
        <f>IF(OR(E3194="",E3194="!!!"),"",IF(NOT(ISNA(VLOOKUP(E3194,E$1:E3193,1,FALSE()))),"OLD",IF(AND(E3194&lt;&gt;"",E3194&lt;&gt;"!!!"),"NEW","")))</f>
        <v/>
      </c>
      <c r="G3194" s="22" t="str">
        <f>IF(OR(E3194="",E3194="!!!"),"",IF(OR(J3194=0,AND(J3194=1,K3194=1),AND(J3194=1,I3194="SBJ"),AND(J3194=1,I3194=0)),"?IN_FOCUS",IF(J3194&lt;=2,"?ACTIVATED",IF(J3194&lt;&gt;"","?FAMILIAR",IF(F3194="NEW",IF(ISNA(VLOOKUP(E3194,#REF!,1,FALSE())),"?TYPE_IDENTIFIABLE","?REFERENTIAL"),"_")))))</f>
        <v/>
      </c>
      <c r="H3194" s="23" t="str">
        <f t="shared" ca="1" si="341"/>
        <v/>
      </c>
      <c r="I3194" s="24" t="str">
        <f>IF(OR(E3194="",E3194="!!!",F3194="NEW"),"",INDEX(B$2:B3193,-1+SUMPRODUCT(MAX(ROW(E$2:E3193)*(E3194=E$2:E3193)))))</f>
        <v/>
      </c>
      <c r="J3194" s="24" t="str">
        <f ca="1">IF(OR(E3194="",E3194="!!!",F3194="NEW"),"",COUNTBLANK(OFFSET(A$1,,,SUMPRODUCT(MAX(ROW(E$2:E3194)*(E3194=E$2:E3194)))))-COUNTBLANK(OFFSET(A$1,,,SUMPRODUCT(MAX(ROW(E$1:E3193)*(E2=E$1:E3193))))))</f>
        <v/>
      </c>
      <c r="K3194" s="24" t="str">
        <f>IF(OR(E3194="",E3194="!!!",F3194="NEW"),"",INDEX(J$1:J3193,SUMPRODUCT(MAX(ROW(E$1:E3193)*(E3194=E$1:E3193)))))</f>
        <v/>
      </c>
      <c r="L3194" s="25"/>
    </row>
    <row r="3195" spans="1:12" x14ac:dyDescent="0.2">
      <c r="A3195" t="s">
        <v>1700</v>
      </c>
      <c r="E3195" s="20" t="str">
        <f t="shared" si="340"/>
        <v/>
      </c>
      <c r="F3195" s="21" t="str">
        <f>IF(OR(E3195="",E3195="!!!"),"",IF(NOT(ISNA(VLOOKUP(E3195,E$1:E3194,1,FALSE()))),"OLD",IF(AND(E3195&lt;&gt;"",E3195&lt;&gt;"!!!"),"NEW","")))</f>
        <v/>
      </c>
      <c r="G3195" s="22" t="str">
        <f>IF(OR(E3195="",E3195="!!!"),"",IF(OR(J3195=0,AND(J3195=1,K3195=1),AND(J3195=1,I3195="SBJ"),AND(J3195=1,I3195=0)),"?IN_FOCUS",IF(J3195&lt;=2,"?ACTIVATED",IF(J3195&lt;&gt;"","?FAMILIAR",IF(F3195="NEW",IF(ISNA(VLOOKUP(E3195,#REF!,1,FALSE())),"?TYPE_IDENTIFIABLE","?REFERENTIAL"),"_")))))</f>
        <v/>
      </c>
      <c r="H3195" s="23" t="str">
        <f t="shared" ca="1" si="341"/>
        <v/>
      </c>
      <c r="I3195" s="24" t="str">
        <f>IF(OR(E3195="",E3195="!!!",F3195="NEW"),"",INDEX(B$2:B3194,-1+SUMPRODUCT(MAX(ROW(E$2:E3194)*(E3195=E$2:E3194)))))</f>
        <v/>
      </c>
      <c r="J3195" s="24" t="str">
        <f ca="1">IF(OR(E3195="",E3195="!!!",F3195="NEW"),"",COUNTBLANK(OFFSET(A$1,,,SUMPRODUCT(MAX(ROW(E$2:E3195)*(E3195=E$2:E3195)))))-COUNTBLANK(OFFSET(A$1,,,SUMPRODUCT(MAX(ROW(E$1:E3194)*(E2=E$1:E3194))))))</f>
        <v/>
      </c>
      <c r="K3195" s="24" t="str">
        <f>IF(OR(E3195="",E3195="!!!",F3195="NEW"),"",INDEX(J$1:J3194,SUMPRODUCT(MAX(ROW(E$1:E3194)*(E3195=E$1:E3194)))))</f>
        <v/>
      </c>
      <c r="L3195" s="25"/>
    </row>
    <row r="3196" spans="1:12" x14ac:dyDescent="0.2">
      <c r="A3196" t="s">
        <v>802</v>
      </c>
      <c r="E3196" s="20" t="str">
        <f t="shared" si="340"/>
        <v/>
      </c>
      <c r="F3196" s="21" t="str">
        <f>IF(OR(E3196="",E3196="!!!"),"",IF(NOT(ISNA(VLOOKUP(E3196,E$1:E3195,1,FALSE()))),"OLD",IF(AND(E3196&lt;&gt;"",E3196&lt;&gt;"!!!"),"NEW","")))</f>
        <v/>
      </c>
      <c r="G3196" s="22" t="str">
        <f>IF(OR(E3196="",E3196="!!!"),"",IF(OR(J3196=0,AND(J3196=1,K3196=1),AND(J3196=1,I3196="SBJ"),AND(J3196=1,I3196=0)),"?IN_FOCUS",IF(J3196&lt;=2,"?ACTIVATED",IF(J3196&lt;&gt;"","?FAMILIAR",IF(F3196="NEW",IF(ISNA(VLOOKUP(E3196,#REF!,1,FALSE())),"?TYPE_IDENTIFIABLE","?REFERENTIAL"),"_")))))</f>
        <v/>
      </c>
      <c r="H3196" s="23" t="str">
        <f t="shared" ca="1" si="341"/>
        <v/>
      </c>
      <c r="I3196" s="24" t="str">
        <f>IF(OR(E3196="",E3196="!!!",F3196="NEW"),"",INDEX(B$2:B3195,-1+SUMPRODUCT(MAX(ROW(E$2:E3195)*(E3196=E$2:E3195)))))</f>
        <v/>
      </c>
      <c r="J3196" s="24" t="str">
        <f ca="1">IF(OR(E3196="",E3196="!!!",F3196="NEW"),"",COUNTBLANK(OFFSET(A$1,,,SUMPRODUCT(MAX(ROW(E$2:E3196)*(E3196=E$2:E3196)))))-COUNTBLANK(OFFSET(A$1,,,SUMPRODUCT(MAX(ROW(E$1:E3195)*(E2=E$1:E3195))))))</f>
        <v/>
      </c>
      <c r="K3196" s="24" t="str">
        <f>IF(OR(E3196="",E3196="!!!",F3196="NEW"),"",INDEX(J$1:J3195,SUMPRODUCT(MAX(ROW(E$1:E3195)*(E3196=E$1:E3195)))))</f>
        <v/>
      </c>
      <c r="L3196" s="25"/>
    </row>
    <row r="3197" spans="1:12" x14ac:dyDescent="0.2">
      <c r="A3197" t="s">
        <v>1188</v>
      </c>
      <c r="E3197" s="20" t="str">
        <f t="shared" si="340"/>
        <v/>
      </c>
      <c r="F3197" s="21" t="str">
        <f>IF(OR(E3197="",E3197="!!!"),"",IF(NOT(ISNA(VLOOKUP(E3197,E$1:E3196,1,FALSE()))),"OLD",IF(AND(E3197&lt;&gt;"",E3197&lt;&gt;"!!!"),"NEW","")))</f>
        <v/>
      </c>
      <c r="G3197" s="22" t="str">
        <f>IF(OR(E3197="",E3197="!!!"),"",IF(OR(J3197=0,AND(J3197=1,K3197=1),AND(J3197=1,I3197="SBJ"),AND(J3197=1,I3197=0)),"?IN_FOCUS",IF(J3197&lt;=2,"?ACTIVATED",IF(J3197&lt;&gt;"","?FAMILIAR",IF(F3197="NEW",IF(ISNA(VLOOKUP(E3197,#REF!,1,FALSE())),"?TYPE_IDENTIFIABLE","?REFERENTIAL"),"_")))))</f>
        <v/>
      </c>
      <c r="H3197" s="23" t="str">
        <f t="shared" ca="1" si="341"/>
        <v/>
      </c>
      <c r="I3197" s="24" t="str">
        <f>IF(OR(E3197="",E3197="!!!",F3197="NEW"),"",INDEX(B$2:B3196,-1+SUMPRODUCT(MAX(ROW(E$2:E3196)*(E3197=E$2:E3196)))))</f>
        <v/>
      </c>
      <c r="J3197" s="24" t="str">
        <f ca="1">IF(OR(E3197="",E3197="!!!",F3197="NEW"),"",COUNTBLANK(OFFSET(A$1,,,SUMPRODUCT(MAX(ROW(E$2:E3197)*(E3197=E$2:E3197)))))-COUNTBLANK(OFFSET(A$1,,,SUMPRODUCT(MAX(ROW(E$1:E3196)*(E2=E$1:E3196))))))</f>
        <v/>
      </c>
      <c r="K3197" s="24" t="str">
        <f>IF(OR(E3197="",E3197="!!!",F3197="NEW"),"",INDEX(J$1:J3196,SUMPRODUCT(MAX(ROW(E$1:E3196)*(E3197=E$1:E3196)))))</f>
        <v/>
      </c>
      <c r="L3197" s="25"/>
    </row>
    <row r="3198" spans="1:12" x14ac:dyDescent="0.2">
      <c r="A3198" t="s">
        <v>1222</v>
      </c>
      <c r="E3198" s="20" t="str">
        <f t="shared" si="340"/>
        <v/>
      </c>
      <c r="F3198" s="21" t="str">
        <f>IF(OR(E3198="",E3198="!!!"),"",IF(NOT(ISNA(VLOOKUP(E3198,E$1:E3197,1,FALSE()))),"OLD",IF(AND(E3198&lt;&gt;"",E3198&lt;&gt;"!!!"),"NEW","")))</f>
        <v/>
      </c>
      <c r="G3198" s="22" t="str">
        <f>IF(OR(E3198="",E3198="!!!"),"",IF(OR(J3198=0,AND(J3198=1,K3198=1),AND(J3198=1,I3198="SBJ"),AND(J3198=1,I3198=0)),"?IN_FOCUS",IF(J3198&lt;=2,"?ACTIVATED",IF(J3198&lt;&gt;"","?FAMILIAR",IF(F3198="NEW",IF(ISNA(VLOOKUP(E3198,#REF!,1,FALSE())),"?TYPE_IDENTIFIABLE","?REFERENTIAL"),"_")))))</f>
        <v/>
      </c>
      <c r="H3198" s="23" t="str">
        <f t="shared" ca="1" si="341"/>
        <v/>
      </c>
      <c r="I3198" s="24" t="str">
        <f>IF(OR(E3198="",E3198="!!!",F3198="NEW"),"",INDEX(B$2:B3197,-1+SUMPRODUCT(MAX(ROW(E$2:E3197)*(E3198=E$2:E3197)))))</f>
        <v/>
      </c>
      <c r="J3198" s="24" t="str">
        <f ca="1">IF(OR(E3198="",E3198="!!!",F3198="NEW"),"",COUNTBLANK(OFFSET(A$1,,,SUMPRODUCT(MAX(ROW(E$2:E3198)*(E3198=E$2:E3198)))))-COUNTBLANK(OFFSET(A$1,,,SUMPRODUCT(MAX(ROW(E$1:E3197)*(E2=E$1:E3197))))))</f>
        <v/>
      </c>
      <c r="K3198" s="24" t="str">
        <f>IF(OR(E3198="",E3198="!!!",F3198="NEW"),"",INDEX(J$1:J3197,SUMPRODUCT(MAX(ROW(E$1:E3197)*(E3198=E$1:E3197)))))</f>
        <v/>
      </c>
      <c r="L3198" s="25"/>
    </row>
    <row r="3199" spans="1:12" x14ac:dyDescent="0.2">
      <c r="A3199" t="s">
        <v>1701</v>
      </c>
      <c r="E3199" s="20" t="str">
        <f t="shared" si="340"/>
        <v/>
      </c>
      <c r="F3199" s="21" t="str">
        <f>IF(OR(E3199="",E3199="!!!"),"",IF(NOT(ISNA(VLOOKUP(E3199,E$1:E3198,1,FALSE()))),"OLD",IF(AND(E3199&lt;&gt;"",E3199&lt;&gt;"!!!"),"NEW","")))</f>
        <v/>
      </c>
      <c r="G3199" s="22" t="str">
        <f>IF(OR(E3199="",E3199="!!!"),"",IF(OR(J3199=0,AND(J3199=1,K3199=1),AND(J3199=1,I3199="SBJ"),AND(J3199=1,I3199=0)),"?IN_FOCUS",IF(J3199&lt;=2,"?ACTIVATED",IF(J3199&lt;&gt;"","?FAMILIAR",IF(F3199="NEW",IF(ISNA(VLOOKUP(E3199,#REF!,1,FALSE())),"?TYPE_IDENTIFIABLE","?REFERENTIAL"),"_")))))</f>
        <v/>
      </c>
      <c r="H3199" s="23" t="str">
        <f t="shared" ca="1" si="341"/>
        <v/>
      </c>
      <c r="I3199" s="24" t="str">
        <f>IF(OR(E3199="",E3199="!!!",F3199="NEW"),"",INDEX(B$2:B3198,-1+SUMPRODUCT(MAX(ROW(E$2:E3198)*(E3199=E$2:E3198)))))</f>
        <v/>
      </c>
      <c r="J3199" s="24" t="str">
        <f ca="1">IF(OR(E3199="",E3199="!!!",F3199="NEW"),"",COUNTBLANK(OFFSET(A$1,,,SUMPRODUCT(MAX(ROW(E$2:E3199)*(E3199=E$2:E3199)))))-COUNTBLANK(OFFSET(A$1,,,SUMPRODUCT(MAX(ROW(E$1:E3198)*(E2=E$1:E3198))))))</f>
        <v/>
      </c>
      <c r="K3199" s="24" t="str">
        <f>IF(OR(E3199="",E3199="!!!",F3199="NEW"),"",INDEX(J$1:J3198,SUMPRODUCT(MAX(ROW(E$1:E3198)*(E3199=E$1:E3198)))))</f>
        <v/>
      </c>
      <c r="L3199" s="25"/>
    </row>
    <row r="3200" spans="1:12" x14ac:dyDescent="0.2">
      <c r="A3200" t="s">
        <v>1231</v>
      </c>
      <c r="B3200" s="26" t="s">
        <v>864</v>
      </c>
      <c r="C3200" s="26" t="s">
        <v>814</v>
      </c>
      <c r="E3200" s="20" t="str">
        <f t="shared" si="340"/>
        <v/>
      </c>
      <c r="F3200" s="21" t="str">
        <f>IF(OR(E3200="",E3200="!!!"),"",IF(NOT(ISNA(VLOOKUP(E3200,E$1:E3199,1,FALSE()))),"OLD",IF(AND(E3200&lt;&gt;"",E3200&lt;&gt;"!!!"),"NEW","")))</f>
        <v/>
      </c>
      <c r="G3200" s="22" t="str">
        <f>IF(OR(E3200="",E3200="!!!"),"",IF(OR(J3200=0,AND(J3200=1,K3200=1),AND(J3200=1,I3200="SBJ"),AND(J3200=1,I3200=0)),"?IN_FOCUS",IF(J3200&lt;=2,"?ACTIVATED",IF(J3200&lt;&gt;"","?FAMILIAR",IF(F3200="NEW",IF(ISNA(VLOOKUP(E3200,#REF!,1,FALSE())),"?TYPE_IDENTIFIABLE","?REFERENTIAL"),"_")))))</f>
        <v/>
      </c>
      <c r="H3200" s="23" t="str">
        <f t="shared" ca="1" si="341"/>
        <v/>
      </c>
      <c r="I3200" s="24" t="str">
        <f>IF(OR(E3200="",E3200="!!!",F3200="NEW"),"",INDEX(B$2:B3199,-1+SUMPRODUCT(MAX(ROW(E$2:E3199)*(E3200=E$2:E3199)))))</f>
        <v/>
      </c>
      <c r="J3200" s="24" t="str">
        <f ca="1">IF(OR(E3200="",E3200="!!!",F3200="NEW"),"",COUNTBLANK(OFFSET(A$1,,,SUMPRODUCT(MAX(ROW(E$2:E3200)*(E3200=E$2:E3200)))))-COUNTBLANK(OFFSET(A$1,,,SUMPRODUCT(MAX(ROW(E$1:E3199)*(E2=E$1:E3199))))))</f>
        <v/>
      </c>
      <c r="K3200" s="24" t="str">
        <f>IF(OR(E3200="",E3200="!!!",F3200="NEW"),"",INDEX(J$1:J3199,SUMPRODUCT(MAX(ROW(E$1:E3199)*(E3200=E$1:E3199)))))</f>
        <v/>
      </c>
      <c r="L3200" s="25"/>
    </row>
    <row r="3201" spans="1:12" x14ac:dyDescent="0.2">
      <c r="A3201" t="s">
        <v>1082</v>
      </c>
      <c r="E3201" s="20" t="str">
        <f t="shared" si="340"/>
        <v/>
      </c>
      <c r="F3201" s="21" t="str">
        <f>IF(OR(E3201="",E3201="!!!"),"",IF(NOT(ISNA(VLOOKUP(E3201,E$1:E3200,1,FALSE()))),"OLD",IF(AND(E3201&lt;&gt;"",E3201&lt;&gt;"!!!"),"NEW","")))</f>
        <v/>
      </c>
      <c r="G3201" s="22" t="str">
        <f>IF(OR(E3201="",E3201="!!!"),"",IF(OR(J3201=0,AND(J3201=1,K3201=1),AND(J3201=1,I3201="SBJ"),AND(J3201=1,I3201=0)),"?IN_FOCUS",IF(J3201&lt;=2,"?ACTIVATED",IF(J3201&lt;&gt;"","?FAMILIAR",IF(F3201="NEW",IF(ISNA(VLOOKUP(E3201,#REF!,1,FALSE())),"?TYPE_IDENTIFIABLE","?REFERENTIAL"),"_")))))</f>
        <v/>
      </c>
      <c r="H3201" s="23" t="str">
        <f t="shared" ca="1" si="341"/>
        <v/>
      </c>
      <c r="I3201" s="24" t="str">
        <f>IF(OR(E3201="",E3201="!!!",F3201="NEW"),"",INDEX(B$2:B3200,-1+SUMPRODUCT(MAX(ROW(E$2:E3200)*(E3201=E$2:E3200)))))</f>
        <v/>
      </c>
      <c r="J3201" s="24" t="str">
        <f ca="1">IF(OR(E3201="",E3201="!!!",F3201="NEW"),"",COUNTBLANK(OFFSET(A$1,,,SUMPRODUCT(MAX(ROW(E$2:E3201)*(E3201=E$2:E3201)))))-COUNTBLANK(OFFSET(A$1,,,SUMPRODUCT(MAX(ROW(E$1:E3200)*(E2=E$1:E3200))))))</f>
        <v/>
      </c>
      <c r="K3201" s="24" t="str">
        <f>IF(OR(E3201="",E3201="!!!",F3201="NEW"),"",INDEX(J$1:J3200,SUMPRODUCT(MAX(ROW(E$1:E3200)*(E3201=E$1:E3200)))))</f>
        <v/>
      </c>
      <c r="L3201" s="25"/>
    </row>
    <row r="3202" spans="1:12" x14ac:dyDescent="0.2">
      <c r="A3202" t="s">
        <v>1031</v>
      </c>
      <c r="E3202" s="20" t="str">
        <f t="shared" si="340"/>
        <v/>
      </c>
      <c r="F3202" s="21" t="str">
        <f>IF(OR(E3202="",E3202="!!!"),"",IF(NOT(ISNA(VLOOKUP(E3202,E$1:E3201,1,FALSE()))),"OLD",IF(AND(E3202&lt;&gt;"",E3202&lt;&gt;"!!!"),"NEW","")))</f>
        <v/>
      </c>
      <c r="G3202" s="22" t="str">
        <f>IF(OR(E3202="",E3202="!!!"),"",IF(OR(J3202=0,AND(J3202=1,K3202=1),AND(J3202=1,I3202="SBJ"),AND(J3202=1,I3202=0)),"?IN_FOCUS",IF(J3202&lt;=2,"?ACTIVATED",IF(J3202&lt;&gt;"","?FAMILIAR",IF(F3202="NEW",IF(ISNA(VLOOKUP(E3202,#REF!,1,FALSE())),"?TYPE_IDENTIFIABLE","?REFERENTIAL"),"_")))))</f>
        <v/>
      </c>
      <c r="H3202" s="23" t="str">
        <f t="shared" ca="1" si="341"/>
        <v/>
      </c>
      <c r="I3202" s="24" t="str">
        <f>IF(OR(E3202="",E3202="!!!",F3202="NEW"),"",INDEX(B$2:B3201,-1+SUMPRODUCT(MAX(ROW(E$2:E3201)*(E3202=E$2:E3201)))))</f>
        <v/>
      </c>
      <c r="J3202" s="24" t="str">
        <f ca="1">IF(OR(E3202="",E3202="!!!",F3202="NEW"),"",COUNTBLANK(OFFSET(A$1,,,SUMPRODUCT(MAX(ROW(E$2:E3202)*(E3202=E$2:E3202)))))-COUNTBLANK(OFFSET(A$1,,,SUMPRODUCT(MAX(ROW(E$1:E3201)*(E2=E$1:E3201))))))</f>
        <v/>
      </c>
      <c r="K3202" s="24" t="str">
        <f>IF(OR(E3202="",E3202="!!!",F3202="NEW"),"",INDEX(J$1:J3201,SUMPRODUCT(MAX(ROW(E$1:E3201)*(E3202=E$1:E3201)))))</f>
        <v/>
      </c>
      <c r="L3202" s="25"/>
    </row>
    <row r="3203" spans="1:12" x14ac:dyDescent="0.2">
      <c r="A3203" t="s">
        <v>1222</v>
      </c>
      <c r="E3203" s="20" t="str">
        <f t="shared" si="340"/>
        <v/>
      </c>
      <c r="F3203" s="21" t="str">
        <f>IF(OR(E3203="",E3203="!!!"),"",IF(NOT(ISNA(VLOOKUP(E3203,E$1:E3202,1,FALSE()))),"OLD",IF(AND(E3203&lt;&gt;"",E3203&lt;&gt;"!!!"),"NEW","")))</f>
        <v/>
      </c>
      <c r="G3203" s="22" t="str">
        <f>IF(OR(E3203="",E3203="!!!"),"",IF(OR(J3203=0,AND(J3203=1,K3203=1),AND(J3203=1,I3203="SBJ"),AND(J3203=1,I3203=0)),"?IN_FOCUS",IF(J3203&lt;=2,"?ACTIVATED",IF(J3203&lt;&gt;"","?FAMILIAR",IF(F3203="NEW",IF(ISNA(VLOOKUP(E3203,#REF!,1,FALSE())),"?TYPE_IDENTIFIABLE","?REFERENTIAL"),"_")))))</f>
        <v/>
      </c>
      <c r="H3203" s="23" t="str">
        <f t="shared" ca="1" si="341"/>
        <v/>
      </c>
      <c r="I3203" s="24" t="str">
        <f>IF(OR(E3203="",E3203="!!!",F3203="NEW"),"",INDEX(B$2:B3202,-1+SUMPRODUCT(MAX(ROW(E$2:E3202)*(E3203=E$2:E3202)))))</f>
        <v/>
      </c>
      <c r="J3203" s="24" t="str">
        <f ca="1">IF(OR(E3203="",E3203="!!!",F3203="NEW"),"",COUNTBLANK(OFFSET(A$1,,,SUMPRODUCT(MAX(ROW(E$2:E3203)*(E3203=E$2:E3203)))))-COUNTBLANK(OFFSET(A$1,,,SUMPRODUCT(MAX(ROW(E$1:E3202)*(E2=E$1:E3202))))))</f>
        <v/>
      </c>
      <c r="K3203" s="24" t="str">
        <f>IF(OR(E3203="",E3203="!!!",F3203="NEW"),"",INDEX(J$1:J3202,SUMPRODUCT(MAX(ROW(E$1:E3202)*(E3203=E$1:E3202)))))</f>
        <v/>
      </c>
      <c r="L3203" s="25"/>
    </row>
    <row r="3204" spans="1:12" x14ac:dyDescent="0.2">
      <c r="A3204" t="s">
        <v>1702</v>
      </c>
      <c r="B3204" s="26" t="s">
        <v>813</v>
      </c>
      <c r="C3204" s="26" t="s">
        <v>814</v>
      </c>
      <c r="E3204" s="20" t="str">
        <f t="shared" si="340"/>
        <v/>
      </c>
      <c r="F3204" s="21" t="str">
        <f>IF(OR(E3204="",E3204="!!!"),"",IF(NOT(ISNA(VLOOKUP(E3204,E$1:E3203,1,FALSE()))),"OLD",IF(AND(E3204&lt;&gt;"",E3204&lt;&gt;"!!!"),"NEW","")))</f>
        <v/>
      </c>
      <c r="G3204" s="22" t="str">
        <f>IF(OR(E3204="",E3204="!!!"),"",IF(OR(J3204=0,AND(J3204=1,K3204=1),AND(J3204=1,I3204="SBJ"),AND(J3204=1,I3204=0)),"?IN_FOCUS",IF(J3204&lt;=2,"?ACTIVATED",IF(J3204&lt;&gt;"","?FAMILIAR",IF(F3204="NEW",IF(ISNA(VLOOKUP(E3204,#REF!,1,FALSE())),"?TYPE_IDENTIFIABLE","?REFERENTIAL"),"_")))))</f>
        <v/>
      </c>
      <c r="H3204" s="23" t="str">
        <f t="shared" ca="1" si="341"/>
        <v/>
      </c>
      <c r="I3204" s="24" t="str">
        <f>IF(OR(E3204="",E3204="!!!",F3204="NEW"),"",INDEX(B$2:B3203,-1+SUMPRODUCT(MAX(ROW(E$2:E3203)*(E3204=E$2:E3203)))))</f>
        <v/>
      </c>
      <c r="J3204" s="24" t="str">
        <f ca="1">IF(OR(E3204="",E3204="!!!",F3204="NEW"),"",COUNTBLANK(OFFSET(A$1,,,SUMPRODUCT(MAX(ROW(E$2:E3204)*(E3204=E$2:E3204)))))-COUNTBLANK(OFFSET(A$1,,,SUMPRODUCT(MAX(ROW(E$1:E3203)*(E2=E$1:E3203))))))</f>
        <v/>
      </c>
      <c r="K3204" s="24" t="str">
        <f>IF(OR(E3204="",E3204="!!!",F3204="NEW"),"",INDEX(J$1:J3203,SUMPRODUCT(MAX(ROW(E$1:E3203)*(E3204=E$1:E3203)))))</f>
        <v/>
      </c>
      <c r="L3204" s="25"/>
    </row>
    <row r="3205" spans="1:12" x14ac:dyDescent="0.2">
      <c r="A3205" t="s">
        <v>802</v>
      </c>
      <c r="E3205" s="20" t="str">
        <f t="shared" si="340"/>
        <v/>
      </c>
      <c r="F3205" s="21" t="str">
        <f>IF(OR(E3205="",E3205="!!!"),"",IF(NOT(ISNA(VLOOKUP(E3205,E$1:E3204,1,FALSE()))),"OLD",IF(AND(E3205&lt;&gt;"",E3205&lt;&gt;"!!!"),"NEW","")))</f>
        <v/>
      </c>
      <c r="G3205" s="22" t="str">
        <f>IF(OR(E3205="",E3205="!!!"),"",IF(OR(J3205=0,AND(J3205=1,K3205=1),AND(J3205=1,I3205="SBJ"),AND(J3205=1,I3205=0)),"?IN_FOCUS",IF(J3205&lt;=2,"?ACTIVATED",IF(J3205&lt;&gt;"","?FAMILIAR",IF(F3205="NEW",IF(ISNA(VLOOKUP(E3205,#REF!,1,FALSE())),"?TYPE_IDENTIFIABLE","?REFERENTIAL"),"_")))))</f>
        <v/>
      </c>
      <c r="H3205" s="23" t="str">
        <f t="shared" ca="1" si="341"/>
        <v/>
      </c>
      <c r="I3205" s="24" t="str">
        <f>IF(OR(E3205="",E3205="!!!",F3205="NEW"),"",INDEX(B$2:B3204,-1+SUMPRODUCT(MAX(ROW(E$2:E3204)*(E3205=E$2:E3204)))))</f>
        <v/>
      </c>
      <c r="J3205" s="24" t="str">
        <f ca="1">IF(OR(E3205="",E3205="!!!",F3205="NEW"),"",COUNTBLANK(OFFSET(A$1,,,SUMPRODUCT(MAX(ROW(E$2:E3205)*(E3205=E$2:E3205)))))-COUNTBLANK(OFFSET(A$1,,,SUMPRODUCT(MAX(ROW(E$1:E3204)*(E2=E$1:E3204))))))</f>
        <v/>
      </c>
      <c r="K3205" s="24" t="str">
        <f>IF(OR(E3205="",E3205="!!!",F3205="NEW"),"",INDEX(J$1:J3204,SUMPRODUCT(MAX(ROW(E$1:E3204)*(E3205=E$1:E3204)))))</f>
        <v/>
      </c>
      <c r="L3205" s="25"/>
    </row>
    <row r="3206" spans="1:12" x14ac:dyDescent="0.2">
      <c r="A3206" t="s">
        <v>1188</v>
      </c>
      <c r="E3206" s="20" t="str">
        <f t="shared" si="340"/>
        <v/>
      </c>
      <c r="F3206" s="21" t="str">
        <f>IF(OR(E3206="",E3206="!!!"),"",IF(NOT(ISNA(VLOOKUP(E3206,E$1:E3205,1,FALSE()))),"OLD",IF(AND(E3206&lt;&gt;"",E3206&lt;&gt;"!!!"),"NEW","")))</f>
        <v/>
      </c>
      <c r="G3206" s="22" t="str">
        <f>IF(OR(E3206="",E3206="!!!"),"",IF(OR(J3206=0,AND(J3206=1,K3206=1),AND(J3206=1,I3206="SBJ"),AND(J3206=1,I3206=0)),"?IN_FOCUS",IF(J3206&lt;=2,"?ACTIVATED",IF(J3206&lt;&gt;"","?FAMILIAR",IF(F3206="NEW",IF(ISNA(VLOOKUP(E3206,#REF!,1,FALSE())),"?TYPE_IDENTIFIABLE","?REFERENTIAL"),"_")))))</f>
        <v/>
      </c>
      <c r="H3206" s="23" t="str">
        <f t="shared" ca="1" si="341"/>
        <v/>
      </c>
      <c r="I3206" s="24" t="str">
        <f>IF(OR(E3206="",E3206="!!!",F3206="NEW"),"",INDEX(B$2:B3205,-1+SUMPRODUCT(MAX(ROW(E$2:E3205)*(E3206=E$2:E3205)))))</f>
        <v/>
      </c>
      <c r="J3206" s="24" t="str">
        <f ca="1">IF(OR(E3206="",E3206="!!!",F3206="NEW"),"",COUNTBLANK(OFFSET(A$1,,,SUMPRODUCT(MAX(ROW(E$2:E3206)*(E3206=E$2:E3206)))))-COUNTBLANK(OFFSET(A$1,,,SUMPRODUCT(MAX(ROW(E$1:E3205)*(E2=E$1:E3205))))))</f>
        <v/>
      </c>
      <c r="K3206" s="24" t="str">
        <f>IF(OR(E3206="",E3206="!!!",F3206="NEW"),"",INDEX(J$1:J3205,SUMPRODUCT(MAX(ROW(E$1:E3205)*(E3206=E$1:E3205)))))</f>
        <v/>
      </c>
      <c r="L3206" s="25"/>
    </row>
    <row r="3207" spans="1:12" x14ac:dyDescent="0.2">
      <c r="A3207" t="s">
        <v>1222</v>
      </c>
      <c r="E3207" s="20" t="str">
        <f t="shared" si="340"/>
        <v/>
      </c>
      <c r="F3207" s="21" t="str">
        <f>IF(OR(E3207="",E3207="!!!"),"",IF(NOT(ISNA(VLOOKUP(E3207,E$1:E3206,1,FALSE()))),"OLD",IF(AND(E3207&lt;&gt;"",E3207&lt;&gt;"!!!"),"NEW","")))</f>
        <v/>
      </c>
      <c r="G3207" s="22" t="str">
        <f>IF(OR(E3207="",E3207="!!!"),"",IF(OR(J3207=0,AND(J3207=1,K3207=1),AND(J3207=1,I3207="SBJ"),AND(J3207=1,I3207=0)),"?IN_FOCUS",IF(J3207&lt;=2,"?ACTIVATED",IF(J3207&lt;&gt;"","?FAMILIAR",IF(F3207="NEW",IF(ISNA(VLOOKUP(E3207,#REF!,1,FALSE())),"?TYPE_IDENTIFIABLE","?REFERENTIAL"),"_")))))</f>
        <v/>
      </c>
      <c r="H3207" s="23" t="str">
        <f t="shared" ca="1" si="341"/>
        <v/>
      </c>
      <c r="I3207" s="24" t="str">
        <f>IF(OR(E3207="",E3207="!!!",F3207="NEW"),"",INDEX(B$2:B3206,-1+SUMPRODUCT(MAX(ROW(E$2:E3206)*(E3207=E$2:E3206)))))</f>
        <v/>
      </c>
      <c r="J3207" s="24" t="str">
        <f ca="1">IF(OR(E3207="",E3207="!!!",F3207="NEW"),"",COUNTBLANK(OFFSET(A$1,,,SUMPRODUCT(MAX(ROW(E$2:E3207)*(E3207=E$2:E3207)))))-COUNTBLANK(OFFSET(A$1,,,SUMPRODUCT(MAX(ROW(E$1:E3206)*(E2=E$1:E3206))))))</f>
        <v/>
      </c>
      <c r="K3207" s="24" t="str">
        <f>IF(OR(E3207="",E3207="!!!",F3207="NEW"),"",INDEX(J$1:J3206,SUMPRODUCT(MAX(ROW(E$1:E3206)*(E3207=E$1:E3206)))))</f>
        <v/>
      </c>
      <c r="L3207" s="25"/>
    </row>
    <row r="3208" spans="1:12" x14ac:dyDescent="0.2">
      <c r="A3208" t="s">
        <v>933</v>
      </c>
      <c r="B3208" s="26" t="s">
        <v>864</v>
      </c>
      <c r="C3208" s="26" t="s">
        <v>814</v>
      </c>
      <c r="E3208" s="20" t="str">
        <f t="shared" si="340"/>
        <v/>
      </c>
      <c r="F3208" s="21" t="str">
        <f>IF(OR(E3208="",E3208="!!!"),"",IF(NOT(ISNA(VLOOKUP(E3208,E$1:E3207,1,FALSE()))),"OLD",IF(AND(E3208&lt;&gt;"",E3208&lt;&gt;"!!!"),"NEW","")))</f>
        <v/>
      </c>
      <c r="G3208" s="22" t="str">
        <f>IF(OR(E3208="",E3208="!!!"),"",IF(OR(J3208=0,AND(J3208=1,K3208=1),AND(J3208=1,I3208="SBJ"),AND(J3208=1,I3208=0)),"?IN_FOCUS",IF(J3208&lt;=2,"?ACTIVATED",IF(J3208&lt;&gt;"","?FAMILIAR",IF(F3208="NEW",IF(ISNA(VLOOKUP(E3208,#REF!,1,FALSE())),"?TYPE_IDENTIFIABLE","?REFERENTIAL"),"_")))))</f>
        <v/>
      </c>
      <c r="H3208" s="23" t="str">
        <f t="shared" ca="1" si="341"/>
        <v/>
      </c>
      <c r="I3208" s="24" t="str">
        <f>IF(OR(E3208="",E3208="!!!",F3208="NEW"),"",INDEX(B$2:B3207,-1+SUMPRODUCT(MAX(ROW(E$2:E3207)*(E3208=E$2:E3207)))))</f>
        <v/>
      </c>
      <c r="J3208" s="24" t="str">
        <f ca="1">IF(OR(E3208="",E3208="!!!",F3208="NEW"),"",COUNTBLANK(OFFSET(A$1,,,SUMPRODUCT(MAX(ROW(E$2:E3208)*(E3208=E$2:E3208)))))-COUNTBLANK(OFFSET(A$1,,,SUMPRODUCT(MAX(ROW(E$1:E3207)*(E2=E$1:E3207))))))</f>
        <v/>
      </c>
      <c r="K3208" s="24" t="str">
        <f>IF(OR(E3208="",E3208="!!!",F3208="NEW"),"",INDEX(J$1:J3207,SUMPRODUCT(MAX(ROW(E$1:E3207)*(E3208=E$1:E3207)))))</f>
        <v/>
      </c>
      <c r="L3208" s="25"/>
    </row>
    <row r="3209" spans="1:12" x14ac:dyDescent="0.2">
      <c r="A3209" t="s">
        <v>1082</v>
      </c>
      <c r="E3209" s="20" t="str">
        <f t="shared" si="340"/>
        <v/>
      </c>
      <c r="F3209" s="21" t="str">
        <f>IF(OR(E3209="",E3209="!!!"),"",IF(NOT(ISNA(VLOOKUP(E3209,E$1:E3208,1,FALSE()))),"OLD",IF(AND(E3209&lt;&gt;"",E3209&lt;&gt;"!!!"),"NEW","")))</f>
        <v/>
      </c>
      <c r="G3209" s="22" t="str">
        <f>IF(OR(E3209="",E3209="!!!"),"",IF(OR(J3209=0,AND(J3209=1,K3209=1),AND(J3209=1,I3209="SBJ"),AND(J3209=1,I3209=0)),"?IN_FOCUS",IF(J3209&lt;=2,"?ACTIVATED",IF(J3209&lt;&gt;"","?FAMILIAR",IF(F3209="NEW",IF(ISNA(VLOOKUP(E3209,#REF!,1,FALSE())),"?TYPE_IDENTIFIABLE","?REFERENTIAL"),"_")))))</f>
        <v/>
      </c>
      <c r="H3209" s="23" t="str">
        <f t="shared" ca="1" si="341"/>
        <v/>
      </c>
      <c r="I3209" s="24" t="str">
        <f>IF(OR(E3209="",E3209="!!!",F3209="NEW"),"",INDEX(B$2:B3208,-1+SUMPRODUCT(MAX(ROW(E$2:E3208)*(E3209=E$2:E3208)))))</f>
        <v/>
      </c>
      <c r="J3209" s="24" t="str">
        <f ca="1">IF(OR(E3209="",E3209="!!!",F3209="NEW"),"",COUNTBLANK(OFFSET(A$1,,,SUMPRODUCT(MAX(ROW(E$2:E3209)*(E3209=E$2:E3209)))))-COUNTBLANK(OFFSET(A$1,,,SUMPRODUCT(MAX(ROW(E$1:E3208)*(E2=E$1:E3208))))))</f>
        <v/>
      </c>
      <c r="K3209" s="24" t="str">
        <f>IF(OR(E3209="",E3209="!!!",F3209="NEW"),"",INDEX(J$1:J3208,SUMPRODUCT(MAX(ROW(E$1:E3208)*(E3209=E$1:E3208)))))</f>
        <v/>
      </c>
      <c r="L3209" s="25"/>
    </row>
    <row r="3210" spans="1:12" x14ac:dyDescent="0.2">
      <c r="A3210" t="s">
        <v>888</v>
      </c>
      <c r="E3210" s="20" t="str">
        <f t="shared" si="340"/>
        <v/>
      </c>
      <c r="F3210" s="21" t="str">
        <f>IF(OR(E3210="",E3210="!!!"),"",IF(NOT(ISNA(VLOOKUP(E3210,E$1:E3209,1,FALSE()))),"OLD",IF(AND(E3210&lt;&gt;"",E3210&lt;&gt;"!!!"),"NEW","")))</f>
        <v/>
      </c>
      <c r="G3210" s="22" t="str">
        <f>IF(OR(E3210="",E3210="!!!"),"",IF(OR(J3210=0,AND(J3210=1,K3210=1),AND(J3210=1,I3210="SBJ"),AND(J3210=1,I3210=0)),"?IN_FOCUS",IF(J3210&lt;=2,"?ACTIVATED",IF(J3210&lt;&gt;"","?FAMILIAR",IF(F3210="NEW",IF(ISNA(VLOOKUP(E3210,#REF!,1,FALSE())),"?TYPE_IDENTIFIABLE","?REFERENTIAL"),"_")))))</f>
        <v/>
      </c>
      <c r="H3210" s="23" t="str">
        <f t="shared" ca="1" si="341"/>
        <v/>
      </c>
      <c r="I3210" s="24" t="str">
        <f>IF(OR(E3210="",E3210="!!!",F3210="NEW"),"",INDEX(B$2:B3209,-1+SUMPRODUCT(MAX(ROW(E$2:E3209)*(E3210=E$2:E3209)))))</f>
        <v/>
      </c>
      <c r="J3210" s="24" t="str">
        <f ca="1">IF(OR(E3210="",E3210="!!!",F3210="NEW"),"",COUNTBLANK(OFFSET(A$1,,,SUMPRODUCT(MAX(ROW(E$2:E3210)*(E3210=E$2:E3210)))))-COUNTBLANK(OFFSET(A$1,,,SUMPRODUCT(MAX(ROW(E$1:E3209)*(E2=E$1:E3209))))))</f>
        <v/>
      </c>
      <c r="K3210" s="24" t="str">
        <f>IF(OR(E3210="",E3210="!!!",F3210="NEW"),"",INDEX(J$1:J3209,SUMPRODUCT(MAX(ROW(E$1:E3209)*(E3210=E$1:E3209)))))</f>
        <v/>
      </c>
      <c r="L3210" s="25"/>
    </row>
    <row r="3211" spans="1:12" x14ac:dyDescent="0.2">
      <c r="A3211" t="s">
        <v>1031</v>
      </c>
      <c r="E3211" s="20" t="str">
        <f t="shared" si="340"/>
        <v/>
      </c>
      <c r="F3211" s="21" t="str">
        <f>IF(OR(E3211="",E3211="!!!"),"",IF(NOT(ISNA(VLOOKUP(E3211,E$1:E3210,1,FALSE()))),"OLD",IF(AND(E3211&lt;&gt;"",E3211&lt;&gt;"!!!"),"NEW","")))</f>
        <v/>
      </c>
      <c r="G3211" s="22" t="str">
        <f>IF(OR(E3211="",E3211="!!!"),"",IF(OR(J3211=0,AND(J3211=1,K3211=1),AND(J3211=1,I3211="SBJ"),AND(J3211=1,I3211=0)),"?IN_FOCUS",IF(J3211&lt;=2,"?ACTIVATED",IF(J3211&lt;&gt;"","?FAMILIAR",IF(F3211="NEW",IF(ISNA(VLOOKUP(E3211,#REF!,1,FALSE())),"?TYPE_IDENTIFIABLE","?REFERENTIAL"),"_")))))</f>
        <v/>
      </c>
      <c r="H3211" s="23" t="str">
        <f t="shared" ca="1" si="341"/>
        <v/>
      </c>
      <c r="I3211" s="24" t="str">
        <f>IF(OR(E3211="",E3211="!!!",F3211="NEW"),"",INDEX(B$2:B3210,-1+SUMPRODUCT(MAX(ROW(E$2:E3210)*(E3211=E$2:E3210)))))</f>
        <v/>
      </c>
      <c r="J3211" s="24" t="str">
        <f ca="1">IF(OR(E3211="",E3211="!!!",F3211="NEW"),"",COUNTBLANK(OFFSET(A$1,,,SUMPRODUCT(MAX(ROW(E$2:E3211)*(E3211=E$2:E3211)))))-COUNTBLANK(OFFSET(A$1,,,SUMPRODUCT(MAX(ROW(E$1:E3210)*(E2=E$1:E3210))))))</f>
        <v/>
      </c>
      <c r="K3211" s="24" t="str">
        <f>IF(OR(E3211="",E3211="!!!",F3211="NEW"),"",INDEX(J$1:J3210,SUMPRODUCT(MAX(ROW(E$1:E3210)*(E3211=E$1:E3210)))))</f>
        <v/>
      </c>
      <c r="L3211" s="25"/>
    </row>
    <row r="3212" spans="1:12" x14ac:dyDescent="0.2">
      <c r="A3212" t="s">
        <v>1222</v>
      </c>
      <c r="E3212" s="20" t="str">
        <f t="shared" si="340"/>
        <v/>
      </c>
      <c r="F3212" s="21" t="str">
        <f>IF(OR(E3212="",E3212="!!!"),"",IF(NOT(ISNA(VLOOKUP(E3212,E$1:E3211,1,FALSE()))),"OLD",IF(AND(E3212&lt;&gt;"",E3212&lt;&gt;"!!!"),"NEW","")))</f>
        <v/>
      </c>
      <c r="G3212" s="22" t="str">
        <f>IF(OR(E3212="",E3212="!!!"),"",IF(OR(J3212=0,AND(J3212=1,K3212=1),AND(J3212=1,I3212="SBJ"),AND(J3212=1,I3212=0)),"?IN_FOCUS",IF(J3212&lt;=2,"?ACTIVATED",IF(J3212&lt;&gt;"","?FAMILIAR",IF(F3212="NEW",IF(ISNA(VLOOKUP(E3212,#REF!,1,FALSE())),"?TYPE_IDENTIFIABLE","?REFERENTIAL"),"_")))))</f>
        <v/>
      </c>
      <c r="H3212" s="23" t="str">
        <f t="shared" ca="1" si="341"/>
        <v/>
      </c>
      <c r="I3212" s="24" t="str">
        <f>IF(OR(E3212="",E3212="!!!",F3212="NEW"),"",INDEX(B$2:B3211,-1+SUMPRODUCT(MAX(ROW(E$2:E3211)*(E3212=E$2:E3211)))))</f>
        <v/>
      </c>
      <c r="J3212" s="24" t="str">
        <f ca="1">IF(OR(E3212="",E3212="!!!",F3212="NEW"),"",COUNTBLANK(OFFSET(A$1,,,SUMPRODUCT(MAX(ROW(E$2:E3212)*(E3212=E$2:E3212)))))-COUNTBLANK(OFFSET(A$1,,,SUMPRODUCT(MAX(ROW(E$1:E3211)*(E2=E$1:E3211))))))</f>
        <v/>
      </c>
      <c r="K3212" s="24" t="str">
        <f>IF(OR(E3212="",E3212="!!!",F3212="NEW"),"",INDEX(J$1:J3211,SUMPRODUCT(MAX(ROW(E$1:E3211)*(E3212=E$1:E3211)))))</f>
        <v/>
      </c>
      <c r="L3212" s="25"/>
    </row>
    <row r="3213" spans="1:12" x14ac:dyDescent="0.2">
      <c r="A3213" t="s">
        <v>929</v>
      </c>
      <c r="E3213" s="20" t="str">
        <f t="shared" si="340"/>
        <v/>
      </c>
      <c r="F3213" s="21" t="str">
        <f>IF(OR(E3213="",E3213="!!!"),"",IF(NOT(ISNA(VLOOKUP(E3213,E$1:E3212,1,FALSE()))),"OLD",IF(AND(E3213&lt;&gt;"",E3213&lt;&gt;"!!!"),"NEW","")))</f>
        <v/>
      </c>
      <c r="G3213" s="22" t="str">
        <f>IF(OR(E3213="",E3213="!!!"),"",IF(OR(J3213=0,AND(J3213=1,K3213=1),AND(J3213=1,I3213="SBJ"),AND(J3213=1,I3213=0)),"?IN_FOCUS",IF(J3213&lt;=2,"?ACTIVATED",IF(J3213&lt;&gt;"","?FAMILIAR",IF(F3213="NEW",IF(ISNA(VLOOKUP(E3213,#REF!,1,FALSE())),"?TYPE_IDENTIFIABLE","?REFERENTIAL"),"_")))))</f>
        <v/>
      </c>
      <c r="H3213" s="23" t="str">
        <f t="shared" ca="1" si="341"/>
        <v/>
      </c>
      <c r="I3213" s="24" t="str">
        <f>IF(OR(E3213="",E3213="!!!",F3213="NEW"),"",INDEX(B$2:B3212,-1+SUMPRODUCT(MAX(ROW(E$2:E3212)*(E3213=E$2:E3212)))))</f>
        <v/>
      </c>
      <c r="J3213" s="24" t="str">
        <f ca="1">IF(OR(E3213="",E3213="!!!",F3213="NEW"),"",COUNTBLANK(OFFSET(A$1,,,SUMPRODUCT(MAX(ROW(E$2:E3213)*(E3213=E$2:E3213)))))-COUNTBLANK(OFFSET(A$1,,,SUMPRODUCT(MAX(ROW(E$1:E3212)*(E2=E$1:E3212))))))</f>
        <v/>
      </c>
      <c r="K3213" s="24" t="str">
        <f>IF(OR(E3213="",E3213="!!!",F3213="NEW"),"",INDEX(J$1:J3212,SUMPRODUCT(MAX(ROW(E$1:E3212)*(E3213=E$1:E3212)))))</f>
        <v/>
      </c>
      <c r="L3213" s="25"/>
    </row>
    <row r="3214" spans="1:12" x14ac:dyDescent="0.2">
      <c r="A3214" t="s">
        <v>1703</v>
      </c>
      <c r="B3214" s="26" t="s">
        <v>813</v>
      </c>
      <c r="C3214" s="26" t="s">
        <v>814</v>
      </c>
      <c r="E3214" s="20" t="str">
        <f t="shared" si="340"/>
        <v/>
      </c>
      <c r="F3214" s="21" t="str">
        <f>IF(OR(E3214="",E3214="!!!"),"",IF(NOT(ISNA(VLOOKUP(E3214,E$1:E3213,1,FALSE()))),"OLD",IF(AND(E3214&lt;&gt;"",E3214&lt;&gt;"!!!"),"NEW","")))</f>
        <v/>
      </c>
      <c r="G3214" s="22" t="str">
        <f>IF(OR(E3214="",E3214="!!!"),"",IF(OR(J3214=0,AND(J3214=1,K3214=1),AND(J3214=1,I3214="SBJ"),AND(J3214=1,I3214=0)),"?IN_FOCUS",IF(J3214&lt;=2,"?ACTIVATED",IF(J3214&lt;&gt;"","?FAMILIAR",IF(F3214="NEW",IF(ISNA(VLOOKUP(E3214,#REF!,1,FALSE())),"?TYPE_IDENTIFIABLE","?REFERENTIAL"),"_")))))</f>
        <v/>
      </c>
      <c r="H3214" s="23" t="str">
        <f t="shared" ca="1" si="341"/>
        <v/>
      </c>
      <c r="I3214" s="24" t="str">
        <f>IF(OR(E3214="",E3214="!!!",F3214="NEW"),"",INDEX(B$2:B3213,-1+SUMPRODUCT(MAX(ROW(E$2:E3213)*(E3214=E$2:E3213)))))</f>
        <v/>
      </c>
      <c r="J3214" s="24" t="str">
        <f ca="1">IF(OR(E3214="",E3214="!!!",F3214="NEW"),"",COUNTBLANK(OFFSET(A$1,,,SUMPRODUCT(MAX(ROW(E$2:E3214)*(E3214=E$2:E3214)))))-COUNTBLANK(OFFSET(A$1,,,SUMPRODUCT(MAX(ROW(E$1:E3213)*(E2=E$1:E3213))))))</f>
        <v/>
      </c>
      <c r="K3214" s="24" t="str">
        <f>IF(OR(E3214="",E3214="!!!",F3214="NEW"),"",INDEX(J$1:J3213,SUMPRODUCT(MAX(ROW(E$1:E3213)*(E3214=E$1:E3213)))))</f>
        <v/>
      </c>
      <c r="L3214" s="25"/>
    </row>
    <row r="3215" spans="1:12" x14ac:dyDescent="0.2">
      <c r="A3215" t="s">
        <v>888</v>
      </c>
      <c r="E3215" s="20" t="str">
        <f t="shared" si="340"/>
        <v/>
      </c>
      <c r="F3215" s="21" t="str">
        <f>IF(OR(E3215="",E3215="!!!"),"",IF(NOT(ISNA(VLOOKUP(E3215,E$1:E3214,1,FALSE()))),"OLD",IF(AND(E3215&lt;&gt;"",E3215&lt;&gt;"!!!"),"NEW","")))</f>
        <v/>
      </c>
      <c r="G3215" s="22" t="str">
        <f>IF(OR(E3215="",E3215="!!!"),"",IF(OR(J3215=0,AND(J3215=1,K3215=1),AND(J3215=1,I3215="SBJ"),AND(J3215=1,I3215=0)),"?IN_FOCUS",IF(J3215&lt;=2,"?ACTIVATED",IF(J3215&lt;&gt;"","?FAMILIAR",IF(F3215="NEW",IF(ISNA(VLOOKUP(E3215,#REF!,1,FALSE())),"?TYPE_IDENTIFIABLE","?REFERENTIAL"),"_")))))</f>
        <v/>
      </c>
      <c r="H3215" s="23" t="str">
        <f t="shared" ca="1" si="341"/>
        <v/>
      </c>
      <c r="I3215" s="24" t="str">
        <f>IF(OR(E3215="",E3215="!!!",F3215="NEW"),"",INDEX(B$2:B3214,-1+SUMPRODUCT(MAX(ROW(E$2:E3214)*(E3215=E$2:E3214)))))</f>
        <v/>
      </c>
      <c r="J3215" s="24" t="str">
        <f ca="1">IF(OR(E3215="",E3215="!!!",F3215="NEW"),"",COUNTBLANK(OFFSET(A$1,,,SUMPRODUCT(MAX(ROW(E$2:E3215)*(E3215=E$2:E3215)))))-COUNTBLANK(OFFSET(A$1,,,SUMPRODUCT(MAX(ROW(E$1:E3214)*(E2=E$1:E3214))))))</f>
        <v/>
      </c>
      <c r="K3215" s="24" t="str">
        <f>IF(OR(E3215="",E3215="!!!",F3215="NEW"),"",INDEX(J$1:J3214,SUMPRODUCT(MAX(ROW(E$1:E3214)*(E3215=E$1:E3214)))))</f>
        <v/>
      </c>
      <c r="L3215" s="25"/>
    </row>
    <row r="3216" spans="1:12" x14ac:dyDescent="0.2">
      <c r="A3216" t="s">
        <v>1704</v>
      </c>
      <c r="B3216" s="26" t="s">
        <v>864</v>
      </c>
      <c r="C3216" s="26" t="s">
        <v>814</v>
      </c>
      <c r="E3216" s="20" t="str">
        <f t="shared" si="340"/>
        <v/>
      </c>
      <c r="F3216" s="21" t="str">
        <f>IF(OR(E3216="",E3216="!!!"),"",IF(NOT(ISNA(VLOOKUP(E3216,E$1:E3215,1,FALSE()))),"OLD",IF(AND(E3216&lt;&gt;"",E3216&lt;&gt;"!!!"),"NEW","")))</f>
        <v/>
      </c>
      <c r="G3216" s="22" t="str">
        <f>IF(OR(E3216="",E3216="!!!"),"",IF(OR(J3216=0,AND(J3216=1,K3216=1),AND(J3216=1,I3216="SBJ"),AND(J3216=1,I3216=0)),"?IN_FOCUS",IF(J3216&lt;=2,"?ACTIVATED",IF(J3216&lt;&gt;"","?FAMILIAR",IF(F3216="NEW",IF(ISNA(VLOOKUP(E3216,#REF!,1,FALSE())),"?TYPE_IDENTIFIABLE","?REFERENTIAL"),"_")))))</f>
        <v/>
      </c>
      <c r="H3216" s="23" t="str">
        <f t="shared" ca="1" si="341"/>
        <v/>
      </c>
      <c r="I3216" s="24" t="str">
        <f>IF(OR(E3216="",E3216="!!!",F3216="NEW"),"",INDEX(B$2:B3215,-1+SUMPRODUCT(MAX(ROW(E$2:E3215)*(E3216=E$2:E3215)))))</f>
        <v/>
      </c>
      <c r="J3216" s="24" t="str">
        <f ca="1">IF(OR(E3216="",E3216="!!!",F3216="NEW"),"",COUNTBLANK(OFFSET(A$1,,,SUMPRODUCT(MAX(ROW(E$2:E3216)*(E3216=E$2:E3216)))))-COUNTBLANK(OFFSET(A$1,,,SUMPRODUCT(MAX(ROW(E$1:E3215)*(E2=E$1:E3215))))))</f>
        <v/>
      </c>
      <c r="K3216" s="24" t="str">
        <f>IF(OR(E3216="",E3216="!!!",F3216="NEW"),"",INDEX(J$1:J3215,SUMPRODUCT(MAX(ROW(E$1:E3215)*(E3216=E$1:E3215)))))</f>
        <v/>
      </c>
      <c r="L3216" s="25"/>
    </row>
    <row r="3217" spans="1:12" x14ac:dyDescent="0.2">
      <c r="A3217" t="s">
        <v>802</v>
      </c>
      <c r="E3217" s="20" t="str">
        <f t="shared" si="340"/>
        <v/>
      </c>
      <c r="F3217" s="21" t="str">
        <f>IF(OR(E3217="",E3217="!!!"),"",IF(NOT(ISNA(VLOOKUP(E3217,E$1:E3216,1,FALSE()))),"OLD",IF(AND(E3217&lt;&gt;"",E3217&lt;&gt;"!!!"),"NEW","")))</f>
        <v/>
      </c>
      <c r="G3217" s="22" t="str">
        <f>IF(OR(E3217="",E3217="!!!"),"",IF(OR(J3217=0,AND(J3217=1,K3217=1),AND(J3217=1,I3217="SBJ"),AND(J3217=1,I3217=0)),"?IN_FOCUS",IF(J3217&lt;=2,"?ACTIVATED",IF(J3217&lt;&gt;"","?FAMILIAR",IF(F3217="NEW",IF(ISNA(VLOOKUP(E3217,#REF!,1,FALSE())),"?TYPE_IDENTIFIABLE","?REFERENTIAL"),"_")))))</f>
        <v/>
      </c>
      <c r="H3217" s="23" t="str">
        <f t="shared" ca="1" si="341"/>
        <v/>
      </c>
      <c r="I3217" s="24" t="str">
        <f>IF(OR(E3217="",E3217="!!!",F3217="NEW"),"",INDEX(B$2:B3216,-1+SUMPRODUCT(MAX(ROW(E$2:E3216)*(E3217=E$2:E3216)))))</f>
        <v/>
      </c>
      <c r="J3217" s="24" t="str">
        <f ca="1">IF(OR(E3217="",E3217="!!!",F3217="NEW"),"",COUNTBLANK(OFFSET(A$1,,,SUMPRODUCT(MAX(ROW(E$2:E3217)*(E3217=E$2:E3217)))))-COUNTBLANK(OFFSET(A$1,,,SUMPRODUCT(MAX(ROW(E$1:E3216)*(E2=E$1:E3216))))))</f>
        <v/>
      </c>
      <c r="K3217" s="24" t="str">
        <f>IF(OR(E3217="",E3217="!!!",F3217="NEW"),"",INDEX(J$1:J3216,SUMPRODUCT(MAX(ROW(E$1:E3216)*(E3217=E$1:E3216)))))</f>
        <v/>
      </c>
      <c r="L3217" s="25"/>
    </row>
    <row r="3218" spans="1:12" x14ac:dyDescent="0.2">
      <c r="A3218" t="s">
        <v>1188</v>
      </c>
      <c r="E3218" s="20" t="str">
        <f t="shared" si="340"/>
        <v/>
      </c>
      <c r="F3218" s="21" t="str">
        <f>IF(OR(E3218="",E3218="!!!"),"",IF(NOT(ISNA(VLOOKUP(E3218,E$1:E3217,1,FALSE()))),"OLD",IF(AND(E3218&lt;&gt;"",E3218&lt;&gt;"!!!"),"NEW","")))</f>
        <v/>
      </c>
      <c r="G3218" s="22" t="str">
        <f>IF(OR(E3218="",E3218="!!!"),"",IF(OR(J3218=0,AND(J3218=1,K3218=1),AND(J3218=1,I3218="SBJ"),AND(J3218=1,I3218=0)),"?IN_FOCUS",IF(J3218&lt;=2,"?ACTIVATED",IF(J3218&lt;&gt;"","?FAMILIAR",IF(F3218="NEW",IF(ISNA(VLOOKUP(E3218,#REF!,1,FALSE())),"?TYPE_IDENTIFIABLE","?REFERENTIAL"),"_")))))</f>
        <v/>
      </c>
      <c r="H3218" s="23" t="str">
        <f t="shared" ca="1" si="341"/>
        <v/>
      </c>
      <c r="I3218" s="24" t="str">
        <f>IF(OR(E3218="",E3218="!!!",F3218="NEW"),"",INDEX(B$2:B3217,-1+SUMPRODUCT(MAX(ROW(E$2:E3217)*(E3218=E$2:E3217)))))</f>
        <v/>
      </c>
      <c r="J3218" s="24" t="str">
        <f ca="1">IF(OR(E3218="",E3218="!!!",F3218="NEW"),"",COUNTBLANK(OFFSET(A$1,,,SUMPRODUCT(MAX(ROW(E$2:E3218)*(E3218=E$2:E3218)))))-COUNTBLANK(OFFSET(A$1,,,SUMPRODUCT(MAX(ROW(E$1:E3217)*(E2=E$1:E3217))))))</f>
        <v/>
      </c>
      <c r="K3218" s="24" t="str">
        <f>IF(OR(E3218="",E3218="!!!",F3218="NEW"),"",INDEX(J$1:J3217,SUMPRODUCT(MAX(ROW(E$1:E3217)*(E3218=E$1:E3217)))))</f>
        <v/>
      </c>
      <c r="L3218" s="25"/>
    </row>
    <row r="3219" spans="1:12" x14ac:dyDescent="0.2">
      <c r="A3219" t="s">
        <v>1222</v>
      </c>
      <c r="E3219" s="20" t="str">
        <f t="shared" si="340"/>
        <v/>
      </c>
      <c r="F3219" s="21" t="str">
        <f>IF(OR(E3219="",E3219="!!!"),"",IF(NOT(ISNA(VLOOKUP(E3219,E$1:E3218,1,FALSE()))),"OLD",IF(AND(E3219&lt;&gt;"",E3219&lt;&gt;"!!!"),"NEW","")))</f>
        <v/>
      </c>
      <c r="G3219" s="22" t="str">
        <f>IF(OR(E3219="",E3219="!!!"),"",IF(OR(J3219=0,AND(J3219=1,K3219=1),AND(J3219=1,I3219="SBJ"),AND(J3219=1,I3219=0)),"?IN_FOCUS",IF(J3219&lt;=2,"?ACTIVATED",IF(J3219&lt;&gt;"","?FAMILIAR",IF(F3219="NEW",IF(ISNA(VLOOKUP(E3219,#REF!,1,FALSE())),"?TYPE_IDENTIFIABLE","?REFERENTIAL"),"_")))))</f>
        <v/>
      </c>
      <c r="H3219" s="23" t="str">
        <f t="shared" ca="1" si="341"/>
        <v/>
      </c>
      <c r="I3219" s="24" t="str">
        <f>IF(OR(E3219="",E3219="!!!",F3219="NEW"),"",INDEX(B$2:B3218,-1+SUMPRODUCT(MAX(ROW(E$2:E3218)*(E3219=E$2:E3218)))))</f>
        <v/>
      </c>
      <c r="J3219" s="24" t="str">
        <f ca="1">IF(OR(E3219="",E3219="!!!",F3219="NEW"),"",COUNTBLANK(OFFSET(A$1,,,SUMPRODUCT(MAX(ROW(E$2:E3219)*(E3219=E$2:E3219)))))-COUNTBLANK(OFFSET(A$1,,,SUMPRODUCT(MAX(ROW(E$1:E3218)*(E2=E$1:E3218))))))</f>
        <v/>
      </c>
      <c r="K3219" s="24" t="str">
        <f>IF(OR(E3219="",E3219="!!!",F3219="NEW"),"",INDEX(J$1:J3218,SUMPRODUCT(MAX(ROW(E$1:E3218)*(E3219=E$1:E3218)))))</f>
        <v/>
      </c>
      <c r="L3219" s="25"/>
    </row>
    <row r="3220" spans="1:12" x14ac:dyDescent="0.2">
      <c r="A3220" t="s">
        <v>30</v>
      </c>
      <c r="B3220" s="26" t="s">
        <v>813</v>
      </c>
      <c r="C3220" s="26" t="s">
        <v>814</v>
      </c>
      <c r="E3220" s="20" t="str">
        <f t="shared" si="340"/>
        <v/>
      </c>
      <c r="F3220" s="21" t="str">
        <f>IF(OR(E3220="",E3220="!!!"),"",IF(NOT(ISNA(VLOOKUP(E3220,E$1:E3219,1,FALSE()))),"OLD",IF(AND(E3220&lt;&gt;"",E3220&lt;&gt;"!!!"),"NEW","")))</f>
        <v/>
      </c>
      <c r="G3220" s="22" t="str">
        <f>IF(OR(E3220="",E3220="!!!"),"",IF(OR(J3220=0,AND(J3220=1,K3220=1),AND(J3220=1,I3220="SBJ"),AND(J3220=1,I3220=0)),"?IN_FOCUS",IF(J3220&lt;=2,"?ACTIVATED",IF(J3220&lt;&gt;"","?FAMILIAR",IF(F3220="NEW",IF(ISNA(VLOOKUP(E3220,#REF!,1,FALSE())),"?TYPE_IDENTIFIABLE","?REFERENTIAL"),"_")))))</f>
        <v/>
      </c>
      <c r="H3220" s="23" t="str">
        <f t="shared" ca="1" si="341"/>
        <v/>
      </c>
      <c r="I3220" s="24" t="str">
        <f>IF(OR(E3220="",E3220="!!!",F3220="NEW"),"",INDEX(B$2:B3219,-1+SUMPRODUCT(MAX(ROW(E$2:E3219)*(E3220=E$2:E3219)))))</f>
        <v/>
      </c>
      <c r="J3220" s="24" t="str">
        <f ca="1">IF(OR(E3220="",E3220="!!!",F3220="NEW"),"",COUNTBLANK(OFFSET(A$1,,,SUMPRODUCT(MAX(ROW(E$2:E3220)*(E3220=E$2:E3220)))))-COUNTBLANK(OFFSET(A$1,,,SUMPRODUCT(MAX(ROW(E$1:E3219)*(E2=E$1:E3219))))))</f>
        <v/>
      </c>
      <c r="K3220" s="24" t="str">
        <f>IF(OR(E3220="",E3220="!!!",F3220="NEW"),"",INDEX(J$1:J3219,SUMPRODUCT(MAX(ROW(E$1:E3219)*(E3220=E$1:E3219)))))</f>
        <v/>
      </c>
      <c r="L3220" s="25"/>
    </row>
    <row r="3221" spans="1:12" x14ac:dyDescent="0.2">
      <c r="A3221" t="s">
        <v>815</v>
      </c>
      <c r="E3221" s="20" t="str">
        <f t="shared" si="340"/>
        <v/>
      </c>
      <c r="F3221" s="21" t="str">
        <f>IF(OR(E3221="",E3221="!!!"),"",IF(NOT(ISNA(VLOOKUP(E3221,E$1:E3220,1,FALSE()))),"OLD",IF(AND(E3221&lt;&gt;"",E3221&lt;&gt;"!!!"),"NEW","")))</f>
        <v/>
      </c>
      <c r="G3221" s="22" t="str">
        <f>IF(OR(E3221="",E3221="!!!"),"",IF(OR(J3221=0,AND(J3221=1,K3221=1),AND(J3221=1,I3221="SBJ"),AND(J3221=1,I3221=0)),"?IN_FOCUS",IF(J3221&lt;=2,"?ACTIVATED",IF(J3221&lt;&gt;"","?FAMILIAR",IF(F3221="NEW",IF(ISNA(VLOOKUP(E3221,#REF!,1,FALSE())),"?TYPE_IDENTIFIABLE","?REFERENTIAL"),"_")))))</f>
        <v/>
      </c>
      <c r="H3221" s="23" t="str">
        <f t="shared" ca="1" si="341"/>
        <v/>
      </c>
      <c r="I3221" s="24" t="str">
        <f>IF(OR(E3221="",E3221="!!!",F3221="NEW"),"",INDEX(B$2:B3220,-1+SUMPRODUCT(MAX(ROW(E$2:E3220)*(E3221=E$2:E3220)))))</f>
        <v/>
      </c>
      <c r="J3221" s="24" t="str">
        <f ca="1">IF(OR(E3221="",E3221="!!!",F3221="NEW"),"",COUNTBLANK(OFFSET(A$1,,,SUMPRODUCT(MAX(ROW(E$2:E3221)*(E3221=E$2:E3221)))))-COUNTBLANK(OFFSET(A$1,,,SUMPRODUCT(MAX(ROW(E$1:E3220)*(E2=E$1:E3220))))))</f>
        <v/>
      </c>
      <c r="K3221" s="24" t="str">
        <f>IF(OR(E3221="",E3221="!!!",F3221="NEW"),"",INDEX(J$1:J3220,SUMPRODUCT(MAX(ROW(E$1:E3220)*(E3221=E$1:E3220)))))</f>
        <v/>
      </c>
      <c r="L3221" s="25"/>
    </row>
    <row r="3222" spans="1:12" x14ac:dyDescent="0.2">
      <c r="A3222" t="s">
        <v>845</v>
      </c>
      <c r="E3222" s="20" t="str">
        <f t="shared" si="340"/>
        <v/>
      </c>
      <c r="F3222" s="21" t="str">
        <f>IF(OR(E3222="",E3222="!!!"),"",IF(NOT(ISNA(VLOOKUP(E3222,E$1:E3221,1,FALSE()))),"OLD",IF(AND(E3222&lt;&gt;"",E3222&lt;&gt;"!!!"),"NEW","")))</f>
        <v/>
      </c>
      <c r="G3222" s="22" t="str">
        <f>IF(OR(E3222="",E3222="!!!"),"",IF(OR(J3222=0,AND(J3222=1,K3222=1),AND(J3222=1,I3222="SBJ"),AND(J3222=1,I3222=0)),"?IN_FOCUS",IF(J3222&lt;=2,"?ACTIVATED",IF(J3222&lt;&gt;"","?FAMILIAR",IF(F3222="NEW",IF(ISNA(VLOOKUP(E3222,#REF!,1,FALSE())),"?TYPE_IDENTIFIABLE","?REFERENTIAL"),"_")))))</f>
        <v/>
      </c>
      <c r="H3222" s="23" t="str">
        <f t="shared" ca="1" si="341"/>
        <v/>
      </c>
      <c r="I3222" s="24" t="str">
        <f>IF(OR(E3222="",E3222="!!!",F3222="NEW"),"",INDEX(B$2:B3221,-1+SUMPRODUCT(MAX(ROW(E$2:E3221)*(E3222=E$2:E3221)))))</f>
        <v/>
      </c>
      <c r="J3222" s="24" t="str">
        <f ca="1">IF(OR(E3222="",E3222="!!!",F3222="NEW"),"",COUNTBLANK(OFFSET(A$1,,,SUMPRODUCT(MAX(ROW(E$2:E3222)*(E3222=E$2:E3222)))))-COUNTBLANK(OFFSET(A$1,,,SUMPRODUCT(MAX(ROW(E$1:E3221)*(E2=E$1:E3221))))))</f>
        <v/>
      </c>
      <c r="K3222" s="24" t="str">
        <f>IF(OR(E3222="",E3222="!!!",F3222="NEW"),"",INDEX(J$1:J3221,SUMPRODUCT(MAX(ROW(E$1:E3221)*(E3222=E$1:E3221)))))</f>
        <v/>
      </c>
      <c r="L3222" s="25"/>
    </row>
    <row r="3223" spans="1:12" x14ac:dyDescent="0.2">
      <c r="A3223" t="s">
        <v>1022</v>
      </c>
      <c r="B3223" s="26" t="s">
        <v>864</v>
      </c>
      <c r="C3223" s="26" t="s">
        <v>847</v>
      </c>
      <c r="D3223" s="26" t="s">
        <v>806</v>
      </c>
      <c r="E3223" s="20" t="s">
        <v>1022</v>
      </c>
      <c r="F3223" s="21" t="str">
        <f>IF(OR(E3223="",E3223="!!!"),"",IF(NOT(ISNA(VLOOKUP(E3223,E$1:E3222,1,FALSE()))),"OLD",IF(AND(E3223&lt;&gt;"",E3223&lt;&gt;"!!!"),"NEW","")))</f>
        <v>OLD</v>
      </c>
      <c r="G3223" s="22" t="s">
        <v>1825</v>
      </c>
      <c r="H3223" s="23" t="str">
        <f t="shared" ca="1" si="341"/>
        <v/>
      </c>
      <c r="I3223" s="24" t="str">
        <f>IF(OR(E3223="",E3223="!!!",F3223="NEW"),"",INDEX(B$2:B3222,-1+SUMPRODUCT(MAX(ROW(E$2:E3222)*(E3223=E$2:E3222)))))</f>
        <v>OBJ</v>
      </c>
      <c r="J3223" s="24">
        <f ca="1">IF(OR(E3223="",E3223="!!!",F3223="NEW"),"",COUNTBLANK(OFFSET(A$1,,,SUMPRODUCT(MAX(ROW(E$2:E3223)*(E3223=E$2:E3223)))))-COUNTBLANK(OFFSET(A$1,,,SUMPRODUCT(MAX(ROW(E$1:E3222)*(E2=E$1:E3222))))))</f>
        <v>0</v>
      </c>
      <c r="K3223" s="24" t="str">
        <f ca="1">IF(OR(E3223="",E3223="!!!",F3223="NEW"),"",INDEX(J$1:J3222,SUMPRODUCT(MAX(ROW(E$1:E3222)*(E3223=E$1:E3222)))))</f>
        <v/>
      </c>
      <c r="L3223" s="25"/>
    </row>
    <row r="3224" spans="1:12" x14ac:dyDescent="0.2">
      <c r="A3224" t="s">
        <v>821</v>
      </c>
      <c r="E3224" s="20" t="str">
        <f t="shared" si="340"/>
        <v/>
      </c>
      <c r="F3224" s="21" t="str">
        <f>IF(OR(E3224="",E3224="!!!"),"",IF(NOT(ISNA(VLOOKUP(E3224,E$1:E3223,1,FALSE()))),"OLD",IF(AND(E3224&lt;&gt;"",E3224&lt;&gt;"!!!"),"NEW","")))</f>
        <v/>
      </c>
      <c r="G3224" s="22" t="str">
        <f>IF(OR(E3224="",E3224="!!!"),"",IF(OR(J3224=0,AND(J3224=1,K3224=1),AND(J3224=1,I3224="SBJ"),AND(J3224=1,I3224=0)),"?IN_FOCUS",IF(J3224&lt;=2,"?ACTIVATED",IF(J3224&lt;&gt;"","?FAMILIAR",IF(F3224="NEW",IF(ISNA(VLOOKUP(E3224,#REF!,1,FALSE())),"?TYPE_IDENTIFIABLE","?REFERENTIAL"),"_")))))</f>
        <v/>
      </c>
      <c r="H3224" s="23" t="str">
        <f t="shared" ca="1" si="341"/>
        <v/>
      </c>
      <c r="I3224" s="24" t="str">
        <f>IF(OR(E3224="",E3224="!!!",F3224="NEW"),"",INDEX(B$2:B3223,-1+SUMPRODUCT(MAX(ROW(E$2:E3223)*(E3224=E$2:E3223)))))</f>
        <v/>
      </c>
      <c r="J3224" s="24" t="str">
        <f ca="1">IF(OR(E3224="",E3224="!!!",F3224="NEW"),"",COUNTBLANK(OFFSET(A$1,,,SUMPRODUCT(MAX(ROW(E$2:E3224)*(E3224=E$2:E3224)))))-COUNTBLANK(OFFSET(A$1,,,SUMPRODUCT(MAX(ROW(E$1:E3223)*(E2=E$1:E3223))))))</f>
        <v/>
      </c>
      <c r="K3224" s="24" t="str">
        <f>IF(OR(E3224="",E3224="!!!",F3224="NEW"),"",INDEX(J$1:J3223,SUMPRODUCT(MAX(ROW(E$1:E3223)*(E3224=E$1:E3223)))))</f>
        <v/>
      </c>
      <c r="L3224" s="25"/>
    </row>
    <row r="3226" spans="1:12" x14ac:dyDescent="0.2">
      <c r="A3226" t="s">
        <v>1705</v>
      </c>
    </row>
    <row r="3227" spans="1:12" x14ac:dyDescent="0.2">
      <c r="A3227" t="s">
        <v>1706</v>
      </c>
      <c r="E3227" s="20" t="str">
        <f t="shared" ref="E3227:E3232" si="342">IF(D3227="?OLD","!!!","")</f>
        <v/>
      </c>
      <c r="F3227" s="21" t="str">
        <f>IF(OR(E3227="",E3227="!!!"),"",IF(NOT(ISNA(VLOOKUP(E3227,E$1:E3226,1,FALSE()))),"OLD",IF(AND(E3227&lt;&gt;"",E3227&lt;&gt;"!!!"),"NEW","")))</f>
        <v/>
      </c>
      <c r="G3227" s="22" t="str">
        <f>IF(OR(E3227="",E3227="!!!"),"",IF(OR(J3227=0,AND(J3227=1,K3227=1),AND(J3227=1,I3227="SBJ"),AND(J3227=1,I3227=0)),"?IN_FOCUS",IF(J3227&lt;=2,"?ACTIVATED",IF(J3227&lt;&gt;"","?FAMILIAR",IF(F3227="NEW",IF(ISNA(VLOOKUP(E3227,#REF!,1,FALSE())),"?TYPE_IDENTIFIABLE","?REFERENTIAL"),"_")))))</f>
        <v/>
      </c>
      <c r="H3227" s="23" t="str">
        <f t="shared" ref="H3227:H3232" ca="1" si="343">IF(J3227&lt;&gt;1,"",IF(I3227="SBJ","CB","?"))</f>
        <v/>
      </c>
      <c r="I3227" s="24" t="str">
        <f>IF(OR(E3227="",E3227="!!!",F3227="NEW"),"",INDEX(B$2:B3226,-1+SUMPRODUCT(MAX(ROW(E$2:E3226)*(E3227=E$2:E3226)))))</f>
        <v/>
      </c>
      <c r="J3227" s="24" t="str">
        <f ca="1">IF(OR(E3227="",E3227="!!!",F3227="NEW"),"",COUNTBLANK(OFFSET(A$1,,,SUMPRODUCT(MAX(ROW(E$2:E3227)*(E3227=E$2:E3227)))))-COUNTBLANK(OFFSET(A$1,,,SUMPRODUCT(MAX(ROW(E$1:E3226)*(E2=E$1:E3226))))))</f>
        <v/>
      </c>
      <c r="K3227" s="24" t="str">
        <f>IF(OR(E3227="",E3227="!!!",F3227="NEW"),"",INDEX(J$1:J3226,SUMPRODUCT(MAX(ROW(E$1:E3226)*(E3227=E$1:E3226)))))</f>
        <v/>
      </c>
      <c r="L3227" s="25"/>
    </row>
    <row r="3228" spans="1:12" x14ac:dyDescent="0.2">
      <c r="A3228" t="s">
        <v>859</v>
      </c>
      <c r="E3228" s="20" t="str">
        <f t="shared" si="342"/>
        <v/>
      </c>
      <c r="F3228" s="21" t="str">
        <f>IF(OR(E3228="",E3228="!!!"),"",IF(NOT(ISNA(VLOOKUP(E3228,E$1:E3227,1,FALSE()))),"OLD",IF(AND(E3228&lt;&gt;"",E3228&lt;&gt;"!!!"),"NEW","")))</f>
        <v/>
      </c>
      <c r="G3228" s="22" t="str">
        <f>IF(OR(E3228="",E3228="!!!"),"",IF(OR(J3228=0,AND(J3228=1,K3228=1),AND(J3228=1,I3228="SBJ"),AND(J3228=1,I3228=0)),"?IN_FOCUS",IF(J3228&lt;=2,"?ACTIVATED",IF(J3228&lt;&gt;"","?FAMILIAR",IF(F3228="NEW",IF(ISNA(VLOOKUP(E3228,#REF!,1,FALSE())),"?TYPE_IDENTIFIABLE","?REFERENTIAL"),"_")))))</f>
        <v/>
      </c>
      <c r="H3228" s="23" t="str">
        <f t="shared" ca="1" si="343"/>
        <v/>
      </c>
      <c r="I3228" s="24" t="str">
        <f>IF(OR(E3228="",E3228="!!!",F3228="NEW"),"",INDEX(B$2:B3227,-1+SUMPRODUCT(MAX(ROW(E$2:E3227)*(E3228=E$2:E3227)))))</f>
        <v/>
      </c>
      <c r="J3228" s="24" t="str">
        <f ca="1">IF(OR(E3228="",E3228="!!!",F3228="NEW"),"",COUNTBLANK(OFFSET(A$1,,,SUMPRODUCT(MAX(ROW(E$2:E3228)*(E3228=E$2:E3228)))))-COUNTBLANK(OFFSET(A$1,,,SUMPRODUCT(MAX(ROW(E$1:E3227)*(E2=E$1:E3227))))))</f>
        <v/>
      </c>
      <c r="K3228" s="24" t="str">
        <f>IF(OR(E3228="",E3228="!!!",F3228="NEW"),"",INDEX(J$1:J3227,SUMPRODUCT(MAX(ROW(E$1:E3227)*(E3228=E$1:E3227)))))</f>
        <v/>
      </c>
      <c r="L3228" s="25"/>
    </row>
    <row r="3229" spans="1:12" x14ac:dyDescent="0.2">
      <c r="A3229" t="s">
        <v>152</v>
      </c>
      <c r="E3229" s="20" t="str">
        <f t="shared" si="342"/>
        <v/>
      </c>
      <c r="F3229" s="21" t="str">
        <f>IF(OR(E3229="",E3229="!!!"),"",IF(NOT(ISNA(VLOOKUP(E3229,E$1:E3228,1,FALSE()))),"OLD",IF(AND(E3229&lt;&gt;"",E3229&lt;&gt;"!!!"),"NEW","")))</f>
        <v/>
      </c>
      <c r="G3229" s="22" t="str">
        <f>IF(OR(E3229="",E3229="!!!"),"",IF(OR(J3229=0,AND(J3229=1,K3229=1),AND(J3229=1,I3229="SBJ"),AND(J3229=1,I3229=0)),"?IN_FOCUS",IF(J3229&lt;=2,"?ACTIVATED",IF(J3229&lt;&gt;"","?FAMILIAR",IF(F3229="NEW",IF(ISNA(VLOOKUP(E3229,#REF!,1,FALSE())),"?TYPE_IDENTIFIABLE","?REFERENTIAL"),"_")))))</f>
        <v/>
      </c>
      <c r="H3229" s="23" t="str">
        <f t="shared" ca="1" si="343"/>
        <v/>
      </c>
      <c r="I3229" s="24" t="str">
        <f>IF(OR(E3229="",E3229="!!!",F3229="NEW"),"",INDEX(B$2:B3228,-1+SUMPRODUCT(MAX(ROW(E$2:E3228)*(E3229=E$2:E3228)))))</f>
        <v/>
      </c>
      <c r="J3229" s="24" t="str">
        <f ca="1">IF(OR(E3229="",E3229="!!!",F3229="NEW"),"",COUNTBLANK(OFFSET(A$1,,,SUMPRODUCT(MAX(ROW(E$2:E3229)*(E3229=E$2:E3229)))))-COUNTBLANK(OFFSET(A$1,,,SUMPRODUCT(MAX(ROW(E$1:E3228)*(E2=E$1:E3228))))))</f>
        <v/>
      </c>
      <c r="K3229" s="24" t="str">
        <f>IF(OR(E3229="",E3229="!!!",F3229="NEW"),"",INDEX(J$1:J3228,SUMPRODUCT(MAX(ROW(E$1:E3228)*(E3229=E$1:E3228)))))</f>
        <v/>
      </c>
      <c r="L3229" s="25"/>
    </row>
    <row r="3230" spans="1:12" x14ac:dyDescent="0.2">
      <c r="A3230" t="s">
        <v>845</v>
      </c>
      <c r="E3230" s="20" t="str">
        <f t="shared" si="342"/>
        <v/>
      </c>
      <c r="F3230" s="21" t="str">
        <f>IF(OR(E3230="",E3230="!!!"),"",IF(NOT(ISNA(VLOOKUP(E3230,E$1:E3229,1,FALSE()))),"OLD",IF(AND(E3230&lt;&gt;"",E3230&lt;&gt;"!!!"),"NEW","")))</f>
        <v/>
      </c>
      <c r="G3230" s="22" t="str">
        <f>IF(OR(E3230="",E3230="!!!"),"",IF(OR(J3230=0,AND(J3230=1,K3230=1),AND(J3230=1,I3230="SBJ"),AND(J3230=1,I3230=0)),"?IN_FOCUS",IF(J3230&lt;=2,"?ACTIVATED",IF(J3230&lt;&gt;"","?FAMILIAR",IF(F3230="NEW",IF(ISNA(VLOOKUP(E3230,#REF!,1,FALSE())),"?TYPE_IDENTIFIABLE","?REFERENTIAL"),"_")))))</f>
        <v/>
      </c>
      <c r="H3230" s="23" t="str">
        <f t="shared" ca="1" si="343"/>
        <v/>
      </c>
      <c r="I3230" s="24" t="str">
        <f>IF(OR(E3230="",E3230="!!!",F3230="NEW"),"",INDEX(B$2:B3229,-1+SUMPRODUCT(MAX(ROW(E$2:E3229)*(E3230=E$2:E3229)))))</f>
        <v/>
      </c>
      <c r="J3230" s="24" t="str">
        <f ca="1">IF(OR(E3230="",E3230="!!!",F3230="NEW"),"",COUNTBLANK(OFFSET(A$1,,,SUMPRODUCT(MAX(ROW(E$2:E3230)*(E3230=E$2:E3230)))))-COUNTBLANK(OFFSET(A$1,,,SUMPRODUCT(MAX(ROW(E$1:E3229)*(E2=E$1:E3229))))))</f>
        <v/>
      </c>
      <c r="K3230" s="24" t="str">
        <f>IF(OR(E3230="",E3230="!!!",F3230="NEW"),"",INDEX(J$1:J3229,SUMPRODUCT(MAX(ROW(E$1:E3229)*(E3230=E$1:E3229)))))</f>
        <v/>
      </c>
      <c r="L3230" s="25"/>
    </row>
    <row r="3231" spans="1:12" x14ac:dyDescent="0.2">
      <c r="A3231" t="s">
        <v>1038</v>
      </c>
      <c r="B3231" s="26" t="s">
        <v>938</v>
      </c>
      <c r="C3231" s="26" t="s">
        <v>847</v>
      </c>
      <c r="D3231" s="26" t="s">
        <v>806</v>
      </c>
      <c r="E3231" s="20" t="s">
        <v>1038</v>
      </c>
      <c r="F3231" s="21" t="str">
        <f>IF(OR(E3231="",E3231="!!!"),"",IF(NOT(ISNA(VLOOKUP(E3231,E$1:E3230,1,FALSE()))),"OLD",IF(AND(E3231&lt;&gt;"",E3231&lt;&gt;"!!!"),"NEW","")))</f>
        <v>OLD</v>
      </c>
      <c r="G3231" s="22" t="s">
        <v>1822</v>
      </c>
      <c r="H3231" s="23" t="str">
        <f t="shared" ca="1" si="343"/>
        <v/>
      </c>
      <c r="I3231" s="24" t="str">
        <f>IF(OR(E3231="",E3231="!!!",F3231="NEW"),"",INDEX(B$2:B3230,-1+SUMPRODUCT(MAX(ROW(E$2:E3230)*(E3231=E$2:E3230)))))</f>
        <v>other_3</v>
      </c>
      <c r="J3231" s="24">
        <f ca="1">IF(OR(E3231="",E3231="!!!",F3231="NEW"),"",COUNTBLANK(OFFSET(A$1,,,SUMPRODUCT(MAX(ROW(E$2:E3231)*(E3231=E$2:E3231)))))-COUNTBLANK(OFFSET(A$1,,,SUMPRODUCT(MAX(ROW(E$1:E3230)*(E2=E$1:E3230))))))</f>
        <v>0</v>
      </c>
      <c r="K3231" s="24">
        <f ca="1">IF(OR(E3231="",E3231="!!!",F3231="NEW"),"",INDEX(J$1:J3230,SUMPRODUCT(MAX(ROW(E$1:E3230)*(E3231=E$1:E3230)))))</f>
        <v>0</v>
      </c>
      <c r="L3231" s="25"/>
    </row>
    <row r="3232" spans="1:12" x14ac:dyDescent="0.2">
      <c r="A3232" t="s">
        <v>922</v>
      </c>
      <c r="E3232" s="20" t="str">
        <f t="shared" si="342"/>
        <v/>
      </c>
      <c r="F3232" s="21" t="str">
        <f>IF(OR(E3232="",E3232="!!!"),"",IF(NOT(ISNA(VLOOKUP(E3232,E$1:E3231,1,FALSE()))),"OLD",IF(AND(E3232&lt;&gt;"",E3232&lt;&gt;"!!!"),"NEW","")))</f>
        <v/>
      </c>
      <c r="G3232" s="22" t="str">
        <f>IF(OR(E3232="",E3232="!!!"),"",IF(OR(J3232=0,AND(J3232=1,K3232=1),AND(J3232=1,I3232="SBJ"),AND(J3232=1,I3232=0)),"?IN_FOCUS",IF(J3232&lt;=2,"?ACTIVATED",IF(J3232&lt;&gt;"","?FAMILIAR",IF(F3232="NEW",IF(ISNA(VLOOKUP(E3232,#REF!,1,FALSE())),"?TYPE_IDENTIFIABLE","?REFERENTIAL"),"_")))))</f>
        <v/>
      </c>
      <c r="H3232" s="23" t="str">
        <f t="shared" ca="1" si="343"/>
        <v/>
      </c>
      <c r="I3232" s="24" t="str">
        <f>IF(OR(E3232="",E3232="!!!",F3232="NEW"),"",INDEX(B$2:B3231,-1+SUMPRODUCT(MAX(ROW(E$2:E3231)*(E3232=E$2:E3231)))))</f>
        <v/>
      </c>
      <c r="J3232" s="24" t="str">
        <f ca="1">IF(OR(E3232="",E3232="!!!",F3232="NEW"),"",COUNTBLANK(OFFSET(A$1,,,SUMPRODUCT(MAX(ROW(E$2:E3232)*(E3232=E$2:E3232)))))-COUNTBLANK(OFFSET(A$1,,,SUMPRODUCT(MAX(ROW(E$1:E3231)*(E2=E$1:E3231))))))</f>
        <v/>
      </c>
      <c r="K3232" s="24" t="str">
        <f>IF(OR(E3232="",E3232="!!!",F3232="NEW"),"",INDEX(J$1:J3231,SUMPRODUCT(MAX(ROW(E$1:E3231)*(E3232=E$1:E3231)))))</f>
        <v/>
      </c>
      <c r="L3232" s="25"/>
    </row>
    <row r="3234" spans="1:12" x14ac:dyDescent="0.2">
      <c r="A3234" t="s">
        <v>1707</v>
      </c>
    </row>
    <row r="3235" spans="1:12" x14ac:dyDescent="0.2">
      <c r="A3235" t="s">
        <v>1012</v>
      </c>
      <c r="E3235" s="20" t="str">
        <f t="shared" ref="E3235:E3240" si="344">IF(D3235="?OLD","!!!","")</f>
        <v/>
      </c>
      <c r="F3235" s="21" t="str">
        <f>IF(OR(E3235="",E3235="!!!"),"",IF(NOT(ISNA(VLOOKUP(E3235,E$1:E3234,1,FALSE()))),"OLD",IF(AND(E3235&lt;&gt;"",E3235&lt;&gt;"!!!"),"NEW","")))</f>
        <v/>
      </c>
      <c r="G3235" s="22" t="str">
        <f>IF(OR(E3235="",E3235="!!!"),"",IF(OR(J3235=0,AND(J3235=1,K3235=1),AND(J3235=1,I3235="SBJ"),AND(J3235=1,I3235=0)),"?IN_FOCUS",IF(J3235&lt;=2,"?ACTIVATED",IF(J3235&lt;&gt;"","?FAMILIAR",IF(F3235="NEW",IF(ISNA(VLOOKUP(E3235,#REF!,1,FALSE())),"?TYPE_IDENTIFIABLE","?REFERENTIAL"),"_")))))</f>
        <v/>
      </c>
      <c r="H3235" s="23" t="str">
        <f t="shared" ref="H3235:H3240" ca="1" si="345">IF(J3235&lt;&gt;1,"",IF(I3235="SBJ","CB","?"))</f>
        <v/>
      </c>
      <c r="I3235" s="24" t="str">
        <f>IF(OR(E3235="",E3235="!!!",F3235="NEW"),"",INDEX(B$2:B3234,-1+SUMPRODUCT(MAX(ROW(E$2:E3234)*(E3235=E$2:E3234)))))</f>
        <v/>
      </c>
      <c r="J3235" s="24" t="str">
        <f ca="1">IF(OR(E3235="",E3235="!!!",F3235="NEW"),"",COUNTBLANK(OFFSET(A$1,,,SUMPRODUCT(MAX(ROW(E$2:E3235)*(E3235=E$2:E3235)))))-COUNTBLANK(OFFSET(A$1,,,SUMPRODUCT(MAX(ROW(E$1:E3234)*(E2=E$1:E3234))))))</f>
        <v/>
      </c>
      <c r="K3235" s="24" t="str">
        <f>IF(OR(E3235="",E3235="!!!",F3235="NEW"),"",INDEX(J$1:J3234,SUMPRODUCT(MAX(ROW(E$1:E3234)*(E3235=E$1:E3234)))))</f>
        <v/>
      </c>
      <c r="L3235" s="25"/>
    </row>
    <row r="3236" spans="1:12" x14ac:dyDescent="0.2">
      <c r="A3236" t="s">
        <v>898</v>
      </c>
      <c r="B3236" s="26" t="s">
        <v>810</v>
      </c>
      <c r="C3236" s="26" t="s">
        <v>805</v>
      </c>
      <c r="D3236" s="26" t="s">
        <v>806</v>
      </c>
      <c r="E3236" s="20"/>
      <c r="F3236" s="21" t="s">
        <v>1781</v>
      </c>
      <c r="G3236" s="22" t="str">
        <f>IF(OR(E3236="",E3236="!!!"),"",IF(OR(J3236=0,AND(J3236=1,K3236=1),AND(J3236=1,I3236="SBJ"),AND(J3236=1,I3236=0)),"?IN_FOCUS",IF(J3236&lt;=2,"?ACTIVATED",IF(J3236&lt;&gt;"","?FAMILIAR",IF(F3236="NEW",IF(ISNA(VLOOKUP(E3236,#REF!,1,FALSE())),"?TYPE_IDENTIFIABLE","?REFERENTIAL"),"_")))))</f>
        <v/>
      </c>
      <c r="H3236" s="23" t="str">
        <f t="shared" ca="1" si="345"/>
        <v/>
      </c>
      <c r="I3236" s="24" t="str">
        <f>IF(OR(E3236="",E3236="!!!",F3236="NEW"),"",INDEX(B$2:B3235,-1+SUMPRODUCT(MAX(ROW(E$2:E3235)*(E3236=E$2:E3235)))))</f>
        <v/>
      </c>
      <c r="J3236" s="24" t="str">
        <f ca="1">IF(OR(E3236="",E3236="!!!",F3236="NEW"),"",COUNTBLANK(OFFSET(A$1,,,SUMPRODUCT(MAX(ROW(E$2:E3236)*(E3236=E$2:E3236)))))-COUNTBLANK(OFFSET(A$1,,,SUMPRODUCT(MAX(ROW(E$1:E3235)*(E2=E$1:E3235))))))</f>
        <v/>
      </c>
      <c r="K3236" s="24" t="str">
        <f>IF(OR(E3236="",E3236="!!!",F3236="NEW"),"",INDEX(J$1:J3235,SUMPRODUCT(MAX(ROW(E$1:E3235)*(E3236=E$1:E3235)))))</f>
        <v/>
      </c>
      <c r="L3236" s="25"/>
    </row>
    <row r="3237" spans="1:12" x14ac:dyDescent="0.2">
      <c r="A3237" t="s">
        <v>1708</v>
      </c>
      <c r="E3237" s="20" t="str">
        <f t="shared" si="344"/>
        <v/>
      </c>
      <c r="F3237" s="21" t="str">
        <f>IF(OR(E3237="",E3237="!!!"),"",IF(NOT(ISNA(VLOOKUP(E3237,E$1:E3236,1,FALSE()))),"OLD",IF(AND(E3237&lt;&gt;"",E3237&lt;&gt;"!!!"),"NEW","")))</f>
        <v/>
      </c>
      <c r="G3237" s="22" t="str">
        <f>IF(OR(E3237="",E3237="!!!"),"",IF(OR(J3237=0,AND(J3237=1,K3237=1),AND(J3237=1,I3237="SBJ"),AND(J3237=1,I3237=0)),"?IN_FOCUS",IF(J3237&lt;=2,"?ACTIVATED",IF(J3237&lt;&gt;"","?FAMILIAR",IF(F3237="NEW",IF(ISNA(VLOOKUP(E3237,#REF!,1,FALSE())),"?TYPE_IDENTIFIABLE","?REFERENTIAL"),"_")))))</f>
        <v/>
      </c>
      <c r="H3237" s="23" t="str">
        <f t="shared" ca="1" si="345"/>
        <v/>
      </c>
      <c r="I3237" s="24" t="str">
        <f>IF(OR(E3237="",E3237="!!!",F3237="NEW"),"",INDEX(B$2:B3236,-1+SUMPRODUCT(MAX(ROW(E$2:E3236)*(E3237=E$2:E3236)))))</f>
        <v/>
      </c>
      <c r="J3237" s="24" t="str">
        <f ca="1">IF(OR(E3237="",E3237="!!!",F3237="NEW"),"",COUNTBLANK(OFFSET(A$1,,,SUMPRODUCT(MAX(ROW(E$2:E3237)*(E3237=E$2:E3237)))))-COUNTBLANK(OFFSET(A$1,,,SUMPRODUCT(MAX(ROW(E$1:E3236)*(E2=E$1:E3236))))))</f>
        <v/>
      </c>
      <c r="K3237" s="24" t="str">
        <f>IF(OR(E3237="",E3237="!!!",F3237="NEW"),"",INDEX(J$1:J3236,SUMPRODUCT(MAX(ROW(E$1:E3236)*(E3237=E$1:E3236)))))</f>
        <v/>
      </c>
      <c r="L3237" s="25"/>
    </row>
    <row r="3238" spans="1:12" x14ac:dyDescent="0.2">
      <c r="A3238" t="s">
        <v>1222</v>
      </c>
      <c r="E3238" s="20" t="str">
        <f t="shared" si="344"/>
        <v/>
      </c>
      <c r="F3238" s="21" t="str">
        <f>IF(OR(E3238="",E3238="!!!"),"",IF(NOT(ISNA(VLOOKUP(E3238,E$1:E3237,1,FALSE()))),"OLD",IF(AND(E3238&lt;&gt;"",E3238&lt;&gt;"!!!"),"NEW","")))</f>
        <v/>
      </c>
      <c r="G3238" s="22" t="str">
        <f>IF(OR(E3238="",E3238="!!!"),"",IF(OR(J3238=0,AND(J3238=1,K3238=1),AND(J3238=1,I3238="SBJ"),AND(J3238=1,I3238=0)),"?IN_FOCUS",IF(J3238&lt;=2,"?ACTIVATED",IF(J3238&lt;&gt;"","?FAMILIAR",IF(F3238="NEW",IF(ISNA(VLOOKUP(E3238,#REF!,1,FALSE())),"?TYPE_IDENTIFIABLE","?REFERENTIAL"),"_")))))</f>
        <v/>
      </c>
      <c r="H3238" s="23" t="str">
        <f t="shared" ca="1" si="345"/>
        <v/>
      </c>
      <c r="I3238" s="24" t="str">
        <f>IF(OR(E3238="",E3238="!!!",F3238="NEW"),"",INDEX(B$2:B3237,-1+SUMPRODUCT(MAX(ROW(E$2:E3237)*(E3238=E$2:E3237)))))</f>
        <v/>
      </c>
      <c r="J3238" s="24" t="str">
        <f ca="1">IF(OR(E3238="",E3238="!!!",F3238="NEW"),"",COUNTBLANK(OFFSET(A$1,,,SUMPRODUCT(MAX(ROW(E$2:E3238)*(E3238=E$2:E3238)))))-COUNTBLANK(OFFSET(A$1,,,SUMPRODUCT(MAX(ROW(E$1:E3237)*(E2=E$1:E3237))))))</f>
        <v/>
      </c>
      <c r="K3238" s="24" t="str">
        <f>IF(OR(E3238="",E3238="!!!",F3238="NEW"),"",INDEX(J$1:J3237,SUMPRODUCT(MAX(ROW(E$1:E3237)*(E3238=E$1:E3237)))))</f>
        <v/>
      </c>
      <c r="L3238" s="25"/>
    </row>
    <row r="3239" spans="1:12" x14ac:dyDescent="0.2">
      <c r="A3239" t="s">
        <v>1709</v>
      </c>
      <c r="E3239" s="20" t="str">
        <f t="shared" si="344"/>
        <v/>
      </c>
      <c r="F3239" s="21" t="str">
        <f>IF(OR(E3239="",E3239="!!!"),"",IF(NOT(ISNA(VLOOKUP(E3239,E$1:E3238,1,FALSE()))),"OLD",IF(AND(E3239&lt;&gt;"",E3239&lt;&gt;"!!!"),"NEW","")))</f>
        <v/>
      </c>
      <c r="G3239" s="22" t="str">
        <f>IF(OR(E3239="",E3239="!!!"),"",IF(OR(J3239=0,AND(J3239=1,K3239=1),AND(J3239=1,I3239="SBJ"),AND(J3239=1,I3239=0)),"?IN_FOCUS",IF(J3239&lt;=2,"?ACTIVATED",IF(J3239&lt;&gt;"","?FAMILIAR",IF(F3239="NEW",IF(ISNA(VLOOKUP(E3239,#REF!,1,FALSE())),"?TYPE_IDENTIFIABLE","?REFERENTIAL"),"_")))))</f>
        <v/>
      </c>
      <c r="H3239" s="23" t="str">
        <f t="shared" ca="1" si="345"/>
        <v/>
      </c>
      <c r="I3239" s="24" t="str">
        <f>IF(OR(E3239="",E3239="!!!",F3239="NEW"),"",INDEX(B$2:B3238,-1+SUMPRODUCT(MAX(ROW(E$2:E3238)*(E3239=E$2:E3238)))))</f>
        <v/>
      </c>
      <c r="J3239" s="24" t="str">
        <f ca="1">IF(OR(E3239="",E3239="!!!",F3239="NEW"),"",COUNTBLANK(OFFSET(A$1,,,SUMPRODUCT(MAX(ROW(E$2:E3239)*(E3239=E$2:E3239)))))-COUNTBLANK(OFFSET(A$1,,,SUMPRODUCT(MAX(ROW(E$1:E3238)*(E2=E$1:E3238))))))</f>
        <v/>
      </c>
      <c r="K3239" s="24" t="str">
        <f>IF(OR(E3239="",E3239="!!!",F3239="NEW"),"",INDEX(J$1:J3238,SUMPRODUCT(MAX(ROW(E$1:E3238)*(E3239=E$1:E3238)))))</f>
        <v/>
      </c>
      <c r="L3239" s="25"/>
    </row>
    <row r="3240" spans="1:12" x14ac:dyDescent="0.2">
      <c r="A3240" t="s">
        <v>839</v>
      </c>
      <c r="E3240" s="20" t="str">
        <f t="shared" si="344"/>
        <v/>
      </c>
      <c r="F3240" s="21" t="str">
        <f>IF(OR(E3240="",E3240="!!!"),"",IF(NOT(ISNA(VLOOKUP(E3240,E$1:E3239,1,FALSE()))),"OLD",IF(AND(E3240&lt;&gt;"",E3240&lt;&gt;"!!!"),"NEW","")))</f>
        <v/>
      </c>
      <c r="G3240" s="22" t="str">
        <f>IF(OR(E3240="",E3240="!!!"),"",IF(OR(J3240=0,AND(J3240=1,K3240=1),AND(J3240=1,I3240="SBJ"),AND(J3240=1,I3240=0)),"?IN_FOCUS",IF(J3240&lt;=2,"?ACTIVATED",IF(J3240&lt;&gt;"","?FAMILIAR",IF(F3240="NEW",IF(ISNA(VLOOKUP(E3240,#REF!,1,FALSE())),"?TYPE_IDENTIFIABLE","?REFERENTIAL"),"_")))))</f>
        <v/>
      </c>
      <c r="H3240" s="23" t="str">
        <f t="shared" ca="1" si="345"/>
        <v/>
      </c>
      <c r="I3240" s="24" t="str">
        <f>IF(OR(E3240="",E3240="!!!",F3240="NEW"),"",INDEX(B$2:B3239,-1+SUMPRODUCT(MAX(ROW(E$2:E3239)*(E3240=E$2:E3239)))))</f>
        <v/>
      </c>
      <c r="J3240" s="24" t="str">
        <f ca="1">IF(OR(E3240="",E3240="!!!",F3240="NEW"),"",COUNTBLANK(OFFSET(A$1,,,SUMPRODUCT(MAX(ROW(E$2:E3240)*(E3240=E$2:E3240)))))-COUNTBLANK(OFFSET(A$1,,,SUMPRODUCT(MAX(ROW(E$1:E3239)*(E2=E$1:E3239))))))</f>
        <v/>
      </c>
      <c r="K3240" s="24" t="str">
        <f>IF(OR(E3240="",E3240="!!!",F3240="NEW"),"",INDEX(J$1:J3239,SUMPRODUCT(MAX(ROW(E$1:E3239)*(E3240=E$1:E3239)))))</f>
        <v/>
      </c>
      <c r="L3240" s="25"/>
    </row>
    <row r="3242" spans="1:12" x14ac:dyDescent="0.2">
      <c r="A3242" t="s">
        <v>1710</v>
      </c>
    </row>
    <row r="3243" spans="1:12" x14ac:dyDescent="0.2">
      <c r="A3243" t="s">
        <v>918</v>
      </c>
      <c r="E3243" s="20" t="str">
        <f t="shared" ref="E3243:E3250" si="346">IF(D3243="?OLD","!!!","")</f>
        <v/>
      </c>
      <c r="F3243" s="21" t="str">
        <f>IF(OR(E3243="",E3243="!!!"),"",IF(NOT(ISNA(VLOOKUP(E3243,E$1:E3242,1,FALSE()))),"OLD",IF(AND(E3243&lt;&gt;"",E3243&lt;&gt;"!!!"),"NEW","")))</f>
        <v/>
      </c>
      <c r="G3243" s="22" t="str">
        <f>IF(OR(E3243="",E3243="!!!"),"",IF(OR(J3243=0,AND(J3243=1,K3243=1),AND(J3243=1,I3243="SBJ"),AND(J3243=1,I3243=0)),"?IN_FOCUS",IF(J3243&lt;=2,"?ACTIVATED",IF(J3243&lt;&gt;"","?FAMILIAR",IF(F3243="NEW",IF(ISNA(VLOOKUP(E3243,#REF!,1,FALSE())),"?TYPE_IDENTIFIABLE","?REFERENTIAL"),"_")))))</f>
        <v/>
      </c>
      <c r="H3243" s="23" t="str">
        <f t="shared" ref="H3243:H3250" ca="1" si="347">IF(J3243&lt;&gt;1,"",IF(I3243="SBJ","CB","?"))</f>
        <v/>
      </c>
      <c r="I3243" s="24" t="str">
        <f>IF(OR(E3243="",E3243="!!!",F3243="NEW"),"",INDEX(B$2:B3242,-1+SUMPRODUCT(MAX(ROW(E$2:E3242)*(E3243=E$2:E3242)))))</f>
        <v/>
      </c>
      <c r="J3243" s="24" t="str">
        <f ca="1">IF(OR(E3243="",E3243="!!!",F3243="NEW"),"",COUNTBLANK(OFFSET(A$1,,,SUMPRODUCT(MAX(ROW(E$2:E3243)*(E3243=E$2:E3243)))))-COUNTBLANK(OFFSET(A$1,,,SUMPRODUCT(MAX(ROW(E$1:E3242)*(E2=E$1:E3242))))))</f>
        <v/>
      </c>
      <c r="K3243" s="24" t="str">
        <f>IF(OR(E3243="",E3243="!!!",F3243="NEW"),"",INDEX(J$1:J3242,SUMPRODUCT(MAX(ROW(E$1:E3242)*(E3243=E$1:E3242)))))</f>
        <v/>
      </c>
      <c r="L3243" s="25"/>
    </row>
    <row r="3244" spans="1:12" x14ac:dyDescent="0.2">
      <c r="A3244" t="s">
        <v>1018</v>
      </c>
      <c r="E3244" s="20" t="str">
        <f t="shared" si="346"/>
        <v/>
      </c>
      <c r="F3244" s="21" t="str">
        <f>IF(OR(E3244="",E3244="!!!"),"",IF(NOT(ISNA(VLOOKUP(E3244,E$1:E3243,1,FALSE()))),"OLD",IF(AND(E3244&lt;&gt;"",E3244&lt;&gt;"!!!"),"NEW","")))</f>
        <v/>
      </c>
      <c r="G3244" s="22" t="str">
        <f>IF(OR(E3244="",E3244="!!!"),"",IF(OR(J3244=0,AND(J3244=1,K3244=1),AND(J3244=1,I3244="SBJ"),AND(J3244=1,I3244=0)),"?IN_FOCUS",IF(J3244&lt;=2,"?ACTIVATED",IF(J3244&lt;&gt;"","?FAMILIAR",IF(F3244="NEW",IF(ISNA(VLOOKUP(E3244,#REF!,1,FALSE())),"?TYPE_IDENTIFIABLE","?REFERENTIAL"),"_")))))</f>
        <v/>
      </c>
      <c r="H3244" s="23" t="str">
        <f t="shared" ca="1" si="347"/>
        <v/>
      </c>
      <c r="I3244" s="24" t="str">
        <f>IF(OR(E3244="",E3244="!!!",F3244="NEW"),"",INDEX(B$2:B3243,-1+SUMPRODUCT(MAX(ROW(E$2:E3243)*(E3244=E$2:E3243)))))</f>
        <v/>
      </c>
      <c r="J3244" s="24" t="str">
        <f ca="1">IF(OR(E3244="",E3244="!!!",F3244="NEW"),"",COUNTBLANK(OFFSET(A$1,,,SUMPRODUCT(MAX(ROW(E$2:E3244)*(E3244=E$2:E3244)))))-COUNTBLANK(OFFSET(A$1,,,SUMPRODUCT(MAX(ROW(E$1:E3243)*(E2=E$1:E3243))))))</f>
        <v/>
      </c>
      <c r="K3244" s="24" t="str">
        <f>IF(OR(E3244="",E3244="!!!",F3244="NEW"),"",INDEX(J$1:J3243,SUMPRODUCT(MAX(ROW(E$1:E3243)*(E3244=E$1:E3243)))))</f>
        <v/>
      </c>
      <c r="L3244" s="25"/>
    </row>
    <row r="3245" spans="1:12" x14ac:dyDescent="0.2">
      <c r="A3245" t="s">
        <v>919</v>
      </c>
      <c r="B3245" s="26" t="s">
        <v>804</v>
      </c>
      <c r="C3245" s="26" t="s">
        <v>805</v>
      </c>
      <c r="D3245" s="26" t="s">
        <v>806</v>
      </c>
      <c r="E3245" s="20"/>
      <c r="F3245" s="21" t="s">
        <v>1781</v>
      </c>
      <c r="G3245" s="22" t="str">
        <f>IF(OR(E3245="",E3245="!!!"),"",IF(OR(J3245=0,AND(J3245=1,K3245=1),AND(J3245=1,I3245="SBJ"),AND(J3245=1,I3245=0)),"?IN_FOCUS",IF(J3245&lt;=2,"?ACTIVATED",IF(J3245&lt;&gt;"","?FAMILIAR",IF(F3245="NEW",IF(ISNA(VLOOKUP(E3245,#REF!,1,FALSE())),"?TYPE_IDENTIFIABLE","?REFERENTIAL"),"_")))))</f>
        <v/>
      </c>
      <c r="H3245" s="23" t="str">
        <f t="shared" ca="1" si="347"/>
        <v/>
      </c>
      <c r="I3245" s="24" t="str">
        <f>IF(OR(E3245="",E3245="!!!",F3245="NEW"),"",INDEX(B$2:B3244,-1+SUMPRODUCT(MAX(ROW(E$2:E3244)*(E3245=E$2:E3244)))))</f>
        <v/>
      </c>
      <c r="J3245" s="24" t="str">
        <f ca="1">IF(OR(E3245="",E3245="!!!",F3245="NEW"),"",COUNTBLANK(OFFSET(A$1,,,SUMPRODUCT(MAX(ROW(E$2:E3245)*(E3245=E$2:E3245)))))-COUNTBLANK(OFFSET(A$1,,,SUMPRODUCT(MAX(ROW(E$1:E3244)*(E2=E$1:E3244))))))</f>
        <v/>
      </c>
      <c r="K3245" s="24" t="str">
        <f>IF(OR(E3245="",E3245="!!!",F3245="NEW"),"",INDEX(J$1:J3244,SUMPRODUCT(MAX(ROW(E$1:E3244)*(E3245=E$1:E3244)))))</f>
        <v/>
      </c>
      <c r="L3245" s="25"/>
    </row>
    <row r="3246" spans="1:12" x14ac:dyDescent="0.2">
      <c r="A3246" t="s">
        <v>964</v>
      </c>
      <c r="E3246" s="20" t="str">
        <f t="shared" si="346"/>
        <v/>
      </c>
      <c r="F3246" s="21" t="str">
        <f>IF(OR(E3246="",E3246="!!!"),"",IF(NOT(ISNA(VLOOKUP(E3246,E$1:E3245,1,FALSE()))),"OLD",IF(AND(E3246&lt;&gt;"",E3246&lt;&gt;"!!!"),"NEW","")))</f>
        <v/>
      </c>
      <c r="G3246" s="22" t="str">
        <f>IF(OR(E3246="",E3246="!!!"),"",IF(OR(J3246=0,AND(J3246=1,K3246=1),AND(J3246=1,I3246="SBJ"),AND(J3246=1,I3246=0)),"?IN_FOCUS",IF(J3246&lt;=2,"?ACTIVATED",IF(J3246&lt;&gt;"","?FAMILIAR",IF(F3246="NEW",IF(ISNA(VLOOKUP(E3246,#REF!,1,FALSE())),"?TYPE_IDENTIFIABLE","?REFERENTIAL"),"_")))))</f>
        <v/>
      </c>
      <c r="H3246" s="23" t="str">
        <f t="shared" ca="1" si="347"/>
        <v/>
      </c>
      <c r="I3246" s="24" t="str">
        <f>IF(OR(E3246="",E3246="!!!",F3246="NEW"),"",INDEX(B$2:B3245,-1+SUMPRODUCT(MAX(ROW(E$2:E3245)*(E3246=E$2:E3245)))))</f>
        <v/>
      </c>
      <c r="J3246" s="24" t="str">
        <f ca="1">IF(OR(E3246="",E3246="!!!",F3246="NEW"),"",COUNTBLANK(OFFSET(A$1,,,SUMPRODUCT(MAX(ROW(E$2:E3246)*(E3246=E$2:E3246)))))-COUNTBLANK(OFFSET(A$1,,,SUMPRODUCT(MAX(ROW(E$1:E3245)*(E2=E$1:E3245))))))</f>
        <v/>
      </c>
      <c r="K3246" s="24" t="str">
        <f>IF(OR(E3246="",E3246="!!!",F3246="NEW"),"",INDEX(J$1:J3245,SUMPRODUCT(MAX(ROW(E$1:E3245)*(E3246=E$1:E3245)))))</f>
        <v/>
      </c>
      <c r="L3246" s="25"/>
    </row>
    <row r="3247" spans="1:12" x14ac:dyDescent="0.2">
      <c r="A3247" t="s">
        <v>859</v>
      </c>
      <c r="E3247" s="20" t="str">
        <f t="shared" si="346"/>
        <v/>
      </c>
      <c r="F3247" s="21" t="str">
        <f>IF(OR(E3247="",E3247="!!!"),"",IF(NOT(ISNA(VLOOKUP(E3247,E$1:E3246,1,FALSE()))),"OLD",IF(AND(E3247&lt;&gt;"",E3247&lt;&gt;"!!!"),"NEW","")))</f>
        <v/>
      </c>
      <c r="G3247" s="22" t="str">
        <f>IF(OR(E3247="",E3247="!!!"),"",IF(OR(J3247=0,AND(J3247=1,K3247=1),AND(J3247=1,I3247="SBJ"),AND(J3247=1,I3247=0)),"?IN_FOCUS",IF(J3247&lt;=2,"?ACTIVATED",IF(J3247&lt;&gt;"","?FAMILIAR",IF(F3247="NEW",IF(ISNA(VLOOKUP(E3247,#REF!,1,FALSE())),"?TYPE_IDENTIFIABLE","?REFERENTIAL"),"_")))))</f>
        <v/>
      </c>
      <c r="H3247" s="23" t="str">
        <f t="shared" ca="1" si="347"/>
        <v/>
      </c>
      <c r="I3247" s="24" t="str">
        <f>IF(OR(E3247="",E3247="!!!",F3247="NEW"),"",INDEX(B$2:B3246,-1+SUMPRODUCT(MAX(ROW(E$2:E3246)*(E3247=E$2:E3246)))))</f>
        <v/>
      </c>
      <c r="J3247" s="24" t="str">
        <f ca="1">IF(OR(E3247="",E3247="!!!",F3247="NEW"),"",COUNTBLANK(OFFSET(A$1,,,SUMPRODUCT(MAX(ROW(E$2:E3247)*(E3247=E$2:E3247)))))-COUNTBLANK(OFFSET(A$1,,,SUMPRODUCT(MAX(ROW(E$1:E3246)*(E2=E$1:E3246))))))</f>
        <v/>
      </c>
      <c r="K3247" s="24" t="str">
        <f>IF(OR(E3247="",E3247="!!!",F3247="NEW"),"",INDEX(J$1:J3246,SUMPRODUCT(MAX(ROW(E$1:E3246)*(E3247=E$1:E3246)))))</f>
        <v/>
      </c>
      <c r="L3247" s="25"/>
    </row>
    <row r="3248" spans="1:12" x14ac:dyDescent="0.2">
      <c r="A3248" t="s">
        <v>152</v>
      </c>
      <c r="E3248" s="20" t="str">
        <f t="shared" si="346"/>
        <v/>
      </c>
      <c r="F3248" s="21" t="str">
        <f>IF(OR(E3248="",E3248="!!!"),"",IF(NOT(ISNA(VLOOKUP(E3248,E$1:E3247,1,FALSE()))),"OLD",IF(AND(E3248&lt;&gt;"",E3248&lt;&gt;"!!!"),"NEW","")))</f>
        <v/>
      </c>
      <c r="G3248" s="22" t="str">
        <f>IF(OR(E3248="",E3248="!!!"),"",IF(OR(J3248=0,AND(J3248=1,K3248=1),AND(J3248=1,I3248="SBJ"),AND(J3248=1,I3248=0)),"?IN_FOCUS",IF(J3248&lt;=2,"?ACTIVATED",IF(J3248&lt;&gt;"","?FAMILIAR",IF(F3248="NEW",IF(ISNA(VLOOKUP(E3248,#REF!,1,FALSE())),"?TYPE_IDENTIFIABLE","?REFERENTIAL"),"_")))))</f>
        <v/>
      </c>
      <c r="H3248" s="23" t="str">
        <f t="shared" ca="1" si="347"/>
        <v/>
      </c>
      <c r="I3248" s="24" t="str">
        <f>IF(OR(E3248="",E3248="!!!",F3248="NEW"),"",INDEX(B$2:B3247,-1+SUMPRODUCT(MAX(ROW(E$2:E3247)*(E3248=E$2:E3247)))))</f>
        <v/>
      </c>
      <c r="J3248" s="24" t="str">
        <f ca="1">IF(OR(E3248="",E3248="!!!",F3248="NEW"),"",COUNTBLANK(OFFSET(A$1,,,SUMPRODUCT(MAX(ROW(E$2:E3248)*(E3248=E$2:E3248)))))-COUNTBLANK(OFFSET(A$1,,,SUMPRODUCT(MAX(ROW(E$1:E3247)*(E2=E$1:E3247))))))</f>
        <v/>
      </c>
      <c r="K3248" s="24" t="str">
        <f>IF(OR(E3248="",E3248="!!!",F3248="NEW"),"",INDEX(J$1:J3247,SUMPRODUCT(MAX(ROW(E$1:E3247)*(E3248=E$1:E3247)))))</f>
        <v/>
      </c>
      <c r="L3248" s="25"/>
    </row>
    <row r="3249" spans="1:12" x14ac:dyDescent="0.2">
      <c r="A3249" t="s">
        <v>1040</v>
      </c>
      <c r="B3249" s="26" t="s">
        <v>938</v>
      </c>
      <c r="E3249" s="20" t="str">
        <f t="shared" si="346"/>
        <v/>
      </c>
      <c r="F3249" s="21" t="str">
        <f>IF(OR(E3249="",E3249="!!!"),"",IF(NOT(ISNA(VLOOKUP(E3249,E$1:E3248,1,FALSE()))),"OLD",IF(AND(E3249&lt;&gt;"",E3249&lt;&gt;"!!!"),"NEW","")))</f>
        <v/>
      </c>
      <c r="G3249" s="22" t="str">
        <f>IF(OR(E3249="",E3249="!!!"),"",IF(OR(J3249=0,AND(J3249=1,K3249=1),AND(J3249=1,I3249="SBJ"),AND(J3249=1,I3249=0)),"?IN_FOCUS",IF(J3249&lt;=2,"?ACTIVATED",IF(J3249&lt;&gt;"","?FAMILIAR",IF(F3249="NEW",IF(ISNA(VLOOKUP(E3249,#REF!,1,FALSE())),"?TYPE_IDENTIFIABLE","?REFERENTIAL"),"_")))))</f>
        <v/>
      </c>
      <c r="H3249" s="23" t="str">
        <f t="shared" ca="1" si="347"/>
        <v/>
      </c>
      <c r="I3249" s="24" t="str">
        <f>IF(OR(E3249="",E3249="!!!",F3249="NEW"),"",INDEX(B$2:B3248,-1+SUMPRODUCT(MAX(ROW(E$2:E3248)*(E3249=E$2:E3248)))))</f>
        <v/>
      </c>
      <c r="J3249" s="24" t="str">
        <f ca="1">IF(OR(E3249="",E3249="!!!",F3249="NEW"),"",COUNTBLANK(OFFSET(A$1,,,SUMPRODUCT(MAX(ROW(E$2:E3249)*(E3249=E$2:E3249)))))-COUNTBLANK(OFFSET(A$1,,,SUMPRODUCT(MAX(ROW(E$1:E3248)*(E2=E$1:E3248))))))</f>
        <v/>
      </c>
      <c r="K3249" s="24" t="str">
        <f>IF(OR(E3249="",E3249="!!!",F3249="NEW"),"",INDEX(J$1:J3248,SUMPRODUCT(MAX(ROW(E$1:E3248)*(E3249=E$1:E3248)))))</f>
        <v/>
      </c>
      <c r="L3249" s="25"/>
    </row>
    <row r="3250" spans="1:12" x14ac:dyDescent="0.2">
      <c r="A3250" t="s">
        <v>922</v>
      </c>
      <c r="E3250" s="20" t="str">
        <f t="shared" si="346"/>
        <v/>
      </c>
      <c r="F3250" s="21" t="str">
        <f>IF(OR(E3250="",E3250="!!!"),"",IF(NOT(ISNA(VLOOKUP(E3250,E$1:E3249,1,FALSE()))),"OLD",IF(AND(E3250&lt;&gt;"",E3250&lt;&gt;"!!!"),"NEW","")))</f>
        <v/>
      </c>
      <c r="G3250" s="22" t="str">
        <f>IF(OR(E3250="",E3250="!!!"),"",IF(OR(J3250=0,AND(J3250=1,K3250=1),AND(J3250=1,I3250="SBJ"),AND(J3250=1,I3250=0)),"?IN_FOCUS",IF(J3250&lt;=2,"?ACTIVATED",IF(J3250&lt;&gt;"","?FAMILIAR",IF(F3250="NEW",IF(ISNA(VLOOKUP(E3250,#REF!,1,FALSE())),"?TYPE_IDENTIFIABLE","?REFERENTIAL"),"_")))))</f>
        <v/>
      </c>
      <c r="H3250" s="23" t="str">
        <f t="shared" ca="1" si="347"/>
        <v/>
      </c>
      <c r="I3250" s="24" t="str">
        <f>IF(OR(E3250="",E3250="!!!",F3250="NEW"),"",INDEX(B$2:B3249,-1+SUMPRODUCT(MAX(ROW(E$2:E3249)*(E3250=E$2:E3249)))))</f>
        <v/>
      </c>
      <c r="J3250" s="24" t="str">
        <f ca="1">IF(OR(E3250="",E3250="!!!",F3250="NEW"),"",COUNTBLANK(OFFSET(A$1,,,SUMPRODUCT(MAX(ROW(E$2:E3250)*(E3250=E$2:E3250)))))-COUNTBLANK(OFFSET(A$1,,,SUMPRODUCT(MAX(ROW(E$1:E3249)*(E2=E$1:E3249))))))</f>
        <v/>
      </c>
      <c r="K3250" s="24" t="str">
        <f>IF(OR(E3250="",E3250="!!!",F3250="NEW"),"",INDEX(J$1:J3249,SUMPRODUCT(MAX(ROW(E$1:E3249)*(E3250=E$1:E3249)))))</f>
        <v/>
      </c>
      <c r="L3250" s="25"/>
    </row>
    <row r="3252" spans="1:12" x14ac:dyDescent="0.2">
      <c r="A3252" t="s">
        <v>1711</v>
      </c>
    </row>
    <row r="3253" spans="1:12" x14ac:dyDescent="0.2">
      <c r="A3253" t="s">
        <v>1712</v>
      </c>
      <c r="E3253" s="20" t="str">
        <f>IF(D3253="?OLD","!!!","")</f>
        <v/>
      </c>
      <c r="F3253" s="21" t="str">
        <f>IF(OR(E3253="",E3253="!!!"),"",IF(NOT(ISNA(VLOOKUP(E3253,E$1:E3252,1,FALSE()))),"OLD",IF(AND(E3253&lt;&gt;"",E3253&lt;&gt;"!!!"),"NEW","")))</f>
        <v/>
      </c>
      <c r="G3253" s="22" t="str">
        <f>IF(OR(E3253="",E3253="!!!"),"",IF(OR(J3253=0,AND(J3253=1,K3253=1),AND(J3253=1,I3253="SBJ"),AND(J3253=1,I3253=0)),"?IN_FOCUS",IF(J3253&lt;=2,"?ACTIVATED",IF(J3253&lt;&gt;"","?FAMILIAR",IF(F3253="NEW",IF(ISNA(VLOOKUP(E3253,#REF!,1,FALSE())),"?TYPE_IDENTIFIABLE","?REFERENTIAL"),"_")))))</f>
        <v/>
      </c>
      <c r="H3253" s="23" t="str">
        <f ca="1">IF(J3253&lt;&gt;1,"",IF(I3253="SBJ","CB","?"))</f>
        <v/>
      </c>
      <c r="I3253" s="24" t="str">
        <f>IF(OR(E3253="",E3253="!!!",F3253="NEW"),"",INDEX(B$2:B3252,-1+SUMPRODUCT(MAX(ROW(E$2:E3252)*(E3253=E$2:E3252)))))</f>
        <v/>
      </c>
      <c r="J3253" s="24" t="str">
        <f ca="1">IF(OR(E3253="",E3253="!!!",F3253="NEW"),"",COUNTBLANK(OFFSET(A$1,,,SUMPRODUCT(MAX(ROW(E$2:E3253)*(E3253=E$2:E3253)))))-COUNTBLANK(OFFSET(A$1,,,SUMPRODUCT(MAX(ROW(E$1:E3252)*(E2=E$1:E3252))))))</f>
        <v/>
      </c>
      <c r="K3253" s="24" t="str">
        <f>IF(OR(E3253="",E3253="!!!",F3253="NEW"),"",INDEX(J$1:J3252,SUMPRODUCT(MAX(ROW(E$1:E3252)*(E3253=E$1:E3252)))))</f>
        <v/>
      </c>
      <c r="L3253" s="25"/>
    </row>
    <row r="3254" spans="1:12" x14ac:dyDescent="0.2">
      <c r="A3254" t="s">
        <v>745</v>
      </c>
      <c r="E3254" s="20" t="str">
        <f>IF(D3254="?OLD","!!!","")</f>
        <v/>
      </c>
      <c r="F3254" s="21" t="str">
        <f>IF(OR(E3254="",E3254="!!!"),"",IF(NOT(ISNA(VLOOKUP(E3254,E$1:E3253,1,FALSE()))),"OLD",IF(AND(E3254&lt;&gt;"",E3254&lt;&gt;"!!!"),"NEW","")))</f>
        <v/>
      </c>
      <c r="G3254" s="22" t="str">
        <f>IF(OR(E3254="",E3254="!!!"),"",IF(OR(J3254=0,AND(J3254=1,K3254=1),AND(J3254=1,I3254="SBJ"),AND(J3254=1,I3254=0)),"?IN_FOCUS",IF(J3254&lt;=2,"?ACTIVATED",IF(J3254&lt;&gt;"","?FAMILIAR",IF(F3254="NEW",IF(ISNA(VLOOKUP(E3254,#REF!,1,FALSE())),"?TYPE_IDENTIFIABLE","?REFERENTIAL"),"_")))))</f>
        <v/>
      </c>
      <c r="H3254" s="23" t="str">
        <f ca="1">IF(J3254&lt;&gt;1,"",IF(I3254="SBJ","CB","?"))</f>
        <v/>
      </c>
      <c r="I3254" s="24" t="str">
        <f>IF(OR(E3254="",E3254="!!!",F3254="NEW"),"",INDEX(B$2:B3253,-1+SUMPRODUCT(MAX(ROW(E$2:E3253)*(E3254=E$2:E3253)))))</f>
        <v/>
      </c>
      <c r="J3254" s="24" t="str">
        <f ca="1">IF(OR(E3254="",E3254="!!!",F3254="NEW"),"",COUNTBLANK(OFFSET(A$1,,,SUMPRODUCT(MAX(ROW(E$2:E3254)*(E3254=E$2:E3254)))))-COUNTBLANK(OFFSET(A$1,,,SUMPRODUCT(MAX(ROW(E$1:E3253)*(E2=E$1:E3253))))))</f>
        <v/>
      </c>
      <c r="K3254" s="24" t="str">
        <f>IF(OR(E3254="",E3254="!!!",F3254="NEW"),"",INDEX(J$1:J3253,SUMPRODUCT(MAX(ROW(E$1:E3253)*(E3254=E$1:E3253)))))</f>
        <v/>
      </c>
      <c r="L3254" s="25"/>
    </row>
    <row r="3255" spans="1:12" x14ac:dyDescent="0.2">
      <c r="A3255" t="s">
        <v>839</v>
      </c>
      <c r="E3255" s="20" t="str">
        <f>IF(D3255="?OLD","!!!","")</f>
        <v/>
      </c>
      <c r="F3255" s="21" t="str">
        <f>IF(OR(E3255="",E3255="!!!"),"",IF(NOT(ISNA(VLOOKUP(E3255,E$1:E3254,1,FALSE()))),"OLD",IF(AND(E3255&lt;&gt;"",E3255&lt;&gt;"!!!"),"NEW","")))</f>
        <v/>
      </c>
      <c r="G3255" s="22" t="str">
        <f>IF(OR(E3255="",E3255="!!!"),"",IF(OR(J3255=0,AND(J3255=1,K3255=1),AND(J3255=1,I3255="SBJ"),AND(J3255=1,I3255=0)),"?IN_FOCUS",IF(J3255&lt;=2,"?ACTIVATED",IF(J3255&lt;&gt;"","?FAMILIAR",IF(F3255="NEW",IF(ISNA(VLOOKUP(E3255,#REF!,1,FALSE())),"?TYPE_IDENTIFIABLE","?REFERENTIAL"),"_")))))</f>
        <v/>
      </c>
      <c r="H3255" s="23" t="str">
        <f ca="1">IF(J3255&lt;&gt;1,"",IF(I3255="SBJ","CB","?"))</f>
        <v/>
      </c>
      <c r="I3255" s="24" t="str">
        <f>IF(OR(E3255="",E3255="!!!",F3255="NEW"),"",INDEX(B$2:B3254,-1+SUMPRODUCT(MAX(ROW(E$2:E3254)*(E3255=E$2:E3254)))))</f>
        <v/>
      </c>
      <c r="J3255" s="24" t="str">
        <f ca="1">IF(OR(E3255="",E3255="!!!",F3255="NEW"),"",COUNTBLANK(OFFSET(A$1,,,SUMPRODUCT(MAX(ROW(E$2:E3255)*(E3255=E$2:E3255)))))-COUNTBLANK(OFFSET(A$1,,,SUMPRODUCT(MAX(ROW(E$1:E3254)*(E2=E$1:E3254))))))</f>
        <v/>
      </c>
      <c r="K3255" s="24" t="str">
        <f>IF(OR(E3255="",E3255="!!!",F3255="NEW"),"",INDEX(J$1:J3254,SUMPRODUCT(MAX(ROW(E$1:E3254)*(E3255=E$1:E3254)))))</f>
        <v/>
      </c>
      <c r="L3255" s="25"/>
    </row>
    <row r="3257" spans="1:12" x14ac:dyDescent="0.2">
      <c r="A3257" t="s">
        <v>1713</v>
      </c>
    </row>
    <row r="3258" spans="1:12" x14ac:dyDescent="0.2">
      <c r="A3258" t="s">
        <v>918</v>
      </c>
      <c r="E3258" s="20" t="str">
        <f t="shared" ref="E3258:E3270" si="348">IF(D3258="?OLD","!!!","")</f>
        <v/>
      </c>
      <c r="F3258" s="21" t="str">
        <f>IF(OR(E3258="",E3258="!!!"),"",IF(NOT(ISNA(VLOOKUP(E3258,E$1:E3257,1,FALSE()))),"OLD",IF(AND(E3258&lt;&gt;"",E3258&lt;&gt;"!!!"),"NEW","")))</f>
        <v/>
      </c>
      <c r="G3258" s="22" t="str">
        <f>IF(OR(E3258="",E3258="!!!"),"",IF(OR(J3258=0,AND(J3258=1,K3258=1),AND(J3258=1,I3258="SBJ"),AND(J3258=1,I3258=0)),"?IN_FOCUS",IF(J3258&lt;=2,"?ACTIVATED",IF(J3258&lt;&gt;"","?FAMILIAR",IF(F3258="NEW",IF(ISNA(VLOOKUP(E3258,#REF!,1,FALSE())),"?TYPE_IDENTIFIABLE","?REFERENTIAL"),"_")))))</f>
        <v/>
      </c>
      <c r="H3258" s="23" t="str">
        <f t="shared" ref="H3258:H3270" ca="1" si="349">IF(J3258&lt;&gt;1,"",IF(I3258="SBJ","CB","?"))</f>
        <v/>
      </c>
      <c r="I3258" s="24" t="str">
        <f>IF(OR(E3258="",E3258="!!!",F3258="NEW"),"",INDEX(B$2:B3257,-1+SUMPRODUCT(MAX(ROW(E$2:E3257)*(E3258=E$2:E3257)))))</f>
        <v/>
      </c>
      <c r="J3258" s="24" t="str">
        <f ca="1">IF(OR(E3258="",E3258="!!!",F3258="NEW"),"",COUNTBLANK(OFFSET(A$1,,,SUMPRODUCT(MAX(ROW(E$2:E3258)*(E3258=E$2:E3258)))))-COUNTBLANK(OFFSET(A$1,,,SUMPRODUCT(MAX(ROW(E$1:E3257)*(E2=E$1:E3257))))))</f>
        <v/>
      </c>
      <c r="K3258" s="24" t="str">
        <f>IF(OR(E3258="",E3258="!!!",F3258="NEW"),"",INDEX(J$1:J3257,SUMPRODUCT(MAX(ROW(E$1:E3257)*(E3258=E$1:E3257)))))</f>
        <v/>
      </c>
      <c r="L3258" s="25"/>
    </row>
    <row r="3259" spans="1:12" x14ac:dyDescent="0.2">
      <c r="A3259" t="s">
        <v>278</v>
      </c>
      <c r="E3259" s="20" t="str">
        <f t="shared" si="348"/>
        <v/>
      </c>
      <c r="F3259" s="21" t="str">
        <f>IF(OR(E3259="",E3259="!!!"),"",IF(NOT(ISNA(VLOOKUP(E3259,E$1:E3258,1,FALSE()))),"OLD",IF(AND(E3259&lt;&gt;"",E3259&lt;&gt;"!!!"),"NEW","")))</f>
        <v/>
      </c>
      <c r="G3259" s="22" t="str">
        <f>IF(OR(E3259="",E3259="!!!"),"",IF(OR(J3259=0,AND(J3259=1,K3259=1),AND(J3259=1,I3259="SBJ"),AND(J3259=1,I3259=0)),"?IN_FOCUS",IF(J3259&lt;=2,"?ACTIVATED",IF(J3259&lt;&gt;"","?FAMILIAR",IF(F3259="NEW",IF(ISNA(VLOOKUP(E3259,#REF!,1,FALSE())),"?TYPE_IDENTIFIABLE","?REFERENTIAL"),"_")))))</f>
        <v/>
      </c>
      <c r="H3259" s="23" t="str">
        <f t="shared" ca="1" si="349"/>
        <v/>
      </c>
      <c r="I3259" s="24" t="str">
        <f>IF(OR(E3259="",E3259="!!!",F3259="NEW"),"",INDEX(B$2:B3258,-1+SUMPRODUCT(MAX(ROW(E$2:E3258)*(E3259=E$2:E3258)))))</f>
        <v/>
      </c>
      <c r="J3259" s="24" t="str">
        <f ca="1">IF(OR(E3259="",E3259="!!!",F3259="NEW"),"",COUNTBLANK(OFFSET(A$1,,,SUMPRODUCT(MAX(ROW(E$2:E3259)*(E3259=E$2:E3259)))))-COUNTBLANK(OFFSET(A$1,,,SUMPRODUCT(MAX(ROW(E$1:E3258)*(E2=E$1:E3258))))))</f>
        <v/>
      </c>
      <c r="K3259" s="24" t="str">
        <f>IF(OR(E3259="",E3259="!!!",F3259="NEW"),"",INDEX(J$1:J3258,SUMPRODUCT(MAX(ROW(E$1:E3258)*(E3259=E$1:E3258)))))</f>
        <v/>
      </c>
      <c r="L3259" s="25"/>
    </row>
    <row r="3260" spans="1:12" x14ac:dyDescent="0.2">
      <c r="A3260" t="s">
        <v>919</v>
      </c>
      <c r="B3260" s="26" t="s">
        <v>804</v>
      </c>
      <c r="C3260" s="26" t="s">
        <v>805</v>
      </c>
      <c r="D3260" s="26" t="s">
        <v>806</v>
      </c>
      <c r="E3260" s="20"/>
      <c r="F3260" s="21" t="s">
        <v>1781</v>
      </c>
      <c r="G3260" s="22" t="str">
        <f>IF(OR(E3260="",E3260="!!!"),"",IF(OR(J3260=0,AND(J3260=1,K3260=1),AND(J3260=1,I3260="SBJ"),AND(J3260=1,I3260=0)),"?IN_FOCUS",IF(J3260&lt;=2,"?ACTIVATED",IF(J3260&lt;&gt;"","?FAMILIAR",IF(F3260="NEW",IF(ISNA(VLOOKUP(E3260,#REF!,1,FALSE())),"?TYPE_IDENTIFIABLE","?REFERENTIAL"),"_")))))</f>
        <v/>
      </c>
      <c r="H3260" s="23" t="str">
        <f t="shared" ca="1" si="349"/>
        <v/>
      </c>
      <c r="I3260" s="24" t="str">
        <f>IF(OR(E3260="",E3260="!!!",F3260="NEW"),"",INDEX(B$2:B3259,-1+SUMPRODUCT(MAX(ROW(E$2:E3259)*(E3260=E$2:E3259)))))</f>
        <v/>
      </c>
      <c r="J3260" s="24" t="str">
        <f ca="1">IF(OR(E3260="",E3260="!!!",F3260="NEW"),"",COUNTBLANK(OFFSET(A$1,,,SUMPRODUCT(MAX(ROW(E$2:E3260)*(E3260=E$2:E3260)))))-COUNTBLANK(OFFSET(A$1,,,SUMPRODUCT(MAX(ROW(E$1:E3259)*(E2=E$1:E3259))))))</f>
        <v/>
      </c>
      <c r="K3260" s="24" t="str">
        <f>IF(OR(E3260="",E3260="!!!",F3260="NEW"),"",INDEX(J$1:J3259,SUMPRODUCT(MAX(ROW(E$1:E3259)*(E3260=E$1:E3259)))))</f>
        <v/>
      </c>
      <c r="L3260" s="25"/>
    </row>
    <row r="3261" spans="1:12" x14ac:dyDescent="0.2">
      <c r="A3261" t="s">
        <v>352</v>
      </c>
      <c r="E3261" s="20" t="str">
        <f t="shared" si="348"/>
        <v/>
      </c>
      <c r="F3261" s="21" t="str">
        <f>IF(OR(E3261="",E3261="!!!"),"",IF(NOT(ISNA(VLOOKUP(E3261,E$1:E3260,1,FALSE()))),"OLD",IF(AND(E3261&lt;&gt;"",E3261&lt;&gt;"!!!"),"NEW","")))</f>
        <v/>
      </c>
      <c r="G3261" s="22" t="str">
        <f>IF(OR(E3261="",E3261="!!!"),"",IF(OR(J3261=0,AND(J3261=1,K3261=1),AND(J3261=1,I3261="SBJ"),AND(J3261=1,I3261=0)),"?IN_FOCUS",IF(J3261&lt;=2,"?ACTIVATED",IF(J3261&lt;&gt;"","?FAMILIAR",IF(F3261="NEW",IF(ISNA(VLOOKUP(E3261,#REF!,1,FALSE())),"?TYPE_IDENTIFIABLE","?REFERENTIAL"),"_")))))</f>
        <v/>
      </c>
      <c r="H3261" s="23" t="str">
        <f t="shared" ca="1" si="349"/>
        <v/>
      </c>
      <c r="I3261" s="24" t="str">
        <f>IF(OR(E3261="",E3261="!!!",F3261="NEW"),"",INDEX(B$2:B3260,-1+SUMPRODUCT(MAX(ROW(E$2:E3260)*(E3261=E$2:E3260)))))</f>
        <v/>
      </c>
      <c r="J3261" s="24" t="str">
        <f ca="1">IF(OR(E3261="",E3261="!!!",F3261="NEW"),"",COUNTBLANK(OFFSET(A$1,,,SUMPRODUCT(MAX(ROW(E$2:E3261)*(E3261=E$2:E3261)))))-COUNTBLANK(OFFSET(A$1,,,SUMPRODUCT(MAX(ROW(E$1:E3260)*(E2=E$1:E3260))))))</f>
        <v/>
      </c>
      <c r="K3261" s="24" t="str">
        <f>IF(OR(E3261="",E3261="!!!",F3261="NEW"),"",INDEX(J$1:J3260,SUMPRODUCT(MAX(ROW(E$1:E3260)*(E3261=E$1:E3260)))))</f>
        <v/>
      </c>
      <c r="L3261" s="25"/>
    </row>
    <row r="3262" spans="1:12" x14ac:dyDescent="0.2">
      <c r="A3262" t="s">
        <v>1492</v>
      </c>
      <c r="B3262" s="26" t="s">
        <v>810</v>
      </c>
      <c r="C3262" s="26" t="s">
        <v>814</v>
      </c>
      <c r="E3262" s="20" t="str">
        <f t="shared" si="348"/>
        <v/>
      </c>
      <c r="F3262" s="21" t="str">
        <f>IF(OR(E3262="",E3262="!!!"),"",IF(NOT(ISNA(VLOOKUP(E3262,E$1:E3261,1,FALSE()))),"OLD",IF(AND(E3262&lt;&gt;"",E3262&lt;&gt;"!!!"),"NEW","")))</f>
        <v/>
      </c>
      <c r="G3262" s="22" t="str">
        <f>IF(OR(E3262="",E3262="!!!"),"",IF(OR(J3262=0,AND(J3262=1,K3262=1),AND(J3262=1,I3262="SBJ"),AND(J3262=1,I3262=0)),"?IN_FOCUS",IF(J3262&lt;=2,"?ACTIVATED",IF(J3262&lt;&gt;"","?FAMILIAR",IF(F3262="NEW",IF(ISNA(VLOOKUP(E3262,#REF!,1,FALSE())),"?TYPE_IDENTIFIABLE","?REFERENTIAL"),"_")))))</f>
        <v/>
      </c>
      <c r="H3262" s="23" t="str">
        <f t="shared" ca="1" si="349"/>
        <v/>
      </c>
      <c r="I3262" s="24" t="str">
        <f>IF(OR(E3262="",E3262="!!!",F3262="NEW"),"",INDEX(B$2:B3261,-1+SUMPRODUCT(MAX(ROW(E$2:E3261)*(E3262=E$2:E3261)))))</f>
        <v/>
      </c>
      <c r="J3262" s="24" t="str">
        <f ca="1">IF(OR(E3262="",E3262="!!!",F3262="NEW"),"",COUNTBLANK(OFFSET(A$1,,,SUMPRODUCT(MAX(ROW(E$2:E3262)*(E3262=E$2:E3262)))))-COUNTBLANK(OFFSET(A$1,,,SUMPRODUCT(MAX(ROW(E$1:E3261)*(E2=E$1:E3261))))))</f>
        <v/>
      </c>
      <c r="K3262" s="24" t="str">
        <f>IF(OR(E3262="",E3262="!!!",F3262="NEW"),"",INDEX(J$1:J3261,SUMPRODUCT(MAX(ROW(E$1:E3261)*(E3262=E$1:E3261)))))</f>
        <v/>
      </c>
      <c r="L3262" s="25"/>
    </row>
    <row r="3263" spans="1:12" x14ac:dyDescent="0.2">
      <c r="A3263" t="s">
        <v>1060</v>
      </c>
      <c r="B3263" s="26" t="s">
        <v>891</v>
      </c>
      <c r="E3263" s="20" t="str">
        <f t="shared" si="348"/>
        <v/>
      </c>
      <c r="F3263" s="21" t="str">
        <f>IF(OR(E3263="",E3263="!!!"),"",IF(NOT(ISNA(VLOOKUP(E3263,E$1:E3262,1,FALSE()))),"OLD",IF(AND(E3263&lt;&gt;"",E3263&lt;&gt;"!!!"),"NEW","")))</f>
        <v/>
      </c>
      <c r="G3263" s="22" t="str">
        <f>IF(OR(E3263="",E3263="!!!"),"",IF(OR(J3263=0,AND(J3263=1,K3263=1),AND(J3263=1,I3263="SBJ"),AND(J3263=1,I3263=0)),"?IN_FOCUS",IF(J3263&lt;=2,"?ACTIVATED",IF(J3263&lt;&gt;"","?FAMILIAR",IF(F3263="NEW",IF(ISNA(VLOOKUP(E3263,#REF!,1,FALSE())),"?TYPE_IDENTIFIABLE","?REFERENTIAL"),"_")))))</f>
        <v/>
      </c>
      <c r="H3263" s="23" t="str">
        <f t="shared" ca="1" si="349"/>
        <v/>
      </c>
      <c r="I3263" s="24" t="str">
        <f>IF(OR(E3263="",E3263="!!!",F3263="NEW"),"",INDEX(B$2:B3262,-1+SUMPRODUCT(MAX(ROW(E$2:E3262)*(E3263=E$2:E3262)))))</f>
        <v/>
      </c>
      <c r="J3263" s="24" t="str">
        <f ca="1">IF(OR(E3263="",E3263="!!!",F3263="NEW"),"",COUNTBLANK(OFFSET(A$1,,,SUMPRODUCT(MAX(ROW(E$2:E3263)*(E3263=E$2:E3263)))))-COUNTBLANK(OFFSET(A$1,,,SUMPRODUCT(MAX(ROW(E$1:E3262)*(E2=E$1:E3262))))))</f>
        <v/>
      </c>
      <c r="K3263" s="24" t="str">
        <f>IF(OR(E3263="",E3263="!!!",F3263="NEW"),"",INDEX(J$1:J3262,SUMPRODUCT(MAX(ROW(E$1:E3262)*(E3263=E$1:E3262)))))</f>
        <v/>
      </c>
      <c r="L3263" s="25"/>
    </row>
    <row r="3264" spans="1:12" x14ac:dyDescent="0.2">
      <c r="A3264" t="s">
        <v>1714</v>
      </c>
      <c r="E3264" s="20" t="str">
        <f t="shared" si="348"/>
        <v/>
      </c>
      <c r="F3264" s="21" t="str">
        <f>IF(OR(E3264="",E3264="!!!"),"",IF(NOT(ISNA(VLOOKUP(E3264,E$1:E3263,1,FALSE()))),"OLD",IF(AND(E3264&lt;&gt;"",E3264&lt;&gt;"!!!"),"NEW","")))</f>
        <v/>
      </c>
      <c r="G3264" s="22" t="str">
        <f>IF(OR(E3264="",E3264="!!!"),"",IF(OR(J3264=0,AND(J3264=1,K3264=1),AND(J3264=1,I3264="SBJ"),AND(J3264=1,I3264=0)),"?IN_FOCUS",IF(J3264&lt;=2,"?ACTIVATED",IF(J3264&lt;&gt;"","?FAMILIAR",IF(F3264="NEW",IF(ISNA(VLOOKUP(E3264,#REF!,1,FALSE())),"?TYPE_IDENTIFIABLE","?REFERENTIAL"),"_")))))</f>
        <v/>
      </c>
      <c r="H3264" s="23" t="str">
        <f t="shared" ca="1" si="349"/>
        <v/>
      </c>
      <c r="I3264" s="24" t="str">
        <f>IF(OR(E3264="",E3264="!!!",F3264="NEW"),"",INDEX(B$2:B3263,-1+SUMPRODUCT(MAX(ROW(E$2:E3263)*(E3264=E$2:E3263)))))</f>
        <v/>
      </c>
      <c r="J3264" s="24" t="str">
        <f ca="1">IF(OR(E3264="",E3264="!!!",F3264="NEW"),"",COUNTBLANK(OFFSET(A$1,,,SUMPRODUCT(MAX(ROW(E$2:E3264)*(E3264=E$2:E3264)))))-COUNTBLANK(OFFSET(A$1,,,SUMPRODUCT(MAX(ROW(E$1:E3263)*(E2=E$1:E3263))))))</f>
        <v/>
      </c>
      <c r="K3264" s="24" t="str">
        <f>IF(OR(E3264="",E3264="!!!",F3264="NEW"),"",INDEX(J$1:J3263,SUMPRODUCT(MAX(ROW(E$1:E3263)*(E3264=E$1:E3263)))))</f>
        <v/>
      </c>
      <c r="L3264" s="25"/>
    </row>
    <row r="3265" spans="1:12" x14ac:dyDescent="0.2">
      <c r="A3265" t="s">
        <v>1500</v>
      </c>
      <c r="E3265" s="20" t="str">
        <f t="shared" si="348"/>
        <v/>
      </c>
      <c r="F3265" s="21" t="str">
        <f>IF(OR(E3265="",E3265="!!!"),"",IF(NOT(ISNA(VLOOKUP(E3265,E$1:E3264,1,FALSE()))),"OLD",IF(AND(E3265&lt;&gt;"",E3265&lt;&gt;"!!!"),"NEW","")))</f>
        <v/>
      </c>
      <c r="G3265" s="22" t="str">
        <f>IF(OR(E3265="",E3265="!!!"),"",IF(OR(J3265=0,AND(J3265=1,K3265=1),AND(J3265=1,I3265="SBJ"),AND(J3265=1,I3265=0)),"?IN_FOCUS",IF(J3265&lt;=2,"?ACTIVATED",IF(J3265&lt;&gt;"","?FAMILIAR",IF(F3265="NEW",IF(ISNA(VLOOKUP(E3265,#REF!,1,FALSE())),"?TYPE_IDENTIFIABLE","?REFERENTIAL"),"_")))))</f>
        <v/>
      </c>
      <c r="H3265" s="23" t="str">
        <f t="shared" ca="1" si="349"/>
        <v/>
      </c>
      <c r="I3265" s="24" t="str">
        <f>IF(OR(E3265="",E3265="!!!",F3265="NEW"),"",INDEX(B$2:B3264,-1+SUMPRODUCT(MAX(ROW(E$2:E3264)*(E3265=E$2:E3264)))))</f>
        <v/>
      </c>
      <c r="J3265" s="24" t="str">
        <f ca="1">IF(OR(E3265="",E3265="!!!",F3265="NEW"),"",COUNTBLANK(OFFSET(A$1,,,SUMPRODUCT(MAX(ROW(E$2:E3265)*(E3265=E$2:E3265)))))-COUNTBLANK(OFFSET(A$1,,,SUMPRODUCT(MAX(ROW(E$1:E3264)*(E2=E$1:E3264))))))</f>
        <v/>
      </c>
      <c r="K3265" s="24" t="str">
        <f>IF(OR(E3265="",E3265="!!!",F3265="NEW"),"",INDEX(J$1:J3264,SUMPRODUCT(MAX(ROW(E$1:E3264)*(E3265=E$1:E3264)))))</f>
        <v/>
      </c>
      <c r="L3265" s="25"/>
    </row>
    <row r="3266" spans="1:12" x14ac:dyDescent="0.2">
      <c r="A3266" t="s">
        <v>1363</v>
      </c>
      <c r="B3266" s="26" t="s">
        <v>871</v>
      </c>
      <c r="C3266" s="26" t="s">
        <v>1498</v>
      </c>
      <c r="E3266" s="20" t="str">
        <f t="shared" si="348"/>
        <v/>
      </c>
      <c r="F3266" s="21" t="str">
        <f>IF(OR(E3266="",E3266="!!!"),"",IF(NOT(ISNA(VLOOKUP(E3266,E$1:E3265,1,FALSE()))),"OLD",IF(AND(E3266&lt;&gt;"",E3266&lt;&gt;"!!!"),"NEW","")))</f>
        <v/>
      </c>
      <c r="G3266" s="22" t="str">
        <f>IF(OR(E3266="",E3266="!!!"),"",IF(OR(J3266=0,AND(J3266=1,K3266=1),AND(J3266=1,I3266="SBJ"),AND(J3266=1,I3266=0)),"?IN_FOCUS",IF(J3266&lt;=2,"?ACTIVATED",IF(J3266&lt;&gt;"","?FAMILIAR",IF(F3266="NEW",IF(ISNA(VLOOKUP(E3266,#REF!,1,FALSE())),"?TYPE_IDENTIFIABLE","?REFERENTIAL"),"_")))))</f>
        <v/>
      </c>
      <c r="H3266" s="23" t="str">
        <f t="shared" ca="1" si="349"/>
        <v/>
      </c>
      <c r="I3266" s="24" t="str">
        <f>IF(OR(E3266="",E3266="!!!",F3266="NEW"),"",INDEX(B$2:B3265,-1+SUMPRODUCT(MAX(ROW(E$2:E3265)*(E3266=E$2:E3265)))))</f>
        <v/>
      </c>
      <c r="J3266" s="24" t="str">
        <f ca="1">IF(OR(E3266="",E3266="!!!",F3266="NEW"),"",COUNTBLANK(OFFSET(A$1,,,SUMPRODUCT(MAX(ROW(E$2:E3266)*(E3266=E$2:E3266)))))-COUNTBLANK(OFFSET(A$1,,,SUMPRODUCT(MAX(ROW(E$1:E3265)*(E2=E$1:E3265))))))</f>
        <v/>
      </c>
      <c r="K3266" s="24" t="str">
        <f>IF(OR(E3266="",E3266="!!!",F3266="NEW"),"",INDEX(J$1:J3265,SUMPRODUCT(MAX(ROW(E$1:E3265)*(E3266=E$1:E3265)))))</f>
        <v/>
      </c>
      <c r="L3266" s="25"/>
    </row>
    <row r="3267" spans="1:12" x14ac:dyDescent="0.2">
      <c r="A3267" t="s">
        <v>859</v>
      </c>
      <c r="E3267" s="20" t="str">
        <f t="shared" si="348"/>
        <v/>
      </c>
      <c r="F3267" s="21" t="str">
        <f>IF(OR(E3267="",E3267="!!!"),"",IF(NOT(ISNA(VLOOKUP(E3267,E$1:E3266,1,FALSE()))),"OLD",IF(AND(E3267&lt;&gt;"",E3267&lt;&gt;"!!!"),"NEW","")))</f>
        <v/>
      </c>
      <c r="G3267" s="22" t="str">
        <f>IF(OR(E3267="",E3267="!!!"),"",IF(OR(J3267=0,AND(J3267=1,K3267=1),AND(J3267=1,I3267="SBJ"),AND(J3267=1,I3267=0)),"?IN_FOCUS",IF(J3267&lt;=2,"?ACTIVATED",IF(J3267&lt;&gt;"","?FAMILIAR",IF(F3267="NEW",IF(ISNA(VLOOKUP(E3267,#REF!,1,FALSE())),"?TYPE_IDENTIFIABLE","?REFERENTIAL"),"_")))))</f>
        <v/>
      </c>
      <c r="H3267" s="23" t="str">
        <f t="shared" ca="1" si="349"/>
        <v/>
      </c>
      <c r="I3267" s="24" t="str">
        <f>IF(OR(E3267="",E3267="!!!",F3267="NEW"),"",INDEX(B$2:B3266,-1+SUMPRODUCT(MAX(ROW(E$2:E3266)*(E3267=E$2:E3266)))))</f>
        <v/>
      </c>
      <c r="J3267" s="24" t="str">
        <f ca="1">IF(OR(E3267="",E3267="!!!",F3267="NEW"),"",COUNTBLANK(OFFSET(A$1,,,SUMPRODUCT(MAX(ROW(E$2:E3267)*(E3267=E$2:E3267)))))-COUNTBLANK(OFFSET(A$1,,,SUMPRODUCT(MAX(ROW(E$1:E3266)*(E2=E$1:E3266))))))</f>
        <v/>
      </c>
      <c r="K3267" s="24" t="str">
        <f>IF(OR(E3267="",E3267="!!!",F3267="NEW"),"",INDEX(J$1:J3266,SUMPRODUCT(MAX(ROW(E$1:E3266)*(E3267=E$1:E3266)))))</f>
        <v/>
      </c>
      <c r="L3267" s="25"/>
    </row>
    <row r="3268" spans="1:12" x14ac:dyDescent="0.2">
      <c r="A3268" t="s">
        <v>152</v>
      </c>
      <c r="E3268" s="20" t="str">
        <f t="shared" si="348"/>
        <v/>
      </c>
      <c r="F3268" s="21" t="str">
        <f>IF(OR(E3268="",E3268="!!!"),"",IF(NOT(ISNA(VLOOKUP(E3268,E$1:E3267,1,FALSE()))),"OLD",IF(AND(E3268&lt;&gt;"",E3268&lt;&gt;"!!!"),"NEW","")))</f>
        <v/>
      </c>
      <c r="G3268" s="22" t="str">
        <f>IF(OR(E3268="",E3268="!!!"),"",IF(OR(J3268=0,AND(J3268=1,K3268=1),AND(J3268=1,I3268="SBJ"),AND(J3268=1,I3268=0)),"?IN_FOCUS",IF(J3268&lt;=2,"?ACTIVATED",IF(J3268&lt;&gt;"","?FAMILIAR",IF(F3268="NEW",IF(ISNA(VLOOKUP(E3268,#REF!,1,FALSE())),"?TYPE_IDENTIFIABLE","?REFERENTIAL"),"_")))))</f>
        <v/>
      </c>
      <c r="H3268" s="23" t="str">
        <f t="shared" ca="1" si="349"/>
        <v/>
      </c>
      <c r="I3268" s="24" t="str">
        <f>IF(OR(E3268="",E3268="!!!",F3268="NEW"),"",INDEX(B$2:B3267,-1+SUMPRODUCT(MAX(ROW(E$2:E3267)*(E3268=E$2:E3267)))))</f>
        <v/>
      </c>
      <c r="J3268" s="24" t="str">
        <f ca="1">IF(OR(E3268="",E3268="!!!",F3268="NEW"),"",COUNTBLANK(OFFSET(A$1,,,SUMPRODUCT(MAX(ROW(E$2:E3268)*(E3268=E$2:E3268)))))-COUNTBLANK(OFFSET(A$1,,,SUMPRODUCT(MAX(ROW(E$1:E3267)*(E2=E$1:E3267))))))</f>
        <v/>
      </c>
      <c r="K3268" s="24" t="str">
        <f>IF(OR(E3268="",E3268="!!!",F3268="NEW"),"",INDEX(J$1:J3267,SUMPRODUCT(MAX(ROW(E$1:E3267)*(E3268=E$1:E3267)))))</f>
        <v/>
      </c>
      <c r="L3268" s="25"/>
    </row>
    <row r="3269" spans="1:12" x14ac:dyDescent="0.2">
      <c r="A3269" t="s">
        <v>1715</v>
      </c>
      <c r="B3269" s="26" t="s">
        <v>1117</v>
      </c>
      <c r="E3269" s="20" t="str">
        <f t="shared" si="348"/>
        <v/>
      </c>
      <c r="F3269" s="21" t="str">
        <f>IF(OR(E3269="",E3269="!!!"),"",IF(NOT(ISNA(VLOOKUP(E3269,E$1:E3268,1,FALSE()))),"OLD",IF(AND(E3269&lt;&gt;"",E3269&lt;&gt;"!!!"),"NEW","")))</f>
        <v/>
      </c>
      <c r="G3269" s="22" t="str">
        <f>IF(OR(E3269="",E3269="!!!"),"",IF(OR(J3269=0,AND(J3269=1,K3269=1),AND(J3269=1,I3269="SBJ"),AND(J3269=1,I3269=0)),"?IN_FOCUS",IF(J3269&lt;=2,"?ACTIVATED",IF(J3269&lt;&gt;"","?FAMILIAR",IF(F3269="NEW",IF(ISNA(VLOOKUP(E3269,#REF!,1,FALSE())),"?TYPE_IDENTIFIABLE","?REFERENTIAL"),"_")))))</f>
        <v/>
      </c>
      <c r="H3269" s="23" t="str">
        <f t="shared" ca="1" si="349"/>
        <v/>
      </c>
      <c r="I3269" s="24" t="str">
        <f>IF(OR(E3269="",E3269="!!!",F3269="NEW"),"",INDEX(B$2:B3268,-1+SUMPRODUCT(MAX(ROW(E$2:E3268)*(E3269=E$2:E3268)))))</f>
        <v/>
      </c>
      <c r="J3269" s="24" t="str">
        <f ca="1">IF(OR(E3269="",E3269="!!!",F3269="NEW"),"",COUNTBLANK(OFFSET(A$1,,,SUMPRODUCT(MAX(ROW(E$2:E3269)*(E3269=E$2:E3269)))))-COUNTBLANK(OFFSET(A$1,,,SUMPRODUCT(MAX(ROW(E$1:E3268)*(E2=E$1:E3268))))))</f>
        <v/>
      </c>
      <c r="K3269" s="24" t="str">
        <f>IF(OR(E3269="",E3269="!!!",F3269="NEW"),"",INDEX(J$1:J3268,SUMPRODUCT(MAX(ROW(E$1:E3268)*(E3269=E$1:E3268)))))</f>
        <v/>
      </c>
      <c r="L3269" s="25"/>
    </row>
    <row r="3270" spans="1:12" x14ac:dyDescent="0.2">
      <c r="A3270" t="s">
        <v>922</v>
      </c>
      <c r="E3270" s="20" t="str">
        <f t="shared" si="348"/>
        <v/>
      </c>
      <c r="F3270" s="21" t="str">
        <f>IF(OR(E3270="",E3270="!!!"),"",IF(NOT(ISNA(VLOOKUP(E3270,E$1:E3269,1,FALSE()))),"OLD",IF(AND(E3270&lt;&gt;"",E3270&lt;&gt;"!!!"),"NEW","")))</f>
        <v/>
      </c>
      <c r="G3270" s="22" t="str">
        <f>IF(OR(E3270="",E3270="!!!"),"",IF(OR(J3270=0,AND(J3270=1,K3270=1),AND(J3270=1,I3270="SBJ"),AND(J3270=1,I3270=0)),"?IN_FOCUS",IF(J3270&lt;=2,"?ACTIVATED",IF(J3270&lt;&gt;"","?FAMILIAR",IF(F3270="NEW",IF(ISNA(VLOOKUP(E3270,#REF!,1,FALSE())),"?TYPE_IDENTIFIABLE","?REFERENTIAL"),"_")))))</f>
        <v/>
      </c>
      <c r="H3270" s="23" t="str">
        <f t="shared" ca="1" si="349"/>
        <v/>
      </c>
      <c r="I3270" s="24" t="str">
        <f>IF(OR(E3270="",E3270="!!!",F3270="NEW"),"",INDEX(B$2:B3269,-1+SUMPRODUCT(MAX(ROW(E$2:E3269)*(E3270=E$2:E3269)))))</f>
        <v/>
      </c>
      <c r="J3270" s="24" t="str">
        <f ca="1">IF(OR(E3270="",E3270="!!!",F3270="NEW"),"",COUNTBLANK(OFFSET(A$1,,,SUMPRODUCT(MAX(ROW(E$2:E3270)*(E3270=E$2:E3270)))))-COUNTBLANK(OFFSET(A$1,,,SUMPRODUCT(MAX(ROW(E$1:E3269)*(E2=E$1:E3269))))))</f>
        <v/>
      </c>
      <c r="K3270" s="24" t="str">
        <f>IF(OR(E3270="",E3270="!!!",F3270="NEW"),"",INDEX(J$1:J3269,SUMPRODUCT(MAX(ROW(E$1:E3269)*(E3270=E$1:E3269)))))</f>
        <v/>
      </c>
      <c r="L3270" s="25"/>
    </row>
    <row r="3272" spans="1:12" x14ac:dyDescent="0.2">
      <c r="A3272" t="s">
        <v>1716</v>
      </c>
    </row>
    <row r="3273" spans="1:12" x14ac:dyDescent="0.2">
      <c r="A3273" t="s">
        <v>1717</v>
      </c>
      <c r="E3273" s="20" t="str">
        <f t="shared" ref="E3273:E3287" si="350">IF(D3273="?OLD","!!!","")</f>
        <v/>
      </c>
      <c r="F3273" s="21" t="str">
        <f>IF(OR(E3273="",E3273="!!!"),"",IF(NOT(ISNA(VLOOKUP(E3273,E$1:E3272,1,FALSE()))),"OLD",IF(AND(E3273&lt;&gt;"",E3273&lt;&gt;"!!!"),"NEW","")))</f>
        <v/>
      </c>
      <c r="G3273" s="22" t="str">
        <f>IF(OR(E3273="",E3273="!!!"),"",IF(OR(J3273=0,AND(J3273=1,K3273=1),AND(J3273=1,I3273="SBJ"),AND(J3273=1,I3273=0)),"?IN_FOCUS",IF(J3273&lt;=2,"?ACTIVATED",IF(J3273&lt;&gt;"","?FAMILIAR",IF(F3273="NEW",IF(ISNA(VLOOKUP(E3273,#REF!,1,FALSE())),"?TYPE_IDENTIFIABLE","?REFERENTIAL"),"_")))))</f>
        <v/>
      </c>
      <c r="H3273" s="23" t="str">
        <f t="shared" ref="H3273:H3287" ca="1" si="351">IF(J3273&lt;&gt;1,"",IF(I3273="SBJ","CB","?"))</f>
        <v/>
      </c>
      <c r="I3273" s="24" t="str">
        <f>IF(OR(E3273="",E3273="!!!",F3273="NEW"),"",INDEX(B$2:B3272,-1+SUMPRODUCT(MAX(ROW(E$2:E3272)*(E3273=E$2:E3272)))))</f>
        <v/>
      </c>
      <c r="J3273" s="24" t="str">
        <f ca="1">IF(OR(E3273="",E3273="!!!",F3273="NEW"),"",COUNTBLANK(OFFSET(A$1,,,SUMPRODUCT(MAX(ROW(E$2:E3273)*(E3273=E$2:E3273)))))-COUNTBLANK(OFFSET(A$1,,,SUMPRODUCT(MAX(ROW(E$1:E3272)*(E2=E$1:E3272))))))</f>
        <v/>
      </c>
      <c r="K3273" s="24" t="str">
        <f>IF(OR(E3273="",E3273="!!!",F3273="NEW"),"",INDEX(J$1:J3272,SUMPRODUCT(MAX(ROW(E$1:E3272)*(E3273=E$1:E3272)))))</f>
        <v/>
      </c>
      <c r="L3273" s="25"/>
    </row>
    <row r="3274" spans="1:12" x14ac:dyDescent="0.2">
      <c r="A3274" t="s">
        <v>309</v>
      </c>
      <c r="E3274" s="20" t="str">
        <f t="shared" si="350"/>
        <v/>
      </c>
      <c r="F3274" s="21" t="str">
        <f>IF(OR(E3274="",E3274="!!!"),"",IF(NOT(ISNA(VLOOKUP(E3274,E$1:E3273,1,FALSE()))),"OLD",IF(AND(E3274&lt;&gt;"",E3274&lt;&gt;"!!!"),"NEW","")))</f>
        <v/>
      </c>
      <c r="G3274" s="22" t="str">
        <f>IF(OR(E3274="",E3274="!!!"),"",IF(OR(J3274=0,AND(J3274=1,K3274=1),AND(J3274=1,I3274="SBJ"),AND(J3274=1,I3274=0)),"?IN_FOCUS",IF(J3274&lt;=2,"?ACTIVATED",IF(J3274&lt;&gt;"","?FAMILIAR",IF(F3274="NEW",IF(ISNA(VLOOKUP(E3274,#REF!,1,FALSE())),"?TYPE_IDENTIFIABLE","?REFERENTIAL"),"_")))))</f>
        <v/>
      </c>
      <c r="H3274" s="23" t="str">
        <f t="shared" ca="1" si="351"/>
        <v/>
      </c>
      <c r="I3274" s="24" t="str">
        <f>IF(OR(E3274="",E3274="!!!",F3274="NEW"),"",INDEX(B$2:B3273,-1+SUMPRODUCT(MAX(ROW(E$2:E3273)*(E3274=E$2:E3273)))))</f>
        <v/>
      </c>
      <c r="J3274" s="24" t="str">
        <f ca="1">IF(OR(E3274="",E3274="!!!",F3274="NEW"),"",COUNTBLANK(OFFSET(A$1,,,SUMPRODUCT(MAX(ROW(E$2:E3274)*(E3274=E$2:E3274)))))-COUNTBLANK(OFFSET(A$1,,,SUMPRODUCT(MAX(ROW(E$1:E3273)*(E2=E$1:E3273))))))</f>
        <v/>
      </c>
      <c r="K3274" s="24" t="str">
        <f>IF(OR(E3274="",E3274="!!!",F3274="NEW"),"",INDEX(J$1:J3273,SUMPRODUCT(MAX(ROW(E$1:E3273)*(E3274=E$1:E3273)))))</f>
        <v/>
      </c>
      <c r="L3274" s="25"/>
    </row>
    <row r="3275" spans="1:12" x14ac:dyDescent="0.2">
      <c r="A3275" t="s">
        <v>1060</v>
      </c>
      <c r="B3275" s="26" t="s">
        <v>938</v>
      </c>
      <c r="C3275" s="26" t="s">
        <v>987</v>
      </c>
      <c r="D3275" s="26" t="s">
        <v>806</v>
      </c>
      <c r="E3275" s="20" t="s">
        <v>1813</v>
      </c>
      <c r="F3275" s="21" t="str">
        <f>IF(OR(E3275="",E3275="!!!"),"",IF(NOT(ISNA(VLOOKUP(E3275,E$1:E3274,1,FALSE()))),"OLD",IF(AND(E3275&lt;&gt;"",E3275&lt;&gt;"!!!"),"NEW","")))</f>
        <v>NEW</v>
      </c>
      <c r="G3275" s="22" t="s">
        <v>1822</v>
      </c>
      <c r="H3275" s="23" t="str">
        <f t="shared" ca="1" si="351"/>
        <v/>
      </c>
      <c r="I3275" s="24" t="str">
        <f>IF(OR(E3275="",E3275="!!!",F3275="NEW"),"",INDEX(B$2:B3274,-1+SUMPRODUCT(MAX(ROW(E$2:E3274)*(E3275=E$2:E3274)))))</f>
        <v/>
      </c>
      <c r="J3275" s="24" t="str">
        <f ca="1">IF(OR(E3275="",E3275="!!!",F3275="NEW"),"",COUNTBLANK(OFFSET(A$1,,,SUMPRODUCT(MAX(ROW(E$2:E3275)*(E3275=E$2:E3275)))))-COUNTBLANK(OFFSET(A$1,,,SUMPRODUCT(MAX(ROW(E$1:E3274)*(E2=E$1:E3274))))))</f>
        <v/>
      </c>
      <c r="K3275" s="24" t="str">
        <f>IF(OR(E3275="",E3275="!!!",F3275="NEW"),"",INDEX(J$1:J3274,SUMPRODUCT(MAX(ROW(E$1:E3274)*(E3275=E$1:E3274)))))</f>
        <v/>
      </c>
      <c r="L3275" s="25"/>
    </row>
    <row r="3276" spans="1:12" x14ac:dyDescent="0.2">
      <c r="A3276" t="s">
        <v>802</v>
      </c>
      <c r="E3276" s="20" t="str">
        <f t="shared" si="350"/>
        <v/>
      </c>
      <c r="F3276" s="21" t="str">
        <f>IF(OR(E3276="",E3276="!!!"),"",IF(NOT(ISNA(VLOOKUP(E3276,E$1:E3275,1,FALSE()))),"OLD",IF(AND(E3276&lt;&gt;"",E3276&lt;&gt;"!!!"),"NEW","")))</f>
        <v/>
      </c>
      <c r="G3276" s="22" t="str">
        <f>IF(OR(E3276="",E3276="!!!"),"",IF(OR(J3276=0,AND(J3276=1,K3276=1),AND(J3276=1,I3276="SBJ"),AND(J3276=1,I3276=0)),"?IN_FOCUS",IF(J3276&lt;=2,"?ACTIVATED",IF(J3276&lt;&gt;"","?FAMILIAR",IF(F3276="NEW",IF(ISNA(VLOOKUP(E3276,#REF!,1,FALSE())),"?TYPE_IDENTIFIABLE","?REFERENTIAL"),"_")))))</f>
        <v/>
      </c>
      <c r="H3276" s="23" t="str">
        <f t="shared" ca="1" si="351"/>
        <v/>
      </c>
      <c r="I3276" s="24" t="str">
        <f>IF(OR(E3276="",E3276="!!!",F3276="NEW"),"",INDEX(B$2:B3275,-1+SUMPRODUCT(MAX(ROW(E$2:E3275)*(E3276=E$2:E3275)))))</f>
        <v/>
      </c>
      <c r="J3276" s="24" t="str">
        <f ca="1">IF(OR(E3276="",E3276="!!!",F3276="NEW"),"",COUNTBLANK(OFFSET(A$1,,,SUMPRODUCT(MAX(ROW(E$2:E3276)*(E3276=E$2:E3276)))))-COUNTBLANK(OFFSET(A$1,,,SUMPRODUCT(MAX(ROW(E$1:E3275)*(E2=E$1:E3275))))))</f>
        <v/>
      </c>
      <c r="K3276" s="24" t="str">
        <f>IF(OR(E3276="",E3276="!!!",F3276="NEW"),"",INDEX(J$1:J3275,SUMPRODUCT(MAX(ROW(E$1:E3275)*(E3276=E$1:E3275)))))</f>
        <v/>
      </c>
      <c r="L3276" s="25"/>
    </row>
    <row r="3277" spans="1:12" x14ac:dyDescent="0.2">
      <c r="A3277" t="s">
        <v>309</v>
      </c>
      <c r="E3277" s="20" t="str">
        <f t="shared" si="350"/>
        <v/>
      </c>
      <c r="F3277" s="21" t="str">
        <f>IF(OR(E3277="",E3277="!!!"),"",IF(NOT(ISNA(VLOOKUP(E3277,E$1:E3276,1,FALSE()))),"OLD",IF(AND(E3277&lt;&gt;"",E3277&lt;&gt;"!!!"),"NEW","")))</f>
        <v/>
      </c>
      <c r="G3277" s="22" t="str">
        <f>IF(OR(E3277="",E3277="!!!"),"",IF(OR(J3277=0,AND(J3277=1,K3277=1),AND(J3277=1,I3277="SBJ"),AND(J3277=1,I3277=0)),"?IN_FOCUS",IF(J3277&lt;=2,"?ACTIVATED",IF(J3277&lt;&gt;"","?FAMILIAR",IF(F3277="NEW",IF(ISNA(VLOOKUP(E3277,#REF!,1,FALSE())),"?TYPE_IDENTIFIABLE","?REFERENTIAL"),"_")))))</f>
        <v/>
      </c>
      <c r="H3277" s="23" t="str">
        <f t="shared" ca="1" si="351"/>
        <v/>
      </c>
      <c r="I3277" s="24" t="str">
        <f>IF(OR(E3277="",E3277="!!!",F3277="NEW"),"",INDEX(B$2:B3276,-1+SUMPRODUCT(MAX(ROW(E$2:E3276)*(E3277=E$2:E3276)))))</f>
        <v/>
      </c>
      <c r="J3277" s="24" t="str">
        <f ca="1">IF(OR(E3277="",E3277="!!!",F3277="NEW"),"",COUNTBLANK(OFFSET(A$1,,,SUMPRODUCT(MAX(ROW(E$2:E3277)*(E3277=E$2:E3277)))))-COUNTBLANK(OFFSET(A$1,,,SUMPRODUCT(MAX(ROW(E$1:E3276)*(E2=E$1:E3276))))))</f>
        <v/>
      </c>
      <c r="K3277" s="24" t="str">
        <f>IF(OR(E3277="",E3277="!!!",F3277="NEW"),"",INDEX(J$1:J3276,SUMPRODUCT(MAX(ROW(E$1:E3276)*(E3277=E$1:E3276)))))</f>
        <v/>
      </c>
      <c r="L3277" s="25"/>
    </row>
    <row r="3278" spans="1:12" x14ac:dyDescent="0.2">
      <c r="A3278" t="s">
        <v>999</v>
      </c>
      <c r="E3278" s="20" t="str">
        <f t="shared" si="350"/>
        <v/>
      </c>
      <c r="F3278" s="21" t="str">
        <f>IF(OR(E3278="",E3278="!!!"),"",IF(NOT(ISNA(VLOOKUP(E3278,E$1:E3277,1,FALSE()))),"OLD",IF(AND(E3278&lt;&gt;"",E3278&lt;&gt;"!!!"),"NEW","")))</f>
        <v/>
      </c>
      <c r="G3278" s="22" t="str">
        <f>IF(OR(E3278="",E3278="!!!"),"",IF(OR(J3278=0,AND(J3278=1,K3278=1),AND(J3278=1,I3278="SBJ"),AND(J3278=1,I3278=0)),"?IN_FOCUS",IF(J3278&lt;=2,"?ACTIVATED",IF(J3278&lt;&gt;"","?FAMILIAR",IF(F3278="NEW",IF(ISNA(VLOOKUP(E3278,#REF!,1,FALSE())),"?TYPE_IDENTIFIABLE","?REFERENTIAL"),"_")))))</f>
        <v/>
      </c>
      <c r="H3278" s="23" t="str">
        <f t="shared" ca="1" si="351"/>
        <v/>
      </c>
      <c r="I3278" s="24" t="str">
        <f>IF(OR(E3278="",E3278="!!!",F3278="NEW"),"",INDEX(B$2:B3277,-1+SUMPRODUCT(MAX(ROW(E$2:E3277)*(E3278=E$2:E3277)))))</f>
        <v/>
      </c>
      <c r="J3278" s="24" t="str">
        <f ca="1">IF(OR(E3278="",E3278="!!!",F3278="NEW"),"",COUNTBLANK(OFFSET(A$1,,,SUMPRODUCT(MAX(ROW(E$2:E3278)*(E3278=E$2:E3278)))))-COUNTBLANK(OFFSET(A$1,,,SUMPRODUCT(MAX(ROW(E$1:E3277)*(E2=E$1:E3277))))))</f>
        <v/>
      </c>
      <c r="K3278" s="24" t="str">
        <f>IF(OR(E3278="",E3278="!!!",F3278="NEW"),"",INDEX(J$1:J3277,SUMPRODUCT(MAX(ROW(E$1:E3277)*(E3278=E$1:E3277)))))</f>
        <v/>
      </c>
      <c r="L3278" s="25"/>
    </row>
    <row r="3279" spans="1:12" x14ac:dyDescent="0.2">
      <c r="A3279" t="s">
        <v>486</v>
      </c>
      <c r="E3279" s="20" t="str">
        <f t="shared" si="350"/>
        <v/>
      </c>
      <c r="F3279" s="21" t="str">
        <f>IF(OR(E3279="",E3279="!!!"),"",IF(NOT(ISNA(VLOOKUP(E3279,E$1:E3278,1,FALSE()))),"OLD",IF(AND(E3279&lt;&gt;"",E3279&lt;&gt;"!!!"),"NEW","")))</f>
        <v/>
      </c>
      <c r="G3279" s="22" t="str">
        <f>IF(OR(E3279="",E3279="!!!"),"",IF(OR(J3279=0,AND(J3279=1,K3279=1),AND(J3279=1,I3279="SBJ"),AND(J3279=1,I3279=0)),"?IN_FOCUS",IF(J3279&lt;=2,"?ACTIVATED",IF(J3279&lt;&gt;"","?FAMILIAR",IF(F3279="NEW",IF(ISNA(VLOOKUP(E3279,#REF!,1,FALSE())),"?TYPE_IDENTIFIABLE","?REFERENTIAL"),"_")))))</f>
        <v/>
      </c>
      <c r="H3279" s="23" t="str">
        <f t="shared" ca="1" si="351"/>
        <v/>
      </c>
      <c r="I3279" s="24" t="str">
        <f>IF(OR(E3279="",E3279="!!!",F3279="NEW"),"",INDEX(B$2:B3278,-1+SUMPRODUCT(MAX(ROW(E$2:E3278)*(E3279=E$2:E3278)))))</f>
        <v/>
      </c>
      <c r="J3279" s="24" t="str">
        <f ca="1">IF(OR(E3279="",E3279="!!!",F3279="NEW"),"",COUNTBLANK(OFFSET(A$1,,,SUMPRODUCT(MAX(ROW(E$2:E3279)*(E3279=E$2:E3279)))))-COUNTBLANK(OFFSET(A$1,,,SUMPRODUCT(MAX(ROW(E$1:E3278)*(E2=E$1:E3278))))))</f>
        <v/>
      </c>
      <c r="K3279" s="24" t="str">
        <f>IF(OR(E3279="",E3279="!!!",F3279="NEW"),"",INDEX(J$1:J3278,SUMPRODUCT(MAX(ROW(E$1:E3278)*(E3279=E$1:E3278)))))</f>
        <v/>
      </c>
      <c r="L3279" s="25"/>
    </row>
    <row r="3280" spans="1:12" x14ac:dyDescent="0.2">
      <c r="A3280" t="s">
        <v>894</v>
      </c>
      <c r="E3280" s="20" t="str">
        <f t="shared" si="350"/>
        <v/>
      </c>
      <c r="F3280" s="21" t="str">
        <f>IF(OR(E3280="",E3280="!!!"),"",IF(NOT(ISNA(VLOOKUP(E3280,E$1:E3279,1,FALSE()))),"OLD",IF(AND(E3280&lt;&gt;"",E3280&lt;&gt;"!!!"),"NEW","")))</f>
        <v/>
      </c>
      <c r="G3280" s="22" t="str">
        <f>IF(OR(E3280="",E3280="!!!"),"",IF(OR(J3280=0,AND(J3280=1,K3280=1),AND(J3280=1,I3280="SBJ"),AND(J3280=1,I3280=0)),"?IN_FOCUS",IF(J3280&lt;=2,"?ACTIVATED",IF(J3280&lt;&gt;"","?FAMILIAR",IF(F3280="NEW",IF(ISNA(VLOOKUP(E3280,#REF!,1,FALSE())),"?TYPE_IDENTIFIABLE","?REFERENTIAL"),"_")))))</f>
        <v/>
      </c>
      <c r="H3280" s="23" t="str">
        <f t="shared" ca="1" si="351"/>
        <v/>
      </c>
      <c r="I3280" s="24" t="str">
        <f>IF(OR(E3280="",E3280="!!!",F3280="NEW"),"",INDEX(B$2:B3279,-1+SUMPRODUCT(MAX(ROW(E$2:E3279)*(E3280=E$2:E3279)))))</f>
        <v/>
      </c>
      <c r="J3280" s="24" t="str">
        <f ca="1">IF(OR(E3280="",E3280="!!!",F3280="NEW"),"",COUNTBLANK(OFFSET(A$1,,,SUMPRODUCT(MAX(ROW(E$2:E3280)*(E3280=E$2:E3280)))))-COUNTBLANK(OFFSET(A$1,,,SUMPRODUCT(MAX(ROW(E$1:E3279)*(E2=E$1:E3279))))))</f>
        <v/>
      </c>
      <c r="K3280" s="24" t="str">
        <f>IF(OR(E3280="",E3280="!!!",F3280="NEW"),"",INDEX(J$1:J3279,SUMPRODUCT(MAX(ROW(E$1:E3279)*(E3280=E$1:E3279)))))</f>
        <v/>
      </c>
      <c r="L3280" s="25"/>
    </row>
    <row r="3281" spans="1:12" x14ac:dyDescent="0.2">
      <c r="A3281" t="s">
        <v>845</v>
      </c>
      <c r="E3281" s="20" t="str">
        <f t="shared" si="350"/>
        <v/>
      </c>
      <c r="F3281" s="21" t="str">
        <f>IF(OR(E3281="",E3281="!!!"),"",IF(NOT(ISNA(VLOOKUP(E3281,E$1:E3280,1,FALSE()))),"OLD",IF(AND(E3281&lt;&gt;"",E3281&lt;&gt;"!!!"),"NEW","")))</f>
        <v/>
      </c>
      <c r="G3281" s="22" t="str">
        <f>IF(OR(E3281="",E3281="!!!"),"",IF(OR(J3281=0,AND(J3281=1,K3281=1),AND(J3281=1,I3281="SBJ"),AND(J3281=1,I3281=0)),"?IN_FOCUS",IF(J3281&lt;=2,"?ACTIVATED",IF(J3281&lt;&gt;"","?FAMILIAR",IF(F3281="NEW",IF(ISNA(VLOOKUP(E3281,#REF!,1,FALSE())),"?TYPE_IDENTIFIABLE","?REFERENTIAL"),"_")))))</f>
        <v/>
      </c>
      <c r="H3281" s="23" t="str">
        <f t="shared" ca="1" si="351"/>
        <v/>
      </c>
      <c r="I3281" s="24" t="str">
        <f>IF(OR(E3281="",E3281="!!!",F3281="NEW"),"",INDEX(B$2:B3280,-1+SUMPRODUCT(MAX(ROW(E$2:E3280)*(E3281=E$2:E3280)))))</f>
        <v/>
      </c>
      <c r="J3281" s="24" t="str">
        <f ca="1">IF(OR(E3281="",E3281="!!!",F3281="NEW"),"",COUNTBLANK(OFFSET(A$1,,,SUMPRODUCT(MAX(ROW(E$2:E3281)*(E3281=E$2:E3281)))))-COUNTBLANK(OFFSET(A$1,,,SUMPRODUCT(MAX(ROW(E$1:E3280)*(E2=E$1:E3280))))))</f>
        <v/>
      </c>
      <c r="K3281" s="24" t="str">
        <f>IF(OR(E3281="",E3281="!!!",F3281="NEW"),"",INDEX(J$1:J3280,SUMPRODUCT(MAX(ROW(E$1:E3280)*(E3281=E$1:E3280)))))</f>
        <v/>
      </c>
      <c r="L3281" s="25"/>
    </row>
    <row r="3282" spans="1:12" x14ac:dyDescent="0.2">
      <c r="A3282" t="s">
        <v>1668</v>
      </c>
      <c r="E3282" s="20" t="str">
        <f t="shared" si="350"/>
        <v/>
      </c>
      <c r="F3282" s="21" t="str">
        <f>IF(OR(E3282="",E3282="!!!"),"",IF(NOT(ISNA(VLOOKUP(E3282,E$1:E3281,1,FALSE()))),"OLD",IF(AND(E3282&lt;&gt;"",E3282&lt;&gt;"!!!"),"NEW","")))</f>
        <v/>
      </c>
      <c r="G3282" s="22" t="str">
        <f>IF(OR(E3282="",E3282="!!!"),"",IF(OR(J3282=0,AND(J3282=1,K3282=1),AND(J3282=1,I3282="SBJ"),AND(J3282=1,I3282=0)),"?IN_FOCUS",IF(J3282&lt;=2,"?ACTIVATED",IF(J3282&lt;&gt;"","?FAMILIAR",IF(F3282="NEW",IF(ISNA(VLOOKUP(E3282,#REF!,1,FALSE())),"?TYPE_IDENTIFIABLE","?REFERENTIAL"),"_")))))</f>
        <v/>
      </c>
      <c r="H3282" s="23" t="str">
        <f t="shared" ca="1" si="351"/>
        <v/>
      </c>
      <c r="I3282" s="24" t="str">
        <f>IF(OR(E3282="",E3282="!!!",F3282="NEW"),"",INDEX(B$2:B3281,-1+SUMPRODUCT(MAX(ROW(E$2:E3281)*(E3282=E$2:E3281)))))</f>
        <v/>
      </c>
      <c r="J3282" s="24" t="str">
        <f ca="1">IF(OR(E3282="",E3282="!!!",F3282="NEW"),"",COUNTBLANK(OFFSET(A$1,,,SUMPRODUCT(MAX(ROW(E$2:E3282)*(E3282=E$2:E3282)))))-COUNTBLANK(OFFSET(A$1,,,SUMPRODUCT(MAX(ROW(E$1:E3281)*(E2=E$1:E3281))))))</f>
        <v/>
      </c>
      <c r="K3282" s="24" t="str">
        <f>IF(OR(E3282="",E3282="!!!",F3282="NEW"),"",INDEX(J$1:J3281,SUMPRODUCT(MAX(ROW(E$1:E3281)*(E3282=E$1:E3281)))))</f>
        <v/>
      </c>
      <c r="L3282" s="25"/>
    </row>
    <row r="3283" spans="1:12" x14ac:dyDescent="0.2">
      <c r="A3283" t="s">
        <v>1718</v>
      </c>
      <c r="B3283" s="26" t="s">
        <v>819</v>
      </c>
      <c r="C3283" s="26" t="s">
        <v>847</v>
      </c>
      <c r="D3283" s="26" t="s">
        <v>806</v>
      </c>
      <c r="E3283" s="20"/>
      <c r="F3283" s="21" t="str">
        <f>IF(OR(E3283="",E3283="!!!"),"",IF(NOT(ISNA(VLOOKUP(E3283,E$1:E3282,1,FALSE()))),"OLD",IF(AND(E3283&lt;&gt;"",E3283&lt;&gt;"!!!"),"NEW","")))</f>
        <v/>
      </c>
      <c r="G3283" s="22" t="str">
        <f>IF(OR(E3283="",E3283="!!!"),"",IF(OR(J3283=0,AND(J3283=1,K3283=1),AND(J3283=1,I3283="SBJ"),AND(J3283=1,I3283=0)),"?IN_FOCUS",IF(J3283&lt;=2,"?ACTIVATED",IF(J3283&lt;&gt;"","?FAMILIAR",IF(F3283="NEW",IF(ISNA(VLOOKUP(E3283,#REF!,1,FALSE())),"?TYPE_IDENTIFIABLE","?REFERENTIAL"),"_")))))</f>
        <v/>
      </c>
      <c r="H3283" s="23" t="str">
        <f t="shared" ca="1" si="351"/>
        <v/>
      </c>
      <c r="I3283" s="24" t="str">
        <f>IF(OR(E3283="",E3283="!!!",F3283="NEW"),"",INDEX(B$2:B3282,-1+SUMPRODUCT(MAX(ROW(E$2:E3282)*(E3283=E$2:E3282)))))</f>
        <v/>
      </c>
      <c r="J3283" s="24" t="str">
        <f ca="1">IF(OR(E3283="",E3283="!!!",F3283="NEW"),"",COUNTBLANK(OFFSET(A$1,,,SUMPRODUCT(MAX(ROW(E$2:E3283)*(E3283=E$2:E3283)))))-COUNTBLANK(OFFSET(A$1,,,SUMPRODUCT(MAX(ROW(E$1:E3282)*(E2=E$1:E3282))))))</f>
        <v/>
      </c>
      <c r="K3283" s="24" t="str">
        <f>IF(OR(E3283="",E3283="!!!",F3283="NEW"),"",INDEX(J$1:J3282,SUMPRODUCT(MAX(ROW(E$1:E3282)*(E3283=E$1:E3282)))))</f>
        <v/>
      </c>
      <c r="L3283" s="25"/>
    </row>
    <row r="3284" spans="1:12" x14ac:dyDescent="0.2">
      <c r="A3284" t="s">
        <v>878</v>
      </c>
      <c r="E3284" s="20" t="str">
        <f t="shared" si="350"/>
        <v/>
      </c>
      <c r="F3284" s="21" t="str">
        <f>IF(OR(E3284="",E3284="!!!"),"",IF(NOT(ISNA(VLOOKUP(E3284,E$1:E3283,1,FALSE()))),"OLD",IF(AND(E3284&lt;&gt;"",E3284&lt;&gt;"!!!"),"NEW","")))</f>
        <v/>
      </c>
      <c r="G3284" s="22" t="str">
        <f>IF(OR(E3284="",E3284="!!!"),"",IF(OR(J3284=0,AND(J3284=1,K3284=1),AND(J3284=1,I3284="SBJ"),AND(J3284=1,I3284=0)),"?IN_FOCUS",IF(J3284&lt;=2,"?ACTIVATED",IF(J3284&lt;&gt;"","?FAMILIAR",IF(F3284="NEW",IF(ISNA(VLOOKUP(E3284,#REF!,1,FALSE())),"?TYPE_IDENTIFIABLE","?REFERENTIAL"),"_")))))</f>
        <v/>
      </c>
      <c r="H3284" s="23" t="str">
        <f t="shared" ca="1" si="351"/>
        <v/>
      </c>
      <c r="I3284" s="24" t="str">
        <f>IF(OR(E3284="",E3284="!!!",F3284="NEW"),"",INDEX(B$2:B3283,-1+SUMPRODUCT(MAX(ROW(E$2:E3283)*(E3284=E$2:E3283)))))</f>
        <v/>
      </c>
      <c r="J3284" s="24" t="str">
        <f ca="1">IF(OR(E3284="",E3284="!!!",F3284="NEW"),"",COUNTBLANK(OFFSET(A$1,,,SUMPRODUCT(MAX(ROW(E$2:E3284)*(E3284=E$2:E3284)))))-COUNTBLANK(OFFSET(A$1,,,SUMPRODUCT(MAX(ROW(E$1:E3283)*(E2=E$1:E3283))))))</f>
        <v/>
      </c>
      <c r="K3284" s="24" t="str">
        <f>IF(OR(E3284="",E3284="!!!",F3284="NEW"),"",INDEX(J$1:J3283,SUMPRODUCT(MAX(ROW(E$1:E3283)*(E3284=E$1:E3283)))))</f>
        <v/>
      </c>
      <c r="L3284" s="25"/>
    </row>
    <row r="3285" spans="1:12" x14ac:dyDescent="0.2">
      <c r="A3285" t="s">
        <v>845</v>
      </c>
      <c r="E3285" s="20" t="str">
        <f t="shared" si="350"/>
        <v/>
      </c>
      <c r="F3285" s="21" t="str">
        <f>IF(OR(E3285="",E3285="!!!"),"",IF(NOT(ISNA(VLOOKUP(E3285,E$1:E3284,1,FALSE()))),"OLD",IF(AND(E3285&lt;&gt;"",E3285&lt;&gt;"!!!"),"NEW","")))</f>
        <v/>
      </c>
      <c r="G3285" s="22" t="str">
        <f>IF(OR(E3285="",E3285="!!!"),"",IF(OR(J3285=0,AND(J3285=1,K3285=1),AND(J3285=1,I3285="SBJ"),AND(J3285=1,I3285=0)),"?IN_FOCUS",IF(J3285&lt;=2,"?ACTIVATED",IF(J3285&lt;&gt;"","?FAMILIAR",IF(F3285="NEW",IF(ISNA(VLOOKUP(E3285,#REF!,1,FALSE())),"?TYPE_IDENTIFIABLE","?REFERENTIAL"),"_")))))</f>
        <v/>
      </c>
      <c r="H3285" s="23" t="str">
        <f t="shared" ca="1" si="351"/>
        <v/>
      </c>
      <c r="I3285" s="24" t="str">
        <f>IF(OR(E3285="",E3285="!!!",F3285="NEW"),"",INDEX(B$2:B3284,-1+SUMPRODUCT(MAX(ROW(E$2:E3284)*(E3285=E$2:E3284)))))</f>
        <v/>
      </c>
      <c r="J3285" s="24" t="str">
        <f ca="1">IF(OR(E3285="",E3285="!!!",F3285="NEW"),"",COUNTBLANK(OFFSET(A$1,,,SUMPRODUCT(MAX(ROW(E$2:E3285)*(E3285=E$2:E3285)))))-COUNTBLANK(OFFSET(A$1,,,SUMPRODUCT(MAX(ROW(E$1:E3284)*(E2=E$1:E3284))))))</f>
        <v/>
      </c>
      <c r="K3285" s="24" t="str">
        <f>IF(OR(E3285="",E3285="!!!",F3285="NEW"),"",INDEX(J$1:J3284,SUMPRODUCT(MAX(ROW(E$1:E3284)*(E3285=E$1:E3284)))))</f>
        <v/>
      </c>
      <c r="L3285" s="25"/>
    </row>
    <row r="3286" spans="1:12" x14ac:dyDescent="0.2">
      <c r="A3286" t="s">
        <v>966</v>
      </c>
      <c r="B3286" s="26" t="s">
        <v>819</v>
      </c>
      <c r="C3286" s="26" t="s">
        <v>847</v>
      </c>
      <c r="D3286" s="26" t="s">
        <v>806</v>
      </c>
      <c r="E3286" s="20" t="s">
        <v>1814</v>
      </c>
      <c r="F3286" s="21" t="str">
        <f>IF(OR(E3286="",E3286="!!!"),"",IF(NOT(ISNA(VLOOKUP(E3286,E$1:E3285,1,FALSE()))),"OLD",IF(AND(E3286&lt;&gt;"",E3286&lt;&gt;"!!!"),"NEW","")))</f>
        <v>NEW</v>
      </c>
      <c r="G3286" s="22" t="s">
        <v>1820</v>
      </c>
      <c r="H3286" s="23" t="str">
        <f t="shared" ca="1" si="351"/>
        <v/>
      </c>
      <c r="I3286" s="24" t="str">
        <f>IF(OR(E3286="",E3286="!!!",F3286="NEW"),"",INDEX(B$2:B3285,-1+SUMPRODUCT(MAX(ROW(E$2:E3285)*(E3286=E$2:E3285)))))</f>
        <v/>
      </c>
      <c r="J3286" s="24" t="str">
        <f ca="1">IF(OR(E3286="",E3286="!!!",F3286="NEW"),"",COUNTBLANK(OFFSET(A$1,,,SUMPRODUCT(MAX(ROW(E$2:E3286)*(E3286=E$2:E3286)))))-COUNTBLANK(OFFSET(A$1,,,SUMPRODUCT(MAX(ROW(E$1:E3285)*(E2=E$1:E3285))))))</f>
        <v/>
      </c>
      <c r="K3286" s="24" t="str">
        <f>IF(OR(E3286="",E3286="!!!",F3286="NEW"),"",INDEX(J$1:J3285,SUMPRODUCT(MAX(ROW(E$1:E3285)*(E3286=E$1:E3285)))))</f>
        <v/>
      </c>
      <c r="L3286" s="25"/>
    </row>
    <row r="3287" spans="1:12" x14ac:dyDescent="0.2">
      <c r="A3287" t="s">
        <v>821</v>
      </c>
      <c r="E3287" s="20" t="str">
        <f t="shared" si="350"/>
        <v/>
      </c>
      <c r="F3287" s="21" t="str">
        <f>IF(OR(E3287="",E3287="!!!"),"",IF(NOT(ISNA(VLOOKUP(E3287,E$1:E3286,1,FALSE()))),"OLD",IF(AND(E3287&lt;&gt;"",E3287&lt;&gt;"!!!"),"NEW","")))</f>
        <v/>
      </c>
      <c r="G3287" s="22" t="str">
        <f>IF(OR(E3287="",E3287="!!!"),"",IF(OR(J3287=0,AND(J3287=1,K3287=1),AND(J3287=1,I3287="SBJ"),AND(J3287=1,I3287=0)),"?IN_FOCUS",IF(J3287&lt;=2,"?ACTIVATED",IF(J3287&lt;&gt;"","?FAMILIAR",IF(F3287="NEW",IF(ISNA(VLOOKUP(E3287,#REF!,1,FALSE())),"?TYPE_IDENTIFIABLE","?REFERENTIAL"),"_")))))</f>
        <v/>
      </c>
      <c r="H3287" s="23" t="str">
        <f t="shared" ca="1" si="351"/>
        <v/>
      </c>
      <c r="I3287" s="24" t="str">
        <f>IF(OR(E3287="",E3287="!!!",F3287="NEW"),"",INDEX(B$2:B3286,-1+SUMPRODUCT(MAX(ROW(E$2:E3286)*(E3287=E$2:E3286)))))</f>
        <v/>
      </c>
      <c r="J3287" s="24" t="str">
        <f ca="1">IF(OR(E3287="",E3287="!!!",F3287="NEW"),"",COUNTBLANK(OFFSET(A$1,,,SUMPRODUCT(MAX(ROW(E$2:E3287)*(E3287=E$2:E3287)))))-COUNTBLANK(OFFSET(A$1,,,SUMPRODUCT(MAX(ROW(E$1:E3286)*(E2=E$1:E3286))))))</f>
        <v/>
      </c>
      <c r="K3287" s="24" t="str">
        <f>IF(OR(E3287="",E3287="!!!",F3287="NEW"),"",INDEX(J$1:J3286,SUMPRODUCT(MAX(ROW(E$1:E3286)*(E3287=E$1:E3286)))))</f>
        <v/>
      </c>
      <c r="L3287" s="25"/>
    </row>
    <row r="3289" spans="1:12" x14ac:dyDescent="0.2">
      <c r="A3289" t="s">
        <v>1719</v>
      </c>
    </row>
    <row r="3290" spans="1:12" x14ac:dyDescent="0.2">
      <c r="A3290" t="s">
        <v>837</v>
      </c>
      <c r="B3290" s="26" t="s">
        <v>804</v>
      </c>
      <c r="C3290" s="26" t="s">
        <v>805</v>
      </c>
      <c r="D3290" s="26" t="s">
        <v>806</v>
      </c>
      <c r="E3290" s="20" t="s">
        <v>1814</v>
      </c>
      <c r="F3290" s="21" t="str">
        <f>IF(OR(E3290="",E3290="!!!"),"",IF(NOT(ISNA(VLOOKUP(E3290,E$1:E3289,1,FALSE()))),"OLD",IF(AND(E3290&lt;&gt;"",E3290&lt;&gt;"!!!"),"NEW","")))</f>
        <v>OLD</v>
      </c>
      <c r="G3290" s="22" t="s">
        <v>1823</v>
      </c>
      <c r="H3290" s="23" t="str">
        <f t="shared" ref="H3290:H3299" ca="1" si="352">IF(J3290&lt;&gt;1,"",IF(I3290="SBJ","CB","?"))</f>
        <v/>
      </c>
      <c r="I3290" s="24" t="str">
        <f>IF(OR(E3290="",E3290="!!!",F3290="NEW"),"",INDEX(B$2:B3289,-1+SUMPRODUCT(MAX(ROW(E$2:E3289)*(E3290=E$2:E3289)))))</f>
        <v>other</v>
      </c>
      <c r="J3290" s="24">
        <f ca="1">IF(OR(E3290="",E3290="!!!",F3290="NEW"),"",COUNTBLANK(OFFSET(A$1,,,SUMPRODUCT(MAX(ROW(E$2:E3290)*(E3290=E$2:E3290)))))-COUNTBLANK(OFFSET(A$1,,,SUMPRODUCT(MAX(ROW(E$1:E3289)*(E2=E$1:E3289))))))</f>
        <v>0</v>
      </c>
      <c r="K3290" s="24" t="str">
        <f ca="1">IF(OR(E3290="",E3290="!!!",F3290="NEW"),"",INDEX(J$1:J3289,SUMPRODUCT(MAX(ROW(E$1:E3289)*(E3290=E$1:E3289)))))</f>
        <v/>
      </c>
      <c r="L3290" s="25"/>
    </row>
    <row r="3291" spans="1:12" x14ac:dyDescent="0.2">
      <c r="A3291" t="s">
        <v>898</v>
      </c>
      <c r="E3291" s="20" t="str">
        <f t="shared" ref="E3290:E3299" si="353">IF(D3291="?OLD","!!!","")</f>
        <v/>
      </c>
      <c r="F3291" s="21" t="str">
        <f>IF(OR(E3291="",E3291="!!!"),"",IF(NOT(ISNA(VLOOKUP(E3291,E$1:E3290,1,FALSE()))),"OLD",IF(AND(E3291&lt;&gt;"",E3291&lt;&gt;"!!!"),"NEW","")))</f>
        <v/>
      </c>
      <c r="G3291" s="22" t="str">
        <f>IF(OR(E3291="",E3291="!!!"),"",IF(OR(J3291=0,AND(J3291=1,K3291=1),AND(J3291=1,I3291="SBJ"),AND(J3291=1,I3291=0)),"?IN_FOCUS",IF(J3291&lt;=2,"?ACTIVATED",IF(J3291&lt;&gt;"","?FAMILIAR",IF(F3291="NEW",IF(ISNA(VLOOKUP(E3291,#REF!,1,FALSE())),"?TYPE_IDENTIFIABLE","?REFERENTIAL"),"_")))))</f>
        <v/>
      </c>
      <c r="H3291" s="23" t="str">
        <f t="shared" ca="1" si="352"/>
        <v/>
      </c>
      <c r="I3291" s="24" t="str">
        <f>IF(OR(E3291="",E3291="!!!",F3291="NEW"),"",INDEX(B$2:B3290,-1+SUMPRODUCT(MAX(ROW(E$2:E3290)*(E3291=E$2:E3290)))))</f>
        <v/>
      </c>
      <c r="J3291" s="24" t="str">
        <f ca="1">IF(OR(E3291="",E3291="!!!",F3291="NEW"),"",COUNTBLANK(OFFSET(A$1,,,SUMPRODUCT(MAX(ROW(E$2:E3291)*(E3291=E$2:E3291)))))-COUNTBLANK(OFFSET(A$1,,,SUMPRODUCT(MAX(ROW(E$1:E3290)*(E2=E$1:E3290))))))</f>
        <v/>
      </c>
      <c r="K3291" s="24" t="str">
        <f>IF(OR(E3291="",E3291="!!!",F3291="NEW"),"",INDEX(J$1:J3290,SUMPRODUCT(MAX(ROW(E$1:E3290)*(E3291=E$1:E3290)))))</f>
        <v/>
      </c>
      <c r="L3291" s="25"/>
    </row>
    <row r="3292" spans="1:12" x14ac:dyDescent="0.2">
      <c r="A3292" t="s">
        <v>1360</v>
      </c>
      <c r="E3292" s="20" t="str">
        <f t="shared" si="353"/>
        <v/>
      </c>
      <c r="F3292" s="21" t="str">
        <f>IF(OR(E3292="",E3292="!!!"),"",IF(NOT(ISNA(VLOOKUP(E3292,E$1:E3291,1,FALSE()))),"OLD",IF(AND(E3292&lt;&gt;"",E3292&lt;&gt;"!!!"),"NEW","")))</f>
        <v/>
      </c>
      <c r="G3292" s="22" t="str">
        <f>IF(OR(E3292="",E3292="!!!"),"",IF(OR(J3292=0,AND(J3292=1,K3292=1),AND(J3292=1,I3292="SBJ"),AND(J3292=1,I3292=0)),"?IN_FOCUS",IF(J3292&lt;=2,"?ACTIVATED",IF(J3292&lt;&gt;"","?FAMILIAR",IF(F3292="NEW",IF(ISNA(VLOOKUP(E3292,#REF!,1,FALSE())),"?TYPE_IDENTIFIABLE","?REFERENTIAL"),"_")))))</f>
        <v/>
      </c>
      <c r="H3292" s="23" t="str">
        <f t="shared" ca="1" si="352"/>
        <v/>
      </c>
      <c r="I3292" s="24" t="str">
        <f>IF(OR(E3292="",E3292="!!!",F3292="NEW"),"",INDEX(B$2:B3291,-1+SUMPRODUCT(MAX(ROW(E$2:E3291)*(E3292=E$2:E3291)))))</f>
        <v/>
      </c>
      <c r="J3292" s="24" t="str">
        <f ca="1">IF(OR(E3292="",E3292="!!!",F3292="NEW"),"",COUNTBLANK(OFFSET(A$1,,,SUMPRODUCT(MAX(ROW(E$2:E3292)*(E3292=E$2:E3292)))))-COUNTBLANK(OFFSET(A$1,,,SUMPRODUCT(MAX(ROW(E$1:E3291)*(E2=E$1:E3291))))))</f>
        <v/>
      </c>
      <c r="K3292" s="24" t="str">
        <f>IF(OR(E3292="",E3292="!!!",F3292="NEW"),"",INDEX(J$1:J3291,SUMPRODUCT(MAX(ROW(E$1:E3291)*(E3292=E$1:E3291)))))</f>
        <v/>
      </c>
      <c r="L3292" s="25"/>
    </row>
    <row r="3293" spans="1:12" x14ac:dyDescent="0.2">
      <c r="A3293" t="s">
        <v>1720</v>
      </c>
      <c r="E3293" s="20" t="str">
        <f t="shared" si="353"/>
        <v/>
      </c>
      <c r="F3293" s="21" t="str">
        <f>IF(OR(E3293="",E3293="!!!"),"",IF(NOT(ISNA(VLOOKUP(E3293,E$1:E3292,1,FALSE()))),"OLD",IF(AND(E3293&lt;&gt;"",E3293&lt;&gt;"!!!"),"NEW","")))</f>
        <v/>
      </c>
      <c r="G3293" s="22" t="str">
        <f>IF(OR(E3293="",E3293="!!!"),"",IF(OR(J3293=0,AND(J3293=1,K3293=1),AND(J3293=1,I3293="SBJ"),AND(J3293=1,I3293=0)),"?IN_FOCUS",IF(J3293&lt;=2,"?ACTIVATED",IF(J3293&lt;&gt;"","?FAMILIAR",IF(F3293="NEW",IF(ISNA(VLOOKUP(E3293,#REF!,1,FALSE())),"?TYPE_IDENTIFIABLE","?REFERENTIAL"),"_")))))</f>
        <v/>
      </c>
      <c r="H3293" s="23" t="str">
        <f t="shared" ca="1" si="352"/>
        <v/>
      </c>
      <c r="I3293" s="24" t="str">
        <f>IF(OR(E3293="",E3293="!!!",F3293="NEW"),"",INDEX(B$2:B3292,-1+SUMPRODUCT(MAX(ROW(E$2:E3292)*(E3293=E$2:E3292)))))</f>
        <v/>
      </c>
      <c r="J3293" s="24" t="str">
        <f ca="1">IF(OR(E3293="",E3293="!!!",F3293="NEW"),"",COUNTBLANK(OFFSET(A$1,,,SUMPRODUCT(MAX(ROW(E$2:E3293)*(E3293=E$2:E3293)))))-COUNTBLANK(OFFSET(A$1,,,SUMPRODUCT(MAX(ROW(E$1:E3292)*(E2=E$1:E3292))))))</f>
        <v/>
      </c>
      <c r="K3293" s="24" t="str">
        <f>IF(OR(E3293="",E3293="!!!",F3293="NEW"),"",INDEX(J$1:J3292,SUMPRODUCT(MAX(ROW(E$1:E3292)*(E3293=E$1:E3292)))))</f>
        <v/>
      </c>
      <c r="L3293" s="25"/>
    </row>
    <row r="3294" spans="1:12" x14ac:dyDescent="0.2">
      <c r="A3294" t="s">
        <v>802</v>
      </c>
      <c r="E3294" s="20" t="str">
        <f t="shared" si="353"/>
        <v/>
      </c>
      <c r="F3294" s="21" t="str">
        <f>IF(OR(E3294="",E3294="!!!"),"",IF(NOT(ISNA(VLOOKUP(E3294,E$1:E3293,1,FALSE()))),"OLD",IF(AND(E3294&lt;&gt;"",E3294&lt;&gt;"!!!"),"NEW","")))</f>
        <v/>
      </c>
      <c r="G3294" s="22" t="str">
        <f>IF(OR(E3294="",E3294="!!!"),"",IF(OR(J3294=0,AND(J3294=1,K3294=1),AND(J3294=1,I3294="SBJ"),AND(J3294=1,I3294=0)),"?IN_FOCUS",IF(J3294&lt;=2,"?ACTIVATED",IF(J3294&lt;&gt;"","?FAMILIAR",IF(F3294="NEW",IF(ISNA(VLOOKUP(E3294,#REF!,1,FALSE())),"?TYPE_IDENTIFIABLE","?REFERENTIAL"),"_")))))</f>
        <v/>
      </c>
      <c r="H3294" s="23" t="str">
        <f t="shared" ca="1" si="352"/>
        <v/>
      </c>
      <c r="I3294" s="24" t="str">
        <f>IF(OR(E3294="",E3294="!!!",F3294="NEW"),"",INDEX(B$2:B3293,-1+SUMPRODUCT(MAX(ROW(E$2:E3293)*(E3294=E$2:E3293)))))</f>
        <v/>
      </c>
      <c r="J3294" s="24" t="str">
        <f ca="1">IF(OR(E3294="",E3294="!!!",F3294="NEW"),"",COUNTBLANK(OFFSET(A$1,,,SUMPRODUCT(MAX(ROW(E$2:E3294)*(E3294=E$2:E3294)))))-COUNTBLANK(OFFSET(A$1,,,SUMPRODUCT(MAX(ROW(E$1:E3293)*(E2=E$1:E3293))))))</f>
        <v/>
      </c>
      <c r="K3294" s="24" t="str">
        <f>IF(OR(E3294="",E3294="!!!",F3294="NEW"),"",INDEX(J$1:J3293,SUMPRODUCT(MAX(ROW(E$1:E3293)*(E3294=E$1:E3293)))))</f>
        <v/>
      </c>
      <c r="L3294" s="25"/>
    </row>
    <row r="3295" spans="1:12" x14ac:dyDescent="0.2">
      <c r="A3295" t="s">
        <v>888</v>
      </c>
      <c r="E3295" s="20" t="str">
        <f t="shared" si="353"/>
        <v/>
      </c>
      <c r="F3295" s="21" t="str">
        <f>IF(OR(E3295="",E3295="!!!"),"",IF(NOT(ISNA(VLOOKUP(E3295,E$1:E3294,1,FALSE()))),"OLD",IF(AND(E3295&lt;&gt;"",E3295&lt;&gt;"!!!"),"NEW","")))</f>
        <v/>
      </c>
      <c r="G3295" s="22" t="str">
        <f>IF(OR(E3295="",E3295="!!!"),"",IF(OR(J3295=0,AND(J3295=1,K3295=1),AND(J3295=1,I3295="SBJ"),AND(J3295=1,I3295=0)),"?IN_FOCUS",IF(J3295&lt;=2,"?ACTIVATED",IF(J3295&lt;&gt;"","?FAMILIAR",IF(F3295="NEW",IF(ISNA(VLOOKUP(E3295,#REF!,1,FALSE())),"?TYPE_IDENTIFIABLE","?REFERENTIAL"),"_")))))</f>
        <v/>
      </c>
      <c r="H3295" s="23" t="str">
        <f t="shared" ca="1" si="352"/>
        <v/>
      </c>
      <c r="I3295" s="24" t="str">
        <f>IF(OR(E3295="",E3295="!!!",F3295="NEW"),"",INDEX(B$2:B3294,-1+SUMPRODUCT(MAX(ROW(E$2:E3294)*(E3295=E$2:E3294)))))</f>
        <v/>
      </c>
      <c r="J3295" s="24" t="str">
        <f ca="1">IF(OR(E3295="",E3295="!!!",F3295="NEW"),"",COUNTBLANK(OFFSET(A$1,,,SUMPRODUCT(MAX(ROW(E$2:E3295)*(E3295=E$2:E3295)))))-COUNTBLANK(OFFSET(A$1,,,SUMPRODUCT(MAX(ROW(E$1:E3294)*(E2=E$1:E3294))))))</f>
        <v/>
      </c>
      <c r="K3295" s="24" t="str">
        <f>IF(OR(E3295="",E3295="!!!",F3295="NEW"),"",INDEX(J$1:J3294,SUMPRODUCT(MAX(ROW(E$1:E3294)*(E3295=E$1:E3294)))))</f>
        <v/>
      </c>
      <c r="L3295" s="25"/>
    </row>
    <row r="3296" spans="1:12" x14ac:dyDescent="0.2">
      <c r="A3296" t="s">
        <v>830</v>
      </c>
      <c r="B3296" s="26" t="s">
        <v>950</v>
      </c>
      <c r="C3296" s="26" t="s">
        <v>805</v>
      </c>
      <c r="D3296" s="26" t="s">
        <v>806</v>
      </c>
      <c r="E3296" s="20" t="s">
        <v>1814</v>
      </c>
      <c r="F3296" s="21" t="str">
        <f>IF(OR(E3296="",E3296="!!!"),"",IF(NOT(ISNA(VLOOKUP(E3296,E$1:E3295,1,FALSE()))),"OLD",IF(AND(E3296&lt;&gt;"",E3296&lt;&gt;"!!!"),"NEW","")))</f>
        <v>OLD</v>
      </c>
      <c r="G3296" s="22" t="s">
        <v>1823</v>
      </c>
      <c r="H3296" s="23" t="str">
        <f t="shared" ca="1" si="352"/>
        <v/>
      </c>
      <c r="I3296" s="24" t="str">
        <f>IF(OR(E3296="",E3296="!!!",F3296="NEW"),"",INDEX(B$2:B3295,-1+SUMPRODUCT(MAX(ROW(E$2:E3295)*(E3296=E$2:E3295)))))</f>
        <v>SBJ</v>
      </c>
      <c r="J3296" s="24">
        <f ca="1">IF(OR(E3296="",E3296="!!!",F3296="NEW"),"",COUNTBLANK(OFFSET(A$1,,,SUMPRODUCT(MAX(ROW(E$2:E3296)*(E3296=E$2:E3296)))))-COUNTBLANK(OFFSET(A$1,,,SUMPRODUCT(MAX(ROW(E$1:E3295)*(E2=E$1:E3295))))))</f>
        <v>0</v>
      </c>
      <c r="K3296" s="24">
        <f ca="1">IF(OR(E3296="",E3296="!!!",F3296="NEW"),"",INDEX(J$1:J3295,SUMPRODUCT(MAX(ROW(E$1:E3295)*(E3296=E$1:E3295)))))</f>
        <v>0</v>
      </c>
      <c r="L3296" s="25"/>
    </row>
    <row r="3297" spans="1:12" x14ac:dyDescent="0.2">
      <c r="A3297" t="s">
        <v>898</v>
      </c>
      <c r="E3297" s="20" t="str">
        <f t="shared" si="353"/>
        <v/>
      </c>
      <c r="F3297" s="21" t="str">
        <f>IF(OR(E3297="",E3297="!!!"),"",IF(NOT(ISNA(VLOOKUP(E3297,E$1:E3296,1,FALSE()))),"OLD",IF(AND(E3297&lt;&gt;"",E3297&lt;&gt;"!!!"),"NEW","")))</f>
        <v/>
      </c>
      <c r="G3297" s="22" t="str">
        <f>IF(OR(E3297="",E3297="!!!"),"",IF(OR(J3297=0,AND(J3297=1,K3297=1),AND(J3297=1,I3297="SBJ"),AND(J3297=1,I3297=0)),"?IN_FOCUS",IF(J3297&lt;=2,"?ACTIVATED",IF(J3297&lt;&gt;"","?FAMILIAR",IF(F3297="NEW",IF(ISNA(VLOOKUP(E3297,#REF!,1,FALSE())),"?TYPE_IDENTIFIABLE","?REFERENTIAL"),"_")))))</f>
        <v/>
      </c>
      <c r="H3297" s="23" t="str">
        <f t="shared" ca="1" si="352"/>
        <v/>
      </c>
      <c r="I3297" s="24" t="str">
        <f>IF(OR(E3297="",E3297="!!!",F3297="NEW"),"",INDEX(B$2:B3296,-1+SUMPRODUCT(MAX(ROW(E$2:E3296)*(E3297=E$2:E3296)))))</f>
        <v/>
      </c>
      <c r="J3297" s="24" t="str">
        <f ca="1">IF(OR(E3297="",E3297="!!!",F3297="NEW"),"",COUNTBLANK(OFFSET(A$1,,,SUMPRODUCT(MAX(ROW(E$2:E3297)*(E3297=E$2:E3297)))))-COUNTBLANK(OFFSET(A$1,,,SUMPRODUCT(MAX(ROW(E$1:E3296)*(E2=E$1:E3296))))))</f>
        <v/>
      </c>
      <c r="K3297" s="24" t="str">
        <f>IF(OR(E3297="",E3297="!!!",F3297="NEW"),"",INDEX(J$1:J3296,SUMPRODUCT(MAX(ROW(E$1:E3296)*(E3297=E$1:E3296)))))</f>
        <v/>
      </c>
      <c r="L3297" s="25"/>
    </row>
    <row r="3298" spans="1:12" x14ac:dyDescent="0.2">
      <c r="A3298" t="s">
        <v>1721</v>
      </c>
      <c r="E3298" s="20" t="str">
        <f t="shared" si="353"/>
        <v/>
      </c>
      <c r="F3298" s="21" t="str">
        <f>IF(OR(E3298="",E3298="!!!"),"",IF(NOT(ISNA(VLOOKUP(E3298,E$1:E3297,1,FALSE()))),"OLD",IF(AND(E3298&lt;&gt;"",E3298&lt;&gt;"!!!"),"NEW","")))</f>
        <v/>
      </c>
      <c r="G3298" s="22" t="str">
        <f>IF(OR(E3298="",E3298="!!!"),"",IF(OR(J3298=0,AND(J3298=1,K3298=1),AND(J3298=1,I3298="SBJ"),AND(J3298=1,I3298=0)),"?IN_FOCUS",IF(J3298&lt;=2,"?ACTIVATED",IF(J3298&lt;&gt;"","?FAMILIAR",IF(F3298="NEW",IF(ISNA(VLOOKUP(E3298,#REF!,1,FALSE())),"?TYPE_IDENTIFIABLE","?REFERENTIAL"),"_")))))</f>
        <v/>
      </c>
      <c r="H3298" s="23" t="str">
        <f t="shared" ca="1" si="352"/>
        <v/>
      </c>
      <c r="I3298" s="24" t="str">
        <f>IF(OR(E3298="",E3298="!!!",F3298="NEW"),"",INDEX(B$2:B3297,-1+SUMPRODUCT(MAX(ROW(E$2:E3297)*(E3298=E$2:E3297)))))</f>
        <v/>
      </c>
      <c r="J3298" s="24" t="str">
        <f ca="1">IF(OR(E3298="",E3298="!!!",F3298="NEW"),"",COUNTBLANK(OFFSET(A$1,,,SUMPRODUCT(MAX(ROW(E$2:E3298)*(E3298=E$2:E3298)))))-COUNTBLANK(OFFSET(A$1,,,SUMPRODUCT(MAX(ROW(E$1:E3297)*(E2=E$1:E3297))))))</f>
        <v/>
      </c>
      <c r="K3298" s="24" t="str">
        <f>IF(OR(E3298="",E3298="!!!",F3298="NEW"),"",INDEX(J$1:J3297,SUMPRODUCT(MAX(ROW(E$1:E3297)*(E3298=E$1:E3297)))))</f>
        <v/>
      </c>
      <c r="L3298" s="25"/>
    </row>
    <row r="3299" spans="1:12" x14ac:dyDescent="0.2">
      <c r="A3299" t="s">
        <v>821</v>
      </c>
      <c r="E3299" s="20" t="str">
        <f t="shared" si="353"/>
        <v/>
      </c>
      <c r="F3299" s="21" t="str">
        <f>IF(OR(E3299="",E3299="!!!"),"",IF(NOT(ISNA(VLOOKUP(E3299,E$1:E3298,1,FALSE()))),"OLD",IF(AND(E3299&lt;&gt;"",E3299&lt;&gt;"!!!"),"NEW","")))</f>
        <v/>
      </c>
      <c r="G3299" s="22" t="str">
        <f>IF(OR(E3299="",E3299="!!!"),"",IF(OR(J3299=0,AND(J3299=1,K3299=1),AND(J3299=1,I3299="SBJ"),AND(J3299=1,I3299=0)),"?IN_FOCUS",IF(J3299&lt;=2,"?ACTIVATED",IF(J3299&lt;&gt;"","?FAMILIAR",IF(F3299="NEW",IF(ISNA(VLOOKUP(E3299,#REF!,1,FALSE())),"?TYPE_IDENTIFIABLE","?REFERENTIAL"),"_")))))</f>
        <v/>
      </c>
      <c r="H3299" s="23" t="str">
        <f t="shared" ca="1" si="352"/>
        <v/>
      </c>
      <c r="I3299" s="24" t="str">
        <f>IF(OR(E3299="",E3299="!!!",F3299="NEW"),"",INDEX(B$2:B3298,-1+SUMPRODUCT(MAX(ROW(E$2:E3298)*(E3299=E$2:E3298)))))</f>
        <v/>
      </c>
      <c r="J3299" s="24" t="str">
        <f ca="1">IF(OR(E3299="",E3299="!!!",F3299="NEW"),"",COUNTBLANK(OFFSET(A$1,,,SUMPRODUCT(MAX(ROW(E$2:E3299)*(E3299=E$2:E3299)))))-COUNTBLANK(OFFSET(A$1,,,SUMPRODUCT(MAX(ROW(E$1:E3298)*(E2=E$1:E3298))))))</f>
        <v/>
      </c>
      <c r="K3299" s="24" t="str">
        <f>IF(OR(E3299="",E3299="!!!",F3299="NEW"),"",INDEX(J$1:J3298,SUMPRODUCT(MAX(ROW(E$1:E3298)*(E3299=E$1:E3298)))))</f>
        <v/>
      </c>
      <c r="L3299" s="25"/>
    </row>
    <row r="3301" spans="1:12" x14ac:dyDescent="0.2">
      <c r="A3301" t="s">
        <v>1722</v>
      </c>
    </row>
    <row r="3302" spans="1:12" x14ac:dyDescent="0.2">
      <c r="A3302" t="s">
        <v>837</v>
      </c>
      <c r="B3302" s="26" t="s">
        <v>804</v>
      </c>
      <c r="C3302" s="26" t="s">
        <v>805</v>
      </c>
      <c r="D3302" s="26" t="s">
        <v>806</v>
      </c>
      <c r="E3302" s="20" t="s">
        <v>1814</v>
      </c>
      <c r="F3302" s="21" t="str">
        <f>IF(OR(E3302="",E3302="!!!"),"",IF(NOT(ISNA(VLOOKUP(E3302,E$1:E3301,1,FALSE()))),"OLD",IF(AND(E3302&lt;&gt;"",E3302&lt;&gt;"!!!"),"NEW","")))</f>
        <v>OLD</v>
      </c>
      <c r="G3302" s="22" t="s">
        <v>1823</v>
      </c>
      <c r="H3302" s="23" t="str">
        <f t="shared" ref="H3302:H3322" ca="1" si="354">IF(J3302&lt;&gt;1,"",IF(I3302="SBJ","CB","?"))</f>
        <v/>
      </c>
      <c r="I3302" s="24" t="str">
        <f>IF(OR(E3302="",E3302="!!!",F3302="NEW"),"",INDEX(B$2:B3301,-1+SUMPRODUCT(MAX(ROW(E$2:E3301)*(E3302=E$2:E3301)))))</f>
        <v>SBJ_2</v>
      </c>
      <c r="J3302" s="24">
        <f ca="1">IF(OR(E3302="",E3302="!!!",F3302="NEW"),"",COUNTBLANK(OFFSET(A$1,,,SUMPRODUCT(MAX(ROW(E$2:E3302)*(E3302=E$2:E3302)))))-COUNTBLANK(OFFSET(A$1,,,SUMPRODUCT(MAX(ROW(E$1:E3301)*(E2=E$1:E3301))))))</f>
        <v>0</v>
      </c>
      <c r="K3302" s="24">
        <f ca="1">IF(OR(E3302="",E3302="!!!",F3302="NEW"),"",INDEX(J$1:J3301,SUMPRODUCT(MAX(ROW(E$1:E3301)*(E3302=E$1:E3301)))))</f>
        <v>0</v>
      </c>
      <c r="L3302" s="25"/>
    </row>
    <row r="3303" spans="1:12" x14ac:dyDescent="0.2">
      <c r="A3303" t="s">
        <v>898</v>
      </c>
      <c r="E3303" s="20" t="str">
        <f t="shared" ref="E3302:E3322" si="355">IF(D3303="?OLD","!!!","")</f>
        <v/>
      </c>
      <c r="F3303" s="21" t="str">
        <f>IF(OR(E3303="",E3303="!!!"),"",IF(NOT(ISNA(VLOOKUP(E3303,E$1:E3302,1,FALSE()))),"OLD",IF(AND(E3303&lt;&gt;"",E3303&lt;&gt;"!!!"),"NEW","")))</f>
        <v/>
      </c>
      <c r="G3303" s="22" t="str">
        <f>IF(OR(E3303="",E3303="!!!"),"",IF(OR(J3303=0,AND(J3303=1,K3303=1),AND(J3303=1,I3303="SBJ"),AND(J3303=1,I3303=0)),"?IN_FOCUS",IF(J3303&lt;=2,"?ACTIVATED",IF(J3303&lt;&gt;"","?FAMILIAR",IF(F3303="NEW",IF(ISNA(VLOOKUP(E3303,#REF!,1,FALSE())),"?TYPE_IDENTIFIABLE","?REFERENTIAL"),"_")))))</f>
        <v/>
      </c>
      <c r="H3303" s="23" t="str">
        <f t="shared" ca="1" si="354"/>
        <v/>
      </c>
      <c r="I3303" s="24" t="str">
        <f>IF(OR(E3303="",E3303="!!!",F3303="NEW"),"",INDEX(B$2:B3302,-1+SUMPRODUCT(MAX(ROW(E$2:E3302)*(E3303=E$2:E3302)))))</f>
        <v/>
      </c>
      <c r="J3303" s="24" t="str">
        <f ca="1">IF(OR(E3303="",E3303="!!!",F3303="NEW"),"",COUNTBLANK(OFFSET(A$1,,,SUMPRODUCT(MAX(ROW(E$2:E3303)*(E3303=E$2:E3303)))))-COUNTBLANK(OFFSET(A$1,,,SUMPRODUCT(MAX(ROW(E$1:E3302)*(E2=E$1:E3302))))))</f>
        <v/>
      </c>
      <c r="K3303" s="24" t="str">
        <f>IF(OR(E3303="",E3303="!!!",F3303="NEW"),"",INDEX(J$1:J3302,SUMPRODUCT(MAX(ROW(E$1:E3302)*(E3303=E$1:E3302)))))</f>
        <v/>
      </c>
      <c r="L3303" s="25"/>
    </row>
    <row r="3304" spans="1:12" x14ac:dyDescent="0.2">
      <c r="A3304" t="s">
        <v>1723</v>
      </c>
      <c r="E3304" s="20" t="str">
        <f t="shared" si="355"/>
        <v/>
      </c>
      <c r="F3304" s="21" t="str">
        <f>IF(OR(E3304="",E3304="!!!"),"",IF(NOT(ISNA(VLOOKUP(E3304,E$1:E3303,1,FALSE()))),"OLD",IF(AND(E3304&lt;&gt;"",E3304&lt;&gt;"!!!"),"NEW","")))</f>
        <v/>
      </c>
      <c r="G3304" s="22" t="str">
        <f>IF(OR(E3304="",E3304="!!!"),"",IF(OR(J3304=0,AND(J3304=1,K3304=1),AND(J3304=1,I3304="SBJ"),AND(J3304=1,I3304=0)),"?IN_FOCUS",IF(J3304&lt;=2,"?ACTIVATED",IF(J3304&lt;&gt;"","?FAMILIAR",IF(F3304="NEW",IF(ISNA(VLOOKUP(E3304,#REF!,1,FALSE())),"?TYPE_IDENTIFIABLE","?REFERENTIAL"),"_")))))</f>
        <v/>
      </c>
      <c r="H3304" s="23" t="str">
        <f t="shared" ca="1" si="354"/>
        <v/>
      </c>
      <c r="I3304" s="24" t="str">
        <f>IF(OR(E3304="",E3304="!!!",F3304="NEW"),"",INDEX(B$2:B3303,-1+SUMPRODUCT(MAX(ROW(E$2:E3303)*(E3304=E$2:E3303)))))</f>
        <v/>
      </c>
      <c r="J3304" s="24" t="str">
        <f ca="1">IF(OR(E3304="",E3304="!!!",F3304="NEW"),"",COUNTBLANK(OFFSET(A$1,,,SUMPRODUCT(MAX(ROW(E$2:E3304)*(E3304=E$2:E3304)))))-COUNTBLANK(OFFSET(A$1,,,SUMPRODUCT(MAX(ROW(E$1:E3303)*(E2=E$1:E3303))))))</f>
        <v/>
      </c>
      <c r="K3304" s="24" t="str">
        <f>IF(OR(E3304="",E3304="!!!",F3304="NEW"),"",INDEX(J$1:J3303,SUMPRODUCT(MAX(ROW(E$1:E3303)*(E3304=E$1:E3303)))))</f>
        <v/>
      </c>
      <c r="L3304" s="25"/>
    </row>
    <row r="3305" spans="1:12" x14ac:dyDescent="0.2">
      <c r="A3305" t="s">
        <v>844</v>
      </c>
      <c r="E3305" s="20" t="str">
        <f t="shared" si="355"/>
        <v/>
      </c>
      <c r="F3305" s="21" t="str">
        <f>IF(OR(E3305="",E3305="!!!"),"",IF(NOT(ISNA(VLOOKUP(E3305,E$1:E3304,1,FALSE()))),"OLD",IF(AND(E3305&lt;&gt;"",E3305&lt;&gt;"!!!"),"NEW","")))</f>
        <v/>
      </c>
      <c r="G3305" s="22" t="str">
        <f>IF(OR(E3305="",E3305="!!!"),"",IF(OR(J3305=0,AND(J3305=1,K3305=1),AND(J3305=1,I3305="SBJ"),AND(J3305=1,I3305=0)),"?IN_FOCUS",IF(J3305&lt;=2,"?ACTIVATED",IF(J3305&lt;&gt;"","?FAMILIAR",IF(F3305="NEW",IF(ISNA(VLOOKUP(E3305,#REF!,1,FALSE())),"?TYPE_IDENTIFIABLE","?REFERENTIAL"),"_")))))</f>
        <v/>
      </c>
      <c r="H3305" s="23" t="str">
        <f t="shared" ca="1" si="354"/>
        <v/>
      </c>
      <c r="I3305" s="24" t="str">
        <f>IF(OR(E3305="",E3305="!!!",F3305="NEW"),"",INDEX(B$2:B3304,-1+SUMPRODUCT(MAX(ROW(E$2:E3304)*(E3305=E$2:E3304)))))</f>
        <v/>
      </c>
      <c r="J3305" s="24" t="str">
        <f ca="1">IF(OR(E3305="",E3305="!!!",F3305="NEW"),"",COUNTBLANK(OFFSET(A$1,,,SUMPRODUCT(MAX(ROW(E$2:E3305)*(E3305=E$2:E3305)))))-COUNTBLANK(OFFSET(A$1,,,SUMPRODUCT(MAX(ROW(E$1:E3304)*(E2=E$1:E3304))))))</f>
        <v/>
      </c>
      <c r="K3305" s="24" t="str">
        <f>IF(OR(E3305="",E3305="!!!",F3305="NEW"),"",INDEX(J$1:J3304,SUMPRODUCT(MAX(ROW(E$1:E3304)*(E3305=E$1:E3304)))))</f>
        <v/>
      </c>
      <c r="L3305" s="25"/>
    </row>
    <row r="3306" spans="1:12" x14ac:dyDescent="0.2">
      <c r="A3306" t="s">
        <v>1683</v>
      </c>
      <c r="B3306" s="26" t="s">
        <v>819</v>
      </c>
      <c r="C3306" s="26" t="s">
        <v>814</v>
      </c>
      <c r="E3306" s="20" t="str">
        <f t="shared" si="355"/>
        <v/>
      </c>
      <c r="F3306" s="21" t="str">
        <f>IF(OR(E3306="",E3306="!!!"),"",IF(NOT(ISNA(VLOOKUP(E3306,E$1:E3305,1,FALSE()))),"OLD",IF(AND(E3306&lt;&gt;"",E3306&lt;&gt;"!!!"),"NEW","")))</f>
        <v/>
      </c>
      <c r="G3306" s="22" t="str">
        <f>IF(OR(E3306="",E3306="!!!"),"",IF(OR(J3306=0,AND(J3306=1,K3306=1),AND(J3306=1,I3306="SBJ"),AND(J3306=1,I3306=0)),"?IN_FOCUS",IF(J3306&lt;=2,"?ACTIVATED",IF(J3306&lt;&gt;"","?FAMILIAR",IF(F3306="NEW",IF(ISNA(VLOOKUP(E3306,#REF!,1,FALSE())),"?TYPE_IDENTIFIABLE","?REFERENTIAL"),"_")))))</f>
        <v/>
      </c>
      <c r="H3306" s="23" t="str">
        <f t="shared" ca="1" si="354"/>
        <v/>
      </c>
      <c r="I3306" s="24" t="str">
        <f>IF(OR(E3306="",E3306="!!!",F3306="NEW"),"",INDEX(B$2:B3305,-1+SUMPRODUCT(MAX(ROW(E$2:E3305)*(E3306=E$2:E3305)))))</f>
        <v/>
      </c>
      <c r="J3306" s="24" t="str">
        <f ca="1">IF(OR(E3306="",E3306="!!!",F3306="NEW"),"",COUNTBLANK(OFFSET(A$1,,,SUMPRODUCT(MAX(ROW(E$2:E3306)*(E3306=E$2:E3306)))))-COUNTBLANK(OFFSET(A$1,,,SUMPRODUCT(MAX(ROW(E$1:E3305)*(E2=E$1:E3305))))))</f>
        <v/>
      </c>
      <c r="K3306" s="24" t="str">
        <f>IF(OR(E3306="",E3306="!!!",F3306="NEW"),"",INDEX(J$1:J3305,SUMPRODUCT(MAX(ROW(E$1:E3305)*(E3306=E$1:E3305)))))</f>
        <v/>
      </c>
      <c r="L3306" s="25"/>
    </row>
    <row r="3307" spans="1:12" x14ac:dyDescent="0.2">
      <c r="A3307" t="s">
        <v>802</v>
      </c>
      <c r="E3307" s="20" t="str">
        <f t="shared" si="355"/>
        <v/>
      </c>
      <c r="F3307" s="21" t="str">
        <f>IF(OR(E3307="",E3307="!!!"),"",IF(NOT(ISNA(VLOOKUP(E3307,E$1:E3306,1,FALSE()))),"OLD",IF(AND(E3307&lt;&gt;"",E3307&lt;&gt;"!!!"),"NEW","")))</f>
        <v/>
      </c>
      <c r="G3307" s="22" t="str">
        <f>IF(OR(E3307="",E3307="!!!"),"",IF(OR(J3307=0,AND(J3307=1,K3307=1),AND(J3307=1,I3307="SBJ"),AND(J3307=1,I3307=0)),"?IN_FOCUS",IF(J3307&lt;=2,"?ACTIVATED",IF(J3307&lt;&gt;"","?FAMILIAR",IF(F3307="NEW",IF(ISNA(VLOOKUP(E3307,#REF!,1,FALSE())),"?TYPE_IDENTIFIABLE","?REFERENTIAL"),"_")))))</f>
        <v/>
      </c>
      <c r="H3307" s="23" t="str">
        <f t="shared" ca="1" si="354"/>
        <v/>
      </c>
      <c r="I3307" s="24" t="str">
        <f>IF(OR(E3307="",E3307="!!!",F3307="NEW"),"",INDEX(B$2:B3306,-1+SUMPRODUCT(MAX(ROW(E$2:E3306)*(E3307=E$2:E3306)))))</f>
        <v/>
      </c>
      <c r="J3307" s="24" t="str">
        <f ca="1">IF(OR(E3307="",E3307="!!!",F3307="NEW"),"",COUNTBLANK(OFFSET(A$1,,,SUMPRODUCT(MAX(ROW(E$2:E3307)*(E3307=E$2:E3307)))))-COUNTBLANK(OFFSET(A$1,,,SUMPRODUCT(MAX(ROW(E$1:E3306)*(E2=E$1:E3306))))))</f>
        <v/>
      </c>
      <c r="K3307" s="24" t="str">
        <f>IF(OR(E3307="",E3307="!!!",F3307="NEW"),"",INDEX(J$1:J3306,SUMPRODUCT(MAX(ROW(E$1:E3306)*(E3307=E$1:E3306)))))</f>
        <v/>
      </c>
      <c r="L3307" s="25"/>
    </row>
    <row r="3308" spans="1:12" x14ac:dyDescent="0.2">
      <c r="A3308" t="s">
        <v>1724</v>
      </c>
      <c r="B3308" s="26" t="s">
        <v>819</v>
      </c>
      <c r="C3308" s="26" t="s">
        <v>814</v>
      </c>
      <c r="E3308" s="20" t="str">
        <f t="shared" si="355"/>
        <v/>
      </c>
      <c r="F3308" s="21" t="str">
        <f>IF(OR(E3308="",E3308="!!!"),"",IF(NOT(ISNA(VLOOKUP(E3308,E$1:E3307,1,FALSE()))),"OLD",IF(AND(E3308&lt;&gt;"",E3308&lt;&gt;"!!!"),"NEW","")))</f>
        <v/>
      </c>
      <c r="G3308" s="22" t="str">
        <f>IF(OR(E3308="",E3308="!!!"),"",IF(OR(J3308=0,AND(J3308=1,K3308=1),AND(J3308=1,I3308="SBJ"),AND(J3308=1,I3308=0)),"?IN_FOCUS",IF(J3308&lt;=2,"?ACTIVATED",IF(J3308&lt;&gt;"","?FAMILIAR",IF(F3308="NEW",IF(ISNA(VLOOKUP(E3308,#REF!,1,FALSE())),"?TYPE_IDENTIFIABLE","?REFERENTIAL"),"_")))))</f>
        <v/>
      </c>
      <c r="H3308" s="23" t="str">
        <f t="shared" ca="1" si="354"/>
        <v/>
      </c>
      <c r="I3308" s="24" t="str">
        <f>IF(OR(E3308="",E3308="!!!",F3308="NEW"),"",INDEX(B$2:B3307,-1+SUMPRODUCT(MAX(ROW(E$2:E3307)*(E3308=E$2:E3307)))))</f>
        <v/>
      </c>
      <c r="J3308" s="24" t="str">
        <f ca="1">IF(OR(E3308="",E3308="!!!",F3308="NEW"),"",COUNTBLANK(OFFSET(A$1,,,SUMPRODUCT(MAX(ROW(E$2:E3308)*(E3308=E$2:E3308)))))-COUNTBLANK(OFFSET(A$1,,,SUMPRODUCT(MAX(ROW(E$1:E3307)*(E2=E$1:E3307))))))</f>
        <v/>
      </c>
      <c r="K3308" s="24" t="str">
        <f>IF(OR(E3308="",E3308="!!!",F3308="NEW"),"",INDEX(J$1:J3307,SUMPRODUCT(MAX(ROW(E$1:E3307)*(E3308=E$1:E3307)))))</f>
        <v/>
      </c>
      <c r="L3308" s="25"/>
    </row>
    <row r="3309" spans="1:12" x14ac:dyDescent="0.2">
      <c r="A3309" t="s">
        <v>888</v>
      </c>
      <c r="E3309" s="20" t="str">
        <f t="shared" si="355"/>
        <v/>
      </c>
      <c r="F3309" s="21" t="str">
        <f>IF(OR(E3309="",E3309="!!!"),"",IF(NOT(ISNA(VLOOKUP(E3309,E$1:E3308,1,FALSE()))),"OLD",IF(AND(E3309&lt;&gt;"",E3309&lt;&gt;"!!!"),"NEW","")))</f>
        <v/>
      </c>
      <c r="G3309" s="22" t="str">
        <f>IF(OR(E3309="",E3309="!!!"),"",IF(OR(J3309=0,AND(J3309=1,K3309=1),AND(J3309=1,I3309="SBJ"),AND(J3309=1,I3309=0)),"?IN_FOCUS",IF(J3309&lt;=2,"?ACTIVATED",IF(J3309&lt;&gt;"","?FAMILIAR",IF(F3309="NEW",IF(ISNA(VLOOKUP(E3309,#REF!,1,FALSE())),"?TYPE_IDENTIFIABLE","?REFERENTIAL"),"_")))))</f>
        <v/>
      </c>
      <c r="H3309" s="23" t="str">
        <f t="shared" ca="1" si="354"/>
        <v/>
      </c>
      <c r="I3309" s="24" t="str">
        <f>IF(OR(E3309="",E3309="!!!",F3309="NEW"),"",INDEX(B$2:B3308,-1+SUMPRODUCT(MAX(ROW(E$2:E3308)*(E3309=E$2:E3308)))))</f>
        <v/>
      </c>
      <c r="J3309" s="24" t="str">
        <f ca="1">IF(OR(E3309="",E3309="!!!",F3309="NEW"),"",COUNTBLANK(OFFSET(A$1,,,SUMPRODUCT(MAX(ROW(E$2:E3309)*(E3309=E$2:E3309)))))-COUNTBLANK(OFFSET(A$1,,,SUMPRODUCT(MAX(ROW(E$1:E3308)*(E2=E$1:E3308))))))</f>
        <v/>
      </c>
      <c r="K3309" s="24" t="str">
        <f>IF(OR(E3309="",E3309="!!!",F3309="NEW"),"",INDEX(J$1:J3308,SUMPRODUCT(MAX(ROW(E$1:E3308)*(E3309=E$1:E3308)))))</f>
        <v/>
      </c>
      <c r="L3309" s="25"/>
    </row>
    <row r="3310" spans="1:12" x14ac:dyDescent="0.2">
      <c r="A3310" t="s">
        <v>1725</v>
      </c>
      <c r="B3310" s="26" t="s">
        <v>819</v>
      </c>
      <c r="C3310" s="26" t="s">
        <v>814</v>
      </c>
      <c r="E3310" s="20" t="str">
        <f t="shared" si="355"/>
        <v/>
      </c>
      <c r="F3310" s="21" t="str">
        <f>IF(OR(E3310="",E3310="!!!"),"",IF(NOT(ISNA(VLOOKUP(E3310,E$1:E3309,1,FALSE()))),"OLD",IF(AND(E3310&lt;&gt;"",E3310&lt;&gt;"!!!"),"NEW","")))</f>
        <v/>
      </c>
      <c r="G3310" s="22" t="str">
        <f>IF(OR(E3310="",E3310="!!!"),"",IF(OR(J3310=0,AND(J3310=1,K3310=1),AND(J3310=1,I3310="SBJ"),AND(J3310=1,I3310=0)),"?IN_FOCUS",IF(J3310&lt;=2,"?ACTIVATED",IF(J3310&lt;&gt;"","?FAMILIAR",IF(F3310="NEW",IF(ISNA(VLOOKUP(E3310,#REF!,1,FALSE())),"?TYPE_IDENTIFIABLE","?REFERENTIAL"),"_")))))</f>
        <v/>
      </c>
      <c r="H3310" s="23" t="str">
        <f t="shared" ca="1" si="354"/>
        <v/>
      </c>
      <c r="I3310" s="24" t="str">
        <f>IF(OR(E3310="",E3310="!!!",F3310="NEW"),"",INDEX(B$2:B3309,-1+SUMPRODUCT(MAX(ROW(E$2:E3309)*(E3310=E$2:E3309)))))</f>
        <v/>
      </c>
      <c r="J3310" s="24" t="str">
        <f ca="1">IF(OR(E3310="",E3310="!!!",F3310="NEW"),"",COUNTBLANK(OFFSET(A$1,,,SUMPRODUCT(MAX(ROW(E$2:E3310)*(E3310=E$2:E3310)))))-COUNTBLANK(OFFSET(A$1,,,SUMPRODUCT(MAX(ROW(E$1:E3309)*(E2=E$1:E3309))))))</f>
        <v/>
      </c>
      <c r="K3310" s="24" t="str">
        <f>IF(OR(E3310="",E3310="!!!",F3310="NEW"),"",INDEX(J$1:J3309,SUMPRODUCT(MAX(ROW(E$1:E3309)*(E3310=E$1:E3309)))))</f>
        <v/>
      </c>
      <c r="L3310" s="25"/>
    </row>
    <row r="3311" spans="1:12" x14ac:dyDescent="0.2">
      <c r="A3311" t="s">
        <v>802</v>
      </c>
      <c r="E3311" s="20" t="str">
        <f t="shared" si="355"/>
        <v/>
      </c>
      <c r="F3311" s="21" t="str">
        <f>IF(OR(E3311="",E3311="!!!"),"",IF(NOT(ISNA(VLOOKUP(E3311,E$1:E3310,1,FALSE()))),"OLD",IF(AND(E3311&lt;&gt;"",E3311&lt;&gt;"!!!"),"NEW","")))</f>
        <v/>
      </c>
      <c r="G3311" s="22" t="str">
        <f>IF(OR(E3311="",E3311="!!!"),"",IF(OR(J3311=0,AND(J3311=1,K3311=1),AND(J3311=1,I3311="SBJ"),AND(J3311=1,I3311=0)),"?IN_FOCUS",IF(J3311&lt;=2,"?ACTIVATED",IF(J3311&lt;&gt;"","?FAMILIAR",IF(F3311="NEW",IF(ISNA(VLOOKUP(E3311,#REF!,1,FALSE())),"?TYPE_IDENTIFIABLE","?REFERENTIAL"),"_")))))</f>
        <v/>
      </c>
      <c r="H3311" s="23" t="str">
        <f t="shared" ca="1" si="354"/>
        <v/>
      </c>
      <c r="I3311" s="24" t="str">
        <f>IF(OR(E3311="",E3311="!!!",F3311="NEW"),"",INDEX(B$2:B3310,-1+SUMPRODUCT(MAX(ROW(E$2:E3310)*(E3311=E$2:E3310)))))</f>
        <v/>
      </c>
      <c r="J3311" s="24" t="str">
        <f ca="1">IF(OR(E3311="",E3311="!!!",F3311="NEW"),"",COUNTBLANK(OFFSET(A$1,,,SUMPRODUCT(MAX(ROW(E$2:E3311)*(E3311=E$2:E3311)))))-COUNTBLANK(OFFSET(A$1,,,SUMPRODUCT(MAX(ROW(E$1:E3310)*(E2=E$1:E3310))))))</f>
        <v/>
      </c>
      <c r="K3311" s="24" t="str">
        <f>IF(OR(E3311="",E3311="!!!",F3311="NEW"),"",INDEX(J$1:J3310,SUMPRODUCT(MAX(ROW(E$1:E3310)*(E3311=E$1:E3310)))))</f>
        <v/>
      </c>
      <c r="L3311" s="25"/>
    </row>
    <row r="3312" spans="1:12" x14ac:dyDescent="0.2">
      <c r="A3312" t="s">
        <v>888</v>
      </c>
      <c r="E3312" s="20" t="str">
        <f t="shared" si="355"/>
        <v/>
      </c>
      <c r="F3312" s="21" t="str">
        <f>IF(OR(E3312="",E3312="!!!"),"",IF(NOT(ISNA(VLOOKUP(E3312,E$1:E3311,1,FALSE()))),"OLD",IF(AND(E3312&lt;&gt;"",E3312&lt;&gt;"!!!"),"NEW","")))</f>
        <v/>
      </c>
      <c r="G3312" s="22" t="str">
        <f>IF(OR(E3312="",E3312="!!!"),"",IF(OR(J3312=0,AND(J3312=1,K3312=1),AND(J3312=1,I3312="SBJ"),AND(J3312=1,I3312=0)),"?IN_FOCUS",IF(J3312&lt;=2,"?ACTIVATED",IF(J3312&lt;&gt;"","?FAMILIAR",IF(F3312="NEW",IF(ISNA(VLOOKUP(E3312,#REF!,1,FALSE())),"?TYPE_IDENTIFIABLE","?REFERENTIAL"),"_")))))</f>
        <v/>
      </c>
      <c r="H3312" s="23" t="str">
        <f t="shared" ca="1" si="354"/>
        <v/>
      </c>
      <c r="I3312" s="24" t="str">
        <f>IF(OR(E3312="",E3312="!!!",F3312="NEW"),"",INDEX(B$2:B3311,-1+SUMPRODUCT(MAX(ROW(E$2:E3311)*(E3312=E$2:E3311)))))</f>
        <v/>
      </c>
      <c r="J3312" s="24" t="str">
        <f ca="1">IF(OR(E3312="",E3312="!!!",F3312="NEW"),"",COUNTBLANK(OFFSET(A$1,,,SUMPRODUCT(MAX(ROW(E$2:E3312)*(E3312=E$2:E3312)))))-COUNTBLANK(OFFSET(A$1,,,SUMPRODUCT(MAX(ROW(E$1:E3311)*(E2=E$1:E3311))))))</f>
        <v/>
      </c>
      <c r="K3312" s="24" t="str">
        <f>IF(OR(E3312="",E3312="!!!",F3312="NEW"),"",INDEX(J$1:J3311,SUMPRODUCT(MAX(ROW(E$1:E3311)*(E3312=E$1:E3311)))))</f>
        <v/>
      </c>
      <c r="L3312" s="25"/>
    </row>
    <row r="3313" spans="1:12" x14ac:dyDescent="0.2">
      <c r="A3313" t="s">
        <v>830</v>
      </c>
      <c r="B3313" s="26" t="s">
        <v>950</v>
      </c>
      <c r="C3313" s="26" t="s">
        <v>805</v>
      </c>
      <c r="D3313" s="26" t="s">
        <v>806</v>
      </c>
      <c r="E3313" s="20" t="s">
        <v>1814</v>
      </c>
      <c r="F3313" s="21" t="str">
        <f>IF(OR(E3313="",E3313="!!!"),"",IF(NOT(ISNA(VLOOKUP(E3313,E$1:E3312,1,FALSE()))),"OLD",IF(AND(E3313&lt;&gt;"",E3313&lt;&gt;"!!!"),"NEW","")))</f>
        <v>OLD</v>
      </c>
      <c r="G3313" s="22" t="s">
        <v>1823</v>
      </c>
      <c r="H3313" s="23" t="str">
        <f t="shared" ca="1" si="354"/>
        <v/>
      </c>
      <c r="I3313" s="24" t="str">
        <f>IF(OR(E3313="",E3313="!!!",F3313="NEW"),"",INDEX(B$2:B3312,-1+SUMPRODUCT(MAX(ROW(E$2:E3312)*(E3313=E$2:E3312)))))</f>
        <v>SBJ</v>
      </c>
      <c r="J3313" s="24">
        <f ca="1">IF(OR(E3313="",E3313="!!!",F3313="NEW"),"",COUNTBLANK(OFFSET(A$1,,,SUMPRODUCT(MAX(ROW(E$2:E3313)*(E3313=E$2:E3313)))))-COUNTBLANK(OFFSET(A$1,,,SUMPRODUCT(MAX(ROW(E$1:E3312)*(E2=E$1:E3312))))))</f>
        <v>0</v>
      </c>
      <c r="K3313" s="24">
        <f ca="1">IF(OR(E3313="",E3313="!!!",F3313="NEW"),"",INDEX(J$1:J3312,SUMPRODUCT(MAX(ROW(E$1:E3312)*(E3313=E$1:E3312)))))</f>
        <v>0</v>
      </c>
      <c r="L3313" s="25"/>
    </row>
    <row r="3314" spans="1:12" x14ac:dyDescent="0.2">
      <c r="A3314" t="s">
        <v>898</v>
      </c>
      <c r="E3314" s="20" t="str">
        <f t="shared" si="355"/>
        <v/>
      </c>
      <c r="F3314" s="21" t="str">
        <f>IF(OR(E3314="",E3314="!!!"),"",IF(NOT(ISNA(VLOOKUP(E3314,E$1:E3313,1,FALSE()))),"OLD",IF(AND(E3314&lt;&gt;"",E3314&lt;&gt;"!!!"),"NEW","")))</f>
        <v/>
      </c>
      <c r="G3314" s="22" t="str">
        <f>IF(OR(E3314="",E3314="!!!"),"",IF(OR(J3314=0,AND(J3314=1,K3314=1),AND(J3314=1,I3314="SBJ"),AND(J3314=1,I3314=0)),"?IN_FOCUS",IF(J3314&lt;=2,"?ACTIVATED",IF(J3314&lt;&gt;"","?FAMILIAR",IF(F3314="NEW",IF(ISNA(VLOOKUP(E3314,#REF!,1,FALSE())),"?TYPE_IDENTIFIABLE","?REFERENTIAL"),"_")))))</f>
        <v/>
      </c>
      <c r="H3314" s="23" t="str">
        <f t="shared" ca="1" si="354"/>
        <v/>
      </c>
      <c r="I3314" s="24" t="str">
        <f>IF(OR(E3314="",E3314="!!!",F3314="NEW"),"",INDEX(B$2:B3313,-1+SUMPRODUCT(MAX(ROW(E$2:E3313)*(E3314=E$2:E3313)))))</f>
        <v/>
      </c>
      <c r="J3314" s="24" t="str">
        <f ca="1">IF(OR(E3314="",E3314="!!!",F3314="NEW"),"",COUNTBLANK(OFFSET(A$1,,,SUMPRODUCT(MAX(ROW(E$2:E3314)*(E3314=E$2:E3314)))))-COUNTBLANK(OFFSET(A$1,,,SUMPRODUCT(MAX(ROW(E$1:E3313)*(E2=E$1:E3313))))))</f>
        <v/>
      </c>
      <c r="K3314" s="24" t="str">
        <f>IF(OR(E3314="",E3314="!!!",F3314="NEW"),"",INDEX(J$1:J3313,SUMPRODUCT(MAX(ROW(E$1:E3313)*(E3314=E$1:E3313)))))</f>
        <v/>
      </c>
      <c r="L3314" s="25"/>
    </row>
    <row r="3315" spans="1:12" x14ac:dyDescent="0.2">
      <c r="A3315" t="s">
        <v>1279</v>
      </c>
      <c r="E3315" s="20" t="str">
        <f t="shared" si="355"/>
        <v/>
      </c>
      <c r="F3315" s="21" t="str">
        <f>IF(OR(E3315="",E3315="!!!"),"",IF(NOT(ISNA(VLOOKUP(E3315,E$1:E3314,1,FALSE()))),"OLD",IF(AND(E3315&lt;&gt;"",E3315&lt;&gt;"!!!"),"NEW","")))</f>
        <v/>
      </c>
      <c r="G3315" s="22" t="str">
        <f>IF(OR(E3315="",E3315="!!!"),"",IF(OR(J3315=0,AND(J3315=1,K3315=1),AND(J3315=1,I3315="SBJ"),AND(J3315=1,I3315=0)),"?IN_FOCUS",IF(J3315&lt;=2,"?ACTIVATED",IF(J3315&lt;&gt;"","?FAMILIAR",IF(F3315="NEW",IF(ISNA(VLOOKUP(E3315,#REF!,1,FALSE())),"?TYPE_IDENTIFIABLE","?REFERENTIAL"),"_")))))</f>
        <v/>
      </c>
      <c r="H3315" s="23" t="str">
        <f t="shared" ca="1" si="354"/>
        <v/>
      </c>
      <c r="I3315" s="24" t="str">
        <f>IF(OR(E3315="",E3315="!!!",F3315="NEW"),"",INDEX(B$2:B3314,-1+SUMPRODUCT(MAX(ROW(E$2:E3314)*(E3315=E$2:E3314)))))</f>
        <v/>
      </c>
      <c r="J3315" s="24" t="str">
        <f ca="1">IF(OR(E3315="",E3315="!!!",F3315="NEW"),"",COUNTBLANK(OFFSET(A$1,,,SUMPRODUCT(MAX(ROW(E$2:E3315)*(E3315=E$2:E3315)))))-COUNTBLANK(OFFSET(A$1,,,SUMPRODUCT(MAX(ROW(E$1:E3314)*(E2=E$1:E3314))))))</f>
        <v/>
      </c>
      <c r="K3315" s="24" t="str">
        <f>IF(OR(E3315="",E3315="!!!",F3315="NEW"),"",INDEX(J$1:J3314,SUMPRODUCT(MAX(ROW(E$1:E3314)*(E3315=E$1:E3314)))))</f>
        <v/>
      </c>
      <c r="L3315" s="25"/>
    </row>
    <row r="3316" spans="1:12" x14ac:dyDescent="0.2">
      <c r="A3316" t="s">
        <v>1726</v>
      </c>
      <c r="E3316" s="20" t="str">
        <f t="shared" si="355"/>
        <v/>
      </c>
      <c r="F3316" s="21" t="str">
        <f>IF(OR(E3316="",E3316="!!!"),"",IF(NOT(ISNA(VLOOKUP(E3316,E$1:E3315,1,FALSE()))),"OLD",IF(AND(E3316&lt;&gt;"",E3316&lt;&gt;"!!!"),"NEW","")))</f>
        <v/>
      </c>
      <c r="G3316" s="22" t="str">
        <f>IF(OR(E3316="",E3316="!!!"),"",IF(OR(J3316=0,AND(J3316=1,K3316=1),AND(J3316=1,I3316="SBJ"),AND(J3316=1,I3316=0)),"?IN_FOCUS",IF(J3316&lt;=2,"?ACTIVATED",IF(J3316&lt;&gt;"","?FAMILIAR",IF(F3316="NEW",IF(ISNA(VLOOKUP(E3316,#REF!,1,FALSE())),"?TYPE_IDENTIFIABLE","?REFERENTIAL"),"_")))))</f>
        <v/>
      </c>
      <c r="H3316" s="23" t="str">
        <f t="shared" ca="1" si="354"/>
        <v/>
      </c>
      <c r="I3316" s="24" t="str">
        <f>IF(OR(E3316="",E3316="!!!",F3316="NEW"),"",INDEX(B$2:B3315,-1+SUMPRODUCT(MAX(ROW(E$2:E3315)*(E3316=E$2:E3315)))))</f>
        <v/>
      </c>
      <c r="J3316" s="24" t="str">
        <f ca="1">IF(OR(E3316="",E3316="!!!",F3316="NEW"),"",COUNTBLANK(OFFSET(A$1,,,SUMPRODUCT(MAX(ROW(E$2:E3316)*(E3316=E$2:E3316)))))-COUNTBLANK(OFFSET(A$1,,,SUMPRODUCT(MAX(ROW(E$1:E3315)*(E2=E$1:E3315))))))</f>
        <v/>
      </c>
      <c r="K3316" s="24" t="str">
        <f>IF(OR(E3316="",E3316="!!!",F3316="NEW"),"",INDEX(J$1:J3315,SUMPRODUCT(MAX(ROW(E$1:E3315)*(E3316=E$1:E3315)))))</f>
        <v/>
      </c>
      <c r="L3316" s="25"/>
    </row>
    <row r="3317" spans="1:12" x14ac:dyDescent="0.2">
      <c r="A3317" t="s">
        <v>1281</v>
      </c>
      <c r="B3317" s="26" t="s">
        <v>938</v>
      </c>
      <c r="C3317" s="26" t="s">
        <v>956</v>
      </c>
      <c r="D3317" s="26" t="s">
        <v>806</v>
      </c>
      <c r="E3317" s="20"/>
      <c r="F3317" s="21" t="s">
        <v>1764</v>
      </c>
      <c r="G3317" s="22" t="str">
        <f>IF(OR(E3317="",E3317="!!!"),"",IF(OR(J3317=0,AND(J3317=1,K3317=1),AND(J3317=1,I3317="SBJ"),AND(J3317=1,I3317=0)),"?IN_FOCUS",IF(J3317&lt;=2,"?ACTIVATED",IF(J3317&lt;&gt;"","?FAMILIAR",IF(F3317="NEW",IF(ISNA(VLOOKUP(E3317,#REF!,1,FALSE())),"?TYPE_IDENTIFIABLE","?REFERENTIAL"),"_")))))</f>
        <v/>
      </c>
      <c r="H3317" s="23" t="str">
        <f t="shared" ca="1" si="354"/>
        <v/>
      </c>
      <c r="I3317" s="24" t="str">
        <f>IF(OR(E3317="",E3317="!!!",F3317="NEW"),"",INDEX(B$2:B3316,-1+SUMPRODUCT(MAX(ROW(E$2:E3316)*(E3317=E$2:E3316)))))</f>
        <v/>
      </c>
      <c r="J3317" s="24" t="str">
        <f ca="1">IF(OR(E3317="",E3317="!!!",F3317="NEW"),"",COUNTBLANK(OFFSET(A$1,,,SUMPRODUCT(MAX(ROW(E$2:E3317)*(E3317=E$2:E3317)))))-COUNTBLANK(OFFSET(A$1,,,SUMPRODUCT(MAX(ROW(E$1:E3316)*(E2=E$1:E3316))))))</f>
        <v/>
      </c>
      <c r="K3317" s="24" t="str">
        <f>IF(OR(E3317="",E3317="!!!",F3317="NEW"),"",INDEX(J$1:J3316,SUMPRODUCT(MAX(ROW(E$1:E3316)*(E3317=E$1:E3316)))))</f>
        <v/>
      </c>
      <c r="L3317" s="25"/>
    </row>
    <row r="3318" spans="1:12" x14ac:dyDescent="0.2">
      <c r="A3318" t="s">
        <v>1360</v>
      </c>
      <c r="E3318" s="20" t="str">
        <f t="shared" si="355"/>
        <v/>
      </c>
      <c r="F3318" s="21" t="str">
        <f>IF(OR(E3318="",E3318="!!!"),"",IF(NOT(ISNA(VLOOKUP(E3318,E$1:E3317,1,FALSE()))),"OLD",IF(AND(E3318&lt;&gt;"",E3318&lt;&gt;"!!!"),"NEW","")))</f>
        <v/>
      </c>
      <c r="G3318" s="22" t="str">
        <f>IF(OR(E3318="",E3318="!!!"),"",IF(OR(J3318=0,AND(J3318=1,K3318=1),AND(J3318=1,I3318="SBJ"),AND(J3318=1,I3318=0)),"?IN_FOCUS",IF(J3318&lt;=2,"?ACTIVATED",IF(J3318&lt;&gt;"","?FAMILIAR",IF(F3318="NEW",IF(ISNA(VLOOKUP(E3318,#REF!,1,FALSE())),"?TYPE_IDENTIFIABLE","?REFERENTIAL"),"_")))))</f>
        <v/>
      </c>
      <c r="H3318" s="23" t="str">
        <f t="shared" ca="1" si="354"/>
        <v/>
      </c>
      <c r="I3318" s="24" t="str">
        <f>IF(OR(E3318="",E3318="!!!",F3318="NEW"),"",INDEX(B$2:B3317,-1+SUMPRODUCT(MAX(ROW(E$2:E3317)*(E3318=E$2:E3317)))))</f>
        <v/>
      </c>
      <c r="J3318" s="24" t="str">
        <f ca="1">IF(OR(E3318="",E3318="!!!",F3318="NEW"),"",COUNTBLANK(OFFSET(A$1,,,SUMPRODUCT(MAX(ROW(E$2:E3318)*(E3318=E$2:E3318)))))-COUNTBLANK(OFFSET(A$1,,,SUMPRODUCT(MAX(ROW(E$1:E3317)*(E2=E$1:E3317))))))</f>
        <v/>
      </c>
      <c r="K3318" s="24" t="str">
        <f>IF(OR(E3318="",E3318="!!!",F3318="NEW"),"",INDEX(J$1:J3317,SUMPRODUCT(MAX(ROW(E$1:E3317)*(E3318=E$1:E3317)))))</f>
        <v/>
      </c>
      <c r="L3318" s="25"/>
    </row>
    <row r="3319" spans="1:12" x14ac:dyDescent="0.2">
      <c r="A3319" t="s">
        <v>868</v>
      </c>
      <c r="E3319" s="20" t="str">
        <f t="shared" si="355"/>
        <v/>
      </c>
      <c r="F3319" s="21" t="str">
        <f>IF(OR(E3319="",E3319="!!!"),"",IF(NOT(ISNA(VLOOKUP(E3319,E$1:E3318,1,FALSE()))),"OLD",IF(AND(E3319&lt;&gt;"",E3319&lt;&gt;"!!!"),"NEW","")))</f>
        <v/>
      </c>
      <c r="G3319" s="22" t="str">
        <f>IF(OR(E3319="",E3319="!!!"),"",IF(OR(J3319=0,AND(J3319=1,K3319=1),AND(J3319=1,I3319="SBJ"),AND(J3319=1,I3319=0)),"?IN_FOCUS",IF(J3319&lt;=2,"?ACTIVATED",IF(J3319&lt;&gt;"","?FAMILIAR",IF(F3319="NEW",IF(ISNA(VLOOKUP(E3319,#REF!,1,FALSE())),"?TYPE_IDENTIFIABLE","?REFERENTIAL"),"_")))))</f>
        <v/>
      </c>
      <c r="H3319" s="23" t="str">
        <f t="shared" ca="1" si="354"/>
        <v/>
      </c>
      <c r="I3319" s="24" t="str">
        <f>IF(OR(E3319="",E3319="!!!",F3319="NEW"),"",INDEX(B$2:B3318,-1+SUMPRODUCT(MAX(ROW(E$2:E3318)*(E3319=E$2:E3318)))))</f>
        <v/>
      </c>
      <c r="J3319" s="24" t="str">
        <f ca="1">IF(OR(E3319="",E3319="!!!",F3319="NEW"),"",COUNTBLANK(OFFSET(A$1,,,SUMPRODUCT(MAX(ROW(E$2:E3319)*(E3319=E$2:E3319)))))-COUNTBLANK(OFFSET(A$1,,,SUMPRODUCT(MAX(ROW(E$1:E3318)*(E2=E$1:E3318))))))</f>
        <v/>
      </c>
      <c r="K3319" s="24" t="str">
        <f>IF(OR(E3319="",E3319="!!!",F3319="NEW"),"",INDEX(J$1:J3318,SUMPRODUCT(MAX(ROW(E$1:E3318)*(E3319=E$1:E3318)))))</f>
        <v/>
      </c>
      <c r="L3319" s="25"/>
    </row>
    <row r="3320" spans="1:12" x14ac:dyDescent="0.2">
      <c r="A3320" t="s">
        <v>859</v>
      </c>
      <c r="E3320" s="20" t="str">
        <f t="shared" si="355"/>
        <v/>
      </c>
      <c r="F3320" s="21" t="str">
        <f>IF(OR(E3320="",E3320="!!!"),"",IF(NOT(ISNA(VLOOKUP(E3320,E$1:E3319,1,FALSE()))),"OLD",IF(AND(E3320&lt;&gt;"",E3320&lt;&gt;"!!!"),"NEW","")))</f>
        <v/>
      </c>
      <c r="G3320" s="22" t="str">
        <f>IF(OR(E3320="",E3320="!!!"),"",IF(OR(J3320=0,AND(J3320=1,K3320=1),AND(J3320=1,I3320="SBJ"),AND(J3320=1,I3320=0)),"?IN_FOCUS",IF(J3320&lt;=2,"?ACTIVATED",IF(J3320&lt;&gt;"","?FAMILIAR",IF(F3320="NEW",IF(ISNA(VLOOKUP(E3320,#REF!,1,FALSE())),"?TYPE_IDENTIFIABLE","?REFERENTIAL"),"_")))))</f>
        <v/>
      </c>
      <c r="H3320" s="23" t="str">
        <f t="shared" ca="1" si="354"/>
        <v/>
      </c>
      <c r="I3320" s="24" t="str">
        <f>IF(OR(E3320="",E3320="!!!",F3320="NEW"),"",INDEX(B$2:B3319,-1+SUMPRODUCT(MAX(ROW(E$2:E3319)*(E3320=E$2:E3319)))))</f>
        <v/>
      </c>
      <c r="J3320" s="24" t="str">
        <f ca="1">IF(OR(E3320="",E3320="!!!",F3320="NEW"),"",COUNTBLANK(OFFSET(A$1,,,SUMPRODUCT(MAX(ROW(E$2:E3320)*(E3320=E$2:E3320)))))-COUNTBLANK(OFFSET(A$1,,,SUMPRODUCT(MAX(ROW(E$1:E3319)*(E2=E$1:E3319))))))</f>
        <v/>
      </c>
      <c r="K3320" s="24" t="str">
        <f>IF(OR(E3320="",E3320="!!!",F3320="NEW"),"",INDEX(J$1:J3319,SUMPRODUCT(MAX(ROW(E$1:E3319)*(E3320=E$1:E3319)))))</f>
        <v/>
      </c>
      <c r="L3320" s="25"/>
    </row>
    <row r="3321" spans="1:12" x14ac:dyDescent="0.2">
      <c r="A3321" t="s">
        <v>243</v>
      </c>
      <c r="E3321" s="20" t="str">
        <f t="shared" si="355"/>
        <v/>
      </c>
      <c r="F3321" s="21" t="str">
        <f>IF(OR(E3321="",E3321="!!!"),"",IF(NOT(ISNA(VLOOKUP(E3321,E$1:E3320,1,FALSE()))),"OLD",IF(AND(E3321&lt;&gt;"",E3321&lt;&gt;"!!!"),"NEW","")))</f>
        <v/>
      </c>
      <c r="G3321" s="22" t="str">
        <f>IF(OR(E3321="",E3321="!!!"),"",IF(OR(J3321=0,AND(J3321=1,K3321=1),AND(J3321=1,I3321="SBJ"),AND(J3321=1,I3321=0)),"?IN_FOCUS",IF(J3321&lt;=2,"?ACTIVATED",IF(J3321&lt;&gt;"","?FAMILIAR",IF(F3321="NEW",IF(ISNA(VLOOKUP(E3321,#REF!,1,FALSE())),"?TYPE_IDENTIFIABLE","?REFERENTIAL"),"_")))))</f>
        <v/>
      </c>
      <c r="H3321" s="23" t="str">
        <f t="shared" ca="1" si="354"/>
        <v/>
      </c>
      <c r="I3321" s="24" t="str">
        <f>IF(OR(E3321="",E3321="!!!",F3321="NEW"),"",INDEX(B$2:B3320,-1+SUMPRODUCT(MAX(ROW(E$2:E3320)*(E3321=E$2:E3320)))))</f>
        <v/>
      </c>
      <c r="J3321" s="24" t="str">
        <f ca="1">IF(OR(E3321="",E3321="!!!",F3321="NEW"),"",COUNTBLANK(OFFSET(A$1,,,SUMPRODUCT(MAX(ROW(E$2:E3321)*(E3321=E$2:E3321)))))-COUNTBLANK(OFFSET(A$1,,,SUMPRODUCT(MAX(ROW(E$1:E3320)*(E2=E$1:E3320))))))</f>
        <v/>
      </c>
      <c r="K3321" s="24" t="str">
        <f>IF(OR(E3321="",E3321="!!!",F3321="NEW"),"",INDEX(J$1:J3320,SUMPRODUCT(MAX(ROW(E$1:E3320)*(E3321=E$1:E3320)))))</f>
        <v/>
      </c>
      <c r="L3321" s="25"/>
    </row>
    <row r="3322" spans="1:12" x14ac:dyDescent="0.2">
      <c r="A3322" t="s">
        <v>821</v>
      </c>
      <c r="E3322" s="20" t="str">
        <f t="shared" si="355"/>
        <v/>
      </c>
      <c r="F3322" s="21" t="str">
        <f>IF(OR(E3322="",E3322="!!!"),"",IF(NOT(ISNA(VLOOKUP(E3322,E$1:E3321,1,FALSE()))),"OLD",IF(AND(E3322&lt;&gt;"",E3322&lt;&gt;"!!!"),"NEW","")))</f>
        <v/>
      </c>
      <c r="G3322" s="22" t="str">
        <f>IF(OR(E3322="",E3322="!!!"),"",IF(OR(J3322=0,AND(J3322=1,K3322=1),AND(J3322=1,I3322="SBJ"),AND(J3322=1,I3322=0)),"?IN_FOCUS",IF(J3322&lt;=2,"?ACTIVATED",IF(J3322&lt;&gt;"","?FAMILIAR",IF(F3322="NEW",IF(ISNA(VLOOKUP(E3322,#REF!,1,FALSE())),"?TYPE_IDENTIFIABLE","?REFERENTIAL"),"_")))))</f>
        <v/>
      </c>
      <c r="H3322" s="23" t="str">
        <f t="shared" ca="1" si="354"/>
        <v/>
      </c>
      <c r="I3322" s="24" t="str">
        <f>IF(OR(E3322="",E3322="!!!",F3322="NEW"),"",INDEX(B$2:B3321,-1+SUMPRODUCT(MAX(ROW(E$2:E3321)*(E3322=E$2:E3321)))))</f>
        <v/>
      </c>
      <c r="J3322" s="24" t="str">
        <f ca="1">IF(OR(E3322="",E3322="!!!",F3322="NEW"),"",COUNTBLANK(OFFSET(A$1,,,SUMPRODUCT(MAX(ROW(E$2:E3322)*(E3322=E$2:E3322)))))-COUNTBLANK(OFFSET(A$1,,,SUMPRODUCT(MAX(ROW(E$1:E3321)*(E2=E$1:E3321))))))</f>
        <v/>
      </c>
      <c r="K3322" s="24" t="str">
        <f>IF(OR(E3322="",E3322="!!!",F3322="NEW"),"",INDEX(J$1:J3321,SUMPRODUCT(MAX(ROW(E$1:E3321)*(E3322=E$1:E3321)))))</f>
        <v/>
      </c>
      <c r="L3322" s="25"/>
    </row>
    <row r="3324" spans="1:12" x14ac:dyDescent="0.2">
      <c r="A3324" t="s">
        <v>1727</v>
      </c>
    </row>
    <row r="3325" spans="1:12" x14ac:dyDescent="0.2">
      <c r="A3325" t="s">
        <v>1258</v>
      </c>
      <c r="E3325" s="20" t="str">
        <f t="shared" ref="E3325:E3334" si="356">IF(D3325="?OLD","!!!","")</f>
        <v/>
      </c>
      <c r="F3325" s="21" t="str">
        <f>IF(OR(E3325="",E3325="!!!"),"",IF(NOT(ISNA(VLOOKUP(E3325,E$1:E3324,1,FALSE()))),"OLD",IF(AND(E3325&lt;&gt;"",E3325&lt;&gt;"!!!"),"NEW","")))</f>
        <v/>
      </c>
      <c r="G3325" s="22" t="str">
        <f>IF(OR(E3325="",E3325="!!!"),"",IF(OR(J3325=0,AND(J3325=1,K3325=1),AND(J3325=1,I3325="SBJ"),AND(J3325=1,I3325=0)),"?IN_FOCUS",IF(J3325&lt;=2,"?ACTIVATED",IF(J3325&lt;&gt;"","?FAMILIAR",IF(F3325="NEW",IF(ISNA(VLOOKUP(E3325,#REF!,1,FALSE())),"?TYPE_IDENTIFIABLE","?REFERENTIAL"),"_")))))</f>
        <v/>
      </c>
      <c r="H3325" s="23" t="str">
        <f t="shared" ref="H3325:H3334" ca="1" si="357">IF(J3325&lt;&gt;1,"",IF(I3325="SBJ","CB","?"))</f>
        <v/>
      </c>
      <c r="I3325" s="24" t="str">
        <f>IF(OR(E3325="",E3325="!!!",F3325="NEW"),"",INDEX(B$2:B3324,-1+SUMPRODUCT(MAX(ROW(E$2:E3324)*(E3325=E$2:E3324)))))</f>
        <v/>
      </c>
      <c r="J3325" s="24" t="str">
        <f ca="1">IF(OR(E3325="",E3325="!!!",F3325="NEW"),"",COUNTBLANK(OFFSET(A$1,,,SUMPRODUCT(MAX(ROW(E$2:E3325)*(E3325=E$2:E3325)))))-COUNTBLANK(OFFSET(A$1,,,SUMPRODUCT(MAX(ROW(E$1:E3324)*(E2=E$1:E3324))))))</f>
        <v/>
      </c>
      <c r="K3325" s="24" t="str">
        <f>IF(OR(E3325="",E3325="!!!",F3325="NEW"),"",INDEX(J$1:J3324,SUMPRODUCT(MAX(ROW(E$1:E3324)*(E3325=E$1:E3324)))))</f>
        <v/>
      </c>
      <c r="L3325" s="25"/>
    </row>
    <row r="3326" spans="1:12" x14ac:dyDescent="0.2">
      <c r="A3326" t="s">
        <v>802</v>
      </c>
      <c r="E3326" s="20" t="str">
        <f t="shared" si="356"/>
        <v/>
      </c>
      <c r="F3326" s="21" t="str">
        <f>IF(OR(E3326="",E3326="!!!"),"",IF(NOT(ISNA(VLOOKUP(E3326,E$1:E3325,1,FALSE()))),"OLD",IF(AND(E3326&lt;&gt;"",E3326&lt;&gt;"!!!"),"NEW","")))</f>
        <v/>
      </c>
      <c r="G3326" s="22" t="str">
        <f>IF(OR(E3326="",E3326="!!!"),"",IF(OR(J3326=0,AND(J3326=1,K3326=1),AND(J3326=1,I3326="SBJ"),AND(J3326=1,I3326=0)),"?IN_FOCUS",IF(J3326&lt;=2,"?ACTIVATED",IF(J3326&lt;&gt;"","?FAMILIAR",IF(F3326="NEW",IF(ISNA(VLOOKUP(E3326,#REF!,1,FALSE())),"?TYPE_IDENTIFIABLE","?REFERENTIAL"),"_")))))</f>
        <v/>
      </c>
      <c r="H3326" s="23" t="str">
        <f t="shared" ca="1" si="357"/>
        <v/>
      </c>
      <c r="I3326" s="24" t="str">
        <f>IF(OR(E3326="",E3326="!!!",F3326="NEW"),"",INDEX(B$2:B3325,-1+SUMPRODUCT(MAX(ROW(E$2:E3325)*(E3326=E$2:E3325)))))</f>
        <v/>
      </c>
      <c r="J3326" s="24" t="str">
        <f ca="1">IF(OR(E3326="",E3326="!!!",F3326="NEW"),"",COUNTBLANK(OFFSET(A$1,,,SUMPRODUCT(MAX(ROW(E$2:E3326)*(E3326=E$2:E3326)))))-COUNTBLANK(OFFSET(A$1,,,SUMPRODUCT(MAX(ROW(E$1:E3325)*(E2=E$1:E3325))))))</f>
        <v/>
      </c>
      <c r="K3326" s="24" t="str">
        <f>IF(OR(E3326="",E3326="!!!",F3326="NEW"),"",INDEX(J$1:J3325,SUMPRODUCT(MAX(ROW(E$1:E3325)*(E3326=E$1:E3325)))))</f>
        <v/>
      </c>
      <c r="L3326" s="25"/>
    </row>
    <row r="3327" spans="1:12" x14ac:dyDescent="0.2">
      <c r="A3327" t="s">
        <v>187</v>
      </c>
      <c r="E3327" s="20" t="str">
        <f t="shared" si="356"/>
        <v/>
      </c>
      <c r="F3327" s="21" t="str">
        <f>IF(OR(E3327="",E3327="!!!"),"",IF(NOT(ISNA(VLOOKUP(E3327,E$1:E3326,1,FALSE()))),"OLD",IF(AND(E3327&lt;&gt;"",E3327&lt;&gt;"!!!"),"NEW","")))</f>
        <v/>
      </c>
      <c r="G3327" s="22" t="str">
        <f>IF(OR(E3327="",E3327="!!!"),"",IF(OR(J3327=0,AND(J3327=1,K3327=1),AND(J3327=1,I3327="SBJ"),AND(J3327=1,I3327=0)),"?IN_FOCUS",IF(J3327&lt;=2,"?ACTIVATED",IF(J3327&lt;&gt;"","?FAMILIAR",IF(F3327="NEW",IF(ISNA(VLOOKUP(E3327,#REF!,1,FALSE())),"?TYPE_IDENTIFIABLE","?REFERENTIAL"),"_")))))</f>
        <v/>
      </c>
      <c r="H3327" s="23" t="str">
        <f t="shared" ca="1" si="357"/>
        <v/>
      </c>
      <c r="I3327" s="24" t="str">
        <f>IF(OR(E3327="",E3327="!!!",F3327="NEW"),"",INDEX(B$2:B3326,-1+SUMPRODUCT(MAX(ROW(E$2:E3326)*(E3327=E$2:E3326)))))</f>
        <v/>
      </c>
      <c r="J3327" s="24" t="str">
        <f ca="1">IF(OR(E3327="",E3327="!!!",F3327="NEW"),"",COUNTBLANK(OFFSET(A$1,,,SUMPRODUCT(MAX(ROW(E$2:E3327)*(E3327=E$2:E3327)))))-COUNTBLANK(OFFSET(A$1,,,SUMPRODUCT(MAX(ROW(E$1:E3326)*(E2=E$1:E3326))))))</f>
        <v/>
      </c>
      <c r="K3327" s="24" t="str">
        <f>IF(OR(E3327="",E3327="!!!",F3327="NEW"),"",INDEX(J$1:J3326,SUMPRODUCT(MAX(ROW(E$1:E3326)*(E3327=E$1:E3326)))))</f>
        <v/>
      </c>
      <c r="L3327" s="25"/>
    </row>
    <row r="3328" spans="1:12" x14ac:dyDescent="0.2">
      <c r="A3328" t="s">
        <v>898</v>
      </c>
      <c r="B3328" s="26" t="s">
        <v>810</v>
      </c>
      <c r="C3328" s="26" t="s">
        <v>805</v>
      </c>
      <c r="D3328" s="26" t="s">
        <v>806</v>
      </c>
      <c r="E3328" s="20"/>
      <c r="F3328" s="21" t="s">
        <v>1781</v>
      </c>
      <c r="G3328" s="22" t="str">
        <f>IF(OR(E3328="",E3328="!!!"),"",IF(OR(J3328=0,AND(J3328=1,K3328=1),AND(J3328=1,I3328="SBJ"),AND(J3328=1,I3328=0)),"?IN_FOCUS",IF(J3328&lt;=2,"?ACTIVATED",IF(J3328&lt;&gt;"","?FAMILIAR",IF(F3328="NEW",IF(ISNA(VLOOKUP(E3328,#REF!,1,FALSE())),"?TYPE_IDENTIFIABLE","?REFERENTIAL"),"_")))))</f>
        <v/>
      </c>
      <c r="H3328" s="23" t="str">
        <f t="shared" ca="1" si="357"/>
        <v/>
      </c>
      <c r="I3328" s="24" t="str">
        <f>IF(OR(E3328="",E3328="!!!",F3328="NEW"),"",INDEX(B$2:B3327,-1+SUMPRODUCT(MAX(ROW(E$2:E3327)*(E3328=E$2:E3327)))))</f>
        <v/>
      </c>
      <c r="J3328" s="24" t="str">
        <f ca="1">IF(OR(E3328="",E3328="!!!",F3328="NEW"),"",COUNTBLANK(OFFSET(A$1,,,SUMPRODUCT(MAX(ROW(E$2:E3328)*(E3328=E$2:E3328)))))-COUNTBLANK(OFFSET(A$1,,,SUMPRODUCT(MAX(ROW(E$1:E3327)*(E2=E$1:E3327))))))</f>
        <v/>
      </c>
      <c r="K3328" s="24" t="str">
        <f>IF(OR(E3328="",E3328="!!!",F3328="NEW"),"",INDEX(J$1:J3327,SUMPRODUCT(MAX(ROW(E$1:E3327)*(E3328=E$1:E3327)))))</f>
        <v/>
      </c>
      <c r="L3328" s="25"/>
    </row>
    <row r="3329" spans="1:12" x14ac:dyDescent="0.2">
      <c r="A3329" t="s">
        <v>486</v>
      </c>
      <c r="E3329" s="20" t="str">
        <f t="shared" si="356"/>
        <v/>
      </c>
      <c r="F3329" s="21" t="str">
        <f>IF(OR(E3329="",E3329="!!!"),"",IF(NOT(ISNA(VLOOKUP(E3329,E$1:E3328,1,FALSE()))),"OLD",IF(AND(E3329&lt;&gt;"",E3329&lt;&gt;"!!!"),"NEW","")))</f>
        <v/>
      </c>
      <c r="G3329" s="22" t="str">
        <f>IF(OR(E3329="",E3329="!!!"),"",IF(OR(J3329=0,AND(J3329=1,K3329=1),AND(J3329=1,I3329="SBJ"),AND(J3329=1,I3329=0)),"?IN_FOCUS",IF(J3329&lt;=2,"?ACTIVATED",IF(J3329&lt;&gt;"","?FAMILIAR",IF(F3329="NEW",IF(ISNA(VLOOKUP(E3329,#REF!,1,FALSE())),"?TYPE_IDENTIFIABLE","?REFERENTIAL"),"_")))))</f>
        <v/>
      </c>
      <c r="H3329" s="23" t="str">
        <f t="shared" ca="1" si="357"/>
        <v/>
      </c>
      <c r="I3329" s="24" t="str">
        <f>IF(OR(E3329="",E3329="!!!",F3329="NEW"),"",INDEX(B$2:B3328,-1+SUMPRODUCT(MAX(ROW(E$2:E3328)*(E3329=E$2:E3328)))))</f>
        <v/>
      </c>
      <c r="J3329" s="24" t="str">
        <f ca="1">IF(OR(E3329="",E3329="!!!",F3329="NEW"),"",COUNTBLANK(OFFSET(A$1,,,SUMPRODUCT(MAX(ROW(E$2:E3329)*(E3329=E$2:E3329)))))-COUNTBLANK(OFFSET(A$1,,,SUMPRODUCT(MAX(ROW(E$1:E3328)*(E2=E$1:E3328))))))</f>
        <v/>
      </c>
      <c r="K3329" s="24" t="str">
        <f>IF(OR(E3329="",E3329="!!!",F3329="NEW"),"",INDEX(J$1:J3328,SUMPRODUCT(MAX(ROW(E$1:E3328)*(E3329=E$1:E3328)))))</f>
        <v/>
      </c>
      <c r="L3329" s="25"/>
    </row>
    <row r="3330" spans="1:12" x14ac:dyDescent="0.2">
      <c r="A3330" t="s">
        <v>859</v>
      </c>
      <c r="E3330" s="20" t="str">
        <f t="shared" si="356"/>
        <v/>
      </c>
      <c r="F3330" s="21" t="str">
        <f>IF(OR(E3330="",E3330="!!!"),"",IF(NOT(ISNA(VLOOKUP(E3330,E$1:E3329,1,FALSE()))),"OLD",IF(AND(E3330&lt;&gt;"",E3330&lt;&gt;"!!!"),"NEW","")))</f>
        <v/>
      </c>
      <c r="G3330" s="22" t="str">
        <f>IF(OR(E3330="",E3330="!!!"),"",IF(OR(J3330=0,AND(J3330=1,K3330=1),AND(J3330=1,I3330="SBJ"),AND(J3330=1,I3330=0)),"?IN_FOCUS",IF(J3330&lt;=2,"?ACTIVATED",IF(J3330&lt;&gt;"","?FAMILIAR",IF(F3330="NEW",IF(ISNA(VLOOKUP(E3330,#REF!,1,FALSE())),"?TYPE_IDENTIFIABLE","?REFERENTIAL"),"_")))))</f>
        <v/>
      </c>
      <c r="H3330" s="23" t="str">
        <f t="shared" ca="1" si="357"/>
        <v/>
      </c>
      <c r="I3330" s="24" t="str">
        <f>IF(OR(E3330="",E3330="!!!",F3330="NEW"),"",INDEX(B$2:B3329,-1+SUMPRODUCT(MAX(ROW(E$2:E3329)*(E3330=E$2:E3329)))))</f>
        <v/>
      </c>
      <c r="J3330" s="24" t="str">
        <f ca="1">IF(OR(E3330="",E3330="!!!",F3330="NEW"),"",COUNTBLANK(OFFSET(A$1,,,SUMPRODUCT(MAX(ROW(E$2:E3330)*(E3330=E$2:E3330)))))-COUNTBLANK(OFFSET(A$1,,,SUMPRODUCT(MAX(ROW(E$1:E3329)*(E2=E$1:E3329))))))</f>
        <v/>
      </c>
      <c r="K3330" s="24" t="str">
        <f>IF(OR(E3330="",E3330="!!!",F3330="NEW"),"",INDEX(J$1:J3329,SUMPRODUCT(MAX(ROW(E$1:E3329)*(E3330=E$1:E3329)))))</f>
        <v/>
      </c>
      <c r="L3330" s="25"/>
    </row>
    <row r="3331" spans="1:12" x14ac:dyDescent="0.2">
      <c r="A3331" t="s">
        <v>845</v>
      </c>
      <c r="E3331" s="20" t="str">
        <f t="shared" si="356"/>
        <v/>
      </c>
      <c r="F3331" s="21" t="str">
        <f>IF(OR(E3331="",E3331="!!!"),"",IF(NOT(ISNA(VLOOKUP(E3331,E$1:E3330,1,FALSE()))),"OLD",IF(AND(E3331&lt;&gt;"",E3331&lt;&gt;"!!!"),"NEW","")))</f>
        <v/>
      </c>
      <c r="G3331" s="22" t="str">
        <f>IF(OR(E3331="",E3331="!!!"),"",IF(OR(J3331=0,AND(J3331=1,K3331=1),AND(J3331=1,I3331="SBJ"),AND(J3331=1,I3331=0)),"?IN_FOCUS",IF(J3331&lt;=2,"?ACTIVATED",IF(J3331&lt;&gt;"","?FAMILIAR",IF(F3331="NEW",IF(ISNA(VLOOKUP(E3331,#REF!,1,FALSE())),"?TYPE_IDENTIFIABLE","?REFERENTIAL"),"_")))))</f>
        <v/>
      </c>
      <c r="H3331" s="23" t="str">
        <f t="shared" ca="1" si="357"/>
        <v/>
      </c>
      <c r="I3331" s="24" t="str">
        <f>IF(OR(E3331="",E3331="!!!",F3331="NEW"),"",INDEX(B$2:B3330,-1+SUMPRODUCT(MAX(ROW(E$2:E3330)*(E3331=E$2:E3330)))))</f>
        <v/>
      </c>
      <c r="J3331" s="24" t="str">
        <f ca="1">IF(OR(E3331="",E3331="!!!",F3331="NEW"),"",COUNTBLANK(OFFSET(A$1,,,SUMPRODUCT(MAX(ROW(E$2:E3331)*(E3331=E$2:E3331)))))-COUNTBLANK(OFFSET(A$1,,,SUMPRODUCT(MAX(ROW(E$1:E3330)*(E2=E$1:E3330))))))</f>
        <v/>
      </c>
      <c r="K3331" s="24" t="str">
        <f>IF(OR(E3331="",E3331="!!!",F3331="NEW"),"",INDEX(J$1:J3330,SUMPRODUCT(MAX(ROW(E$1:E3330)*(E3331=E$1:E3330)))))</f>
        <v/>
      </c>
      <c r="L3331" s="25"/>
    </row>
    <row r="3332" spans="1:12" x14ac:dyDescent="0.2">
      <c r="A3332" t="s">
        <v>1276</v>
      </c>
      <c r="E3332" s="20" t="str">
        <f t="shared" si="356"/>
        <v/>
      </c>
      <c r="F3332" s="21" t="str">
        <f>IF(OR(E3332="",E3332="!!!"),"",IF(NOT(ISNA(VLOOKUP(E3332,E$1:E3331,1,FALSE()))),"OLD",IF(AND(E3332&lt;&gt;"",E3332&lt;&gt;"!!!"),"NEW","")))</f>
        <v/>
      </c>
      <c r="G3332" s="22" t="str">
        <f>IF(OR(E3332="",E3332="!!!"),"",IF(OR(J3332=0,AND(J3332=1,K3332=1),AND(J3332=1,I3332="SBJ"),AND(J3332=1,I3332=0)),"?IN_FOCUS",IF(J3332&lt;=2,"?ACTIVATED",IF(J3332&lt;&gt;"","?FAMILIAR",IF(F3332="NEW",IF(ISNA(VLOOKUP(E3332,#REF!,1,FALSE())),"?TYPE_IDENTIFIABLE","?REFERENTIAL"),"_")))))</f>
        <v/>
      </c>
      <c r="H3332" s="23" t="str">
        <f t="shared" ca="1" si="357"/>
        <v/>
      </c>
      <c r="I3332" s="24" t="str">
        <f>IF(OR(E3332="",E3332="!!!",F3332="NEW"),"",INDEX(B$2:B3331,-1+SUMPRODUCT(MAX(ROW(E$2:E3331)*(E3332=E$2:E3331)))))</f>
        <v/>
      </c>
      <c r="J3332" s="24" t="str">
        <f ca="1">IF(OR(E3332="",E3332="!!!",F3332="NEW"),"",COUNTBLANK(OFFSET(A$1,,,SUMPRODUCT(MAX(ROW(E$2:E3332)*(E3332=E$2:E3332)))))-COUNTBLANK(OFFSET(A$1,,,SUMPRODUCT(MAX(ROW(E$1:E3331)*(E2=E$1:E3331))))))</f>
        <v/>
      </c>
      <c r="K3332" s="24" t="str">
        <f>IF(OR(E3332="",E3332="!!!",F3332="NEW"),"",INDEX(J$1:J3331,SUMPRODUCT(MAX(ROW(E$1:E3331)*(E3332=E$1:E3331)))))</f>
        <v/>
      </c>
      <c r="L3332" s="25"/>
    </row>
    <row r="3333" spans="1:12" x14ac:dyDescent="0.2">
      <c r="A3333" t="s">
        <v>1718</v>
      </c>
      <c r="B3333" s="26" t="s">
        <v>813</v>
      </c>
      <c r="C3333" s="26" t="s">
        <v>847</v>
      </c>
      <c r="D3333" s="26" t="s">
        <v>806</v>
      </c>
      <c r="E3333" s="20" t="s">
        <v>1815</v>
      </c>
      <c r="F3333" s="21" t="str">
        <f>IF(OR(E3333="",E3333="!!!"),"",IF(NOT(ISNA(VLOOKUP(E3333,E$1:E3332,1,FALSE()))),"OLD",IF(AND(E3333&lt;&gt;"",E3333&lt;&gt;"!!!"),"NEW","")))</f>
        <v>NEW</v>
      </c>
      <c r="G3333" s="22" t="s">
        <v>1824</v>
      </c>
      <c r="H3333" s="23" t="str">
        <f t="shared" ca="1" si="357"/>
        <v/>
      </c>
      <c r="I3333" s="24" t="str">
        <f>IF(OR(E3333="",E3333="!!!",F3333="NEW"),"",INDEX(B$2:B3332,-1+SUMPRODUCT(MAX(ROW(E$2:E3332)*(E3333=E$2:E3332)))))</f>
        <v/>
      </c>
      <c r="J3333" s="24" t="str">
        <f ca="1">IF(OR(E3333="",E3333="!!!",F3333="NEW"),"",COUNTBLANK(OFFSET(A$1,,,SUMPRODUCT(MAX(ROW(E$2:E3333)*(E3333=E$2:E3333)))))-COUNTBLANK(OFFSET(A$1,,,SUMPRODUCT(MAX(ROW(E$1:E3332)*(E2=E$1:E3332))))))</f>
        <v/>
      </c>
      <c r="K3333" s="24" t="str">
        <f>IF(OR(E3333="",E3333="!!!",F3333="NEW"),"",INDEX(J$1:J3332,SUMPRODUCT(MAX(ROW(E$1:E3332)*(E3333=E$1:E3332)))))</f>
        <v/>
      </c>
      <c r="L3333" s="25"/>
    </row>
    <row r="3334" spans="1:12" x14ac:dyDescent="0.2">
      <c r="A3334" t="s">
        <v>821</v>
      </c>
      <c r="E3334" s="20" t="str">
        <f t="shared" si="356"/>
        <v/>
      </c>
      <c r="F3334" s="21" t="str">
        <f>IF(OR(E3334="",E3334="!!!"),"",IF(NOT(ISNA(VLOOKUP(E3334,E$1:E3333,1,FALSE()))),"OLD",IF(AND(E3334&lt;&gt;"",E3334&lt;&gt;"!!!"),"NEW","")))</f>
        <v/>
      </c>
      <c r="G3334" s="22" t="str">
        <f>IF(OR(E3334="",E3334="!!!"),"",IF(OR(J3334=0,AND(J3334=1,K3334=1),AND(J3334=1,I3334="SBJ"),AND(J3334=1,I3334=0)),"?IN_FOCUS",IF(J3334&lt;=2,"?ACTIVATED",IF(J3334&lt;&gt;"","?FAMILIAR",IF(F3334="NEW",IF(ISNA(VLOOKUP(E3334,#REF!,1,FALSE())),"?TYPE_IDENTIFIABLE","?REFERENTIAL"),"_")))))</f>
        <v/>
      </c>
      <c r="H3334" s="23" t="str">
        <f t="shared" ca="1" si="357"/>
        <v/>
      </c>
      <c r="I3334" s="24" t="str">
        <f>IF(OR(E3334="",E3334="!!!",F3334="NEW"),"",INDEX(B$2:B3333,-1+SUMPRODUCT(MAX(ROW(E$2:E3333)*(E3334=E$2:E3333)))))</f>
        <v/>
      </c>
      <c r="J3334" s="24" t="str">
        <f ca="1">IF(OR(E3334="",E3334="!!!",F3334="NEW"),"",COUNTBLANK(OFFSET(A$1,,,SUMPRODUCT(MAX(ROW(E$2:E3334)*(E3334=E$2:E3334)))))-COUNTBLANK(OFFSET(A$1,,,SUMPRODUCT(MAX(ROW(E$1:E3333)*(E2=E$1:E3333))))))</f>
        <v/>
      </c>
      <c r="K3334" s="24" t="str">
        <f>IF(OR(E3334="",E3334="!!!",F3334="NEW"),"",INDEX(J$1:J3333,SUMPRODUCT(MAX(ROW(E$1:E3333)*(E3334=E$1:E3333)))))</f>
        <v/>
      </c>
      <c r="L3334" s="25"/>
    </row>
    <row r="3336" spans="1:12" x14ac:dyDescent="0.2">
      <c r="A3336" t="s">
        <v>1728</v>
      </c>
    </row>
    <row r="3337" spans="1:12" x14ac:dyDescent="0.2">
      <c r="A3337" t="s">
        <v>827</v>
      </c>
      <c r="B3337" s="26" t="s">
        <v>804</v>
      </c>
      <c r="C3337" s="26" t="s">
        <v>987</v>
      </c>
      <c r="D3337" s="26" t="s">
        <v>806</v>
      </c>
      <c r="E3337" s="20" t="s">
        <v>1815</v>
      </c>
      <c r="F3337" s="21" t="str">
        <f>IF(OR(E3337="",E3337="!!!"),"",IF(NOT(ISNA(VLOOKUP(E3337,E$1:E3336,1,FALSE()))),"OLD",IF(AND(E3337&lt;&gt;"",E3337&lt;&gt;"!!!"),"NEW","")))</f>
        <v>OLD</v>
      </c>
      <c r="G3337" s="22" t="s">
        <v>1823</v>
      </c>
      <c r="H3337" s="23" t="str">
        <f t="shared" ref="H3337:H3354" ca="1" si="358">IF(J3337&lt;&gt;1,"",IF(I3337="SBJ","CB","?"))</f>
        <v/>
      </c>
      <c r="I3337" s="24" t="str">
        <f>IF(OR(E3337="",E3337="!!!",F3337="NEW"),"",INDEX(B$2:B3336,-1+SUMPRODUCT(MAX(ROW(E$2:E3336)*(E3337=E$2:E3336)))))</f>
        <v>other_2</v>
      </c>
      <c r="J3337" s="24">
        <f ca="1">IF(OR(E3337="",E3337="!!!",F3337="NEW"),"",COUNTBLANK(OFFSET(A$1,,,SUMPRODUCT(MAX(ROW(E$2:E3337)*(E3337=E$2:E3337)))))-COUNTBLANK(OFFSET(A$1,,,SUMPRODUCT(MAX(ROW(E$1:E3336)*(E2=E$1:E3336))))))</f>
        <v>0</v>
      </c>
      <c r="K3337" s="24" t="str">
        <f ca="1">IF(OR(E3337="",E3337="!!!",F3337="NEW"),"",INDEX(J$1:J3336,SUMPRODUCT(MAX(ROW(E$1:E3336)*(E3337=E$1:E3336)))))</f>
        <v/>
      </c>
      <c r="L3337" s="25"/>
    </row>
    <row r="3338" spans="1:12" x14ac:dyDescent="0.2">
      <c r="A3338" t="s">
        <v>898</v>
      </c>
      <c r="E3338" s="20" t="str">
        <f t="shared" ref="E3337:E3354" si="359">IF(D3338="?OLD","!!!","")</f>
        <v/>
      </c>
      <c r="F3338" s="21" t="str">
        <f>IF(OR(E3338="",E3338="!!!"),"",IF(NOT(ISNA(VLOOKUP(E3338,E$1:E3337,1,FALSE()))),"OLD",IF(AND(E3338&lt;&gt;"",E3338&lt;&gt;"!!!"),"NEW","")))</f>
        <v/>
      </c>
      <c r="G3338" s="22" t="str">
        <f>IF(OR(E3338="",E3338="!!!"),"",IF(OR(J3338=0,AND(J3338=1,K3338=1),AND(J3338=1,I3338="SBJ"),AND(J3338=1,I3338=0)),"?IN_FOCUS",IF(J3338&lt;=2,"?ACTIVATED",IF(J3338&lt;&gt;"","?FAMILIAR",IF(F3338="NEW",IF(ISNA(VLOOKUP(E3338,#REF!,1,FALSE())),"?TYPE_IDENTIFIABLE","?REFERENTIAL"),"_")))))</f>
        <v/>
      </c>
      <c r="H3338" s="23" t="str">
        <f t="shared" ca="1" si="358"/>
        <v/>
      </c>
      <c r="I3338" s="24" t="str">
        <f>IF(OR(E3338="",E3338="!!!",F3338="NEW"),"",INDEX(B$2:B3337,-1+SUMPRODUCT(MAX(ROW(E$2:E3337)*(E3338=E$2:E3337)))))</f>
        <v/>
      </c>
      <c r="J3338" s="24" t="str">
        <f ca="1">IF(OR(E3338="",E3338="!!!",F3338="NEW"),"",COUNTBLANK(OFFSET(A$1,,,SUMPRODUCT(MAX(ROW(E$2:E3338)*(E3338=E$2:E3338)))))-COUNTBLANK(OFFSET(A$1,,,SUMPRODUCT(MAX(ROW(E$1:E3337)*(E2=E$1:E3337))))))</f>
        <v/>
      </c>
      <c r="K3338" s="24" t="str">
        <f>IF(OR(E3338="",E3338="!!!",F3338="NEW"),"",INDEX(J$1:J3337,SUMPRODUCT(MAX(ROW(E$1:E3337)*(E3338=E$1:E3337)))))</f>
        <v/>
      </c>
      <c r="L3338" s="25"/>
    </row>
    <row r="3339" spans="1:12" x14ac:dyDescent="0.2">
      <c r="A3339" t="s">
        <v>845</v>
      </c>
      <c r="E3339" s="20" t="str">
        <f t="shared" si="359"/>
        <v/>
      </c>
      <c r="F3339" s="21" t="str">
        <f>IF(OR(E3339="",E3339="!!!"),"",IF(NOT(ISNA(VLOOKUP(E3339,E$1:E3338,1,FALSE()))),"OLD",IF(AND(E3339&lt;&gt;"",E3339&lt;&gt;"!!!"),"NEW","")))</f>
        <v/>
      </c>
      <c r="G3339" s="22" t="str">
        <f>IF(OR(E3339="",E3339="!!!"),"",IF(OR(J3339=0,AND(J3339=1,K3339=1),AND(J3339=1,I3339="SBJ"),AND(J3339=1,I3339=0)),"?IN_FOCUS",IF(J3339&lt;=2,"?ACTIVATED",IF(J3339&lt;&gt;"","?FAMILIAR",IF(F3339="NEW",IF(ISNA(VLOOKUP(E3339,#REF!,1,FALSE())),"?TYPE_IDENTIFIABLE","?REFERENTIAL"),"_")))))</f>
        <v/>
      </c>
      <c r="H3339" s="23" t="str">
        <f t="shared" ca="1" si="358"/>
        <v/>
      </c>
      <c r="I3339" s="24" t="str">
        <f>IF(OR(E3339="",E3339="!!!",F3339="NEW"),"",INDEX(B$2:B3338,-1+SUMPRODUCT(MAX(ROW(E$2:E3338)*(E3339=E$2:E3338)))))</f>
        <v/>
      </c>
      <c r="J3339" s="24" t="str">
        <f ca="1">IF(OR(E3339="",E3339="!!!",F3339="NEW"),"",COUNTBLANK(OFFSET(A$1,,,SUMPRODUCT(MAX(ROW(E$2:E3339)*(E3339=E$2:E3339)))))-COUNTBLANK(OFFSET(A$1,,,SUMPRODUCT(MAX(ROW(E$1:E3338)*(E2=E$1:E3338))))))</f>
        <v/>
      </c>
      <c r="K3339" s="24" t="str">
        <f>IF(OR(E3339="",E3339="!!!",F3339="NEW"),"",INDEX(J$1:J3338,SUMPRODUCT(MAX(ROW(E$1:E3338)*(E3339=E$1:E3338)))))</f>
        <v/>
      </c>
      <c r="L3339" s="25"/>
    </row>
    <row r="3340" spans="1:12" x14ac:dyDescent="0.2">
      <c r="A3340" t="s">
        <v>829</v>
      </c>
      <c r="B3340" s="26" t="s">
        <v>819</v>
      </c>
      <c r="C3340" s="26" t="s">
        <v>847</v>
      </c>
      <c r="D3340" s="26" t="s">
        <v>806</v>
      </c>
      <c r="E3340" s="20" t="s">
        <v>1815</v>
      </c>
      <c r="F3340" s="21" t="str">
        <f>IF(OR(E3340="",E3340="!!!"),"",IF(NOT(ISNA(VLOOKUP(E3340,E$1:E3339,1,FALSE()))),"OLD",IF(AND(E3340&lt;&gt;"",E3340&lt;&gt;"!!!"),"NEW","")))</f>
        <v>OLD</v>
      </c>
      <c r="G3340" s="22" t="s">
        <v>1823</v>
      </c>
      <c r="H3340" s="23" t="str">
        <f t="shared" ca="1" si="358"/>
        <v/>
      </c>
      <c r="I3340" s="24" t="str">
        <f>IF(OR(E3340="",E3340="!!!",F3340="NEW"),"",INDEX(B$2:B3339,-1+SUMPRODUCT(MAX(ROW(E$2:E3339)*(E3340=E$2:E3339)))))</f>
        <v>SBJ</v>
      </c>
      <c r="J3340" s="24">
        <f ca="1">IF(OR(E3340="",E3340="!!!",F3340="NEW"),"",COUNTBLANK(OFFSET(A$1,,,SUMPRODUCT(MAX(ROW(E$2:E3340)*(E3340=E$2:E3340)))))-COUNTBLANK(OFFSET(A$1,,,SUMPRODUCT(MAX(ROW(E$1:E3339)*(E2=E$1:E3339))))))</f>
        <v>0</v>
      </c>
      <c r="K3340" s="24">
        <f ca="1">IF(OR(E3340="",E3340="!!!",F3340="NEW"),"",INDEX(J$1:J3339,SUMPRODUCT(MAX(ROW(E$1:E3339)*(E3340=E$1:E3339)))))</f>
        <v>0</v>
      </c>
      <c r="L3340" s="25"/>
    </row>
    <row r="3341" spans="1:12" x14ac:dyDescent="0.2">
      <c r="A3341" t="s">
        <v>1060</v>
      </c>
      <c r="B3341" s="26" t="s">
        <v>950</v>
      </c>
      <c r="E3341" s="20" t="str">
        <f t="shared" si="359"/>
        <v/>
      </c>
      <c r="F3341" s="21" t="str">
        <f>IF(OR(E3341="",E3341="!!!"),"",IF(NOT(ISNA(VLOOKUP(E3341,E$1:E3340,1,FALSE()))),"OLD",IF(AND(E3341&lt;&gt;"",E3341&lt;&gt;"!!!"),"NEW","")))</f>
        <v/>
      </c>
      <c r="G3341" s="22" t="str">
        <f>IF(OR(E3341="",E3341="!!!"),"",IF(OR(J3341=0,AND(J3341=1,K3341=1),AND(J3341=1,I3341="SBJ"),AND(J3341=1,I3341=0)),"?IN_FOCUS",IF(J3341&lt;=2,"?ACTIVATED",IF(J3341&lt;&gt;"","?FAMILIAR",IF(F3341="NEW",IF(ISNA(VLOOKUP(E3341,#REF!,1,FALSE())),"?TYPE_IDENTIFIABLE","?REFERENTIAL"),"_")))))</f>
        <v/>
      </c>
      <c r="H3341" s="23" t="str">
        <f t="shared" ca="1" si="358"/>
        <v/>
      </c>
      <c r="I3341" s="24" t="str">
        <f>IF(OR(E3341="",E3341="!!!",F3341="NEW"),"",INDEX(B$2:B3340,-1+SUMPRODUCT(MAX(ROW(E$2:E3340)*(E3341=E$2:E3340)))))</f>
        <v/>
      </c>
      <c r="J3341" s="24" t="str">
        <f ca="1">IF(OR(E3341="",E3341="!!!",F3341="NEW"),"",COUNTBLANK(OFFSET(A$1,,,SUMPRODUCT(MAX(ROW(E$2:E3341)*(E3341=E$2:E3341)))))-COUNTBLANK(OFFSET(A$1,,,SUMPRODUCT(MAX(ROW(E$1:E3340)*(E2=E$1:E3340))))))</f>
        <v/>
      </c>
      <c r="K3341" s="24" t="str">
        <f>IF(OR(E3341="",E3341="!!!",F3341="NEW"),"",INDEX(J$1:J3340,SUMPRODUCT(MAX(ROW(E$1:E3340)*(E3341=E$1:E3340)))))</f>
        <v/>
      </c>
      <c r="L3341" s="25"/>
    </row>
    <row r="3342" spans="1:12" x14ac:dyDescent="0.2">
      <c r="A3342" t="s">
        <v>1729</v>
      </c>
      <c r="E3342" s="20" t="str">
        <f t="shared" si="359"/>
        <v/>
      </c>
      <c r="F3342" s="21" t="str">
        <f>IF(OR(E3342="",E3342="!!!"),"",IF(NOT(ISNA(VLOOKUP(E3342,E$1:E3341,1,FALSE()))),"OLD",IF(AND(E3342&lt;&gt;"",E3342&lt;&gt;"!!!"),"NEW","")))</f>
        <v/>
      </c>
      <c r="G3342" s="22" t="str">
        <f>IF(OR(E3342="",E3342="!!!"),"",IF(OR(J3342=0,AND(J3342=1,K3342=1),AND(J3342=1,I3342="SBJ"),AND(J3342=1,I3342=0)),"?IN_FOCUS",IF(J3342&lt;=2,"?ACTIVATED",IF(J3342&lt;&gt;"","?FAMILIAR",IF(F3342="NEW",IF(ISNA(VLOOKUP(E3342,#REF!,1,FALSE())),"?TYPE_IDENTIFIABLE","?REFERENTIAL"),"_")))))</f>
        <v/>
      </c>
      <c r="H3342" s="23" t="str">
        <f t="shared" ca="1" si="358"/>
        <v/>
      </c>
      <c r="I3342" s="24" t="str">
        <f>IF(OR(E3342="",E3342="!!!",F3342="NEW"),"",INDEX(B$2:B3341,-1+SUMPRODUCT(MAX(ROW(E$2:E3341)*(E3342=E$2:E3341)))))</f>
        <v/>
      </c>
      <c r="J3342" s="24" t="str">
        <f ca="1">IF(OR(E3342="",E3342="!!!",F3342="NEW"),"",COUNTBLANK(OFFSET(A$1,,,SUMPRODUCT(MAX(ROW(E$2:E3342)*(E3342=E$2:E3342)))))-COUNTBLANK(OFFSET(A$1,,,SUMPRODUCT(MAX(ROW(E$1:E3341)*(E2=E$1:E3341))))))</f>
        <v/>
      </c>
      <c r="K3342" s="24" t="str">
        <f>IF(OR(E3342="",E3342="!!!",F3342="NEW"),"",INDEX(J$1:J3341,SUMPRODUCT(MAX(ROW(E$1:E3341)*(E3342=E$1:E3341)))))</f>
        <v/>
      </c>
      <c r="L3342" s="25"/>
    </row>
    <row r="3343" spans="1:12" x14ac:dyDescent="0.2">
      <c r="A3343" t="s">
        <v>844</v>
      </c>
      <c r="E3343" s="20" t="str">
        <f t="shared" si="359"/>
        <v/>
      </c>
      <c r="F3343" s="21" t="str">
        <f>IF(OR(E3343="",E3343="!!!"),"",IF(NOT(ISNA(VLOOKUP(E3343,E$1:E3342,1,FALSE()))),"OLD",IF(AND(E3343&lt;&gt;"",E3343&lt;&gt;"!!!"),"NEW","")))</f>
        <v/>
      </c>
      <c r="G3343" s="22" t="str">
        <f>IF(OR(E3343="",E3343="!!!"),"",IF(OR(J3343=0,AND(J3343=1,K3343=1),AND(J3343=1,I3343="SBJ"),AND(J3343=1,I3343=0)),"?IN_FOCUS",IF(J3343&lt;=2,"?ACTIVATED",IF(J3343&lt;&gt;"","?FAMILIAR",IF(F3343="NEW",IF(ISNA(VLOOKUP(E3343,#REF!,1,FALSE())),"?TYPE_IDENTIFIABLE","?REFERENTIAL"),"_")))))</f>
        <v/>
      </c>
      <c r="H3343" s="23" t="str">
        <f t="shared" ca="1" si="358"/>
        <v/>
      </c>
      <c r="I3343" s="24" t="str">
        <f>IF(OR(E3343="",E3343="!!!",F3343="NEW"),"",INDEX(B$2:B3342,-1+SUMPRODUCT(MAX(ROW(E$2:E3342)*(E3343=E$2:E3342)))))</f>
        <v/>
      </c>
      <c r="J3343" s="24" t="str">
        <f ca="1">IF(OR(E3343="",E3343="!!!",F3343="NEW"),"",COUNTBLANK(OFFSET(A$1,,,SUMPRODUCT(MAX(ROW(E$2:E3343)*(E3343=E$2:E3343)))))-COUNTBLANK(OFFSET(A$1,,,SUMPRODUCT(MAX(ROW(E$1:E3342)*(E2=E$1:E3342))))))</f>
        <v/>
      </c>
      <c r="K3343" s="24" t="str">
        <f>IF(OR(E3343="",E3343="!!!",F3343="NEW"),"",INDEX(J$1:J3342,SUMPRODUCT(MAX(ROW(E$1:E3342)*(E3343=E$1:E3342)))))</f>
        <v/>
      </c>
      <c r="L3343" s="25"/>
    </row>
    <row r="3344" spans="1:12" x14ac:dyDescent="0.2">
      <c r="A3344" t="s">
        <v>825</v>
      </c>
      <c r="E3344" s="20" t="str">
        <f t="shared" si="359"/>
        <v/>
      </c>
      <c r="F3344" s="21" t="str">
        <f>IF(OR(E3344="",E3344="!!!"),"",IF(NOT(ISNA(VLOOKUP(E3344,E$1:E3343,1,FALSE()))),"OLD",IF(AND(E3344&lt;&gt;"",E3344&lt;&gt;"!!!"),"NEW","")))</f>
        <v/>
      </c>
      <c r="G3344" s="22" t="str">
        <f>IF(OR(E3344="",E3344="!!!"),"",IF(OR(J3344=0,AND(J3344=1,K3344=1),AND(J3344=1,I3344="SBJ"),AND(J3344=1,I3344=0)),"?IN_FOCUS",IF(J3344&lt;=2,"?ACTIVATED",IF(J3344&lt;&gt;"","?FAMILIAR",IF(F3344="NEW",IF(ISNA(VLOOKUP(E3344,#REF!,1,FALSE())),"?TYPE_IDENTIFIABLE","?REFERENTIAL"),"_")))))</f>
        <v/>
      </c>
      <c r="H3344" s="23" t="str">
        <f t="shared" ca="1" si="358"/>
        <v/>
      </c>
      <c r="I3344" s="24" t="str">
        <f>IF(OR(E3344="",E3344="!!!",F3344="NEW"),"",INDEX(B$2:B3343,-1+SUMPRODUCT(MAX(ROW(E$2:E3343)*(E3344=E$2:E3343)))))</f>
        <v/>
      </c>
      <c r="J3344" s="24" t="str">
        <f ca="1">IF(OR(E3344="",E3344="!!!",F3344="NEW"),"",COUNTBLANK(OFFSET(A$1,,,SUMPRODUCT(MAX(ROW(E$2:E3344)*(E3344=E$2:E3344)))))-COUNTBLANK(OFFSET(A$1,,,SUMPRODUCT(MAX(ROW(E$1:E3343)*(E2=E$1:E3343))))))</f>
        <v/>
      </c>
      <c r="K3344" s="24" t="str">
        <f>IF(OR(E3344="",E3344="!!!",F3344="NEW"),"",INDEX(J$1:J3343,SUMPRODUCT(MAX(ROW(E$1:E3343)*(E3344=E$1:E3343)))))</f>
        <v/>
      </c>
      <c r="L3344" s="25"/>
    </row>
    <row r="3345" spans="1:12" x14ac:dyDescent="0.2">
      <c r="A3345" t="s">
        <v>1650</v>
      </c>
      <c r="E3345" s="20" t="str">
        <f t="shared" si="359"/>
        <v/>
      </c>
      <c r="F3345" s="21" t="str">
        <f>IF(OR(E3345="",E3345="!!!"),"",IF(NOT(ISNA(VLOOKUP(E3345,E$1:E3344,1,FALSE()))),"OLD",IF(AND(E3345&lt;&gt;"",E3345&lt;&gt;"!!!"),"NEW","")))</f>
        <v/>
      </c>
      <c r="G3345" s="22" t="str">
        <f>IF(OR(E3345="",E3345="!!!"),"",IF(OR(J3345=0,AND(J3345=1,K3345=1),AND(J3345=1,I3345="SBJ"),AND(J3345=1,I3345=0)),"?IN_FOCUS",IF(J3345&lt;=2,"?ACTIVATED",IF(J3345&lt;&gt;"","?FAMILIAR",IF(F3345="NEW",IF(ISNA(VLOOKUP(E3345,#REF!,1,FALSE())),"?TYPE_IDENTIFIABLE","?REFERENTIAL"),"_")))))</f>
        <v/>
      </c>
      <c r="H3345" s="23" t="str">
        <f t="shared" ca="1" si="358"/>
        <v/>
      </c>
      <c r="I3345" s="24" t="str">
        <f>IF(OR(E3345="",E3345="!!!",F3345="NEW"),"",INDEX(B$2:B3344,-1+SUMPRODUCT(MAX(ROW(E$2:E3344)*(E3345=E$2:E3344)))))</f>
        <v/>
      </c>
      <c r="J3345" s="24" t="str">
        <f ca="1">IF(OR(E3345="",E3345="!!!",F3345="NEW"),"",COUNTBLANK(OFFSET(A$1,,,SUMPRODUCT(MAX(ROW(E$2:E3345)*(E3345=E$2:E3345)))))-COUNTBLANK(OFFSET(A$1,,,SUMPRODUCT(MAX(ROW(E$1:E3344)*(E2=E$1:E3344))))))</f>
        <v/>
      </c>
      <c r="K3345" s="24" t="str">
        <f>IF(OR(E3345="",E3345="!!!",F3345="NEW"),"",INDEX(J$1:J3344,SUMPRODUCT(MAX(ROW(E$1:E3344)*(E3345=E$1:E3344)))))</f>
        <v/>
      </c>
      <c r="L3345" s="25"/>
    </row>
    <row r="3346" spans="1:12" x14ac:dyDescent="0.2">
      <c r="A3346" t="s">
        <v>926</v>
      </c>
      <c r="B3346" s="26" t="s">
        <v>813</v>
      </c>
      <c r="C3346" s="26" t="s">
        <v>884</v>
      </c>
      <c r="E3346" s="20" t="str">
        <f t="shared" si="359"/>
        <v/>
      </c>
      <c r="F3346" s="21" t="str">
        <f>IF(OR(E3346="",E3346="!!!"),"",IF(NOT(ISNA(VLOOKUP(E3346,E$1:E3345,1,FALSE()))),"OLD",IF(AND(E3346&lt;&gt;"",E3346&lt;&gt;"!!!"),"NEW","")))</f>
        <v/>
      </c>
      <c r="G3346" s="22" t="str">
        <f>IF(OR(E3346="",E3346="!!!"),"",IF(OR(J3346=0,AND(J3346=1,K3346=1),AND(J3346=1,I3346="SBJ"),AND(J3346=1,I3346=0)),"?IN_FOCUS",IF(J3346&lt;=2,"?ACTIVATED",IF(J3346&lt;&gt;"","?FAMILIAR",IF(F3346="NEW",IF(ISNA(VLOOKUP(E3346,#REF!,1,FALSE())),"?TYPE_IDENTIFIABLE","?REFERENTIAL"),"_")))))</f>
        <v/>
      </c>
      <c r="H3346" s="23" t="str">
        <f t="shared" ca="1" si="358"/>
        <v/>
      </c>
      <c r="I3346" s="24" t="str">
        <f>IF(OR(E3346="",E3346="!!!",F3346="NEW"),"",INDEX(B$2:B3345,-1+SUMPRODUCT(MAX(ROW(E$2:E3345)*(E3346=E$2:E3345)))))</f>
        <v/>
      </c>
      <c r="J3346" s="24" t="str">
        <f ca="1">IF(OR(E3346="",E3346="!!!",F3346="NEW"),"",COUNTBLANK(OFFSET(A$1,,,SUMPRODUCT(MAX(ROW(E$2:E3346)*(E3346=E$2:E3346)))))-COUNTBLANK(OFFSET(A$1,,,SUMPRODUCT(MAX(ROW(E$1:E3345)*(E2=E$1:E3345))))))</f>
        <v/>
      </c>
      <c r="K3346" s="24" t="str">
        <f>IF(OR(E3346="",E3346="!!!",F3346="NEW"),"",INDEX(J$1:J3345,SUMPRODUCT(MAX(ROW(E$1:E3345)*(E3346=E$1:E3345)))))</f>
        <v/>
      </c>
      <c r="L3346" s="25"/>
    </row>
    <row r="3347" spans="1:12" x14ac:dyDescent="0.2">
      <c r="A3347" t="s">
        <v>812</v>
      </c>
      <c r="E3347" s="20" t="str">
        <f t="shared" si="359"/>
        <v/>
      </c>
      <c r="F3347" s="21" t="str">
        <f>IF(OR(E3347="",E3347="!!!"),"",IF(NOT(ISNA(VLOOKUP(E3347,E$1:E3346,1,FALSE()))),"OLD",IF(AND(E3347&lt;&gt;"",E3347&lt;&gt;"!!!"),"NEW","")))</f>
        <v/>
      </c>
      <c r="G3347" s="22" t="str">
        <f>IF(OR(E3347="",E3347="!!!"),"",IF(OR(J3347=0,AND(J3347=1,K3347=1),AND(J3347=1,I3347="SBJ"),AND(J3347=1,I3347=0)),"?IN_FOCUS",IF(J3347&lt;=2,"?ACTIVATED",IF(J3347&lt;&gt;"","?FAMILIAR",IF(F3347="NEW",IF(ISNA(VLOOKUP(E3347,#REF!,1,FALSE())),"?TYPE_IDENTIFIABLE","?REFERENTIAL"),"_")))))</f>
        <v/>
      </c>
      <c r="H3347" s="23" t="str">
        <f t="shared" ca="1" si="358"/>
        <v/>
      </c>
      <c r="I3347" s="24" t="str">
        <f>IF(OR(E3347="",E3347="!!!",F3347="NEW"),"",INDEX(B$2:B3346,-1+SUMPRODUCT(MAX(ROW(E$2:E3346)*(E3347=E$2:E3346)))))</f>
        <v/>
      </c>
      <c r="J3347" s="24" t="str">
        <f ca="1">IF(OR(E3347="",E3347="!!!",F3347="NEW"),"",COUNTBLANK(OFFSET(A$1,,,SUMPRODUCT(MAX(ROW(E$2:E3347)*(E3347=E$2:E3347)))))-COUNTBLANK(OFFSET(A$1,,,SUMPRODUCT(MAX(ROW(E$1:E3346)*(E2=E$1:E3346))))))</f>
        <v/>
      </c>
      <c r="K3347" s="24" t="str">
        <f>IF(OR(E3347="",E3347="!!!",F3347="NEW"),"",INDEX(J$1:J3346,SUMPRODUCT(MAX(ROW(E$1:E3346)*(E3347=E$1:E3346)))))</f>
        <v/>
      </c>
      <c r="L3347" s="25"/>
    </row>
    <row r="3348" spans="1:12" x14ac:dyDescent="0.2">
      <c r="A3348" t="s">
        <v>844</v>
      </c>
      <c r="E3348" s="20" t="str">
        <f t="shared" si="359"/>
        <v/>
      </c>
      <c r="F3348" s="21" t="str">
        <f>IF(OR(E3348="",E3348="!!!"),"",IF(NOT(ISNA(VLOOKUP(E3348,E$1:E3347,1,FALSE()))),"OLD",IF(AND(E3348&lt;&gt;"",E3348&lt;&gt;"!!!"),"NEW","")))</f>
        <v/>
      </c>
      <c r="G3348" s="22" t="str">
        <f>IF(OR(E3348="",E3348="!!!"),"",IF(OR(J3348=0,AND(J3348=1,K3348=1),AND(J3348=1,I3348="SBJ"),AND(J3348=1,I3348=0)),"?IN_FOCUS",IF(J3348&lt;=2,"?ACTIVATED",IF(J3348&lt;&gt;"","?FAMILIAR",IF(F3348="NEW",IF(ISNA(VLOOKUP(E3348,#REF!,1,FALSE())),"?TYPE_IDENTIFIABLE","?REFERENTIAL"),"_")))))</f>
        <v/>
      </c>
      <c r="H3348" s="23" t="str">
        <f t="shared" ca="1" si="358"/>
        <v/>
      </c>
      <c r="I3348" s="24" t="str">
        <f>IF(OR(E3348="",E3348="!!!",F3348="NEW"),"",INDEX(B$2:B3347,-1+SUMPRODUCT(MAX(ROW(E$2:E3347)*(E3348=E$2:E3347)))))</f>
        <v/>
      </c>
      <c r="J3348" s="24" t="str">
        <f ca="1">IF(OR(E3348="",E3348="!!!",F3348="NEW"),"",COUNTBLANK(OFFSET(A$1,,,SUMPRODUCT(MAX(ROW(E$2:E3348)*(E3348=E$2:E3348)))))-COUNTBLANK(OFFSET(A$1,,,SUMPRODUCT(MAX(ROW(E$1:E3347)*(E2=E$1:E3347))))))</f>
        <v/>
      </c>
      <c r="K3348" s="24" t="str">
        <f>IF(OR(E3348="",E3348="!!!",F3348="NEW"),"",INDEX(J$1:J3347,SUMPRODUCT(MAX(ROW(E$1:E3347)*(E3348=E$1:E3347)))))</f>
        <v/>
      </c>
      <c r="L3348" s="25"/>
    </row>
    <row r="3349" spans="1:12" x14ac:dyDescent="0.2">
      <c r="A3349" t="s">
        <v>16</v>
      </c>
      <c r="E3349" s="20" t="str">
        <f t="shared" si="359"/>
        <v/>
      </c>
      <c r="F3349" s="21" t="str">
        <f>IF(OR(E3349="",E3349="!!!"),"",IF(NOT(ISNA(VLOOKUP(E3349,E$1:E3348,1,FALSE()))),"OLD",IF(AND(E3349&lt;&gt;"",E3349&lt;&gt;"!!!"),"NEW","")))</f>
        <v/>
      </c>
      <c r="G3349" s="22" t="str">
        <f>IF(OR(E3349="",E3349="!!!"),"",IF(OR(J3349=0,AND(J3349=1,K3349=1),AND(J3349=1,I3349="SBJ"),AND(J3349=1,I3349=0)),"?IN_FOCUS",IF(J3349&lt;=2,"?ACTIVATED",IF(J3349&lt;&gt;"","?FAMILIAR",IF(F3349="NEW",IF(ISNA(VLOOKUP(E3349,#REF!,1,FALSE())),"?TYPE_IDENTIFIABLE","?REFERENTIAL"),"_")))))</f>
        <v/>
      </c>
      <c r="H3349" s="23" t="str">
        <f t="shared" ca="1" si="358"/>
        <v/>
      </c>
      <c r="I3349" s="24" t="str">
        <f>IF(OR(E3349="",E3349="!!!",F3349="NEW"),"",INDEX(B$2:B3348,-1+SUMPRODUCT(MAX(ROW(E$2:E3348)*(E3349=E$2:E3348)))))</f>
        <v/>
      </c>
      <c r="J3349" s="24" t="str">
        <f ca="1">IF(OR(E3349="",E3349="!!!",F3349="NEW"),"",COUNTBLANK(OFFSET(A$1,,,SUMPRODUCT(MAX(ROW(E$2:E3349)*(E3349=E$2:E3349)))))-COUNTBLANK(OFFSET(A$1,,,SUMPRODUCT(MAX(ROW(E$1:E3348)*(E2=E$1:E3348))))))</f>
        <v/>
      </c>
      <c r="K3349" s="24" t="str">
        <f>IF(OR(E3349="",E3349="!!!",F3349="NEW"),"",INDEX(J$1:J3348,SUMPRODUCT(MAX(ROW(E$1:E3348)*(E3349=E$1:E3348)))))</f>
        <v/>
      </c>
      <c r="L3349" s="25"/>
    </row>
    <row r="3350" spans="1:12" x14ac:dyDescent="0.2">
      <c r="A3350" t="s">
        <v>845</v>
      </c>
      <c r="E3350" s="20" t="str">
        <f t="shared" si="359"/>
        <v/>
      </c>
      <c r="F3350" s="21" t="str">
        <f>IF(OR(E3350="",E3350="!!!"),"",IF(NOT(ISNA(VLOOKUP(E3350,E$1:E3349,1,FALSE()))),"OLD",IF(AND(E3350&lt;&gt;"",E3350&lt;&gt;"!!!"),"NEW","")))</f>
        <v/>
      </c>
      <c r="G3350" s="22" t="str">
        <f>IF(OR(E3350="",E3350="!!!"),"",IF(OR(J3350=0,AND(J3350=1,K3350=1),AND(J3350=1,I3350="SBJ"),AND(J3350=1,I3350=0)),"?IN_FOCUS",IF(J3350&lt;=2,"?ACTIVATED",IF(J3350&lt;&gt;"","?FAMILIAR",IF(F3350="NEW",IF(ISNA(VLOOKUP(E3350,#REF!,1,FALSE())),"?TYPE_IDENTIFIABLE","?REFERENTIAL"),"_")))))</f>
        <v/>
      </c>
      <c r="H3350" s="23" t="str">
        <f t="shared" ca="1" si="358"/>
        <v/>
      </c>
      <c r="I3350" s="24" t="str">
        <f>IF(OR(E3350="",E3350="!!!",F3350="NEW"),"",INDEX(B$2:B3349,-1+SUMPRODUCT(MAX(ROW(E$2:E3349)*(E3350=E$2:E3349)))))</f>
        <v/>
      </c>
      <c r="J3350" s="24" t="str">
        <f ca="1">IF(OR(E3350="",E3350="!!!",F3350="NEW"),"",COUNTBLANK(OFFSET(A$1,,,SUMPRODUCT(MAX(ROW(E$2:E3350)*(E3350=E$2:E3350)))))-COUNTBLANK(OFFSET(A$1,,,SUMPRODUCT(MAX(ROW(E$1:E3349)*(E2=E$1:E3349))))))</f>
        <v/>
      </c>
      <c r="K3350" s="24" t="str">
        <f>IF(OR(E3350="",E3350="!!!",F3350="NEW"),"",INDEX(J$1:J3349,SUMPRODUCT(MAX(ROW(E$1:E3349)*(E3350=E$1:E3349)))))</f>
        <v/>
      </c>
      <c r="L3350" s="25"/>
    </row>
    <row r="3351" spans="1:12" x14ac:dyDescent="0.2">
      <c r="A3351" t="s">
        <v>16</v>
      </c>
      <c r="E3351" s="20" t="str">
        <f t="shared" si="359"/>
        <v/>
      </c>
      <c r="F3351" s="21" t="str">
        <f>IF(OR(E3351="",E3351="!!!"),"",IF(NOT(ISNA(VLOOKUP(E3351,E$1:E3350,1,FALSE()))),"OLD",IF(AND(E3351&lt;&gt;"",E3351&lt;&gt;"!!!"),"NEW","")))</f>
        <v/>
      </c>
      <c r="G3351" s="22" t="str">
        <f>IF(OR(E3351="",E3351="!!!"),"",IF(OR(J3351=0,AND(J3351=1,K3351=1),AND(J3351=1,I3351="SBJ"),AND(J3351=1,I3351=0)),"?IN_FOCUS",IF(J3351&lt;=2,"?ACTIVATED",IF(J3351&lt;&gt;"","?FAMILIAR",IF(F3351="NEW",IF(ISNA(VLOOKUP(E3351,#REF!,1,FALSE())),"?TYPE_IDENTIFIABLE","?REFERENTIAL"),"_")))))</f>
        <v/>
      </c>
      <c r="H3351" s="23" t="str">
        <f t="shared" ca="1" si="358"/>
        <v/>
      </c>
      <c r="I3351" s="24" t="str">
        <f>IF(OR(E3351="",E3351="!!!",F3351="NEW"),"",INDEX(B$2:B3350,-1+SUMPRODUCT(MAX(ROW(E$2:E3350)*(E3351=E$2:E3350)))))</f>
        <v/>
      </c>
      <c r="J3351" s="24" t="str">
        <f ca="1">IF(OR(E3351="",E3351="!!!",F3351="NEW"),"",COUNTBLANK(OFFSET(A$1,,,SUMPRODUCT(MAX(ROW(E$2:E3351)*(E3351=E$2:E3351)))))-COUNTBLANK(OFFSET(A$1,,,SUMPRODUCT(MAX(ROW(E$1:E3350)*(E2=E$1:E3350))))))</f>
        <v/>
      </c>
      <c r="K3351" s="24" t="str">
        <f>IF(OR(E3351="",E3351="!!!",F3351="NEW"),"",INDEX(J$1:J3350,SUMPRODUCT(MAX(ROW(E$1:E3350)*(E3351=E$1:E3350)))))</f>
        <v/>
      </c>
      <c r="L3351" s="25"/>
    </row>
    <row r="3352" spans="1:12" x14ac:dyDescent="0.2">
      <c r="A3352" t="s">
        <v>1730</v>
      </c>
      <c r="E3352" s="20" t="str">
        <f t="shared" si="359"/>
        <v/>
      </c>
      <c r="F3352" s="21" t="str">
        <f>IF(OR(E3352="",E3352="!!!"),"",IF(NOT(ISNA(VLOOKUP(E3352,E$1:E3351,1,FALSE()))),"OLD",IF(AND(E3352&lt;&gt;"",E3352&lt;&gt;"!!!"),"NEW","")))</f>
        <v/>
      </c>
      <c r="G3352" s="22" t="str">
        <f>IF(OR(E3352="",E3352="!!!"),"",IF(OR(J3352=0,AND(J3352=1,K3352=1),AND(J3352=1,I3352="SBJ"),AND(J3352=1,I3352=0)),"?IN_FOCUS",IF(J3352&lt;=2,"?ACTIVATED",IF(J3352&lt;&gt;"","?FAMILIAR",IF(F3352="NEW",IF(ISNA(VLOOKUP(E3352,#REF!,1,FALSE())),"?TYPE_IDENTIFIABLE","?REFERENTIAL"),"_")))))</f>
        <v/>
      </c>
      <c r="H3352" s="23" t="str">
        <f t="shared" ca="1" si="358"/>
        <v/>
      </c>
      <c r="I3352" s="24" t="str">
        <f>IF(OR(E3352="",E3352="!!!",F3352="NEW"),"",INDEX(B$2:B3351,-1+SUMPRODUCT(MAX(ROW(E$2:E3351)*(E3352=E$2:E3351)))))</f>
        <v/>
      </c>
      <c r="J3352" s="24" t="str">
        <f ca="1">IF(OR(E3352="",E3352="!!!",F3352="NEW"),"",COUNTBLANK(OFFSET(A$1,,,SUMPRODUCT(MAX(ROW(E$2:E3352)*(E3352=E$2:E3352)))))-COUNTBLANK(OFFSET(A$1,,,SUMPRODUCT(MAX(ROW(E$1:E3351)*(E2=E$1:E3351))))))</f>
        <v/>
      </c>
      <c r="K3352" s="24" t="str">
        <f>IF(OR(E3352="",E3352="!!!",F3352="NEW"),"",INDEX(J$1:J3351,SUMPRODUCT(MAX(ROW(E$1:E3351)*(E3352=E$1:E3351)))))</f>
        <v/>
      </c>
      <c r="L3352" s="25"/>
    </row>
    <row r="3353" spans="1:12" x14ac:dyDescent="0.2">
      <c r="A3353" t="s">
        <v>1731</v>
      </c>
      <c r="B3353" s="26" t="s">
        <v>864</v>
      </c>
      <c r="C3353" s="26" t="s">
        <v>814</v>
      </c>
      <c r="E3353" s="20" t="str">
        <f t="shared" si="359"/>
        <v/>
      </c>
      <c r="F3353" s="21" t="str">
        <f>IF(OR(E3353="",E3353="!!!"),"",IF(NOT(ISNA(VLOOKUP(E3353,E$1:E3352,1,FALSE()))),"OLD",IF(AND(E3353&lt;&gt;"",E3353&lt;&gt;"!!!"),"NEW","")))</f>
        <v/>
      </c>
      <c r="G3353" s="22" t="str">
        <f>IF(OR(E3353="",E3353="!!!"),"",IF(OR(J3353=0,AND(J3353=1,K3353=1),AND(J3353=1,I3353="SBJ"),AND(J3353=1,I3353=0)),"?IN_FOCUS",IF(J3353&lt;=2,"?ACTIVATED",IF(J3353&lt;&gt;"","?FAMILIAR",IF(F3353="NEW",IF(ISNA(VLOOKUP(E3353,#REF!,1,FALSE())),"?TYPE_IDENTIFIABLE","?REFERENTIAL"),"_")))))</f>
        <v/>
      </c>
      <c r="H3353" s="23" t="str">
        <f t="shared" ca="1" si="358"/>
        <v/>
      </c>
      <c r="I3353" s="24" t="str">
        <f>IF(OR(E3353="",E3353="!!!",F3353="NEW"),"",INDEX(B$2:B3352,-1+SUMPRODUCT(MAX(ROW(E$2:E3352)*(E3353=E$2:E3352)))))</f>
        <v/>
      </c>
      <c r="J3353" s="24" t="str">
        <f ca="1">IF(OR(E3353="",E3353="!!!",F3353="NEW"),"",COUNTBLANK(OFFSET(A$1,,,SUMPRODUCT(MAX(ROW(E$2:E3353)*(E3353=E$2:E3353)))))-COUNTBLANK(OFFSET(A$1,,,SUMPRODUCT(MAX(ROW(E$1:E3352)*(E2=E$1:E3352))))))</f>
        <v/>
      </c>
      <c r="K3353" s="24" t="str">
        <f>IF(OR(E3353="",E3353="!!!",F3353="NEW"),"",INDEX(J$1:J3352,SUMPRODUCT(MAX(ROW(E$1:E3352)*(E3353=E$1:E3352)))))</f>
        <v/>
      </c>
      <c r="L3353" s="25"/>
    </row>
    <row r="3354" spans="1:12" x14ac:dyDescent="0.2">
      <c r="A3354" t="s">
        <v>821</v>
      </c>
      <c r="E3354" s="20" t="str">
        <f t="shared" si="359"/>
        <v/>
      </c>
      <c r="F3354" s="21" t="str">
        <f>IF(OR(E3354="",E3354="!!!"),"",IF(NOT(ISNA(VLOOKUP(E3354,E$1:E3353,1,FALSE()))),"OLD",IF(AND(E3354&lt;&gt;"",E3354&lt;&gt;"!!!"),"NEW","")))</f>
        <v/>
      </c>
      <c r="G3354" s="22" t="str">
        <f>IF(OR(E3354="",E3354="!!!"),"",IF(OR(J3354=0,AND(J3354=1,K3354=1),AND(J3354=1,I3354="SBJ"),AND(J3354=1,I3354=0)),"?IN_FOCUS",IF(J3354&lt;=2,"?ACTIVATED",IF(J3354&lt;&gt;"","?FAMILIAR",IF(F3354="NEW",IF(ISNA(VLOOKUP(E3354,#REF!,1,FALSE())),"?TYPE_IDENTIFIABLE","?REFERENTIAL"),"_")))))</f>
        <v/>
      </c>
      <c r="H3354" s="23" t="str">
        <f t="shared" ca="1" si="358"/>
        <v/>
      </c>
      <c r="I3354" s="24" t="str">
        <f>IF(OR(E3354="",E3354="!!!",F3354="NEW"),"",INDEX(B$2:B3353,-1+SUMPRODUCT(MAX(ROW(E$2:E3353)*(E3354=E$2:E3353)))))</f>
        <v/>
      </c>
      <c r="J3354" s="24" t="str">
        <f ca="1">IF(OR(E3354="",E3354="!!!",F3354="NEW"),"",COUNTBLANK(OFFSET(A$1,,,SUMPRODUCT(MAX(ROW(E$2:E3354)*(E3354=E$2:E3354)))))-COUNTBLANK(OFFSET(A$1,,,SUMPRODUCT(MAX(ROW(E$1:E3353)*(E2=E$1:E3353))))))</f>
        <v/>
      </c>
      <c r="K3354" s="24" t="str">
        <f>IF(OR(E3354="",E3354="!!!",F3354="NEW"),"",INDEX(J$1:J3353,SUMPRODUCT(MAX(ROW(E$1:E3353)*(E3354=E$1:E3353)))))</f>
        <v/>
      </c>
      <c r="L3354" s="25"/>
    </row>
    <row r="3356" spans="1:12" x14ac:dyDescent="0.2">
      <c r="A3356" t="s">
        <v>1732</v>
      </c>
    </row>
    <row r="3357" spans="1:12" x14ac:dyDescent="0.2">
      <c r="A3357" t="s">
        <v>1432</v>
      </c>
      <c r="E3357" s="20" t="str">
        <f t="shared" ref="E3357:E3364" si="360">IF(D3357="?OLD","!!!","")</f>
        <v/>
      </c>
      <c r="F3357" s="21" t="str">
        <f>IF(OR(E3357="",E3357="!!!"),"",IF(NOT(ISNA(VLOOKUP(E3357,E$1:E3356,1,FALSE()))),"OLD",IF(AND(E3357&lt;&gt;"",E3357&lt;&gt;"!!!"),"NEW","")))</f>
        <v/>
      </c>
      <c r="G3357" s="22" t="str">
        <f>IF(OR(E3357="",E3357="!!!"),"",IF(OR(J3357=0,AND(J3357=1,K3357=1),AND(J3357=1,I3357="SBJ"),AND(J3357=1,I3357=0)),"?IN_FOCUS",IF(J3357&lt;=2,"?ACTIVATED",IF(J3357&lt;&gt;"","?FAMILIAR",IF(F3357="NEW",IF(ISNA(VLOOKUP(E3357,#REF!,1,FALSE())),"?TYPE_IDENTIFIABLE","?REFERENTIAL"),"_")))))</f>
        <v/>
      </c>
      <c r="H3357" s="23" t="str">
        <f t="shared" ref="H3357:H3364" ca="1" si="361">IF(J3357&lt;&gt;1,"",IF(I3357="SBJ","CB","?"))</f>
        <v/>
      </c>
      <c r="I3357" s="24" t="str">
        <f>IF(OR(E3357="",E3357="!!!",F3357="NEW"),"",INDEX(B$2:B3356,-1+SUMPRODUCT(MAX(ROW(E$2:E3356)*(E3357=E$2:E3356)))))</f>
        <v/>
      </c>
      <c r="J3357" s="24" t="str">
        <f ca="1">IF(OR(E3357="",E3357="!!!",F3357="NEW"),"",COUNTBLANK(OFFSET(A$1,,,SUMPRODUCT(MAX(ROW(E$2:E3357)*(E3357=E$2:E3357)))))-COUNTBLANK(OFFSET(A$1,,,SUMPRODUCT(MAX(ROW(E$1:E3356)*(E2=E$1:E3356))))))</f>
        <v/>
      </c>
      <c r="K3357" s="24" t="str">
        <f>IF(OR(E3357="",E3357="!!!",F3357="NEW"),"",INDEX(J$1:J3356,SUMPRODUCT(MAX(ROW(E$1:E3356)*(E3357=E$1:E3356)))))</f>
        <v/>
      </c>
      <c r="L3357" s="25"/>
    </row>
    <row r="3358" spans="1:12" x14ac:dyDescent="0.2">
      <c r="A3358" t="s">
        <v>859</v>
      </c>
      <c r="E3358" s="20" t="str">
        <f t="shared" si="360"/>
        <v/>
      </c>
      <c r="F3358" s="21" t="str">
        <f>IF(OR(E3358="",E3358="!!!"),"",IF(NOT(ISNA(VLOOKUP(E3358,E$1:E3357,1,FALSE()))),"OLD",IF(AND(E3358&lt;&gt;"",E3358&lt;&gt;"!!!"),"NEW","")))</f>
        <v/>
      </c>
      <c r="G3358" s="22" t="str">
        <f>IF(OR(E3358="",E3358="!!!"),"",IF(OR(J3358=0,AND(J3358=1,K3358=1),AND(J3358=1,I3358="SBJ"),AND(J3358=1,I3358=0)),"?IN_FOCUS",IF(J3358&lt;=2,"?ACTIVATED",IF(J3358&lt;&gt;"","?FAMILIAR",IF(F3358="NEW",IF(ISNA(VLOOKUP(E3358,#REF!,1,FALSE())),"?TYPE_IDENTIFIABLE","?REFERENTIAL"),"_")))))</f>
        <v/>
      </c>
      <c r="H3358" s="23" t="str">
        <f t="shared" ca="1" si="361"/>
        <v/>
      </c>
      <c r="I3358" s="24" t="str">
        <f>IF(OR(E3358="",E3358="!!!",F3358="NEW"),"",INDEX(B$2:B3357,-1+SUMPRODUCT(MAX(ROW(E$2:E3357)*(E3358=E$2:E3357)))))</f>
        <v/>
      </c>
      <c r="J3358" s="24" t="str">
        <f ca="1">IF(OR(E3358="",E3358="!!!",F3358="NEW"),"",COUNTBLANK(OFFSET(A$1,,,SUMPRODUCT(MAX(ROW(E$2:E3358)*(E3358=E$2:E3358)))))-COUNTBLANK(OFFSET(A$1,,,SUMPRODUCT(MAX(ROW(E$1:E3357)*(E2=E$1:E3357))))))</f>
        <v/>
      </c>
      <c r="K3358" s="24" t="str">
        <f>IF(OR(E3358="",E3358="!!!",F3358="NEW"),"",INDEX(J$1:J3357,SUMPRODUCT(MAX(ROW(E$1:E3357)*(E3358=E$1:E3357)))))</f>
        <v/>
      </c>
      <c r="L3358" s="25"/>
    </row>
    <row r="3359" spans="1:12" x14ac:dyDescent="0.2">
      <c r="A3359" t="s">
        <v>1191</v>
      </c>
      <c r="B3359" s="26" t="s">
        <v>819</v>
      </c>
      <c r="C3359" s="26" t="s">
        <v>854</v>
      </c>
      <c r="D3359" s="26" t="s">
        <v>806</v>
      </c>
      <c r="E3359" s="20" t="s">
        <v>1175</v>
      </c>
      <c r="F3359" s="21" t="str">
        <f>IF(OR(E3359="",E3359="!!!"),"",IF(NOT(ISNA(VLOOKUP(E3359,E$1:E3358,1,FALSE()))),"OLD",IF(AND(E3359&lt;&gt;"",E3359&lt;&gt;"!!!"),"NEW","")))</f>
        <v>OLD</v>
      </c>
      <c r="G3359" s="22" t="s">
        <v>1825</v>
      </c>
      <c r="H3359" s="23" t="str">
        <f t="shared" ca="1" si="361"/>
        <v/>
      </c>
      <c r="I3359" s="24" t="str">
        <f>IF(OR(E3359="",E3359="!!!",F3359="NEW"),"",INDEX(B$2:B3358,-1+SUMPRODUCT(MAX(ROW(E$2:E3358)*(E3359=E$2:E3358)))))</f>
        <v>SBJ_2</v>
      </c>
      <c r="J3359" s="24">
        <f ca="1">IF(OR(E3359="",E3359="!!!",F3359="NEW"),"",COUNTBLANK(OFFSET(A$1,,,SUMPRODUCT(MAX(ROW(E$2:E3359)*(E3359=E$2:E3359)))))-COUNTBLANK(OFFSET(A$1,,,SUMPRODUCT(MAX(ROW(E$1:E3358)*(E2=E$1:E3358))))))</f>
        <v>0</v>
      </c>
      <c r="K3359" s="24">
        <f ca="1">IF(OR(E3359="",E3359="!!!",F3359="NEW"),"",INDEX(J$1:J3358,SUMPRODUCT(MAX(ROW(E$1:E3358)*(E3359=E$1:E3358)))))</f>
        <v>0</v>
      </c>
      <c r="L3359" s="25"/>
    </row>
    <row r="3360" spans="1:12" x14ac:dyDescent="0.2">
      <c r="A3360" t="s">
        <v>802</v>
      </c>
      <c r="E3360" s="20" t="str">
        <f t="shared" si="360"/>
        <v/>
      </c>
      <c r="F3360" s="21" t="str">
        <f>IF(OR(E3360="",E3360="!!!"),"",IF(NOT(ISNA(VLOOKUP(E3360,E$1:E3359,1,FALSE()))),"OLD",IF(AND(E3360&lt;&gt;"",E3360&lt;&gt;"!!!"),"NEW","")))</f>
        <v/>
      </c>
      <c r="G3360" s="22" t="str">
        <f>IF(OR(E3360="",E3360="!!!"),"",IF(OR(J3360=0,AND(J3360=1,K3360=1),AND(J3360=1,I3360="SBJ"),AND(J3360=1,I3360=0)),"?IN_FOCUS",IF(J3360&lt;=2,"?ACTIVATED",IF(J3360&lt;&gt;"","?FAMILIAR",IF(F3360="NEW",IF(ISNA(VLOOKUP(E3360,#REF!,1,FALSE())),"?TYPE_IDENTIFIABLE","?REFERENTIAL"),"_")))))</f>
        <v/>
      </c>
      <c r="H3360" s="23" t="str">
        <f t="shared" ca="1" si="361"/>
        <v/>
      </c>
      <c r="I3360" s="24" t="str">
        <f>IF(OR(E3360="",E3360="!!!",F3360="NEW"),"",INDEX(B$2:B3359,-1+SUMPRODUCT(MAX(ROW(E$2:E3359)*(E3360=E$2:E3359)))))</f>
        <v/>
      </c>
      <c r="J3360" s="24" t="str">
        <f ca="1">IF(OR(E3360="",E3360="!!!",F3360="NEW"),"",COUNTBLANK(OFFSET(A$1,,,SUMPRODUCT(MAX(ROW(E$2:E3360)*(E3360=E$2:E3360)))))-COUNTBLANK(OFFSET(A$1,,,SUMPRODUCT(MAX(ROW(E$1:E3359)*(E2=E$1:E3359))))))</f>
        <v/>
      </c>
      <c r="K3360" s="24" t="str">
        <f>IF(OR(E3360="",E3360="!!!",F3360="NEW"),"",INDEX(J$1:J3359,SUMPRODUCT(MAX(ROW(E$1:E3359)*(E3360=E$1:E3359)))))</f>
        <v/>
      </c>
      <c r="L3360" s="25"/>
    </row>
    <row r="3361" spans="1:12" x14ac:dyDescent="0.2">
      <c r="A3361" t="s">
        <v>1622</v>
      </c>
      <c r="B3361" s="26" t="s">
        <v>813</v>
      </c>
      <c r="C3361" s="26" t="s">
        <v>814</v>
      </c>
      <c r="E3361" s="20" t="str">
        <f t="shared" si="360"/>
        <v/>
      </c>
      <c r="F3361" s="21" t="str">
        <f>IF(OR(E3361="",E3361="!!!"),"",IF(NOT(ISNA(VLOOKUP(E3361,E$1:E3360,1,FALSE()))),"OLD",IF(AND(E3361&lt;&gt;"",E3361&lt;&gt;"!!!"),"NEW","")))</f>
        <v/>
      </c>
      <c r="G3361" s="22" t="str">
        <f>IF(OR(E3361="",E3361="!!!"),"",IF(OR(J3361=0,AND(J3361=1,K3361=1),AND(J3361=1,I3361="SBJ"),AND(J3361=1,I3361=0)),"?IN_FOCUS",IF(J3361&lt;=2,"?ACTIVATED",IF(J3361&lt;&gt;"","?FAMILIAR",IF(F3361="NEW",IF(ISNA(VLOOKUP(E3361,#REF!,1,FALSE())),"?TYPE_IDENTIFIABLE","?REFERENTIAL"),"_")))))</f>
        <v/>
      </c>
      <c r="H3361" s="23" t="str">
        <f t="shared" ca="1" si="361"/>
        <v/>
      </c>
      <c r="I3361" s="24" t="str">
        <f>IF(OR(E3361="",E3361="!!!",F3361="NEW"),"",INDEX(B$2:B3360,-1+SUMPRODUCT(MAX(ROW(E$2:E3360)*(E3361=E$2:E3360)))))</f>
        <v/>
      </c>
      <c r="J3361" s="24" t="str">
        <f ca="1">IF(OR(E3361="",E3361="!!!",F3361="NEW"),"",COUNTBLANK(OFFSET(A$1,,,SUMPRODUCT(MAX(ROW(E$2:E3361)*(E3361=E$2:E3361)))))-COUNTBLANK(OFFSET(A$1,,,SUMPRODUCT(MAX(ROW(E$1:E3360)*(E2=E$1:E3360))))))</f>
        <v/>
      </c>
      <c r="K3361" s="24" t="str">
        <f>IF(OR(E3361="",E3361="!!!",F3361="NEW"),"",INDEX(J$1:J3360,SUMPRODUCT(MAX(ROW(E$1:E3360)*(E3361=E$1:E3360)))))</f>
        <v/>
      </c>
      <c r="L3361" s="25"/>
    </row>
    <row r="3362" spans="1:12" x14ac:dyDescent="0.2">
      <c r="A3362" t="s">
        <v>833</v>
      </c>
      <c r="E3362" s="20" t="str">
        <f t="shared" si="360"/>
        <v/>
      </c>
      <c r="F3362" s="21" t="str">
        <f>IF(OR(E3362="",E3362="!!!"),"",IF(NOT(ISNA(VLOOKUP(E3362,E$1:E3361,1,FALSE()))),"OLD",IF(AND(E3362&lt;&gt;"",E3362&lt;&gt;"!!!"),"NEW","")))</f>
        <v/>
      </c>
      <c r="G3362" s="22" t="str">
        <f>IF(OR(E3362="",E3362="!!!"),"",IF(OR(J3362=0,AND(J3362=1,K3362=1),AND(J3362=1,I3362="SBJ"),AND(J3362=1,I3362=0)),"?IN_FOCUS",IF(J3362&lt;=2,"?ACTIVATED",IF(J3362&lt;&gt;"","?FAMILIAR",IF(F3362="NEW",IF(ISNA(VLOOKUP(E3362,#REF!,1,FALSE())),"?TYPE_IDENTIFIABLE","?REFERENTIAL"),"_")))))</f>
        <v/>
      </c>
      <c r="H3362" s="23" t="str">
        <f t="shared" ca="1" si="361"/>
        <v/>
      </c>
      <c r="I3362" s="24" t="str">
        <f>IF(OR(E3362="",E3362="!!!",F3362="NEW"),"",INDEX(B$2:B3361,-1+SUMPRODUCT(MAX(ROW(E$2:E3361)*(E3362=E$2:E3361)))))</f>
        <v/>
      </c>
      <c r="J3362" s="24" t="str">
        <f ca="1">IF(OR(E3362="",E3362="!!!",F3362="NEW"),"",COUNTBLANK(OFFSET(A$1,,,SUMPRODUCT(MAX(ROW(E$2:E3362)*(E3362=E$2:E3362)))))-COUNTBLANK(OFFSET(A$1,,,SUMPRODUCT(MAX(ROW(E$1:E3361)*(E2=E$1:E3361))))))</f>
        <v/>
      </c>
      <c r="K3362" s="24" t="str">
        <f>IF(OR(E3362="",E3362="!!!",F3362="NEW"),"",INDEX(J$1:J3361,SUMPRODUCT(MAX(ROW(E$1:E3361)*(E3362=E$1:E3361)))))</f>
        <v/>
      </c>
      <c r="L3362" s="25"/>
    </row>
    <row r="3363" spans="1:12" x14ac:dyDescent="0.2">
      <c r="A3363" t="s">
        <v>1191</v>
      </c>
      <c r="B3363" s="26" t="s">
        <v>813</v>
      </c>
      <c r="C3363" s="26" t="s">
        <v>854</v>
      </c>
      <c r="D3363" s="26" t="s">
        <v>806</v>
      </c>
      <c r="E3363" s="20" t="s">
        <v>1175</v>
      </c>
      <c r="F3363" s="21" t="str">
        <f>IF(OR(E3363="",E3363="!!!"),"",IF(NOT(ISNA(VLOOKUP(E3363,E$1:E3362,1,FALSE()))),"OLD",IF(AND(E3363&lt;&gt;"",E3363&lt;&gt;"!!!"),"NEW","")))</f>
        <v>OLD</v>
      </c>
      <c r="G3363" s="22" t="s">
        <v>1823</v>
      </c>
      <c r="H3363" s="23" t="str">
        <f t="shared" ca="1" si="361"/>
        <v/>
      </c>
      <c r="I3363" s="24" t="str">
        <f>IF(OR(E3363="",E3363="!!!",F3363="NEW"),"",INDEX(B$2:B3362,-1+SUMPRODUCT(MAX(ROW(E$2:E3362)*(E3363=E$2:E3362)))))</f>
        <v>other</v>
      </c>
      <c r="J3363" s="24">
        <f ca="1">IF(OR(E3363="",E3363="!!!",F3363="NEW"),"",COUNTBLANK(OFFSET(A$1,,,SUMPRODUCT(MAX(ROW(E$2:E3363)*(E3363=E$2:E3363)))))-COUNTBLANK(OFFSET(A$1,,,SUMPRODUCT(MAX(ROW(E$1:E3362)*(E2=E$1:E3362))))))</f>
        <v>0</v>
      </c>
      <c r="K3363" s="24">
        <f ca="1">IF(OR(E3363="",E3363="!!!",F3363="NEW"),"",INDEX(J$1:J3362,SUMPRODUCT(MAX(ROW(E$1:E3362)*(E3363=E$1:E3362)))))</f>
        <v>0</v>
      </c>
      <c r="L3363" s="25"/>
    </row>
    <row r="3364" spans="1:12" x14ac:dyDescent="0.2">
      <c r="A3364" t="s">
        <v>821</v>
      </c>
      <c r="E3364" s="20" t="str">
        <f t="shared" si="360"/>
        <v/>
      </c>
      <c r="F3364" s="21" t="str">
        <f>IF(OR(E3364="",E3364="!!!"),"",IF(NOT(ISNA(VLOOKUP(E3364,E$1:E3363,1,FALSE()))),"OLD",IF(AND(E3364&lt;&gt;"",E3364&lt;&gt;"!!!"),"NEW","")))</f>
        <v/>
      </c>
      <c r="G3364" s="22" t="str">
        <f>IF(OR(E3364="",E3364="!!!"),"",IF(OR(J3364=0,AND(J3364=1,K3364=1),AND(J3364=1,I3364="SBJ"),AND(J3364=1,I3364=0)),"?IN_FOCUS",IF(J3364&lt;=2,"?ACTIVATED",IF(J3364&lt;&gt;"","?FAMILIAR",IF(F3364="NEW",IF(ISNA(VLOOKUP(E3364,#REF!,1,FALSE())),"?TYPE_IDENTIFIABLE","?REFERENTIAL"),"_")))))</f>
        <v/>
      </c>
      <c r="H3364" s="23" t="str">
        <f t="shared" ca="1" si="361"/>
        <v/>
      </c>
      <c r="I3364" s="24" t="str">
        <f>IF(OR(E3364="",E3364="!!!",F3364="NEW"),"",INDEX(B$2:B3363,-1+SUMPRODUCT(MAX(ROW(E$2:E3363)*(E3364=E$2:E3363)))))</f>
        <v/>
      </c>
      <c r="J3364" s="24" t="str">
        <f ca="1">IF(OR(E3364="",E3364="!!!",F3364="NEW"),"",COUNTBLANK(OFFSET(A$1,,,SUMPRODUCT(MAX(ROW(E$2:E3364)*(E3364=E$2:E3364)))))-COUNTBLANK(OFFSET(A$1,,,SUMPRODUCT(MAX(ROW(E$1:E3363)*(E2=E$1:E3363))))))</f>
        <v/>
      </c>
      <c r="K3364" s="24" t="str">
        <f>IF(OR(E3364="",E3364="!!!",F3364="NEW"),"",INDEX(J$1:J3363,SUMPRODUCT(MAX(ROW(E$1:E3363)*(E3364=E$1:E3363)))))</f>
        <v/>
      </c>
      <c r="L3364" s="25"/>
    </row>
    <row r="3366" spans="1:12" x14ac:dyDescent="0.2">
      <c r="A3366" t="s">
        <v>1733</v>
      </c>
    </row>
    <row r="3367" spans="1:12" x14ac:dyDescent="0.2">
      <c r="A3367" t="s">
        <v>1734</v>
      </c>
      <c r="B3367" s="26" t="s">
        <v>819</v>
      </c>
      <c r="C3367" s="26" t="s">
        <v>814</v>
      </c>
      <c r="E3367" s="20" t="str">
        <f t="shared" ref="E3367:E3402" si="362">IF(D3367="?OLD","!!!","")</f>
        <v/>
      </c>
      <c r="F3367" s="21" t="str">
        <f>IF(OR(E3367="",E3367="!!!"),"",IF(NOT(ISNA(VLOOKUP(E3367,E$1:E3366,1,FALSE()))),"OLD",IF(AND(E3367&lt;&gt;"",E3367&lt;&gt;"!!!"),"NEW","")))</f>
        <v/>
      </c>
      <c r="G3367" s="22" t="str">
        <f>IF(OR(E3367="",E3367="!!!"),"",IF(OR(J3367=0,AND(J3367=1,K3367=1),AND(J3367=1,I3367="SBJ"),AND(J3367=1,I3367=0)),"?IN_FOCUS",IF(J3367&lt;=2,"?ACTIVATED",IF(J3367&lt;&gt;"","?FAMILIAR",IF(F3367="NEW",IF(ISNA(VLOOKUP(E3367,#REF!,1,FALSE())),"?TYPE_IDENTIFIABLE","?REFERENTIAL"),"_")))))</f>
        <v/>
      </c>
      <c r="H3367" s="23" t="str">
        <f t="shared" ref="H3367:H3402" ca="1" si="363">IF(J3367&lt;&gt;1,"",IF(I3367="SBJ","CB","?"))</f>
        <v/>
      </c>
      <c r="I3367" s="24" t="str">
        <f>IF(OR(E3367="",E3367="!!!",F3367="NEW"),"",INDEX(B$2:B3366,-1+SUMPRODUCT(MAX(ROW(E$2:E3366)*(E3367=E$2:E3366)))))</f>
        <v/>
      </c>
      <c r="J3367" s="24" t="str">
        <f ca="1">IF(OR(E3367="",E3367="!!!",F3367="NEW"),"",COUNTBLANK(OFFSET(A$1,,,SUMPRODUCT(MAX(ROW(E$2:E3367)*(E3367=E$2:E3367)))))-COUNTBLANK(OFFSET(A$1,,,SUMPRODUCT(MAX(ROW(E$1:E3366)*(E2=E$1:E3366))))))</f>
        <v/>
      </c>
      <c r="K3367" s="24" t="str">
        <f>IF(OR(E3367="",E3367="!!!",F3367="NEW"),"",INDEX(J$1:J3366,SUMPRODUCT(MAX(ROW(E$1:E3366)*(E3367=E$1:E3366)))))</f>
        <v/>
      </c>
      <c r="L3367" s="25"/>
    </row>
    <row r="3368" spans="1:12" x14ac:dyDescent="0.2">
      <c r="A3368" t="s">
        <v>1060</v>
      </c>
      <c r="B3368" s="26" t="s">
        <v>950</v>
      </c>
      <c r="E3368" s="20" t="str">
        <f t="shared" si="362"/>
        <v/>
      </c>
      <c r="F3368" s="21" t="str">
        <f>IF(OR(E3368="",E3368="!!!"),"",IF(NOT(ISNA(VLOOKUP(E3368,E$1:E3367,1,FALSE()))),"OLD",IF(AND(E3368&lt;&gt;"",E3368&lt;&gt;"!!!"),"NEW","")))</f>
        <v/>
      </c>
      <c r="G3368" s="22" t="str">
        <f>IF(OR(E3368="",E3368="!!!"),"",IF(OR(J3368=0,AND(J3368=1,K3368=1),AND(J3368=1,I3368="SBJ"),AND(J3368=1,I3368=0)),"?IN_FOCUS",IF(J3368&lt;=2,"?ACTIVATED",IF(J3368&lt;&gt;"","?FAMILIAR",IF(F3368="NEW",IF(ISNA(VLOOKUP(E3368,#REF!,1,FALSE())),"?TYPE_IDENTIFIABLE","?REFERENTIAL"),"_")))))</f>
        <v/>
      </c>
      <c r="H3368" s="23" t="str">
        <f t="shared" ca="1" si="363"/>
        <v/>
      </c>
      <c r="I3368" s="24" t="str">
        <f>IF(OR(E3368="",E3368="!!!",F3368="NEW"),"",INDEX(B$2:B3367,-1+SUMPRODUCT(MAX(ROW(E$2:E3367)*(E3368=E$2:E3367)))))</f>
        <v/>
      </c>
      <c r="J3368" s="24" t="str">
        <f ca="1">IF(OR(E3368="",E3368="!!!",F3368="NEW"),"",COUNTBLANK(OFFSET(A$1,,,SUMPRODUCT(MAX(ROW(E$2:E3368)*(E3368=E$2:E3368)))))-COUNTBLANK(OFFSET(A$1,,,SUMPRODUCT(MAX(ROW(E$1:E3367)*(E2=E$1:E3367))))))</f>
        <v/>
      </c>
      <c r="K3368" s="24" t="str">
        <f>IF(OR(E3368="",E3368="!!!",F3368="NEW"),"",INDEX(J$1:J3367,SUMPRODUCT(MAX(ROW(E$1:E3367)*(E3368=E$1:E3367)))))</f>
        <v/>
      </c>
      <c r="L3368" s="25"/>
    </row>
    <row r="3369" spans="1:12" x14ac:dyDescent="0.2">
      <c r="A3369" t="s">
        <v>1018</v>
      </c>
      <c r="E3369" s="20" t="str">
        <f t="shared" si="362"/>
        <v/>
      </c>
      <c r="F3369" s="21" t="str">
        <f>IF(OR(E3369="",E3369="!!!"),"",IF(NOT(ISNA(VLOOKUP(E3369,E$1:E3368,1,FALSE()))),"OLD",IF(AND(E3369&lt;&gt;"",E3369&lt;&gt;"!!!"),"NEW","")))</f>
        <v/>
      </c>
      <c r="G3369" s="22" t="str">
        <f>IF(OR(E3369="",E3369="!!!"),"",IF(OR(J3369=0,AND(J3369=1,K3369=1),AND(J3369=1,I3369="SBJ"),AND(J3369=1,I3369=0)),"?IN_FOCUS",IF(J3369&lt;=2,"?ACTIVATED",IF(J3369&lt;&gt;"","?FAMILIAR",IF(F3369="NEW",IF(ISNA(VLOOKUP(E3369,#REF!,1,FALSE())),"?TYPE_IDENTIFIABLE","?REFERENTIAL"),"_")))))</f>
        <v/>
      </c>
      <c r="H3369" s="23" t="str">
        <f t="shared" ca="1" si="363"/>
        <v/>
      </c>
      <c r="I3369" s="24" t="str">
        <f>IF(OR(E3369="",E3369="!!!",F3369="NEW"),"",INDEX(B$2:B3368,-1+SUMPRODUCT(MAX(ROW(E$2:E3368)*(E3369=E$2:E3368)))))</f>
        <v/>
      </c>
      <c r="J3369" s="24" t="str">
        <f ca="1">IF(OR(E3369="",E3369="!!!",F3369="NEW"),"",COUNTBLANK(OFFSET(A$1,,,SUMPRODUCT(MAX(ROW(E$2:E3369)*(E3369=E$2:E3369)))))-COUNTBLANK(OFFSET(A$1,,,SUMPRODUCT(MAX(ROW(E$1:E3368)*(E2=E$1:E3368))))))</f>
        <v/>
      </c>
      <c r="K3369" s="24" t="str">
        <f>IF(OR(E3369="",E3369="!!!",F3369="NEW"),"",INDEX(J$1:J3368,SUMPRODUCT(MAX(ROW(E$1:E3368)*(E3369=E$1:E3368)))))</f>
        <v/>
      </c>
      <c r="L3369" s="25"/>
    </row>
    <row r="3370" spans="1:12" x14ac:dyDescent="0.2">
      <c r="A3370" t="s">
        <v>999</v>
      </c>
      <c r="E3370" s="20" t="str">
        <f t="shared" si="362"/>
        <v/>
      </c>
      <c r="F3370" s="21" t="str">
        <f>IF(OR(E3370="",E3370="!!!"),"",IF(NOT(ISNA(VLOOKUP(E3370,E$1:E3369,1,FALSE()))),"OLD",IF(AND(E3370&lt;&gt;"",E3370&lt;&gt;"!!!"),"NEW","")))</f>
        <v/>
      </c>
      <c r="G3370" s="22" t="str">
        <f>IF(OR(E3370="",E3370="!!!"),"",IF(OR(J3370=0,AND(J3370=1,K3370=1),AND(J3370=1,I3370="SBJ"),AND(J3370=1,I3370=0)),"?IN_FOCUS",IF(J3370&lt;=2,"?ACTIVATED",IF(J3370&lt;&gt;"","?FAMILIAR",IF(F3370="NEW",IF(ISNA(VLOOKUP(E3370,#REF!,1,FALSE())),"?TYPE_IDENTIFIABLE","?REFERENTIAL"),"_")))))</f>
        <v/>
      </c>
      <c r="H3370" s="23" t="str">
        <f t="shared" ca="1" si="363"/>
        <v/>
      </c>
      <c r="I3370" s="24" t="str">
        <f>IF(OR(E3370="",E3370="!!!",F3370="NEW"),"",INDEX(B$2:B3369,-1+SUMPRODUCT(MAX(ROW(E$2:E3369)*(E3370=E$2:E3369)))))</f>
        <v/>
      </c>
      <c r="J3370" s="24" t="str">
        <f ca="1">IF(OR(E3370="",E3370="!!!",F3370="NEW"),"",COUNTBLANK(OFFSET(A$1,,,SUMPRODUCT(MAX(ROW(E$2:E3370)*(E3370=E$2:E3370)))))-COUNTBLANK(OFFSET(A$1,,,SUMPRODUCT(MAX(ROW(E$1:E3369)*(E2=E$1:E3369))))))</f>
        <v/>
      </c>
      <c r="K3370" s="24" t="str">
        <f>IF(OR(E3370="",E3370="!!!",F3370="NEW"),"",INDEX(J$1:J3369,SUMPRODUCT(MAX(ROW(E$1:E3369)*(E3370=E$1:E3369)))))</f>
        <v/>
      </c>
      <c r="L3370" s="25"/>
    </row>
    <row r="3371" spans="1:12" x14ac:dyDescent="0.2">
      <c r="A3371" t="s">
        <v>1735</v>
      </c>
      <c r="B3371" s="26" t="s">
        <v>819</v>
      </c>
      <c r="C3371" s="26" t="s">
        <v>814</v>
      </c>
      <c r="E3371" s="20" t="str">
        <f t="shared" si="362"/>
        <v/>
      </c>
      <c r="F3371" s="21" t="str">
        <f>IF(OR(E3371="",E3371="!!!"),"",IF(NOT(ISNA(VLOOKUP(E3371,E$1:E3370,1,FALSE()))),"OLD",IF(AND(E3371&lt;&gt;"",E3371&lt;&gt;"!!!"),"NEW","")))</f>
        <v/>
      </c>
      <c r="G3371" s="22" t="str">
        <f>IF(OR(E3371="",E3371="!!!"),"",IF(OR(J3371=0,AND(J3371=1,K3371=1),AND(J3371=1,I3371="SBJ"),AND(J3371=1,I3371=0)),"?IN_FOCUS",IF(J3371&lt;=2,"?ACTIVATED",IF(J3371&lt;&gt;"","?FAMILIAR",IF(F3371="NEW",IF(ISNA(VLOOKUP(E3371,#REF!,1,FALSE())),"?TYPE_IDENTIFIABLE","?REFERENTIAL"),"_")))))</f>
        <v/>
      </c>
      <c r="H3371" s="23" t="str">
        <f t="shared" ca="1" si="363"/>
        <v/>
      </c>
      <c r="I3371" s="24" t="str">
        <f>IF(OR(E3371="",E3371="!!!",F3371="NEW"),"",INDEX(B$2:B3370,-1+SUMPRODUCT(MAX(ROW(E$2:E3370)*(E3371=E$2:E3370)))))</f>
        <v/>
      </c>
      <c r="J3371" s="24" t="str">
        <f ca="1">IF(OR(E3371="",E3371="!!!",F3371="NEW"),"",COUNTBLANK(OFFSET(A$1,,,SUMPRODUCT(MAX(ROW(E$2:E3371)*(E3371=E$2:E3371)))))-COUNTBLANK(OFFSET(A$1,,,SUMPRODUCT(MAX(ROW(E$1:E3370)*(E2=E$1:E3370))))))</f>
        <v/>
      </c>
      <c r="K3371" s="24" t="str">
        <f>IF(OR(E3371="",E3371="!!!",F3371="NEW"),"",INDEX(J$1:J3370,SUMPRODUCT(MAX(ROW(E$1:E3370)*(E3371=E$1:E3370)))))</f>
        <v/>
      </c>
      <c r="L3371" s="25"/>
    </row>
    <row r="3372" spans="1:12" x14ac:dyDescent="0.2">
      <c r="A3372" t="s">
        <v>1039</v>
      </c>
      <c r="E3372" s="20" t="str">
        <f t="shared" si="362"/>
        <v/>
      </c>
      <c r="F3372" s="21" t="str">
        <f>IF(OR(E3372="",E3372="!!!"),"",IF(NOT(ISNA(VLOOKUP(E3372,E$1:E3371,1,FALSE()))),"OLD",IF(AND(E3372&lt;&gt;"",E3372&lt;&gt;"!!!"),"NEW","")))</f>
        <v/>
      </c>
      <c r="G3372" s="22" t="str">
        <f>IF(OR(E3372="",E3372="!!!"),"",IF(OR(J3372=0,AND(J3372=1,K3372=1),AND(J3372=1,I3372="SBJ"),AND(J3372=1,I3372=0)),"?IN_FOCUS",IF(J3372&lt;=2,"?ACTIVATED",IF(J3372&lt;&gt;"","?FAMILIAR",IF(F3372="NEW",IF(ISNA(VLOOKUP(E3372,#REF!,1,FALSE())),"?TYPE_IDENTIFIABLE","?REFERENTIAL"),"_")))))</f>
        <v/>
      </c>
      <c r="H3372" s="23" t="str">
        <f t="shared" ca="1" si="363"/>
        <v/>
      </c>
      <c r="I3372" s="24" t="str">
        <f>IF(OR(E3372="",E3372="!!!",F3372="NEW"),"",INDEX(B$2:B3371,-1+SUMPRODUCT(MAX(ROW(E$2:E3371)*(E3372=E$2:E3371)))))</f>
        <v/>
      </c>
      <c r="J3372" s="24" t="str">
        <f ca="1">IF(OR(E3372="",E3372="!!!",F3372="NEW"),"",COUNTBLANK(OFFSET(A$1,,,SUMPRODUCT(MAX(ROW(E$2:E3372)*(E3372=E$2:E3372)))))-COUNTBLANK(OFFSET(A$1,,,SUMPRODUCT(MAX(ROW(E$1:E3371)*(E2=E$1:E3371))))))</f>
        <v/>
      </c>
      <c r="K3372" s="24" t="str">
        <f>IF(OR(E3372="",E3372="!!!",F3372="NEW"),"",INDEX(J$1:J3371,SUMPRODUCT(MAX(ROW(E$1:E3371)*(E3372=E$1:E3371)))))</f>
        <v/>
      </c>
      <c r="L3372" s="25"/>
    </row>
    <row r="3373" spans="1:12" x14ac:dyDescent="0.2">
      <c r="A3373" t="s">
        <v>1736</v>
      </c>
      <c r="E3373" s="20" t="str">
        <f t="shared" si="362"/>
        <v/>
      </c>
      <c r="F3373" s="21" t="str">
        <f>IF(OR(E3373="",E3373="!!!"),"",IF(NOT(ISNA(VLOOKUP(E3373,E$1:E3372,1,FALSE()))),"OLD",IF(AND(E3373&lt;&gt;"",E3373&lt;&gt;"!!!"),"NEW","")))</f>
        <v/>
      </c>
      <c r="G3373" s="22" t="str">
        <f>IF(OR(E3373="",E3373="!!!"),"",IF(OR(J3373=0,AND(J3373=1,K3373=1),AND(J3373=1,I3373="SBJ"),AND(J3373=1,I3373=0)),"?IN_FOCUS",IF(J3373&lt;=2,"?ACTIVATED",IF(J3373&lt;&gt;"","?FAMILIAR",IF(F3373="NEW",IF(ISNA(VLOOKUP(E3373,#REF!,1,FALSE())),"?TYPE_IDENTIFIABLE","?REFERENTIAL"),"_")))))</f>
        <v/>
      </c>
      <c r="H3373" s="23" t="str">
        <f t="shared" ca="1" si="363"/>
        <v/>
      </c>
      <c r="I3373" s="24" t="str">
        <f>IF(OR(E3373="",E3373="!!!",F3373="NEW"),"",INDEX(B$2:B3372,-1+SUMPRODUCT(MAX(ROW(E$2:E3372)*(E3373=E$2:E3372)))))</f>
        <v/>
      </c>
      <c r="J3373" s="24" t="str">
        <f ca="1">IF(OR(E3373="",E3373="!!!",F3373="NEW"),"",COUNTBLANK(OFFSET(A$1,,,SUMPRODUCT(MAX(ROW(E$2:E3373)*(E3373=E$2:E3373)))))-COUNTBLANK(OFFSET(A$1,,,SUMPRODUCT(MAX(ROW(E$1:E3372)*(E2=E$1:E3372))))))</f>
        <v/>
      </c>
      <c r="K3373" s="24" t="str">
        <f>IF(OR(E3373="",E3373="!!!",F3373="NEW"),"",INDEX(J$1:J3372,SUMPRODUCT(MAX(ROW(E$1:E3372)*(E3373=E$1:E3372)))))</f>
        <v/>
      </c>
      <c r="L3373" s="25"/>
    </row>
    <row r="3374" spans="1:12" x14ac:dyDescent="0.2">
      <c r="A3374" t="s">
        <v>1082</v>
      </c>
      <c r="E3374" s="20" t="str">
        <f t="shared" si="362"/>
        <v/>
      </c>
      <c r="F3374" s="21" t="str">
        <f>IF(OR(E3374="",E3374="!!!"),"",IF(NOT(ISNA(VLOOKUP(E3374,E$1:E3373,1,FALSE()))),"OLD",IF(AND(E3374&lt;&gt;"",E3374&lt;&gt;"!!!"),"NEW","")))</f>
        <v/>
      </c>
      <c r="G3374" s="22" t="str">
        <f>IF(OR(E3374="",E3374="!!!"),"",IF(OR(J3374=0,AND(J3374=1,K3374=1),AND(J3374=1,I3374="SBJ"),AND(J3374=1,I3374=0)),"?IN_FOCUS",IF(J3374&lt;=2,"?ACTIVATED",IF(J3374&lt;&gt;"","?FAMILIAR",IF(F3374="NEW",IF(ISNA(VLOOKUP(E3374,#REF!,1,FALSE())),"?TYPE_IDENTIFIABLE","?REFERENTIAL"),"_")))))</f>
        <v/>
      </c>
      <c r="H3374" s="23" t="str">
        <f t="shared" ca="1" si="363"/>
        <v/>
      </c>
      <c r="I3374" s="24" t="str">
        <f>IF(OR(E3374="",E3374="!!!",F3374="NEW"),"",INDEX(B$2:B3373,-1+SUMPRODUCT(MAX(ROW(E$2:E3373)*(E3374=E$2:E3373)))))</f>
        <v/>
      </c>
      <c r="J3374" s="24" t="str">
        <f ca="1">IF(OR(E3374="",E3374="!!!",F3374="NEW"),"",COUNTBLANK(OFFSET(A$1,,,SUMPRODUCT(MAX(ROW(E$2:E3374)*(E3374=E$2:E3374)))))-COUNTBLANK(OFFSET(A$1,,,SUMPRODUCT(MAX(ROW(E$1:E3373)*(E2=E$1:E3373))))))</f>
        <v/>
      </c>
      <c r="K3374" s="24" t="str">
        <f>IF(OR(E3374="",E3374="!!!",F3374="NEW"),"",INDEX(J$1:J3373,SUMPRODUCT(MAX(ROW(E$1:E3373)*(E3374=E$1:E3373)))))</f>
        <v/>
      </c>
      <c r="L3374" s="25"/>
    </row>
    <row r="3375" spans="1:12" x14ac:dyDescent="0.2">
      <c r="A3375" t="s">
        <v>972</v>
      </c>
      <c r="B3375" s="26" t="s">
        <v>819</v>
      </c>
      <c r="C3375" s="26" t="s">
        <v>814</v>
      </c>
      <c r="E3375" s="20" t="str">
        <f t="shared" si="362"/>
        <v/>
      </c>
      <c r="F3375" s="21" t="str">
        <f>IF(OR(E3375="",E3375="!!!"),"",IF(NOT(ISNA(VLOOKUP(E3375,E$1:E3374,1,FALSE()))),"OLD",IF(AND(E3375&lt;&gt;"",E3375&lt;&gt;"!!!"),"NEW","")))</f>
        <v/>
      </c>
      <c r="G3375" s="22" t="str">
        <f>IF(OR(E3375="",E3375="!!!"),"",IF(OR(J3375=0,AND(J3375=1,K3375=1),AND(J3375=1,I3375="SBJ"),AND(J3375=1,I3375=0)),"?IN_FOCUS",IF(J3375&lt;=2,"?ACTIVATED",IF(J3375&lt;&gt;"","?FAMILIAR",IF(F3375="NEW",IF(ISNA(VLOOKUP(E3375,#REF!,1,FALSE())),"?TYPE_IDENTIFIABLE","?REFERENTIAL"),"_")))))</f>
        <v/>
      </c>
      <c r="H3375" s="23" t="str">
        <f t="shared" ca="1" si="363"/>
        <v/>
      </c>
      <c r="I3375" s="24" t="str">
        <f>IF(OR(E3375="",E3375="!!!",F3375="NEW"),"",INDEX(B$2:B3374,-1+SUMPRODUCT(MAX(ROW(E$2:E3374)*(E3375=E$2:E3374)))))</f>
        <v/>
      </c>
      <c r="J3375" s="24" t="str">
        <f ca="1">IF(OR(E3375="",E3375="!!!",F3375="NEW"),"",COUNTBLANK(OFFSET(A$1,,,SUMPRODUCT(MAX(ROW(E$2:E3375)*(E3375=E$2:E3375)))))-COUNTBLANK(OFFSET(A$1,,,SUMPRODUCT(MAX(ROW(E$1:E3374)*(E2=E$1:E3374))))))</f>
        <v/>
      </c>
      <c r="K3375" s="24" t="str">
        <f>IF(OR(E3375="",E3375="!!!",F3375="NEW"),"",INDEX(J$1:J3374,SUMPRODUCT(MAX(ROW(E$1:E3374)*(E3375=E$1:E3374)))))</f>
        <v/>
      </c>
      <c r="L3375" s="25"/>
    </row>
    <row r="3376" spans="1:12" x14ac:dyDescent="0.2">
      <c r="A3376" t="s">
        <v>1060</v>
      </c>
      <c r="B3376" s="26" t="s">
        <v>891</v>
      </c>
      <c r="E3376" s="20" t="str">
        <f t="shared" si="362"/>
        <v/>
      </c>
      <c r="F3376" s="21" t="str">
        <f>IF(OR(E3376="",E3376="!!!"),"",IF(NOT(ISNA(VLOOKUP(E3376,E$1:E3375,1,FALSE()))),"OLD",IF(AND(E3376&lt;&gt;"",E3376&lt;&gt;"!!!"),"NEW","")))</f>
        <v/>
      </c>
      <c r="G3376" s="22" t="str">
        <f>IF(OR(E3376="",E3376="!!!"),"",IF(OR(J3376=0,AND(J3376=1,K3376=1),AND(J3376=1,I3376="SBJ"),AND(J3376=1,I3376=0)),"?IN_FOCUS",IF(J3376&lt;=2,"?ACTIVATED",IF(J3376&lt;&gt;"","?FAMILIAR",IF(F3376="NEW",IF(ISNA(VLOOKUP(E3376,#REF!,1,FALSE())),"?TYPE_IDENTIFIABLE","?REFERENTIAL"),"_")))))</f>
        <v/>
      </c>
      <c r="H3376" s="23" t="str">
        <f t="shared" ca="1" si="363"/>
        <v/>
      </c>
      <c r="I3376" s="24" t="str">
        <f>IF(OR(E3376="",E3376="!!!",F3376="NEW"),"",INDEX(B$2:B3375,-1+SUMPRODUCT(MAX(ROW(E$2:E3375)*(E3376=E$2:E3375)))))</f>
        <v/>
      </c>
      <c r="J3376" s="24" t="str">
        <f ca="1">IF(OR(E3376="",E3376="!!!",F3376="NEW"),"",COUNTBLANK(OFFSET(A$1,,,SUMPRODUCT(MAX(ROW(E$2:E3376)*(E3376=E$2:E3376)))))-COUNTBLANK(OFFSET(A$1,,,SUMPRODUCT(MAX(ROW(E$1:E3375)*(E2=E$1:E3375))))))</f>
        <v/>
      </c>
      <c r="K3376" s="24" t="str">
        <f>IF(OR(E3376="",E3376="!!!",F3376="NEW"),"",INDEX(J$1:J3375,SUMPRODUCT(MAX(ROW(E$1:E3375)*(E3376=E$1:E3375)))))</f>
        <v/>
      </c>
      <c r="L3376" s="25"/>
    </row>
    <row r="3377" spans="1:12" x14ac:dyDescent="0.2">
      <c r="A3377" t="s">
        <v>1737</v>
      </c>
      <c r="E3377" s="20" t="str">
        <f t="shared" si="362"/>
        <v/>
      </c>
      <c r="F3377" s="21" t="str">
        <f>IF(OR(E3377="",E3377="!!!"),"",IF(NOT(ISNA(VLOOKUP(E3377,E$1:E3376,1,FALSE()))),"OLD",IF(AND(E3377&lt;&gt;"",E3377&lt;&gt;"!!!"),"NEW","")))</f>
        <v/>
      </c>
      <c r="G3377" s="22" t="str">
        <f>IF(OR(E3377="",E3377="!!!"),"",IF(OR(J3377=0,AND(J3377=1,K3377=1),AND(J3377=1,I3377="SBJ"),AND(J3377=1,I3377=0)),"?IN_FOCUS",IF(J3377&lt;=2,"?ACTIVATED",IF(J3377&lt;&gt;"","?FAMILIAR",IF(F3377="NEW",IF(ISNA(VLOOKUP(E3377,#REF!,1,FALSE())),"?TYPE_IDENTIFIABLE","?REFERENTIAL"),"_")))))</f>
        <v/>
      </c>
      <c r="H3377" s="23" t="str">
        <f t="shared" ca="1" si="363"/>
        <v/>
      </c>
      <c r="I3377" s="24" t="str">
        <f>IF(OR(E3377="",E3377="!!!",F3377="NEW"),"",INDEX(B$2:B3376,-1+SUMPRODUCT(MAX(ROW(E$2:E3376)*(E3377=E$2:E3376)))))</f>
        <v/>
      </c>
      <c r="J3377" s="24" t="str">
        <f ca="1">IF(OR(E3377="",E3377="!!!",F3377="NEW"),"",COUNTBLANK(OFFSET(A$1,,,SUMPRODUCT(MAX(ROW(E$2:E3377)*(E3377=E$2:E3377)))))-COUNTBLANK(OFFSET(A$1,,,SUMPRODUCT(MAX(ROW(E$1:E3376)*(E2=E$1:E3376))))))</f>
        <v/>
      </c>
      <c r="K3377" s="24" t="str">
        <f>IF(OR(E3377="",E3377="!!!",F3377="NEW"),"",INDEX(J$1:J3376,SUMPRODUCT(MAX(ROW(E$1:E3376)*(E3377=E$1:E3376)))))</f>
        <v/>
      </c>
      <c r="L3377" s="25"/>
    </row>
    <row r="3378" spans="1:12" x14ac:dyDescent="0.2">
      <c r="A3378" t="s">
        <v>1738</v>
      </c>
      <c r="E3378" s="20" t="str">
        <f t="shared" si="362"/>
        <v/>
      </c>
      <c r="F3378" s="21" t="str">
        <f>IF(OR(E3378="",E3378="!!!"),"",IF(NOT(ISNA(VLOOKUP(E3378,E$1:E3377,1,FALSE()))),"OLD",IF(AND(E3378&lt;&gt;"",E3378&lt;&gt;"!!!"),"NEW","")))</f>
        <v/>
      </c>
      <c r="G3378" s="22" t="str">
        <f>IF(OR(E3378="",E3378="!!!"),"",IF(OR(J3378=0,AND(J3378=1,K3378=1),AND(J3378=1,I3378="SBJ"),AND(J3378=1,I3378=0)),"?IN_FOCUS",IF(J3378&lt;=2,"?ACTIVATED",IF(J3378&lt;&gt;"","?FAMILIAR",IF(F3378="NEW",IF(ISNA(VLOOKUP(E3378,#REF!,1,FALSE())),"?TYPE_IDENTIFIABLE","?REFERENTIAL"),"_")))))</f>
        <v/>
      </c>
      <c r="H3378" s="23" t="str">
        <f t="shared" ca="1" si="363"/>
        <v/>
      </c>
      <c r="I3378" s="24" t="str">
        <f>IF(OR(E3378="",E3378="!!!",F3378="NEW"),"",INDEX(B$2:B3377,-1+SUMPRODUCT(MAX(ROW(E$2:E3377)*(E3378=E$2:E3377)))))</f>
        <v/>
      </c>
      <c r="J3378" s="24" t="str">
        <f ca="1">IF(OR(E3378="",E3378="!!!",F3378="NEW"),"",COUNTBLANK(OFFSET(A$1,,,SUMPRODUCT(MAX(ROW(E$2:E3378)*(E3378=E$2:E3378)))))-COUNTBLANK(OFFSET(A$1,,,SUMPRODUCT(MAX(ROW(E$1:E3377)*(E2=E$1:E3377))))))</f>
        <v/>
      </c>
      <c r="K3378" s="24" t="str">
        <f>IF(OR(E3378="",E3378="!!!",F3378="NEW"),"",INDEX(J$1:J3377,SUMPRODUCT(MAX(ROW(E$1:E3377)*(E3378=E$1:E3377)))))</f>
        <v/>
      </c>
      <c r="L3378" s="25"/>
    </row>
    <row r="3379" spans="1:12" x14ac:dyDescent="0.2">
      <c r="A3379" t="s">
        <v>812</v>
      </c>
      <c r="E3379" s="20" t="str">
        <f t="shared" si="362"/>
        <v/>
      </c>
      <c r="F3379" s="21" t="str">
        <f>IF(OR(E3379="",E3379="!!!"),"",IF(NOT(ISNA(VLOOKUP(E3379,E$1:E3378,1,FALSE()))),"OLD",IF(AND(E3379&lt;&gt;"",E3379&lt;&gt;"!!!"),"NEW","")))</f>
        <v/>
      </c>
      <c r="G3379" s="22" t="str">
        <f>IF(OR(E3379="",E3379="!!!"),"",IF(OR(J3379=0,AND(J3379=1,K3379=1),AND(J3379=1,I3379="SBJ"),AND(J3379=1,I3379=0)),"?IN_FOCUS",IF(J3379&lt;=2,"?ACTIVATED",IF(J3379&lt;&gt;"","?FAMILIAR",IF(F3379="NEW",IF(ISNA(VLOOKUP(E3379,#REF!,1,FALSE())),"?TYPE_IDENTIFIABLE","?REFERENTIAL"),"_")))))</f>
        <v/>
      </c>
      <c r="H3379" s="23" t="str">
        <f t="shared" ca="1" si="363"/>
        <v/>
      </c>
      <c r="I3379" s="24" t="str">
        <f>IF(OR(E3379="",E3379="!!!",F3379="NEW"),"",INDEX(B$2:B3378,-1+SUMPRODUCT(MAX(ROW(E$2:E3378)*(E3379=E$2:E3378)))))</f>
        <v/>
      </c>
      <c r="J3379" s="24" t="str">
        <f ca="1">IF(OR(E3379="",E3379="!!!",F3379="NEW"),"",COUNTBLANK(OFFSET(A$1,,,SUMPRODUCT(MAX(ROW(E$2:E3379)*(E3379=E$2:E3379)))))-COUNTBLANK(OFFSET(A$1,,,SUMPRODUCT(MAX(ROW(E$1:E3378)*(E2=E$1:E3378))))))</f>
        <v/>
      </c>
      <c r="K3379" s="24" t="str">
        <f>IF(OR(E3379="",E3379="!!!",F3379="NEW"),"",INDEX(J$1:J3378,SUMPRODUCT(MAX(ROW(E$1:E3378)*(E3379=E$1:E3378)))))</f>
        <v/>
      </c>
      <c r="L3379" s="25"/>
    </row>
    <row r="3380" spans="1:12" x14ac:dyDescent="0.2">
      <c r="A3380" t="s">
        <v>1739</v>
      </c>
      <c r="B3380" s="26" t="s">
        <v>864</v>
      </c>
      <c r="C3380" s="26" t="s">
        <v>814</v>
      </c>
      <c r="E3380" s="20" t="str">
        <f t="shared" si="362"/>
        <v/>
      </c>
      <c r="F3380" s="21" t="str">
        <f>IF(OR(E3380="",E3380="!!!"),"",IF(NOT(ISNA(VLOOKUP(E3380,E$1:E3379,1,FALSE()))),"OLD",IF(AND(E3380&lt;&gt;"",E3380&lt;&gt;"!!!"),"NEW","")))</f>
        <v/>
      </c>
      <c r="G3380" s="22" t="str">
        <f>IF(OR(E3380="",E3380="!!!"),"",IF(OR(J3380=0,AND(J3380=1,K3380=1),AND(J3380=1,I3380="SBJ"),AND(J3380=1,I3380=0)),"?IN_FOCUS",IF(J3380&lt;=2,"?ACTIVATED",IF(J3380&lt;&gt;"","?FAMILIAR",IF(F3380="NEW",IF(ISNA(VLOOKUP(E3380,#REF!,1,FALSE())),"?TYPE_IDENTIFIABLE","?REFERENTIAL"),"_")))))</f>
        <v/>
      </c>
      <c r="H3380" s="23" t="str">
        <f t="shared" ca="1" si="363"/>
        <v/>
      </c>
      <c r="I3380" s="24" t="str">
        <f>IF(OR(E3380="",E3380="!!!",F3380="NEW"),"",INDEX(B$2:B3379,-1+SUMPRODUCT(MAX(ROW(E$2:E3379)*(E3380=E$2:E3379)))))</f>
        <v/>
      </c>
      <c r="J3380" s="24" t="str">
        <f ca="1">IF(OR(E3380="",E3380="!!!",F3380="NEW"),"",COUNTBLANK(OFFSET(A$1,,,SUMPRODUCT(MAX(ROW(E$2:E3380)*(E3380=E$2:E3380)))))-COUNTBLANK(OFFSET(A$1,,,SUMPRODUCT(MAX(ROW(E$1:E3379)*(E2=E$1:E3379))))))</f>
        <v/>
      </c>
      <c r="K3380" s="24" t="str">
        <f>IF(OR(E3380="",E3380="!!!",F3380="NEW"),"",INDEX(J$1:J3379,SUMPRODUCT(MAX(ROW(E$1:E3379)*(E3380=E$1:E3379)))))</f>
        <v/>
      </c>
      <c r="L3380" s="25"/>
    </row>
    <row r="3381" spans="1:12" x14ac:dyDescent="0.2">
      <c r="A3381" t="s">
        <v>1082</v>
      </c>
      <c r="E3381" s="20" t="str">
        <f t="shared" si="362"/>
        <v/>
      </c>
      <c r="F3381" s="21" t="str">
        <f>IF(OR(E3381="",E3381="!!!"),"",IF(NOT(ISNA(VLOOKUP(E3381,E$1:E3380,1,FALSE()))),"OLD",IF(AND(E3381&lt;&gt;"",E3381&lt;&gt;"!!!"),"NEW","")))</f>
        <v/>
      </c>
      <c r="G3381" s="22" t="str">
        <f>IF(OR(E3381="",E3381="!!!"),"",IF(OR(J3381=0,AND(J3381=1,K3381=1),AND(J3381=1,I3381="SBJ"),AND(J3381=1,I3381=0)),"?IN_FOCUS",IF(J3381&lt;=2,"?ACTIVATED",IF(J3381&lt;&gt;"","?FAMILIAR",IF(F3381="NEW",IF(ISNA(VLOOKUP(E3381,#REF!,1,FALSE())),"?TYPE_IDENTIFIABLE","?REFERENTIAL"),"_")))))</f>
        <v/>
      </c>
      <c r="H3381" s="23" t="str">
        <f t="shared" ca="1" si="363"/>
        <v/>
      </c>
      <c r="I3381" s="24" t="str">
        <f>IF(OR(E3381="",E3381="!!!",F3381="NEW"),"",INDEX(B$2:B3380,-1+SUMPRODUCT(MAX(ROW(E$2:E3380)*(E3381=E$2:E3380)))))</f>
        <v/>
      </c>
      <c r="J3381" s="24" t="str">
        <f ca="1">IF(OR(E3381="",E3381="!!!",F3381="NEW"),"",COUNTBLANK(OFFSET(A$1,,,SUMPRODUCT(MAX(ROW(E$2:E3381)*(E3381=E$2:E3381)))))-COUNTBLANK(OFFSET(A$1,,,SUMPRODUCT(MAX(ROW(E$1:E3380)*(E2=E$1:E3380))))))</f>
        <v/>
      </c>
      <c r="K3381" s="24" t="str">
        <f>IF(OR(E3381="",E3381="!!!",F3381="NEW"),"",INDEX(J$1:J3380,SUMPRODUCT(MAX(ROW(E$1:E3380)*(E3381=E$1:E3380)))))</f>
        <v/>
      </c>
      <c r="L3381" s="25"/>
    </row>
    <row r="3382" spans="1:12" x14ac:dyDescent="0.2">
      <c r="A3382" t="s">
        <v>972</v>
      </c>
      <c r="B3382" s="26" t="s">
        <v>819</v>
      </c>
      <c r="C3382" s="26" t="s">
        <v>814</v>
      </c>
      <c r="E3382" s="20" t="str">
        <f t="shared" si="362"/>
        <v/>
      </c>
      <c r="F3382" s="21" t="str">
        <f>IF(OR(E3382="",E3382="!!!"),"",IF(NOT(ISNA(VLOOKUP(E3382,E$1:E3381,1,FALSE()))),"OLD",IF(AND(E3382&lt;&gt;"",E3382&lt;&gt;"!!!"),"NEW","")))</f>
        <v/>
      </c>
      <c r="G3382" s="22" t="str">
        <f>IF(OR(E3382="",E3382="!!!"),"",IF(OR(J3382=0,AND(J3382=1,K3382=1),AND(J3382=1,I3382="SBJ"),AND(J3382=1,I3382=0)),"?IN_FOCUS",IF(J3382&lt;=2,"?ACTIVATED",IF(J3382&lt;&gt;"","?FAMILIAR",IF(F3382="NEW",IF(ISNA(VLOOKUP(E3382,#REF!,1,FALSE())),"?TYPE_IDENTIFIABLE","?REFERENTIAL"),"_")))))</f>
        <v/>
      </c>
      <c r="H3382" s="23" t="str">
        <f t="shared" ca="1" si="363"/>
        <v/>
      </c>
      <c r="I3382" s="24" t="str">
        <f>IF(OR(E3382="",E3382="!!!",F3382="NEW"),"",INDEX(B$2:B3381,-1+SUMPRODUCT(MAX(ROW(E$2:E3381)*(E3382=E$2:E3381)))))</f>
        <v/>
      </c>
      <c r="J3382" s="24" t="str">
        <f ca="1">IF(OR(E3382="",E3382="!!!",F3382="NEW"),"",COUNTBLANK(OFFSET(A$1,,,SUMPRODUCT(MAX(ROW(E$2:E3382)*(E3382=E$2:E3382)))))-COUNTBLANK(OFFSET(A$1,,,SUMPRODUCT(MAX(ROW(E$1:E3381)*(E2=E$1:E3381))))))</f>
        <v/>
      </c>
      <c r="K3382" s="24" t="str">
        <f>IF(OR(E3382="",E3382="!!!",F3382="NEW"),"",INDEX(J$1:J3381,SUMPRODUCT(MAX(ROW(E$1:E3381)*(E3382=E$1:E3381)))))</f>
        <v/>
      </c>
      <c r="L3382" s="25"/>
    </row>
    <row r="3383" spans="1:12" x14ac:dyDescent="0.2">
      <c r="A3383" t="s">
        <v>1060</v>
      </c>
      <c r="B3383" s="26" t="s">
        <v>891</v>
      </c>
      <c r="E3383" s="20" t="str">
        <f t="shared" si="362"/>
        <v/>
      </c>
      <c r="F3383" s="21" t="str">
        <f>IF(OR(E3383="",E3383="!!!"),"",IF(NOT(ISNA(VLOOKUP(E3383,E$1:E3382,1,FALSE()))),"OLD",IF(AND(E3383&lt;&gt;"",E3383&lt;&gt;"!!!"),"NEW","")))</f>
        <v/>
      </c>
      <c r="G3383" s="22" t="str">
        <f>IF(OR(E3383="",E3383="!!!"),"",IF(OR(J3383=0,AND(J3383=1,K3383=1),AND(J3383=1,I3383="SBJ"),AND(J3383=1,I3383=0)),"?IN_FOCUS",IF(J3383&lt;=2,"?ACTIVATED",IF(J3383&lt;&gt;"","?FAMILIAR",IF(F3383="NEW",IF(ISNA(VLOOKUP(E3383,#REF!,1,FALSE())),"?TYPE_IDENTIFIABLE","?REFERENTIAL"),"_")))))</f>
        <v/>
      </c>
      <c r="H3383" s="23" t="str">
        <f t="shared" ca="1" si="363"/>
        <v/>
      </c>
      <c r="I3383" s="24" t="str">
        <f>IF(OR(E3383="",E3383="!!!",F3383="NEW"),"",INDEX(B$2:B3382,-1+SUMPRODUCT(MAX(ROW(E$2:E3382)*(E3383=E$2:E3382)))))</f>
        <v/>
      </c>
      <c r="J3383" s="24" t="str">
        <f ca="1">IF(OR(E3383="",E3383="!!!",F3383="NEW"),"",COUNTBLANK(OFFSET(A$1,,,SUMPRODUCT(MAX(ROW(E$2:E3383)*(E3383=E$2:E3383)))))-COUNTBLANK(OFFSET(A$1,,,SUMPRODUCT(MAX(ROW(E$1:E3382)*(E2=E$1:E3382))))))</f>
        <v/>
      </c>
      <c r="K3383" s="24" t="str">
        <f>IF(OR(E3383="",E3383="!!!",F3383="NEW"),"",INDEX(J$1:J3382,SUMPRODUCT(MAX(ROW(E$1:E3382)*(E3383=E$1:E3382)))))</f>
        <v/>
      </c>
      <c r="L3383" s="25"/>
    </row>
    <row r="3384" spans="1:12" x14ac:dyDescent="0.2">
      <c r="A3384" t="s">
        <v>530</v>
      </c>
      <c r="E3384" s="20" t="str">
        <f t="shared" si="362"/>
        <v/>
      </c>
      <c r="F3384" s="21" t="str">
        <f>IF(OR(E3384="",E3384="!!!"),"",IF(NOT(ISNA(VLOOKUP(E3384,E$1:E3383,1,FALSE()))),"OLD",IF(AND(E3384&lt;&gt;"",E3384&lt;&gt;"!!!"),"NEW","")))</f>
        <v/>
      </c>
      <c r="G3384" s="22" t="str">
        <f>IF(OR(E3384="",E3384="!!!"),"",IF(OR(J3384=0,AND(J3384=1,K3384=1),AND(J3384=1,I3384="SBJ"),AND(J3384=1,I3384=0)),"?IN_FOCUS",IF(J3384&lt;=2,"?ACTIVATED",IF(J3384&lt;&gt;"","?FAMILIAR",IF(F3384="NEW",IF(ISNA(VLOOKUP(E3384,#REF!,1,FALSE())),"?TYPE_IDENTIFIABLE","?REFERENTIAL"),"_")))))</f>
        <v/>
      </c>
      <c r="H3384" s="23" t="str">
        <f t="shared" ca="1" si="363"/>
        <v/>
      </c>
      <c r="I3384" s="24" t="str">
        <f>IF(OR(E3384="",E3384="!!!",F3384="NEW"),"",INDEX(B$2:B3383,-1+SUMPRODUCT(MAX(ROW(E$2:E3383)*(E3384=E$2:E3383)))))</f>
        <v/>
      </c>
      <c r="J3384" s="24" t="str">
        <f ca="1">IF(OR(E3384="",E3384="!!!",F3384="NEW"),"",COUNTBLANK(OFFSET(A$1,,,SUMPRODUCT(MAX(ROW(E$2:E3384)*(E3384=E$2:E3384)))))-COUNTBLANK(OFFSET(A$1,,,SUMPRODUCT(MAX(ROW(E$1:E3383)*(E2=E$1:E3383))))))</f>
        <v/>
      </c>
      <c r="K3384" s="24" t="str">
        <f>IF(OR(E3384="",E3384="!!!",F3384="NEW"),"",INDEX(J$1:J3383,SUMPRODUCT(MAX(ROW(E$1:E3383)*(E3384=E$1:E3383)))))</f>
        <v/>
      </c>
      <c r="L3384" s="25"/>
    </row>
    <row r="3385" spans="1:12" x14ac:dyDescent="0.2">
      <c r="A3385" t="s">
        <v>1466</v>
      </c>
      <c r="E3385" s="20" t="str">
        <f t="shared" si="362"/>
        <v/>
      </c>
      <c r="F3385" s="21" t="str">
        <f>IF(OR(E3385="",E3385="!!!"),"",IF(NOT(ISNA(VLOOKUP(E3385,E$1:E3384,1,FALSE()))),"OLD",IF(AND(E3385&lt;&gt;"",E3385&lt;&gt;"!!!"),"NEW","")))</f>
        <v/>
      </c>
      <c r="G3385" s="22" t="str">
        <f>IF(OR(E3385="",E3385="!!!"),"",IF(OR(J3385=0,AND(J3385=1,K3385=1),AND(J3385=1,I3385="SBJ"),AND(J3385=1,I3385=0)),"?IN_FOCUS",IF(J3385&lt;=2,"?ACTIVATED",IF(J3385&lt;&gt;"","?FAMILIAR",IF(F3385="NEW",IF(ISNA(VLOOKUP(E3385,#REF!,1,FALSE())),"?TYPE_IDENTIFIABLE","?REFERENTIAL"),"_")))))</f>
        <v/>
      </c>
      <c r="H3385" s="23" t="str">
        <f t="shared" ca="1" si="363"/>
        <v/>
      </c>
      <c r="I3385" s="24" t="str">
        <f>IF(OR(E3385="",E3385="!!!",F3385="NEW"),"",INDEX(B$2:B3384,-1+SUMPRODUCT(MAX(ROW(E$2:E3384)*(E3385=E$2:E3384)))))</f>
        <v/>
      </c>
      <c r="J3385" s="24" t="str">
        <f ca="1">IF(OR(E3385="",E3385="!!!",F3385="NEW"),"",COUNTBLANK(OFFSET(A$1,,,SUMPRODUCT(MAX(ROW(E$2:E3385)*(E3385=E$2:E3385)))))-COUNTBLANK(OFFSET(A$1,,,SUMPRODUCT(MAX(ROW(E$1:E3384)*(E2=E$1:E3384))))))</f>
        <v/>
      </c>
      <c r="K3385" s="24" t="str">
        <f>IF(OR(E3385="",E3385="!!!",F3385="NEW"),"",INDEX(J$1:J3384,SUMPRODUCT(MAX(ROW(E$1:E3384)*(E3385=E$1:E3384)))))</f>
        <v/>
      </c>
      <c r="L3385" s="25"/>
    </row>
    <row r="3386" spans="1:12" x14ac:dyDescent="0.2">
      <c r="A3386" t="s">
        <v>1738</v>
      </c>
      <c r="E3386" s="20" t="str">
        <f t="shared" si="362"/>
        <v/>
      </c>
      <c r="F3386" s="21" t="str">
        <f>IF(OR(E3386="",E3386="!!!"),"",IF(NOT(ISNA(VLOOKUP(E3386,E$1:E3385,1,FALSE()))),"OLD",IF(AND(E3386&lt;&gt;"",E3386&lt;&gt;"!!!"),"NEW","")))</f>
        <v/>
      </c>
      <c r="G3386" s="22" t="str">
        <f>IF(OR(E3386="",E3386="!!!"),"",IF(OR(J3386=0,AND(J3386=1,K3386=1),AND(J3386=1,I3386="SBJ"),AND(J3386=1,I3386=0)),"?IN_FOCUS",IF(J3386&lt;=2,"?ACTIVATED",IF(J3386&lt;&gt;"","?FAMILIAR",IF(F3386="NEW",IF(ISNA(VLOOKUP(E3386,#REF!,1,FALSE())),"?TYPE_IDENTIFIABLE","?REFERENTIAL"),"_")))))</f>
        <v/>
      </c>
      <c r="H3386" s="23" t="str">
        <f t="shared" ca="1" si="363"/>
        <v/>
      </c>
      <c r="I3386" s="24" t="str">
        <f>IF(OR(E3386="",E3386="!!!",F3386="NEW"),"",INDEX(B$2:B3385,-1+SUMPRODUCT(MAX(ROW(E$2:E3385)*(E3386=E$2:E3385)))))</f>
        <v/>
      </c>
      <c r="J3386" s="24" t="str">
        <f ca="1">IF(OR(E3386="",E3386="!!!",F3386="NEW"),"",COUNTBLANK(OFFSET(A$1,,,SUMPRODUCT(MAX(ROW(E$2:E3386)*(E3386=E$2:E3386)))))-COUNTBLANK(OFFSET(A$1,,,SUMPRODUCT(MAX(ROW(E$1:E3385)*(E2=E$1:E3385))))))</f>
        <v/>
      </c>
      <c r="K3386" s="24" t="str">
        <f>IF(OR(E3386="",E3386="!!!",F3386="NEW"),"",INDEX(J$1:J3385,SUMPRODUCT(MAX(ROW(E$1:E3385)*(E3386=E$1:E3385)))))</f>
        <v/>
      </c>
      <c r="L3386" s="25"/>
    </row>
    <row r="3387" spans="1:12" x14ac:dyDescent="0.2">
      <c r="A3387" t="s">
        <v>812</v>
      </c>
      <c r="E3387" s="20" t="str">
        <f t="shared" si="362"/>
        <v/>
      </c>
      <c r="F3387" s="21" t="str">
        <f>IF(OR(E3387="",E3387="!!!"),"",IF(NOT(ISNA(VLOOKUP(E3387,E$1:E3386,1,FALSE()))),"OLD",IF(AND(E3387&lt;&gt;"",E3387&lt;&gt;"!!!"),"NEW","")))</f>
        <v/>
      </c>
      <c r="G3387" s="22" t="str">
        <f>IF(OR(E3387="",E3387="!!!"),"",IF(OR(J3387=0,AND(J3387=1,K3387=1),AND(J3387=1,I3387="SBJ"),AND(J3387=1,I3387=0)),"?IN_FOCUS",IF(J3387&lt;=2,"?ACTIVATED",IF(J3387&lt;&gt;"","?FAMILIAR",IF(F3387="NEW",IF(ISNA(VLOOKUP(E3387,#REF!,1,FALSE())),"?TYPE_IDENTIFIABLE","?REFERENTIAL"),"_")))))</f>
        <v/>
      </c>
      <c r="H3387" s="23" t="str">
        <f t="shared" ca="1" si="363"/>
        <v/>
      </c>
      <c r="I3387" s="24" t="str">
        <f>IF(OR(E3387="",E3387="!!!",F3387="NEW"),"",INDEX(B$2:B3386,-1+SUMPRODUCT(MAX(ROW(E$2:E3386)*(E3387=E$2:E3386)))))</f>
        <v/>
      </c>
      <c r="J3387" s="24" t="str">
        <f ca="1">IF(OR(E3387="",E3387="!!!",F3387="NEW"),"",COUNTBLANK(OFFSET(A$1,,,SUMPRODUCT(MAX(ROW(E$2:E3387)*(E3387=E$2:E3387)))))-COUNTBLANK(OFFSET(A$1,,,SUMPRODUCT(MAX(ROW(E$1:E3386)*(E2=E$1:E3386))))))</f>
        <v/>
      </c>
      <c r="K3387" s="24" t="str">
        <f>IF(OR(E3387="",E3387="!!!",F3387="NEW"),"",INDEX(J$1:J3386,SUMPRODUCT(MAX(ROW(E$1:E3386)*(E3387=E$1:E3386)))))</f>
        <v/>
      </c>
      <c r="L3387" s="25"/>
    </row>
    <row r="3388" spans="1:12" x14ac:dyDescent="0.2">
      <c r="A3388" t="s">
        <v>1014</v>
      </c>
      <c r="E3388" s="20" t="str">
        <f t="shared" si="362"/>
        <v/>
      </c>
      <c r="F3388" s="21" t="str">
        <f>IF(OR(E3388="",E3388="!!!"),"",IF(NOT(ISNA(VLOOKUP(E3388,E$1:E3387,1,FALSE()))),"OLD",IF(AND(E3388&lt;&gt;"",E3388&lt;&gt;"!!!"),"NEW","")))</f>
        <v/>
      </c>
      <c r="G3388" s="22" t="str">
        <f>IF(OR(E3388="",E3388="!!!"),"",IF(OR(J3388=0,AND(J3388=1,K3388=1),AND(J3388=1,I3388="SBJ"),AND(J3388=1,I3388=0)),"?IN_FOCUS",IF(J3388&lt;=2,"?ACTIVATED",IF(J3388&lt;&gt;"","?FAMILIAR",IF(F3388="NEW",IF(ISNA(VLOOKUP(E3388,#REF!,1,FALSE())),"?TYPE_IDENTIFIABLE","?REFERENTIAL"),"_")))))</f>
        <v/>
      </c>
      <c r="H3388" s="23" t="str">
        <f t="shared" ca="1" si="363"/>
        <v/>
      </c>
      <c r="I3388" s="24" t="str">
        <f>IF(OR(E3388="",E3388="!!!",F3388="NEW"),"",INDEX(B$2:B3387,-1+SUMPRODUCT(MAX(ROW(E$2:E3387)*(E3388=E$2:E3387)))))</f>
        <v/>
      </c>
      <c r="J3388" s="24" t="str">
        <f ca="1">IF(OR(E3388="",E3388="!!!",F3388="NEW"),"",COUNTBLANK(OFFSET(A$1,,,SUMPRODUCT(MAX(ROW(E$2:E3388)*(E3388=E$2:E3388)))))-COUNTBLANK(OFFSET(A$1,,,SUMPRODUCT(MAX(ROW(E$1:E3387)*(E2=E$1:E3387))))))</f>
        <v/>
      </c>
      <c r="K3388" s="24" t="str">
        <f>IF(OR(E3388="",E3388="!!!",F3388="NEW"),"",INDEX(J$1:J3387,SUMPRODUCT(MAX(ROW(E$1:E3387)*(E3388=E$1:E3387)))))</f>
        <v/>
      </c>
      <c r="L3388" s="25"/>
    </row>
    <row r="3389" spans="1:12" x14ac:dyDescent="0.2">
      <c r="A3389" t="s">
        <v>1467</v>
      </c>
      <c r="E3389" s="20" t="str">
        <f t="shared" si="362"/>
        <v/>
      </c>
      <c r="F3389" s="21" t="str">
        <f>IF(OR(E3389="",E3389="!!!"),"",IF(NOT(ISNA(VLOOKUP(E3389,E$1:E3388,1,FALSE()))),"OLD",IF(AND(E3389&lt;&gt;"",E3389&lt;&gt;"!!!"),"NEW","")))</f>
        <v/>
      </c>
      <c r="G3389" s="22" t="str">
        <f>IF(OR(E3389="",E3389="!!!"),"",IF(OR(J3389=0,AND(J3389=1,K3389=1),AND(J3389=1,I3389="SBJ"),AND(J3389=1,I3389=0)),"?IN_FOCUS",IF(J3389&lt;=2,"?ACTIVATED",IF(J3389&lt;&gt;"","?FAMILIAR",IF(F3389="NEW",IF(ISNA(VLOOKUP(E3389,#REF!,1,FALSE())),"?TYPE_IDENTIFIABLE","?REFERENTIAL"),"_")))))</f>
        <v/>
      </c>
      <c r="H3389" s="23" t="str">
        <f t="shared" ca="1" si="363"/>
        <v/>
      </c>
      <c r="I3389" s="24" t="str">
        <f>IF(OR(E3389="",E3389="!!!",F3389="NEW"),"",INDEX(B$2:B3388,-1+SUMPRODUCT(MAX(ROW(E$2:E3388)*(E3389=E$2:E3388)))))</f>
        <v/>
      </c>
      <c r="J3389" s="24" t="str">
        <f ca="1">IF(OR(E3389="",E3389="!!!",F3389="NEW"),"",COUNTBLANK(OFFSET(A$1,,,SUMPRODUCT(MAX(ROW(E$2:E3389)*(E3389=E$2:E3389)))))-COUNTBLANK(OFFSET(A$1,,,SUMPRODUCT(MAX(ROW(E$1:E3388)*(E2=E$1:E3388))))))</f>
        <v/>
      </c>
      <c r="K3389" s="24" t="str">
        <f>IF(OR(E3389="",E3389="!!!",F3389="NEW"),"",INDEX(J$1:J3388,SUMPRODUCT(MAX(ROW(E$1:E3388)*(E3389=E$1:E3388)))))</f>
        <v/>
      </c>
      <c r="L3389" s="25"/>
    </row>
    <row r="3390" spans="1:12" x14ac:dyDescent="0.2">
      <c r="A3390" t="s">
        <v>1082</v>
      </c>
      <c r="E3390" s="20" t="str">
        <f t="shared" si="362"/>
        <v/>
      </c>
      <c r="F3390" s="21" t="str">
        <f>IF(OR(E3390="",E3390="!!!"),"",IF(NOT(ISNA(VLOOKUP(E3390,E$1:E3389,1,FALSE()))),"OLD",IF(AND(E3390&lt;&gt;"",E3390&lt;&gt;"!!!"),"NEW","")))</f>
        <v/>
      </c>
      <c r="G3390" s="22" t="str">
        <f>IF(OR(E3390="",E3390="!!!"),"",IF(OR(J3390=0,AND(J3390=1,K3390=1),AND(J3390=1,I3390="SBJ"),AND(J3390=1,I3390=0)),"?IN_FOCUS",IF(J3390&lt;=2,"?ACTIVATED",IF(J3390&lt;&gt;"","?FAMILIAR",IF(F3390="NEW",IF(ISNA(VLOOKUP(E3390,#REF!,1,FALSE())),"?TYPE_IDENTIFIABLE","?REFERENTIAL"),"_")))))</f>
        <v/>
      </c>
      <c r="H3390" s="23" t="str">
        <f t="shared" ca="1" si="363"/>
        <v/>
      </c>
      <c r="I3390" s="24" t="str">
        <f>IF(OR(E3390="",E3390="!!!",F3390="NEW"),"",INDEX(B$2:B3389,-1+SUMPRODUCT(MAX(ROW(E$2:E3389)*(E3390=E$2:E3389)))))</f>
        <v/>
      </c>
      <c r="J3390" s="24" t="str">
        <f ca="1">IF(OR(E3390="",E3390="!!!",F3390="NEW"),"",COUNTBLANK(OFFSET(A$1,,,SUMPRODUCT(MAX(ROW(E$2:E3390)*(E3390=E$2:E3390)))))-COUNTBLANK(OFFSET(A$1,,,SUMPRODUCT(MAX(ROW(E$1:E3389)*(E2=E$1:E3389))))))</f>
        <v/>
      </c>
      <c r="K3390" s="24" t="str">
        <f>IF(OR(E3390="",E3390="!!!",F3390="NEW"),"",INDEX(J$1:J3389,SUMPRODUCT(MAX(ROW(E$1:E3389)*(E3390=E$1:E3389)))))</f>
        <v/>
      </c>
      <c r="L3390" s="25"/>
    </row>
    <row r="3391" spans="1:12" x14ac:dyDescent="0.2">
      <c r="A3391" t="s">
        <v>1622</v>
      </c>
      <c r="B3391" s="26" t="s">
        <v>819</v>
      </c>
      <c r="C3391" s="26" t="s">
        <v>814</v>
      </c>
      <c r="E3391" s="20" t="str">
        <f t="shared" si="362"/>
        <v/>
      </c>
      <c r="F3391" s="21" t="str">
        <f>IF(OR(E3391="",E3391="!!!"),"",IF(NOT(ISNA(VLOOKUP(E3391,E$1:E3390,1,FALSE()))),"OLD",IF(AND(E3391&lt;&gt;"",E3391&lt;&gt;"!!!"),"NEW","")))</f>
        <v/>
      </c>
      <c r="G3391" s="22" t="str">
        <f>IF(OR(E3391="",E3391="!!!"),"",IF(OR(J3391=0,AND(J3391=1,K3391=1),AND(J3391=1,I3391="SBJ"),AND(J3391=1,I3391=0)),"?IN_FOCUS",IF(J3391&lt;=2,"?ACTIVATED",IF(J3391&lt;&gt;"","?FAMILIAR",IF(F3391="NEW",IF(ISNA(VLOOKUP(E3391,#REF!,1,FALSE())),"?TYPE_IDENTIFIABLE","?REFERENTIAL"),"_")))))</f>
        <v/>
      </c>
      <c r="H3391" s="23" t="str">
        <f t="shared" ca="1" si="363"/>
        <v/>
      </c>
      <c r="I3391" s="24" t="str">
        <f>IF(OR(E3391="",E3391="!!!",F3391="NEW"),"",INDEX(B$2:B3390,-1+SUMPRODUCT(MAX(ROW(E$2:E3390)*(E3391=E$2:E3390)))))</f>
        <v/>
      </c>
      <c r="J3391" s="24" t="str">
        <f ca="1">IF(OR(E3391="",E3391="!!!",F3391="NEW"),"",COUNTBLANK(OFFSET(A$1,,,SUMPRODUCT(MAX(ROW(E$2:E3391)*(E3391=E$2:E3391)))))-COUNTBLANK(OFFSET(A$1,,,SUMPRODUCT(MAX(ROW(E$1:E3390)*(E2=E$1:E3390))))))</f>
        <v/>
      </c>
      <c r="K3391" s="24" t="str">
        <f>IF(OR(E3391="",E3391="!!!",F3391="NEW"),"",INDEX(J$1:J3390,SUMPRODUCT(MAX(ROW(E$1:E3390)*(E3391=E$1:E3390)))))</f>
        <v/>
      </c>
      <c r="L3391" s="25"/>
    </row>
    <row r="3392" spans="1:12" x14ac:dyDescent="0.2">
      <c r="A3392" t="s">
        <v>1060</v>
      </c>
      <c r="B3392" s="26" t="s">
        <v>891</v>
      </c>
      <c r="E3392" s="20" t="str">
        <f t="shared" si="362"/>
        <v/>
      </c>
      <c r="F3392" s="21" t="str">
        <f>IF(OR(E3392="",E3392="!!!"),"",IF(NOT(ISNA(VLOOKUP(E3392,E$1:E3391,1,FALSE()))),"OLD",IF(AND(E3392&lt;&gt;"",E3392&lt;&gt;"!!!"),"NEW","")))</f>
        <v/>
      </c>
      <c r="G3392" s="22" t="str">
        <f>IF(OR(E3392="",E3392="!!!"),"",IF(OR(J3392=0,AND(J3392=1,K3392=1),AND(J3392=1,I3392="SBJ"),AND(J3392=1,I3392=0)),"?IN_FOCUS",IF(J3392&lt;=2,"?ACTIVATED",IF(J3392&lt;&gt;"","?FAMILIAR",IF(F3392="NEW",IF(ISNA(VLOOKUP(E3392,#REF!,1,FALSE())),"?TYPE_IDENTIFIABLE","?REFERENTIAL"),"_")))))</f>
        <v/>
      </c>
      <c r="H3392" s="23" t="str">
        <f t="shared" ca="1" si="363"/>
        <v/>
      </c>
      <c r="I3392" s="24" t="str">
        <f>IF(OR(E3392="",E3392="!!!",F3392="NEW"),"",INDEX(B$2:B3391,-1+SUMPRODUCT(MAX(ROW(E$2:E3391)*(E3392=E$2:E3391)))))</f>
        <v/>
      </c>
      <c r="J3392" s="24" t="str">
        <f ca="1">IF(OR(E3392="",E3392="!!!",F3392="NEW"),"",COUNTBLANK(OFFSET(A$1,,,SUMPRODUCT(MAX(ROW(E$2:E3392)*(E3392=E$2:E3392)))))-COUNTBLANK(OFFSET(A$1,,,SUMPRODUCT(MAX(ROW(E$1:E3391)*(E2=E$1:E3391))))))</f>
        <v/>
      </c>
      <c r="K3392" s="24" t="str">
        <f>IF(OR(E3392="",E3392="!!!",F3392="NEW"),"",INDEX(J$1:J3391,SUMPRODUCT(MAX(ROW(E$1:E3391)*(E3392=E$1:E3391)))))</f>
        <v/>
      </c>
      <c r="L3392" s="25"/>
    </row>
    <row r="3393" spans="1:12" x14ac:dyDescent="0.2">
      <c r="A3393" t="s">
        <v>1018</v>
      </c>
      <c r="E3393" s="20" t="str">
        <f t="shared" si="362"/>
        <v/>
      </c>
      <c r="F3393" s="21" t="str">
        <f>IF(OR(E3393="",E3393="!!!"),"",IF(NOT(ISNA(VLOOKUP(E3393,E$1:E3392,1,FALSE()))),"OLD",IF(AND(E3393&lt;&gt;"",E3393&lt;&gt;"!!!"),"NEW","")))</f>
        <v/>
      </c>
      <c r="G3393" s="22" t="str">
        <f>IF(OR(E3393="",E3393="!!!"),"",IF(OR(J3393=0,AND(J3393=1,K3393=1),AND(J3393=1,I3393="SBJ"),AND(J3393=1,I3393=0)),"?IN_FOCUS",IF(J3393&lt;=2,"?ACTIVATED",IF(J3393&lt;&gt;"","?FAMILIAR",IF(F3393="NEW",IF(ISNA(VLOOKUP(E3393,#REF!,1,FALSE())),"?TYPE_IDENTIFIABLE","?REFERENTIAL"),"_")))))</f>
        <v/>
      </c>
      <c r="H3393" s="23" t="str">
        <f t="shared" ca="1" si="363"/>
        <v/>
      </c>
      <c r="I3393" s="24" t="str">
        <f>IF(OR(E3393="",E3393="!!!",F3393="NEW"),"",INDEX(B$2:B3392,-1+SUMPRODUCT(MAX(ROW(E$2:E3392)*(E3393=E$2:E3392)))))</f>
        <v/>
      </c>
      <c r="J3393" s="24" t="str">
        <f ca="1">IF(OR(E3393="",E3393="!!!",F3393="NEW"),"",COUNTBLANK(OFFSET(A$1,,,SUMPRODUCT(MAX(ROW(E$2:E3393)*(E3393=E$2:E3393)))))-COUNTBLANK(OFFSET(A$1,,,SUMPRODUCT(MAX(ROW(E$1:E3392)*(E2=E$1:E3392))))))</f>
        <v/>
      </c>
      <c r="K3393" s="24" t="str">
        <f>IF(OR(E3393="",E3393="!!!",F3393="NEW"),"",INDEX(J$1:J3392,SUMPRODUCT(MAX(ROW(E$1:E3392)*(E3393=E$1:E3392)))))</f>
        <v/>
      </c>
      <c r="L3393" s="25"/>
    </row>
    <row r="3394" spans="1:12" x14ac:dyDescent="0.2">
      <c r="A3394" t="s">
        <v>1031</v>
      </c>
      <c r="E3394" s="20" t="str">
        <f t="shared" si="362"/>
        <v/>
      </c>
      <c r="F3394" s="21" t="str">
        <f>IF(OR(E3394="",E3394="!!!"),"",IF(NOT(ISNA(VLOOKUP(E3394,E$1:E3393,1,FALSE()))),"OLD",IF(AND(E3394&lt;&gt;"",E3394&lt;&gt;"!!!"),"NEW","")))</f>
        <v/>
      </c>
      <c r="G3394" s="22" t="str">
        <f>IF(OR(E3394="",E3394="!!!"),"",IF(OR(J3394=0,AND(J3394=1,K3394=1),AND(J3394=1,I3394="SBJ"),AND(J3394=1,I3394=0)),"?IN_FOCUS",IF(J3394&lt;=2,"?ACTIVATED",IF(J3394&lt;&gt;"","?FAMILIAR",IF(F3394="NEW",IF(ISNA(VLOOKUP(E3394,#REF!,1,FALSE())),"?TYPE_IDENTIFIABLE","?REFERENTIAL"),"_")))))</f>
        <v/>
      </c>
      <c r="H3394" s="23" t="str">
        <f t="shared" ca="1" si="363"/>
        <v/>
      </c>
      <c r="I3394" s="24" t="str">
        <f>IF(OR(E3394="",E3394="!!!",F3394="NEW"),"",INDEX(B$2:B3393,-1+SUMPRODUCT(MAX(ROW(E$2:E3393)*(E3394=E$2:E3393)))))</f>
        <v/>
      </c>
      <c r="J3394" s="24" t="str">
        <f ca="1">IF(OR(E3394="",E3394="!!!",F3394="NEW"),"",COUNTBLANK(OFFSET(A$1,,,SUMPRODUCT(MAX(ROW(E$2:E3394)*(E3394=E$2:E3394)))))-COUNTBLANK(OFFSET(A$1,,,SUMPRODUCT(MAX(ROW(E$1:E3393)*(E2=E$1:E3393))))))</f>
        <v/>
      </c>
      <c r="K3394" s="24" t="str">
        <f>IF(OR(E3394="",E3394="!!!",F3394="NEW"),"",INDEX(J$1:J3393,SUMPRODUCT(MAX(ROW(E$1:E3393)*(E3394=E$1:E3393)))))</f>
        <v/>
      </c>
      <c r="L3394" s="25"/>
    </row>
    <row r="3395" spans="1:12" x14ac:dyDescent="0.2">
      <c r="A3395" t="s">
        <v>1014</v>
      </c>
      <c r="E3395" s="20" t="str">
        <f t="shared" si="362"/>
        <v/>
      </c>
      <c r="F3395" s="21" t="str">
        <f>IF(OR(E3395="",E3395="!!!"),"",IF(NOT(ISNA(VLOOKUP(E3395,E$1:E3394,1,FALSE()))),"OLD",IF(AND(E3395&lt;&gt;"",E3395&lt;&gt;"!!!"),"NEW","")))</f>
        <v/>
      </c>
      <c r="G3395" s="22" t="str">
        <f>IF(OR(E3395="",E3395="!!!"),"",IF(OR(J3395=0,AND(J3395=1,K3395=1),AND(J3395=1,I3395="SBJ"),AND(J3395=1,I3395=0)),"?IN_FOCUS",IF(J3395&lt;=2,"?ACTIVATED",IF(J3395&lt;&gt;"","?FAMILIAR",IF(F3395="NEW",IF(ISNA(VLOOKUP(E3395,#REF!,1,FALSE())),"?TYPE_IDENTIFIABLE","?REFERENTIAL"),"_")))))</f>
        <v/>
      </c>
      <c r="H3395" s="23" t="str">
        <f t="shared" ca="1" si="363"/>
        <v/>
      </c>
      <c r="I3395" s="24" t="str">
        <f>IF(OR(E3395="",E3395="!!!",F3395="NEW"),"",INDEX(B$2:B3394,-1+SUMPRODUCT(MAX(ROW(E$2:E3394)*(E3395=E$2:E3394)))))</f>
        <v/>
      </c>
      <c r="J3395" s="24" t="str">
        <f ca="1">IF(OR(E3395="",E3395="!!!",F3395="NEW"),"",COUNTBLANK(OFFSET(A$1,,,SUMPRODUCT(MAX(ROW(E$2:E3395)*(E3395=E$2:E3395)))))-COUNTBLANK(OFFSET(A$1,,,SUMPRODUCT(MAX(ROW(E$1:E3394)*(E2=E$1:E3394))))))</f>
        <v/>
      </c>
      <c r="K3395" s="24" t="str">
        <f>IF(OR(E3395="",E3395="!!!",F3395="NEW"),"",INDEX(J$1:J3394,SUMPRODUCT(MAX(ROW(E$1:E3394)*(E3395=E$1:E3394)))))</f>
        <v/>
      </c>
      <c r="L3395" s="25"/>
    </row>
    <row r="3396" spans="1:12" x14ac:dyDescent="0.2">
      <c r="A3396" t="s">
        <v>1740</v>
      </c>
      <c r="B3396" s="26" t="s">
        <v>813</v>
      </c>
      <c r="C3396" s="26" t="s">
        <v>814</v>
      </c>
      <c r="E3396" s="20" t="str">
        <f t="shared" si="362"/>
        <v/>
      </c>
      <c r="F3396" s="21" t="str">
        <f>IF(OR(E3396="",E3396="!!!"),"",IF(NOT(ISNA(VLOOKUP(E3396,E$1:E3395,1,FALSE()))),"OLD",IF(AND(E3396&lt;&gt;"",E3396&lt;&gt;"!!!"),"NEW","")))</f>
        <v/>
      </c>
      <c r="G3396" s="22" t="str">
        <f>IF(OR(E3396="",E3396="!!!"),"",IF(OR(J3396=0,AND(J3396=1,K3396=1),AND(J3396=1,I3396="SBJ"),AND(J3396=1,I3396=0)),"?IN_FOCUS",IF(J3396&lt;=2,"?ACTIVATED",IF(J3396&lt;&gt;"","?FAMILIAR",IF(F3396="NEW",IF(ISNA(VLOOKUP(E3396,#REF!,1,FALSE())),"?TYPE_IDENTIFIABLE","?REFERENTIAL"),"_")))))</f>
        <v/>
      </c>
      <c r="H3396" s="23" t="str">
        <f t="shared" ca="1" si="363"/>
        <v/>
      </c>
      <c r="I3396" s="24" t="str">
        <f>IF(OR(E3396="",E3396="!!!",F3396="NEW"),"",INDEX(B$2:B3395,-1+SUMPRODUCT(MAX(ROW(E$2:E3395)*(E3396=E$2:E3395)))))</f>
        <v/>
      </c>
      <c r="J3396" s="24" t="str">
        <f ca="1">IF(OR(E3396="",E3396="!!!",F3396="NEW"),"",COUNTBLANK(OFFSET(A$1,,,SUMPRODUCT(MAX(ROW(E$2:E3396)*(E3396=E$2:E3396)))))-COUNTBLANK(OFFSET(A$1,,,SUMPRODUCT(MAX(ROW(E$1:E3395)*(E2=E$1:E3395))))))</f>
        <v/>
      </c>
      <c r="K3396" s="24" t="str">
        <f>IF(OR(E3396="",E3396="!!!",F3396="NEW"),"",INDEX(J$1:J3395,SUMPRODUCT(MAX(ROW(E$1:E3395)*(E3396=E$1:E3395)))))</f>
        <v/>
      </c>
      <c r="L3396" s="25"/>
    </row>
    <row r="3397" spans="1:12" x14ac:dyDescent="0.2">
      <c r="A3397" t="s">
        <v>802</v>
      </c>
      <c r="E3397" s="20" t="str">
        <f t="shared" si="362"/>
        <v/>
      </c>
      <c r="F3397" s="21" t="str">
        <f>IF(OR(E3397="",E3397="!!!"),"",IF(NOT(ISNA(VLOOKUP(E3397,E$1:E3396,1,FALSE()))),"OLD",IF(AND(E3397&lt;&gt;"",E3397&lt;&gt;"!!!"),"NEW","")))</f>
        <v/>
      </c>
      <c r="G3397" s="22" t="str">
        <f>IF(OR(E3397="",E3397="!!!"),"",IF(OR(J3397=0,AND(J3397=1,K3397=1),AND(J3397=1,I3397="SBJ"),AND(J3397=1,I3397=0)),"?IN_FOCUS",IF(J3397&lt;=2,"?ACTIVATED",IF(J3397&lt;&gt;"","?FAMILIAR",IF(F3397="NEW",IF(ISNA(VLOOKUP(E3397,#REF!,1,FALSE())),"?TYPE_IDENTIFIABLE","?REFERENTIAL"),"_")))))</f>
        <v/>
      </c>
      <c r="H3397" s="23" t="str">
        <f t="shared" ca="1" si="363"/>
        <v/>
      </c>
      <c r="I3397" s="24" t="str">
        <f>IF(OR(E3397="",E3397="!!!",F3397="NEW"),"",INDEX(B$2:B3396,-1+SUMPRODUCT(MAX(ROW(E$2:E3396)*(E3397=E$2:E3396)))))</f>
        <v/>
      </c>
      <c r="J3397" s="24" t="str">
        <f ca="1">IF(OR(E3397="",E3397="!!!",F3397="NEW"),"",COUNTBLANK(OFFSET(A$1,,,SUMPRODUCT(MAX(ROW(E$2:E3397)*(E3397=E$2:E3397)))))-COUNTBLANK(OFFSET(A$1,,,SUMPRODUCT(MAX(ROW(E$1:E3396)*(E2=E$1:E3396))))))</f>
        <v/>
      </c>
      <c r="K3397" s="24" t="str">
        <f>IF(OR(E3397="",E3397="!!!",F3397="NEW"),"",INDEX(J$1:J3396,SUMPRODUCT(MAX(ROW(E$1:E3396)*(E3397=E$1:E3396)))))</f>
        <v/>
      </c>
      <c r="L3397" s="25"/>
    </row>
    <row r="3398" spans="1:12" x14ac:dyDescent="0.2">
      <c r="A3398" t="s">
        <v>1188</v>
      </c>
      <c r="E3398" s="20" t="str">
        <f t="shared" si="362"/>
        <v/>
      </c>
      <c r="F3398" s="21" t="str">
        <f>IF(OR(E3398="",E3398="!!!"),"",IF(NOT(ISNA(VLOOKUP(E3398,E$1:E3397,1,FALSE()))),"OLD",IF(AND(E3398&lt;&gt;"",E3398&lt;&gt;"!!!"),"NEW","")))</f>
        <v/>
      </c>
      <c r="G3398" s="22" t="str">
        <f>IF(OR(E3398="",E3398="!!!"),"",IF(OR(J3398=0,AND(J3398=1,K3398=1),AND(J3398=1,I3398="SBJ"),AND(J3398=1,I3398=0)),"?IN_FOCUS",IF(J3398&lt;=2,"?ACTIVATED",IF(J3398&lt;&gt;"","?FAMILIAR",IF(F3398="NEW",IF(ISNA(VLOOKUP(E3398,#REF!,1,FALSE())),"?TYPE_IDENTIFIABLE","?REFERENTIAL"),"_")))))</f>
        <v/>
      </c>
      <c r="H3398" s="23" t="str">
        <f t="shared" ca="1" si="363"/>
        <v/>
      </c>
      <c r="I3398" s="24" t="str">
        <f>IF(OR(E3398="",E3398="!!!",F3398="NEW"),"",INDEX(B$2:B3397,-1+SUMPRODUCT(MAX(ROW(E$2:E3397)*(E3398=E$2:E3397)))))</f>
        <v/>
      </c>
      <c r="J3398" s="24" t="str">
        <f ca="1">IF(OR(E3398="",E3398="!!!",F3398="NEW"),"",COUNTBLANK(OFFSET(A$1,,,SUMPRODUCT(MAX(ROW(E$2:E3398)*(E3398=E$2:E3398)))))-COUNTBLANK(OFFSET(A$1,,,SUMPRODUCT(MAX(ROW(E$1:E3397)*(E2=E$1:E3397))))))</f>
        <v/>
      </c>
      <c r="K3398" s="24" t="str">
        <f>IF(OR(E3398="",E3398="!!!",F3398="NEW"),"",INDEX(J$1:J3397,SUMPRODUCT(MAX(ROW(E$1:E3397)*(E3398=E$1:E3397)))))</f>
        <v/>
      </c>
      <c r="L3398" s="25"/>
    </row>
    <row r="3399" spans="1:12" x14ac:dyDescent="0.2">
      <c r="A3399" t="s">
        <v>1741</v>
      </c>
      <c r="B3399" s="26" t="s">
        <v>819</v>
      </c>
      <c r="C3399" s="26" t="s">
        <v>814</v>
      </c>
      <c r="E3399" s="20" t="str">
        <f t="shared" si="362"/>
        <v/>
      </c>
      <c r="F3399" s="21" t="str">
        <f>IF(OR(E3399="",E3399="!!!"),"",IF(NOT(ISNA(VLOOKUP(E3399,E$1:E3398,1,FALSE()))),"OLD",IF(AND(E3399&lt;&gt;"",E3399&lt;&gt;"!!!"),"NEW","")))</f>
        <v/>
      </c>
      <c r="G3399" s="22" t="str">
        <f>IF(OR(E3399="",E3399="!!!"),"",IF(OR(J3399=0,AND(J3399=1,K3399=1),AND(J3399=1,I3399="SBJ"),AND(J3399=1,I3399=0)),"?IN_FOCUS",IF(J3399&lt;=2,"?ACTIVATED",IF(J3399&lt;&gt;"","?FAMILIAR",IF(F3399="NEW",IF(ISNA(VLOOKUP(E3399,#REF!,1,FALSE())),"?TYPE_IDENTIFIABLE","?REFERENTIAL"),"_")))))</f>
        <v/>
      </c>
      <c r="H3399" s="23" t="str">
        <f t="shared" ca="1" si="363"/>
        <v/>
      </c>
      <c r="I3399" s="24" t="str">
        <f>IF(OR(E3399="",E3399="!!!",F3399="NEW"),"",INDEX(B$2:B3398,-1+SUMPRODUCT(MAX(ROW(E$2:E3398)*(E3399=E$2:E3398)))))</f>
        <v/>
      </c>
      <c r="J3399" s="24" t="str">
        <f ca="1">IF(OR(E3399="",E3399="!!!",F3399="NEW"),"",COUNTBLANK(OFFSET(A$1,,,SUMPRODUCT(MAX(ROW(E$2:E3399)*(E3399=E$2:E3399)))))-COUNTBLANK(OFFSET(A$1,,,SUMPRODUCT(MAX(ROW(E$1:E3398)*(E2=E$1:E3398))))))</f>
        <v/>
      </c>
      <c r="K3399" s="24" t="str">
        <f>IF(OR(E3399="",E3399="!!!",F3399="NEW"),"",INDEX(J$1:J3398,SUMPRODUCT(MAX(ROW(E$1:E3398)*(E3399=E$1:E3398)))))</f>
        <v/>
      </c>
      <c r="L3399" s="25"/>
    </row>
    <row r="3400" spans="1:12" x14ac:dyDescent="0.2">
      <c r="A3400" t="s">
        <v>815</v>
      </c>
      <c r="E3400" s="20" t="str">
        <f t="shared" si="362"/>
        <v/>
      </c>
      <c r="F3400" s="21" t="str">
        <f>IF(OR(E3400="",E3400="!!!"),"",IF(NOT(ISNA(VLOOKUP(E3400,E$1:E3399,1,FALSE()))),"OLD",IF(AND(E3400&lt;&gt;"",E3400&lt;&gt;"!!!"),"NEW","")))</f>
        <v/>
      </c>
      <c r="G3400" s="22" t="str">
        <f>IF(OR(E3400="",E3400="!!!"),"",IF(OR(J3400=0,AND(J3400=1,K3400=1),AND(J3400=1,I3400="SBJ"),AND(J3400=1,I3400=0)),"?IN_FOCUS",IF(J3400&lt;=2,"?ACTIVATED",IF(J3400&lt;&gt;"","?FAMILIAR",IF(F3400="NEW",IF(ISNA(VLOOKUP(E3400,#REF!,1,FALSE())),"?TYPE_IDENTIFIABLE","?REFERENTIAL"),"_")))))</f>
        <v/>
      </c>
      <c r="H3400" s="23" t="str">
        <f t="shared" ca="1" si="363"/>
        <v/>
      </c>
      <c r="I3400" s="24" t="str">
        <f>IF(OR(E3400="",E3400="!!!",F3400="NEW"),"",INDEX(B$2:B3399,-1+SUMPRODUCT(MAX(ROW(E$2:E3399)*(E3400=E$2:E3399)))))</f>
        <v/>
      </c>
      <c r="J3400" s="24" t="str">
        <f ca="1">IF(OR(E3400="",E3400="!!!",F3400="NEW"),"",COUNTBLANK(OFFSET(A$1,,,SUMPRODUCT(MAX(ROW(E$2:E3400)*(E3400=E$2:E3400)))))-COUNTBLANK(OFFSET(A$1,,,SUMPRODUCT(MAX(ROW(E$1:E3399)*(E2=E$1:E3399))))))</f>
        <v/>
      </c>
      <c r="K3400" s="24" t="str">
        <f>IF(OR(E3400="",E3400="!!!",F3400="NEW"),"",INDEX(J$1:J3399,SUMPRODUCT(MAX(ROW(E$1:E3399)*(E3400=E$1:E3399)))))</f>
        <v/>
      </c>
      <c r="L3400" s="25"/>
    </row>
    <row r="3401" spans="1:12" x14ac:dyDescent="0.2">
      <c r="A3401" t="s">
        <v>1352</v>
      </c>
      <c r="B3401" s="26" t="s">
        <v>813</v>
      </c>
      <c r="C3401" s="26" t="s">
        <v>814</v>
      </c>
      <c r="E3401" s="20" t="str">
        <f t="shared" si="362"/>
        <v/>
      </c>
      <c r="F3401" s="21" t="str">
        <f>IF(OR(E3401="",E3401="!!!"),"",IF(NOT(ISNA(VLOOKUP(E3401,E$1:E3400,1,FALSE()))),"OLD",IF(AND(E3401&lt;&gt;"",E3401&lt;&gt;"!!!"),"NEW","")))</f>
        <v/>
      </c>
      <c r="G3401" s="22" t="str">
        <f>IF(OR(E3401="",E3401="!!!"),"",IF(OR(J3401=0,AND(J3401=1,K3401=1),AND(J3401=1,I3401="SBJ"),AND(J3401=1,I3401=0)),"?IN_FOCUS",IF(J3401&lt;=2,"?ACTIVATED",IF(J3401&lt;&gt;"","?FAMILIAR",IF(F3401="NEW",IF(ISNA(VLOOKUP(E3401,#REF!,1,FALSE())),"?TYPE_IDENTIFIABLE","?REFERENTIAL"),"_")))))</f>
        <v/>
      </c>
      <c r="H3401" s="23" t="str">
        <f t="shared" ca="1" si="363"/>
        <v/>
      </c>
      <c r="I3401" s="24" t="str">
        <f>IF(OR(E3401="",E3401="!!!",F3401="NEW"),"",INDEX(B$2:B3400,-1+SUMPRODUCT(MAX(ROW(E$2:E3400)*(E3401=E$2:E3400)))))</f>
        <v/>
      </c>
      <c r="J3401" s="24" t="str">
        <f ca="1">IF(OR(E3401="",E3401="!!!",F3401="NEW"),"",COUNTBLANK(OFFSET(A$1,,,SUMPRODUCT(MAX(ROW(E$2:E3401)*(E3401=E$2:E3401)))))-COUNTBLANK(OFFSET(A$1,,,SUMPRODUCT(MAX(ROW(E$1:E3400)*(E2=E$1:E3400))))))</f>
        <v/>
      </c>
      <c r="K3401" s="24" t="str">
        <f>IF(OR(E3401="",E3401="!!!",F3401="NEW"),"",INDEX(J$1:J3400,SUMPRODUCT(MAX(ROW(E$1:E3400)*(E3401=E$1:E3400)))))</f>
        <v/>
      </c>
      <c r="L3401" s="25"/>
    </row>
    <row r="3402" spans="1:12" x14ac:dyDescent="0.2">
      <c r="A3402" t="s">
        <v>821</v>
      </c>
      <c r="E3402" s="20" t="str">
        <f t="shared" si="362"/>
        <v/>
      </c>
      <c r="F3402" s="21" t="str">
        <f>IF(OR(E3402="",E3402="!!!"),"",IF(NOT(ISNA(VLOOKUP(E3402,E$1:E3401,1,FALSE()))),"OLD",IF(AND(E3402&lt;&gt;"",E3402&lt;&gt;"!!!"),"NEW","")))</f>
        <v/>
      </c>
      <c r="G3402" s="22" t="str">
        <f>IF(OR(E3402="",E3402="!!!"),"",IF(OR(J3402=0,AND(J3402=1,K3402=1),AND(J3402=1,I3402="SBJ"),AND(J3402=1,I3402=0)),"?IN_FOCUS",IF(J3402&lt;=2,"?ACTIVATED",IF(J3402&lt;&gt;"","?FAMILIAR",IF(F3402="NEW",IF(ISNA(VLOOKUP(E3402,#REF!,1,FALSE())),"?TYPE_IDENTIFIABLE","?REFERENTIAL"),"_")))))</f>
        <v/>
      </c>
      <c r="H3402" s="23" t="str">
        <f t="shared" ca="1" si="363"/>
        <v/>
      </c>
      <c r="I3402" s="24" t="str">
        <f>IF(OR(E3402="",E3402="!!!",F3402="NEW"),"",INDEX(B$2:B3401,-1+SUMPRODUCT(MAX(ROW(E$2:E3401)*(E3402=E$2:E3401)))))</f>
        <v/>
      </c>
      <c r="J3402" s="24" t="str">
        <f ca="1">IF(OR(E3402="",E3402="!!!",F3402="NEW"),"",COUNTBLANK(OFFSET(A$1,,,SUMPRODUCT(MAX(ROW(E$2:E3402)*(E3402=E$2:E3402)))))-COUNTBLANK(OFFSET(A$1,,,SUMPRODUCT(MAX(ROW(E$1:E3401)*(E2=E$1:E3401))))))</f>
        <v/>
      </c>
      <c r="K3402" s="24" t="str">
        <f>IF(OR(E3402="",E3402="!!!",F3402="NEW"),"",INDEX(J$1:J3401,SUMPRODUCT(MAX(ROW(E$1:E3401)*(E3402=E$1:E3401)))))</f>
        <v/>
      </c>
      <c r="L3402" s="25"/>
    </row>
    <row r="3404" spans="1:12" x14ac:dyDescent="0.2">
      <c r="A3404" t="s">
        <v>1742</v>
      </c>
    </row>
    <row r="3405" spans="1:12" x14ac:dyDescent="0.2">
      <c r="A3405" t="s">
        <v>1594</v>
      </c>
      <c r="E3405" s="20" t="str">
        <f t="shared" ref="E3405:E3417" si="364">IF(D3405="?OLD","!!!","")</f>
        <v/>
      </c>
      <c r="F3405" s="21" t="str">
        <f>IF(OR(E3405="",E3405="!!!"),"",IF(NOT(ISNA(VLOOKUP(E3405,E$1:E3404,1,FALSE()))),"OLD",IF(AND(E3405&lt;&gt;"",E3405&lt;&gt;"!!!"),"NEW","")))</f>
        <v/>
      </c>
      <c r="G3405" s="22" t="str">
        <f>IF(OR(E3405="",E3405="!!!"),"",IF(OR(J3405=0,AND(J3405=1,K3405=1),AND(J3405=1,I3405="SBJ"),AND(J3405=1,I3405=0)),"?IN_FOCUS",IF(J3405&lt;=2,"?ACTIVATED",IF(J3405&lt;&gt;"","?FAMILIAR",IF(F3405="NEW",IF(ISNA(VLOOKUP(E3405,#REF!,1,FALSE())),"?TYPE_IDENTIFIABLE","?REFERENTIAL"),"_")))))</f>
        <v/>
      </c>
      <c r="H3405" s="23" t="str">
        <f t="shared" ref="H3405:H3417" ca="1" si="365">IF(J3405&lt;&gt;1,"",IF(I3405="SBJ","CB","?"))</f>
        <v/>
      </c>
      <c r="I3405" s="24" t="str">
        <f>IF(OR(E3405="",E3405="!!!",F3405="NEW"),"",INDEX(B$2:B3404,-1+SUMPRODUCT(MAX(ROW(E$2:E3404)*(E3405=E$2:E3404)))))</f>
        <v/>
      </c>
      <c r="J3405" s="24" t="str">
        <f ca="1">IF(OR(E3405="",E3405="!!!",F3405="NEW"),"",COUNTBLANK(OFFSET(A$1,,,SUMPRODUCT(MAX(ROW(E$2:E3405)*(E3405=E$2:E3405)))))-COUNTBLANK(OFFSET(A$1,,,SUMPRODUCT(MAX(ROW(E$1:E3404)*(E2=E$1:E3404))))))</f>
        <v/>
      </c>
      <c r="K3405" s="24" t="str">
        <f>IF(OR(E3405="",E3405="!!!",F3405="NEW"),"",INDEX(J$1:J3404,SUMPRODUCT(MAX(ROW(E$1:E3404)*(E3405=E$1:E3404)))))</f>
        <v/>
      </c>
      <c r="L3405" s="25"/>
    </row>
    <row r="3406" spans="1:12" x14ac:dyDescent="0.2">
      <c r="A3406" t="s">
        <v>949</v>
      </c>
      <c r="B3406" s="26" t="s">
        <v>804</v>
      </c>
      <c r="C3406" s="26" t="s">
        <v>805</v>
      </c>
      <c r="D3406" s="26" t="s">
        <v>806</v>
      </c>
      <c r="E3406" s="20" t="s">
        <v>1816</v>
      </c>
      <c r="F3406" s="21" t="str">
        <f>IF(OR(E3406="",E3406="!!!"),"",IF(NOT(ISNA(VLOOKUP(E3406,E$1:E3405,1,FALSE()))),"OLD",IF(AND(E3406&lt;&gt;"",E3406&lt;&gt;"!!!"),"NEW","")))</f>
        <v>NEW</v>
      </c>
      <c r="G3406" s="22" t="s">
        <v>1822</v>
      </c>
      <c r="H3406" s="23" t="str">
        <f t="shared" ca="1" si="365"/>
        <v/>
      </c>
      <c r="I3406" s="24" t="str">
        <f>IF(OR(E3406="",E3406="!!!",F3406="NEW"),"",INDEX(B$2:B3405,-1+SUMPRODUCT(MAX(ROW(E$2:E3405)*(E3406=E$2:E3405)))))</f>
        <v/>
      </c>
      <c r="J3406" s="24" t="str">
        <f ca="1">IF(OR(E3406="",E3406="!!!",F3406="NEW"),"",COUNTBLANK(OFFSET(A$1,,,SUMPRODUCT(MAX(ROW(E$2:E3406)*(E3406=E$2:E3406)))))-COUNTBLANK(OFFSET(A$1,,,SUMPRODUCT(MAX(ROW(E$1:E3405)*(E2=E$1:E3405))))))</f>
        <v/>
      </c>
      <c r="K3406" s="24" t="str">
        <f>IF(OR(E3406="",E3406="!!!",F3406="NEW"),"",INDEX(J$1:J3405,SUMPRODUCT(MAX(ROW(E$1:E3405)*(E3406=E$1:E3405)))))</f>
        <v/>
      </c>
      <c r="L3406" s="25"/>
    </row>
    <row r="3407" spans="1:12" x14ac:dyDescent="0.2">
      <c r="A3407" t="s">
        <v>977</v>
      </c>
      <c r="E3407" s="20" t="str">
        <f t="shared" si="364"/>
        <v/>
      </c>
      <c r="F3407" s="21" t="str">
        <f>IF(OR(E3407="",E3407="!!!"),"",IF(NOT(ISNA(VLOOKUP(E3407,E$1:E3406,1,FALSE()))),"OLD",IF(AND(E3407&lt;&gt;"",E3407&lt;&gt;"!!!"),"NEW","")))</f>
        <v/>
      </c>
      <c r="G3407" s="22" t="str">
        <f>IF(OR(E3407="",E3407="!!!"),"",IF(OR(J3407=0,AND(J3407=1,K3407=1),AND(J3407=1,I3407="SBJ"),AND(J3407=1,I3407=0)),"?IN_FOCUS",IF(J3407&lt;=2,"?ACTIVATED",IF(J3407&lt;&gt;"","?FAMILIAR",IF(F3407="NEW",IF(ISNA(VLOOKUP(E3407,#REF!,1,FALSE())),"?TYPE_IDENTIFIABLE","?REFERENTIAL"),"_")))))</f>
        <v/>
      </c>
      <c r="H3407" s="23" t="str">
        <f t="shared" ca="1" si="365"/>
        <v/>
      </c>
      <c r="I3407" s="24" t="str">
        <f>IF(OR(E3407="",E3407="!!!",F3407="NEW"),"",INDEX(B$2:B3406,-1+SUMPRODUCT(MAX(ROW(E$2:E3406)*(E3407=E$2:E3406)))))</f>
        <v/>
      </c>
      <c r="J3407" s="24" t="str">
        <f ca="1">IF(OR(E3407="",E3407="!!!",F3407="NEW"),"",COUNTBLANK(OFFSET(A$1,,,SUMPRODUCT(MAX(ROW(E$2:E3407)*(E3407=E$2:E3407)))))-COUNTBLANK(OFFSET(A$1,,,SUMPRODUCT(MAX(ROW(E$1:E3406)*(E2=E$1:E3406))))))</f>
        <v/>
      </c>
      <c r="K3407" s="24" t="str">
        <f>IF(OR(E3407="",E3407="!!!",F3407="NEW"),"",INDEX(J$1:J3406,SUMPRODUCT(MAX(ROW(E$1:E3406)*(E3407=E$1:E3406)))))</f>
        <v/>
      </c>
      <c r="L3407" s="25"/>
    </row>
    <row r="3408" spans="1:12" x14ac:dyDescent="0.2">
      <c r="A3408" t="s">
        <v>845</v>
      </c>
      <c r="E3408" s="20" t="str">
        <f t="shared" si="364"/>
        <v/>
      </c>
      <c r="F3408" s="21" t="str">
        <f>IF(OR(E3408="",E3408="!!!"),"",IF(NOT(ISNA(VLOOKUP(E3408,E$1:E3407,1,FALSE()))),"OLD",IF(AND(E3408&lt;&gt;"",E3408&lt;&gt;"!!!"),"NEW","")))</f>
        <v/>
      </c>
      <c r="G3408" s="22" t="str">
        <f>IF(OR(E3408="",E3408="!!!"),"",IF(OR(J3408=0,AND(J3408=1,K3408=1),AND(J3408=1,I3408="SBJ"),AND(J3408=1,I3408=0)),"?IN_FOCUS",IF(J3408&lt;=2,"?ACTIVATED",IF(J3408&lt;&gt;"","?FAMILIAR",IF(F3408="NEW",IF(ISNA(VLOOKUP(E3408,#REF!,1,FALSE())),"?TYPE_IDENTIFIABLE","?REFERENTIAL"),"_")))))</f>
        <v/>
      </c>
      <c r="H3408" s="23" t="str">
        <f t="shared" ca="1" si="365"/>
        <v/>
      </c>
      <c r="I3408" s="24" t="str">
        <f>IF(OR(E3408="",E3408="!!!",F3408="NEW"),"",INDEX(B$2:B3407,-1+SUMPRODUCT(MAX(ROW(E$2:E3407)*(E3408=E$2:E3407)))))</f>
        <v/>
      </c>
      <c r="J3408" s="24" t="str">
        <f ca="1">IF(OR(E3408="",E3408="!!!",F3408="NEW"),"",COUNTBLANK(OFFSET(A$1,,,SUMPRODUCT(MAX(ROW(E$2:E3408)*(E3408=E$2:E3408)))))-COUNTBLANK(OFFSET(A$1,,,SUMPRODUCT(MAX(ROW(E$1:E3407)*(E2=E$1:E3407))))))</f>
        <v/>
      </c>
      <c r="K3408" s="24" t="str">
        <f>IF(OR(E3408="",E3408="!!!",F3408="NEW"),"",INDEX(J$1:J3407,SUMPRODUCT(MAX(ROW(E$1:E3407)*(E3408=E$1:E3407)))))</f>
        <v/>
      </c>
      <c r="L3408" s="25"/>
    </row>
    <row r="3409" spans="1:12" x14ac:dyDescent="0.2">
      <c r="A3409" t="s">
        <v>943</v>
      </c>
      <c r="B3409" s="26" t="s">
        <v>819</v>
      </c>
      <c r="C3409" s="26" t="s">
        <v>847</v>
      </c>
      <c r="D3409" s="26" t="s">
        <v>806</v>
      </c>
      <c r="E3409" s="20" t="s">
        <v>1816</v>
      </c>
      <c r="F3409" s="21" t="str">
        <f>IF(OR(E3409="",E3409="!!!"),"",IF(NOT(ISNA(VLOOKUP(E3409,E$1:E3408,1,FALSE()))),"OLD",IF(AND(E3409&lt;&gt;"",E3409&lt;&gt;"!!!"),"NEW","")))</f>
        <v>OLD</v>
      </c>
      <c r="G3409" s="22" t="s">
        <v>1823</v>
      </c>
      <c r="H3409" s="23" t="str">
        <f t="shared" ca="1" si="365"/>
        <v/>
      </c>
      <c r="I3409" s="24" t="str">
        <f>IF(OR(E3409="",E3409="!!!",F3409="NEW"),"",INDEX(B$2:B3408,-1+SUMPRODUCT(MAX(ROW(E$2:E3408)*(E3409=E$2:E3408)))))</f>
        <v>SBJ</v>
      </c>
      <c r="J3409" s="24">
        <f ca="1">IF(OR(E3409="",E3409="!!!",F3409="NEW"),"",COUNTBLANK(OFFSET(A$1,,,SUMPRODUCT(MAX(ROW(E$2:E3409)*(E3409=E$2:E3409)))))-COUNTBLANK(OFFSET(A$1,,,SUMPRODUCT(MAX(ROW(E$1:E3408)*(E2=E$1:E3408))))))</f>
        <v>0</v>
      </c>
      <c r="K3409" s="24" t="str">
        <f ca="1">IF(OR(E3409="",E3409="!!!",F3409="NEW"),"",INDEX(J$1:J3408,SUMPRODUCT(MAX(ROW(E$1:E3408)*(E3409=E$1:E3408)))))</f>
        <v/>
      </c>
      <c r="L3409" s="25"/>
    </row>
    <row r="3410" spans="1:12" x14ac:dyDescent="0.2">
      <c r="A3410" t="s">
        <v>1060</v>
      </c>
      <c r="B3410" s="26" t="s">
        <v>950</v>
      </c>
      <c r="E3410" s="20" t="str">
        <f t="shared" si="364"/>
        <v/>
      </c>
      <c r="F3410" s="21" t="str">
        <f>IF(OR(E3410="",E3410="!!!"),"",IF(NOT(ISNA(VLOOKUP(E3410,E$1:E3409,1,FALSE()))),"OLD",IF(AND(E3410&lt;&gt;"",E3410&lt;&gt;"!!!"),"NEW","")))</f>
        <v/>
      </c>
      <c r="G3410" s="22" t="str">
        <f>IF(OR(E3410="",E3410="!!!"),"",IF(OR(J3410=0,AND(J3410=1,K3410=1),AND(J3410=1,I3410="SBJ"),AND(J3410=1,I3410=0)),"?IN_FOCUS",IF(J3410&lt;=2,"?ACTIVATED",IF(J3410&lt;&gt;"","?FAMILIAR",IF(F3410="NEW",IF(ISNA(VLOOKUP(E3410,#REF!,1,FALSE())),"?TYPE_IDENTIFIABLE","?REFERENTIAL"),"_")))))</f>
        <v/>
      </c>
      <c r="H3410" s="23" t="str">
        <f t="shared" ca="1" si="365"/>
        <v/>
      </c>
      <c r="I3410" s="24" t="str">
        <f>IF(OR(E3410="",E3410="!!!",F3410="NEW"),"",INDEX(B$2:B3409,-1+SUMPRODUCT(MAX(ROW(E$2:E3409)*(E3410=E$2:E3409)))))</f>
        <v/>
      </c>
      <c r="J3410" s="24" t="str">
        <f ca="1">IF(OR(E3410="",E3410="!!!",F3410="NEW"),"",COUNTBLANK(OFFSET(A$1,,,SUMPRODUCT(MAX(ROW(E$2:E3410)*(E3410=E$2:E3410)))))-COUNTBLANK(OFFSET(A$1,,,SUMPRODUCT(MAX(ROW(E$1:E3409)*(E2=E$1:E3409))))))</f>
        <v/>
      </c>
      <c r="K3410" s="24" t="str">
        <f>IF(OR(E3410="",E3410="!!!",F3410="NEW"),"",INDEX(J$1:J3409,SUMPRODUCT(MAX(ROW(E$1:E3409)*(E3410=E$1:E3409)))))</f>
        <v/>
      </c>
      <c r="L3410" s="25"/>
    </row>
    <row r="3411" spans="1:12" x14ac:dyDescent="0.2">
      <c r="A3411" t="s">
        <v>1018</v>
      </c>
      <c r="E3411" s="20" t="str">
        <f t="shared" si="364"/>
        <v/>
      </c>
      <c r="F3411" s="21" t="str">
        <f>IF(OR(E3411="",E3411="!!!"),"",IF(NOT(ISNA(VLOOKUP(E3411,E$1:E3410,1,FALSE()))),"OLD",IF(AND(E3411&lt;&gt;"",E3411&lt;&gt;"!!!"),"NEW","")))</f>
        <v/>
      </c>
      <c r="G3411" s="22" t="str">
        <f>IF(OR(E3411="",E3411="!!!"),"",IF(OR(J3411=0,AND(J3411=1,K3411=1),AND(J3411=1,I3411="SBJ"),AND(J3411=1,I3411=0)),"?IN_FOCUS",IF(J3411&lt;=2,"?ACTIVATED",IF(J3411&lt;&gt;"","?FAMILIAR",IF(F3411="NEW",IF(ISNA(VLOOKUP(E3411,#REF!,1,FALSE())),"?TYPE_IDENTIFIABLE","?REFERENTIAL"),"_")))))</f>
        <v/>
      </c>
      <c r="H3411" s="23" t="str">
        <f t="shared" ca="1" si="365"/>
        <v/>
      </c>
      <c r="I3411" s="24" t="str">
        <f>IF(OR(E3411="",E3411="!!!",F3411="NEW"),"",INDEX(B$2:B3410,-1+SUMPRODUCT(MAX(ROW(E$2:E3410)*(E3411=E$2:E3410)))))</f>
        <v/>
      </c>
      <c r="J3411" s="24" t="str">
        <f ca="1">IF(OR(E3411="",E3411="!!!",F3411="NEW"),"",COUNTBLANK(OFFSET(A$1,,,SUMPRODUCT(MAX(ROW(E$2:E3411)*(E3411=E$2:E3411)))))-COUNTBLANK(OFFSET(A$1,,,SUMPRODUCT(MAX(ROW(E$1:E3410)*(E2=E$1:E3410))))))</f>
        <v/>
      </c>
      <c r="K3411" s="24" t="str">
        <f>IF(OR(E3411="",E3411="!!!",F3411="NEW"),"",INDEX(J$1:J3410,SUMPRODUCT(MAX(ROW(E$1:E3410)*(E3411=E$1:E3410)))))</f>
        <v/>
      </c>
      <c r="L3411" s="25"/>
    </row>
    <row r="3412" spans="1:12" x14ac:dyDescent="0.2">
      <c r="A3412" t="s">
        <v>1741</v>
      </c>
      <c r="B3412" s="26" t="s">
        <v>819</v>
      </c>
      <c r="C3412" s="26" t="s">
        <v>814</v>
      </c>
      <c r="E3412" s="20" t="str">
        <f t="shared" si="364"/>
        <v/>
      </c>
      <c r="F3412" s="21" t="str">
        <f>IF(OR(E3412="",E3412="!!!"),"",IF(NOT(ISNA(VLOOKUP(E3412,E$1:E3411,1,FALSE()))),"OLD",IF(AND(E3412&lt;&gt;"",E3412&lt;&gt;"!!!"),"NEW","")))</f>
        <v/>
      </c>
      <c r="G3412" s="22" t="str">
        <f>IF(OR(E3412="",E3412="!!!"),"",IF(OR(J3412=0,AND(J3412=1,K3412=1),AND(J3412=1,I3412="SBJ"),AND(J3412=1,I3412=0)),"?IN_FOCUS",IF(J3412&lt;=2,"?ACTIVATED",IF(J3412&lt;&gt;"","?FAMILIAR",IF(F3412="NEW",IF(ISNA(VLOOKUP(E3412,#REF!,1,FALSE())),"?TYPE_IDENTIFIABLE","?REFERENTIAL"),"_")))))</f>
        <v/>
      </c>
      <c r="H3412" s="23" t="str">
        <f t="shared" ca="1" si="365"/>
        <v/>
      </c>
      <c r="I3412" s="24" t="str">
        <f>IF(OR(E3412="",E3412="!!!",F3412="NEW"),"",INDEX(B$2:B3411,-1+SUMPRODUCT(MAX(ROW(E$2:E3411)*(E3412=E$2:E3411)))))</f>
        <v/>
      </c>
      <c r="J3412" s="24" t="str">
        <f ca="1">IF(OR(E3412="",E3412="!!!",F3412="NEW"),"",COUNTBLANK(OFFSET(A$1,,,SUMPRODUCT(MAX(ROW(E$2:E3412)*(E3412=E$2:E3412)))))-COUNTBLANK(OFFSET(A$1,,,SUMPRODUCT(MAX(ROW(E$1:E3411)*(E2=E$1:E3411))))))</f>
        <v/>
      </c>
      <c r="K3412" s="24" t="str">
        <f>IF(OR(E3412="",E3412="!!!",F3412="NEW"),"",INDEX(J$1:J3411,SUMPRODUCT(MAX(ROW(E$1:E3411)*(E3412=E$1:E3411)))))</f>
        <v/>
      </c>
      <c r="L3412" s="25"/>
    </row>
    <row r="3413" spans="1:12" x14ac:dyDescent="0.2">
      <c r="A3413" t="s">
        <v>815</v>
      </c>
      <c r="E3413" s="20" t="str">
        <f t="shared" si="364"/>
        <v/>
      </c>
      <c r="F3413" s="21" t="str">
        <f>IF(OR(E3413="",E3413="!!!"),"",IF(NOT(ISNA(VLOOKUP(E3413,E$1:E3412,1,FALSE()))),"OLD",IF(AND(E3413&lt;&gt;"",E3413&lt;&gt;"!!!"),"NEW","")))</f>
        <v/>
      </c>
      <c r="G3413" s="22" t="str">
        <f>IF(OR(E3413="",E3413="!!!"),"",IF(OR(J3413=0,AND(J3413=1,K3413=1),AND(J3413=1,I3413="SBJ"),AND(J3413=1,I3413=0)),"?IN_FOCUS",IF(J3413&lt;=2,"?ACTIVATED",IF(J3413&lt;&gt;"","?FAMILIAR",IF(F3413="NEW",IF(ISNA(VLOOKUP(E3413,#REF!,1,FALSE())),"?TYPE_IDENTIFIABLE","?REFERENTIAL"),"_")))))</f>
        <v/>
      </c>
      <c r="H3413" s="23" t="str">
        <f t="shared" ca="1" si="365"/>
        <v/>
      </c>
      <c r="I3413" s="24" t="str">
        <f>IF(OR(E3413="",E3413="!!!",F3413="NEW"),"",INDEX(B$2:B3412,-1+SUMPRODUCT(MAX(ROW(E$2:E3412)*(E3413=E$2:E3412)))))</f>
        <v/>
      </c>
      <c r="J3413" s="24" t="str">
        <f ca="1">IF(OR(E3413="",E3413="!!!",F3413="NEW"),"",COUNTBLANK(OFFSET(A$1,,,SUMPRODUCT(MAX(ROW(E$2:E3413)*(E3413=E$2:E3413)))))-COUNTBLANK(OFFSET(A$1,,,SUMPRODUCT(MAX(ROW(E$1:E3412)*(E2=E$1:E3412))))))</f>
        <v/>
      </c>
      <c r="K3413" s="24" t="str">
        <f>IF(OR(E3413="",E3413="!!!",F3413="NEW"),"",INDEX(J$1:J3412,SUMPRODUCT(MAX(ROW(E$1:E3412)*(E3413=E$1:E3412)))))</f>
        <v/>
      </c>
      <c r="L3413" s="25"/>
    </row>
    <row r="3414" spans="1:12" x14ac:dyDescent="0.2">
      <c r="A3414" t="s">
        <v>1532</v>
      </c>
      <c r="B3414" s="26" t="s">
        <v>813</v>
      </c>
      <c r="C3414" s="26" t="s">
        <v>814</v>
      </c>
      <c r="E3414" s="20" t="str">
        <f t="shared" si="364"/>
        <v/>
      </c>
      <c r="F3414" s="21" t="str">
        <f>IF(OR(E3414="",E3414="!!!"),"",IF(NOT(ISNA(VLOOKUP(E3414,E$1:E3413,1,FALSE()))),"OLD",IF(AND(E3414&lt;&gt;"",E3414&lt;&gt;"!!!"),"NEW","")))</f>
        <v/>
      </c>
      <c r="G3414" s="22" t="str">
        <f>IF(OR(E3414="",E3414="!!!"),"",IF(OR(J3414=0,AND(J3414=1,K3414=1),AND(J3414=1,I3414="SBJ"),AND(J3414=1,I3414=0)),"?IN_FOCUS",IF(J3414&lt;=2,"?ACTIVATED",IF(J3414&lt;&gt;"","?FAMILIAR",IF(F3414="NEW",IF(ISNA(VLOOKUP(E3414,#REF!,1,FALSE())),"?TYPE_IDENTIFIABLE","?REFERENTIAL"),"_")))))</f>
        <v/>
      </c>
      <c r="H3414" s="23" t="str">
        <f t="shared" ca="1" si="365"/>
        <v/>
      </c>
      <c r="I3414" s="24" t="str">
        <f>IF(OR(E3414="",E3414="!!!",F3414="NEW"),"",INDEX(B$2:B3413,-1+SUMPRODUCT(MAX(ROW(E$2:E3413)*(E3414=E$2:E3413)))))</f>
        <v/>
      </c>
      <c r="J3414" s="24" t="str">
        <f ca="1">IF(OR(E3414="",E3414="!!!",F3414="NEW"),"",COUNTBLANK(OFFSET(A$1,,,SUMPRODUCT(MAX(ROW(E$2:E3414)*(E3414=E$2:E3414)))))-COUNTBLANK(OFFSET(A$1,,,SUMPRODUCT(MAX(ROW(E$1:E3413)*(E2=E$1:E3413))))))</f>
        <v/>
      </c>
      <c r="K3414" s="24" t="str">
        <f>IF(OR(E3414="",E3414="!!!",F3414="NEW"),"",INDEX(J$1:J3413,SUMPRODUCT(MAX(ROW(E$1:E3413)*(E3414=E$1:E3413)))))</f>
        <v/>
      </c>
      <c r="L3414" s="25"/>
    </row>
    <row r="3415" spans="1:12" x14ac:dyDescent="0.2">
      <c r="A3415" t="s">
        <v>802</v>
      </c>
      <c r="E3415" s="20" t="str">
        <f t="shared" si="364"/>
        <v/>
      </c>
      <c r="F3415" s="21" t="str">
        <f>IF(OR(E3415="",E3415="!!!"),"",IF(NOT(ISNA(VLOOKUP(E3415,E$1:E3414,1,FALSE()))),"OLD",IF(AND(E3415&lt;&gt;"",E3415&lt;&gt;"!!!"),"NEW","")))</f>
        <v/>
      </c>
      <c r="G3415" s="22" t="str">
        <f>IF(OR(E3415="",E3415="!!!"),"",IF(OR(J3415=0,AND(J3415=1,K3415=1),AND(J3415=1,I3415="SBJ"),AND(J3415=1,I3415=0)),"?IN_FOCUS",IF(J3415&lt;=2,"?ACTIVATED",IF(J3415&lt;&gt;"","?FAMILIAR",IF(F3415="NEW",IF(ISNA(VLOOKUP(E3415,#REF!,1,FALSE())),"?TYPE_IDENTIFIABLE","?REFERENTIAL"),"_")))))</f>
        <v/>
      </c>
      <c r="H3415" s="23" t="str">
        <f t="shared" ca="1" si="365"/>
        <v/>
      </c>
      <c r="I3415" s="24" t="str">
        <f>IF(OR(E3415="",E3415="!!!",F3415="NEW"),"",INDEX(B$2:B3414,-1+SUMPRODUCT(MAX(ROW(E$2:E3414)*(E3415=E$2:E3414)))))</f>
        <v/>
      </c>
      <c r="J3415" s="24" t="str">
        <f ca="1">IF(OR(E3415="",E3415="!!!",F3415="NEW"),"",COUNTBLANK(OFFSET(A$1,,,SUMPRODUCT(MAX(ROW(E$2:E3415)*(E3415=E$2:E3415)))))-COUNTBLANK(OFFSET(A$1,,,SUMPRODUCT(MAX(ROW(E$1:E3414)*(E2=E$1:E3414))))))</f>
        <v/>
      </c>
      <c r="K3415" s="24" t="str">
        <f>IF(OR(E3415="",E3415="!!!",F3415="NEW"),"",INDEX(J$1:J3414,SUMPRODUCT(MAX(ROW(E$1:E3414)*(E3415=E$1:E3414)))))</f>
        <v/>
      </c>
      <c r="L3415" s="25"/>
    </row>
    <row r="3416" spans="1:12" x14ac:dyDescent="0.2">
      <c r="A3416" t="s">
        <v>1090</v>
      </c>
      <c r="E3416" s="20" t="str">
        <f t="shared" si="364"/>
        <v/>
      </c>
      <c r="F3416" s="21" t="str">
        <f>IF(OR(E3416="",E3416="!!!"),"",IF(NOT(ISNA(VLOOKUP(E3416,E$1:E3415,1,FALSE()))),"OLD",IF(AND(E3416&lt;&gt;"",E3416&lt;&gt;"!!!"),"NEW","")))</f>
        <v/>
      </c>
      <c r="G3416" s="22" t="str">
        <f>IF(OR(E3416="",E3416="!!!"),"",IF(OR(J3416=0,AND(J3416=1,K3416=1),AND(J3416=1,I3416="SBJ"),AND(J3416=1,I3416=0)),"?IN_FOCUS",IF(J3416&lt;=2,"?ACTIVATED",IF(J3416&lt;&gt;"","?FAMILIAR",IF(F3416="NEW",IF(ISNA(VLOOKUP(E3416,#REF!,1,FALSE())),"?TYPE_IDENTIFIABLE","?REFERENTIAL"),"_")))))</f>
        <v/>
      </c>
      <c r="H3416" s="23" t="str">
        <f t="shared" ca="1" si="365"/>
        <v/>
      </c>
      <c r="I3416" s="24" t="str">
        <f>IF(OR(E3416="",E3416="!!!",F3416="NEW"),"",INDEX(B$2:B3415,-1+SUMPRODUCT(MAX(ROW(E$2:E3415)*(E3416=E$2:E3415)))))</f>
        <v/>
      </c>
      <c r="J3416" s="24" t="str">
        <f ca="1">IF(OR(E3416="",E3416="!!!",F3416="NEW"),"",COUNTBLANK(OFFSET(A$1,,,SUMPRODUCT(MAX(ROW(E$2:E3416)*(E3416=E$2:E3416)))))-COUNTBLANK(OFFSET(A$1,,,SUMPRODUCT(MAX(ROW(E$1:E3415)*(E2=E$1:E3415))))))</f>
        <v/>
      </c>
      <c r="K3416" s="24" t="str">
        <f>IF(OR(E3416="",E3416="!!!",F3416="NEW"),"",INDEX(J$1:J3415,SUMPRODUCT(MAX(ROW(E$1:E3415)*(E3416=E$1:E3415)))))</f>
        <v/>
      </c>
      <c r="L3416" s="25"/>
    </row>
    <row r="3417" spans="1:12" x14ac:dyDescent="0.2">
      <c r="A3417" t="s">
        <v>821</v>
      </c>
      <c r="E3417" s="20" t="str">
        <f t="shared" si="364"/>
        <v/>
      </c>
      <c r="F3417" s="21" t="str">
        <f>IF(OR(E3417="",E3417="!!!"),"",IF(NOT(ISNA(VLOOKUP(E3417,E$1:E3416,1,FALSE()))),"OLD",IF(AND(E3417&lt;&gt;"",E3417&lt;&gt;"!!!"),"NEW","")))</f>
        <v/>
      </c>
      <c r="G3417" s="22" t="str">
        <f>IF(OR(E3417="",E3417="!!!"),"",IF(OR(J3417=0,AND(J3417=1,K3417=1),AND(J3417=1,I3417="SBJ"),AND(J3417=1,I3417=0)),"?IN_FOCUS",IF(J3417&lt;=2,"?ACTIVATED",IF(J3417&lt;&gt;"","?FAMILIAR",IF(F3417="NEW",IF(ISNA(VLOOKUP(E3417,#REF!,1,FALSE())),"?TYPE_IDENTIFIABLE","?REFERENTIAL"),"_")))))</f>
        <v/>
      </c>
      <c r="H3417" s="23" t="str">
        <f t="shared" ca="1" si="365"/>
        <v/>
      </c>
      <c r="I3417" s="24" t="str">
        <f>IF(OR(E3417="",E3417="!!!",F3417="NEW"),"",INDEX(B$2:B3416,-1+SUMPRODUCT(MAX(ROW(E$2:E3416)*(E3417=E$2:E3416)))))</f>
        <v/>
      </c>
      <c r="J3417" s="24" t="str">
        <f ca="1">IF(OR(E3417="",E3417="!!!",F3417="NEW"),"",COUNTBLANK(OFFSET(A$1,,,SUMPRODUCT(MAX(ROW(E$2:E3417)*(E3417=E$2:E3417)))))-COUNTBLANK(OFFSET(A$1,,,SUMPRODUCT(MAX(ROW(E$1:E3416)*(E2=E$1:E3416))))))</f>
        <v/>
      </c>
      <c r="K3417" s="24" t="str">
        <f>IF(OR(E3417="",E3417="!!!",F3417="NEW"),"",INDEX(J$1:J3416,SUMPRODUCT(MAX(ROW(E$1:E3416)*(E3417=E$1:E3416)))))</f>
        <v/>
      </c>
      <c r="L3417" s="25"/>
    </row>
    <row r="3419" spans="1:12" x14ac:dyDescent="0.2">
      <c r="A3419" t="s">
        <v>1743</v>
      </c>
    </row>
    <row r="3420" spans="1:12" x14ac:dyDescent="0.2">
      <c r="A3420" t="s">
        <v>1034</v>
      </c>
      <c r="E3420" s="20" t="str">
        <f t="shared" ref="E3420:E3440" si="366">IF(D3420="?OLD","!!!","")</f>
        <v/>
      </c>
      <c r="F3420" s="21" t="str">
        <f>IF(OR(E3420="",E3420="!!!"),"",IF(NOT(ISNA(VLOOKUP(E3420,E$1:E3419,1,FALSE()))),"OLD",IF(AND(E3420&lt;&gt;"",E3420&lt;&gt;"!!!"),"NEW","")))</f>
        <v/>
      </c>
      <c r="G3420" s="22" t="str">
        <f>IF(OR(E3420="",E3420="!!!"),"",IF(OR(J3420=0,AND(J3420=1,K3420=1),AND(J3420=1,I3420="SBJ"),AND(J3420=1,I3420=0)),"?IN_FOCUS",IF(J3420&lt;=2,"?ACTIVATED",IF(J3420&lt;&gt;"","?FAMILIAR",IF(F3420="NEW",IF(ISNA(VLOOKUP(E3420,#REF!,1,FALSE())),"?TYPE_IDENTIFIABLE","?REFERENTIAL"),"_")))))</f>
        <v/>
      </c>
      <c r="H3420" s="23" t="str">
        <f t="shared" ref="H3420:H3440" ca="1" si="367">IF(J3420&lt;&gt;1,"",IF(I3420="SBJ","CB","?"))</f>
        <v/>
      </c>
      <c r="I3420" s="24" t="str">
        <f>IF(OR(E3420="",E3420="!!!",F3420="NEW"),"",INDEX(B$2:B3419,-1+SUMPRODUCT(MAX(ROW(E$2:E3419)*(E3420=E$2:E3419)))))</f>
        <v/>
      </c>
      <c r="J3420" s="24" t="str">
        <f ca="1">IF(OR(E3420="",E3420="!!!",F3420="NEW"),"",COUNTBLANK(OFFSET(A$1,,,SUMPRODUCT(MAX(ROW(E$2:E3420)*(E3420=E$2:E3420)))))-COUNTBLANK(OFFSET(A$1,,,SUMPRODUCT(MAX(ROW(E$1:E3419)*(E2=E$1:E3419))))))</f>
        <v/>
      </c>
      <c r="K3420" s="24" t="str">
        <f>IF(OR(E3420="",E3420="!!!",F3420="NEW"),"",INDEX(J$1:J3419,SUMPRODUCT(MAX(ROW(E$1:E3419)*(E3420=E$1:E3419)))))</f>
        <v/>
      </c>
      <c r="L3420" s="25"/>
    </row>
    <row r="3421" spans="1:12" x14ac:dyDescent="0.2">
      <c r="A3421" t="s">
        <v>890</v>
      </c>
      <c r="E3421" s="20" t="str">
        <f t="shared" si="366"/>
        <v/>
      </c>
      <c r="F3421" s="21" t="str">
        <f>IF(OR(E3421="",E3421="!!!"),"",IF(NOT(ISNA(VLOOKUP(E3421,E$1:E3420,1,FALSE()))),"OLD",IF(AND(E3421&lt;&gt;"",E3421&lt;&gt;"!!!"),"NEW","")))</f>
        <v/>
      </c>
      <c r="G3421" s="22" t="str">
        <f>IF(OR(E3421="",E3421="!!!"),"",IF(OR(J3421=0,AND(J3421=1,K3421=1),AND(J3421=1,I3421="SBJ"),AND(J3421=1,I3421=0)),"?IN_FOCUS",IF(J3421&lt;=2,"?ACTIVATED",IF(J3421&lt;&gt;"","?FAMILIAR",IF(F3421="NEW",IF(ISNA(VLOOKUP(E3421,#REF!,1,FALSE())),"?TYPE_IDENTIFIABLE","?REFERENTIAL"),"_")))))</f>
        <v/>
      </c>
      <c r="H3421" s="23" t="str">
        <f t="shared" ca="1" si="367"/>
        <v/>
      </c>
      <c r="I3421" s="24" t="str">
        <f>IF(OR(E3421="",E3421="!!!",F3421="NEW"),"",INDEX(B$2:B3420,-1+SUMPRODUCT(MAX(ROW(E$2:E3420)*(E3421=E$2:E3420)))))</f>
        <v/>
      </c>
      <c r="J3421" s="24" t="str">
        <f ca="1">IF(OR(E3421="",E3421="!!!",F3421="NEW"),"",COUNTBLANK(OFFSET(A$1,,,SUMPRODUCT(MAX(ROW(E$2:E3421)*(E3421=E$2:E3421)))))-COUNTBLANK(OFFSET(A$1,,,SUMPRODUCT(MAX(ROW(E$1:E3420)*(E2=E$1:E3420))))))</f>
        <v/>
      </c>
      <c r="K3421" s="24" t="str">
        <f>IF(OR(E3421="",E3421="!!!",F3421="NEW"),"",INDEX(J$1:J3420,SUMPRODUCT(MAX(ROW(E$1:E3420)*(E3421=E$1:E3420)))))</f>
        <v/>
      </c>
      <c r="L3421" s="25"/>
    </row>
    <row r="3422" spans="1:12" x14ac:dyDescent="0.2">
      <c r="A3422" t="s">
        <v>803</v>
      </c>
      <c r="B3422" s="26" t="s">
        <v>950</v>
      </c>
      <c r="C3422" s="26" t="s">
        <v>805</v>
      </c>
      <c r="D3422" s="26" t="s">
        <v>806</v>
      </c>
      <c r="E3422" s="20" t="s">
        <v>1747</v>
      </c>
      <c r="F3422" s="21" t="s">
        <v>1753</v>
      </c>
      <c r="G3422" s="22" t="s">
        <v>1823</v>
      </c>
      <c r="H3422" s="23" t="str">
        <f t="shared" ca="1" si="367"/>
        <v/>
      </c>
      <c r="I3422" s="24" t="str">
        <f>IF(OR(E3422="",E3422="!!!",F3422="NEW"),"",INDEX(B$2:B3421,-1+SUMPRODUCT(MAX(ROW(E$2:E3421)*(E3422=E$2:E3421)))))</f>
        <v>SBJ</v>
      </c>
      <c r="J3422" s="24">
        <f ca="1">IF(OR(E3422="",E3422="!!!",F3422="NEW"),"",COUNTBLANK(OFFSET(A$1,,,SUMPRODUCT(MAX(ROW(E$2:E3422)*(E3422=E$2:E3422)))))-COUNTBLANK(OFFSET(A$1,,,SUMPRODUCT(MAX(ROW(E$1:E3421)*(E2=E$1:E3421))))))</f>
        <v>0</v>
      </c>
      <c r="K3422" s="24">
        <f ca="1">IF(OR(E3422="",E3422="!!!",F3422="NEW"),"",INDEX(J$1:J3421,SUMPRODUCT(MAX(ROW(E$1:E3421)*(E3422=E$1:E3421)))))</f>
        <v>0</v>
      </c>
      <c r="L3422" s="25"/>
    </row>
    <row r="3423" spans="1:12" x14ac:dyDescent="0.2">
      <c r="A3423" t="s">
        <v>1128</v>
      </c>
      <c r="E3423" s="20" t="str">
        <f t="shared" si="366"/>
        <v/>
      </c>
      <c r="F3423" s="21" t="str">
        <f>IF(OR(E3423="",E3423="!!!"),"",IF(NOT(ISNA(VLOOKUP(E3423,E$1:E3422,1,FALSE()))),"OLD",IF(AND(E3423&lt;&gt;"",E3423&lt;&gt;"!!!"),"NEW","")))</f>
        <v/>
      </c>
      <c r="G3423" s="22" t="str">
        <f>IF(OR(E3423="",E3423="!!!"),"",IF(OR(J3423=0,AND(J3423=1,K3423=1),AND(J3423=1,I3423="SBJ"),AND(J3423=1,I3423=0)),"?IN_FOCUS",IF(J3423&lt;=2,"?ACTIVATED",IF(J3423&lt;&gt;"","?FAMILIAR",IF(F3423="NEW",IF(ISNA(VLOOKUP(E3423,#REF!,1,FALSE())),"?TYPE_IDENTIFIABLE","?REFERENTIAL"),"_")))))</f>
        <v/>
      </c>
      <c r="H3423" s="23" t="str">
        <f t="shared" ca="1" si="367"/>
        <v/>
      </c>
      <c r="I3423" s="24" t="str">
        <f>IF(OR(E3423="",E3423="!!!",F3423="NEW"),"",INDEX(B$2:B3422,-1+SUMPRODUCT(MAX(ROW(E$2:E3422)*(E3423=E$2:E3422)))))</f>
        <v/>
      </c>
      <c r="J3423" s="24" t="str">
        <f ca="1">IF(OR(E3423="",E3423="!!!",F3423="NEW"),"",COUNTBLANK(OFFSET(A$1,,,SUMPRODUCT(MAX(ROW(E$2:E3423)*(E3423=E$2:E3423)))))-COUNTBLANK(OFFSET(A$1,,,SUMPRODUCT(MAX(ROW(E$1:E3422)*(E2=E$1:E3422))))))</f>
        <v/>
      </c>
      <c r="K3423" s="24" t="str">
        <f>IF(OR(E3423="",E3423="!!!",F3423="NEW"),"",INDEX(J$1:J3422,SUMPRODUCT(MAX(ROW(E$1:E3422)*(E3423=E$1:E3422)))))</f>
        <v/>
      </c>
      <c r="L3423" s="25"/>
    </row>
    <row r="3424" spans="1:12" x14ac:dyDescent="0.2">
      <c r="A3424" t="s">
        <v>964</v>
      </c>
      <c r="E3424" s="20" t="str">
        <f t="shared" si="366"/>
        <v/>
      </c>
      <c r="F3424" s="21" t="str">
        <f>IF(OR(E3424="",E3424="!!!"),"",IF(NOT(ISNA(VLOOKUP(E3424,E$1:E3423,1,FALSE()))),"OLD",IF(AND(E3424&lt;&gt;"",E3424&lt;&gt;"!!!"),"NEW","")))</f>
        <v/>
      </c>
      <c r="G3424" s="22" t="str">
        <f>IF(OR(E3424="",E3424="!!!"),"",IF(OR(J3424=0,AND(J3424=1,K3424=1),AND(J3424=1,I3424="SBJ"),AND(J3424=1,I3424=0)),"?IN_FOCUS",IF(J3424&lt;=2,"?ACTIVATED",IF(J3424&lt;&gt;"","?FAMILIAR",IF(F3424="NEW",IF(ISNA(VLOOKUP(E3424,#REF!,1,FALSE())),"?TYPE_IDENTIFIABLE","?REFERENTIAL"),"_")))))</f>
        <v/>
      </c>
      <c r="H3424" s="23" t="str">
        <f t="shared" ca="1" si="367"/>
        <v/>
      </c>
      <c r="I3424" s="24" t="str">
        <f>IF(OR(E3424="",E3424="!!!",F3424="NEW"),"",INDEX(B$2:B3423,-1+SUMPRODUCT(MAX(ROW(E$2:E3423)*(E3424=E$2:E3423)))))</f>
        <v/>
      </c>
      <c r="J3424" s="24" t="str">
        <f ca="1">IF(OR(E3424="",E3424="!!!",F3424="NEW"),"",COUNTBLANK(OFFSET(A$1,,,SUMPRODUCT(MAX(ROW(E$2:E3424)*(E3424=E$2:E3424)))))-COUNTBLANK(OFFSET(A$1,,,SUMPRODUCT(MAX(ROW(E$1:E3423)*(E2=E$1:E3423))))))</f>
        <v/>
      </c>
      <c r="K3424" s="24" t="str">
        <f>IF(OR(E3424="",E3424="!!!",F3424="NEW"),"",INDEX(J$1:J3423,SUMPRODUCT(MAX(ROW(E$1:E3423)*(E3424=E$1:E3423)))))</f>
        <v/>
      </c>
      <c r="L3424" s="25"/>
    </row>
    <row r="3425" spans="1:12" x14ac:dyDescent="0.2">
      <c r="A3425" t="s">
        <v>859</v>
      </c>
      <c r="E3425" s="20" t="str">
        <f t="shared" si="366"/>
        <v/>
      </c>
      <c r="F3425" s="21" t="str">
        <f>IF(OR(E3425="",E3425="!!!"),"",IF(NOT(ISNA(VLOOKUP(E3425,E$1:E3424,1,FALSE()))),"OLD",IF(AND(E3425&lt;&gt;"",E3425&lt;&gt;"!!!"),"NEW","")))</f>
        <v/>
      </c>
      <c r="G3425" s="22" t="str">
        <f>IF(OR(E3425="",E3425="!!!"),"",IF(OR(J3425=0,AND(J3425=1,K3425=1),AND(J3425=1,I3425="SBJ"),AND(J3425=1,I3425=0)),"?IN_FOCUS",IF(J3425&lt;=2,"?ACTIVATED",IF(J3425&lt;&gt;"","?FAMILIAR",IF(F3425="NEW",IF(ISNA(VLOOKUP(E3425,#REF!,1,FALSE())),"?TYPE_IDENTIFIABLE","?REFERENTIAL"),"_")))))</f>
        <v/>
      </c>
      <c r="H3425" s="23" t="str">
        <f t="shared" ca="1" si="367"/>
        <v/>
      </c>
      <c r="I3425" s="24" t="str">
        <f>IF(OR(E3425="",E3425="!!!",F3425="NEW"),"",INDEX(B$2:B3424,-1+SUMPRODUCT(MAX(ROW(E$2:E3424)*(E3425=E$2:E3424)))))</f>
        <v/>
      </c>
      <c r="J3425" s="24" t="str">
        <f ca="1">IF(OR(E3425="",E3425="!!!",F3425="NEW"),"",COUNTBLANK(OFFSET(A$1,,,SUMPRODUCT(MAX(ROW(E$2:E3425)*(E3425=E$2:E3425)))))-COUNTBLANK(OFFSET(A$1,,,SUMPRODUCT(MAX(ROW(E$1:E3424)*(E2=E$1:E3424))))))</f>
        <v/>
      </c>
      <c r="K3425" s="24" t="str">
        <f>IF(OR(E3425="",E3425="!!!",F3425="NEW"),"",INDEX(J$1:J3424,SUMPRODUCT(MAX(ROW(E$1:E3424)*(E3425=E$1:E3424)))))</f>
        <v/>
      </c>
      <c r="L3425" s="25"/>
    </row>
    <row r="3426" spans="1:12" x14ac:dyDescent="0.2">
      <c r="A3426" t="s">
        <v>78</v>
      </c>
      <c r="E3426" s="20" t="str">
        <f t="shared" si="366"/>
        <v/>
      </c>
      <c r="F3426" s="21" t="str">
        <f>IF(OR(E3426="",E3426="!!!"),"",IF(NOT(ISNA(VLOOKUP(E3426,E$1:E3425,1,FALSE()))),"OLD",IF(AND(E3426&lt;&gt;"",E3426&lt;&gt;"!!!"),"NEW","")))</f>
        <v/>
      </c>
      <c r="G3426" s="22" t="str">
        <f>IF(OR(E3426="",E3426="!!!"),"",IF(OR(J3426=0,AND(J3426=1,K3426=1),AND(J3426=1,I3426="SBJ"),AND(J3426=1,I3426=0)),"?IN_FOCUS",IF(J3426&lt;=2,"?ACTIVATED",IF(J3426&lt;&gt;"","?FAMILIAR",IF(F3426="NEW",IF(ISNA(VLOOKUP(E3426,#REF!,1,FALSE())),"?TYPE_IDENTIFIABLE","?REFERENTIAL"),"_")))))</f>
        <v/>
      </c>
      <c r="H3426" s="23" t="str">
        <f t="shared" ca="1" si="367"/>
        <v/>
      </c>
      <c r="I3426" s="24" t="str">
        <f>IF(OR(E3426="",E3426="!!!",F3426="NEW"),"",INDEX(B$2:B3425,-1+SUMPRODUCT(MAX(ROW(E$2:E3425)*(E3426=E$2:E3425)))))</f>
        <v/>
      </c>
      <c r="J3426" s="24" t="str">
        <f ca="1">IF(OR(E3426="",E3426="!!!",F3426="NEW"),"",COUNTBLANK(OFFSET(A$1,,,SUMPRODUCT(MAX(ROW(E$2:E3426)*(E3426=E$2:E3426)))))-COUNTBLANK(OFFSET(A$1,,,SUMPRODUCT(MAX(ROW(E$1:E3425)*(E2=E$1:E3425))))))</f>
        <v/>
      </c>
      <c r="K3426" s="24" t="str">
        <f>IF(OR(E3426="",E3426="!!!",F3426="NEW"),"",INDEX(J$1:J3425,SUMPRODUCT(MAX(ROW(E$1:E3425)*(E3426=E$1:E3425)))))</f>
        <v/>
      </c>
      <c r="L3426" s="25"/>
    </row>
    <row r="3427" spans="1:12" x14ac:dyDescent="0.2">
      <c r="A3427" t="s">
        <v>1360</v>
      </c>
      <c r="E3427" s="20" t="str">
        <f t="shared" si="366"/>
        <v/>
      </c>
      <c r="F3427" s="21" t="str">
        <f>IF(OR(E3427="",E3427="!!!"),"",IF(NOT(ISNA(VLOOKUP(E3427,E$1:E3426,1,FALSE()))),"OLD",IF(AND(E3427&lt;&gt;"",E3427&lt;&gt;"!!!"),"NEW","")))</f>
        <v/>
      </c>
      <c r="G3427" s="22" t="str">
        <f>IF(OR(E3427="",E3427="!!!"),"",IF(OR(J3427=0,AND(J3427=1,K3427=1),AND(J3427=1,I3427="SBJ"),AND(J3427=1,I3427=0)),"?IN_FOCUS",IF(J3427&lt;=2,"?ACTIVATED",IF(J3427&lt;&gt;"","?FAMILIAR",IF(F3427="NEW",IF(ISNA(VLOOKUP(E3427,#REF!,1,FALSE())),"?TYPE_IDENTIFIABLE","?REFERENTIAL"),"_")))))</f>
        <v/>
      </c>
      <c r="H3427" s="23" t="str">
        <f t="shared" ca="1" si="367"/>
        <v/>
      </c>
      <c r="I3427" s="24" t="str">
        <f>IF(OR(E3427="",E3427="!!!",F3427="NEW"),"",INDEX(B$2:B3426,-1+SUMPRODUCT(MAX(ROW(E$2:E3426)*(E3427=E$2:E3426)))))</f>
        <v/>
      </c>
      <c r="J3427" s="24" t="str">
        <f ca="1">IF(OR(E3427="",E3427="!!!",F3427="NEW"),"",COUNTBLANK(OFFSET(A$1,,,SUMPRODUCT(MAX(ROW(E$2:E3427)*(E3427=E$2:E3427)))))-COUNTBLANK(OFFSET(A$1,,,SUMPRODUCT(MAX(ROW(E$1:E3426)*(E2=E$1:E3426))))))</f>
        <v/>
      </c>
      <c r="K3427" s="24" t="str">
        <f>IF(OR(E3427="",E3427="!!!",F3427="NEW"),"",INDEX(J$1:J3426,SUMPRODUCT(MAX(ROW(E$1:E3426)*(E3427=E$1:E3426)))))</f>
        <v/>
      </c>
      <c r="L3427" s="25"/>
    </row>
    <row r="3428" spans="1:12" x14ac:dyDescent="0.2">
      <c r="A3428" t="s">
        <v>1642</v>
      </c>
      <c r="E3428" s="20" t="str">
        <f t="shared" si="366"/>
        <v/>
      </c>
      <c r="F3428" s="21" t="str">
        <f>IF(OR(E3428="",E3428="!!!"),"",IF(NOT(ISNA(VLOOKUP(E3428,E$1:E3427,1,FALSE()))),"OLD",IF(AND(E3428&lt;&gt;"",E3428&lt;&gt;"!!!"),"NEW","")))</f>
        <v/>
      </c>
      <c r="G3428" s="22" t="str">
        <f>IF(OR(E3428="",E3428="!!!"),"",IF(OR(J3428=0,AND(J3428=1,K3428=1),AND(J3428=1,I3428="SBJ"),AND(J3428=1,I3428=0)),"?IN_FOCUS",IF(J3428&lt;=2,"?ACTIVATED",IF(J3428&lt;&gt;"","?FAMILIAR",IF(F3428="NEW",IF(ISNA(VLOOKUP(E3428,#REF!,1,FALSE())),"?TYPE_IDENTIFIABLE","?REFERENTIAL"),"_")))))</f>
        <v/>
      </c>
      <c r="H3428" s="23" t="str">
        <f t="shared" ca="1" si="367"/>
        <v/>
      </c>
      <c r="I3428" s="24" t="str">
        <f>IF(OR(E3428="",E3428="!!!",F3428="NEW"),"",INDEX(B$2:B3427,-1+SUMPRODUCT(MAX(ROW(E$2:E3427)*(E3428=E$2:E3427)))))</f>
        <v/>
      </c>
      <c r="J3428" s="24" t="str">
        <f ca="1">IF(OR(E3428="",E3428="!!!",F3428="NEW"),"",COUNTBLANK(OFFSET(A$1,,,SUMPRODUCT(MAX(ROW(E$2:E3428)*(E3428=E$2:E3428)))))-COUNTBLANK(OFFSET(A$1,,,SUMPRODUCT(MAX(ROW(E$1:E3427)*(E2=E$1:E3427))))))</f>
        <v/>
      </c>
      <c r="K3428" s="24" t="str">
        <f>IF(OR(E3428="",E3428="!!!",F3428="NEW"),"",INDEX(J$1:J3427,SUMPRODUCT(MAX(ROW(E$1:E3427)*(E3428=E$1:E3427)))))</f>
        <v/>
      </c>
      <c r="L3428" s="25"/>
    </row>
    <row r="3429" spans="1:12" x14ac:dyDescent="0.2">
      <c r="A3429" t="s">
        <v>802</v>
      </c>
      <c r="E3429" s="20" t="str">
        <f t="shared" si="366"/>
        <v/>
      </c>
      <c r="F3429" s="21" t="str">
        <f>IF(OR(E3429="",E3429="!!!"),"",IF(NOT(ISNA(VLOOKUP(E3429,E$1:E3428,1,FALSE()))),"OLD",IF(AND(E3429&lt;&gt;"",E3429&lt;&gt;"!!!"),"NEW","")))</f>
        <v/>
      </c>
      <c r="G3429" s="22" t="str">
        <f>IF(OR(E3429="",E3429="!!!"),"",IF(OR(J3429=0,AND(J3429=1,K3429=1),AND(J3429=1,I3429="SBJ"),AND(J3429=1,I3429=0)),"?IN_FOCUS",IF(J3429&lt;=2,"?ACTIVATED",IF(J3429&lt;&gt;"","?FAMILIAR",IF(F3429="NEW",IF(ISNA(VLOOKUP(E3429,#REF!,1,FALSE())),"?TYPE_IDENTIFIABLE","?REFERENTIAL"),"_")))))</f>
        <v/>
      </c>
      <c r="H3429" s="23" t="str">
        <f t="shared" ca="1" si="367"/>
        <v/>
      </c>
      <c r="I3429" s="24" t="str">
        <f>IF(OR(E3429="",E3429="!!!",F3429="NEW"),"",INDEX(B$2:B3428,-1+SUMPRODUCT(MAX(ROW(E$2:E3428)*(E3429=E$2:E3428)))))</f>
        <v/>
      </c>
      <c r="J3429" s="24" t="str">
        <f ca="1">IF(OR(E3429="",E3429="!!!",F3429="NEW"),"",COUNTBLANK(OFFSET(A$1,,,SUMPRODUCT(MAX(ROW(E$2:E3429)*(E3429=E$2:E3429)))))-COUNTBLANK(OFFSET(A$1,,,SUMPRODUCT(MAX(ROW(E$1:E3428)*(E2=E$1:E3428))))))</f>
        <v/>
      </c>
      <c r="K3429" s="24" t="str">
        <f>IF(OR(E3429="",E3429="!!!",F3429="NEW"),"",INDEX(J$1:J3428,SUMPRODUCT(MAX(ROW(E$1:E3428)*(E3429=E$1:E3428)))))</f>
        <v/>
      </c>
      <c r="L3429" s="25"/>
    </row>
    <row r="3430" spans="1:12" x14ac:dyDescent="0.2">
      <c r="A3430" t="s">
        <v>949</v>
      </c>
      <c r="B3430" s="26" t="s">
        <v>804</v>
      </c>
      <c r="C3430" s="26" t="s">
        <v>805</v>
      </c>
      <c r="D3430" s="26" t="s">
        <v>806</v>
      </c>
      <c r="E3430" s="20" t="s">
        <v>1816</v>
      </c>
      <c r="F3430" s="21" t="str">
        <f>IF(OR(E3430="",E3430="!!!"),"",IF(NOT(ISNA(VLOOKUP(E3430,E$1:E3429,1,FALSE()))),"OLD",IF(AND(E3430&lt;&gt;"",E3430&lt;&gt;"!!!"),"NEW","")))</f>
        <v>OLD</v>
      </c>
      <c r="G3430" s="22" t="s">
        <v>1822</v>
      </c>
      <c r="H3430" s="23" t="str">
        <f t="shared" ca="1" si="367"/>
        <v/>
      </c>
      <c r="I3430" s="24" t="str">
        <f>IF(OR(E3430="",E3430="!!!",F3430="NEW"),"",INDEX(B$2:B3429,-1+SUMPRODUCT(MAX(ROW(E$2:E3429)*(E3430=E$2:E3429)))))</f>
        <v>other</v>
      </c>
      <c r="J3430" s="24">
        <f ca="1">IF(OR(E3430="",E3430="!!!",F3430="NEW"),"",COUNTBLANK(OFFSET(A$1,,,SUMPRODUCT(MAX(ROW(E$2:E3430)*(E3430=E$2:E3430)))))-COUNTBLANK(OFFSET(A$1,,,SUMPRODUCT(MAX(ROW(E$1:E3429)*(E2=E$1:E3429))))))</f>
        <v>0</v>
      </c>
      <c r="K3430" s="24">
        <f ca="1">IF(OR(E3430="",E3430="!!!",F3430="NEW"),"",INDEX(J$1:J3429,SUMPRODUCT(MAX(ROW(E$1:E3429)*(E3430=E$1:E3429)))))</f>
        <v>0</v>
      </c>
      <c r="L3430" s="25"/>
    </row>
    <row r="3431" spans="1:12" x14ac:dyDescent="0.2">
      <c r="A3431" t="s">
        <v>977</v>
      </c>
      <c r="E3431" s="20" t="str">
        <f t="shared" si="366"/>
        <v/>
      </c>
      <c r="F3431" s="21" t="str">
        <f>IF(OR(E3431="",E3431="!!!"),"",IF(NOT(ISNA(VLOOKUP(E3431,E$1:E3430,1,FALSE()))),"OLD",IF(AND(E3431&lt;&gt;"",E3431&lt;&gt;"!!!"),"NEW","")))</f>
        <v/>
      </c>
      <c r="G3431" s="22" t="str">
        <f>IF(OR(E3431="",E3431="!!!"),"",IF(OR(J3431=0,AND(J3431=1,K3431=1),AND(J3431=1,I3431="SBJ"),AND(J3431=1,I3431=0)),"?IN_FOCUS",IF(J3431&lt;=2,"?ACTIVATED",IF(J3431&lt;&gt;"","?FAMILIAR",IF(F3431="NEW",IF(ISNA(VLOOKUP(E3431,#REF!,1,FALSE())),"?TYPE_IDENTIFIABLE","?REFERENTIAL"),"_")))))</f>
        <v/>
      </c>
      <c r="H3431" s="23" t="str">
        <f t="shared" ca="1" si="367"/>
        <v/>
      </c>
      <c r="I3431" s="24" t="str">
        <f>IF(OR(E3431="",E3431="!!!",F3431="NEW"),"",INDEX(B$2:B3430,-1+SUMPRODUCT(MAX(ROW(E$2:E3430)*(E3431=E$2:E3430)))))</f>
        <v/>
      </c>
      <c r="J3431" s="24" t="str">
        <f ca="1">IF(OR(E3431="",E3431="!!!",F3431="NEW"),"",COUNTBLANK(OFFSET(A$1,,,SUMPRODUCT(MAX(ROW(E$2:E3431)*(E3431=E$2:E3431)))))-COUNTBLANK(OFFSET(A$1,,,SUMPRODUCT(MAX(ROW(E$1:E3430)*(E2=E$1:E3430))))))</f>
        <v/>
      </c>
      <c r="K3431" s="24" t="str">
        <f>IF(OR(E3431="",E3431="!!!",F3431="NEW"),"",INDEX(J$1:J3430,SUMPRODUCT(MAX(ROW(E$1:E3430)*(E3431=E$1:E3430)))))</f>
        <v/>
      </c>
      <c r="L3431" s="25"/>
    </row>
    <row r="3432" spans="1:12" x14ac:dyDescent="0.2">
      <c r="A3432" t="s">
        <v>809</v>
      </c>
      <c r="E3432" s="20" t="str">
        <f t="shared" si="366"/>
        <v/>
      </c>
      <c r="F3432" s="21" t="str">
        <f>IF(OR(E3432="",E3432="!!!"),"",IF(NOT(ISNA(VLOOKUP(E3432,E$1:E3431,1,FALSE()))),"OLD",IF(AND(E3432&lt;&gt;"",E3432&lt;&gt;"!!!"),"NEW","")))</f>
        <v/>
      </c>
      <c r="G3432" s="22" t="str">
        <f>IF(OR(E3432="",E3432="!!!"),"",IF(OR(J3432=0,AND(J3432=1,K3432=1),AND(J3432=1,I3432="SBJ"),AND(J3432=1,I3432=0)),"?IN_FOCUS",IF(J3432&lt;=2,"?ACTIVATED",IF(J3432&lt;&gt;"","?FAMILIAR",IF(F3432="NEW",IF(ISNA(VLOOKUP(E3432,#REF!,1,FALSE())),"?TYPE_IDENTIFIABLE","?REFERENTIAL"),"_")))))</f>
        <v/>
      </c>
      <c r="H3432" s="23" t="str">
        <f t="shared" ca="1" si="367"/>
        <v/>
      </c>
      <c r="I3432" s="24" t="str">
        <f>IF(OR(E3432="",E3432="!!!",F3432="NEW"),"",INDEX(B$2:B3431,-1+SUMPRODUCT(MAX(ROW(E$2:E3431)*(E3432=E$2:E3431)))))</f>
        <v/>
      </c>
      <c r="J3432" s="24" t="str">
        <f ca="1">IF(OR(E3432="",E3432="!!!",F3432="NEW"),"",COUNTBLANK(OFFSET(A$1,,,SUMPRODUCT(MAX(ROW(E$2:E3432)*(E3432=E$2:E3432)))))-COUNTBLANK(OFFSET(A$1,,,SUMPRODUCT(MAX(ROW(E$1:E3431)*(E2=E$1:E3431))))))</f>
        <v/>
      </c>
      <c r="K3432" s="24" t="str">
        <f>IF(OR(E3432="",E3432="!!!",F3432="NEW"),"",INDEX(J$1:J3431,SUMPRODUCT(MAX(ROW(E$1:E3431)*(E3432=E$1:E3431)))))</f>
        <v/>
      </c>
      <c r="L3432" s="25"/>
    </row>
    <row r="3433" spans="1:12" x14ac:dyDescent="0.2">
      <c r="A3433" t="s">
        <v>745</v>
      </c>
      <c r="E3433" s="20" t="str">
        <f t="shared" si="366"/>
        <v/>
      </c>
      <c r="F3433" s="21" t="str">
        <f>IF(OR(E3433="",E3433="!!!"),"",IF(NOT(ISNA(VLOOKUP(E3433,E$1:E3432,1,FALSE()))),"OLD",IF(AND(E3433&lt;&gt;"",E3433&lt;&gt;"!!!"),"NEW","")))</f>
        <v/>
      </c>
      <c r="G3433" s="22" t="str">
        <f>IF(OR(E3433="",E3433="!!!"),"",IF(OR(J3433=0,AND(J3433=1,K3433=1),AND(J3433=1,I3433="SBJ"),AND(J3433=1,I3433=0)),"?IN_FOCUS",IF(J3433&lt;=2,"?ACTIVATED",IF(J3433&lt;&gt;"","?FAMILIAR",IF(F3433="NEW",IF(ISNA(VLOOKUP(E3433,#REF!,1,FALSE())),"?TYPE_IDENTIFIABLE","?REFERENTIAL"),"_")))))</f>
        <v/>
      </c>
      <c r="H3433" s="23" t="str">
        <f t="shared" ca="1" si="367"/>
        <v/>
      </c>
      <c r="I3433" s="24" t="str">
        <f>IF(OR(E3433="",E3433="!!!",F3433="NEW"),"",INDEX(B$2:B3432,-1+SUMPRODUCT(MAX(ROW(E$2:E3432)*(E3433=E$2:E3432)))))</f>
        <v/>
      </c>
      <c r="J3433" s="24" t="str">
        <f ca="1">IF(OR(E3433="",E3433="!!!",F3433="NEW"),"",COUNTBLANK(OFFSET(A$1,,,SUMPRODUCT(MAX(ROW(E$2:E3433)*(E3433=E$2:E3433)))))-COUNTBLANK(OFFSET(A$1,,,SUMPRODUCT(MAX(ROW(E$1:E3432)*(E2=E$1:E3432))))))</f>
        <v/>
      </c>
      <c r="K3433" s="24" t="str">
        <f>IF(OR(E3433="",E3433="!!!",F3433="NEW"),"",INDEX(J$1:J3432,SUMPRODUCT(MAX(ROW(E$1:E3432)*(E3433=E$1:E3432)))))</f>
        <v/>
      </c>
      <c r="L3433" s="25"/>
    </row>
    <row r="3434" spans="1:12" x14ac:dyDescent="0.2">
      <c r="A3434" t="s">
        <v>1175</v>
      </c>
      <c r="B3434" s="26" t="s">
        <v>819</v>
      </c>
      <c r="C3434" s="26" t="s">
        <v>811</v>
      </c>
      <c r="E3434" s="20" t="str">
        <f t="shared" si="366"/>
        <v/>
      </c>
      <c r="F3434" s="21" t="str">
        <f>IF(OR(E3434="",E3434="!!!"),"",IF(NOT(ISNA(VLOOKUP(E3434,E$1:E3433,1,FALSE()))),"OLD",IF(AND(E3434&lt;&gt;"",E3434&lt;&gt;"!!!"),"NEW","")))</f>
        <v/>
      </c>
      <c r="G3434" s="22" t="str">
        <f>IF(OR(E3434="",E3434="!!!"),"",IF(OR(J3434=0,AND(J3434=1,K3434=1),AND(J3434=1,I3434="SBJ"),AND(J3434=1,I3434=0)),"?IN_FOCUS",IF(J3434&lt;=2,"?ACTIVATED",IF(J3434&lt;&gt;"","?FAMILIAR",IF(F3434="NEW",IF(ISNA(VLOOKUP(E3434,#REF!,1,FALSE())),"?TYPE_IDENTIFIABLE","?REFERENTIAL"),"_")))))</f>
        <v/>
      </c>
      <c r="H3434" s="23" t="str">
        <f t="shared" ca="1" si="367"/>
        <v/>
      </c>
      <c r="I3434" s="24" t="str">
        <f>IF(OR(E3434="",E3434="!!!",F3434="NEW"),"",INDEX(B$2:B3433,-1+SUMPRODUCT(MAX(ROW(E$2:E3433)*(E3434=E$2:E3433)))))</f>
        <v/>
      </c>
      <c r="J3434" s="24" t="str">
        <f ca="1">IF(OR(E3434="",E3434="!!!",F3434="NEW"),"",COUNTBLANK(OFFSET(A$1,,,SUMPRODUCT(MAX(ROW(E$2:E3434)*(E3434=E$2:E3434)))))-COUNTBLANK(OFFSET(A$1,,,SUMPRODUCT(MAX(ROW(E$1:E3433)*(E2=E$1:E3433))))))</f>
        <v/>
      </c>
      <c r="K3434" s="24" t="str">
        <f>IF(OR(E3434="",E3434="!!!",F3434="NEW"),"",INDEX(J$1:J3433,SUMPRODUCT(MAX(ROW(E$1:E3433)*(E3434=E$1:E3433)))))</f>
        <v/>
      </c>
      <c r="L3434" s="25"/>
    </row>
    <row r="3435" spans="1:12" x14ac:dyDescent="0.2">
      <c r="A3435" t="s">
        <v>1449</v>
      </c>
      <c r="E3435" s="20" t="str">
        <f t="shared" si="366"/>
        <v/>
      </c>
      <c r="F3435" s="21" t="str">
        <f>IF(OR(E3435="",E3435="!!!"),"",IF(NOT(ISNA(VLOOKUP(E3435,E$1:E3434,1,FALSE()))),"OLD",IF(AND(E3435&lt;&gt;"",E3435&lt;&gt;"!!!"),"NEW","")))</f>
        <v/>
      </c>
      <c r="G3435" s="22" t="str">
        <f>IF(OR(E3435="",E3435="!!!"),"",IF(OR(J3435=0,AND(J3435=1,K3435=1),AND(J3435=1,I3435="SBJ"),AND(J3435=1,I3435=0)),"?IN_FOCUS",IF(J3435&lt;=2,"?ACTIVATED",IF(J3435&lt;&gt;"","?FAMILIAR",IF(F3435="NEW",IF(ISNA(VLOOKUP(E3435,#REF!,1,FALSE())),"?TYPE_IDENTIFIABLE","?REFERENTIAL"),"_")))))</f>
        <v/>
      </c>
      <c r="H3435" s="23" t="str">
        <f t="shared" ca="1" si="367"/>
        <v/>
      </c>
      <c r="I3435" s="24" t="str">
        <f>IF(OR(E3435="",E3435="!!!",F3435="NEW"),"",INDEX(B$2:B3434,-1+SUMPRODUCT(MAX(ROW(E$2:E3434)*(E3435=E$2:E3434)))))</f>
        <v/>
      </c>
      <c r="J3435" s="24" t="str">
        <f ca="1">IF(OR(E3435="",E3435="!!!",F3435="NEW"),"",COUNTBLANK(OFFSET(A$1,,,SUMPRODUCT(MAX(ROW(E$2:E3435)*(E3435=E$2:E3435)))))-COUNTBLANK(OFFSET(A$1,,,SUMPRODUCT(MAX(ROW(E$1:E3434)*(E2=E$1:E3434))))))</f>
        <v/>
      </c>
      <c r="K3435" s="24" t="str">
        <f>IF(OR(E3435="",E3435="!!!",F3435="NEW"),"",INDEX(J$1:J3434,SUMPRODUCT(MAX(ROW(E$1:E3434)*(E3435=E$1:E3434)))))</f>
        <v/>
      </c>
      <c r="L3435" s="25"/>
    </row>
    <row r="3436" spans="1:12" x14ac:dyDescent="0.2">
      <c r="A3436" t="s">
        <v>803</v>
      </c>
      <c r="B3436" s="26" t="s">
        <v>950</v>
      </c>
      <c r="C3436" s="26" t="s">
        <v>805</v>
      </c>
      <c r="D3436" s="26" t="s">
        <v>806</v>
      </c>
      <c r="E3436" s="20" t="s">
        <v>1747</v>
      </c>
      <c r="F3436" s="21" t="s">
        <v>1753</v>
      </c>
      <c r="G3436" s="22" t="s">
        <v>1823</v>
      </c>
      <c r="H3436" s="23" t="str">
        <f t="shared" ca="1" si="367"/>
        <v/>
      </c>
      <c r="I3436" s="24" t="str">
        <f>IF(OR(E3436="",E3436="!!!",F3436="NEW"),"",INDEX(B$2:B3435,-1+SUMPRODUCT(MAX(ROW(E$2:E3435)*(E3436=E$2:E3435)))))</f>
        <v>SBJ_2</v>
      </c>
      <c r="J3436" s="24">
        <f ca="1">IF(OR(E3436="",E3436="!!!",F3436="NEW"),"",COUNTBLANK(OFFSET(A$1,,,SUMPRODUCT(MAX(ROW(E$2:E3436)*(E3436=E$2:E3436)))))-COUNTBLANK(OFFSET(A$1,,,SUMPRODUCT(MAX(ROW(E$1:E3435)*(E2=E$1:E3435))))))</f>
        <v>0</v>
      </c>
      <c r="K3436" s="24">
        <f ca="1">IF(OR(E3436="",E3436="!!!",F3436="NEW"),"",INDEX(J$1:J3435,SUMPRODUCT(MAX(ROW(E$1:E3435)*(E3436=E$1:E3435)))))</f>
        <v>0</v>
      </c>
      <c r="L3436" s="25"/>
    </row>
    <row r="3437" spans="1:12" x14ac:dyDescent="0.2">
      <c r="A3437" t="s">
        <v>1598</v>
      </c>
      <c r="E3437" s="20" t="str">
        <f t="shared" si="366"/>
        <v/>
      </c>
      <c r="F3437" s="21" t="str">
        <f>IF(OR(E3437="",E3437="!!!"),"",IF(NOT(ISNA(VLOOKUP(E3437,E$1:E3436,1,FALSE()))),"OLD",IF(AND(E3437&lt;&gt;"",E3437&lt;&gt;"!!!"),"NEW","")))</f>
        <v/>
      </c>
      <c r="G3437" s="22" t="str">
        <f>IF(OR(E3437="",E3437="!!!"),"",IF(OR(J3437=0,AND(J3437=1,K3437=1),AND(J3437=1,I3437="SBJ"),AND(J3437=1,I3437=0)),"?IN_FOCUS",IF(J3437&lt;=2,"?ACTIVATED",IF(J3437&lt;&gt;"","?FAMILIAR",IF(F3437="NEW",IF(ISNA(VLOOKUP(E3437,#REF!,1,FALSE())),"?TYPE_IDENTIFIABLE","?REFERENTIAL"),"_")))))</f>
        <v/>
      </c>
      <c r="H3437" s="23" t="str">
        <f t="shared" ca="1" si="367"/>
        <v/>
      </c>
      <c r="I3437" s="24" t="str">
        <f>IF(OR(E3437="",E3437="!!!",F3437="NEW"),"",INDEX(B$2:B3436,-1+SUMPRODUCT(MAX(ROW(E$2:E3436)*(E3437=E$2:E3436)))))</f>
        <v/>
      </c>
      <c r="J3437" s="24" t="str">
        <f ca="1">IF(OR(E3437="",E3437="!!!",F3437="NEW"),"",COUNTBLANK(OFFSET(A$1,,,SUMPRODUCT(MAX(ROW(E$2:E3437)*(E3437=E$2:E3437)))))-COUNTBLANK(OFFSET(A$1,,,SUMPRODUCT(MAX(ROW(E$1:E3436)*(E2=E$1:E3436))))))</f>
        <v/>
      </c>
      <c r="K3437" s="24" t="str">
        <f>IF(OR(E3437="",E3437="!!!",F3437="NEW"),"",INDEX(J$1:J3436,SUMPRODUCT(MAX(ROW(E$1:E3436)*(E3437=E$1:E3436)))))</f>
        <v/>
      </c>
      <c r="L3437" s="25"/>
    </row>
    <row r="3438" spans="1:12" x14ac:dyDescent="0.2">
      <c r="A3438" t="s">
        <v>1411</v>
      </c>
      <c r="E3438" s="20" t="str">
        <f t="shared" si="366"/>
        <v/>
      </c>
      <c r="F3438" s="21" t="str">
        <f>IF(OR(E3438="",E3438="!!!"),"",IF(NOT(ISNA(VLOOKUP(E3438,E$1:E3437,1,FALSE()))),"OLD",IF(AND(E3438&lt;&gt;"",E3438&lt;&gt;"!!!"),"NEW","")))</f>
        <v/>
      </c>
      <c r="G3438" s="22" t="str">
        <f>IF(OR(E3438="",E3438="!!!"),"",IF(OR(J3438=0,AND(J3438=1,K3438=1),AND(J3438=1,I3438="SBJ"),AND(J3438=1,I3438=0)),"?IN_FOCUS",IF(J3438&lt;=2,"?ACTIVATED",IF(J3438&lt;&gt;"","?FAMILIAR",IF(F3438="NEW",IF(ISNA(VLOOKUP(E3438,#REF!,1,FALSE())),"?TYPE_IDENTIFIABLE","?REFERENTIAL"),"_")))))</f>
        <v/>
      </c>
      <c r="H3438" s="23" t="str">
        <f t="shared" ca="1" si="367"/>
        <v/>
      </c>
      <c r="I3438" s="24" t="str">
        <f>IF(OR(E3438="",E3438="!!!",F3438="NEW"),"",INDEX(B$2:B3437,-1+SUMPRODUCT(MAX(ROW(E$2:E3437)*(E3438=E$2:E3437)))))</f>
        <v/>
      </c>
      <c r="J3438" s="24" t="str">
        <f ca="1">IF(OR(E3438="",E3438="!!!",F3438="NEW"),"",COUNTBLANK(OFFSET(A$1,,,SUMPRODUCT(MAX(ROW(E$2:E3438)*(E3438=E$2:E3438)))))-COUNTBLANK(OFFSET(A$1,,,SUMPRODUCT(MAX(ROW(E$1:E3437)*(E2=E$1:E3437))))))</f>
        <v/>
      </c>
      <c r="K3438" s="24" t="str">
        <f>IF(OR(E3438="",E3438="!!!",F3438="NEW"),"",INDEX(J$1:J3437,SUMPRODUCT(MAX(ROW(E$1:E3437)*(E3438=E$1:E3437)))))</f>
        <v/>
      </c>
      <c r="L3438" s="25"/>
    </row>
    <row r="3439" spans="1:12" x14ac:dyDescent="0.2">
      <c r="A3439" t="s">
        <v>78</v>
      </c>
      <c r="E3439" s="20" t="str">
        <f t="shared" si="366"/>
        <v/>
      </c>
      <c r="F3439" s="21" t="str">
        <f>IF(OR(E3439="",E3439="!!!"),"",IF(NOT(ISNA(VLOOKUP(E3439,E$1:E3438,1,FALSE()))),"OLD",IF(AND(E3439&lt;&gt;"",E3439&lt;&gt;"!!!"),"NEW","")))</f>
        <v/>
      </c>
      <c r="G3439" s="22" t="str">
        <f>IF(OR(E3439="",E3439="!!!"),"",IF(OR(J3439=0,AND(J3439=1,K3439=1),AND(J3439=1,I3439="SBJ"),AND(J3439=1,I3439=0)),"?IN_FOCUS",IF(J3439&lt;=2,"?ACTIVATED",IF(J3439&lt;&gt;"","?FAMILIAR",IF(F3439="NEW",IF(ISNA(VLOOKUP(E3439,#REF!,1,FALSE())),"?TYPE_IDENTIFIABLE","?REFERENTIAL"),"_")))))</f>
        <v/>
      </c>
      <c r="H3439" s="23" t="str">
        <f t="shared" ca="1" si="367"/>
        <v/>
      </c>
      <c r="I3439" s="24" t="str">
        <f>IF(OR(E3439="",E3439="!!!",F3439="NEW"),"",INDEX(B$2:B3438,-1+SUMPRODUCT(MAX(ROW(E$2:E3438)*(E3439=E$2:E3438)))))</f>
        <v/>
      </c>
      <c r="J3439" s="24" t="str">
        <f ca="1">IF(OR(E3439="",E3439="!!!",F3439="NEW"),"",COUNTBLANK(OFFSET(A$1,,,SUMPRODUCT(MAX(ROW(E$2:E3439)*(E3439=E$2:E3439)))))-COUNTBLANK(OFFSET(A$1,,,SUMPRODUCT(MAX(ROW(E$1:E3438)*(E2=E$1:E3438))))))</f>
        <v/>
      </c>
      <c r="K3439" s="24" t="str">
        <f>IF(OR(E3439="",E3439="!!!",F3439="NEW"),"",INDEX(J$1:J3438,SUMPRODUCT(MAX(ROW(E$1:E3438)*(E3439=E$1:E3438)))))</f>
        <v/>
      </c>
      <c r="L3439" s="25"/>
    </row>
    <row r="3440" spans="1:12" x14ac:dyDescent="0.2">
      <c r="A3440" t="s">
        <v>821</v>
      </c>
      <c r="E3440" s="20" t="str">
        <f t="shared" si="366"/>
        <v/>
      </c>
      <c r="F3440" s="21" t="str">
        <f>IF(OR(E3440="",E3440="!!!"),"",IF(NOT(ISNA(VLOOKUP(E3440,E$1:E3439,1,FALSE()))),"OLD",IF(AND(E3440&lt;&gt;"",E3440&lt;&gt;"!!!"),"NEW","")))</f>
        <v/>
      </c>
      <c r="G3440" s="22" t="str">
        <f>IF(OR(E3440="",E3440="!!!"),"",IF(OR(J3440=0,AND(J3440=1,K3440=1),AND(J3440=1,I3440="SBJ"),AND(J3440=1,I3440=0)),"?IN_FOCUS",IF(J3440&lt;=2,"?ACTIVATED",IF(J3440&lt;&gt;"","?FAMILIAR",IF(F3440="NEW",IF(ISNA(VLOOKUP(E3440,#REF!,1,FALSE())),"?TYPE_IDENTIFIABLE","?REFERENTIAL"),"_")))))</f>
        <v/>
      </c>
      <c r="H3440" s="23" t="str">
        <f t="shared" ca="1" si="367"/>
        <v/>
      </c>
      <c r="I3440" s="24" t="str">
        <f>IF(OR(E3440="",E3440="!!!",F3440="NEW"),"",INDEX(B$2:B3439,-1+SUMPRODUCT(MAX(ROW(E$2:E3439)*(E3440=E$2:E3439)))))</f>
        <v/>
      </c>
      <c r="J3440" s="24" t="str">
        <f ca="1">IF(OR(E3440="",E3440="!!!",F3440="NEW"),"",COUNTBLANK(OFFSET(A$1,,,SUMPRODUCT(MAX(ROW(E$2:E3440)*(E3440=E$2:E3440)))))-COUNTBLANK(OFFSET(A$1,,,SUMPRODUCT(MAX(ROW(E$1:E3439)*(E2=E$1:E3439))))))</f>
        <v/>
      </c>
      <c r="K3440" s="24" t="str">
        <f>IF(OR(E3440="",E3440="!!!",F3440="NEW"),"",INDEX(J$1:J3439,SUMPRODUCT(MAX(ROW(E$1:E3439)*(E3440=E$1:E3439)))))</f>
        <v/>
      </c>
      <c r="L3440" s="25"/>
    </row>
    <row r="3442" spans="1:12" x14ac:dyDescent="0.2">
      <c r="A3442" t="s">
        <v>1744</v>
      </c>
    </row>
    <row r="3443" spans="1:12" x14ac:dyDescent="0.2">
      <c r="A3443" t="s">
        <v>1283</v>
      </c>
      <c r="B3443" s="26" t="s">
        <v>804</v>
      </c>
      <c r="C3443" s="26" t="s">
        <v>805</v>
      </c>
      <c r="D3443" s="26" t="s">
        <v>806</v>
      </c>
      <c r="E3443" s="20"/>
      <c r="F3443" s="21" t="s">
        <v>1764</v>
      </c>
      <c r="G3443" s="22"/>
      <c r="H3443" s="23" t="str">
        <f t="shared" ref="H3443:H3468" ca="1" si="368">IF(J3443&lt;&gt;1,"",IF(I3443="SBJ","CB","?"))</f>
        <v/>
      </c>
      <c r="I3443" s="24" t="str">
        <f>IF(OR(E3443="",E3443="!!!",F3443="NEW"),"",INDEX(B$2:B3442,-1+SUMPRODUCT(MAX(ROW(E$2:E3442)*(E3443=E$2:E3442)))))</f>
        <v/>
      </c>
      <c r="J3443" s="24" t="str">
        <f ca="1">IF(OR(E3443="",E3443="!!!",F3443="NEW"),"",COUNTBLANK(OFFSET(A$1,,,SUMPRODUCT(MAX(ROW(E$2:E3443)*(E3443=E$2:E3443)))))-COUNTBLANK(OFFSET(A$1,,,SUMPRODUCT(MAX(ROW(E$1:E3442)*(E2=E$1:E3442))))))</f>
        <v/>
      </c>
      <c r="K3443" s="24" t="str">
        <f>IF(OR(E3443="",E3443="!!!",F3443="NEW"),"",INDEX(J$1:J3442,SUMPRODUCT(MAX(ROW(E$1:E3442)*(E3443=E$1:E3442)))))</f>
        <v/>
      </c>
      <c r="L3443" s="25"/>
    </row>
    <row r="3444" spans="1:12" x14ac:dyDescent="0.2">
      <c r="A3444" t="s">
        <v>13</v>
      </c>
      <c r="E3444" s="20" t="str">
        <f t="shared" ref="E3443:E3468" si="369">IF(D3444="?OLD","!!!","")</f>
        <v/>
      </c>
      <c r="F3444" s="21" t="str">
        <f>IF(OR(E3444="",E3444="!!!"),"",IF(NOT(ISNA(VLOOKUP(E3444,E$1:E3443,1,FALSE()))),"OLD",IF(AND(E3444&lt;&gt;"",E3444&lt;&gt;"!!!"),"NEW","")))</f>
        <v/>
      </c>
      <c r="G3444" s="22" t="str">
        <f>IF(OR(E3444="",E3444="!!!"),"",IF(OR(J3444=0,AND(J3444=1,K3444=1),AND(J3444=1,I3444="SBJ"),AND(J3444=1,I3444=0)),"?IN_FOCUS",IF(J3444&lt;=2,"?ACTIVATED",IF(J3444&lt;&gt;"","?FAMILIAR",IF(F3444="NEW",IF(ISNA(VLOOKUP(E3444,#REF!,1,FALSE())),"?TYPE_IDENTIFIABLE","?REFERENTIAL"),"_")))))</f>
        <v/>
      </c>
      <c r="H3444" s="23" t="str">
        <f t="shared" ca="1" si="368"/>
        <v/>
      </c>
      <c r="I3444" s="24" t="str">
        <f>IF(OR(E3444="",E3444="!!!",F3444="NEW"),"",INDEX(B$2:B3443,-1+SUMPRODUCT(MAX(ROW(E$2:E3443)*(E3444=E$2:E3443)))))</f>
        <v/>
      </c>
      <c r="J3444" s="24" t="str">
        <f ca="1">IF(OR(E3444="",E3444="!!!",F3444="NEW"),"",COUNTBLANK(OFFSET(A$1,,,SUMPRODUCT(MAX(ROW(E$2:E3444)*(E3444=E$2:E3444)))))-COUNTBLANK(OFFSET(A$1,,,SUMPRODUCT(MAX(ROW(E$1:E3443)*(E2=E$1:E3443))))))</f>
        <v/>
      </c>
      <c r="K3444" s="24" t="str">
        <f>IF(OR(E3444="",E3444="!!!",F3444="NEW"),"",INDEX(J$1:J3443,SUMPRODUCT(MAX(ROW(E$1:E3443)*(E3444=E$1:E3443)))))</f>
        <v/>
      </c>
      <c r="L3444" s="25"/>
    </row>
    <row r="3445" spans="1:12" x14ac:dyDescent="0.2">
      <c r="A3445" t="s">
        <v>802</v>
      </c>
      <c r="E3445" s="20" t="str">
        <f t="shared" si="369"/>
        <v/>
      </c>
      <c r="F3445" s="21" t="str">
        <f>IF(OR(E3445="",E3445="!!!"),"",IF(NOT(ISNA(VLOOKUP(E3445,E$1:E3444,1,FALSE()))),"OLD",IF(AND(E3445&lt;&gt;"",E3445&lt;&gt;"!!!"),"NEW","")))</f>
        <v/>
      </c>
      <c r="G3445" s="22" t="str">
        <f>IF(OR(E3445="",E3445="!!!"),"",IF(OR(J3445=0,AND(J3445=1,K3445=1),AND(J3445=1,I3445="SBJ"),AND(J3445=1,I3445=0)),"?IN_FOCUS",IF(J3445&lt;=2,"?ACTIVATED",IF(J3445&lt;&gt;"","?FAMILIAR",IF(F3445="NEW",IF(ISNA(VLOOKUP(E3445,#REF!,1,FALSE())),"?TYPE_IDENTIFIABLE","?REFERENTIAL"),"_")))))</f>
        <v/>
      </c>
      <c r="H3445" s="23" t="str">
        <f t="shared" ca="1" si="368"/>
        <v/>
      </c>
      <c r="I3445" s="24" t="str">
        <f>IF(OR(E3445="",E3445="!!!",F3445="NEW"),"",INDEX(B$2:B3444,-1+SUMPRODUCT(MAX(ROW(E$2:E3444)*(E3445=E$2:E3444)))))</f>
        <v/>
      </c>
      <c r="J3445" s="24" t="str">
        <f ca="1">IF(OR(E3445="",E3445="!!!",F3445="NEW"),"",COUNTBLANK(OFFSET(A$1,,,SUMPRODUCT(MAX(ROW(E$2:E3445)*(E3445=E$2:E3445)))))-COUNTBLANK(OFFSET(A$1,,,SUMPRODUCT(MAX(ROW(E$1:E3444)*(E2=E$1:E3444))))))</f>
        <v/>
      </c>
      <c r="K3445" s="24" t="str">
        <f>IF(OR(E3445="",E3445="!!!",F3445="NEW"),"",INDEX(J$1:J3444,SUMPRODUCT(MAX(ROW(E$1:E3444)*(E3445=E$1:E3444)))))</f>
        <v/>
      </c>
      <c r="L3445" s="25"/>
    </row>
    <row r="3446" spans="1:12" x14ac:dyDescent="0.2">
      <c r="A3446" t="s">
        <v>803</v>
      </c>
      <c r="B3446" s="26" t="s">
        <v>950</v>
      </c>
      <c r="C3446" s="26" t="s">
        <v>805</v>
      </c>
      <c r="D3446" s="26" t="s">
        <v>806</v>
      </c>
      <c r="E3446" s="20" t="s">
        <v>1747</v>
      </c>
      <c r="F3446" s="21" t="s">
        <v>1753</v>
      </c>
      <c r="G3446" s="22" t="s">
        <v>1823</v>
      </c>
      <c r="H3446" s="23" t="str">
        <f t="shared" ca="1" si="368"/>
        <v/>
      </c>
      <c r="I3446" s="24" t="str">
        <f>IF(OR(E3446="",E3446="!!!",F3446="NEW"),"",INDEX(B$2:B3445,-1+SUMPRODUCT(MAX(ROW(E$2:E3445)*(E3446=E$2:E3445)))))</f>
        <v>SBJ_2</v>
      </c>
      <c r="J3446" s="24">
        <f ca="1">IF(OR(E3446="",E3446="!!!",F3446="NEW"),"",COUNTBLANK(OFFSET(A$1,,,SUMPRODUCT(MAX(ROW(E$2:E3446)*(E3446=E$2:E3446)))))-COUNTBLANK(OFFSET(A$1,,,SUMPRODUCT(MAX(ROW(E$1:E3445)*(E2=E$1:E3445))))))</f>
        <v>0</v>
      </c>
      <c r="K3446" s="24">
        <f ca="1">IF(OR(E3446="",E3446="!!!",F3446="NEW"),"",INDEX(J$1:J3445,SUMPRODUCT(MAX(ROW(E$1:E3445)*(E3446=E$1:E3445)))))</f>
        <v>0</v>
      </c>
      <c r="L3446" s="25"/>
    </row>
    <row r="3447" spans="1:12" x14ac:dyDescent="0.2">
      <c r="A3447" t="s">
        <v>1128</v>
      </c>
      <c r="E3447" s="20" t="str">
        <f t="shared" si="369"/>
        <v/>
      </c>
      <c r="F3447" s="21" t="str">
        <f>IF(OR(E3447="",E3447="!!!"),"",IF(NOT(ISNA(VLOOKUP(E3447,E$1:E3446,1,FALSE()))),"OLD",IF(AND(E3447&lt;&gt;"",E3447&lt;&gt;"!!!"),"NEW","")))</f>
        <v/>
      </c>
      <c r="G3447" s="22" t="str">
        <f>IF(OR(E3447="",E3447="!!!"),"",IF(OR(J3447=0,AND(J3447=1,K3447=1),AND(J3447=1,I3447="SBJ"),AND(J3447=1,I3447=0)),"?IN_FOCUS",IF(J3447&lt;=2,"?ACTIVATED",IF(J3447&lt;&gt;"","?FAMILIAR",IF(F3447="NEW",IF(ISNA(VLOOKUP(E3447,#REF!,1,FALSE())),"?TYPE_IDENTIFIABLE","?REFERENTIAL"),"_")))))</f>
        <v/>
      </c>
      <c r="H3447" s="23" t="str">
        <f t="shared" ca="1" si="368"/>
        <v/>
      </c>
      <c r="I3447" s="24" t="str">
        <f>IF(OR(E3447="",E3447="!!!",F3447="NEW"),"",INDEX(B$2:B3446,-1+SUMPRODUCT(MAX(ROW(E$2:E3446)*(E3447=E$2:E3446)))))</f>
        <v/>
      </c>
      <c r="J3447" s="24" t="str">
        <f ca="1">IF(OR(E3447="",E3447="!!!",F3447="NEW"),"",COUNTBLANK(OFFSET(A$1,,,SUMPRODUCT(MAX(ROW(E$2:E3447)*(E3447=E$2:E3447)))))-COUNTBLANK(OFFSET(A$1,,,SUMPRODUCT(MAX(ROW(E$1:E3446)*(E2=E$1:E3446))))))</f>
        <v/>
      </c>
      <c r="K3447" s="24" t="str">
        <f>IF(OR(E3447="",E3447="!!!",F3447="NEW"),"",INDEX(J$1:J3446,SUMPRODUCT(MAX(ROW(E$1:E3446)*(E3447=E$1:E3446)))))</f>
        <v/>
      </c>
      <c r="L3447" s="25"/>
    </row>
    <row r="3448" spans="1:12" x14ac:dyDescent="0.2">
      <c r="A3448" t="s">
        <v>376</v>
      </c>
      <c r="E3448" s="20" t="str">
        <f t="shared" si="369"/>
        <v/>
      </c>
      <c r="F3448" s="21" t="str">
        <f>IF(OR(E3448="",E3448="!!!"),"",IF(NOT(ISNA(VLOOKUP(E3448,E$1:E3447,1,FALSE()))),"OLD",IF(AND(E3448&lt;&gt;"",E3448&lt;&gt;"!!!"),"NEW","")))</f>
        <v/>
      </c>
      <c r="G3448" s="22" t="str">
        <f>IF(OR(E3448="",E3448="!!!"),"",IF(OR(J3448=0,AND(J3448=1,K3448=1),AND(J3448=1,I3448="SBJ"),AND(J3448=1,I3448=0)),"?IN_FOCUS",IF(J3448&lt;=2,"?ACTIVATED",IF(J3448&lt;&gt;"","?FAMILIAR",IF(F3448="NEW",IF(ISNA(VLOOKUP(E3448,#REF!,1,FALSE())),"?TYPE_IDENTIFIABLE","?REFERENTIAL"),"_")))))</f>
        <v/>
      </c>
      <c r="H3448" s="23" t="str">
        <f t="shared" ca="1" si="368"/>
        <v/>
      </c>
      <c r="I3448" s="24" t="str">
        <f>IF(OR(E3448="",E3448="!!!",F3448="NEW"),"",INDEX(B$2:B3447,-1+SUMPRODUCT(MAX(ROW(E$2:E3447)*(E3448=E$2:E3447)))))</f>
        <v/>
      </c>
      <c r="J3448" s="24" t="str">
        <f ca="1">IF(OR(E3448="",E3448="!!!",F3448="NEW"),"",COUNTBLANK(OFFSET(A$1,,,SUMPRODUCT(MAX(ROW(E$2:E3448)*(E3448=E$2:E3448)))))-COUNTBLANK(OFFSET(A$1,,,SUMPRODUCT(MAX(ROW(E$1:E3447)*(E2=E$1:E3447))))))</f>
        <v/>
      </c>
      <c r="K3448" s="24" t="str">
        <f>IF(OR(E3448="",E3448="!!!",F3448="NEW"),"",INDEX(J$1:J3447,SUMPRODUCT(MAX(ROW(E$1:E3447)*(E3448=E$1:E3447)))))</f>
        <v/>
      </c>
      <c r="L3448" s="25"/>
    </row>
    <row r="3449" spans="1:12" x14ac:dyDescent="0.2">
      <c r="A3449" t="s">
        <v>874</v>
      </c>
      <c r="E3449" s="20" t="str">
        <f t="shared" si="369"/>
        <v/>
      </c>
      <c r="F3449" s="21" t="str">
        <f>IF(OR(E3449="",E3449="!!!"),"",IF(NOT(ISNA(VLOOKUP(E3449,E$1:E3448,1,FALSE()))),"OLD",IF(AND(E3449&lt;&gt;"",E3449&lt;&gt;"!!!"),"NEW","")))</f>
        <v/>
      </c>
      <c r="G3449" s="22" t="str">
        <f>IF(OR(E3449="",E3449="!!!"),"",IF(OR(J3449=0,AND(J3449=1,K3449=1),AND(J3449=1,I3449="SBJ"),AND(J3449=1,I3449=0)),"?IN_FOCUS",IF(J3449&lt;=2,"?ACTIVATED",IF(J3449&lt;&gt;"","?FAMILIAR",IF(F3449="NEW",IF(ISNA(VLOOKUP(E3449,#REF!,1,FALSE())),"?TYPE_IDENTIFIABLE","?REFERENTIAL"),"_")))))</f>
        <v/>
      </c>
      <c r="H3449" s="23" t="str">
        <f t="shared" ca="1" si="368"/>
        <v/>
      </c>
      <c r="I3449" s="24" t="str">
        <f>IF(OR(E3449="",E3449="!!!",F3449="NEW"),"",INDEX(B$2:B3448,-1+SUMPRODUCT(MAX(ROW(E$2:E3448)*(E3449=E$2:E3448)))))</f>
        <v/>
      </c>
      <c r="J3449" s="24" t="str">
        <f ca="1">IF(OR(E3449="",E3449="!!!",F3449="NEW"),"",COUNTBLANK(OFFSET(A$1,,,SUMPRODUCT(MAX(ROW(E$2:E3449)*(E3449=E$2:E3449)))))-COUNTBLANK(OFFSET(A$1,,,SUMPRODUCT(MAX(ROW(E$1:E3448)*(E2=E$1:E3448))))))</f>
        <v/>
      </c>
      <c r="K3449" s="24" t="str">
        <f>IF(OR(E3449="",E3449="!!!",F3449="NEW"),"",INDEX(J$1:J3448,SUMPRODUCT(MAX(ROW(E$1:E3448)*(E3449=E$1:E3448)))))</f>
        <v/>
      </c>
      <c r="L3449" s="25"/>
    </row>
    <row r="3450" spans="1:12" x14ac:dyDescent="0.2">
      <c r="A3450" t="s">
        <v>1060</v>
      </c>
      <c r="B3450" s="26" t="s">
        <v>813</v>
      </c>
      <c r="C3450" s="26" t="s">
        <v>987</v>
      </c>
      <c r="D3450" s="26" t="s">
        <v>806</v>
      </c>
      <c r="E3450" s="20" t="s">
        <v>1817</v>
      </c>
      <c r="F3450" s="21" t="str">
        <f>IF(OR(E3450="",E3450="!!!"),"",IF(NOT(ISNA(VLOOKUP(E3450,E$1:E3449,1,FALSE()))),"OLD",IF(AND(E3450&lt;&gt;"",E3450&lt;&gt;"!!!"),"NEW","")))</f>
        <v>NEW</v>
      </c>
      <c r="G3450" s="22" t="s">
        <v>1822</v>
      </c>
      <c r="H3450" s="23" t="str">
        <f t="shared" ca="1" si="368"/>
        <v/>
      </c>
      <c r="I3450" s="24" t="str">
        <f>IF(OR(E3450="",E3450="!!!",F3450="NEW"),"",INDEX(B$2:B3449,-1+SUMPRODUCT(MAX(ROW(E$2:E3449)*(E3450=E$2:E3449)))))</f>
        <v/>
      </c>
      <c r="J3450" s="24" t="str">
        <f ca="1">IF(OR(E3450="",E3450="!!!",F3450="NEW"),"",COUNTBLANK(OFFSET(A$1,,,SUMPRODUCT(MAX(ROW(E$2:E3450)*(E3450=E$2:E3450)))))-COUNTBLANK(OFFSET(A$1,,,SUMPRODUCT(MAX(ROW(E$1:E3449)*(E2=E$1:E3449))))))</f>
        <v/>
      </c>
      <c r="K3450" s="24" t="str">
        <f>IF(OR(E3450="",E3450="!!!",F3450="NEW"),"",INDEX(J$1:J3449,SUMPRODUCT(MAX(ROW(E$1:E3449)*(E3450=E$1:E3449)))))</f>
        <v/>
      </c>
      <c r="L3450" s="25"/>
    </row>
    <row r="3451" spans="1:12" x14ac:dyDescent="0.2">
      <c r="A3451" t="s">
        <v>802</v>
      </c>
      <c r="E3451" s="20" t="str">
        <f t="shared" si="369"/>
        <v/>
      </c>
      <c r="F3451" s="21" t="str">
        <f>IF(OR(E3451="",E3451="!!!"),"",IF(NOT(ISNA(VLOOKUP(E3451,E$1:E3450,1,FALSE()))),"OLD",IF(AND(E3451&lt;&gt;"",E3451&lt;&gt;"!!!"),"NEW","")))</f>
        <v/>
      </c>
      <c r="G3451" s="22" t="str">
        <f>IF(OR(E3451="",E3451="!!!"),"",IF(OR(J3451=0,AND(J3451=1,K3451=1),AND(J3451=1,I3451="SBJ"),AND(J3451=1,I3451=0)),"?IN_FOCUS",IF(J3451&lt;=2,"?ACTIVATED",IF(J3451&lt;&gt;"","?FAMILIAR",IF(F3451="NEW",IF(ISNA(VLOOKUP(E3451,#REF!,1,FALSE())),"?TYPE_IDENTIFIABLE","?REFERENTIAL"),"_")))))</f>
        <v/>
      </c>
      <c r="H3451" s="23" t="str">
        <f t="shared" ca="1" si="368"/>
        <v/>
      </c>
      <c r="I3451" s="24" t="str">
        <f>IF(OR(E3451="",E3451="!!!",F3451="NEW"),"",INDEX(B$2:B3450,-1+SUMPRODUCT(MAX(ROW(E$2:E3450)*(E3451=E$2:E3450)))))</f>
        <v/>
      </c>
      <c r="J3451" s="24" t="str">
        <f ca="1">IF(OR(E3451="",E3451="!!!",F3451="NEW"),"",COUNTBLANK(OFFSET(A$1,,,SUMPRODUCT(MAX(ROW(E$2:E3451)*(E3451=E$2:E3451)))))-COUNTBLANK(OFFSET(A$1,,,SUMPRODUCT(MAX(ROW(E$1:E3450)*(E2=E$1:E3450))))))</f>
        <v/>
      </c>
      <c r="K3451" s="24" t="str">
        <f>IF(OR(E3451="",E3451="!!!",F3451="NEW"),"",INDEX(J$1:J3450,SUMPRODUCT(MAX(ROW(E$1:E3450)*(E3451=E$1:E3450)))))</f>
        <v/>
      </c>
      <c r="L3451" s="25"/>
    </row>
    <row r="3452" spans="1:12" x14ac:dyDescent="0.2">
      <c r="A3452" t="s">
        <v>1127</v>
      </c>
      <c r="E3452" s="20" t="str">
        <f t="shared" si="369"/>
        <v/>
      </c>
      <c r="F3452" s="21" t="str">
        <f>IF(OR(E3452="",E3452="!!!"),"",IF(NOT(ISNA(VLOOKUP(E3452,E$1:E3451,1,FALSE()))),"OLD",IF(AND(E3452&lt;&gt;"",E3452&lt;&gt;"!!!"),"NEW","")))</f>
        <v/>
      </c>
      <c r="G3452" s="22" t="str">
        <f>IF(OR(E3452="",E3452="!!!"),"",IF(OR(J3452=0,AND(J3452=1,K3452=1),AND(J3452=1,I3452="SBJ"),AND(J3452=1,I3452=0)),"?IN_FOCUS",IF(J3452&lt;=2,"?ACTIVATED",IF(J3452&lt;&gt;"","?FAMILIAR",IF(F3452="NEW",IF(ISNA(VLOOKUP(E3452,#REF!,1,FALSE())),"?TYPE_IDENTIFIABLE","?REFERENTIAL"),"_")))))</f>
        <v/>
      </c>
      <c r="H3452" s="23" t="str">
        <f t="shared" ca="1" si="368"/>
        <v/>
      </c>
      <c r="I3452" s="24" t="str">
        <f>IF(OR(E3452="",E3452="!!!",F3452="NEW"),"",INDEX(B$2:B3451,-1+SUMPRODUCT(MAX(ROW(E$2:E3451)*(E3452=E$2:E3451)))))</f>
        <v/>
      </c>
      <c r="J3452" s="24" t="str">
        <f ca="1">IF(OR(E3452="",E3452="!!!",F3452="NEW"),"",COUNTBLANK(OFFSET(A$1,,,SUMPRODUCT(MAX(ROW(E$2:E3452)*(E3452=E$2:E3452)))))-COUNTBLANK(OFFSET(A$1,,,SUMPRODUCT(MAX(ROW(E$1:E3451)*(E2=E$1:E3451))))))</f>
        <v/>
      </c>
      <c r="K3452" s="24" t="str">
        <f>IF(OR(E3452="",E3452="!!!",F3452="NEW"),"",INDEX(J$1:J3451,SUMPRODUCT(MAX(ROW(E$1:E3451)*(E3452=E$1:E3451)))))</f>
        <v/>
      </c>
      <c r="L3452" s="25"/>
    </row>
    <row r="3453" spans="1:12" x14ac:dyDescent="0.2">
      <c r="A3453" t="s">
        <v>890</v>
      </c>
      <c r="E3453" s="20" t="str">
        <f t="shared" si="369"/>
        <v/>
      </c>
      <c r="F3453" s="21" t="str">
        <f>IF(OR(E3453="",E3453="!!!"),"",IF(NOT(ISNA(VLOOKUP(E3453,E$1:E3452,1,FALSE()))),"OLD",IF(AND(E3453&lt;&gt;"",E3453&lt;&gt;"!!!"),"NEW","")))</f>
        <v/>
      </c>
      <c r="G3453" s="22" t="str">
        <f>IF(OR(E3453="",E3453="!!!"),"",IF(OR(J3453=0,AND(J3453=1,K3453=1),AND(J3453=1,I3453="SBJ"),AND(J3453=1,I3453=0)),"?IN_FOCUS",IF(J3453&lt;=2,"?ACTIVATED",IF(J3453&lt;&gt;"","?FAMILIAR",IF(F3453="NEW",IF(ISNA(VLOOKUP(E3453,#REF!,1,FALSE())),"?TYPE_IDENTIFIABLE","?REFERENTIAL"),"_")))))</f>
        <v/>
      </c>
      <c r="H3453" s="23" t="str">
        <f t="shared" ca="1" si="368"/>
        <v/>
      </c>
      <c r="I3453" s="24" t="str">
        <f>IF(OR(E3453="",E3453="!!!",F3453="NEW"),"",INDEX(B$2:B3452,-1+SUMPRODUCT(MAX(ROW(E$2:E3452)*(E3453=E$2:E3452)))))</f>
        <v/>
      </c>
      <c r="J3453" s="24" t="str">
        <f ca="1">IF(OR(E3453="",E3453="!!!",F3453="NEW"),"",COUNTBLANK(OFFSET(A$1,,,SUMPRODUCT(MAX(ROW(E$2:E3453)*(E3453=E$2:E3453)))))-COUNTBLANK(OFFSET(A$1,,,SUMPRODUCT(MAX(ROW(E$1:E3452)*(E2=E$1:E3452))))))</f>
        <v/>
      </c>
      <c r="K3453" s="24" t="str">
        <f>IF(OR(E3453="",E3453="!!!",F3453="NEW"),"",INDEX(J$1:J3452,SUMPRODUCT(MAX(ROW(E$1:E3452)*(E3453=E$1:E3452)))))</f>
        <v/>
      </c>
      <c r="L3453" s="25"/>
    </row>
    <row r="3454" spans="1:12" x14ac:dyDescent="0.2">
      <c r="A3454" t="s">
        <v>1060</v>
      </c>
      <c r="B3454" s="26" t="s">
        <v>891</v>
      </c>
      <c r="C3454" s="26" t="s">
        <v>987</v>
      </c>
      <c r="D3454" s="26" t="s">
        <v>806</v>
      </c>
      <c r="E3454" s="20" t="s">
        <v>1806</v>
      </c>
      <c r="F3454" s="21" t="str">
        <f>IF(OR(E3454="",E3454="!!!"),"",IF(NOT(ISNA(VLOOKUP(E3454,E$1:E3453,1,FALSE()))),"OLD",IF(AND(E3454&lt;&gt;"",E3454&lt;&gt;"!!!"),"NEW","")))</f>
        <v>OLD</v>
      </c>
      <c r="G3454" s="22" t="s">
        <v>1823</v>
      </c>
      <c r="H3454" s="23" t="str">
        <f t="shared" ca="1" si="368"/>
        <v/>
      </c>
      <c r="I3454" s="24" t="str">
        <f>IF(OR(E3454="",E3454="!!!",F3454="NEW"),"",INDEX(B$2:B3453,-1+SUMPRODUCT(MAX(ROW(E$2:E3453)*(E3454=E$2:E3453)))))</f>
        <v>OBJ</v>
      </c>
      <c r="J3454" s="24">
        <f ca="1">IF(OR(E3454="",E3454="!!!",F3454="NEW"),"",COUNTBLANK(OFFSET(A$1,,,SUMPRODUCT(MAX(ROW(E$2:E3454)*(E3454=E$2:E3454)))))-COUNTBLANK(OFFSET(A$1,,,SUMPRODUCT(MAX(ROW(E$1:E3453)*(E2=E$1:E3453))))))</f>
        <v>0</v>
      </c>
      <c r="K3454" s="24">
        <f ca="1">IF(OR(E3454="",E3454="!!!",F3454="NEW"),"",INDEX(J$1:J3453,SUMPRODUCT(MAX(ROW(E$1:E3453)*(E3454=E$1:E3453)))))</f>
        <v>0</v>
      </c>
      <c r="L3454" s="25"/>
    </row>
    <row r="3455" spans="1:12" x14ac:dyDescent="0.2">
      <c r="A3455" t="s">
        <v>898</v>
      </c>
      <c r="E3455" s="20" t="str">
        <f t="shared" si="369"/>
        <v/>
      </c>
      <c r="F3455" s="21" t="str">
        <f>IF(OR(E3455="",E3455="!!!"),"",IF(NOT(ISNA(VLOOKUP(E3455,E$1:E3454,1,FALSE()))),"OLD",IF(AND(E3455&lt;&gt;"",E3455&lt;&gt;"!!!"),"NEW","")))</f>
        <v/>
      </c>
      <c r="G3455" s="22" t="str">
        <f>IF(OR(E3455="",E3455="!!!"),"",IF(OR(J3455=0,AND(J3455=1,K3455=1),AND(J3455=1,I3455="SBJ"),AND(J3455=1,I3455=0)),"?IN_FOCUS",IF(J3455&lt;=2,"?ACTIVATED",IF(J3455&lt;&gt;"","?FAMILIAR",IF(F3455="NEW",IF(ISNA(VLOOKUP(E3455,#REF!,1,FALSE())),"?TYPE_IDENTIFIABLE","?REFERENTIAL"),"_")))))</f>
        <v/>
      </c>
      <c r="H3455" s="23" t="str">
        <f t="shared" ca="1" si="368"/>
        <v/>
      </c>
      <c r="I3455" s="24" t="str">
        <f>IF(OR(E3455="",E3455="!!!",F3455="NEW"),"",INDEX(B$2:B3454,-1+SUMPRODUCT(MAX(ROW(E$2:E3454)*(E3455=E$2:E3454)))))</f>
        <v/>
      </c>
      <c r="J3455" s="24" t="str">
        <f ca="1">IF(OR(E3455="",E3455="!!!",F3455="NEW"),"",COUNTBLANK(OFFSET(A$1,,,SUMPRODUCT(MAX(ROW(E$2:E3455)*(E3455=E$2:E3455)))))-COUNTBLANK(OFFSET(A$1,,,SUMPRODUCT(MAX(ROW(E$1:E3454)*(E2=E$1:E3454))))))</f>
        <v/>
      </c>
      <c r="K3455" s="24" t="str">
        <f>IF(OR(E3455="",E3455="!!!",F3455="NEW"),"",INDEX(J$1:J3454,SUMPRODUCT(MAX(ROW(E$1:E3454)*(E3455=E$1:E3454)))))</f>
        <v/>
      </c>
      <c r="L3455" s="25"/>
    </row>
    <row r="3456" spans="1:12" x14ac:dyDescent="0.2">
      <c r="A3456" t="s">
        <v>845</v>
      </c>
      <c r="E3456" s="20" t="str">
        <f t="shared" si="369"/>
        <v/>
      </c>
      <c r="F3456" s="21" t="str">
        <f>IF(OR(E3456="",E3456="!!!"),"",IF(NOT(ISNA(VLOOKUP(E3456,E$1:E3455,1,FALSE()))),"OLD",IF(AND(E3456&lt;&gt;"",E3456&lt;&gt;"!!!"),"NEW","")))</f>
        <v/>
      </c>
      <c r="G3456" s="22" t="str">
        <f>IF(OR(E3456="",E3456="!!!"),"",IF(OR(J3456=0,AND(J3456=1,K3456=1),AND(J3456=1,I3456="SBJ"),AND(J3456=1,I3456=0)),"?IN_FOCUS",IF(J3456&lt;=2,"?ACTIVATED",IF(J3456&lt;&gt;"","?FAMILIAR",IF(F3456="NEW",IF(ISNA(VLOOKUP(E3456,#REF!,1,FALSE())),"?TYPE_IDENTIFIABLE","?REFERENTIAL"),"_")))))</f>
        <v/>
      </c>
      <c r="H3456" s="23" t="str">
        <f t="shared" ca="1" si="368"/>
        <v/>
      </c>
      <c r="I3456" s="24" t="str">
        <f>IF(OR(E3456="",E3456="!!!",F3456="NEW"),"",INDEX(B$2:B3455,-1+SUMPRODUCT(MAX(ROW(E$2:E3455)*(E3456=E$2:E3455)))))</f>
        <v/>
      </c>
      <c r="J3456" s="24" t="str">
        <f ca="1">IF(OR(E3456="",E3456="!!!",F3456="NEW"),"",COUNTBLANK(OFFSET(A$1,,,SUMPRODUCT(MAX(ROW(E$2:E3456)*(E3456=E$2:E3456)))))-COUNTBLANK(OFFSET(A$1,,,SUMPRODUCT(MAX(ROW(E$1:E3455)*(E2=E$1:E3455))))))</f>
        <v/>
      </c>
      <c r="K3456" s="24" t="str">
        <f>IF(OR(E3456="",E3456="!!!",F3456="NEW"),"",INDEX(J$1:J3455,SUMPRODUCT(MAX(ROW(E$1:E3455)*(E3456=E$1:E3455)))))</f>
        <v/>
      </c>
      <c r="L3456" s="25"/>
    </row>
    <row r="3457" spans="1:12" x14ac:dyDescent="0.2">
      <c r="A3457" t="s">
        <v>966</v>
      </c>
      <c r="B3457" s="26" t="s">
        <v>813</v>
      </c>
      <c r="C3457" s="26" t="s">
        <v>847</v>
      </c>
      <c r="D3457" s="26" t="s">
        <v>806</v>
      </c>
      <c r="E3457" s="20" t="s">
        <v>966</v>
      </c>
      <c r="F3457" s="21" t="str">
        <f>IF(OR(E3457="",E3457="!!!"),"",IF(NOT(ISNA(VLOOKUP(E3457,E$1:E3456,1,FALSE()))),"OLD",IF(AND(E3457&lt;&gt;"",E3457&lt;&gt;"!!!"),"NEW","")))</f>
        <v>OLD</v>
      </c>
      <c r="G3457" s="22" t="s">
        <v>1820</v>
      </c>
      <c r="H3457" s="23" t="str">
        <f t="shared" ca="1" si="368"/>
        <v/>
      </c>
      <c r="I3457" s="24" t="str">
        <f>IF(OR(E3457="",E3457="!!!",F3457="NEW"),"",INDEX(B$2:B3456,-1+SUMPRODUCT(MAX(ROW(E$2:E3456)*(E3457=E$2:E3456)))))</f>
        <v>OBJ_3</v>
      </c>
      <c r="J3457" s="24">
        <f ca="1">IF(OR(E3457="",E3457="!!!",F3457="NEW"),"",COUNTBLANK(OFFSET(A$1,,,SUMPRODUCT(MAX(ROW(E$2:E3457)*(E3457=E$2:E3457)))))-COUNTBLANK(OFFSET(A$1,,,SUMPRODUCT(MAX(ROW(E$1:E3456)*(E2=E$1:E3456))))))</f>
        <v>0</v>
      </c>
      <c r="K3457" s="24">
        <f ca="1">IF(OR(E3457="",E3457="!!!",F3457="NEW"),"",INDEX(J$1:J3456,SUMPRODUCT(MAX(ROW(E$1:E3456)*(E3457=E$1:E3456)))))</f>
        <v>0</v>
      </c>
      <c r="L3457" s="25"/>
    </row>
    <row r="3458" spans="1:12" x14ac:dyDescent="0.2">
      <c r="A3458" t="s">
        <v>812</v>
      </c>
      <c r="E3458" s="20" t="str">
        <f t="shared" si="369"/>
        <v/>
      </c>
      <c r="F3458" s="21" t="str">
        <f>IF(OR(E3458="",E3458="!!!"),"",IF(NOT(ISNA(VLOOKUP(E3458,E$1:E3457,1,FALSE()))),"OLD",IF(AND(E3458&lt;&gt;"",E3458&lt;&gt;"!!!"),"NEW","")))</f>
        <v/>
      </c>
      <c r="G3458" s="22" t="str">
        <f>IF(OR(E3458="",E3458="!!!"),"",IF(OR(J3458=0,AND(J3458=1,K3458=1),AND(J3458=1,I3458="SBJ"),AND(J3458=1,I3458=0)),"?IN_FOCUS",IF(J3458&lt;=2,"?ACTIVATED",IF(J3458&lt;&gt;"","?FAMILIAR",IF(F3458="NEW",IF(ISNA(VLOOKUP(E3458,#REF!,1,FALSE())),"?TYPE_IDENTIFIABLE","?REFERENTIAL"),"_")))))</f>
        <v/>
      </c>
      <c r="H3458" s="23" t="str">
        <f t="shared" ca="1" si="368"/>
        <v/>
      </c>
      <c r="I3458" s="24" t="str">
        <f>IF(OR(E3458="",E3458="!!!",F3458="NEW"),"",INDEX(B$2:B3457,-1+SUMPRODUCT(MAX(ROW(E$2:E3457)*(E3458=E$2:E3457)))))</f>
        <v/>
      </c>
      <c r="J3458" s="24" t="str">
        <f ca="1">IF(OR(E3458="",E3458="!!!",F3458="NEW"),"",COUNTBLANK(OFFSET(A$1,,,SUMPRODUCT(MAX(ROW(E$2:E3458)*(E3458=E$2:E3458)))))-COUNTBLANK(OFFSET(A$1,,,SUMPRODUCT(MAX(ROW(E$1:E3457)*(E2=E$1:E3457))))))</f>
        <v/>
      </c>
      <c r="K3458" s="24" t="str">
        <f>IF(OR(E3458="",E3458="!!!",F3458="NEW"),"",INDEX(J$1:J3457,SUMPRODUCT(MAX(ROW(E$1:E3457)*(E3458=E$1:E3457)))))</f>
        <v/>
      </c>
      <c r="L3458" s="25"/>
    </row>
    <row r="3459" spans="1:12" x14ac:dyDescent="0.2">
      <c r="A3459" t="s">
        <v>868</v>
      </c>
      <c r="E3459" s="20" t="str">
        <f t="shared" si="369"/>
        <v/>
      </c>
      <c r="F3459" s="21" t="str">
        <f>IF(OR(E3459="",E3459="!!!"),"",IF(NOT(ISNA(VLOOKUP(E3459,E$1:E3458,1,FALSE()))),"OLD",IF(AND(E3459&lt;&gt;"",E3459&lt;&gt;"!!!"),"NEW","")))</f>
        <v/>
      </c>
      <c r="G3459" s="22" t="str">
        <f>IF(OR(E3459="",E3459="!!!"),"",IF(OR(J3459=0,AND(J3459=1,K3459=1),AND(J3459=1,I3459="SBJ"),AND(J3459=1,I3459=0)),"?IN_FOCUS",IF(J3459&lt;=2,"?ACTIVATED",IF(J3459&lt;&gt;"","?FAMILIAR",IF(F3459="NEW",IF(ISNA(VLOOKUP(E3459,#REF!,1,FALSE())),"?TYPE_IDENTIFIABLE","?REFERENTIAL"),"_")))))</f>
        <v/>
      </c>
      <c r="H3459" s="23" t="str">
        <f t="shared" ca="1" si="368"/>
        <v/>
      </c>
      <c r="I3459" s="24" t="str">
        <f>IF(OR(E3459="",E3459="!!!",F3459="NEW"),"",INDEX(B$2:B3458,-1+SUMPRODUCT(MAX(ROW(E$2:E3458)*(E3459=E$2:E3458)))))</f>
        <v/>
      </c>
      <c r="J3459" s="24" t="str">
        <f ca="1">IF(OR(E3459="",E3459="!!!",F3459="NEW"),"",COUNTBLANK(OFFSET(A$1,,,SUMPRODUCT(MAX(ROW(E$2:E3459)*(E3459=E$2:E3459)))))-COUNTBLANK(OFFSET(A$1,,,SUMPRODUCT(MAX(ROW(E$1:E3458)*(E2=E$1:E3458))))))</f>
        <v/>
      </c>
      <c r="K3459" s="24" t="str">
        <f>IF(OR(E3459="",E3459="!!!",F3459="NEW"),"",INDEX(J$1:J3458,SUMPRODUCT(MAX(ROW(E$1:E3458)*(E3459=E$1:E3458)))))</f>
        <v/>
      </c>
      <c r="L3459" s="25"/>
    </row>
    <row r="3460" spans="1:12" x14ac:dyDescent="0.2">
      <c r="A3460" t="s">
        <v>1524</v>
      </c>
      <c r="B3460" s="26" t="s">
        <v>864</v>
      </c>
      <c r="C3460" s="26" t="s">
        <v>814</v>
      </c>
      <c r="E3460" s="20" t="str">
        <f t="shared" si="369"/>
        <v/>
      </c>
      <c r="F3460" s="21" t="str">
        <f>IF(OR(E3460="",E3460="!!!"),"",IF(NOT(ISNA(VLOOKUP(E3460,E$1:E3459,1,FALSE()))),"OLD",IF(AND(E3460&lt;&gt;"",E3460&lt;&gt;"!!!"),"NEW","")))</f>
        <v/>
      </c>
      <c r="G3460" s="22" t="str">
        <f>IF(OR(E3460="",E3460="!!!"),"",IF(OR(J3460=0,AND(J3460=1,K3460=1),AND(J3460=1,I3460="SBJ"),AND(J3460=1,I3460=0)),"?IN_FOCUS",IF(J3460&lt;=2,"?ACTIVATED",IF(J3460&lt;&gt;"","?FAMILIAR",IF(F3460="NEW",IF(ISNA(VLOOKUP(E3460,#REF!,1,FALSE())),"?TYPE_IDENTIFIABLE","?REFERENTIAL"),"_")))))</f>
        <v/>
      </c>
      <c r="H3460" s="23" t="str">
        <f t="shared" ca="1" si="368"/>
        <v/>
      </c>
      <c r="I3460" s="24" t="str">
        <f>IF(OR(E3460="",E3460="!!!",F3460="NEW"),"",INDEX(B$2:B3459,-1+SUMPRODUCT(MAX(ROW(E$2:E3459)*(E3460=E$2:E3459)))))</f>
        <v/>
      </c>
      <c r="J3460" s="24" t="str">
        <f ca="1">IF(OR(E3460="",E3460="!!!",F3460="NEW"),"",COUNTBLANK(OFFSET(A$1,,,SUMPRODUCT(MAX(ROW(E$2:E3460)*(E3460=E$2:E3460)))))-COUNTBLANK(OFFSET(A$1,,,SUMPRODUCT(MAX(ROW(E$1:E3459)*(E2=E$1:E3459))))))</f>
        <v/>
      </c>
      <c r="K3460" s="24" t="str">
        <f>IF(OR(E3460="",E3460="!!!",F3460="NEW"),"",INDEX(J$1:J3459,SUMPRODUCT(MAX(ROW(E$1:E3459)*(E3460=E$1:E3459)))))</f>
        <v/>
      </c>
      <c r="L3460" s="25"/>
    </row>
    <row r="3461" spans="1:12" x14ac:dyDescent="0.2">
      <c r="A3461" t="s">
        <v>802</v>
      </c>
      <c r="E3461" s="20" t="str">
        <f t="shared" si="369"/>
        <v/>
      </c>
      <c r="F3461" s="21" t="str">
        <f>IF(OR(E3461="",E3461="!!!"),"",IF(NOT(ISNA(VLOOKUP(E3461,E$1:E3460,1,FALSE()))),"OLD",IF(AND(E3461&lt;&gt;"",E3461&lt;&gt;"!!!"),"NEW","")))</f>
        <v/>
      </c>
      <c r="G3461" s="22" t="str">
        <f>IF(OR(E3461="",E3461="!!!"),"",IF(OR(J3461=0,AND(J3461=1,K3461=1),AND(J3461=1,I3461="SBJ"),AND(J3461=1,I3461=0)),"?IN_FOCUS",IF(J3461&lt;=2,"?ACTIVATED",IF(J3461&lt;&gt;"","?FAMILIAR",IF(F3461="NEW",IF(ISNA(VLOOKUP(E3461,#REF!,1,FALSE())),"?TYPE_IDENTIFIABLE","?REFERENTIAL"),"_")))))</f>
        <v/>
      </c>
      <c r="H3461" s="23" t="str">
        <f t="shared" ca="1" si="368"/>
        <v/>
      </c>
      <c r="I3461" s="24" t="str">
        <f>IF(OR(E3461="",E3461="!!!",F3461="NEW"),"",INDEX(B$2:B3460,-1+SUMPRODUCT(MAX(ROW(E$2:E3460)*(E3461=E$2:E3460)))))</f>
        <v/>
      </c>
      <c r="J3461" s="24" t="str">
        <f ca="1">IF(OR(E3461="",E3461="!!!",F3461="NEW"),"",COUNTBLANK(OFFSET(A$1,,,SUMPRODUCT(MAX(ROW(E$2:E3461)*(E3461=E$2:E3461)))))-COUNTBLANK(OFFSET(A$1,,,SUMPRODUCT(MAX(ROW(E$1:E3460)*(E2=E$1:E3460))))))</f>
        <v/>
      </c>
      <c r="K3461" s="24" t="str">
        <f>IF(OR(E3461="",E3461="!!!",F3461="NEW"),"",INDEX(J$1:J3460,SUMPRODUCT(MAX(ROW(E$1:E3460)*(E3461=E$1:E3460)))))</f>
        <v/>
      </c>
      <c r="L3461" s="25"/>
    </row>
    <row r="3462" spans="1:12" x14ac:dyDescent="0.2">
      <c r="A3462" t="s">
        <v>830</v>
      </c>
      <c r="B3462" s="26" t="s">
        <v>950</v>
      </c>
      <c r="C3462" s="26" t="s">
        <v>805</v>
      </c>
      <c r="D3462" s="26" t="s">
        <v>806</v>
      </c>
      <c r="E3462" s="20" t="s">
        <v>966</v>
      </c>
      <c r="F3462" s="21" t="str">
        <f>IF(OR(E3462="",E3462="!!!"),"",IF(NOT(ISNA(VLOOKUP(E3462,E$1:E3461,1,FALSE()))),"OLD",IF(AND(E3462&lt;&gt;"",E3462&lt;&gt;"!!!"),"NEW","")))</f>
        <v>OLD</v>
      </c>
      <c r="G3462" s="22" t="s">
        <v>1823</v>
      </c>
      <c r="H3462" s="23" t="str">
        <f t="shared" ca="1" si="368"/>
        <v/>
      </c>
      <c r="I3462" s="24" t="str">
        <f>IF(OR(E3462="",E3462="!!!",F3462="NEW"),"",INDEX(B$2:B3461,-1+SUMPRODUCT(MAX(ROW(E$2:E3461)*(E3462=E$2:E3461)))))</f>
        <v>other_2</v>
      </c>
      <c r="J3462" s="24">
        <f ca="1">IF(OR(E3462="",E3462="!!!",F3462="NEW"),"",COUNTBLANK(OFFSET(A$1,,,SUMPRODUCT(MAX(ROW(E$2:E3462)*(E3462=E$2:E3462)))))-COUNTBLANK(OFFSET(A$1,,,SUMPRODUCT(MAX(ROW(E$1:E3461)*(E2=E$1:E3461))))))</f>
        <v>0</v>
      </c>
      <c r="K3462" s="24">
        <f ca="1">IF(OR(E3462="",E3462="!!!",F3462="NEW"),"",INDEX(J$1:J3461,SUMPRODUCT(MAX(ROW(E$1:E3461)*(E3462=E$1:E3461)))))</f>
        <v>0</v>
      </c>
      <c r="L3462" s="25"/>
    </row>
    <row r="3463" spans="1:12" x14ac:dyDescent="0.2">
      <c r="A3463" t="s">
        <v>898</v>
      </c>
      <c r="E3463" s="20" t="str">
        <f t="shared" si="369"/>
        <v/>
      </c>
      <c r="F3463" s="21" t="str">
        <f>IF(OR(E3463="",E3463="!!!"),"",IF(NOT(ISNA(VLOOKUP(E3463,E$1:E3462,1,FALSE()))),"OLD",IF(AND(E3463&lt;&gt;"",E3463&lt;&gt;"!!!"),"NEW","")))</f>
        <v/>
      </c>
      <c r="G3463" s="22" t="str">
        <f>IF(OR(E3463="",E3463="!!!"),"",IF(OR(J3463=0,AND(J3463=1,K3463=1),AND(J3463=1,I3463="SBJ"),AND(J3463=1,I3463=0)),"?IN_FOCUS",IF(J3463&lt;=2,"?ACTIVATED",IF(J3463&lt;&gt;"","?FAMILIAR",IF(F3463="NEW",IF(ISNA(VLOOKUP(E3463,#REF!,1,FALSE())),"?TYPE_IDENTIFIABLE","?REFERENTIAL"),"_")))))</f>
        <v/>
      </c>
      <c r="H3463" s="23" t="str">
        <f t="shared" ca="1" si="368"/>
        <v/>
      </c>
      <c r="I3463" s="24" t="str">
        <f>IF(OR(E3463="",E3463="!!!",F3463="NEW"),"",INDEX(B$2:B3462,-1+SUMPRODUCT(MAX(ROW(E$2:E3462)*(E3463=E$2:E3462)))))</f>
        <v/>
      </c>
      <c r="J3463" s="24" t="str">
        <f ca="1">IF(OR(E3463="",E3463="!!!",F3463="NEW"),"",COUNTBLANK(OFFSET(A$1,,,SUMPRODUCT(MAX(ROW(E$2:E3463)*(E3463=E$2:E3463)))))-COUNTBLANK(OFFSET(A$1,,,SUMPRODUCT(MAX(ROW(E$1:E3462)*(E2=E$1:E3462))))))</f>
        <v/>
      </c>
      <c r="K3463" s="24" t="str">
        <f>IF(OR(E3463="",E3463="!!!",F3463="NEW"),"",INDEX(J$1:J3462,SUMPRODUCT(MAX(ROW(E$1:E3462)*(E3463=E$1:E3462)))))</f>
        <v/>
      </c>
      <c r="L3463" s="25"/>
    </row>
    <row r="3464" spans="1:12" x14ac:dyDescent="0.2">
      <c r="A3464" t="s">
        <v>964</v>
      </c>
      <c r="E3464" s="20" t="str">
        <f t="shared" si="369"/>
        <v/>
      </c>
      <c r="F3464" s="21" t="str">
        <f>IF(OR(E3464="",E3464="!!!"),"",IF(NOT(ISNA(VLOOKUP(E3464,E$1:E3463,1,FALSE()))),"OLD",IF(AND(E3464&lt;&gt;"",E3464&lt;&gt;"!!!"),"NEW","")))</f>
        <v/>
      </c>
      <c r="G3464" s="22" t="str">
        <f>IF(OR(E3464="",E3464="!!!"),"",IF(OR(J3464=0,AND(J3464=1,K3464=1),AND(J3464=1,I3464="SBJ"),AND(J3464=1,I3464=0)),"?IN_FOCUS",IF(J3464&lt;=2,"?ACTIVATED",IF(J3464&lt;&gt;"","?FAMILIAR",IF(F3464="NEW",IF(ISNA(VLOOKUP(E3464,#REF!,1,FALSE())),"?TYPE_IDENTIFIABLE","?REFERENTIAL"),"_")))))</f>
        <v/>
      </c>
      <c r="H3464" s="23" t="str">
        <f t="shared" ca="1" si="368"/>
        <v/>
      </c>
      <c r="I3464" s="24" t="str">
        <f>IF(OR(E3464="",E3464="!!!",F3464="NEW"),"",INDEX(B$2:B3463,-1+SUMPRODUCT(MAX(ROW(E$2:E3463)*(E3464=E$2:E3463)))))</f>
        <v/>
      </c>
      <c r="J3464" s="24" t="str">
        <f ca="1">IF(OR(E3464="",E3464="!!!",F3464="NEW"),"",COUNTBLANK(OFFSET(A$1,,,SUMPRODUCT(MAX(ROW(E$2:E3464)*(E3464=E$2:E3464)))))-COUNTBLANK(OFFSET(A$1,,,SUMPRODUCT(MAX(ROW(E$1:E3463)*(E2=E$1:E3463))))))</f>
        <v/>
      </c>
      <c r="K3464" s="24" t="str">
        <f>IF(OR(E3464="",E3464="!!!",F3464="NEW"),"",INDEX(J$1:J3463,SUMPRODUCT(MAX(ROW(E$1:E3463)*(E3464=E$1:E3463)))))</f>
        <v/>
      </c>
      <c r="L3464" s="25"/>
    </row>
    <row r="3465" spans="1:12" x14ac:dyDescent="0.2">
      <c r="A3465" t="s">
        <v>859</v>
      </c>
      <c r="E3465" s="20" t="str">
        <f t="shared" si="369"/>
        <v/>
      </c>
      <c r="F3465" s="21" t="str">
        <f>IF(OR(E3465="",E3465="!!!"),"",IF(NOT(ISNA(VLOOKUP(E3465,E$1:E3464,1,FALSE()))),"OLD",IF(AND(E3465&lt;&gt;"",E3465&lt;&gt;"!!!"),"NEW","")))</f>
        <v/>
      </c>
      <c r="G3465" s="22" t="str">
        <f>IF(OR(E3465="",E3465="!!!"),"",IF(OR(J3465=0,AND(J3465=1,K3465=1),AND(J3465=1,I3465="SBJ"),AND(J3465=1,I3465=0)),"?IN_FOCUS",IF(J3465&lt;=2,"?ACTIVATED",IF(J3465&lt;&gt;"","?FAMILIAR",IF(F3465="NEW",IF(ISNA(VLOOKUP(E3465,#REF!,1,FALSE())),"?TYPE_IDENTIFIABLE","?REFERENTIAL"),"_")))))</f>
        <v/>
      </c>
      <c r="H3465" s="23" t="str">
        <f t="shared" ca="1" si="368"/>
        <v/>
      </c>
      <c r="I3465" s="24" t="str">
        <f>IF(OR(E3465="",E3465="!!!",F3465="NEW"),"",INDEX(B$2:B3464,-1+SUMPRODUCT(MAX(ROW(E$2:E3464)*(E3465=E$2:E3464)))))</f>
        <v/>
      </c>
      <c r="J3465" s="24" t="str">
        <f ca="1">IF(OR(E3465="",E3465="!!!",F3465="NEW"),"",COUNTBLANK(OFFSET(A$1,,,SUMPRODUCT(MAX(ROW(E$2:E3465)*(E3465=E$2:E3465)))))-COUNTBLANK(OFFSET(A$1,,,SUMPRODUCT(MAX(ROW(E$1:E3464)*(E2=E$1:E3464))))))</f>
        <v/>
      </c>
      <c r="K3465" s="24" t="str">
        <f>IF(OR(E3465="",E3465="!!!",F3465="NEW"),"",INDEX(J$1:J3464,SUMPRODUCT(MAX(ROW(E$1:E3464)*(E3465=E$1:E3464)))))</f>
        <v/>
      </c>
      <c r="L3465" s="25"/>
    </row>
    <row r="3466" spans="1:12" x14ac:dyDescent="0.2">
      <c r="A3466" t="s">
        <v>78</v>
      </c>
      <c r="E3466" s="20" t="str">
        <f t="shared" si="369"/>
        <v/>
      </c>
      <c r="F3466" s="21" t="str">
        <f>IF(OR(E3466="",E3466="!!!"),"",IF(NOT(ISNA(VLOOKUP(E3466,E$1:E3465,1,FALSE()))),"OLD",IF(AND(E3466&lt;&gt;"",E3466&lt;&gt;"!!!"),"NEW","")))</f>
        <v/>
      </c>
      <c r="G3466" s="22" t="str">
        <f>IF(OR(E3466="",E3466="!!!"),"",IF(OR(J3466=0,AND(J3466=1,K3466=1),AND(J3466=1,I3466="SBJ"),AND(J3466=1,I3466=0)),"?IN_FOCUS",IF(J3466&lt;=2,"?ACTIVATED",IF(J3466&lt;&gt;"","?FAMILIAR",IF(F3466="NEW",IF(ISNA(VLOOKUP(E3466,#REF!,1,FALSE())),"?TYPE_IDENTIFIABLE","?REFERENTIAL"),"_")))))</f>
        <v/>
      </c>
      <c r="H3466" s="23" t="str">
        <f t="shared" ca="1" si="368"/>
        <v/>
      </c>
      <c r="I3466" s="24" t="str">
        <f>IF(OR(E3466="",E3466="!!!",F3466="NEW"),"",INDEX(B$2:B3465,-1+SUMPRODUCT(MAX(ROW(E$2:E3465)*(E3466=E$2:E3465)))))</f>
        <v/>
      </c>
      <c r="J3466" s="24" t="str">
        <f ca="1">IF(OR(E3466="",E3466="!!!",F3466="NEW"),"",COUNTBLANK(OFFSET(A$1,,,SUMPRODUCT(MAX(ROW(E$2:E3466)*(E3466=E$2:E3466)))))-COUNTBLANK(OFFSET(A$1,,,SUMPRODUCT(MAX(ROW(E$1:E3465)*(E2=E$1:E3465))))))</f>
        <v/>
      </c>
      <c r="K3466" s="24" t="str">
        <f>IF(OR(E3466="",E3466="!!!",F3466="NEW"),"",INDEX(J$1:J3465,SUMPRODUCT(MAX(ROW(E$1:E3465)*(E3466=E$1:E3465)))))</f>
        <v/>
      </c>
      <c r="L3466" s="25"/>
    </row>
    <row r="3467" spans="1:12" x14ac:dyDescent="0.2">
      <c r="A3467" t="s">
        <v>1183</v>
      </c>
      <c r="E3467" s="20" t="str">
        <f t="shared" si="369"/>
        <v/>
      </c>
      <c r="F3467" s="21" t="str">
        <f>IF(OR(E3467="",E3467="!!!"),"",IF(NOT(ISNA(VLOOKUP(E3467,E$1:E3466,1,FALSE()))),"OLD",IF(AND(E3467&lt;&gt;"",E3467&lt;&gt;"!!!"),"NEW","")))</f>
        <v/>
      </c>
      <c r="G3467" s="22" t="str">
        <f>IF(OR(E3467="",E3467="!!!"),"",IF(OR(J3467=0,AND(J3467=1,K3467=1),AND(J3467=1,I3467="SBJ"),AND(J3467=1,I3467=0)),"?IN_FOCUS",IF(J3467&lt;=2,"?ACTIVATED",IF(J3467&lt;&gt;"","?FAMILIAR",IF(F3467="NEW",IF(ISNA(VLOOKUP(E3467,#REF!,1,FALSE())),"?TYPE_IDENTIFIABLE","?REFERENTIAL"),"_")))))</f>
        <v/>
      </c>
      <c r="H3467" s="23" t="str">
        <f t="shared" ca="1" si="368"/>
        <v/>
      </c>
      <c r="I3467" s="24" t="str">
        <f>IF(OR(E3467="",E3467="!!!",F3467="NEW"),"",INDEX(B$2:B3466,-1+SUMPRODUCT(MAX(ROW(E$2:E3466)*(E3467=E$2:E3466)))))</f>
        <v/>
      </c>
      <c r="J3467" s="24" t="str">
        <f ca="1">IF(OR(E3467="",E3467="!!!",F3467="NEW"),"",COUNTBLANK(OFFSET(A$1,,,SUMPRODUCT(MAX(ROW(E$2:E3467)*(E3467=E$2:E3467)))))-COUNTBLANK(OFFSET(A$1,,,SUMPRODUCT(MAX(ROW(E$1:E3466)*(E2=E$1:E3466))))))</f>
        <v/>
      </c>
      <c r="K3467" s="24" t="str">
        <f>IF(OR(E3467="",E3467="!!!",F3467="NEW"),"",INDEX(J$1:J3466,SUMPRODUCT(MAX(ROW(E$1:E3466)*(E3467=E$1:E3466)))))</f>
        <v/>
      </c>
      <c r="L3467" s="25"/>
    </row>
    <row r="3468" spans="1:12" x14ac:dyDescent="0.2">
      <c r="A3468" t="s">
        <v>821</v>
      </c>
      <c r="E3468" s="20" t="str">
        <f t="shared" si="369"/>
        <v/>
      </c>
      <c r="F3468" s="21" t="str">
        <f>IF(OR(E3468="",E3468="!!!"),"",IF(NOT(ISNA(VLOOKUP(E3468,E$1:E3467,1,FALSE()))),"OLD",IF(AND(E3468&lt;&gt;"",E3468&lt;&gt;"!!!"),"NEW","")))</f>
        <v/>
      </c>
      <c r="G3468" s="22" t="str">
        <f>IF(OR(E3468="",E3468="!!!"),"",IF(OR(J3468=0,AND(J3468=1,K3468=1),AND(J3468=1,I3468="SBJ"),AND(J3468=1,I3468=0)),"?IN_FOCUS",IF(J3468&lt;=2,"?ACTIVATED",IF(J3468&lt;&gt;"","?FAMILIAR",IF(F3468="NEW",IF(ISNA(VLOOKUP(E3468,#REF!,1,FALSE())),"?TYPE_IDENTIFIABLE","?REFERENTIAL"),"_")))))</f>
        <v/>
      </c>
      <c r="H3468" s="23" t="str">
        <f t="shared" ca="1" si="368"/>
        <v/>
      </c>
      <c r="I3468" s="24" t="str">
        <f>IF(OR(E3468="",E3468="!!!",F3468="NEW"),"",INDEX(B$2:B3467,-1+SUMPRODUCT(MAX(ROW(E$2:E3467)*(E3468=E$2:E3467)))))</f>
        <v/>
      </c>
      <c r="J3468" s="24" t="str">
        <f ca="1">IF(OR(E3468="",E3468="!!!",F3468="NEW"),"",COUNTBLANK(OFFSET(A$1,,,SUMPRODUCT(MAX(ROW(E$2:E3468)*(E3468=E$2:E3468)))))-COUNTBLANK(OFFSET(A$1,,,SUMPRODUCT(MAX(ROW(E$1:E3467)*(E2=E$1:E3467))))))</f>
        <v/>
      </c>
      <c r="K3468" s="24" t="str">
        <f>IF(OR(E3468="",E3468="!!!",F3468="NEW"),"",INDEX(J$1:J3467,SUMPRODUCT(MAX(ROW(E$1:E3467)*(E3468=E$1:E3467)))))</f>
        <v/>
      </c>
      <c r="L3468" s="25"/>
    </row>
    <row r="3470" spans="1:12" x14ac:dyDescent="0.2">
      <c r="A3470" t="s">
        <v>1745</v>
      </c>
    </row>
    <row r="3471" spans="1:12" x14ac:dyDescent="0.2">
      <c r="A3471" t="s">
        <v>1746</v>
      </c>
      <c r="E3471" s="20" t="str">
        <f>IF(D3471="?OLD","!!!","")</f>
        <v/>
      </c>
      <c r="F3471" s="21" t="str">
        <f>IF(OR(E3471="",E3471="!!!"),"",IF(NOT(ISNA(VLOOKUP(E3471,E$1:E3470,1,FALSE()))),"OLD",IF(AND(E3471&lt;&gt;"",E3471&lt;&gt;"!!!"),"NEW","")))</f>
        <v/>
      </c>
      <c r="G3471" s="22" t="str">
        <f>IF(OR(E3471="",E3471="!!!"),"",IF(OR(J3471=0,AND(J3471=1,K3471=1),AND(J3471=1,I3471="SBJ"),AND(J3471=1,I3471=0)),"?IN_FOCUS",IF(J3471&lt;=2,"?ACTIVATED",IF(J3471&lt;&gt;"","?FAMILIAR",IF(F3471="NEW",IF(ISNA(VLOOKUP(E3471,#REF!,1,FALSE())),"?TYPE_IDENTIFIABLE","?REFERENTIAL"),"_")))))</f>
        <v/>
      </c>
      <c r="H3471" s="23" t="str">
        <f ca="1">IF(J3471&lt;&gt;1,"",IF(I3471="SBJ","CB","?"))</f>
        <v/>
      </c>
      <c r="I3471" s="24" t="str">
        <f>IF(OR(E3471="",E3471="!!!",F3471="NEW"),"",INDEX(B$2:B3470,-1+SUMPRODUCT(MAX(ROW(E$2:E3470)*(E3471=E$2:E3470)))))</f>
        <v/>
      </c>
      <c r="J3471" s="24" t="str">
        <f ca="1">IF(OR(E3471="",E3471="!!!",F3471="NEW"),"",COUNTBLANK(OFFSET(A$1,,,SUMPRODUCT(MAX(ROW(E$2:E3471)*(E3471=E$2:E3471)))))-COUNTBLANK(OFFSET(A$1,,,SUMPRODUCT(MAX(ROW(E$1:E3470)*(E2=E$1:E3470))))))</f>
        <v/>
      </c>
      <c r="K3471" s="24" t="str">
        <f>IF(OR(E3471="",E3471="!!!",F3471="NEW"),"",INDEX(J$1:J3470,SUMPRODUCT(MAX(ROW(E$1:E3470)*(E3471=E$1:E3470)))))</f>
        <v/>
      </c>
      <c r="L3471" s="25"/>
    </row>
    <row r="3472" spans="1:12" x14ac:dyDescent="0.2">
      <c r="A3472" t="s">
        <v>866</v>
      </c>
      <c r="B3472" s="26" t="s">
        <v>810</v>
      </c>
      <c r="C3472" s="26" t="s">
        <v>805</v>
      </c>
      <c r="D3472" s="26" t="s">
        <v>806</v>
      </c>
      <c r="E3472" s="20" t="s">
        <v>1761</v>
      </c>
      <c r="F3472" s="21" t="str">
        <f>IF(OR(E3472="",E3472="!!!"),"",IF(NOT(ISNA(VLOOKUP(E3472,E$1:E3471,1,FALSE()))),"OLD",IF(AND(E3472&lt;&gt;"",E3472&lt;&gt;"!!!"),"NEW","")))</f>
        <v>OLD</v>
      </c>
      <c r="G3472" s="22" t="s">
        <v>1822</v>
      </c>
      <c r="H3472" s="23" t="str">
        <f ca="1">IF(J3472&lt;&gt;1,"",IF(I3472="SBJ","CB","?"))</f>
        <v/>
      </c>
      <c r="I3472" s="24" t="str">
        <f>IF(OR(E3472="",E3472="!!!",F3472="NEW"),"",INDEX(B$2:B3471,-1+SUMPRODUCT(MAX(ROW(E$2:E3471)*(E3472=E$2:E3471)))))</f>
        <v>SBJ_3</v>
      </c>
      <c r="J3472" s="24">
        <f ca="1">IF(OR(E3472="",E3472="!!!",F3472="NEW"),"",COUNTBLANK(OFFSET(A$1,,,SUMPRODUCT(MAX(ROW(E$2:E3472)*(E3472=E$2:E3472)))))-COUNTBLANK(OFFSET(A$1,,,SUMPRODUCT(MAX(ROW(E$1:E3471)*(E2=E$1:E3471))))))</f>
        <v>0</v>
      </c>
      <c r="K3472" s="24">
        <f ca="1">IF(OR(E3472="",E3472="!!!",F3472="NEW"),"",INDEX(J$1:J3471,SUMPRODUCT(MAX(ROW(E$1:E3471)*(E3472=E$1:E3471)))))</f>
        <v>0</v>
      </c>
      <c r="L3472" s="25"/>
    </row>
    <row r="3473" spans="1:12" x14ac:dyDescent="0.2">
      <c r="A3473" t="s">
        <v>821</v>
      </c>
      <c r="E3473" s="20" t="str">
        <f>IF(D3473="?OLD","!!!","")</f>
        <v/>
      </c>
      <c r="F3473" s="21" t="str">
        <f>IF(OR(E3473="",E3473="!!!"),"",IF(NOT(ISNA(VLOOKUP(E3473,E$1:E3472,1,FALSE()))),"OLD",IF(AND(E3473&lt;&gt;"",E3473&lt;&gt;"!!!"),"NEW","")))</f>
        <v/>
      </c>
      <c r="G3473" s="22" t="str">
        <f>IF(OR(E3473="",E3473="!!!"),"",IF(OR(J3473=0,AND(J3473=1,K3473=1),AND(J3473=1,I3473="SBJ"),AND(J3473=1,I3473=0)),"?IN_FOCUS",IF(J3473&lt;=2,"?ACTIVATED",IF(J3473&lt;&gt;"","?FAMILIAR",IF(F3473="NEW",IF(ISNA(VLOOKUP(E3473,#REF!,1,FALSE())),"?TYPE_IDENTIFIABLE","?REFERENTIAL"),"_")))))</f>
        <v/>
      </c>
      <c r="H3473" s="23" t="str">
        <f ca="1">IF(J3473&lt;&gt;1,"",IF(I3473="SBJ","CB","?"))</f>
        <v/>
      </c>
      <c r="I3473" s="24" t="str">
        <f>IF(OR(E3473="",E3473="!!!",F3473="NEW"),"",INDEX(B$2:B3472,-1+SUMPRODUCT(MAX(ROW(E$2:E3472)*(E3473=E$2:E3472)))))</f>
        <v/>
      </c>
      <c r="J3473" s="24" t="str">
        <f ca="1">IF(OR(E3473="",E3473="!!!",F3473="NEW"),"",COUNTBLANK(OFFSET(A$1,,,SUMPRODUCT(MAX(ROW(E$2:E3473)*(E3473=E$2:E3473)))))-COUNTBLANK(OFFSET(A$1,,,SUMPRODUCT(MAX(ROW(E$1:E3472)*(E2=E$1:E3472))))))</f>
        <v/>
      </c>
      <c r="K3473" s="24" t="str">
        <f>IF(OR(E3473="",E3473="!!!",F3473="NEW"),"",INDEX(J$1:J3472,SUMPRODUCT(MAX(ROW(E$1:E3472)*(E3473=E$1:E3472)))))</f>
        <v/>
      </c>
      <c r="L3473" s="25"/>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Victor Pius Ruben Hans Hesse</cp:lastModifiedBy>
  <dcterms:created xsi:type="dcterms:W3CDTF">2025-07-10T18:06:59Z</dcterms:created>
  <dcterms:modified xsi:type="dcterms:W3CDTF">2025-09-14T22:09:53Z</dcterms:modified>
</cp:coreProperties>
</file>