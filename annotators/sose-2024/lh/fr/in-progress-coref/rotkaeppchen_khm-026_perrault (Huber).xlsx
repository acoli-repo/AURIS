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ah\Documents\Universität\Deutsch\SpraWi Vertiefung\Für die Abgabe\"/>
    </mc:Choice>
  </mc:AlternateContent>
  <xr:revisionPtr revIDLastSave="0" documentId="13_ncr:1_{1FD484D6-555D-4617-B2B7-EC2F9AC5745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entence-level annotation" sheetId="1" r:id="rId1"/>
    <sheet name="word-level anno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4" i="2" l="1"/>
  <c r="E909" i="2" l="1"/>
  <c r="E908" i="2"/>
  <c r="E906" i="2"/>
  <c r="G905" i="2"/>
  <c r="E905" i="2"/>
  <c r="E904" i="2"/>
  <c r="F903" i="2"/>
  <c r="F902" i="2"/>
  <c r="E902" i="2"/>
  <c r="G901" i="2"/>
  <c r="F901" i="2"/>
  <c r="K901" i="2" s="1"/>
  <c r="E901" i="2"/>
  <c r="G900" i="2"/>
  <c r="F900" i="2"/>
  <c r="E900" i="2"/>
  <c r="G899" i="2"/>
  <c r="F899" i="2"/>
  <c r="K899" i="2" s="1"/>
  <c r="E899" i="2"/>
  <c r="G898" i="2"/>
  <c r="F898" i="2"/>
  <c r="E898" i="2"/>
  <c r="E896" i="2"/>
  <c r="E895" i="2"/>
  <c r="E894" i="2"/>
  <c r="E893" i="2"/>
  <c r="G892" i="2"/>
  <c r="E892" i="2"/>
  <c r="E891" i="2"/>
  <c r="G890" i="2"/>
  <c r="F890" i="2"/>
  <c r="E890" i="2"/>
  <c r="G889" i="2"/>
  <c r="F889" i="2"/>
  <c r="I889" i="2" s="1"/>
  <c r="E889" i="2"/>
  <c r="E888" i="2"/>
  <c r="G885" i="2"/>
  <c r="F885" i="2"/>
  <c r="E885" i="2"/>
  <c r="G884" i="2"/>
  <c r="F884" i="2"/>
  <c r="K884" i="2" s="1"/>
  <c r="E884" i="2"/>
  <c r="F883" i="2"/>
  <c r="J883" i="2" s="1"/>
  <c r="H883" i="2" s="1"/>
  <c r="E883" i="2"/>
  <c r="F882" i="2"/>
  <c r="E881" i="2"/>
  <c r="E880" i="2"/>
  <c r="F879" i="2"/>
  <c r="I879" i="2" s="1"/>
  <c r="E879" i="2"/>
  <c r="E878" i="2"/>
  <c r="G877" i="2"/>
  <c r="E877" i="2"/>
  <c r="F877" i="2" s="1"/>
  <c r="K877" i="2" s="1"/>
  <c r="G875" i="2"/>
  <c r="F875" i="2"/>
  <c r="E875" i="2"/>
  <c r="E874" i="2"/>
  <c r="G873" i="2"/>
  <c r="F873" i="2"/>
  <c r="E873" i="2"/>
  <c r="F872" i="2"/>
  <c r="J872" i="2" s="1"/>
  <c r="H872" i="2" s="1"/>
  <c r="F871" i="2"/>
  <c r="J871" i="2" s="1"/>
  <c r="H871" i="2" s="1"/>
  <c r="E871" i="2"/>
  <c r="E870" i="2"/>
  <c r="F869" i="2"/>
  <c r="J869" i="2" s="1"/>
  <c r="H869" i="2" s="1"/>
  <c r="E867" i="2"/>
  <c r="E866" i="2"/>
  <c r="E865" i="2"/>
  <c r="F864" i="2"/>
  <c r="F863" i="2"/>
  <c r="I863" i="2" s="1"/>
  <c r="G862" i="2"/>
  <c r="F862" i="2"/>
  <c r="K862" i="2" s="1"/>
  <c r="E862" i="2"/>
  <c r="G861" i="2"/>
  <c r="F861" i="2"/>
  <c r="E861" i="2"/>
  <c r="F860" i="2"/>
  <c r="J860" i="2" s="1"/>
  <c r="H860" i="2" s="1"/>
  <c r="E859" i="2"/>
  <c r="F858" i="2"/>
  <c r="K858" i="2" s="1"/>
  <c r="E858" i="2"/>
  <c r="G858" i="2" s="1"/>
  <c r="E857" i="2"/>
  <c r="E856" i="2"/>
  <c r="E855" i="2"/>
  <c r="E854" i="2"/>
  <c r="G853" i="2"/>
  <c r="E853" i="2"/>
  <c r="F853" i="2" s="1"/>
  <c r="J853" i="2" s="1"/>
  <c r="H853" i="2" s="1"/>
  <c r="G851" i="2"/>
  <c r="F851" i="2"/>
  <c r="I851" i="2" s="1"/>
  <c r="E851" i="2"/>
  <c r="E850" i="2"/>
  <c r="G849" i="2"/>
  <c r="F849" i="2"/>
  <c r="J849" i="2" s="1"/>
  <c r="H849" i="2" s="1"/>
  <c r="E849" i="2"/>
  <c r="F848" i="2"/>
  <c r="E847" i="2"/>
  <c r="E846" i="2"/>
  <c r="F845" i="2"/>
  <c r="J845" i="2" s="1"/>
  <c r="H845" i="2" s="1"/>
  <c r="G843" i="2"/>
  <c r="F843" i="2"/>
  <c r="E843" i="2"/>
  <c r="E842" i="2"/>
  <c r="E841" i="2"/>
  <c r="F841" i="2" s="1"/>
  <c r="I841" i="2" s="1"/>
  <c r="F840" i="2"/>
  <c r="F839" i="2"/>
  <c r="I839" i="2" s="1"/>
  <c r="G838" i="2"/>
  <c r="F838" i="2"/>
  <c r="K838" i="2" s="1"/>
  <c r="E838" i="2"/>
  <c r="G837" i="2"/>
  <c r="F837" i="2"/>
  <c r="J837" i="2" s="1"/>
  <c r="H837" i="2" s="1"/>
  <c r="E837" i="2"/>
  <c r="G836" i="2"/>
  <c r="F836" i="2"/>
  <c r="E836" i="2"/>
  <c r="E835" i="2"/>
  <c r="F834" i="2"/>
  <c r="I834" i="2" s="1"/>
  <c r="E834" i="2"/>
  <c r="G834" i="2" s="1"/>
  <c r="E833" i="2"/>
  <c r="G832" i="2"/>
  <c r="E832" i="2"/>
  <c r="E831" i="2"/>
  <c r="G830" i="2"/>
  <c r="E830" i="2"/>
  <c r="E828" i="2"/>
  <c r="G827" i="2"/>
  <c r="F827" i="2"/>
  <c r="J827" i="2" s="1"/>
  <c r="H827" i="2" s="1"/>
  <c r="E827" i="2"/>
  <c r="E826" i="2"/>
  <c r="F825" i="2"/>
  <c r="I825" i="2" s="1"/>
  <c r="G824" i="2"/>
  <c r="F824" i="2"/>
  <c r="K824" i="2" s="1"/>
  <c r="E824" i="2"/>
  <c r="E823" i="2"/>
  <c r="F821" i="2"/>
  <c r="J821" i="2" s="1"/>
  <c r="H821" i="2" s="1"/>
  <c r="E820" i="2"/>
  <c r="E819" i="2"/>
  <c r="G818" i="2"/>
  <c r="E818" i="2"/>
  <c r="F817" i="2"/>
  <c r="G815" i="2"/>
  <c r="F815" i="2"/>
  <c r="E815" i="2"/>
  <c r="E814" i="2"/>
  <c r="G813" i="2"/>
  <c r="F813" i="2"/>
  <c r="E813" i="2"/>
  <c r="G812" i="2"/>
  <c r="F812" i="2"/>
  <c r="E812" i="2"/>
  <c r="E811" i="2"/>
  <c r="E810" i="2"/>
  <c r="E809" i="2"/>
  <c r="G808" i="2"/>
  <c r="E808" i="2"/>
  <c r="F807" i="2"/>
  <c r="G806" i="2"/>
  <c r="E806" i="2"/>
  <c r="E805" i="2"/>
  <c r="G804" i="2"/>
  <c r="F804" i="2"/>
  <c r="E804" i="2"/>
  <c r="F803" i="2"/>
  <c r="J803" i="2" s="1"/>
  <c r="H803" i="2" s="1"/>
  <c r="G802" i="2"/>
  <c r="F802" i="2"/>
  <c r="E802" i="2"/>
  <c r="G801" i="2"/>
  <c r="F801" i="2"/>
  <c r="E801" i="2"/>
  <c r="F800" i="2"/>
  <c r="F798" i="2"/>
  <c r="J798" i="2" s="1"/>
  <c r="H798" i="2" s="1"/>
  <c r="E798" i="2"/>
  <c r="G798" i="2" s="1"/>
  <c r="E797" i="2"/>
  <c r="G796" i="2"/>
  <c r="E796" i="2"/>
  <c r="E793" i="2"/>
  <c r="E792" i="2"/>
  <c r="F791" i="2"/>
  <c r="E790" i="2"/>
  <c r="F789" i="2"/>
  <c r="E789" i="2"/>
  <c r="G789" i="2" s="1"/>
  <c r="G788" i="2"/>
  <c r="F788" i="2"/>
  <c r="J788" i="2" s="1"/>
  <c r="H788" i="2" s="1"/>
  <c r="E788" i="2"/>
  <c r="F787" i="2"/>
  <c r="E787" i="2"/>
  <c r="E786" i="2"/>
  <c r="E785" i="2"/>
  <c r="G783" i="2"/>
  <c r="F783" i="2"/>
  <c r="I783" i="2" s="1"/>
  <c r="E783" i="2"/>
  <c r="E782" i="2"/>
  <c r="E781" i="2"/>
  <c r="F780" i="2"/>
  <c r="I780" i="2" s="1"/>
  <c r="G779" i="2"/>
  <c r="F779" i="2"/>
  <c r="J779" i="2" s="1"/>
  <c r="H779" i="2" s="1"/>
  <c r="E779" i="2"/>
  <c r="G778" i="2"/>
  <c r="F778" i="2"/>
  <c r="K778" i="2" s="1"/>
  <c r="E778" i="2"/>
  <c r="F777" i="2"/>
  <c r="F776" i="2"/>
  <c r="J776" i="2" s="1"/>
  <c r="H776" i="2" s="1"/>
  <c r="F775" i="2"/>
  <c r="K775" i="2" s="1"/>
  <c r="E775" i="2"/>
  <c r="E774" i="2"/>
  <c r="E771" i="2"/>
  <c r="G770" i="2"/>
  <c r="E770" i="2"/>
  <c r="E767" i="2"/>
  <c r="F766" i="2"/>
  <c r="E766" i="2"/>
  <c r="F765" i="2"/>
  <c r="G764" i="2"/>
  <c r="F764" i="2"/>
  <c r="E764" i="2"/>
  <c r="F763" i="2"/>
  <c r="J763" i="2" s="1"/>
  <c r="H763" i="2" s="1"/>
  <c r="E763" i="2"/>
  <c r="G763" i="2" s="1"/>
  <c r="G762" i="2"/>
  <c r="F762" i="2"/>
  <c r="E762" i="2"/>
  <c r="G759" i="2"/>
  <c r="F759" i="2"/>
  <c r="E759" i="2"/>
  <c r="E758" i="2"/>
  <c r="E757" i="2"/>
  <c r="E756" i="2"/>
  <c r="E755" i="2"/>
  <c r="G754" i="2"/>
  <c r="F754" i="2"/>
  <c r="K754" i="2" s="1"/>
  <c r="E754" i="2"/>
  <c r="F753" i="2"/>
  <c r="G752" i="2"/>
  <c r="F752" i="2"/>
  <c r="K752" i="2" s="1"/>
  <c r="E752" i="2"/>
  <c r="F751" i="2"/>
  <c r="K751" i="2" s="1"/>
  <c r="E751" i="2"/>
  <c r="G751" i="2" s="1"/>
  <c r="G750" i="2"/>
  <c r="F750" i="2"/>
  <c r="J750" i="2" s="1"/>
  <c r="H750" i="2" s="1"/>
  <c r="E750" i="2"/>
  <c r="F749" i="2"/>
  <c r="E749" i="2"/>
  <c r="G748" i="2"/>
  <c r="F748" i="2"/>
  <c r="E748" i="2"/>
  <c r="F747" i="2"/>
  <c r="E747" i="2"/>
  <c r="F746" i="2"/>
  <c r="E745" i="2"/>
  <c r="E744" i="2"/>
  <c r="G743" i="2"/>
  <c r="E743" i="2"/>
  <c r="G742" i="2"/>
  <c r="F742" i="2"/>
  <c r="E742" i="2"/>
  <c r="F741" i="2"/>
  <c r="E740" i="2"/>
  <c r="F739" i="2"/>
  <c r="E738" i="2"/>
  <c r="F737" i="2"/>
  <c r="I737" i="2" s="1"/>
  <c r="E737" i="2"/>
  <c r="G734" i="2"/>
  <c r="F734" i="2"/>
  <c r="I734" i="2" s="1"/>
  <c r="E734" i="2"/>
  <c r="E732" i="2"/>
  <c r="G731" i="2"/>
  <c r="F731" i="2"/>
  <c r="E731" i="2"/>
  <c r="E729" i="2"/>
  <c r="E728" i="2"/>
  <c r="G727" i="2"/>
  <c r="E727" i="2"/>
  <c r="E726" i="2"/>
  <c r="G725" i="2"/>
  <c r="E725" i="2"/>
  <c r="G724" i="2"/>
  <c r="F724" i="2"/>
  <c r="E724" i="2"/>
  <c r="G723" i="2"/>
  <c r="F723" i="2"/>
  <c r="E723" i="2"/>
  <c r="F722" i="2"/>
  <c r="J722" i="2" s="1"/>
  <c r="H722" i="2" s="1"/>
  <c r="E722" i="2"/>
  <c r="G722" i="2" s="1"/>
  <c r="G721" i="2"/>
  <c r="E721" i="2"/>
  <c r="E720" i="2"/>
  <c r="E719" i="2"/>
  <c r="E718" i="2"/>
  <c r="E717" i="2"/>
  <c r="F717" i="2" s="1"/>
  <c r="J717" i="2" s="1"/>
  <c r="H717" i="2" s="1"/>
  <c r="E716" i="2"/>
  <c r="E715" i="2"/>
  <c r="E714" i="2"/>
  <c r="E713" i="2"/>
  <c r="G712" i="2"/>
  <c r="F712" i="2"/>
  <c r="E712" i="2"/>
  <c r="G711" i="2"/>
  <c r="F711" i="2"/>
  <c r="K711" i="2" s="1"/>
  <c r="E711" i="2"/>
  <c r="F710" i="2"/>
  <c r="J710" i="2" s="1"/>
  <c r="H710" i="2" s="1"/>
  <c r="E710" i="2"/>
  <c r="G710" i="2" s="1"/>
  <c r="G709" i="2"/>
  <c r="E709" i="2"/>
  <c r="F709" i="2" s="1"/>
  <c r="K709" i="2" s="1"/>
  <c r="E708" i="2"/>
  <c r="E707" i="2"/>
  <c r="E706" i="2"/>
  <c r="E704" i="2"/>
  <c r="G703" i="2"/>
  <c r="E703" i="2"/>
  <c r="F703" i="2" s="1"/>
  <c r="E701" i="2"/>
  <c r="G700" i="2"/>
  <c r="F700" i="2"/>
  <c r="I700" i="2" s="1"/>
  <c r="E700" i="2"/>
  <c r="E699" i="2"/>
  <c r="G697" i="2"/>
  <c r="E697" i="2"/>
  <c r="F697" i="2" s="1"/>
  <c r="E695" i="2"/>
  <c r="G695" i="2" s="1"/>
  <c r="G692" i="2"/>
  <c r="F692" i="2"/>
  <c r="I692" i="2" s="1"/>
  <c r="E692" i="2"/>
  <c r="F691" i="2"/>
  <c r="E691" i="2"/>
  <c r="G690" i="2"/>
  <c r="F690" i="2"/>
  <c r="E690" i="2"/>
  <c r="E689" i="2"/>
  <c r="E688" i="2"/>
  <c r="G688" i="2" s="1"/>
  <c r="G687" i="2"/>
  <c r="F687" i="2"/>
  <c r="E687" i="2"/>
  <c r="E686" i="2"/>
  <c r="G685" i="2"/>
  <c r="F685" i="2"/>
  <c r="E685" i="2"/>
  <c r="E684" i="2"/>
  <c r="G683" i="2"/>
  <c r="E683" i="2"/>
  <c r="F683" i="2" s="1"/>
  <c r="G682" i="2"/>
  <c r="F682" i="2"/>
  <c r="I682" i="2" s="1"/>
  <c r="E682" i="2"/>
  <c r="E680" i="2"/>
  <c r="E679" i="2"/>
  <c r="G678" i="2"/>
  <c r="F678" i="2"/>
  <c r="E678" i="2"/>
  <c r="E677" i="2"/>
  <c r="E676" i="2"/>
  <c r="G676" i="2" s="1"/>
  <c r="E673" i="2"/>
  <c r="E672" i="2"/>
  <c r="E671" i="2"/>
  <c r="G670" i="2"/>
  <c r="F670" i="2"/>
  <c r="E670" i="2"/>
  <c r="G669" i="2"/>
  <c r="E669" i="2"/>
  <c r="F669" i="2" s="1"/>
  <c r="G668" i="2"/>
  <c r="F668" i="2"/>
  <c r="I668" i="2" s="1"/>
  <c r="E668" i="2"/>
  <c r="E667" i="2"/>
  <c r="G667" i="2" s="1"/>
  <c r="E666" i="2"/>
  <c r="E665" i="2"/>
  <c r="F664" i="2"/>
  <c r="G662" i="2"/>
  <c r="E662" i="2"/>
  <c r="F662" i="2" s="1"/>
  <c r="G661" i="2"/>
  <c r="F661" i="2"/>
  <c r="K661" i="2" s="1"/>
  <c r="E661" i="2"/>
  <c r="F660" i="2"/>
  <c r="K660" i="2" s="1"/>
  <c r="E660" i="2"/>
  <c r="F659" i="2"/>
  <c r="E659" i="2"/>
  <c r="E658" i="2"/>
  <c r="F657" i="2"/>
  <c r="J657" i="2" s="1"/>
  <c r="H657" i="2" s="1"/>
  <c r="F656" i="2"/>
  <c r="E655" i="2"/>
  <c r="E654" i="2"/>
  <c r="G654" i="2" s="1"/>
  <c r="E653" i="2"/>
  <c r="G650" i="2"/>
  <c r="F650" i="2"/>
  <c r="K650" i="2" s="1"/>
  <c r="E650" i="2"/>
  <c r="E649" i="2"/>
  <c r="F648" i="2"/>
  <c r="J648" i="2" s="1"/>
  <c r="H648" i="2" s="1"/>
  <c r="F647" i="2"/>
  <c r="F646" i="2"/>
  <c r="E645" i="2"/>
  <c r="G644" i="2"/>
  <c r="E644" i="2"/>
  <c r="E643" i="2"/>
  <c r="G642" i="2"/>
  <c r="F642" i="2"/>
  <c r="I642" i="2" s="1"/>
  <c r="E642" i="2"/>
  <c r="F641" i="2"/>
  <c r="J641" i="2" s="1"/>
  <c r="H641" i="2" s="1"/>
  <c r="E641" i="2"/>
  <c r="G641" i="2" s="1"/>
  <c r="F640" i="2"/>
  <c r="E640" i="2"/>
  <c r="G639" i="2"/>
  <c r="F639" i="2"/>
  <c r="I639" i="2" s="1"/>
  <c r="E639" i="2"/>
  <c r="F638" i="2"/>
  <c r="E638" i="2"/>
  <c r="E637" i="2"/>
  <c r="G637" i="2" s="1"/>
  <c r="E636" i="2"/>
  <c r="E635" i="2"/>
  <c r="G632" i="2"/>
  <c r="E632" i="2"/>
  <c r="F632" i="2" s="1"/>
  <c r="K632" i="2" s="1"/>
  <c r="E631" i="2"/>
  <c r="F630" i="2"/>
  <c r="I630" i="2" s="1"/>
  <c r="F629" i="2"/>
  <c r="E629" i="2"/>
  <c r="F628" i="2"/>
  <c r="K628" i="2" s="1"/>
  <c r="E628" i="2"/>
  <c r="G627" i="2"/>
  <c r="F627" i="2"/>
  <c r="K627" i="2" s="1"/>
  <c r="E627" i="2"/>
  <c r="E624" i="2"/>
  <c r="E623" i="2"/>
  <c r="E620" i="2"/>
  <c r="F619" i="2"/>
  <c r="E619" i="2"/>
  <c r="G618" i="2"/>
  <c r="E618" i="2"/>
  <c r="F618" i="2" s="1"/>
  <c r="K618" i="2" s="1"/>
  <c r="G617" i="2"/>
  <c r="F617" i="2"/>
  <c r="E617" i="2"/>
  <c r="G616" i="2"/>
  <c r="F616" i="2"/>
  <c r="K616" i="2" s="1"/>
  <c r="E616" i="2"/>
  <c r="F615" i="2"/>
  <c r="G613" i="2"/>
  <c r="F613" i="2"/>
  <c r="E613" i="2"/>
  <c r="E612" i="2"/>
  <c r="E611" i="2"/>
  <c r="G611" i="2" s="1"/>
  <c r="E610" i="2"/>
  <c r="E609" i="2"/>
  <c r="G608" i="2"/>
  <c r="F608" i="2"/>
  <c r="E608" i="2"/>
  <c r="E607" i="2"/>
  <c r="G606" i="2"/>
  <c r="E606" i="2"/>
  <c r="F606" i="2" s="1"/>
  <c r="G605" i="2"/>
  <c r="F605" i="2"/>
  <c r="I605" i="2" s="1"/>
  <c r="E605" i="2"/>
  <c r="G604" i="2"/>
  <c r="F604" i="2"/>
  <c r="K604" i="2" s="1"/>
  <c r="E604" i="2"/>
  <c r="F603" i="2"/>
  <c r="J603" i="2" s="1"/>
  <c r="H603" i="2" s="1"/>
  <c r="F602" i="2"/>
  <c r="K602" i="2" s="1"/>
  <c r="E602" i="2"/>
  <c r="G601" i="2"/>
  <c r="F601" i="2"/>
  <c r="E601" i="2"/>
  <c r="E599" i="2"/>
  <c r="G599" i="2" s="1"/>
  <c r="E598" i="2"/>
  <c r="E597" i="2"/>
  <c r="E595" i="2"/>
  <c r="G594" i="2"/>
  <c r="F594" i="2"/>
  <c r="G592" i="2"/>
  <c r="F592" i="2"/>
  <c r="K592" i="2" s="1"/>
  <c r="E592" i="2"/>
  <c r="G591" i="2"/>
  <c r="F591" i="2"/>
  <c r="E591" i="2"/>
  <c r="E590" i="2"/>
  <c r="G589" i="2"/>
  <c r="F589" i="2"/>
  <c r="E589" i="2"/>
  <c r="G588" i="2"/>
  <c r="F588" i="2"/>
  <c r="E588" i="2"/>
  <c r="E587" i="2"/>
  <c r="G587" i="2" s="1"/>
  <c r="F586" i="2"/>
  <c r="E585" i="2"/>
  <c r="E584" i="2"/>
  <c r="G581" i="2"/>
  <c r="F581" i="2"/>
  <c r="E581" i="2"/>
  <c r="G580" i="2"/>
  <c r="E580" i="2"/>
  <c r="F580" i="2" s="1"/>
  <c r="G579" i="2"/>
  <c r="F579" i="2"/>
  <c r="I579" i="2" s="1"/>
  <c r="E579" i="2"/>
  <c r="G578" i="2"/>
  <c r="F578" i="2"/>
  <c r="I578" i="2" s="1"/>
  <c r="E578" i="2"/>
  <c r="G577" i="2"/>
  <c r="F577" i="2"/>
  <c r="K577" i="2" s="1"/>
  <c r="E577" i="2"/>
  <c r="E576" i="2"/>
  <c r="G575" i="2"/>
  <c r="F575" i="2"/>
  <c r="I575" i="2" s="1"/>
  <c r="E575" i="2"/>
  <c r="F574" i="2"/>
  <c r="E574" i="2"/>
  <c r="E573" i="2"/>
  <c r="G573" i="2" s="1"/>
  <c r="E572" i="2"/>
  <c r="E571" i="2"/>
  <c r="G570" i="2"/>
  <c r="F570" i="2"/>
  <c r="K570" i="2" s="1"/>
  <c r="E570" i="2"/>
  <c r="F569" i="2"/>
  <c r="E569" i="2"/>
  <c r="G568" i="2"/>
  <c r="E568" i="2"/>
  <c r="F568" i="2" s="1"/>
  <c r="F566" i="2"/>
  <c r="E566" i="2"/>
  <c r="G566" i="2" s="1"/>
  <c r="E565" i="2"/>
  <c r="G565" i="2" s="1"/>
  <c r="G563" i="2"/>
  <c r="F563" i="2"/>
  <c r="K563" i="2" s="1"/>
  <c r="E563" i="2"/>
  <c r="E562" i="2"/>
  <c r="E561" i="2"/>
  <c r="G561" i="2" s="1"/>
  <c r="F560" i="2"/>
  <c r="J560" i="2" s="1"/>
  <c r="H560" i="2" s="1"/>
  <c r="E560" i="2"/>
  <c r="G559" i="2"/>
  <c r="E559" i="2"/>
  <c r="G557" i="2"/>
  <c r="E557" i="2"/>
  <c r="G556" i="2"/>
  <c r="E556" i="2"/>
  <c r="F556" i="2" s="1"/>
  <c r="I556" i="2" s="1"/>
  <c r="E555" i="2"/>
  <c r="F554" i="2"/>
  <c r="J554" i="2" s="1"/>
  <c r="H554" i="2" s="1"/>
  <c r="E554" i="2"/>
  <c r="G554" i="2" s="1"/>
  <c r="E553" i="2"/>
  <c r="E552" i="2"/>
  <c r="G552" i="2" s="1"/>
  <c r="E551" i="2"/>
  <c r="F549" i="2"/>
  <c r="K549" i="2" s="1"/>
  <c r="E549" i="2"/>
  <c r="E548" i="2"/>
  <c r="G547" i="2"/>
  <c r="F547" i="2"/>
  <c r="I547" i="2" s="1"/>
  <c r="E547" i="2"/>
  <c r="F546" i="2"/>
  <c r="I546" i="2" s="1"/>
  <c r="E546" i="2"/>
  <c r="F545" i="2"/>
  <c r="J545" i="2" s="1"/>
  <c r="H545" i="2" s="1"/>
  <c r="E545" i="2"/>
  <c r="G545" i="2" s="1"/>
  <c r="F544" i="2"/>
  <c r="I544" i="2" s="1"/>
  <c r="E543" i="2"/>
  <c r="G540" i="2"/>
  <c r="F540" i="2"/>
  <c r="E540" i="2"/>
  <c r="E539" i="2"/>
  <c r="E538" i="2"/>
  <c r="G538" i="2" s="1"/>
  <c r="E537" i="2"/>
  <c r="F537" i="2" s="1"/>
  <c r="E535" i="2"/>
  <c r="E534" i="2"/>
  <c r="G533" i="2"/>
  <c r="F533" i="2"/>
  <c r="I533" i="2" s="1"/>
  <c r="E533" i="2"/>
  <c r="E532" i="2"/>
  <c r="F532" i="2" s="1"/>
  <c r="F531" i="2"/>
  <c r="I531" i="2" s="1"/>
  <c r="E531" i="2"/>
  <c r="G531" i="2" s="1"/>
  <c r="E530" i="2"/>
  <c r="E529" i="2"/>
  <c r="F528" i="2"/>
  <c r="I528" i="2" s="1"/>
  <c r="G527" i="2"/>
  <c r="F527" i="2"/>
  <c r="E527" i="2"/>
  <c r="E526" i="2"/>
  <c r="G526" i="2" s="1"/>
  <c r="G525" i="2"/>
  <c r="F525" i="2"/>
  <c r="J525" i="2" s="1"/>
  <c r="H525" i="2" s="1"/>
  <c r="E525" i="2"/>
  <c r="E524" i="2"/>
  <c r="E523" i="2"/>
  <c r="G522" i="2"/>
  <c r="F522" i="2"/>
  <c r="E522" i="2"/>
  <c r="G521" i="2"/>
  <c r="F521" i="2"/>
  <c r="I521" i="2" s="1"/>
  <c r="E521" i="2"/>
  <c r="F520" i="2"/>
  <c r="I520" i="2" s="1"/>
  <c r="F519" i="2"/>
  <c r="K519" i="2" s="1"/>
  <c r="E519" i="2"/>
  <c r="G519" i="2" s="1"/>
  <c r="G518" i="2"/>
  <c r="F518" i="2"/>
  <c r="E518" i="2"/>
  <c r="F517" i="2"/>
  <c r="G516" i="2"/>
  <c r="F516" i="2"/>
  <c r="E516" i="2"/>
  <c r="E515" i="2"/>
  <c r="E514" i="2"/>
  <c r="G514" i="2" s="1"/>
  <c r="G513" i="2"/>
  <c r="E513" i="2"/>
  <c r="E508" i="2"/>
  <c r="G507" i="2"/>
  <c r="F507" i="2"/>
  <c r="E507" i="2"/>
  <c r="E506" i="2"/>
  <c r="F505" i="2"/>
  <c r="I505" i="2" s="1"/>
  <c r="E505" i="2"/>
  <c r="G505" i="2" s="1"/>
  <c r="E504" i="2"/>
  <c r="G504" i="2" s="1"/>
  <c r="F503" i="2"/>
  <c r="E503" i="2"/>
  <c r="G502" i="2"/>
  <c r="F502" i="2"/>
  <c r="E502" i="2"/>
  <c r="E501" i="2"/>
  <c r="E500" i="2"/>
  <c r="G500" i="2" s="1"/>
  <c r="F499" i="2"/>
  <c r="I499" i="2" s="1"/>
  <c r="E499" i="2"/>
  <c r="G497" i="2"/>
  <c r="E497" i="2"/>
  <c r="F497" i="2" s="1"/>
  <c r="E496" i="2"/>
  <c r="G495" i="2"/>
  <c r="F495" i="2"/>
  <c r="K495" i="2" s="1"/>
  <c r="E495" i="2"/>
  <c r="E494" i="2"/>
  <c r="F491" i="2"/>
  <c r="E491" i="2"/>
  <c r="G491" i="2" s="1"/>
  <c r="E490" i="2"/>
  <c r="E489" i="2"/>
  <c r="G488" i="2"/>
  <c r="F488" i="2"/>
  <c r="K488" i="2" s="1"/>
  <c r="E488" i="2"/>
  <c r="E487" i="2"/>
  <c r="E486" i="2"/>
  <c r="G486" i="2" s="1"/>
  <c r="E485" i="2"/>
  <c r="E484" i="2"/>
  <c r="F483" i="2"/>
  <c r="K483" i="2" s="1"/>
  <c r="E483" i="2"/>
  <c r="G483" i="2" s="1"/>
  <c r="F482" i="2"/>
  <c r="E482" i="2"/>
  <c r="F481" i="2"/>
  <c r="G480" i="2"/>
  <c r="F480" i="2"/>
  <c r="E480" i="2"/>
  <c r="F479" i="2"/>
  <c r="K479" i="2" s="1"/>
  <c r="E479" i="2"/>
  <c r="G479" i="2" s="1"/>
  <c r="G478" i="2"/>
  <c r="E478" i="2"/>
  <c r="F477" i="2"/>
  <c r="K477" i="2" s="1"/>
  <c r="E477" i="2"/>
  <c r="G476" i="2"/>
  <c r="F476" i="2"/>
  <c r="I476" i="2" s="1"/>
  <c r="E476" i="2"/>
  <c r="E473" i="2"/>
  <c r="E472" i="2"/>
  <c r="F471" i="2"/>
  <c r="K471" i="2" s="1"/>
  <c r="E471" i="2"/>
  <c r="E470" i="2"/>
  <c r="G469" i="2"/>
  <c r="F469" i="2"/>
  <c r="K469" i="2" s="1"/>
  <c r="E469" i="2"/>
  <c r="F468" i="2"/>
  <c r="I468" i="2" s="1"/>
  <c r="F467" i="2"/>
  <c r="I467" i="2" s="1"/>
  <c r="E467" i="2"/>
  <c r="G467" i="2" s="1"/>
  <c r="G466" i="2"/>
  <c r="F466" i="2"/>
  <c r="E466" i="2"/>
  <c r="G464" i="2"/>
  <c r="F464" i="2"/>
  <c r="E464" i="2"/>
  <c r="E462" i="2"/>
  <c r="G462" i="2" s="1"/>
  <c r="E461" i="2"/>
  <c r="E460" i="2"/>
  <c r="G459" i="2"/>
  <c r="F459" i="2"/>
  <c r="E459" i="2"/>
  <c r="F456" i="2"/>
  <c r="E456" i="2"/>
  <c r="G455" i="2"/>
  <c r="E455" i="2"/>
  <c r="F455" i="2" s="1"/>
  <c r="F454" i="2"/>
  <c r="I454" i="2" s="1"/>
  <c r="F453" i="2"/>
  <c r="F451" i="2"/>
  <c r="K451" i="2" s="1"/>
  <c r="E451" i="2"/>
  <c r="G450" i="2"/>
  <c r="F450" i="2"/>
  <c r="E450" i="2"/>
  <c r="G449" i="2"/>
  <c r="F449" i="2"/>
  <c r="E449" i="2"/>
  <c r="E448" i="2"/>
  <c r="G448" i="2" s="1"/>
  <c r="E447" i="2"/>
  <c r="E446" i="2"/>
  <c r="G445" i="2"/>
  <c r="E445" i="2"/>
  <c r="E444" i="2"/>
  <c r="G443" i="2"/>
  <c r="E443" i="2"/>
  <c r="F443" i="2" s="1"/>
  <c r="E442" i="2"/>
  <c r="F441" i="2"/>
  <c r="K441" i="2" s="1"/>
  <c r="E441" i="2"/>
  <c r="G441" i="2" s="1"/>
  <c r="F440" i="2"/>
  <c r="I440" i="2" s="1"/>
  <c r="F439" i="2"/>
  <c r="E438" i="2"/>
  <c r="F437" i="2"/>
  <c r="K437" i="2" s="1"/>
  <c r="E437" i="2"/>
  <c r="F436" i="2"/>
  <c r="J436" i="2" s="1"/>
  <c r="H436" i="2" s="1"/>
  <c r="E435" i="2"/>
  <c r="G435" i="2" s="1"/>
  <c r="E434" i="2"/>
  <c r="G434" i="2" s="1"/>
  <c r="E432" i="2"/>
  <c r="E431" i="2"/>
  <c r="E430" i="2"/>
  <c r="G429" i="2"/>
  <c r="E429" i="2"/>
  <c r="F429" i="2" s="1"/>
  <c r="J429" i="2" s="1"/>
  <c r="H429" i="2" s="1"/>
  <c r="F427" i="2"/>
  <c r="K427" i="2" s="1"/>
  <c r="E427" i="2"/>
  <c r="G427" i="2" s="1"/>
  <c r="E426" i="2"/>
  <c r="F425" i="2"/>
  <c r="K425" i="2" s="1"/>
  <c r="E425" i="2"/>
  <c r="F424" i="2"/>
  <c r="E422" i="2"/>
  <c r="G422" i="2" s="1"/>
  <c r="E421" i="2"/>
  <c r="E420" i="2"/>
  <c r="E419" i="2"/>
  <c r="F419" i="2" s="1"/>
  <c r="G418" i="2"/>
  <c r="E418" i="2"/>
  <c r="G417" i="2"/>
  <c r="E417" i="2"/>
  <c r="F417" i="2" s="1"/>
  <c r="F416" i="2"/>
  <c r="F415" i="2"/>
  <c r="K415" i="2" s="1"/>
  <c r="E415" i="2"/>
  <c r="G415" i="2" s="1"/>
  <c r="E414" i="2"/>
  <c r="E411" i="2"/>
  <c r="G410" i="2"/>
  <c r="F410" i="2"/>
  <c r="K410" i="2" s="1"/>
  <c r="E410" i="2"/>
  <c r="E409" i="2"/>
  <c r="E408" i="2"/>
  <c r="G408" i="2" s="1"/>
  <c r="E407" i="2"/>
  <c r="E406" i="2"/>
  <c r="E404" i="2"/>
  <c r="F403" i="2"/>
  <c r="E402" i="2"/>
  <c r="F402" i="2" s="1"/>
  <c r="F401" i="2"/>
  <c r="J401" i="2" s="1"/>
  <c r="H401" i="2" s="1"/>
  <c r="E401" i="2"/>
  <c r="G401" i="2" s="1"/>
  <c r="E400" i="2"/>
  <c r="F400" i="2" s="1"/>
  <c r="E399" i="2"/>
  <c r="G398" i="2"/>
  <c r="F398" i="2"/>
  <c r="E398" i="2"/>
  <c r="E397" i="2"/>
  <c r="E396" i="2"/>
  <c r="G396" i="2" s="1"/>
  <c r="G395" i="2"/>
  <c r="E395" i="2"/>
  <c r="E394" i="2"/>
  <c r="G393" i="2"/>
  <c r="F393" i="2"/>
  <c r="E393" i="2"/>
  <c r="E392" i="2"/>
  <c r="F391" i="2"/>
  <c r="E390" i="2"/>
  <c r="F387" i="2"/>
  <c r="J387" i="2" s="1"/>
  <c r="H387" i="2" s="1"/>
  <c r="E387" i="2"/>
  <c r="G387" i="2" s="1"/>
  <c r="E386" i="2"/>
  <c r="F385" i="2"/>
  <c r="G384" i="2"/>
  <c r="F384" i="2"/>
  <c r="E384" i="2"/>
  <c r="E383" i="2"/>
  <c r="E382" i="2"/>
  <c r="G382" i="2" s="1"/>
  <c r="G381" i="2"/>
  <c r="F381" i="2"/>
  <c r="I381" i="2" s="1"/>
  <c r="E381" i="2"/>
  <c r="E380" i="2"/>
  <c r="E379" i="2"/>
  <c r="F379" i="2" s="1"/>
  <c r="E378" i="2"/>
  <c r="F378" i="2" s="1"/>
  <c r="G377" i="2"/>
  <c r="E377" i="2"/>
  <c r="F377" i="2" s="1"/>
  <c r="E376" i="2"/>
  <c r="F375" i="2"/>
  <c r="K375" i="2" s="1"/>
  <c r="E375" i="2"/>
  <c r="G375" i="2" s="1"/>
  <c r="E374" i="2"/>
  <c r="F373" i="2"/>
  <c r="K373" i="2" s="1"/>
  <c r="E373" i="2"/>
  <c r="G372" i="2"/>
  <c r="F372" i="2"/>
  <c r="I372" i="2" s="1"/>
  <c r="E372" i="2"/>
  <c r="G371" i="2"/>
  <c r="F371" i="2"/>
  <c r="E371" i="2"/>
  <c r="E370" i="2"/>
  <c r="G370" i="2" s="1"/>
  <c r="G369" i="2"/>
  <c r="E369" i="2"/>
  <c r="E368" i="2"/>
  <c r="E367" i="2"/>
  <c r="F367" i="2" s="1"/>
  <c r="G366" i="2"/>
  <c r="F366" i="2"/>
  <c r="E366" i="2"/>
  <c r="G365" i="2"/>
  <c r="E365" i="2"/>
  <c r="F365" i="2" s="1"/>
  <c r="E364" i="2"/>
  <c r="F363" i="2"/>
  <c r="J363" i="2" s="1"/>
  <c r="H363" i="2" s="1"/>
  <c r="E363" i="2"/>
  <c r="G363" i="2" s="1"/>
  <c r="E362" i="2"/>
  <c r="E361" i="2"/>
  <c r="G360" i="2"/>
  <c r="F360" i="2"/>
  <c r="E360" i="2"/>
  <c r="F359" i="2"/>
  <c r="E358" i="2"/>
  <c r="G358" i="2" s="1"/>
  <c r="G357" i="2"/>
  <c r="F357" i="2"/>
  <c r="J357" i="2" s="1"/>
  <c r="H357" i="2" s="1"/>
  <c r="E357" i="2"/>
  <c r="E356" i="2"/>
  <c r="E355" i="2"/>
  <c r="G354" i="2"/>
  <c r="F354" i="2"/>
  <c r="E354" i="2"/>
  <c r="G353" i="2"/>
  <c r="E353" i="2"/>
  <c r="F353" i="2" s="1"/>
  <c r="G352" i="2"/>
  <c r="F352" i="2"/>
  <c r="I352" i="2" s="1"/>
  <c r="E352" i="2"/>
  <c r="F351" i="2"/>
  <c r="E351" i="2"/>
  <c r="G351" i="2" s="1"/>
  <c r="G350" i="2"/>
  <c r="F350" i="2"/>
  <c r="K350" i="2" s="1"/>
  <c r="E350" i="2"/>
  <c r="F349" i="2"/>
  <c r="F348" i="2"/>
  <c r="E347" i="2"/>
  <c r="E346" i="2"/>
  <c r="G346" i="2" s="1"/>
  <c r="G345" i="2"/>
  <c r="F345" i="2"/>
  <c r="J345" i="2" s="1"/>
  <c r="H345" i="2" s="1"/>
  <c r="E345" i="2"/>
  <c r="E344" i="2"/>
  <c r="E343" i="2"/>
  <c r="E342" i="2"/>
  <c r="G341" i="2"/>
  <c r="E341" i="2"/>
  <c r="F341" i="2" s="1"/>
  <c r="K341" i="2" s="1"/>
  <c r="G340" i="2"/>
  <c r="F340" i="2"/>
  <c r="I340" i="2" s="1"/>
  <c r="E340" i="2"/>
  <c r="F339" i="2"/>
  <c r="K339" i="2" s="1"/>
  <c r="E339" i="2"/>
  <c r="G339" i="2" s="1"/>
  <c r="G338" i="2"/>
  <c r="F338" i="2"/>
  <c r="K338" i="2" s="1"/>
  <c r="E338" i="2"/>
  <c r="E337" i="2"/>
  <c r="G336" i="2"/>
  <c r="F336" i="2"/>
  <c r="K336" i="2" s="1"/>
  <c r="E336" i="2"/>
  <c r="F335" i="2"/>
  <c r="E335" i="2"/>
  <c r="E333" i="2"/>
  <c r="E332" i="2"/>
  <c r="G331" i="2"/>
  <c r="F331" i="2"/>
  <c r="E331" i="2"/>
  <c r="F330" i="2"/>
  <c r="E330" i="2"/>
  <c r="G329" i="2"/>
  <c r="E329" i="2"/>
  <c r="F329" i="2" s="1"/>
  <c r="I329" i="2" s="1"/>
  <c r="F327" i="2"/>
  <c r="I327" i="2" s="1"/>
  <c r="E326" i="2"/>
  <c r="G326" i="2" s="1"/>
  <c r="E323" i="2"/>
  <c r="G322" i="2"/>
  <c r="F322" i="2"/>
  <c r="J322" i="2" s="1"/>
  <c r="H322" i="2" s="1"/>
  <c r="E322" i="2"/>
  <c r="E321" i="2"/>
  <c r="E320" i="2"/>
  <c r="G320" i="2" s="1"/>
  <c r="F319" i="2"/>
  <c r="J319" i="2" s="1"/>
  <c r="H319" i="2" s="1"/>
  <c r="E319" i="2"/>
  <c r="E318" i="2"/>
  <c r="G317" i="2"/>
  <c r="F317" i="2"/>
  <c r="K317" i="2" s="1"/>
  <c r="E317" i="2"/>
  <c r="E316" i="2"/>
  <c r="F315" i="2"/>
  <c r="J315" i="2" s="1"/>
  <c r="H315" i="2" s="1"/>
  <c r="F314" i="2"/>
  <c r="I314" i="2" s="1"/>
  <c r="E314" i="2"/>
  <c r="F311" i="2"/>
  <c r="K311" i="2" s="1"/>
  <c r="E311" i="2"/>
  <c r="G311" i="2" s="1"/>
  <c r="F310" i="2"/>
  <c r="K310" i="2" s="1"/>
  <c r="E310" i="2"/>
  <c r="G310" i="2" s="1"/>
  <c r="E309" i="2"/>
  <c r="G308" i="2"/>
  <c r="F308" i="2"/>
  <c r="K308" i="2" s="1"/>
  <c r="E308" i="2"/>
  <c r="E306" i="2"/>
  <c r="G306" i="2" s="1"/>
  <c r="E305" i="2"/>
  <c r="E304" i="2"/>
  <c r="E303" i="2"/>
  <c r="G303" i="2" s="1"/>
  <c r="E302" i="2"/>
  <c r="F302" i="2" s="1"/>
  <c r="G301" i="2"/>
  <c r="E301" i="2"/>
  <c r="F301" i="2" s="1"/>
  <c r="J301" i="2" s="1"/>
  <c r="H301" i="2" s="1"/>
  <c r="E300" i="2"/>
  <c r="F299" i="2"/>
  <c r="E299" i="2"/>
  <c r="G299" i="2" s="1"/>
  <c r="G296" i="2"/>
  <c r="F296" i="2"/>
  <c r="J296" i="2" s="1"/>
  <c r="H296" i="2" s="1"/>
  <c r="E296" i="2"/>
  <c r="E295" i="2"/>
  <c r="E294" i="2"/>
  <c r="G294" i="2" s="1"/>
  <c r="E293" i="2"/>
  <c r="F293" i="2" s="1"/>
  <c r="F291" i="2"/>
  <c r="K291" i="2" s="1"/>
  <c r="E291" i="2"/>
  <c r="G291" i="2" s="1"/>
  <c r="G289" i="2"/>
  <c r="E289" i="2"/>
  <c r="F289" i="2" s="1"/>
  <c r="E287" i="2"/>
  <c r="G287" i="2" s="1"/>
  <c r="E286" i="2"/>
  <c r="E285" i="2"/>
  <c r="G284" i="2"/>
  <c r="F284" i="2"/>
  <c r="K284" i="2" s="1"/>
  <c r="E284" i="2"/>
  <c r="G283" i="2"/>
  <c r="F283" i="2"/>
  <c r="E283" i="2"/>
  <c r="E282" i="2"/>
  <c r="G282" i="2" s="1"/>
  <c r="E281" i="2"/>
  <c r="F281" i="2" s="1"/>
  <c r="E278" i="2"/>
  <c r="F277" i="2"/>
  <c r="K277" i="2" s="1"/>
  <c r="E277" i="2"/>
  <c r="G277" i="2" s="1"/>
  <c r="E276" i="2"/>
  <c r="G275" i="2"/>
  <c r="E275" i="2"/>
  <c r="F275" i="2" s="1"/>
  <c r="J275" i="2" s="1"/>
  <c r="H275" i="2" s="1"/>
  <c r="E274" i="2"/>
  <c r="E273" i="2"/>
  <c r="G273" i="2" s="1"/>
  <c r="E272" i="2"/>
  <c r="F271" i="2"/>
  <c r="K271" i="2" s="1"/>
  <c r="E271" i="2"/>
  <c r="G270" i="2"/>
  <c r="F270" i="2"/>
  <c r="E270" i="2"/>
  <c r="E269" i="2"/>
  <c r="E268" i="2"/>
  <c r="G268" i="2" s="1"/>
  <c r="E267" i="2"/>
  <c r="F265" i="2"/>
  <c r="K265" i="2" s="1"/>
  <c r="E265" i="2"/>
  <c r="G265" i="2" s="1"/>
  <c r="E264" i="2"/>
  <c r="G263" i="2"/>
  <c r="E263" i="2"/>
  <c r="F263" i="2" s="1"/>
  <c r="I263" i="2" s="1"/>
  <c r="F262" i="2"/>
  <c r="E262" i="2"/>
  <c r="E261" i="2"/>
  <c r="G261" i="2" s="1"/>
  <c r="E260" i="2"/>
  <c r="E259" i="2"/>
  <c r="F259" i="2" s="1"/>
  <c r="G258" i="2"/>
  <c r="F258" i="2"/>
  <c r="J258" i="2" s="1"/>
  <c r="H258" i="2" s="1"/>
  <c r="E258" i="2"/>
  <c r="E257" i="2"/>
  <c r="G257" i="2" s="1"/>
  <c r="F255" i="2"/>
  <c r="E255" i="2"/>
  <c r="E254" i="2"/>
  <c r="F253" i="2"/>
  <c r="K253" i="2" s="1"/>
  <c r="E253" i="2"/>
  <c r="G253" i="2" s="1"/>
  <c r="E252" i="2"/>
  <c r="G251" i="2"/>
  <c r="E251" i="2"/>
  <c r="F251" i="2" s="1"/>
  <c r="J251" i="2" s="1"/>
  <c r="H251" i="2" s="1"/>
  <c r="F250" i="2"/>
  <c r="E250" i="2"/>
  <c r="E249" i="2"/>
  <c r="G249" i="2" s="1"/>
  <c r="E248" i="2"/>
  <c r="E247" i="2"/>
  <c r="F247" i="2" s="1"/>
  <c r="F244" i="2"/>
  <c r="I244" i="2" s="1"/>
  <c r="E243" i="2"/>
  <c r="E242" i="2"/>
  <c r="G242" i="2" s="1"/>
  <c r="E240" i="2"/>
  <c r="G239" i="2"/>
  <c r="F239" i="2"/>
  <c r="K239" i="2" s="1"/>
  <c r="E239" i="2"/>
  <c r="G238" i="2"/>
  <c r="E238" i="2"/>
  <c r="F237" i="2"/>
  <c r="F236" i="2"/>
  <c r="E236" i="2"/>
  <c r="E235" i="2"/>
  <c r="G235" i="2" s="1"/>
  <c r="E234" i="2"/>
  <c r="E233" i="2"/>
  <c r="F233" i="2" s="1"/>
  <c r="G230" i="2"/>
  <c r="F230" i="2"/>
  <c r="E230" i="2"/>
  <c r="E229" i="2"/>
  <c r="F227" i="2"/>
  <c r="G225" i="2"/>
  <c r="F225" i="2"/>
  <c r="K225" i="2" s="1"/>
  <c r="E225" i="2"/>
  <c r="G224" i="2"/>
  <c r="F224" i="2"/>
  <c r="E224" i="2"/>
  <c r="G223" i="2"/>
  <c r="E223" i="2"/>
  <c r="F223" i="2" s="1"/>
  <c r="I223" i="2" s="1"/>
  <c r="E222" i="2"/>
  <c r="F222" i="2" s="1"/>
  <c r="E221" i="2"/>
  <c r="G221" i="2" s="1"/>
  <c r="E220" i="2"/>
  <c r="E219" i="2"/>
  <c r="E218" i="2"/>
  <c r="G218" i="2" s="1"/>
  <c r="F217" i="2"/>
  <c r="E217" i="2"/>
  <c r="E216" i="2"/>
  <c r="G216" i="2" s="1"/>
  <c r="E215" i="2"/>
  <c r="E214" i="2"/>
  <c r="F213" i="2"/>
  <c r="J213" i="2" s="1"/>
  <c r="H213" i="2" s="1"/>
  <c r="F212" i="2"/>
  <c r="E212" i="2"/>
  <c r="G211" i="2"/>
  <c r="F211" i="2"/>
  <c r="K211" i="2" s="1"/>
  <c r="E211" i="2"/>
  <c r="F210" i="2"/>
  <c r="I210" i="2" s="1"/>
  <c r="F209" i="2"/>
  <c r="F208" i="2"/>
  <c r="K208" i="2" s="1"/>
  <c r="E208" i="2"/>
  <c r="G208" i="2" s="1"/>
  <c r="E207" i="2"/>
  <c r="F206" i="2"/>
  <c r="E203" i="2"/>
  <c r="E202" i="2"/>
  <c r="G202" i="2" s="1"/>
  <c r="E200" i="2"/>
  <c r="E199" i="2"/>
  <c r="G199" i="2" s="1"/>
  <c r="E198" i="2"/>
  <c r="G197" i="2"/>
  <c r="F197" i="2"/>
  <c r="E197" i="2"/>
  <c r="E196" i="2"/>
  <c r="F195" i="2"/>
  <c r="K195" i="2" s="1"/>
  <c r="E195" i="2"/>
  <c r="G195" i="2" s="1"/>
  <c r="E194" i="2"/>
  <c r="E193" i="2"/>
  <c r="G192" i="2"/>
  <c r="F192" i="2"/>
  <c r="E192" i="2"/>
  <c r="E191" i="2"/>
  <c r="E189" i="2"/>
  <c r="E188" i="2"/>
  <c r="E187" i="2"/>
  <c r="F185" i="2"/>
  <c r="I185" i="2" s="1"/>
  <c r="E184" i="2"/>
  <c r="F184" i="2" s="1"/>
  <c r="F183" i="2"/>
  <c r="J183" i="2" s="1"/>
  <c r="H183" i="2" s="1"/>
  <c r="E182" i="2"/>
  <c r="E181" i="2"/>
  <c r="G178" i="2"/>
  <c r="F178" i="2"/>
  <c r="J178" i="2" s="1"/>
  <c r="H178" i="2" s="1"/>
  <c r="E178" i="2"/>
  <c r="G177" i="2"/>
  <c r="F177" i="2"/>
  <c r="E177" i="2"/>
  <c r="E175" i="2"/>
  <c r="G175" i="2" s="1"/>
  <c r="E174" i="2"/>
  <c r="G169" i="2"/>
  <c r="F169" i="2"/>
  <c r="I169" i="2" s="1"/>
  <c r="E169" i="2"/>
  <c r="E168" i="2"/>
  <c r="F167" i="2"/>
  <c r="I167" i="2" s="1"/>
  <c r="E167" i="2"/>
  <c r="G167" i="2" s="1"/>
  <c r="G166" i="2"/>
  <c r="F166" i="2"/>
  <c r="E166" i="2"/>
  <c r="F165" i="2"/>
  <c r="K165" i="2" s="1"/>
  <c r="E165" i="2"/>
  <c r="F164" i="2"/>
  <c r="F163" i="2"/>
  <c r="E162" i="2"/>
  <c r="G162" i="2" s="1"/>
  <c r="G161" i="2"/>
  <c r="F161" i="2"/>
  <c r="I161" i="2" s="1"/>
  <c r="E161" i="2"/>
  <c r="E160" i="2"/>
  <c r="E159" i="2"/>
  <c r="G158" i="2"/>
  <c r="F158" i="2"/>
  <c r="E158" i="2"/>
  <c r="G157" i="2"/>
  <c r="F157" i="2"/>
  <c r="K157" i="2" s="1"/>
  <c r="E157" i="2"/>
  <c r="E156" i="2"/>
  <c r="F155" i="2"/>
  <c r="E154" i="2"/>
  <c r="E153" i="2"/>
  <c r="G152" i="2"/>
  <c r="F152" i="2"/>
  <c r="E152" i="2"/>
  <c r="E150" i="2"/>
  <c r="G150" i="2" s="1"/>
  <c r="G149" i="2"/>
  <c r="F149" i="2"/>
  <c r="J149" i="2" s="1"/>
  <c r="H149" i="2" s="1"/>
  <c r="E149" i="2"/>
  <c r="E148" i="2"/>
  <c r="E147" i="2"/>
  <c r="F147" i="2" s="1"/>
  <c r="G145" i="2"/>
  <c r="F145" i="2"/>
  <c r="J145" i="2" s="1"/>
  <c r="H145" i="2" s="1"/>
  <c r="E145" i="2"/>
  <c r="F143" i="2"/>
  <c r="K143" i="2" s="1"/>
  <c r="E143" i="2"/>
  <c r="G143" i="2" s="1"/>
  <c r="G142" i="2"/>
  <c r="E142" i="2"/>
  <c r="F142" i="2" s="1"/>
  <c r="K142" i="2" s="1"/>
  <c r="E141" i="2"/>
  <c r="F140" i="2"/>
  <c r="G139" i="2"/>
  <c r="F139" i="2"/>
  <c r="E139" i="2"/>
  <c r="E138" i="2"/>
  <c r="G138" i="2" s="1"/>
  <c r="E137" i="2"/>
  <c r="E136" i="2"/>
  <c r="G135" i="2"/>
  <c r="F135" i="2"/>
  <c r="K135" i="2" s="1"/>
  <c r="E135" i="2"/>
  <c r="G134" i="2"/>
  <c r="F134" i="2"/>
  <c r="E134" i="2"/>
  <c r="G131" i="2"/>
  <c r="F131" i="2"/>
  <c r="E131" i="2"/>
  <c r="G130" i="2"/>
  <c r="F130" i="2"/>
  <c r="I130" i="2" s="1"/>
  <c r="E130" i="2"/>
  <c r="F129" i="2"/>
  <c r="K129" i="2" s="1"/>
  <c r="E129" i="2"/>
  <c r="G129" i="2" s="1"/>
  <c r="G128" i="2"/>
  <c r="F128" i="2"/>
  <c r="I128" i="2" s="1"/>
  <c r="E128" i="2"/>
  <c r="E127" i="2"/>
  <c r="G126" i="2"/>
  <c r="F126" i="2"/>
  <c r="K126" i="2" s="1"/>
  <c r="E126" i="2"/>
  <c r="E124" i="2"/>
  <c r="G124" i="2" s="1"/>
  <c r="E121" i="2"/>
  <c r="G121" i="2" s="1"/>
  <c r="E120" i="2"/>
  <c r="G119" i="2"/>
  <c r="F119" i="2"/>
  <c r="K119" i="2" s="1"/>
  <c r="E119" i="2"/>
  <c r="E118" i="2"/>
  <c r="F117" i="2"/>
  <c r="I117" i="2" s="1"/>
  <c r="E117" i="2"/>
  <c r="G117" i="2" s="1"/>
  <c r="E116" i="2"/>
  <c r="F115" i="2"/>
  <c r="G114" i="2"/>
  <c r="F114" i="2"/>
  <c r="I114" i="2" s="1"/>
  <c r="E114" i="2"/>
  <c r="G113" i="2"/>
  <c r="F113" i="2"/>
  <c r="E113" i="2"/>
  <c r="E110" i="2"/>
  <c r="G110" i="2" s="1"/>
  <c r="E109" i="2"/>
  <c r="F109" i="2" s="1"/>
  <c r="E108" i="2"/>
  <c r="E107" i="2"/>
  <c r="G106" i="2"/>
  <c r="F106" i="2"/>
  <c r="E106" i="2"/>
  <c r="G105" i="2"/>
  <c r="F105" i="2"/>
  <c r="K105" i="2" s="1"/>
  <c r="E105" i="2"/>
  <c r="E104" i="2"/>
  <c r="F103" i="2"/>
  <c r="E103" i="2"/>
  <c r="G103" i="2" s="1"/>
  <c r="E102" i="2"/>
  <c r="F102" i="2" s="1"/>
  <c r="G98" i="2"/>
  <c r="F98" i="2"/>
  <c r="J98" i="2" s="1"/>
  <c r="H98" i="2" s="1"/>
  <c r="E98" i="2"/>
  <c r="E97" i="2"/>
  <c r="G97" i="2" s="1"/>
  <c r="E96" i="2"/>
  <c r="G96" i="2" s="1"/>
  <c r="F95" i="2"/>
  <c r="E94" i="2"/>
  <c r="E93" i="2"/>
  <c r="G92" i="2"/>
  <c r="F92" i="2"/>
  <c r="E92" i="2"/>
  <c r="F91" i="2"/>
  <c r="I91" i="2" s="1"/>
  <c r="E90" i="2"/>
  <c r="F89" i="2"/>
  <c r="K89" i="2" s="1"/>
  <c r="E89" i="2"/>
  <c r="G89" i="2" s="1"/>
  <c r="E88" i="2"/>
  <c r="F86" i="2"/>
  <c r="G85" i="2"/>
  <c r="E85" i="2"/>
  <c r="E84" i="2"/>
  <c r="G84" i="2" s="1"/>
  <c r="G83" i="2"/>
  <c r="E83" i="2"/>
  <c r="E82" i="2"/>
  <c r="E81" i="2"/>
  <c r="F81" i="2" s="1"/>
  <c r="G80" i="2"/>
  <c r="F80" i="2"/>
  <c r="I80" i="2" s="1"/>
  <c r="E80" i="2"/>
  <c r="G79" i="2"/>
  <c r="E79" i="2"/>
  <c r="F79" i="2" s="1"/>
  <c r="F78" i="2"/>
  <c r="F77" i="2"/>
  <c r="K77" i="2" s="1"/>
  <c r="E77" i="2"/>
  <c r="G77" i="2" s="1"/>
  <c r="E76" i="2"/>
  <c r="F75" i="2"/>
  <c r="E75" i="2"/>
  <c r="G74" i="2"/>
  <c r="F74" i="2"/>
  <c r="I74" i="2" s="1"/>
  <c r="E74" i="2"/>
  <c r="E73" i="2"/>
  <c r="G72" i="2"/>
  <c r="F72" i="2"/>
  <c r="K72" i="2" s="1"/>
  <c r="E72" i="2"/>
  <c r="F71" i="2"/>
  <c r="E71" i="2"/>
  <c r="G70" i="2"/>
  <c r="E70" i="2"/>
  <c r="F70" i="2" s="1"/>
  <c r="I70" i="2" s="1"/>
  <c r="F68" i="2"/>
  <c r="E67" i="2"/>
  <c r="G67" i="2" s="1"/>
  <c r="E66" i="2"/>
  <c r="G65" i="2"/>
  <c r="F65" i="2"/>
  <c r="J65" i="2" s="1"/>
  <c r="H65" i="2" s="1"/>
  <c r="E65" i="2"/>
  <c r="G62" i="2"/>
  <c r="F62" i="2"/>
  <c r="E62" i="2"/>
  <c r="E61" i="2"/>
  <c r="G61" i="2" s="1"/>
  <c r="F60" i="2"/>
  <c r="J60" i="2" s="1"/>
  <c r="H60" i="2" s="1"/>
  <c r="E59" i="2"/>
  <c r="G58" i="2"/>
  <c r="E58" i="2"/>
  <c r="F58" i="2" s="1"/>
  <c r="G57" i="2"/>
  <c r="F57" i="2"/>
  <c r="E57" i="2"/>
  <c r="F56" i="2"/>
  <c r="I56" i="2" s="1"/>
  <c r="F55" i="2"/>
  <c r="I55" i="2" s="1"/>
  <c r="E55" i="2"/>
  <c r="F54" i="2"/>
  <c r="K54" i="2" s="1"/>
  <c r="E54" i="2"/>
  <c r="G54" i="2" s="1"/>
  <c r="F53" i="2"/>
  <c r="J53" i="2" s="1"/>
  <c r="H53" i="2" s="1"/>
  <c r="E53" i="2"/>
  <c r="G53" i="2" s="1"/>
  <c r="E52" i="2"/>
  <c r="G51" i="2"/>
  <c r="F51" i="2"/>
  <c r="K51" i="2" s="1"/>
  <c r="E51" i="2"/>
  <c r="E50" i="2"/>
  <c r="F50" i="2" s="1"/>
  <c r="E49" i="2"/>
  <c r="E47" i="2"/>
  <c r="G46" i="2"/>
  <c r="E46" i="2"/>
  <c r="E45" i="2"/>
  <c r="G45" i="2" s="1"/>
  <c r="G44" i="2"/>
  <c r="E44" i="2"/>
  <c r="F44" i="2" s="1"/>
  <c r="I44" i="2" s="1"/>
  <c r="E43" i="2"/>
  <c r="F42" i="2"/>
  <c r="I42" i="2" s="1"/>
  <c r="E42" i="2"/>
  <c r="G42" i="2" s="1"/>
  <c r="E41" i="2"/>
  <c r="F41" i="2" s="1"/>
  <c r="F39" i="2"/>
  <c r="G38" i="2"/>
  <c r="E38" i="2"/>
  <c r="E37" i="2"/>
  <c r="G34" i="2"/>
  <c r="F34" i="2"/>
  <c r="J34" i="2" s="1"/>
  <c r="H34" i="2" s="1"/>
  <c r="E34" i="2"/>
  <c r="G33" i="2"/>
  <c r="E33" i="2"/>
  <c r="E32" i="2"/>
  <c r="G32" i="2" s="1"/>
  <c r="F31" i="2"/>
  <c r="E31" i="2"/>
  <c r="F30" i="2"/>
  <c r="I30" i="2" s="1"/>
  <c r="F29" i="2"/>
  <c r="I29" i="2" s="1"/>
  <c r="F28" i="2"/>
  <c r="I28" i="2" s="1"/>
  <c r="E28" i="2"/>
  <c r="G28" i="2" s="1"/>
  <c r="E27" i="2"/>
  <c r="G27" i="2" s="1"/>
  <c r="E26" i="2"/>
  <c r="F26" i="2" s="1"/>
  <c r="G25" i="2"/>
  <c r="F25" i="2"/>
  <c r="K25" i="2" s="1"/>
  <c r="E25" i="2"/>
  <c r="E21" i="2"/>
  <c r="G20" i="2"/>
  <c r="E20" i="2"/>
  <c r="E19" i="2"/>
  <c r="F19" i="2" s="1"/>
  <c r="G18" i="2"/>
  <c r="E18" i="2"/>
  <c r="F18" i="2" s="1"/>
  <c r="I18" i="2" s="1"/>
  <c r="E17" i="2"/>
  <c r="G17" i="2" s="1"/>
  <c r="F16" i="2"/>
  <c r="I16" i="2" s="1"/>
  <c r="E15" i="2"/>
  <c r="E14" i="2"/>
  <c r="G13" i="2"/>
  <c r="F13" i="2"/>
  <c r="J13" i="2" s="1"/>
  <c r="H13" i="2" s="1"/>
  <c r="E13" i="2"/>
  <c r="G12" i="2"/>
  <c r="E12" i="2"/>
  <c r="E11" i="2"/>
  <c r="F10" i="2"/>
  <c r="I10" i="2" s="1"/>
  <c r="G9" i="2"/>
  <c r="E9" i="2"/>
  <c r="E8" i="2"/>
  <c r="E7" i="2"/>
  <c r="G6" i="2"/>
  <c r="E6" i="2"/>
  <c r="F6" i="2" s="1"/>
  <c r="I6" i="2" s="1"/>
  <c r="E5" i="2"/>
  <c r="F5" i="2" s="1"/>
  <c r="F4" i="2"/>
  <c r="K4" i="2" s="1"/>
  <c r="E4" i="2"/>
  <c r="G4" i="2" s="1"/>
  <c r="E3" i="2"/>
  <c r="G3" i="2" s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864" i="2" l="1"/>
  <c r="K791" i="2"/>
  <c r="J813" i="2"/>
  <c r="H813" i="2" s="1"/>
  <c r="K68" i="2"/>
  <c r="J900" i="2"/>
  <c r="H900" i="2" s="1"/>
  <c r="J899" i="2"/>
  <c r="H899" i="2" s="1"/>
  <c r="K575" i="2"/>
  <c r="J547" i="2"/>
  <c r="H547" i="2" s="1"/>
  <c r="K734" i="2"/>
  <c r="K547" i="2"/>
  <c r="J117" i="2"/>
  <c r="H117" i="2" s="1"/>
  <c r="K827" i="2"/>
  <c r="K18" i="2"/>
  <c r="K117" i="2"/>
  <c r="K169" i="2"/>
  <c r="J521" i="2"/>
  <c r="H521" i="2" s="1"/>
  <c r="K521" i="2"/>
  <c r="I827" i="2"/>
  <c r="J18" i="2"/>
  <c r="H18" i="2" s="1"/>
  <c r="J169" i="2"/>
  <c r="H169" i="2" s="1"/>
  <c r="J575" i="2"/>
  <c r="H575" i="2" s="1"/>
  <c r="J734" i="2"/>
  <c r="H734" i="2" s="1"/>
  <c r="I800" i="2"/>
  <c r="I105" i="2"/>
  <c r="I495" i="2"/>
  <c r="I488" i="2"/>
  <c r="J800" i="2"/>
  <c r="K803" i="2" s="1"/>
  <c r="K296" i="2"/>
  <c r="J495" i="2"/>
  <c r="H495" i="2" s="1"/>
  <c r="J223" i="2"/>
  <c r="H223" i="2" s="1"/>
  <c r="J488" i="2"/>
  <c r="H488" i="2" s="1"/>
  <c r="J877" i="2"/>
  <c r="H877" i="2" s="1"/>
  <c r="J642" i="2"/>
  <c r="H642" i="2" s="1"/>
  <c r="I401" i="2"/>
  <c r="K642" i="2"/>
  <c r="I763" i="2"/>
  <c r="K763" i="2"/>
  <c r="J51" i="2"/>
  <c r="H51" i="2" s="1"/>
  <c r="K401" i="2"/>
  <c r="J578" i="2"/>
  <c r="H578" i="2" s="1"/>
  <c r="K44" i="2"/>
  <c r="J531" i="2"/>
  <c r="H531" i="2" s="1"/>
  <c r="K578" i="2"/>
  <c r="J616" i="2"/>
  <c r="H616" i="2" s="1"/>
  <c r="I296" i="2"/>
  <c r="J105" i="2"/>
  <c r="H105" i="2" s="1"/>
  <c r="I877" i="2"/>
  <c r="I648" i="2"/>
  <c r="J700" i="2"/>
  <c r="H700" i="2" s="1"/>
  <c r="K223" i="2"/>
  <c r="K700" i="2"/>
  <c r="I616" i="2"/>
  <c r="K251" i="2"/>
  <c r="K531" i="2"/>
  <c r="K554" i="2"/>
  <c r="I453" i="2"/>
  <c r="I483" i="2"/>
  <c r="I291" i="2"/>
  <c r="J25" i="2"/>
  <c r="H25" i="2" s="1"/>
  <c r="I53" i="2"/>
  <c r="I149" i="2"/>
  <c r="K834" i="2"/>
  <c r="I195" i="2"/>
  <c r="J244" i="2"/>
  <c r="J639" i="2"/>
  <c r="H639" i="2" s="1"/>
  <c r="I25" i="2"/>
  <c r="J195" i="2"/>
  <c r="H195" i="2" s="1"/>
  <c r="K275" i="2"/>
  <c r="J483" i="2"/>
  <c r="H483" i="2" s="1"/>
  <c r="K98" i="2"/>
  <c r="J291" i="2"/>
  <c r="H291" i="2" s="1"/>
  <c r="K387" i="2"/>
  <c r="K53" i="2"/>
  <c r="J239" i="2"/>
  <c r="H239" i="2" s="1"/>
  <c r="I363" i="2"/>
  <c r="I336" i="2"/>
  <c r="I277" i="2"/>
  <c r="I322" i="2"/>
  <c r="K363" i="2"/>
  <c r="I375" i="2"/>
  <c r="I415" i="2"/>
  <c r="I436" i="2"/>
  <c r="J505" i="2"/>
  <c r="H505" i="2" s="1"/>
  <c r="J783" i="2"/>
  <c r="H783" i="2" s="1"/>
  <c r="J54" i="2"/>
  <c r="H54" i="2" s="1"/>
  <c r="K128" i="2"/>
  <c r="J263" i="2"/>
  <c r="H263" i="2" s="1"/>
  <c r="J375" i="2"/>
  <c r="H375" i="2" s="1"/>
  <c r="J415" i="2"/>
  <c r="H415" i="2" s="1"/>
  <c r="K505" i="2"/>
  <c r="K42" i="2"/>
  <c r="K74" i="2"/>
  <c r="I140" i="2"/>
  <c r="I208" i="2"/>
  <c r="K263" i="2"/>
  <c r="K429" i="2"/>
  <c r="K476" i="2"/>
  <c r="K750" i="2"/>
  <c r="K779" i="2"/>
  <c r="I882" i="2"/>
  <c r="J91" i="2"/>
  <c r="I339" i="2"/>
  <c r="J467" i="2"/>
  <c r="H467" i="2" s="1"/>
  <c r="I155" i="2"/>
  <c r="I239" i="2"/>
  <c r="K329" i="2"/>
  <c r="I357" i="2"/>
  <c r="I717" i="2"/>
  <c r="I899" i="2"/>
  <c r="I183" i="2"/>
  <c r="J128" i="2"/>
  <c r="H128" i="2" s="1"/>
  <c r="J336" i="2"/>
  <c r="H336" i="2" s="1"/>
  <c r="K717" i="2"/>
  <c r="J277" i="2"/>
  <c r="H277" i="2" s="1"/>
  <c r="K322" i="2"/>
  <c r="J140" i="2"/>
  <c r="J208" i="2"/>
  <c r="H208" i="2" s="1"/>
  <c r="I310" i="2"/>
  <c r="I525" i="2"/>
  <c r="I776" i="2"/>
  <c r="J882" i="2"/>
  <c r="K903" i="2" s="1"/>
  <c r="J901" i="2"/>
  <c r="H901" i="2" s="1"/>
  <c r="J339" i="2"/>
  <c r="H339" i="2" s="1"/>
  <c r="J453" i="2"/>
  <c r="K647" i="2" s="1"/>
  <c r="K467" i="2"/>
  <c r="K639" i="2"/>
  <c r="J155" i="2"/>
  <c r="I711" i="2"/>
  <c r="I750" i="2"/>
  <c r="I860" i="2"/>
  <c r="J74" i="2"/>
  <c r="H74" i="2" s="1"/>
  <c r="I429" i="2"/>
  <c r="J499" i="2"/>
  <c r="H499" i="2" s="1"/>
  <c r="I646" i="2"/>
  <c r="K853" i="2"/>
  <c r="I251" i="2"/>
  <c r="J310" i="2"/>
  <c r="H310" i="2" s="1"/>
  <c r="J403" i="2"/>
  <c r="I403" i="2"/>
  <c r="I89" i="2"/>
  <c r="I427" i="2"/>
  <c r="J427" i="2"/>
  <c r="H427" i="2" s="1"/>
  <c r="J841" i="2"/>
  <c r="H841" i="2" s="1"/>
  <c r="I709" i="2"/>
  <c r="K841" i="2"/>
  <c r="K145" i="2"/>
  <c r="K815" i="2"/>
  <c r="J815" i="2"/>
  <c r="H815" i="2" s="1"/>
  <c r="J903" i="2"/>
  <c r="I211" i="2"/>
  <c r="K258" i="2"/>
  <c r="J211" i="2"/>
  <c r="H211" i="2" s="1"/>
  <c r="J253" i="2"/>
  <c r="H253" i="2" s="1"/>
  <c r="K315" i="2"/>
  <c r="K566" i="2"/>
  <c r="J566" i="2"/>
  <c r="H566" i="2" s="1"/>
  <c r="J703" i="2"/>
  <c r="H703" i="2" s="1"/>
  <c r="K703" i="2"/>
  <c r="I815" i="2"/>
  <c r="I900" i="2"/>
  <c r="K900" i="2"/>
  <c r="K270" i="2"/>
  <c r="J270" i="2"/>
  <c r="H270" i="2" s="1"/>
  <c r="J89" i="2"/>
  <c r="H89" i="2" s="1"/>
  <c r="K545" i="2"/>
  <c r="K748" i="2"/>
  <c r="J748" i="2"/>
  <c r="H748" i="2" s="1"/>
  <c r="I748" i="2"/>
  <c r="J192" i="2"/>
  <c r="H192" i="2" s="1"/>
  <c r="K192" i="2"/>
  <c r="K114" i="2"/>
  <c r="J114" i="2"/>
  <c r="H114" i="2" s="1"/>
  <c r="K185" i="2"/>
  <c r="J185" i="2"/>
  <c r="I192" i="2"/>
  <c r="K289" i="2"/>
  <c r="J289" i="2"/>
  <c r="H289" i="2" s="1"/>
  <c r="I289" i="2"/>
  <c r="I345" i="2"/>
  <c r="I417" i="2"/>
  <c r="J417" i="2"/>
  <c r="H417" i="2" s="1"/>
  <c r="K417" i="2"/>
  <c r="I566" i="2"/>
  <c r="J606" i="2"/>
  <c r="H606" i="2" s="1"/>
  <c r="I606" i="2"/>
  <c r="K606" i="2"/>
  <c r="J753" i="2"/>
  <c r="I804" i="2"/>
  <c r="K804" i="2"/>
  <c r="I145" i="2"/>
  <c r="I206" i="2"/>
  <c r="J206" i="2"/>
  <c r="K209" i="2" s="1"/>
  <c r="I319" i="2"/>
  <c r="I258" i="2"/>
  <c r="J709" i="2"/>
  <c r="H709" i="2" s="1"/>
  <c r="I253" i="2"/>
  <c r="I54" i="2"/>
  <c r="I351" i="2"/>
  <c r="K351" i="2"/>
  <c r="J351" i="2"/>
  <c r="H351" i="2" s="1"/>
  <c r="J491" i="2"/>
  <c r="H491" i="2" s="1"/>
  <c r="K491" i="2"/>
  <c r="I491" i="2"/>
  <c r="I519" i="2"/>
  <c r="I560" i="2"/>
  <c r="I103" i="2"/>
  <c r="K103" i="2"/>
  <c r="J103" i="2"/>
  <c r="H103" i="2" s="1"/>
  <c r="I507" i="2"/>
  <c r="K507" i="2"/>
  <c r="J507" i="2"/>
  <c r="H507" i="2" s="1"/>
  <c r="I270" i="2"/>
  <c r="J299" i="2"/>
  <c r="H299" i="2" s="1"/>
  <c r="K299" i="2"/>
  <c r="I903" i="2"/>
  <c r="I570" i="2"/>
  <c r="J570" i="2"/>
  <c r="H570" i="2" s="1"/>
  <c r="J131" i="2"/>
  <c r="H131" i="2" s="1"/>
  <c r="I131" i="2"/>
  <c r="K131" i="2"/>
  <c r="J519" i="2"/>
  <c r="H519" i="2" s="1"/>
  <c r="K731" i="2"/>
  <c r="J731" i="2"/>
  <c r="H731" i="2" s="1"/>
  <c r="I731" i="2"/>
  <c r="I753" i="2"/>
  <c r="J656" i="2"/>
  <c r="I656" i="2"/>
  <c r="I545" i="2"/>
  <c r="I712" i="2"/>
  <c r="J712" i="2"/>
  <c r="H712" i="2" s="1"/>
  <c r="K712" i="2"/>
  <c r="J863" i="2"/>
  <c r="K869" i="2" s="1"/>
  <c r="K360" i="2"/>
  <c r="J360" i="2"/>
  <c r="H360" i="2" s="1"/>
  <c r="I360" i="2"/>
  <c r="I497" i="2"/>
  <c r="J497" i="2"/>
  <c r="H497" i="2" s="1"/>
  <c r="K497" i="2"/>
  <c r="K178" i="2"/>
  <c r="I237" i="2"/>
  <c r="J237" i="2"/>
  <c r="I275" i="2"/>
  <c r="I387" i="2"/>
  <c r="J481" i="2"/>
  <c r="I481" i="2"/>
  <c r="K481" i="2"/>
  <c r="K556" i="2"/>
  <c r="J556" i="2"/>
  <c r="H556" i="2" s="1"/>
  <c r="I724" i="2"/>
  <c r="J724" i="2"/>
  <c r="H724" i="2" s="1"/>
  <c r="K724" i="2"/>
  <c r="I836" i="2"/>
  <c r="J836" i="2"/>
  <c r="H836" i="2" s="1"/>
  <c r="K836" i="2"/>
  <c r="J825" i="2"/>
  <c r="K839" i="2" s="1"/>
  <c r="J327" i="2"/>
  <c r="K230" i="2"/>
  <c r="J230" i="2"/>
  <c r="H230" i="2" s="1"/>
  <c r="I230" i="2"/>
  <c r="I299" i="2"/>
  <c r="I197" i="2"/>
  <c r="K197" i="2"/>
  <c r="J197" i="2"/>
  <c r="H197" i="2" s="1"/>
  <c r="J44" i="2"/>
  <c r="H44" i="2" s="1"/>
  <c r="I51" i="2"/>
  <c r="J209" i="2"/>
  <c r="I209" i="2"/>
  <c r="J381" i="2"/>
  <c r="H381" i="2" s="1"/>
  <c r="K851" i="2"/>
  <c r="J851" i="2"/>
  <c r="H851" i="2" s="1"/>
  <c r="I641" i="2"/>
  <c r="I60" i="2"/>
  <c r="I265" i="2"/>
  <c r="I858" i="2"/>
  <c r="I68" i="2"/>
  <c r="I119" i="2"/>
  <c r="I126" i="2"/>
  <c r="I129" i="2"/>
  <c r="J143" i="2"/>
  <c r="H143" i="2" s="1"/>
  <c r="I157" i="2"/>
  <c r="J167" i="2"/>
  <c r="H167" i="2" s="1"/>
  <c r="I225" i="2"/>
  <c r="J265" i="2"/>
  <c r="H265" i="2" s="1"/>
  <c r="I311" i="2"/>
  <c r="I338" i="2"/>
  <c r="I424" i="2"/>
  <c r="I479" i="2"/>
  <c r="J533" i="2"/>
  <c r="H533" i="2" s="1"/>
  <c r="I577" i="2"/>
  <c r="I592" i="2"/>
  <c r="I618" i="2"/>
  <c r="J630" i="2"/>
  <c r="K641" i="2"/>
  <c r="I650" i="2"/>
  <c r="K710" i="2"/>
  <c r="J765" i="2"/>
  <c r="J791" i="2"/>
  <c r="K798" i="2"/>
  <c r="J839" i="2"/>
  <c r="K845" i="2" s="1"/>
  <c r="J858" i="2"/>
  <c r="H858" i="2" s="1"/>
  <c r="J879" i="2"/>
  <c r="H879" i="2" s="1"/>
  <c r="I143" i="2"/>
  <c r="I765" i="2"/>
  <c r="I791" i="2"/>
  <c r="J68" i="2"/>
  <c r="K78" i="2" s="1"/>
  <c r="J119" i="2"/>
  <c r="H119" i="2" s="1"/>
  <c r="J126" i="2"/>
  <c r="H126" i="2" s="1"/>
  <c r="J129" i="2"/>
  <c r="H129" i="2" s="1"/>
  <c r="J157" i="2"/>
  <c r="H157" i="2" s="1"/>
  <c r="K167" i="2"/>
  <c r="J225" i="2"/>
  <c r="H225" i="2" s="1"/>
  <c r="I284" i="2"/>
  <c r="I308" i="2"/>
  <c r="J311" i="2"/>
  <c r="H311" i="2" s="1"/>
  <c r="I317" i="2"/>
  <c r="J338" i="2"/>
  <c r="H338" i="2" s="1"/>
  <c r="J424" i="2"/>
  <c r="I469" i="2"/>
  <c r="J479" i="2"/>
  <c r="H479" i="2" s="1"/>
  <c r="K533" i="2"/>
  <c r="I563" i="2"/>
  <c r="J577" i="2"/>
  <c r="H577" i="2" s="1"/>
  <c r="J592" i="2"/>
  <c r="H592" i="2" s="1"/>
  <c r="I604" i="2"/>
  <c r="J618" i="2"/>
  <c r="H618" i="2" s="1"/>
  <c r="I627" i="2"/>
  <c r="J650" i="2"/>
  <c r="H650" i="2" s="1"/>
  <c r="I661" i="2"/>
  <c r="I817" i="2"/>
  <c r="I864" i="2"/>
  <c r="I884" i="2"/>
  <c r="J284" i="2"/>
  <c r="H284" i="2" s="1"/>
  <c r="J308" i="2"/>
  <c r="H308" i="2" s="1"/>
  <c r="J317" i="2"/>
  <c r="H317" i="2" s="1"/>
  <c r="J469" i="2"/>
  <c r="H469" i="2" s="1"/>
  <c r="J563" i="2"/>
  <c r="H563" i="2" s="1"/>
  <c r="J604" i="2"/>
  <c r="H604" i="2" s="1"/>
  <c r="J627" i="2"/>
  <c r="H627" i="2" s="1"/>
  <c r="I657" i="2"/>
  <c r="J661" i="2"/>
  <c r="H661" i="2" s="1"/>
  <c r="K722" i="2"/>
  <c r="I746" i="2"/>
  <c r="I778" i="2"/>
  <c r="J817" i="2"/>
  <c r="K821" i="2" s="1"/>
  <c r="I849" i="2"/>
  <c r="I853" i="2"/>
  <c r="K871" i="2"/>
  <c r="J884" i="2"/>
  <c r="H884" i="2" s="1"/>
  <c r="I77" i="2"/>
  <c r="J16" i="2"/>
  <c r="K22" i="2" s="1"/>
  <c r="J42" i="2"/>
  <c r="H42" i="2" s="1"/>
  <c r="K301" i="2"/>
  <c r="J329" i="2"/>
  <c r="H329" i="2" s="1"/>
  <c r="I441" i="2"/>
  <c r="J476" i="2"/>
  <c r="H476" i="2" s="1"/>
  <c r="J746" i="2"/>
  <c r="H746" i="2" s="1"/>
  <c r="I752" i="2"/>
  <c r="J834" i="2"/>
  <c r="H834" i="2" s="1"/>
  <c r="I837" i="2"/>
  <c r="K849" i="2"/>
  <c r="I862" i="2"/>
  <c r="K837" i="2"/>
  <c r="I58" i="2"/>
  <c r="J58" i="2"/>
  <c r="H58" i="2" s="1"/>
  <c r="K58" i="2"/>
  <c r="I5" i="2"/>
  <c r="K5" i="2"/>
  <c r="J455" i="2"/>
  <c r="H455" i="2" s="1"/>
  <c r="I455" i="2"/>
  <c r="G442" i="2"/>
  <c r="G623" i="2"/>
  <c r="F623" i="2"/>
  <c r="K623" i="2" s="1"/>
  <c r="G399" i="2"/>
  <c r="K580" i="2"/>
  <c r="J580" i="2"/>
  <c r="H580" i="2" s="1"/>
  <c r="I580" i="2"/>
  <c r="F15" i="2"/>
  <c r="J15" i="2" s="1"/>
  <c r="H15" i="2" s="1"/>
  <c r="I34" i="2"/>
  <c r="I65" i="2"/>
  <c r="G286" i="2"/>
  <c r="F286" i="2"/>
  <c r="I286" i="2" s="1"/>
  <c r="G362" i="2"/>
  <c r="G378" i="2"/>
  <c r="G420" i="2"/>
  <c r="F420" i="2"/>
  <c r="I420" i="2" s="1"/>
  <c r="J10" i="2"/>
  <c r="K16" i="2" s="1"/>
  <c r="G43" i="2"/>
  <c r="J72" i="2"/>
  <c r="H72" i="2" s="1"/>
  <c r="G11" i="2"/>
  <c r="F11" i="2"/>
  <c r="J11" i="2" s="1"/>
  <c r="H11" i="2" s="1"/>
  <c r="F52" i="2"/>
  <c r="K52" i="2" s="1"/>
  <c r="K65" i="2"/>
  <c r="F88" i="2"/>
  <c r="J88" i="2" s="1"/>
  <c r="H88" i="2" s="1"/>
  <c r="G272" i="2"/>
  <c r="F272" i="2"/>
  <c r="I272" i="2" s="1"/>
  <c r="K723" i="2"/>
  <c r="I723" i="2"/>
  <c r="G847" i="2"/>
  <c r="F847" i="2"/>
  <c r="J847" i="2" s="1"/>
  <c r="H847" i="2" s="1"/>
  <c r="F22" i="2"/>
  <c r="J22" i="2" s="1"/>
  <c r="J30" i="2"/>
  <c r="K39" i="2" s="1"/>
  <c r="I41" i="2"/>
  <c r="F48" i="2"/>
  <c r="J48" i="2" s="1"/>
  <c r="K56" i="2" s="1"/>
  <c r="G50" i="2"/>
  <c r="G73" i="2"/>
  <c r="F73" i="2"/>
  <c r="K73" i="2" s="1"/>
  <c r="F76" i="2"/>
  <c r="J76" i="2" s="1"/>
  <c r="H76" i="2" s="1"/>
  <c r="G88" i="2"/>
  <c r="G118" i="2"/>
  <c r="F118" i="2"/>
  <c r="J118" i="2" s="1"/>
  <c r="H118" i="2" s="1"/>
  <c r="G147" i="2"/>
  <c r="J164" i="2"/>
  <c r="I164" i="2"/>
  <c r="G182" i="2"/>
  <c r="G189" i="2"/>
  <c r="F189" i="2"/>
  <c r="K189" i="2" s="1"/>
  <c r="G243" i="2"/>
  <c r="F243" i="2"/>
  <c r="J243" i="2" s="1"/>
  <c r="H243" i="2" s="1"/>
  <c r="G269" i="2"/>
  <c r="G414" i="2"/>
  <c r="F428" i="2"/>
  <c r="G432" i="2"/>
  <c r="F432" i="2"/>
  <c r="K432" i="2" s="1"/>
  <c r="G530" i="2"/>
  <c r="I603" i="2"/>
  <c r="G636" i="2"/>
  <c r="F636" i="2"/>
  <c r="J636" i="2" s="1"/>
  <c r="H636" i="2" s="1"/>
  <c r="J683" i="2"/>
  <c r="H683" i="2" s="1"/>
  <c r="I683" i="2"/>
  <c r="K683" i="2"/>
  <c r="F729" i="2"/>
  <c r="K729" i="2" s="1"/>
  <c r="F866" i="2"/>
  <c r="I866" i="2" s="1"/>
  <c r="G866" i="2"/>
  <c r="G191" i="2"/>
  <c r="F498" i="2"/>
  <c r="I498" i="2" s="1"/>
  <c r="J664" i="2"/>
  <c r="I664" i="2"/>
  <c r="K184" i="2"/>
  <c r="J184" i="2"/>
  <c r="H184" i="2" s="1"/>
  <c r="I184" i="2"/>
  <c r="G184" i="2"/>
  <c r="J233" i="2"/>
  <c r="H233" i="2" s="1"/>
  <c r="I233" i="2"/>
  <c r="G233" i="2"/>
  <c r="K233" i="2"/>
  <c r="J247" i="2"/>
  <c r="H247" i="2" s="1"/>
  <c r="I247" i="2"/>
  <c r="G247" i="2"/>
  <c r="K19" i="2"/>
  <c r="J19" i="2"/>
  <c r="H19" i="2" s="1"/>
  <c r="G47" i="2"/>
  <c r="F87" i="2"/>
  <c r="F435" i="2"/>
  <c r="K435" i="2" s="1"/>
  <c r="K455" i="2"/>
  <c r="F17" i="2"/>
  <c r="K17" i="2" s="1"/>
  <c r="F45" i="2"/>
  <c r="K45" i="2" s="1"/>
  <c r="I72" i="2"/>
  <c r="F97" i="2"/>
  <c r="K97" i="2" s="1"/>
  <c r="F355" i="2"/>
  <c r="I355" i="2" s="1"/>
  <c r="F399" i="2"/>
  <c r="J399" i="2" s="1"/>
  <c r="H399" i="2" s="1"/>
  <c r="J26" i="2"/>
  <c r="H26" i="2" s="1"/>
  <c r="I26" i="2"/>
  <c r="G26" i="2"/>
  <c r="G41" i="2"/>
  <c r="I213" i="2"/>
  <c r="G390" i="2"/>
  <c r="F553" i="2"/>
  <c r="K553" i="2" s="1"/>
  <c r="G896" i="2"/>
  <c r="F896" i="2"/>
  <c r="J896" i="2" s="1"/>
  <c r="H896" i="2" s="1"/>
  <c r="I4" i="2"/>
  <c r="J56" i="2"/>
  <c r="K60" i="2" s="1"/>
  <c r="G60" i="2" s="1"/>
  <c r="F257" i="2"/>
  <c r="K257" i="2" s="1"/>
  <c r="F269" i="2"/>
  <c r="K269" i="2" s="1"/>
  <c r="K367" i="2"/>
  <c r="J367" i="2"/>
  <c r="H367" i="2" s="1"/>
  <c r="I367" i="2"/>
  <c r="F390" i="2"/>
  <c r="J390" i="2" s="1"/>
  <c r="H390" i="2" s="1"/>
  <c r="G553" i="2"/>
  <c r="J4" i="2"/>
  <c r="H4" i="2" s="1"/>
  <c r="J6" i="2"/>
  <c r="H6" i="2" s="1"/>
  <c r="J28" i="2"/>
  <c r="H28" i="2" s="1"/>
  <c r="G66" i="2"/>
  <c r="J70" i="2"/>
  <c r="H70" i="2" s="1"/>
  <c r="K6" i="2"/>
  <c r="F9" i="2"/>
  <c r="I9" i="2" s="1"/>
  <c r="I11" i="2"/>
  <c r="I13" i="2"/>
  <c r="F20" i="2"/>
  <c r="K20" i="2" s="1"/>
  <c r="K26" i="2"/>
  <c r="K28" i="2"/>
  <c r="K30" i="2"/>
  <c r="F33" i="2"/>
  <c r="I39" i="2"/>
  <c r="J41" i="2"/>
  <c r="H41" i="2" s="1"/>
  <c r="F46" i="2"/>
  <c r="K46" i="2" s="1"/>
  <c r="K57" i="2"/>
  <c r="J57" i="2"/>
  <c r="H57" i="2" s="1"/>
  <c r="I57" i="2"/>
  <c r="K62" i="2"/>
  <c r="J62" i="2"/>
  <c r="H62" i="2" s="1"/>
  <c r="I62" i="2"/>
  <c r="F66" i="2"/>
  <c r="K66" i="2" s="1"/>
  <c r="K70" i="2"/>
  <c r="G76" i="2"/>
  <c r="I78" i="2"/>
  <c r="F85" i="2"/>
  <c r="K85" i="2" s="1"/>
  <c r="J95" i="2"/>
  <c r="I95" i="2"/>
  <c r="K106" i="2"/>
  <c r="J106" i="2"/>
  <c r="H106" i="2" s="1"/>
  <c r="I106" i="2"/>
  <c r="I135" i="2"/>
  <c r="I142" i="2"/>
  <c r="K161" i="2"/>
  <c r="J161" i="2"/>
  <c r="H161" i="2" s="1"/>
  <c r="F172" i="2"/>
  <c r="J172" i="2" s="1"/>
  <c r="K177" i="2"/>
  <c r="J177" i="2"/>
  <c r="H177" i="2" s="1"/>
  <c r="I177" i="2"/>
  <c r="F182" i="2"/>
  <c r="K182" i="2" s="1"/>
  <c r="K236" i="2"/>
  <c r="J236" i="2"/>
  <c r="H236" i="2" s="1"/>
  <c r="I236" i="2"/>
  <c r="G236" i="2"/>
  <c r="K250" i="2"/>
  <c r="J250" i="2"/>
  <c r="H250" i="2" s="1"/>
  <c r="I250" i="2"/>
  <c r="G250" i="2"/>
  <c r="K331" i="2"/>
  <c r="J331" i="2"/>
  <c r="H331" i="2" s="1"/>
  <c r="I331" i="2"/>
  <c r="I341" i="2"/>
  <c r="G367" i="2"/>
  <c r="F414" i="2"/>
  <c r="K414" i="2" s="1"/>
  <c r="J425" i="2"/>
  <c r="H425" i="2" s="1"/>
  <c r="I425" i="2"/>
  <c r="G425" i="2"/>
  <c r="F445" i="2"/>
  <c r="J445" i="2" s="1"/>
  <c r="H445" i="2" s="1"/>
  <c r="K450" i="2"/>
  <c r="J450" i="2"/>
  <c r="H450" i="2" s="1"/>
  <c r="I450" i="2"/>
  <c r="K466" i="2"/>
  <c r="J466" i="2"/>
  <c r="H466" i="2" s="1"/>
  <c r="F530" i="2"/>
  <c r="J530" i="2" s="1"/>
  <c r="H530" i="2" s="1"/>
  <c r="G548" i="2"/>
  <c r="F548" i="2"/>
  <c r="J548" i="2" s="1"/>
  <c r="H548" i="2" s="1"/>
  <c r="F600" i="2"/>
  <c r="K600" i="2" s="1"/>
  <c r="G610" i="2"/>
  <c r="F610" i="2"/>
  <c r="K610" i="2" s="1"/>
  <c r="G729" i="2"/>
  <c r="F733" i="2"/>
  <c r="G833" i="2"/>
  <c r="J898" i="2"/>
  <c r="H898" i="2" s="1"/>
  <c r="I898" i="2"/>
  <c r="K898" i="2"/>
  <c r="J419" i="2"/>
  <c r="H419" i="2" s="1"/>
  <c r="I419" i="2"/>
  <c r="G419" i="2"/>
  <c r="K518" i="2"/>
  <c r="J518" i="2"/>
  <c r="H518" i="2" s="1"/>
  <c r="I518" i="2"/>
  <c r="G108" i="2"/>
  <c r="F108" i="2"/>
  <c r="I108" i="2" s="1"/>
  <c r="G127" i="2"/>
  <c r="F127" i="2"/>
  <c r="J127" i="2" s="1"/>
  <c r="H127" i="2" s="1"/>
  <c r="G8" i="2"/>
  <c r="G93" i="2"/>
  <c r="G438" i="2"/>
  <c r="F159" i="2"/>
  <c r="K159" i="2" s="1"/>
  <c r="G411" i="2"/>
  <c r="G489" i="2"/>
  <c r="F290" i="2"/>
  <c r="J290" i="2" s="1"/>
  <c r="F362" i="2"/>
  <c r="K362" i="2" s="1"/>
  <c r="F411" i="2"/>
  <c r="J411" i="2" s="1"/>
  <c r="H411" i="2" s="1"/>
  <c r="K537" i="2"/>
  <c r="J537" i="2"/>
  <c r="H537" i="2" s="1"/>
  <c r="I537" i="2"/>
  <c r="G537" i="2"/>
  <c r="G609" i="2"/>
  <c r="F609" i="2"/>
  <c r="I609" i="2" s="1"/>
  <c r="G874" i="2"/>
  <c r="F874" i="2"/>
  <c r="J874" i="2" s="1"/>
  <c r="H874" i="2" s="1"/>
  <c r="F24" i="2"/>
  <c r="G316" i="2"/>
  <c r="F316" i="2"/>
  <c r="I316" i="2" s="1"/>
  <c r="J29" i="2"/>
  <c r="H29" i="2" s="1"/>
  <c r="K31" i="2"/>
  <c r="J31" i="2"/>
  <c r="H31" i="2" s="1"/>
  <c r="J39" i="2"/>
  <c r="K41" i="2"/>
  <c r="J50" i="2"/>
  <c r="H50" i="2" s="1"/>
  <c r="K55" i="2"/>
  <c r="J55" i="2"/>
  <c r="H55" i="2" s="1"/>
  <c r="K71" i="2"/>
  <c r="J71" i="2"/>
  <c r="H71" i="2" s="1"/>
  <c r="I71" i="2"/>
  <c r="J115" i="2"/>
  <c r="H115" i="2" s="1"/>
  <c r="I115" i="2"/>
  <c r="F122" i="2"/>
  <c r="J122" i="2" s="1"/>
  <c r="H122" i="2" s="1"/>
  <c r="J135" i="2"/>
  <c r="H135" i="2" s="1"/>
  <c r="J142" i="2"/>
  <c r="H142" i="2" s="1"/>
  <c r="I147" i="2"/>
  <c r="G193" i="2"/>
  <c r="G200" i="2"/>
  <c r="F200" i="2"/>
  <c r="I200" i="2" s="1"/>
  <c r="J341" i="2"/>
  <c r="H341" i="2" s="1"/>
  <c r="G472" i="2"/>
  <c r="F472" i="2"/>
  <c r="J472" i="2" s="1"/>
  <c r="H472" i="2" s="1"/>
  <c r="K589" i="2"/>
  <c r="J589" i="2"/>
  <c r="H589" i="2" s="1"/>
  <c r="I589" i="2"/>
  <c r="G719" i="2"/>
  <c r="F833" i="2"/>
  <c r="K833" i="2" s="1"/>
  <c r="G857" i="2"/>
  <c r="F857" i="2"/>
  <c r="K857" i="2" s="1"/>
  <c r="G867" i="2"/>
  <c r="F867" i="2"/>
  <c r="K867" i="2" s="1"/>
  <c r="F8" i="2"/>
  <c r="K8" i="2" s="1"/>
  <c r="F21" i="2"/>
  <c r="J21" i="2" s="1"/>
  <c r="H21" i="2" s="1"/>
  <c r="F47" i="2"/>
  <c r="J47" i="2" s="1"/>
  <c r="H47" i="2" s="1"/>
  <c r="K102" i="2"/>
  <c r="J102" i="2"/>
  <c r="H102" i="2" s="1"/>
  <c r="I102" i="2"/>
  <c r="F156" i="2"/>
  <c r="I156" i="2" s="1"/>
  <c r="K416" i="2"/>
  <c r="J416" i="2"/>
  <c r="H416" i="2" s="1"/>
  <c r="I416" i="2"/>
  <c r="J259" i="2"/>
  <c r="H259" i="2" s="1"/>
  <c r="I259" i="2"/>
  <c r="G259" i="2"/>
  <c r="K302" i="2"/>
  <c r="J302" i="2"/>
  <c r="H302" i="2" s="1"/>
  <c r="I302" i="2"/>
  <c r="G302" i="2"/>
  <c r="K419" i="2"/>
  <c r="F43" i="2"/>
  <c r="J43" i="2" s="1"/>
  <c r="H43" i="2" s="1"/>
  <c r="G188" i="2"/>
  <c r="F188" i="2"/>
  <c r="K188" i="2" s="1"/>
  <c r="G701" i="2"/>
  <c r="F701" i="2"/>
  <c r="J701" i="2" s="1"/>
  <c r="H701" i="2" s="1"/>
  <c r="G15" i="2"/>
  <c r="K21" i="2"/>
  <c r="G52" i="2"/>
  <c r="G90" i="2"/>
  <c r="G276" i="2"/>
  <c r="F276" i="2"/>
  <c r="I276" i="2" s="1"/>
  <c r="G323" i="2"/>
  <c r="F323" i="2"/>
  <c r="I323" i="2" s="1"/>
  <c r="G355" i="2"/>
  <c r="G37" i="2"/>
  <c r="F37" i="2"/>
  <c r="J37" i="2" s="1"/>
  <c r="H37" i="2" s="1"/>
  <c r="F3" i="2"/>
  <c r="K13" i="2"/>
  <c r="K79" i="2"/>
  <c r="J79" i="2"/>
  <c r="H79" i="2" s="1"/>
  <c r="I79" i="2"/>
  <c r="K152" i="2"/>
  <c r="J152" i="2"/>
  <c r="H152" i="2" s="1"/>
  <c r="I152" i="2"/>
  <c r="F168" i="2"/>
  <c r="K168" i="2" s="1"/>
  <c r="F173" i="2"/>
  <c r="J173" i="2" s="1"/>
  <c r="H173" i="2" s="1"/>
  <c r="F193" i="2"/>
  <c r="J193" i="2" s="1"/>
  <c r="H193" i="2" s="1"/>
  <c r="G254" i="2"/>
  <c r="F254" i="2"/>
  <c r="I254" i="2" s="1"/>
  <c r="I350" i="2"/>
  <c r="K353" i="2"/>
  <c r="J353" i="2"/>
  <c r="H353" i="2" s="1"/>
  <c r="I353" i="2"/>
  <c r="F392" i="2"/>
  <c r="I392" i="2" s="1"/>
  <c r="G501" i="2"/>
  <c r="F501" i="2"/>
  <c r="I501" i="2" s="1"/>
  <c r="F593" i="2"/>
  <c r="G704" i="2"/>
  <c r="F704" i="2"/>
  <c r="I704" i="2" s="1"/>
  <c r="F719" i="2"/>
  <c r="I719" i="2" s="1"/>
  <c r="G543" i="2"/>
  <c r="F543" i="2"/>
  <c r="J543" i="2" s="1"/>
  <c r="H543" i="2" s="1"/>
  <c r="J586" i="2"/>
  <c r="I586" i="2"/>
  <c r="F32" i="2"/>
  <c r="K32" i="2" s="1"/>
  <c r="F191" i="2"/>
  <c r="K191" i="2" s="1"/>
  <c r="J348" i="2"/>
  <c r="K349" i="2" s="1"/>
  <c r="I348" i="2"/>
  <c r="K378" i="2"/>
  <c r="J378" i="2"/>
  <c r="H378" i="2" s="1"/>
  <c r="I378" i="2"/>
  <c r="G120" i="2"/>
  <c r="F120" i="2"/>
  <c r="K120" i="2" s="1"/>
  <c r="F154" i="2"/>
  <c r="K154" i="2" s="1"/>
  <c r="F175" i="2"/>
  <c r="J175" i="2" s="1"/>
  <c r="H175" i="2" s="1"/>
  <c r="F442" i="2"/>
  <c r="K442" i="2" s="1"/>
  <c r="F463" i="2"/>
  <c r="K81" i="2"/>
  <c r="J81" i="2"/>
  <c r="H81" i="2" s="1"/>
  <c r="I81" i="2"/>
  <c r="F90" i="2"/>
  <c r="K90" i="2" s="1"/>
  <c r="G102" i="2"/>
  <c r="G181" i="2"/>
  <c r="K247" i="2"/>
  <c r="F438" i="2"/>
  <c r="J438" i="2" s="1"/>
  <c r="H438" i="2" s="1"/>
  <c r="G485" i="2"/>
  <c r="F485" i="2"/>
  <c r="J485" i="2" s="1"/>
  <c r="H485" i="2" s="1"/>
  <c r="G94" i="2"/>
  <c r="F94" i="2"/>
  <c r="J94" i="2" s="1"/>
  <c r="H94" i="2" s="1"/>
  <c r="K109" i="2"/>
  <c r="J109" i="2"/>
  <c r="H109" i="2" s="1"/>
  <c r="I109" i="2"/>
  <c r="G109" i="2"/>
  <c r="K379" i="2"/>
  <c r="J379" i="2"/>
  <c r="H379" i="2" s="1"/>
  <c r="I379" i="2"/>
  <c r="G379" i="2"/>
  <c r="F489" i="2"/>
  <c r="I489" i="2" s="1"/>
  <c r="I19" i="2"/>
  <c r="G59" i="2"/>
  <c r="F59" i="2"/>
  <c r="J59" i="2" s="1"/>
  <c r="H59" i="2" s="1"/>
  <c r="G81" i="2"/>
  <c r="K400" i="2"/>
  <c r="J400" i="2"/>
  <c r="H400" i="2" s="1"/>
  <c r="I400" i="2"/>
  <c r="G400" i="2"/>
  <c r="F27" i="2"/>
  <c r="G14" i="2"/>
  <c r="F67" i="2"/>
  <c r="F69" i="2"/>
  <c r="I69" i="2" s="1"/>
  <c r="G71" i="2"/>
  <c r="F104" i="2"/>
  <c r="I104" i="2" s="1"/>
  <c r="G168" i="2"/>
  <c r="G174" i="2"/>
  <c r="F174" i="2"/>
  <c r="K174" i="2" s="1"/>
  <c r="G186" i="2"/>
  <c r="G219" i="2"/>
  <c r="F219" i="2"/>
  <c r="K219" i="2" s="1"/>
  <c r="F266" i="2"/>
  <c r="K266" i="2" s="1"/>
  <c r="G278" i="2"/>
  <c r="F278" i="2"/>
  <c r="K278" i="2" s="1"/>
  <c r="G309" i="2"/>
  <c r="J350" i="2"/>
  <c r="H350" i="2" s="1"/>
  <c r="G364" i="2"/>
  <c r="G386" i="2"/>
  <c r="F386" i="2"/>
  <c r="K386" i="2" s="1"/>
  <c r="G392" i="2"/>
  <c r="F404" i="2"/>
  <c r="K404" i="2" s="1"/>
  <c r="G409" i="2"/>
  <c r="F409" i="2"/>
  <c r="K409" i="2" s="1"/>
  <c r="G426" i="2"/>
  <c r="G461" i="2"/>
  <c r="G523" i="2"/>
  <c r="F523" i="2"/>
  <c r="I523" i="2" s="1"/>
  <c r="K540" i="2"/>
  <c r="J540" i="2"/>
  <c r="H540" i="2" s="1"/>
  <c r="I540" i="2"/>
  <c r="K594" i="2"/>
  <c r="J594" i="2"/>
  <c r="H594" i="2" s="1"/>
  <c r="I594" i="2"/>
  <c r="K659" i="2"/>
  <c r="J659" i="2"/>
  <c r="H659" i="2" s="1"/>
  <c r="I659" i="2"/>
  <c r="G659" i="2"/>
  <c r="G828" i="2"/>
  <c r="F828" i="2"/>
  <c r="K828" i="2" s="1"/>
  <c r="K402" i="2"/>
  <c r="J402" i="2"/>
  <c r="H402" i="2" s="1"/>
  <c r="I402" i="2"/>
  <c r="J647" i="2"/>
  <c r="H647" i="2" s="1"/>
  <c r="I647" i="2"/>
  <c r="K163" i="2"/>
  <c r="J163" i="2"/>
  <c r="H163" i="2" s="1"/>
  <c r="I163" i="2"/>
  <c r="G207" i="2"/>
  <c r="F207" i="2"/>
  <c r="J207" i="2" s="1"/>
  <c r="H207" i="2" s="1"/>
  <c r="K281" i="2"/>
  <c r="J281" i="2"/>
  <c r="H281" i="2" s="1"/>
  <c r="I281" i="2"/>
  <c r="G281" i="2"/>
  <c r="G344" i="2"/>
  <c r="F344" i="2"/>
  <c r="I344" i="2" s="1"/>
  <c r="F405" i="2"/>
  <c r="K532" i="2"/>
  <c r="J532" i="2"/>
  <c r="H532" i="2" s="1"/>
  <c r="I532" i="2"/>
  <c r="G532" i="2"/>
  <c r="F633" i="2"/>
  <c r="J633" i="2" s="1"/>
  <c r="H633" i="2" s="1"/>
  <c r="G21" i="2"/>
  <c r="G156" i="2"/>
  <c r="K293" i="2"/>
  <c r="J293" i="2"/>
  <c r="H293" i="2" s="1"/>
  <c r="I293" i="2"/>
  <c r="G293" i="2"/>
  <c r="G402" i="2"/>
  <c r="J78" i="2"/>
  <c r="H78" i="2" s="1"/>
  <c r="F93" i="2"/>
  <c r="K93" i="2" s="1"/>
  <c r="G154" i="2"/>
  <c r="G431" i="2"/>
  <c r="F431" i="2"/>
  <c r="I431" i="2" s="1"/>
  <c r="J615" i="2"/>
  <c r="H615" i="2" s="1"/>
  <c r="I615" i="2"/>
  <c r="G895" i="2"/>
  <c r="F895" i="2"/>
  <c r="K895" i="2" s="1"/>
  <c r="G19" i="2"/>
  <c r="K50" i="2"/>
  <c r="I50" i="2"/>
  <c r="K147" i="2"/>
  <c r="J147" i="2"/>
  <c r="H147" i="2" s="1"/>
  <c r="G159" i="2"/>
  <c r="F181" i="2"/>
  <c r="K181" i="2" s="1"/>
  <c r="K222" i="2"/>
  <c r="J222" i="2"/>
  <c r="H222" i="2" s="1"/>
  <c r="I222" i="2"/>
  <c r="G222" i="2"/>
  <c r="K259" i="2"/>
  <c r="G260" i="2"/>
  <c r="F260" i="2"/>
  <c r="J260" i="2" s="1"/>
  <c r="H260" i="2" s="1"/>
  <c r="G732" i="2"/>
  <c r="F732" i="2"/>
  <c r="I732" i="2" s="1"/>
  <c r="J5" i="2"/>
  <c r="H5" i="2" s="1"/>
  <c r="F7" i="2"/>
  <c r="I7" i="2" s="1"/>
  <c r="G5" i="2"/>
  <c r="G7" i="2"/>
  <c r="K12" i="2"/>
  <c r="G31" i="2"/>
  <c r="G55" i="2"/>
  <c r="K10" i="2"/>
  <c r="F12" i="2"/>
  <c r="J12" i="2" s="1"/>
  <c r="H12" i="2" s="1"/>
  <c r="F14" i="2"/>
  <c r="K14" i="2" s="1"/>
  <c r="F23" i="2"/>
  <c r="I31" i="2"/>
  <c r="K34" i="2"/>
  <c r="F38" i="2"/>
  <c r="J38" i="2" s="1"/>
  <c r="H38" i="2" s="1"/>
  <c r="F40" i="2"/>
  <c r="G49" i="2"/>
  <c r="F49" i="2"/>
  <c r="K80" i="2"/>
  <c r="J80" i="2"/>
  <c r="H80" i="2" s="1"/>
  <c r="F83" i="2"/>
  <c r="K83" i="2" s="1"/>
  <c r="J86" i="2"/>
  <c r="K115" i="2" s="1"/>
  <c r="I86" i="2"/>
  <c r="K92" i="2"/>
  <c r="J92" i="2"/>
  <c r="H92" i="2" s="1"/>
  <c r="I92" i="2"/>
  <c r="F101" i="2"/>
  <c r="G104" i="2"/>
  <c r="K113" i="2"/>
  <c r="J113" i="2"/>
  <c r="H113" i="2" s="1"/>
  <c r="I113" i="2"/>
  <c r="G116" i="2"/>
  <c r="F116" i="2"/>
  <c r="K116" i="2" s="1"/>
  <c r="K158" i="2"/>
  <c r="J158" i="2"/>
  <c r="H158" i="2" s="1"/>
  <c r="I158" i="2"/>
  <c r="K166" i="2"/>
  <c r="J166" i="2"/>
  <c r="H166" i="2" s="1"/>
  <c r="I166" i="2"/>
  <c r="F186" i="2"/>
  <c r="I186" i="2" s="1"/>
  <c r="F309" i="2"/>
  <c r="K309" i="2" s="1"/>
  <c r="F364" i="2"/>
  <c r="K364" i="2" s="1"/>
  <c r="K393" i="2"/>
  <c r="J393" i="2"/>
  <c r="H393" i="2" s="1"/>
  <c r="I393" i="2"/>
  <c r="G404" i="2"/>
  <c r="F423" i="2"/>
  <c r="F426" i="2"/>
  <c r="K426" i="2" s="1"/>
  <c r="J437" i="2"/>
  <c r="H437" i="2" s="1"/>
  <c r="I437" i="2"/>
  <c r="G437" i="2"/>
  <c r="F461" i="2"/>
  <c r="I461" i="2" s="1"/>
  <c r="I466" i="2"/>
  <c r="G473" i="2"/>
  <c r="F473" i="2"/>
  <c r="I473" i="2" s="1"/>
  <c r="K502" i="2"/>
  <c r="J502" i="2"/>
  <c r="H502" i="2" s="1"/>
  <c r="I502" i="2"/>
  <c r="F550" i="2"/>
  <c r="J550" i="2" s="1"/>
  <c r="H550" i="2" s="1"/>
  <c r="J613" i="2"/>
  <c r="H613" i="2" s="1"/>
  <c r="I613" i="2"/>
  <c r="K613" i="2"/>
  <c r="F705" i="2"/>
  <c r="G809" i="2"/>
  <c r="F809" i="2"/>
  <c r="K809" i="2" s="1"/>
  <c r="F820" i="2"/>
  <c r="I820" i="2" s="1"/>
  <c r="G820" i="2"/>
  <c r="F829" i="2"/>
  <c r="I829" i="2" s="1"/>
  <c r="G136" i="2"/>
  <c r="F136" i="2"/>
  <c r="K136" i="2" s="1"/>
  <c r="G214" i="2"/>
  <c r="F214" i="2"/>
  <c r="J214" i="2" s="1"/>
  <c r="H214" i="2" s="1"/>
  <c r="G248" i="2"/>
  <c r="F248" i="2"/>
  <c r="K248" i="2" s="1"/>
  <c r="G267" i="2"/>
  <c r="G300" i="2"/>
  <c r="F300" i="2"/>
  <c r="K300" i="2" s="1"/>
  <c r="G406" i="2"/>
  <c r="F406" i="2"/>
  <c r="J406" i="2" s="1"/>
  <c r="H406" i="2" s="1"/>
  <c r="G666" i="2"/>
  <c r="F666" i="2"/>
  <c r="J666" i="2" s="1"/>
  <c r="H666" i="2" s="1"/>
  <c r="F696" i="2"/>
  <c r="I696" i="2" s="1"/>
  <c r="G706" i="2"/>
  <c r="F706" i="2"/>
  <c r="I706" i="2" s="1"/>
  <c r="F715" i="2"/>
  <c r="K715" i="2" s="1"/>
  <c r="G786" i="2"/>
  <c r="F786" i="2"/>
  <c r="J786" i="2" s="1"/>
  <c r="H786" i="2" s="1"/>
  <c r="J801" i="2"/>
  <c r="H801" i="2" s="1"/>
  <c r="K801" i="2"/>
  <c r="I801" i="2"/>
  <c r="G810" i="2"/>
  <c r="F810" i="2"/>
  <c r="J810" i="2" s="1"/>
  <c r="H810" i="2" s="1"/>
  <c r="F125" i="2"/>
  <c r="G141" i="2"/>
  <c r="F194" i="2"/>
  <c r="K194" i="2" s="1"/>
  <c r="F196" i="2"/>
  <c r="K196" i="2" s="1"/>
  <c r="F198" i="2"/>
  <c r="K198" i="2" s="1"/>
  <c r="F203" i="2"/>
  <c r="K203" i="2" s="1"/>
  <c r="F229" i="2"/>
  <c r="J229" i="2" s="1"/>
  <c r="H229" i="2" s="1"/>
  <c r="G234" i="2"/>
  <c r="F234" i="2"/>
  <c r="K234" i="2" s="1"/>
  <c r="G240" i="2"/>
  <c r="F240" i="2"/>
  <c r="K240" i="2" s="1"/>
  <c r="F267" i="2"/>
  <c r="J267" i="2" s="1"/>
  <c r="H267" i="2" s="1"/>
  <c r="F307" i="2"/>
  <c r="G337" i="2"/>
  <c r="F337" i="2"/>
  <c r="I337" i="2" s="1"/>
  <c r="F374" i="2"/>
  <c r="K374" i="2" s="1"/>
  <c r="F376" i="2"/>
  <c r="I376" i="2" s="1"/>
  <c r="F383" i="2"/>
  <c r="J383" i="2" s="1"/>
  <c r="H383" i="2" s="1"/>
  <c r="F397" i="2"/>
  <c r="J397" i="2" s="1"/>
  <c r="H397" i="2" s="1"/>
  <c r="F433" i="2"/>
  <c r="F487" i="2"/>
  <c r="K487" i="2" s="1"/>
  <c r="G490" i="2"/>
  <c r="F490" i="2"/>
  <c r="J490" i="2" s="1"/>
  <c r="H490" i="2" s="1"/>
  <c r="G555" i="2"/>
  <c r="F555" i="2"/>
  <c r="J555" i="2" s="1"/>
  <c r="H555" i="2" s="1"/>
  <c r="J591" i="2"/>
  <c r="H591" i="2" s="1"/>
  <c r="I591" i="2"/>
  <c r="G595" i="2"/>
  <c r="F595" i="2"/>
  <c r="J595" i="2" s="1"/>
  <c r="H595" i="2" s="1"/>
  <c r="G679" i="2"/>
  <c r="J697" i="2"/>
  <c r="H697" i="2" s="1"/>
  <c r="I697" i="2"/>
  <c r="G707" i="2"/>
  <c r="G715" i="2"/>
  <c r="F781" i="2"/>
  <c r="K781" i="2" s="1"/>
  <c r="J75" i="2"/>
  <c r="H75" i="2" s="1"/>
  <c r="I75" i="2"/>
  <c r="G75" i="2"/>
  <c r="F107" i="2"/>
  <c r="I107" i="2" s="1"/>
  <c r="F123" i="2"/>
  <c r="J123" i="2" s="1"/>
  <c r="H123" i="2" s="1"/>
  <c r="K130" i="2"/>
  <c r="J130" i="2"/>
  <c r="H130" i="2" s="1"/>
  <c r="K134" i="2"/>
  <c r="J134" i="2"/>
  <c r="H134" i="2" s="1"/>
  <c r="I134" i="2"/>
  <c r="K139" i="2"/>
  <c r="J139" i="2"/>
  <c r="H139" i="2" s="1"/>
  <c r="I139" i="2"/>
  <c r="F141" i="2"/>
  <c r="K141" i="2" s="1"/>
  <c r="G148" i="2"/>
  <c r="F148" i="2"/>
  <c r="F187" i="2"/>
  <c r="I187" i="2" s="1"/>
  <c r="G194" i="2"/>
  <c r="G196" i="2"/>
  <c r="G198" i="2"/>
  <c r="F201" i="2"/>
  <c r="J201" i="2" s="1"/>
  <c r="H201" i="2" s="1"/>
  <c r="G203" i="2"/>
  <c r="J210" i="2"/>
  <c r="H210" i="2" s="1"/>
  <c r="K212" i="2"/>
  <c r="J212" i="2"/>
  <c r="H212" i="2" s="1"/>
  <c r="I212" i="2"/>
  <c r="K217" i="2"/>
  <c r="J217" i="2"/>
  <c r="H217" i="2" s="1"/>
  <c r="I217" i="2"/>
  <c r="G220" i="2"/>
  <c r="F220" i="2"/>
  <c r="J220" i="2" s="1"/>
  <c r="H220" i="2" s="1"/>
  <c r="F226" i="2"/>
  <c r="J226" i="2" s="1"/>
  <c r="H226" i="2" s="1"/>
  <c r="G229" i="2"/>
  <c r="K255" i="2"/>
  <c r="J255" i="2"/>
  <c r="H255" i="2" s="1"/>
  <c r="I255" i="2"/>
  <c r="G255" i="2"/>
  <c r="F264" i="2"/>
  <c r="J264" i="2" s="1"/>
  <c r="H264" i="2" s="1"/>
  <c r="F288" i="2"/>
  <c r="J288" i="2" s="1"/>
  <c r="H288" i="2" s="1"/>
  <c r="F297" i="2"/>
  <c r="I297" i="2" s="1"/>
  <c r="G304" i="2"/>
  <c r="F304" i="2"/>
  <c r="J304" i="2" s="1"/>
  <c r="H304" i="2" s="1"/>
  <c r="F343" i="2"/>
  <c r="G374" i="2"/>
  <c r="G376" i="2"/>
  <c r="G383" i="2"/>
  <c r="G397" i="2"/>
  <c r="F421" i="2"/>
  <c r="K421" i="2" s="1"/>
  <c r="J440" i="2"/>
  <c r="H440" i="2" s="1"/>
  <c r="G447" i="2"/>
  <c r="F447" i="2"/>
  <c r="J447" i="2" s="1"/>
  <c r="H447" i="2" s="1"/>
  <c r="J454" i="2"/>
  <c r="H454" i="2" s="1"/>
  <c r="G487" i="2"/>
  <c r="F551" i="2"/>
  <c r="J551" i="2" s="1"/>
  <c r="H551" i="2" s="1"/>
  <c r="K601" i="2"/>
  <c r="J601" i="2"/>
  <c r="H601" i="2" s="1"/>
  <c r="I601" i="2"/>
  <c r="F626" i="2"/>
  <c r="J629" i="2"/>
  <c r="H629" i="2" s="1"/>
  <c r="I629" i="2"/>
  <c r="G629" i="2"/>
  <c r="F679" i="2"/>
  <c r="J679" i="2" s="1"/>
  <c r="H679" i="2" s="1"/>
  <c r="K690" i="2"/>
  <c r="J690" i="2"/>
  <c r="H690" i="2" s="1"/>
  <c r="I690" i="2"/>
  <c r="F707" i="2"/>
  <c r="K707" i="2" s="1"/>
  <c r="F770" i="2"/>
  <c r="J770" i="2" s="1"/>
  <c r="H770" i="2" s="1"/>
  <c r="G781" i="2"/>
  <c r="G107" i="2"/>
  <c r="G153" i="2"/>
  <c r="G187" i="2"/>
  <c r="G264" i="2"/>
  <c r="G274" i="2"/>
  <c r="G285" i="2"/>
  <c r="G318" i="2"/>
  <c r="F318" i="2"/>
  <c r="I318" i="2" s="1"/>
  <c r="G321" i="2"/>
  <c r="F321" i="2"/>
  <c r="J321" i="2" s="1"/>
  <c r="H321" i="2" s="1"/>
  <c r="G343" i="2"/>
  <c r="K365" i="2"/>
  <c r="J365" i="2"/>
  <c r="H365" i="2" s="1"/>
  <c r="I365" i="2"/>
  <c r="J391" i="2"/>
  <c r="I391" i="2"/>
  <c r="G421" i="2"/>
  <c r="K516" i="2"/>
  <c r="J516" i="2"/>
  <c r="H516" i="2" s="1"/>
  <c r="I516" i="2"/>
  <c r="G534" i="2"/>
  <c r="G551" i="2"/>
  <c r="K568" i="2"/>
  <c r="J568" i="2"/>
  <c r="H568" i="2" s="1"/>
  <c r="I568" i="2"/>
  <c r="K591" i="2"/>
  <c r="I632" i="2"/>
  <c r="K697" i="2"/>
  <c r="J741" i="2"/>
  <c r="K746" i="2" s="1"/>
  <c r="I741" i="2"/>
  <c r="F755" i="2"/>
  <c r="J755" i="2" s="1"/>
  <c r="H755" i="2" s="1"/>
  <c r="F799" i="2"/>
  <c r="J799" i="2" s="1"/>
  <c r="H799" i="2" s="1"/>
  <c r="F61" i="2"/>
  <c r="J77" i="2"/>
  <c r="H77" i="2" s="1"/>
  <c r="I98" i="2"/>
  <c r="F121" i="2"/>
  <c r="F137" i="2"/>
  <c r="F153" i="2"/>
  <c r="K153" i="2" s="1"/>
  <c r="G160" i="2"/>
  <c r="F160" i="2"/>
  <c r="K160" i="2" s="1"/>
  <c r="I178" i="2"/>
  <c r="F199" i="2"/>
  <c r="G212" i="2"/>
  <c r="F215" i="2"/>
  <c r="K215" i="2" s="1"/>
  <c r="G217" i="2"/>
  <c r="F252" i="2"/>
  <c r="J252" i="2" s="1"/>
  <c r="H252" i="2" s="1"/>
  <c r="F274" i="2"/>
  <c r="J274" i="2" s="1"/>
  <c r="H274" i="2" s="1"/>
  <c r="F285" i="2"/>
  <c r="J285" i="2" s="1"/>
  <c r="H285" i="2" s="1"/>
  <c r="F295" i="2"/>
  <c r="I295" i="2" s="1"/>
  <c r="F298" i="2"/>
  <c r="I301" i="2"/>
  <c r="I315" i="2"/>
  <c r="F407" i="2"/>
  <c r="I407" i="2" s="1"/>
  <c r="J410" i="2"/>
  <c r="H410" i="2" s="1"/>
  <c r="I410" i="2"/>
  <c r="F430" i="2"/>
  <c r="K430" i="2" s="1"/>
  <c r="K443" i="2"/>
  <c r="J443" i="2"/>
  <c r="H443" i="2" s="1"/>
  <c r="I443" i="2"/>
  <c r="F452" i="2"/>
  <c r="K464" i="2"/>
  <c r="J464" i="2"/>
  <c r="H464" i="2" s="1"/>
  <c r="I464" i="2"/>
  <c r="J528" i="2"/>
  <c r="F534" i="2"/>
  <c r="J534" i="2" s="1"/>
  <c r="H534" i="2" s="1"/>
  <c r="F539" i="2"/>
  <c r="K539" i="2" s="1"/>
  <c r="K629" i="2"/>
  <c r="J632" i="2"/>
  <c r="H632" i="2" s="1"/>
  <c r="G680" i="2"/>
  <c r="G755" i="2"/>
  <c r="K75" i="2"/>
  <c r="G82" i="2"/>
  <c r="F82" i="2"/>
  <c r="I82" i="2" s="1"/>
  <c r="G137" i="2"/>
  <c r="F144" i="2"/>
  <c r="I144" i="2" s="1"/>
  <c r="F146" i="2"/>
  <c r="I146" i="2" s="1"/>
  <c r="K149" i="2"/>
  <c r="F151" i="2"/>
  <c r="J151" i="2" s="1"/>
  <c r="J165" i="2"/>
  <c r="H165" i="2" s="1"/>
  <c r="I165" i="2"/>
  <c r="G165" i="2"/>
  <c r="G215" i="2"/>
  <c r="K224" i="2"/>
  <c r="J224" i="2"/>
  <c r="H224" i="2" s="1"/>
  <c r="I224" i="2"/>
  <c r="K227" i="2"/>
  <c r="J227" i="2"/>
  <c r="H227" i="2" s="1"/>
  <c r="I227" i="2"/>
  <c r="F238" i="2"/>
  <c r="I238" i="2" s="1"/>
  <c r="F241" i="2"/>
  <c r="G252" i="2"/>
  <c r="K262" i="2"/>
  <c r="J262" i="2"/>
  <c r="H262" i="2" s="1"/>
  <c r="I262" i="2"/>
  <c r="G262" i="2"/>
  <c r="J271" i="2"/>
  <c r="H271" i="2" s="1"/>
  <c r="I271" i="2"/>
  <c r="G271" i="2"/>
  <c r="K283" i="2"/>
  <c r="J283" i="2"/>
  <c r="H283" i="2" s="1"/>
  <c r="I283" i="2"/>
  <c r="F292" i="2"/>
  <c r="I292" i="2" s="1"/>
  <c r="G295" i="2"/>
  <c r="G305" i="2"/>
  <c r="F305" i="2"/>
  <c r="J305" i="2" s="1"/>
  <c r="H305" i="2" s="1"/>
  <c r="G332" i="2"/>
  <c r="F332" i="2"/>
  <c r="J332" i="2" s="1"/>
  <c r="H332" i="2" s="1"/>
  <c r="F369" i="2"/>
  <c r="K369" i="2" s="1"/>
  <c r="K372" i="2"/>
  <c r="J372" i="2"/>
  <c r="H372" i="2" s="1"/>
  <c r="K377" i="2"/>
  <c r="J377" i="2"/>
  <c r="H377" i="2" s="1"/>
  <c r="I377" i="2"/>
  <c r="K381" i="2"/>
  <c r="K384" i="2"/>
  <c r="J384" i="2"/>
  <c r="H384" i="2" s="1"/>
  <c r="I384" i="2"/>
  <c r="F395" i="2"/>
  <c r="K395" i="2" s="1"/>
  <c r="K398" i="2"/>
  <c r="J398" i="2"/>
  <c r="H398" i="2" s="1"/>
  <c r="I398" i="2"/>
  <c r="G407" i="2"/>
  <c r="F418" i="2"/>
  <c r="J418" i="2" s="1"/>
  <c r="H418" i="2" s="1"/>
  <c r="G430" i="2"/>
  <c r="K449" i="2"/>
  <c r="J449" i="2"/>
  <c r="H449" i="2" s="1"/>
  <c r="I449" i="2"/>
  <c r="J471" i="2"/>
  <c r="H471" i="2" s="1"/>
  <c r="I471" i="2"/>
  <c r="G471" i="2"/>
  <c r="F475" i="2"/>
  <c r="F478" i="2"/>
  <c r="K478" i="2" s="1"/>
  <c r="G484" i="2"/>
  <c r="F484" i="2"/>
  <c r="G496" i="2"/>
  <c r="F496" i="2"/>
  <c r="K496" i="2" s="1"/>
  <c r="F512" i="2"/>
  <c r="G539" i="2"/>
  <c r="F564" i="2"/>
  <c r="F680" i="2"/>
  <c r="K680" i="2" s="1"/>
  <c r="K747" i="2"/>
  <c r="I747" i="2"/>
  <c r="J747" i="2"/>
  <c r="H747" i="2" s="1"/>
  <c r="G747" i="2"/>
  <c r="F793" i="2"/>
  <c r="K793" i="2" s="1"/>
  <c r="G793" i="2"/>
  <c r="G850" i="2"/>
  <c r="F850" i="2"/>
  <c r="I850" i="2" s="1"/>
  <c r="K314" i="2"/>
  <c r="J314" i="2"/>
  <c r="H314" i="2" s="1"/>
  <c r="K319" i="2"/>
  <c r="K330" i="2"/>
  <c r="J330" i="2"/>
  <c r="H330" i="2" s="1"/>
  <c r="I330" i="2"/>
  <c r="K335" i="2"/>
  <c r="J335" i="2"/>
  <c r="H335" i="2" s="1"/>
  <c r="I335" i="2"/>
  <c r="J349" i="2"/>
  <c r="H349" i="2" s="1"/>
  <c r="I349" i="2"/>
  <c r="G356" i="2"/>
  <c r="F356" i="2"/>
  <c r="I356" i="2" s="1"/>
  <c r="K456" i="2"/>
  <c r="J456" i="2"/>
  <c r="H456" i="2" s="1"/>
  <c r="I456" i="2"/>
  <c r="K482" i="2"/>
  <c r="J482" i="2"/>
  <c r="H482" i="2" s="1"/>
  <c r="I482" i="2"/>
  <c r="K546" i="2"/>
  <c r="J546" i="2"/>
  <c r="H546" i="2" s="1"/>
  <c r="G653" i="2"/>
  <c r="F653" i="2"/>
  <c r="J653" i="2" s="1"/>
  <c r="H653" i="2" s="1"/>
  <c r="I739" i="2"/>
  <c r="J739" i="2"/>
  <c r="K741" i="2" s="1"/>
  <c r="G361" i="2"/>
  <c r="G368" i="2"/>
  <c r="F368" i="2"/>
  <c r="J368" i="2" s="1"/>
  <c r="H368" i="2" s="1"/>
  <c r="G665" i="2"/>
  <c r="F698" i="2"/>
  <c r="F784" i="2"/>
  <c r="I784" i="2" s="1"/>
  <c r="J789" i="2"/>
  <c r="H789" i="2" s="1"/>
  <c r="K789" i="2"/>
  <c r="I789" i="2"/>
  <c r="G870" i="2"/>
  <c r="F84" i="2"/>
  <c r="F96" i="2"/>
  <c r="F110" i="2"/>
  <c r="F124" i="2"/>
  <c r="F138" i="2"/>
  <c r="F150" i="2"/>
  <c r="F162" i="2"/>
  <c r="F176" i="2"/>
  <c r="F190" i="2"/>
  <c r="F202" i="2"/>
  <c r="F216" i="2"/>
  <c r="F218" i="2"/>
  <c r="F303" i="2"/>
  <c r="G314" i="2"/>
  <c r="G319" i="2"/>
  <c r="F326" i="2"/>
  <c r="F328" i="2"/>
  <c r="I328" i="2" s="1"/>
  <c r="G330" i="2"/>
  <c r="F333" i="2"/>
  <c r="K333" i="2" s="1"/>
  <c r="G335" i="2"/>
  <c r="K340" i="2"/>
  <c r="J340" i="2"/>
  <c r="H340" i="2" s="1"/>
  <c r="F342" i="2"/>
  <c r="K342" i="2" s="1"/>
  <c r="K345" i="2"/>
  <c r="F347" i="2"/>
  <c r="K347" i="2" s="1"/>
  <c r="K354" i="2"/>
  <c r="J354" i="2"/>
  <c r="H354" i="2" s="1"/>
  <c r="I354" i="2"/>
  <c r="J359" i="2"/>
  <c r="K385" i="2" s="1"/>
  <c r="I359" i="2"/>
  <c r="F361" i="2"/>
  <c r="J361" i="2" s="1"/>
  <c r="H361" i="2" s="1"/>
  <c r="J373" i="2"/>
  <c r="H373" i="2" s="1"/>
  <c r="I373" i="2"/>
  <c r="G373" i="2"/>
  <c r="G380" i="2"/>
  <c r="F380" i="2"/>
  <c r="F444" i="2"/>
  <c r="K444" i="2" s="1"/>
  <c r="G456" i="2"/>
  <c r="F465" i="2"/>
  <c r="J468" i="2"/>
  <c r="F470" i="2"/>
  <c r="K470" i="2" s="1"/>
  <c r="K480" i="2"/>
  <c r="J480" i="2"/>
  <c r="H480" i="2" s="1"/>
  <c r="I480" i="2"/>
  <c r="G482" i="2"/>
  <c r="J503" i="2"/>
  <c r="H503" i="2" s="1"/>
  <c r="I503" i="2"/>
  <c r="G503" i="2"/>
  <c r="K503" i="2"/>
  <c r="F511" i="2"/>
  <c r="F535" i="2"/>
  <c r="K535" i="2" s="1"/>
  <c r="J544" i="2"/>
  <c r="G546" i="2"/>
  <c r="J549" i="2"/>
  <c r="H549" i="2" s="1"/>
  <c r="I549" i="2"/>
  <c r="G549" i="2"/>
  <c r="G562" i="2"/>
  <c r="F562" i="2"/>
  <c r="K562" i="2" s="1"/>
  <c r="F598" i="2"/>
  <c r="K598" i="2" s="1"/>
  <c r="K608" i="2"/>
  <c r="J608" i="2"/>
  <c r="H608" i="2" s="1"/>
  <c r="I608" i="2"/>
  <c r="F612" i="2"/>
  <c r="J612" i="2" s="1"/>
  <c r="H612" i="2" s="1"/>
  <c r="F624" i="2"/>
  <c r="J624" i="2" s="1"/>
  <c r="H624" i="2" s="1"/>
  <c r="F665" i="2"/>
  <c r="J665" i="2" s="1"/>
  <c r="H665" i="2" s="1"/>
  <c r="K812" i="2"/>
  <c r="J812" i="2"/>
  <c r="H812" i="2" s="1"/>
  <c r="I812" i="2"/>
  <c r="F870" i="2"/>
  <c r="J870" i="2" s="1"/>
  <c r="H870" i="2" s="1"/>
  <c r="K873" i="2"/>
  <c r="I873" i="2"/>
  <c r="G888" i="2"/>
  <c r="F888" i="2"/>
  <c r="I888" i="2" s="1"/>
  <c r="G333" i="2"/>
  <c r="G342" i="2"/>
  <c r="G347" i="2"/>
  <c r="K352" i="2"/>
  <c r="J352" i="2"/>
  <c r="H352" i="2" s="1"/>
  <c r="K357" i="2"/>
  <c r="K366" i="2"/>
  <c r="J366" i="2"/>
  <c r="H366" i="2" s="1"/>
  <c r="I366" i="2"/>
  <c r="K371" i="2"/>
  <c r="J371" i="2"/>
  <c r="H371" i="2" s="1"/>
  <c r="I371" i="2"/>
  <c r="J385" i="2"/>
  <c r="H385" i="2" s="1"/>
  <c r="I385" i="2"/>
  <c r="G394" i="2"/>
  <c r="F394" i="2"/>
  <c r="G444" i="2"/>
  <c r="K459" i="2"/>
  <c r="J459" i="2"/>
  <c r="H459" i="2" s="1"/>
  <c r="I459" i="2"/>
  <c r="G470" i="2"/>
  <c r="J477" i="2"/>
  <c r="H477" i="2" s="1"/>
  <c r="I477" i="2"/>
  <c r="G477" i="2"/>
  <c r="G494" i="2"/>
  <c r="F494" i="2"/>
  <c r="I494" i="2" s="1"/>
  <c r="K525" i="2"/>
  <c r="G535" i="2"/>
  <c r="F559" i="2"/>
  <c r="I559" i="2" s="1"/>
  <c r="G576" i="2"/>
  <c r="F576" i="2"/>
  <c r="K576" i="2" s="1"/>
  <c r="G584" i="2"/>
  <c r="F584" i="2"/>
  <c r="I584" i="2" s="1"/>
  <c r="G598" i="2"/>
  <c r="G612" i="2"/>
  <c r="G624" i="2"/>
  <c r="G635" i="2"/>
  <c r="F635" i="2"/>
  <c r="G645" i="2"/>
  <c r="F645" i="2"/>
  <c r="K645" i="2" s="1"/>
  <c r="K687" i="2"/>
  <c r="J687" i="2"/>
  <c r="H687" i="2" s="1"/>
  <c r="I687" i="2"/>
  <c r="I749" i="2"/>
  <c r="G749" i="2"/>
  <c r="J749" i="2"/>
  <c r="H749" i="2" s="1"/>
  <c r="K749" i="2"/>
  <c r="J439" i="2"/>
  <c r="H439" i="2" s="1"/>
  <c r="I439" i="2"/>
  <c r="K499" i="2"/>
  <c r="J517" i="2"/>
  <c r="H517" i="2" s="1"/>
  <c r="I517" i="2"/>
  <c r="K619" i="2"/>
  <c r="J619" i="2"/>
  <c r="H619" i="2" s="1"/>
  <c r="I619" i="2"/>
  <c r="J640" i="2"/>
  <c r="H640" i="2" s="1"/>
  <c r="I640" i="2"/>
  <c r="G640" i="2"/>
  <c r="G684" i="2"/>
  <c r="F684" i="2"/>
  <c r="I684" i="2" s="1"/>
  <c r="G726" i="2"/>
  <c r="F726" i="2"/>
  <c r="I726" i="2" s="1"/>
  <c r="F730" i="2"/>
  <c r="J730" i="2" s="1"/>
  <c r="H730" i="2" s="1"/>
  <c r="F758" i="2"/>
  <c r="J758" i="2" s="1"/>
  <c r="H758" i="2" s="1"/>
  <c r="G758" i="2"/>
  <c r="F906" i="2"/>
  <c r="J906" i="2" s="1"/>
  <c r="H906" i="2" s="1"/>
  <c r="G906" i="2"/>
  <c r="F221" i="2"/>
  <c r="F235" i="2"/>
  <c r="F249" i="2"/>
  <c r="F261" i="2"/>
  <c r="F273" i="2"/>
  <c r="F287" i="2"/>
  <c r="G524" i="2"/>
  <c r="F524" i="2"/>
  <c r="I524" i="2" s="1"/>
  <c r="G571" i="2"/>
  <c r="F571" i="2"/>
  <c r="I571" i="2" s="1"/>
  <c r="J662" i="2"/>
  <c r="H662" i="2" s="1"/>
  <c r="I662" i="2"/>
  <c r="K662" i="2"/>
  <c r="G699" i="2"/>
  <c r="G720" i="2"/>
  <c r="F720" i="2"/>
  <c r="K720" i="2" s="1"/>
  <c r="K788" i="2"/>
  <c r="I788" i="2"/>
  <c r="F844" i="2"/>
  <c r="F880" i="2"/>
  <c r="K880" i="2" s="1"/>
  <c r="F228" i="2"/>
  <c r="F242" i="2"/>
  <c r="F256" i="2"/>
  <c r="F268" i="2"/>
  <c r="F282" i="2"/>
  <c r="F294" i="2"/>
  <c r="F306" i="2"/>
  <c r="F320" i="2"/>
  <c r="F334" i="2"/>
  <c r="F346" i="2"/>
  <c r="F358" i="2"/>
  <c r="F370" i="2"/>
  <c r="F382" i="2"/>
  <c r="F396" i="2"/>
  <c r="F408" i="2"/>
  <c r="F422" i="2"/>
  <c r="F434" i="2"/>
  <c r="J441" i="2"/>
  <c r="H441" i="2" s="1"/>
  <c r="G446" i="2"/>
  <c r="F446" i="2"/>
  <c r="K446" i="2" s="1"/>
  <c r="G499" i="2"/>
  <c r="F504" i="2"/>
  <c r="F506" i="2"/>
  <c r="I506" i="2" s="1"/>
  <c r="F508" i="2"/>
  <c r="J508" i="2" s="1"/>
  <c r="H508" i="2" s="1"/>
  <c r="F515" i="2"/>
  <c r="K515" i="2" s="1"/>
  <c r="G529" i="2"/>
  <c r="I554" i="2"/>
  <c r="F607" i="2"/>
  <c r="I607" i="2" s="1"/>
  <c r="G619" i="2"/>
  <c r="K640" i="2"/>
  <c r="J646" i="2"/>
  <c r="K657" i="2" s="1"/>
  <c r="F649" i="2"/>
  <c r="K649" i="2" s="1"/>
  <c r="F671" i="2"/>
  <c r="K671" i="2" s="1"/>
  <c r="F677" i="2"/>
  <c r="K677" i="2" s="1"/>
  <c r="F689" i="2"/>
  <c r="K689" i="2" s="1"/>
  <c r="F699" i="2"/>
  <c r="I699" i="2" s="1"/>
  <c r="G814" i="2"/>
  <c r="I840" i="2"/>
  <c r="K840" i="2"/>
  <c r="K872" i="2"/>
  <c r="I872" i="2"/>
  <c r="G880" i="2"/>
  <c r="J451" i="2"/>
  <c r="H451" i="2" s="1"/>
  <c r="I451" i="2"/>
  <c r="G451" i="2"/>
  <c r="G460" i="2"/>
  <c r="F460" i="2"/>
  <c r="G506" i="2"/>
  <c r="G508" i="2"/>
  <c r="F513" i="2"/>
  <c r="K513" i="2" s="1"/>
  <c r="G515" i="2"/>
  <c r="J520" i="2"/>
  <c r="K522" i="2"/>
  <c r="J522" i="2"/>
  <c r="H522" i="2" s="1"/>
  <c r="I522" i="2"/>
  <c r="K527" i="2"/>
  <c r="J527" i="2"/>
  <c r="H527" i="2" s="1"/>
  <c r="I527" i="2"/>
  <c r="F529" i="2"/>
  <c r="K529" i="2" s="1"/>
  <c r="F536" i="2"/>
  <c r="I536" i="2" s="1"/>
  <c r="F557" i="2"/>
  <c r="K557" i="2" s="1"/>
  <c r="F596" i="2"/>
  <c r="I596" i="2" s="1"/>
  <c r="K605" i="2"/>
  <c r="J605" i="2"/>
  <c r="H605" i="2" s="1"/>
  <c r="G607" i="2"/>
  <c r="F614" i="2"/>
  <c r="K617" i="2"/>
  <c r="J617" i="2"/>
  <c r="H617" i="2" s="1"/>
  <c r="I617" i="2"/>
  <c r="G620" i="2"/>
  <c r="F620" i="2"/>
  <c r="I620" i="2" s="1"/>
  <c r="J628" i="2"/>
  <c r="H628" i="2" s="1"/>
  <c r="I628" i="2"/>
  <c r="G628" i="2"/>
  <c r="G631" i="2"/>
  <c r="F631" i="2"/>
  <c r="K631" i="2" s="1"/>
  <c r="K638" i="2"/>
  <c r="J638" i="2"/>
  <c r="H638" i="2" s="1"/>
  <c r="I638" i="2"/>
  <c r="G638" i="2"/>
  <c r="G649" i="2"/>
  <c r="K668" i="2"/>
  <c r="J668" i="2"/>
  <c r="H668" i="2" s="1"/>
  <c r="G671" i="2"/>
  <c r="G677" i="2"/>
  <c r="G689" i="2"/>
  <c r="F721" i="2"/>
  <c r="K721" i="2" s="1"/>
  <c r="J751" i="2"/>
  <c r="H751" i="2" s="1"/>
  <c r="I751" i="2"/>
  <c r="G774" i="2"/>
  <c r="F774" i="2"/>
  <c r="I774" i="2" s="1"/>
  <c r="F814" i="2"/>
  <c r="I814" i="2" s="1"/>
  <c r="K560" i="2"/>
  <c r="K569" i="2"/>
  <c r="J569" i="2"/>
  <c r="H569" i="2" s="1"/>
  <c r="I569" i="2"/>
  <c r="K574" i="2"/>
  <c r="J574" i="2"/>
  <c r="H574" i="2" s="1"/>
  <c r="I574" i="2"/>
  <c r="G585" i="2"/>
  <c r="F585" i="2"/>
  <c r="J585" i="2" s="1"/>
  <c r="H585" i="2" s="1"/>
  <c r="G655" i="2"/>
  <c r="F655" i="2"/>
  <c r="J655" i="2" s="1"/>
  <c r="H655" i="2" s="1"/>
  <c r="J669" i="2"/>
  <c r="H669" i="2" s="1"/>
  <c r="I669" i="2"/>
  <c r="J691" i="2"/>
  <c r="H691" i="2" s="1"/>
  <c r="I691" i="2"/>
  <c r="G691" i="2"/>
  <c r="G713" i="2"/>
  <c r="F713" i="2"/>
  <c r="K713" i="2" s="1"/>
  <c r="F727" i="2"/>
  <c r="K727" i="2" s="1"/>
  <c r="J766" i="2"/>
  <c r="H766" i="2" s="1"/>
  <c r="K766" i="2"/>
  <c r="F805" i="2"/>
  <c r="J805" i="2" s="1"/>
  <c r="H805" i="2" s="1"/>
  <c r="G805" i="2"/>
  <c r="F818" i="2"/>
  <c r="K818" i="2" s="1"/>
  <c r="J861" i="2"/>
  <c r="H861" i="2" s="1"/>
  <c r="I861" i="2"/>
  <c r="K861" i="2"/>
  <c r="J885" i="2"/>
  <c r="H885" i="2" s="1"/>
  <c r="J902" i="2"/>
  <c r="H902" i="2" s="1"/>
  <c r="K902" i="2"/>
  <c r="G902" i="2"/>
  <c r="I902" i="2"/>
  <c r="G590" i="2"/>
  <c r="G714" i="2"/>
  <c r="F714" i="2"/>
  <c r="J714" i="2" s="1"/>
  <c r="H714" i="2" s="1"/>
  <c r="G740" i="2"/>
  <c r="F744" i="2"/>
  <c r="J744" i="2" s="1"/>
  <c r="H744" i="2" s="1"/>
  <c r="K802" i="2"/>
  <c r="I802" i="2"/>
  <c r="G831" i="2"/>
  <c r="F831" i="2"/>
  <c r="J831" i="2" s="1"/>
  <c r="H831" i="2" s="1"/>
  <c r="G835" i="2"/>
  <c r="G855" i="2"/>
  <c r="G859" i="2"/>
  <c r="K875" i="2"/>
  <c r="J875" i="2"/>
  <c r="H875" i="2" s="1"/>
  <c r="K885" i="2"/>
  <c r="I885" i="2"/>
  <c r="F448" i="2"/>
  <c r="F462" i="2"/>
  <c r="F474" i="2"/>
  <c r="F486" i="2"/>
  <c r="F500" i="2"/>
  <c r="F514" i="2"/>
  <c r="F526" i="2"/>
  <c r="F538" i="2"/>
  <c r="F552" i="2"/>
  <c r="F558" i="2"/>
  <c r="G560" i="2"/>
  <c r="F565" i="2"/>
  <c r="F567" i="2"/>
  <c r="I567" i="2" s="1"/>
  <c r="G569" i="2"/>
  <c r="F572" i="2"/>
  <c r="G574" i="2"/>
  <c r="K581" i="2"/>
  <c r="J581" i="2"/>
  <c r="H581" i="2" s="1"/>
  <c r="I581" i="2"/>
  <c r="K588" i="2"/>
  <c r="J588" i="2"/>
  <c r="H588" i="2" s="1"/>
  <c r="I588" i="2"/>
  <c r="F590" i="2"/>
  <c r="J590" i="2" s="1"/>
  <c r="H590" i="2" s="1"/>
  <c r="G597" i="2"/>
  <c r="F597" i="2"/>
  <c r="F634" i="2"/>
  <c r="F643" i="2"/>
  <c r="I643" i="2" s="1"/>
  <c r="F663" i="2"/>
  <c r="K663" i="2" s="1"/>
  <c r="K669" i="2"/>
  <c r="F673" i="2"/>
  <c r="K673" i="2" s="1"/>
  <c r="K678" i="2"/>
  <c r="J678" i="2"/>
  <c r="H678" i="2" s="1"/>
  <c r="I678" i="2"/>
  <c r="K685" i="2"/>
  <c r="J685" i="2"/>
  <c r="H685" i="2" s="1"/>
  <c r="I685" i="2"/>
  <c r="K691" i="2"/>
  <c r="I703" i="2"/>
  <c r="F740" i="2"/>
  <c r="I740" i="2" s="1"/>
  <c r="G744" i="2"/>
  <c r="G766" i="2"/>
  <c r="F773" i="2"/>
  <c r="J773" i="2" s="1"/>
  <c r="H773" i="2" s="1"/>
  <c r="F835" i="2"/>
  <c r="I835" i="2" s="1"/>
  <c r="J843" i="2"/>
  <c r="H843" i="2" s="1"/>
  <c r="I843" i="2"/>
  <c r="F852" i="2"/>
  <c r="I852" i="2" s="1"/>
  <c r="F855" i="2"/>
  <c r="K855" i="2" s="1"/>
  <c r="F859" i="2"/>
  <c r="I859" i="2" s="1"/>
  <c r="G572" i="2"/>
  <c r="K579" i="2"/>
  <c r="J579" i="2"/>
  <c r="H579" i="2" s="1"/>
  <c r="J602" i="2"/>
  <c r="H602" i="2" s="1"/>
  <c r="I602" i="2"/>
  <c r="G602" i="2"/>
  <c r="G643" i="2"/>
  <c r="K670" i="2"/>
  <c r="J670" i="2"/>
  <c r="H670" i="2" s="1"/>
  <c r="I670" i="2"/>
  <c r="G673" i="2"/>
  <c r="K682" i="2"/>
  <c r="J682" i="2"/>
  <c r="H682" i="2" s="1"/>
  <c r="K692" i="2"/>
  <c r="J692" i="2"/>
  <c r="H692" i="2" s="1"/>
  <c r="G718" i="2"/>
  <c r="F718" i="2"/>
  <c r="I718" i="2" s="1"/>
  <c r="G737" i="2"/>
  <c r="K737" i="2"/>
  <c r="J737" i="2"/>
  <c r="H737" i="2" s="1"/>
  <c r="F761" i="2"/>
  <c r="I761" i="2" s="1"/>
  <c r="J764" i="2"/>
  <c r="H764" i="2" s="1"/>
  <c r="I764" i="2"/>
  <c r="K764" i="2"/>
  <c r="I766" i="2"/>
  <c r="J807" i="2"/>
  <c r="I807" i="2"/>
  <c r="I875" i="2"/>
  <c r="I883" i="2"/>
  <c r="G883" i="2"/>
  <c r="K883" i="2"/>
  <c r="K656" i="2"/>
  <c r="I660" i="2"/>
  <c r="G660" i="2"/>
  <c r="J711" i="2"/>
  <c r="H711" i="2" s="1"/>
  <c r="G716" i="2"/>
  <c r="F716" i="2"/>
  <c r="J716" i="2" s="1"/>
  <c r="H716" i="2" s="1"/>
  <c r="K759" i="2"/>
  <c r="I759" i="2"/>
  <c r="J759" i="2"/>
  <c r="H759" i="2" s="1"/>
  <c r="K783" i="2"/>
  <c r="G823" i="2"/>
  <c r="F823" i="2"/>
  <c r="I823" i="2" s="1"/>
  <c r="G826" i="2"/>
  <c r="F826" i="2"/>
  <c r="K826" i="2" s="1"/>
  <c r="F830" i="2"/>
  <c r="K830" i="2" s="1"/>
  <c r="K848" i="2"/>
  <c r="J848" i="2"/>
  <c r="K863" i="2" s="1"/>
  <c r="I848" i="2"/>
  <c r="K889" i="2"/>
  <c r="J889" i="2"/>
  <c r="H889" i="2" s="1"/>
  <c r="F702" i="2"/>
  <c r="G708" i="2"/>
  <c r="F708" i="2"/>
  <c r="K708" i="2" s="1"/>
  <c r="F738" i="2"/>
  <c r="K738" i="2" s="1"/>
  <c r="G738" i="2"/>
  <c r="G797" i="2"/>
  <c r="G893" i="2"/>
  <c r="F907" i="2"/>
  <c r="I907" i="2" s="1"/>
  <c r="F561" i="2"/>
  <c r="F573" i="2"/>
  <c r="F587" i="2"/>
  <c r="F599" i="2"/>
  <c r="F611" i="2"/>
  <c r="F625" i="2"/>
  <c r="F637" i="2"/>
  <c r="F654" i="2"/>
  <c r="F658" i="2"/>
  <c r="K658" i="2" s="1"/>
  <c r="J660" i="2"/>
  <c r="H660" i="2" s="1"/>
  <c r="F771" i="2"/>
  <c r="I771" i="2" s="1"/>
  <c r="F797" i="2"/>
  <c r="I797" i="2" s="1"/>
  <c r="K813" i="2"/>
  <c r="I813" i="2"/>
  <c r="F854" i="2"/>
  <c r="K854" i="2" s="1"/>
  <c r="F893" i="2"/>
  <c r="J893" i="2" s="1"/>
  <c r="H893" i="2" s="1"/>
  <c r="F644" i="2"/>
  <c r="G658" i="2"/>
  <c r="G672" i="2"/>
  <c r="F672" i="2"/>
  <c r="G686" i="2"/>
  <c r="F686" i="2"/>
  <c r="G717" i="2"/>
  <c r="J723" i="2"/>
  <c r="H723" i="2" s="1"/>
  <c r="F725" i="2"/>
  <c r="J725" i="2" s="1"/>
  <c r="H725" i="2" s="1"/>
  <c r="G728" i="2"/>
  <c r="F728" i="2"/>
  <c r="J728" i="2" s="1"/>
  <c r="H728" i="2" s="1"/>
  <c r="J742" i="2"/>
  <c r="H742" i="2" s="1"/>
  <c r="K742" i="2"/>
  <c r="I742" i="2"/>
  <c r="F756" i="2"/>
  <c r="K756" i="2" s="1"/>
  <c r="G756" i="2"/>
  <c r="G771" i="2"/>
  <c r="K787" i="2"/>
  <c r="J787" i="2"/>
  <c r="H787" i="2" s="1"/>
  <c r="F794" i="2"/>
  <c r="J824" i="2"/>
  <c r="H824" i="2" s="1"/>
  <c r="I824" i="2"/>
  <c r="F842" i="2"/>
  <c r="I842" i="2" s="1"/>
  <c r="G842" i="2"/>
  <c r="G854" i="2"/>
  <c r="J890" i="2"/>
  <c r="H890" i="2" s="1"/>
  <c r="K890" i="2"/>
  <c r="I890" i="2"/>
  <c r="K762" i="2"/>
  <c r="I762" i="2"/>
  <c r="F767" i="2"/>
  <c r="K767" i="2" s="1"/>
  <c r="G767" i="2"/>
  <c r="F795" i="2"/>
  <c r="F865" i="2"/>
  <c r="J865" i="2" s="1"/>
  <c r="H865" i="2" s="1"/>
  <c r="F878" i="2"/>
  <c r="J878" i="2" s="1"/>
  <c r="H878" i="2" s="1"/>
  <c r="F904" i="2"/>
  <c r="J904" i="2" s="1"/>
  <c r="H904" i="2" s="1"/>
  <c r="F667" i="2"/>
  <c r="F681" i="2"/>
  <c r="F695" i="2"/>
  <c r="F745" i="2"/>
  <c r="I745" i="2" s="1"/>
  <c r="F757" i="2"/>
  <c r="K757" i="2" s="1"/>
  <c r="F772" i="2"/>
  <c r="I772" i="2" s="1"/>
  <c r="F792" i="2"/>
  <c r="J792" i="2" s="1"/>
  <c r="H792" i="2" s="1"/>
  <c r="G811" i="2"/>
  <c r="G819" i="2"/>
  <c r="F819" i="2"/>
  <c r="J819" i="2" s="1"/>
  <c r="H819" i="2" s="1"/>
  <c r="G846" i="2"/>
  <c r="F856" i="2"/>
  <c r="I856" i="2" s="1"/>
  <c r="G865" i="2"/>
  <c r="F868" i="2"/>
  <c r="J868" i="2" s="1"/>
  <c r="H868" i="2" s="1"/>
  <c r="G878" i="2"/>
  <c r="F881" i="2"/>
  <c r="J881" i="2" s="1"/>
  <c r="H881" i="2" s="1"/>
  <c r="G904" i="2"/>
  <c r="F676" i="2"/>
  <c r="F688" i="2"/>
  <c r="I710" i="2"/>
  <c r="I722" i="2"/>
  <c r="G745" i="2"/>
  <c r="I754" i="2"/>
  <c r="G757" i="2"/>
  <c r="F785" i="2"/>
  <c r="J785" i="2" s="1"/>
  <c r="H785" i="2" s="1"/>
  <c r="F790" i="2"/>
  <c r="K790" i="2" s="1"/>
  <c r="G792" i="2"/>
  <c r="I798" i="2"/>
  <c r="F811" i="2"/>
  <c r="F816" i="2"/>
  <c r="I816" i="2" s="1"/>
  <c r="I838" i="2"/>
  <c r="F846" i="2"/>
  <c r="G856" i="2"/>
  <c r="G881" i="2"/>
  <c r="F891" i="2"/>
  <c r="J891" i="2" s="1"/>
  <c r="H891" i="2" s="1"/>
  <c r="I901" i="2"/>
  <c r="G908" i="2"/>
  <c r="F908" i="2"/>
  <c r="K908" i="2" s="1"/>
  <c r="F743" i="2"/>
  <c r="J743" i="2" s="1"/>
  <c r="H743" i="2" s="1"/>
  <c r="F760" i="2"/>
  <c r="J760" i="2" s="1"/>
  <c r="H760" i="2" s="1"/>
  <c r="J762" i="2"/>
  <c r="H762" i="2" s="1"/>
  <c r="I775" i="2"/>
  <c r="G775" i="2"/>
  <c r="J775" i="2"/>
  <c r="H775" i="2" s="1"/>
  <c r="J777" i="2"/>
  <c r="K780" i="2" s="1"/>
  <c r="I777" i="2"/>
  <c r="I779" i="2"/>
  <c r="F782" i="2"/>
  <c r="J782" i="2" s="1"/>
  <c r="H782" i="2" s="1"/>
  <c r="G782" i="2"/>
  <c r="G785" i="2"/>
  <c r="G790" i="2"/>
  <c r="F796" i="2"/>
  <c r="I796" i="2" s="1"/>
  <c r="I803" i="2"/>
  <c r="F822" i="2"/>
  <c r="G841" i="2"/>
  <c r="I869" i="2"/>
  <c r="F876" i="2"/>
  <c r="G891" i="2"/>
  <c r="F894" i="2"/>
  <c r="I894" i="2" s="1"/>
  <c r="G894" i="2"/>
  <c r="F897" i="2"/>
  <c r="I897" i="2" s="1"/>
  <c r="F808" i="2"/>
  <c r="I808" i="2" s="1"/>
  <c r="I821" i="2"/>
  <c r="J838" i="2"/>
  <c r="H838" i="2" s="1"/>
  <c r="J840" i="2"/>
  <c r="K879" i="2"/>
  <c r="J752" i="2"/>
  <c r="H752" i="2" s="1"/>
  <c r="J754" i="2"/>
  <c r="H754" i="2" s="1"/>
  <c r="J778" i="2"/>
  <c r="H778" i="2" s="1"/>
  <c r="J780" i="2"/>
  <c r="F806" i="2"/>
  <c r="K806" i="2" s="1"/>
  <c r="F832" i="2"/>
  <c r="I832" i="2" s="1"/>
  <c r="I845" i="2"/>
  <c r="J862" i="2"/>
  <c r="H862" i="2" s="1"/>
  <c r="J864" i="2"/>
  <c r="G879" i="2"/>
  <c r="I787" i="2"/>
  <c r="G787" i="2"/>
  <c r="J802" i="2"/>
  <c r="H802" i="2" s="1"/>
  <c r="J804" i="2"/>
  <c r="H804" i="2" s="1"/>
  <c r="K843" i="2"/>
  <c r="I871" i="2"/>
  <c r="G871" i="2"/>
  <c r="J873" i="2"/>
  <c r="H873" i="2" s="1"/>
  <c r="F892" i="2"/>
  <c r="K892" i="2" s="1"/>
  <c r="F905" i="2"/>
  <c r="F909" i="2"/>
  <c r="J909" i="2" s="1"/>
  <c r="H909" i="2" s="1"/>
  <c r="G909" i="2"/>
  <c r="G227" i="2" l="1"/>
  <c r="H664" i="2"/>
  <c r="G647" i="2"/>
  <c r="H453" i="2"/>
  <c r="K453" i="2"/>
  <c r="G453" i="2" s="1"/>
  <c r="H164" i="2"/>
  <c r="K164" i="2"/>
  <c r="G164" i="2" s="1"/>
  <c r="G163" i="2"/>
  <c r="H91" i="2"/>
  <c r="K603" i="2"/>
  <c r="G603" i="2" s="1"/>
  <c r="H656" i="2"/>
  <c r="G656" i="2"/>
  <c r="H544" i="2"/>
  <c r="H528" i="2"/>
  <c r="K405" i="2"/>
  <c r="H391" i="2"/>
  <c r="H327" i="2"/>
  <c r="H290" i="2"/>
  <c r="H244" i="2"/>
  <c r="H172" i="2"/>
  <c r="H155" i="2"/>
  <c r="G115" i="2"/>
  <c r="K520" i="2"/>
  <c r="G520" i="2" s="1"/>
  <c r="K454" i="2"/>
  <c r="G454" i="2" s="1"/>
  <c r="H520" i="2"/>
  <c r="H468" i="2"/>
  <c r="K463" i="2"/>
  <c r="K423" i="2"/>
  <c r="G416" i="2"/>
  <c r="K125" i="2"/>
  <c r="H403" i="2"/>
  <c r="H237" i="2"/>
  <c r="K213" i="2"/>
  <c r="G213" i="2" s="1"/>
  <c r="K87" i="2"/>
  <c r="K122" i="2"/>
  <c r="K101" i="2"/>
  <c r="G869" i="2"/>
  <c r="H95" i="2"/>
  <c r="H39" i="2"/>
  <c r="G39" i="2"/>
  <c r="G872" i="2"/>
  <c r="G657" i="2"/>
  <c r="G845" i="2"/>
  <c r="G821" i="2"/>
  <c r="G315" i="2"/>
  <c r="H30" i="2"/>
  <c r="G30" i="2"/>
  <c r="H903" i="2"/>
  <c r="G903" i="2"/>
  <c r="H882" i="2"/>
  <c r="K882" i="2"/>
  <c r="G882" i="2" s="1"/>
  <c r="K795" i="2"/>
  <c r="H864" i="2"/>
  <c r="G864" i="2"/>
  <c r="H863" i="2"/>
  <c r="G863" i="2"/>
  <c r="H848" i="2"/>
  <c r="G848" i="2"/>
  <c r="K844" i="2"/>
  <c r="H840" i="2"/>
  <c r="G840" i="2"/>
  <c r="H839" i="2"/>
  <c r="G839" i="2"/>
  <c r="H825" i="2"/>
  <c r="K794" i="2"/>
  <c r="H817" i="2"/>
  <c r="K817" i="2"/>
  <c r="G817" i="2" s="1"/>
  <c r="G803" i="2"/>
  <c r="H807" i="2"/>
  <c r="H800" i="2"/>
  <c r="H791" i="2"/>
  <c r="G791" i="2"/>
  <c r="H780" i="2"/>
  <c r="G780" i="2"/>
  <c r="H777" i="2"/>
  <c r="K777" i="2"/>
  <c r="G777" i="2" s="1"/>
  <c r="H765" i="2"/>
  <c r="K753" i="2"/>
  <c r="G753" i="2" s="1"/>
  <c r="H753" i="2"/>
  <c r="G746" i="2"/>
  <c r="H741" i="2"/>
  <c r="G741" i="2"/>
  <c r="H739" i="2"/>
  <c r="K739" i="2"/>
  <c r="G739" i="2" s="1"/>
  <c r="H646" i="2"/>
  <c r="K646" i="2"/>
  <c r="G646" i="2" s="1"/>
  <c r="K564" i="2"/>
  <c r="H630" i="2"/>
  <c r="K452" i="2"/>
  <c r="H586" i="2"/>
  <c r="H481" i="2"/>
  <c r="G481" i="2"/>
  <c r="G385" i="2"/>
  <c r="K428" i="2"/>
  <c r="H424" i="2"/>
  <c r="K424" i="2"/>
  <c r="G424" i="2" s="1"/>
  <c r="G349" i="2"/>
  <c r="H359" i="2"/>
  <c r="K359" i="2"/>
  <c r="G359" i="2" s="1"/>
  <c r="K241" i="2"/>
  <c r="H348" i="2"/>
  <c r="K770" i="2"/>
  <c r="J512" i="2"/>
  <c r="K528" i="2" s="1"/>
  <c r="G528" i="2" s="1"/>
  <c r="K206" i="2"/>
  <c r="G206" i="2" s="1"/>
  <c r="H209" i="2"/>
  <c r="G209" i="2"/>
  <c r="H206" i="2"/>
  <c r="H185" i="2"/>
  <c r="G185" i="2"/>
  <c r="G78" i="2"/>
  <c r="K86" i="2"/>
  <c r="G86" i="2" s="1"/>
  <c r="K260" i="2"/>
  <c r="J420" i="2"/>
  <c r="H420" i="2" s="1"/>
  <c r="K866" i="2"/>
  <c r="K847" i="2"/>
  <c r="K399" i="2"/>
  <c r="K559" i="2"/>
  <c r="H151" i="2"/>
  <c r="H140" i="2"/>
  <c r="I868" i="2"/>
  <c r="I362" i="2"/>
  <c r="K140" i="2"/>
  <c r="G140" i="2" s="1"/>
  <c r="H86" i="2"/>
  <c r="K865" i="2"/>
  <c r="K842" i="2"/>
  <c r="K744" i="2"/>
  <c r="H68" i="2"/>
  <c r="G68" i="2"/>
  <c r="K888" i="2"/>
  <c r="K550" i="2"/>
  <c r="I909" i="2"/>
  <c r="H56" i="2"/>
  <c r="G56" i="2"/>
  <c r="K40" i="2"/>
  <c r="J784" i="2"/>
  <c r="J829" i="2"/>
  <c r="K852" i="2" s="1"/>
  <c r="H48" i="2"/>
  <c r="I880" i="2"/>
  <c r="K571" i="2"/>
  <c r="K906" i="2"/>
  <c r="K784" i="2"/>
  <c r="I194" i="2"/>
  <c r="K755" i="2"/>
  <c r="K829" i="2"/>
  <c r="I770" i="2"/>
  <c r="I715" i="2"/>
  <c r="J446" i="2"/>
  <c r="H446" i="2" s="1"/>
  <c r="I844" i="2"/>
  <c r="J715" i="2"/>
  <c r="H715" i="2" s="1"/>
  <c r="K782" i="2"/>
  <c r="I93" i="2"/>
  <c r="I744" i="2"/>
  <c r="J559" i="2"/>
  <c r="H559" i="2" s="1"/>
  <c r="J93" i="2"/>
  <c r="H93" i="2" s="1"/>
  <c r="K445" i="2"/>
  <c r="K438" i="2"/>
  <c r="K868" i="2"/>
  <c r="K290" i="2"/>
  <c r="J880" i="2"/>
  <c r="H880" i="2" s="1"/>
  <c r="I782" i="2"/>
  <c r="K878" i="2"/>
  <c r="I90" i="2"/>
  <c r="I512" i="2"/>
  <c r="I20" i="2"/>
  <c r="H16" i="2"/>
  <c r="G16" i="2"/>
  <c r="J609" i="2"/>
  <c r="H609" i="2" s="1"/>
  <c r="I781" i="2"/>
  <c r="J820" i="2"/>
  <c r="H820" i="2" s="1"/>
  <c r="K272" i="2"/>
  <c r="K904" i="2"/>
  <c r="I529" i="2"/>
  <c r="J781" i="2"/>
  <c r="H781" i="2" s="1"/>
  <c r="K37" i="2"/>
  <c r="K498" i="2"/>
  <c r="J266" i="2"/>
  <c r="K288" i="2" s="1"/>
  <c r="I347" i="2"/>
  <c r="J316" i="2"/>
  <c r="H316" i="2" s="1"/>
  <c r="J347" i="2"/>
  <c r="H347" i="2" s="1"/>
  <c r="J240" i="2"/>
  <c r="H240" i="2" s="1"/>
  <c r="K316" i="2"/>
  <c r="K88" i="2"/>
  <c r="J795" i="2"/>
  <c r="K799" i="2" s="1"/>
  <c r="K745" i="2"/>
  <c r="I32" i="2"/>
  <c r="I463" i="2"/>
  <c r="J186" i="2"/>
  <c r="H186" i="2" s="1"/>
  <c r="J463" i="2"/>
  <c r="K465" i="2" s="1"/>
  <c r="I48" i="2"/>
  <c r="K186" i="2"/>
  <c r="J200" i="2"/>
  <c r="H200" i="2" s="1"/>
  <c r="I758" i="2"/>
  <c r="K551" i="2"/>
  <c r="I423" i="2"/>
  <c r="I309" i="2"/>
  <c r="I404" i="2"/>
  <c r="K286" i="2"/>
  <c r="I738" i="2"/>
  <c r="I792" i="2"/>
  <c r="K118" i="2"/>
  <c r="I891" i="2"/>
  <c r="I515" i="2"/>
  <c r="J344" i="2"/>
  <c r="H344" i="2" s="1"/>
  <c r="J423" i="2"/>
  <c r="K440" i="2" s="1"/>
  <c r="G440" i="2" s="1"/>
  <c r="J309" i="2"/>
  <c r="H309" i="2" s="1"/>
  <c r="J404" i="2"/>
  <c r="H404" i="2" s="1"/>
  <c r="J738" i="2"/>
  <c r="H738" i="2" s="1"/>
  <c r="H22" i="2"/>
  <c r="J234" i="2"/>
  <c r="H234" i="2" s="1"/>
  <c r="J745" i="2"/>
  <c r="H745" i="2" s="1"/>
  <c r="K24" i="2"/>
  <c r="K891" i="2"/>
  <c r="I196" i="2"/>
  <c r="K344" i="2"/>
  <c r="K420" i="2"/>
  <c r="I767" i="2"/>
  <c r="J677" i="2"/>
  <c r="H677" i="2" s="1"/>
  <c r="K390" i="2"/>
  <c r="I663" i="2"/>
  <c r="I182" i="2"/>
  <c r="J663" i="2"/>
  <c r="K665" i="2"/>
  <c r="I446" i="2"/>
  <c r="I665" i="2"/>
  <c r="J698" i="2"/>
  <c r="K702" i="2" s="1"/>
  <c r="J478" i="2"/>
  <c r="H478" i="2" s="1"/>
  <c r="K220" i="2"/>
  <c r="K706" i="2"/>
  <c r="K633" i="2"/>
  <c r="I87" i="2"/>
  <c r="K392" i="2"/>
  <c r="I37" i="2"/>
  <c r="J272" i="2"/>
  <c r="H272" i="2" s="1"/>
  <c r="K609" i="2"/>
  <c r="J515" i="2"/>
  <c r="H515" i="2" s="1"/>
  <c r="I677" i="2"/>
  <c r="J473" i="2"/>
  <c r="H473" i="2" s="1"/>
  <c r="J286" i="2"/>
  <c r="H286" i="2" s="1"/>
  <c r="K785" i="2"/>
  <c r="I478" i="2"/>
  <c r="I904" i="2"/>
  <c r="K893" i="2"/>
  <c r="I727" i="2"/>
  <c r="J571" i="2"/>
  <c r="H571" i="2" s="1"/>
  <c r="K361" i="2"/>
  <c r="I430" i="2"/>
  <c r="K820" i="2"/>
  <c r="I435" i="2"/>
  <c r="J87" i="2"/>
  <c r="K95" i="2" s="1"/>
  <c r="G95" i="2" s="1"/>
  <c r="I76" i="2"/>
  <c r="J623" i="2"/>
  <c r="H623" i="2" s="1"/>
  <c r="K108" i="2"/>
  <c r="K896" i="2"/>
  <c r="I508" i="2"/>
  <c r="J767" i="2"/>
  <c r="H767" i="2" s="1"/>
  <c r="I307" i="2"/>
  <c r="I181" i="2"/>
  <c r="J307" i="2"/>
  <c r="K348" i="2" s="1"/>
  <c r="G348" i="2" s="1"/>
  <c r="J182" i="2"/>
  <c r="H182" i="2" s="1"/>
  <c r="I785" i="2"/>
  <c r="J643" i="2"/>
  <c r="H643" i="2" s="1"/>
  <c r="I698" i="2"/>
  <c r="K418" i="2"/>
  <c r="J392" i="2"/>
  <c r="H392" i="2" s="1"/>
  <c r="K792" i="2"/>
  <c r="J859" i="2"/>
  <c r="H859" i="2" s="1"/>
  <c r="J727" i="2"/>
  <c r="H727" i="2" s="1"/>
  <c r="I721" i="2"/>
  <c r="I906" i="2"/>
  <c r="J435" i="2"/>
  <c r="H435" i="2" s="1"/>
  <c r="J501" i="2"/>
  <c r="H501" i="2" s="1"/>
  <c r="I399" i="2"/>
  <c r="J297" i="2"/>
  <c r="K298" i="2" s="1"/>
  <c r="K473" i="2"/>
  <c r="J790" i="2"/>
  <c r="H790" i="2" s="1"/>
  <c r="I288" i="2"/>
  <c r="J181" i="2"/>
  <c r="H181" i="2" s="1"/>
  <c r="J108" i="2"/>
  <c r="H108" i="2" s="1"/>
  <c r="J842" i="2"/>
  <c r="H842" i="2" s="1"/>
  <c r="K797" i="2"/>
  <c r="K859" i="2"/>
  <c r="J704" i="2"/>
  <c r="H704" i="2" s="1"/>
  <c r="K501" i="2"/>
  <c r="K714" i="2"/>
  <c r="I714" i="2"/>
  <c r="I671" i="2"/>
  <c r="I679" i="2"/>
  <c r="I729" i="2"/>
  <c r="K323" i="2"/>
  <c r="J257" i="2"/>
  <c r="H257" i="2" s="1"/>
  <c r="I773" i="2"/>
  <c r="K774" i="2"/>
  <c r="K773" i="2"/>
  <c r="K653" i="2"/>
  <c r="K285" i="2"/>
  <c r="J238" i="2"/>
  <c r="H238" i="2" s="1"/>
  <c r="I285" i="2"/>
  <c r="I141" i="2"/>
  <c r="I487" i="2"/>
  <c r="J203" i="2"/>
  <c r="H203" i="2" s="1"/>
  <c r="J174" i="2"/>
  <c r="H174" i="2" s="1"/>
  <c r="J14" i="2"/>
  <c r="H14" i="2" s="1"/>
  <c r="K175" i="2"/>
  <c r="K173" i="2"/>
  <c r="J323" i="2"/>
  <c r="H323" i="2" s="1"/>
  <c r="I21" i="2"/>
  <c r="K200" i="2"/>
  <c r="J73" i="2"/>
  <c r="H73" i="2" s="1"/>
  <c r="K368" i="2"/>
  <c r="J69" i="2"/>
  <c r="K91" i="2" s="1"/>
  <c r="G91" i="2" s="1"/>
  <c r="J529" i="2"/>
  <c r="H529" i="2" s="1"/>
  <c r="J194" i="2"/>
  <c r="H194" i="2" s="1"/>
  <c r="I857" i="2"/>
  <c r="J362" i="2"/>
  <c r="H362" i="2" s="1"/>
  <c r="I45" i="2"/>
  <c r="I881" i="2"/>
  <c r="I708" i="2"/>
  <c r="K814" i="2"/>
  <c r="J699" i="2"/>
  <c r="H699" i="2" s="1"/>
  <c r="I649" i="2"/>
  <c r="I870" i="2"/>
  <c r="I653" i="2"/>
  <c r="K238" i="2"/>
  <c r="J141" i="2"/>
  <c r="H141" i="2" s="1"/>
  <c r="J487" i="2"/>
  <c r="H487" i="2" s="1"/>
  <c r="I300" i="2"/>
  <c r="I198" i="2"/>
  <c r="I445" i="2"/>
  <c r="K11" i="2"/>
  <c r="I188" i="2"/>
  <c r="J489" i="2"/>
  <c r="H489" i="2" s="1"/>
  <c r="I600" i="2"/>
  <c r="I73" i="2"/>
  <c r="H10" i="2"/>
  <c r="G10" i="2"/>
  <c r="I257" i="2"/>
  <c r="K590" i="2"/>
  <c r="J774" i="2"/>
  <c r="H774" i="2" s="1"/>
  <c r="K447" i="2"/>
  <c r="K355" i="2"/>
  <c r="K881" i="2"/>
  <c r="I590" i="2"/>
  <c r="J814" i="2"/>
  <c r="H814" i="2" s="1"/>
  <c r="K699" i="2"/>
  <c r="J649" i="2"/>
  <c r="H649" i="2" s="1"/>
  <c r="K870" i="2"/>
  <c r="J328" i="2"/>
  <c r="K334" i="2" s="1"/>
  <c r="K226" i="2"/>
  <c r="J300" i="2"/>
  <c r="H300" i="2" s="1"/>
  <c r="I219" i="2"/>
  <c r="I22" i="2"/>
  <c r="G22" i="2" s="1"/>
  <c r="I733" i="2"/>
  <c r="J600" i="2"/>
  <c r="K664" i="2" s="1"/>
  <c r="G664" i="2" s="1"/>
  <c r="I553" i="2"/>
  <c r="I623" i="2"/>
  <c r="J20" i="2"/>
  <c r="H20" i="2" s="1"/>
  <c r="J430" i="2"/>
  <c r="H430" i="2" s="1"/>
  <c r="K229" i="2"/>
  <c r="K684" i="2"/>
  <c r="I59" i="2"/>
  <c r="I203" i="2"/>
  <c r="J852" i="2"/>
  <c r="K876" i="2" s="1"/>
  <c r="I805" i="2"/>
  <c r="I614" i="2"/>
  <c r="I689" i="2"/>
  <c r="I535" i="2"/>
  <c r="K328" i="2"/>
  <c r="I564" i="2"/>
  <c r="I151" i="2"/>
  <c r="K252" i="2"/>
  <c r="I707" i="2"/>
  <c r="I240" i="2"/>
  <c r="I433" i="2"/>
  <c r="K411" i="2"/>
  <c r="I426" i="2"/>
  <c r="J219" i="2"/>
  <c r="H219" i="2" s="1"/>
  <c r="J156" i="2"/>
  <c r="H156" i="2" s="1"/>
  <c r="I411" i="2"/>
  <c r="J355" i="2"/>
  <c r="H355" i="2" s="1"/>
  <c r="J733" i="2"/>
  <c r="K761" i="2" s="1"/>
  <c r="I154" i="2"/>
  <c r="J154" i="2"/>
  <c r="H154" i="2" s="1"/>
  <c r="J432" i="2"/>
  <c r="H432" i="2" s="1"/>
  <c r="J684" i="2"/>
  <c r="H684" i="2" s="1"/>
  <c r="J295" i="2"/>
  <c r="H295" i="2" s="1"/>
  <c r="J857" i="2"/>
  <c r="H857" i="2" s="1"/>
  <c r="I14" i="2"/>
  <c r="K47" i="2"/>
  <c r="J797" i="2"/>
  <c r="H797" i="2" s="1"/>
  <c r="I658" i="2"/>
  <c r="K805" i="2"/>
  <c r="J721" i="2"/>
  <c r="H721" i="2" s="1"/>
  <c r="J614" i="2"/>
  <c r="K626" i="2" s="1"/>
  <c r="J689" i="2"/>
  <c r="H689" i="2" s="1"/>
  <c r="J535" i="2"/>
  <c r="H535" i="2" s="1"/>
  <c r="I793" i="2"/>
  <c r="J564" i="2"/>
  <c r="K567" i="2" s="1"/>
  <c r="K406" i="2"/>
  <c r="J707" i="2"/>
  <c r="H707" i="2" s="1"/>
  <c r="I551" i="2"/>
  <c r="J706" i="2"/>
  <c r="H706" i="2" s="1"/>
  <c r="J433" i="2"/>
  <c r="K436" i="2" s="1"/>
  <c r="G436" i="2" s="1"/>
  <c r="I633" i="2"/>
  <c r="J426" i="2"/>
  <c r="H426" i="2" s="1"/>
  <c r="K193" i="2"/>
  <c r="I290" i="2"/>
  <c r="J254" i="2"/>
  <c r="H254" i="2" s="1"/>
  <c r="K156" i="2"/>
  <c r="I193" i="2"/>
  <c r="J833" i="2"/>
  <c r="H833" i="2" s="1"/>
  <c r="J729" i="2"/>
  <c r="H729" i="2" s="1"/>
  <c r="I118" i="2"/>
  <c r="I442" i="2"/>
  <c r="K76" i="2"/>
  <c r="K295" i="2"/>
  <c r="I447" i="2"/>
  <c r="J828" i="2"/>
  <c r="H828" i="2" s="1"/>
  <c r="K666" i="2"/>
  <c r="I865" i="2"/>
  <c r="J844" i="2"/>
  <c r="K860" i="2" s="1"/>
  <c r="G860" i="2" s="1"/>
  <c r="J793" i="2"/>
  <c r="H793" i="2" s="1"/>
  <c r="K318" i="2"/>
  <c r="K679" i="2"/>
  <c r="K490" i="2"/>
  <c r="K214" i="2"/>
  <c r="I267" i="2"/>
  <c r="J188" i="2"/>
  <c r="H188" i="2" s="1"/>
  <c r="K254" i="2"/>
  <c r="J52" i="2"/>
  <c r="H52" i="2" s="1"/>
  <c r="I833" i="2"/>
  <c r="K599" i="2"/>
  <c r="J599" i="2"/>
  <c r="H599" i="2" s="1"/>
  <c r="I599" i="2"/>
  <c r="K148" i="2"/>
  <c r="J148" i="2"/>
  <c r="H148" i="2" s="1"/>
  <c r="K15" i="2"/>
  <c r="K43" i="2"/>
  <c r="I368" i="2"/>
  <c r="I94" i="2"/>
  <c r="I728" i="2"/>
  <c r="K282" i="2"/>
  <c r="J282" i="2"/>
  <c r="H282" i="2" s="1"/>
  <c r="I282" i="2"/>
  <c r="I235" i="2"/>
  <c r="J235" i="2"/>
  <c r="H235" i="2" s="1"/>
  <c r="K235" i="2"/>
  <c r="K190" i="2"/>
  <c r="J190" i="2"/>
  <c r="K244" i="2" s="1"/>
  <c r="G244" i="2" s="1"/>
  <c r="I190" i="2"/>
  <c r="I470" i="2"/>
  <c r="I234" i="2"/>
  <c r="I786" i="2"/>
  <c r="K383" i="2"/>
  <c r="J523" i="2"/>
  <c r="H523" i="2" s="1"/>
  <c r="I101" i="2"/>
  <c r="I88" i="2"/>
  <c r="K526" i="2"/>
  <c r="J526" i="2"/>
  <c r="H526" i="2" s="1"/>
  <c r="I526" i="2"/>
  <c r="J524" i="2"/>
  <c r="H524" i="2" s="1"/>
  <c r="J494" i="2"/>
  <c r="H494" i="2" s="1"/>
  <c r="J888" i="2"/>
  <c r="H888" i="2" s="1"/>
  <c r="J470" i="2"/>
  <c r="H470" i="2" s="1"/>
  <c r="K523" i="2"/>
  <c r="I432" i="2"/>
  <c r="I172" i="2"/>
  <c r="K816" i="2"/>
  <c r="I795" i="2"/>
  <c r="I826" i="2"/>
  <c r="K514" i="2"/>
  <c r="J514" i="2"/>
  <c r="H514" i="2" s="1"/>
  <c r="I514" i="2"/>
  <c r="I730" i="2"/>
  <c r="K624" i="2"/>
  <c r="K484" i="2"/>
  <c r="J484" i="2"/>
  <c r="H484" i="2" s="1"/>
  <c r="K472" i="2"/>
  <c r="I485" i="2"/>
  <c r="K704" i="2"/>
  <c r="K243" i="2"/>
  <c r="I43" i="2"/>
  <c r="J658" i="2"/>
  <c r="H658" i="2" s="1"/>
  <c r="J576" i="2"/>
  <c r="H576" i="2" s="1"/>
  <c r="K151" i="2"/>
  <c r="I274" i="2"/>
  <c r="J809" i="2"/>
  <c r="H809" i="2" s="1"/>
  <c r="K172" i="2"/>
  <c r="I85" i="2"/>
  <c r="I428" i="2"/>
  <c r="J46" i="2"/>
  <c r="H46" i="2" s="1"/>
  <c r="K672" i="2"/>
  <c r="J672" i="2"/>
  <c r="H672" i="2" s="1"/>
  <c r="K218" i="2"/>
  <c r="J218" i="2"/>
  <c r="H218" i="2" s="1"/>
  <c r="I218" i="2"/>
  <c r="K587" i="2"/>
  <c r="J587" i="2"/>
  <c r="H587" i="2" s="1"/>
  <c r="I587" i="2"/>
  <c r="I121" i="2"/>
  <c r="K121" i="2"/>
  <c r="J121" i="2"/>
  <c r="H121" i="2" s="1"/>
  <c r="I383" i="2"/>
  <c r="I15" i="2"/>
  <c r="K832" i="2"/>
  <c r="J832" i="2"/>
  <c r="H832" i="2" s="1"/>
  <c r="J830" i="2"/>
  <c r="H830" i="2" s="1"/>
  <c r="I830" i="2"/>
  <c r="I496" i="2"/>
  <c r="I332" i="2"/>
  <c r="J136" i="2"/>
  <c r="H136" i="2" s="1"/>
  <c r="I27" i="2"/>
  <c r="K27" i="2"/>
  <c r="J27" i="2"/>
  <c r="H27" i="2" s="1"/>
  <c r="J645" i="2"/>
  <c r="H645" i="2" s="1"/>
  <c r="J539" i="2"/>
  <c r="H539" i="2" s="1"/>
  <c r="I125" i="2"/>
  <c r="I40" i="2"/>
  <c r="J808" i="2"/>
  <c r="H808" i="2" s="1"/>
  <c r="K808" i="2"/>
  <c r="I452" i="2"/>
  <c r="J452" i="2"/>
  <c r="I61" i="2"/>
  <c r="J61" i="2"/>
  <c r="H61" i="2" s="1"/>
  <c r="K61" i="2"/>
  <c r="K786" i="2"/>
  <c r="I97" i="2"/>
  <c r="I896" i="2"/>
  <c r="I408" i="2"/>
  <c r="K408" i="2"/>
  <c r="J408" i="2"/>
  <c r="H408" i="2" s="1"/>
  <c r="K494" i="2"/>
  <c r="J23" i="2"/>
  <c r="K69" i="2" s="1"/>
  <c r="K23" i="2"/>
  <c r="I23" i="2"/>
  <c r="J431" i="2"/>
  <c r="H431" i="2" s="1"/>
  <c r="J97" i="2"/>
  <c r="H97" i="2" s="1"/>
  <c r="J32" i="2"/>
  <c r="H32" i="2" s="1"/>
  <c r="J442" i="2"/>
  <c r="H442" i="2" s="1"/>
  <c r="I819" i="2"/>
  <c r="J396" i="2"/>
  <c r="H396" i="2" s="1"/>
  <c r="I396" i="2"/>
  <c r="K396" i="2"/>
  <c r="J607" i="2"/>
  <c r="H607" i="2" s="1"/>
  <c r="J511" i="2"/>
  <c r="I511" i="2"/>
  <c r="K321" i="2"/>
  <c r="I264" i="2"/>
  <c r="J696" i="2"/>
  <c r="K705" i="2" s="1"/>
  <c r="J104" i="2"/>
  <c r="H104" i="2" s="1"/>
  <c r="I364" i="2"/>
  <c r="K485" i="2"/>
  <c r="K104" i="2"/>
  <c r="J276" i="2"/>
  <c r="H276" i="2" s="1"/>
  <c r="I701" i="2"/>
  <c r="I867" i="2"/>
  <c r="J719" i="2"/>
  <c r="H719" i="2" s="1"/>
  <c r="J7" i="2"/>
  <c r="H7" i="2" s="1"/>
  <c r="K874" i="2"/>
  <c r="I438" i="2"/>
  <c r="K127" i="2"/>
  <c r="I66" i="2"/>
  <c r="I191" i="2"/>
  <c r="I414" i="2"/>
  <c r="J85" i="2"/>
  <c r="H85" i="2" s="1"/>
  <c r="J428" i="2"/>
  <c r="J553" i="2"/>
  <c r="H553" i="2" s="1"/>
  <c r="K94" i="2"/>
  <c r="I672" i="2"/>
  <c r="J673" i="2"/>
  <c r="H673" i="2" s="1"/>
  <c r="I673" i="2"/>
  <c r="I645" i="2"/>
  <c r="J202" i="2"/>
  <c r="H202" i="2" s="1"/>
  <c r="K202" i="2"/>
  <c r="I202" i="2"/>
  <c r="I298" i="2"/>
  <c r="I539" i="2"/>
  <c r="I136" i="2"/>
  <c r="J794" i="2"/>
  <c r="K800" i="2" s="1"/>
  <c r="G800" i="2" s="1"/>
  <c r="I794" i="2"/>
  <c r="K585" i="2"/>
  <c r="J496" i="2"/>
  <c r="H496" i="2" s="1"/>
  <c r="J107" i="2"/>
  <c r="H107" i="2" s="1"/>
  <c r="K107" i="2"/>
  <c r="I243" i="2"/>
  <c r="I24" i="2"/>
  <c r="J702" i="2"/>
  <c r="K730" i="2" s="1"/>
  <c r="I702" i="2"/>
  <c r="I176" i="2"/>
  <c r="K176" i="2"/>
  <c r="J176" i="2"/>
  <c r="K183" i="2" s="1"/>
  <c r="G183" i="2" s="1"/>
  <c r="J125" i="2"/>
  <c r="K210" i="2" s="1"/>
  <c r="G210" i="2" s="1"/>
  <c r="I8" i="2"/>
  <c r="I576" i="2"/>
  <c r="J215" i="2"/>
  <c r="H215" i="2" s="1"/>
  <c r="I215" i="2"/>
  <c r="I226" i="2"/>
  <c r="I490" i="2"/>
  <c r="K376" i="2"/>
  <c r="K897" i="2"/>
  <c r="J897" i="2"/>
  <c r="J826" i="2"/>
  <c r="H826" i="2" s="1"/>
  <c r="I305" i="2"/>
  <c r="J680" i="2"/>
  <c r="H680" i="2" s="1"/>
  <c r="I534" i="2"/>
  <c r="I874" i="2"/>
  <c r="I878" i="2"/>
  <c r="I809" i="2"/>
  <c r="J116" i="2"/>
  <c r="H116" i="2" s="1"/>
  <c r="J45" i="2"/>
  <c r="H45" i="2" s="1"/>
  <c r="K207" i="2"/>
  <c r="K718" i="2"/>
  <c r="J572" i="2"/>
  <c r="H572" i="2" s="1"/>
  <c r="I572" i="2"/>
  <c r="J460" i="2"/>
  <c r="H460" i="2" s="1"/>
  <c r="K460" i="2"/>
  <c r="K370" i="2"/>
  <c r="J370" i="2"/>
  <c r="H370" i="2" s="1"/>
  <c r="I370" i="2"/>
  <c r="K508" i="2"/>
  <c r="I562" i="2"/>
  <c r="K326" i="2"/>
  <c r="J326" i="2"/>
  <c r="H326" i="2" s="1"/>
  <c r="I326" i="2"/>
  <c r="J124" i="2"/>
  <c r="H124" i="2" s="1"/>
  <c r="I124" i="2"/>
  <c r="K124" i="2"/>
  <c r="K612" i="2"/>
  <c r="J465" i="2"/>
  <c r="K468" i="2" s="1"/>
  <c r="G468" i="2" s="1"/>
  <c r="J298" i="2"/>
  <c r="K327" i="2" s="1"/>
  <c r="G327" i="2" s="1"/>
  <c r="J318" i="2"/>
  <c r="H318" i="2" s="1"/>
  <c r="I241" i="2"/>
  <c r="K199" i="2"/>
  <c r="J199" i="2"/>
  <c r="H199" i="2" s="1"/>
  <c r="I199" i="2"/>
  <c r="J146" i="2"/>
  <c r="K155" i="2" s="1"/>
  <c r="G155" i="2" s="1"/>
  <c r="K534" i="2"/>
  <c r="K274" i="2"/>
  <c r="J153" i="2"/>
  <c r="H153" i="2" s="1"/>
  <c r="I220" i="2"/>
  <c r="I421" i="2"/>
  <c r="J337" i="2"/>
  <c r="H337" i="2" s="1"/>
  <c r="K264" i="2"/>
  <c r="K810" i="2"/>
  <c r="J198" i="2"/>
  <c r="H198" i="2" s="1"/>
  <c r="K732" i="2"/>
  <c r="J895" i="2"/>
  <c r="H895" i="2" s="1"/>
  <c r="J461" i="2"/>
  <c r="H461" i="2" s="1"/>
  <c r="I409" i="2"/>
  <c r="J364" i="2"/>
  <c r="H364" i="2" s="1"/>
  <c r="I266" i="2"/>
  <c r="K543" i="2"/>
  <c r="I593" i="2"/>
  <c r="K276" i="2"/>
  <c r="K701" i="2"/>
  <c r="J867" i="2"/>
  <c r="H867" i="2" s="1"/>
  <c r="K719" i="2"/>
  <c r="K7" i="2"/>
  <c r="I610" i="2"/>
  <c r="J66" i="2"/>
  <c r="H66" i="2" s="1"/>
  <c r="J191" i="2"/>
  <c r="H191" i="2" s="1"/>
  <c r="K530" i="2"/>
  <c r="J414" i="2"/>
  <c r="H414" i="2" s="1"/>
  <c r="I269" i="2"/>
  <c r="J90" i="2"/>
  <c r="H90" i="2" s="1"/>
  <c r="I405" i="2"/>
  <c r="K431" i="2"/>
  <c r="K59" i="2"/>
  <c r="K273" i="2"/>
  <c r="J273" i="2"/>
  <c r="H273" i="2" s="1"/>
  <c r="I273" i="2"/>
  <c r="J137" i="2"/>
  <c r="H137" i="2" s="1"/>
  <c r="I137" i="2"/>
  <c r="I46" i="2"/>
  <c r="I573" i="2"/>
  <c r="K573" i="2"/>
  <c r="J573" i="2"/>
  <c r="H573" i="2" s="1"/>
  <c r="K552" i="2"/>
  <c r="J552" i="2"/>
  <c r="H552" i="2" s="1"/>
  <c r="I552" i="2"/>
  <c r="I585" i="2"/>
  <c r="K758" i="2"/>
  <c r="K294" i="2"/>
  <c r="J294" i="2"/>
  <c r="H294" i="2" s="1"/>
  <c r="I294" i="2"/>
  <c r="J249" i="2"/>
  <c r="H249" i="2" s="1"/>
  <c r="I249" i="2"/>
  <c r="K249" i="2"/>
  <c r="I472" i="2"/>
  <c r="I548" i="2"/>
  <c r="I636" i="2"/>
  <c r="J8" i="2"/>
  <c r="H8" i="2" s="1"/>
  <c r="K819" i="2"/>
  <c r="J538" i="2"/>
  <c r="H538" i="2" s="1"/>
  <c r="I538" i="2"/>
  <c r="K538" i="2"/>
  <c r="K394" i="2"/>
  <c r="J394" i="2"/>
  <c r="H394" i="2" s="1"/>
  <c r="I624" i="2"/>
  <c r="J806" i="2"/>
  <c r="H806" i="2" s="1"/>
  <c r="I806" i="2"/>
  <c r="K644" i="2"/>
  <c r="J644" i="2"/>
  <c r="H644" i="2" s="1"/>
  <c r="J713" i="2"/>
  <c r="H713" i="2" s="1"/>
  <c r="I321" i="2"/>
  <c r="J376" i="2"/>
  <c r="H376" i="2" s="1"/>
  <c r="J40" i="2"/>
  <c r="K48" i="2" s="1"/>
  <c r="K33" i="2"/>
  <c r="J33" i="2"/>
  <c r="H33" i="2" s="1"/>
  <c r="I394" i="2"/>
  <c r="I278" i="2"/>
  <c r="I33" i="2"/>
  <c r="J816" i="2"/>
  <c r="K822" i="2" s="1"/>
  <c r="J907" i="2"/>
  <c r="I716" i="2"/>
  <c r="J718" i="2"/>
  <c r="H718" i="2" s="1"/>
  <c r="I500" i="2"/>
  <c r="K500" i="2"/>
  <c r="J500" i="2"/>
  <c r="H500" i="2" s="1"/>
  <c r="I831" i="2"/>
  <c r="J720" i="2"/>
  <c r="H720" i="2" s="1"/>
  <c r="J850" i="2"/>
  <c r="H850" i="2" s="1"/>
  <c r="J407" i="2"/>
  <c r="H407" i="2" s="1"/>
  <c r="K267" i="2"/>
  <c r="J688" i="2"/>
  <c r="H688" i="2" s="1"/>
  <c r="I688" i="2"/>
  <c r="K688" i="2"/>
  <c r="I695" i="2"/>
  <c r="K695" i="2"/>
  <c r="J695" i="2"/>
  <c r="H695" i="2" s="1"/>
  <c r="J634" i="2"/>
  <c r="I634" i="2"/>
  <c r="K634" i="2"/>
  <c r="K382" i="2"/>
  <c r="J382" i="2"/>
  <c r="H382" i="2" s="1"/>
  <c r="I382" i="2"/>
  <c r="I153" i="2"/>
  <c r="K201" i="2"/>
  <c r="I83" i="2"/>
  <c r="J83" i="2"/>
  <c r="H83" i="2" s="1"/>
  <c r="J732" i="2"/>
  <c r="H732" i="2" s="1"/>
  <c r="I905" i="2"/>
  <c r="J905" i="2"/>
  <c r="H905" i="2" s="1"/>
  <c r="I876" i="2"/>
  <c r="I681" i="2"/>
  <c r="K681" i="2"/>
  <c r="J681" i="2"/>
  <c r="K698" i="2" s="1"/>
  <c r="J597" i="2"/>
  <c r="H597" i="2" s="1"/>
  <c r="K597" i="2"/>
  <c r="K740" i="2"/>
  <c r="K909" i="2"/>
  <c r="K894" i="2"/>
  <c r="J894" i="2"/>
  <c r="H894" i="2" s="1"/>
  <c r="J908" i="2"/>
  <c r="H908" i="2" s="1"/>
  <c r="J876" i="2"/>
  <c r="I667" i="2"/>
  <c r="K667" i="2"/>
  <c r="J667" i="2"/>
  <c r="H667" i="2" s="1"/>
  <c r="J756" i="2"/>
  <c r="H756" i="2" s="1"/>
  <c r="I756" i="2"/>
  <c r="K686" i="2"/>
  <c r="J686" i="2"/>
  <c r="H686" i="2" s="1"/>
  <c r="K637" i="2"/>
  <c r="J637" i="2"/>
  <c r="H637" i="2" s="1"/>
  <c r="I637" i="2"/>
  <c r="K823" i="2"/>
  <c r="J462" i="2"/>
  <c r="H462" i="2" s="1"/>
  <c r="I462" i="2"/>
  <c r="K462" i="2"/>
  <c r="J855" i="2"/>
  <c r="H855" i="2" s="1"/>
  <c r="J740" i="2"/>
  <c r="H740" i="2" s="1"/>
  <c r="I818" i="2"/>
  <c r="J631" i="2"/>
  <c r="H631" i="2" s="1"/>
  <c r="I557" i="2"/>
  <c r="I504" i="2"/>
  <c r="K504" i="2"/>
  <c r="J504" i="2"/>
  <c r="H504" i="2" s="1"/>
  <c r="K358" i="2"/>
  <c r="J358" i="2"/>
  <c r="H358" i="2" s="1"/>
  <c r="I358" i="2"/>
  <c r="I720" i="2"/>
  <c r="J671" i="2"/>
  <c r="H671" i="2" s="1"/>
  <c r="J506" i="2"/>
  <c r="H506" i="2" s="1"/>
  <c r="J562" i="2"/>
  <c r="H562" i="2" s="1"/>
  <c r="J380" i="2"/>
  <c r="H380" i="2" s="1"/>
  <c r="K380" i="2"/>
  <c r="K110" i="2"/>
  <c r="J110" i="2"/>
  <c r="H110" i="2" s="1"/>
  <c r="I110" i="2"/>
  <c r="I598" i="2"/>
  <c r="I444" i="2"/>
  <c r="I342" i="2"/>
  <c r="I475" i="2"/>
  <c r="J241" i="2"/>
  <c r="K256" i="2" s="1"/>
  <c r="I799" i="2"/>
  <c r="I626" i="2"/>
  <c r="I555" i="2"/>
  <c r="J421" i="2"/>
  <c r="H421" i="2" s="1"/>
  <c r="J248" i="2"/>
  <c r="H248" i="2" s="1"/>
  <c r="I406" i="2"/>
  <c r="I248" i="2"/>
  <c r="I895" i="2"/>
  <c r="I207" i="2"/>
  <c r="K461" i="2"/>
  <c r="J409" i="2"/>
  <c r="H409" i="2" s="1"/>
  <c r="I174" i="2"/>
  <c r="J67" i="2"/>
  <c r="H67" i="2" s="1"/>
  <c r="K67" i="2"/>
  <c r="I67" i="2"/>
  <c r="I120" i="2"/>
  <c r="J593" i="2"/>
  <c r="K596" i="2" s="1"/>
  <c r="K489" i="2"/>
  <c r="I159" i="2"/>
  <c r="I127" i="2"/>
  <c r="J610" i="2"/>
  <c r="H610" i="2" s="1"/>
  <c r="I189" i="2"/>
  <c r="I17" i="2"/>
  <c r="J269" i="2"/>
  <c r="H269" i="2" s="1"/>
  <c r="J405" i="2"/>
  <c r="K320" i="2"/>
  <c r="J320" i="2"/>
  <c r="H320" i="2" s="1"/>
  <c r="I320" i="2"/>
  <c r="J343" i="2"/>
  <c r="H343" i="2" s="1"/>
  <c r="K343" i="2"/>
  <c r="K397" i="2"/>
  <c r="K771" i="2"/>
  <c r="K261" i="2"/>
  <c r="J261" i="2"/>
  <c r="H261" i="2" s="1"/>
  <c r="I261" i="2"/>
  <c r="K811" i="2"/>
  <c r="J811" i="2"/>
  <c r="H811" i="2" s="1"/>
  <c r="I713" i="2"/>
  <c r="I148" i="2"/>
  <c r="I595" i="2"/>
  <c r="J536" i="2"/>
  <c r="K544" i="2" s="1"/>
  <c r="G544" i="2" s="1"/>
  <c r="K536" i="2"/>
  <c r="I434" i="2"/>
  <c r="J434" i="2"/>
  <c r="H434" i="2" s="1"/>
  <c r="K434" i="2"/>
  <c r="J160" i="2"/>
  <c r="H160" i="2" s="1"/>
  <c r="I304" i="2"/>
  <c r="I386" i="2"/>
  <c r="J168" i="2"/>
  <c r="H168" i="2" s="1"/>
  <c r="K422" i="2"/>
  <c r="J422" i="2"/>
  <c r="H422" i="2" s="1"/>
  <c r="I422" i="2"/>
  <c r="K595" i="2"/>
  <c r="I260" i="2"/>
  <c r="J386" i="2"/>
  <c r="H386" i="2" s="1"/>
  <c r="K548" i="2"/>
  <c r="K743" i="2"/>
  <c r="I743" i="2"/>
  <c r="I757" i="2"/>
  <c r="J757" i="2"/>
  <c r="H757" i="2" s="1"/>
  <c r="K725" i="2"/>
  <c r="I725" i="2"/>
  <c r="J333" i="2"/>
  <c r="H333" i="2" s="1"/>
  <c r="I333" i="2"/>
  <c r="K850" i="2"/>
  <c r="I680" i="2"/>
  <c r="K337" i="2"/>
  <c r="J278" i="2"/>
  <c r="H278" i="2" s="1"/>
  <c r="J24" i="2"/>
  <c r="K29" i="2" s="1"/>
  <c r="G29" i="2" s="1"/>
  <c r="J596" i="2"/>
  <c r="K614" i="2" s="1"/>
  <c r="I612" i="2"/>
  <c r="I810" i="2"/>
  <c r="I116" i="2"/>
  <c r="J654" i="2"/>
  <c r="H654" i="2" s="1"/>
  <c r="I654" i="2"/>
  <c r="K654" i="2"/>
  <c r="K831" i="2"/>
  <c r="I228" i="2"/>
  <c r="J228" i="2"/>
  <c r="K237" i="2" s="1"/>
  <c r="G237" i="2" s="1"/>
  <c r="K228" i="2"/>
  <c r="K607" i="2"/>
  <c r="K726" i="2"/>
  <c r="J726" i="2"/>
  <c r="H726" i="2" s="1"/>
  <c r="I465" i="2"/>
  <c r="K407" i="2"/>
  <c r="K696" i="2"/>
  <c r="I550" i="2"/>
  <c r="I908" i="2"/>
  <c r="I811" i="2"/>
  <c r="I644" i="2"/>
  <c r="K907" i="2"/>
  <c r="I855" i="2"/>
  <c r="I631" i="2"/>
  <c r="K856" i="2"/>
  <c r="J856" i="2"/>
  <c r="H856" i="2" s="1"/>
  <c r="J625" i="2"/>
  <c r="K648" i="2" s="1"/>
  <c r="G648" i="2" s="1"/>
  <c r="I625" i="2"/>
  <c r="K625" i="2"/>
  <c r="I893" i="2"/>
  <c r="J708" i="2"/>
  <c r="H708" i="2" s="1"/>
  <c r="J835" i="2"/>
  <c r="H835" i="2" s="1"/>
  <c r="K835" i="2"/>
  <c r="I597" i="2"/>
  <c r="K448" i="2"/>
  <c r="J448" i="2"/>
  <c r="H448" i="2" s="1"/>
  <c r="I448" i="2"/>
  <c r="K572" i="2"/>
  <c r="J818" i="2"/>
  <c r="H818" i="2" s="1"/>
  <c r="K655" i="2"/>
  <c r="I655" i="2"/>
  <c r="K524" i="2"/>
  <c r="I460" i="2"/>
  <c r="J557" i="2"/>
  <c r="H557" i="2" s="1"/>
  <c r="K346" i="2"/>
  <c r="I346" i="2"/>
  <c r="J346" i="2"/>
  <c r="H346" i="2" s="1"/>
  <c r="K506" i="2"/>
  <c r="I96" i="2"/>
  <c r="K96" i="2"/>
  <c r="J96" i="2"/>
  <c r="H96" i="2" s="1"/>
  <c r="J598" i="2"/>
  <c r="H598" i="2" s="1"/>
  <c r="J444" i="2"/>
  <c r="H444" i="2" s="1"/>
  <c r="J342" i="2"/>
  <c r="H342" i="2" s="1"/>
  <c r="J369" i="2"/>
  <c r="H369" i="2" s="1"/>
  <c r="I369" i="2"/>
  <c r="K292" i="2"/>
  <c r="J292" i="2"/>
  <c r="K403" i="2" s="1"/>
  <c r="G403" i="2" s="1"/>
  <c r="I123" i="2"/>
  <c r="J475" i="2"/>
  <c r="K517" i="2" s="1"/>
  <c r="G517" i="2" s="1"/>
  <c r="I418" i="2"/>
  <c r="K304" i="2"/>
  <c r="J144" i="2"/>
  <c r="K146" i="2" s="1"/>
  <c r="I755" i="2"/>
  <c r="K297" i="2"/>
  <c r="I252" i="2"/>
  <c r="K137" i="2"/>
  <c r="J626" i="2"/>
  <c r="K630" i="2" s="1"/>
  <c r="G630" i="2" s="1"/>
  <c r="K555" i="2"/>
  <c r="I666" i="2"/>
  <c r="I397" i="2"/>
  <c r="I229" i="2"/>
  <c r="J196" i="2"/>
  <c r="H196" i="2" s="1"/>
  <c r="I705" i="2"/>
  <c r="J17" i="2"/>
  <c r="H17" i="2" s="1"/>
  <c r="I828" i="2"/>
  <c r="J374" i="2"/>
  <c r="H374" i="2" s="1"/>
  <c r="J120" i="2"/>
  <c r="H120" i="2" s="1"/>
  <c r="I175" i="2"/>
  <c r="I543" i="2"/>
  <c r="I173" i="2"/>
  <c r="I47" i="2"/>
  <c r="J159" i="2"/>
  <c r="H159" i="2" s="1"/>
  <c r="I390" i="2"/>
  <c r="J498" i="2"/>
  <c r="I530" i="2"/>
  <c r="J189" i="2"/>
  <c r="H189" i="2" s="1"/>
  <c r="J761" i="2"/>
  <c r="K765" i="2" s="1"/>
  <c r="G765" i="2" s="1"/>
  <c r="K558" i="2"/>
  <c r="J558" i="2"/>
  <c r="K615" i="2" s="1"/>
  <c r="G615" i="2" s="1"/>
  <c r="I558" i="2"/>
  <c r="J306" i="2"/>
  <c r="H306" i="2" s="1"/>
  <c r="K306" i="2"/>
  <c r="I306" i="2"/>
  <c r="K216" i="2"/>
  <c r="J216" i="2"/>
  <c r="H216" i="2" s="1"/>
  <c r="I216" i="2"/>
  <c r="J620" i="2"/>
  <c r="H620" i="2" s="1"/>
  <c r="K620" i="2"/>
  <c r="I160" i="2"/>
  <c r="I168" i="2"/>
  <c r="K9" i="2"/>
  <c r="J9" i="2"/>
  <c r="H9" i="2" s="1"/>
  <c r="K561" i="2"/>
  <c r="J561" i="2"/>
  <c r="H561" i="2" s="1"/>
  <c r="I561" i="2"/>
  <c r="I214" i="2"/>
  <c r="K636" i="2"/>
  <c r="I847" i="2"/>
  <c r="K772" i="2"/>
  <c r="J772" i="2"/>
  <c r="K776" i="2" s="1"/>
  <c r="G776" i="2" s="1"/>
  <c r="K728" i="2"/>
  <c r="J268" i="2"/>
  <c r="H268" i="2" s="1"/>
  <c r="I268" i="2"/>
  <c r="K268" i="2"/>
  <c r="J221" i="2"/>
  <c r="H221" i="2" s="1"/>
  <c r="K221" i="2"/>
  <c r="I221" i="2"/>
  <c r="I361" i="2"/>
  <c r="J101" i="2"/>
  <c r="K123" i="2" s="1"/>
  <c r="G123" i="2" s="1"/>
  <c r="J822" i="2"/>
  <c r="K825" i="2" s="1"/>
  <c r="G825" i="2" s="1"/>
  <c r="I822" i="2"/>
  <c r="J513" i="2"/>
  <c r="H513" i="2" s="1"/>
  <c r="I513" i="2"/>
  <c r="I256" i="2"/>
  <c r="J256" i="2"/>
  <c r="K307" i="2" s="1"/>
  <c r="K635" i="2"/>
  <c r="J635" i="2"/>
  <c r="H635" i="2" s="1"/>
  <c r="K162" i="2"/>
  <c r="J162" i="2"/>
  <c r="H162" i="2" s="1"/>
  <c r="I162" i="2"/>
  <c r="I38" i="2"/>
  <c r="J3" i="2"/>
  <c r="H3" i="2" s="1"/>
  <c r="I3" i="2"/>
  <c r="K3" i="2"/>
  <c r="K643" i="2"/>
  <c r="J242" i="2"/>
  <c r="H242" i="2" s="1"/>
  <c r="K242" i="2"/>
  <c r="I242" i="2"/>
  <c r="K150" i="2"/>
  <c r="J150" i="2"/>
  <c r="H150" i="2" s="1"/>
  <c r="I150" i="2"/>
  <c r="I374" i="2"/>
  <c r="K38" i="2"/>
  <c r="J854" i="2"/>
  <c r="H854" i="2" s="1"/>
  <c r="I854" i="2"/>
  <c r="K716" i="2"/>
  <c r="I486" i="2"/>
  <c r="K486" i="2"/>
  <c r="J486" i="2"/>
  <c r="H486" i="2" s="1"/>
  <c r="I635" i="2"/>
  <c r="K138" i="2"/>
  <c r="J138" i="2"/>
  <c r="H138" i="2" s="1"/>
  <c r="I138" i="2"/>
  <c r="I484" i="2"/>
  <c r="K305" i="2"/>
  <c r="J676" i="2"/>
  <c r="H676" i="2" s="1"/>
  <c r="I676" i="2"/>
  <c r="K676" i="2"/>
  <c r="J823" i="2"/>
  <c r="H823" i="2" s="1"/>
  <c r="I474" i="2"/>
  <c r="K474" i="2"/>
  <c r="J474" i="2"/>
  <c r="K475" i="2" s="1"/>
  <c r="K905" i="2"/>
  <c r="I760" i="2"/>
  <c r="J892" i="2"/>
  <c r="H892" i="2" s="1"/>
  <c r="I892" i="2"/>
  <c r="K796" i="2"/>
  <c r="J796" i="2"/>
  <c r="H796" i="2" s="1"/>
  <c r="J846" i="2"/>
  <c r="H846" i="2" s="1"/>
  <c r="I846" i="2"/>
  <c r="K760" i="2"/>
  <c r="K846" i="2"/>
  <c r="I790" i="2"/>
  <c r="I686" i="2"/>
  <c r="J771" i="2"/>
  <c r="H771" i="2" s="1"/>
  <c r="I611" i="2"/>
  <c r="K611" i="2"/>
  <c r="J611" i="2"/>
  <c r="H611" i="2" s="1"/>
  <c r="K565" i="2"/>
  <c r="J565" i="2"/>
  <c r="H565" i="2" s="1"/>
  <c r="I565" i="2"/>
  <c r="J567" i="2"/>
  <c r="K586" i="2" s="1"/>
  <c r="G586" i="2" s="1"/>
  <c r="J334" i="2"/>
  <c r="K391" i="2" s="1"/>
  <c r="G391" i="2" s="1"/>
  <c r="I334" i="2"/>
  <c r="K287" i="2"/>
  <c r="J287" i="2"/>
  <c r="H287" i="2" s="1"/>
  <c r="I287" i="2"/>
  <c r="K584" i="2"/>
  <c r="J584" i="2"/>
  <c r="H584" i="2" s="1"/>
  <c r="I380" i="2"/>
  <c r="K303" i="2"/>
  <c r="J303" i="2"/>
  <c r="H303" i="2" s="1"/>
  <c r="I303" i="2"/>
  <c r="J84" i="2"/>
  <c r="H84" i="2" s="1"/>
  <c r="I84" i="2"/>
  <c r="K84" i="2"/>
  <c r="K356" i="2"/>
  <c r="J356" i="2"/>
  <c r="H356" i="2" s="1"/>
  <c r="J395" i="2"/>
  <c r="H395" i="2" s="1"/>
  <c r="I395" i="2"/>
  <c r="K332" i="2"/>
  <c r="I201" i="2"/>
  <c r="K82" i="2"/>
  <c r="J82" i="2"/>
  <c r="H82" i="2" s="1"/>
  <c r="K144" i="2"/>
  <c r="J187" i="2"/>
  <c r="H187" i="2" s="1"/>
  <c r="K187" i="2"/>
  <c r="J705" i="2"/>
  <c r="J49" i="2"/>
  <c r="H49" i="2" s="1"/>
  <c r="K49" i="2"/>
  <c r="I49" i="2"/>
  <c r="I12" i="2"/>
  <c r="I343" i="2"/>
  <c r="I52" i="2"/>
  <c r="I122" i="2"/>
  <c r="J866" i="2"/>
  <c r="H866" i="2" s="1"/>
  <c r="H663" i="2" l="1"/>
  <c r="G663" i="2"/>
  <c r="H634" i="2"/>
  <c r="G634" i="2"/>
  <c r="H69" i="2"/>
  <c r="G69" i="2"/>
  <c r="G550" i="2"/>
  <c r="G172" i="2"/>
  <c r="G288" i="2"/>
  <c r="H23" i="2"/>
  <c r="G23" i="2"/>
  <c r="G290" i="2"/>
  <c r="H897" i="2"/>
  <c r="G897" i="2"/>
  <c r="H705" i="2"/>
  <c r="G705" i="2"/>
  <c r="H696" i="2"/>
  <c r="G696" i="2"/>
  <c r="K733" i="2"/>
  <c r="G733" i="2" s="1"/>
  <c r="H600" i="2"/>
  <c r="G600" i="2"/>
  <c r="K512" i="2"/>
  <c r="G512" i="2" s="1"/>
  <c r="H536" i="2"/>
  <c r="G536" i="2"/>
  <c r="H511" i="2"/>
  <c r="K511" i="2"/>
  <c r="G511" i="2" s="1"/>
  <c r="H512" i="2"/>
  <c r="H498" i="2"/>
  <c r="G498" i="2"/>
  <c r="H433" i="2"/>
  <c r="K439" i="2"/>
  <c r="G439" i="2" s="1"/>
  <c r="K433" i="2"/>
  <c r="G433" i="2" s="1"/>
  <c r="H405" i="2"/>
  <c r="G405" i="2"/>
  <c r="H334" i="2"/>
  <c r="G334" i="2"/>
  <c r="H328" i="2"/>
  <c r="G328" i="2"/>
  <c r="H298" i="2"/>
  <c r="G298" i="2"/>
  <c r="H297" i="2"/>
  <c r="G297" i="2"/>
  <c r="H266" i="2"/>
  <c r="G266" i="2"/>
  <c r="H190" i="2"/>
  <c r="G190" i="2"/>
  <c r="H146" i="2"/>
  <c r="G146" i="2"/>
  <c r="H144" i="2"/>
  <c r="G144" i="2"/>
  <c r="H733" i="2"/>
  <c r="H625" i="2"/>
  <c r="G625" i="2"/>
  <c r="K593" i="2"/>
  <c r="G593" i="2" s="1"/>
  <c r="H558" i="2"/>
  <c r="G558" i="2"/>
  <c r="H475" i="2"/>
  <c r="G475" i="2"/>
  <c r="H474" i="2"/>
  <c r="G474" i="2"/>
  <c r="H465" i="2"/>
  <c r="G465" i="2"/>
  <c r="H463" i="2"/>
  <c r="G463" i="2"/>
  <c r="H423" i="2"/>
  <c r="G423" i="2"/>
  <c r="G122" i="2"/>
  <c r="H292" i="2"/>
  <c r="G292" i="2"/>
  <c r="H228" i="2"/>
  <c r="G228" i="2"/>
  <c r="H125" i="2"/>
  <c r="G125" i="2"/>
  <c r="H101" i="2"/>
  <c r="G101" i="2"/>
  <c r="G730" i="2"/>
  <c r="G633" i="2"/>
  <c r="G868" i="2"/>
  <c r="H87" i="2"/>
  <c r="G87" i="2"/>
  <c r="G799" i="2"/>
  <c r="G48" i="2"/>
  <c r="G201" i="2"/>
  <c r="G151" i="2"/>
  <c r="G773" i="2"/>
  <c r="G173" i="2"/>
  <c r="H907" i="2"/>
  <c r="G907" i="2"/>
  <c r="H876" i="2"/>
  <c r="G876" i="2"/>
  <c r="H852" i="2"/>
  <c r="G852" i="2"/>
  <c r="H844" i="2"/>
  <c r="G844" i="2"/>
  <c r="H829" i="2"/>
  <c r="G829" i="2"/>
  <c r="H822" i="2"/>
  <c r="G822" i="2"/>
  <c r="H816" i="2"/>
  <c r="G816" i="2"/>
  <c r="H784" i="2"/>
  <c r="G784" i="2"/>
  <c r="K807" i="2"/>
  <c r="G807" i="2" s="1"/>
  <c r="H795" i="2"/>
  <c r="G795" i="2"/>
  <c r="H794" i="2"/>
  <c r="G794" i="2"/>
  <c r="H772" i="2"/>
  <c r="G772" i="2"/>
  <c r="H761" i="2"/>
  <c r="G761" i="2"/>
  <c r="G760" i="2"/>
  <c r="H702" i="2"/>
  <c r="G702" i="2"/>
  <c r="H698" i="2"/>
  <c r="G698" i="2"/>
  <c r="H681" i="2"/>
  <c r="G681" i="2"/>
  <c r="H626" i="2"/>
  <c r="G626" i="2"/>
  <c r="H614" i="2"/>
  <c r="G614" i="2"/>
  <c r="H596" i="2"/>
  <c r="G596" i="2"/>
  <c r="H593" i="2"/>
  <c r="H567" i="2"/>
  <c r="G567" i="2"/>
  <c r="H564" i="2"/>
  <c r="G564" i="2"/>
  <c r="H452" i="2"/>
  <c r="G452" i="2"/>
  <c r="H428" i="2"/>
  <c r="G428" i="2"/>
  <c r="H307" i="2"/>
  <c r="G307" i="2"/>
  <c r="H256" i="2"/>
  <c r="G256" i="2"/>
  <c r="H241" i="2"/>
  <c r="G241" i="2"/>
  <c r="G226" i="2"/>
  <c r="H176" i="2"/>
  <c r="G176" i="2"/>
  <c r="H40" i="2"/>
  <c r="G40" i="2"/>
  <c r="H24" i="2"/>
  <c r="G24" i="2"/>
</calcChain>
</file>

<file path=xl/sharedStrings.xml><?xml version="1.0" encoding="utf-8"?>
<sst xmlns="http://schemas.openxmlformats.org/spreadsheetml/2006/main" count="1949" uniqueCount="472">
  <si>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</si>
  <si>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</si>
  <si>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</si>
  <si>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</si>
  <si>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</si>
  <si>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</si>
  <si>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</si>
  <si>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</si>
  <si>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</si>
  <si>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</si>
  <si>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</si>
  <si>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</si>
  <si>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</si>
  <si>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être (être fille)</t>
  </si>
  <si>
    <t>\ Il était une fois une petite fille de village , la plus éveillée qu' on eût su voir: sa mère en était folle , et sa mère-grand plus folle encore .</t>
  </si>
  <si>
    <t>file://conllu/fr/rotkaeppchen_khm-026_perrault.conllu#s1_0</t>
  </si>
  <si>
    <t>2</t>
  </si>
  <si>
    <t>5</t>
  </si>
  <si>
    <t>faire (faire faire)</t>
  </si>
  <si>
    <t>Cette bonne femme lui fit faire un petit chaperon rouge qui lui seyait si bien , que partout on l' appelait le petit Chaperon rouge .</t>
  </si>
  <si>
    <t>file://conllu/fr/rotkaeppchen_khm-026_perrault.conllu#s2_0</t>
  </si>
  <si>
    <t>7</t>
  </si>
  <si>
    <t>un jour?</t>
  </si>
  <si>
    <t>cuire</t>
  </si>
  <si>
    <t>Un jour , sa mère ayant cuit et fait des de les galettes , lui dit : «Va voir comment se porte ta mère-grand , car on m' a dit qu' elle était malade .</t>
  </si>
  <si>
    <t>file://conllu/fr/rotkaeppchen_khm-026_perrault.conllu#s3_0</t>
  </si>
  <si>
    <t>4</t>
  </si>
  <si>
    <t>et?</t>
  </si>
  <si>
    <t>galette</t>
  </si>
  <si>
    <t>Porte-lui une galette et ce petit pot de beurre .»</t>
  </si>
  <si>
    <t>file://conllu/fr/rotkaeppchen_khm-026_perrault.conllu#s4_0</t>
  </si>
  <si>
    <t>aussitôt?</t>
  </si>
  <si>
    <t>partir</t>
  </si>
  <si>
    <t>Le petit Chaperon rouge partit aussitôt pour aller chez sa mère-grand , qui demeurait dans un autre village .</t>
  </si>
  <si>
    <t>file://conllu/fr/rotkaeppchen_khm-026_perrault.conllu#s5_0</t>
  </si>
  <si>
    <t>6</t>
  </si>
  <si>
    <t>8</t>
  </si>
  <si>
    <t>mais?</t>
  </si>
  <si>
    <t>rencontrer</t>
  </si>
  <si>
    <t>En passant dans un bois , elle rencontra compère le Loup , qui eut bien envie de la manger ; mais il n' osa , à cause de quelques bûcherons qui étaient dans la forêt .</t>
  </si>
  <si>
    <t>file://conllu/fr/rotkaeppchen_khm-026_perrault.conllu#s6_0</t>
  </si>
  <si>
    <t>demander</t>
  </si>
  <si>
    <t>Il lui demanda où elle allait .</t>
  </si>
  <si>
    <t>file://conllu/fr/rotkaeppchen_khm-026_perrault.conllu#s7_0</t>
  </si>
  <si>
    <t>22</t>
  </si>
  <si>
    <t>dire</t>
  </si>
  <si>
    <t>La pauvre enfant , qui ne savait pas qu' il était dangereux de s' arrêter à écouter un loup , lui dit :</t>
  </si>
  <si>
    <t>file://conllu/fr/rotkaeppchen_khm-026_perrault.conllu#s8_0</t>
  </si>
  <si>
    <t>9</t>
  </si>
  <si>
    <t>aller</t>
  </si>
  <si>
    <t>Je vais voir ma mère-grand , et lui porter une galette , avec un petit pot de beurre , que ma mère lui envoie .</t>
  </si>
  <si>
    <t>file://conllu/fr/rotkaeppchen_khm-026_perrault.conllu#s9_0</t>
  </si>
  <si>
    <t>10</t>
  </si>
  <si>
    <t>demeurer</t>
  </si>
  <si>
    <t>Demeure -t -elle bien loin ? lui dit le loup.</t>
  </si>
  <si>
    <t>file://conllu/fr/rotkaeppchen_khm-026_perrault.conllu#s10_0</t>
  </si>
  <si>
    <t>11</t>
  </si>
  <si>
    <t>Oh</t>
  </si>
  <si>
    <t>Oh ! oui , dit le petit Chaperon rouge ; c' est par delà le moulin que vous voyez tout là-bas , à la première maison du de le village .</t>
  </si>
  <si>
    <t>file://conllu/fr/rotkaeppchen_khm-026_perrault.conllu#s11_0</t>
  </si>
  <si>
    <t>12</t>
  </si>
  <si>
    <t>aussi?</t>
  </si>
  <si>
    <t>dire (dire vouloir)</t>
  </si>
  <si>
    <t>Eh bien ! dit le Loup , je veux l' aller voir aussi : je m' y en vais par ce chemin-ci , et toi par ce chemin-là ;</t>
  </si>
  <si>
    <t>file://conllu/fr/rotkaeppchen_khm-026_perrault.conllu#s12_0</t>
  </si>
  <si>
    <t>13</t>
  </si>
  <si>
    <t>voir</t>
  </si>
  <si>
    <t>et nous verrons à qui plus tôt y sera .</t>
  </si>
  <si>
    <t>file://conllu/fr/rotkaeppchen_khm-026_perrault.conllu#s13_0</t>
  </si>
  <si>
    <t>14</t>
  </si>
  <si>
    <t>s'?</t>
  </si>
  <si>
    <t>mettre</t>
  </si>
  <si>
    <t>Le Loup se mit à courir de toute sa force par le chemin qui était le plus court , et la petite fille s' en alla par le chemin le plus long , s' amusant à cueillir des de les noisettes , à courir après des de les papillons , et à faire des de les bouquets des de les petites fleurs qu' elle rencontrait .</t>
  </si>
  <si>
    <t>file://conllu/fr/rotkaeppchen_khm-026_perrault.conllu#s14_0</t>
  </si>
  <si>
    <t>15</t>
  </si>
  <si>
    <t>17</t>
  </si>
  <si>
    <t>heurter</t>
  </si>
  <si>
    <t>Le Loup ne fut pas longtemps à arriver à la maison de la mère-grand ; il heurte : toc , toc .</t>
  </si>
  <si>
    <t>file://conllu/fr/rotkaeppchen_khm-026_perrault.conllu#s15_0</t>
  </si>
  <si>
    <t>16</t>
  </si>
  <si>
    <t>Qui est là ? --- C' est votre fille , le petit Chaperon rouge , dit le Loup en contrefaisant sa voix , qui vous apporte une galette et un petit pot de beurre , que ma mère vous envoie .</t>
  </si>
  <si>
    <t>file://conllu/fr/rotkaeppchen_khm-026_perrault.conllu#s16_0</t>
  </si>
  <si>
    <t>24</t>
  </si>
  <si>
    <t>crier</t>
  </si>
  <si>
    <t>La bonne mère-grand , qui était dans son lit , à cause qu' elle se trouvait un peu mal , lui cria : Tire la chevillette , la bobinette cherra .</t>
  </si>
  <si>
    <t>file://conllu/fr/rotkaeppchen_khm-026_perrault.conllu#s17_0</t>
  </si>
  <si>
    <t>18</t>
  </si>
  <si>
    <t>tirer</t>
  </si>
  <si>
    <t>Le Loup tira la chevillette , et la porte s' ouvrit .</t>
  </si>
  <si>
    <t>file://conllu/fr/rotkaeppchen_khm-026_perrault.conllu#s18_0</t>
  </si>
  <si>
    <t>19</t>
  </si>
  <si>
    <t>car?</t>
  </si>
  <si>
    <t>jeter</t>
  </si>
  <si>
    <t>Il se jeta sur la bonne femme , et la dévora en moins de rien , car il y avait plus de trois jours qu' il n' avait mangé .</t>
  </si>
  <si>
    <t>file://conllu/fr/rotkaeppchen_khm-026_perrault.conllu#s19_0</t>
  </si>
  <si>
    <t>20</t>
  </si>
  <si>
    <t>ensuite?</t>
  </si>
  <si>
    <t>fermer</t>
  </si>
  <si>
    <t>Ensuite il ferma la porte , et s' alla coucher dans le lit de la mère-grand , en attendant le petit Chaperon rouge , qui , quelque temps après , vint heurter à la porte : toc , toc.</t>
  </si>
  <si>
    <t>file://conllu/fr/rotkaeppchen_khm-026_perrault.conllu#s20_0</t>
  </si>
  <si>
    <t>21</t>
  </si>
  <si>
    <t>36</t>
  </si>
  <si>
    <t>répondre</t>
  </si>
  <si>
    <t>Qui est là? Le petit Chaperon rouge , qui entendit la grosse voix du de le Loup , eut peur d' abord , mais , croyant que sa mère-grand était enrhumée , répondit :</t>
  </si>
  <si>
    <t>file://conllu/fr/rotkaeppchen_khm-026_perrault.conllu#s21_0</t>
  </si>
  <si>
    <t>C' est votre fille , le petit Chaperon rouge , qui vous apporte une galette et un petit pot de beurre , que ma mère vous envoie .</t>
  </si>
  <si>
    <t>file://conllu/fr/rotkaeppchen_khm-026_perrault.conllu#s22_0</t>
  </si>
  <si>
    <t>23</t>
  </si>
  <si>
    <t>en?</t>
  </si>
  <si>
    <t>Le Loup lui cria en adoucissant un peu sa voix : Tire la chevillette , la bobinette cherra .</t>
  </si>
  <si>
    <t>file://conllu/fr/rotkaeppchen_khm-026_perrault.conllu#s23_0</t>
  </si>
  <si>
    <t>Le petit Chaperon rouge tira la chevillette , et la porte s' ouvrit .</t>
  </si>
  <si>
    <t>file://conllu/fr/rotkaeppchen_khm-026_perrault.conllu#s24_0</t>
  </si>
  <si>
    <t>25</t>
  </si>
  <si>
    <t>Le Loup , la voyant entrer , lui dit en se cachant dans le lit , sous la couverture : Mets la galette et le petit pot de beurre sur la huche , et viens te coucher avec moi .</t>
  </si>
  <si>
    <t>file://conllu/fr/rotkaeppchen_khm-026_perrault.conllu#s25_0</t>
  </si>
  <si>
    <t>26</t>
  </si>
  <si>
    <t>déshabiller</t>
  </si>
  <si>
    <t>Le petit Chaperon rouge se déshabille , et va se mettre dans le lit , où elle fut bien étonnée de voir comment sa mère-grand était faite en son déshabillé .</t>
  </si>
  <si>
    <t>file://conllu/fr/rotkaeppchen_khm-026_perrault.conllu#s26_0</t>
  </si>
  <si>
    <t>27</t>
  </si>
  <si>
    <t>Elle lui dit : Ma mère-grand , que vous avez de grands bras ! --- C' est pour mieux t' embrasser , ma fille ! Ma mère-grand , que vous avez de grandes jambes! C' est pour mieux courir , mon enfant ! Ma mère-grand , que vous avez de grandes oreilles ! C' est pour mieux écouter , mon enfant ! Ma mère-grand , que vous avez de grands yeux ! C' est pour mieux te voir , mon enfant ! Ma mère-grand , que vous avez de grandes dents ! C' est pour te manger !</t>
  </si>
  <si>
    <t>file://conllu/fr/rotkaeppchen_khm-026_perrault.conllu#s27_0</t>
  </si>
  <si>
    <t>28</t>
  </si>
  <si>
    <t>Et , en disant ces mots , ce méchant Loup se jeta sur le petit Chaperon rouge , et la mangea .</t>
  </si>
  <si>
    <t>file://conllu/fr/rotkaeppchen_khm-026_perrault.conllu#s28_0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</si>
  <si>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</si>
  <si>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</si>
  <si>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</si>
  <si>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</si>
  <si>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</si>
  <si>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</si>
  <si>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</si>
  <si>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</si>
  <si>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</si>
  <si>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</si>
  <si>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</si>
  <si>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\ Il était une fois une petite fille de village, la plus éveillée qu'on eût su voir: sa mère en était folle, et sa mère-grand plus folle encore.</t>
  </si>
  <si>
    <t>\</t>
  </si>
  <si>
    <t>Il</t>
  </si>
  <si>
    <t>SBJ</t>
  </si>
  <si>
    <t>pron.pper</t>
  </si>
  <si>
    <t>?OLD</t>
  </si>
  <si>
    <t>était</t>
  </si>
  <si>
    <t>une</t>
  </si>
  <si>
    <t>fois</t>
  </si>
  <si>
    <t>other</t>
  </si>
  <si>
    <t>indef-np.a</t>
  </si>
  <si>
    <t>petite</t>
  </si>
  <si>
    <t>fille</t>
  </si>
  <si>
    <t>de</t>
  </si>
  <si>
    <t>village</t>
  </si>
  <si>
    <t>indef-np.bare</t>
  </si>
  <si>
    <t>,</t>
  </si>
  <si>
    <t>la</t>
  </si>
  <si>
    <t>plus</t>
  </si>
  <si>
    <t>éveillée</t>
  </si>
  <si>
    <t>qu'</t>
  </si>
  <si>
    <t>on</t>
  </si>
  <si>
    <t>SBJ_3</t>
  </si>
  <si>
    <t>pron</t>
  </si>
  <si>
    <t>eût</t>
  </si>
  <si>
    <t>su</t>
  </si>
  <si>
    <t>voir:</t>
  </si>
  <si>
    <t>sa</t>
  </si>
  <si>
    <t>other_5</t>
  </si>
  <si>
    <t>pron.ppos</t>
  </si>
  <si>
    <t>mère</t>
  </si>
  <si>
    <t>SBJ_4</t>
  </si>
  <si>
    <t>def-np.poss</t>
  </si>
  <si>
    <t>en</t>
  </si>
  <si>
    <t>OBJ_4</t>
  </si>
  <si>
    <t>folle</t>
  </si>
  <si>
    <t>et</t>
  </si>
  <si>
    <t>mère-grand</t>
  </si>
  <si>
    <t>encore</t>
  </si>
  <si>
    <t>.</t>
  </si>
  <si>
    <t># text = Cette bonne femme lui fit faire un petit chaperon rouge qui lui seyait si bien, que partout on l'appelait le petit Chaperon rouge.</t>
  </si>
  <si>
    <t>Cette</t>
  </si>
  <si>
    <t>bonne</t>
  </si>
  <si>
    <t>femme</t>
  </si>
  <si>
    <t>def-np.dem</t>
  </si>
  <si>
    <t>lui</t>
  </si>
  <si>
    <t>OBJ</t>
  </si>
  <si>
    <t>fit</t>
  </si>
  <si>
    <t>faire</t>
  </si>
  <si>
    <t>un</t>
  </si>
  <si>
    <t>petit</t>
  </si>
  <si>
    <t>chaperon</t>
  </si>
  <si>
    <t>rouge</t>
  </si>
  <si>
    <t>qui</t>
  </si>
  <si>
    <t>OBJ_3</t>
  </si>
  <si>
    <t>seyait</t>
  </si>
  <si>
    <t>si</t>
  </si>
  <si>
    <t>bien</t>
  </si>
  <si>
    <t>que</t>
  </si>
  <si>
    <t>partout</t>
  </si>
  <si>
    <t>SBJ_2</t>
  </si>
  <si>
    <t>l'</t>
  </si>
  <si>
    <t>OBJ_2</t>
  </si>
  <si>
    <t>appelait</t>
  </si>
  <si>
    <t>le</t>
  </si>
  <si>
    <t>Chaperon</t>
  </si>
  <si>
    <t>other_2</t>
  </si>
  <si>
    <t>ne</t>
  </si>
  <si>
    <t># text = Un jour, sa mère ayant cuit et fait des galettes, lui dit: «Va voir comment se porte ta mère-grand, car on m'a dit qu'elle était malade.</t>
  </si>
  <si>
    <t>Un</t>
  </si>
  <si>
    <t>jour</t>
  </si>
  <si>
    <t>ayant</t>
  </si>
  <si>
    <t>cuit</t>
  </si>
  <si>
    <t>fait</t>
  </si>
  <si>
    <t>les</t>
  </si>
  <si>
    <t>galettes</t>
  </si>
  <si>
    <t>def-np.the</t>
  </si>
  <si>
    <t>dit</t>
  </si>
  <si>
    <t>:</t>
  </si>
  <si>
    <t>«Va</t>
  </si>
  <si>
    <t>comment</t>
  </si>
  <si>
    <t>se</t>
  </si>
  <si>
    <t>porte</t>
  </si>
  <si>
    <t>ta</t>
  </si>
  <si>
    <t>other_4</t>
  </si>
  <si>
    <t>car</t>
  </si>
  <si>
    <t>SBJ_5</t>
  </si>
  <si>
    <t>m'</t>
  </si>
  <si>
    <t>OBJ_5</t>
  </si>
  <si>
    <t>a</t>
  </si>
  <si>
    <t>elle</t>
  </si>
  <si>
    <t>SBJ_6</t>
  </si>
  <si>
    <t>malade</t>
  </si>
  <si>
    <t># text = Porte-lui une galette et ce petit pot de beurre.»</t>
  </si>
  <si>
    <t>Porte-lui</t>
  </si>
  <si>
    <t>ce</t>
  </si>
  <si>
    <t>pot</t>
  </si>
  <si>
    <t>beurre</t>
  </si>
  <si>
    <t>.»</t>
  </si>
  <si>
    <t># text = Le petit Chaperon rouge partit aussitôt pour aller chez sa mère-grand, qui demeurait dans un autre village.</t>
  </si>
  <si>
    <t>Le</t>
  </si>
  <si>
    <t>partit</t>
  </si>
  <si>
    <t>aussitôt</t>
  </si>
  <si>
    <t>pour</t>
  </si>
  <si>
    <t>chez</t>
  </si>
  <si>
    <t>other_3</t>
  </si>
  <si>
    <t>demeurait</t>
  </si>
  <si>
    <t>dans</t>
  </si>
  <si>
    <t>autre</t>
  </si>
  <si>
    <t># text = En passant dans un bois, elle rencontra compère le Loup, qui eut bien envie de la manger; mais il n'osa, à cause de quelques bûcherons qui étaient dans la forêt.</t>
  </si>
  <si>
    <t>En</t>
  </si>
  <si>
    <t>passant</t>
  </si>
  <si>
    <t>bois</t>
  </si>
  <si>
    <t>rencontra</t>
  </si>
  <si>
    <t>compère</t>
  </si>
  <si>
    <t>Loup</t>
  </si>
  <si>
    <t>eut</t>
  </si>
  <si>
    <t>envie</t>
  </si>
  <si>
    <t>manger</t>
  </si>
  <si>
    <t>;</t>
  </si>
  <si>
    <t>mais</t>
  </si>
  <si>
    <t>il</t>
  </si>
  <si>
    <t>n'</t>
  </si>
  <si>
    <t>osa</t>
  </si>
  <si>
    <t>à</t>
  </si>
  <si>
    <t>cause</t>
  </si>
  <si>
    <t>quelques</t>
  </si>
  <si>
    <t>bûcherons</t>
  </si>
  <si>
    <t>indef-np</t>
  </si>
  <si>
    <t>étaient</t>
  </si>
  <si>
    <t>forêt</t>
  </si>
  <si>
    <t># text = Il lui demanda où elle allait.</t>
  </si>
  <si>
    <t>demanda</t>
  </si>
  <si>
    <t>où</t>
  </si>
  <si>
    <t>allait</t>
  </si>
  <si>
    <t># text = La pauvre enfant, qui ne savait pas qu'il était dangereux de s'arrêter à écouter un loup, lui dit:</t>
  </si>
  <si>
    <t>La</t>
  </si>
  <si>
    <t>pauvre</t>
  </si>
  <si>
    <t>enfant</t>
  </si>
  <si>
    <t>savait</t>
  </si>
  <si>
    <t>pas</t>
  </si>
  <si>
    <t>dangereux</t>
  </si>
  <si>
    <t>s'</t>
  </si>
  <si>
    <t>arrêter</t>
  </si>
  <si>
    <t>écouter</t>
  </si>
  <si>
    <t>loup</t>
  </si>
  <si>
    <t>OBJ_6</t>
  </si>
  <si>
    <t># text = Je vais voir ma mère-grand, et lui porter une galette, avec un petit pot de beurre, que ma mère lui envoie.</t>
  </si>
  <si>
    <t>Je</t>
  </si>
  <si>
    <t>vais</t>
  </si>
  <si>
    <t>ma</t>
  </si>
  <si>
    <t>porter</t>
  </si>
  <si>
    <t>avec</t>
  </si>
  <si>
    <t>envoie</t>
  </si>
  <si>
    <t># text = --- Demeure-t-elle bien loin? lui dit le loup.</t>
  </si>
  <si>
    <t>Demeure</t>
  </si>
  <si>
    <t>-t</t>
  </si>
  <si>
    <t>-elle</t>
  </si>
  <si>
    <t>loin</t>
  </si>
  <si>
    <t>?</t>
  </si>
  <si>
    <t>loup.</t>
  </si>
  <si>
    <t># text = --- Oh! oui, dit le petit Chaperon rouge; c'est par delà le moulin que vous voyez tout là-bas, à la première maison du village.</t>
  </si>
  <si>
    <t>!</t>
  </si>
  <si>
    <t>oui</t>
  </si>
  <si>
    <t>c'</t>
  </si>
  <si>
    <t>pron.pds</t>
  </si>
  <si>
    <t>est</t>
  </si>
  <si>
    <t>par</t>
  </si>
  <si>
    <t>delà</t>
  </si>
  <si>
    <t>moulin</t>
  </si>
  <si>
    <t>vous</t>
  </si>
  <si>
    <t>voyez</t>
  </si>
  <si>
    <t>tout</t>
  </si>
  <si>
    <t>là-bas</t>
  </si>
  <si>
    <t>première</t>
  </si>
  <si>
    <t>maison</t>
  </si>
  <si>
    <t># text = --- Eh bien! dit le Loup, je veux l'aller voir aussi: je m'y en vais par ce chemin-ci, et toi par ce chemin-là;</t>
  </si>
  <si>
    <t>Eh</t>
  </si>
  <si>
    <t>je</t>
  </si>
  <si>
    <t>veux</t>
  </si>
  <si>
    <t>aussi</t>
  </si>
  <si>
    <t>y</t>
  </si>
  <si>
    <t>chemin-ci</t>
  </si>
  <si>
    <t>toi</t>
  </si>
  <si>
    <t>chemin-là</t>
  </si>
  <si>
    <t># text = et nous verrons à qui plus tôt y sera.</t>
  </si>
  <si>
    <t>nous</t>
  </si>
  <si>
    <t>verrons</t>
  </si>
  <si>
    <t>tôt</t>
  </si>
  <si>
    <t>sera</t>
  </si>
  <si>
    <t># text = Le Loup se mit à courir de toute sa force par le chemin qui était le plus court, et la petite fille s'en alla par le chemin le plus long, s'amusant à cueillir des noisettes, à courir après des papillons, et à faire des bouquets des petites fleurs qu'elle rencontrait.</t>
  </si>
  <si>
    <t>mit</t>
  </si>
  <si>
    <t>courir</t>
  </si>
  <si>
    <t>toute</t>
  </si>
  <si>
    <t>force</t>
  </si>
  <si>
    <t>chemin</t>
  </si>
  <si>
    <t>court</t>
  </si>
  <si>
    <t>alla</t>
  </si>
  <si>
    <t>long</t>
  </si>
  <si>
    <t>amusant</t>
  </si>
  <si>
    <t>cueillir</t>
  </si>
  <si>
    <t>noisettes</t>
  </si>
  <si>
    <t>après</t>
  </si>
  <si>
    <t>papillons</t>
  </si>
  <si>
    <t>other_7</t>
  </si>
  <si>
    <t>bouquets</t>
  </si>
  <si>
    <t>petites</t>
  </si>
  <si>
    <t>fleurs</t>
  </si>
  <si>
    <t>OBJ_7</t>
  </si>
  <si>
    <t>SBJ_7</t>
  </si>
  <si>
    <t>rencontrait</t>
  </si>
  <si>
    <t># text = Le Loup ne fut pas longtemps à arriver à la maison de la mère-grand; il heurte: toc, toc.</t>
  </si>
  <si>
    <t>fut</t>
  </si>
  <si>
    <t>longtemps</t>
  </si>
  <si>
    <t>arriver</t>
  </si>
  <si>
    <t>heurte</t>
  </si>
  <si>
    <t>toc</t>
  </si>
  <si>
    <t># text = --- Qui est là? --- C'est votre fille, le petit Chaperon rouge, dit le Loup en contrefaisant sa voix, qui vous apporte une galette et un petit pot de beurre, que ma mère vous envoie.</t>
  </si>
  <si>
    <t>Qui</t>
  </si>
  <si>
    <t>pron.pint</t>
  </si>
  <si>
    <t>là</t>
  </si>
  <si>
    <t>---</t>
  </si>
  <si>
    <t>C'</t>
  </si>
  <si>
    <t>votre</t>
  </si>
  <si>
    <t>contrefaisant</t>
  </si>
  <si>
    <t>voix</t>
  </si>
  <si>
    <t>apporte</t>
  </si>
  <si>
    <t># text = --- La bonne mère-grand, qui était dans son lit, à cause qu'elle se trouvait un peu mal, lui cria: Tire la chevillette, la bobinette cherra.</t>
  </si>
  <si>
    <t>son</t>
  </si>
  <si>
    <t>lit</t>
  </si>
  <si>
    <t>trouvait</t>
  </si>
  <si>
    <t>peu</t>
  </si>
  <si>
    <t>mal</t>
  </si>
  <si>
    <t>cria</t>
  </si>
  <si>
    <t>Tire</t>
  </si>
  <si>
    <t>chevillette</t>
  </si>
  <si>
    <t>bobinette</t>
  </si>
  <si>
    <t>cherra</t>
  </si>
  <si>
    <t># text = --- Le Loup tira la chevillette, et la porte s'ouvrit.</t>
  </si>
  <si>
    <t>tira</t>
  </si>
  <si>
    <t>ouvrit</t>
  </si>
  <si>
    <t># text = Il se jeta sur la bonne femme, et la dévora en moins de rien, car il y avait plus de trois jours qu'il n'avait mangé.</t>
  </si>
  <si>
    <t>jeta</t>
  </si>
  <si>
    <t>sur</t>
  </si>
  <si>
    <t>dévora</t>
  </si>
  <si>
    <t>moins</t>
  </si>
  <si>
    <t>rien</t>
  </si>
  <si>
    <t>avait</t>
  </si>
  <si>
    <t>trois</t>
  </si>
  <si>
    <t>jours</t>
  </si>
  <si>
    <t>indef-np.quant</t>
  </si>
  <si>
    <t>mangé</t>
  </si>
  <si>
    <t># text = Ensuite il ferma la porte, et s'alla coucher dans le lit de la mère-grand, en attendant le petit Chaperon rouge, qui, quelque temps après, vint heurter à la porte: toc, toc.</t>
  </si>
  <si>
    <t>Ensuite</t>
  </si>
  <si>
    <t>ferma</t>
  </si>
  <si>
    <t>coucher</t>
  </si>
  <si>
    <t>attendant</t>
  </si>
  <si>
    <t>quelque</t>
  </si>
  <si>
    <t>temps</t>
  </si>
  <si>
    <t>vint</t>
  </si>
  <si>
    <t>other_6</t>
  </si>
  <si>
    <t>toc.</t>
  </si>
  <si>
    <t># text = --- Qui est là? --- Le petit Chaperon rouge, qui entendit la grosse voix du Loup, eut peur d'abord, mais, croyant que sa mère-grand était enrhumée, répondit:</t>
  </si>
  <si>
    <t>là?</t>
  </si>
  <si>
    <t>entendit</t>
  </si>
  <si>
    <t>grosse</t>
  </si>
  <si>
    <t>peur</t>
  </si>
  <si>
    <t>d'</t>
  </si>
  <si>
    <t>abord</t>
  </si>
  <si>
    <t>croyant</t>
  </si>
  <si>
    <t>enrhumée</t>
  </si>
  <si>
    <t>répondit</t>
  </si>
  <si>
    <t># text = C'est votre fille, le petit Chaperon rouge, qui vous apporte une galette et un petit pot de beurre, que ma mère vous envoie.</t>
  </si>
  <si>
    <t># text = --- Le Loup lui cria en adoucissant un peu sa voix: Tire la chevillette, la bobinette cherra.</t>
  </si>
  <si>
    <t>adoucissant</t>
  </si>
  <si>
    <t># text = --- Le petit Chaperon rouge tira la chevillette, et la porte s'ouvrit.</t>
  </si>
  <si>
    <t># text = Le Loup, la voyant entrer, lui dit en se cachant dans le lit, sous la couverture: Mets la galette et le petit pot de beurre sur la huche, et viens te coucher avec moi.</t>
  </si>
  <si>
    <t>voyant</t>
  </si>
  <si>
    <t>entrer</t>
  </si>
  <si>
    <t>cachant</t>
  </si>
  <si>
    <t>sous</t>
  </si>
  <si>
    <t>couverture</t>
  </si>
  <si>
    <t>Mets</t>
  </si>
  <si>
    <t>huche</t>
  </si>
  <si>
    <t>viens</t>
  </si>
  <si>
    <t>te</t>
  </si>
  <si>
    <t>moi</t>
  </si>
  <si>
    <t># text = Le petit Chaperon rouge se déshabille, et va se mettre dans le lit, où elle fut bien étonnée de voir comment sa mère-grand était faite en son déshabillé.</t>
  </si>
  <si>
    <t>déshabille</t>
  </si>
  <si>
    <t>va</t>
  </si>
  <si>
    <t>étonnée</t>
  </si>
  <si>
    <t>other_8</t>
  </si>
  <si>
    <t>faite</t>
  </si>
  <si>
    <t>déshabillé</t>
  </si>
  <si>
    <t># text = --- Elle lui dit: Ma mère-grand, que vous avez de grands bras! --- C'est pour mieux t'embrasser, ma fille! --- Ma mère-grand, que vous avez de grandes jambes! --- C'est pour mieux courir, mon enfant! --- Ma mère-grand, que vous avez de grandes oreilles! --- C'est pour mieux écouter, mon enfant! --- Ma mère-grand, que vous avez de grands yeux! --- C'est pour mieux te voir, mon enfant! --- Ma mère-grand, que vous avez de grandes dents! --- C'est pour te manger!</t>
  </si>
  <si>
    <t>Elle</t>
  </si>
  <si>
    <t>Ma</t>
  </si>
  <si>
    <t>avez</t>
  </si>
  <si>
    <t>grands</t>
  </si>
  <si>
    <t>bras</t>
  </si>
  <si>
    <t>mieux</t>
  </si>
  <si>
    <t>t'</t>
  </si>
  <si>
    <t>embrasser</t>
  </si>
  <si>
    <t>grandes</t>
  </si>
  <si>
    <t>jambes!</t>
  </si>
  <si>
    <t>mon</t>
  </si>
  <si>
    <t>SBJ_8</t>
  </si>
  <si>
    <t>oreilles</t>
  </si>
  <si>
    <t>OBJ_8</t>
  </si>
  <si>
    <t>other_9</t>
  </si>
  <si>
    <t>SBJ_10</t>
  </si>
  <si>
    <t>yeux</t>
  </si>
  <si>
    <t>OBJ_10</t>
  </si>
  <si>
    <t>other_10</t>
  </si>
  <si>
    <t>dents</t>
  </si>
  <si>
    <t># text = Et, en disant ces mots, ce méchant Loup se jeta sur le petit Chaperon rouge, et la mangea.</t>
  </si>
  <si>
    <t>Et</t>
  </si>
  <si>
    <t>disant</t>
  </si>
  <si>
    <t>ces</t>
  </si>
  <si>
    <t>mots</t>
  </si>
  <si>
    <t>méchant</t>
  </si>
  <si>
    <t>mangea</t>
  </si>
  <si>
    <t>R</t>
  </si>
  <si>
    <t>RW</t>
  </si>
  <si>
    <t>Wolf als R</t>
  </si>
  <si>
    <t>Wolf als G</t>
  </si>
  <si>
    <t>Wolf als G(part)</t>
  </si>
  <si>
    <t xml:space="preserve">Wolf als G </t>
  </si>
  <si>
    <t>G</t>
  </si>
  <si>
    <t>Einführung Diskursreferent</t>
  </si>
  <si>
    <t>Kombi Verb und Personalpronomen (ind. Obj.pron)</t>
  </si>
  <si>
    <t>W</t>
  </si>
  <si>
    <t>W(part)</t>
  </si>
  <si>
    <t>M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</si>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</sst>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9" sqref="E9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9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11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 t="str">
        <f t="shared" si="0"/>
        <v>un jour?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26</v>
      </c>
      <c r="B5" s="6" t="s">
        <v>11</v>
      </c>
      <c r="C5" s="6" t="s">
        <v>27</v>
      </c>
      <c r="D5" s="7" t="s">
        <v>28</v>
      </c>
      <c r="E5" s="8" t="s">
        <v>29</v>
      </c>
      <c r="F5" s="6" t="s">
        <v>30</v>
      </c>
      <c r="G5" s="9" t="str">
        <f t="shared" si="0"/>
        <v>et?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17</v>
      </c>
      <c r="B6" s="6" t="s">
        <v>17</v>
      </c>
      <c r="C6" s="6" t="s">
        <v>31</v>
      </c>
      <c r="D6" s="7" t="s">
        <v>32</v>
      </c>
      <c r="E6" s="8" t="s">
        <v>33</v>
      </c>
      <c r="F6" s="6" t="s">
        <v>34</v>
      </c>
      <c r="G6" s="9" t="str">
        <f t="shared" si="0"/>
        <v>aussitôt?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35</v>
      </c>
      <c r="B7" s="6" t="s">
        <v>36</v>
      </c>
      <c r="C7" s="6" t="s">
        <v>37</v>
      </c>
      <c r="D7" s="7" t="s">
        <v>38</v>
      </c>
      <c r="E7" s="8" t="s">
        <v>39</v>
      </c>
      <c r="F7" s="6" t="s">
        <v>40</v>
      </c>
      <c r="G7" s="9" t="str">
        <f t="shared" si="0"/>
        <v>mais?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21</v>
      </c>
      <c r="B8" s="6" t="s">
        <v>11</v>
      </c>
      <c r="C8" s="6" t="s">
        <v>12</v>
      </c>
      <c r="D8" s="7" t="s">
        <v>41</v>
      </c>
      <c r="E8" s="8" t="s">
        <v>42</v>
      </c>
      <c r="F8" s="6" t="s">
        <v>43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36</v>
      </c>
      <c r="B9" s="6" t="s">
        <v>44</v>
      </c>
      <c r="C9" s="6" t="s">
        <v>12</v>
      </c>
      <c r="D9" s="7" t="s">
        <v>45</v>
      </c>
      <c r="E9" s="8" t="s">
        <v>46</v>
      </c>
      <c r="F9" s="6" t="s">
        <v>47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48</v>
      </c>
      <c r="B10" s="6" t="s">
        <v>16</v>
      </c>
      <c r="C10" s="6" t="s">
        <v>27</v>
      </c>
      <c r="D10" s="7" t="s">
        <v>49</v>
      </c>
      <c r="E10" s="8" t="s">
        <v>50</v>
      </c>
      <c r="F10" s="6" t="s">
        <v>51</v>
      </c>
      <c r="G10" s="9" t="str">
        <f t="shared" si="0"/>
        <v>et?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52</v>
      </c>
      <c r="B11" s="6" t="s">
        <v>11</v>
      </c>
      <c r="C11" s="6" t="s">
        <v>12</v>
      </c>
      <c r="D11" s="7" t="s">
        <v>53</v>
      </c>
      <c r="E11" s="8" t="s">
        <v>54</v>
      </c>
      <c r="F11" s="6" t="s">
        <v>55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56</v>
      </c>
      <c r="B12" s="6" t="s">
        <v>11</v>
      </c>
      <c r="C12" s="6" t="s">
        <v>12</v>
      </c>
      <c r="D12" s="7" t="s">
        <v>57</v>
      </c>
      <c r="E12" s="8" t="s">
        <v>58</v>
      </c>
      <c r="F12" s="6" t="s">
        <v>59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60</v>
      </c>
      <c r="B13" s="6" t="s">
        <v>35</v>
      </c>
      <c r="C13" s="6" t="s">
        <v>61</v>
      </c>
      <c r="D13" s="7" t="s">
        <v>62</v>
      </c>
      <c r="E13" s="8" t="s">
        <v>63</v>
      </c>
      <c r="F13" s="6" t="s">
        <v>64</v>
      </c>
      <c r="G13" s="9" t="str">
        <f t="shared" si="0"/>
        <v>aussi?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65</v>
      </c>
      <c r="B14" s="6" t="s">
        <v>11</v>
      </c>
      <c r="C14" s="6" t="s">
        <v>27</v>
      </c>
      <c r="D14" s="7" t="s">
        <v>66</v>
      </c>
      <c r="E14" s="8" t="s">
        <v>67</v>
      </c>
      <c r="F14" s="6" t="s">
        <v>68</v>
      </c>
      <c r="G14" s="9" t="str">
        <f t="shared" si="0"/>
        <v>et?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69</v>
      </c>
      <c r="B15" s="6" t="s">
        <v>26</v>
      </c>
      <c r="C15" s="6" t="s">
        <v>70</v>
      </c>
      <c r="D15" s="7" t="s">
        <v>71</v>
      </c>
      <c r="E15" s="8" t="s">
        <v>72</v>
      </c>
      <c r="F15" s="6" t="s">
        <v>73</v>
      </c>
      <c r="G15" s="9" t="str">
        <f t="shared" si="0"/>
        <v>s'?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74</v>
      </c>
      <c r="B16" s="6" t="s">
        <v>75</v>
      </c>
      <c r="C16" s="6" t="s">
        <v>12</v>
      </c>
      <c r="D16" s="7" t="s">
        <v>76</v>
      </c>
      <c r="E16" s="8" t="s">
        <v>77</v>
      </c>
      <c r="F16" s="6" t="s">
        <v>78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79</v>
      </c>
      <c r="B17" s="6" t="s">
        <v>48</v>
      </c>
      <c r="C17" s="6" t="s">
        <v>12</v>
      </c>
      <c r="D17" s="7" t="s">
        <v>13</v>
      </c>
      <c r="E17" s="8" t="s">
        <v>80</v>
      </c>
      <c r="F17" s="6" t="s">
        <v>81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75</v>
      </c>
      <c r="B18" s="6" t="s">
        <v>82</v>
      </c>
      <c r="C18" s="6" t="s">
        <v>12</v>
      </c>
      <c r="D18" s="7" t="s">
        <v>83</v>
      </c>
      <c r="E18" s="8" t="s">
        <v>84</v>
      </c>
      <c r="F18" s="6" t="s">
        <v>85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86</v>
      </c>
      <c r="B19" s="6" t="s">
        <v>35</v>
      </c>
      <c r="C19" s="6" t="s">
        <v>70</v>
      </c>
      <c r="D19" s="7" t="s">
        <v>87</v>
      </c>
      <c r="E19" s="8" t="s">
        <v>88</v>
      </c>
      <c r="F19" s="6" t="s">
        <v>89</v>
      </c>
      <c r="G19" s="9" t="str">
        <f t="shared" si="0"/>
        <v>s'?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90</v>
      </c>
      <c r="B20" s="6" t="s">
        <v>11</v>
      </c>
      <c r="C20" s="6" t="s">
        <v>91</v>
      </c>
      <c r="D20" s="7" t="s">
        <v>92</v>
      </c>
      <c r="E20" s="8" t="s">
        <v>93</v>
      </c>
      <c r="F20" s="6" t="s">
        <v>94</v>
      </c>
      <c r="G20" s="9" t="str">
        <f t="shared" si="0"/>
        <v>car?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95</v>
      </c>
      <c r="B21" s="6" t="s">
        <v>11</v>
      </c>
      <c r="C21" s="6" t="s">
        <v>96</v>
      </c>
      <c r="D21" s="7" t="s">
        <v>97</v>
      </c>
      <c r="E21" s="8" t="s">
        <v>98</v>
      </c>
      <c r="F21" s="6" t="s">
        <v>99</v>
      </c>
      <c r="G21" s="9" t="str">
        <f t="shared" si="0"/>
        <v>ensuite?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100</v>
      </c>
      <c r="B22" s="6" t="s">
        <v>101</v>
      </c>
      <c r="C22" s="6" t="s">
        <v>12</v>
      </c>
      <c r="D22" s="7" t="s">
        <v>102</v>
      </c>
      <c r="E22" s="8" t="s">
        <v>103</v>
      </c>
      <c r="F22" s="6" t="s">
        <v>104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44</v>
      </c>
      <c r="B23" s="6" t="s">
        <v>16</v>
      </c>
      <c r="C23" s="6" t="s">
        <v>12</v>
      </c>
      <c r="D23" s="7" t="s">
        <v>13</v>
      </c>
      <c r="E23" s="8" t="s">
        <v>105</v>
      </c>
      <c r="F23" s="6" t="s">
        <v>106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107</v>
      </c>
      <c r="B24" s="6" t="s">
        <v>35</v>
      </c>
      <c r="C24" s="6" t="s">
        <v>108</v>
      </c>
      <c r="D24" s="7" t="s">
        <v>83</v>
      </c>
      <c r="E24" s="8" t="s">
        <v>109</v>
      </c>
      <c r="F24" s="6" t="s">
        <v>110</v>
      </c>
      <c r="G24" s="9" t="str">
        <f t="shared" si="0"/>
        <v>en?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82</v>
      </c>
      <c r="B25" s="6" t="s">
        <v>36</v>
      </c>
      <c r="C25" s="6" t="s">
        <v>70</v>
      </c>
      <c r="D25" s="7" t="s">
        <v>87</v>
      </c>
      <c r="E25" s="8" t="s">
        <v>111</v>
      </c>
      <c r="F25" s="6" t="s">
        <v>112</v>
      </c>
      <c r="G25" s="9" t="str">
        <f t="shared" si="0"/>
        <v>s'?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113</v>
      </c>
      <c r="B26" s="6" t="s">
        <v>48</v>
      </c>
      <c r="C26" s="6" t="s">
        <v>108</v>
      </c>
      <c r="D26" s="7" t="s">
        <v>45</v>
      </c>
      <c r="E26" s="8" t="s">
        <v>114</v>
      </c>
      <c r="F26" s="6" t="s">
        <v>115</v>
      </c>
      <c r="G26" s="9" t="str">
        <f t="shared" si="0"/>
        <v>en?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116</v>
      </c>
      <c r="B27" s="6" t="s">
        <v>35</v>
      </c>
      <c r="C27" s="6" t="s">
        <v>27</v>
      </c>
      <c r="D27" s="7" t="s">
        <v>117</v>
      </c>
      <c r="E27" s="8" t="s">
        <v>118</v>
      </c>
      <c r="F27" s="6" t="s">
        <v>119</v>
      </c>
      <c r="G27" s="9" t="str">
        <f t="shared" si="0"/>
        <v>et?</v>
      </c>
      <c r="H27" s="10" t="s">
        <v>12</v>
      </c>
      <c r="I27" s="11" t="s">
        <v>12</v>
      </c>
      <c r="J27" s="12"/>
    </row>
    <row r="28" spans="1:10" ht="60" customHeight="1" x14ac:dyDescent="0.3">
      <c r="A28" s="6" t="s">
        <v>120</v>
      </c>
      <c r="B28" s="6" t="s">
        <v>17</v>
      </c>
      <c r="C28" s="6" t="s">
        <v>12</v>
      </c>
      <c r="D28" s="7" t="s">
        <v>45</v>
      </c>
      <c r="E28" s="8" t="s">
        <v>121</v>
      </c>
      <c r="F28" s="6" t="s">
        <v>122</v>
      </c>
      <c r="G28" s="9" t="str">
        <f t="shared" si="0"/>
        <v>???</v>
      </c>
      <c r="H28" s="10" t="s">
        <v>12</v>
      </c>
      <c r="I28" s="11" t="s">
        <v>12</v>
      </c>
      <c r="J28" s="12"/>
    </row>
    <row r="29" spans="1:10" ht="60" customHeight="1" x14ac:dyDescent="0.3">
      <c r="A29" s="6" t="s">
        <v>123</v>
      </c>
      <c r="B29" s="6" t="s">
        <v>60</v>
      </c>
      <c r="C29" s="6" t="s">
        <v>27</v>
      </c>
      <c r="D29" s="7" t="s">
        <v>92</v>
      </c>
      <c r="E29" s="8" t="s">
        <v>124</v>
      </c>
      <c r="F29" s="6" t="s">
        <v>125</v>
      </c>
      <c r="G29" s="9" t="str">
        <f t="shared" si="0"/>
        <v>et?</v>
      </c>
      <c r="H29" s="10" t="s">
        <v>12</v>
      </c>
      <c r="I29" s="11" t="s">
        <v>12</v>
      </c>
      <c r="J2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9"/>
  <sheetViews>
    <sheetView tabSelected="1"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L164" sqref="L164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126</v>
      </c>
      <c r="B1" s="13" t="s">
        <v>127</v>
      </c>
      <c r="C1" s="13" t="s">
        <v>128</v>
      </c>
      <c r="D1" s="13" t="s">
        <v>129</v>
      </c>
      <c r="E1" s="14" t="s">
        <v>130</v>
      </c>
      <c r="F1" s="15" t="s">
        <v>131</v>
      </c>
      <c r="G1" s="16" t="s">
        <v>132</v>
      </c>
      <c r="H1" s="17" t="s">
        <v>133</v>
      </c>
      <c r="I1" s="18" t="s">
        <v>134</v>
      </c>
      <c r="J1" s="18" t="s">
        <v>135</v>
      </c>
      <c r="K1" s="18" t="s">
        <v>136</v>
      </c>
      <c r="L1" s="19" t="s">
        <v>9</v>
      </c>
    </row>
    <row r="2" spans="1:12" x14ac:dyDescent="0.3">
      <c r="A2" t="s">
        <v>137</v>
      </c>
    </row>
    <row r="3" spans="1:12" x14ac:dyDescent="0.3">
      <c r="A3" t="s">
        <v>138</v>
      </c>
      <c r="E3" s="20" t="str">
        <f t="shared" ref="E3:E34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34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139</v>
      </c>
      <c r="B4" s="26" t="s">
        <v>140</v>
      </c>
      <c r="C4" s="26" t="s">
        <v>141</v>
      </c>
      <c r="D4" s="26" t="s">
        <v>142</v>
      </c>
      <c r="E4" s="20" t="str">
        <f t="shared" si="0"/>
        <v>!!!</v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143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144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145</v>
      </c>
      <c r="B7" s="26" t="s">
        <v>146</v>
      </c>
      <c r="C7" s="26" t="s">
        <v>147</v>
      </c>
      <c r="E7" s="20" t="str">
        <f t="shared" si="0"/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144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148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149</v>
      </c>
      <c r="B10" s="26" t="s">
        <v>146</v>
      </c>
      <c r="C10" s="26" t="s">
        <v>147</v>
      </c>
      <c r="E10" s="20" t="s">
        <v>459</v>
      </c>
      <c r="F10" s="21" t="str">
        <f>IF(OR(E10="",E10="!!!"),"",IF(NOT(ISNA(VLOOKUP(E10,E$1:E9,1,FALSE()))),"OLD",IF(AND(E10&lt;&gt;"",E10&lt;&gt;"!!!"),"NEW","")))</f>
        <v>NEW</v>
      </c>
      <c r="G10" s="22" t="str">
        <f ca="1">IF(OR(E10="",E10="!!!"),"",IF(OR(J10=0,AND(J10=1,K10=1),AND(J10=1,I10="SBJ"),AND(J10=1,I10=0)),"?IN_FOCUS",IF(J10&lt;=2,"?ACTIVATED",IF(J10&lt;&gt;"","?FAMILIAR",IF(F10="NEW",IF(ISNA(VLOOKUP(E10,#REF!,1,FALSE())),"?TYPE_IDENTIFIABLE","?REFERENTIAL"),"_")))))</f>
        <v>?REFERENTIAL</v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 t="s">
        <v>466</v>
      </c>
    </row>
    <row r="11" spans="1:12" x14ac:dyDescent="0.3">
      <c r="A11" t="s">
        <v>150</v>
      </c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151</v>
      </c>
      <c r="B12" s="26" t="s">
        <v>146</v>
      </c>
      <c r="C12" s="26" t="s">
        <v>152</v>
      </c>
      <c r="E12" s="20" t="str">
        <f t="shared" si="0"/>
        <v/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153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154</v>
      </c>
      <c r="E14" s="20" t="str">
        <f t="shared" si="0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1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155</v>
      </c>
      <c r="E15" s="20" t="str">
        <f t="shared" si="0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1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156</v>
      </c>
      <c r="E16" s="20" t="s">
        <v>459</v>
      </c>
      <c r="F16" s="21" t="str">
        <f>IF(OR(E16="",E16="!!!"),"",IF(NOT(ISNA(VLOOKUP(E16,E$1:E15,1,FALSE()))),"OLD",IF(AND(E16&lt;&gt;"",E16&lt;&gt;"!!!"),"NEW","")))</f>
        <v>OLD</v>
      </c>
      <c r="G16" s="22" t="str">
        <f ca="1">IF(OR(E16="",E16="!!!"),"",IF(OR(J16=0,AND(J16=1,K16=1),AND(J16=1,I16="SBJ"),AND(J16=1,I16=0)),"?IN_FOCUS",IF(J16&lt;=2,"?ACTIVATED",IF(J16&lt;&gt;"","?FAMILIAR",IF(F16="NEW",IF(ISNA(VLOOKUP(E16,#REF!,1,FALSE())),"?TYPE_IDENTIFIABLE","?REFERENTIAL"),"_")))))</f>
        <v>?IN_FOCUS</v>
      </c>
      <c r="H16" s="23" t="str">
        <f t="shared" ca="1" si="1"/>
        <v/>
      </c>
      <c r="I16" s="24" t="str">
        <f>IF(OR(E16="",E16="!!!",F16="NEW"),"",INDEX(B$2:B15,-1+SUMPRODUCT(MAX(ROW(E$2:E15)*(E16=E$2:E15)))))</f>
        <v>other</v>
      </c>
      <c r="J16" s="24">
        <f ca="1">IF(OR(E16="",E16="!!!",F16="NEW"),"",COUNTBLANK(OFFSET(A$1,,,SUMPRODUCT(MAX(ROW(E$2:E16)*(E16=E$2:E16)))))-COUNTBLANK(OFFSET(A$1,,,SUMPRODUCT(MAX(ROW(E$1:E15)*(E2=E$1:E15))))))</f>
        <v>0</v>
      </c>
      <c r="K16" s="24" t="str">
        <f ca="1">IF(OR(E16="",E16="!!!",F16="NEW"),"",INDEX(J$1:J15,SUMPRODUCT(MAX(ROW(E$1:E15)*(E16=E$1:E15)))))</f>
        <v/>
      </c>
      <c r="L16" s="25"/>
    </row>
    <row r="17" spans="1:12" x14ac:dyDescent="0.3">
      <c r="A17" t="s">
        <v>157</v>
      </c>
      <c r="E17" s="20" t="str">
        <f t="shared" si="0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1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158</v>
      </c>
      <c r="B18" s="26" t="s">
        <v>159</v>
      </c>
      <c r="C18" s="26" t="s">
        <v>160</v>
      </c>
      <c r="D18" s="26" t="s">
        <v>142</v>
      </c>
      <c r="E18" s="20" t="str">
        <f t="shared" si="0"/>
        <v>!!!</v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1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161</v>
      </c>
      <c r="E19" s="20" t="str">
        <f t="shared" si="0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1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162</v>
      </c>
      <c r="E20" s="20" t="str">
        <f t="shared" si="0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1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163</v>
      </c>
      <c r="E21" s="20" t="str">
        <f t="shared" si="0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1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164</v>
      </c>
      <c r="B22" s="26" t="s">
        <v>165</v>
      </c>
      <c r="C22" s="26" t="s">
        <v>166</v>
      </c>
      <c r="D22" s="26" t="s">
        <v>142</v>
      </c>
      <c r="E22" s="20" t="s">
        <v>459</v>
      </c>
      <c r="F22" s="21" t="str">
        <f>IF(OR(E22="",E22="!!!"),"",IF(NOT(ISNA(VLOOKUP(E22,E$1:E21,1,FALSE()))),"OLD",IF(AND(E22&lt;&gt;"",E22&lt;&gt;"!!!"),"NEW","")))</f>
        <v>OLD</v>
      </c>
      <c r="G22" s="22" t="str">
        <f ca="1">IF(OR(E22="",E22="!!!"),"",IF(OR(J22=0,AND(J22=1,K22=1),AND(J22=1,I22="SBJ"),AND(J22=1,I22=0)),"?IN_FOCUS",IF(J22&lt;=2,"?ACTIVATED",IF(J22&lt;&gt;"","?FAMILIAR",IF(F22="NEW",IF(ISNA(VLOOKUP(E22,#REF!,1,FALSE())),"?TYPE_IDENTIFIABLE","?REFERENTIAL"),"_")))))</f>
        <v>?IN_FOCUS</v>
      </c>
      <c r="H22" s="23" t="str">
        <f t="shared" ca="1" si="1"/>
        <v/>
      </c>
      <c r="I22" s="24">
        <f>IF(OR(E22="",E22="!!!",F22="NEW"),"",INDEX(B$2:B21,-1+SUMPRODUCT(MAX(ROW(E$2:E21)*(E22=E$2:E21)))))</f>
        <v>0</v>
      </c>
      <c r="J22" s="24">
        <f ca="1">IF(OR(E22="",E22="!!!",F22="NEW"),"",COUNTBLANK(OFFSET(A$1,,,SUMPRODUCT(MAX(ROW(E$2:E22)*(E22=E$2:E22)))))-COUNTBLANK(OFFSET(A$1,,,SUMPRODUCT(MAX(ROW(E$1:E21)*(E2=E$1:E21))))))</f>
        <v>0</v>
      </c>
      <c r="K22" s="24">
        <f ca="1">IF(OR(E22="",E22="!!!",F22="NEW"),"",INDEX(J$1:J21,SUMPRODUCT(MAX(ROW(E$1:E21)*(E22=E$1:E21)))))</f>
        <v>0</v>
      </c>
      <c r="L22" s="25"/>
    </row>
    <row r="23" spans="1:12" x14ac:dyDescent="0.3">
      <c r="A23" t="s">
        <v>167</v>
      </c>
      <c r="B23" s="26" t="s">
        <v>168</v>
      </c>
      <c r="C23" s="26" t="s">
        <v>169</v>
      </c>
      <c r="D23" s="26" t="s">
        <v>142</v>
      </c>
      <c r="E23" s="20" t="s">
        <v>470</v>
      </c>
      <c r="F23" s="21" t="str">
        <f>IF(OR(E23="",E23="!!!"),"",IF(NOT(ISNA(VLOOKUP(E23,E$1:E22,1,FALSE()))),"OLD",IF(AND(E23&lt;&gt;"",E23&lt;&gt;"!!!"),"NEW","")))</f>
        <v>NEW</v>
      </c>
      <c r="G23" s="22" t="str">
        <f ca="1">IF(OR(E23="",E23="!!!"),"",IF(OR(J23=0,AND(J23=1,K23=1),AND(J23=1,I23="SBJ"),AND(J23=1,I23=0)),"?IN_FOCUS",IF(J23&lt;=2,"?ACTIVATED",IF(J23&lt;&gt;"","?FAMILIAR",IF(F23="NEW",IF(ISNA(VLOOKUP(E23,#REF!,1,FALSE())),"?TYPE_IDENTIFIABLE","?REFERENTIAL"),"_")))))</f>
        <v>?REFERENTIAL</v>
      </c>
      <c r="H23" s="23" t="str">
        <f t="shared" ca="1" si="1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 t="s">
        <v>466</v>
      </c>
    </row>
    <row r="24" spans="1:12" x14ac:dyDescent="0.3">
      <c r="A24" t="s">
        <v>170</v>
      </c>
      <c r="B24" s="26" t="s">
        <v>171</v>
      </c>
      <c r="C24" s="26" t="s">
        <v>160</v>
      </c>
      <c r="D24" s="26" t="s">
        <v>142</v>
      </c>
      <c r="E24" s="20" t="s">
        <v>459</v>
      </c>
      <c r="F24" s="21" t="str">
        <f>IF(OR(E24="",E24="!!!"),"",IF(NOT(ISNA(VLOOKUP(E24,E$1:E23,1,FALSE()))),"OLD",IF(AND(E24&lt;&gt;"",E24&lt;&gt;"!!!"),"NEW","")))</f>
        <v>OLD</v>
      </c>
      <c r="G24" s="22" t="str">
        <f ca="1">IF(OR(E24="",E24="!!!"),"",IF(OR(J24=0,AND(J24=1,K24=1),AND(J24=1,I24="SBJ"),AND(J24=1,I24=0)),"?IN_FOCUS",IF(J24&lt;=2,"?ACTIVATED",IF(J24&lt;&gt;"","?FAMILIAR",IF(F24="NEW",IF(ISNA(VLOOKUP(E24,#REF!,1,FALSE())),"?TYPE_IDENTIFIABLE","?REFERENTIAL"),"_")))))</f>
        <v>?IN_FOCUS</v>
      </c>
      <c r="H24" s="23" t="str">
        <f t="shared" ca="1" si="1"/>
        <v/>
      </c>
      <c r="I24" s="24" t="str">
        <f>IF(OR(E24="",E24="!!!",F24="NEW"),"",INDEX(B$2:B23,-1+SUMPRODUCT(MAX(ROW(E$2:E23)*(E24=E$2:E23)))))</f>
        <v>other_5</v>
      </c>
      <c r="J24" s="24">
        <f ca="1">IF(OR(E24="",E24="!!!",F24="NEW"),"",COUNTBLANK(OFFSET(A$1,,,SUMPRODUCT(MAX(ROW(E$2:E24)*(E24=E$2:E24)))))-COUNTBLANK(OFFSET(A$1,,,SUMPRODUCT(MAX(ROW(E$1:E23)*(E2=E$1:E23))))))</f>
        <v>0</v>
      </c>
      <c r="K24" s="24">
        <f ca="1">IF(OR(E24="",E24="!!!",F24="NEW"),"",INDEX(J$1:J23,SUMPRODUCT(MAX(ROW(E$1:E23)*(E24=E$1:E23)))))</f>
        <v>0</v>
      </c>
      <c r="L24" s="25"/>
    </row>
    <row r="25" spans="1:12" x14ac:dyDescent="0.3">
      <c r="A25" t="s">
        <v>143</v>
      </c>
      <c r="E25" s="20" t="str">
        <f t="shared" si="0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1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172</v>
      </c>
      <c r="E26" s="20" t="str">
        <f t="shared" si="0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1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153</v>
      </c>
      <c r="E27" s="20" t="str">
        <f t="shared" si="0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1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173</v>
      </c>
      <c r="E28" s="20" t="str">
        <f t="shared" si="0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1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164</v>
      </c>
      <c r="E29" s="20" t="s">
        <v>459</v>
      </c>
      <c r="F29" s="21" t="str">
        <f>IF(OR(E29="",E29="!!!"),"",IF(NOT(ISNA(VLOOKUP(E29,E$1:E28,1,FALSE()))),"OLD",IF(AND(E29&lt;&gt;"",E29&lt;&gt;"!!!"),"NEW","")))</f>
        <v>OLD</v>
      </c>
      <c r="G29" s="22" t="str">
        <f ca="1">IF(OR(E29="",E29="!!!"),"",IF(OR(J29=0,AND(J29=1,K29=1),AND(J29=1,I29="SBJ"),AND(J29=1,I29=0)),"?IN_FOCUS",IF(J29&lt;=2,"?ACTIVATED",IF(J29&lt;&gt;"","?FAMILIAR",IF(F29="NEW",IF(ISNA(VLOOKUP(E29,#REF!,1,FALSE())),"?TYPE_IDENTIFIABLE","?REFERENTIAL"),"_")))))</f>
        <v>?IN_FOCUS</v>
      </c>
      <c r="H29" s="23" t="str">
        <f t="shared" ca="1" si="1"/>
        <v/>
      </c>
      <c r="I29" s="24" t="str">
        <f>IF(OR(E29="",E29="!!!",F29="NEW"),"",INDEX(B$2:B28,-1+SUMPRODUCT(MAX(ROW(E$2:E28)*(E29=E$2:E28)))))</f>
        <v>OBJ_4</v>
      </c>
      <c r="J29" s="24">
        <f ca="1">IF(OR(E29="",E29="!!!",F29="NEW"),"",COUNTBLANK(OFFSET(A$1,,,SUMPRODUCT(MAX(ROW(E$2:E29)*(E29=E$2:E29)))))-COUNTBLANK(OFFSET(A$1,,,SUMPRODUCT(MAX(ROW(E$1:E28)*(E2=E$1:E28))))))</f>
        <v>0</v>
      </c>
      <c r="K29" s="24">
        <f ca="1">IF(OR(E29="",E29="!!!",F29="NEW"),"",INDEX(J$1:J28,SUMPRODUCT(MAX(ROW(E$1:E28)*(E29=E$1:E28)))))</f>
        <v>0</v>
      </c>
      <c r="L29" s="25"/>
    </row>
    <row r="30" spans="1:12" x14ac:dyDescent="0.3">
      <c r="A30" t="s">
        <v>174</v>
      </c>
      <c r="E30" s="20" t="s">
        <v>465</v>
      </c>
      <c r="F30" s="21" t="str">
        <f>IF(OR(E30="",E30="!!!"),"",IF(NOT(ISNA(VLOOKUP(E30,E$1:E29,1,FALSE()))),"OLD",IF(AND(E30&lt;&gt;"",E30&lt;&gt;"!!!"),"NEW","")))</f>
        <v>NEW</v>
      </c>
      <c r="G30" s="22" t="str">
        <f ca="1">IF(OR(E30="",E30="!!!"),"",IF(OR(J30=0,AND(J30=1,K30=1),AND(J30=1,I30="SBJ"),AND(J30=1,I30=0)),"?IN_FOCUS",IF(J30&lt;=2,"?ACTIVATED",IF(J30&lt;&gt;"","?FAMILIAR",IF(F30="NEW",IF(ISNA(VLOOKUP(E30,#REF!,1,FALSE())),"?TYPE_IDENTIFIABLE","?REFERENTIAL"),"_")))))</f>
        <v>?REFERENTIAL</v>
      </c>
      <c r="H30" s="23" t="str">
        <f t="shared" ca="1" si="1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 t="s">
        <v>466</v>
      </c>
    </row>
    <row r="31" spans="1:12" x14ac:dyDescent="0.3">
      <c r="A31" t="s">
        <v>155</v>
      </c>
      <c r="E31" s="20" t="str">
        <f t="shared" si="0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1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172</v>
      </c>
      <c r="E32" s="20" t="str">
        <f t="shared" si="0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1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175</v>
      </c>
      <c r="E33" s="20" t="str">
        <f t="shared" si="0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1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176</v>
      </c>
      <c r="E34" s="20" t="str">
        <f t="shared" si="0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1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6" spans="1:12" x14ac:dyDescent="0.3">
      <c r="A36" t="s">
        <v>177</v>
      </c>
    </row>
    <row r="37" spans="1:12" x14ac:dyDescent="0.3">
      <c r="A37" t="s">
        <v>178</v>
      </c>
      <c r="E37" s="20" t="str">
        <f t="shared" ref="E37:E62" si="2">IF(D37="?OLD","!!!","")</f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ref="H37:H62" ca="1" si="3">IF(J37&lt;&gt;1,"",IF(I37="SBJ","CB","?"))</f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179</v>
      </c>
      <c r="E38" s="20" t="str">
        <f t="shared" si="2"/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180</v>
      </c>
      <c r="B39" s="26" t="s">
        <v>140</v>
      </c>
      <c r="C39" s="26" t="s">
        <v>181</v>
      </c>
      <c r="D39" s="26" t="s">
        <v>142</v>
      </c>
      <c r="E39" s="20" t="s">
        <v>465</v>
      </c>
      <c r="F39" s="21" t="str">
        <f>IF(OR(E39="",E39="!!!"),"",IF(NOT(ISNA(VLOOKUP(E39,E$1:E38,1,FALSE()))),"OLD",IF(AND(E39&lt;&gt;"",E39&lt;&gt;"!!!"),"NEW","")))</f>
        <v>OLD</v>
      </c>
      <c r="G39" s="22" t="str">
        <f ca="1">IF(OR(E39="",E39="!!!"),"",IF(OR(J39=0,AND(J39=1,K39=1),AND(J39=1,I39="SBJ"),AND(J39=1,I39=0)),"?IN_FOCUS",IF(J39&lt;=2,"?ACTIVATED",IF(J39&lt;&gt;"","?FAMILIAR",IF(F39="NEW",IF(ISNA(VLOOKUP(E39,#REF!,1,FALSE())),"?TYPE_IDENTIFIABLE","?REFERENTIAL"),"_")))))</f>
        <v>?IN_FOCUS</v>
      </c>
      <c r="H39" s="23" t="str">
        <f t="shared" ca="1" si="3"/>
        <v/>
      </c>
      <c r="I39" s="24">
        <f>IF(OR(E39="",E39="!!!",F39="NEW"),"",INDEX(B$2:B38,-1+SUMPRODUCT(MAX(ROW(E$2:E38)*(E39=E$2:E38)))))</f>
        <v>0</v>
      </c>
      <c r="J39" s="24">
        <f ca="1">IF(OR(E39="",E39="!!!",F39="NEW"),"",COUNTBLANK(OFFSET(A$1,,,SUMPRODUCT(MAX(ROW(E$2:E39)*(E39=E$2:E39)))))-COUNTBLANK(OFFSET(A$1,,,SUMPRODUCT(MAX(ROW(E$1:E38)*(E2=E$1:E38))))))</f>
        <v>0</v>
      </c>
      <c r="K39" s="24" t="str">
        <f ca="1">IF(OR(E39="",E39="!!!",F39="NEW"),"",INDEX(J$1:J38,SUMPRODUCT(MAX(ROW(E$1:E38)*(E39=E$1:E38)))))</f>
        <v/>
      </c>
      <c r="L39" s="25"/>
    </row>
    <row r="40" spans="1:12" x14ac:dyDescent="0.3">
      <c r="A40" t="s">
        <v>182</v>
      </c>
      <c r="B40" s="26" t="s">
        <v>183</v>
      </c>
      <c r="C40" s="26" t="s">
        <v>141</v>
      </c>
      <c r="D40" s="26" t="s">
        <v>142</v>
      </c>
      <c r="E40" s="20" t="s">
        <v>459</v>
      </c>
      <c r="F40" s="21" t="str">
        <f>IF(OR(E40="",E40="!!!"),"",IF(NOT(ISNA(VLOOKUP(E40,E$1:E39,1,FALSE()))),"OLD",IF(AND(E40&lt;&gt;"",E40&lt;&gt;"!!!"),"NEW","")))</f>
        <v>OLD</v>
      </c>
      <c r="G40" s="22" t="str">
        <f ca="1">IF(OR(E40="",E40="!!!"),"",IF(OR(J40=0,AND(J40=1,K40=1),AND(J40=1,I40="SBJ"),AND(J40=1,I40=0)),"?IN_FOCUS",IF(J40&lt;=2,"?ACTIVATED",IF(J40&lt;&gt;"","?FAMILIAR",IF(F40="NEW",IF(ISNA(VLOOKUP(E40,#REF!,1,FALSE())),"?TYPE_IDENTIFIABLE","?REFERENTIAL"),"_")))))</f>
        <v>?IN_FOCUS</v>
      </c>
      <c r="H40" s="23" t="str">
        <f t="shared" ca="1" si="3"/>
        <v/>
      </c>
      <c r="I40" s="24">
        <f>IF(OR(E40="",E40="!!!",F40="NEW"),"",INDEX(B$2:B39,-1+SUMPRODUCT(MAX(ROW(E$2:E39)*(E40=E$2:E39)))))</f>
        <v>0</v>
      </c>
      <c r="J40" s="24">
        <f ca="1">IF(OR(E40="",E40="!!!",F40="NEW"),"",COUNTBLANK(OFFSET(A$1,,,SUMPRODUCT(MAX(ROW(E$2:E40)*(E40=E$2:E40)))))-COUNTBLANK(OFFSET(A$1,,,SUMPRODUCT(MAX(ROW(E$1:E39)*(E2=E$1:E39))))))</f>
        <v>0</v>
      </c>
      <c r="K40" s="24">
        <f ca="1">IF(OR(E40="",E40="!!!",F40="NEW"),"",INDEX(J$1:J39,SUMPRODUCT(MAX(ROW(E$1:E39)*(E40=E$1:E39)))))</f>
        <v>0</v>
      </c>
      <c r="L40" s="25"/>
    </row>
    <row r="41" spans="1:12" x14ac:dyDescent="0.3">
      <c r="A41" t="s">
        <v>184</v>
      </c>
      <c r="E41" s="20" t="str">
        <f t="shared" si="2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3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185</v>
      </c>
      <c r="E42" s="20" t="str">
        <f t="shared" si="2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186</v>
      </c>
      <c r="E43" s="20" t="str">
        <f t="shared" si="2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187</v>
      </c>
      <c r="E44" s="20" t="str">
        <f t="shared" si="2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188</v>
      </c>
      <c r="B45" s="26" t="s">
        <v>183</v>
      </c>
      <c r="C45" s="26" t="s">
        <v>147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189</v>
      </c>
      <c r="E46" s="20" t="str">
        <f t="shared" si="2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3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190</v>
      </c>
      <c r="B47" s="26" t="s">
        <v>159</v>
      </c>
      <c r="E47" s="20" t="str">
        <f t="shared" si="2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3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182</v>
      </c>
      <c r="B48" s="26" t="s">
        <v>191</v>
      </c>
      <c r="C48" s="26" t="s">
        <v>141</v>
      </c>
      <c r="D48" s="26" t="s">
        <v>142</v>
      </c>
      <c r="E48" s="20" t="s">
        <v>459</v>
      </c>
      <c r="F48" s="21" t="str">
        <f>IF(OR(E48="",E48="!!!"),"",IF(NOT(ISNA(VLOOKUP(E48,E$1:E47,1,FALSE()))),"OLD",IF(AND(E48&lt;&gt;"",E48&lt;&gt;"!!!"),"NEW","")))</f>
        <v>OLD</v>
      </c>
      <c r="G48" s="22" t="str">
        <f ca="1">IF(OR(E48="",E48="!!!"),"",IF(OR(J48=0,AND(J48=1,K48=1),AND(J48=1,I48="SBJ"),AND(J48=1,I48=0)),"?IN_FOCUS",IF(J48&lt;=2,"?ACTIVATED",IF(J48&lt;&gt;"","?FAMILIAR",IF(F48="NEW",IF(ISNA(VLOOKUP(E48,#REF!,1,FALSE())),"?TYPE_IDENTIFIABLE","?REFERENTIAL"),"_")))))</f>
        <v>?IN_FOCUS</v>
      </c>
      <c r="H48" s="23" t="str">
        <f t="shared" ca="1" si="3"/>
        <v/>
      </c>
      <c r="I48" s="24" t="str">
        <f>IF(OR(E48="",E48="!!!",F48="NEW"),"",INDEX(B$2:B47,-1+SUMPRODUCT(MAX(ROW(E$2:E47)*(E48=E$2:E47)))))</f>
        <v>OBJ</v>
      </c>
      <c r="J48" s="24">
        <f ca="1">IF(OR(E48="",E48="!!!",F48="NEW"),"",COUNTBLANK(OFFSET(A$1,,,SUMPRODUCT(MAX(ROW(E$2:E48)*(E48=E$2:E48)))))-COUNTBLANK(OFFSET(A$1,,,SUMPRODUCT(MAX(ROW(E$1:E47)*(E2=E$1:E47))))))</f>
        <v>0</v>
      </c>
      <c r="K48" s="24">
        <f ca="1">IF(OR(E48="",E48="!!!",F48="NEW"),"",INDEX(J$1:J47,SUMPRODUCT(MAX(ROW(E$1:E47)*(E48=E$1:E47)))))</f>
        <v>0</v>
      </c>
      <c r="L48" s="25"/>
    </row>
    <row r="49" spans="1:12" x14ac:dyDescent="0.3">
      <c r="A49" t="s">
        <v>192</v>
      </c>
      <c r="E49" s="20" t="str">
        <f t="shared" si="2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3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193</v>
      </c>
      <c r="E50" s="20" t="str">
        <f t="shared" si="2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3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194</v>
      </c>
      <c r="E51" s="20" t="str">
        <f t="shared" si="2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3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153</v>
      </c>
      <c r="E52" s="20" t="str">
        <f t="shared" si="2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3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195</v>
      </c>
      <c r="E53" s="20" t="str">
        <f t="shared" si="2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3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196</v>
      </c>
      <c r="E54" s="20" t="str">
        <f t="shared" si="2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3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158</v>
      </c>
      <c r="B55" s="26" t="s">
        <v>197</v>
      </c>
      <c r="C55" s="26" t="s">
        <v>160</v>
      </c>
      <c r="D55" s="26" t="s">
        <v>142</v>
      </c>
      <c r="E55" s="20" t="str">
        <f t="shared" si="2"/>
        <v>!!!</v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3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198</v>
      </c>
      <c r="B56" s="26" t="s">
        <v>199</v>
      </c>
      <c r="C56" s="26" t="s">
        <v>141</v>
      </c>
      <c r="D56" s="26" t="s">
        <v>142</v>
      </c>
      <c r="E56" s="20" t="s">
        <v>459</v>
      </c>
      <c r="F56" s="21" t="str">
        <f>IF(OR(E56="",E56="!!!"),"",IF(NOT(ISNA(VLOOKUP(E56,E$1:E55,1,FALSE()))),"OLD",IF(AND(E56&lt;&gt;"",E56&lt;&gt;"!!!"),"NEW","")))</f>
        <v>OLD</v>
      </c>
      <c r="G56" s="22" t="str">
        <f ca="1">IF(OR(E56="",E56="!!!"),"",IF(OR(J56=0,AND(J56=1,K56=1),AND(J56=1,I56="SBJ"),AND(J56=1,I56=0)),"?IN_FOCUS",IF(J56&lt;=2,"?ACTIVATED",IF(J56&lt;&gt;"","?FAMILIAR",IF(F56="NEW",IF(ISNA(VLOOKUP(E56,#REF!,1,FALSE())),"?TYPE_IDENTIFIABLE","?REFERENTIAL"),"_")))))</f>
        <v>?IN_FOCUS</v>
      </c>
      <c r="H56" s="23" t="str">
        <f t="shared" ca="1" si="3"/>
        <v/>
      </c>
      <c r="I56" s="24" t="str">
        <f>IF(OR(E56="",E56="!!!",F56="NEW"),"",INDEX(B$2:B55,-1+SUMPRODUCT(MAX(ROW(E$2:E55)*(E56=E$2:E55)))))</f>
        <v>OBJ_3</v>
      </c>
      <c r="J56" s="24">
        <f ca="1">IF(OR(E56="",E56="!!!",F56="NEW"),"",COUNTBLANK(OFFSET(A$1,,,SUMPRODUCT(MAX(ROW(E$2:E56)*(E56=E$2:E56)))))-COUNTBLANK(OFFSET(A$1,,,SUMPRODUCT(MAX(ROW(E$1:E55)*(E2=E$1:E55))))))</f>
        <v>0</v>
      </c>
      <c r="K56" s="24">
        <f ca="1">IF(OR(E56="",E56="!!!",F56="NEW"),"",INDEX(J$1:J55,SUMPRODUCT(MAX(ROW(E$1:E55)*(E56=E$1:E55)))))</f>
        <v>0</v>
      </c>
      <c r="L56" s="25"/>
    </row>
    <row r="57" spans="1:12" x14ac:dyDescent="0.3">
      <c r="A57" t="s">
        <v>200</v>
      </c>
      <c r="E57" s="20" t="str">
        <f t="shared" si="2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3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201</v>
      </c>
      <c r="E58" s="20" t="str">
        <f t="shared" si="2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3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187</v>
      </c>
      <c r="E59" s="20" t="str">
        <f t="shared" si="2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3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202</v>
      </c>
      <c r="B60" s="26" t="s">
        <v>203</v>
      </c>
      <c r="C60" s="26" t="s">
        <v>204</v>
      </c>
      <c r="D60" s="26" t="s">
        <v>142</v>
      </c>
      <c r="E60" s="20" t="s">
        <v>459</v>
      </c>
      <c r="F60" s="21" t="str">
        <f>IF(OR(E60="",E60="!!!"),"",IF(NOT(ISNA(VLOOKUP(E60,E$1:E59,1,FALSE()))),"OLD",IF(AND(E60&lt;&gt;"",E60&lt;&gt;"!!!"),"NEW","")))</f>
        <v>OLD</v>
      </c>
      <c r="G60" s="22" t="str">
        <f ca="1">IF(OR(E60="",E60="!!!"),"",IF(OR(J60=0,AND(J60=1,K60=1),AND(J60=1,I60="SBJ"),AND(J60=1,I60=0)),"?IN_FOCUS",IF(J60&lt;=2,"?ACTIVATED",IF(J60&lt;&gt;"","?FAMILIAR",IF(F60="NEW",IF(ISNA(VLOOKUP(E60,#REF!,1,FALSE())),"?TYPE_IDENTIFIABLE","?REFERENTIAL"),"_")))))</f>
        <v>?IN_FOCUS</v>
      </c>
      <c r="H60" s="23" t="str">
        <f t="shared" ca="1" si="3"/>
        <v/>
      </c>
      <c r="I60" s="24" t="str">
        <f>IF(OR(E60="",E60="!!!",F60="NEW"),"",INDEX(B$2:B59,-1+SUMPRODUCT(MAX(ROW(E$2:E59)*(E60=E$2:E59)))))</f>
        <v>OBJ_2</v>
      </c>
      <c r="J60" s="24">
        <f ca="1">IF(OR(E60="",E60="!!!",F60="NEW"),"",COUNTBLANK(OFFSET(A$1,,,SUMPRODUCT(MAX(ROW(E$2:E60)*(E60=E$2:E60)))))-COUNTBLANK(OFFSET(A$1,,,SUMPRODUCT(MAX(ROW(E$1:E59)*(E2=E$1:E59))))))</f>
        <v>0</v>
      </c>
      <c r="K60" s="24">
        <f ca="1">IF(OR(E60="",E60="!!!",F60="NEW"),"",INDEX(J$1:J59,SUMPRODUCT(MAX(ROW(E$1:E59)*(E60=E$1:E59)))))</f>
        <v>0</v>
      </c>
      <c r="L60" s="25"/>
    </row>
    <row r="61" spans="1:12" x14ac:dyDescent="0.3">
      <c r="A61" t="s">
        <v>189</v>
      </c>
      <c r="E61" s="20" t="str">
        <f t="shared" si="2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3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176</v>
      </c>
      <c r="E62" s="20" t="str">
        <f t="shared" si="2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3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4" spans="1:12" x14ac:dyDescent="0.3">
      <c r="A64" t="s">
        <v>205</v>
      </c>
    </row>
    <row r="65" spans="1:12" x14ac:dyDescent="0.3">
      <c r="A65" t="s">
        <v>206</v>
      </c>
      <c r="E65" s="20" t="str">
        <f t="shared" ref="E65:E98" si="4">IF(D65="?OLD","!!!","")</f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ref="H65:H98" ca="1" si="5">IF(J65&lt;&gt;1,"",IF(I65="SBJ","CB","?"))</f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207</v>
      </c>
      <c r="B66" s="26" t="s">
        <v>146</v>
      </c>
      <c r="C66" s="26" t="s">
        <v>147</v>
      </c>
      <c r="E66" s="20" t="str">
        <f t="shared" si="4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5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153</v>
      </c>
      <c r="E67" s="20" t="str">
        <f t="shared" si="4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5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164</v>
      </c>
      <c r="B68" s="26" t="s">
        <v>203</v>
      </c>
      <c r="C68" s="26" t="s">
        <v>166</v>
      </c>
      <c r="D68" s="26" t="s">
        <v>142</v>
      </c>
      <c r="E68" s="20" t="s">
        <v>459</v>
      </c>
      <c r="F68" s="21" t="str">
        <f>IF(OR(E68="",E68="!!!"),"",IF(NOT(ISNA(VLOOKUP(E68,E$1:E67,1,FALSE()))),"OLD",IF(AND(E68&lt;&gt;"",E68&lt;&gt;"!!!"),"NEW","")))</f>
        <v>OLD</v>
      </c>
      <c r="G68" s="22" t="str">
        <f ca="1">IF(OR(E68="",E68="!!!"),"",IF(OR(J68=0,AND(J68=1,K68=1),AND(J68=1,I68="SBJ"),AND(J68=1,I68=0)),"?IN_FOCUS",IF(J68&lt;=2,"?ACTIVATED",IF(J68&lt;&gt;"","?FAMILIAR",IF(F68="NEW",IF(ISNA(VLOOKUP(E68,#REF!,1,FALSE())),"?TYPE_IDENTIFIABLE","?REFERENTIAL"),"_")))))</f>
        <v>?IN_FOCUS</v>
      </c>
      <c r="H68" s="23" t="str">
        <f t="shared" ca="1" si="5"/>
        <v/>
      </c>
      <c r="I68" s="24" t="str">
        <f>IF(OR(E68="",E68="!!!",F68="NEW"),"",INDEX(B$2:B67,-1+SUMPRODUCT(MAX(ROW(E$2:E67)*(E68=E$2:E67)))))</f>
        <v>other_2</v>
      </c>
      <c r="J68" s="24">
        <f ca="1">IF(OR(E68="",E68="!!!",F68="NEW"),"",COUNTBLANK(OFFSET(A$1,,,SUMPRODUCT(MAX(ROW(E$2:E68)*(E68=E$2:E68)))))-COUNTBLANK(OFFSET(A$1,,,SUMPRODUCT(MAX(ROW(E$1:E67)*(E2=E$1:E67))))))</f>
        <v>0</v>
      </c>
      <c r="K68" s="24">
        <f ca="1">IF(OR(E68="",E68="!!!",F68="NEW"),"",INDEX(J$1:J67,SUMPRODUCT(MAX(ROW(E$1:E67)*(E68=E$1:E67)))))</f>
        <v>0</v>
      </c>
      <c r="L68" s="25"/>
    </row>
    <row r="69" spans="1:12" x14ac:dyDescent="0.3">
      <c r="A69" t="s">
        <v>167</v>
      </c>
      <c r="B69" s="26" t="s">
        <v>140</v>
      </c>
      <c r="C69" s="26" t="s">
        <v>169</v>
      </c>
      <c r="D69" s="26" t="s">
        <v>142</v>
      </c>
      <c r="E69" s="20" t="s">
        <v>470</v>
      </c>
      <c r="F69" s="21" t="str">
        <f>IF(OR(E69="",E69="!!!"),"",IF(NOT(ISNA(VLOOKUP(E69,E$1:E68,1,FALSE()))),"OLD",IF(AND(E69&lt;&gt;"",E69&lt;&gt;"!!!"),"NEW","")))</f>
        <v>OLD</v>
      </c>
      <c r="G69" s="22" t="str">
        <f ca="1">IF(OR(E69="",E69="!!!"),"",IF(OR(J69=0,AND(J69=1,K69=1),AND(J69=1,I69="SBJ"),AND(J69=1,I69=0)),"?IN_FOCUS",IF(J69&lt;=2,"?ACTIVATED",IF(J69&lt;&gt;"","?FAMILIAR",IF(F69="NEW",IF(ISNA(VLOOKUP(E69,#REF!,1,FALSE())),"?TYPE_IDENTIFIABLE","?REFERENTIAL"),"_")))))</f>
        <v>?IN_FOCUS</v>
      </c>
      <c r="H69" s="23" t="str">
        <f t="shared" ca="1" si="5"/>
        <v/>
      </c>
      <c r="I69" s="24" t="str">
        <f>IF(OR(E69="",E69="!!!",F69="NEW"),"",INDEX(B$2:B68,-1+SUMPRODUCT(MAX(ROW(E$2:E68)*(E69=E$2:E68)))))</f>
        <v>SBJ_4</v>
      </c>
      <c r="J69" s="24">
        <f ca="1">IF(OR(E69="",E69="!!!",F69="NEW"),"",COUNTBLANK(OFFSET(A$1,,,SUMPRODUCT(MAX(ROW(E$2:E69)*(E69=E$2:E69)))))-COUNTBLANK(OFFSET(A$1,,,SUMPRODUCT(MAX(ROW(E$1:E68)*(E2=E$1:E68))))))</f>
        <v>0</v>
      </c>
      <c r="K69" s="24" t="str">
        <f ca="1">IF(OR(E69="",E69="!!!",F69="NEW"),"",INDEX(J$1:J68,SUMPRODUCT(MAX(ROW(E$1:E68)*(E69=E$1:E68)))))</f>
        <v/>
      </c>
      <c r="L69" s="25"/>
    </row>
    <row r="70" spans="1:12" x14ac:dyDescent="0.3">
      <c r="A70" t="s">
        <v>208</v>
      </c>
      <c r="E70" s="20" t="str">
        <f t="shared" si="4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5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209</v>
      </c>
      <c r="E71" s="20" t="str">
        <f t="shared" si="4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5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173</v>
      </c>
      <c r="E72" s="20" t="str">
        <f t="shared" si="4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5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210</v>
      </c>
      <c r="E73" s="20" t="str">
        <f t="shared" si="4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5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150</v>
      </c>
      <c r="E74" s="20" t="str">
        <f t="shared" si="4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5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211</v>
      </c>
      <c r="E75" s="20" t="str">
        <f t="shared" si="4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5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212</v>
      </c>
      <c r="B76" s="26" t="s">
        <v>203</v>
      </c>
      <c r="C76" s="26" t="s">
        <v>213</v>
      </c>
      <c r="D76" s="26" t="s">
        <v>142</v>
      </c>
      <c r="E76" s="20" t="str">
        <f t="shared" si="4"/>
        <v>!!!</v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5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153</v>
      </c>
      <c r="E77" s="20" t="str">
        <f t="shared" si="4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5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182</v>
      </c>
      <c r="B78" s="26" t="s">
        <v>199</v>
      </c>
      <c r="C78" s="26" t="s">
        <v>141</v>
      </c>
      <c r="D78" s="26" t="s">
        <v>142</v>
      </c>
      <c r="E78" s="20" t="s">
        <v>459</v>
      </c>
      <c r="F78" s="21" t="str">
        <f>IF(OR(E78="",E78="!!!"),"",IF(NOT(ISNA(VLOOKUP(E78,E$1:E77,1,FALSE()))),"OLD",IF(AND(E78&lt;&gt;"",E78&lt;&gt;"!!!"),"NEW","")))</f>
        <v>OLD</v>
      </c>
      <c r="G78" s="22" t="str">
        <f ca="1">IF(OR(E78="",E78="!!!"),"",IF(OR(J78=0,AND(J78=1,K78=1),AND(J78=1,I78="SBJ"),AND(J78=1,I78=0)),"?IN_FOCUS",IF(J78&lt;=2,"?ACTIVATED",IF(J78&lt;&gt;"","?FAMILIAR",IF(F78="NEW",IF(ISNA(VLOOKUP(E78,#REF!,1,FALSE())),"?TYPE_IDENTIFIABLE","?REFERENTIAL"),"_")))))</f>
        <v>?IN_FOCUS</v>
      </c>
      <c r="H78" s="23" t="str">
        <f t="shared" ca="1" si="5"/>
        <v/>
      </c>
      <c r="I78" s="24" t="str">
        <f>IF(OR(E78="",E78="!!!",F78="NEW"),"",INDEX(B$2:B77,-1+SUMPRODUCT(MAX(ROW(E$2:E77)*(E78=E$2:E77)))))</f>
        <v>other_2</v>
      </c>
      <c r="J78" s="24">
        <f ca="1">IF(OR(E78="",E78="!!!",F78="NEW"),"",COUNTBLANK(OFFSET(A$1,,,SUMPRODUCT(MAX(ROW(E$2:E78)*(E78=E$2:E78)))))-COUNTBLANK(OFFSET(A$1,,,SUMPRODUCT(MAX(ROW(E$1:E77)*(E2=E$1:E77))))))</f>
        <v>0</v>
      </c>
      <c r="K78" s="24">
        <f ca="1">IF(OR(E78="",E78="!!!",F78="NEW"),"",INDEX(J$1:J77,SUMPRODUCT(MAX(ROW(E$1:E77)*(E78=E$1:E77)))))</f>
        <v>0</v>
      </c>
      <c r="L78" s="25"/>
    </row>
    <row r="79" spans="1:12" x14ac:dyDescent="0.3">
      <c r="A79" t="s">
        <v>214</v>
      </c>
      <c r="E79" s="20" t="str">
        <f t="shared" si="4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5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215</v>
      </c>
      <c r="E80" s="20" t="str">
        <f t="shared" si="4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5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216</v>
      </c>
      <c r="B81" s="26" t="s">
        <v>197</v>
      </c>
      <c r="C81" s="26" t="s">
        <v>204</v>
      </c>
      <c r="D81" s="26" t="s">
        <v>142</v>
      </c>
      <c r="E81" s="20" t="str">
        <f t="shared" si="4"/>
        <v>!!!</v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5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66</v>
      </c>
      <c r="E82" s="20" t="str">
        <f t="shared" si="4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5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217</v>
      </c>
      <c r="E83" s="20" t="str">
        <f t="shared" si="4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5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218</v>
      </c>
      <c r="E84" s="20" t="str">
        <f t="shared" si="4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5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219</v>
      </c>
      <c r="E85" s="20" t="str">
        <f t="shared" si="4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5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220</v>
      </c>
      <c r="B86" s="26" t="s">
        <v>221</v>
      </c>
      <c r="C86" s="26" t="s">
        <v>152</v>
      </c>
      <c r="E86" s="20" t="s">
        <v>459</v>
      </c>
      <c r="F86" s="21" t="str">
        <f>IF(OR(E86="",E86="!!!"),"",IF(NOT(ISNA(VLOOKUP(E86,E$1:E85,1,FALSE()))),"OLD",IF(AND(E86&lt;&gt;"",E86&lt;&gt;"!!!"),"NEW","")))</f>
        <v>OLD</v>
      </c>
      <c r="G86" s="22" t="str">
        <f ca="1">IF(OR(E86="",E86="!!!"),"",IF(OR(J86=0,AND(J86=1,K86=1),AND(J86=1,I86="SBJ"),AND(J86=1,I86=0)),"?IN_FOCUS",IF(J86&lt;=2,"?ACTIVATED",IF(J86&lt;&gt;"","?FAMILIAR",IF(F86="NEW",IF(ISNA(VLOOKUP(E86,#REF!,1,FALSE())),"?TYPE_IDENTIFIABLE","?REFERENTIAL"),"_")))))</f>
        <v>?IN_FOCUS</v>
      </c>
      <c r="H86" s="23" t="str">
        <f t="shared" ca="1" si="5"/>
        <v/>
      </c>
      <c r="I86" s="24" t="str">
        <f>IF(OR(E86="",E86="!!!",F86="NEW"),"",INDEX(B$2:B85,-1+SUMPRODUCT(MAX(ROW(E$2:E85)*(E86=E$2:E85)))))</f>
        <v>OBJ_2</v>
      </c>
      <c r="J86" s="24">
        <f ca="1">IF(OR(E86="",E86="!!!",F86="NEW"),"",COUNTBLANK(OFFSET(A$1,,,SUMPRODUCT(MAX(ROW(E$2:E86)*(E86=E$2:E86)))))-COUNTBLANK(OFFSET(A$1,,,SUMPRODUCT(MAX(ROW(E$1:E85)*(E2=E$1:E85))))))</f>
        <v>0</v>
      </c>
      <c r="K86" s="24">
        <f ca="1">IF(OR(E86="",E86="!!!",F86="NEW"),"",INDEX(J$1:J85,SUMPRODUCT(MAX(ROW(E$1:E85)*(E86=E$1:E85)))))</f>
        <v>0</v>
      </c>
      <c r="L86" s="25"/>
    </row>
    <row r="87" spans="1:12" x14ac:dyDescent="0.3">
      <c r="A87" t="s">
        <v>174</v>
      </c>
      <c r="E87" s="20" t="s">
        <v>465</v>
      </c>
      <c r="F87" s="21" t="str">
        <f>IF(OR(E87="",E87="!!!"),"",IF(NOT(ISNA(VLOOKUP(E87,E$1:E86,1,FALSE()))),"OLD",IF(AND(E87&lt;&gt;"",E87&lt;&gt;"!!!"),"NEW","")))</f>
        <v>OLD</v>
      </c>
      <c r="G87" s="22" t="str">
        <f ca="1">IF(OR(E87="",E87="!!!"),"",IF(OR(J87=0,AND(J87=1,K87=1),AND(J87=1,I87="SBJ"),AND(J87=1,I87=0)),"?IN_FOCUS",IF(J87&lt;=2,"?ACTIVATED",IF(J87&lt;&gt;"","?FAMILIAR",IF(F87="NEW",IF(ISNA(VLOOKUP(E87,#REF!,1,FALSE())),"?TYPE_IDENTIFIABLE","?REFERENTIAL"),"_")))))</f>
        <v>?IN_FOCUS</v>
      </c>
      <c r="H87" s="23" t="str">
        <f t="shared" ca="1" si="5"/>
        <v/>
      </c>
      <c r="I87" s="24" t="str">
        <f>IF(OR(E87="",E87="!!!",F87="NEW"),"",INDEX(B$2:B86,-1+SUMPRODUCT(MAX(ROW(E$2:E86)*(E87=E$2:E86)))))</f>
        <v>SBJ</v>
      </c>
      <c r="J87" s="24">
        <f ca="1">IF(OR(E87="",E87="!!!",F87="NEW"),"",COUNTBLANK(OFFSET(A$1,,,SUMPRODUCT(MAX(ROW(E$2:E87)*(E87=E$2:E87)))))-COUNTBLANK(OFFSET(A$1,,,SUMPRODUCT(MAX(ROW(E$1:E86)*(E2=E$1:E86))))))</f>
        <v>0</v>
      </c>
      <c r="K87" s="24">
        <f ca="1">IF(OR(E87="",E87="!!!",F87="NEW"),"",INDEX(J$1:J86,SUMPRODUCT(MAX(ROW(E$1:E86)*(E87=E$1:E86)))))</f>
        <v>0</v>
      </c>
      <c r="L87" s="25"/>
    </row>
    <row r="88" spans="1:12" x14ac:dyDescent="0.3">
      <c r="A88" t="s">
        <v>153</v>
      </c>
      <c r="E88" s="20" t="str">
        <f t="shared" si="4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5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222</v>
      </c>
      <c r="E89" s="20" t="str">
        <f t="shared" si="4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5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158</v>
      </c>
      <c r="B90" s="26" t="s">
        <v>223</v>
      </c>
      <c r="C90" s="26" t="s">
        <v>160</v>
      </c>
      <c r="D90" s="26" t="s">
        <v>142</v>
      </c>
      <c r="E90" s="20" t="str">
        <f t="shared" si="4"/>
        <v>!!!</v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5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224</v>
      </c>
      <c r="B91" s="26" t="s">
        <v>225</v>
      </c>
      <c r="C91" s="26" t="s">
        <v>141</v>
      </c>
      <c r="D91" s="26" t="s">
        <v>142</v>
      </c>
      <c r="E91" s="20" t="s">
        <v>470</v>
      </c>
      <c r="F91" s="21" t="str">
        <f>IF(OR(E91="",E91="!!!"),"",IF(NOT(ISNA(VLOOKUP(E91,E$1:E90,1,FALSE()))),"OLD",IF(AND(E91&lt;&gt;"",E91&lt;&gt;"!!!"),"NEW","")))</f>
        <v>OLD</v>
      </c>
      <c r="G91" s="22" t="str">
        <f ca="1">IF(OR(E91="",E91="!!!"),"",IF(OR(J91=0,AND(J91=1,K91=1),AND(J91=1,I91="SBJ"),AND(J91=1,I91=0)),"?IN_FOCUS",IF(J91&lt;=2,"?ACTIVATED",IF(J91&lt;&gt;"","?FAMILIAR",IF(F91="NEW",IF(ISNA(VLOOKUP(E91,#REF!,1,FALSE())),"?TYPE_IDENTIFIABLE","?REFERENTIAL"),"_")))))</f>
        <v>?IN_FOCUS</v>
      </c>
      <c r="H91" s="23" t="str">
        <f t="shared" ca="1" si="5"/>
        <v/>
      </c>
      <c r="I91" s="24" t="str">
        <f>IF(OR(E91="",E91="!!!",F91="NEW"),"",INDEX(B$2:B90,-1+SUMPRODUCT(MAX(ROW(E$2:E90)*(E91=E$2:E90)))))</f>
        <v>SBJ</v>
      </c>
      <c r="J91" s="24">
        <f ca="1">IF(OR(E91="",E91="!!!",F91="NEW"),"",COUNTBLANK(OFFSET(A$1,,,SUMPRODUCT(MAX(ROW(E$2:E91)*(E91=E$2:E91)))))-COUNTBLANK(OFFSET(A$1,,,SUMPRODUCT(MAX(ROW(E$1:E90)*(E2=E$1:E90))))))</f>
        <v>0</v>
      </c>
      <c r="K91" s="24">
        <f ca="1">IF(OR(E91="",E91="!!!",F91="NEW"),"",INDEX(J$1:J90,SUMPRODUCT(MAX(ROW(E$1:E90)*(E91=E$1:E90)))))</f>
        <v>0</v>
      </c>
      <c r="L91" s="25"/>
    </row>
    <row r="92" spans="1:12" x14ac:dyDescent="0.3">
      <c r="A92" t="s">
        <v>226</v>
      </c>
      <c r="E92" s="20" t="str">
        <f t="shared" si="4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5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214</v>
      </c>
      <c r="E93" s="20" t="str">
        <f t="shared" si="4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5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157</v>
      </c>
      <c r="E94" s="20" t="str">
        <f t="shared" si="4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5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227</v>
      </c>
      <c r="B95" s="26" t="s">
        <v>228</v>
      </c>
      <c r="C95" s="26" t="s">
        <v>141</v>
      </c>
      <c r="D95" s="26" t="s">
        <v>142</v>
      </c>
      <c r="E95" s="20" t="s">
        <v>465</v>
      </c>
      <c r="F95" s="21" t="str">
        <f>IF(OR(E95="",E95="!!!"),"",IF(NOT(ISNA(VLOOKUP(E95,E$1:E94,1,FALSE()))),"OLD",IF(AND(E95&lt;&gt;"",E95&lt;&gt;"!!!"),"NEW","")))</f>
        <v>OLD</v>
      </c>
      <c r="G95" s="22" t="str">
        <f ca="1">IF(OR(E95="",E95="!!!"),"",IF(OR(J95=0,AND(J95=1,K95=1),AND(J95=1,I95="SBJ"),AND(J95=1,I95=0)),"?IN_FOCUS",IF(J95&lt;=2,"?ACTIVATED",IF(J95&lt;&gt;"","?FAMILIAR",IF(F95="NEW",IF(ISNA(VLOOKUP(E95,#REF!,1,FALSE())),"?TYPE_IDENTIFIABLE","?REFERENTIAL"),"_")))))</f>
        <v>?IN_FOCUS</v>
      </c>
      <c r="H95" s="23" t="str">
        <f t="shared" ca="1" si="5"/>
        <v/>
      </c>
      <c r="I95" s="24">
        <f>IF(OR(E95="",E95="!!!",F95="NEW"),"",INDEX(B$2:B94,-1+SUMPRODUCT(MAX(ROW(E$2:E94)*(E95=E$2:E94)))))</f>
        <v>0</v>
      </c>
      <c r="J95" s="24">
        <f ca="1">IF(OR(E95="",E95="!!!",F95="NEW"),"",COUNTBLANK(OFFSET(A$1,,,SUMPRODUCT(MAX(ROW(E$2:E95)*(E95=E$2:E95)))))-COUNTBLANK(OFFSET(A$1,,,SUMPRODUCT(MAX(ROW(E$1:E94)*(E2=E$1:E94))))))</f>
        <v>0</v>
      </c>
      <c r="K95" s="24">
        <f ca="1">IF(OR(E95="",E95="!!!",F95="NEW"),"",INDEX(J$1:J94,SUMPRODUCT(MAX(ROW(E$1:E94)*(E95=E$1:E94)))))</f>
        <v>0</v>
      </c>
      <c r="L95" s="25"/>
    </row>
    <row r="96" spans="1:12" x14ac:dyDescent="0.3">
      <c r="A96" t="s">
        <v>143</v>
      </c>
      <c r="E96" s="20" t="str">
        <f t="shared" si="4"/>
        <v/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5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229</v>
      </c>
      <c r="E97" s="20" t="str">
        <f t="shared" si="4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5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176</v>
      </c>
      <c r="E98" s="20" t="str">
        <f t="shared" si="4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5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100" spans="1:12" x14ac:dyDescent="0.3">
      <c r="A100" t="s">
        <v>230</v>
      </c>
    </row>
    <row r="101" spans="1:12" ht="28.8" x14ac:dyDescent="0.3">
      <c r="A101" t="s">
        <v>231</v>
      </c>
      <c r="E101" s="20" t="s">
        <v>465</v>
      </c>
      <c r="F101" s="21" t="str">
        <f>IF(OR(E101="",E101="!!!"),"",IF(NOT(ISNA(VLOOKUP(E101,E$1:E100,1,FALSE()))),"OLD",IF(AND(E101&lt;&gt;"",E101&lt;&gt;"!!!"),"NEW","")))</f>
        <v>OLD</v>
      </c>
      <c r="G101" s="22" t="str">
        <f ca="1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?IN_FOCUS</v>
      </c>
      <c r="H101" s="23" t="str">
        <f t="shared" ref="H101:H110" ca="1" si="6">IF(J101&lt;&gt;1,"",IF(I101="SBJ","CB","?"))</f>
        <v/>
      </c>
      <c r="I101" s="24" t="str">
        <f>IF(OR(E101="",E101="!!!",F101="NEW"),"",INDEX(B$2:B100,-1+SUMPRODUCT(MAX(ROW(E$2:E100)*(E101=E$2:E100)))))</f>
        <v>SBJ_6</v>
      </c>
      <c r="J101" s="24">
        <f ca="1">IF(OR(E101="",E101="!!!",F101="NEW"),"",COUNTBLANK(OFFSET(A$1,,,SUMPRODUCT(MAX(ROW(E$2:E101)*(E101=E$2:E101)))))-COUNTBLANK(OFFSET(A$1,,,SUMPRODUCT(MAX(ROW(E$1:E100)*(E2=E$1:E100))))))</f>
        <v>0</v>
      </c>
      <c r="K101" s="24">
        <f ca="1">IF(OR(E101="",E101="!!!",F101="NEW"),"",INDEX(J$1:J100,SUMPRODUCT(MAX(ROW(E$1:E100)*(E101=E$1:E100)))))</f>
        <v>0</v>
      </c>
      <c r="L101" s="25" t="s">
        <v>467</v>
      </c>
    </row>
    <row r="102" spans="1:12" x14ac:dyDescent="0.3">
      <c r="A102" t="s">
        <v>144</v>
      </c>
      <c r="E102" s="20" t="str">
        <f t="shared" ref="E102:E110" si="7">IF(D102="?OLD","!!!","")</f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6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28</v>
      </c>
      <c r="B103" s="26" t="s">
        <v>146</v>
      </c>
      <c r="C103" s="26" t="s">
        <v>147</v>
      </c>
      <c r="E103" s="20" t="str">
        <f t="shared" si="7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6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173</v>
      </c>
      <c r="E104" s="20" t="str">
        <f t="shared" si="7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6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232</v>
      </c>
      <c r="E105" s="20" t="str">
        <f t="shared" si="7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6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187</v>
      </c>
      <c r="E106" s="20" t="str">
        <f t="shared" si="7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6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233</v>
      </c>
      <c r="B107" s="26" t="s">
        <v>146</v>
      </c>
      <c r="C107" s="26" t="s">
        <v>181</v>
      </c>
      <c r="D107" s="26" t="s">
        <v>142</v>
      </c>
      <c r="E107" s="20" t="str">
        <f t="shared" si="7"/>
        <v>!!!</v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6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150</v>
      </c>
      <c r="E108" s="20" t="str">
        <f t="shared" si="7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6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234</v>
      </c>
      <c r="B109" s="26" t="s">
        <v>203</v>
      </c>
      <c r="C109" s="26" t="s">
        <v>152</v>
      </c>
      <c r="E109" s="20" t="str">
        <f t="shared" si="7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6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235</v>
      </c>
      <c r="E110" s="20" t="str">
        <f t="shared" si="7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6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2" spans="1:12" x14ac:dyDescent="0.3">
      <c r="A112" t="s">
        <v>236</v>
      </c>
    </row>
    <row r="113" spans="1:12" x14ac:dyDescent="0.3">
      <c r="A113" t="s">
        <v>237</v>
      </c>
      <c r="E113" s="20" t="str">
        <f t="shared" ref="E113:E131" si="8">IF(D113="?OLD","!!!","")</f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ref="H113:H131" ca="1" si="9">IF(J113&lt;&gt;1,"",IF(I113="SBJ","CB","?"))</f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187</v>
      </c>
      <c r="E114" s="20" t="str">
        <f t="shared" si="8"/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9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202</v>
      </c>
      <c r="B115" s="26" t="s">
        <v>140</v>
      </c>
      <c r="C115" s="26" t="s">
        <v>213</v>
      </c>
      <c r="D115" s="26" t="s">
        <v>142</v>
      </c>
      <c r="E115" s="20" t="s">
        <v>459</v>
      </c>
      <c r="F115" s="21" t="str">
        <f>IF(OR(E115="",E115="!!!"),"",IF(NOT(ISNA(VLOOKUP(E115,E$1:E114,1,FALSE()))),"OLD",IF(AND(E115&lt;&gt;"",E115&lt;&gt;"!!!"),"NEW","")))</f>
        <v>OLD</v>
      </c>
      <c r="G115" s="22" t="str">
        <f ca="1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?IN_FOCUS</v>
      </c>
      <c r="H115" s="23" t="str">
        <f t="shared" ca="1" si="9"/>
        <v/>
      </c>
      <c r="I115" s="24" t="str">
        <f>IF(OR(E115="",E115="!!!",F115="NEW"),"",INDEX(B$2:B114,-1+SUMPRODUCT(MAX(ROW(E$2:E114)*(E115=E$2:E114)))))</f>
        <v>other_4</v>
      </c>
      <c r="J115" s="24">
        <f ca="1">IF(OR(E115="",E115="!!!",F115="NEW"),"",COUNTBLANK(OFFSET(A$1,,,SUMPRODUCT(MAX(ROW(E$2:E115)*(E115=E$2:E115)))))-COUNTBLANK(OFFSET(A$1,,,SUMPRODUCT(MAX(ROW(E$1:E114)*(E2=E$1:E114))))))</f>
        <v>0</v>
      </c>
      <c r="K115" s="24">
        <f ca="1">IF(OR(E115="",E115="!!!",F115="NEW"),"",INDEX(J$1:J114,SUMPRODUCT(MAX(ROW(E$1:E114)*(E115=E$1:E114)))))</f>
        <v>0</v>
      </c>
      <c r="L115" s="25"/>
    </row>
    <row r="116" spans="1:12" x14ac:dyDescent="0.3">
      <c r="A116" t="s">
        <v>189</v>
      </c>
      <c r="E116" s="20" t="str">
        <f t="shared" si="8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9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238</v>
      </c>
      <c r="E117" s="20" t="str">
        <f t="shared" si="8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9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239</v>
      </c>
      <c r="E118" s="20" t="str">
        <f t="shared" si="8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9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240</v>
      </c>
      <c r="E119" s="20" t="str">
        <f t="shared" si="8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9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49</v>
      </c>
      <c r="E120" s="20" t="str">
        <f t="shared" si="8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9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241</v>
      </c>
      <c r="E121" s="20" t="str">
        <f t="shared" si="8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9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164</v>
      </c>
      <c r="B122" s="26" t="s">
        <v>242</v>
      </c>
      <c r="C122" s="26" t="s">
        <v>166</v>
      </c>
      <c r="D122" s="26" t="s">
        <v>142</v>
      </c>
      <c r="E122" s="20" t="s">
        <v>459</v>
      </c>
      <c r="F122" s="21" t="str">
        <f>IF(OR(E122="",E122="!!!"),"",IF(NOT(ISNA(VLOOKUP(E122,E$1:E121,1,FALSE()))),"OLD",IF(AND(E122&lt;&gt;"",E122&lt;&gt;"!!!"),"NEW","")))</f>
        <v>OLD</v>
      </c>
      <c r="G122" s="22" t="str">
        <f ca="1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?IN_FOCUS</v>
      </c>
      <c r="H122" s="23" t="str">
        <f t="shared" ca="1" si="9"/>
        <v/>
      </c>
      <c r="I122" s="24" t="str">
        <f>IF(OR(E122="",E122="!!!",F122="NEW"),"",INDEX(B$2:B121,-1+SUMPRODUCT(MAX(ROW(E$2:E121)*(E122=E$2:E121)))))</f>
        <v>SBJ</v>
      </c>
      <c r="J122" s="24">
        <f ca="1">IF(OR(E122="",E122="!!!",F122="NEW"),"",COUNTBLANK(OFFSET(A$1,,,SUMPRODUCT(MAX(ROW(E$2:E122)*(E122=E$2:E122)))))-COUNTBLANK(OFFSET(A$1,,,SUMPRODUCT(MAX(ROW(E$1:E121)*(E2=E$1:E121))))))</f>
        <v>0</v>
      </c>
      <c r="K122" s="24">
        <f ca="1">IF(OR(E122="",E122="!!!",F122="NEW"),"",INDEX(J$1:J121,SUMPRODUCT(MAX(ROW(E$1:E121)*(E122=E$1:E121)))))</f>
        <v>0</v>
      </c>
      <c r="L122" s="25"/>
    </row>
    <row r="123" spans="1:12" x14ac:dyDescent="0.3">
      <c r="A123" t="s">
        <v>174</v>
      </c>
      <c r="B123" s="26" t="s">
        <v>203</v>
      </c>
      <c r="C123" s="26" t="s">
        <v>169</v>
      </c>
      <c r="D123" s="26" t="s">
        <v>142</v>
      </c>
      <c r="E123" s="20" t="s">
        <v>465</v>
      </c>
      <c r="F123" s="21" t="str">
        <f>IF(OR(E123="",E123="!!!"),"",IF(NOT(ISNA(VLOOKUP(E123,E$1:E122,1,FALSE()))),"OLD",IF(AND(E123&lt;&gt;"",E123&lt;&gt;"!!!"),"NEW","")))</f>
        <v>OLD</v>
      </c>
      <c r="G123" s="22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23" t="str">
        <f t="shared" ca="1" si="9"/>
        <v/>
      </c>
      <c r="I123" s="24">
        <f>IF(OR(E123="",E123="!!!",F123="NEW"),"",INDEX(B$2:B122,-1+SUMPRODUCT(MAX(ROW(E$2:E122)*(E123=E$2:E122)))))</f>
        <v>0</v>
      </c>
      <c r="J123" s="24">
        <f ca="1">IF(OR(E123="",E123="!!!",F123="NEW"),"",COUNTBLANK(OFFSET(A$1,,,SUMPRODUCT(MAX(ROW(E$2:E123)*(E123=E$2:E123)))))-COUNTBLANK(OFFSET(A$1,,,SUMPRODUCT(MAX(ROW(E$1:E122)*(E2=E$1:E122))))))</f>
        <v>0</v>
      </c>
      <c r="K123" s="24">
        <f ca="1">IF(OR(E123="",E123="!!!",F123="NEW"),"",INDEX(J$1:J122,SUMPRODUCT(MAX(ROW(E$1:E122)*(E123=E$1:E122)))))</f>
        <v>0</v>
      </c>
      <c r="L123" s="25"/>
    </row>
    <row r="124" spans="1:12" x14ac:dyDescent="0.3">
      <c r="A124" t="s">
        <v>153</v>
      </c>
      <c r="E124" s="20" t="str">
        <f t="shared" si="8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9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190</v>
      </c>
      <c r="B125" s="26" t="s">
        <v>168</v>
      </c>
      <c r="E125" s="20" t="s">
        <v>465</v>
      </c>
      <c r="F125" s="21" t="str">
        <f>IF(OR(E125="",E125="!!!"),"",IF(NOT(ISNA(VLOOKUP(E125,E$1:E124,1,FALSE()))),"OLD",IF(AND(E125&lt;&gt;"",E125&lt;&gt;"!!!"),"NEW","")))</f>
        <v>OLD</v>
      </c>
      <c r="G125" s="22" t="str">
        <f ca="1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?IN_FOCUS</v>
      </c>
      <c r="H125" s="23" t="str">
        <f t="shared" ca="1" si="9"/>
        <v/>
      </c>
      <c r="I125" s="24" t="str">
        <f>IF(OR(E125="",E125="!!!",F125="NEW"),"",INDEX(B$2:B124,-1+SUMPRODUCT(MAX(ROW(E$2:E124)*(E125=E$2:E124)))))</f>
        <v>other_2</v>
      </c>
      <c r="J125" s="24">
        <f ca="1">IF(OR(E125="",E125="!!!",F125="NEW"),"",COUNTBLANK(OFFSET(A$1,,,SUMPRODUCT(MAX(ROW(E$2:E125)*(E125=E$2:E125)))))-COUNTBLANK(OFFSET(A$1,,,SUMPRODUCT(MAX(ROW(E$1:E124)*(E2=E$1:E124))))))</f>
        <v>0</v>
      </c>
      <c r="K125" s="24">
        <f ca="1">IF(OR(E125="",E125="!!!",F125="NEW"),"",INDEX(J$1:J124,SUMPRODUCT(MAX(ROW(E$1:E124)*(E125=E$1:E124)))))</f>
        <v>0</v>
      </c>
      <c r="L125" s="25"/>
    </row>
    <row r="126" spans="1:12" x14ac:dyDescent="0.3">
      <c r="A126" t="s">
        <v>243</v>
      </c>
      <c r="E126" s="20" t="str">
        <f t="shared" si="8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9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244</v>
      </c>
      <c r="E127" s="20" t="str">
        <f t="shared" si="8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9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186</v>
      </c>
      <c r="E128" s="20" t="str">
        <f t="shared" si="8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9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245</v>
      </c>
      <c r="E129" s="20" t="str">
        <f t="shared" si="8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9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151</v>
      </c>
      <c r="B130" s="26" t="s">
        <v>221</v>
      </c>
      <c r="C130" s="26" t="s">
        <v>147</v>
      </c>
      <c r="E130" s="20" t="str">
        <f t="shared" si="8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9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176</v>
      </c>
      <c r="E131" s="20" t="str">
        <f t="shared" si="8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9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3" spans="1:12" x14ac:dyDescent="0.3">
      <c r="A133" t="s">
        <v>246</v>
      </c>
    </row>
    <row r="134" spans="1:12" x14ac:dyDescent="0.3">
      <c r="A134" t="s">
        <v>247</v>
      </c>
      <c r="E134" s="20" t="str">
        <f t="shared" ref="E134:E169" si="10">IF(D134="?OLD","!!!","")</f>
        <v/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ref="H134:H169" ca="1" si="11">IF(J134&lt;&gt;1,"",IF(I134="SBJ","CB","?"))</f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248</v>
      </c>
      <c r="E135" s="20" t="str">
        <f t="shared" si="10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1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244</v>
      </c>
      <c r="E136" s="20" t="str">
        <f t="shared" si="10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1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186</v>
      </c>
      <c r="E137" s="20" t="str">
        <f t="shared" si="10"/>
        <v/>
      </c>
      <c r="F137" s="21" t="str">
        <f>IF(OR(E137="",E137="!!!"),"",IF(NOT(ISNA(VLOOKUP(E137,E$1:E136,1,FALSE()))),"OLD",IF(AND(E137&lt;&gt;"",E137&lt;&gt;"!!!"),"NEW","")))</f>
        <v/>
      </c>
      <c r="G137" s="22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3" t="str">
        <f t="shared" ca="1" si="11"/>
        <v/>
      </c>
      <c r="I137" s="24" t="str">
        <f>IF(OR(E137="",E137="!!!",F137="NEW"),"",INDEX(B$2:B136,-1+SUMPRODUCT(MAX(ROW(E$2:E136)*(E137=E$2:E136)))))</f>
        <v/>
      </c>
      <c r="J137" s="24" t="str">
        <f ca="1">IF(OR(E137="",E137="!!!",F137="NEW"),"",COUNTBLANK(OFFSET(A$1,,,SUMPRODUCT(MAX(ROW(E$2:E137)*(E137=E$2:E137)))))-COUNTBLANK(OFFSET(A$1,,,SUMPRODUCT(MAX(ROW(E$1:E136)*(E2=E$1:E136))))))</f>
        <v/>
      </c>
      <c r="K137" s="24" t="str">
        <f>IF(OR(E137="",E137="!!!",F137="NEW"),"",INDEX(J$1:J136,SUMPRODUCT(MAX(ROW(E$1:E136)*(E137=E$1:E136)))))</f>
        <v/>
      </c>
      <c r="L137" s="25"/>
    </row>
    <row r="138" spans="1:12" x14ac:dyDescent="0.3">
      <c r="A138" t="s">
        <v>249</v>
      </c>
      <c r="B138" s="26" t="s">
        <v>203</v>
      </c>
      <c r="C138" s="26" t="s">
        <v>147</v>
      </c>
      <c r="E138" s="20" t="str">
        <f t="shared" si="10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1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153</v>
      </c>
      <c r="E139" s="20" t="str">
        <f t="shared" si="10"/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1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227</v>
      </c>
      <c r="B140" s="26" t="s">
        <v>140</v>
      </c>
      <c r="C140" s="26" t="s">
        <v>141</v>
      </c>
      <c r="D140" s="26" t="s">
        <v>142</v>
      </c>
      <c r="E140" s="20" t="s">
        <v>459</v>
      </c>
      <c r="F140" s="21" t="str">
        <f>IF(OR(E140="",E140="!!!"),"",IF(NOT(ISNA(VLOOKUP(E140,E$1:E139,1,FALSE()))),"OLD",IF(AND(E140&lt;&gt;"",E140&lt;&gt;"!!!"),"NEW","")))</f>
        <v>OLD</v>
      </c>
      <c r="G140" s="22" t="str">
        <f ca="1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?IN_FOCUS</v>
      </c>
      <c r="H140" s="23" t="str">
        <f t="shared" ca="1" si="11"/>
        <v/>
      </c>
      <c r="I140" s="24" t="str">
        <f>IF(OR(E140="",E140="!!!",F140="NEW"),"",INDEX(B$2:B139,-1+SUMPRODUCT(MAX(ROW(E$2:E139)*(E140=E$2:E139)))))</f>
        <v>other_3</v>
      </c>
      <c r="J140" s="24">
        <f ca="1">IF(OR(E140="",E140="!!!",F140="NEW"),"",COUNTBLANK(OFFSET(A$1,,,SUMPRODUCT(MAX(ROW(E$2:E140)*(E140=E$2:E140)))))-COUNTBLANK(OFFSET(A$1,,,SUMPRODUCT(MAX(ROW(E$1:E139)*(E2=E$1:E139))))))</f>
        <v>0</v>
      </c>
      <c r="K140" s="24">
        <f ca="1">IF(OR(E140="",E140="!!!",F140="NEW"),"",INDEX(J$1:J139,SUMPRODUCT(MAX(ROW(E$1:E139)*(E140=E$1:E139)))))</f>
        <v>0</v>
      </c>
      <c r="L140" s="25"/>
    </row>
    <row r="141" spans="1:12" x14ac:dyDescent="0.3">
      <c r="A141" t="s">
        <v>250</v>
      </c>
      <c r="E141" s="20" t="str">
        <f t="shared" si="10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1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251</v>
      </c>
      <c r="B142" s="26" t="s">
        <v>183</v>
      </c>
      <c r="C142" s="26" t="s">
        <v>152</v>
      </c>
      <c r="E142" s="20" t="str">
        <f t="shared" si="10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1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201</v>
      </c>
      <c r="E143" s="20" t="str">
        <f t="shared" si="10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1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252</v>
      </c>
      <c r="B144" s="26" t="s">
        <v>183</v>
      </c>
      <c r="C144" s="26" t="s">
        <v>204</v>
      </c>
      <c r="D144" s="26" t="s">
        <v>142</v>
      </c>
      <c r="E144" s="20" t="s">
        <v>468</v>
      </c>
      <c r="F144" s="21" t="str">
        <f>IF(OR(E144="",E144="!!!"),"",IF(NOT(ISNA(VLOOKUP(E144,E$1:E143,1,FALSE()))),"OLD",IF(AND(E144&lt;&gt;"",E144&lt;&gt;"!!!"),"NEW","")))</f>
        <v>NEW</v>
      </c>
      <c r="G144" s="22" t="str">
        <f ca="1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?REFERENTIAL</v>
      </c>
      <c r="H144" s="23" t="str">
        <f t="shared" ca="1" si="11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 t="s">
        <v>466</v>
      </c>
    </row>
    <row r="145" spans="1:12" x14ac:dyDescent="0.3">
      <c r="A145" t="s">
        <v>153</v>
      </c>
      <c r="E145" s="20" t="str">
        <f t="shared" si="10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1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190</v>
      </c>
      <c r="B146" s="26" t="s">
        <v>159</v>
      </c>
      <c r="E146" s="20" t="s">
        <v>468</v>
      </c>
      <c r="F146" s="21" t="str">
        <f>IF(OR(E146="",E146="!!!"),"",IF(NOT(ISNA(VLOOKUP(E146,E$1:E145,1,FALSE()))),"OLD",IF(AND(E146&lt;&gt;"",E146&lt;&gt;"!!!"),"NEW","")))</f>
        <v>OLD</v>
      </c>
      <c r="G146" s="22" t="str">
        <f ca="1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?IN_FOCUS</v>
      </c>
      <c r="H146" s="23" t="str">
        <f t="shared" ca="1" si="11"/>
        <v/>
      </c>
      <c r="I146" s="24" t="str">
        <f>IF(OR(E146="",E146="!!!",F146="NEW"),"",INDEX(B$2:B145,-1+SUMPRODUCT(MAX(ROW(E$2:E145)*(E146=E$2:E145)))))</f>
        <v>OBJ</v>
      </c>
      <c r="J146" s="24">
        <f ca="1">IF(OR(E146="",E146="!!!",F146="NEW"),"",COUNTBLANK(OFFSET(A$1,,,SUMPRODUCT(MAX(ROW(E$2:E146)*(E146=E$2:E146)))))-COUNTBLANK(OFFSET(A$1,,,SUMPRODUCT(MAX(ROW(E$1:E145)*(E2=E$1:E145))))))</f>
        <v>0</v>
      </c>
      <c r="K146" s="24" t="str">
        <f ca="1">IF(OR(E146="",E146="!!!",F146="NEW"),"",INDEX(J$1:J145,SUMPRODUCT(MAX(ROW(E$1:E145)*(E146=E$1:E145)))))</f>
        <v/>
      </c>
      <c r="L146" s="25"/>
    </row>
    <row r="147" spans="1:12" x14ac:dyDescent="0.3">
      <c r="A147" t="s">
        <v>253</v>
      </c>
      <c r="E147" s="20" t="str">
        <f t="shared" si="10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1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194</v>
      </c>
      <c r="E148" s="20" t="str">
        <f t="shared" si="10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1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254</v>
      </c>
      <c r="B149" s="26" t="s">
        <v>191</v>
      </c>
      <c r="C149" s="26" t="s">
        <v>152</v>
      </c>
      <c r="E149" s="20" t="str">
        <f t="shared" si="10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1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150</v>
      </c>
      <c r="E150" s="20" t="str">
        <f t="shared" si="10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1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154</v>
      </c>
      <c r="B151" s="26" t="s">
        <v>225</v>
      </c>
      <c r="C151" s="26" t="s">
        <v>141</v>
      </c>
      <c r="D151" s="26" t="s">
        <v>142</v>
      </c>
      <c r="E151" s="20" t="s">
        <v>459</v>
      </c>
      <c r="F151" s="21" t="str">
        <f>IF(OR(E151="",E151="!!!"),"",IF(NOT(ISNA(VLOOKUP(E151,E$1:E150,1,FALSE()))),"OLD",IF(AND(E151&lt;&gt;"",E151&lt;&gt;"!!!"),"NEW","")))</f>
        <v>OLD</v>
      </c>
      <c r="G151" s="22" t="str">
        <f ca="1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?IN_FOCUS</v>
      </c>
      <c r="H151" s="23" t="str">
        <f t="shared" ca="1" si="11"/>
        <v/>
      </c>
      <c r="I151" s="24" t="str">
        <f>IF(OR(E151="",E151="!!!",F151="NEW"),"",INDEX(B$2:B150,-1+SUMPRODUCT(MAX(ROW(E$2:E150)*(E151=E$2:E150)))))</f>
        <v>SBJ</v>
      </c>
      <c r="J151" s="24">
        <f ca="1">IF(OR(E151="",E151="!!!",F151="NEW"),"",COUNTBLANK(OFFSET(A$1,,,SUMPRODUCT(MAX(ROW(E$2:E151)*(E151=E$2:E151)))))-COUNTBLANK(OFFSET(A$1,,,SUMPRODUCT(MAX(ROW(E$1:E150)*(E2=E$1:E150))))))</f>
        <v>0</v>
      </c>
      <c r="K151" s="24">
        <f ca="1">IF(OR(E151="",E151="!!!",F151="NEW"),"",INDEX(J$1:J150,SUMPRODUCT(MAX(ROW(E$1:E150)*(E151=E$1:E150)))))</f>
        <v>0</v>
      </c>
      <c r="L151" s="25"/>
    </row>
    <row r="152" spans="1:12" x14ac:dyDescent="0.3">
      <c r="A152" t="s">
        <v>255</v>
      </c>
      <c r="E152" s="20" t="str">
        <f t="shared" si="10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1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256</v>
      </c>
      <c r="E153" s="20" t="str">
        <f t="shared" si="10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1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257</v>
      </c>
      <c r="E154" s="20" t="str">
        <f t="shared" si="10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1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258</v>
      </c>
      <c r="B155" s="26" t="s">
        <v>197</v>
      </c>
      <c r="C155" s="26" t="s">
        <v>141</v>
      </c>
      <c r="D155" s="26" t="s">
        <v>142</v>
      </c>
      <c r="E155" s="20" t="s">
        <v>468</v>
      </c>
      <c r="F155" s="21" t="str">
        <f>IF(OR(E155="",E155="!!!"),"",IF(NOT(ISNA(VLOOKUP(E155,E$1:E154,1,FALSE()))),"OLD",IF(AND(E155&lt;&gt;"",E155&lt;&gt;"!!!"),"NEW","")))</f>
        <v>OLD</v>
      </c>
      <c r="G155" s="22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?IN_FOCUS</v>
      </c>
      <c r="H155" s="23" t="str">
        <f t="shared" ca="1" si="11"/>
        <v/>
      </c>
      <c r="I155" s="24" t="str">
        <f>IF(OR(E155="",E155="!!!",F155="NEW"),"",INDEX(B$2:B154,-1+SUMPRODUCT(MAX(ROW(E$2:E154)*(E155=E$2:E154)))))</f>
        <v>SBJ_3</v>
      </c>
      <c r="J155" s="24">
        <f ca="1">IF(OR(E155="",E155="!!!",F155="NEW"),"",COUNTBLANK(OFFSET(A$1,,,SUMPRODUCT(MAX(ROW(E$2:E155)*(E155=E$2:E155)))))-COUNTBLANK(OFFSET(A$1,,,SUMPRODUCT(MAX(ROW(E$1:E154)*(E2=E$1:E154))))))</f>
        <v>0</v>
      </c>
      <c r="K155" s="24">
        <f ca="1">IF(OR(E155="",E155="!!!",F155="NEW"),"",INDEX(J$1:J154,SUMPRODUCT(MAX(ROW(E$1:E154)*(E155=E$1:E154)))))</f>
        <v>0</v>
      </c>
      <c r="L155" s="25"/>
    </row>
    <row r="156" spans="1:12" x14ac:dyDescent="0.3">
      <c r="A156" t="s">
        <v>259</v>
      </c>
      <c r="E156" s="20" t="str">
        <f t="shared" si="10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1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260</v>
      </c>
      <c r="E157" s="20" t="str">
        <f t="shared" si="10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1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153</v>
      </c>
      <c r="E158" s="20" t="str">
        <f t="shared" si="10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1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261</v>
      </c>
      <c r="E159" s="20" t="str">
        <f t="shared" si="10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1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262</v>
      </c>
      <c r="B160" s="26" t="s">
        <v>203</v>
      </c>
      <c r="C160" s="26" t="s">
        <v>152</v>
      </c>
      <c r="E160" s="20" t="str">
        <f t="shared" si="10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1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150</v>
      </c>
      <c r="E161" s="20" t="str">
        <f t="shared" si="10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1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263</v>
      </c>
      <c r="E162" s="20" t="str">
        <f t="shared" si="10"/>
        <v/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1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264</v>
      </c>
      <c r="B163" s="26" t="s">
        <v>242</v>
      </c>
      <c r="C163" s="26" t="s">
        <v>265</v>
      </c>
      <c r="E163" s="20" t="s">
        <v>471</v>
      </c>
      <c r="F163" s="21" t="str">
        <f>IF(OR(E163="",E163="!!!"),"",IF(NOT(ISNA(VLOOKUP(E163,E$1:E162,1,FALSE()))),"OLD",IF(AND(E163&lt;&gt;"",E163&lt;&gt;"!!!"),"NEW","")))</f>
        <v>NEW</v>
      </c>
      <c r="G163" s="22" t="str">
        <f ca="1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?REFERENTIAL</v>
      </c>
      <c r="H163" s="23" t="str">
        <f t="shared" ca="1" si="11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 t="s">
        <v>466</v>
      </c>
    </row>
    <row r="164" spans="1:12" x14ac:dyDescent="0.3">
      <c r="A164" t="s">
        <v>190</v>
      </c>
      <c r="B164" s="26" t="s">
        <v>223</v>
      </c>
      <c r="E164" s="20" t="s">
        <v>471</v>
      </c>
      <c r="F164" s="21" t="str">
        <f>IF(OR(E164="",E164="!!!"),"",IF(NOT(ISNA(VLOOKUP(E164,E$1:E163,1,FALSE()))),"OLD",IF(AND(E164&lt;&gt;"",E164&lt;&gt;"!!!"),"NEW","")))</f>
        <v>OLD</v>
      </c>
      <c r="G164" s="22" t="str">
        <f ca="1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?IN_FOCUS</v>
      </c>
      <c r="H164" s="23" t="str">
        <f t="shared" ca="1" si="11"/>
        <v/>
      </c>
      <c r="I164" s="24" t="str">
        <f>IF(OR(E164="",E164="!!!",F164="NEW"),"",INDEX(B$2:B163,-1+SUMPRODUCT(MAX(ROW(E$2:E163)*(E164=E$2:E163)))))</f>
        <v>other_3</v>
      </c>
      <c r="J164" s="24">
        <f ca="1">IF(OR(E164="",E164="!!!",F164="NEW"),"",COUNTBLANK(OFFSET(A$1,,,SUMPRODUCT(MAX(ROW(E$2:E164)*(E164=E$2:E164)))))-COUNTBLANK(OFFSET(A$1,,,SUMPRODUCT(MAX(ROW(E$1:E163)*(E2=E$1:E163))))))</f>
        <v>0</v>
      </c>
      <c r="K164" s="24" t="str">
        <f ca="1">IF(OR(E164="",E164="!!!",F164="NEW"),"",INDEX(J$1:J163,SUMPRODUCT(MAX(ROW(E$1:E163)*(E164=E$1:E163)))))</f>
        <v/>
      </c>
      <c r="L164" s="25"/>
    </row>
    <row r="165" spans="1:12" x14ac:dyDescent="0.3">
      <c r="A165" t="s">
        <v>266</v>
      </c>
      <c r="E165" s="20" t="str">
        <f t="shared" si="10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1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244</v>
      </c>
      <c r="E166" s="20" t="str">
        <f t="shared" si="10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1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154</v>
      </c>
      <c r="E167" s="20" t="str">
        <f t="shared" si="10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1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267</v>
      </c>
      <c r="B168" s="26" t="s">
        <v>165</v>
      </c>
      <c r="C168" s="26" t="s">
        <v>213</v>
      </c>
      <c r="D168" s="26" t="s">
        <v>142</v>
      </c>
      <c r="E168" s="20" t="str">
        <f t="shared" si="10"/>
        <v>!!!</v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1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176</v>
      </c>
      <c r="E169" s="20" t="str">
        <f t="shared" si="10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1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1" spans="1:12" x14ac:dyDescent="0.3">
      <c r="A171" t="s">
        <v>268</v>
      </c>
    </row>
    <row r="172" spans="1:12" x14ac:dyDescent="0.3">
      <c r="A172" t="s">
        <v>139</v>
      </c>
      <c r="B172" s="26" t="s">
        <v>140</v>
      </c>
      <c r="C172" s="26" t="s">
        <v>141</v>
      </c>
      <c r="D172" s="26" t="s">
        <v>142</v>
      </c>
      <c r="E172" s="20" t="s">
        <v>468</v>
      </c>
      <c r="F172" s="21" t="str">
        <f>IF(OR(E172="",E172="!!!"),"",IF(NOT(ISNA(VLOOKUP(E172,E$1:E171,1,FALSE()))),"OLD",IF(AND(E172&lt;&gt;"",E172&lt;&gt;"!!!"),"NEW","")))</f>
        <v>OLD</v>
      </c>
      <c r="G172" s="22" t="str">
        <f ca="1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?IN_FOCUS</v>
      </c>
      <c r="H172" s="23" t="str">
        <f t="shared" ref="H172:H178" ca="1" si="12">IF(J172&lt;&gt;1,"",IF(I172="SBJ","CB","?"))</f>
        <v/>
      </c>
      <c r="I172" s="24" t="str">
        <f>IF(OR(E172="",E172="!!!",F172="NEW"),"",INDEX(B$2:B171,-1+SUMPRODUCT(MAX(ROW(E$2:E171)*(E172=E$2:E171)))))</f>
        <v>SBJ_2</v>
      </c>
      <c r="J172" s="24">
        <f ca="1">IF(OR(E172="",E172="!!!",F172="NEW"),"",COUNTBLANK(OFFSET(A$1,,,SUMPRODUCT(MAX(ROW(E$2:E172)*(E172=E$2:E172)))))-COUNTBLANK(OFFSET(A$1,,,SUMPRODUCT(MAX(ROW(E$1:E171)*(E2=E$1:E171))))))</f>
        <v>0</v>
      </c>
      <c r="K172" s="24">
        <f ca="1">IF(OR(E172="",E172="!!!",F172="NEW"),"",INDEX(J$1:J171,SUMPRODUCT(MAX(ROW(E$1:E171)*(E172=E$1:E171)))))</f>
        <v>0</v>
      </c>
      <c r="L172" s="25"/>
    </row>
    <row r="173" spans="1:12" x14ac:dyDescent="0.3">
      <c r="A173" t="s">
        <v>182</v>
      </c>
      <c r="B173" s="26" t="s">
        <v>183</v>
      </c>
      <c r="C173" s="26" t="s">
        <v>141</v>
      </c>
      <c r="D173" s="26" t="s">
        <v>142</v>
      </c>
      <c r="E173" s="20" t="s">
        <v>459</v>
      </c>
      <c r="F173" s="21" t="str">
        <f>IF(OR(E173="",E173="!!!"),"",IF(NOT(ISNA(VLOOKUP(E173,E$1:E172,1,FALSE()))),"OLD",IF(AND(E173&lt;&gt;"",E173&lt;&gt;"!!!"),"NEW","")))</f>
        <v>OLD</v>
      </c>
      <c r="G173" s="22" t="str">
        <f ca="1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?IN_FOCUS</v>
      </c>
      <c r="H173" s="23" t="str">
        <f t="shared" ca="1" si="12"/>
        <v/>
      </c>
      <c r="I173" s="24" t="str">
        <f>IF(OR(E173="",E173="!!!",F173="NEW"),"",INDEX(B$2:B172,-1+SUMPRODUCT(MAX(ROW(E$2:E172)*(E173=E$2:E172)))))</f>
        <v>OBJ_5</v>
      </c>
      <c r="J173" s="24">
        <f ca="1">IF(OR(E173="",E173="!!!",F173="NEW"),"",COUNTBLANK(OFFSET(A$1,,,SUMPRODUCT(MAX(ROW(E$2:E173)*(E173=E$2:E173)))))-COUNTBLANK(OFFSET(A$1,,,SUMPRODUCT(MAX(ROW(E$1:E172)*(E2=E$1:E172))))))</f>
        <v>0</v>
      </c>
      <c r="K173" s="24">
        <f ca="1">IF(OR(E173="",E173="!!!",F173="NEW"),"",INDEX(J$1:J172,SUMPRODUCT(MAX(ROW(E$1:E172)*(E173=E$1:E172)))))</f>
        <v>0</v>
      </c>
      <c r="L173" s="25"/>
    </row>
    <row r="174" spans="1:12" x14ac:dyDescent="0.3">
      <c r="A174" t="s">
        <v>269</v>
      </c>
      <c r="E174" s="20" t="str">
        <f t="shared" ref="E174:E178" si="13">IF(D174="?OLD","!!!","")</f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2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270</v>
      </c>
      <c r="E175" s="20" t="str">
        <f t="shared" si="13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2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227</v>
      </c>
      <c r="B176" s="26" t="s">
        <v>197</v>
      </c>
      <c r="C176" s="26" t="s">
        <v>141</v>
      </c>
      <c r="D176" s="26" t="s">
        <v>142</v>
      </c>
      <c r="E176" s="20" t="s">
        <v>459</v>
      </c>
      <c r="F176" s="21" t="str">
        <f>IF(OR(E176="",E176="!!!"),"",IF(NOT(ISNA(VLOOKUP(E176,E$1:E175,1,FALSE()))),"OLD",IF(AND(E176&lt;&gt;"",E176&lt;&gt;"!!!"),"NEW","")))</f>
        <v>OLD</v>
      </c>
      <c r="G176" s="22" t="str">
        <f ca="1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?IN_FOCUS</v>
      </c>
      <c r="H176" s="23" t="str">
        <f t="shared" ca="1" si="12"/>
        <v/>
      </c>
      <c r="I176" s="24" t="str">
        <f>IF(OR(E176="",E176="!!!",F176="NEW"),"",INDEX(B$2:B175,-1+SUMPRODUCT(MAX(ROW(E$2:E175)*(E176=E$2:E175)))))</f>
        <v>OBJ</v>
      </c>
      <c r="J176" s="24">
        <f ca="1">IF(OR(E176="",E176="!!!",F176="NEW"),"",COUNTBLANK(OFFSET(A$1,,,SUMPRODUCT(MAX(ROW(E$2:E176)*(E176=E$2:E176)))))-COUNTBLANK(OFFSET(A$1,,,SUMPRODUCT(MAX(ROW(E$1:E175)*(E2=E$1:E175))))))</f>
        <v>0</v>
      </c>
      <c r="K176" s="24">
        <f ca="1">IF(OR(E176="",E176="!!!",F176="NEW"),"",INDEX(J$1:J175,SUMPRODUCT(MAX(ROW(E$1:E175)*(E176=E$1:E175)))))</f>
        <v>0</v>
      </c>
      <c r="L176" s="25"/>
    </row>
    <row r="177" spans="1:12" x14ac:dyDescent="0.3">
      <c r="A177" t="s">
        <v>271</v>
      </c>
      <c r="E177" s="20" t="str">
        <f t="shared" si="13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2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176</v>
      </c>
      <c r="E178" s="20" t="str">
        <f t="shared" si="13"/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2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80" spans="1:12" x14ac:dyDescent="0.3">
      <c r="A180" t="s">
        <v>272</v>
      </c>
    </row>
    <row r="181" spans="1:12" x14ac:dyDescent="0.3">
      <c r="A181" t="s">
        <v>273</v>
      </c>
      <c r="E181" s="20" t="str">
        <f t="shared" ref="E181:E203" si="14">IF(D181="?OLD","!!!","")</f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ref="H181:H203" ca="1" si="15">IF(J181&lt;&gt;1,"",IF(I181="SBJ","CB","?"))</f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274</v>
      </c>
      <c r="E182" s="20" t="str">
        <f t="shared" si="14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5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275</v>
      </c>
      <c r="B183" s="26" t="s">
        <v>140</v>
      </c>
      <c r="C183" s="26" t="s">
        <v>213</v>
      </c>
      <c r="D183" s="26" t="s">
        <v>142</v>
      </c>
      <c r="E183" s="20" t="s">
        <v>459</v>
      </c>
      <c r="F183" s="21" t="str">
        <f>IF(OR(E183="",E183="!!!"),"",IF(NOT(ISNA(VLOOKUP(E183,E$1:E182,1,FALSE()))),"OLD",IF(AND(E183&lt;&gt;"",E183&lt;&gt;"!!!"),"NEW","")))</f>
        <v>OLD</v>
      </c>
      <c r="G183" s="22" t="str">
        <f ca="1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?IN_FOCUS</v>
      </c>
      <c r="H183" s="23" t="str">
        <f t="shared" ca="1" si="15"/>
        <v/>
      </c>
      <c r="I183" s="24" t="str">
        <f>IF(OR(E183="",E183="!!!",F183="NEW"),"",INDEX(B$2:B182,-1+SUMPRODUCT(MAX(ROW(E$2:E182)*(E183=E$2:E182)))))</f>
        <v>SBJ_2</v>
      </c>
      <c r="J183" s="24">
        <f ca="1">IF(OR(E183="",E183="!!!",F183="NEW"),"",COUNTBLANK(OFFSET(A$1,,,SUMPRODUCT(MAX(ROW(E$2:E183)*(E183=E$2:E183)))))-COUNTBLANK(OFFSET(A$1,,,SUMPRODUCT(MAX(ROW(E$1:E182)*(E2=E$1:E182))))))</f>
        <v>0</v>
      </c>
      <c r="K183" s="24">
        <f ca="1">IF(OR(E183="",E183="!!!",F183="NEW"),"",INDEX(J$1:J182,SUMPRODUCT(MAX(ROW(E$1:E182)*(E183=E$1:E182)))))</f>
        <v>0</v>
      </c>
      <c r="L183" s="25"/>
    </row>
    <row r="184" spans="1:12" x14ac:dyDescent="0.3">
      <c r="A184" t="s">
        <v>153</v>
      </c>
      <c r="E184" s="20" t="str">
        <f t="shared" si="14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5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190</v>
      </c>
      <c r="B185" s="26" t="s">
        <v>159</v>
      </c>
      <c r="E185" s="20" t="s">
        <v>459</v>
      </c>
      <c r="F185" s="21" t="str">
        <f>IF(OR(E185="",E185="!!!"),"",IF(NOT(ISNA(VLOOKUP(E185,E$1:E184,1,FALSE()))),"OLD",IF(AND(E185&lt;&gt;"",E185&lt;&gt;"!!!"),"NEW","")))</f>
        <v>OLD</v>
      </c>
      <c r="G185" s="22" t="str">
        <f ca="1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?IN_FOCUS</v>
      </c>
      <c r="H185" s="23" t="str">
        <f t="shared" ca="1" si="15"/>
        <v/>
      </c>
      <c r="I185" s="24" t="str">
        <f>IF(OR(E185="",E185="!!!",F185="NEW"),"",INDEX(B$2:B184,-1+SUMPRODUCT(MAX(ROW(E$2:E184)*(E185=E$2:E184)))))</f>
        <v>SBJ</v>
      </c>
      <c r="J185" s="24">
        <f ca="1">IF(OR(E185="",E185="!!!",F185="NEW"),"",COUNTBLANK(OFFSET(A$1,,,SUMPRODUCT(MAX(ROW(E$2:E185)*(E185=E$2:E185)))))-COUNTBLANK(OFFSET(A$1,,,SUMPRODUCT(MAX(ROW(E$1:E184)*(E2=E$1:E184))))))</f>
        <v>0</v>
      </c>
      <c r="K185" s="24">
        <f ca="1">IF(OR(E185="",E185="!!!",F185="NEW"),"",INDEX(J$1:J184,SUMPRODUCT(MAX(ROW(E$1:E184)*(E185=E$1:E184)))))</f>
        <v>0</v>
      </c>
      <c r="L185" s="25"/>
    </row>
    <row r="186" spans="1:12" x14ac:dyDescent="0.3">
      <c r="A186" t="s">
        <v>204</v>
      </c>
      <c r="E186" s="20"/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5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276</v>
      </c>
      <c r="E187" s="20" t="str">
        <f t="shared" si="14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5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277</v>
      </c>
      <c r="E188" s="20" t="str">
        <f t="shared" si="14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5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157</v>
      </c>
      <c r="E189" s="20" t="str">
        <f t="shared" si="14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5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258</v>
      </c>
      <c r="B190" s="26" t="s">
        <v>168</v>
      </c>
      <c r="C190" s="26" t="s">
        <v>141</v>
      </c>
      <c r="D190" s="26" t="s">
        <v>142</v>
      </c>
      <c r="E190" s="20" t="s">
        <v>468</v>
      </c>
      <c r="F190" s="21" t="str">
        <f>IF(OR(E190="",E190="!!!"),"",IF(NOT(ISNA(VLOOKUP(E190,E$1:E189,1,FALSE()))),"OLD",IF(AND(E190&lt;&gt;"",E190&lt;&gt;"!!!"),"NEW","")))</f>
        <v>OLD</v>
      </c>
      <c r="G190" s="22" t="str">
        <f ca="1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?IN_FOCUS</v>
      </c>
      <c r="H190" s="23" t="str">
        <f t="shared" ca="1" si="15"/>
        <v/>
      </c>
      <c r="I190" s="24" t="str">
        <f>IF(OR(E190="",E190="!!!",F190="NEW"),"",INDEX(B$2:B189,-1+SUMPRODUCT(MAX(ROW(E$2:E189)*(E190=E$2:E189)))))</f>
        <v>SBJ</v>
      </c>
      <c r="J190" s="24">
        <f ca="1">IF(OR(E190="",E190="!!!",F190="NEW"),"",COUNTBLANK(OFFSET(A$1,,,SUMPRODUCT(MAX(ROW(E$2:E190)*(E190=E$2:E190)))))-COUNTBLANK(OFFSET(A$1,,,SUMPRODUCT(MAX(ROW(E$1:E189)*(E2=E$1:E189))))))</f>
        <v>0</v>
      </c>
      <c r="K190" s="24">
        <f ca="1">IF(OR(E190="",E190="!!!",F190="NEW"),"",INDEX(J$1:J189,SUMPRODUCT(MAX(ROW(E$1:E189)*(E190=E$1:E189)))))</f>
        <v>0</v>
      </c>
      <c r="L190" s="25"/>
    </row>
    <row r="191" spans="1:12" x14ac:dyDescent="0.3">
      <c r="A191" t="s">
        <v>143</v>
      </c>
      <c r="E191" s="20" t="str">
        <f t="shared" si="14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5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278</v>
      </c>
      <c r="E192" s="20" t="str">
        <f t="shared" si="14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5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150</v>
      </c>
      <c r="E193" s="20" t="str">
        <f t="shared" si="14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5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279</v>
      </c>
      <c r="B194" s="26" t="s">
        <v>225</v>
      </c>
      <c r="C194" s="26" t="s">
        <v>141</v>
      </c>
      <c r="D194" s="26" t="s">
        <v>142</v>
      </c>
      <c r="E194" s="20" t="str">
        <f t="shared" si="14"/>
        <v>!!!</v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5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280</v>
      </c>
      <c r="E195" s="20" t="str">
        <f t="shared" si="14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5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261</v>
      </c>
      <c r="E196" s="20" t="str">
        <f t="shared" si="14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5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281</v>
      </c>
      <c r="E197" s="20" t="str">
        <f t="shared" si="14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5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186</v>
      </c>
      <c r="E198" s="20" t="str">
        <f t="shared" si="14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5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282</v>
      </c>
      <c r="B199" s="26" t="s">
        <v>283</v>
      </c>
      <c r="C199" s="26" t="s">
        <v>147</v>
      </c>
      <c r="E199" s="20" t="str">
        <f t="shared" si="14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5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153</v>
      </c>
      <c r="E200" s="20" t="str">
        <f t="shared" si="14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5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182</v>
      </c>
      <c r="B201" s="26" t="s">
        <v>183</v>
      </c>
      <c r="C201" s="26" t="s">
        <v>141</v>
      </c>
      <c r="D201" s="26" t="s">
        <v>142</v>
      </c>
      <c r="E201" s="20" t="s">
        <v>459</v>
      </c>
      <c r="F201" s="21" t="str">
        <f>IF(OR(E201="",E201="!!!"),"",IF(NOT(ISNA(VLOOKUP(E201,E$1:E200,1,FALSE()))),"OLD",IF(AND(E201&lt;&gt;"",E201&lt;&gt;"!!!"),"NEW","")))</f>
        <v>OLD</v>
      </c>
      <c r="G201" s="22" t="str">
        <f ca="1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?IN_FOCUS</v>
      </c>
      <c r="H201" s="23" t="str">
        <f t="shared" ca="1" si="15"/>
        <v/>
      </c>
      <c r="I201" s="24" t="str">
        <f>IF(OR(E201="",E201="!!!",F201="NEW"),"",INDEX(B$2:B200,-1+SUMPRODUCT(MAX(ROW(E$2:E200)*(E201=E$2:E200)))))</f>
        <v>SBJ_3</v>
      </c>
      <c r="J201" s="24">
        <f ca="1">IF(OR(E201="",E201="!!!",F201="NEW"),"",COUNTBLANK(OFFSET(A$1,,,SUMPRODUCT(MAX(ROW(E$2:E201)*(E201=E$2:E201)))))-COUNTBLANK(OFFSET(A$1,,,SUMPRODUCT(MAX(ROW(E$1:E200)*(E2=E$1:E200))))))</f>
        <v>0</v>
      </c>
      <c r="K201" s="24">
        <f ca="1">IF(OR(E201="",E201="!!!",F201="NEW"),"",INDEX(J$1:J200,SUMPRODUCT(MAX(ROW(E$1:E200)*(E201=E$1:E200)))))</f>
        <v>0</v>
      </c>
      <c r="L201" s="25"/>
    </row>
    <row r="202" spans="1:12" x14ac:dyDescent="0.3">
      <c r="A202" t="s">
        <v>214</v>
      </c>
      <c r="E202" s="20" t="str">
        <f t="shared" si="14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5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215</v>
      </c>
      <c r="E203" s="20" t="str">
        <f t="shared" si="14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5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5" spans="1:12" x14ac:dyDescent="0.3">
      <c r="A205" t="s">
        <v>284</v>
      </c>
    </row>
    <row r="206" spans="1:12" x14ac:dyDescent="0.3">
      <c r="A206" t="s">
        <v>285</v>
      </c>
      <c r="B206" s="26" t="s">
        <v>140</v>
      </c>
      <c r="C206" s="26" t="s">
        <v>141</v>
      </c>
      <c r="D206" s="26" t="s">
        <v>142</v>
      </c>
      <c r="E206" s="20" t="s">
        <v>459</v>
      </c>
      <c r="F206" s="21" t="str">
        <f>IF(OR(E206="",E206="!!!"),"",IF(NOT(ISNA(VLOOKUP(E206,E$1:E205,1,FALSE()))),"OLD",IF(AND(E206&lt;&gt;"",E206&lt;&gt;"!!!"),"NEW","")))</f>
        <v>OLD</v>
      </c>
      <c r="G206" s="22" t="str">
        <f ca="1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?IN_FOCUS</v>
      </c>
      <c r="H206" s="23" t="str">
        <f t="shared" ref="H206:H230" ca="1" si="16">IF(J206&lt;&gt;1,"",IF(I206="SBJ","CB","?"))</f>
        <v/>
      </c>
      <c r="I206" s="24" t="str">
        <f>IF(OR(E206="",E206="!!!",F206="NEW"),"",INDEX(B$2:B205,-1+SUMPRODUCT(MAX(ROW(E$2:E205)*(E206=E$2:E205)))))</f>
        <v>OBJ</v>
      </c>
      <c r="J206" s="24">
        <f ca="1">IF(OR(E206="",E206="!!!",F206="NEW"),"",COUNTBLANK(OFFSET(A$1,,,SUMPRODUCT(MAX(ROW(E$2:E206)*(E206=E$2:E206)))))-COUNTBLANK(OFFSET(A$1,,,SUMPRODUCT(MAX(ROW(E$1:E205)*(E2=E$1:E205))))))</f>
        <v>0</v>
      </c>
      <c r="K206" s="24">
        <f ca="1">IF(OR(E206="",E206="!!!",F206="NEW"),"",INDEX(J$1:J205,SUMPRODUCT(MAX(ROW(E$1:E205)*(E206=E$1:E205)))))</f>
        <v>0</v>
      </c>
      <c r="L206" s="25"/>
    </row>
    <row r="207" spans="1:12" x14ac:dyDescent="0.3">
      <c r="A207" t="s">
        <v>286</v>
      </c>
      <c r="E207" s="20" t="str">
        <f t="shared" ref="E207:E230" si="17">IF(D207="?OLD","!!!","")</f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16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66</v>
      </c>
      <c r="E208" s="20" t="str">
        <f t="shared" si="17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6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287</v>
      </c>
      <c r="B209" s="26" t="s">
        <v>242</v>
      </c>
      <c r="C209" s="26" t="s">
        <v>166</v>
      </c>
      <c r="D209" s="26" t="s">
        <v>142</v>
      </c>
      <c r="E209" s="20" t="s">
        <v>459</v>
      </c>
      <c r="F209" s="21" t="str">
        <f>IF(OR(E209="",E209="!!!"),"",IF(NOT(ISNA(VLOOKUP(E209,E$1:E208,1,FALSE()))),"OLD",IF(AND(E209&lt;&gt;"",E209&lt;&gt;"!!!"),"NEW","")))</f>
        <v>OLD</v>
      </c>
      <c r="G209" s="22" t="str">
        <f ca="1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?IN_FOCUS</v>
      </c>
      <c r="H209" s="23" t="str">
        <f t="shared" ca="1" si="16"/>
        <v/>
      </c>
      <c r="I209" s="24" t="str">
        <f>IF(OR(E209="",E209="!!!",F209="NEW"),"",INDEX(B$2:B208,-1+SUMPRODUCT(MAX(ROW(E$2:E208)*(E209=E$2:E208)))))</f>
        <v>SBJ</v>
      </c>
      <c r="J209" s="24">
        <f ca="1">IF(OR(E209="",E209="!!!",F209="NEW"),"",COUNTBLANK(OFFSET(A$1,,,SUMPRODUCT(MAX(ROW(E$2:E209)*(E209=E$2:E209)))))-COUNTBLANK(OFFSET(A$1,,,SUMPRODUCT(MAX(ROW(E$1:E208)*(E2=E$1:E208))))))</f>
        <v>0</v>
      </c>
      <c r="K209" s="24">
        <f ca="1">IF(OR(E209="",E209="!!!",F209="NEW"),"",INDEX(J$1:J208,SUMPRODUCT(MAX(ROW(E$1:E208)*(E209=E$1:E208)))))</f>
        <v>0</v>
      </c>
      <c r="L209" s="25"/>
    </row>
    <row r="210" spans="1:12" x14ac:dyDescent="0.3">
      <c r="A210" t="s">
        <v>174</v>
      </c>
      <c r="B210" s="26" t="s">
        <v>199</v>
      </c>
      <c r="C210" s="26" t="s">
        <v>169</v>
      </c>
      <c r="D210" s="26" t="s">
        <v>142</v>
      </c>
      <c r="E210" s="20" t="s">
        <v>465</v>
      </c>
      <c r="F210" s="21" t="str">
        <f>IF(OR(E210="",E210="!!!"),"",IF(NOT(ISNA(VLOOKUP(E210,E$1:E209,1,FALSE()))),"OLD",IF(AND(E210&lt;&gt;"",E210&lt;&gt;"!!!"),"NEW","")))</f>
        <v>OLD</v>
      </c>
      <c r="G210" s="22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?IN_FOCUS</v>
      </c>
      <c r="H210" s="23" t="str">
        <f t="shared" ca="1" si="16"/>
        <v/>
      </c>
      <c r="I210" s="24" t="str">
        <f>IF(OR(E210="",E210="!!!",F210="NEW"),"",INDEX(B$2:B209,-1+SUMPRODUCT(MAX(ROW(E$2:E209)*(E210=E$2:E209)))))</f>
        <v>SBJ_4</v>
      </c>
      <c r="J210" s="24">
        <f ca="1">IF(OR(E210="",E210="!!!",F210="NEW"),"",COUNTBLANK(OFFSET(A$1,,,SUMPRODUCT(MAX(ROW(E$2:E210)*(E210=E$2:E210)))))-COUNTBLANK(OFFSET(A$1,,,SUMPRODUCT(MAX(ROW(E$1:E209)*(E2=E$1:E209))))))</f>
        <v>0</v>
      </c>
      <c r="K210" s="24">
        <f ca="1">IF(OR(E210="",E210="!!!",F210="NEW"),"",INDEX(J$1:J209,SUMPRODUCT(MAX(ROW(E$1:E209)*(E210=E$1:E209)))))</f>
        <v>0</v>
      </c>
      <c r="L210" s="25"/>
    </row>
    <row r="211" spans="1:12" x14ac:dyDescent="0.3">
      <c r="A211" t="s">
        <v>153</v>
      </c>
      <c r="E211" s="20" t="str">
        <f t="shared" si="17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16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173</v>
      </c>
      <c r="E212" s="20" t="str">
        <f t="shared" si="17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16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182</v>
      </c>
      <c r="B213" s="26" t="s">
        <v>199</v>
      </c>
      <c r="C213" s="26" t="s">
        <v>141</v>
      </c>
      <c r="D213" s="26" t="s">
        <v>142</v>
      </c>
      <c r="E213" s="20" t="s">
        <v>465</v>
      </c>
      <c r="F213" s="21" t="str">
        <f>IF(OR(E213="",E213="!!!"),"",IF(NOT(ISNA(VLOOKUP(E213,E$1:E212,1,FALSE()))),"OLD",IF(AND(E213&lt;&gt;"",E213&lt;&gt;"!!!"),"NEW","")))</f>
        <v>OLD</v>
      </c>
      <c r="G213" s="22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?IN_FOCUS</v>
      </c>
      <c r="H213" s="23" t="str">
        <f t="shared" ca="1" si="16"/>
        <v/>
      </c>
      <c r="I213" s="24" t="str">
        <f>IF(OR(E213="",E213="!!!",F213="NEW"),"",INDEX(B$2:B212,-1+SUMPRODUCT(MAX(ROW(E$2:E212)*(E213=E$2:E212)))))</f>
        <v>OBJ_2</v>
      </c>
      <c r="J213" s="24">
        <f ca="1">IF(OR(E213="",E213="!!!",F213="NEW"),"",COUNTBLANK(OFFSET(A$1,,,SUMPRODUCT(MAX(ROW(E$2:E213)*(E213=E$2:E213)))))-COUNTBLANK(OFFSET(A$1,,,SUMPRODUCT(MAX(ROW(E$1:E212)*(E2=E$1:E212))))))</f>
        <v>0</v>
      </c>
      <c r="K213" s="24">
        <f ca="1">IF(OR(E213="",E213="!!!",F213="NEW"),"",INDEX(J$1:J212,SUMPRODUCT(MAX(ROW(E$1:E212)*(E213=E$1:E212)))))</f>
        <v>0</v>
      </c>
      <c r="L213" s="25"/>
    </row>
    <row r="214" spans="1:12" x14ac:dyDescent="0.3">
      <c r="A214" t="s">
        <v>288</v>
      </c>
      <c r="E214" s="20" t="str">
        <f t="shared" si="17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16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144</v>
      </c>
      <c r="E215" s="20" t="str">
        <f t="shared" si="17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6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28</v>
      </c>
      <c r="B216" s="26" t="s">
        <v>199</v>
      </c>
      <c r="C216" s="26" t="s">
        <v>147</v>
      </c>
      <c r="E216" s="20" t="str">
        <f t="shared" si="17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6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153</v>
      </c>
      <c r="E217" s="20" t="str">
        <f t="shared" si="17"/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6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289</v>
      </c>
      <c r="E218" s="20" t="str">
        <f t="shared" si="17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6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186</v>
      </c>
      <c r="E219" s="20" t="str">
        <f t="shared" si="17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6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187</v>
      </c>
      <c r="E220" s="20" t="str">
        <f t="shared" si="17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6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233</v>
      </c>
      <c r="B221" s="26" t="s">
        <v>203</v>
      </c>
      <c r="C221" s="26" t="s">
        <v>147</v>
      </c>
      <c r="E221" s="20" t="str">
        <f t="shared" si="17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16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150</v>
      </c>
      <c r="E222" s="20" t="str">
        <f t="shared" si="17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6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234</v>
      </c>
      <c r="B223" s="26" t="s">
        <v>242</v>
      </c>
      <c r="C223" s="26" t="s">
        <v>152</v>
      </c>
      <c r="E223" s="20" t="str">
        <f t="shared" si="17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6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153</v>
      </c>
      <c r="E224" s="20" t="str">
        <f t="shared" si="17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16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195</v>
      </c>
      <c r="E225" s="20" t="str">
        <f t="shared" si="17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16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287</v>
      </c>
      <c r="B226" s="26" t="s">
        <v>221</v>
      </c>
      <c r="C226" s="26" t="s">
        <v>166</v>
      </c>
      <c r="D226" s="26" t="s">
        <v>142</v>
      </c>
      <c r="E226" s="20" t="s">
        <v>459</v>
      </c>
      <c r="F226" s="21" t="str">
        <f>IF(OR(E226="",E226="!!!"),"",IF(NOT(ISNA(VLOOKUP(E226,E$1:E225,1,FALSE()))),"OLD",IF(AND(E226&lt;&gt;"",E226&lt;&gt;"!!!"),"NEW","")))</f>
        <v>OLD</v>
      </c>
      <c r="G226" s="22" t="str">
        <f ca="1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?IN_FOCUS</v>
      </c>
      <c r="H226" s="23" t="str">
        <f t="shared" ca="1" si="16"/>
        <v/>
      </c>
      <c r="I226" s="24" t="str">
        <f>IF(OR(E226="",E226="!!!",F226="NEW"),"",INDEX(B$2:B225,-1+SUMPRODUCT(MAX(ROW(E$2:E225)*(E226=E$2:E225)))))</f>
        <v>other_3</v>
      </c>
      <c r="J226" s="24">
        <f ca="1">IF(OR(E226="",E226="!!!",F226="NEW"),"",COUNTBLANK(OFFSET(A$1,,,SUMPRODUCT(MAX(ROW(E$2:E226)*(E226=E$2:E226)))))-COUNTBLANK(OFFSET(A$1,,,SUMPRODUCT(MAX(ROW(E$1:E225)*(E2=E$1:E225))))))</f>
        <v>0</v>
      </c>
      <c r="K226" s="24">
        <f ca="1">IF(OR(E226="",E226="!!!",F226="NEW"),"",INDEX(J$1:J225,SUMPRODUCT(MAX(ROW(E$1:E225)*(E226=E$1:E225)))))</f>
        <v>0</v>
      </c>
      <c r="L226" s="25"/>
    </row>
    <row r="227" spans="1:12" x14ac:dyDescent="0.3">
      <c r="A227" t="s">
        <v>167</v>
      </c>
      <c r="B227" s="26" t="s">
        <v>159</v>
      </c>
      <c r="C227" s="26" t="s">
        <v>169</v>
      </c>
      <c r="D227" s="26" t="s">
        <v>142</v>
      </c>
      <c r="E227" s="20" t="s">
        <v>470</v>
      </c>
      <c r="F227" s="21" t="str">
        <f>IF(OR(E227="",E227="!!!"),"",IF(NOT(ISNA(VLOOKUP(E227,E$1:E226,1,FALSE()))),"OLD",IF(AND(E227&lt;&gt;"",E227&lt;&gt;"!!!"),"NEW","")))</f>
        <v>OLD</v>
      </c>
      <c r="G227" s="22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?IN_FOCUS</v>
      </c>
      <c r="H227" s="23" t="str">
        <f t="shared" ca="1" si="16"/>
        <v/>
      </c>
      <c r="I227" s="24" t="str">
        <f>IF(OR(E227="",E227="!!!",F227="NEW"),"",INDEX(B$2:B226,-1+SUMPRODUCT(MAX(ROW(E$2:E226)*(E227=E$2:E226)))))</f>
        <v>OBJ_5</v>
      </c>
      <c r="J227" s="24">
        <f ca="1">IF(OR(E227="",E227="!!!",F227="NEW"),"",COUNTBLANK(OFFSET(A$1,,,SUMPRODUCT(MAX(ROW(E$2:E227)*(E227=E$2:E227)))))-COUNTBLANK(OFFSET(A$1,,,SUMPRODUCT(MAX(ROW(E$1:E226)*(E2=E$1:E226))))))</f>
        <v>0</v>
      </c>
      <c r="K227" s="24">
        <f ca="1">IF(OR(E227="",E227="!!!",F227="NEW"),"",INDEX(J$1:J226,SUMPRODUCT(MAX(ROW(E$1:E226)*(E227=E$1:E226)))))</f>
        <v>0</v>
      </c>
      <c r="L227" s="25"/>
    </row>
    <row r="228" spans="1:12" x14ac:dyDescent="0.3">
      <c r="A228" t="s">
        <v>182</v>
      </c>
      <c r="B228" s="26" t="s">
        <v>191</v>
      </c>
      <c r="C228" s="26" t="s">
        <v>141</v>
      </c>
      <c r="D228" s="26" t="s">
        <v>142</v>
      </c>
      <c r="E228" s="20" t="s">
        <v>465</v>
      </c>
      <c r="F228" s="21" t="str">
        <f>IF(OR(E228="",E228="!!!"),"",IF(NOT(ISNA(VLOOKUP(E228,E$1:E227,1,FALSE()))),"OLD",IF(AND(E228&lt;&gt;"",E228&lt;&gt;"!!!"),"NEW","")))</f>
        <v>OLD</v>
      </c>
      <c r="G228" s="22" t="str">
        <f ca="1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?IN_FOCUS</v>
      </c>
      <c r="H228" s="23" t="str">
        <f t="shared" ca="1" si="16"/>
        <v/>
      </c>
      <c r="I228" s="24" t="str">
        <f>IF(OR(E228="",E228="!!!",F228="NEW"),"",INDEX(B$2:B227,-1+SUMPRODUCT(MAX(ROW(E$2:E227)*(E228=E$2:E227)))))</f>
        <v>OBJ_2</v>
      </c>
      <c r="J228" s="24">
        <f ca="1">IF(OR(E228="",E228="!!!",F228="NEW"),"",COUNTBLANK(OFFSET(A$1,,,SUMPRODUCT(MAX(ROW(E$2:E228)*(E228=E$2:E228)))))-COUNTBLANK(OFFSET(A$1,,,SUMPRODUCT(MAX(ROW(E$1:E227)*(E2=E$1:E227))))))</f>
        <v>0</v>
      </c>
      <c r="K228" s="24">
        <f ca="1">IF(OR(E228="",E228="!!!",F228="NEW"),"",INDEX(J$1:J227,SUMPRODUCT(MAX(ROW(E$1:E227)*(E228=E$1:E227)))))</f>
        <v>0</v>
      </c>
      <c r="L228" s="25"/>
    </row>
    <row r="229" spans="1:12" x14ac:dyDescent="0.3">
      <c r="A229" t="s">
        <v>290</v>
      </c>
      <c r="E229" s="20" t="str">
        <f t="shared" si="17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16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176</v>
      </c>
      <c r="E230" s="20" t="str">
        <f t="shared" si="17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6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2" spans="1:12" x14ac:dyDescent="0.3">
      <c r="A232" t="s">
        <v>291</v>
      </c>
    </row>
    <row r="233" spans="1:12" x14ac:dyDescent="0.3">
      <c r="A233" t="s">
        <v>12</v>
      </c>
      <c r="E233" s="20" t="str">
        <f t="shared" ref="E233:E243" si="18">IF(D233="?OLD","!!!","")</f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ref="H233:H244" ca="1" si="19">IF(J233&lt;&gt;1,"",IF(I233="SBJ","CB","?"))</f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12</v>
      </c>
      <c r="E234" s="20" t="str">
        <f t="shared" si="18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19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292</v>
      </c>
      <c r="E235" s="20" t="str">
        <f t="shared" si="18"/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19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293</v>
      </c>
      <c r="E236" s="20" t="str">
        <f t="shared" si="18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19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294</v>
      </c>
      <c r="B237" s="26" t="s">
        <v>140</v>
      </c>
      <c r="C237" s="26" t="s">
        <v>141</v>
      </c>
      <c r="D237" s="26" t="s">
        <v>142</v>
      </c>
      <c r="E237" s="20" t="s">
        <v>465</v>
      </c>
      <c r="F237" s="21" t="str">
        <f>IF(OR(E237="",E237="!!!"),"",IF(NOT(ISNA(VLOOKUP(E237,E$1:E236,1,FALSE()))),"OLD",IF(AND(E237&lt;&gt;"",E237&lt;&gt;"!!!"),"NEW","")))</f>
        <v>OLD</v>
      </c>
      <c r="G237" s="22" t="str">
        <f ca="1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?IN_FOCUS</v>
      </c>
      <c r="H237" s="23" t="str">
        <f t="shared" ca="1" si="19"/>
        <v/>
      </c>
      <c r="I237" s="24" t="str">
        <f>IF(OR(E237="",E237="!!!",F237="NEW"),"",INDEX(B$2:B236,-1+SUMPRODUCT(MAX(ROW(E$2:E236)*(E237=E$2:E236)))))</f>
        <v>OBJ_3</v>
      </c>
      <c r="J237" s="24">
        <f ca="1">IF(OR(E237="",E237="!!!",F237="NEW"),"",COUNTBLANK(OFFSET(A$1,,,SUMPRODUCT(MAX(ROW(E$2:E237)*(E237=E$2:E237)))))-COUNTBLANK(OFFSET(A$1,,,SUMPRODUCT(MAX(ROW(E$1:E236)*(E2=E$1:E236))))))</f>
        <v>0</v>
      </c>
      <c r="K237" s="24">
        <f ca="1">IF(OR(E237="",E237="!!!",F237="NEW"),"",INDEX(J$1:J236,SUMPRODUCT(MAX(ROW(E$1:E236)*(E237=E$1:E236)))))</f>
        <v>0</v>
      </c>
      <c r="L237" s="25"/>
    </row>
    <row r="238" spans="1:12" x14ac:dyDescent="0.3">
      <c r="A238" t="s">
        <v>194</v>
      </c>
      <c r="E238" s="20" t="str">
        <f t="shared" si="18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19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295</v>
      </c>
      <c r="E239" s="20" t="str">
        <f t="shared" si="18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19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296</v>
      </c>
      <c r="E240" s="20" t="str">
        <f t="shared" si="18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19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182</v>
      </c>
      <c r="B241" s="26" t="s">
        <v>199</v>
      </c>
      <c r="C241" s="26" t="s">
        <v>141</v>
      </c>
      <c r="D241" s="26" t="s">
        <v>142</v>
      </c>
      <c r="E241" s="20" t="s">
        <v>459</v>
      </c>
      <c r="F241" s="21" t="str">
        <f>IF(OR(E241="",E241="!!!"),"",IF(NOT(ISNA(VLOOKUP(E241,E$1:E240,1,FALSE()))),"OLD",IF(AND(E241&lt;&gt;"",E241&lt;&gt;"!!!"),"NEW","")))</f>
        <v>OLD</v>
      </c>
      <c r="G241" s="22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?IN_FOCUS</v>
      </c>
      <c r="H241" s="23" t="str">
        <f t="shared" ca="1" si="19"/>
        <v/>
      </c>
      <c r="I241" s="24" t="str">
        <f>IF(OR(E241="",E241="!!!",F241="NEW"),"",INDEX(B$2:B240,-1+SUMPRODUCT(MAX(ROW(E$2:E240)*(E241=E$2:E240)))))</f>
        <v>other_4</v>
      </c>
      <c r="J241" s="24">
        <f ca="1">IF(OR(E241="",E241="!!!",F241="NEW"),"",COUNTBLANK(OFFSET(A$1,,,SUMPRODUCT(MAX(ROW(E$2:E241)*(E241=E$2:E241)))))-COUNTBLANK(OFFSET(A$1,,,SUMPRODUCT(MAX(ROW(E$1:E240)*(E2=E$1:E240))))))</f>
        <v>0</v>
      </c>
      <c r="K241" s="24">
        <f ca="1">IF(OR(E241="",E241="!!!",F241="NEW"),"",INDEX(J$1:J240,SUMPRODUCT(MAX(ROW(E$1:E240)*(E241=E$1:E240)))))</f>
        <v>0</v>
      </c>
      <c r="L241" s="25"/>
    </row>
    <row r="242" spans="1:12" x14ac:dyDescent="0.3">
      <c r="A242" t="s">
        <v>214</v>
      </c>
      <c r="E242" s="20" t="str">
        <f t="shared" si="18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19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201</v>
      </c>
      <c r="E243" s="20" t="str">
        <f t="shared" si="18"/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19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297</v>
      </c>
      <c r="B244" s="26" t="s">
        <v>197</v>
      </c>
      <c r="C244" s="26" t="s">
        <v>213</v>
      </c>
      <c r="D244" s="26" t="s">
        <v>142</v>
      </c>
      <c r="E244" s="20" t="s">
        <v>468</v>
      </c>
      <c r="F244" s="21" t="str">
        <f>IF(OR(E244="",E244="!!!"),"",IF(NOT(ISNA(VLOOKUP(E244,E$1:E243,1,FALSE()))),"OLD",IF(AND(E244&lt;&gt;"",E244&lt;&gt;"!!!"),"NEW","")))</f>
        <v>OLD</v>
      </c>
      <c r="G244" s="22" t="str">
        <f ca="1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?IN_FOCUS</v>
      </c>
      <c r="H244" s="23" t="str">
        <f t="shared" ca="1" si="19"/>
        <v/>
      </c>
      <c r="I244" s="24" t="str">
        <f>IF(OR(E244="",E244="!!!",F244="NEW"),"",INDEX(B$2:B243,-1+SUMPRODUCT(MAX(ROW(E$2:E243)*(E244=E$2:E243)))))</f>
        <v>SBJ_4</v>
      </c>
      <c r="J244" s="24">
        <f ca="1">IF(OR(E244="",E244="!!!",F244="NEW"),"",COUNTBLANK(OFFSET(A$1,,,SUMPRODUCT(MAX(ROW(E$2:E244)*(E244=E$2:E244)))))-COUNTBLANK(OFFSET(A$1,,,SUMPRODUCT(MAX(ROW(E$1:E243)*(E2=E$1:E243))))))</f>
        <v>0</v>
      </c>
      <c r="K244" s="24">
        <f ca="1">IF(OR(E244="",E244="!!!",F244="NEW"),"",INDEX(J$1:J243,SUMPRODUCT(MAX(ROW(E$1:E243)*(E244=E$1:E243)))))</f>
        <v>0</v>
      </c>
      <c r="L244" s="25"/>
    </row>
    <row r="246" spans="1:12" x14ac:dyDescent="0.3">
      <c r="A246" t="s">
        <v>298</v>
      </c>
    </row>
    <row r="247" spans="1:12" x14ac:dyDescent="0.3">
      <c r="A247" t="s">
        <v>12</v>
      </c>
      <c r="E247" s="20" t="str">
        <f t="shared" ref="E247:E278" si="20">IF(D247="?OLD","!!!","")</f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ref="H247:H278" ca="1" si="21">IF(J247&lt;&gt;1,"",IF(I247="SBJ","CB","?"))</f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12</v>
      </c>
      <c r="E248" s="20" t="str">
        <f t="shared" si="20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21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57</v>
      </c>
      <c r="E249" s="20" t="str">
        <f t="shared" si="20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21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299</v>
      </c>
      <c r="E250" s="20" t="str">
        <f t="shared" si="20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1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300</v>
      </c>
      <c r="B251" s="26" t="s">
        <v>203</v>
      </c>
      <c r="C251" s="26" t="s">
        <v>152</v>
      </c>
      <c r="E251" s="20" t="str">
        <f t="shared" si="20"/>
        <v/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21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153</v>
      </c>
      <c r="E252" s="20" t="str">
        <f t="shared" si="20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21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214</v>
      </c>
      <c r="E253" s="20" t="str">
        <f t="shared" si="20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21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201</v>
      </c>
      <c r="E254" s="20" t="str">
        <f t="shared" si="20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1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187</v>
      </c>
      <c r="E255" s="20" t="str">
        <f t="shared" si="20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1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202</v>
      </c>
      <c r="B256" s="26" t="s">
        <v>171</v>
      </c>
      <c r="C256" s="26" t="s">
        <v>204</v>
      </c>
      <c r="D256" s="26" t="s">
        <v>142</v>
      </c>
      <c r="E256" s="20" t="s">
        <v>459</v>
      </c>
      <c r="F256" s="21" t="str">
        <f>IF(OR(E256="",E256="!!!"),"",IF(NOT(ISNA(VLOOKUP(E256,E$1:E255,1,FALSE()))),"OLD",IF(AND(E256&lt;&gt;"",E256&lt;&gt;"!!!"),"NEW","")))</f>
        <v>OLD</v>
      </c>
      <c r="G256" s="22" t="str">
        <f ca="1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?IN_FOCUS</v>
      </c>
      <c r="H256" s="23" t="str">
        <f t="shared" ca="1" si="21"/>
        <v/>
      </c>
      <c r="I256" s="24" t="str">
        <f>IF(OR(E256="",E256="!!!",F256="NEW"),"",INDEX(B$2:B255,-1+SUMPRODUCT(MAX(ROW(E$2:E255)*(E256=E$2:E255)))))</f>
        <v>OBJ_2</v>
      </c>
      <c r="J256" s="24">
        <f ca="1">IF(OR(E256="",E256="!!!",F256="NEW"),"",COUNTBLANK(OFFSET(A$1,,,SUMPRODUCT(MAX(ROW(E$2:E256)*(E256=E$2:E256)))))-COUNTBLANK(OFFSET(A$1,,,SUMPRODUCT(MAX(ROW(E$1:E255)*(E2=E$1:E255))))))</f>
        <v>0</v>
      </c>
      <c r="K256" s="24">
        <f ca="1">IF(OR(E256="",E256="!!!",F256="NEW"),"",INDEX(J$1:J255,SUMPRODUCT(MAX(ROW(E$1:E255)*(E256=E$1:E255)))))</f>
        <v>0</v>
      </c>
      <c r="L256" s="25"/>
    </row>
    <row r="257" spans="1:12" x14ac:dyDescent="0.3">
      <c r="A257" t="s">
        <v>189</v>
      </c>
      <c r="E257" s="20" t="str">
        <f t="shared" si="20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21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256</v>
      </c>
      <c r="E258" s="20" t="str">
        <f t="shared" si="20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21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301</v>
      </c>
      <c r="B259" s="26" t="s">
        <v>197</v>
      </c>
      <c r="C259" s="26" t="s">
        <v>302</v>
      </c>
      <c r="D259" s="26" t="s">
        <v>142</v>
      </c>
      <c r="E259" s="20" t="str">
        <f t="shared" si="20"/>
        <v>!!!</v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21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303</v>
      </c>
      <c r="E260" s="20" t="str">
        <f t="shared" si="20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21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304</v>
      </c>
      <c r="E261" s="20" t="str">
        <f t="shared" si="20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1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305</v>
      </c>
      <c r="E262" s="20" t="str">
        <f t="shared" si="20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1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201</v>
      </c>
      <c r="E263" s="20" t="str">
        <f t="shared" si="20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1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306</v>
      </c>
      <c r="B264" s="26" t="s">
        <v>146</v>
      </c>
      <c r="C264" s="26" t="s">
        <v>213</v>
      </c>
      <c r="D264" s="26" t="s">
        <v>142</v>
      </c>
      <c r="E264" s="20" t="str">
        <f t="shared" si="20"/>
        <v>!!!</v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1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195</v>
      </c>
      <c r="E265" s="20" t="str">
        <f t="shared" si="20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1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307</v>
      </c>
      <c r="B266" s="26" t="s">
        <v>159</v>
      </c>
      <c r="C266" s="26" t="s">
        <v>141</v>
      </c>
      <c r="D266" s="26" t="s">
        <v>142</v>
      </c>
      <c r="E266" s="20" t="s">
        <v>468</v>
      </c>
      <c r="F266" s="21" t="str">
        <f>IF(OR(E266="",E266="!!!"),"",IF(NOT(ISNA(VLOOKUP(E266,E$1:E265,1,FALSE()))),"OLD",IF(AND(E266&lt;&gt;"",E266&lt;&gt;"!!!"),"NEW","")))</f>
        <v>OLD</v>
      </c>
      <c r="G266" s="22" t="str">
        <f ca="1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?IN_FOCUS</v>
      </c>
      <c r="H266" s="23" t="str">
        <f t="shared" ca="1" si="21"/>
        <v/>
      </c>
      <c r="I266" s="24" t="str">
        <f>IF(OR(E266="",E266="!!!",F266="NEW"),"",INDEX(B$2:B265,-1+SUMPRODUCT(MAX(ROW(E$2:E265)*(E266=E$2:E265)))))</f>
        <v>SBJ_2</v>
      </c>
      <c r="J266" s="24">
        <f ca="1">IF(OR(E266="",E266="!!!",F266="NEW"),"",COUNTBLANK(OFFSET(A$1,,,SUMPRODUCT(MAX(ROW(E$2:E266)*(E266=E$2:E266)))))-COUNTBLANK(OFFSET(A$1,,,SUMPRODUCT(MAX(ROW(E$1:E265)*(E2=E$1:E265))))))</f>
        <v>0</v>
      </c>
      <c r="K266" s="24">
        <f ca="1">IF(OR(E266="",E266="!!!",F266="NEW"),"",INDEX(J$1:J265,SUMPRODUCT(MAX(ROW(E$1:E265)*(E266=E$1:E265)))))</f>
        <v>0</v>
      </c>
      <c r="L266" s="25"/>
    </row>
    <row r="267" spans="1:12" x14ac:dyDescent="0.3">
      <c r="A267" t="s">
        <v>308</v>
      </c>
      <c r="E267" s="20" t="str">
        <f t="shared" si="20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1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309</v>
      </c>
      <c r="E268" s="20" t="str">
        <f t="shared" si="20"/>
        <v/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1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310</v>
      </c>
      <c r="B269" s="26" t="s">
        <v>191</v>
      </c>
      <c r="C269" s="26" t="s">
        <v>265</v>
      </c>
      <c r="E269" s="20" t="str">
        <f t="shared" si="20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1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153</v>
      </c>
      <c r="E270" s="20" t="str">
        <f t="shared" si="20"/>
        <v/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1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261</v>
      </c>
      <c r="E271" s="20" t="str">
        <f t="shared" si="20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1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154</v>
      </c>
      <c r="E272" s="20" t="str">
        <f t="shared" si="20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1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311</v>
      </c>
      <c r="E273" s="20" t="str">
        <f t="shared" si="20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21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312</v>
      </c>
      <c r="B274" s="26" t="s">
        <v>242</v>
      </c>
      <c r="C274" s="26" t="s">
        <v>213</v>
      </c>
      <c r="D274" s="26" t="s">
        <v>142</v>
      </c>
      <c r="E274" s="20" t="str">
        <f t="shared" si="20"/>
        <v>!!!</v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1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150</v>
      </c>
      <c r="E275" s="20" t="str">
        <f t="shared" si="20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1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201</v>
      </c>
      <c r="E276" s="20" t="str">
        <f t="shared" si="20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1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151</v>
      </c>
      <c r="B277" s="26" t="s">
        <v>221</v>
      </c>
      <c r="C277" s="26" t="s">
        <v>213</v>
      </c>
      <c r="D277" s="26" t="s">
        <v>142</v>
      </c>
      <c r="E277" s="20" t="str">
        <f t="shared" si="20"/>
        <v>!!!</v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1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176</v>
      </c>
      <c r="E278" s="20" t="str">
        <f t="shared" si="20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1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80" spans="1:12" x14ac:dyDescent="0.3">
      <c r="A280" t="s">
        <v>313</v>
      </c>
    </row>
    <row r="281" spans="1:12" x14ac:dyDescent="0.3">
      <c r="A281" t="s">
        <v>12</v>
      </c>
      <c r="E281" s="20" t="str">
        <f t="shared" ref="E281:E311" si="22">IF(D281="?OLD","!!!","")</f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ref="H281:H311" ca="1" si="23">IF(J281&lt;&gt;1,"",IF(I281="SBJ","CB","?"))</f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12</v>
      </c>
      <c r="E282" s="20" t="str">
        <f t="shared" si="22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3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314</v>
      </c>
      <c r="E283" s="20" t="str">
        <f t="shared" si="22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3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194</v>
      </c>
      <c r="E284" s="20" t="str">
        <f t="shared" si="22"/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23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299</v>
      </c>
      <c r="E285" s="20" t="str">
        <f t="shared" si="22"/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23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214</v>
      </c>
      <c r="E286" s="20" t="str">
        <f t="shared" si="22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23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201</v>
      </c>
      <c r="E287" s="20" t="str">
        <f t="shared" si="22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3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252</v>
      </c>
      <c r="B288" s="26" t="s">
        <v>199</v>
      </c>
      <c r="C288" s="26" t="s">
        <v>204</v>
      </c>
      <c r="D288" s="26" t="s">
        <v>142</v>
      </c>
      <c r="E288" s="20" t="s">
        <v>468</v>
      </c>
      <c r="F288" s="21" t="str">
        <f>IF(OR(E288="",E288="!!!"),"",IF(NOT(ISNA(VLOOKUP(E288,E$1:E287,1,FALSE()))),"OLD",IF(AND(E288&lt;&gt;"",E288&lt;&gt;"!!!"),"NEW","")))</f>
        <v>OLD</v>
      </c>
      <c r="G288" s="22" t="str">
        <f ca="1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?IN_FOCUS</v>
      </c>
      <c r="H288" s="23" t="str">
        <f t="shared" ca="1" si="23"/>
        <v/>
      </c>
      <c r="I288" s="24" t="str">
        <f>IF(OR(E288="",E288="!!!",F288="NEW"),"",INDEX(B$2:B287,-1+SUMPRODUCT(MAX(ROW(E$2:E287)*(E288=E$2:E287)))))</f>
        <v>SBJ_3</v>
      </c>
      <c r="J288" s="24">
        <f ca="1">IF(OR(E288="",E288="!!!",F288="NEW"),"",COUNTBLANK(OFFSET(A$1,,,SUMPRODUCT(MAX(ROW(E$2:E288)*(E288=E$2:E288)))))-COUNTBLANK(OFFSET(A$1,,,SUMPRODUCT(MAX(ROW(E$1:E287)*(E2=E$1:E287))))))</f>
        <v>0</v>
      </c>
      <c r="K288" s="24">
        <f ca="1">IF(OR(E288="",E288="!!!",F288="NEW"),"",INDEX(J$1:J287,SUMPRODUCT(MAX(ROW(E$1:E287)*(E288=E$1:E287)))))</f>
        <v>0</v>
      </c>
      <c r="L288" s="25"/>
    </row>
    <row r="289" spans="1:12" x14ac:dyDescent="0.3">
      <c r="A289" t="s">
        <v>153</v>
      </c>
      <c r="E289" s="20" t="str">
        <f t="shared" si="22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3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315</v>
      </c>
      <c r="B290" s="26" t="s">
        <v>140</v>
      </c>
      <c r="C290" s="26" t="s">
        <v>141</v>
      </c>
      <c r="D290" s="26" t="s">
        <v>142</v>
      </c>
      <c r="E290" s="20" t="s">
        <v>468</v>
      </c>
      <c r="F290" s="21" t="str">
        <f>IF(OR(E290="",E290="!!!"),"",IF(NOT(ISNA(VLOOKUP(E290,E$1:E289,1,FALSE()))),"OLD",IF(AND(E290&lt;&gt;"",E290&lt;&gt;"!!!"),"NEW","")))</f>
        <v>OLD</v>
      </c>
      <c r="G290" s="22" t="str">
        <f ca="1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?IN_FOCUS</v>
      </c>
      <c r="H290" s="23" t="str">
        <f t="shared" ca="1" si="23"/>
        <v/>
      </c>
      <c r="I290" s="24" t="str">
        <f>IF(OR(E290="",E290="!!!",F290="NEW"),"",INDEX(B$2:B289,-1+SUMPRODUCT(MAX(ROW(E$2:E289)*(E290=E$2:E289)))))</f>
        <v>OBJ_2</v>
      </c>
      <c r="J290" s="24">
        <f ca="1">IF(OR(E290="",E290="!!!",F290="NEW"),"",COUNTBLANK(OFFSET(A$1,,,SUMPRODUCT(MAX(ROW(E$2:E290)*(E290=E$2:E290)))))-COUNTBLANK(OFFSET(A$1,,,SUMPRODUCT(MAX(ROW(E$1:E289)*(E2=E$1:E289))))))</f>
        <v>0</v>
      </c>
      <c r="K290" s="24">
        <f ca="1">IF(OR(E290="",E290="!!!",F290="NEW"),"",INDEX(J$1:J289,SUMPRODUCT(MAX(ROW(E$1:E289)*(E290=E$1:E289)))))</f>
        <v>0</v>
      </c>
      <c r="L290" s="25"/>
    </row>
    <row r="291" spans="1:12" x14ac:dyDescent="0.3">
      <c r="A291" t="s">
        <v>316</v>
      </c>
      <c r="E291" s="20" t="str">
        <f t="shared" si="22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3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198</v>
      </c>
      <c r="B292" s="26" t="s">
        <v>199</v>
      </c>
      <c r="C292" s="26" t="s">
        <v>141</v>
      </c>
      <c r="D292" s="26" t="s">
        <v>142</v>
      </c>
      <c r="E292" s="20" t="s">
        <v>465</v>
      </c>
      <c r="F292" s="21" t="str">
        <f>IF(OR(E292="",E292="!!!"),"",IF(NOT(ISNA(VLOOKUP(E292,E$1:E291,1,FALSE()))),"OLD",IF(AND(E292&lt;&gt;"",E292&lt;&gt;"!!!"),"NEW","")))</f>
        <v>OLD</v>
      </c>
      <c r="G292" s="22" t="str">
        <f ca="1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?IN_FOCUS</v>
      </c>
      <c r="H292" s="23" t="str">
        <f t="shared" ca="1" si="23"/>
        <v/>
      </c>
      <c r="I292" s="24" t="str">
        <f>IF(OR(E292="",E292="!!!",F292="NEW"),"",INDEX(B$2:B291,-1+SUMPRODUCT(MAX(ROW(E$2:E291)*(E292=E$2:E291)))))</f>
        <v>SBJ</v>
      </c>
      <c r="J292" s="24">
        <f ca="1">IF(OR(E292="",E292="!!!",F292="NEW"),"",COUNTBLANK(OFFSET(A$1,,,SUMPRODUCT(MAX(ROW(E$2:E292)*(E292=E$2:E292)))))-COUNTBLANK(OFFSET(A$1,,,SUMPRODUCT(MAX(ROW(E$1:E291)*(E2=E$1:E291))))))</f>
        <v>0</v>
      </c>
      <c r="K292" s="24">
        <f ca="1">IF(OR(E292="",E292="!!!",F292="NEW"),"",INDEX(J$1:J291,SUMPRODUCT(MAX(ROW(E$1:E291)*(E292=E$1:E291)))))</f>
        <v>0</v>
      </c>
      <c r="L292" s="25"/>
    </row>
    <row r="293" spans="1:12" x14ac:dyDescent="0.3">
      <c r="A293" t="s">
        <v>49</v>
      </c>
      <c r="E293" s="20" t="str">
        <f t="shared" si="22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3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66</v>
      </c>
      <c r="E294" s="20" t="str">
        <f t="shared" si="22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3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317</v>
      </c>
      <c r="E295" s="20" t="str">
        <f t="shared" si="22"/>
        <v/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3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215</v>
      </c>
      <c r="E296" s="20" t="str">
        <f t="shared" si="22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3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315</v>
      </c>
      <c r="B297" s="26" t="s">
        <v>197</v>
      </c>
      <c r="C297" s="26" t="s">
        <v>141</v>
      </c>
      <c r="D297" s="26" t="s">
        <v>142</v>
      </c>
      <c r="E297" s="20" t="s">
        <v>468</v>
      </c>
      <c r="F297" s="21" t="str">
        <f>IF(OR(E297="",E297="!!!"),"",IF(NOT(ISNA(VLOOKUP(E297,E$1:E296,1,FALSE()))),"OLD",IF(AND(E297&lt;&gt;"",E297&lt;&gt;"!!!"),"NEW","")))</f>
        <v>OLD</v>
      </c>
      <c r="G297" s="22" t="str">
        <f ca="1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?IN_FOCUS</v>
      </c>
      <c r="H297" s="23" t="str">
        <f t="shared" ca="1" si="23"/>
        <v/>
      </c>
      <c r="I297" s="24" t="str">
        <f>IF(OR(E297="",E297="!!!",F297="NEW"),"",INDEX(B$2:B296,-1+SUMPRODUCT(MAX(ROW(E$2:E296)*(E297=E$2:E296)))))</f>
        <v>SBJ</v>
      </c>
      <c r="J297" s="24">
        <f ca="1">IF(OR(E297="",E297="!!!",F297="NEW"),"",COUNTBLANK(OFFSET(A$1,,,SUMPRODUCT(MAX(ROW(E$2:E297)*(E297=E$2:E297)))))-COUNTBLANK(OFFSET(A$1,,,SUMPRODUCT(MAX(ROW(E$1:E296)*(E2=E$1:E296))))))</f>
        <v>0</v>
      </c>
      <c r="K297" s="24">
        <f ca="1">IF(OR(E297="",E297="!!!",F297="NEW"),"",INDEX(J$1:J296,SUMPRODUCT(MAX(ROW(E$1:E296)*(E297=E$1:E296)))))</f>
        <v>0</v>
      </c>
      <c r="L297" s="25"/>
    </row>
    <row r="298" spans="1:12" x14ac:dyDescent="0.3">
      <c r="A298" t="s">
        <v>224</v>
      </c>
      <c r="E298" s="20" t="s">
        <v>468</v>
      </c>
      <c r="F298" s="21" t="str">
        <f>IF(OR(E298="",E298="!!!"),"",IF(NOT(ISNA(VLOOKUP(E298,E$1:E297,1,FALSE()))),"OLD",IF(AND(E298&lt;&gt;"",E298&lt;&gt;"!!!"),"NEW","")))</f>
        <v>OLD</v>
      </c>
      <c r="G298" s="22" t="str">
        <f ca="1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?IN_FOCUS</v>
      </c>
      <c r="H298" s="23" t="str">
        <f t="shared" ca="1" si="23"/>
        <v/>
      </c>
      <c r="I298" s="24" t="str">
        <f>IF(OR(E298="",E298="!!!",F298="NEW"),"",INDEX(B$2:B297,-1+SUMPRODUCT(MAX(ROW(E$2:E297)*(E298=E$2:E297)))))</f>
        <v>SBJ_2</v>
      </c>
      <c r="J298" s="24">
        <f ca="1">IF(OR(E298="",E298="!!!",F298="NEW"),"",COUNTBLANK(OFFSET(A$1,,,SUMPRODUCT(MAX(ROW(E$2:E298)*(E298=E$2:E298)))))-COUNTBLANK(OFFSET(A$1,,,SUMPRODUCT(MAX(ROW(E$1:E297)*(E2=E$1:E297))))))</f>
        <v>0</v>
      </c>
      <c r="K298" s="24">
        <f ca="1">IF(OR(E298="",E298="!!!",F298="NEW"),"",INDEX(J$1:J297,SUMPRODUCT(MAX(ROW(E$1:E297)*(E298=E$1:E297)))))</f>
        <v>0</v>
      </c>
      <c r="L298" s="25"/>
    </row>
    <row r="299" spans="1:12" x14ac:dyDescent="0.3">
      <c r="A299" t="s">
        <v>318</v>
      </c>
      <c r="E299" s="20" t="str">
        <f t="shared" si="22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3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170</v>
      </c>
      <c r="E300" s="20" t="str">
        <f t="shared" si="22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3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286</v>
      </c>
      <c r="E301" s="20" t="str">
        <f t="shared" si="22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23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304</v>
      </c>
      <c r="E302" s="20" t="str">
        <f t="shared" si="22"/>
        <v/>
      </c>
      <c r="F302" s="21" t="str">
        <f>IF(OR(E302="",E302="!!!"),"",IF(NOT(ISNA(VLOOKUP(E302,E$1:E301,1,FALSE()))),"OLD",IF(AND(E302&lt;&gt;"",E302&lt;&gt;"!!!"),"NEW","")))</f>
        <v/>
      </c>
      <c r="G302" s="22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3" t="str">
        <f t="shared" ca="1" si="23"/>
        <v/>
      </c>
      <c r="I302" s="24" t="str">
        <f>IF(OR(E302="",E302="!!!",F302="NEW"),"",INDEX(B$2:B301,-1+SUMPRODUCT(MAX(ROW(E$2:E301)*(E302=E$2:E301)))))</f>
        <v/>
      </c>
      <c r="J302" s="24" t="str">
        <f ca="1">IF(OR(E302="",E302="!!!",F302="NEW"),"",COUNTBLANK(OFFSET(A$1,,,SUMPRODUCT(MAX(ROW(E$2:E302)*(E302=E$2:E302)))))-COUNTBLANK(OFFSET(A$1,,,SUMPRODUCT(MAX(ROW(E$1:E301)*(E2=E$1:E301))))))</f>
        <v/>
      </c>
      <c r="K302" s="24" t="str">
        <f>IF(OR(E302="",E302="!!!",F302="NEW"),"",INDEX(J$1:J301,SUMPRODUCT(MAX(ROW(E$1:E301)*(E302=E$1:E301)))))</f>
        <v/>
      </c>
      <c r="L302" s="25"/>
    </row>
    <row r="303" spans="1:12" x14ac:dyDescent="0.3">
      <c r="A303" t="s">
        <v>232</v>
      </c>
      <c r="E303" s="20" t="str">
        <f t="shared" si="22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23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319</v>
      </c>
      <c r="B304" s="26" t="s">
        <v>203</v>
      </c>
      <c r="C304" s="26" t="s">
        <v>204</v>
      </c>
      <c r="D304" s="26" t="s">
        <v>142</v>
      </c>
      <c r="E304" s="20" t="str">
        <f t="shared" si="22"/>
        <v>!!!</v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3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153</v>
      </c>
      <c r="E305" s="20" t="str">
        <f t="shared" si="22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23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173</v>
      </c>
      <c r="E306" s="20" t="str">
        <f t="shared" si="22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3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320</v>
      </c>
      <c r="B307" s="26" t="s">
        <v>242</v>
      </c>
      <c r="C307" s="26" t="s">
        <v>160</v>
      </c>
      <c r="D307" s="26" t="s">
        <v>142</v>
      </c>
      <c r="E307" s="20" t="s">
        <v>459</v>
      </c>
      <c r="F307" s="21" t="str">
        <f>IF(OR(E307="",E307="!!!"),"",IF(NOT(ISNA(VLOOKUP(E307,E$1:E306,1,FALSE()))),"OLD",IF(AND(E307&lt;&gt;"",E307&lt;&gt;"!!!"),"NEW","")))</f>
        <v>OLD</v>
      </c>
      <c r="G307" s="22" t="str">
        <f ca="1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?IN_FOCUS</v>
      </c>
      <c r="H307" s="23" t="str">
        <f t="shared" ca="1" si="23"/>
        <v/>
      </c>
      <c r="I307" s="24" t="str">
        <f>IF(OR(E307="",E307="!!!",F307="NEW"),"",INDEX(B$2:B306,-1+SUMPRODUCT(MAX(ROW(E$2:E306)*(E307=E$2:E306)))))</f>
        <v>OBJ_4</v>
      </c>
      <c r="J307" s="24">
        <f ca="1">IF(OR(E307="",E307="!!!",F307="NEW"),"",COUNTBLANK(OFFSET(A$1,,,SUMPRODUCT(MAX(ROW(E$2:E307)*(E307=E$2:E307)))))-COUNTBLANK(OFFSET(A$1,,,SUMPRODUCT(MAX(ROW(E$1:E306)*(E2=E$1:E306))))))</f>
        <v>0</v>
      </c>
      <c r="K307" s="24">
        <f ca="1">IF(OR(E307="",E307="!!!",F307="NEW"),"",INDEX(J$1:J306,SUMPRODUCT(MAX(ROW(E$1:E306)*(E307=E$1:E306)))))</f>
        <v>0</v>
      </c>
      <c r="L307" s="25"/>
    </row>
    <row r="308" spans="1:12" x14ac:dyDescent="0.3">
      <c r="A308" t="s">
        <v>304</v>
      </c>
      <c r="E308" s="20" t="str">
        <f t="shared" si="22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3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232</v>
      </c>
      <c r="E309" s="20" t="str">
        <f t="shared" si="22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23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321</v>
      </c>
      <c r="B310" s="26" t="s">
        <v>221</v>
      </c>
      <c r="C310" s="26" t="s">
        <v>160</v>
      </c>
      <c r="D310" s="26" t="s">
        <v>142</v>
      </c>
      <c r="E310" s="20" t="str">
        <f t="shared" si="22"/>
        <v>!!!</v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23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256</v>
      </c>
      <c r="E311" s="20" t="str">
        <f t="shared" si="22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23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3" spans="1:12" x14ac:dyDescent="0.3">
      <c r="A313" t="s">
        <v>322</v>
      </c>
    </row>
    <row r="314" spans="1:12" x14ac:dyDescent="0.3">
      <c r="A314" t="s">
        <v>173</v>
      </c>
      <c r="E314" s="20" t="str">
        <f t="shared" ref="E314:E323" si="24">IF(D314="?OLD","!!!","")</f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ref="H314:H323" ca="1" si="25">IF(J314&lt;&gt;1,"",IF(I314="SBJ","CB","?"))</f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323</v>
      </c>
      <c r="B315" s="26" t="s">
        <v>183</v>
      </c>
      <c r="C315" s="26" t="s">
        <v>141</v>
      </c>
      <c r="D315" s="26" t="s">
        <v>142</v>
      </c>
      <c r="E315" s="20" t="s">
        <v>460</v>
      </c>
      <c r="F315" s="21" t="str">
        <f>IF(OR(E315="",E315="!!!"),"",IF(NOT(ISNA(VLOOKUP(E315,E$1:E314,1,FALSE()))),"OLD",IF(AND(E315&lt;&gt;"",E315&lt;&gt;"!!!"),"NEW","")))</f>
        <v>NEW</v>
      </c>
      <c r="G315" s="22" t="str">
        <f ca="1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?REFERENTIAL</v>
      </c>
      <c r="H315" s="23" t="str">
        <f t="shared" ca="1" si="25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324</v>
      </c>
      <c r="E316" s="20" t="str">
        <f t="shared" si="24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5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261</v>
      </c>
      <c r="E317" s="20" t="str">
        <f t="shared" si="24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25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190</v>
      </c>
      <c r="E318" s="20" t="str">
        <f t="shared" si="24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25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155</v>
      </c>
      <c r="E319" s="20" t="str">
        <f t="shared" si="24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325</v>
      </c>
      <c r="E320" s="20" t="str">
        <f t="shared" si="24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25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318</v>
      </c>
      <c r="B321" s="26" t="s">
        <v>191</v>
      </c>
      <c r="C321" s="26" t="s">
        <v>160</v>
      </c>
      <c r="D321" s="26" t="s">
        <v>142</v>
      </c>
      <c r="E321" s="20" t="str">
        <f t="shared" si="24"/>
        <v>!!!</v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25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326</v>
      </c>
      <c r="E322" s="20" t="str">
        <f t="shared" si="24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25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176</v>
      </c>
      <c r="E323" s="20" t="str">
        <f t="shared" si="24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25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5" spans="1:12" x14ac:dyDescent="0.3">
      <c r="A325" t="s">
        <v>327</v>
      </c>
    </row>
    <row r="326" spans="1:12" x14ac:dyDescent="0.3">
      <c r="A326" t="s">
        <v>237</v>
      </c>
      <c r="E326" s="20" t="str">
        <f t="shared" ref="E326:E357" si="26">IF(D326="?OLD","!!!","")</f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ref="H326:H357" ca="1" si="27">IF(J326&lt;&gt;1,"",IF(I326="SBJ","CB","?"))</f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252</v>
      </c>
      <c r="B327" s="26" t="s">
        <v>140</v>
      </c>
      <c r="C327" s="26" t="s">
        <v>204</v>
      </c>
      <c r="D327" s="26" t="s">
        <v>142</v>
      </c>
      <c r="E327" s="20" t="s">
        <v>468</v>
      </c>
      <c r="F327" s="21" t="str">
        <f>IF(OR(E327="",E327="!!!"),"",IF(NOT(ISNA(VLOOKUP(E327,E$1:E326,1,FALSE()))),"OLD",IF(AND(E327&lt;&gt;"",E327&lt;&gt;"!!!"),"NEW","")))</f>
        <v>OLD</v>
      </c>
      <c r="G327" s="22" t="str">
        <f ca="1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?IN_FOCUS</v>
      </c>
      <c r="H327" s="23" t="str">
        <f t="shared" ca="1" si="27"/>
        <v/>
      </c>
      <c r="I327" s="24">
        <f>IF(OR(E327="",E327="!!!",F327="NEW"),"",INDEX(B$2:B326,-1+SUMPRODUCT(MAX(ROW(E$2:E326)*(E327=E$2:E326)))))</f>
        <v>0</v>
      </c>
      <c r="J327" s="24">
        <f ca="1">IF(OR(E327="",E327="!!!",F327="NEW"),"",COUNTBLANK(OFFSET(A$1,,,SUMPRODUCT(MAX(ROW(E$2:E327)*(E327=E$2:E327)))))-COUNTBLANK(OFFSET(A$1,,,SUMPRODUCT(MAX(ROW(E$1:E326)*(E2=E$1:E326))))))</f>
        <v>0</v>
      </c>
      <c r="K327" s="24">
        <f ca="1">IF(OR(E327="",E327="!!!",F327="NEW"),"",INDEX(J$1:J326,SUMPRODUCT(MAX(ROW(E$1:E326)*(E327=E$1:E326)))))</f>
        <v>0</v>
      </c>
      <c r="L327" s="25"/>
    </row>
    <row r="328" spans="1:12" x14ac:dyDescent="0.3">
      <c r="A328" t="s">
        <v>218</v>
      </c>
      <c r="E328" s="20" t="s">
        <v>468</v>
      </c>
      <c r="F328" s="21" t="str">
        <f>IF(OR(E328="",E328="!!!"),"",IF(NOT(ISNA(VLOOKUP(E328,E$1:E327,1,FALSE()))),"OLD",IF(AND(E328&lt;&gt;"",E328&lt;&gt;"!!!"),"NEW","")))</f>
        <v>OLD</v>
      </c>
      <c r="G328" s="22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3" t="str">
        <f t="shared" ca="1" si="27"/>
        <v/>
      </c>
      <c r="I328" s="24" t="str">
        <f>IF(OR(E328="",E328="!!!",F328="NEW"),"",INDEX(B$2:B327,-1+SUMPRODUCT(MAX(ROW(E$2:E327)*(E328=E$2:E327)))))</f>
        <v>SBJ</v>
      </c>
      <c r="J328" s="24">
        <f ca="1">IF(OR(E328="",E328="!!!",F328="NEW"),"",COUNTBLANK(OFFSET(A$1,,,SUMPRODUCT(MAX(ROW(E$2:E328)*(E328=E$2:E328)))))-COUNTBLANK(OFFSET(A$1,,,SUMPRODUCT(MAX(ROW(E$1:E327)*(E2=E$1:E327))))))</f>
        <v>0</v>
      </c>
      <c r="K328" s="24">
        <f ca="1">IF(OR(E328="",E328="!!!",F328="NEW"),"",INDEX(J$1:J327,SUMPRODUCT(MAX(ROW(E$1:E327)*(E328=E$1:E327)))))</f>
        <v>0</v>
      </c>
      <c r="L328" s="25"/>
    </row>
    <row r="329" spans="1:12" x14ac:dyDescent="0.3">
      <c r="A329" t="s">
        <v>328</v>
      </c>
      <c r="E329" s="20" t="str">
        <f t="shared" si="26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27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261</v>
      </c>
      <c r="E330" s="20" t="str">
        <f t="shared" si="26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27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329</v>
      </c>
      <c r="E331" s="20" t="str">
        <f t="shared" si="26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7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150</v>
      </c>
      <c r="E332" s="20" t="str">
        <f t="shared" si="26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7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330</v>
      </c>
      <c r="E333" s="20" t="str">
        <f t="shared" si="26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7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164</v>
      </c>
      <c r="B334" s="26" t="s">
        <v>242</v>
      </c>
      <c r="C334" s="26" t="s">
        <v>166</v>
      </c>
      <c r="D334" s="26" t="s">
        <v>142</v>
      </c>
      <c r="E334" s="20" t="s">
        <v>468</v>
      </c>
      <c r="F334" s="21" t="str">
        <f>IF(OR(E334="",E334="!!!"),"",IF(NOT(ISNA(VLOOKUP(E334,E$1:E333,1,FALSE()))),"OLD",IF(AND(E334&lt;&gt;"",E334&lt;&gt;"!!!"),"NEW","")))</f>
        <v>OLD</v>
      </c>
      <c r="G334" s="22" t="str">
        <f ca="1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?IN_FOCUS</v>
      </c>
      <c r="H334" s="23" t="str">
        <f t="shared" ca="1" si="27"/>
        <v/>
      </c>
      <c r="I334" s="24">
        <f>IF(OR(E334="",E334="!!!",F334="NEW"),"",INDEX(B$2:B333,-1+SUMPRODUCT(MAX(ROW(E$2:E333)*(E334=E$2:E333)))))</f>
        <v>0</v>
      </c>
      <c r="J334" s="24">
        <f ca="1">IF(OR(E334="",E334="!!!",F334="NEW"),"",COUNTBLANK(OFFSET(A$1,,,SUMPRODUCT(MAX(ROW(E$2:E334)*(E334=E$2:E334)))))-COUNTBLANK(OFFSET(A$1,,,SUMPRODUCT(MAX(ROW(E$1:E333)*(E2=E$1:E333))))))</f>
        <v>0</v>
      </c>
      <c r="K334" s="24">
        <f ca="1">IF(OR(E334="",E334="!!!",F334="NEW"),"",INDEX(J$1:J333,SUMPRODUCT(MAX(ROW(E$1:E333)*(E334=E$1:E333)))))</f>
        <v>0</v>
      </c>
      <c r="L334" s="25"/>
    </row>
    <row r="335" spans="1:12" x14ac:dyDescent="0.3">
      <c r="A335" t="s">
        <v>331</v>
      </c>
      <c r="B335" s="26" t="s">
        <v>203</v>
      </c>
      <c r="C335" s="26" t="s">
        <v>169</v>
      </c>
      <c r="D335" s="26" t="s">
        <v>142</v>
      </c>
      <c r="E335" s="20" t="str">
        <f t="shared" si="26"/>
        <v>!!!</v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27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304</v>
      </c>
      <c r="E336" s="20" t="str">
        <f t="shared" si="26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27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201</v>
      </c>
      <c r="E337" s="20" t="str">
        <f t="shared" si="26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27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332</v>
      </c>
      <c r="B338" s="26" t="s">
        <v>242</v>
      </c>
      <c r="C338" s="26" t="s">
        <v>213</v>
      </c>
      <c r="D338" s="26" t="s">
        <v>142</v>
      </c>
      <c r="E338" s="20" t="str">
        <f t="shared" si="26"/>
        <v>!!!</v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190</v>
      </c>
      <c r="B339" s="26" t="s">
        <v>168</v>
      </c>
      <c r="E339" s="20" t="str">
        <f t="shared" si="26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143</v>
      </c>
      <c r="E340" s="20" t="str">
        <f t="shared" si="2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201</v>
      </c>
      <c r="E341" s="20" t="str">
        <f t="shared" si="26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27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155</v>
      </c>
      <c r="E342" s="20" t="str">
        <f t="shared" si="26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7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333</v>
      </c>
      <c r="E343" s="20" t="str">
        <f t="shared" si="26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27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153</v>
      </c>
      <c r="E344" s="20" t="str">
        <f t="shared" si="26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7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173</v>
      </c>
      <c r="E345" s="20" t="str">
        <f t="shared" si="26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7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154</v>
      </c>
      <c r="E346" s="20" t="str">
        <f t="shared" si="26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7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148</v>
      </c>
      <c r="E347" s="20" t="str">
        <f t="shared" si="26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27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149</v>
      </c>
      <c r="B348" s="26" t="s">
        <v>197</v>
      </c>
      <c r="C348" s="26" t="s">
        <v>213</v>
      </c>
      <c r="D348" s="26" t="s">
        <v>142</v>
      </c>
      <c r="E348" s="20" t="s">
        <v>459</v>
      </c>
      <c r="F348" s="21" t="str">
        <f>IF(OR(E348="",E348="!!!"),"",IF(NOT(ISNA(VLOOKUP(E348,E$1:E347,1,FALSE()))),"OLD",IF(AND(E348&lt;&gt;"",E348&lt;&gt;"!!!"),"NEW","")))</f>
        <v>OLD</v>
      </c>
      <c r="G348" s="22" t="str">
        <f ca="1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?IN_FOCUS</v>
      </c>
      <c r="H348" s="23" t="str">
        <f t="shared" ca="1" si="27"/>
        <v/>
      </c>
      <c r="I348" s="24" t="str">
        <f>IF(OR(E348="",E348="!!!",F348="NEW"),"",INDEX(B$2:B347,-1+SUMPRODUCT(MAX(ROW(E$2:E347)*(E348=E$2:E347)))))</f>
        <v>other_3</v>
      </c>
      <c r="J348" s="24">
        <f ca="1">IF(OR(E348="",E348="!!!",F348="NEW"),"",COUNTBLANK(OFFSET(A$1,,,SUMPRODUCT(MAX(ROW(E$2:E348)*(E348=E$2:E348)))))-COUNTBLANK(OFFSET(A$1,,,SUMPRODUCT(MAX(ROW(E$1:E347)*(E2=E$1:E347))))))</f>
        <v>0</v>
      </c>
      <c r="K348" s="24">
        <f ca="1">IF(OR(E348="",E348="!!!",F348="NEW"),"",INDEX(J$1:J347,SUMPRODUCT(MAX(ROW(E$1:E347)*(E348=E$1:E347)))))</f>
        <v>0</v>
      </c>
      <c r="L348" s="25"/>
    </row>
    <row r="349" spans="1:12" x14ac:dyDescent="0.3">
      <c r="A349" t="s">
        <v>279</v>
      </c>
      <c r="E349" s="20" t="s">
        <v>459</v>
      </c>
      <c r="F349" s="21" t="str">
        <f>IF(OR(E349="",E349="!!!"),"",IF(NOT(ISNA(VLOOKUP(E349,E$1:E348,1,FALSE()))),"OLD",IF(AND(E349&lt;&gt;"",E349&lt;&gt;"!!!"),"NEW","")))</f>
        <v>OLD</v>
      </c>
      <c r="G349" s="22" t="str">
        <f ca="1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?IN_FOCUS</v>
      </c>
      <c r="H349" s="23" t="str">
        <f t="shared" ca="1" si="27"/>
        <v/>
      </c>
      <c r="I349" s="24" t="str">
        <f>IF(OR(E349="",E349="!!!",F349="NEW"),"",INDEX(B$2:B348,-1+SUMPRODUCT(MAX(ROW(E$2:E348)*(E349=E$2:E348)))))</f>
        <v>SBJ_2</v>
      </c>
      <c r="J349" s="24">
        <f ca="1">IF(OR(E349="",E349="!!!",F349="NEW"),"",COUNTBLANK(OFFSET(A$1,,,SUMPRODUCT(MAX(ROW(E$2:E349)*(E349=E$2:E349)))))-COUNTBLANK(OFFSET(A$1,,,SUMPRODUCT(MAX(ROW(E$1:E348)*(E2=E$1:E348))))))</f>
        <v>0</v>
      </c>
      <c r="K349" s="24">
        <f ca="1">IF(OR(E349="",E349="!!!",F349="NEW"),"",INDEX(J$1:J348,SUMPRODUCT(MAX(ROW(E$1:E348)*(E349=E$1:E348)))))</f>
        <v>0</v>
      </c>
      <c r="L349" s="25"/>
    </row>
    <row r="350" spans="1:12" x14ac:dyDescent="0.3">
      <c r="A350" t="s">
        <v>170</v>
      </c>
      <c r="E350" s="20" t="str">
        <f t="shared" si="26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7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334</v>
      </c>
      <c r="E351" s="20" t="str">
        <f t="shared" si="26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7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304</v>
      </c>
      <c r="E352" s="20" t="str">
        <f t="shared" si="26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7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201</v>
      </c>
      <c r="E353" s="20" t="str">
        <f t="shared" si="26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27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332</v>
      </c>
      <c r="B354" s="26" t="s">
        <v>203</v>
      </c>
      <c r="C354" s="26" t="s">
        <v>213</v>
      </c>
      <c r="D354" s="26" t="s">
        <v>142</v>
      </c>
      <c r="E354" s="20" t="str">
        <f t="shared" si="26"/>
        <v>!!!</v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7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201</v>
      </c>
      <c r="E355" s="20" t="str">
        <f t="shared" si="2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155</v>
      </c>
      <c r="E356" s="20" t="str">
        <f t="shared" si="26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27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335</v>
      </c>
      <c r="E357" s="20" t="str">
        <f t="shared" si="2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153</v>
      </c>
      <c r="E358" s="20" t="str">
        <f t="shared" ref="E358:E387" si="28">IF(D358="?OLD","!!!","")</f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ref="H358:H387" ca="1" si="29">IF(J358&lt;&gt;1,"",IF(I358="SBJ","CB","?"))</f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279</v>
      </c>
      <c r="E359" s="20" t="s">
        <v>459</v>
      </c>
      <c r="F359" s="21" t="str">
        <f>IF(OR(E359="",E359="!!!"),"",IF(NOT(ISNA(VLOOKUP(E359,E$1:E358,1,FALSE()))),"OLD",IF(AND(E359&lt;&gt;"",E359&lt;&gt;"!!!"),"NEW","")))</f>
        <v>OLD</v>
      </c>
      <c r="G359" s="22" t="str">
        <f ca="1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?IN_FOCUS</v>
      </c>
      <c r="H359" s="23" t="str">
        <f t="shared" ca="1" si="29"/>
        <v/>
      </c>
      <c r="I359" s="24">
        <f>IF(OR(E359="",E359="!!!",F359="NEW"),"",INDEX(B$2:B358,-1+SUMPRODUCT(MAX(ROW(E$2:E358)*(E359=E$2:E358)))))</f>
        <v>0</v>
      </c>
      <c r="J359" s="24">
        <f ca="1">IF(OR(E359="",E359="!!!",F359="NEW"),"",COUNTBLANK(OFFSET(A$1,,,SUMPRODUCT(MAX(ROW(E$2:E359)*(E359=E$2:E359)))))-COUNTBLANK(OFFSET(A$1,,,SUMPRODUCT(MAX(ROW(E$1:E358)*(E2=E$1:E358))))))</f>
        <v>0</v>
      </c>
      <c r="K359" s="24">
        <f ca="1">IF(OR(E359="",E359="!!!",F359="NEW"),"",INDEX(J$1:J358,SUMPRODUCT(MAX(ROW(E$1:E358)*(E359=E$1:E358)))))</f>
        <v>0</v>
      </c>
      <c r="L359" s="25"/>
    </row>
    <row r="360" spans="1:12" x14ac:dyDescent="0.3">
      <c r="A360" t="s">
        <v>336</v>
      </c>
      <c r="E360" s="20" t="str">
        <f t="shared" si="28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29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261</v>
      </c>
      <c r="E361" s="20" t="str">
        <f t="shared" si="28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29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337</v>
      </c>
      <c r="E362" s="20" t="str">
        <f t="shared" si="28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29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150</v>
      </c>
      <c r="E363" s="20" t="str">
        <f t="shared" si="28"/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29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211</v>
      </c>
      <c r="E364" s="20" t="str">
        <f t="shared" si="28"/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29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338</v>
      </c>
      <c r="B365" s="26" t="s">
        <v>165</v>
      </c>
      <c r="C365" s="26" t="s">
        <v>213</v>
      </c>
      <c r="D365" s="26" t="s">
        <v>142</v>
      </c>
      <c r="E365" s="20" t="str">
        <f t="shared" si="28"/>
        <v>!!!</v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29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153</v>
      </c>
      <c r="E366" s="20" t="str">
        <f t="shared" si="28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29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261</v>
      </c>
      <c r="E367" s="20" t="str">
        <f t="shared" si="28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9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329</v>
      </c>
      <c r="E368" s="20" t="str">
        <f t="shared" si="28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9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339</v>
      </c>
      <c r="E369" s="20" t="str">
        <f t="shared" si="28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9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150</v>
      </c>
      <c r="E370" s="20" t="str">
        <f t="shared" si="28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9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211</v>
      </c>
      <c r="E371" s="20" t="str">
        <f t="shared" si="28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29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340</v>
      </c>
      <c r="B372" s="26" t="s">
        <v>341</v>
      </c>
      <c r="C372" s="26" t="s">
        <v>213</v>
      </c>
      <c r="D372" s="26" t="s">
        <v>142</v>
      </c>
      <c r="E372" s="20" t="str">
        <f t="shared" si="28"/>
        <v>!!!</v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29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153</v>
      </c>
      <c r="E373" s="20" t="str">
        <f t="shared" si="28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9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173</v>
      </c>
      <c r="E374" s="20" t="str">
        <f t="shared" si="28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29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261</v>
      </c>
      <c r="E375" s="20" t="str">
        <f t="shared" si="28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9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185</v>
      </c>
      <c r="E376" s="20" t="str">
        <f t="shared" si="28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9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150</v>
      </c>
      <c r="E377" s="20" t="str">
        <f t="shared" si="28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9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211</v>
      </c>
      <c r="E378" s="20" t="str">
        <f t="shared" si="28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9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342</v>
      </c>
      <c r="B379" s="26" t="s">
        <v>221</v>
      </c>
      <c r="C379" s="26" t="s">
        <v>213</v>
      </c>
      <c r="D379" s="26" t="s">
        <v>142</v>
      </c>
      <c r="E379" s="20" t="str">
        <f t="shared" si="28"/>
        <v>!!!</v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9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150</v>
      </c>
      <c r="E380" s="20" t="str">
        <f t="shared" si="28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29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211</v>
      </c>
      <c r="E381" s="20" t="str">
        <f t="shared" si="28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343</v>
      </c>
      <c r="E382" s="20" t="str">
        <f t="shared" si="2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344</v>
      </c>
      <c r="B383" s="26" t="s">
        <v>165</v>
      </c>
      <c r="C383" s="26" t="s">
        <v>213</v>
      </c>
      <c r="D383" s="26" t="s">
        <v>142</v>
      </c>
      <c r="E383" s="20" t="str">
        <f t="shared" si="28"/>
        <v>!!!</v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29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157</v>
      </c>
      <c r="B384" s="26" t="s">
        <v>345</v>
      </c>
      <c r="E384" s="20" t="str">
        <f t="shared" si="28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29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227</v>
      </c>
      <c r="B385" s="26" t="s">
        <v>346</v>
      </c>
      <c r="C385" s="26" t="s">
        <v>141</v>
      </c>
      <c r="D385" s="26" t="s">
        <v>142</v>
      </c>
      <c r="E385" s="20" t="s">
        <v>459</v>
      </c>
      <c r="F385" s="21" t="str">
        <f>IF(OR(E385="",E385="!!!"),"",IF(NOT(ISNA(VLOOKUP(E385,E$1:E384,1,FALSE()))),"OLD",IF(AND(E385&lt;&gt;"",E385&lt;&gt;"!!!"),"NEW","")))</f>
        <v>OLD</v>
      </c>
      <c r="G385" s="22" t="str">
        <f ca="1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?IN_FOCUS</v>
      </c>
      <c r="H385" s="23" t="str">
        <f t="shared" ca="1" si="29"/>
        <v/>
      </c>
      <c r="I385" s="24">
        <f>IF(OR(E385="",E385="!!!",F385="NEW"),"",INDEX(B$2:B384,-1+SUMPRODUCT(MAX(ROW(E$2:E384)*(E385=E$2:E384)))))</f>
        <v>0</v>
      </c>
      <c r="J385" s="24">
        <f ca="1">IF(OR(E385="",E385="!!!",F385="NEW"),"",COUNTBLANK(OFFSET(A$1,,,SUMPRODUCT(MAX(ROW(E$2:E385)*(E385=E$2:E385)))))-COUNTBLANK(OFFSET(A$1,,,SUMPRODUCT(MAX(ROW(E$1:E384)*(E2=E$1:E384))))))</f>
        <v>0</v>
      </c>
      <c r="K385" s="24">
        <f ca="1">IF(OR(E385="",E385="!!!",F385="NEW"),"",INDEX(J$1:J384,SUMPRODUCT(MAX(ROW(E$1:E384)*(E385=E$1:E384)))))</f>
        <v>0</v>
      </c>
      <c r="L385" s="25"/>
    </row>
    <row r="386" spans="1:12" x14ac:dyDescent="0.3">
      <c r="A386" t="s">
        <v>347</v>
      </c>
      <c r="E386" s="20" t="str">
        <f t="shared" si="28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29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176</v>
      </c>
      <c r="E387" s="20" t="str">
        <f t="shared" si="28"/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29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9" spans="1:12" x14ac:dyDescent="0.3">
      <c r="A389" t="s">
        <v>348</v>
      </c>
    </row>
    <row r="390" spans="1:12" x14ac:dyDescent="0.3">
      <c r="A390" t="s">
        <v>237</v>
      </c>
      <c r="E390" s="20" t="str">
        <f t="shared" ref="E390:E411" si="30">IF(D390="?OLD","!!!","")</f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ref="H390:H411" ca="1" si="31">IF(J390&lt;&gt;1,"",IF(I390="SBJ","CB","?"))</f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252</v>
      </c>
      <c r="B391" s="26" t="s">
        <v>197</v>
      </c>
      <c r="C391" s="26" t="s">
        <v>204</v>
      </c>
      <c r="D391" s="26" t="s">
        <v>142</v>
      </c>
      <c r="E391" s="20" t="s">
        <v>468</v>
      </c>
      <c r="F391" s="21" t="str">
        <f>IF(OR(E391="",E391="!!!"),"",IF(NOT(ISNA(VLOOKUP(E391,E$1:E390,1,FALSE()))),"OLD",IF(AND(E391&lt;&gt;"",E391&lt;&gt;"!!!"),"NEW","")))</f>
        <v>OLD</v>
      </c>
      <c r="G391" s="22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?IN_FOCUS</v>
      </c>
      <c r="H391" s="23" t="str">
        <f t="shared" ca="1" si="31"/>
        <v/>
      </c>
      <c r="I391" s="24" t="str">
        <f>IF(OR(E391="",E391="!!!",F391="NEW"),"",INDEX(B$2:B390,-1+SUMPRODUCT(MAX(ROW(E$2:E390)*(E391=E$2:E390)))))</f>
        <v>other_3</v>
      </c>
      <c r="J391" s="24">
        <f ca="1">IF(OR(E391="",E391="!!!",F391="NEW"),"",COUNTBLANK(OFFSET(A$1,,,SUMPRODUCT(MAX(ROW(E$2:E391)*(E391=E$2:E391)))))-COUNTBLANK(OFFSET(A$1,,,SUMPRODUCT(MAX(ROW(E$1:E390)*(E2=E$1:E390))))))</f>
        <v>0</v>
      </c>
      <c r="K391" s="24">
        <f ca="1">IF(OR(E391="",E391="!!!",F391="NEW"),"",INDEX(J$1:J390,SUMPRODUCT(MAX(ROW(E$1:E390)*(E391=E$1:E390)))))</f>
        <v>0</v>
      </c>
      <c r="L391" s="25"/>
    </row>
    <row r="392" spans="1:12" x14ac:dyDescent="0.3">
      <c r="A392" t="s">
        <v>204</v>
      </c>
      <c r="E392" s="20" t="str">
        <f t="shared" si="30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1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349</v>
      </c>
      <c r="E393" s="20" t="str">
        <f t="shared" si="30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1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277</v>
      </c>
      <c r="E394" s="20" t="str">
        <f t="shared" si="30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31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350</v>
      </c>
      <c r="E395" s="20" t="str">
        <f t="shared" si="30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261</v>
      </c>
      <c r="E396" s="20" t="str">
        <f t="shared" si="3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351</v>
      </c>
      <c r="E397" s="20" t="str">
        <f t="shared" si="30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261</v>
      </c>
      <c r="E398" s="20" t="str">
        <f t="shared" si="30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31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154</v>
      </c>
      <c r="E399" s="20" t="str">
        <f t="shared" si="30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312</v>
      </c>
      <c r="B400" s="26" t="s">
        <v>242</v>
      </c>
      <c r="C400" s="26" t="s">
        <v>213</v>
      </c>
      <c r="D400" s="26" t="s">
        <v>142</v>
      </c>
      <c r="E400" s="20" t="str">
        <f t="shared" si="30"/>
        <v>!!!</v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31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150</v>
      </c>
      <c r="E401" s="20" t="str">
        <f t="shared" si="3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154</v>
      </c>
      <c r="E402" s="20" t="str">
        <f t="shared" si="30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31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174</v>
      </c>
      <c r="E403" s="20" t="s">
        <v>465</v>
      </c>
      <c r="F403" s="21" t="str">
        <f>IF(OR(E403="",E403="!!!"),"",IF(NOT(ISNA(VLOOKUP(E403,E$1:E402,1,FALSE()))),"OLD",IF(AND(E403&lt;&gt;"",E403&lt;&gt;"!!!"),"NEW","")))</f>
        <v>OLD</v>
      </c>
      <c r="G403" s="22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?IN_FOCUS</v>
      </c>
      <c r="H403" s="23" t="str">
        <f t="shared" ca="1" si="31"/>
        <v/>
      </c>
      <c r="I403" s="24" t="str">
        <f>IF(OR(E403="",E403="!!!",F403="NEW"),"",INDEX(B$2:B402,-1+SUMPRODUCT(MAX(ROW(E$2:E402)*(E403=E$2:E402)))))</f>
        <v>OBJ_2</v>
      </c>
      <c r="J403" s="24">
        <f ca="1">IF(OR(E403="",E403="!!!",F403="NEW"),"",COUNTBLANK(OFFSET(A$1,,,SUMPRODUCT(MAX(ROW(E$2:E403)*(E403=E$2:E403)))))-COUNTBLANK(OFFSET(A$1,,,SUMPRODUCT(MAX(ROW(E$1:E402)*(E2=E$1:E402))))))</f>
        <v>0</v>
      </c>
      <c r="K403" s="24">
        <f ca="1">IF(OR(E403="",E403="!!!",F403="NEW"),"",INDEX(J$1:J402,SUMPRODUCT(MAX(ROW(E$1:E402)*(E403=E$1:E402)))))</f>
        <v>0</v>
      </c>
      <c r="L403" s="25"/>
    </row>
    <row r="404" spans="1:12" x14ac:dyDescent="0.3">
      <c r="A404" t="s">
        <v>256</v>
      </c>
      <c r="E404" s="20" t="str">
        <f t="shared" si="30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31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258</v>
      </c>
      <c r="B405" s="26" t="s">
        <v>140</v>
      </c>
      <c r="C405" s="26" t="s">
        <v>141</v>
      </c>
      <c r="D405" s="26" t="s">
        <v>142</v>
      </c>
      <c r="E405" s="20" t="s">
        <v>468</v>
      </c>
      <c r="F405" s="21" t="str">
        <f>IF(OR(E405="",E405="!!!"),"",IF(NOT(ISNA(VLOOKUP(E405,E$1:E404,1,FALSE()))),"OLD",IF(AND(E405&lt;&gt;"",E405&lt;&gt;"!!!"),"NEW","")))</f>
        <v>OLD</v>
      </c>
      <c r="G405" s="22" t="str">
        <f ca="1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?IN_FOCUS</v>
      </c>
      <c r="H405" s="23" t="str">
        <f t="shared" ca="1" si="31"/>
        <v/>
      </c>
      <c r="I405" s="24" t="str">
        <f>IF(OR(E405="",E405="!!!",F405="NEW"),"",INDEX(B$2:B404,-1+SUMPRODUCT(MAX(ROW(E$2:E404)*(E405=E$2:E404)))))</f>
        <v>SBJ_2</v>
      </c>
      <c r="J405" s="24">
        <f ca="1">IF(OR(E405="",E405="!!!",F405="NEW"),"",COUNTBLANK(OFFSET(A$1,,,SUMPRODUCT(MAX(ROW(E$2:E405)*(E405=E$2:E405)))))-COUNTBLANK(OFFSET(A$1,,,SUMPRODUCT(MAX(ROW(E$1:E404)*(E2=E$1:E404))))))</f>
        <v>0</v>
      </c>
      <c r="K405" s="24">
        <f ca="1">IF(OR(E405="",E405="!!!",F405="NEW"),"",INDEX(J$1:J404,SUMPRODUCT(MAX(ROW(E$1:E404)*(E405=E$1:E404)))))</f>
        <v>0</v>
      </c>
      <c r="L405" s="25"/>
    </row>
    <row r="406" spans="1:12" x14ac:dyDescent="0.3">
      <c r="A406" t="s">
        <v>352</v>
      </c>
      <c r="E406" s="20" t="str">
        <f t="shared" si="3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3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215</v>
      </c>
      <c r="E407" s="20" t="str">
        <f t="shared" si="30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3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353</v>
      </c>
      <c r="B408" s="26" t="s">
        <v>183</v>
      </c>
      <c r="C408" s="26" t="s">
        <v>152</v>
      </c>
      <c r="E408" s="20" t="str">
        <f t="shared" si="3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153</v>
      </c>
      <c r="E409" s="20" t="str">
        <f t="shared" si="30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1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353</v>
      </c>
      <c r="B410" s="26" t="s">
        <v>203</v>
      </c>
      <c r="C410" s="26" t="s">
        <v>152</v>
      </c>
      <c r="E410" s="20" t="str">
        <f t="shared" si="30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31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176</v>
      </c>
      <c r="E411" s="20" t="str">
        <f t="shared" si="30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1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3" spans="1:12" x14ac:dyDescent="0.3">
      <c r="A413" t="s">
        <v>354</v>
      </c>
    </row>
    <row r="414" spans="1:12" x14ac:dyDescent="0.3">
      <c r="A414" t="s">
        <v>12</v>
      </c>
      <c r="E414" s="20" t="str">
        <f t="shared" ref="E414:E456" si="32">IF(D414="?OLD","!!!","")</f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ref="H414:H456" ca="1" si="33">IF(J414&lt;&gt;1,"",IF(I414="SBJ","CB","?"))</f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12</v>
      </c>
      <c r="E415" s="20" t="str">
        <f t="shared" si="32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33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355</v>
      </c>
      <c r="B416" s="26" t="s">
        <v>197</v>
      </c>
      <c r="C416" s="26" t="s">
        <v>356</v>
      </c>
      <c r="E416" s="20" t="s">
        <v>461</v>
      </c>
      <c r="F416" s="21" t="str">
        <f>IF(OR(E416="",E416="!!!"),"",IF(NOT(ISNA(VLOOKUP(E416,E$1:E415,1,FALSE()))),"OLD",IF(AND(E416&lt;&gt;"",E416&lt;&gt;"!!!"),"NEW","")))</f>
        <v>NEW</v>
      </c>
      <c r="G416" s="22" t="str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?REFERENTIAL</v>
      </c>
      <c r="H416" s="23" t="str">
        <f t="shared" ca="1" si="33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303</v>
      </c>
      <c r="E417" s="20" t="str">
        <f t="shared" si="32"/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33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357</v>
      </c>
      <c r="E418" s="20" t="str">
        <f t="shared" si="32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33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296</v>
      </c>
      <c r="E419" s="20" t="str">
        <f t="shared" si="32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33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358</v>
      </c>
      <c r="E420" s="20" t="str">
        <f t="shared" si="32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33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359</v>
      </c>
      <c r="B421" s="26" t="s">
        <v>140</v>
      </c>
      <c r="C421" s="26" t="s">
        <v>302</v>
      </c>
      <c r="D421" s="26" t="s">
        <v>142</v>
      </c>
      <c r="E421" s="20" t="str">
        <f t="shared" si="32"/>
        <v>!!!</v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33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303</v>
      </c>
      <c r="E422" s="20" t="str">
        <f t="shared" si="32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33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360</v>
      </c>
      <c r="B423" s="26" t="s">
        <v>146</v>
      </c>
      <c r="C423" s="26" t="s">
        <v>166</v>
      </c>
      <c r="D423" s="26" t="s">
        <v>142</v>
      </c>
      <c r="E423" s="20" t="s">
        <v>465</v>
      </c>
      <c r="F423" s="21" t="str">
        <f>IF(OR(E423="",E423="!!!"),"",IF(NOT(ISNA(VLOOKUP(E423,E$1:E422,1,FALSE()))),"OLD",IF(AND(E423&lt;&gt;"",E423&lt;&gt;"!!!"),"NEW","")))</f>
        <v>OLD</v>
      </c>
      <c r="G423" s="22" t="str">
        <f ca="1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?IN_FOCUS</v>
      </c>
      <c r="H423" s="23" t="str">
        <f t="shared" ca="1" si="33"/>
        <v/>
      </c>
      <c r="I423" s="24">
        <f>IF(OR(E423="",E423="!!!",F423="NEW"),"",INDEX(B$2:B422,-1+SUMPRODUCT(MAX(ROW(E$2:E422)*(E423=E$2:E422)))))</f>
        <v>0</v>
      </c>
      <c r="J423" s="24">
        <f ca="1">IF(OR(E423="",E423="!!!",F423="NEW"),"",COUNTBLANK(OFFSET(A$1,,,SUMPRODUCT(MAX(ROW(E$2:E423)*(E423=E$2:E423)))))-COUNTBLANK(OFFSET(A$1,,,SUMPRODUCT(MAX(ROW(E$1:E422)*(E2=E$1:E422))))))</f>
        <v>0</v>
      </c>
      <c r="K423" s="24">
        <f ca="1">IF(OR(E423="",E423="!!!",F423="NEW"),"",INDEX(J$1:J422,SUMPRODUCT(MAX(ROW(E$1:E422)*(E423=E$1:E422)))))</f>
        <v>0</v>
      </c>
      <c r="L423" s="25"/>
    </row>
    <row r="424" spans="1:12" x14ac:dyDescent="0.3">
      <c r="A424" t="s">
        <v>149</v>
      </c>
      <c r="B424" s="26" t="s">
        <v>146</v>
      </c>
      <c r="C424" s="26" t="s">
        <v>169</v>
      </c>
      <c r="D424" s="26" t="s">
        <v>142</v>
      </c>
      <c r="E424" s="20" t="s">
        <v>461</v>
      </c>
      <c r="F424" s="21" t="str">
        <f>IF(OR(E424="",E424="!!!"),"",IF(NOT(ISNA(VLOOKUP(E424,E$1:E423,1,FALSE()))),"OLD",IF(AND(E424&lt;&gt;"",E424&lt;&gt;"!!!"),"NEW","")))</f>
        <v>OLD</v>
      </c>
      <c r="G424" s="22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?IN_FOCUS</v>
      </c>
      <c r="H424" s="23" t="str">
        <f t="shared" ca="1" si="33"/>
        <v/>
      </c>
      <c r="I424" s="24" t="str">
        <f>IF(OR(E424="",E424="!!!",F424="NEW"),"",INDEX(B$2:B423,-1+SUMPRODUCT(MAX(ROW(E$2:E423)*(E424=E$2:E423)))))</f>
        <v>SBJ_2</v>
      </c>
      <c r="J424" s="24">
        <f ca="1">IF(OR(E424="",E424="!!!",F424="NEW"),"",COUNTBLANK(OFFSET(A$1,,,SUMPRODUCT(MAX(ROW(E$2:E424)*(E424=E$2:E424)))))-COUNTBLANK(OFFSET(A$1,,,SUMPRODUCT(MAX(ROW(E$1:E423)*(E2=E$1:E423))))))</f>
        <v>0</v>
      </c>
      <c r="K424" s="24" t="str">
        <f ca="1">IF(OR(E424="",E424="!!!",F424="NEW"),"",INDEX(J$1:J423,SUMPRODUCT(MAX(ROW(E$1:E423)*(E424=E$1:E423)))))</f>
        <v/>
      </c>
      <c r="L424" s="25"/>
    </row>
    <row r="425" spans="1:12" x14ac:dyDescent="0.3">
      <c r="A425" t="s">
        <v>153</v>
      </c>
      <c r="E425" s="20" t="str">
        <f t="shared" si="32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33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201</v>
      </c>
      <c r="E426" s="20" t="str">
        <f t="shared" si="32"/>
        <v/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33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187</v>
      </c>
      <c r="E427" s="20" t="str">
        <f t="shared" si="3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3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202</v>
      </c>
      <c r="B428" s="26" t="s">
        <v>146</v>
      </c>
      <c r="C428" s="26" t="s">
        <v>204</v>
      </c>
      <c r="D428" s="26" t="s">
        <v>142</v>
      </c>
      <c r="E428" s="20" t="s">
        <v>461</v>
      </c>
      <c r="F428" s="21" t="str">
        <f>IF(OR(E428="",E428="!!!"),"",IF(NOT(ISNA(VLOOKUP(E428,E$1:E427,1,FALSE()))),"OLD",IF(AND(E428&lt;&gt;"",E428&lt;&gt;"!!!"),"NEW","")))</f>
        <v>OLD</v>
      </c>
      <c r="G428" s="22" t="str">
        <f ca="1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?IN_FOCUS</v>
      </c>
      <c r="H428" s="23" t="str">
        <f t="shared" ca="1" si="33"/>
        <v/>
      </c>
      <c r="I428" s="24" t="str">
        <f>IF(OR(E428="",E428="!!!",F428="NEW"),"",INDEX(B$2:B427,-1+SUMPRODUCT(MAX(ROW(E$2:E427)*(E428=E$2:E427)))))</f>
        <v>other</v>
      </c>
      <c r="J428" s="24">
        <f ca="1">IF(OR(E428="",E428="!!!",F428="NEW"),"",COUNTBLANK(OFFSET(A$1,,,SUMPRODUCT(MAX(ROW(E$2:E428)*(E428=E$2:E428)))))-COUNTBLANK(OFFSET(A$1,,,SUMPRODUCT(MAX(ROW(E$1:E427)*(E2=E$1:E427))))))</f>
        <v>0</v>
      </c>
      <c r="K428" s="24">
        <f ca="1">IF(OR(E428="",E428="!!!",F428="NEW"),"",INDEX(J$1:J427,SUMPRODUCT(MAX(ROW(E$1:E427)*(E428=E$1:E427)))))</f>
        <v>0</v>
      </c>
      <c r="L428" s="25"/>
    </row>
    <row r="429" spans="1:12" x14ac:dyDescent="0.3">
      <c r="A429" t="s">
        <v>189</v>
      </c>
      <c r="E429" s="20" t="str">
        <f t="shared" si="32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3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153</v>
      </c>
      <c r="E430" s="20" t="str">
        <f t="shared" si="32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3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214</v>
      </c>
      <c r="E431" s="20" t="str">
        <f t="shared" si="3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3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201</v>
      </c>
      <c r="E432" s="20" t="str">
        <f t="shared" si="32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33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252</v>
      </c>
      <c r="B433" s="26" t="s">
        <v>191</v>
      </c>
      <c r="C433" s="26" t="s">
        <v>204</v>
      </c>
      <c r="D433" s="26" t="s">
        <v>142</v>
      </c>
      <c r="E433" s="20" t="s">
        <v>468</v>
      </c>
      <c r="F433" s="21" t="str">
        <f>IF(OR(E433="",E433="!!!"),"",IF(NOT(ISNA(VLOOKUP(E433,E$1:E432,1,FALSE()))),"OLD",IF(AND(E433&lt;&gt;"",E433&lt;&gt;"!!!"),"NEW","")))</f>
        <v>OLD</v>
      </c>
      <c r="G433" s="22" t="str">
        <f ca="1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?IN_FOCUS</v>
      </c>
      <c r="H433" s="23" t="str">
        <f t="shared" ca="1" si="33"/>
        <v/>
      </c>
      <c r="I433" s="24" t="str">
        <f>IF(OR(E433="",E433="!!!",F433="NEW"),"",INDEX(B$2:B432,-1+SUMPRODUCT(MAX(ROW(E$2:E432)*(E433=E$2:E432)))))</f>
        <v>SBJ</v>
      </c>
      <c r="J433" s="24">
        <f ca="1">IF(OR(E433="",E433="!!!",F433="NEW"),"",COUNTBLANK(OFFSET(A$1,,,SUMPRODUCT(MAX(ROW(E$2:E433)*(E433=E$2:E433)))))-COUNTBLANK(OFFSET(A$1,,,SUMPRODUCT(MAX(ROW(E$1:E432)*(E2=E$1:E432))))))</f>
        <v>0</v>
      </c>
      <c r="K433" s="24">
        <f ca="1">IF(OR(E433="",E433="!!!",F433="NEW"),"",INDEX(J$1:J432,SUMPRODUCT(MAX(ROW(E$1:E432)*(E433=E$1:E432)))))</f>
        <v>0</v>
      </c>
      <c r="L433" s="25"/>
    </row>
    <row r="434" spans="1:12" x14ac:dyDescent="0.3">
      <c r="A434" t="s">
        <v>170</v>
      </c>
      <c r="E434" s="20" t="str">
        <f t="shared" si="32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33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361</v>
      </c>
      <c r="E435" s="20" t="str">
        <f t="shared" si="32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33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164</v>
      </c>
      <c r="B436" s="26" t="s">
        <v>165</v>
      </c>
      <c r="C436" s="26" t="s">
        <v>166</v>
      </c>
      <c r="D436" s="26" t="s">
        <v>142</v>
      </c>
      <c r="E436" s="20" t="s">
        <v>468</v>
      </c>
      <c r="F436" s="21" t="str">
        <f>IF(OR(E436="",E436="!!!"),"",IF(NOT(ISNA(VLOOKUP(E436,E$1:E435,1,FALSE()))),"OLD",IF(AND(E436&lt;&gt;"",E436&lt;&gt;"!!!"),"NEW","")))</f>
        <v>OLD</v>
      </c>
      <c r="G436" s="22" t="str">
        <f ca="1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?IN_FOCUS</v>
      </c>
      <c r="H436" s="23" t="str">
        <f t="shared" ca="1" si="33"/>
        <v/>
      </c>
      <c r="I436" s="24" t="str">
        <f>IF(OR(E436="",E436="!!!",F436="NEW"),"",INDEX(B$2:B435,-1+SUMPRODUCT(MAX(ROW(E$2:E435)*(E436=E$2:E435)))))</f>
        <v>OBJ_3</v>
      </c>
      <c r="J436" s="24">
        <f ca="1">IF(OR(E436="",E436="!!!",F436="NEW"),"",COUNTBLANK(OFFSET(A$1,,,SUMPRODUCT(MAX(ROW(E$2:E436)*(E436=E$2:E436)))))-COUNTBLANK(OFFSET(A$1,,,SUMPRODUCT(MAX(ROW(E$1:E435)*(E2=E$1:E435))))))</f>
        <v>0</v>
      </c>
      <c r="K436" s="24">
        <f ca="1">IF(OR(E436="",E436="!!!",F436="NEW"),"",INDEX(J$1:J435,SUMPRODUCT(MAX(ROW(E$1:E435)*(E436=E$1:E435)))))</f>
        <v>0</v>
      </c>
      <c r="L436" s="25"/>
    </row>
    <row r="437" spans="1:12" x14ac:dyDescent="0.3">
      <c r="A437" t="s">
        <v>362</v>
      </c>
      <c r="B437" s="26" t="s">
        <v>171</v>
      </c>
      <c r="C437" s="26" t="s">
        <v>169</v>
      </c>
      <c r="D437" s="26" t="s">
        <v>142</v>
      </c>
      <c r="E437" s="20" t="str">
        <f t="shared" si="32"/>
        <v>!!!</v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33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153</v>
      </c>
      <c r="E438" s="20" t="str">
        <f t="shared" si="32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33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190</v>
      </c>
      <c r="B439" s="26" t="s">
        <v>228</v>
      </c>
      <c r="E439" s="20" t="s">
        <v>461</v>
      </c>
      <c r="F439" s="21" t="str">
        <f>IF(OR(E439="",E439="!!!"),"",IF(NOT(ISNA(VLOOKUP(E439,E$1:E438,1,FALSE()))),"OLD",IF(AND(E439&lt;&gt;"",E439&lt;&gt;"!!!"),"NEW","")))</f>
        <v>OLD</v>
      </c>
      <c r="G439" s="22" t="str">
        <f ca="1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?IN_FOCUS</v>
      </c>
      <c r="H439" s="23" t="str">
        <f t="shared" ca="1" si="33"/>
        <v/>
      </c>
      <c r="I439" s="24" t="str">
        <f>IF(OR(E439="",E439="!!!",F439="NEW"),"",INDEX(B$2:B438,-1+SUMPRODUCT(MAX(ROW(E$2:E438)*(E439=E$2:E438)))))</f>
        <v>other</v>
      </c>
      <c r="J439" s="24">
        <f ca="1">IF(OR(E439="",E439="!!!",F439="NEW"),"",COUNTBLANK(OFFSET(A$1,,,SUMPRODUCT(MAX(ROW(E$2:E439)*(E439=E$2:E439)))))-COUNTBLANK(OFFSET(A$1,,,SUMPRODUCT(MAX(ROW(E$1:E438)*(E2=E$1:E438))))))</f>
        <v>0</v>
      </c>
      <c r="K439" s="24">
        <f ca="1">IF(OR(E439="",E439="!!!",F439="NEW"),"",INDEX(J$1:J438,SUMPRODUCT(MAX(ROW(E$1:E438)*(E439=E$1:E438)))))</f>
        <v>0</v>
      </c>
      <c r="L439" s="25"/>
    </row>
    <row r="440" spans="1:12" x14ac:dyDescent="0.3">
      <c r="A440" t="s">
        <v>307</v>
      </c>
      <c r="B440" s="26" t="s">
        <v>283</v>
      </c>
      <c r="C440" s="26" t="s">
        <v>141</v>
      </c>
      <c r="D440" s="26" t="s">
        <v>142</v>
      </c>
      <c r="E440" s="20" t="s">
        <v>465</v>
      </c>
      <c r="F440" s="21" t="str">
        <f>IF(OR(E440="",E440="!!!"),"",IF(NOT(ISNA(VLOOKUP(E440,E$1:E439,1,FALSE()))),"OLD",IF(AND(E440&lt;&gt;"",E440&lt;&gt;"!!!"),"NEW","")))</f>
        <v>OLD</v>
      </c>
      <c r="G440" s="22" t="str">
        <f ca="1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?IN_FOCUS</v>
      </c>
      <c r="H440" s="23" t="str">
        <f t="shared" ca="1" si="33"/>
        <v/>
      </c>
      <c r="I440" s="24" t="str">
        <f>IF(OR(E440="",E440="!!!",F440="NEW"),"",INDEX(B$2:B439,-1+SUMPRODUCT(MAX(ROW(E$2:E439)*(E440=E$2:E439)))))</f>
        <v>other</v>
      </c>
      <c r="J440" s="24">
        <f ca="1">IF(OR(E440="",E440="!!!",F440="NEW"),"",COUNTBLANK(OFFSET(A$1,,,SUMPRODUCT(MAX(ROW(E$2:E440)*(E440=E$2:E440)))))-COUNTBLANK(OFFSET(A$1,,,SUMPRODUCT(MAX(ROW(E$1:E439)*(E2=E$1:E439))))))</f>
        <v>0</v>
      </c>
      <c r="K440" s="24">
        <f ca="1">IF(OR(E440="",E440="!!!",F440="NEW"),"",INDEX(J$1:J439,SUMPRODUCT(MAX(ROW(E$1:E439)*(E440=E$1:E439)))))</f>
        <v>0</v>
      </c>
      <c r="L440" s="25"/>
    </row>
    <row r="441" spans="1:12" x14ac:dyDescent="0.3">
      <c r="A441" t="s">
        <v>363</v>
      </c>
      <c r="E441" s="20" t="str">
        <f t="shared" si="32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33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144</v>
      </c>
      <c r="E442" s="20" t="str">
        <f t="shared" si="32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33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28</v>
      </c>
      <c r="B443" s="26" t="s">
        <v>283</v>
      </c>
      <c r="C443" s="26" t="s">
        <v>147</v>
      </c>
      <c r="E443" s="20" t="str">
        <f t="shared" si="32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33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173</v>
      </c>
      <c r="E444" s="20" t="str">
        <f t="shared" si="32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33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186</v>
      </c>
      <c r="E445" s="20" t="str">
        <f t="shared" si="32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33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187</v>
      </c>
      <c r="E446" s="20" t="str">
        <f t="shared" si="32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33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233</v>
      </c>
      <c r="B447" s="26" t="s">
        <v>341</v>
      </c>
      <c r="C447" s="26" t="s">
        <v>147</v>
      </c>
      <c r="E447" s="20" t="str">
        <f t="shared" si="32"/>
        <v/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33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8" spans="1:12" x14ac:dyDescent="0.3">
      <c r="A448" t="s">
        <v>150</v>
      </c>
      <c r="E448" s="20" t="str">
        <f t="shared" si="32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33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234</v>
      </c>
      <c r="B449" s="26" t="s">
        <v>341</v>
      </c>
      <c r="C449" s="26" t="s">
        <v>152</v>
      </c>
      <c r="E449" s="20" t="str">
        <f t="shared" si="32"/>
        <v/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33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153</v>
      </c>
      <c r="E450" s="20" t="str">
        <f t="shared" si="32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33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195</v>
      </c>
      <c r="E451" s="20" t="str">
        <f t="shared" si="32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33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287</v>
      </c>
      <c r="B452" s="26" t="s">
        <v>242</v>
      </c>
      <c r="C452" s="26" t="s">
        <v>166</v>
      </c>
      <c r="D452" s="26" t="s">
        <v>142</v>
      </c>
      <c r="E452" s="20" t="s">
        <v>461</v>
      </c>
      <c r="F452" s="21" t="str">
        <f>IF(OR(E452="",E452="!!!"),"",IF(NOT(ISNA(VLOOKUP(E452,E$1:E451,1,FALSE()))),"OLD",IF(AND(E452&lt;&gt;"",E452&lt;&gt;"!!!"),"NEW","")))</f>
        <v>OLD</v>
      </c>
      <c r="G452" s="22" t="str">
        <f ca="1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?IN_FOCUS</v>
      </c>
      <c r="H452" s="23" t="str">
        <f t="shared" ca="1" si="33"/>
        <v/>
      </c>
      <c r="I452" s="24" t="str">
        <f>IF(OR(E452="",E452="!!!",F452="NEW"),"",INDEX(B$2:B451,-1+SUMPRODUCT(MAX(ROW(E$2:E451)*(E452=E$2:E451)))))</f>
        <v>SBJ_6</v>
      </c>
      <c r="J452" s="24">
        <f ca="1">IF(OR(E452="",E452="!!!",F452="NEW"),"",COUNTBLANK(OFFSET(A$1,,,SUMPRODUCT(MAX(ROW(E$2:E452)*(E452=E$2:E452)))))-COUNTBLANK(OFFSET(A$1,,,SUMPRODUCT(MAX(ROW(E$1:E451)*(E2=E$1:E451))))))</f>
        <v>0</v>
      </c>
      <c r="K452" s="24">
        <f ca="1">IF(OR(E452="",E452="!!!",F452="NEW"),"",INDEX(J$1:J451,SUMPRODUCT(MAX(ROW(E$1:E451)*(E452=E$1:E451)))))</f>
        <v>0</v>
      </c>
      <c r="L452" s="25"/>
    </row>
    <row r="453" spans="1:12" x14ac:dyDescent="0.3">
      <c r="A453" t="s">
        <v>167</v>
      </c>
      <c r="B453" s="26" t="s">
        <v>197</v>
      </c>
      <c r="C453" s="26" t="s">
        <v>169</v>
      </c>
      <c r="D453" s="26" t="s">
        <v>142</v>
      </c>
      <c r="E453" s="20" t="s">
        <v>470</v>
      </c>
      <c r="F453" s="21" t="str">
        <f>IF(OR(E453="",E453="!!!"),"",IF(NOT(ISNA(VLOOKUP(E453,E$1:E452,1,FALSE()))),"OLD",IF(AND(E453&lt;&gt;"",E453&lt;&gt;"!!!"),"NEW","")))</f>
        <v>OLD</v>
      </c>
      <c r="G453" s="22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?IN_FOCUS</v>
      </c>
      <c r="H453" s="23" t="str">
        <f t="shared" ca="1" si="33"/>
        <v/>
      </c>
      <c r="I453" s="24" t="str">
        <f>IF(OR(E453="",E453="!!!",F453="NEW"),"",INDEX(B$2:B452,-1+SUMPRODUCT(MAX(ROW(E$2:E452)*(E453=E$2:E452)))))</f>
        <v>SBJ_3</v>
      </c>
      <c r="J453" s="24">
        <f ca="1">IF(OR(E453="",E453="!!!",F453="NEW"),"",COUNTBLANK(OFFSET(A$1,,,SUMPRODUCT(MAX(ROW(E$2:E453)*(E453=E$2:E453)))))-COUNTBLANK(OFFSET(A$1,,,SUMPRODUCT(MAX(ROW(E$1:E452)*(E2=E$1:E452))))))</f>
        <v>0</v>
      </c>
      <c r="K453" s="24">
        <f ca="1">IF(OR(E453="",E453="!!!",F453="NEW"),"",INDEX(J$1:J452,SUMPRODUCT(MAX(ROW(E$1:E452)*(E453=E$1:E452)))))</f>
        <v>0</v>
      </c>
      <c r="L453" s="25"/>
    </row>
    <row r="454" spans="1:12" x14ac:dyDescent="0.3">
      <c r="A454" t="s">
        <v>307</v>
      </c>
      <c r="B454" s="26" t="s">
        <v>199</v>
      </c>
      <c r="C454" s="26" t="s">
        <v>141</v>
      </c>
      <c r="D454" s="26" t="s">
        <v>142</v>
      </c>
      <c r="E454" s="20" t="s">
        <v>465</v>
      </c>
      <c r="F454" s="21" t="str">
        <f>IF(OR(E454="",E454="!!!"),"",IF(NOT(ISNA(VLOOKUP(E454,E$1:E453,1,FALSE()))),"OLD",IF(AND(E454&lt;&gt;"",E454&lt;&gt;"!!!"),"NEW","")))</f>
        <v>OLD</v>
      </c>
      <c r="G454" s="22" t="str">
        <f ca="1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?IN_FOCUS</v>
      </c>
      <c r="H454" s="23" t="str">
        <f t="shared" ca="1" si="33"/>
        <v/>
      </c>
      <c r="I454" s="24" t="str">
        <f>IF(OR(E454="",E454="!!!",F454="NEW"),"",INDEX(B$2:B453,-1+SUMPRODUCT(MAX(ROW(E$2:E453)*(E454=E$2:E453)))))</f>
        <v>OBJ_6</v>
      </c>
      <c r="J454" s="24">
        <f ca="1">IF(OR(E454="",E454="!!!",F454="NEW"),"",COUNTBLANK(OFFSET(A$1,,,SUMPRODUCT(MAX(ROW(E$2:E454)*(E454=E$2:E454)))))-COUNTBLANK(OFFSET(A$1,,,SUMPRODUCT(MAX(ROW(E$1:E453)*(E2=E$1:E453))))))</f>
        <v>0</v>
      </c>
      <c r="K454" s="24">
        <f ca="1">IF(OR(E454="",E454="!!!",F454="NEW"),"",INDEX(J$1:J453,SUMPRODUCT(MAX(ROW(E$1:E453)*(E454=E$1:E453)))))</f>
        <v>0</v>
      </c>
      <c r="L454" s="25"/>
    </row>
    <row r="455" spans="1:12" x14ac:dyDescent="0.3">
      <c r="A455" t="s">
        <v>290</v>
      </c>
      <c r="E455" s="20" t="str">
        <f t="shared" si="32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33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176</v>
      </c>
      <c r="E456" s="20" t="str">
        <f t="shared" si="32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33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8" spans="1:12" x14ac:dyDescent="0.3">
      <c r="A458" t="s">
        <v>364</v>
      </c>
    </row>
    <row r="459" spans="1:12" x14ac:dyDescent="0.3">
      <c r="A459" t="s">
        <v>12</v>
      </c>
      <c r="E459" s="20" t="str">
        <f t="shared" ref="E459:E491" si="34">IF(D459="?OLD","!!!","")</f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ref="H459:H491" ca="1" si="35">IF(J459&lt;&gt;1,"",IF(I459="SBJ","CB","?"))</f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12</v>
      </c>
      <c r="E460" s="20" t="str">
        <f t="shared" si="34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35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273</v>
      </c>
      <c r="E461" s="20" t="str">
        <f t="shared" si="34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35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179</v>
      </c>
      <c r="E462" s="20" t="str">
        <f t="shared" si="34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35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174</v>
      </c>
      <c r="B463" s="26" t="s">
        <v>140</v>
      </c>
      <c r="C463" s="26" t="s">
        <v>213</v>
      </c>
      <c r="D463" s="26" t="s">
        <v>142</v>
      </c>
      <c r="E463" s="20" t="s">
        <v>465</v>
      </c>
      <c r="F463" s="21" t="str">
        <f>IF(OR(E463="",E463="!!!"),"",IF(NOT(ISNA(VLOOKUP(E463,E$1:E462,1,FALSE()))),"OLD",IF(AND(E463&lt;&gt;"",E463&lt;&gt;"!!!"),"NEW","")))</f>
        <v>OLD</v>
      </c>
      <c r="G463" s="22" t="str">
        <f ca="1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?IN_FOCUS</v>
      </c>
      <c r="H463" s="23" t="str">
        <f t="shared" ca="1" si="35"/>
        <v/>
      </c>
      <c r="I463" s="24" t="str">
        <f>IF(OR(E463="",E463="!!!",F463="NEW"),"",INDEX(B$2:B462,-1+SUMPRODUCT(MAX(ROW(E$2:E462)*(E463=E$2:E462)))))</f>
        <v>OBJ_2</v>
      </c>
      <c r="J463" s="24">
        <f ca="1">IF(OR(E463="",E463="!!!",F463="NEW"),"",COUNTBLANK(OFFSET(A$1,,,SUMPRODUCT(MAX(ROW(E$2:E463)*(E463=E$2:E463)))))-COUNTBLANK(OFFSET(A$1,,,SUMPRODUCT(MAX(ROW(E$1:E462)*(E2=E$1:E462))))))</f>
        <v>0</v>
      </c>
      <c r="K463" s="24">
        <f ca="1">IF(OR(E463="",E463="!!!",F463="NEW"),"",INDEX(J$1:J462,SUMPRODUCT(MAX(ROW(E$1:E462)*(E463=E$1:E462)))))</f>
        <v>0</v>
      </c>
      <c r="L463" s="25"/>
    </row>
    <row r="464" spans="1:12" x14ac:dyDescent="0.3">
      <c r="A464" t="s">
        <v>153</v>
      </c>
      <c r="E464" s="20" t="str">
        <f t="shared" si="34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35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190</v>
      </c>
      <c r="B465" s="26" t="s">
        <v>159</v>
      </c>
      <c r="E465" s="20" t="s">
        <v>465</v>
      </c>
      <c r="F465" s="21" t="str">
        <f>IF(OR(E465="",E465="!!!"),"",IF(NOT(ISNA(VLOOKUP(E465,E$1:E464,1,FALSE()))),"OLD",IF(AND(E465&lt;&gt;"",E465&lt;&gt;"!!!"),"NEW","")))</f>
        <v>OLD</v>
      </c>
      <c r="G465" s="22" t="str">
        <f ca="1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23" t="str">
        <f t="shared" ca="1" si="35"/>
        <v/>
      </c>
      <c r="I465" s="24" t="str">
        <f>IF(OR(E465="",E465="!!!",F465="NEW"),"",INDEX(B$2:B464,-1+SUMPRODUCT(MAX(ROW(E$2:E464)*(E465=E$2:E464)))))</f>
        <v>SBJ</v>
      </c>
      <c r="J465" s="24">
        <f ca="1">IF(OR(E465="",E465="!!!",F465="NEW"),"",COUNTBLANK(OFFSET(A$1,,,SUMPRODUCT(MAX(ROW(E$2:E465)*(E465=E$2:E465)))))-COUNTBLANK(OFFSET(A$1,,,SUMPRODUCT(MAX(ROW(E$1:E464)*(E2=E$1:E464))))))</f>
        <v>0</v>
      </c>
      <c r="K465" s="24">
        <f ca="1">IF(OR(E465="",E465="!!!",F465="NEW"),"",INDEX(J$1:J464,SUMPRODUCT(MAX(ROW(E$1:E464)*(E465=E$1:E464)))))</f>
        <v>0</v>
      </c>
      <c r="L465" s="25"/>
    </row>
    <row r="466" spans="1:12" x14ac:dyDescent="0.3">
      <c r="A466" t="s">
        <v>143</v>
      </c>
      <c r="E466" s="20" t="str">
        <f t="shared" si="34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35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244</v>
      </c>
      <c r="E467" s="20" t="str">
        <f t="shared" si="34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35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365</v>
      </c>
      <c r="B468" s="26" t="s">
        <v>221</v>
      </c>
      <c r="C468" s="26" t="s">
        <v>166</v>
      </c>
      <c r="D468" s="26" t="s">
        <v>142</v>
      </c>
      <c r="E468" s="20" t="s">
        <v>465</v>
      </c>
      <c r="F468" s="21" t="str">
        <f>IF(OR(E468="",E468="!!!"),"",IF(NOT(ISNA(VLOOKUP(E468,E$1:E467,1,FALSE()))),"OLD",IF(AND(E468&lt;&gt;"",E468&lt;&gt;"!!!"),"NEW","")))</f>
        <v>OLD</v>
      </c>
      <c r="G468" s="22" t="str">
        <f ca="1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?IN_FOCUS</v>
      </c>
      <c r="H468" s="23" t="str">
        <f t="shared" ca="1" si="35"/>
        <v/>
      </c>
      <c r="I468" s="24" t="str">
        <f>IF(OR(E468="",E468="!!!",F468="NEW"),"",INDEX(B$2:B467,-1+SUMPRODUCT(MAX(ROW(E$2:E467)*(E468=E$2:E467)))))</f>
        <v>SBJ_3</v>
      </c>
      <c r="J468" s="24">
        <f ca="1">IF(OR(E468="",E468="!!!",F468="NEW"),"",COUNTBLANK(OFFSET(A$1,,,SUMPRODUCT(MAX(ROW(E$2:E468)*(E468=E$2:E468)))))-COUNTBLANK(OFFSET(A$1,,,SUMPRODUCT(MAX(ROW(E$1:E467)*(E2=E$1:E467))))))</f>
        <v>0</v>
      </c>
      <c r="K468" s="24">
        <f ca="1">IF(OR(E468="",E468="!!!",F468="NEW"),"",INDEX(J$1:J467,SUMPRODUCT(MAX(ROW(E$1:E467)*(E468=E$1:E467)))))</f>
        <v>0</v>
      </c>
      <c r="L468" s="25"/>
    </row>
    <row r="469" spans="1:12" x14ac:dyDescent="0.3">
      <c r="A469" t="s">
        <v>366</v>
      </c>
      <c r="B469" s="26" t="s">
        <v>242</v>
      </c>
      <c r="C469" s="26" t="s">
        <v>169</v>
      </c>
      <c r="D469" s="26" t="s">
        <v>142</v>
      </c>
      <c r="E469" s="20" t="str">
        <f t="shared" si="34"/>
        <v>!!!</v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35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153</v>
      </c>
      <c r="E470" s="20" t="str">
        <f t="shared" si="34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35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261</v>
      </c>
      <c r="E471" s="20" t="str">
        <f t="shared" si="34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35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262</v>
      </c>
      <c r="B472" s="26" t="s">
        <v>242</v>
      </c>
      <c r="C472" s="26" t="s">
        <v>152</v>
      </c>
      <c r="E472" s="20" t="str">
        <f t="shared" si="34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35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157</v>
      </c>
      <c r="E473" s="20" t="str">
        <f t="shared" si="3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3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227</v>
      </c>
      <c r="B474" s="26" t="s">
        <v>168</v>
      </c>
      <c r="C474" s="26" t="s">
        <v>141</v>
      </c>
      <c r="D474" s="26" t="s">
        <v>142</v>
      </c>
      <c r="E474" s="20" t="s">
        <v>465</v>
      </c>
      <c r="F474" s="21" t="str">
        <f>IF(OR(E474="",E474="!!!"),"",IF(NOT(ISNA(VLOOKUP(E474,E$1:E473,1,FALSE()))),"OLD",IF(AND(E474&lt;&gt;"",E474&lt;&gt;"!!!"),"NEW","")))</f>
        <v>OLD</v>
      </c>
      <c r="G474" s="22" t="str">
        <f ca="1"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?IN_FOCUS</v>
      </c>
      <c r="H474" s="23" t="str">
        <f t="shared" ca="1" si="35"/>
        <v/>
      </c>
      <c r="I474" s="24" t="str">
        <f>IF(OR(E474="",E474="!!!",F474="NEW"),"",INDEX(B$2:B473,-1+SUMPRODUCT(MAX(ROW(E$2:E473)*(E474=E$2:E473)))))</f>
        <v>other_4</v>
      </c>
      <c r="J474" s="24">
        <f ca="1">IF(OR(E474="",E474="!!!",F474="NEW"),"",COUNTBLANK(OFFSET(A$1,,,SUMPRODUCT(MAX(ROW(E$2:E474)*(E474=E$2:E474)))))-COUNTBLANK(OFFSET(A$1,,,SUMPRODUCT(MAX(ROW(E$1:E473)*(E2=E$1:E473))))))</f>
        <v>0</v>
      </c>
      <c r="K474" s="24">
        <f ca="1">IF(OR(E474="",E474="!!!",F474="NEW"),"",INDEX(J$1:J473,SUMPRODUCT(MAX(ROW(E$1:E473)*(E474=E$1:E473)))))</f>
        <v>0</v>
      </c>
      <c r="L474" s="25"/>
    </row>
    <row r="475" spans="1:12" x14ac:dyDescent="0.3">
      <c r="A475" t="s">
        <v>218</v>
      </c>
      <c r="E475" s="20" t="s">
        <v>465</v>
      </c>
      <c r="F475" s="21" t="str">
        <f>IF(OR(E475="",E475="!!!"),"",IF(NOT(ISNA(VLOOKUP(E475,E$1:E474,1,FALSE()))),"OLD",IF(AND(E475&lt;&gt;"",E475&lt;&gt;"!!!"),"NEW","")))</f>
        <v>OLD</v>
      </c>
      <c r="G475" s="22" t="str">
        <f ca="1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?IN_FOCUS</v>
      </c>
      <c r="H475" s="23" t="str">
        <f t="shared" ca="1" si="35"/>
        <v/>
      </c>
      <c r="I475" s="24" t="str">
        <f>IF(OR(E475="",E475="!!!",F475="NEW"),"",INDEX(B$2:B474,-1+SUMPRODUCT(MAX(ROW(E$2:E474)*(E475=E$2:E474)))))</f>
        <v>SBJ_4</v>
      </c>
      <c r="J475" s="24">
        <f ca="1">IF(OR(E475="",E475="!!!",F475="NEW"),"",COUNTBLANK(OFFSET(A$1,,,SUMPRODUCT(MAX(ROW(E$2:E475)*(E475=E$2:E475)))))-COUNTBLANK(OFFSET(A$1,,,SUMPRODUCT(MAX(ROW(E$1:E474)*(E2=E$1:E474))))))</f>
        <v>0</v>
      </c>
      <c r="K475" s="24">
        <f ca="1">IF(OR(E475="",E475="!!!",F475="NEW"),"",INDEX(J$1:J474,SUMPRODUCT(MAX(ROW(E$1:E474)*(E475=E$1:E474)))))</f>
        <v>0</v>
      </c>
      <c r="L475" s="25"/>
    </row>
    <row r="476" spans="1:12" x14ac:dyDescent="0.3">
      <c r="A476" t="s">
        <v>367</v>
      </c>
      <c r="E476" s="20" t="str">
        <f t="shared" si="34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35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186</v>
      </c>
      <c r="E477" s="20" t="str">
        <f t="shared" si="34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35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368</v>
      </c>
      <c r="E478" s="20" t="str">
        <f t="shared" si="34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35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369</v>
      </c>
      <c r="B479" s="26" t="s">
        <v>221</v>
      </c>
      <c r="C479" s="26" t="s">
        <v>147</v>
      </c>
      <c r="E479" s="20" t="str">
        <f t="shared" si="34"/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ca="1" si="35"/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153</v>
      </c>
      <c r="E480" s="20" t="str">
        <f t="shared" si="34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5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182</v>
      </c>
      <c r="B481" s="26" t="s">
        <v>183</v>
      </c>
      <c r="C481" s="26" t="s">
        <v>141</v>
      </c>
      <c r="D481" s="26" t="s">
        <v>142</v>
      </c>
      <c r="E481" s="20" t="s">
        <v>462</v>
      </c>
      <c r="F481" s="21" t="str">
        <f>IF(OR(E481="",E481="!!!"),"",IF(NOT(ISNA(VLOOKUP(E481,E$1:E480,1,FALSE()))),"OLD",IF(AND(E481&lt;&gt;"",E481&lt;&gt;"!!!"),"NEW","")))</f>
        <v>NEW</v>
      </c>
      <c r="G481" s="22" t="str">
        <f ca="1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?REFERENTIAL</v>
      </c>
      <c r="H481" s="23" t="str">
        <f t="shared" ca="1" si="35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370</v>
      </c>
      <c r="E482" s="20" t="str">
        <f t="shared" si="34"/>
        <v/>
      </c>
      <c r="F482" s="21" t="str">
        <f>IF(OR(E482="",E482="!!!"),"",IF(NOT(ISNA(VLOOKUP(E482,E$1:E481,1,FALSE()))),"OLD",IF(AND(E482&lt;&gt;"",E482&lt;&gt;"!!!"),"NEW","")))</f>
        <v/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35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215</v>
      </c>
      <c r="E483" s="20" t="str">
        <f t="shared" si="34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35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371</v>
      </c>
      <c r="B484" s="26" t="s">
        <v>183</v>
      </c>
      <c r="C484" s="26" t="s">
        <v>204</v>
      </c>
      <c r="D484" s="26" t="s">
        <v>142</v>
      </c>
      <c r="E484" s="20" t="str">
        <f t="shared" si="34"/>
        <v>!!!</v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35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154</v>
      </c>
      <c r="E485" s="20" t="str">
        <f t="shared" si="34"/>
        <v/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35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372</v>
      </c>
      <c r="B486" s="26" t="s">
        <v>203</v>
      </c>
      <c r="C486" s="26" t="s">
        <v>152</v>
      </c>
      <c r="E486" s="20" t="str">
        <f t="shared" si="34"/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35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153</v>
      </c>
      <c r="E487" s="20" t="str">
        <f t="shared" si="34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35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154</v>
      </c>
      <c r="E488" s="20" t="str">
        <f t="shared" si="34"/>
        <v/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35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373</v>
      </c>
      <c r="B489" s="26" t="s">
        <v>203</v>
      </c>
      <c r="C489" s="26" t="s">
        <v>213</v>
      </c>
      <c r="D489" s="26" t="s">
        <v>142</v>
      </c>
      <c r="E489" s="20" t="str">
        <f t="shared" si="34"/>
        <v>!!!</v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35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374</v>
      </c>
      <c r="E490" s="20" t="str">
        <f t="shared" si="34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35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176</v>
      </c>
      <c r="E491" s="20" t="str">
        <f t="shared" si="34"/>
        <v/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35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3" spans="1:12" x14ac:dyDescent="0.3">
      <c r="A493" t="s">
        <v>375</v>
      </c>
    </row>
    <row r="494" spans="1:12" x14ac:dyDescent="0.3">
      <c r="A494" t="s">
        <v>12</v>
      </c>
      <c r="E494" s="20" t="str">
        <f t="shared" ref="E494:E508" si="36">IF(D494="?OLD","!!!","")</f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ref="H494:H508" ca="1" si="37">IF(J494&lt;&gt;1,"",IF(I494="SBJ","CB","?"))</f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12</v>
      </c>
      <c r="E495" s="20" t="str">
        <f t="shared" si="36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37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12</v>
      </c>
      <c r="E496" s="20" t="str">
        <f t="shared" si="36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37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237</v>
      </c>
      <c r="E497" s="20" t="str">
        <f t="shared" si="36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37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252</v>
      </c>
      <c r="B498" s="26" t="s">
        <v>140</v>
      </c>
      <c r="C498" s="26" t="s">
        <v>204</v>
      </c>
      <c r="D498" s="26" t="s">
        <v>142</v>
      </c>
      <c r="E498" s="20" t="s">
        <v>468</v>
      </c>
      <c r="F498" s="21" t="str">
        <f>IF(OR(E498="",E498="!!!"),"",IF(NOT(ISNA(VLOOKUP(E498,E$1:E497,1,FALSE()))),"OLD",IF(AND(E498&lt;&gt;"",E498&lt;&gt;"!!!"),"NEW","")))</f>
        <v>OLD</v>
      </c>
      <c r="G498" s="22" t="str">
        <f ca="1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?IN_FOCUS</v>
      </c>
      <c r="H498" s="23" t="str">
        <f t="shared" ca="1" si="37"/>
        <v/>
      </c>
      <c r="I498" s="24" t="str">
        <f>IF(OR(E498="",E498="!!!",F498="NEW"),"",INDEX(B$2:B497,-1+SUMPRODUCT(MAX(ROW(E$2:E497)*(E498=E$2:E497)))))</f>
        <v>other_5</v>
      </c>
      <c r="J498" s="24">
        <f ca="1">IF(OR(E498="",E498="!!!",F498="NEW"),"",COUNTBLANK(OFFSET(A$1,,,SUMPRODUCT(MAX(ROW(E$2:E498)*(E498=E$2:E498)))))-COUNTBLANK(OFFSET(A$1,,,SUMPRODUCT(MAX(ROW(E$1:E497)*(E2=E$1:E497))))))</f>
        <v>0</v>
      </c>
      <c r="K498" s="24">
        <f ca="1">IF(OR(E498="",E498="!!!",F498="NEW"),"",INDEX(J$1:J497,SUMPRODUCT(MAX(ROW(E$1:E497)*(E498=E$1:E497)))))</f>
        <v>0</v>
      </c>
      <c r="L498" s="25"/>
    </row>
    <row r="499" spans="1:12" x14ac:dyDescent="0.3">
      <c r="A499" t="s">
        <v>376</v>
      </c>
      <c r="E499" s="20" t="str">
        <f t="shared" si="36"/>
        <v/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37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154</v>
      </c>
      <c r="E500" s="20" t="str">
        <f t="shared" si="36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37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372</v>
      </c>
      <c r="B501" s="26" t="s">
        <v>183</v>
      </c>
      <c r="C501" s="26" t="s">
        <v>213</v>
      </c>
      <c r="D501" s="26" t="s">
        <v>142</v>
      </c>
      <c r="E501" s="20" t="str">
        <f t="shared" si="36"/>
        <v>!!!</v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37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153</v>
      </c>
      <c r="E502" s="20" t="str">
        <f t="shared" si="36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37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173</v>
      </c>
      <c r="E503" s="20" t="str">
        <f t="shared" si="36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37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154</v>
      </c>
      <c r="E504" s="20" t="str">
        <f t="shared" si="36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37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219</v>
      </c>
      <c r="B505" s="26" t="s">
        <v>197</v>
      </c>
      <c r="C505" s="26" t="s">
        <v>213</v>
      </c>
      <c r="D505" s="26" t="s">
        <v>142</v>
      </c>
      <c r="E505" s="20" t="str">
        <f t="shared" si="36"/>
        <v>!!!</v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37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279</v>
      </c>
      <c r="E506" s="20" t="str">
        <f t="shared" si="36"/>
        <v/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37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377</v>
      </c>
      <c r="E507" s="20" t="str">
        <f t="shared" si="36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37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176</v>
      </c>
      <c r="E508" s="20" t="str">
        <f t="shared" si="36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37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10" spans="1:12" x14ac:dyDescent="0.3">
      <c r="A510" t="s">
        <v>378</v>
      </c>
    </row>
    <row r="511" spans="1:12" x14ac:dyDescent="0.3">
      <c r="A511" t="s">
        <v>139</v>
      </c>
      <c r="B511" s="26" t="s">
        <v>140</v>
      </c>
      <c r="C511" s="26" t="s">
        <v>141</v>
      </c>
      <c r="D511" s="26" t="s">
        <v>142</v>
      </c>
      <c r="E511" s="20" t="s">
        <v>468</v>
      </c>
      <c r="F511" s="21" t="str">
        <f>IF(OR(E511="",E511="!!!"),"",IF(NOT(ISNA(VLOOKUP(E511,E$1:E510,1,FALSE()))),"OLD",IF(AND(E511&lt;&gt;"",E511&lt;&gt;"!!!"),"NEW","")))</f>
        <v>OLD</v>
      </c>
      <c r="G511" s="22" t="str">
        <f ca="1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?IN_FOCUS</v>
      </c>
      <c r="H511" s="23" t="str">
        <f t="shared" ref="H511:H540" ca="1" si="38">IF(J511&lt;&gt;1,"",IF(I511="SBJ","CB","?"))</f>
        <v/>
      </c>
      <c r="I511" s="24" t="str">
        <f>IF(OR(E511="",E511="!!!",F511="NEW"),"",INDEX(B$2:B510,-1+SUMPRODUCT(MAX(ROW(E$2:E510)*(E511=E$2:E510)))))</f>
        <v>SBJ</v>
      </c>
      <c r="J511" s="24">
        <f ca="1">IF(OR(E511="",E511="!!!",F511="NEW"),"",COUNTBLANK(OFFSET(A$1,,,SUMPRODUCT(MAX(ROW(E$2:E511)*(E511=E$2:E511)))))-COUNTBLANK(OFFSET(A$1,,,SUMPRODUCT(MAX(ROW(E$1:E510)*(E2=E$1:E510))))))</f>
        <v>0</v>
      </c>
      <c r="K511" s="24">
        <f ca="1">IF(OR(E511="",E511="!!!",F511="NEW"),"",INDEX(J$1:J510,SUMPRODUCT(MAX(ROW(E$1:E510)*(E511=E$1:E510)))))</f>
        <v>0</v>
      </c>
      <c r="L511" s="25"/>
    </row>
    <row r="512" spans="1:12" x14ac:dyDescent="0.3">
      <c r="A512" t="s">
        <v>218</v>
      </c>
      <c r="B512" s="26" t="s">
        <v>183</v>
      </c>
      <c r="C512" s="26" t="s">
        <v>141</v>
      </c>
      <c r="D512" s="26" t="s">
        <v>142</v>
      </c>
      <c r="E512" s="20" t="s">
        <v>468</v>
      </c>
      <c r="F512" s="21" t="str">
        <f>IF(OR(E512="",E512="!!!"),"",IF(NOT(ISNA(VLOOKUP(E512,E$1:E511,1,FALSE()))),"OLD",IF(AND(E512&lt;&gt;"",E512&lt;&gt;"!!!"),"NEW","")))</f>
        <v>OLD</v>
      </c>
      <c r="G512" s="22" t="str">
        <f ca="1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?IN_FOCUS</v>
      </c>
      <c r="H512" s="23" t="str">
        <f t="shared" ca="1" si="38"/>
        <v/>
      </c>
      <c r="I512" s="24" t="str">
        <f>IF(OR(E512="",E512="!!!",F512="NEW"),"",INDEX(B$2:B511,-1+SUMPRODUCT(MAX(ROW(E$2:E511)*(E512=E$2:E511)))))</f>
        <v>SBJ</v>
      </c>
      <c r="J512" s="24">
        <f ca="1">IF(OR(E512="",E512="!!!",F512="NEW"),"",COUNTBLANK(OFFSET(A$1,,,SUMPRODUCT(MAX(ROW(E$2:E512)*(E512=E$2:E512)))))-COUNTBLANK(OFFSET(A$1,,,SUMPRODUCT(MAX(ROW(E$1:E511)*(E2=E$1:E511))))))</f>
        <v>0</v>
      </c>
      <c r="K512" s="24">
        <f ca="1">IF(OR(E512="",E512="!!!",F512="NEW"),"",INDEX(J$1:J511,SUMPRODUCT(MAX(ROW(E$1:E511)*(E512=E$1:E511)))))</f>
        <v>0</v>
      </c>
      <c r="L512" s="25"/>
    </row>
    <row r="513" spans="1:12" x14ac:dyDescent="0.3">
      <c r="A513" t="s">
        <v>379</v>
      </c>
      <c r="E513" s="20" t="str">
        <f t="shared" ref="E513:E540" si="39">IF(D513="?OLD","!!!","")</f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38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380</v>
      </c>
      <c r="E514" s="20" t="str">
        <f t="shared" si="39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38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154</v>
      </c>
      <c r="E515" s="20" t="str">
        <f t="shared" si="39"/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38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179</v>
      </c>
      <c r="E516" s="20" t="str">
        <f t="shared" si="39"/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38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7" spans="1:12" x14ac:dyDescent="0.3">
      <c r="A517" t="s">
        <v>180</v>
      </c>
      <c r="B517" s="26" t="s">
        <v>146</v>
      </c>
      <c r="C517" s="26" t="s">
        <v>213</v>
      </c>
      <c r="D517" s="26" t="s">
        <v>142</v>
      </c>
      <c r="E517" s="20" t="s">
        <v>465</v>
      </c>
      <c r="F517" s="21" t="str">
        <f>IF(OR(E517="",E517="!!!"),"",IF(NOT(ISNA(VLOOKUP(E517,E$1:E516,1,FALSE()))),"OLD",IF(AND(E517&lt;&gt;"",E517&lt;&gt;"!!!"),"NEW","")))</f>
        <v>OLD</v>
      </c>
      <c r="G517" s="22" t="str">
        <f ca="1"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?IN_FOCUS</v>
      </c>
      <c r="H517" s="23" t="str">
        <f t="shared" ca="1" si="38"/>
        <v/>
      </c>
      <c r="I517" s="24">
        <f>IF(OR(E517="",E517="!!!",F517="NEW"),"",INDEX(B$2:B516,-1+SUMPRODUCT(MAX(ROW(E$2:E516)*(E517=E$2:E516)))))</f>
        <v>0</v>
      </c>
      <c r="J517" s="24">
        <f ca="1">IF(OR(E517="",E517="!!!",F517="NEW"),"",COUNTBLANK(OFFSET(A$1,,,SUMPRODUCT(MAX(ROW(E$2:E517)*(E517=E$2:E517)))))-COUNTBLANK(OFFSET(A$1,,,SUMPRODUCT(MAX(ROW(E$1:E516)*(E2=E$1:E516))))))</f>
        <v>0</v>
      </c>
      <c r="K517" s="24">
        <f ca="1">IF(OR(E517="",E517="!!!",F517="NEW"),"",INDEX(J$1:J516,SUMPRODUCT(MAX(ROW(E$1:E516)*(E517=E$1:E516)))))</f>
        <v>0</v>
      </c>
      <c r="L517" s="25"/>
    </row>
    <row r="518" spans="1:12" x14ac:dyDescent="0.3">
      <c r="A518" t="s">
        <v>153</v>
      </c>
      <c r="E518" s="20" t="str">
        <f t="shared" si="39"/>
        <v/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38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173</v>
      </c>
      <c r="E519" s="20" t="str">
        <f t="shared" si="39"/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38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154</v>
      </c>
      <c r="E520" s="20" t="s">
        <v>465</v>
      </c>
      <c r="F520" s="21" t="str">
        <f>IF(OR(E520="",E520="!!!"),"",IF(NOT(ISNA(VLOOKUP(E520,E$1:E519,1,FALSE()))),"OLD",IF(AND(E520&lt;&gt;"",E520&lt;&gt;"!!!"),"NEW","")))</f>
        <v>OLD</v>
      </c>
      <c r="G520" s="22" t="str">
        <f ca="1"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?IN_FOCUS</v>
      </c>
      <c r="H520" s="23" t="str">
        <f t="shared" ca="1" si="38"/>
        <v/>
      </c>
      <c r="I520" s="24" t="str">
        <f>IF(OR(E520="",E520="!!!",F520="NEW"),"",INDEX(B$2:B519,-1+SUMPRODUCT(MAX(ROW(E$2:E519)*(E520=E$2:E519)))))</f>
        <v>other</v>
      </c>
      <c r="J520" s="24">
        <f ca="1">IF(OR(E520="",E520="!!!",F520="NEW"),"",COUNTBLANK(OFFSET(A$1,,,SUMPRODUCT(MAX(ROW(E$2:E520)*(E520=E$2:E520)))))-COUNTBLANK(OFFSET(A$1,,,SUMPRODUCT(MAX(ROW(E$1:E519)*(E2=E$1:E519))))))</f>
        <v>0</v>
      </c>
      <c r="K520" s="24">
        <f ca="1">IF(OR(E520="",E520="!!!",F520="NEW"),"",INDEX(J$1:J519,SUMPRODUCT(MAX(ROW(E$1:E519)*(E520=E$1:E519)))))</f>
        <v>0</v>
      </c>
      <c r="L520" s="25"/>
    </row>
    <row r="521" spans="1:12" x14ac:dyDescent="0.3">
      <c r="A521" t="s">
        <v>381</v>
      </c>
      <c r="B521" s="26" t="s">
        <v>146</v>
      </c>
      <c r="C521" s="26" t="s">
        <v>213</v>
      </c>
      <c r="D521" s="26" t="s">
        <v>142</v>
      </c>
      <c r="E521" s="20" t="str">
        <f t="shared" si="39"/>
        <v>!!!</v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38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170</v>
      </c>
      <c r="E522" s="20" t="str">
        <f t="shared" si="39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38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382</v>
      </c>
      <c r="E523" s="20" t="str">
        <f t="shared" si="39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38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150</v>
      </c>
      <c r="E524" s="20" t="str">
        <f t="shared" si="39"/>
        <v/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38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383</v>
      </c>
      <c r="B525" s="26" t="s">
        <v>242</v>
      </c>
      <c r="C525" s="26" t="s">
        <v>160</v>
      </c>
      <c r="D525" s="26" t="s">
        <v>142</v>
      </c>
      <c r="E525" s="20" t="str">
        <f t="shared" si="39"/>
        <v>!!!</v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38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153</v>
      </c>
      <c r="E526" s="20" t="str">
        <f t="shared" si="39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38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222</v>
      </c>
      <c r="E527" s="20" t="str">
        <f t="shared" si="39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38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258</v>
      </c>
      <c r="E528" s="20" t="s">
        <v>468</v>
      </c>
      <c r="F528" s="21" t="str">
        <f>IF(OR(E528="",E528="!!!"),"",IF(NOT(ISNA(VLOOKUP(E528,E$1:E527,1,FALSE()))),"OLD",IF(AND(E528&lt;&gt;"",E528&lt;&gt;"!!!"),"NEW","")))</f>
        <v>OLD</v>
      </c>
      <c r="G528" s="22" t="str">
        <f ca="1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?IN_FOCUS</v>
      </c>
      <c r="H528" s="23" t="str">
        <f t="shared" ca="1" si="38"/>
        <v/>
      </c>
      <c r="I528" s="24" t="str">
        <f>IF(OR(E528="",E528="!!!",F528="NEW"),"",INDEX(B$2:B527,-1+SUMPRODUCT(MAX(ROW(E$2:E527)*(E528=E$2:E527)))))</f>
        <v>OBJ</v>
      </c>
      <c r="J528" s="24">
        <f ca="1">IF(OR(E528="",E528="!!!",F528="NEW"),"",COUNTBLANK(OFFSET(A$1,,,SUMPRODUCT(MAX(ROW(E$2:E528)*(E528=E$2:E528)))))-COUNTBLANK(OFFSET(A$1,,,SUMPRODUCT(MAX(ROW(E$1:E527)*(E2=E$1:E527))))))</f>
        <v>0</v>
      </c>
      <c r="K528" s="24">
        <f ca="1">IF(OR(E528="",E528="!!!",F528="NEW"),"",INDEX(J$1:J527,SUMPRODUCT(MAX(ROW(E$1:E527)*(E528=E$1:E527)))))</f>
        <v>0</v>
      </c>
      <c r="L528" s="25"/>
    </row>
    <row r="529" spans="1:12" x14ac:dyDescent="0.3">
      <c r="A529" t="s">
        <v>318</v>
      </c>
      <c r="E529" s="20" t="str">
        <f t="shared" si="39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38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384</v>
      </c>
      <c r="E530" s="20" t="str">
        <f t="shared" si="39"/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38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155</v>
      </c>
      <c r="B531" s="26" t="s">
        <v>199</v>
      </c>
      <c r="E531" s="20" t="str">
        <f t="shared" si="39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38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150</v>
      </c>
      <c r="E532" s="20" t="str">
        <f t="shared" si="39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38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385</v>
      </c>
      <c r="E533" s="20" t="str">
        <f t="shared" si="39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38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386</v>
      </c>
      <c r="B534" s="26" t="s">
        <v>242</v>
      </c>
      <c r="C534" s="26" t="s">
        <v>387</v>
      </c>
      <c r="E534" s="20" t="str">
        <f t="shared" si="39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38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157</v>
      </c>
      <c r="B535" s="26" t="s">
        <v>225</v>
      </c>
      <c r="E535" s="20" t="str">
        <f t="shared" si="39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38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258</v>
      </c>
      <c r="B536" s="26" t="s">
        <v>223</v>
      </c>
      <c r="C536" s="26" t="s">
        <v>141</v>
      </c>
      <c r="D536" s="26" t="s">
        <v>142</v>
      </c>
      <c r="E536" s="20" t="s">
        <v>468</v>
      </c>
      <c r="F536" s="21" t="str">
        <f>IF(OR(E536="",E536="!!!"),"",IF(NOT(ISNA(VLOOKUP(E536,E$1:E535,1,FALSE()))),"OLD",IF(AND(E536&lt;&gt;"",E536&lt;&gt;"!!!"),"NEW","")))</f>
        <v>OLD</v>
      </c>
      <c r="G536" s="22" t="str">
        <f ca="1"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?IN_FOCUS</v>
      </c>
      <c r="H536" s="23" t="str">
        <f t="shared" ca="1" si="38"/>
        <v/>
      </c>
      <c r="I536" s="24">
        <f>IF(OR(E536="",E536="!!!",F536="NEW"),"",INDEX(B$2:B535,-1+SUMPRODUCT(MAX(ROW(E$2:E535)*(E536=E$2:E535)))))</f>
        <v>0</v>
      </c>
      <c r="J536" s="24">
        <f ca="1">IF(OR(E536="",E536="!!!",F536="NEW"),"",COUNTBLANK(OFFSET(A$1,,,SUMPRODUCT(MAX(ROW(E$2:E536)*(E536=E$2:E536)))))-COUNTBLANK(OFFSET(A$1,,,SUMPRODUCT(MAX(ROW(E$1:E535)*(E2=E$1:E535))))))</f>
        <v>0</v>
      </c>
      <c r="K536" s="24">
        <f ca="1">IF(OR(E536="",E536="!!!",F536="NEW"),"",INDEX(J$1:J535,SUMPRODUCT(MAX(ROW(E$1:E535)*(E536=E$1:E535)))))</f>
        <v>0</v>
      </c>
      <c r="L536" s="25"/>
    </row>
    <row r="537" spans="1:12" x14ac:dyDescent="0.3">
      <c r="A537" t="s">
        <v>259</v>
      </c>
      <c r="E537" s="20" t="str">
        <f t="shared" si="39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38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384</v>
      </c>
      <c r="E538" s="20" t="str">
        <f t="shared" si="39"/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38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388</v>
      </c>
      <c r="E539" s="20" t="str">
        <f t="shared" si="39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38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176</v>
      </c>
      <c r="E540" s="20" t="str">
        <f t="shared" si="39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38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2" spans="1:12" x14ac:dyDescent="0.3">
      <c r="A542" t="s">
        <v>389</v>
      </c>
    </row>
    <row r="543" spans="1:12" x14ac:dyDescent="0.3">
      <c r="A543" t="s">
        <v>390</v>
      </c>
      <c r="E543" s="20" t="str">
        <f t="shared" ref="E543:E581" si="40">IF(D543="?OLD","!!!","")</f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ref="H543:H581" ca="1" si="41">IF(J543&lt;&gt;1,"",IF(I543="SBJ","CB","?"))</f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258</v>
      </c>
      <c r="B544" s="26" t="s">
        <v>140</v>
      </c>
      <c r="C544" s="26" t="s">
        <v>141</v>
      </c>
      <c r="D544" s="26" t="s">
        <v>142</v>
      </c>
      <c r="E544" s="20" t="s">
        <v>468</v>
      </c>
      <c r="F544" s="21" t="str">
        <f>IF(OR(E544="",E544="!!!"),"",IF(NOT(ISNA(VLOOKUP(E544,E$1:E543,1,FALSE()))),"OLD",IF(AND(E544&lt;&gt;"",E544&lt;&gt;"!!!"),"NEW","")))</f>
        <v>OLD</v>
      </c>
      <c r="G544" s="22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?IN_FOCUS</v>
      </c>
      <c r="H544" s="23" t="str">
        <f t="shared" ca="1" si="41"/>
        <v/>
      </c>
      <c r="I544" s="24" t="str">
        <f>IF(OR(E544="",E544="!!!",F544="NEW"),"",INDEX(B$2:B543,-1+SUMPRODUCT(MAX(ROW(E$2:E543)*(E544=E$2:E543)))))</f>
        <v>SBJ_5</v>
      </c>
      <c r="J544" s="24">
        <f ca="1">IF(OR(E544="",E544="!!!",F544="NEW"),"",COUNTBLANK(OFFSET(A$1,,,SUMPRODUCT(MAX(ROW(E$2:E544)*(E544=E$2:E544)))))-COUNTBLANK(OFFSET(A$1,,,SUMPRODUCT(MAX(ROW(E$1:E543)*(E2=E$1:E543))))))</f>
        <v>0</v>
      </c>
      <c r="K544" s="24">
        <f ca="1">IF(OR(E544="",E544="!!!",F544="NEW"),"",INDEX(J$1:J543,SUMPRODUCT(MAX(ROW(E$1:E543)*(E544=E$1:E543)))))</f>
        <v>0</v>
      </c>
      <c r="L544" s="25"/>
    </row>
    <row r="545" spans="1:12" x14ac:dyDescent="0.3">
      <c r="A545" t="s">
        <v>391</v>
      </c>
      <c r="E545" s="20" t="str">
        <f t="shared" si="40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41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154</v>
      </c>
      <c r="E546" s="20" t="str">
        <f t="shared" si="40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41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219</v>
      </c>
      <c r="B547" s="26" t="s">
        <v>183</v>
      </c>
      <c r="C547" s="26" t="s">
        <v>213</v>
      </c>
      <c r="D547" s="26" t="s">
        <v>142</v>
      </c>
      <c r="E547" s="20" t="str">
        <f t="shared" si="40"/>
        <v>!!!</v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41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153</v>
      </c>
      <c r="E548" s="20" t="str">
        <f t="shared" si="40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41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173</v>
      </c>
      <c r="E549" s="20" t="str">
        <f t="shared" si="40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41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279</v>
      </c>
      <c r="E550" s="20" t="s">
        <v>468</v>
      </c>
      <c r="F550" s="21" t="str">
        <f>IF(OR(E550="",E550="!!!"),"",IF(NOT(ISNA(VLOOKUP(E550,E$1:E549,1,FALSE()))),"OLD",IF(AND(E550&lt;&gt;"",E550&lt;&gt;"!!!"),"NEW","")))</f>
        <v>OLD</v>
      </c>
      <c r="G550" s="22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3" t="str">
        <f t="shared" ca="1" si="41"/>
        <v/>
      </c>
      <c r="I550" s="24" t="str">
        <f>IF(OR(E550="",E550="!!!",F550="NEW"),"",INDEX(B$2:B549,-1+SUMPRODUCT(MAX(ROW(E$2:E549)*(E550=E$2:E549)))))</f>
        <v>SBJ</v>
      </c>
      <c r="J550" s="24">
        <f ca="1">IF(OR(E550="",E550="!!!",F550="NEW"),"",COUNTBLANK(OFFSET(A$1,,,SUMPRODUCT(MAX(ROW(E$2:E550)*(E550=E$2:E550)))))-COUNTBLANK(OFFSET(A$1,,,SUMPRODUCT(MAX(ROW(E$1:E549)*(E2=E$1:E549))))))</f>
        <v>0</v>
      </c>
      <c r="K550" s="24">
        <f ca="1">IF(OR(E550="",E550="!!!",F550="NEW"),"",INDEX(J$1:J549,SUMPRODUCT(MAX(ROW(E$1:E549)*(E550=E$1:E549)))))</f>
        <v>0</v>
      </c>
      <c r="L550" s="25"/>
    </row>
    <row r="551" spans="1:12" x14ac:dyDescent="0.3">
      <c r="A551" t="s">
        <v>334</v>
      </c>
      <c r="E551" s="20" t="str">
        <f t="shared" si="40"/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41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392</v>
      </c>
      <c r="E552" s="20" t="str">
        <f t="shared" si="40"/>
        <v/>
      </c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41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244</v>
      </c>
      <c r="E553" s="20" t="str">
        <f t="shared" si="40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41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201</v>
      </c>
      <c r="E554" s="20" t="str">
        <f t="shared" si="40"/>
        <v/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41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366</v>
      </c>
      <c r="B555" s="26" t="s">
        <v>242</v>
      </c>
      <c r="C555" s="26" t="s">
        <v>213</v>
      </c>
      <c r="D555" s="26" t="s">
        <v>142</v>
      </c>
      <c r="E555" s="20" t="str">
        <f t="shared" si="40"/>
        <v>!!!</v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41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6" spans="1:12" x14ac:dyDescent="0.3">
      <c r="A556" t="s">
        <v>150</v>
      </c>
      <c r="E556" s="20" t="str">
        <f t="shared" si="40"/>
        <v/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ca="1" si="41"/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154</v>
      </c>
      <c r="E557" s="20" t="str">
        <f t="shared" si="40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41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174</v>
      </c>
      <c r="B558" s="26" t="s">
        <v>221</v>
      </c>
      <c r="C558" s="26" t="s">
        <v>213</v>
      </c>
      <c r="D558" s="26" t="s">
        <v>142</v>
      </c>
      <c r="E558" s="20" t="s">
        <v>465</v>
      </c>
      <c r="F558" s="21" t="str">
        <f>IF(OR(E558="",E558="!!!"),"",IF(NOT(ISNA(VLOOKUP(E558,E$1:E557,1,FALSE()))),"OLD",IF(AND(E558&lt;&gt;"",E558&lt;&gt;"!!!"),"NEW","")))</f>
        <v>OLD</v>
      </c>
      <c r="G558" s="22" t="str">
        <f ca="1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?IN_FOCUS</v>
      </c>
      <c r="H558" s="23" t="str">
        <f t="shared" ca="1" si="41"/>
        <v/>
      </c>
      <c r="I558" s="24">
        <f>IF(OR(E558="",E558="!!!",F558="NEW"),"",INDEX(B$2:B557,-1+SUMPRODUCT(MAX(ROW(E$2:E557)*(E558=E$2:E557)))))</f>
        <v>0</v>
      </c>
      <c r="J558" s="24">
        <f ca="1">IF(OR(E558="",E558="!!!",F558="NEW"),"",COUNTBLANK(OFFSET(A$1,,,SUMPRODUCT(MAX(ROW(E$2:E558)*(E558=E$2:E558)))))-COUNTBLANK(OFFSET(A$1,,,SUMPRODUCT(MAX(ROW(E$1:E557)*(E2=E$1:E557))))))</f>
        <v>0</v>
      </c>
      <c r="K558" s="24">
        <f ca="1">IF(OR(E558="",E558="!!!",F558="NEW"),"",INDEX(J$1:J557,SUMPRODUCT(MAX(ROW(E$1:E557)*(E558=E$1:E557)))))</f>
        <v>0</v>
      </c>
      <c r="L558" s="25"/>
    </row>
    <row r="559" spans="1:12" x14ac:dyDescent="0.3">
      <c r="A559" t="s">
        <v>153</v>
      </c>
      <c r="E559" s="20" t="str">
        <f t="shared" si="40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41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170</v>
      </c>
      <c r="E560" s="20" t="str">
        <f t="shared" si="40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41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393</v>
      </c>
      <c r="E561" s="20" t="str">
        <f t="shared" si="40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41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201</v>
      </c>
      <c r="E562" s="20" t="str">
        <f t="shared" si="40"/>
        <v/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41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187</v>
      </c>
      <c r="E563" s="20" t="str">
        <f t="shared" si="40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41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202</v>
      </c>
      <c r="B564" s="26" t="s">
        <v>191</v>
      </c>
      <c r="C564" s="26" t="s">
        <v>204</v>
      </c>
      <c r="D564" s="26" t="s">
        <v>142</v>
      </c>
      <c r="E564" s="20" t="s">
        <v>459</v>
      </c>
      <c r="F564" s="21" t="str">
        <f>IF(OR(E564="",E564="!!!"),"",IF(NOT(ISNA(VLOOKUP(E564,E$1:E563,1,FALSE()))),"OLD",IF(AND(E564&lt;&gt;"",E564&lt;&gt;"!!!"),"NEW","")))</f>
        <v>OLD</v>
      </c>
      <c r="G564" s="22" t="str">
        <f ca="1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?IN_FOCUS</v>
      </c>
      <c r="H564" s="23" t="str">
        <f t="shared" ca="1" si="41"/>
        <v/>
      </c>
      <c r="I564" s="24" t="str">
        <f>IF(OR(E564="",E564="!!!",F564="NEW"),"",INDEX(B$2:B563,-1+SUMPRODUCT(MAX(ROW(E$2:E563)*(E564=E$2:E563)))))</f>
        <v>SBJ_7</v>
      </c>
      <c r="J564" s="24">
        <f ca="1">IF(OR(E564="",E564="!!!",F564="NEW"),"",COUNTBLANK(OFFSET(A$1,,,SUMPRODUCT(MAX(ROW(E$2:E564)*(E564=E$2:E564)))))-COUNTBLANK(OFFSET(A$1,,,SUMPRODUCT(MAX(ROW(E$1:E563)*(E2=E$1:E563))))))</f>
        <v>0</v>
      </c>
      <c r="K564" s="24">
        <f ca="1">IF(OR(E564="",E564="!!!",F564="NEW"),"",INDEX(J$1:J563,SUMPRODUCT(MAX(ROW(E$1:E563)*(E564=E$1:E563)))))</f>
        <v>0</v>
      </c>
      <c r="L564" s="25"/>
    </row>
    <row r="565" spans="1:12" x14ac:dyDescent="0.3">
      <c r="A565" t="s">
        <v>189</v>
      </c>
      <c r="E565" s="20" t="str">
        <f t="shared" si="40"/>
        <v/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41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153</v>
      </c>
      <c r="E566" s="20" t="str">
        <f t="shared" si="40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41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190</v>
      </c>
      <c r="B567" s="26" t="s">
        <v>223</v>
      </c>
      <c r="E567" s="20" t="s">
        <v>459</v>
      </c>
      <c r="F567" s="21" t="str">
        <f>IF(OR(E567="",E567="!!!"),"",IF(NOT(ISNA(VLOOKUP(E567,E$1:E566,1,FALSE()))),"OLD",IF(AND(E567&lt;&gt;"",E567&lt;&gt;"!!!"),"NEW","")))</f>
        <v>OLD</v>
      </c>
      <c r="G567" s="22" t="str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?IN_FOCUS</v>
      </c>
      <c r="H567" s="23" t="str">
        <f t="shared" ca="1" si="41"/>
        <v/>
      </c>
      <c r="I567" s="24" t="str">
        <f>IF(OR(E567="",E567="!!!",F567="NEW"),"",INDEX(B$2:B566,-1+SUMPRODUCT(MAX(ROW(E$2:E566)*(E567=E$2:E566)))))</f>
        <v>OBJ_3</v>
      </c>
      <c r="J567" s="24">
        <f ca="1">IF(OR(E567="",E567="!!!",F567="NEW"),"",COUNTBLANK(OFFSET(A$1,,,SUMPRODUCT(MAX(ROW(E$2:E567)*(E567=E$2:E567)))))-COUNTBLANK(OFFSET(A$1,,,SUMPRODUCT(MAX(ROW(E$1:E566)*(E2=E$1:E566))))))</f>
        <v>0</v>
      </c>
      <c r="K567" s="24">
        <f ca="1">IF(OR(E567="",E567="!!!",F567="NEW"),"",INDEX(J$1:J566,SUMPRODUCT(MAX(ROW(E$1:E566)*(E567=E$1:E566)))))</f>
        <v>0</v>
      </c>
      <c r="L567" s="25"/>
    </row>
    <row r="568" spans="1:12" x14ac:dyDescent="0.3">
      <c r="A568" t="s">
        <v>153</v>
      </c>
      <c r="E568" s="20" t="str">
        <f t="shared" si="40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41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394</v>
      </c>
      <c r="E569" s="20" t="str">
        <f t="shared" si="40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41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395</v>
      </c>
      <c r="B570" s="26" t="s">
        <v>165</v>
      </c>
      <c r="C570" s="26" t="s">
        <v>265</v>
      </c>
      <c r="E570" s="20" t="str">
        <f t="shared" si="40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41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339</v>
      </c>
      <c r="E571" s="20" t="str">
        <f t="shared" si="40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41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153</v>
      </c>
      <c r="E572" s="20" t="str">
        <f t="shared" si="40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41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396</v>
      </c>
      <c r="E573" s="20" t="str">
        <f t="shared" si="40"/>
        <v/>
      </c>
      <c r="F573" s="21" t="str">
        <f>IF(OR(E573="",E573="!!!"),"",IF(NOT(ISNA(VLOOKUP(E573,E$1:E572,1,FALSE()))),"OLD",IF(AND(E573&lt;&gt;"",E573&lt;&gt;"!!!"),"NEW","")))</f>
        <v/>
      </c>
      <c r="G573" s="22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3" t="str">
        <f t="shared" ca="1" si="41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5"/>
    </row>
    <row r="574" spans="1:12" x14ac:dyDescent="0.3">
      <c r="A574" t="s">
        <v>76</v>
      </c>
      <c r="E574" s="20" t="str">
        <f t="shared" si="40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41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261</v>
      </c>
      <c r="E575" s="20" t="str">
        <f t="shared" si="40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41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154</v>
      </c>
      <c r="E576" s="20" t="str">
        <f t="shared" si="40"/>
        <v/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41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219</v>
      </c>
      <c r="B577" s="26" t="s">
        <v>397</v>
      </c>
      <c r="C577" s="26" t="s">
        <v>213</v>
      </c>
      <c r="D577" s="26" t="s">
        <v>142</v>
      </c>
      <c r="E577" s="20" t="str">
        <f t="shared" si="40"/>
        <v>!!!</v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41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215</v>
      </c>
      <c r="E578" s="20" t="str">
        <f t="shared" si="40"/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ca="1" si="41"/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353</v>
      </c>
      <c r="E579" s="20" t="str">
        <f t="shared" si="40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41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153</v>
      </c>
      <c r="E580" s="20" t="str">
        <f t="shared" si="40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41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398</v>
      </c>
      <c r="E581" s="20" t="str">
        <f t="shared" si="40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41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3" spans="1:12" x14ac:dyDescent="0.3">
      <c r="A583" t="s">
        <v>399</v>
      </c>
    </row>
    <row r="584" spans="1:12" x14ac:dyDescent="0.3">
      <c r="A584" t="s">
        <v>12</v>
      </c>
      <c r="E584" s="20" t="str">
        <f t="shared" ref="E584:E620" si="42">IF(D584="?OLD","!!!","")</f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ref="H584:H620" ca="1" si="43">IF(J584&lt;&gt;1,"",IF(I584="SBJ","CB","?"))</f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12</v>
      </c>
      <c r="E585" s="20" t="str">
        <f t="shared" si="42"/>
        <v/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43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6" spans="1:12" x14ac:dyDescent="0.3">
      <c r="A586" t="s">
        <v>355</v>
      </c>
      <c r="B586" s="26" t="s">
        <v>159</v>
      </c>
      <c r="C586" s="26" t="s">
        <v>356</v>
      </c>
      <c r="E586" s="20" t="s">
        <v>459</v>
      </c>
      <c r="F586" s="21" t="str">
        <f>IF(OR(E586="",E586="!!!"),"",IF(NOT(ISNA(VLOOKUP(E586,E$1:E585,1,FALSE()))),"OLD",IF(AND(E586&lt;&gt;"",E586&lt;&gt;"!!!"),"NEW","")))</f>
        <v>OLD</v>
      </c>
      <c r="G586" s="22" t="str">
        <f ca="1"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?IN_FOCUS</v>
      </c>
      <c r="H586" s="23" t="str">
        <f t="shared" ca="1" si="43"/>
        <v/>
      </c>
      <c r="I586" s="24" t="str">
        <f>IF(OR(E586="",E586="!!!",F586="NEW"),"",INDEX(B$2:B585,-1+SUMPRODUCT(MAX(ROW(E$2:E585)*(E586=E$2:E585)))))</f>
        <v>SBJ_5</v>
      </c>
      <c r="J586" s="24">
        <f ca="1">IF(OR(E586="",E586="!!!",F586="NEW"),"",COUNTBLANK(OFFSET(A$1,,,SUMPRODUCT(MAX(ROW(E$2:E586)*(E586=E$2:E586)))))-COUNTBLANK(OFFSET(A$1,,,SUMPRODUCT(MAX(ROW(E$1:E585)*(E2=E$1:E585))))))</f>
        <v>0</v>
      </c>
      <c r="K586" s="24">
        <f ca="1">IF(OR(E586="",E586="!!!",F586="NEW"),"",INDEX(J$1:J585,SUMPRODUCT(MAX(ROW(E$1:E585)*(E586=E$1:E585)))))</f>
        <v>0</v>
      </c>
      <c r="L586" s="25"/>
    </row>
    <row r="587" spans="1:12" x14ac:dyDescent="0.3">
      <c r="A587" t="s">
        <v>303</v>
      </c>
      <c r="E587" s="20" t="str">
        <f t="shared" si="42"/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43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400</v>
      </c>
      <c r="E588" s="20" t="str">
        <f t="shared" si="42"/>
        <v/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43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12</v>
      </c>
      <c r="E589" s="20" t="str">
        <f t="shared" si="42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43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12</v>
      </c>
      <c r="E590" s="20" t="str">
        <f t="shared" si="42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43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237</v>
      </c>
      <c r="E591" s="20" t="str">
        <f t="shared" si="42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43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187</v>
      </c>
      <c r="E592" s="20" t="str">
        <f t="shared" si="42"/>
        <v/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43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3" spans="1:12" x14ac:dyDescent="0.3">
      <c r="A593" t="s">
        <v>202</v>
      </c>
      <c r="B593" s="26" t="s">
        <v>197</v>
      </c>
      <c r="C593" s="26" t="s">
        <v>213</v>
      </c>
      <c r="D593" s="26" t="s">
        <v>142</v>
      </c>
      <c r="E593" s="20" t="s">
        <v>459</v>
      </c>
      <c r="F593" s="21" t="str">
        <f>IF(OR(E593="",E593="!!!"),"",IF(NOT(ISNA(VLOOKUP(E593,E$1:E592,1,FALSE()))),"OLD",IF(AND(E593&lt;&gt;"",E593&lt;&gt;"!!!"),"NEW","")))</f>
        <v>OLD</v>
      </c>
      <c r="G593" s="22" t="str">
        <f ca="1"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?IN_FOCUS</v>
      </c>
      <c r="H593" s="23" t="str">
        <f t="shared" ca="1" si="43"/>
        <v/>
      </c>
      <c r="I593" s="24" t="str">
        <f>IF(OR(E593="",E593="!!!",F593="NEW"),"",INDEX(B$2:B592,-1+SUMPRODUCT(MAX(ROW(E$2:E592)*(E593=E$2:E592)))))</f>
        <v>SBJ_3</v>
      </c>
      <c r="J593" s="24">
        <f ca="1">IF(OR(E593="",E593="!!!",F593="NEW"),"",COUNTBLANK(OFFSET(A$1,,,SUMPRODUCT(MAX(ROW(E$2:E593)*(E593=E$2:E593)))))-COUNTBLANK(OFFSET(A$1,,,SUMPRODUCT(MAX(ROW(E$1:E592)*(E2=E$1:E592))))))</f>
        <v>0</v>
      </c>
      <c r="K593" s="24">
        <f ca="1">IF(OR(E593="",E593="!!!",F593="NEW"),"",INDEX(J$1:J592,SUMPRODUCT(MAX(ROW(E$1:E592)*(E593=E$1:E592)))))</f>
        <v>0</v>
      </c>
      <c r="L593" s="25"/>
    </row>
    <row r="594" spans="1:12" x14ac:dyDescent="0.3">
      <c r="A594" t="s">
        <v>189</v>
      </c>
      <c r="E594" s="20" t="str">
        <f>IF(D594=E597,"!!!","")</f>
        <v>!!!</v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43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153</v>
      </c>
      <c r="E595" s="20" t="str">
        <f t="shared" si="42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43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190</v>
      </c>
      <c r="B596" s="26" t="s">
        <v>168</v>
      </c>
      <c r="E596" s="20" t="s">
        <v>459</v>
      </c>
      <c r="F596" s="21" t="str">
        <f>IF(OR(E596="",E596="!!!"),"",IF(NOT(ISNA(VLOOKUP(E596,E$1:E595,1,FALSE()))),"OLD",IF(AND(E596&lt;&gt;"",E596&lt;&gt;"!!!"),"NEW","")))</f>
        <v>OLD</v>
      </c>
      <c r="G596" s="22" t="str">
        <f ca="1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?IN_FOCUS</v>
      </c>
      <c r="H596" s="23" t="str">
        <f t="shared" ca="1" si="43"/>
        <v/>
      </c>
      <c r="I596" s="24" t="str">
        <f>IF(OR(E596="",E596="!!!",F596="NEW"),"",INDEX(B$2:B595,-1+SUMPRODUCT(MAX(ROW(E$2:E595)*(E596=E$2:E595)))))</f>
        <v>SBJ_2</v>
      </c>
      <c r="J596" s="24">
        <f ca="1">IF(OR(E596="",E596="!!!",F596="NEW"),"",COUNTBLANK(OFFSET(A$1,,,SUMPRODUCT(MAX(ROW(E$2:E596)*(E596=E$2:E596)))))-COUNTBLANK(OFFSET(A$1,,,SUMPRODUCT(MAX(ROW(E$1:E595)*(E2=E$1:E595))))))</f>
        <v>0</v>
      </c>
      <c r="K596" s="24">
        <f ca="1">IF(OR(E596="",E596="!!!",F596="NEW"),"",INDEX(J$1:J595,SUMPRODUCT(MAX(ROW(E$1:E595)*(E596=E$1:E595)))))</f>
        <v>0</v>
      </c>
      <c r="L596" s="25"/>
    </row>
    <row r="597" spans="1:12" x14ac:dyDescent="0.3">
      <c r="A597" t="s">
        <v>401</v>
      </c>
      <c r="E597" s="20" t="str">
        <f t="shared" si="42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43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154</v>
      </c>
      <c r="E598" s="20" t="str">
        <f t="shared" si="42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43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402</v>
      </c>
      <c r="E599" s="20" t="str">
        <f t="shared" si="42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43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362</v>
      </c>
      <c r="B600" s="26" t="s">
        <v>171</v>
      </c>
      <c r="C600" s="26" t="s">
        <v>169</v>
      </c>
      <c r="D600" s="26" t="s">
        <v>142</v>
      </c>
      <c r="E600" s="20" t="s">
        <v>469</v>
      </c>
      <c r="F600" s="21" t="str">
        <f>IF(OR(E600="",E600="!!!"),"",IF(NOT(ISNA(VLOOKUP(E600,E$1:E599,1,FALSE()))),"OLD",IF(AND(E600&lt;&gt;"",E600&lt;&gt;"!!!"),"NEW","")))</f>
        <v>NEW</v>
      </c>
      <c r="G600" s="22" t="str">
        <f ca="1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?REFERENTIAL</v>
      </c>
      <c r="H600" s="23" t="str">
        <f t="shared" ca="1" si="43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150</v>
      </c>
      <c r="E601" s="20" t="str">
        <f t="shared" si="42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43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201</v>
      </c>
      <c r="E602" s="20" t="str">
        <f t="shared" si="42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43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252</v>
      </c>
      <c r="B603" s="26" t="s">
        <v>165</v>
      </c>
      <c r="C603" s="26" t="s">
        <v>204</v>
      </c>
      <c r="D603" s="26" t="s">
        <v>142</v>
      </c>
      <c r="E603" s="20" t="s">
        <v>468</v>
      </c>
      <c r="F603" s="21" t="str">
        <f>IF(OR(E603="",E603="!!!"),"",IF(NOT(ISNA(VLOOKUP(E603,E$1:E602,1,FALSE()))),"OLD",IF(AND(E603&lt;&gt;"",E603&lt;&gt;"!!!"),"NEW","")))</f>
        <v>OLD</v>
      </c>
      <c r="G603" s="22" t="str">
        <f ca="1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?IN_FOCUS</v>
      </c>
      <c r="H603" s="23" t="str">
        <f t="shared" ca="1" si="43"/>
        <v/>
      </c>
      <c r="I603" s="24">
        <f>IF(OR(E603="",E603="!!!",F603="NEW"),"",INDEX(B$2:B602,-1+SUMPRODUCT(MAX(ROW(E$2:E602)*(E603=E$2:E602)))))</f>
        <v>0</v>
      </c>
      <c r="J603" s="24">
        <f ca="1">IF(OR(E603="",E603="!!!",F603="NEW"),"",COUNTBLANK(OFFSET(A$1,,,SUMPRODUCT(MAX(ROW(E$2:E603)*(E603=E$2:E603)))))-COUNTBLANK(OFFSET(A$1,,,SUMPRODUCT(MAX(ROW(E$1:E602)*(E2=E$1:E602))))))</f>
        <v>0</v>
      </c>
      <c r="K603" s="24">
        <f ca="1">IF(OR(E603="",E603="!!!",F603="NEW"),"",INDEX(J$1:J602,SUMPRODUCT(MAX(ROW(E$1:E602)*(E603=E$1:E602)))))</f>
        <v>0</v>
      </c>
      <c r="L603" s="25"/>
    </row>
    <row r="604" spans="1:12" x14ac:dyDescent="0.3">
      <c r="A604" t="s">
        <v>153</v>
      </c>
      <c r="E604" s="20" t="str">
        <f t="shared" si="42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43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253</v>
      </c>
      <c r="E605" s="20" t="str">
        <f t="shared" si="42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43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6" spans="1:12" x14ac:dyDescent="0.3">
      <c r="A606" t="s">
        <v>403</v>
      </c>
      <c r="B606" s="26" t="s">
        <v>199</v>
      </c>
      <c r="C606" s="26" t="s">
        <v>152</v>
      </c>
      <c r="E606" s="20" t="str">
        <f t="shared" si="42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43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404</v>
      </c>
      <c r="E607" s="20" t="str">
        <f t="shared" si="42"/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ca="1" si="43"/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405</v>
      </c>
      <c r="B608" s="26" t="s">
        <v>221</v>
      </c>
      <c r="C608" s="26" t="s">
        <v>152</v>
      </c>
      <c r="E608" s="20" t="str">
        <f t="shared" si="42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43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153</v>
      </c>
      <c r="E609" s="20" t="str">
        <f t="shared" si="42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43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257</v>
      </c>
      <c r="E610" s="20" t="str">
        <f t="shared" si="42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43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153</v>
      </c>
      <c r="E611" s="20" t="str">
        <f t="shared" si="42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43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406</v>
      </c>
      <c r="E612" s="20" t="str">
        <f t="shared" si="42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43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195</v>
      </c>
      <c r="E613" s="20" t="str">
        <f t="shared" si="42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43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164</v>
      </c>
      <c r="B614" s="26" t="s">
        <v>165</v>
      </c>
      <c r="C614" s="26" t="s">
        <v>166</v>
      </c>
      <c r="D614" s="26" t="s">
        <v>142</v>
      </c>
      <c r="E614" s="20" t="s">
        <v>459</v>
      </c>
      <c r="F614" s="21" t="str">
        <f>IF(OR(E614="",E614="!!!"),"",IF(NOT(ISNA(VLOOKUP(E614,E$1:E613,1,FALSE()))),"OLD",IF(AND(E614&lt;&gt;"",E614&lt;&gt;"!!!"),"NEW","")))</f>
        <v>OLD</v>
      </c>
      <c r="G614" s="22" t="str">
        <f ca="1"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?IN_FOCUS</v>
      </c>
      <c r="H614" s="23" t="str">
        <f t="shared" ca="1" si="43"/>
        <v/>
      </c>
      <c r="I614" s="24" t="str">
        <f>IF(OR(E614="",E614="!!!",F614="NEW"),"",INDEX(B$2:B613,-1+SUMPRODUCT(MAX(ROW(E$2:E613)*(E614=E$2:E613)))))</f>
        <v>SBJ_4</v>
      </c>
      <c r="J614" s="24">
        <f ca="1">IF(OR(E614="",E614="!!!",F614="NEW"),"",COUNTBLANK(OFFSET(A$1,,,SUMPRODUCT(MAX(ROW(E$2:E614)*(E614=E$2:E614)))))-COUNTBLANK(OFFSET(A$1,,,SUMPRODUCT(MAX(ROW(E$1:E613)*(E2=E$1:E613))))))</f>
        <v>0</v>
      </c>
      <c r="K614" s="24">
        <f ca="1">IF(OR(E614="",E614="!!!",F614="NEW"),"",INDEX(J$1:J613,SUMPRODUCT(MAX(ROW(E$1:E613)*(E614=E$1:E613)))))</f>
        <v>0</v>
      </c>
      <c r="L614" s="25"/>
    </row>
    <row r="615" spans="1:12" x14ac:dyDescent="0.3">
      <c r="A615" t="s">
        <v>174</v>
      </c>
      <c r="B615" s="26" t="s">
        <v>168</v>
      </c>
      <c r="C615" s="26" t="s">
        <v>169</v>
      </c>
      <c r="D615" s="26" t="s">
        <v>142</v>
      </c>
      <c r="E615" s="20" t="s">
        <v>465</v>
      </c>
      <c r="F615" s="21" t="str">
        <f>IF(OR(E615="",E615="!!!"),"",IF(NOT(ISNA(VLOOKUP(E615,E$1:E614,1,FALSE()))),"OLD",IF(AND(E615&lt;&gt;"",E615&lt;&gt;"!!!"),"NEW","")))</f>
        <v>OLD</v>
      </c>
      <c r="G615" s="22" t="str">
        <f ca="1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?IN_FOCUS</v>
      </c>
      <c r="H615" s="23" t="str">
        <f t="shared" ca="1" si="43"/>
        <v/>
      </c>
      <c r="I615" s="24" t="str">
        <f>IF(OR(E615="",E615="!!!",F615="NEW"),"",INDEX(B$2:B614,-1+SUMPRODUCT(MAX(ROW(E$2:E614)*(E615=E$2:E614)))))</f>
        <v>other_4</v>
      </c>
      <c r="J615" s="24">
        <f ca="1">IF(OR(E615="",E615="!!!",F615="NEW"),"",COUNTBLANK(OFFSET(A$1,,,SUMPRODUCT(MAX(ROW(E$2:E615)*(E615=E$2:E615)))))-COUNTBLANK(OFFSET(A$1,,,SUMPRODUCT(MAX(ROW(E$1:E614)*(E2=E$1:E614))))))</f>
        <v>0</v>
      </c>
      <c r="K615" s="24">
        <f ca="1">IF(OR(E615="",E615="!!!",F615="NEW"),"",INDEX(J$1:J614,SUMPRODUCT(MAX(ROW(E$1:E614)*(E615=E$1:E614)))))</f>
        <v>0</v>
      </c>
      <c r="L615" s="25"/>
    </row>
    <row r="616" spans="1:12" x14ac:dyDescent="0.3">
      <c r="A616" t="s">
        <v>143</v>
      </c>
      <c r="E616" s="20" t="str">
        <f t="shared" si="42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43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407</v>
      </c>
      <c r="E617" s="20" t="str">
        <f t="shared" si="42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43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153</v>
      </c>
      <c r="E618" s="20" t="str">
        <f t="shared" si="42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43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408</v>
      </c>
      <c r="E619" s="20" t="str">
        <f t="shared" si="42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43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215</v>
      </c>
      <c r="E620" s="20" t="str">
        <f t="shared" si="42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43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2" spans="1:12" x14ac:dyDescent="0.3">
      <c r="A622" t="s">
        <v>409</v>
      </c>
    </row>
    <row r="623" spans="1:12" x14ac:dyDescent="0.3">
      <c r="A623" t="s">
        <v>359</v>
      </c>
      <c r="B623" s="26" t="s">
        <v>140</v>
      </c>
      <c r="C623" s="26" t="s">
        <v>302</v>
      </c>
      <c r="D623" s="26" t="s">
        <v>142</v>
      </c>
      <c r="E623" s="20" t="str">
        <f t="shared" ref="E623:E650" si="44">IF(D623="?OLD","!!!","")</f>
        <v>!!!</v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ref="H623:H650" ca="1" si="45">IF(J623&lt;&gt;1,"",IF(I623="SBJ","CB","?"))</f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303</v>
      </c>
      <c r="E624" s="20" t="str">
        <f t="shared" si="44"/>
        <v/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45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360</v>
      </c>
      <c r="B625" s="26" t="s">
        <v>146</v>
      </c>
      <c r="C625" s="26" t="s">
        <v>166</v>
      </c>
      <c r="D625" s="26" t="s">
        <v>142</v>
      </c>
      <c r="E625" s="20" t="s">
        <v>462</v>
      </c>
      <c r="F625" s="21" t="str">
        <f>IF(OR(E625="",E625="!!!"),"",IF(NOT(ISNA(VLOOKUP(E625,E$1:E624,1,FALSE()))),"OLD",IF(AND(E625&lt;&gt;"",E625&lt;&gt;"!!!"),"NEW","")))</f>
        <v>OLD</v>
      </c>
      <c r="G625" s="22" t="str">
        <f ca="1"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?IN_FOCUS</v>
      </c>
      <c r="H625" s="23" t="str">
        <f t="shared" ca="1" si="45"/>
        <v/>
      </c>
      <c r="I625" s="24" t="str">
        <f>IF(OR(E625="",E625="!!!",F625="NEW"),"",INDEX(B$2:B624,-1+SUMPRODUCT(MAX(ROW(E$2:E624)*(E625=E$2:E624)))))</f>
        <v>OBJ</v>
      </c>
      <c r="J625" s="24">
        <f ca="1">IF(OR(E625="",E625="!!!",F625="NEW"),"",COUNTBLANK(OFFSET(A$1,,,SUMPRODUCT(MAX(ROW(E$2:E625)*(E625=E$2:E625)))))-COUNTBLANK(OFFSET(A$1,,,SUMPRODUCT(MAX(ROW(E$1:E624)*(E2=E$1:E624))))))</f>
        <v>0</v>
      </c>
      <c r="K625" s="24" t="str">
        <f ca="1">IF(OR(E625="",E625="!!!",F625="NEW"),"",INDEX(J$1:J624,SUMPRODUCT(MAX(ROW(E$1:E624)*(E625=E$1:E624)))))</f>
        <v/>
      </c>
      <c r="L625" s="25"/>
    </row>
    <row r="626" spans="1:12" x14ac:dyDescent="0.3">
      <c r="A626" t="s">
        <v>149</v>
      </c>
      <c r="B626" s="26" t="s">
        <v>146</v>
      </c>
      <c r="C626" s="26" t="s">
        <v>169</v>
      </c>
      <c r="D626" s="26" t="s">
        <v>142</v>
      </c>
      <c r="E626" s="20" t="s">
        <v>459</v>
      </c>
      <c r="F626" s="21" t="str">
        <f>IF(OR(E626="",E626="!!!"),"",IF(NOT(ISNA(VLOOKUP(E626,E$1:E625,1,FALSE()))),"OLD",IF(AND(E626&lt;&gt;"",E626&lt;&gt;"!!!"),"NEW","")))</f>
        <v>OLD</v>
      </c>
      <c r="G626" s="22" t="str">
        <f ca="1"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?IN_FOCUS</v>
      </c>
      <c r="H626" s="23" t="str">
        <f t="shared" ca="1" si="45"/>
        <v/>
      </c>
      <c r="I626" s="24" t="str">
        <f>IF(OR(E626="",E626="!!!",F626="NEW"),"",INDEX(B$2:B625,-1+SUMPRODUCT(MAX(ROW(E$2:E625)*(E626=E$2:E625)))))</f>
        <v>other_5</v>
      </c>
      <c r="J626" s="24">
        <f ca="1">IF(OR(E626="",E626="!!!",F626="NEW"),"",COUNTBLANK(OFFSET(A$1,,,SUMPRODUCT(MAX(ROW(E$2:E626)*(E626=E$2:E626)))))-COUNTBLANK(OFFSET(A$1,,,SUMPRODUCT(MAX(ROW(E$1:E625)*(E2=E$1:E625))))))</f>
        <v>0</v>
      </c>
      <c r="K626" s="24">
        <f ca="1">IF(OR(E626="",E626="!!!",F626="NEW"),"",INDEX(J$1:J625,SUMPRODUCT(MAX(ROW(E$1:E625)*(E626=E$1:E625)))))</f>
        <v>0</v>
      </c>
      <c r="L626" s="25"/>
    </row>
    <row r="627" spans="1:12" x14ac:dyDescent="0.3">
      <c r="A627" t="s">
        <v>153</v>
      </c>
      <c r="E627" s="20" t="str">
        <f t="shared" si="44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45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201</v>
      </c>
      <c r="E628" s="20" t="str">
        <f t="shared" si="44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45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187</v>
      </c>
      <c r="E629" s="20" t="str">
        <f t="shared" si="44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45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202</v>
      </c>
      <c r="B630" s="26" t="s">
        <v>146</v>
      </c>
      <c r="C630" s="26" t="s">
        <v>204</v>
      </c>
      <c r="D630" s="26" t="s">
        <v>142</v>
      </c>
      <c r="E630" s="20" t="s">
        <v>459</v>
      </c>
      <c r="F630" s="21" t="str">
        <f>IF(OR(E630="",E630="!!!"),"",IF(NOT(ISNA(VLOOKUP(E630,E$1:E629,1,FALSE()))),"OLD",IF(AND(E630&lt;&gt;"",E630&lt;&gt;"!!!"),"NEW","")))</f>
        <v>OLD</v>
      </c>
      <c r="G630" s="22" t="str">
        <f ca="1"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?IN_FOCUS</v>
      </c>
      <c r="H630" s="23" t="str">
        <f t="shared" ca="1" si="45"/>
        <v/>
      </c>
      <c r="I630" s="24" t="str">
        <f>IF(OR(E630="",E630="!!!",F630="NEW"),"",INDEX(B$2:B629,-1+SUMPRODUCT(MAX(ROW(E$2:E629)*(E630=E$2:E629)))))</f>
        <v>other</v>
      </c>
      <c r="J630" s="24">
        <f ca="1">IF(OR(E630="",E630="!!!",F630="NEW"),"",COUNTBLANK(OFFSET(A$1,,,SUMPRODUCT(MAX(ROW(E$2:E630)*(E630=E$2:E630)))))-COUNTBLANK(OFFSET(A$1,,,SUMPRODUCT(MAX(ROW(E$1:E629)*(E2=E$1:E629))))))</f>
        <v>0</v>
      </c>
      <c r="K630" s="24">
        <f ca="1">IF(OR(E630="",E630="!!!",F630="NEW"),"",INDEX(J$1:J629,SUMPRODUCT(MAX(ROW(E$1:E629)*(E630=E$1:E629)))))</f>
        <v>0</v>
      </c>
      <c r="L630" s="25"/>
    </row>
    <row r="631" spans="1:12" x14ac:dyDescent="0.3">
      <c r="A631" t="s">
        <v>189</v>
      </c>
      <c r="E631" s="20" t="str">
        <f t="shared" si="44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45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153</v>
      </c>
      <c r="E632" s="20" t="str">
        <f t="shared" si="44"/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45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190</v>
      </c>
      <c r="B633" s="26" t="s">
        <v>197</v>
      </c>
      <c r="E633" s="20" t="s">
        <v>459</v>
      </c>
      <c r="F633" s="21" t="str">
        <f>IF(OR(E633="",E633="!!!"),"",IF(NOT(ISNA(VLOOKUP(E633,E$1:E632,1,FALSE()))),"OLD",IF(AND(E633&lt;&gt;"",E633&lt;&gt;"!!!"),"NEW","")))</f>
        <v>OLD</v>
      </c>
      <c r="G633" s="22" t="str">
        <f ca="1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?IN_FOCUS</v>
      </c>
      <c r="H633" s="23" t="str">
        <f t="shared" ca="1" si="45"/>
        <v/>
      </c>
      <c r="I633" s="24" t="str">
        <f>IF(OR(E633="",E633="!!!",F633="NEW"),"",INDEX(B$2:B632,-1+SUMPRODUCT(MAX(ROW(E$2:E632)*(E633=E$2:E632)))))</f>
        <v>other</v>
      </c>
      <c r="J633" s="24">
        <f ca="1">IF(OR(E633="",E633="!!!",F633="NEW"),"",COUNTBLANK(OFFSET(A$1,,,SUMPRODUCT(MAX(ROW(E$2:E633)*(E633=E$2:E633)))))-COUNTBLANK(OFFSET(A$1,,,SUMPRODUCT(MAX(ROW(E$1:E632)*(E2=E$1:E632))))))</f>
        <v>0</v>
      </c>
      <c r="K633" s="24">
        <f ca="1">IF(OR(E633="",E633="!!!",F633="NEW"),"",INDEX(J$1:J632,SUMPRODUCT(MAX(ROW(E$1:E632)*(E633=E$1:E632)))))</f>
        <v>0</v>
      </c>
      <c r="L633" s="25"/>
    </row>
    <row r="634" spans="1:12" x14ac:dyDescent="0.3">
      <c r="A634" t="s">
        <v>307</v>
      </c>
      <c r="B634" s="26" t="s">
        <v>199</v>
      </c>
      <c r="C634" s="26" t="s">
        <v>141</v>
      </c>
      <c r="D634" s="26" t="s">
        <v>142</v>
      </c>
      <c r="E634" s="20" t="s">
        <v>465</v>
      </c>
      <c r="F634" s="21" t="str">
        <f>IF(OR(E634="",E634="!!!"),"",IF(NOT(ISNA(VLOOKUP(E634,E$1:E633,1,FALSE()))),"OLD",IF(AND(E634&lt;&gt;"",E634&lt;&gt;"!!!"),"NEW","")))</f>
        <v>OLD</v>
      </c>
      <c r="G634" s="22" t="str">
        <f ca="1"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?IN_FOCUS</v>
      </c>
      <c r="H634" s="23" t="str">
        <f t="shared" ca="1" si="45"/>
        <v/>
      </c>
      <c r="I634" s="24" t="str">
        <f>IF(OR(E634="",E634="!!!",F634="NEW"),"",INDEX(B$2:B633,-1+SUMPRODUCT(MAX(ROW(E$2:E633)*(E634=E$2:E633)))))</f>
        <v>SBJ_4</v>
      </c>
      <c r="J634" s="24">
        <f ca="1">IF(OR(E634="",E634="!!!",F634="NEW"),"",COUNTBLANK(OFFSET(A$1,,,SUMPRODUCT(MAX(ROW(E$2:E634)*(E634=E$2:E634)))))-COUNTBLANK(OFFSET(A$1,,,SUMPRODUCT(MAX(ROW(E$1:E633)*(E2=E$1:E633))))))</f>
        <v>0</v>
      </c>
      <c r="K634" s="24">
        <f ca="1">IF(OR(E634="",E634="!!!",F634="NEW"),"",INDEX(J$1:J633,SUMPRODUCT(MAX(ROW(E$1:E633)*(E634=E$1:E633)))))</f>
        <v>0</v>
      </c>
      <c r="L634" s="25"/>
    </row>
    <row r="635" spans="1:12" x14ac:dyDescent="0.3">
      <c r="A635" t="s">
        <v>363</v>
      </c>
      <c r="E635" s="20" t="str">
        <f t="shared" si="44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45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144</v>
      </c>
      <c r="E636" s="20" t="str">
        <f t="shared" si="44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45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28</v>
      </c>
      <c r="B637" s="26" t="s">
        <v>199</v>
      </c>
      <c r="C637" s="26" t="s">
        <v>147</v>
      </c>
      <c r="E637" s="20" t="str">
        <f t="shared" si="44"/>
        <v/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45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173</v>
      </c>
      <c r="E638" s="20" t="str">
        <f t="shared" si="44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45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186</v>
      </c>
      <c r="E639" s="20" t="str">
        <f t="shared" si="44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45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187</v>
      </c>
      <c r="E640" s="20" t="str">
        <f t="shared" si="44"/>
        <v/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45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233</v>
      </c>
      <c r="B641" s="26" t="s">
        <v>242</v>
      </c>
      <c r="C641" s="26" t="s">
        <v>147</v>
      </c>
      <c r="E641" s="20" t="str">
        <f t="shared" si="44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45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150</v>
      </c>
      <c r="E642" s="20" t="str">
        <f t="shared" si="44"/>
        <v/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45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234</v>
      </c>
      <c r="B643" s="26" t="s">
        <v>242</v>
      </c>
      <c r="C643" s="26" t="s">
        <v>152</v>
      </c>
      <c r="E643" s="20" t="str">
        <f t="shared" si="44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45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153</v>
      </c>
      <c r="E644" s="20" t="str">
        <f t="shared" si="44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45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195</v>
      </c>
      <c r="E645" s="20" t="str">
        <f t="shared" si="44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45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287</v>
      </c>
      <c r="B646" s="26" t="s">
        <v>221</v>
      </c>
      <c r="C646" s="26" t="s">
        <v>166</v>
      </c>
      <c r="D646" s="26" t="s">
        <v>142</v>
      </c>
      <c r="E646" s="20" t="s">
        <v>459</v>
      </c>
      <c r="F646" s="21" t="str">
        <f>IF(OR(E646="",E646="!!!"),"",IF(NOT(ISNA(VLOOKUP(E646,E$1:E645,1,FALSE()))),"OLD",IF(AND(E646&lt;&gt;"",E646&lt;&gt;"!!!"),"NEW","")))</f>
        <v>OLD</v>
      </c>
      <c r="G646" s="22" t="str">
        <f ca="1"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?IN_FOCUS</v>
      </c>
      <c r="H646" s="23" t="str">
        <f t="shared" ca="1" si="45"/>
        <v/>
      </c>
      <c r="I646" s="24" t="str">
        <f>IF(OR(E646="",E646="!!!",F646="NEW"),"",INDEX(B$2:B645,-1+SUMPRODUCT(MAX(ROW(E$2:E645)*(E646=E$2:E645)))))</f>
        <v>SBJ_2</v>
      </c>
      <c r="J646" s="24">
        <f ca="1">IF(OR(E646="",E646="!!!",F646="NEW"),"",COUNTBLANK(OFFSET(A$1,,,SUMPRODUCT(MAX(ROW(E$2:E646)*(E646=E$2:E646)))))-COUNTBLANK(OFFSET(A$1,,,SUMPRODUCT(MAX(ROW(E$1:E645)*(E2=E$1:E645))))))</f>
        <v>0</v>
      </c>
      <c r="K646" s="24">
        <f ca="1">IF(OR(E646="",E646="!!!",F646="NEW"),"",INDEX(J$1:J645,SUMPRODUCT(MAX(ROW(E$1:E645)*(E646=E$1:E645)))))</f>
        <v>0</v>
      </c>
      <c r="L646" s="25"/>
    </row>
    <row r="647" spans="1:12" x14ac:dyDescent="0.3">
      <c r="A647" t="s">
        <v>167</v>
      </c>
      <c r="B647" s="26" t="s">
        <v>159</v>
      </c>
      <c r="C647" s="26" t="s">
        <v>169</v>
      </c>
      <c r="D647" s="26" t="s">
        <v>142</v>
      </c>
      <c r="E647" s="20" t="s">
        <v>470</v>
      </c>
      <c r="F647" s="21" t="str">
        <f>IF(OR(E647="",E647="!!!"),"",IF(NOT(ISNA(VLOOKUP(E647,E$1:E646,1,FALSE()))),"OLD",IF(AND(E647&lt;&gt;"",E647&lt;&gt;"!!!"),"NEW","")))</f>
        <v>OLD</v>
      </c>
      <c r="G647" s="22" t="str">
        <f ca="1"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?IN_FOCUS</v>
      </c>
      <c r="H647" s="23" t="str">
        <f t="shared" ca="1" si="45"/>
        <v/>
      </c>
      <c r="I647" s="24" t="str">
        <f>IF(OR(E647="",E647="!!!",F647="NEW"),"",INDEX(B$2:B646,-1+SUMPRODUCT(MAX(ROW(E$2:E646)*(E647=E$2:E646)))))</f>
        <v>SBJ_2</v>
      </c>
      <c r="J647" s="24">
        <f ca="1">IF(OR(E647="",E647="!!!",F647="NEW"),"",COUNTBLANK(OFFSET(A$1,,,SUMPRODUCT(MAX(ROW(E$2:E647)*(E647=E$2:E647)))))-COUNTBLANK(OFFSET(A$1,,,SUMPRODUCT(MAX(ROW(E$1:E646)*(E2=E$1:E646))))))</f>
        <v>0</v>
      </c>
      <c r="K647" s="24">
        <f ca="1">IF(OR(E647="",E647="!!!",F647="NEW"),"",INDEX(J$1:J646,SUMPRODUCT(MAX(ROW(E$1:E646)*(E647=E$1:E646)))))</f>
        <v>0</v>
      </c>
      <c r="L647" s="25"/>
    </row>
    <row r="648" spans="1:12" x14ac:dyDescent="0.3">
      <c r="A648" t="s">
        <v>307</v>
      </c>
      <c r="B648" s="26" t="s">
        <v>191</v>
      </c>
      <c r="C648" s="26" t="s">
        <v>141</v>
      </c>
      <c r="D648" s="26" t="s">
        <v>142</v>
      </c>
      <c r="E648" s="20" t="s">
        <v>462</v>
      </c>
      <c r="F648" s="21" t="str">
        <f>IF(OR(E648="",E648="!!!"),"",IF(NOT(ISNA(VLOOKUP(E648,E$1:E647,1,FALSE()))),"OLD",IF(AND(E648&lt;&gt;"",E648&lt;&gt;"!!!"),"NEW","")))</f>
        <v>OLD</v>
      </c>
      <c r="G648" s="22" t="str">
        <f ca="1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?IN_FOCUS</v>
      </c>
      <c r="H648" s="23" t="str">
        <f t="shared" ca="1" si="45"/>
        <v/>
      </c>
      <c r="I648" s="24" t="str">
        <f>IF(OR(E648="",E648="!!!",F648="NEW"),"",INDEX(B$2:B647,-1+SUMPRODUCT(MAX(ROW(E$2:E647)*(E648=E$2:E647)))))</f>
        <v>other</v>
      </c>
      <c r="J648" s="24">
        <f ca="1">IF(OR(E648="",E648="!!!",F648="NEW"),"",COUNTBLANK(OFFSET(A$1,,,SUMPRODUCT(MAX(ROW(E$2:E648)*(E648=E$2:E648)))))-COUNTBLANK(OFFSET(A$1,,,SUMPRODUCT(MAX(ROW(E$1:E647)*(E2=E$1:E647))))))</f>
        <v>0</v>
      </c>
      <c r="K648" s="24">
        <f ca="1">IF(OR(E648="",E648="!!!",F648="NEW"),"",INDEX(J$1:J647,SUMPRODUCT(MAX(ROW(E$1:E647)*(E648=E$1:E647)))))</f>
        <v>0</v>
      </c>
      <c r="L648" s="25"/>
    </row>
    <row r="649" spans="1:12" x14ac:dyDescent="0.3">
      <c r="A649" t="s">
        <v>290</v>
      </c>
      <c r="E649" s="20" t="str">
        <f t="shared" si="44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45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176</v>
      </c>
      <c r="E650" s="20" t="str">
        <f t="shared" si="44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45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2" spans="1:12" x14ac:dyDescent="0.3">
      <c r="A652" t="s">
        <v>410</v>
      </c>
    </row>
    <row r="653" spans="1:12" x14ac:dyDescent="0.3">
      <c r="A653" t="s">
        <v>12</v>
      </c>
      <c r="E653" s="20" t="str">
        <f t="shared" ref="E653:E673" si="46">IF(D653="?OLD","!!!","")</f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ref="H653:H673" ca="1" si="47">IF(J653&lt;&gt;1,"",IF(I653="SBJ","CB","?"))</f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12</v>
      </c>
      <c r="E654" s="20" t="str">
        <f t="shared" si="46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47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237</v>
      </c>
      <c r="E655" s="20" t="str">
        <f t="shared" si="46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47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252</v>
      </c>
      <c r="B656" s="26" t="s">
        <v>140</v>
      </c>
      <c r="C656" s="26" t="s">
        <v>204</v>
      </c>
      <c r="D656" s="26" t="s">
        <v>142</v>
      </c>
      <c r="E656" s="20" t="s">
        <v>468</v>
      </c>
      <c r="F656" s="21" t="str">
        <f>IF(OR(E656="",E656="!!!"),"",IF(NOT(ISNA(VLOOKUP(E656,E$1:E655,1,FALSE()))),"OLD",IF(AND(E656&lt;&gt;"",E656&lt;&gt;"!!!"),"NEW","")))</f>
        <v>OLD</v>
      </c>
      <c r="G656" s="22" t="str">
        <f ca="1"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?IN_FOCUS</v>
      </c>
      <c r="H656" s="23" t="str">
        <f t="shared" ca="1" si="47"/>
        <v/>
      </c>
      <c r="I656" s="24" t="str">
        <f>IF(OR(E656="",E656="!!!",F656="NEW"),"",INDEX(B$2:B655,-1+SUMPRODUCT(MAX(ROW(E$2:E655)*(E656=E$2:E655)))))</f>
        <v>other_5</v>
      </c>
      <c r="J656" s="24">
        <f ca="1">IF(OR(E656="",E656="!!!",F656="NEW"),"",COUNTBLANK(OFFSET(A$1,,,SUMPRODUCT(MAX(ROW(E$2:E656)*(E656=E$2:E656)))))-COUNTBLANK(OFFSET(A$1,,,SUMPRODUCT(MAX(ROW(E$1:E655)*(E2=E$1:E655))))))</f>
        <v>0</v>
      </c>
      <c r="K656" s="24">
        <f ca="1">IF(OR(E656="",E656="!!!",F656="NEW"),"",INDEX(J$1:J655,SUMPRODUCT(MAX(ROW(E$1:E655)*(E656=E$1:E655)))))</f>
        <v>0</v>
      </c>
      <c r="L656" s="25"/>
    </row>
    <row r="657" spans="1:12" x14ac:dyDescent="0.3">
      <c r="A657" t="s">
        <v>182</v>
      </c>
      <c r="B657" s="26" t="s">
        <v>183</v>
      </c>
      <c r="C657" s="26" t="s">
        <v>141</v>
      </c>
      <c r="D657" s="26" t="s">
        <v>142</v>
      </c>
      <c r="E657" s="20" t="s">
        <v>459</v>
      </c>
      <c r="F657" s="21" t="str">
        <f>IF(OR(E657="",E657="!!!"),"",IF(NOT(ISNA(VLOOKUP(E657,E$1:E656,1,FALSE()))),"OLD",IF(AND(E657&lt;&gt;"",E657&lt;&gt;"!!!"),"NEW","")))</f>
        <v>OLD</v>
      </c>
      <c r="G657" s="22" t="str">
        <f ca="1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?IN_FOCUS</v>
      </c>
      <c r="H657" s="23" t="str">
        <f t="shared" ca="1" si="47"/>
        <v/>
      </c>
      <c r="I657" s="24" t="str">
        <f>IF(OR(E657="",E657="!!!",F657="NEW"),"",INDEX(B$2:B656,-1+SUMPRODUCT(MAX(ROW(E$2:E656)*(E657=E$2:E656)))))</f>
        <v>other_4</v>
      </c>
      <c r="J657" s="24">
        <f ca="1">IF(OR(E657="",E657="!!!",F657="NEW"),"",COUNTBLANK(OFFSET(A$1,,,SUMPRODUCT(MAX(ROW(E$2:E657)*(E657=E$2:E657)))))-COUNTBLANK(OFFSET(A$1,,,SUMPRODUCT(MAX(ROW(E$1:E656)*(E2=E$1:E656))))))</f>
        <v>0</v>
      </c>
      <c r="K657" s="24">
        <f ca="1">IF(OR(E657="",E657="!!!",F657="NEW"),"",INDEX(J$1:J656,SUMPRODUCT(MAX(ROW(E$1:E656)*(E657=E$1:E656)))))</f>
        <v>0</v>
      </c>
      <c r="L657" s="25"/>
    </row>
    <row r="658" spans="1:12" x14ac:dyDescent="0.3">
      <c r="A658" t="s">
        <v>370</v>
      </c>
      <c r="E658" s="20" t="str">
        <f t="shared" si="46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47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170</v>
      </c>
      <c r="E659" s="20" t="str">
        <f t="shared" si="46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47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411</v>
      </c>
      <c r="E660" s="20" t="str">
        <f t="shared" si="46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47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186</v>
      </c>
      <c r="E661" s="20" t="str">
        <f t="shared" si="46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47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368</v>
      </c>
      <c r="E662" s="20" t="str">
        <f t="shared" si="46"/>
        <v/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47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164</v>
      </c>
      <c r="B663" s="26" t="s">
        <v>242</v>
      </c>
      <c r="C663" s="26" t="s">
        <v>166</v>
      </c>
      <c r="D663" s="26" t="s">
        <v>142</v>
      </c>
      <c r="E663" s="20" t="s">
        <v>468</v>
      </c>
      <c r="F663" s="21" t="str">
        <f>IF(OR(E663="",E663="!!!"),"",IF(NOT(ISNA(VLOOKUP(E663,E$1:E662,1,FALSE()))),"OLD",IF(AND(E663&lt;&gt;"",E663&lt;&gt;"!!!"),"NEW","")))</f>
        <v>OLD</v>
      </c>
      <c r="G663" s="22" t="str">
        <f ca="1"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?IN_FOCUS</v>
      </c>
      <c r="H663" s="23" t="str">
        <f t="shared" ca="1" si="47"/>
        <v/>
      </c>
      <c r="I663" s="24" t="str">
        <f>IF(OR(E663="",E663="!!!",F663="NEW"),"",INDEX(B$2:B662,-1+SUMPRODUCT(MAX(ROW(E$2:E662)*(E663=E$2:E662)))))</f>
        <v>SBJ</v>
      </c>
      <c r="J663" s="24">
        <f ca="1">IF(OR(E663="",E663="!!!",F663="NEW"),"",COUNTBLANK(OFFSET(A$1,,,SUMPRODUCT(MAX(ROW(E$2:E663)*(E663=E$2:E663)))))-COUNTBLANK(OFFSET(A$1,,,SUMPRODUCT(MAX(ROW(E$1:E662)*(E2=E$1:E662))))))</f>
        <v>0</v>
      </c>
      <c r="K663" s="24">
        <f ca="1">IF(OR(E663="",E663="!!!",F663="NEW"),"",INDEX(J$1:J662,SUMPRODUCT(MAX(ROW(E$1:E662)*(E663=E$1:E662)))))</f>
        <v>0</v>
      </c>
      <c r="L663" s="25"/>
    </row>
    <row r="664" spans="1:12" x14ac:dyDescent="0.3">
      <c r="A664" t="s">
        <v>362</v>
      </c>
      <c r="B664" s="26" t="s">
        <v>199</v>
      </c>
      <c r="C664" s="26" t="s">
        <v>169</v>
      </c>
      <c r="D664" s="26" t="s">
        <v>142</v>
      </c>
      <c r="E664" s="20" t="s">
        <v>469</v>
      </c>
      <c r="F664" s="21" t="str">
        <f>IF(OR(E664="",E664="!!!"),"",IF(NOT(ISNA(VLOOKUP(E664,E$1:E663,1,FALSE()))),"OLD",IF(AND(E664&lt;&gt;"",E664&lt;&gt;"!!!"),"NEW","")))</f>
        <v>OLD</v>
      </c>
      <c r="G664" s="22" t="str">
        <f ca="1"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?IN_FOCUS</v>
      </c>
      <c r="H664" s="23" t="str">
        <f t="shared" ca="1" si="47"/>
        <v/>
      </c>
      <c r="I664" s="24" t="str">
        <f>IF(OR(E664="",E664="!!!",F664="NEW"),"",INDEX(B$2:B663,-1+SUMPRODUCT(MAX(ROW(E$2:E663)*(E664=E$2:E663)))))</f>
        <v>OBJ_4</v>
      </c>
      <c r="J664" s="24">
        <f ca="1">IF(OR(E664="",E664="!!!",F664="NEW"),"",COUNTBLANK(OFFSET(A$1,,,SUMPRODUCT(MAX(ROW(E$2:E664)*(E664=E$2:E664)))))-COUNTBLANK(OFFSET(A$1,,,SUMPRODUCT(MAX(ROW(E$1:E663)*(E2=E$1:E663))))))</f>
        <v>0</v>
      </c>
      <c r="K664" s="24" t="str">
        <f ca="1">IF(OR(E664="",E664="!!!",F664="NEW"),"",INDEX(J$1:J663,SUMPRODUCT(MAX(ROW(E$1:E663)*(E664=E$1:E663)))))</f>
        <v/>
      </c>
      <c r="L664" s="25"/>
    </row>
    <row r="665" spans="1:12" x14ac:dyDescent="0.3">
      <c r="A665" t="s">
        <v>215</v>
      </c>
      <c r="E665" s="20" t="str">
        <f t="shared" si="46"/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47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371</v>
      </c>
      <c r="E666" s="20" t="str">
        <f t="shared" si="46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47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154</v>
      </c>
      <c r="E667" s="20" t="str">
        <f t="shared" si="46"/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47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372</v>
      </c>
      <c r="B668" s="26" t="s">
        <v>191</v>
      </c>
      <c r="C668" s="26" t="s">
        <v>213</v>
      </c>
      <c r="D668" s="26" t="s">
        <v>142</v>
      </c>
      <c r="E668" s="20" t="str">
        <f t="shared" si="46"/>
        <v>!!!</v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47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153</v>
      </c>
      <c r="E669" s="20" t="str">
        <f t="shared" si="46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47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0" spans="1:12" x14ac:dyDescent="0.3">
      <c r="A670" t="s">
        <v>154</v>
      </c>
      <c r="E670" s="20" t="str">
        <f t="shared" si="46"/>
        <v/>
      </c>
      <c r="F670" s="21" t="str">
        <f>IF(OR(E670="",E670="!!!"),"",IF(NOT(ISNA(VLOOKUP(E670,E$1:E669,1,FALSE()))),"OLD",IF(AND(E670&lt;&gt;"",E670&lt;&gt;"!!!"),"NEW","")))</f>
        <v/>
      </c>
      <c r="G670" s="22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3" t="str">
        <f t="shared" ca="1" si="47"/>
        <v/>
      </c>
      <c r="I670" s="24" t="str">
        <f>IF(OR(E670="",E670="!!!",F670="NEW"),"",INDEX(B$2:B669,-1+SUMPRODUCT(MAX(ROW(E$2:E669)*(E670=E$2:E669)))))</f>
        <v/>
      </c>
      <c r="J670" s="24" t="str">
        <f ca="1">IF(OR(E670="",E670="!!!",F670="NEW"),"",COUNTBLANK(OFFSET(A$1,,,SUMPRODUCT(MAX(ROW(E$2:E670)*(E670=E$2:E670)))))-COUNTBLANK(OFFSET(A$1,,,SUMPRODUCT(MAX(ROW(E$1:E669)*(E2=E$1:E669))))))</f>
        <v/>
      </c>
      <c r="K670" s="24" t="str">
        <f>IF(OR(E670="",E670="!!!",F670="NEW"),"",INDEX(J$1:J669,SUMPRODUCT(MAX(ROW(E$1:E669)*(E670=E$1:E669)))))</f>
        <v/>
      </c>
      <c r="L670" s="25"/>
    </row>
    <row r="671" spans="1:12" x14ac:dyDescent="0.3">
      <c r="A671" t="s">
        <v>373</v>
      </c>
      <c r="B671" s="26" t="s">
        <v>168</v>
      </c>
      <c r="C671" s="26" t="s">
        <v>213</v>
      </c>
      <c r="D671" s="26" t="s">
        <v>142</v>
      </c>
      <c r="E671" s="20" t="str">
        <f t="shared" si="46"/>
        <v>!!!</v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47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374</v>
      </c>
      <c r="E672" s="20" t="str">
        <f t="shared" si="46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47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176</v>
      </c>
      <c r="E673" s="20" t="str">
        <f t="shared" si="46"/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t="shared" ca="1" si="47"/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5" spans="1:12" x14ac:dyDescent="0.3">
      <c r="A675" t="s">
        <v>412</v>
      </c>
    </row>
    <row r="676" spans="1:12" x14ac:dyDescent="0.3">
      <c r="A676" t="s">
        <v>12</v>
      </c>
      <c r="E676" s="20" t="str">
        <f t="shared" ref="E676:E692" si="48">IF(D676="?OLD","!!!","")</f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ref="H676:H692" ca="1" si="49">IF(J676&lt;&gt;1,"",IF(I676="SBJ","CB","?"))</f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12</v>
      </c>
      <c r="E677" s="20" t="str">
        <f t="shared" si="48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49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12</v>
      </c>
      <c r="E678" s="20" t="str">
        <f t="shared" si="48"/>
        <v/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49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237</v>
      </c>
      <c r="E679" s="20" t="str">
        <f t="shared" si="48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49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187</v>
      </c>
      <c r="E680" s="20" t="str">
        <f t="shared" si="48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49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202</v>
      </c>
      <c r="B681" s="26" t="s">
        <v>140</v>
      </c>
      <c r="C681" s="26" t="s">
        <v>213</v>
      </c>
      <c r="D681" s="26" t="s">
        <v>142</v>
      </c>
      <c r="E681" s="20" t="s">
        <v>459</v>
      </c>
      <c r="F681" s="21" t="str">
        <f>IF(OR(E681="",E681="!!!"),"",IF(NOT(ISNA(VLOOKUP(E681,E$1:E680,1,FALSE()))),"OLD",IF(AND(E681&lt;&gt;"",E681&lt;&gt;"!!!"),"NEW","")))</f>
        <v>OLD</v>
      </c>
      <c r="G681" s="22" t="str">
        <f ca="1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?IN_FOCUS</v>
      </c>
      <c r="H681" s="23" t="str">
        <f t="shared" ca="1" si="49"/>
        <v/>
      </c>
      <c r="I681" s="24" t="str">
        <f>IF(OR(E681="",E681="!!!",F681="NEW"),"",INDEX(B$2:B680,-1+SUMPRODUCT(MAX(ROW(E$2:E680)*(E681=E$2:E680)))))</f>
        <v>OBJ</v>
      </c>
      <c r="J681" s="24">
        <f ca="1">IF(OR(E681="",E681="!!!",F681="NEW"),"",COUNTBLANK(OFFSET(A$1,,,SUMPRODUCT(MAX(ROW(E$2:E681)*(E681=E$2:E681)))))-COUNTBLANK(OFFSET(A$1,,,SUMPRODUCT(MAX(ROW(E$1:E680)*(E2=E$1:E680))))))</f>
        <v>0</v>
      </c>
      <c r="K681" s="24">
        <f ca="1">IF(OR(E681="",E681="!!!",F681="NEW"),"",INDEX(J$1:J680,SUMPRODUCT(MAX(ROW(E$1:E680)*(E681=E$1:E680)))))</f>
        <v>0</v>
      </c>
      <c r="L681" s="25"/>
    </row>
    <row r="682" spans="1:12" x14ac:dyDescent="0.3">
      <c r="A682" t="s">
        <v>189</v>
      </c>
      <c r="E682" s="20" t="str">
        <f t="shared" si="48"/>
        <v/>
      </c>
      <c r="F682" s="21" t="str">
        <f>IF(OR(E682="",E682="!!!"),"",IF(NOT(ISNA(VLOOKUP(E682,E$1:E681,1,FALSE()))),"OLD",IF(AND(E682&lt;&gt;"",E682&lt;&gt;"!!!"),"NEW","")))</f>
        <v/>
      </c>
      <c r="G682" s="22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3" t="str">
        <f t="shared" ca="1" si="49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376</v>
      </c>
      <c r="E683" s="20" t="str">
        <f t="shared" si="48"/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49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154</v>
      </c>
      <c r="E684" s="20" t="str">
        <f t="shared" si="48"/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ca="1" si="49"/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372</v>
      </c>
      <c r="B685" s="26" t="s">
        <v>183</v>
      </c>
      <c r="C685" s="26" t="s">
        <v>213</v>
      </c>
      <c r="D685" s="26" t="s">
        <v>142</v>
      </c>
      <c r="E685" s="20" t="str">
        <f t="shared" si="48"/>
        <v>!!!</v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49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153</v>
      </c>
      <c r="E686" s="20" t="str">
        <f t="shared" si="48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49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173</v>
      </c>
      <c r="E687" s="20" t="str">
        <f t="shared" si="48"/>
        <v/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49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154</v>
      </c>
      <c r="E688" s="20" t="str">
        <f t="shared" si="48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49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219</v>
      </c>
      <c r="B689" s="26" t="s">
        <v>197</v>
      </c>
      <c r="C689" s="26" t="s">
        <v>213</v>
      </c>
      <c r="D689" s="26" t="s">
        <v>142</v>
      </c>
      <c r="E689" s="20" t="str">
        <f t="shared" si="48"/>
        <v>!!!</v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49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279</v>
      </c>
      <c r="E690" s="20" t="str">
        <f t="shared" si="48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49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377</v>
      </c>
      <c r="E691" s="20" t="str">
        <f t="shared" si="48"/>
        <v/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49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176</v>
      </c>
      <c r="E692" s="20" t="str">
        <f t="shared" si="48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49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4" spans="1:12" x14ac:dyDescent="0.3">
      <c r="A694" t="s">
        <v>413</v>
      </c>
    </row>
    <row r="695" spans="1:12" x14ac:dyDescent="0.3">
      <c r="A695" t="s">
        <v>237</v>
      </c>
      <c r="E695" s="20" t="str">
        <f t="shared" ref="E695:E734" si="50">IF(D695="?OLD","!!!","")</f>
        <v/>
      </c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ref="H695:H734" ca="1" si="51">IF(J695&lt;&gt;1,"",IF(I695="SBJ","CB","?"))</f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252</v>
      </c>
      <c r="B696" s="26" t="s">
        <v>140</v>
      </c>
      <c r="C696" s="26" t="s">
        <v>204</v>
      </c>
      <c r="D696" s="26" t="s">
        <v>142</v>
      </c>
      <c r="E696" s="20" t="s">
        <v>462</v>
      </c>
      <c r="F696" s="21" t="str">
        <f>IF(OR(E696="",E696="!!!"),"",IF(NOT(ISNA(VLOOKUP(E696,E$1:E695,1,FALSE()))),"OLD",IF(AND(E696&lt;&gt;"",E696&lt;&gt;"!!!"),"NEW","")))</f>
        <v>OLD</v>
      </c>
      <c r="G696" s="22" t="str">
        <f ca="1"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?IN_FOCUS</v>
      </c>
      <c r="H696" s="23" t="str">
        <f t="shared" ca="1" si="51"/>
        <v/>
      </c>
      <c r="I696" s="24" t="str">
        <f>IF(OR(E696="",E696="!!!",F696="NEW"),"",INDEX(B$2:B695,-1+SUMPRODUCT(MAX(ROW(E$2:E695)*(E696=E$2:E695)))))</f>
        <v>OBJ_3</v>
      </c>
      <c r="J696" s="24">
        <f ca="1">IF(OR(E696="",E696="!!!",F696="NEW"),"",COUNTBLANK(OFFSET(A$1,,,SUMPRODUCT(MAX(ROW(E$2:E696)*(E696=E$2:E696)))))-COUNTBLANK(OFFSET(A$1,,,SUMPRODUCT(MAX(ROW(E$1:E695)*(E2=E$1:E695))))))</f>
        <v>0</v>
      </c>
      <c r="K696" s="24">
        <f ca="1">IF(OR(E696="",E696="!!!",F696="NEW"),"",INDEX(J$1:J695,SUMPRODUCT(MAX(ROW(E$1:E695)*(E696=E$1:E695)))))</f>
        <v>0</v>
      </c>
      <c r="L696" s="25"/>
    </row>
    <row r="697" spans="1:12" x14ac:dyDescent="0.3">
      <c r="A697" t="s">
        <v>153</v>
      </c>
      <c r="E697" s="20" t="str">
        <f t="shared" si="50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51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154</v>
      </c>
      <c r="B698" s="26" t="s">
        <v>191</v>
      </c>
      <c r="C698" s="26" t="s">
        <v>141</v>
      </c>
      <c r="D698" s="26" t="s">
        <v>142</v>
      </c>
      <c r="E698" s="20" t="s">
        <v>459</v>
      </c>
      <c r="F698" s="21" t="str">
        <f>IF(OR(E698="",E698="!!!"),"",IF(NOT(ISNA(VLOOKUP(E698,E$1:E697,1,FALSE()))),"OLD",IF(AND(E698&lt;&gt;"",E698&lt;&gt;"!!!"),"NEW","")))</f>
        <v>OLD</v>
      </c>
      <c r="G698" s="22" t="str">
        <f ca="1"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?IN_FOCUS</v>
      </c>
      <c r="H698" s="23" t="str">
        <f t="shared" ca="1" si="51"/>
        <v/>
      </c>
      <c r="I698" s="24" t="str">
        <f>IF(OR(E698="",E698="!!!",F698="NEW"),"",INDEX(B$2:B697,-1+SUMPRODUCT(MAX(ROW(E$2:E697)*(E698=E$2:E697)))))</f>
        <v>SBJ</v>
      </c>
      <c r="J698" s="24">
        <f ca="1">IF(OR(E698="",E698="!!!",F698="NEW"),"",COUNTBLANK(OFFSET(A$1,,,SUMPRODUCT(MAX(ROW(E$2:E698)*(E698=E$2:E698)))))-COUNTBLANK(OFFSET(A$1,,,SUMPRODUCT(MAX(ROW(E$1:E697)*(E2=E$1:E697))))))</f>
        <v>0</v>
      </c>
      <c r="K698" s="24">
        <f ca="1">IF(OR(E698="",E698="!!!",F698="NEW"),"",INDEX(J$1:J697,SUMPRODUCT(MAX(ROW(E$1:E697)*(E698=E$1:E697)))))</f>
        <v>0</v>
      </c>
      <c r="L698" s="25"/>
    </row>
    <row r="699" spans="1:12" x14ac:dyDescent="0.3">
      <c r="A699" t="s">
        <v>414</v>
      </c>
      <c r="E699" s="20" t="str">
        <f t="shared" si="50"/>
        <v/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51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415</v>
      </c>
      <c r="E700" s="20" t="str">
        <f t="shared" si="50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51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153</v>
      </c>
      <c r="E701" s="20" t="str">
        <f t="shared" si="50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51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182</v>
      </c>
      <c r="B702" s="26" t="s">
        <v>183</v>
      </c>
      <c r="C702" s="26" t="s">
        <v>141</v>
      </c>
      <c r="D702" s="26" t="s">
        <v>142</v>
      </c>
      <c r="E702" s="20" t="s">
        <v>459</v>
      </c>
      <c r="F702" s="21" t="str">
        <f>IF(OR(E702="",E702="!!!"),"",IF(NOT(ISNA(VLOOKUP(E702,E$1:E701,1,FALSE()))),"OLD",IF(AND(E702&lt;&gt;"",E702&lt;&gt;"!!!"),"NEW","")))</f>
        <v>OLD</v>
      </c>
      <c r="G702" s="22" t="str">
        <f ca="1"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?IN_FOCUS</v>
      </c>
      <c r="H702" s="23" t="str">
        <f t="shared" ca="1" si="51"/>
        <v/>
      </c>
      <c r="I702" s="24" t="str">
        <f>IF(OR(E702="",E702="!!!",F702="NEW"),"",INDEX(B$2:B701,-1+SUMPRODUCT(MAX(ROW(E$2:E701)*(E702=E$2:E701)))))</f>
        <v>OBJ_3</v>
      </c>
      <c r="J702" s="24">
        <f ca="1">IF(OR(E702="",E702="!!!",F702="NEW"),"",COUNTBLANK(OFFSET(A$1,,,SUMPRODUCT(MAX(ROW(E$2:E702)*(E702=E$2:E702)))))-COUNTBLANK(OFFSET(A$1,,,SUMPRODUCT(MAX(ROW(E$1:E701)*(E2=E$1:E701))))))</f>
        <v>0</v>
      </c>
      <c r="K702" s="24">
        <f ca="1">IF(OR(E702="",E702="!!!",F702="NEW"),"",INDEX(J$1:J701,SUMPRODUCT(MAX(ROW(E$1:E701)*(E702=E$1:E701)))))</f>
        <v>0</v>
      </c>
      <c r="L702" s="25"/>
    </row>
    <row r="703" spans="1:12" x14ac:dyDescent="0.3">
      <c r="A703" t="s">
        <v>214</v>
      </c>
      <c r="E703" s="20" t="str">
        <f t="shared" si="50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51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170</v>
      </c>
      <c r="E704" s="20" t="str">
        <f t="shared" si="50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51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218</v>
      </c>
      <c r="E705" s="20" t="s">
        <v>462</v>
      </c>
      <c r="F705" s="21" t="str">
        <f>IF(OR(E705="",E705="!!!"),"",IF(NOT(ISNA(VLOOKUP(E705,E$1:E704,1,FALSE()))),"OLD",IF(AND(E705&lt;&gt;"",E705&lt;&gt;"!!!"),"NEW","")))</f>
        <v>OLD</v>
      </c>
      <c r="G705" s="22" t="str">
        <f ca="1"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?IN_FOCUS</v>
      </c>
      <c r="H705" s="23" t="str">
        <f t="shared" ca="1" si="51"/>
        <v/>
      </c>
      <c r="I705" s="24" t="str">
        <f>IF(OR(E705="",E705="!!!",F705="NEW"),"",INDEX(B$2:B704,-1+SUMPRODUCT(MAX(ROW(E$2:E704)*(E705=E$2:E704)))))</f>
        <v>SBJ</v>
      </c>
      <c r="J705" s="24">
        <f ca="1">IF(OR(E705="",E705="!!!",F705="NEW"),"",COUNTBLANK(OFFSET(A$1,,,SUMPRODUCT(MAX(ROW(E$2:E705)*(E705=E$2:E705)))))-COUNTBLANK(OFFSET(A$1,,,SUMPRODUCT(MAX(ROW(E$1:E704)*(E2=E$1:E704))))))</f>
        <v>0</v>
      </c>
      <c r="K705" s="24">
        <f ca="1">IF(OR(E705="",E705="!!!",F705="NEW"),"",INDEX(J$1:J704,SUMPRODUCT(MAX(ROW(E$1:E704)*(E705=E$1:E704)))))</f>
        <v>0</v>
      </c>
      <c r="L705" s="25"/>
    </row>
    <row r="706" spans="1:12" x14ac:dyDescent="0.3">
      <c r="A706" t="s">
        <v>416</v>
      </c>
      <c r="E706" s="20" t="str">
        <f t="shared" si="50"/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51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7" spans="1:12" x14ac:dyDescent="0.3">
      <c r="A707" t="s">
        <v>244</v>
      </c>
      <c r="E707" s="20" t="str">
        <f t="shared" si="50"/>
        <v/>
      </c>
      <c r="F707" s="21" t="str">
        <f>IF(OR(E707="",E707="!!!"),"",IF(NOT(ISNA(VLOOKUP(E707,E$1:E706,1,FALSE()))),"OLD",IF(AND(E707&lt;&gt;"",E707&lt;&gt;"!!!"),"NEW","")))</f>
        <v/>
      </c>
      <c r="G707" s="22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3" t="str">
        <f t="shared" ca="1" si="51"/>
        <v/>
      </c>
      <c r="I707" s="24" t="str">
        <f>IF(OR(E707="",E707="!!!",F707="NEW"),"",INDEX(B$2:B706,-1+SUMPRODUCT(MAX(ROW(E$2:E706)*(E707=E$2:E706)))))</f>
        <v/>
      </c>
      <c r="J707" s="24" t="str">
        <f ca="1">IF(OR(E707="",E707="!!!",F707="NEW"),"",COUNTBLANK(OFFSET(A$1,,,SUMPRODUCT(MAX(ROW(E$2:E707)*(E707=E$2:E707)))))-COUNTBLANK(OFFSET(A$1,,,SUMPRODUCT(MAX(ROW(E$1:E706)*(E2=E$1:E706))))))</f>
        <v/>
      </c>
      <c r="K707" s="24" t="str">
        <f>IF(OR(E707="",E707="!!!",F707="NEW"),"",INDEX(J$1:J706,SUMPRODUCT(MAX(ROW(E$1:E706)*(E707=E$1:E706)))))</f>
        <v/>
      </c>
      <c r="L707" s="25"/>
    </row>
    <row r="708" spans="1:12" x14ac:dyDescent="0.3">
      <c r="A708" t="s">
        <v>201</v>
      </c>
      <c r="E708" s="20" t="str">
        <f t="shared" si="50"/>
        <v/>
      </c>
      <c r="F708" s="21" t="str">
        <f>IF(OR(E708="",E708="!!!"),"",IF(NOT(ISNA(VLOOKUP(E708,E$1:E707,1,FALSE()))),"OLD",IF(AND(E708&lt;&gt;"",E708&lt;&gt;"!!!"),"NEW","")))</f>
        <v/>
      </c>
      <c r="G708" s="22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3" t="str">
        <f t="shared" ca="1" si="51"/>
        <v/>
      </c>
      <c r="I708" s="24" t="str">
        <f>IF(OR(E708="",E708="!!!",F708="NEW"),"",INDEX(B$2:B707,-1+SUMPRODUCT(MAX(ROW(E$2:E707)*(E708=E$2:E707)))))</f>
        <v/>
      </c>
      <c r="J708" s="24" t="str">
        <f ca="1">IF(OR(E708="",E708="!!!",F708="NEW"),"",COUNTBLANK(OFFSET(A$1,,,SUMPRODUCT(MAX(ROW(E$2:E708)*(E708=E$2:E708)))))-COUNTBLANK(OFFSET(A$1,,,SUMPRODUCT(MAX(ROW(E$1:E707)*(E2=E$1:E707))))))</f>
        <v/>
      </c>
      <c r="K708" s="24" t="str">
        <f>IF(OR(E708="",E708="!!!",F708="NEW"),"",INDEX(J$1:J707,SUMPRODUCT(MAX(ROW(E$1:E707)*(E708=E$1:E707)))))</f>
        <v/>
      </c>
      <c r="L708" s="25"/>
    </row>
    <row r="709" spans="1:12" x14ac:dyDescent="0.3">
      <c r="A709" t="s">
        <v>366</v>
      </c>
      <c r="B709" s="26" t="s">
        <v>203</v>
      </c>
      <c r="C709" s="26" t="s">
        <v>213</v>
      </c>
      <c r="D709" s="26" t="s">
        <v>142</v>
      </c>
      <c r="E709" s="20" t="str">
        <f t="shared" si="50"/>
        <v>!!!</v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ca="1" si="51"/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153</v>
      </c>
      <c r="E710" s="20" t="str">
        <f t="shared" si="50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51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417</v>
      </c>
      <c r="E711" s="20" t="str">
        <f t="shared" si="50"/>
        <v/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51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154</v>
      </c>
      <c r="E712" s="20" t="str">
        <f t="shared" si="50"/>
        <v/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51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418</v>
      </c>
      <c r="B713" s="26" t="s">
        <v>203</v>
      </c>
      <c r="C713" s="26" t="s">
        <v>213</v>
      </c>
      <c r="D713" s="26" t="s">
        <v>142</v>
      </c>
      <c r="E713" s="20" t="str">
        <f t="shared" si="50"/>
        <v>!!!</v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51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215</v>
      </c>
      <c r="E714" s="20" t="str">
        <f t="shared" si="50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51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419</v>
      </c>
      <c r="B715" s="26" t="s">
        <v>146</v>
      </c>
      <c r="C715" s="26" t="s">
        <v>204</v>
      </c>
      <c r="D715" s="26" t="s">
        <v>142</v>
      </c>
      <c r="E715" s="20" t="str">
        <f t="shared" si="50"/>
        <v>!!!</v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51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154</v>
      </c>
      <c r="E716" s="20" t="str">
        <f t="shared" si="50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51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28</v>
      </c>
      <c r="B717" s="26" t="s">
        <v>203</v>
      </c>
      <c r="C717" s="26" t="s">
        <v>213</v>
      </c>
      <c r="D717" s="26" t="s">
        <v>142</v>
      </c>
      <c r="E717" s="20" t="str">
        <f t="shared" si="50"/>
        <v>!!!</v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51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173</v>
      </c>
      <c r="E718" s="20" t="str">
        <f t="shared" si="50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51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201</v>
      </c>
      <c r="E719" s="20" t="str">
        <f t="shared" si="50"/>
        <v/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51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187</v>
      </c>
      <c r="E720" s="20" t="str">
        <f t="shared" si="50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51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233</v>
      </c>
      <c r="B721" s="26" t="s">
        <v>203</v>
      </c>
      <c r="C721" s="26" t="s">
        <v>213</v>
      </c>
      <c r="D721" s="26" t="s">
        <v>142</v>
      </c>
      <c r="E721" s="20" t="str">
        <f t="shared" si="50"/>
        <v>!!!</v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51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150</v>
      </c>
      <c r="E722" s="20" t="str">
        <f t="shared" si="50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51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234</v>
      </c>
      <c r="B723" s="26" t="s">
        <v>242</v>
      </c>
      <c r="C723" s="26" t="s">
        <v>152</v>
      </c>
      <c r="E723" s="20" t="str">
        <f t="shared" si="50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51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380</v>
      </c>
      <c r="E724" s="20" t="str">
        <f t="shared" si="50"/>
        <v/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51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154</v>
      </c>
      <c r="E725" s="20" t="str">
        <f t="shared" si="50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51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420</v>
      </c>
      <c r="B726" s="26" t="s">
        <v>242</v>
      </c>
      <c r="C726" s="26" t="s">
        <v>213</v>
      </c>
      <c r="D726" s="26" t="s">
        <v>142</v>
      </c>
      <c r="E726" s="20" t="str">
        <f t="shared" si="50"/>
        <v>!!!</v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51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153</v>
      </c>
      <c r="E727" s="20" t="str">
        <f t="shared" si="50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51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173</v>
      </c>
      <c r="E728" s="20" t="str">
        <f t="shared" si="50"/>
        <v/>
      </c>
      <c r="F728" s="21" t="str">
        <f>IF(OR(E728="",E728="!!!"),"",IF(NOT(ISNA(VLOOKUP(E728,E$1:E727,1,FALSE()))),"OLD",IF(AND(E728&lt;&gt;"",E728&lt;&gt;"!!!"),"NEW","")))</f>
        <v/>
      </c>
      <c r="G728" s="22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3" t="str">
        <f t="shared" ca="1" si="51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/>
    </row>
    <row r="729" spans="1:12" x14ac:dyDescent="0.3">
      <c r="A729" t="s">
        <v>421</v>
      </c>
      <c r="E729" s="20" t="str">
        <f t="shared" si="50"/>
        <v/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51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422</v>
      </c>
      <c r="B730" s="26" t="s">
        <v>171</v>
      </c>
      <c r="C730" s="26" t="s">
        <v>141</v>
      </c>
      <c r="D730" s="26" t="s">
        <v>142</v>
      </c>
      <c r="E730" s="20" t="s">
        <v>459</v>
      </c>
      <c r="F730" s="21" t="str">
        <f>IF(OR(E730="",E730="!!!"),"",IF(NOT(ISNA(VLOOKUP(E730,E$1:E729,1,FALSE()))),"OLD",IF(AND(E730&lt;&gt;"",E730&lt;&gt;"!!!"),"NEW","")))</f>
        <v>OLD</v>
      </c>
      <c r="G730" s="22" t="str">
        <f ca="1"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?IN_FOCUS</v>
      </c>
      <c r="H730" s="23" t="str">
        <f t="shared" ca="1" si="51"/>
        <v/>
      </c>
      <c r="I730" s="24" t="str">
        <f>IF(OR(E730="",E730="!!!",F730="NEW"),"",INDEX(B$2:B729,-1+SUMPRODUCT(MAX(ROW(E$2:E729)*(E730=E$2:E729)))))</f>
        <v>OBJ</v>
      </c>
      <c r="J730" s="24">
        <f ca="1">IF(OR(E730="",E730="!!!",F730="NEW"),"",COUNTBLANK(OFFSET(A$1,,,SUMPRODUCT(MAX(ROW(E$2:E730)*(E730=E$2:E730)))))-COUNTBLANK(OFFSET(A$1,,,SUMPRODUCT(MAX(ROW(E$1:E729)*(E2=E$1:E729))))))</f>
        <v>0</v>
      </c>
      <c r="K730" s="24">
        <f ca="1">IF(OR(E730="",E730="!!!",F730="NEW"),"",INDEX(J$1:J729,SUMPRODUCT(MAX(ROW(E$1:E729)*(E730=E$1:E729)))))</f>
        <v>0</v>
      </c>
      <c r="L730" s="25"/>
    </row>
    <row r="731" spans="1:12" x14ac:dyDescent="0.3">
      <c r="A731" t="s">
        <v>392</v>
      </c>
      <c r="E731" s="20" t="str">
        <f t="shared" si="50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51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289</v>
      </c>
      <c r="E732" s="20" t="str">
        <f t="shared" si="50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51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423</v>
      </c>
      <c r="B733" s="26" t="s">
        <v>221</v>
      </c>
      <c r="C733" s="26" t="s">
        <v>160</v>
      </c>
      <c r="D733" s="26" t="s">
        <v>142</v>
      </c>
      <c r="E733" s="20" t="s">
        <v>462</v>
      </c>
      <c r="F733" s="21" t="str">
        <f>IF(OR(E733="",E733="!!!"),"",IF(NOT(ISNA(VLOOKUP(E733,E$1:E732,1,FALSE()))),"OLD",IF(AND(E733&lt;&gt;"",E733&lt;&gt;"!!!"),"NEW","")))</f>
        <v>OLD</v>
      </c>
      <c r="G733" s="22" t="str">
        <f ca="1"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?IN_FOCUS</v>
      </c>
      <c r="H733" s="23" t="str">
        <f t="shared" ca="1" si="51"/>
        <v/>
      </c>
      <c r="I733" s="24">
        <f>IF(OR(E733="",E733="!!!",F733="NEW"),"",INDEX(B$2:B732,-1+SUMPRODUCT(MAX(ROW(E$2:E732)*(E733=E$2:E732)))))</f>
        <v>0</v>
      </c>
      <c r="J733" s="24">
        <f ca="1">IF(OR(E733="",E733="!!!",F733="NEW"),"",COUNTBLANK(OFFSET(A$1,,,SUMPRODUCT(MAX(ROW(E$2:E733)*(E733=E$2:E733)))))-COUNTBLANK(OFFSET(A$1,,,SUMPRODUCT(MAX(ROW(E$1:E732)*(E2=E$1:E732))))))</f>
        <v>0</v>
      </c>
      <c r="K733" s="24">
        <f ca="1">IF(OR(E733="",E733="!!!",F733="NEW"),"",INDEX(J$1:J732,SUMPRODUCT(MAX(ROW(E$1:E732)*(E733=E$1:E732)))))</f>
        <v>0</v>
      </c>
      <c r="L733" s="25"/>
    </row>
    <row r="734" spans="1:12" x14ac:dyDescent="0.3">
      <c r="A734" t="s">
        <v>176</v>
      </c>
      <c r="E734" s="20" t="str">
        <f t="shared" si="50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51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6" spans="1:12" x14ac:dyDescent="0.3">
      <c r="A736" t="s">
        <v>424</v>
      </c>
    </row>
    <row r="737" spans="1:12" x14ac:dyDescent="0.3">
      <c r="A737" t="s">
        <v>237</v>
      </c>
      <c r="E737" s="20" t="str">
        <f t="shared" ref="E737:E767" si="52">IF(D737="?OLD","!!!","")</f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ref="H737:H767" ca="1" si="53">IF(J737&lt;&gt;1,"",IF(I737="SBJ","CB","?"))</f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187</v>
      </c>
      <c r="E738" s="20" t="str">
        <f t="shared" si="52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53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202</v>
      </c>
      <c r="B739" s="26" t="s">
        <v>140</v>
      </c>
      <c r="C739" s="26" t="s">
        <v>213</v>
      </c>
      <c r="D739" s="26" t="s">
        <v>142</v>
      </c>
      <c r="E739" s="20" t="s">
        <v>459</v>
      </c>
      <c r="F739" s="21" t="str">
        <f>IF(OR(E739="",E739="!!!"),"",IF(NOT(ISNA(VLOOKUP(E739,E$1:E738,1,FALSE()))),"OLD",IF(AND(E739&lt;&gt;"",E739&lt;&gt;"!!!"),"NEW","")))</f>
        <v>OLD</v>
      </c>
      <c r="G739" s="22" t="str">
        <f ca="1"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?IN_FOCUS</v>
      </c>
      <c r="H739" s="23" t="str">
        <f t="shared" ca="1" si="53"/>
        <v/>
      </c>
      <c r="I739" s="24" t="str">
        <f>IF(OR(E739="",E739="!!!",F739="NEW"),"",INDEX(B$2:B738,-1+SUMPRODUCT(MAX(ROW(E$2:E738)*(E739=E$2:E738)))))</f>
        <v>OBJ_4</v>
      </c>
      <c r="J739" s="24">
        <f ca="1">IF(OR(E739="",E739="!!!",F739="NEW"),"",COUNTBLANK(OFFSET(A$1,,,SUMPRODUCT(MAX(ROW(E$2:E739)*(E739=E$2:E739)))))-COUNTBLANK(OFFSET(A$1,,,SUMPRODUCT(MAX(ROW(E$1:E738)*(E2=E$1:E738))))))</f>
        <v>0</v>
      </c>
      <c r="K739" s="24">
        <f ca="1">IF(OR(E739="",E739="!!!",F739="NEW"),"",INDEX(J$1:J738,SUMPRODUCT(MAX(ROW(E$1:E738)*(E739=E$1:E738)))))</f>
        <v>0</v>
      </c>
      <c r="L739" s="25"/>
    </row>
    <row r="740" spans="1:12" x14ac:dyDescent="0.3">
      <c r="A740" t="s">
        <v>189</v>
      </c>
      <c r="E740" s="20" t="str">
        <f t="shared" si="52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53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218</v>
      </c>
      <c r="E741" s="20" t="s">
        <v>459</v>
      </c>
      <c r="F741" s="21" t="str">
        <f>IF(OR(E741="",E741="!!!"),"",IF(NOT(ISNA(VLOOKUP(E741,E$1:E740,1,FALSE()))),"OLD",IF(AND(E741&lt;&gt;"",E741&lt;&gt;"!!!"),"NEW","")))</f>
        <v>OLD</v>
      </c>
      <c r="G741" s="22" t="str">
        <f ca="1"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?IN_FOCUS</v>
      </c>
      <c r="H741" s="23" t="str">
        <f t="shared" ca="1" si="53"/>
        <v/>
      </c>
      <c r="I741" s="24" t="str">
        <f>IF(OR(E741="",E741="!!!",F741="NEW"),"",INDEX(B$2:B740,-1+SUMPRODUCT(MAX(ROW(E$2:E740)*(E741=E$2:E740)))))</f>
        <v>SBJ</v>
      </c>
      <c r="J741" s="24">
        <f ca="1">IF(OR(E741="",E741="!!!",F741="NEW"),"",COUNTBLANK(OFFSET(A$1,,,SUMPRODUCT(MAX(ROW(E$2:E741)*(E741=E$2:E741)))))-COUNTBLANK(OFFSET(A$1,,,SUMPRODUCT(MAX(ROW(E$1:E740)*(E2=E$1:E740))))))</f>
        <v>0</v>
      </c>
      <c r="K741" s="24">
        <f ca="1">IF(OR(E741="",E741="!!!",F741="NEW"),"",INDEX(J$1:J740,SUMPRODUCT(MAX(ROW(E$1:E740)*(E741=E$1:E740)))))</f>
        <v>0</v>
      </c>
      <c r="L741" s="25"/>
    </row>
    <row r="742" spans="1:12" x14ac:dyDescent="0.3">
      <c r="A742" t="s">
        <v>425</v>
      </c>
      <c r="E742" s="20" t="str">
        <f t="shared" si="52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53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153</v>
      </c>
      <c r="E743" s="20" t="str">
        <f t="shared" si="52"/>
        <v/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53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4" spans="1:12" x14ac:dyDescent="0.3">
      <c r="A744" t="s">
        <v>173</v>
      </c>
      <c r="E744" s="20" t="str">
        <f t="shared" si="52"/>
        <v/>
      </c>
      <c r="F744" s="21" t="str">
        <f>IF(OR(E744="",E744="!!!"),"",IF(NOT(ISNA(VLOOKUP(E744,E$1:E743,1,FALSE()))),"OLD",IF(AND(E744&lt;&gt;"",E744&lt;&gt;"!!!"),"NEW","")))</f>
        <v/>
      </c>
      <c r="G744" s="22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3" t="str">
        <f t="shared" ca="1" si="53"/>
        <v/>
      </c>
      <c r="I744" s="24" t="str">
        <f>IF(OR(E744="",E744="!!!",F744="NEW"),"",INDEX(B$2:B743,-1+SUMPRODUCT(MAX(ROW(E$2:E743)*(E744=E$2:E743)))))</f>
        <v/>
      </c>
      <c r="J744" s="24" t="str">
        <f ca="1">IF(OR(E744="",E744="!!!",F744="NEW"),"",COUNTBLANK(OFFSET(A$1,,,SUMPRODUCT(MAX(ROW(E$2:E744)*(E744=E$2:E744)))))-COUNTBLANK(OFFSET(A$1,,,SUMPRODUCT(MAX(ROW(E$1:E743)*(E2=E$1:E743))))))</f>
        <v/>
      </c>
      <c r="K744" s="24" t="str">
        <f>IF(OR(E744="",E744="!!!",F744="NEW"),"",INDEX(J$1:J743,SUMPRODUCT(MAX(ROW(E$1:E743)*(E744=E$1:E743)))))</f>
        <v/>
      </c>
      <c r="L744" s="25"/>
    </row>
    <row r="745" spans="1:12" x14ac:dyDescent="0.3">
      <c r="A745" t="s">
        <v>426</v>
      </c>
      <c r="E745" s="20" t="str">
        <f t="shared" si="52"/>
        <v/>
      </c>
      <c r="F745" s="21" t="str">
        <f>IF(OR(E745="",E745="!!!"),"",IF(NOT(ISNA(VLOOKUP(E745,E$1:E744,1,FALSE()))),"OLD",IF(AND(E745&lt;&gt;"",E745&lt;&gt;"!!!"),"NEW","")))</f>
        <v/>
      </c>
      <c r="G745" s="22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3" t="str">
        <f t="shared" ca="1" si="53"/>
        <v/>
      </c>
      <c r="I745" s="24" t="str">
        <f>IF(OR(E745="",E745="!!!",F745="NEW"),"",INDEX(B$2:B744,-1+SUMPRODUCT(MAX(ROW(E$2:E744)*(E745=E$2:E744)))))</f>
        <v/>
      </c>
      <c r="J745" s="24" t="str">
        <f ca="1">IF(OR(E745="",E745="!!!",F745="NEW"),"",COUNTBLANK(OFFSET(A$1,,,SUMPRODUCT(MAX(ROW(E$2:E745)*(E745=E$2:E745)))))-COUNTBLANK(OFFSET(A$1,,,SUMPRODUCT(MAX(ROW(E$1:E744)*(E2=E$1:E744))))))</f>
        <v/>
      </c>
      <c r="K745" s="24" t="str">
        <f>IF(OR(E745="",E745="!!!",F745="NEW"),"",INDEX(J$1:J744,SUMPRODUCT(MAX(ROW(E$1:E744)*(E745=E$1:E744)))))</f>
        <v/>
      </c>
      <c r="L745" s="25"/>
    </row>
    <row r="746" spans="1:12" x14ac:dyDescent="0.3">
      <c r="A746" t="s">
        <v>218</v>
      </c>
      <c r="B746" s="26" t="s">
        <v>191</v>
      </c>
      <c r="C746" s="26" t="s">
        <v>141</v>
      </c>
      <c r="D746" s="26" t="s">
        <v>142</v>
      </c>
      <c r="E746" s="20" t="s">
        <v>459</v>
      </c>
      <c r="F746" s="21" t="str">
        <f>IF(OR(E746="",E746="!!!"),"",IF(NOT(ISNA(VLOOKUP(E746,E$1:E745,1,FALSE()))),"OLD",IF(AND(E746&lt;&gt;"",E746&lt;&gt;"!!!"),"NEW","")))</f>
        <v>OLD</v>
      </c>
      <c r="G746" s="22" t="str">
        <f ca="1"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?IN_FOCUS</v>
      </c>
      <c r="H746" s="23" t="str">
        <f t="shared" ca="1" si="53"/>
        <v/>
      </c>
      <c r="I746" s="24">
        <f>IF(OR(E746="",E746="!!!",F746="NEW"),"",INDEX(B$2:B745,-1+SUMPRODUCT(MAX(ROW(E$2:E745)*(E746=E$2:E745)))))</f>
        <v>0</v>
      </c>
      <c r="J746" s="24">
        <f ca="1">IF(OR(E746="",E746="!!!",F746="NEW"),"",COUNTBLANK(OFFSET(A$1,,,SUMPRODUCT(MAX(ROW(E$2:E746)*(E746=E$2:E746)))))-COUNTBLANK(OFFSET(A$1,,,SUMPRODUCT(MAX(ROW(E$1:E745)*(E2=E$1:E745))))))</f>
        <v>0</v>
      </c>
      <c r="K746" s="24">
        <f ca="1">IF(OR(E746="",E746="!!!",F746="NEW"),"",INDEX(J$1:J745,SUMPRODUCT(MAX(ROW(E$1:E745)*(E746=E$1:E745)))))</f>
        <v>0</v>
      </c>
      <c r="L746" s="25"/>
    </row>
    <row r="747" spans="1:12" x14ac:dyDescent="0.3">
      <c r="A747" t="s">
        <v>71</v>
      </c>
      <c r="E747" s="20" t="str">
        <f t="shared" si="52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53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244</v>
      </c>
      <c r="E748" s="20" t="str">
        <f t="shared" si="52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53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201</v>
      </c>
      <c r="E749" s="20" t="str">
        <f t="shared" si="52"/>
        <v/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53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366</v>
      </c>
      <c r="B750" s="26" t="s">
        <v>242</v>
      </c>
      <c r="C750" s="26" t="s">
        <v>213</v>
      </c>
      <c r="D750" s="26" t="s">
        <v>142</v>
      </c>
      <c r="E750" s="20" t="str">
        <f t="shared" si="52"/>
        <v>!!!</v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53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153</v>
      </c>
      <c r="E751" s="20" t="str">
        <f t="shared" si="52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53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270</v>
      </c>
      <c r="E752" s="20" t="str">
        <f t="shared" si="52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53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227</v>
      </c>
      <c r="B753" s="26" t="s">
        <v>223</v>
      </c>
      <c r="C753" s="26" t="s">
        <v>141</v>
      </c>
      <c r="D753" s="26" t="s">
        <v>142</v>
      </c>
      <c r="E753" s="20" t="s">
        <v>459</v>
      </c>
      <c r="F753" s="21" t="str">
        <f>IF(OR(E753="",E753="!!!"),"",IF(NOT(ISNA(VLOOKUP(E753,E$1:E752,1,FALSE()))),"OLD",IF(AND(E753&lt;&gt;"",E753&lt;&gt;"!!!"),"NEW","")))</f>
        <v>OLD</v>
      </c>
      <c r="G753" s="22" t="str">
        <f ca="1"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?IN_FOCUS</v>
      </c>
      <c r="H753" s="23" t="str">
        <f t="shared" ca="1" si="53"/>
        <v/>
      </c>
      <c r="I753" s="24" t="str">
        <f>IF(OR(E753="",E753="!!!",F753="NEW"),"",INDEX(B$2:B752,-1+SUMPRODUCT(MAX(ROW(E$2:E752)*(E753=E$2:E752)))))</f>
        <v>OBJ_3</v>
      </c>
      <c r="J753" s="24">
        <f ca="1">IF(OR(E753="",E753="!!!",F753="NEW"),"",COUNTBLANK(OFFSET(A$1,,,SUMPRODUCT(MAX(ROW(E$2:E753)*(E753=E$2:E753)))))-COUNTBLANK(OFFSET(A$1,,,SUMPRODUCT(MAX(ROW(E$1:E752)*(E2=E$1:E752))))))</f>
        <v>0</v>
      </c>
      <c r="K753" s="24">
        <f ca="1">IF(OR(E753="",E753="!!!",F753="NEW"),"",INDEX(J$1:J752,SUMPRODUCT(MAX(ROW(E$1:E752)*(E753=E$1:E752)))))</f>
        <v>0</v>
      </c>
      <c r="L753" s="25"/>
    </row>
    <row r="754" spans="1:12" x14ac:dyDescent="0.3">
      <c r="A754" t="s">
        <v>349</v>
      </c>
      <c r="E754" s="20" t="str">
        <f t="shared" si="52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53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194</v>
      </c>
      <c r="E755" s="20" t="str">
        <f t="shared" si="52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53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427</v>
      </c>
      <c r="E756" s="20" t="str">
        <f t="shared" si="52"/>
        <v/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53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150</v>
      </c>
      <c r="E757" s="20" t="str">
        <f t="shared" si="52"/>
        <v/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53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66</v>
      </c>
      <c r="E758" s="20" t="str">
        <f t="shared" si="52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53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217</v>
      </c>
      <c r="E759" s="20" t="str">
        <f t="shared" si="52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53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164</v>
      </c>
      <c r="B760" s="26" t="s">
        <v>428</v>
      </c>
      <c r="C760" s="26" t="s">
        <v>166</v>
      </c>
      <c r="D760" s="26" t="s">
        <v>142</v>
      </c>
      <c r="E760" s="20" t="s">
        <v>459</v>
      </c>
      <c r="F760" s="21" t="str">
        <f>IF(OR(E760="",E760="!!!"),"",IF(NOT(ISNA(VLOOKUP(E760,E$1:E759,1,FALSE()))),"OLD",IF(AND(E760&lt;&gt;"",E760&lt;&gt;"!!!"),"NEW","")))</f>
        <v>OLD</v>
      </c>
      <c r="G760" s="22" t="str">
        <f ca="1"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?IN_FOCUS</v>
      </c>
      <c r="H760" s="23" t="str">
        <f t="shared" ca="1" si="53"/>
        <v/>
      </c>
      <c r="I760" s="24" t="str">
        <f>IF(OR(E760="",E760="!!!",F760="NEW"),"",INDEX(B$2:B759,-1+SUMPRODUCT(MAX(ROW(E$2:E759)*(E760=E$2:E759)))))</f>
        <v>SBJ_5</v>
      </c>
      <c r="J760" s="24">
        <f ca="1">IF(OR(E760="",E760="!!!",F760="NEW"),"",COUNTBLANK(OFFSET(A$1,,,SUMPRODUCT(MAX(ROW(E$2:E760)*(E760=E$2:E760)))))-COUNTBLANK(OFFSET(A$1,,,SUMPRODUCT(MAX(ROW(E$1:E759)*(E2=E$1:E759))))))</f>
        <v>0</v>
      </c>
      <c r="K760" s="24">
        <f ca="1">IF(OR(E760="",E760="!!!",F760="NEW"),"",INDEX(J$1:J759,SUMPRODUCT(MAX(ROW(E$1:E759)*(E760=E$1:E759)))))</f>
        <v>0</v>
      </c>
      <c r="L760" s="25"/>
    </row>
    <row r="761" spans="1:12" x14ac:dyDescent="0.3">
      <c r="A761" t="s">
        <v>174</v>
      </c>
      <c r="B761" s="26" t="s">
        <v>346</v>
      </c>
      <c r="C761" s="26" t="s">
        <v>169</v>
      </c>
      <c r="D761" s="26" t="s">
        <v>142</v>
      </c>
      <c r="E761" s="20" t="s">
        <v>462</v>
      </c>
      <c r="F761" s="21" t="str">
        <f>IF(OR(E761="",E761="!!!"),"",IF(NOT(ISNA(VLOOKUP(E761,E$1:E760,1,FALSE()))),"OLD",IF(AND(E761&lt;&gt;"",E761&lt;&gt;"!!!"),"NEW","")))</f>
        <v>OLD</v>
      </c>
      <c r="G761" s="22" t="str">
        <f ca="1"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?IN_FOCUS</v>
      </c>
      <c r="H761" s="23" t="str">
        <f t="shared" ca="1" si="53"/>
        <v/>
      </c>
      <c r="I761" s="24" t="str">
        <f>IF(OR(E761="",E761="!!!",F761="NEW"),"",INDEX(B$2:B760,-1+SUMPRODUCT(MAX(ROW(E$2:E760)*(E761=E$2:E760)))))</f>
        <v>other_4</v>
      </c>
      <c r="J761" s="24">
        <f ca="1">IF(OR(E761="",E761="!!!",F761="NEW"),"",COUNTBLANK(OFFSET(A$1,,,SUMPRODUCT(MAX(ROW(E$2:E761)*(E761=E$2:E761)))))-COUNTBLANK(OFFSET(A$1,,,SUMPRODUCT(MAX(ROW(E$1:E760)*(E2=E$1:E760))))))</f>
        <v>0</v>
      </c>
      <c r="K761" s="24">
        <f ca="1">IF(OR(E761="",E761="!!!",F761="NEW"),"",INDEX(J$1:J760,SUMPRODUCT(MAX(ROW(E$1:E760)*(E761=E$1:E760)))))</f>
        <v>0</v>
      </c>
      <c r="L761" s="25"/>
    </row>
    <row r="762" spans="1:12" x14ac:dyDescent="0.3">
      <c r="A762" t="s">
        <v>143</v>
      </c>
      <c r="E762" s="20" t="str">
        <f t="shared" si="52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53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429</v>
      </c>
      <c r="E763" s="20" t="str">
        <f t="shared" si="52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53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170</v>
      </c>
      <c r="E764" s="20" t="str">
        <f t="shared" si="52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53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365</v>
      </c>
      <c r="B765" s="26" t="s">
        <v>428</v>
      </c>
      <c r="C765" s="26" t="s">
        <v>166</v>
      </c>
      <c r="D765" s="26" t="s">
        <v>142</v>
      </c>
      <c r="E765" s="20" t="s">
        <v>462</v>
      </c>
      <c r="F765" s="21" t="str">
        <f>IF(OR(E765="",E765="!!!"),"",IF(NOT(ISNA(VLOOKUP(E765,E$1:E764,1,FALSE()))),"OLD",IF(AND(E765&lt;&gt;"",E765&lt;&gt;"!!!"),"NEW","")))</f>
        <v>OLD</v>
      </c>
      <c r="G765" s="22" t="str">
        <f ca="1"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?IN_FOCUS</v>
      </c>
      <c r="H765" s="23" t="str">
        <f t="shared" ca="1" si="53"/>
        <v/>
      </c>
      <c r="I765" s="24" t="str">
        <f>IF(OR(E765="",E765="!!!",F765="NEW"),"",INDEX(B$2:B764,-1+SUMPRODUCT(MAX(ROW(E$2:E764)*(E765=E$2:E764)))))</f>
        <v>SBJ_7</v>
      </c>
      <c r="J765" s="24">
        <f ca="1">IF(OR(E765="",E765="!!!",F765="NEW"),"",COUNTBLANK(OFFSET(A$1,,,SUMPRODUCT(MAX(ROW(E$2:E765)*(E765=E$2:E765)))))-COUNTBLANK(OFFSET(A$1,,,SUMPRODUCT(MAX(ROW(E$1:E764)*(E2=E$1:E764))))))</f>
        <v>0</v>
      </c>
      <c r="K765" s="24">
        <f ca="1">IF(OR(E765="",E765="!!!",F765="NEW"),"",INDEX(J$1:J764,SUMPRODUCT(MAX(ROW(E$1:E764)*(E765=E$1:E764)))))</f>
        <v>0</v>
      </c>
      <c r="L765" s="25"/>
    </row>
    <row r="766" spans="1:12" x14ac:dyDescent="0.3">
      <c r="A766" t="s">
        <v>430</v>
      </c>
      <c r="B766" s="26" t="s">
        <v>341</v>
      </c>
      <c r="C766" s="26" t="s">
        <v>169</v>
      </c>
      <c r="D766" s="26" t="s">
        <v>142</v>
      </c>
      <c r="E766" s="20" t="str">
        <f t="shared" si="52"/>
        <v>!!!</v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53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176</v>
      </c>
      <c r="E767" s="20" t="str">
        <f t="shared" si="52"/>
        <v/>
      </c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53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/>
    </row>
    <row r="769" spans="1:12" x14ac:dyDescent="0.3">
      <c r="A769" t="s">
        <v>431</v>
      </c>
    </row>
    <row r="770" spans="1:12" x14ac:dyDescent="0.3">
      <c r="A770" t="s">
        <v>12</v>
      </c>
      <c r="E770" s="20" t="str">
        <f t="shared" ref="E770:E801" si="54">IF(D770="?OLD","!!!","")</f>
        <v/>
      </c>
      <c r="F770" s="21" t="str">
        <f>IF(OR(E770="",E770="!!!"),"",IF(NOT(ISNA(VLOOKUP(E770,E$1:E769,1,FALSE()))),"OLD",IF(AND(E770&lt;&gt;"",E770&lt;&gt;"!!!"),"NEW","")))</f>
        <v/>
      </c>
      <c r="G770" s="22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3" t="str">
        <f t="shared" ref="H770:H801" ca="1" si="55">IF(J770&lt;&gt;1,"",IF(I770="SBJ","CB","?"))</f>
        <v/>
      </c>
      <c r="I770" s="24" t="str">
        <f>IF(OR(E770="",E770="!!!",F770="NEW"),"",INDEX(B$2:B769,-1+SUMPRODUCT(MAX(ROW(E$2:E769)*(E770=E$2:E769)))))</f>
        <v/>
      </c>
      <c r="J770" s="24" t="str">
        <f ca="1">IF(OR(E770="",E770="!!!",F770="NEW"),"",COUNTBLANK(OFFSET(A$1,,,SUMPRODUCT(MAX(ROW(E$2:E770)*(E770=E$2:E770)))))-COUNTBLANK(OFFSET(A$1,,,SUMPRODUCT(MAX(ROW(E$1:E769)*(E2=E$1:E769))))))</f>
        <v/>
      </c>
      <c r="K770" s="24" t="str">
        <f>IF(OR(E770="",E770="!!!",F770="NEW"),"",INDEX(J$1:J769,SUMPRODUCT(MAX(ROW(E$1:E769)*(E770=E$1:E769)))))</f>
        <v/>
      </c>
      <c r="L770" s="25"/>
    </row>
    <row r="771" spans="1:12" x14ac:dyDescent="0.3">
      <c r="A771" t="s">
        <v>12</v>
      </c>
      <c r="E771" s="20" t="str">
        <f t="shared" si="54"/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t="shared" ca="1" si="55"/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432</v>
      </c>
      <c r="B772" s="26" t="s">
        <v>140</v>
      </c>
      <c r="C772" s="26" t="s">
        <v>141</v>
      </c>
      <c r="D772" s="26" t="s">
        <v>142</v>
      </c>
      <c r="E772" s="20" t="s">
        <v>459</v>
      </c>
      <c r="F772" s="21" t="str">
        <f>IF(OR(E772="",E772="!!!"),"",IF(NOT(ISNA(VLOOKUP(E772,E$1:E771,1,FALSE()))),"OLD",IF(AND(E772&lt;&gt;"",E772&lt;&gt;"!!!"),"NEW","")))</f>
        <v>OLD</v>
      </c>
      <c r="G772" s="22" t="str">
        <f ca="1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?IN_FOCUS</v>
      </c>
      <c r="H772" s="23" t="str">
        <f t="shared" ca="1" si="55"/>
        <v/>
      </c>
      <c r="I772" s="24" t="str">
        <f>IF(OR(E772="",E772="!!!",F772="NEW"),"",INDEX(B$2:B771,-1+SUMPRODUCT(MAX(ROW(E$2:E771)*(E772=E$2:E771)))))</f>
        <v>other_8</v>
      </c>
      <c r="J772" s="24">
        <f ca="1">IF(OR(E772="",E772="!!!",F772="NEW"),"",COUNTBLANK(OFFSET(A$1,,,SUMPRODUCT(MAX(ROW(E$2:E772)*(E772=E$2:E772)))))-COUNTBLANK(OFFSET(A$1,,,SUMPRODUCT(MAX(ROW(E$1:E771)*(E2=E$1:E771))))))</f>
        <v>0</v>
      </c>
      <c r="K772" s="24">
        <f ca="1">IF(OR(E772="",E772="!!!",F772="NEW"),"",INDEX(J$1:J771,SUMPRODUCT(MAX(ROW(E$1:E771)*(E772=E$1:E771)))))</f>
        <v>0</v>
      </c>
      <c r="L772" s="25"/>
    </row>
    <row r="773" spans="1:12" x14ac:dyDescent="0.3">
      <c r="A773" t="s">
        <v>182</v>
      </c>
      <c r="B773" s="26" t="s">
        <v>183</v>
      </c>
      <c r="C773" s="26" t="s">
        <v>141</v>
      </c>
      <c r="D773" s="26" t="s">
        <v>142</v>
      </c>
      <c r="E773" s="20" t="s">
        <v>462</v>
      </c>
      <c r="F773" s="21" t="str">
        <f>IF(OR(E773="",E773="!!!"),"",IF(NOT(ISNA(VLOOKUP(E773,E$1:E772,1,FALSE()))),"OLD",IF(AND(E773&lt;&gt;"",E773&lt;&gt;"!!!"),"NEW","")))</f>
        <v>OLD</v>
      </c>
      <c r="G773" s="22" t="str">
        <f ca="1"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?IN_FOCUS</v>
      </c>
      <c r="H773" s="23" t="str">
        <f t="shared" ca="1" si="55"/>
        <v/>
      </c>
      <c r="I773" s="24" t="str">
        <f>IF(OR(E773="",E773="!!!",F773="NEW"),"",INDEX(B$2:B772,-1+SUMPRODUCT(MAX(ROW(E$2:E772)*(E773=E$2:E772)))))</f>
        <v>other_8</v>
      </c>
      <c r="J773" s="24">
        <f ca="1">IF(OR(E773="",E773="!!!",F773="NEW"),"",COUNTBLANK(OFFSET(A$1,,,SUMPRODUCT(MAX(ROW(E$2:E773)*(E773=E$2:E773)))))-COUNTBLANK(OFFSET(A$1,,,SUMPRODUCT(MAX(ROW(E$1:E772)*(E2=E$1:E772))))))</f>
        <v>0</v>
      </c>
      <c r="K773" s="24">
        <f ca="1">IF(OR(E773="",E773="!!!",F773="NEW"),"",INDEX(J$1:J772,SUMPRODUCT(MAX(ROW(E$1:E772)*(E773=E$1:E772)))))</f>
        <v>0</v>
      </c>
      <c r="L773" s="25"/>
    </row>
    <row r="774" spans="1:12" x14ac:dyDescent="0.3">
      <c r="A774" t="s">
        <v>214</v>
      </c>
      <c r="E774" s="20" t="str">
        <f t="shared" si="54"/>
        <v/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55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215</v>
      </c>
      <c r="E775" s="20" t="str">
        <f t="shared" si="54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55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433</v>
      </c>
      <c r="B776" s="26" t="s">
        <v>203</v>
      </c>
      <c r="C776" s="26" t="s">
        <v>141</v>
      </c>
      <c r="D776" s="26" t="s">
        <v>142</v>
      </c>
      <c r="E776" s="20" t="s">
        <v>459</v>
      </c>
      <c r="F776" s="21" t="str">
        <f>IF(OR(E776="",E776="!!!"),"",IF(NOT(ISNA(VLOOKUP(E776,E$1:E775,1,FALSE()))),"OLD",IF(AND(E776&lt;&gt;"",E776&lt;&gt;"!!!"),"NEW","")))</f>
        <v>OLD</v>
      </c>
      <c r="G776" s="22" t="str">
        <f ca="1"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?IN_FOCUS</v>
      </c>
      <c r="H776" s="23" t="str">
        <f t="shared" ca="1" si="55"/>
        <v/>
      </c>
      <c r="I776" s="24" t="str">
        <f>IF(OR(E776="",E776="!!!",F776="NEW"),"",INDEX(B$2:B775,-1+SUMPRODUCT(MAX(ROW(E$2:E775)*(E776=E$2:E775)))))</f>
        <v>SBJ</v>
      </c>
      <c r="J776" s="24">
        <f ca="1">IF(OR(E776="",E776="!!!",F776="NEW"),"",COUNTBLANK(OFFSET(A$1,,,SUMPRODUCT(MAX(ROW(E$2:E776)*(E776=E$2:E776)))))-COUNTBLANK(OFFSET(A$1,,,SUMPRODUCT(MAX(ROW(E$1:E775)*(E2=E$1:E775))))))</f>
        <v>0</v>
      </c>
      <c r="K776" s="24">
        <f ca="1">IF(OR(E776="",E776="!!!",F776="NEW"),"",INDEX(J$1:J775,SUMPRODUCT(MAX(ROW(E$1:E775)*(E776=E$1:E775)))))</f>
        <v>0</v>
      </c>
      <c r="L776" s="25"/>
    </row>
    <row r="777" spans="1:12" x14ac:dyDescent="0.3">
      <c r="A777" t="s">
        <v>174</v>
      </c>
      <c r="B777" s="26" t="s">
        <v>183</v>
      </c>
      <c r="C777" s="26" t="s">
        <v>265</v>
      </c>
      <c r="E777" s="20" t="s">
        <v>462</v>
      </c>
      <c r="F777" s="21" t="str">
        <f>IF(OR(E777="",E777="!!!"),"",IF(NOT(ISNA(VLOOKUP(E777,E$1:E776,1,FALSE()))),"OLD",IF(AND(E777&lt;&gt;"",E777&lt;&gt;"!!!"),"NEW","")))</f>
        <v>OLD</v>
      </c>
      <c r="G777" s="22" t="str">
        <f ca="1"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?IN_FOCUS</v>
      </c>
      <c r="H777" s="23" t="str">
        <f t="shared" ca="1" si="55"/>
        <v/>
      </c>
      <c r="I777" s="24" t="str">
        <f>IF(OR(E777="",E777="!!!",F777="NEW"),"",INDEX(B$2:B776,-1+SUMPRODUCT(MAX(ROW(E$2:E776)*(E777=E$2:E776)))))</f>
        <v>OBJ</v>
      </c>
      <c r="J777" s="24">
        <f ca="1">IF(OR(E777="",E777="!!!",F777="NEW"),"",COUNTBLANK(OFFSET(A$1,,,SUMPRODUCT(MAX(ROW(E$2:E777)*(E777=E$2:E777)))))-COUNTBLANK(OFFSET(A$1,,,SUMPRODUCT(MAX(ROW(E$1:E776)*(E2=E$1:E776))))))</f>
        <v>0</v>
      </c>
      <c r="K777" s="24">
        <f ca="1">IF(OR(E777="",E777="!!!",F777="NEW"),"",INDEX(J$1:J776,SUMPRODUCT(MAX(ROW(E$1:E776)*(E777=E$1:E776)))))</f>
        <v>0</v>
      </c>
      <c r="L777" s="25"/>
    </row>
    <row r="778" spans="1:12" x14ac:dyDescent="0.3">
      <c r="A778" t="s">
        <v>153</v>
      </c>
      <c r="E778" s="20" t="str">
        <f t="shared" si="54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55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195</v>
      </c>
      <c r="E779" s="20" t="str">
        <f t="shared" si="54"/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55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307</v>
      </c>
      <c r="B780" s="26" t="s">
        <v>159</v>
      </c>
      <c r="C780" s="26" t="s">
        <v>141</v>
      </c>
      <c r="D780" s="26" t="s">
        <v>142</v>
      </c>
      <c r="E780" s="20" t="s">
        <v>462</v>
      </c>
      <c r="F780" s="21" t="str">
        <f>IF(OR(E780="",E780="!!!"),"",IF(NOT(ISNA(VLOOKUP(E780,E$1:E779,1,FALSE()))),"OLD",IF(AND(E780&lt;&gt;"",E780&lt;&gt;"!!!"),"NEW","")))</f>
        <v>OLD</v>
      </c>
      <c r="G780" s="22" t="str">
        <f ca="1"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?IN_FOCUS</v>
      </c>
      <c r="H780" s="23" t="str">
        <f t="shared" ca="1" si="55"/>
        <v/>
      </c>
      <c r="I780" s="24" t="str">
        <f>IF(OR(E780="",E780="!!!",F780="NEW"),"",INDEX(B$2:B779,-1+SUMPRODUCT(MAX(ROW(E$2:E779)*(E780=E$2:E779)))))</f>
        <v>OBJ</v>
      </c>
      <c r="J780" s="24">
        <f ca="1">IF(OR(E780="",E780="!!!",F780="NEW"),"",COUNTBLANK(OFFSET(A$1,,,SUMPRODUCT(MAX(ROW(E$2:E780)*(E780=E$2:E780)))))-COUNTBLANK(OFFSET(A$1,,,SUMPRODUCT(MAX(ROW(E$1:E779)*(E2=E$1:E779))))))</f>
        <v>0</v>
      </c>
      <c r="K780" s="24">
        <f ca="1">IF(OR(E780="",E780="!!!",F780="NEW"),"",INDEX(J$1:J779,SUMPRODUCT(MAX(ROW(E$1:E779)*(E780=E$1:E779)))))</f>
        <v>0</v>
      </c>
      <c r="L780" s="25"/>
    </row>
    <row r="781" spans="1:12" x14ac:dyDescent="0.3">
      <c r="A781" t="s">
        <v>434</v>
      </c>
      <c r="E781" s="20" t="str">
        <f t="shared" si="54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55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150</v>
      </c>
      <c r="E782" s="20" t="str">
        <f t="shared" si="54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55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435</v>
      </c>
      <c r="E783" s="20" t="str">
        <f t="shared" si="54"/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55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436</v>
      </c>
      <c r="B784" s="26" t="s">
        <v>191</v>
      </c>
      <c r="C784" s="26" t="s">
        <v>147</v>
      </c>
      <c r="E784" s="20" t="s">
        <v>463</v>
      </c>
      <c r="F784" s="21" t="str">
        <f>IF(OR(E784="",E784="!!!"),"",IF(NOT(ISNA(VLOOKUP(E784,E$1:E783,1,FALSE()))),"OLD",IF(AND(E784&lt;&gt;"",E784&lt;&gt;"!!!"),"NEW","")))</f>
        <v>NEW</v>
      </c>
      <c r="G784" s="22" t="str">
        <f ca="1"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?REFERENTIAL</v>
      </c>
      <c r="H784" s="23" t="str">
        <f t="shared" ca="1" si="55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299</v>
      </c>
      <c r="E785" s="20" t="str">
        <f t="shared" si="54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55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358</v>
      </c>
      <c r="E786" s="20" t="str">
        <f t="shared" si="54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55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359</v>
      </c>
      <c r="B787" s="26" t="s">
        <v>159</v>
      </c>
      <c r="C787" s="26" t="s">
        <v>302</v>
      </c>
      <c r="D787" s="26" t="s">
        <v>142</v>
      </c>
      <c r="E787" s="20" t="str">
        <f t="shared" si="54"/>
        <v>!!!</v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55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303</v>
      </c>
      <c r="E788" s="20" t="str">
        <f t="shared" si="54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55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240</v>
      </c>
      <c r="E789" s="20" t="str">
        <f t="shared" si="54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55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437</v>
      </c>
      <c r="E790" s="20" t="str">
        <f t="shared" si="54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55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438</v>
      </c>
      <c r="B791" s="26" t="s">
        <v>171</v>
      </c>
      <c r="C791" s="26" t="s">
        <v>141</v>
      </c>
      <c r="D791" s="26" t="s">
        <v>142</v>
      </c>
      <c r="E791" s="20" t="s">
        <v>459</v>
      </c>
      <c r="F791" s="21" t="str">
        <f>IF(OR(E791="",E791="!!!"),"",IF(NOT(ISNA(VLOOKUP(E791,E$1:E790,1,FALSE()))),"OLD",IF(AND(E791&lt;&gt;"",E791&lt;&gt;"!!!"),"NEW","")))</f>
        <v>OLD</v>
      </c>
      <c r="G791" s="22" t="str">
        <f ca="1"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?IN_FOCUS</v>
      </c>
      <c r="H791" s="23" t="str">
        <f t="shared" ca="1" si="55"/>
        <v/>
      </c>
      <c r="I791" s="24" t="str">
        <f>IF(OR(E791="",E791="!!!",F791="NEW"),"",INDEX(B$2:B790,-1+SUMPRODUCT(MAX(ROW(E$2:E790)*(E791=E$2:E790)))))</f>
        <v>other_2</v>
      </c>
      <c r="J791" s="24">
        <f ca="1">IF(OR(E791="",E791="!!!",F791="NEW"),"",COUNTBLANK(OFFSET(A$1,,,SUMPRODUCT(MAX(ROW(E$2:E791)*(E791=E$2:E791)))))-COUNTBLANK(OFFSET(A$1,,,SUMPRODUCT(MAX(ROW(E$1:E790)*(E2=E$1:E790))))))</f>
        <v>0</v>
      </c>
      <c r="K791" s="24">
        <f ca="1">IF(OR(E791="",E791="!!!",F791="NEW"),"",INDEX(J$1:J790,SUMPRODUCT(MAX(ROW(E$1:E790)*(E791=E$1:E790)))))</f>
        <v>0</v>
      </c>
      <c r="L791" s="25"/>
    </row>
    <row r="792" spans="1:12" x14ac:dyDescent="0.3">
      <c r="A792" t="s">
        <v>439</v>
      </c>
      <c r="E792" s="20" t="str">
        <f t="shared" si="54"/>
        <v/>
      </c>
      <c r="F792" s="21" t="str">
        <f>IF(OR(E792="",E792="!!!"),"",IF(NOT(ISNA(VLOOKUP(E792,E$1:E791,1,FALSE()))),"OLD",IF(AND(E792&lt;&gt;"",E792&lt;&gt;"!!!"),"NEW","")))</f>
        <v/>
      </c>
      <c r="G792" s="22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3" t="str">
        <f t="shared" ca="1" si="55"/>
        <v/>
      </c>
      <c r="I792" s="24" t="str">
        <f>IF(OR(E792="",E792="!!!",F792="NEW"),"",INDEX(B$2:B791,-1+SUMPRODUCT(MAX(ROW(E$2:E791)*(E792=E$2:E791)))))</f>
        <v/>
      </c>
      <c r="J792" s="24" t="str">
        <f ca="1">IF(OR(E792="",E792="!!!",F792="NEW"),"",COUNTBLANK(OFFSET(A$1,,,SUMPRODUCT(MAX(ROW(E$2:E792)*(E792=E$2:E792)))))-COUNTBLANK(OFFSET(A$1,,,SUMPRODUCT(MAX(ROW(E$1:E791)*(E2=E$1:E791))))))</f>
        <v/>
      </c>
      <c r="K792" s="24" t="str">
        <f>IF(OR(E792="",E792="!!!",F792="NEW"),"",INDEX(J$1:J791,SUMPRODUCT(MAX(ROW(E$1:E791)*(E792=E$1:E791)))))</f>
        <v/>
      </c>
      <c r="L792" s="25"/>
    </row>
    <row r="793" spans="1:12" x14ac:dyDescent="0.3">
      <c r="A793" t="s">
        <v>153</v>
      </c>
      <c r="E793" s="20" t="str">
        <f t="shared" si="54"/>
        <v/>
      </c>
      <c r="F793" s="21" t="str">
        <f>IF(OR(E793="",E793="!!!"),"",IF(NOT(ISNA(VLOOKUP(E793,E$1:E792,1,FALSE()))),"OLD",IF(AND(E793&lt;&gt;"",E793&lt;&gt;"!!!"),"NEW","")))</f>
        <v/>
      </c>
      <c r="G793" s="22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t="shared" ca="1" si="55"/>
        <v/>
      </c>
      <c r="I793" s="24" t="str">
        <f>IF(OR(E793="",E793="!!!",F793="NEW"),"",INDEX(B$2:B792,-1+SUMPRODUCT(MAX(ROW(E$2:E792)*(E793=E$2:E792)))))</f>
        <v/>
      </c>
      <c r="J793" s="24" t="str">
        <f ca="1">IF(OR(E793="",E793="!!!",F793="NEW"),"",COUNTBLANK(OFFSET(A$1,,,SUMPRODUCT(MAX(ROW(E$2:E793)*(E793=E$2:E793)))))-COUNTBLANK(OFFSET(A$1,,,SUMPRODUCT(MAX(ROW(E$1:E792)*(E2=E$1:E792))))))</f>
        <v/>
      </c>
      <c r="K793" s="24" t="str">
        <f>IF(OR(E793="",E793="!!!",F793="NEW"),"",INDEX(J$1:J792,SUMPRODUCT(MAX(ROW(E$1:E792)*(E793=E$1:E792)))))</f>
        <v/>
      </c>
      <c r="L793" s="25"/>
    </row>
    <row r="794" spans="1:12" x14ac:dyDescent="0.3">
      <c r="A794" t="s">
        <v>287</v>
      </c>
      <c r="B794" s="26" t="s">
        <v>242</v>
      </c>
      <c r="C794" s="26" t="s">
        <v>166</v>
      </c>
      <c r="D794" s="26" t="s">
        <v>142</v>
      </c>
      <c r="E794" s="20" t="s">
        <v>462</v>
      </c>
      <c r="F794" s="21" t="str">
        <f>IF(OR(E794="",E794="!!!"),"",IF(NOT(ISNA(VLOOKUP(E794,E$1:E793,1,FALSE()))),"OLD",IF(AND(E794&lt;&gt;"",E794&lt;&gt;"!!!"),"NEW","")))</f>
        <v>OLD</v>
      </c>
      <c r="G794" s="22" t="str">
        <f ca="1"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?IN_FOCUS</v>
      </c>
      <c r="H794" s="23" t="str">
        <f t="shared" ca="1" si="55"/>
        <v/>
      </c>
      <c r="I794" s="24" t="str">
        <f>IF(OR(E794="",E794="!!!",F794="NEW"),"",INDEX(B$2:B793,-1+SUMPRODUCT(MAX(ROW(E$2:E793)*(E794=E$2:E793)))))</f>
        <v>SBJ_3</v>
      </c>
      <c r="J794" s="24">
        <f ca="1">IF(OR(E794="",E794="!!!",F794="NEW"),"",COUNTBLANK(OFFSET(A$1,,,SUMPRODUCT(MAX(ROW(E$2:E794)*(E794=E$2:E794)))))-COUNTBLANK(OFFSET(A$1,,,SUMPRODUCT(MAX(ROW(E$1:E793)*(E2=E$1:E793))))))</f>
        <v>0</v>
      </c>
      <c r="K794" s="24">
        <f ca="1">IF(OR(E794="",E794="!!!",F794="NEW"),"",INDEX(J$1:J793,SUMPRODUCT(MAX(ROW(E$1:E793)*(E794=E$1:E793)))))</f>
        <v>0</v>
      </c>
      <c r="L794" s="25"/>
    </row>
    <row r="795" spans="1:12" x14ac:dyDescent="0.3">
      <c r="A795" t="s">
        <v>149</v>
      </c>
      <c r="B795" s="26" t="s">
        <v>203</v>
      </c>
      <c r="C795" s="26" t="s">
        <v>169</v>
      </c>
      <c r="D795" s="26" t="s">
        <v>142</v>
      </c>
      <c r="E795" s="20" t="s">
        <v>459</v>
      </c>
      <c r="F795" s="21" t="str">
        <f>IF(OR(E795="",E795="!!!"),"",IF(NOT(ISNA(VLOOKUP(E795,E$1:E794,1,FALSE()))),"OLD",IF(AND(E795&lt;&gt;"",E795&lt;&gt;"!!!"),"NEW","")))</f>
        <v>OLD</v>
      </c>
      <c r="G795" s="22" t="str">
        <f ca="1"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?IN_FOCUS</v>
      </c>
      <c r="H795" s="23" t="str">
        <f t="shared" ca="1" si="55"/>
        <v/>
      </c>
      <c r="I795" s="24" t="str">
        <f>IF(OR(E795="",E795="!!!",F795="NEW"),"",INDEX(B$2:B794,-1+SUMPRODUCT(MAX(ROW(E$2:E794)*(E795=E$2:E794)))))</f>
        <v>OBJ_4</v>
      </c>
      <c r="J795" s="24">
        <f ca="1">IF(OR(E795="",E795="!!!",F795="NEW"),"",COUNTBLANK(OFFSET(A$1,,,SUMPRODUCT(MAX(ROW(E$2:E795)*(E795=E$2:E795)))))-COUNTBLANK(OFFSET(A$1,,,SUMPRODUCT(MAX(ROW(E$1:E794)*(E2=E$1:E794))))))</f>
        <v>0</v>
      </c>
      <c r="K795" s="24">
        <f ca="1">IF(OR(E795="",E795="!!!",F795="NEW"),"",INDEX(J$1:J794,SUMPRODUCT(MAX(ROW(E$1:E794)*(E795=E$1:E794)))))</f>
        <v>0</v>
      </c>
      <c r="L795" s="25"/>
    </row>
    <row r="796" spans="1:12" x14ac:dyDescent="0.3">
      <c r="A796" t="s">
        <v>299</v>
      </c>
      <c r="E796" s="20" t="str">
        <f t="shared" si="54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55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12</v>
      </c>
      <c r="E797" s="20" t="str">
        <f t="shared" si="54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55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12</v>
      </c>
      <c r="E798" s="20" t="str">
        <f t="shared" si="54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55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433</v>
      </c>
      <c r="B799" s="26" t="s">
        <v>221</v>
      </c>
      <c r="C799" s="26" t="s">
        <v>141</v>
      </c>
      <c r="D799" s="26" t="s">
        <v>142</v>
      </c>
      <c r="E799" s="20" t="s">
        <v>459</v>
      </c>
      <c r="F799" s="21" t="str">
        <f>IF(OR(E799="",E799="!!!"),"",IF(NOT(ISNA(VLOOKUP(E799,E$1:E798,1,FALSE()))),"OLD",IF(AND(E799&lt;&gt;"",E799&lt;&gt;"!!!"),"NEW","")))</f>
        <v>OLD</v>
      </c>
      <c r="G799" s="22" t="str">
        <f ca="1"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?IN_FOCUS</v>
      </c>
      <c r="H799" s="23" t="str">
        <f t="shared" ca="1" si="55"/>
        <v/>
      </c>
      <c r="I799" s="24" t="str">
        <f>IF(OR(E799="",E799="!!!",F799="NEW"),"",INDEX(B$2:B798,-1+SUMPRODUCT(MAX(ROW(E$2:E798)*(E799=E$2:E798)))))</f>
        <v>other_2</v>
      </c>
      <c r="J799" s="24">
        <f ca="1">IF(OR(E799="",E799="!!!",F799="NEW"),"",COUNTBLANK(OFFSET(A$1,,,SUMPRODUCT(MAX(ROW(E$2:E799)*(E799=E$2:E799)))))-COUNTBLANK(OFFSET(A$1,,,SUMPRODUCT(MAX(ROW(E$1:E798)*(E2=E$1:E798))))))</f>
        <v>0</v>
      </c>
      <c r="K799" s="24">
        <f ca="1">IF(OR(E799="",E799="!!!",F799="NEW"),"",INDEX(J$1:J798,SUMPRODUCT(MAX(ROW(E$1:E798)*(E799=E$1:E798)))))</f>
        <v>0</v>
      </c>
      <c r="L799" s="25"/>
    </row>
    <row r="800" spans="1:12" x14ac:dyDescent="0.3">
      <c r="A800" t="s">
        <v>174</v>
      </c>
      <c r="B800" s="26" t="s">
        <v>242</v>
      </c>
      <c r="C800" s="26" t="s">
        <v>265</v>
      </c>
      <c r="E800" s="20" t="s">
        <v>462</v>
      </c>
      <c r="F800" s="21" t="str">
        <f>IF(OR(E800="",E800="!!!"),"",IF(NOT(ISNA(VLOOKUP(E800,E$1:E799,1,FALSE()))),"OLD",IF(AND(E800&lt;&gt;"",E800&lt;&gt;"!!!"),"NEW","")))</f>
        <v>OLD</v>
      </c>
      <c r="G800" s="22" t="str">
        <f ca="1"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?IN_FOCUS</v>
      </c>
      <c r="H800" s="23" t="str">
        <f t="shared" ca="1" si="55"/>
        <v/>
      </c>
      <c r="I800" s="24" t="str">
        <f>IF(OR(E800="",E800="!!!",F800="NEW"),"",INDEX(B$2:B799,-1+SUMPRODUCT(MAX(ROW(E$2:E799)*(E800=E$2:E799)))))</f>
        <v>other_3</v>
      </c>
      <c r="J800" s="24">
        <f ca="1">IF(OR(E800="",E800="!!!",F800="NEW"),"",COUNTBLANK(OFFSET(A$1,,,SUMPRODUCT(MAX(ROW(E$2:E800)*(E800=E$2:E800)))))-COUNTBLANK(OFFSET(A$1,,,SUMPRODUCT(MAX(ROW(E$1:E799)*(E2=E$1:E799))))))</f>
        <v>0</v>
      </c>
      <c r="K800" s="24">
        <f ca="1">IF(OR(E800="",E800="!!!",F800="NEW"),"",INDEX(J$1:J799,SUMPRODUCT(MAX(ROW(E$1:E799)*(E800=E$1:E799)))))</f>
        <v>0</v>
      </c>
      <c r="L800" s="25"/>
    </row>
    <row r="801" spans="1:12" x14ac:dyDescent="0.3">
      <c r="A801" t="s">
        <v>153</v>
      </c>
      <c r="E801" s="20" t="str">
        <f t="shared" si="54"/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ca="1" si="55"/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195</v>
      </c>
      <c r="E802" s="20" t="str">
        <f t="shared" ref="E802:E833" si="56">IF(D802="?OLD","!!!","")</f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ref="H802:H833" ca="1" si="57">IF(J802&lt;&gt;1,"",IF(I802="SBJ","CB","?"))</f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307</v>
      </c>
      <c r="B803" s="26" t="s">
        <v>168</v>
      </c>
      <c r="C803" s="26" t="s">
        <v>141</v>
      </c>
      <c r="D803" s="26" t="s">
        <v>142</v>
      </c>
      <c r="E803" s="20" t="s">
        <v>462</v>
      </c>
      <c r="F803" s="21" t="str">
        <f>IF(OR(E803="",E803="!!!"),"",IF(NOT(ISNA(VLOOKUP(E803,E$1:E802,1,FALSE()))),"OLD",IF(AND(E803&lt;&gt;"",E803&lt;&gt;"!!!"),"NEW","")))</f>
        <v>OLD</v>
      </c>
      <c r="G803" s="22" t="str">
        <f ca="1"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?IN_FOCUS</v>
      </c>
      <c r="H803" s="23" t="str">
        <f t="shared" ca="1" si="57"/>
        <v/>
      </c>
      <c r="I803" s="24" t="str">
        <f>IF(OR(E803="",E803="!!!",F803="NEW"),"",INDEX(B$2:B802,-1+SUMPRODUCT(MAX(ROW(E$2:E802)*(E803=E$2:E802)))))</f>
        <v>other_3</v>
      </c>
      <c r="J803" s="24">
        <f ca="1">IF(OR(E803="",E803="!!!",F803="NEW"),"",COUNTBLANK(OFFSET(A$1,,,SUMPRODUCT(MAX(ROW(E$2:E803)*(E803=E$2:E803)))))-COUNTBLANK(OFFSET(A$1,,,SUMPRODUCT(MAX(ROW(E$1:E802)*(E2=E$1:E802))))))</f>
        <v>0</v>
      </c>
      <c r="K803" s="24">
        <f ca="1">IF(OR(E803="",E803="!!!",F803="NEW"),"",INDEX(J$1:J802,SUMPRODUCT(MAX(ROW(E$1:E802)*(E803=E$1:E802)))))</f>
        <v>0</v>
      </c>
      <c r="L803" s="25"/>
    </row>
    <row r="804" spans="1:12" x14ac:dyDescent="0.3">
      <c r="A804" t="s">
        <v>434</v>
      </c>
      <c r="E804" s="20" t="str">
        <f t="shared" si="56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57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150</v>
      </c>
      <c r="E805" s="20" t="str">
        <f t="shared" si="56"/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ca="1" si="57"/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440</v>
      </c>
      <c r="E806" s="20" t="str">
        <f t="shared" si="56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57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441</v>
      </c>
      <c r="E807" s="20" t="s">
        <v>463</v>
      </c>
      <c r="F807" s="21" t="str">
        <f>IF(OR(E807="",E807="!!!"),"",IF(NOT(ISNA(VLOOKUP(E807,E$1:E806,1,FALSE()))),"OLD",IF(AND(E807&lt;&gt;"",E807&lt;&gt;"!!!"),"NEW","")))</f>
        <v>OLD</v>
      </c>
      <c r="G807" s="22" t="str">
        <f ca="1"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?IN_FOCUS</v>
      </c>
      <c r="H807" s="23" t="str">
        <f t="shared" ca="1" si="57"/>
        <v/>
      </c>
      <c r="I807" s="24" t="str">
        <f>IF(OR(E807="",E807="!!!",F807="NEW"),"",INDEX(B$2:B806,-1+SUMPRODUCT(MAX(ROW(E$2:E806)*(E807=E$2:E806)))))</f>
        <v>OBJ_3</v>
      </c>
      <c r="J807" s="24">
        <f ca="1">IF(OR(E807="",E807="!!!",F807="NEW"),"",COUNTBLANK(OFFSET(A$1,,,SUMPRODUCT(MAX(ROW(E$2:E807)*(E807=E$2:E807)))))-COUNTBLANK(OFFSET(A$1,,,SUMPRODUCT(MAX(ROW(E$1:E806)*(E2=E$1:E806))))))</f>
        <v>0</v>
      </c>
      <c r="K807" s="24" t="str">
        <f ca="1">IF(OR(E807="",E807="!!!",F807="NEW"),"",INDEX(J$1:J806,SUMPRODUCT(MAX(ROW(E$1:E806)*(E807=E$1:E806)))))</f>
        <v/>
      </c>
      <c r="L807" s="25"/>
    </row>
    <row r="808" spans="1:12" x14ac:dyDescent="0.3">
      <c r="A808" t="s">
        <v>12</v>
      </c>
      <c r="E808" s="20" t="str">
        <f t="shared" si="56"/>
        <v/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57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12</v>
      </c>
      <c r="E809" s="20" t="str">
        <f t="shared" si="56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57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359</v>
      </c>
      <c r="B810" s="26" t="s">
        <v>228</v>
      </c>
      <c r="C810" s="26" t="s">
        <v>302</v>
      </c>
      <c r="D810" s="26" t="s">
        <v>142</v>
      </c>
      <c r="E810" s="20" t="str">
        <f t="shared" si="56"/>
        <v>!!!</v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57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303</v>
      </c>
      <c r="E811" s="20" t="str">
        <f t="shared" si="56"/>
        <v/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57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240</v>
      </c>
      <c r="E812" s="20" t="str">
        <f t="shared" si="56"/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57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437</v>
      </c>
      <c r="E813" s="20" t="str">
        <f t="shared" si="56"/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57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329</v>
      </c>
      <c r="E814" s="20" t="str">
        <f t="shared" si="56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57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153</v>
      </c>
      <c r="E815" s="20" t="str">
        <f t="shared" si="56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57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442</v>
      </c>
      <c r="B816" s="26" t="s">
        <v>341</v>
      </c>
      <c r="C816" s="26" t="s">
        <v>166</v>
      </c>
      <c r="D816" s="26" t="s">
        <v>142</v>
      </c>
      <c r="E816" s="20" t="s">
        <v>462</v>
      </c>
      <c r="F816" s="21" t="str">
        <f>IF(OR(E816="",E816="!!!"),"",IF(NOT(ISNA(VLOOKUP(E816,E$1:E815,1,FALSE()))),"OLD",IF(AND(E816&lt;&gt;"",E816&lt;&gt;"!!!"),"NEW","")))</f>
        <v>OLD</v>
      </c>
      <c r="G816" s="22" t="str">
        <f ca="1"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?IN_FOCUS</v>
      </c>
      <c r="H816" s="23" t="str">
        <f t="shared" ca="1" si="57"/>
        <v/>
      </c>
      <c r="I816" s="24" t="str">
        <f>IF(OR(E816="",E816="!!!",F816="NEW"),"",INDEX(B$2:B815,-1+SUMPRODUCT(MAX(ROW(E$2:E815)*(E816=E$2:E815)))))</f>
        <v>SBJ_4</v>
      </c>
      <c r="J816" s="24">
        <f ca="1">IF(OR(E816="",E816="!!!",F816="NEW"),"",COUNTBLANK(OFFSET(A$1,,,SUMPRODUCT(MAX(ROW(E$2:E816)*(E816=E$2:E816)))))-COUNTBLANK(OFFSET(A$1,,,SUMPRODUCT(MAX(ROW(E$1:E815)*(E2=E$1:E815))))))</f>
        <v>0</v>
      </c>
      <c r="K816" s="24">
        <f ca="1">IF(OR(E816="",E816="!!!",F816="NEW"),"",INDEX(J$1:J815,SUMPRODUCT(MAX(ROW(E$1:E815)*(E816=E$1:E815)))))</f>
        <v>0</v>
      </c>
      <c r="L816" s="25"/>
    </row>
    <row r="817" spans="1:12" x14ac:dyDescent="0.3">
      <c r="A817" t="s">
        <v>275</v>
      </c>
      <c r="B817" s="26" t="s">
        <v>283</v>
      </c>
      <c r="C817" s="26" t="s">
        <v>169</v>
      </c>
      <c r="D817" s="26" t="s">
        <v>142</v>
      </c>
      <c r="E817" s="20" t="s">
        <v>459</v>
      </c>
      <c r="F817" s="21" t="str">
        <f>IF(OR(E817="",E817="!!!"),"",IF(NOT(ISNA(VLOOKUP(E817,E$1:E816,1,FALSE()))),"OLD",IF(AND(E817&lt;&gt;"",E817&lt;&gt;"!!!"),"NEW","")))</f>
        <v>OLD</v>
      </c>
      <c r="G817" s="22" t="str">
        <f ca="1"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?IN_FOCUS</v>
      </c>
      <c r="H817" s="23" t="str">
        <f t="shared" ca="1" si="57"/>
        <v/>
      </c>
      <c r="I817" s="24" t="str">
        <f>IF(OR(E817="",E817="!!!",F817="NEW"),"",INDEX(B$2:B816,-1+SUMPRODUCT(MAX(ROW(E$2:E816)*(E817=E$2:E816)))))</f>
        <v>other_4</v>
      </c>
      <c r="J817" s="24">
        <f ca="1">IF(OR(E817="",E817="!!!",F817="NEW"),"",COUNTBLANK(OFFSET(A$1,,,SUMPRODUCT(MAX(ROW(E$2:E817)*(E817=E$2:E817)))))-COUNTBLANK(OFFSET(A$1,,,SUMPRODUCT(MAX(ROW(E$1:E816)*(E2=E$1:E816))))))</f>
        <v>0</v>
      </c>
      <c r="K817" s="24">
        <f ca="1">IF(OR(E817="",E817="!!!",F817="NEW"),"",INDEX(J$1:J816,SUMPRODUCT(MAX(ROW(E$1:E816)*(E817=E$1:E816)))))</f>
        <v>0</v>
      </c>
      <c r="L817" s="25"/>
    </row>
    <row r="818" spans="1:12" x14ac:dyDescent="0.3">
      <c r="A818" t="s">
        <v>299</v>
      </c>
      <c r="E818" s="20" t="str">
        <f t="shared" si="56"/>
        <v/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57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12</v>
      </c>
      <c r="E819" s="20" t="str">
        <f t="shared" si="56"/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57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12</v>
      </c>
      <c r="E820" s="20" t="str">
        <f t="shared" si="56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57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433</v>
      </c>
      <c r="B821" s="26" t="s">
        <v>341</v>
      </c>
      <c r="C821" s="26" t="s">
        <v>141</v>
      </c>
      <c r="D821" s="26" t="s">
        <v>142</v>
      </c>
      <c r="E821" s="20" t="s">
        <v>459</v>
      </c>
      <c r="F821" s="21" t="str">
        <f>IF(OR(E821="",E821="!!!"),"",IF(NOT(ISNA(VLOOKUP(E821,E$1:E820,1,FALSE()))),"OLD",IF(AND(E821&lt;&gt;"",E821&lt;&gt;"!!!"),"NEW","")))</f>
        <v>OLD</v>
      </c>
      <c r="G821" s="22" t="str">
        <f ca="1"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?IN_FOCUS</v>
      </c>
      <c r="H821" s="23" t="str">
        <f t="shared" ca="1" si="57"/>
        <v/>
      </c>
      <c r="I821" s="24" t="str">
        <f>IF(OR(E821="",E821="!!!",F821="NEW"),"",INDEX(B$2:B820,-1+SUMPRODUCT(MAX(ROW(E$2:E820)*(E821=E$2:E820)))))</f>
        <v>OBJ_6</v>
      </c>
      <c r="J821" s="24">
        <f ca="1">IF(OR(E821="",E821="!!!",F821="NEW"),"",COUNTBLANK(OFFSET(A$1,,,SUMPRODUCT(MAX(ROW(E$2:E821)*(E821=E$2:E821)))))-COUNTBLANK(OFFSET(A$1,,,SUMPRODUCT(MAX(ROW(E$1:E820)*(E2=E$1:E820))))))</f>
        <v>0</v>
      </c>
      <c r="K821" s="24">
        <f ca="1">IF(OR(E821="",E821="!!!",F821="NEW"),"",INDEX(J$1:J820,SUMPRODUCT(MAX(ROW(E$1:E820)*(E821=E$1:E820)))))</f>
        <v>0</v>
      </c>
      <c r="L821" s="25"/>
    </row>
    <row r="822" spans="1:12" x14ac:dyDescent="0.3">
      <c r="A822" t="s">
        <v>174</v>
      </c>
      <c r="B822" s="26" t="s">
        <v>397</v>
      </c>
      <c r="C822" s="26" t="s">
        <v>265</v>
      </c>
      <c r="E822" s="20" t="s">
        <v>462</v>
      </c>
      <c r="F822" s="21" t="str">
        <f>IF(OR(E822="",E822="!!!"),"",IF(NOT(ISNA(VLOOKUP(E822,E$1:E821,1,FALSE()))),"OLD",IF(AND(E822&lt;&gt;"",E822&lt;&gt;"!!!"),"NEW","")))</f>
        <v>OLD</v>
      </c>
      <c r="G822" s="22" t="str">
        <f ca="1"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?IN_FOCUS</v>
      </c>
      <c r="H822" s="23" t="str">
        <f t="shared" ca="1" si="57"/>
        <v/>
      </c>
      <c r="I822" s="24" t="str">
        <f>IF(OR(E822="",E822="!!!",F822="NEW"),"",INDEX(B$2:B821,-1+SUMPRODUCT(MAX(ROW(E$2:E821)*(E822=E$2:E821)))))</f>
        <v>other_7</v>
      </c>
      <c r="J822" s="24">
        <f ca="1">IF(OR(E822="",E822="!!!",F822="NEW"),"",COUNTBLANK(OFFSET(A$1,,,SUMPRODUCT(MAX(ROW(E$2:E822)*(E822=E$2:E822)))))-COUNTBLANK(OFFSET(A$1,,,SUMPRODUCT(MAX(ROW(E$1:E821)*(E2=E$1:E821))))))</f>
        <v>0</v>
      </c>
      <c r="K822" s="24">
        <f ca="1">IF(OR(E822="",E822="!!!",F822="NEW"),"",INDEX(J$1:J821,SUMPRODUCT(MAX(ROW(E$1:E821)*(E822=E$1:E821)))))</f>
        <v>0</v>
      </c>
      <c r="L822" s="25"/>
    </row>
    <row r="823" spans="1:12" x14ac:dyDescent="0.3">
      <c r="A823" t="s">
        <v>153</v>
      </c>
      <c r="E823" s="20" t="str">
        <f t="shared" si="56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57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4" spans="1:12" x14ac:dyDescent="0.3">
      <c r="A824" t="s">
        <v>195</v>
      </c>
      <c r="E824" s="20" t="str">
        <f t="shared" si="56"/>
        <v/>
      </c>
      <c r="F824" s="21" t="str">
        <f>IF(OR(E824="",E824="!!!"),"",IF(NOT(ISNA(VLOOKUP(E824,E$1:E823,1,FALSE()))),"OLD",IF(AND(E824&lt;&gt;"",E824&lt;&gt;"!!!"),"NEW","")))</f>
        <v/>
      </c>
      <c r="G824" s="22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3" t="str">
        <f t="shared" ca="1" si="57"/>
        <v/>
      </c>
      <c r="I824" s="24" t="str">
        <f>IF(OR(E824="",E824="!!!",F824="NEW"),"",INDEX(B$2:B823,-1+SUMPRODUCT(MAX(ROW(E$2:E823)*(E824=E$2:E823)))))</f>
        <v/>
      </c>
      <c r="J824" s="24" t="str">
        <f ca="1">IF(OR(E824="",E824="!!!",F824="NEW"),"",COUNTBLANK(OFFSET(A$1,,,SUMPRODUCT(MAX(ROW(E$2:E824)*(E824=E$2:E824)))))-COUNTBLANK(OFFSET(A$1,,,SUMPRODUCT(MAX(ROW(E$1:E823)*(E2=E$1:E823))))))</f>
        <v/>
      </c>
      <c r="K824" s="24" t="str">
        <f>IF(OR(E824="",E824="!!!",F824="NEW"),"",INDEX(J$1:J823,SUMPRODUCT(MAX(ROW(E$1:E823)*(E824=E$1:E823)))))</f>
        <v/>
      </c>
      <c r="L824" s="25"/>
    </row>
    <row r="825" spans="1:12" x14ac:dyDescent="0.3">
      <c r="A825" t="s">
        <v>307</v>
      </c>
      <c r="B825" s="26" t="s">
        <v>443</v>
      </c>
      <c r="C825" s="26" t="s">
        <v>141</v>
      </c>
      <c r="D825" s="26" t="s">
        <v>142</v>
      </c>
      <c r="E825" s="20" t="s">
        <v>462</v>
      </c>
      <c r="F825" s="21" t="str">
        <f>IF(OR(E825="",E825="!!!"),"",IF(NOT(ISNA(VLOOKUP(E825,E$1:E824,1,FALSE()))),"OLD",IF(AND(E825&lt;&gt;"",E825&lt;&gt;"!!!"),"NEW","")))</f>
        <v>OLD</v>
      </c>
      <c r="G825" s="22" t="str">
        <f ca="1"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?IN_FOCUS</v>
      </c>
      <c r="H825" s="23" t="str">
        <f t="shared" ca="1" si="57"/>
        <v/>
      </c>
      <c r="I825" s="24" t="str">
        <f>IF(OR(E825="",E825="!!!",F825="NEW"),"",INDEX(B$2:B824,-1+SUMPRODUCT(MAX(ROW(E$2:E824)*(E825=E$2:E824)))))</f>
        <v>other_6</v>
      </c>
      <c r="J825" s="24">
        <f ca="1">IF(OR(E825="",E825="!!!",F825="NEW"),"",COUNTBLANK(OFFSET(A$1,,,SUMPRODUCT(MAX(ROW(E$2:E825)*(E825=E$2:E825)))))-COUNTBLANK(OFFSET(A$1,,,SUMPRODUCT(MAX(ROW(E$1:E824)*(E2=E$1:E824))))))</f>
        <v>0</v>
      </c>
      <c r="K825" s="24">
        <f ca="1">IF(OR(E825="",E825="!!!",F825="NEW"),"",INDEX(J$1:J824,SUMPRODUCT(MAX(ROW(E$1:E824)*(E825=E$1:E824)))))</f>
        <v>0</v>
      </c>
      <c r="L825" s="25"/>
    </row>
    <row r="826" spans="1:12" x14ac:dyDescent="0.3">
      <c r="A826" t="s">
        <v>434</v>
      </c>
      <c r="E826" s="20" t="str">
        <f t="shared" si="56"/>
        <v/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57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150</v>
      </c>
      <c r="E827" s="20" t="str">
        <f t="shared" si="56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57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440</v>
      </c>
      <c r="E828" s="20" t="str">
        <f t="shared" si="56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57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444</v>
      </c>
      <c r="B829" s="26" t="s">
        <v>445</v>
      </c>
      <c r="C829" s="26" t="s">
        <v>147</v>
      </c>
      <c r="E829" s="20" t="s">
        <v>463</v>
      </c>
      <c r="F829" s="21" t="str">
        <f>IF(OR(E829="",E829="!!!"),"",IF(NOT(ISNA(VLOOKUP(E829,E$1:E828,1,FALSE()))),"OLD",IF(AND(E829&lt;&gt;"",E829&lt;&gt;"!!!"),"NEW","")))</f>
        <v>OLD</v>
      </c>
      <c r="G829" s="22" t="str">
        <f ca="1"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?IN_FOCUS</v>
      </c>
      <c r="H829" s="23" t="str">
        <f t="shared" ca="1" si="57"/>
        <v/>
      </c>
      <c r="I829" s="24">
        <f>IF(OR(E829="",E829="!!!",F829="NEW"),"",INDEX(B$2:B828,-1+SUMPRODUCT(MAX(ROW(E$2:E828)*(E829=E$2:E828)))))</f>
        <v>0</v>
      </c>
      <c r="J829" s="24">
        <f ca="1">IF(OR(E829="",E829="!!!",F829="NEW"),"",COUNTBLANK(OFFSET(A$1,,,SUMPRODUCT(MAX(ROW(E$2:E829)*(E829=E$2:E829)))))-COUNTBLANK(OFFSET(A$1,,,SUMPRODUCT(MAX(ROW(E$1:E828)*(E2=E$1:E828))))))</f>
        <v>0</v>
      </c>
      <c r="K829" s="24">
        <f ca="1">IF(OR(E829="",E829="!!!",F829="NEW"),"",INDEX(J$1:J828,SUMPRODUCT(MAX(ROW(E$1:E828)*(E829=E$1:E828)))))</f>
        <v>0</v>
      </c>
      <c r="L829" s="25"/>
    </row>
    <row r="830" spans="1:12" x14ac:dyDescent="0.3">
      <c r="A830" t="s">
        <v>299</v>
      </c>
      <c r="E830" s="20" t="str">
        <f t="shared" si="56"/>
        <v/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57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12</v>
      </c>
      <c r="E831" s="20" t="str">
        <f t="shared" si="56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57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12</v>
      </c>
      <c r="E832" s="20" t="str">
        <f t="shared" si="56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57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359</v>
      </c>
      <c r="B833" s="26" t="s">
        <v>443</v>
      </c>
      <c r="C833" s="26" t="s">
        <v>302</v>
      </c>
      <c r="D833" s="26" t="s">
        <v>142</v>
      </c>
      <c r="E833" s="20" t="str">
        <f t="shared" si="56"/>
        <v>!!!</v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ca="1" si="57"/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303</v>
      </c>
      <c r="E834" s="20" t="str">
        <f t="shared" ref="E834:E865" si="58">IF(D834="?OLD","!!!","")</f>
        <v/>
      </c>
      <c r="F834" s="21" t="str">
        <f>IF(OR(E834="",E834="!!!"),"",IF(NOT(ISNA(VLOOKUP(E834,E$1:E833,1,FALSE()))),"OLD",IF(AND(E834&lt;&gt;"",E834&lt;&gt;"!!!"),"NEW","")))</f>
        <v/>
      </c>
      <c r="G834" s="22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3" t="str">
        <f t="shared" ref="H834:H865" ca="1" si="59">IF(J834&lt;&gt;1,"",IF(I834="SBJ","CB","?"))</f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240</v>
      </c>
      <c r="E835" s="20" t="str">
        <f t="shared" si="58"/>
        <v/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59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437</v>
      </c>
      <c r="E836" s="20" t="str">
        <f t="shared" si="58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59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7" spans="1:12" x14ac:dyDescent="0.3">
      <c r="A837" t="s">
        <v>281</v>
      </c>
      <c r="E837" s="20" t="str">
        <f t="shared" si="58"/>
        <v/>
      </c>
      <c r="F837" s="21" t="str">
        <f>IF(OR(E837="",E837="!!!"),"",IF(NOT(ISNA(VLOOKUP(E837,E$1:E836,1,FALSE()))),"OLD",IF(AND(E837&lt;&gt;"",E837&lt;&gt;"!!!"),"NEW","")))</f>
        <v/>
      </c>
      <c r="G837" s="22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3" t="str">
        <f t="shared" ca="1" si="59"/>
        <v/>
      </c>
      <c r="I837" s="24" t="str">
        <f>IF(OR(E837="",E837="!!!",F837="NEW"),"",INDEX(B$2:B836,-1+SUMPRODUCT(MAX(ROW(E$2:E836)*(E837=E$2:E836)))))</f>
        <v/>
      </c>
      <c r="J837" s="24" t="str">
        <f ca="1">IF(OR(E837="",E837="!!!",F837="NEW"),"",COUNTBLANK(OFFSET(A$1,,,SUMPRODUCT(MAX(ROW(E$2:E837)*(E837=E$2:E837)))))-COUNTBLANK(OFFSET(A$1,,,SUMPRODUCT(MAX(ROW(E$1:E836)*(E2=E$1:E836))))))</f>
        <v/>
      </c>
      <c r="K837" s="24" t="str">
        <f>IF(OR(E837="",E837="!!!",F837="NEW"),"",INDEX(J$1:J836,SUMPRODUCT(MAX(ROW(E$1:E836)*(E837=E$1:E836)))))</f>
        <v/>
      </c>
      <c r="L837" s="25"/>
    </row>
    <row r="838" spans="1:12" x14ac:dyDescent="0.3">
      <c r="A838" t="s">
        <v>153</v>
      </c>
      <c r="E838" s="20" t="str">
        <f t="shared" si="58"/>
        <v/>
      </c>
      <c r="F838" s="21" t="str">
        <f>IF(OR(E838="",E838="!!!"),"",IF(NOT(ISNA(VLOOKUP(E838,E$1:E837,1,FALSE()))),"OLD",IF(AND(E838&lt;&gt;"",E838&lt;&gt;"!!!"),"NEW","")))</f>
        <v/>
      </c>
      <c r="G838" s="22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3" t="str">
        <f t="shared" ca="1" si="59"/>
        <v/>
      </c>
      <c r="I838" s="24" t="str">
        <f>IF(OR(E838="",E838="!!!",F838="NEW"),"",INDEX(B$2:B837,-1+SUMPRODUCT(MAX(ROW(E$2:E837)*(E838=E$2:E837)))))</f>
        <v/>
      </c>
      <c r="J838" s="24" t="str">
        <f ca="1">IF(OR(E838="",E838="!!!",F838="NEW"),"",COUNTBLANK(OFFSET(A$1,,,SUMPRODUCT(MAX(ROW(E$2:E838)*(E838=E$2:E838)))))-COUNTBLANK(OFFSET(A$1,,,SUMPRODUCT(MAX(ROW(E$1:E837)*(E2=E$1:E837))))))</f>
        <v/>
      </c>
      <c r="K838" s="24" t="str">
        <f>IF(OR(E838="",E838="!!!",F838="NEW"),"",INDEX(J$1:J837,SUMPRODUCT(MAX(ROW(E$1:E837)*(E838=E$1:E837)))))</f>
        <v/>
      </c>
      <c r="L838" s="25"/>
    </row>
    <row r="839" spans="1:12" x14ac:dyDescent="0.3">
      <c r="A839" t="s">
        <v>442</v>
      </c>
      <c r="B839" s="26" t="s">
        <v>446</v>
      </c>
      <c r="C839" s="26" t="s">
        <v>166</v>
      </c>
      <c r="D839" s="26" t="s">
        <v>142</v>
      </c>
      <c r="E839" s="20" t="s">
        <v>462</v>
      </c>
      <c r="F839" s="21" t="str">
        <f>IF(OR(E839="",E839="!!!"),"",IF(NOT(ISNA(VLOOKUP(E839,E$1:E838,1,FALSE()))),"OLD",IF(AND(E839&lt;&gt;"",E839&lt;&gt;"!!!"),"NEW","")))</f>
        <v>OLD</v>
      </c>
      <c r="G839" s="22" t="str">
        <f ca="1"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?IN_FOCUS</v>
      </c>
      <c r="H839" s="23" t="str">
        <f t="shared" ca="1" si="59"/>
        <v/>
      </c>
      <c r="I839" s="24" t="str">
        <f>IF(OR(E839="",E839="!!!",F839="NEW"),"",INDEX(B$2:B838,-1+SUMPRODUCT(MAX(ROW(E$2:E838)*(E839=E$2:E838)))))</f>
        <v>SBJ_8</v>
      </c>
      <c r="J839" s="24">
        <f ca="1">IF(OR(E839="",E839="!!!",F839="NEW"),"",COUNTBLANK(OFFSET(A$1,,,SUMPRODUCT(MAX(ROW(E$2:E839)*(E839=E$2:E839)))))-COUNTBLANK(OFFSET(A$1,,,SUMPRODUCT(MAX(ROW(E$1:E838)*(E2=E$1:E838))))))</f>
        <v>0</v>
      </c>
      <c r="K839" s="24">
        <f ca="1">IF(OR(E839="",E839="!!!",F839="NEW"),"",INDEX(J$1:J838,SUMPRODUCT(MAX(ROW(E$1:E838)*(E839=E$1:E838)))))</f>
        <v>0</v>
      </c>
      <c r="L839" s="25"/>
    </row>
    <row r="840" spans="1:12" x14ac:dyDescent="0.3">
      <c r="A840" t="s">
        <v>275</v>
      </c>
      <c r="B840" s="26" t="s">
        <v>445</v>
      </c>
      <c r="C840" s="26" t="s">
        <v>169</v>
      </c>
      <c r="D840" s="26" t="s">
        <v>142</v>
      </c>
      <c r="E840" s="20" t="s">
        <v>459</v>
      </c>
      <c r="F840" s="21" t="str">
        <f>IF(OR(E840="",E840="!!!"),"",IF(NOT(ISNA(VLOOKUP(E840,E$1:E839,1,FALSE()))),"OLD",IF(AND(E840&lt;&gt;"",E840&lt;&gt;"!!!"),"NEW","")))</f>
        <v>OLD</v>
      </c>
      <c r="G840" s="22" t="str">
        <f ca="1"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?IN_FOCUS</v>
      </c>
      <c r="H840" s="23" t="str">
        <f t="shared" ca="1" si="59"/>
        <v/>
      </c>
      <c r="I840" s="24" t="str">
        <f>IF(OR(E840="",E840="!!!",F840="NEW"),"",INDEX(B$2:B839,-1+SUMPRODUCT(MAX(ROW(E$2:E839)*(E840=E$2:E839)))))</f>
        <v>other_7</v>
      </c>
      <c r="J840" s="24">
        <f ca="1">IF(OR(E840="",E840="!!!",F840="NEW"),"",COUNTBLANK(OFFSET(A$1,,,SUMPRODUCT(MAX(ROW(E$2:E840)*(E840=E$2:E840)))))-COUNTBLANK(OFFSET(A$1,,,SUMPRODUCT(MAX(ROW(E$1:E839)*(E2=E$1:E839))))))</f>
        <v>0</v>
      </c>
      <c r="K840" s="24">
        <f ca="1">IF(OR(E840="",E840="!!!",F840="NEW"),"",INDEX(J$1:J839,SUMPRODUCT(MAX(ROW(E$1:E839)*(E840=E$1:E839)))))</f>
        <v>0</v>
      </c>
      <c r="L840" s="25"/>
    </row>
    <row r="841" spans="1:12" x14ac:dyDescent="0.3">
      <c r="A841" t="s">
        <v>299</v>
      </c>
      <c r="E841" s="20" t="str">
        <f t="shared" si="58"/>
        <v/>
      </c>
      <c r="F841" s="21" t="str">
        <f>IF(OR(E841="",E841="!!!"),"",IF(NOT(ISNA(VLOOKUP(E841,E$1:E840,1,FALSE()))),"OLD",IF(AND(E841&lt;&gt;"",E841&lt;&gt;"!!!"),"NEW","")))</f>
        <v/>
      </c>
      <c r="G841" s="22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3" t="str">
        <f t="shared" ca="1" si="59"/>
        <v/>
      </c>
      <c r="I841" s="24" t="str">
        <f>IF(OR(E841="",E841="!!!",F841="NEW"),"",INDEX(B$2:B840,-1+SUMPRODUCT(MAX(ROW(E$2:E840)*(E841=E$2:E840)))))</f>
        <v/>
      </c>
      <c r="J841" s="24" t="str">
        <f ca="1">IF(OR(E841="",E841="!!!",F841="NEW"),"",COUNTBLANK(OFFSET(A$1,,,SUMPRODUCT(MAX(ROW(E$2:E841)*(E841=E$2:E841)))))-COUNTBLANK(OFFSET(A$1,,,SUMPRODUCT(MAX(ROW(E$1:E840)*(E2=E$1:E840))))))</f>
        <v/>
      </c>
      <c r="K841" s="24" t="str">
        <f>IF(OR(E841="",E841="!!!",F841="NEW"),"",INDEX(J$1:J840,SUMPRODUCT(MAX(ROW(E$1:E840)*(E841=E$1:E840)))))</f>
        <v/>
      </c>
      <c r="L841" s="25"/>
    </row>
    <row r="842" spans="1:12" x14ac:dyDescent="0.3">
      <c r="A842" t="s">
        <v>12</v>
      </c>
      <c r="E842" s="20" t="str">
        <f t="shared" si="58"/>
        <v/>
      </c>
      <c r="F842" s="21" t="str">
        <f>IF(OR(E842="",E842="!!!"),"",IF(NOT(ISNA(VLOOKUP(E842,E$1:E841,1,FALSE()))),"OLD",IF(AND(E842&lt;&gt;"",E842&lt;&gt;"!!!"),"NEW","")))</f>
        <v/>
      </c>
      <c r="G842" s="22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3" t="str">
        <f t="shared" ca="1" si="59"/>
        <v/>
      </c>
      <c r="I842" s="24" t="str">
        <f>IF(OR(E842="",E842="!!!",F842="NEW"),"",INDEX(B$2:B841,-1+SUMPRODUCT(MAX(ROW(E$2:E841)*(E842=E$2:E841)))))</f>
        <v/>
      </c>
      <c r="J842" s="24" t="str">
        <f ca="1">IF(OR(E842="",E842="!!!",F842="NEW"),"",COUNTBLANK(OFFSET(A$1,,,SUMPRODUCT(MAX(ROW(E$2:E842)*(E842=E$2:E842)))))-COUNTBLANK(OFFSET(A$1,,,SUMPRODUCT(MAX(ROW(E$1:E841)*(E2=E$1:E841))))))</f>
        <v/>
      </c>
      <c r="K842" s="24" t="str">
        <f>IF(OR(E842="",E842="!!!",F842="NEW"),"",INDEX(J$1:J841,SUMPRODUCT(MAX(ROW(E$1:E841)*(E842=E$1:E841)))))</f>
        <v/>
      </c>
      <c r="L842" s="25"/>
    </row>
    <row r="843" spans="1:12" x14ac:dyDescent="0.3">
      <c r="A843" t="s">
        <v>12</v>
      </c>
      <c r="E843" s="20" t="str">
        <f t="shared" si="58"/>
        <v/>
      </c>
      <c r="F843" s="21" t="str">
        <f>IF(OR(E843="",E843="!!!"),"",IF(NOT(ISNA(VLOOKUP(E843,E$1:E842,1,FALSE()))),"OLD",IF(AND(E843&lt;&gt;"",E843&lt;&gt;"!!!"),"NEW","")))</f>
        <v/>
      </c>
      <c r="G843" s="22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3" t="str">
        <f t="shared" ca="1" si="59"/>
        <v/>
      </c>
      <c r="I843" s="24" t="str">
        <f>IF(OR(E843="",E843="!!!",F843="NEW"),"",INDEX(B$2:B842,-1+SUMPRODUCT(MAX(ROW(E$2:E842)*(E843=E$2:E842)))))</f>
        <v/>
      </c>
      <c r="J843" s="24" t="str">
        <f ca="1">IF(OR(E843="",E843="!!!",F843="NEW"),"",COUNTBLANK(OFFSET(A$1,,,SUMPRODUCT(MAX(ROW(E$2:E843)*(E843=E$2:E843)))))-COUNTBLANK(OFFSET(A$1,,,SUMPRODUCT(MAX(ROW(E$1:E842)*(E2=E$1:E842))))))</f>
        <v/>
      </c>
      <c r="K843" s="24" t="str">
        <f>IF(OR(E843="",E843="!!!",F843="NEW"),"",INDEX(J$1:J842,SUMPRODUCT(MAX(ROW(E$1:E842)*(E843=E$1:E842)))))</f>
        <v/>
      </c>
      <c r="L843" s="25"/>
    </row>
    <row r="844" spans="1:12" x14ac:dyDescent="0.3">
      <c r="A844" t="s">
        <v>433</v>
      </c>
      <c r="B844" s="26" t="s">
        <v>446</v>
      </c>
      <c r="C844" s="26" t="s">
        <v>141</v>
      </c>
      <c r="D844" s="26" t="s">
        <v>142</v>
      </c>
      <c r="E844" s="20" t="s">
        <v>459</v>
      </c>
      <c r="F844" s="21" t="str">
        <f>IF(OR(E844="",E844="!!!"),"",IF(NOT(ISNA(VLOOKUP(E844,E$1:E843,1,FALSE()))),"OLD",IF(AND(E844&lt;&gt;"",E844&lt;&gt;"!!!"),"NEW","")))</f>
        <v>OLD</v>
      </c>
      <c r="G844" s="22" t="str">
        <f ca="1"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?IN_FOCUS</v>
      </c>
      <c r="H844" s="23" t="str">
        <f t="shared" ca="1" si="59"/>
        <v/>
      </c>
      <c r="I844" s="24" t="str">
        <f>IF(OR(E844="",E844="!!!",F844="NEW"),"",INDEX(B$2:B843,-1+SUMPRODUCT(MAX(ROW(E$2:E843)*(E844=E$2:E843)))))</f>
        <v>OBJ_8</v>
      </c>
      <c r="J844" s="24">
        <f ca="1">IF(OR(E844="",E844="!!!",F844="NEW"),"",COUNTBLANK(OFFSET(A$1,,,SUMPRODUCT(MAX(ROW(E$2:E844)*(E844=E$2:E844)))))-COUNTBLANK(OFFSET(A$1,,,SUMPRODUCT(MAX(ROW(E$1:E843)*(E2=E$1:E843))))))</f>
        <v>0</v>
      </c>
      <c r="K844" s="24">
        <f ca="1">IF(OR(E844="",E844="!!!",F844="NEW"),"",INDEX(J$1:J843,SUMPRODUCT(MAX(ROW(E$1:E843)*(E844=E$1:E843)))))</f>
        <v>0</v>
      </c>
      <c r="L844" s="25"/>
    </row>
    <row r="845" spans="1:12" x14ac:dyDescent="0.3">
      <c r="A845" t="s">
        <v>174</v>
      </c>
      <c r="B845" s="26" t="s">
        <v>428</v>
      </c>
      <c r="C845" s="26" t="s">
        <v>265</v>
      </c>
      <c r="E845" s="20" t="s">
        <v>462</v>
      </c>
      <c r="F845" s="21" t="str">
        <f>IF(OR(E845="",E845="!!!"),"",IF(NOT(ISNA(VLOOKUP(E845,E$1:E844,1,FALSE()))),"OLD",IF(AND(E845&lt;&gt;"",E845&lt;&gt;"!!!"),"NEW","")))</f>
        <v>OLD</v>
      </c>
      <c r="G845" s="22" t="str">
        <f ca="1"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?IN_FOCUS</v>
      </c>
      <c r="H845" s="23" t="str">
        <f t="shared" ca="1" si="59"/>
        <v/>
      </c>
      <c r="I845" s="24" t="str">
        <f>IF(OR(E845="",E845="!!!",F845="NEW"),"",INDEX(B$2:B844,-1+SUMPRODUCT(MAX(ROW(E$2:E844)*(E845=E$2:E844)))))</f>
        <v>other_9</v>
      </c>
      <c r="J845" s="24">
        <f ca="1">IF(OR(E845="",E845="!!!",F845="NEW"),"",COUNTBLANK(OFFSET(A$1,,,SUMPRODUCT(MAX(ROW(E$2:E845)*(E845=E$2:E845)))))-COUNTBLANK(OFFSET(A$1,,,SUMPRODUCT(MAX(ROW(E$1:E844)*(E2=E$1:E844))))))</f>
        <v>0</v>
      </c>
      <c r="K845" s="24">
        <f ca="1">IF(OR(E845="",E845="!!!",F845="NEW"),"",INDEX(J$1:J844,SUMPRODUCT(MAX(ROW(E$1:E844)*(E845=E$1:E844)))))</f>
        <v>0</v>
      </c>
      <c r="L845" s="25"/>
    </row>
    <row r="846" spans="1:12" x14ac:dyDescent="0.3">
      <c r="A846" t="s">
        <v>153</v>
      </c>
      <c r="E846" s="20" t="str">
        <f t="shared" si="58"/>
        <v/>
      </c>
      <c r="F846" s="21" t="str">
        <f>IF(OR(E846="",E846="!!!"),"",IF(NOT(ISNA(VLOOKUP(E846,E$1:E845,1,FALSE()))),"OLD",IF(AND(E846&lt;&gt;"",E846&lt;&gt;"!!!"),"NEW","")))</f>
        <v/>
      </c>
      <c r="G846" s="22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3" t="str">
        <f t="shared" ca="1" si="59"/>
        <v/>
      </c>
      <c r="I846" s="24" t="str">
        <f>IF(OR(E846="",E846="!!!",F846="NEW"),"",INDEX(B$2:B845,-1+SUMPRODUCT(MAX(ROW(E$2:E845)*(E846=E$2:E845)))))</f>
        <v/>
      </c>
      <c r="J846" s="24" t="str">
        <f ca="1">IF(OR(E846="",E846="!!!",F846="NEW"),"",COUNTBLANK(OFFSET(A$1,,,SUMPRODUCT(MAX(ROW(E$2:E846)*(E846=E$2:E846)))))-COUNTBLANK(OFFSET(A$1,,,SUMPRODUCT(MAX(ROW(E$1:E845)*(E2=E$1:E845))))))</f>
        <v/>
      </c>
      <c r="K846" s="24" t="str">
        <f>IF(OR(E846="",E846="!!!",F846="NEW"),"",INDEX(J$1:J845,SUMPRODUCT(MAX(ROW(E$1:E845)*(E846=E$1:E845)))))</f>
        <v/>
      </c>
      <c r="L846" s="25"/>
    </row>
    <row r="847" spans="1:12" x14ac:dyDescent="0.3">
      <c r="A847" t="s">
        <v>195</v>
      </c>
      <c r="E847" s="20" t="str">
        <f t="shared" si="58"/>
        <v/>
      </c>
      <c r="F847" s="21" t="str">
        <f>IF(OR(E847="",E847="!!!"),"",IF(NOT(ISNA(VLOOKUP(E847,E$1:E846,1,FALSE()))),"OLD",IF(AND(E847&lt;&gt;"",E847&lt;&gt;"!!!"),"NEW","")))</f>
        <v/>
      </c>
      <c r="G847" s="22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3" t="str">
        <f t="shared" ca="1" si="59"/>
        <v/>
      </c>
      <c r="I847" s="24" t="str">
        <f>IF(OR(E847="",E847="!!!",F847="NEW"),"",INDEX(B$2:B846,-1+SUMPRODUCT(MAX(ROW(E$2:E846)*(E847=E$2:E846)))))</f>
        <v/>
      </c>
      <c r="J847" s="24" t="str">
        <f ca="1">IF(OR(E847="",E847="!!!",F847="NEW"),"",COUNTBLANK(OFFSET(A$1,,,SUMPRODUCT(MAX(ROW(E$2:E847)*(E847=E$2:E847)))))-COUNTBLANK(OFFSET(A$1,,,SUMPRODUCT(MAX(ROW(E$1:E846)*(E2=E$1:E846))))))</f>
        <v/>
      </c>
      <c r="K847" s="24" t="str">
        <f>IF(OR(E847="",E847="!!!",F847="NEW"),"",INDEX(J$1:J846,SUMPRODUCT(MAX(ROW(E$1:E846)*(E847=E$1:E846)))))</f>
        <v/>
      </c>
      <c r="L847" s="25"/>
    </row>
    <row r="848" spans="1:12" x14ac:dyDescent="0.3">
      <c r="A848" t="s">
        <v>307</v>
      </c>
      <c r="B848" s="26" t="s">
        <v>447</v>
      </c>
      <c r="C848" s="26" t="s">
        <v>141</v>
      </c>
      <c r="D848" s="26" t="s">
        <v>142</v>
      </c>
      <c r="E848" s="20" t="s">
        <v>462</v>
      </c>
      <c r="F848" s="21" t="str">
        <f>IF(OR(E848="",E848="!!!"),"",IF(NOT(ISNA(VLOOKUP(E848,E$1:E847,1,FALSE()))),"OLD",IF(AND(E848&lt;&gt;"",E848&lt;&gt;"!!!"),"NEW","")))</f>
        <v>OLD</v>
      </c>
      <c r="G848" s="22" t="str">
        <f ca="1"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?IN_FOCUS</v>
      </c>
      <c r="H848" s="23" t="str">
        <f t="shared" ca="1" si="59"/>
        <v/>
      </c>
      <c r="I848" s="24" t="str">
        <f>IF(OR(E848="",E848="!!!",F848="NEW"),"",INDEX(B$2:B847,-1+SUMPRODUCT(MAX(ROW(E$2:E847)*(E848=E$2:E847)))))</f>
        <v>other_8</v>
      </c>
      <c r="J848" s="24">
        <f ca="1">IF(OR(E848="",E848="!!!",F848="NEW"),"",COUNTBLANK(OFFSET(A$1,,,SUMPRODUCT(MAX(ROW(E$2:E848)*(E848=E$2:E848)))))-COUNTBLANK(OFFSET(A$1,,,SUMPRODUCT(MAX(ROW(E$1:E847)*(E2=E$1:E847))))))</f>
        <v>0</v>
      </c>
      <c r="K848" s="24">
        <f ca="1">IF(OR(E848="",E848="!!!",F848="NEW"),"",INDEX(J$1:J847,SUMPRODUCT(MAX(ROW(E$1:E847)*(E848=E$1:E847)))))</f>
        <v>0</v>
      </c>
      <c r="L848" s="25"/>
    </row>
    <row r="849" spans="1:12" x14ac:dyDescent="0.3">
      <c r="A849" t="s">
        <v>434</v>
      </c>
      <c r="E849" s="20" t="str">
        <f t="shared" si="58"/>
        <v/>
      </c>
      <c r="F849" s="21" t="str">
        <f>IF(OR(E849="",E849="!!!"),"",IF(NOT(ISNA(VLOOKUP(E849,E$1:E848,1,FALSE()))),"OLD",IF(AND(E849&lt;&gt;"",E849&lt;&gt;"!!!"),"NEW","")))</f>
        <v/>
      </c>
      <c r="G849" s="22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3" t="str">
        <f t="shared" ca="1" si="59"/>
        <v/>
      </c>
      <c r="I849" s="24" t="str">
        <f>IF(OR(E849="",E849="!!!",F849="NEW"),"",INDEX(B$2:B848,-1+SUMPRODUCT(MAX(ROW(E$2:E848)*(E849=E$2:E848)))))</f>
        <v/>
      </c>
      <c r="J849" s="24" t="str">
        <f ca="1">IF(OR(E849="",E849="!!!",F849="NEW"),"",COUNTBLANK(OFFSET(A$1,,,SUMPRODUCT(MAX(ROW(E$2:E849)*(E849=E$2:E849)))))-COUNTBLANK(OFFSET(A$1,,,SUMPRODUCT(MAX(ROW(E$1:E848)*(E2=E$1:E848))))))</f>
        <v/>
      </c>
      <c r="K849" s="24" t="str">
        <f>IF(OR(E849="",E849="!!!",F849="NEW"),"",INDEX(J$1:J848,SUMPRODUCT(MAX(ROW(E$1:E848)*(E849=E$1:E848)))))</f>
        <v/>
      </c>
      <c r="L849" s="25"/>
    </row>
    <row r="850" spans="1:12" x14ac:dyDescent="0.3">
      <c r="A850" t="s">
        <v>150</v>
      </c>
      <c r="E850" s="20" t="str">
        <f t="shared" si="58"/>
        <v/>
      </c>
      <c r="F850" s="21" t="str">
        <f>IF(OR(E850="",E850="!!!"),"",IF(NOT(ISNA(VLOOKUP(E850,E$1:E849,1,FALSE()))),"OLD",IF(AND(E850&lt;&gt;"",E850&lt;&gt;"!!!"),"NEW","")))</f>
        <v/>
      </c>
      <c r="G850" s="22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3" t="str">
        <f t="shared" ca="1" si="59"/>
        <v/>
      </c>
      <c r="I850" s="24" t="str">
        <f>IF(OR(E850="",E850="!!!",F850="NEW"),"",INDEX(B$2:B849,-1+SUMPRODUCT(MAX(ROW(E$2:E849)*(E850=E$2:E849)))))</f>
        <v/>
      </c>
      <c r="J850" s="24" t="str">
        <f ca="1">IF(OR(E850="",E850="!!!",F850="NEW"),"",COUNTBLANK(OFFSET(A$1,,,SUMPRODUCT(MAX(ROW(E$2:E850)*(E850=E$2:E850)))))-COUNTBLANK(OFFSET(A$1,,,SUMPRODUCT(MAX(ROW(E$1:E849)*(E2=E$1:E849))))))</f>
        <v/>
      </c>
      <c r="K850" s="24" t="str">
        <f>IF(OR(E850="",E850="!!!",F850="NEW"),"",INDEX(J$1:J849,SUMPRODUCT(MAX(ROW(E$1:E849)*(E850=E$1:E849)))))</f>
        <v/>
      </c>
      <c r="L850" s="25"/>
    </row>
    <row r="851" spans="1:12" x14ac:dyDescent="0.3">
      <c r="A851" t="s">
        <v>435</v>
      </c>
      <c r="E851" s="20" t="str">
        <f t="shared" si="58"/>
        <v/>
      </c>
      <c r="F851" s="21" t="str">
        <f>IF(OR(E851="",E851="!!!"),"",IF(NOT(ISNA(VLOOKUP(E851,E$1:E850,1,FALSE()))),"OLD",IF(AND(E851&lt;&gt;"",E851&lt;&gt;"!!!"),"NEW","")))</f>
        <v/>
      </c>
      <c r="G851" s="22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3" t="str">
        <f t="shared" ca="1" si="59"/>
        <v/>
      </c>
      <c r="I851" s="24" t="str">
        <f>IF(OR(E851="",E851="!!!",F851="NEW"),"",INDEX(B$2:B850,-1+SUMPRODUCT(MAX(ROW(E$2:E850)*(E851=E$2:E850)))))</f>
        <v/>
      </c>
      <c r="J851" s="24" t="str">
        <f ca="1">IF(OR(E851="",E851="!!!",F851="NEW"),"",COUNTBLANK(OFFSET(A$1,,,SUMPRODUCT(MAX(ROW(E$2:E851)*(E851=E$2:E851)))))-COUNTBLANK(OFFSET(A$1,,,SUMPRODUCT(MAX(ROW(E$1:E850)*(E2=E$1:E850))))))</f>
        <v/>
      </c>
      <c r="K851" s="24" t="str">
        <f>IF(OR(E851="",E851="!!!",F851="NEW"),"",INDEX(J$1:J850,SUMPRODUCT(MAX(ROW(E$1:E850)*(E851=E$1:E850)))))</f>
        <v/>
      </c>
      <c r="L851" s="25"/>
    </row>
    <row r="852" spans="1:12" x14ac:dyDescent="0.3">
      <c r="A852" t="s">
        <v>448</v>
      </c>
      <c r="B852" s="26" t="s">
        <v>449</v>
      </c>
      <c r="C852" s="26" t="s">
        <v>147</v>
      </c>
      <c r="E852" s="20" t="s">
        <v>463</v>
      </c>
      <c r="F852" s="21" t="str">
        <f>IF(OR(E852="",E852="!!!"),"",IF(NOT(ISNA(VLOOKUP(E852,E$1:E851,1,FALSE()))),"OLD",IF(AND(E852&lt;&gt;"",E852&lt;&gt;"!!!"),"NEW","")))</f>
        <v>OLD</v>
      </c>
      <c r="G852" s="22" t="str">
        <f ca="1"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?IN_FOCUS</v>
      </c>
      <c r="H852" s="23" t="str">
        <f t="shared" ca="1" si="59"/>
        <v/>
      </c>
      <c r="I852" s="24" t="str">
        <f>IF(OR(E852="",E852="!!!",F852="NEW"),"",INDEX(B$2:B851,-1+SUMPRODUCT(MAX(ROW(E$2:E851)*(E852=E$2:E851)))))</f>
        <v>OBJ_8</v>
      </c>
      <c r="J852" s="24">
        <f ca="1">IF(OR(E852="",E852="!!!",F852="NEW"),"",COUNTBLANK(OFFSET(A$1,,,SUMPRODUCT(MAX(ROW(E$2:E852)*(E852=E$2:E852)))))-COUNTBLANK(OFFSET(A$1,,,SUMPRODUCT(MAX(ROW(E$1:E851)*(E2=E$1:E851))))))</f>
        <v>0</v>
      </c>
      <c r="K852" s="24">
        <f ca="1">IF(OR(E852="",E852="!!!",F852="NEW"),"",INDEX(J$1:J851,SUMPRODUCT(MAX(ROW(E$1:E851)*(E852=E$1:E851)))))</f>
        <v>0</v>
      </c>
      <c r="L852" s="25"/>
    </row>
    <row r="853" spans="1:12" x14ac:dyDescent="0.3">
      <c r="A853" t="s">
        <v>299</v>
      </c>
      <c r="E853" s="20" t="str">
        <f t="shared" si="58"/>
        <v/>
      </c>
      <c r="F853" s="21" t="str">
        <f>IF(OR(E853="",E853="!!!"),"",IF(NOT(ISNA(VLOOKUP(E853,E$1:E852,1,FALSE()))),"OLD",IF(AND(E853&lt;&gt;"",E853&lt;&gt;"!!!"),"NEW","")))</f>
        <v/>
      </c>
      <c r="G853" s="22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3" t="str">
        <f t="shared" ca="1" si="59"/>
        <v/>
      </c>
      <c r="I853" s="24" t="str">
        <f>IF(OR(E853="",E853="!!!",F853="NEW"),"",INDEX(B$2:B852,-1+SUMPRODUCT(MAX(ROW(E$2:E852)*(E853=E$2:E852)))))</f>
        <v/>
      </c>
      <c r="J853" s="24" t="str">
        <f ca="1">IF(OR(E853="",E853="!!!",F853="NEW"),"",COUNTBLANK(OFFSET(A$1,,,SUMPRODUCT(MAX(ROW(E$2:E853)*(E853=E$2:E853)))))-COUNTBLANK(OFFSET(A$1,,,SUMPRODUCT(MAX(ROW(E$1:E852)*(E2=E$1:E852))))))</f>
        <v/>
      </c>
      <c r="K853" s="24" t="str">
        <f>IF(OR(E853="",E853="!!!",F853="NEW"),"",INDEX(J$1:J852,SUMPRODUCT(MAX(ROW(E$1:E852)*(E853=E$1:E852)))))</f>
        <v/>
      </c>
      <c r="L853" s="25"/>
    </row>
    <row r="854" spans="1:12" x14ac:dyDescent="0.3">
      <c r="A854" t="s">
        <v>12</v>
      </c>
      <c r="E854" s="20" t="str">
        <f t="shared" si="58"/>
        <v/>
      </c>
      <c r="F854" s="21" t="str">
        <f>IF(OR(E854="",E854="!!!"),"",IF(NOT(ISNA(VLOOKUP(E854,E$1:E853,1,FALSE()))),"OLD",IF(AND(E854&lt;&gt;"",E854&lt;&gt;"!!!"),"NEW","")))</f>
        <v/>
      </c>
      <c r="G854" s="22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3" t="str">
        <f t="shared" ca="1" si="59"/>
        <v/>
      </c>
      <c r="I854" s="24" t="str">
        <f>IF(OR(E854="",E854="!!!",F854="NEW"),"",INDEX(B$2:B853,-1+SUMPRODUCT(MAX(ROW(E$2:E853)*(E854=E$2:E853)))))</f>
        <v/>
      </c>
      <c r="J854" s="24" t="str">
        <f ca="1">IF(OR(E854="",E854="!!!",F854="NEW"),"",COUNTBLANK(OFFSET(A$1,,,SUMPRODUCT(MAX(ROW(E$2:E854)*(E854=E$2:E854)))))-COUNTBLANK(OFFSET(A$1,,,SUMPRODUCT(MAX(ROW(E$1:E853)*(E2=E$1:E853))))))</f>
        <v/>
      </c>
      <c r="K854" s="24" t="str">
        <f>IF(OR(E854="",E854="!!!",F854="NEW"),"",INDEX(J$1:J853,SUMPRODUCT(MAX(ROW(E$1:E853)*(E854=E$1:E853)))))</f>
        <v/>
      </c>
      <c r="L854" s="25"/>
    </row>
    <row r="855" spans="1:12" x14ac:dyDescent="0.3">
      <c r="A855" t="s">
        <v>12</v>
      </c>
      <c r="E855" s="20" t="str">
        <f t="shared" si="58"/>
        <v/>
      </c>
      <c r="F855" s="21" t="str">
        <f>IF(OR(E855="",E855="!!!"),"",IF(NOT(ISNA(VLOOKUP(E855,E$1:E854,1,FALSE()))),"OLD",IF(AND(E855&lt;&gt;"",E855&lt;&gt;"!!!"),"NEW","")))</f>
        <v/>
      </c>
      <c r="G855" s="22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3" t="str">
        <f t="shared" ca="1" si="59"/>
        <v/>
      </c>
      <c r="I855" s="24" t="str">
        <f>IF(OR(E855="",E855="!!!",F855="NEW"),"",INDEX(B$2:B854,-1+SUMPRODUCT(MAX(ROW(E$2:E854)*(E855=E$2:E854)))))</f>
        <v/>
      </c>
      <c r="J855" s="24" t="str">
        <f ca="1">IF(OR(E855="",E855="!!!",F855="NEW"),"",COUNTBLANK(OFFSET(A$1,,,SUMPRODUCT(MAX(ROW(E$2:E855)*(E855=E$2:E855)))))-COUNTBLANK(OFFSET(A$1,,,SUMPRODUCT(MAX(ROW(E$1:E854)*(E2=E$1:E854))))))</f>
        <v/>
      </c>
      <c r="K855" s="24" t="str">
        <f>IF(OR(E855="",E855="!!!",F855="NEW"),"",INDEX(J$1:J854,SUMPRODUCT(MAX(ROW(E$1:E854)*(E855=E$1:E854)))))</f>
        <v/>
      </c>
      <c r="L855" s="25"/>
    </row>
    <row r="856" spans="1:12" x14ac:dyDescent="0.3">
      <c r="A856" t="s">
        <v>359</v>
      </c>
      <c r="B856" s="26" t="s">
        <v>447</v>
      </c>
      <c r="C856" s="26" t="s">
        <v>302</v>
      </c>
      <c r="D856" s="26" t="s">
        <v>142</v>
      </c>
      <c r="E856" s="20" t="str">
        <f t="shared" si="58"/>
        <v>!!!</v>
      </c>
      <c r="F856" s="21" t="str">
        <f>IF(OR(E856="",E856="!!!"),"",IF(NOT(ISNA(VLOOKUP(E856,E$1:E855,1,FALSE()))),"OLD",IF(AND(E856&lt;&gt;"",E856&lt;&gt;"!!!"),"NEW","")))</f>
        <v/>
      </c>
      <c r="G856" s="22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3" t="str">
        <f t="shared" ca="1" si="59"/>
        <v/>
      </c>
      <c r="I856" s="24" t="str">
        <f>IF(OR(E856="",E856="!!!",F856="NEW"),"",INDEX(B$2:B855,-1+SUMPRODUCT(MAX(ROW(E$2:E855)*(E856=E$2:E855)))))</f>
        <v/>
      </c>
      <c r="J856" s="24" t="str">
        <f ca="1">IF(OR(E856="",E856="!!!",F856="NEW"),"",COUNTBLANK(OFFSET(A$1,,,SUMPRODUCT(MAX(ROW(E$2:E856)*(E856=E$2:E856)))))-COUNTBLANK(OFFSET(A$1,,,SUMPRODUCT(MAX(ROW(E$1:E855)*(E2=E$1:E855))))))</f>
        <v/>
      </c>
      <c r="K856" s="24" t="str">
        <f>IF(OR(E856="",E856="!!!",F856="NEW"),"",INDEX(J$1:J855,SUMPRODUCT(MAX(ROW(E$1:E855)*(E856=E$1:E855)))))</f>
        <v/>
      </c>
      <c r="L856" s="25"/>
    </row>
    <row r="857" spans="1:12" x14ac:dyDescent="0.3">
      <c r="A857" t="s">
        <v>303</v>
      </c>
      <c r="E857" s="20" t="str">
        <f t="shared" si="58"/>
        <v/>
      </c>
      <c r="F857" s="21" t="str">
        <f>IF(OR(E857="",E857="!!!"),"",IF(NOT(ISNA(VLOOKUP(E857,E$1:E856,1,FALSE()))),"OLD",IF(AND(E857&lt;&gt;"",E857&lt;&gt;"!!!"),"NEW","")))</f>
        <v/>
      </c>
      <c r="G857" s="22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3" t="str">
        <f t="shared" ca="1" si="59"/>
        <v/>
      </c>
      <c r="I857" s="24" t="str">
        <f>IF(OR(E857="",E857="!!!",F857="NEW"),"",INDEX(B$2:B856,-1+SUMPRODUCT(MAX(ROW(E$2:E856)*(E857=E$2:E856)))))</f>
        <v/>
      </c>
      <c r="J857" s="24" t="str">
        <f ca="1">IF(OR(E857="",E857="!!!",F857="NEW"),"",COUNTBLANK(OFFSET(A$1,,,SUMPRODUCT(MAX(ROW(E$2:E857)*(E857=E$2:E857)))))-COUNTBLANK(OFFSET(A$1,,,SUMPRODUCT(MAX(ROW(E$1:E856)*(E2=E$1:E856))))))</f>
        <v/>
      </c>
      <c r="K857" s="24" t="str">
        <f>IF(OR(E857="",E857="!!!",F857="NEW"),"",INDEX(J$1:J856,SUMPRODUCT(MAX(ROW(E$1:E856)*(E857=E$1:E856)))))</f>
        <v/>
      </c>
      <c r="L857" s="25"/>
    </row>
    <row r="858" spans="1:12" x14ac:dyDescent="0.3">
      <c r="A858" t="s">
        <v>240</v>
      </c>
      <c r="E858" s="20" t="str">
        <f t="shared" si="58"/>
        <v/>
      </c>
      <c r="F858" s="21" t="str">
        <f>IF(OR(E858="",E858="!!!"),"",IF(NOT(ISNA(VLOOKUP(E858,E$1:E857,1,FALSE()))),"OLD",IF(AND(E858&lt;&gt;"",E858&lt;&gt;"!!!"),"NEW","")))</f>
        <v/>
      </c>
      <c r="G858" s="22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3" t="str">
        <f t="shared" ca="1" si="59"/>
        <v/>
      </c>
      <c r="I858" s="24" t="str">
        <f>IF(OR(E858="",E858="!!!",F858="NEW"),"",INDEX(B$2:B857,-1+SUMPRODUCT(MAX(ROW(E$2:E857)*(E858=E$2:E857)))))</f>
        <v/>
      </c>
      <c r="J858" s="24" t="str">
        <f ca="1">IF(OR(E858="",E858="!!!",F858="NEW"),"",COUNTBLANK(OFFSET(A$1,,,SUMPRODUCT(MAX(ROW(E$2:E858)*(E858=E$2:E858)))))-COUNTBLANK(OFFSET(A$1,,,SUMPRODUCT(MAX(ROW(E$1:E857)*(E2=E$1:E857))))))</f>
        <v/>
      </c>
      <c r="K858" s="24" t="str">
        <f>IF(OR(E858="",E858="!!!",F858="NEW"),"",INDEX(J$1:J857,SUMPRODUCT(MAX(ROW(E$1:E857)*(E858=E$1:E857)))))</f>
        <v/>
      </c>
      <c r="L858" s="25"/>
    </row>
    <row r="859" spans="1:12" x14ac:dyDescent="0.3">
      <c r="A859" t="s">
        <v>437</v>
      </c>
      <c r="E859" s="20" t="str">
        <f t="shared" si="58"/>
        <v/>
      </c>
      <c r="F859" s="21" t="str">
        <f>IF(OR(E859="",E859="!!!"),"",IF(NOT(ISNA(VLOOKUP(E859,E$1:E858,1,FALSE()))),"OLD",IF(AND(E859&lt;&gt;"",E859&lt;&gt;"!!!"),"NEW","")))</f>
        <v/>
      </c>
      <c r="G859" s="22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3" t="str">
        <f t="shared" ca="1" si="59"/>
        <v/>
      </c>
      <c r="I859" s="24" t="str">
        <f>IF(OR(E859="",E859="!!!",F859="NEW"),"",INDEX(B$2:B858,-1+SUMPRODUCT(MAX(ROW(E$2:E858)*(E859=E$2:E858)))))</f>
        <v/>
      </c>
      <c r="J859" s="24" t="str">
        <f ca="1">IF(OR(E859="",E859="!!!",F859="NEW"),"",COUNTBLANK(OFFSET(A$1,,,SUMPRODUCT(MAX(ROW(E$2:E859)*(E859=E$2:E859)))))-COUNTBLANK(OFFSET(A$1,,,SUMPRODUCT(MAX(ROW(E$1:E858)*(E2=E$1:E858))))))</f>
        <v/>
      </c>
      <c r="K859" s="24" t="str">
        <f>IF(OR(E859="",E859="!!!",F859="NEW"),"",INDEX(J$1:J858,SUMPRODUCT(MAX(ROW(E$1:E858)*(E859=E$1:E858)))))</f>
        <v/>
      </c>
      <c r="L859" s="25"/>
    </row>
    <row r="860" spans="1:12" x14ac:dyDescent="0.3">
      <c r="A860" t="s">
        <v>422</v>
      </c>
      <c r="B860" s="26" t="s">
        <v>450</v>
      </c>
      <c r="C860" s="26" t="s">
        <v>141</v>
      </c>
      <c r="D860" s="26" t="s">
        <v>142</v>
      </c>
      <c r="E860" s="20" t="s">
        <v>459</v>
      </c>
      <c r="F860" s="21" t="str">
        <f>IF(OR(E860="",E860="!!!"),"",IF(NOT(ISNA(VLOOKUP(E860,E$1:E859,1,FALSE()))),"OLD",IF(AND(E860&lt;&gt;"",E860&lt;&gt;"!!!"),"NEW","")))</f>
        <v>OLD</v>
      </c>
      <c r="G860" s="22" t="str">
        <f ca="1"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?IN_FOCUS</v>
      </c>
      <c r="H860" s="23" t="str">
        <f t="shared" ca="1" si="59"/>
        <v/>
      </c>
      <c r="I860" s="24" t="str">
        <f>IF(OR(E860="",E860="!!!",F860="NEW"),"",INDEX(B$2:B859,-1+SUMPRODUCT(MAX(ROW(E$2:E859)*(E860=E$2:E859)))))</f>
        <v>other_9</v>
      </c>
      <c r="J860" s="24">
        <f ca="1">IF(OR(E860="",E860="!!!",F860="NEW"),"",COUNTBLANK(OFFSET(A$1,,,SUMPRODUCT(MAX(ROW(E$2:E860)*(E860=E$2:E860)))))-COUNTBLANK(OFFSET(A$1,,,SUMPRODUCT(MAX(ROW(E$1:E859)*(E2=E$1:E859))))))</f>
        <v>0</v>
      </c>
      <c r="K860" s="24">
        <f ca="1">IF(OR(E860="",E860="!!!",F860="NEW"),"",INDEX(J$1:J859,SUMPRODUCT(MAX(ROW(E$1:E859)*(E860=E$1:E859)))))</f>
        <v>0</v>
      </c>
      <c r="L860" s="25"/>
    </row>
    <row r="861" spans="1:12" x14ac:dyDescent="0.3">
      <c r="A861" t="s">
        <v>66</v>
      </c>
      <c r="E861" s="20" t="str">
        <f t="shared" si="58"/>
        <v/>
      </c>
      <c r="F861" s="21" t="str">
        <f>IF(OR(E861="",E861="!!!"),"",IF(NOT(ISNA(VLOOKUP(E861,E$1:E860,1,FALSE()))),"OLD",IF(AND(E861&lt;&gt;"",E861&lt;&gt;"!!!"),"NEW","")))</f>
        <v/>
      </c>
      <c r="G861" s="22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3" t="str">
        <f t="shared" ca="1" si="59"/>
        <v/>
      </c>
      <c r="I861" s="24" t="str">
        <f>IF(OR(E861="",E861="!!!",F861="NEW"),"",INDEX(B$2:B860,-1+SUMPRODUCT(MAX(ROW(E$2:E860)*(E861=E$2:E860)))))</f>
        <v/>
      </c>
      <c r="J861" s="24" t="str">
        <f ca="1">IF(OR(E861="",E861="!!!",F861="NEW"),"",COUNTBLANK(OFFSET(A$1,,,SUMPRODUCT(MAX(ROW(E$2:E861)*(E861=E$2:E861)))))-COUNTBLANK(OFFSET(A$1,,,SUMPRODUCT(MAX(ROW(E$1:E860)*(E2=E$1:E860))))))</f>
        <v/>
      </c>
      <c r="K861" s="24" t="str">
        <f>IF(OR(E861="",E861="!!!",F861="NEW"),"",INDEX(J$1:J860,SUMPRODUCT(MAX(ROW(E$1:E860)*(E861=E$1:E860)))))</f>
        <v/>
      </c>
      <c r="L861" s="25"/>
    </row>
    <row r="862" spans="1:12" x14ac:dyDescent="0.3">
      <c r="A862" t="s">
        <v>153</v>
      </c>
      <c r="E862" s="20" t="str">
        <f t="shared" si="58"/>
        <v/>
      </c>
      <c r="F862" s="21" t="str">
        <f>IF(OR(E862="",E862="!!!"),"",IF(NOT(ISNA(VLOOKUP(E862,E$1:E861,1,FALSE()))),"OLD",IF(AND(E862&lt;&gt;"",E862&lt;&gt;"!!!"),"NEW","")))</f>
        <v/>
      </c>
      <c r="G862" s="22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3" t="str">
        <f t="shared" ca="1" si="59"/>
        <v/>
      </c>
      <c r="I862" s="24" t="str">
        <f>IF(OR(E862="",E862="!!!",F862="NEW"),"",INDEX(B$2:B861,-1+SUMPRODUCT(MAX(ROW(E$2:E861)*(E862=E$2:E861)))))</f>
        <v/>
      </c>
      <c r="J862" s="24" t="str">
        <f ca="1">IF(OR(E862="",E862="!!!",F862="NEW"),"",COUNTBLANK(OFFSET(A$1,,,SUMPRODUCT(MAX(ROW(E$2:E862)*(E862=E$2:E862)))))-COUNTBLANK(OFFSET(A$1,,,SUMPRODUCT(MAX(ROW(E$1:E861)*(E2=E$1:E861))))))</f>
        <v/>
      </c>
      <c r="K862" s="24" t="str">
        <f>IF(OR(E862="",E862="!!!",F862="NEW"),"",INDEX(J$1:J861,SUMPRODUCT(MAX(ROW(E$1:E861)*(E862=E$1:E861)))))</f>
        <v/>
      </c>
      <c r="L862" s="25"/>
    </row>
    <row r="863" spans="1:12" x14ac:dyDescent="0.3">
      <c r="A863" t="s">
        <v>442</v>
      </c>
      <c r="B863" s="26" t="s">
        <v>450</v>
      </c>
      <c r="C863" s="26" t="s">
        <v>166</v>
      </c>
      <c r="D863" s="26" t="s">
        <v>142</v>
      </c>
      <c r="E863" s="20" t="s">
        <v>462</v>
      </c>
      <c r="F863" s="21" t="str">
        <f>IF(OR(E863="",E863="!!!"),"",IF(NOT(ISNA(VLOOKUP(E863,E$1:E862,1,FALSE()))),"OLD",IF(AND(E863&lt;&gt;"",E863&lt;&gt;"!!!"),"NEW","")))</f>
        <v>OLD</v>
      </c>
      <c r="G863" s="22" t="str">
        <f ca="1"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?IN_FOCUS</v>
      </c>
      <c r="H863" s="23" t="str">
        <f t="shared" ca="1" si="59"/>
        <v/>
      </c>
      <c r="I863" s="24" t="str">
        <f>IF(OR(E863="",E863="!!!",F863="NEW"),"",INDEX(B$2:B862,-1+SUMPRODUCT(MAX(ROW(E$2:E862)*(E863=E$2:E862)))))</f>
        <v>SBJ_10</v>
      </c>
      <c r="J863" s="24">
        <f ca="1">IF(OR(E863="",E863="!!!",F863="NEW"),"",COUNTBLANK(OFFSET(A$1,,,SUMPRODUCT(MAX(ROW(E$2:E863)*(E863=E$2:E863)))))-COUNTBLANK(OFFSET(A$1,,,SUMPRODUCT(MAX(ROW(E$1:E862)*(E2=E$1:E862))))))</f>
        <v>0</v>
      </c>
      <c r="K863" s="24">
        <f ca="1">IF(OR(E863="",E863="!!!",F863="NEW"),"",INDEX(J$1:J862,SUMPRODUCT(MAX(ROW(E$1:E862)*(E863=E$1:E862)))))</f>
        <v>0</v>
      </c>
      <c r="L863" s="25"/>
    </row>
    <row r="864" spans="1:12" x14ac:dyDescent="0.3">
      <c r="A864" t="s">
        <v>275</v>
      </c>
      <c r="B864" s="26" t="s">
        <v>446</v>
      </c>
      <c r="C864" s="26" t="s">
        <v>169</v>
      </c>
      <c r="D864" s="26" t="s">
        <v>142</v>
      </c>
      <c r="E864" s="20" t="s">
        <v>459</v>
      </c>
      <c r="F864" s="21" t="str">
        <f>IF(OR(E864="",E864="!!!"),"",IF(NOT(ISNA(VLOOKUP(E864,E$1:E863,1,FALSE()))),"OLD",IF(AND(E864&lt;&gt;"",E864&lt;&gt;"!!!"),"NEW","")))</f>
        <v>OLD</v>
      </c>
      <c r="G864" s="22" t="str">
        <f ca="1"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?IN_FOCUS</v>
      </c>
      <c r="H864" s="23" t="str">
        <f t="shared" ca="1" si="59"/>
        <v/>
      </c>
      <c r="I864" s="24" t="str">
        <f>IF(OR(E864="",E864="!!!",F864="NEW"),"",INDEX(B$2:B863,-1+SUMPRODUCT(MAX(ROW(E$2:E863)*(E864=E$2:E863)))))</f>
        <v>other_10</v>
      </c>
      <c r="J864" s="24">
        <f ca="1">IF(OR(E864="",E864="!!!",F864="NEW"),"",COUNTBLANK(OFFSET(A$1,,,SUMPRODUCT(MAX(ROW(E$2:E864)*(E864=E$2:E864)))))-COUNTBLANK(OFFSET(A$1,,,SUMPRODUCT(MAX(ROW(E$1:E863)*(E2=E$1:E863))))))</f>
        <v>0</v>
      </c>
      <c r="K864" s="24">
        <f ca="1">IF(OR(E864="",E864="!!!",F864="NEW"),"",INDEX(J$1:J863,SUMPRODUCT(MAX(ROW(E$1:E863)*(E864=E$1:E863)))))</f>
        <v>0</v>
      </c>
      <c r="L864" s="25"/>
    </row>
    <row r="865" spans="1:12" x14ac:dyDescent="0.3">
      <c r="A865" t="s">
        <v>299</v>
      </c>
      <c r="E865" s="20" t="str">
        <f t="shared" si="58"/>
        <v/>
      </c>
      <c r="F865" s="21" t="str">
        <f>IF(OR(E865="",E865="!!!"),"",IF(NOT(ISNA(VLOOKUP(E865,E$1:E864,1,FALSE()))),"OLD",IF(AND(E865&lt;&gt;"",E865&lt;&gt;"!!!"),"NEW","")))</f>
        <v/>
      </c>
      <c r="G865" s="22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3" t="str">
        <f t="shared" ca="1" si="59"/>
        <v/>
      </c>
      <c r="I865" s="24" t="str">
        <f>IF(OR(E865="",E865="!!!",F865="NEW"),"",INDEX(B$2:B864,-1+SUMPRODUCT(MAX(ROW(E$2:E864)*(E865=E$2:E864)))))</f>
        <v/>
      </c>
      <c r="J865" s="24" t="str">
        <f ca="1">IF(OR(E865="",E865="!!!",F865="NEW"),"",COUNTBLANK(OFFSET(A$1,,,SUMPRODUCT(MAX(ROW(E$2:E865)*(E865=E$2:E865)))))-COUNTBLANK(OFFSET(A$1,,,SUMPRODUCT(MAX(ROW(E$1:E864)*(E2=E$1:E864))))))</f>
        <v/>
      </c>
      <c r="K865" s="24" t="str">
        <f>IF(OR(E865="",E865="!!!",F865="NEW"),"",INDEX(J$1:J864,SUMPRODUCT(MAX(ROW(E$1:E864)*(E865=E$1:E864)))))</f>
        <v/>
      </c>
      <c r="L865" s="25"/>
    </row>
    <row r="866" spans="1:12" x14ac:dyDescent="0.3">
      <c r="A866" t="s">
        <v>12</v>
      </c>
      <c r="E866" s="20" t="str">
        <f t="shared" ref="E866:E885" si="60">IF(D866="?OLD","!!!","")</f>
        <v/>
      </c>
      <c r="F866" s="21" t="str">
        <f>IF(OR(E866="",E866="!!!"),"",IF(NOT(ISNA(VLOOKUP(E866,E$1:E865,1,FALSE()))),"OLD",IF(AND(E866&lt;&gt;"",E866&lt;&gt;"!!!"),"NEW","")))</f>
        <v/>
      </c>
      <c r="G866" s="22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3" t="str">
        <f t="shared" ref="H866:H885" ca="1" si="61">IF(J866&lt;&gt;1,"",IF(I866="SBJ","CB","?"))</f>
        <v/>
      </c>
      <c r="I866" s="24" t="str">
        <f>IF(OR(E866="",E866="!!!",F866="NEW"),"",INDEX(B$2:B865,-1+SUMPRODUCT(MAX(ROW(E$2:E865)*(E866=E$2:E865)))))</f>
        <v/>
      </c>
      <c r="J866" s="24" t="str">
        <f ca="1">IF(OR(E866="",E866="!!!",F866="NEW"),"",COUNTBLANK(OFFSET(A$1,,,SUMPRODUCT(MAX(ROW(E$2:E866)*(E866=E$2:E866)))))-COUNTBLANK(OFFSET(A$1,,,SUMPRODUCT(MAX(ROW(E$1:E865)*(E2=E$1:E865))))))</f>
        <v/>
      </c>
      <c r="K866" s="24" t="str">
        <f>IF(OR(E866="",E866="!!!",F866="NEW"),"",INDEX(J$1:J865,SUMPRODUCT(MAX(ROW(E$1:E865)*(E866=E$1:E865)))))</f>
        <v/>
      </c>
      <c r="L866" s="25"/>
    </row>
    <row r="867" spans="1:12" x14ac:dyDescent="0.3">
      <c r="A867" t="s">
        <v>12</v>
      </c>
      <c r="E867" s="20" t="str">
        <f t="shared" si="60"/>
        <v/>
      </c>
      <c r="F867" s="21" t="str">
        <f>IF(OR(E867="",E867="!!!"),"",IF(NOT(ISNA(VLOOKUP(E867,E$1:E866,1,FALSE()))),"OLD",IF(AND(E867&lt;&gt;"",E867&lt;&gt;"!!!"),"NEW","")))</f>
        <v/>
      </c>
      <c r="G867" s="22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3" t="str">
        <f t="shared" ca="1" si="61"/>
        <v/>
      </c>
      <c r="I867" s="24" t="str">
        <f>IF(OR(E867="",E867="!!!",F867="NEW"),"",INDEX(B$2:B866,-1+SUMPRODUCT(MAX(ROW(E$2:E866)*(E867=E$2:E866)))))</f>
        <v/>
      </c>
      <c r="J867" s="24" t="str">
        <f ca="1">IF(OR(E867="",E867="!!!",F867="NEW"),"",COUNTBLANK(OFFSET(A$1,,,SUMPRODUCT(MAX(ROW(E$2:E867)*(E867=E$2:E867)))))-COUNTBLANK(OFFSET(A$1,,,SUMPRODUCT(MAX(ROW(E$1:E866)*(E2=E$1:E866))))))</f>
        <v/>
      </c>
      <c r="K867" s="24" t="str">
        <f>IF(OR(E867="",E867="!!!",F867="NEW"),"",INDEX(J$1:J866,SUMPRODUCT(MAX(ROW(E$1:E866)*(E867=E$1:E866)))))</f>
        <v/>
      </c>
      <c r="L867" s="25"/>
    </row>
    <row r="868" spans="1:12" x14ac:dyDescent="0.3">
      <c r="A868" t="s">
        <v>433</v>
      </c>
      <c r="B868" s="26" t="s">
        <v>450</v>
      </c>
      <c r="C868" s="26" t="s">
        <v>141</v>
      </c>
      <c r="D868" s="26" t="s">
        <v>142</v>
      </c>
      <c r="E868" s="20" t="s">
        <v>459</v>
      </c>
      <c r="F868" s="21" t="str">
        <f>IF(OR(E868="",E868="!!!"),"",IF(NOT(ISNA(VLOOKUP(E868,E$1:E867,1,FALSE()))),"OLD",IF(AND(E868&lt;&gt;"",E868&lt;&gt;"!!!"),"NEW","")))</f>
        <v>OLD</v>
      </c>
      <c r="G868" s="22" t="str">
        <f ca="1"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?IN_FOCUS</v>
      </c>
      <c r="H868" s="23" t="str">
        <f t="shared" ca="1" si="61"/>
        <v/>
      </c>
      <c r="I868" s="24" t="str">
        <f>IF(OR(E868="",E868="!!!",F868="NEW"),"",INDEX(B$2:B867,-1+SUMPRODUCT(MAX(ROW(E$2:E867)*(E868=E$2:E867)))))</f>
        <v>other_9</v>
      </c>
      <c r="J868" s="24">
        <f ca="1">IF(OR(E868="",E868="!!!",F868="NEW"),"",COUNTBLANK(OFFSET(A$1,,,SUMPRODUCT(MAX(ROW(E$2:E868)*(E868=E$2:E868)))))-COUNTBLANK(OFFSET(A$1,,,SUMPRODUCT(MAX(ROW(E$1:E867)*(E2=E$1:E867))))))</f>
        <v>0</v>
      </c>
      <c r="K868" s="24">
        <f ca="1">IF(OR(E868="",E868="!!!",F868="NEW"),"",INDEX(J$1:J867,SUMPRODUCT(MAX(ROW(E$1:E867)*(E868=E$1:E867)))))</f>
        <v>0</v>
      </c>
      <c r="L868" s="25"/>
    </row>
    <row r="869" spans="1:12" x14ac:dyDescent="0.3">
      <c r="A869" t="s">
        <v>174</v>
      </c>
      <c r="B869" s="26" t="s">
        <v>446</v>
      </c>
      <c r="C869" s="26" t="s">
        <v>265</v>
      </c>
      <c r="E869" s="20" t="s">
        <v>462</v>
      </c>
      <c r="F869" s="21" t="str">
        <f>IF(OR(E869="",E869="!!!"),"",IF(NOT(ISNA(VLOOKUP(E869,E$1:E868,1,FALSE()))),"OLD",IF(AND(E869&lt;&gt;"",E869&lt;&gt;"!!!"),"NEW","")))</f>
        <v>OLD</v>
      </c>
      <c r="G869" s="22" t="str">
        <f ca="1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?IN_FOCUS</v>
      </c>
      <c r="H869" s="23" t="str">
        <f t="shared" ca="1" si="61"/>
        <v/>
      </c>
      <c r="I869" s="24" t="str">
        <f>IF(OR(E869="",E869="!!!",F869="NEW"),"",INDEX(B$2:B868,-1+SUMPRODUCT(MAX(ROW(E$2:E868)*(E869=E$2:E868)))))</f>
        <v>other_10</v>
      </c>
      <c r="J869" s="24">
        <f ca="1">IF(OR(E869="",E869="!!!",F869="NEW"),"",COUNTBLANK(OFFSET(A$1,,,SUMPRODUCT(MAX(ROW(E$2:E869)*(E869=E$2:E869)))))-COUNTBLANK(OFFSET(A$1,,,SUMPRODUCT(MAX(ROW(E$1:E868)*(E2=E$1:E868))))))</f>
        <v>0</v>
      </c>
      <c r="K869" s="24">
        <f ca="1">IF(OR(E869="",E869="!!!",F869="NEW"),"",INDEX(J$1:J868,SUMPRODUCT(MAX(ROW(E$1:E868)*(E869=E$1:E868)))))</f>
        <v>0</v>
      </c>
      <c r="L869" s="25"/>
    </row>
    <row r="870" spans="1:12" x14ac:dyDescent="0.3">
      <c r="A870" t="s">
        <v>153</v>
      </c>
      <c r="E870" s="20" t="str">
        <f t="shared" si="60"/>
        <v/>
      </c>
      <c r="F870" s="21" t="str">
        <f>IF(OR(E870="",E870="!!!"),"",IF(NOT(ISNA(VLOOKUP(E870,E$1:E869,1,FALSE()))),"OLD",IF(AND(E870&lt;&gt;"",E870&lt;&gt;"!!!"),"NEW","")))</f>
        <v/>
      </c>
      <c r="G870" s="22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3" t="str">
        <f t="shared" ca="1" si="61"/>
        <v/>
      </c>
      <c r="I870" s="24" t="str">
        <f>IF(OR(E870="",E870="!!!",F870="NEW"),"",INDEX(B$2:B869,-1+SUMPRODUCT(MAX(ROW(E$2:E869)*(E870=E$2:E869)))))</f>
        <v/>
      </c>
      <c r="J870" s="24" t="str">
        <f ca="1">IF(OR(E870="",E870="!!!",F870="NEW"),"",COUNTBLANK(OFFSET(A$1,,,SUMPRODUCT(MAX(ROW(E$2:E870)*(E870=E$2:E870)))))-COUNTBLANK(OFFSET(A$1,,,SUMPRODUCT(MAX(ROW(E$1:E869)*(E2=E$1:E869))))))</f>
        <v/>
      </c>
      <c r="K870" s="24" t="str">
        <f>IF(OR(E870="",E870="!!!",F870="NEW"),"",INDEX(J$1:J869,SUMPRODUCT(MAX(ROW(E$1:E869)*(E870=E$1:E869)))))</f>
        <v/>
      </c>
      <c r="L870" s="25"/>
    </row>
    <row r="871" spans="1:12" x14ac:dyDescent="0.3">
      <c r="A871" t="s">
        <v>195</v>
      </c>
      <c r="E871" s="20" t="str">
        <f t="shared" si="60"/>
        <v/>
      </c>
      <c r="F871" s="21" t="str">
        <f>IF(OR(E871="",E871="!!!"),"",IF(NOT(ISNA(VLOOKUP(E871,E$1:E870,1,FALSE()))),"OLD",IF(AND(E871&lt;&gt;"",E871&lt;&gt;"!!!"),"NEW","")))</f>
        <v/>
      </c>
      <c r="G871" s="22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3" t="str">
        <f t="shared" ca="1" si="61"/>
        <v/>
      </c>
      <c r="I871" s="24" t="str">
        <f>IF(OR(E871="",E871="!!!",F871="NEW"),"",INDEX(B$2:B870,-1+SUMPRODUCT(MAX(ROW(E$2:E870)*(E871=E$2:E870)))))</f>
        <v/>
      </c>
      <c r="J871" s="24" t="str">
        <f ca="1">IF(OR(E871="",E871="!!!",F871="NEW"),"",COUNTBLANK(OFFSET(A$1,,,SUMPRODUCT(MAX(ROW(E$2:E871)*(E871=E$2:E871)))))-COUNTBLANK(OFFSET(A$1,,,SUMPRODUCT(MAX(ROW(E$1:E870)*(E2=E$1:E870))))))</f>
        <v/>
      </c>
      <c r="K871" s="24" t="str">
        <f>IF(OR(E871="",E871="!!!",F871="NEW"),"",INDEX(J$1:J870,SUMPRODUCT(MAX(ROW(E$1:E870)*(E871=E$1:E870)))))</f>
        <v/>
      </c>
      <c r="L871" s="25"/>
    </row>
    <row r="872" spans="1:12" x14ac:dyDescent="0.3">
      <c r="A872" t="s">
        <v>307</v>
      </c>
      <c r="B872" s="26" t="s">
        <v>447</v>
      </c>
      <c r="C872" s="26" t="s">
        <v>141</v>
      </c>
      <c r="D872" s="26" t="s">
        <v>142</v>
      </c>
      <c r="E872" s="20" t="s">
        <v>464</v>
      </c>
      <c r="F872" s="21" t="str">
        <f>IF(OR(E872="",E872="!!!"),"",IF(NOT(ISNA(VLOOKUP(E872,E$1:E871,1,FALSE()))),"OLD",IF(AND(E872&lt;&gt;"",E872&lt;&gt;"!!!"),"NEW","")))</f>
        <v>NEW</v>
      </c>
      <c r="G872" s="22" t="str">
        <f ca="1"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?REFERENTIAL</v>
      </c>
      <c r="H872" s="23" t="str">
        <f t="shared" ca="1" si="61"/>
        <v/>
      </c>
      <c r="I872" s="24" t="str">
        <f>IF(OR(E872="",E872="!!!",F872="NEW"),"",INDEX(B$2:B871,-1+SUMPRODUCT(MAX(ROW(E$2:E871)*(E872=E$2:E871)))))</f>
        <v/>
      </c>
      <c r="J872" s="24" t="str">
        <f ca="1">IF(OR(E872="",E872="!!!",F872="NEW"),"",COUNTBLANK(OFFSET(A$1,,,SUMPRODUCT(MAX(ROW(E$2:E872)*(E872=E$2:E872)))))-COUNTBLANK(OFFSET(A$1,,,SUMPRODUCT(MAX(ROW(E$1:E871)*(E2=E$1:E871))))))</f>
        <v/>
      </c>
      <c r="K872" s="24" t="str">
        <f>IF(OR(E872="",E872="!!!",F872="NEW"),"",INDEX(J$1:J871,SUMPRODUCT(MAX(ROW(E$1:E871)*(E872=E$1:E871)))))</f>
        <v/>
      </c>
      <c r="L872" s="25"/>
    </row>
    <row r="873" spans="1:12" x14ac:dyDescent="0.3">
      <c r="A873" t="s">
        <v>434</v>
      </c>
      <c r="E873" s="20" t="str">
        <f t="shared" si="60"/>
        <v/>
      </c>
      <c r="F873" s="21" t="str">
        <f>IF(OR(E873="",E873="!!!"),"",IF(NOT(ISNA(VLOOKUP(E873,E$1:E872,1,FALSE()))),"OLD",IF(AND(E873&lt;&gt;"",E873&lt;&gt;"!!!"),"NEW","")))</f>
        <v/>
      </c>
      <c r="G873" s="22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3" t="str">
        <f t="shared" ca="1" si="61"/>
        <v/>
      </c>
      <c r="I873" s="24" t="str">
        <f>IF(OR(E873="",E873="!!!",F873="NEW"),"",INDEX(B$2:B872,-1+SUMPRODUCT(MAX(ROW(E$2:E872)*(E873=E$2:E872)))))</f>
        <v/>
      </c>
      <c r="J873" s="24" t="str">
        <f ca="1">IF(OR(E873="",E873="!!!",F873="NEW"),"",COUNTBLANK(OFFSET(A$1,,,SUMPRODUCT(MAX(ROW(E$2:E873)*(E873=E$2:E873)))))-COUNTBLANK(OFFSET(A$1,,,SUMPRODUCT(MAX(ROW(E$1:E872)*(E2=E$1:E872))))))</f>
        <v/>
      </c>
      <c r="K873" s="24" t="str">
        <f>IF(OR(E873="",E873="!!!",F873="NEW"),"",INDEX(J$1:J872,SUMPRODUCT(MAX(ROW(E$1:E872)*(E873=E$1:E872)))))</f>
        <v/>
      </c>
      <c r="L873" s="25"/>
    </row>
    <row r="874" spans="1:12" x14ac:dyDescent="0.3">
      <c r="A874" t="s">
        <v>150</v>
      </c>
      <c r="E874" s="20" t="str">
        <f t="shared" si="60"/>
        <v/>
      </c>
      <c r="F874" s="21" t="str">
        <f>IF(OR(E874="",E874="!!!"),"",IF(NOT(ISNA(VLOOKUP(E874,E$1:E873,1,FALSE()))),"OLD",IF(AND(E874&lt;&gt;"",E874&lt;&gt;"!!!"),"NEW","")))</f>
        <v/>
      </c>
      <c r="G874" s="22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3" t="str">
        <f t="shared" ca="1" si="61"/>
        <v/>
      </c>
      <c r="I874" s="24" t="str">
        <f>IF(OR(E874="",E874="!!!",F874="NEW"),"",INDEX(B$2:B873,-1+SUMPRODUCT(MAX(ROW(E$2:E873)*(E874=E$2:E873)))))</f>
        <v/>
      </c>
      <c r="J874" s="24" t="str">
        <f ca="1">IF(OR(E874="",E874="!!!",F874="NEW"),"",COUNTBLANK(OFFSET(A$1,,,SUMPRODUCT(MAX(ROW(E$2:E874)*(E874=E$2:E874)))))-COUNTBLANK(OFFSET(A$1,,,SUMPRODUCT(MAX(ROW(E$1:E873)*(E2=E$1:E873))))))</f>
        <v/>
      </c>
      <c r="K874" s="24" t="str">
        <f>IF(OR(E874="",E874="!!!",F874="NEW"),"",INDEX(J$1:J873,SUMPRODUCT(MAX(ROW(E$1:E873)*(E874=E$1:E873)))))</f>
        <v/>
      </c>
      <c r="L874" s="25"/>
    </row>
    <row r="875" spans="1:12" x14ac:dyDescent="0.3">
      <c r="A875" t="s">
        <v>440</v>
      </c>
      <c r="E875" s="20" t="str">
        <f t="shared" si="60"/>
        <v/>
      </c>
      <c r="F875" s="21" t="str">
        <f>IF(OR(E875="",E875="!!!"),"",IF(NOT(ISNA(VLOOKUP(E875,E$1:E874,1,FALSE()))),"OLD",IF(AND(E875&lt;&gt;"",E875&lt;&gt;"!!!"),"NEW","")))</f>
        <v/>
      </c>
      <c r="G875" s="22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3" t="str">
        <f t="shared" ca="1" si="61"/>
        <v/>
      </c>
      <c r="I875" s="24" t="str">
        <f>IF(OR(E875="",E875="!!!",F875="NEW"),"",INDEX(B$2:B874,-1+SUMPRODUCT(MAX(ROW(E$2:E874)*(E875=E$2:E874)))))</f>
        <v/>
      </c>
      <c r="J875" s="24" t="str">
        <f ca="1">IF(OR(E875="",E875="!!!",F875="NEW"),"",COUNTBLANK(OFFSET(A$1,,,SUMPRODUCT(MAX(ROW(E$2:E875)*(E875=E$2:E875)))))-COUNTBLANK(OFFSET(A$1,,,SUMPRODUCT(MAX(ROW(E$1:E874)*(E2=E$1:E874))))))</f>
        <v/>
      </c>
      <c r="K875" s="24" t="str">
        <f>IF(OR(E875="",E875="!!!",F875="NEW"),"",INDEX(J$1:J874,SUMPRODUCT(MAX(ROW(E$1:E874)*(E875=E$1:E874)))))</f>
        <v/>
      </c>
      <c r="L875" s="25"/>
    </row>
    <row r="876" spans="1:12" x14ac:dyDescent="0.3">
      <c r="A876" t="s">
        <v>451</v>
      </c>
      <c r="B876" s="26" t="s">
        <v>449</v>
      </c>
      <c r="C876" s="26" t="s">
        <v>147</v>
      </c>
      <c r="E876" s="20" t="s">
        <v>463</v>
      </c>
      <c r="F876" s="21" t="str">
        <f>IF(OR(E876="",E876="!!!"),"",IF(NOT(ISNA(VLOOKUP(E876,E$1:E875,1,FALSE()))),"OLD",IF(AND(E876&lt;&gt;"",E876&lt;&gt;"!!!"),"NEW","")))</f>
        <v>OLD</v>
      </c>
      <c r="G876" s="22" t="str">
        <f ca="1"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?IN_FOCUS</v>
      </c>
      <c r="H876" s="23" t="str">
        <f t="shared" ca="1" si="61"/>
        <v/>
      </c>
      <c r="I876" s="24" t="str">
        <f>IF(OR(E876="",E876="!!!",F876="NEW"),"",INDEX(B$2:B875,-1+SUMPRODUCT(MAX(ROW(E$2:E875)*(E876=E$2:E875)))))</f>
        <v>OBJ_10</v>
      </c>
      <c r="J876" s="24">
        <f ca="1">IF(OR(E876="",E876="!!!",F876="NEW"),"",COUNTBLANK(OFFSET(A$1,,,SUMPRODUCT(MAX(ROW(E$2:E876)*(E876=E$2:E876)))))-COUNTBLANK(OFFSET(A$1,,,SUMPRODUCT(MAX(ROW(E$1:E875)*(E2=E$1:E875))))))</f>
        <v>0</v>
      </c>
      <c r="K876" s="24">
        <f ca="1">IF(OR(E876="",E876="!!!",F876="NEW"),"",INDEX(J$1:J875,SUMPRODUCT(MAX(ROW(E$1:E875)*(E876=E$1:E875)))))</f>
        <v>0</v>
      </c>
      <c r="L876" s="25"/>
    </row>
    <row r="877" spans="1:12" x14ac:dyDescent="0.3">
      <c r="A877" t="s">
        <v>299</v>
      </c>
      <c r="E877" s="20" t="str">
        <f t="shared" si="60"/>
        <v/>
      </c>
      <c r="F877" s="21" t="str">
        <f>IF(OR(E877="",E877="!!!"),"",IF(NOT(ISNA(VLOOKUP(E877,E$1:E876,1,FALSE()))),"OLD",IF(AND(E877&lt;&gt;"",E877&lt;&gt;"!!!"),"NEW","")))</f>
        <v/>
      </c>
      <c r="G877" s="22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3" t="str">
        <f t="shared" ca="1" si="61"/>
        <v/>
      </c>
      <c r="I877" s="24" t="str">
        <f>IF(OR(E877="",E877="!!!",F877="NEW"),"",INDEX(B$2:B876,-1+SUMPRODUCT(MAX(ROW(E$2:E876)*(E877=E$2:E876)))))</f>
        <v/>
      </c>
      <c r="J877" s="24" t="str">
        <f ca="1">IF(OR(E877="",E877="!!!",F877="NEW"),"",COUNTBLANK(OFFSET(A$1,,,SUMPRODUCT(MAX(ROW(E$2:E877)*(E877=E$2:E877)))))-COUNTBLANK(OFFSET(A$1,,,SUMPRODUCT(MAX(ROW(E$1:E876)*(E2=E$1:E876))))))</f>
        <v/>
      </c>
      <c r="K877" s="24" t="str">
        <f>IF(OR(E877="",E877="!!!",F877="NEW"),"",INDEX(J$1:J876,SUMPRODUCT(MAX(ROW(E$1:E876)*(E877=E$1:E876)))))</f>
        <v/>
      </c>
      <c r="L877" s="25"/>
    </row>
    <row r="878" spans="1:12" x14ac:dyDescent="0.3">
      <c r="A878" t="s">
        <v>12</v>
      </c>
      <c r="E878" s="20" t="str">
        <f t="shared" si="60"/>
        <v/>
      </c>
      <c r="F878" s="21" t="str">
        <f>IF(OR(E878="",E878="!!!"),"",IF(NOT(ISNA(VLOOKUP(E878,E$1:E877,1,FALSE()))),"OLD",IF(AND(E878&lt;&gt;"",E878&lt;&gt;"!!!"),"NEW","")))</f>
        <v/>
      </c>
      <c r="G878" s="22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3" t="str">
        <f t="shared" ca="1" si="61"/>
        <v/>
      </c>
      <c r="I878" s="24" t="str">
        <f>IF(OR(E878="",E878="!!!",F878="NEW"),"",INDEX(B$2:B877,-1+SUMPRODUCT(MAX(ROW(E$2:E877)*(E878=E$2:E877)))))</f>
        <v/>
      </c>
      <c r="J878" s="24" t="str">
        <f ca="1">IF(OR(E878="",E878="!!!",F878="NEW"),"",COUNTBLANK(OFFSET(A$1,,,SUMPRODUCT(MAX(ROW(E$2:E878)*(E878=E$2:E878)))))-COUNTBLANK(OFFSET(A$1,,,SUMPRODUCT(MAX(ROW(E$1:E877)*(E2=E$1:E877))))))</f>
        <v/>
      </c>
      <c r="K878" s="24" t="str">
        <f>IF(OR(E878="",E878="!!!",F878="NEW"),"",INDEX(J$1:J877,SUMPRODUCT(MAX(ROW(E$1:E877)*(E878=E$1:E877)))))</f>
        <v/>
      </c>
      <c r="L878" s="25"/>
    </row>
    <row r="879" spans="1:12" x14ac:dyDescent="0.3">
      <c r="A879" t="s">
        <v>12</v>
      </c>
      <c r="E879" s="20" t="str">
        <f t="shared" si="60"/>
        <v/>
      </c>
      <c r="F879" s="21" t="str">
        <f>IF(OR(E879="",E879="!!!"),"",IF(NOT(ISNA(VLOOKUP(E879,E$1:E878,1,FALSE()))),"OLD",IF(AND(E879&lt;&gt;"",E879&lt;&gt;"!!!"),"NEW","")))</f>
        <v/>
      </c>
      <c r="G879" s="22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3" t="str">
        <f t="shared" ca="1" si="61"/>
        <v/>
      </c>
      <c r="I879" s="24" t="str">
        <f>IF(OR(E879="",E879="!!!",F879="NEW"),"",INDEX(B$2:B878,-1+SUMPRODUCT(MAX(ROW(E$2:E878)*(E879=E$2:E878)))))</f>
        <v/>
      </c>
      <c r="J879" s="24" t="str">
        <f ca="1">IF(OR(E879="",E879="!!!",F879="NEW"),"",COUNTBLANK(OFFSET(A$1,,,SUMPRODUCT(MAX(ROW(E$2:E879)*(E879=E$2:E879)))))-COUNTBLANK(OFFSET(A$1,,,SUMPRODUCT(MAX(ROW(E$1:E878)*(E2=E$1:E878))))))</f>
        <v/>
      </c>
      <c r="K879" s="24" t="str">
        <f>IF(OR(E879="",E879="!!!",F879="NEW"),"",INDEX(J$1:J878,SUMPRODUCT(MAX(ROW(E$1:E878)*(E879=E$1:E878)))))</f>
        <v/>
      </c>
      <c r="L879" s="25"/>
    </row>
    <row r="880" spans="1:12" x14ac:dyDescent="0.3">
      <c r="A880" t="s">
        <v>359</v>
      </c>
      <c r="B880" s="26" t="s">
        <v>447</v>
      </c>
      <c r="C880" s="26" t="s">
        <v>302</v>
      </c>
      <c r="D880" s="26" t="s">
        <v>142</v>
      </c>
      <c r="E880" s="20" t="str">
        <f t="shared" si="60"/>
        <v>!!!</v>
      </c>
      <c r="F880" s="21" t="str">
        <f>IF(OR(E880="",E880="!!!"),"",IF(NOT(ISNA(VLOOKUP(E880,E$1:E879,1,FALSE()))),"OLD",IF(AND(E880&lt;&gt;"",E880&lt;&gt;"!!!"),"NEW","")))</f>
        <v/>
      </c>
      <c r="G880" s="22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3" t="str">
        <f t="shared" ca="1" si="61"/>
        <v/>
      </c>
      <c r="I880" s="24" t="str">
        <f>IF(OR(E880="",E880="!!!",F880="NEW"),"",INDEX(B$2:B879,-1+SUMPRODUCT(MAX(ROW(E$2:E879)*(E880=E$2:E879)))))</f>
        <v/>
      </c>
      <c r="J880" s="24" t="str">
        <f ca="1">IF(OR(E880="",E880="!!!",F880="NEW"),"",COUNTBLANK(OFFSET(A$1,,,SUMPRODUCT(MAX(ROW(E$2:E880)*(E880=E$2:E880)))))-COUNTBLANK(OFFSET(A$1,,,SUMPRODUCT(MAX(ROW(E$1:E879)*(E2=E$1:E879))))))</f>
        <v/>
      </c>
      <c r="K880" s="24" t="str">
        <f>IF(OR(E880="",E880="!!!",F880="NEW"),"",INDEX(J$1:J879,SUMPRODUCT(MAX(ROW(E$1:E879)*(E880=E$1:E879)))))</f>
        <v/>
      </c>
      <c r="L880" s="25"/>
    </row>
    <row r="881" spans="1:12" x14ac:dyDescent="0.3">
      <c r="A881" t="s">
        <v>303</v>
      </c>
      <c r="E881" s="20" t="str">
        <f t="shared" si="60"/>
        <v/>
      </c>
      <c r="F881" s="21" t="str">
        <f>IF(OR(E881="",E881="!!!"),"",IF(NOT(ISNA(VLOOKUP(E881,E$1:E880,1,FALSE()))),"OLD",IF(AND(E881&lt;&gt;"",E881&lt;&gt;"!!!"),"NEW","")))</f>
        <v/>
      </c>
      <c r="G881" s="22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3" t="str">
        <f t="shared" ca="1" si="61"/>
        <v/>
      </c>
      <c r="I881" s="24" t="str">
        <f>IF(OR(E881="",E881="!!!",F881="NEW"),"",INDEX(B$2:B880,-1+SUMPRODUCT(MAX(ROW(E$2:E880)*(E881=E$2:E880)))))</f>
        <v/>
      </c>
      <c r="J881" s="24" t="str">
        <f ca="1">IF(OR(E881="",E881="!!!",F881="NEW"),"",COUNTBLANK(OFFSET(A$1,,,SUMPRODUCT(MAX(ROW(E$2:E881)*(E881=E$2:E881)))))-COUNTBLANK(OFFSET(A$1,,,SUMPRODUCT(MAX(ROW(E$1:E880)*(E2=E$1:E880))))))</f>
        <v/>
      </c>
      <c r="K881" s="24" t="str">
        <f>IF(OR(E881="",E881="!!!",F881="NEW"),"",INDEX(J$1:J880,SUMPRODUCT(MAX(ROW(E$1:E880)*(E881=E$1:E880)))))</f>
        <v/>
      </c>
      <c r="L881" s="25"/>
    </row>
    <row r="882" spans="1:12" x14ac:dyDescent="0.3">
      <c r="A882" t="s">
        <v>240</v>
      </c>
      <c r="E882" s="20" t="s">
        <v>459</v>
      </c>
      <c r="F882" s="21" t="str">
        <f>IF(OR(E882="",E882="!!!"),"",IF(NOT(ISNA(VLOOKUP(E882,E$1:E881,1,FALSE()))),"OLD",IF(AND(E882&lt;&gt;"",E882&lt;&gt;"!!!"),"NEW","")))</f>
        <v>OLD</v>
      </c>
      <c r="G882" s="22" t="str">
        <f ca="1"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?IN_FOCUS</v>
      </c>
      <c r="H882" s="23" t="str">
        <f t="shared" ca="1" si="61"/>
        <v/>
      </c>
      <c r="I882" s="24" t="str">
        <f>IF(OR(E882="",E882="!!!",F882="NEW"),"",INDEX(B$2:B881,-1+SUMPRODUCT(MAX(ROW(E$2:E881)*(E882=E$2:E881)))))</f>
        <v>other_10</v>
      </c>
      <c r="J882" s="24">
        <f ca="1">IF(OR(E882="",E882="!!!",F882="NEW"),"",COUNTBLANK(OFFSET(A$1,,,SUMPRODUCT(MAX(ROW(E$2:E882)*(E882=E$2:E882)))))-COUNTBLANK(OFFSET(A$1,,,SUMPRODUCT(MAX(ROW(E$1:E881)*(E2=E$1:E881))))))</f>
        <v>0</v>
      </c>
      <c r="K882" s="24">
        <f ca="1">IF(OR(E882="",E882="!!!",F882="NEW"),"",INDEX(J$1:J881,SUMPRODUCT(MAX(ROW(E$1:E881)*(E882=E$1:E881)))))</f>
        <v>0</v>
      </c>
      <c r="L882" s="25"/>
    </row>
    <row r="883" spans="1:12" x14ac:dyDescent="0.3">
      <c r="A883" t="s">
        <v>422</v>
      </c>
      <c r="B883" s="26" t="s">
        <v>449</v>
      </c>
      <c r="C883" s="26" t="s">
        <v>141</v>
      </c>
      <c r="D883" s="26" t="s">
        <v>142</v>
      </c>
      <c r="E883" s="20" t="str">
        <f t="shared" si="60"/>
        <v>!!!</v>
      </c>
      <c r="F883" s="21" t="str">
        <f>IF(OR(E883="",E883="!!!"),"",IF(NOT(ISNA(VLOOKUP(E883,E$1:E882,1,FALSE()))),"OLD",IF(AND(E883&lt;&gt;"",E883&lt;&gt;"!!!"),"NEW","")))</f>
        <v/>
      </c>
      <c r="G883" s="22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3" t="str">
        <f t="shared" ca="1" si="61"/>
        <v/>
      </c>
      <c r="I883" s="24" t="str">
        <f>IF(OR(E883="",E883="!!!",F883="NEW"),"",INDEX(B$2:B882,-1+SUMPRODUCT(MAX(ROW(E$2:E882)*(E883=E$2:E882)))))</f>
        <v/>
      </c>
      <c r="J883" s="24" t="str">
        <f ca="1">IF(OR(E883="",E883="!!!",F883="NEW"),"",COUNTBLANK(OFFSET(A$1,,,SUMPRODUCT(MAX(ROW(E$2:E883)*(E883=E$2:E883)))))-COUNTBLANK(OFFSET(A$1,,,SUMPRODUCT(MAX(ROW(E$1:E882)*(E2=E$1:E882))))))</f>
        <v/>
      </c>
      <c r="K883" s="24" t="str">
        <f>IF(OR(E883="",E883="!!!",F883="NEW"),"",INDEX(J$1:J882,SUMPRODUCT(MAX(ROW(E$1:E882)*(E883=E$1:E882)))))</f>
        <v/>
      </c>
      <c r="L883" s="25"/>
    </row>
    <row r="884" spans="1:12" x14ac:dyDescent="0.3">
      <c r="A884" t="s">
        <v>255</v>
      </c>
      <c r="E884" s="20" t="str">
        <f t="shared" si="60"/>
        <v/>
      </c>
      <c r="F884" s="21" t="str">
        <f>IF(OR(E884="",E884="!!!"),"",IF(NOT(ISNA(VLOOKUP(E884,E$1:E883,1,FALSE()))),"OLD",IF(AND(E884&lt;&gt;"",E884&lt;&gt;"!!!"),"NEW","")))</f>
        <v/>
      </c>
      <c r="G884" s="22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3" t="str">
        <f t="shared" ca="1" si="61"/>
        <v/>
      </c>
      <c r="I884" s="24" t="str">
        <f>IF(OR(E884="",E884="!!!",F884="NEW"),"",INDEX(B$2:B883,-1+SUMPRODUCT(MAX(ROW(E$2:E883)*(E884=E$2:E883)))))</f>
        <v/>
      </c>
      <c r="J884" s="24" t="str">
        <f ca="1">IF(OR(E884="",E884="!!!",F884="NEW"),"",COUNTBLANK(OFFSET(A$1,,,SUMPRODUCT(MAX(ROW(E$2:E884)*(E884=E$2:E884)))))-COUNTBLANK(OFFSET(A$1,,,SUMPRODUCT(MAX(ROW(E$1:E883)*(E2=E$1:E883))))))</f>
        <v/>
      </c>
      <c r="K884" s="24" t="str">
        <f>IF(OR(E884="",E884="!!!",F884="NEW"),"",INDEX(J$1:J883,SUMPRODUCT(MAX(ROW(E$1:E883)*(E884=E$1:E883)))))</f>
        <v/>
      </c>
      <c r="L884" s="25"/>
    </row>
    <row r="885" spans="1:12" x14ac:dyDescent="0.3">
      <c r="A885" t="s">
        <v>299</v>
      </c>
      <c r="E885" s="20" t="str">
        <f t="shared" si="60"/>
        <v/>
      </c>
      <c r="F885" s="21" t="str">
        <f>IF(OR(E885="",E885="!!!"),"",IF(NOT(ISNA(VLOOKUP(E885,E$1:E884,1,FALSE()))),"OLD",IF(AND(E885&lt;&gt;"",E885&lt;&gt;"!!!"),"NEW","")))</f>
        <v/>
      </c>
      <c r="G885" s="22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3" t="str">
        <f t="shared" ca="1" si="61"/>
        <v/>
      </c>
      <c r="I885" s="24" t="str">
        <f>IF(OR(E885="",E885="!!!",F885="NEW"),"",INDEX(B$2:B884,-1+SUMPRODUCT(MAX(ROW(E$2:E884)*(E885=E$2:E884)))))</f>
        <v/>
      </c>
      <c r="J885" s="24" t="str">
        <f ca="1">IF(OR(E885="",E885="!!!",F885="NEW"),"",COUNTBLANK(OFFSET(A$1,,,SUMPRODUCT(MAX(ROW(E$2:E885)*(E885=E$2:E885)))))-COUNTBLANK(OFFSET(A$1,,,SUMPRODUCT(MAX(ROW(E$1:E884)*(E2=E$1:E884))))))</f>
        <v/>
      </c>
      <c r="K885" s="24" t="str">
        <f>IF(OR(E885="",E885="!!!",F885="NEW"),"",INDEX(J$1:J884,SUMPRODUCT(MAX(ROW(E$1:E884)*(E885=E$1:E884)))))</f>
        <v/>
      </c>
      <c r="L885" s="25"/>
    </row>
    <row r="887" spans="1:12" x14ac:dyDescent="0.3">
      <c r="A887" t="s">
        <v>452</v>
      </c>
    </row>
    <row r="888" spans="1:12" x14ac:dyDescent="0.3">
      <c r="A888" t="s">
        <v>453</v>
      </c>
      <c r="E888" s="20" t="str">
        <f t="shared" ref="E888:E909" si="62">IF(D888="?OLD","!!!","")</f>
        <v/>
      </c>
      <c r="F888" s="21" t="str">
        <f>IF(OR(E888="",E888="!!!"),"",IF(NOT(ISNA(VLOOKUP(E888,E$1:E887,1,FALSE()))),"OLD",IF(AND(E888&lt;&gt;"",E888&lt;&gt;"!!!"),"NEW","")))</f>
        <v/>
      </c>
      <c r="G888" s="22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3" t="str">
        <f t="shared" ref="H888:H909" ca="1" si="63">IF(J888&lt;&gt;1,"",IF(I888="SBJ","CB","?"))</f>
        <v/>
      </c>
      <c r="I888" s="24" t="str">
        <f>IF(OR(E888="",E888="!!!",F888="NEW"),"",INDEX(B$2:B887,-1+SUMPRODUCT(MAX(ROW(E$2:E887)*(E888=E$2:E887)))))</f>
        <v/>
      </c>
      <c r="J888" s="24" t="str">
        <f ca="1">IF(OR(E888="",E888="!!!",F888="NEW"),"",COUNTBLANK(OFFSET(A$1,,,SUMPRODUCT(MAX(ROW(E$2:E888)*(E888=E$2:E888)))))-COUNTBLANK(OFFSET(A$1,,,SUMPRODUCT(MAX(ROW(E$1:E887)*(E2=E$1:E887))))))</f>
        <v/>
      </c>
      <c r="K888" s="24" t="str">
        <f>IF(OR(E888="",E888="!!!",F888="NEW"),"",INDEX(J$1:J887,SUMPRODUCT(MAX(ROW(E$1:E887)*(E888=E$1:E887)))))</f>
        <v/>
      </c>
      <c r="L888" s="25"/>
    </row>
    <row r="889" spans="1:12" x14ac:dyDescent="0.3">
      <c r="A889" t="s">
        <v>153</v>
      </c>
      <c r="E889" s="20" t="str">
        <f t="shared" si="62"/>
        <v/>
      </c>
      <c r="F889" s="21" t="str">
        <f>IF(OR(E889="",E889="!!!"),"",IF(NOT(ISNA(VLOOKUP(E889,E$1:E888,1,FALSE()))),"OLD",IF(AND(E889&lt;&gt;"",E889&lt;&gt;"!!!"),"NEW","")))</f>
        <v/>
      </c>
      <c r="G889" s="22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3" t="str">
        <f t="shared" ca="1" si="63"/>
        <v/>
      </c>
      <c r="I889" s="24" t="str">
        <f>IF(OR(E889="",E889="!!!",F889="NEW"),"",INDEX(B$2:B888,-1+SUMPRODUCT(MAX(ROW(E$2:E888)*(E889=E$2:E888)))))</f>
        <v/>
      </c>
      <c r="J889" s="24" t="str">
        <f ca="1">IF(OR(E889="",E889="!!!",F889="NEW"),"",COUNTBLANK(OFFSET(A$1,,,SUMPRODUCT(MAX(ROW(E$2:E889)*(E889=E$2:E889)))))-COUNTBLANK(OFFSET(A$1,,,SUMPRODUCT(MAX(ROW(E$1:E888)*(E2=E$1:E888))))))</f>
        <v/>
      </c>
      <c r="K889" s="24" t="str">
        <f>IF(OR(E889="",E889="!!!",F889="NEW"),"",INDEX(J$1:J888,SUMPRODUCT(MAX(ROW(E$1:E888)*(E889=E$1:E888)))))</f>
        <v/>
      </c>
      <c r="L889" s="25"/>
    </row>
    <row r="890" spans="1:12" x14ac:dyDescent="0.3">
      <c r="A890" t="s">
        <v>170</v>
      </c>
      <c r="E890" s="20" t="str">
        <f t="shared" si="62"/>
        <v/>
      </c>
      <c r="F890" s="21" t="str">
        <f>IF(OR(E890="",E890="!!!"),"",IF(NOT(ISNA(VLOOKUP(E890,E$1:E889,1,FALSE()))),"OLD",IF(AND(E890&lt;&gt;"",E890&lt;&gt;"!!!"),"NEW","")))</f>
        <v/>
      </c>
      <c r="G890" s="22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3" t="str">
        <f t="shared" ca="1" si="63"/>
        <v/>
      </c>
      <c r="I890" s="24" t="str">
        <f>IF(OR(E890="",E890="!!!",F890="NEW"),"",INDEX(B$2:B889,-1+SUMPRODUCT(MAX(ROW(E$2:E889)*(E890=E$2:E889)))))</f>
        <v/>
      </c>
      <c r="J890" s="24" t="str">
        <f ca="1">IF(OR(E890="",E890="!!!",F890="NEW"),"",COUNTBLANK(OFFSET(A$1,,,SUMPRODUCT(MAX(ROW(E$2:E890)*(E890=E$2:E890)))))-COUNTBLANK(OFFSET(A$1,,,SUMPRODUCT(MAX(ROW(E$1:E889)*(E2=E$1:E889))))))</f>
        <v/>
      </c>
      <c r="K890" s="24" t="str">
        <f>IF(OR(E890="",E890="!!!",F890="NEW"),"",INDEX(J$1:J889,SUMPRODUCT(MAX(ROW(E$1:E889)*(E890=E$1:E889)))))</f>
        <v/>
      </c>
      <c r="L890" s="25"/>
    </row>
    <row r="891" spans="1:12" x14ac:dyDescent="0.3">
      <c r="A891" t="s">
        <v>454</v>
      </c>
      <c r="E891" s="20" t="str">
        <f t="shared" si="62"/>
        <v/>
      </c>
      <c r="F891" s="21" t="str">
        <f>IF(OR(E891="",E891="!!!"),"",IF(NOT(ISNA(VLOOKUP(E891,E$1:E890,1,FALSE()))),"OLD",IF(AND(E891&lt;&gt;"",E891&lt;&gt;"!!!"),"NEW","")))</f>
        <v/>
      </c>
      <c r="G891" s="22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3" t="str">
        <f t="shared" ca="1" si="63"/>
        <v/>
      </c>
      <c r="I891" s="24" t="str">
        <f>IF(OR(E891="",E891="!!!",F891="NEW"),"",INDEX(B$2:B890,-1+SUMPRODUCT(MAX(ROW(E$2:E890)*(E891=E$2:E890)))))</f>
        <v/>
      </c>
      <c r="J891" s="24" t="str">
        <f ca="1">IF(OR(E891="",E891="!!!",F891="NEW"),"",COUNTBLANK(OFFSET(A$1,,,SUMPRODUCT(MAX(ROW(E$2:E891)*(E891=E$2:E891)))))-COUNTBLANK(OFFSET(A$1,,,SUMPRODUCT(MAX(ROW(E$1:E890)*(E2=E$1:E890))))))</f>
        <v/>
      </c>
      <c r="K891" s="24" t="str">
        <f>IF(OR(E891="",E891="!!!",F891="NEW"),"",INDEX(J$1:J890,SUMPRODUCT(MAX(ROW(E$1:E890)*(E891=E$1:E890)))))</f>
        <v/>
      </c>
      <c r="L891" s="25"/>
    </row>
    <row r="892" spans="1:12" x14ac:dyDescent="0.3">
      <c r="A892" t="s">
        <v>455</v>
      </c>
      <c r="E892" s="20" t="str">
        <f t="shared" si="62"/>
        <v/>
      </c>
      <c r="F892" s="21" t="str">
        <f>IF(OR(E892="",E892="!!!"),"",IF(NOT(ISNA(VLOOKUP(E892,E$1:E891,1,FALSE()))),"OLD",IF(AND(E892&lt;&gt;"",E892&lt;&gt;"!!!"),"NEW","")))</f>
        <v/>
      </c>
      <c r="G892" s="22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3" t="str">
        <f t="shared" ca="1" si="63"/>
        <v/>
      </c>
      <c r="I892" s="24" t="str">
        <f>IF(OR(E892="",E892="!!!",F892="NEW"),"",INDEX(B$2:B891,-1+SUMPRODUCT(MAX(ROW(E$2:E891)*(E892=E$2:E891)))))</f>
        <v/>
      </c>
      <c r="J892" s="24" t="str">
        <f ca="1">IF(OR(E892="",E892="!!!",F892="NEW"),"",COUNTBLANK(OFFSET(A$1,,,SUMPRODUCT(MAX(ROW(E$2:E892)*(E892=E$2:E892)))))-COUNTBLANK(OFFSET(A$1,,,SUMPRODUCT(MAX(ROW(E$1:E891)*(E2=E$1:E891))))))</f>
        <v/>
      </c>
      <c r="K892" s="24" t="str">
        <f>IF(OR(E892="",E892="!!!",F892="NEW"),"",INDEX(J$1:J891,SUMPRODUCT(MAX(ROW(E$1:E891)*(E892=E$1:E891)))))</f>
        <v/>
      </c>
      <c r="L892" s="25"/>
    </row>
    <row r="893" spans="1:12" x14ac:dyDescent="0.3">
      <c r="A893" t="s">
        <v>456</v>
      </c>
      <c r="B893" s="26" t="s">
        <v>199</v>
      </c>
      <c r="C893" s="26" t="s">
        <v>181</v>
      </c>
      <c r="D893" s="26" t="s">
        <v>142</v>
      </c>
      <c r="E893" s="20" t="str">
        <f t="shared" si="62"/>
        <v>!!!</v>
      </c>
      <c r="F893" s="21" t="str">
        <f>IF(OR(E893="",E893="!!!"),"",IF(NOT(ISNA(VLOOKUP(E893,E$1:E892,1,FALSE()))),"OLD",IF(AND(E893&lt;&gt;"",E893&lt;&gt;"!!!"),"NEW","")))</f>
        <v/>
      </c>
      <c r="G893" s="22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3" t="str">
        <f t="shared" ca="1" si="63"/>
        <v/>
      </c>
      <c r="I893" s="24" t="str">
        <f>IF(OR(E893="",E893="!!!",F893="NEW"),"",INDEX(B$2:B892,-1+SUMPRODUCT(MAX(ROW(E$2:E892)*(E893=E$2:E892)))))</f>
        <v/>
      </c>
      <c r="J893" s="24" t="str">
        <f ca="1">IF(OR(E893="",E893="!!!",F893="NEW"),"",COUNTBLANK(OFFSET(A$1,,,SUMPRODUCT(MAX(ROW(E$2:E893)*(E893=E$2:E893)))))-COUNTBLANK(OFFSET(A$1,,,SUMPRODUCT(MAX(ROW(E$1:E892)*(E2=E$1:E892))))))</f>
        <v/>
      </c>
      <c r="K893" s="24" t="str">
        <f>IF(OR(E893="",E893="!!!",F893="NEW"),"",INDEX(J$1:J892,SUMPRODUCT(MAX(ROW(E$1:E892)*(E893=E$1:E892)))))</f>
        <v/>
      </c>
      <c r="L893" s="25"/>
    </row>
    <row r="894" spans="1:12" x14ac:dyDescent="0.3">
      <c r="A894" t="s">
        <v>153</v>
      </c>
      <c r="E894" s="20" t="str">
        <f t="shared" si="62"/>
        <v/>
      </c>
      <c r="F894" s="21" t="str">
        <f>IF(OR(E894="",E894="!!!"),"",IF(NOT(ISNA(VLOOKUP(E894,E$1:E893,1,FALSE()))),"OLD",IF(AND(E894&lt;&gt;"",E894&lt;&gt;"!!!"),"NEW","")))</f>
        <v/>
      </c>
      <c r="G894" s="22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3" t="str">
        <f t="shared" ca="1" si="63"/>
        <v/>
      </c>
      <c r="I894" s="24" t="str">
        <f>IF(OR(E894="",E894="!!!",F894="NEW"),"",INDEX(B$2:B893,-1+SUMPRODUCT(MAX(ROW(E$2:E893)*(E894=E$2:E893)))))</f>
        <v/>
      </c>
      <c r="J894" s="24" t="str">
        <f ca="1">IF(OR(E894="",E894="!!!",F894="NEW"),"",COUNTBLANK(OFFSET(A$1,,,SUMPRODUCT(MAX(ROW(E$2:E894)*(E894=E$2:E894)))))-COUNTBLANK(OFFSET(A$1,,,SUMPRODUCT(MAX(ROW(E$1:E893)*(E2=E$1:E893))))))</f>
        <v/>
      </c>
      <c r="K894" s="24" t="str">
        <f>IF(OR(E894="",E894="!!!",F894="NEW"),"",INDEX(J$1:J893,SUMPRODUCT(MAX(ROW(E$1:E893)*(E894=E$1:E893)))))</f>
        <v/>
      </c>
      <c r="L894" s="25"/>
    </row>
    <row r="895" spans="1:12" x14ac:dyDescent="0.3">
      <c r="A895" t="s">
        <v>232</v>
      </c>
      <c r="B895" s="26" t="s">
        <v>140</v>
      </c>
      <c r="C895" s="26" t="s">
        <v>302</v>
      </c>
      <c r="D895" s="26" t="s">
        <v>142</v>
      </c>
      <c r="E895" s="20" t="str">
        <f t="shared" si="62"/>
        <v>!!!</v>
      </c>
      <c r="F895" s="21" t="str">
        <f>IF(OR(E895="",E895="!!!"),"",IF(NOT(ISNA(VLOOKUP(E895,E$1:E894,1,FALSE()))),"OLD",IF(AND(E895&lt;&gt;"",E895&lt;&gt;"!!!"),"NEW","")))</f>
        <v/>
      </c>
      <c r="G895" s="22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3" t="str">
        <f t="shared" ca="1" si="63"/>
        <v/>
      </c>
      <c r="I895" s="24" t="str">
        <f>IF(OR(E895="",E895="!!!",F895="NEW"),"",INDEX(B$2:B894,-1+SUMPRODUCT(MAX(ROW(E$2:E894)*(E895=E$2:E894)))))</f>
        <v/>
      </c>
      <c r="J895" s="24" t="str">
        <f ca="1">IF(OR(E895="",E895="!!!",F895="NEW"),"",COUNTBLANK(OFFSET(A$1,,,SUMPRODUCT(MAX(ROW(E$2:E895)*(E895=E$2:E895)))))-COUNTBLANK(OFFSET(A$1,,,SUMPRODUCT(MAX(ROW(E$1:E894)*(E2=E$1:E894))))))</f>
        <v/>
      </c>
      <c r="K895" s="24" t="str">
        <f>IF(OR(E895="",E895="!!!",F895="NEW"),"",INDEX(J$1:J894,SUMPRODUCT(MAX(ROW(E$1:E894)*(E895=E$1:E894)))))</f>
        <v/>
      </c>
      <c r="L895" s="25"/>
    </row>
    <row r="896" spans="1:12" x14ac:dyDescent="0.3">
      <c r="A896" t="s">
        <v>457</v>
      </c>
      <c r="E896" s="20" t="str">
        <f t="shared" si="62"/>
        <v/>
      </c>
      <c r="F896" s="21" t="str">
        <f>IF(OR(E896="",E896="!!!"),"",IF(NOT(ISNA(VLOOKUP(E896,E$1:E895,1,FALSE()))),"OLD",IF(AND(E896&lt;&gt;"",E896&lt;&gt;"!!!"),"NEW","")))</f>
        <v/>
      </c>
      <c r="G896" s="22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3" t="str">
        <f t="shared" ca="1" si="63"/>
        <v/>
      </c>
      <c r="I896" s="24" t="str">
        <f>IF(OR(E896="",E896="!!!",F896="NEW"),"",INDEX(B$2:B895,-1+SUMPRODUCT(MAX(ROW(E$2:E895)*(E896=E$2:E895)))))</f>
        <v/>
      </c>
      <c r="J896" s="24" t="str">
        <f ca="1">IF(OR(E896="",E896="!!!",F896="NEW"),"",COUNTBLANK(OFFSET(A$1,,,SUMPRODUCT(MAX(ROW(E$2:E896)*(E896=E$2:E896)))))-COUNTBLANK(OFFSET(A$1,,,SUMPRODUCT(MAX(ROW(E$1:E895)*(E2=E$1:E895))))))</f>
        <v/>
      </c>
      <c r="K896" s="24" t="str">
        <f>IF(OR(E896="",E896="!!!",F896="NEW"),"",INDEX(J$1:J895,SUMPRODUCT(MAX(ROW(E$1:E895)*(E896=E$1:E895)))))</f>
        <v/>
      </c>
      <c r="L896" s="25"/>
    </row>
    <row r="897" spans="1:12" x14ac:dyDescent="0.3">
      <c r="A897" t="s">
        <v>252</v>
      </c>
      <c r="B897" s="26" t="s">
        <v>191</v>
      </c>
      <c r="C897" s="26" t="s">
        <v>204</v>
      </c>
      <c r="D897" s="26" t="s">
        <v>142</v>
      </c>
      <c r="E897" s="20" t="s">
        <v>468</v>
      </c>
      <c r="F897" s="21" t="str">
        <f>IF(OR(E897="",E897="!!!"),"",IF(NOT(ISNA(VLOOKUP(E897,E$1:E896,1,FALSE()))),"OLD",IF(AND(E897&lt;&gt;"",E897&lt;&gt;"!!!"),"NEW","")))</f>
        <v>OLD</v>
      </c>
      <c r="G897" s="22" t="str">
        <f ca="1"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?IN_FOCUS</v>
      </c>
      <c r="H897" s="23" t="str">
        <f t="shared" ca="1" si="63"/>
        <v/>
      </c>
      <c r="I897" s="24" t="str">
        <f>IF(OR(E897="",E897="!!!",F897="NEW"),"",INDEX(B$2:B896,-1+SUMPRODUCT(MAX(ROW(E$2:E896)*(E897=E$2:E896)))))</f>
        <v>other_3</v>
      </c>
      <c r="J897" s="24">
        <f ca="1">IF(OR(E897="",E897="!!!",F897="NEW"),"",COUNTBLANK(OFFSET(A$1,,,SUMPRODUCT(MAX(ROW(E$2:E897)*(E897=E$2:E897)))))-COUNTBLANK(OFFSET(A$1,,,SUMPRODUCT(MAX(ROW(E$1:E896)*(E2=E$1:E896))))))</f>
        <v>0</v>
      </c>
      <c r="K897" s="24">
        <f ca="1">IF(OR(E897="",E897="!!!",F897="NEW"),"",INDEX(J$1:J896,SUMPRODUCT(MAX(ROW(E$1:E896)*(E897=E$1:E896)))))</f>
        <v>0</v>
      </c>
      <c r="L897" s="25"/>
    </row>
    <row r="898" spans="1:12" x14ac:dyDescent="0.3">
      <c r="A898" t="s">
        <v>218</v>
      </c>
      <c r="E898" s="20" t="str">
        <f t="shared" si="62"/>
        <v/>
      </c>
      <c r="F898" s="21" t="str">
        <f>IF(OR(E898="",E898="!!!"),"",IF(NOT(ISNA(VLOOKUP(E898,E$1:E897,1,FALSE()))),"OLD",IF(AND(E898&lt;&gt;"",E898&lt;&gt;"!!!"),"NEW","")))</f>
        <v/>
      </c>
      <c r="G898" s="22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3" t="str">
        <f t="shared" ca="1" si="63"/>
        <v/>
      </c>
      <c r="I898" s="24" t="str">
        <f>IF(OR(E898="",E898="!!!",F898="NEW"),"",INDEX(B$2:B897,-1+SUMPRODUCT(MAX(ROW(E$2:E897)*(E898=E$2:E897)))))</f>
        <v/>
      </c>
      <c r="J898" s="24" t="str">
        <f ca="1">IF(OR(E898="",E898="!!!",F898="NEW"),"",COUNTBLANK(OFFSET(A$1,,,SUMPRODUCT(MAX(ROW(E$2:E898)*(E898=E$2:E898)))))-COUNTBLANK(OFFSET(A$1,,,SUMPRODUCT(MAX(ROW(E$1:E897)*(E2=E$1:E897))))))</f>
        <v/>
      </c>
      <c r="K898" s="24" t="str">
        <f>IF(OR(E898="",E898="!!!",F898="NEW"),"",INDEX(J$1:J897,SUMPRODUCT(MAX(ROW(E$1:E897)*(E898=E$1:E897)))))</f>
        <v/>
      </c>
      <c r="L898" s="25"/>
    </row>
    <row r="899" spans="1:12" x14ac:dyDescent="0.3">
      <c r="A899" t="s">
        <v>379</v>
      </c>
      <c r="E899" s="20" t="str">
        <f t="shared" si="62"/>
        <v/>
      </c>
      <c r="F899" s="21" t="str">
        <f>IF(OR(E899="",E899="!!!"),"",IF(NOT(ISNA(VLOOKUP(E899,E$1:E898,1,FALSE()))),"OLD",IF(AND(E899&lt;&gt;"",E899&lt;&gt;"!!!"),"NEW","")))</f>
        <v/>
      </c>
      <c r="G899" s="22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3" t="str">
        <f t="shared" ca="1" si="63"/>
        <v/>
      </c>
      <c r="I899" s="24" t="str">
        <f>IF(OR(E899="",E899="!!!",F899="NEW"),"",INDEX(B$2:B898,-1+SUMPRODUCT(MAX(ROW(E$2:E898)*(E899=E$2:E898)))))</f>
        <v/>
      </c>
      <c r="J899" s="24" t="str">
        <f ca="1">IF(OR(E899="",E899="!!!",F899="NEW"),"",COUNTBLANK(OFFSET(A$1,,,SUMPRODUCT(MAX(ROW(E$2:E899)*(E899=E$2:E899)))))-COUNTBLANK(OFFSET(A$1,,,SUMPRODUCT(MAX(ROW(E$1:E898)*(E2=E$1:E898))))))</f>
        <v/>
      </c>
      <c r="K899" s="24" t="str">
        <f>IF(OR(E899="",E899="!!!",F899="NEW"),"",INDEX(J$1:J898,SUMPRODUCT(MAX(ROW(E$1:E898)*(E899=E$1:E898)))))</f>
        <v/>
      </c>
      <c r="L899" s="25"/>
    </row>
    <row r="900" spans="1:12" x14ac:dyDescent="0.3">
      <c r="A900" t="s">
        <v>380</v>
      </c>
      <c r="E900" s="20" t="str">
        <f t="shared" si="62"/>
        <v/>
      </c>
      <c r="F900" s="21" t="str">
        <f>IF(OR(E900="",E900="!!!"),"",IF(NOT(ISNA(VLOOKUP(E900,E$1:E899,1,FALSE()))),"OLD",IF(AND(E900&lt;&gt;"",E900&lt;&gt;"!!!"),"NEW","")))</f>
        <v/>
      </c>
      <c r="G900" s="22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3" t="str">
        <f t="shared" ca="1" si="63"/>
        <v/>
      </c>
      <c r="I900" s="24" t="str">
        <f>IF(OR(E900="",E900="!!!",F900="NEW"),"",INDEX(B$2:B899,-1+SUMPRODUCT(MAX(ROW(E$2:E899)*(E900=E$2:E899)))))</f>
        <v/>
      </c>
      <c r="J900" s="24" t="str">
        <f ca="1">IF(OR(E900="",E900="!!!",F900="NEW"),"",COUNTBLANK(OFFSET(A$1,,,SUMPRODUCT(MAX(ROW(E$2:E900)*(E900=E$2:E900)))))-COUNTBLANK(OFFSET(A$1,,,SUMPRODUCT(MAX(ROW(E$1:E899)*(E2=E$1:E899))))))</f>
        <v/>
      </c>
      <c r="K900" s="24" t="str">
        <f>IF(OR(E900="",E900="!!!",F900="NEW"),"",INDEX(J$1:J899,SUMPRODUCT(MAX(ROW(E$1:E899)*(E900=E$1:E899)))))</f>
        <v/>
      </c>
      <c r="L900" s="25"/>
    </row>
    <row r="901" spans="1:12" x14ac:dyDescent="0.3">
      <c r="A901" t="s">
        <v>201</v>
      </c>
      <c r="E901" s="20" t="str">
        <f t="shared" si="62"/>
        <v/>
      </c>
      <c r="F901" s="21" t="str">
        <f>IF(OR(E901="",E901="!!!"),"",IF(NOT(ISNA(VLOOKUP(E901,E$1:E900,1,FALSE()))),"OLD",IF(AND(E901&lt;&gt;"",E901&lt;&gt;"!!!"),"NEW","")))</f>
        <v/>
      </c>
      <c r="G901" s="22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3" t="str">
        <f t="shared" ca="1" si="63"/>
        <v/>
      </c>
      <c r="I901" s="24" t="str">
        <f>IF(OR(E901="",E901="!!!",F901="NEW"),"",INDEX(B$2:B900,-1+SUMPRODUCT(MAX(ROW(E$2:E900)*(E901=E$2:E900)))))</f>
        <v/>
      </c>
      <c r="J901" s="24" t="str">
        <f ca="1">IF(OR(E901="",E901="!!!",F901="NEW"),"",COUNTBLANK(OFFSET(A$1,,,SUMPRODUCT(MAX(ROW(E$2:E901)*(E901=E$2:E901)))))-COUNTBLANK(OFFSET(A$1,,,SUMPRODUCT(MAX(ROW(E$1:E900)*(E2=E$1:E900))))))</f>
        <v/>
      </c>
      <c r="K901" s="24" t="str">
        <f>IF(OR(E901="",E901="!!!",F901="NEW"),"",INDEX(J$1:J900,SUMPRODUCT(MAX(ROW(E$1:E900)*(E901=E$1:E900)))))</f>
        <v/>
      </c>
      <c r="L901" s="25"/>
    </row>
    <row r="902" spans="1:12" x14ac:dyDescent="0.3">
      <c r="A902" t="s">
        <v>187</v>
      </c>
      <c r="E902" s="20" t="str">
        <f t="shared" si="62"/>
        <v/>
      </c>
      <c r="F902" s="21" t="str">
        <f>IF(OR(E902="",E902="!!!"),"",IF(NOT(ISNA(VLOOKUP(E902,E$1:E901,1,FALSE()))),"OLD",IF(AND(E902&lt;&gt;"",E902&lt;&gt;"!!!"),"NEW","")))</f>
        <v/>
      </c>
      <c r="G902" s="22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3" t="str">
        <f t="shared" ca="1" si="63"/>
        <v/>
      </c>
      <c r="I902" s="24" t="str">
        <f>IF(OR(E902="",E902="!!!",F902="NEW"),"",INDEX(B$2:B901,-1+SUMPRODUCT(MAX(ROW(E$2:E901)*(E902=E$2:E901)))))</f>
        <v/>
      </c>
      <c r="J902" s="24" t="str">
        <f ca="1">IF(OR(E902="",E902="!!!",F902="NEW"),"",COUNTBLANK(OFFSET(A$1,,,SUMPRODUCT(MAX(ROW(E$2:E902)*(E902=E$2:E902)))))-COUNTBLANK(OFFSET(A$1,,,SUMPRODUCT(MAX(ROW(E$1:E901)*(E2=E$1:E901))))))</f>
        <v/>
      </c>
      <c r="K902" s="24" t="str">
        <f>IF(OR(E902="",E902="!!!",F902="NEW"),"",INDEX(J$1:J901,SUMPRODUCT(MAX(ROW(E$1:E901)*(E902=E$1:E901)))))</f>
        <v/>
      </c>
      <c r="L902" s="25"/>
    </row>
    <row r="903" spans="1:12" x14ac:dyDescent="0.3">
      <c r="A903" t="s">
        <v>202</v>
      </c>
      <c r="B903" s="26" t="s">
        <v>146</v>
      </c>
      <c r="C903" s="26" t="s">
        <v>204</v>
      </c>
      <c r="D903" s="26" t="s">
        <v>142</v>
      </c>
      <c r="E903" s="20" t="s">
        <v>459</v>
      </c>
      <c r="F903" s="21" t="str">
        <f>IF(OR(E903="",E903="!!!"),"",IF(NOT(ISNA(VLOOKUP(E903,E$1:E902,1,FALSE()))),"OLD",IF(AND(E903&lt;&gt;"",E903&lt;&gt;"!!!"),"NEW","")))</f>
        <v>OLD</v>
      </c>
      <c r="G903" s="22" t="str">
        <f ca="1"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?IN_FOCUS</v>
      </c>
      <c r="H903" s="23" t="str">
        <f t="shared" ca="1" si="63"/>
        <v/>
      </c>
      <c r="I903" s="24">
        <f>IF(OR(E903="",E903="!!!",F903="NEW"),"",INDEX(B$2:B902,-1+SUMPRODUCT(MAX(ROW(E$2:E902)*(E903=E$2:E902)))))</f>
        <v>0</v>
      </c>
      <c r="J903" s="24">
        <f ca="1">IF(OR(E903="",E903="!!!",F903="NEW"),"",COUNTBLANK(OFFSET(A$1,,,SUMPRODUCT(MAX(ROW(E$2:E903)*(E903=E$2:E903)))))-COUNTBLANK(OFFSET(A$1,,,SUMPRODUCT(MAX(ROW(E$1:E902)*(E2=E$1:E902))))))</f>
        <v>0</v>
      </c>
      <c r="K903" s="24">
        <f ca="1">IF(OR(E903="",E903="!!!",F903="NEW"),"",INDEX(J$1:J902,SUMPRODUCT(MAX(ROW(E$1:E902)*(E903=E$1:E902)))))</f>
        <v>0</v>
      </c>
      <c r="L903" s="25"/>
    </row>
    <row r="904" spans="1:12" x14ac:dyDescent="0.3">
      <c r="A904" t="s">
        <v>189</v>
      </c>
      <c r="E904" s="20" t="str">
        <f t="shared" si="62"/>
        <v/>
      </c>
      <c r="F904" s="21" t="str">
        <f>IF(OR(E904="",E904="!!!"),"",IF(NOT(ISNA(VLOOKUP(E904,E$1:E903,1,FALSE()))),"OLD",IF(AND(E904&lt;&gt;"",E904&lt;&gt;"!!!"),"NEW","")))</f>
        <v/>
      </c>
      <c r="G904" s="22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3" t="str">
        <f t="shared" ca="1" si="63"/>
        <v/>
      </c>
      <c r="I904" s="24" t="str">
        <f>IF(OR(E904="",E904="!!!",F904="NEW"),"",INDEX(B$2:B903,-1+SUMPRODUCT(MAX(ROW(E$2:E903)*(E904=E$2:E903)))))</f>
        <v/>
      </c>
      <c r="J904" s="24" t="str">
        <f ca="1">IF(OR(E904="",E904="!!!",F904="NEW"),"",COUNTBLANK(OFFSET(A$1,,,SUMPRODUCT(MAX(ROW(E$2:E904)*(E904=E$2:E904)))))-COUNTBLANK(OFFSET(A$1,,,SUMPRODUCT(MAX(ROW(E$1:E903)*(E2=E$1:E903))))))</f>
        <v/>
      </c>
      <c r="K904" s="24" t="str">
        <f>IF(OR(E904="",E904="!!!",F904="NEW"),"",INDEX(J$1:J903,SUMPRODUCT(MAX(ROW(E$1:E903)*(E904=E$1:E903)))))</f>
        <v/>
      </c>
      <c r="L904" s="25"/>
    </row>
    <row r="905" spans="1:12" x14ac:dyDescent="0.3">
      <c r="A905" t="s">
        <v>153</v>
      </c>
      <c r="E905" s="20" t="str">
        <f t="shared" si="62"/>
        <v/>
      </c>
      <c r="F905" s="21" t="str">
        <f>IF(OR(E905="",E905="!!!"),"",IF(NOT(ISNA(VLOOKUP(E905,E$1:E904,1,FALSE()))),"OLD",IF(AND(E905&lt;&gt;"",E905&lt;&gt;"!!!"),"NEW","")))</f>
        <v/>
      </c>
      <c r="G905" s="22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3" t="str">
        <f t="shared" ca="1" si="63"/>
        <v/>
      </c>
      <c r="I905" s="24" t="str">
        <f>IF(OR(E905="",E905="!!!",F905="NEW"),"",INDEX(B$2:B904,-1+SUMPRODUCT(MAX(ROW(E$2:E904)*(E905=E$2:E904)))))</f>
        <v/>
      </c>
      <c r="J905" s="24" t="str">
        <f ca="1">IF(OR(E905="",E905="!!!",F905="NEW"),"",COUNTBLANK(OFFSET(A$1,,,SUMPRODUCT(MAX(ROW(E$2:E905)*(E905=E$2:E905)))))-COUNTBLANK(OFFSET(A$1,,,SUMPRODUCT(MAX(ROW(E$1:E904)*(E2=E$1:E904))))))</f>
        <v/>
      </c>
      <c r="K905" s="24" t="str">
        <f>IF(OR(E905="",E905="!!!",F905="NEW"),"",INDEX(J$1:J904,SUMPRODUCT(MAX(ROW(E$1:E904)*(E905=E$1:E904)))))</f>
        <v/>
      </c>
      <c r="L905" s="25"/>
    </row>
    <row r="906" spans="1:12" x14ac:dyDescent="0.3">
      <c r="A906" t="s">
        <v>173</v>
      </c>
      <c r="E906" s="20" t="str">
        <f t="shared" si="62"/>
        <v/>
      </c>
      <c r="F906" s="21" t="str">
        <f>IF(OR(E906="",E906="!!!"),"",IF(NOT(ISNA(VLOOKUP(E906,E$1:E905,1,FALSE()))),"OLD",IF(AND(E906&lt;&gt;"",E906&lt;&gt;"!!!"),"NEW","")))</f>
        <v/>
      </c>
      <c r="G906" s="22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3" t="str">
        <f t="shared" ca="1" si="63"/>
        <v/>
      </c>
      <c r="I906" s="24" t="str">
        <f>IF(OR(E906="",E906="!!!",F906="NEW"),"",INDEX(B$2:B905,-1+SUMPRODUCT(MAX(ROW(E$2:E905)*(E906=E$2:E905)))))</f>
        <v/>
      </c>
      <c r="J906" s="24" t="str">
        <f ca="1">IF(OR(E906="",E906="!!!",F906="NEW"),"",COUNTBLANK(OFFSET(A$1,,,SUMPRODUCT(MAX(ROW(E$2:E906)*(E906=E$2:E906)))))-COUNTBLANK(OFFSET(A$1,,,SUMPRODUCT(MAX(ROW(E$1:E905)*(E2=E$1:E905))))))</f>
        <v/>
      </c>
      <c r="K906" s="24" t="str">
        <f>IF(OR(E906="",E906="!!!",F906="NEW"),"",INDEX(J$1:J905,SUMPRODUCT(MAX(ROW(E$1:E905)*(E906=E$1:E905)))))</f>
        <v/>
      </c>
      <c r="L906" s="25"/>
    </row>
    <row r="907" spans="1:12" x14ac:dyDescent="0.3">
      <c r="A907" t="s">
        <v>154</v>
      </c>
      <c r="E907" s="20" t="s">
        <v>459</v>
      </c>
      <c r="F907" s="21" t="str">
        <f>IF(OR(E907="",E907="!!!"),"",IF(NOT(ISNA(VLOOKUP(E907,E$1:E906,1,FALSE()))),"OLD",IF(AND(E907&lt;&gt;"",E907&lt;&gt;"!!!"),"NEW","")))</f>
        <v>OLD</v>
      </c>
      <c r="G907" s="22" t="str">
        <f ca="1"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?IN_FOCUS</v>
      </c>
      <c r="H907" s="23" t="str">
        <f t="shared" ca="1" si="63"/>
        <v/>
      </c>
      <c r="I907" s="24" t="str">
        <f>IF(OR(E907="",E907="!!!",F907="NEW"),"",INDEX(B$2:B906,-1+SUMPRODUCT(MAX(ROW(E$2:E906)*(E907=E$2:E906)))))</f>
        <v>other</v>
      </c>
      <c r="J907" s="24">
        <f ca="1">IF(OR(E907="",E907="!!!",F907="NEW"),"",COUNTBLANK(OFFSET(A$1,,,SUMPRODUCT(MAX(ROW(E$2:E907)*(E907=E$2:E907)))))-COUNTBLANK(OFFSET(A$1,,,SUMPRODUCT(MAX(ROW(E$1:E906)*(E2=E$1:E906))))))</f>
        <v>0</v>
      </c>
      <c r="K907" s="24">
        <f ca="1">IF(OR(E907="",E907="!!!",F907="NEW"),"",INDEX(J$1:J906,SUMPRODUCT(MAX(ROW(E$1:E906)*(E907=E$1:E906)))))</f>
        <v>0</v>
      </c>
      <c r="L907" s="25"/>
    </row>
    <row r="908" spans="1:12" x14ac:dyDescent="0.3">
      <c r="A908" t="s">
        <v>458</v>
      </c>
      <c r="B908" s="26" t="s">
        <v>146</v>
      </c>
      <c r="C908" s="26" t="s">
        <v>213</v>
      </c>
      <c r="D908" s="26" t="s">
        <v>142</v>
      </c>
      <c r="E908" s="20" t="str">
        <f t="shared" si="62"/>
        <v>!!!</v>
      </c>
      <c r="F908" s="21" t="str">
        <f>IF(OR(E908="",E908="!!!"),"",IF(NOT(ISNA(VLOOKUP(E908,E$1:E907,1,FALSE()))),"OLD",IF(AND(E908&lt;&gt;"",E908&lt;&gt;"!!!"),"NEW","")))</f>
        <v/>
      </c>
      <c r="G908" s="22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3" t="str">
        <f t="shared" ca="1" si="63"/>
        <v/>
      </c>
      <c r="I908" s="24" t="str">
        <f>IF(OR(E908="",E908="!!!",F908="NEW"),"",INDEX(B$2:B907,-1+SUMPRODUCT(MAX(ROW(E$2:E907)*(E908=E$2:E907)))))</f>
        <v/>
      </c>
      <c r="J908" s="24" t="str">
        <f ca="1">IF(OR(E908="",E908="!!!",F908="NEW"),"",COUNTBLANK(OFFSET(A$1,,,SUMPRODUCT(MAX(ROW(E$2:E908)*(E908=E$2:E908)))))-COUNTBLANK(OFFSET(A$1,,,SUMPRODUCT(MAX(ROW(E$1:E907)*(E2=E$1:E907))))))</f>
        <v/>
      </c>
      <c r="K908" s="24" t="str">
        <f>IF(OR(E908="",E908="!!!",F908="NEW"),"",INDEX(J$1:J907,SUMPRODUCT(MAX(ROW(E$1:E907)*(E908=E$1:E907)))))</f>
        <v/>
      </c>
      <c r="L908" s="25"/>
    </row>
    <row r="909" spans="1:12" x14ac:dyDescent="0.3">
      <c r="A909" t="s">
        <v>176</v>
      </c>
      <c r="E909" s="20" t="str">
        <f t="shared" si="62"/>
        <v/>
      </c>
      <c r="F909" s="21" t="str">
        <f>IF(OR(E909="",E909="!!!"),"",IF(NOT(ISNA(VLOOKUP(E909,E$1:E908,1,FALSE()))),"OLD",IF(AND(E909&lt;&gt;"",E909&lt;&gt;"!!!"),"NEW","")))</f>
        <v/>
      </c>
      <c r="G909" s="22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3" t="str">
        <f t="shared" ca="1" si="63"/>
        <v/>
      </c>
      <c r="I909" s="24" t="str">
        <f>IF(OR(E909="",E909="!!!",F909="NEW"),"",INDEX(B$2:B908,-1+SUMPRODUCT(MAX(ROW(E$2:E908)*(E909=E$2:E908)))))</f>
        <v/>
      </c>
      <c r="J909" s="24" t="str">
        <f ca="1">IF(OR(E909="",E909="!!!",F909="NEW"),"",COUNTBLANK(OFFSET(A$1,,,SUMPRODUCT(MAX(ROW(E$2:E909)*(E909=E$2:E909)))))-COUNTBLANK(OFFSET(A$1,,,SUMPRODUCT(MAX(ROW(E$1:E908)*(E2=E$1:E908))))))</f>
        <v/>
      </c>
      <c r="K909" s="24" t="str">
        <f>IF(OR(E909="",E909="!!!",F909="NEW"),"",INDEX(J$1:J908,SUMPRODUCT(MAX(ROW(E$1:E908)*(E909=E$1:E908)))))</f>
        <v/>
      </c>
      <c r="L909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Hu</dc:creator>
  <cp:lastModifiedBy>Lisa Hu</cp:lastModifiedBy>
  <dcterms:created xsi:type="dcterms:W3CDTF">2024-07-11T06:51:32Z</dcterms:created>
  <dcterms:modified xsi:type="dcterms:W3CDTF">2024-09-03T08:23:09Z</dcterms:modified>
</cp:coreProperties>
</file>