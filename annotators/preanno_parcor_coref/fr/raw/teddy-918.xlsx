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<sst xmlns="http://schemas.openxmlformats.org/spreadsheetml/2006/main" count="12677" uniqueCount="2621">
  <si>
    <t>ID</t>
  </si>
  <si>
    <t>PRED_ID</t>
  </si>
  <si>
    <t>MARKER_AUTO</t>
  </si>
  <si>
    <t>PREDICATE</t>
  </si>
  <si>
    <t>TEXT</t>
  </si>
  <si>
    <t>SENTENCE</t>
  </si>
  <si>
    <t>MARKER</t>
  </si>
  <si>
    <t>TARGET</t>
  </si>
  <si>
    <t>RELATION</t>
  </si>
  <si>
    <t>COMMENT</t>
  </si>
  <si>
    <t>1</t>
  </si>
  <si>
    <t>2</t>
  </si>
  <si>
    <t>_</t>
  </si>
  <si>
    <t>aller</t>
  </si>
  <si>
    <t>Je vais aujourd'hui vous parler d' énergie et de climat .</t>
  </si>
  <si>
    <t>file://conllu/fr/teddy-918.conllu#s1_0</t>
  </si>
  <si>
    <t>3</t>
  </si>
  <si>
    <t>et?</t>
  </si>
  <si>
    <t>pouvoir</t>
  </si>
  <si>
    <t>Et cela peut sembler un peu surprenant parce que mon travail à temps plein à la Fondation concerne plutôt les vaccins et les semences , les choses que nous devons inventer et distribuer pour aider les deux milliards des de les plus pauvres à vivre mieux .</t>
  </si>
  <si>
    <t>file://conllu/fr/teddy-918.conllu#s2_0</t>
  </si>
  <si>
    <t>7</t>
  </si>
  <si>
    <t>en plus?</t>
  </si>
  <si>
    <t>être (être important)</t>
  </si>
  <si>
    <t>Mais l' énergie et le climat sont extrêmement importants pour ces personnes , en fait , plus importants que pour quiconque sur la planète .</t>
  </si>
  <si>
    <t>file://conllu/fr/teddy-918.conllu#s3_0</t>
  </si>
  <si>
    <t>4</t>
  </si>
  <si>
    <t>détériorer</t>
  </si>
  <si>
    <t>Le climat se détériore , ce qui signifie qu' il y aura de nombreuses années où leurs cultures ne pousseront pas .</t>
  </si>
  <si>
    <t>file://conllu/fr/teddy-918.conllu#s4_0</t>
  </si>
  <si>
    <t>5</t>
  </si>
  <si>
    <t>ou?</t>
  </si>
  <si>
    <t>avoir</t>
  </si>
  <si>
    <t>Il y aura trop de pluie , ou pas assez de pluie .</t>
  </si>
  <si>
    <t>file://conllu/fr/teddy-918.conllu#s5_0</t>
  </si>
  <si>
    <t>6</t>
  </si>
  <si>
    <t>Les choses vont évoluer dans des de les directions que leur environnement fragile ne peut tout simplement pas supporter .</t>
  </si>
  <si>
    <t>file://conllu/fr/teddy-918.conllu#s6_0</t>
  </si>
  <si>
    <t>conduire</t>
  </si>
  <si>
    <t>Et cela conduit à la famine .</t>
  </si>
  <si>
    <t>file://conllu/fr/teddy-918.conllu#s7_0</t>
  </si>
  <si>
    <t>8</t>
  </si>
  <si>
    <t>à?</t>
  </si>
  <si>
    <t>Cela conduit à l' incertitude .</t>
  </si>
  <si>
    <t>file://conllu/fr/teddy-918.conllu#s8_0</t>
  </si>
  <si>
    <t>9</t>
  </si>
  <si>
    <t>Cela conduit à des de les troubles .</t>
  </si>
  <si>
    <t>file://conllu/fr/teddy-918.conllu#s9_0</t>
  </si>
  <si>
    <t>10</t>
  </si>
  <si>
    <t>pour?</t>
  </si>
  <si>
    <t>être (être terrible)</t>
  </si>
  <si>
    <t>Les changements climatiques seront terribles pour eux .</t>
  </si>
  <si>
    <t>file://conllu/fr/teddy-918.conllu#s10_0</t>
  </si>
  <si>
    <t>11</t>
  </si>
  <si>
    <t>également?</t>
  </si>
  <si>
    <t>Le prix de l' énergie , également , est très important pour eux .</t>
  </si>
  <si>
    <t>file://conllu/fr/teddy-918.conllu#s11_0</t>
  </si>
  <si>
    <t>12</t>
  </si>
  <si>
    <t>23</t>
  </si>
  <si>
    <t>en fait?</t>
  </si>
  <si>
    <t>être (être celui)</t>
  </si>
  <si>
    <t>En fait , si vous ne pouviez baisser le prix que d' une seule chose , pour réduire la pauvreté , ce serait , de loin , celui de l' énergie .</t>
  </si>
  <si>
    <t>file://conllu/fr/teddy-918.conllu#s12_0</t>
  </si>
  <si>
    <t>13</t>
  </si>
  <si>
    <t>or?</t>
  </si>
  <si>
    <t>baisser</t>
  </si>
  <si>
    <t>Or , le prix de l' énergie a baissé au à le fil du de le temps .</t>
  </si>
  <si>
    <t>file://conllu/fr/teddy-918.conllu#s13_0</t>
  </si>
  <si>
    <t>14</t>
  </si>
  <si>
    <t>fonder</t>
  </si>
  <si>
    <t>Vraiment , les avancées de la civilisation sont fondées sur les avancées de l' énergie .</t>
  </si>
  <si>
    <t>file://conllu/fr/teddy-918.conllu#s14_0</t>
  </si>
  <si>
    <t>15</t>
  </si>
  <si>
    <t>même?</t>
  </si>
  <si>
    <t>alimenter</t>
  </si>
  <si>
    <t>La révolution du de le charbon a alimenté la révolution industrielle , et , même dans les années 1900 , nous avons assisté à une diminution très rapide du de le prix de l' électricité , et c' est grâce à ça que nous avons des de les réfrigérateurs , l' air conditionné , que nous pouvons fabriquer des de les matériaux modernes et faire tant de choses .</t>
  </si>
  <si>
    <t>file://conllu/fr/teddy-918.conllu#s15_0</t>
  </si>
  <si>
    <t>16</t>
  </si>
  <si>
    <t>Dans le monde riche , tout va bien par rapport à l' électricité .</t>
  </si>
  <si>
    <t>file://conllu/fr/teddy-918.conllu#s16_0</t>
  </si>
  <si>
    <t>17</t>
  </si>
  <si>
    <t>24</t>
  </si>
  <si>
    <t>en même temps?</t>
  </si>
  <si>
    <t>devoir</t>
  </si>
  <si>
    <t>Mais , en même temps qu' on abaisse son prix et c' est parti pour le diviser par 2 nous devons répondre à une nouvelle contrainte , et cette contrainte concerne le CO2 .</t>
  </si>
  <si>
    <t>file://conllu/fr/teddy-918.conllu#s17_0</t>
  </si>
  <si>
    <t>18</t>
  </si>
  <si>
    <t>réchauffer</t>
  </si>
  <si>
    <t>Le CO2 réchauffe la planète , et l' équation sur le CO2 est en réalité très simple .</t>
  </si>
  <si>
    <t>file://conllu/fr/teddy-918.conllu#s18_0</t>
  </si>
  <si>
    <t>19</t>
  </si>
  <si>
    <t>total?</t>
  </si>
  <si>
    <t>Si vous prenez le total du de le CO2 rejeté , cela conduit à une augmentation de température , et cette augmentation de température conduit à des de les effets très négatifs .</t>
  </si>
  <si>
    <t>file://conllu/fr/teddy-918.conllu#s19_0</t>
  </si>
  <si>
    <t>21</t>
  </si>
  <si>
    <t>être (être vrai)</t>
  </si>
  <si>
    <t>C' est vrai que sur les chiffres exacts , quelle température on aura , à partir de quelle augmentation de CO2 , et à quel endroit on aura des de les effets secondaires positifs , là , on rencontre une certaine incertitude , mais pas beaucoup .</t>
  </si>
  <si>
    <t>file://conllu/fr/teddy-918.conllu#s21_0</t>
  </si>
  <si>
    <t>22</t>
  </si>
  <si>
    <t>si?</t>
  </si>
  <si>
    <t>connaître (connaître savoir)</t>
  </si>
  <si>
    <t>Et si on ne connait pas exactement le degré de gravité de ces effets , on sait qu' ils seront extrêmement graves .</t>
  </si>
  <si>
    <t>file://conllu/fr/teddy-918.conllu#s22_0</t>
  </si>
  <si>
    <t>s'?</t>
  </si>
  <si>
    <t>demander</t>
  </si>
  <si>
    <t>A plusieurs reprises , j' ai demandé à des de les scientifiques de haut niveau s' il fallait vraiment descendre jusqu' à près de zéro ?</t>
  </si>
  <si>
    <t>file://conllu/fr/teddy-918.conllu#s23_0</t>
  </si>
  <si>
    <t>Ne peut -on pas simplement diminuer de la moitié ou du de le quart ?</t>
  </si>
  <si>
    <t>file://conllu/fr/teddy-918.conllu#s24_0</t>
  </si>
  <si>
    <t>25</t>
  </si>
  <si>
    <t>être</t>
  </si>
  <si>
    <t>Et la réponse est que , jusqu' à ce que nous approchions de zéro , la température continuera à augmenter .</t>
  </si>
  <si>
    <t>file://conllu/fr/teddy-918.conllu#s25_0</t>
  </si>
  <si>
    <t>26</t>
  </si>
  <si>
    <t>donc?</t>
  </si>
  <si>
    <t>être (être défi)</t>
  </si>
  <si>
    <t>Et donc c' est un grand défi .</t>
  </si>
  <si>
    <t>file://conllu/fr/teddy-918.conllu#s26_0</t>
  </si>
  <si>
    <t>27</t>
  </si>
  <si>
    <t>être (être différent)</t>
  </si>
  <si>
    <t>C' est très différent que de dire qu' on est un camion de 3,5 m de haut essayant de passer sous un pont de 3 m , et qu' on va trouver le moyen de s' y glisser .</t>
  </si>
  <si>
    <t>file://conllu/fr/teddy-918.conllu#s27_0</t>
  </si>
  <si>
    <t>28</t>
  </si>
  <si>
    <t>être (être chose)</t>
  </si>
  <si>
    <t>Là , c' est quelque chose qui doit arriver à zéro .</t>
  </si>
  <si>
    <t>file://conllu/fr/teddy-918.conllu#s28_0</t>
  </si>
  <si>
    <t>29</t>
  </si>
  <si>
    <t>rejeter</t>
  </si>
  <si>
    <t>Chaque année , nous rejetons une grande quantité de CO2 , plus de 26 milliards de tonnes .</t>
  </si>
  <si>
    <t>file://conllu/fr/teddy-918.conllu#s29_0</t>
  </si>
  <si>
    <t>30</t>
  </si>
  <si>
    <t>représenter</t>
  </si>
  <si>
    <t>Pour chaque américain , ça représente près de 20 tonnes .</t>
  </si>
  <si>
    <t>file://conllu/fr/teddy-918.conllu#s30_0</t>
  </si>
  <si>
    <t>31</t>
  </si>
  <si>
    <t>être (être moins)</t>
  </si>
  <si>
    <t>Pour un habitant d' un pays pauvre , c' est moins d' une tonne .</t>
  </si>
  <si>
    <t>file://conllu/fr/teddy-918.conllu#s31_0</t>
  </si>
  <si>
    <t>32</t>
  </si>
  <si>
    <t>être (être tonne)</t>
  </si>
  <si>
    <t>La moyenne est d' environ cinq tonnes par personne sur la planète .</t>
  </si>
  <si>
    <t>file://conllu/fr/teddy-918.conllu#s32_0</t>
  </si>
  <si>
    <t>33</t>
  </si>
  <si>
    <t>Et on doit trouver le moyen d' apporter les changements pour descendre à zéro .</t>
  </si>
  <si>
    <t>file://conllu/fr/teddy-918.conllu#s33_0</t>
  </si>
  <si>
    <t>34</t>
  </si>
  <si>
    <t>être (être constant)</t>
  </si>
  <si>
    <t>L' augmentation a été constante .</t>
  </si>
  <si>
    <t>file://conllu/fr/teddy-918.conllu#s34_0</t>
  </si>
  <si>
    <t>35</t>
  </si>
  <si>
    <t>alors?</t>
  </si>
  <si>
    <t>être (être cause)</t>
  </si>
  <si>
    <t>Ce n' est qu' à cause de divers changements économiques que ça s' est ralenti , alors nous devons donc passer d' une hausse rapide à une baisse , jusqu' à descendre à zéro .</t>
  </si>
  <si>
    <t>file://conllu/fr/teddy-918.conllu#s35_0</t>
  </si>
  <si>
    <t>36</t>
  </si>
  <si>
    <t>Cette équation a quatre facteurs .</t>
  </si>
  <si>
    <t>file://conllu/fr/teddy-918.conllu#s36_0</t>
  </si>
  <si>
    <t>37</t>
  </si>
  <si>
    <t>faire</t>
  </si>
  <si>
    <t>Faisons un peu de multiplication .</t>
  </si>
  <si>
    <t>file://conllu/fr/teddy-918.conllu#s37_0</t>
  </si>
  <si>
    <t>38</t>
  </si>
  <si>
    <t>Bon , on a quelque chose à gauche , le CO2 , qu' on veut réduire à zéro , et ça va être basé sur le nombre de personnes , les services que chaque personne utilise , en moyenne , l' énergie utilisée en moyenne pour chaque service , et le CO2 rejeté , par unité d' énergie .</t>
  </si>
  <si>
    <t>file://conllu/fr/teddy-918.conllu#s38_0</t>
  </si>
  <si>
    <t>39</t>
  </si>
  <si>
    <t>pencher</t>
  </si>
  <si>
    <t>Alors , penchons -nous sur chacun de ces membres , et voyons comment on peut réduire le résultat à zéro .</t>
  </si>
  <si>
    <t>file://conllu/fr/teddy-918.conllu#s39_0</t>
  </si>
  <si>
    <t>40</t>
  </si>
  <si>
    <t>soit?</t>
  </si>
  <si>
    <t>falloir</t>
  </si>
  <si>
    <t>Il faudra probablement que l' un de ces chiffres soit tout proche de zéro .</t>
  </si>
  <si>
    <t>file://conllu/fr/teddy-918.conllu#s40_0</t>
  </si>
  <si>
    <t>41</t>
  </si>
  <si>
    <t>mais?</t>
  </si>
  <si>
    <t>être (être niveau)</t>
  </si>
  <si>
    <t>C' est du de le niveau de l' algèbre du de le secondaire , mais jetons un coup d' oeil .</t>
  </si>
  <si>
    <t>file://conllu/fr/teddy-918.conllu#s41_0</t>
  </si>
  <si>
    <t>42</t>
  </si>
  <si>
    <t>avoir (avoir population)</t>
  </si>
  <si>
    <t>D' abord nous avons la population .</t>
  </si>
  <si>
    <t>file://conllu/fr/teddy-918.conllu#s42_0</t>
  </si>
  <si>
    <t>43</t>
  </si>
  <si>
    <t>compter</t>
  </si>
  <si>
    <t>Le monde compte aujourd'hui 6,8 milliards de personnes .</t>
  </si>
  <si>
    <t>file://conllu/fr/teddy-918.conllu#s43_0</t>
  </si>
  <si>
    <t>44</t>
  </si>
  <si>
    <t>On devrait atteindre les 9 milliards .</t>
  </si>
  <si>
    <t>file://conllu/fr/teddy-918.conllu#s44_0</t>
  </si>
  <si>
    <t>45</t>
  </si>
  <si>
    <t>Avec de très bons résultats sur les nouveaux vaccins , les soins de santé , le contrôle des de les naissances , on pourrait le réduire de , peut-être , 10 ou 15 pour cent , mais on gardera un facteur d' augmentation d' environ 1,3 .</t>
  </si>
  <si>
    <t>file://conllu/fr/teddy-918.conllu#s45_0</t>
  </si>
  <si>
    <t>46</t>
  </si>
  <si>
    <t>concerner</t>
  </si>
  <si>
    <t>Le deuxième facteur concerne les services que nous utilisons .</t>
  </si>
  <si>
    <t>file://conllu/fr/teddy-918.conllu#s46_0</t>
  </si>
  <si>
    <t>47</t>
  </si>
  <si>
    <t>englober</t>
  </si>
  <si>
    <t>Cela englobe tout , la nourriture que nous mangeons , les vêtements , la télévision , le chauffage .</t>
  </si>
  <si>
    <t>file://conllu/fr/teddy-918.conllu#s47_0</t>
  </si>
  <si>
    <t>48</t>
  </si>
  <si>
    <t>signifier</t>
  </si>
  <si>
    <t>Ce sont de très bonnes choses , et se débarrasser de la pauvreté signifie pouvoir fournir ces services à presque tout le monde sur la planète .</t>
  </si>
  <si>
    <t>file://conllu/fr/teddy-918.conllu#s48_0</t>
  </si>
  <si>
    <t>49</t>
  </si>
  <si>
    <t>augmenter</t>
  </si>
  <si>
    <t>Et c' est une bonne chose que ce chiffre augmente .</t>
  </si>
  <si>
    <t>file://conllu/fr/teddy-918.conllu#s49_0</t>
  </si>
  <si>
    <t>50</t>
  </si>
  <si>
    <t>pourroir</t>
  </si>
  <si>
    <t>Dans le monde riche , peut-être le milliard du de le haut , nous pourrions probablement les réduire , en utiliser moins , mais chaque année , ce chiffre , en moyenne , va monter , et finira par plus que doubler le nombre de services fournis par personne .</t>
  </si>
  <si>
    <t>file://conllu/fr/teddy-918.conllu#s50_0</t>
  </si>
  <si>
    <t>51</t>
  </si>
  <si>
    <t>avoir (avoir exemple)</t>
  </si>
  <si>
    <t>Ici nous avons un exemple de service très basique .</t>
  </si>
  <si>
    <t>file://conllu/fr/teddy-918.conllu#s51_0</t>
  </si>
  <si>
    <t>52</t>
  </si>
  <si>
    <t>Vous avez à la maison un éclairage suffisant pour lire et faire les devoirs scolaires .</t>
  </si>
  <si>
    <t>file://conllu/fr/teddy-918.conllu#s52_0</t>
  </si>
  <si>
    <t>53</t>
  </si>
  <si>
    <t>enfant</t>
  </si>
  <si>
    <t>Pas ces enfants .</t>
  </si>
  <si>
    <t>file://conllu/fr/teddy-918.conllu#s53_0</t>
  </si>
  <si>
    <t>54</t>
  </si>
  <si>
    <t>sortir</t>
  </si>
  <si>
    <t>Alors ils sortent et font leurs devoirs à la lumière des de les lampadaires de la rue .</t>
  </si>
  <si>
    <t>file://conllu/fr/teddy-918.conllu#s54_0</t>
  </si>
  <si>
    <t>55</t>
  </si>
  <si>
    <t>maintenant?</t>
  </si>
  <si>
    <t>efficacité</t>
  </si>
  <si>
    <t>Maintenant , l' efficacité , &amp;quot; E &amp;quot; , la quantité d' énergie pour chaque service , et ici , nous avons enfin de bonnes nouvelles .</t>
  </si>
  <si>
    <t>file://conllu/fr/teddy-918.conllu#s55_0</t>
  </si>
  <si>
    <t>56</t>
  </si>
  <si>
    <t>avoir (avoir chose)</t>
  </si>
  <si>
    <t>Nous avons quelque chose qui ne grimpe pas .</t>
  </si>
  <si>
    <t>file://conllu/fr/teddy-918.conllu#s56_0</t>
  </si>
  <si>
    <t>57</t>
  </si>
  <si>
    <t>grâce</t>
  </si>
  <si>
    <t>Grâce à diverses inventions et de nouvelles façons de faire de la lumière , grâce à de nouveaux types de voitures , des de les façons différentes de construire les bâtiments .</t>
  </si>
  <si>
    <t>file://conllu/fr/teddy-918.conllu#s57_0</t>
  </si>
  <si>
    <t>58</t>
  </si>
  <si>
    <t>Il y a beaucoup de services pour lesquels on peut réduire l' énergie de façon substantielle , et pour certains services particuliers , la réduire de 90 pour cent .</t>
  </si>
  <si>
    <t>file://conllu/fr/teddy-918.conllu#s58_0</t>
  </si>
  <si>
    <t>59</t>
  </si>
  <si>
    <t>exister</t>
  </si>
  <si>
    <t>Il existe d' autres services comme la façon de fabriquer les l' engrais , ou d' effectuer le transport aérien , où les marges d' amélioration sont beaucoup beaucoup plus réduites .</t>
  </si>
  <si>
    <t>file://conllu/fr/teddy-918.conllu#s59_0</t>
  </si>
  <si>
    <t>60</t>
  </si>
  <si>
    <t>en gros?</t>
  </si>
  <si>
    <t>Et donc , en gros , en étant optimistes , on pourrait obtenir une diminution d' un facteur de trois à , peut-être même , un facteur de six .</t>
  </si>
  <si>
    <t>file://conllu/fr/teddy-918.conllu#s60_0</t>
  </si>
  <si>
    <t>61</t>
  </si>
  <si>
    <t>mieux?</t>
  </si>
  <si>
    <t>Pour l' ensemble de ces trois premiers facteurs , nous sommes au à le mieux passés de 26 milliards à , peut-être 13 milliards de tonnes , et ce n' est pas suffisant .</t>
  </si>
  <si>
    <t>file://conllu/fr/teddy-918.conllu#s61_0</t>
  </si>
  <si>
    <t>62</t>
  </si>
  <si>
    <t>voir</t>
  </si>
  <si>
    <t>Alors , voyons ce quatrième facteur qui va être un facteur clé et c' est la quantité de CO2 dégagée par unité d' énergie .</t>
  </si>
  <si>
    <t>file://conllu/fr/teddy-918.conllu#s62_0</t>
  </si>
  <si>
    <t>63</t>
  </si>
  <si>
    <t>être (être pouvoir)</t>
  </si>
  <si>
    <t>Et donc , la question est : &amp;quot; Peut -on le réduire à zéro ? &amp;quot;</t>
  </si>
  <si>
    <t>file://conllu/fr/teddy-918.conllu#s63_0</t>
  </si>
  <si>
    <t>64</t>
  </si>
  <si>
    <t>en?</t>
  </si>
  <si>
    <t>être (être non)</t>
  </si>
  <si>
    <t>En brûlant du de le charbon , la réponse est non .</t>
  </si>
  <si>
    <t>file://conllu/fr/teddy-918.conllu#s64_0</t>
  </si>
  <si>
    <t>65</t>
  </si>
  <si>
    <t>brûler</t>
  </si>
  <si>
    <t>Si vous brûlez du de le gaz naturel , non plus .</t>
  </si>
  <si>
    <t>file://conllu/fr/teddy-918.conllu#s65_0</t>
  </si>
  <si>
    <t>66</t>
  </si>
  <si>
    <t>rejetter</t>
  </si>
  <si>
    <t>Presque toutes les techniques pour produire aujourd'hui de l' électricité , en dehors des de les énergies renouvelables et du de le nucléaire , rejettent du de le CO2 .</t>
  </si>
  <si>
    <t>file://conllu/fr/teddy-918.conllu#s66_0</t>
  </si>
  <si>
    <t>67</t>
  </si>
  <si>
    <t>Et donc , ce que nous allons devoir faire à une échelle globale , c' est de créer un nouveau système .</t>
  </si>
  <si>
    <t>file://conllu/fr/teddy-918.conllu#s67_0</t>
  </si>
  <si>
    <t>68</t>
  </si>
  <si>
    <t>Alors , il nous faut des de les miracles dans le domaine de l' énergie .</t>
  </si>
  <si>
    <t>file://conllu/fr/teddy-918.conllu#s68_0</t>
  </si>
  <si>
    <t>69</t>
  </si>
  <si>
    <t>quand?</t>
  </si>
  <si>
    <t>utiliser (utiliser vouloir)</t>
  </si>
  <si>
    <t>Mais quand j' utilise le mot miracle , je ne veux pas dire quelque chose d' impossible .</t>
  </si>
  <si>
    <t>file://conllu/fr/teddy-918.conllu#s69_0</t>
  </si>
  <si>
    <t>70</t>
  </si>
  <si>
    <t>être (être miracle)</t>
  </si>
  <si>
    <t>Le microprocesseur est un miracle .</t>
  </si>
  <si>
    <t>file://conllu/fr/teddy-918.conllu#s70_0</t>
  </si>
  <si>
    <t>71</t>
  </si>
  <si>
    <t>L' ordinateur personnel est un miracle .</t>
  </si>
  <si>
    <t>file://conllu/fr/teddy-918.conllu#s71_0</t>
  </si>
  <si>
    <t>72</t>
  </si>
  <si>
    <t>L' Internet et les services web sont un miracle .</t>
  </si>
  <si>
    <t>file://conllu/fr/teddy-918.conllu#s72_0</t>
  </si>
  <si>
    <t>73</t>
  </si>
  <si>
    <t>participer</t>
  </si>
  <si>
    <t>Dans ce sens , les gens présents ici ont participé à la création de nombreux miracles .</t>
  </si>
  <si>
    <t>file://conllu/fr/teddy-918.conllu#s73_0</t>
  </si>
  <si>
    <t>74</t>
  </si>
  <si>
    <t>D' habitude , on n' a pas de date butoir , où il faut réaliser le miracle pour une date donnée .</t>
  </si>
  <si>
    <t>file://conllu/fr/teddy-918.conllu#s74_0</t>
  </si>
  <si>
    <t>75</t>
  </si>
  <si>
    <t>produire (produire tenir)</t>
  </si>
  <si>
    <t>D' habitude , on se tient juste prêts , et alors certains se produisent , d' autres pas .</t>
  </si>
  <si>
    <t>file://conllu/fr/teddy-918.conllu#s75_0</t>
  </si>
  <si>
    <t>76</t>
  </si>
  <si>
    <t>Dans le cas présent , il faut aller à toute vitesse et obtenir un miracle avec un calendrier assez restreint .</t>
  </si>
  <si>
    <t>file://conllu/fr/teddy-918.conllu#s76_0</t>
  </si>
  <si>
    <t>77</t>
  </si>
  <si>
    <t>Je me suis demandé comment je pourrais résumer visuellement cela .</t>
  </si>
  <si>
    <t>file://conllu/fr/teddy-918.conllu#s77_0</t>
  </si>
  <si>
    <t>78</t>
  </si>
  <si>
    <t>Y aurait -il une sorte d' illustration venant de la nature , une démonstration qui saisirait l' imagination des de les gens ici ?</t>
  </si>
  <si>
    <t>file://conllu/fr/teddy-918.conllu#s78_0</t>
  </si>
  <si>
    <t>79</t>
  </si>
  <si>
    <t>repenser</t>
  </si>
  <si>
    <t>J' ai repensé à l' année dernière , quand j' avais apporté des de les moustiques , les gens avaient bien aimé .</t>
  </si>
  <si>
    <t>file://conllu/fr/teddy-918.conllu#s79_0</t>
  </si>
  <si>
    <t>80</t>
  </si>
  <si>
    <t>permettre</t>
  </si>
  <si>
    <t>( Rires ) Ça leur avait permis de vraiment intégrer l' idée qu' il y a des de les gens qui vivent avec les moustiques .</t>
  </si>
  <si>
    <t>file://conllu/fr/teddy-918.conllu#s80_0</t>
  </si>
  <si>
    <t>81</t>
  </si>
  <si>
    <t>être (être ça)</t>
  </si>
  <si>
    <t>Donc , avec l' énergie , tout ce que à quoi j' ai pu arriver , c' est ça .</t>
  </si>
  <si>
    <t>file://conllu/fr/teddy-918.conllu#s81_0</t>
  </si>
  <si>
    <t>82</t>
  </si>
  <si>
    <t>décider</t>
  </si>
  <si>
    <t>J' ai décidé que libérer des de les lucioles serait ma contribution à l' environnement ici , cette année .</t>
  </si>
  <si>
    <t>file://conllu/fr/teddy-918.conllu#s82_0</t>
  </si>
  <si>
    <t>83</t>
  </si>
  <si>
    <t>voici</t>
  </si>
  <si>
    <t>Voici donc ici des de les lucioles naturelles .</t>
  </si>
  <si>
    <t>file://conllu/fr/teddy-918.conllu#s83_0</t>
  </si>
  <si>
    <t>84</t>
  </si>
  <si>
    <t>dire</t>
  </si>
  <si>
    <t>On m' a dit qu' elles ne mordent pas , en fait , elles pourraient bien ne pas quitter ce pot .</t>
  </si>
  <si>
    <t>file://conllu/fr/teddy-918.conllu#s84_0</t>
  </si>
  <si>
    <t>85</t>
  </si>
  <si>
    <t>comme ça?</t>
  </si>
  <si>
    <t>Il y a toutes sortes de solutions astucieuses comme ça , mais elles n' apportent pas grand chose , en fait .</t>
  </si>
  <si>
    <t>file://conllu/fr/teddy-918.conllu#s85_0</t>
  </si>
  <si>
    <t>86</t>
  </si>
  <si>
    <t>avoir (avoir besoin)</t>
  </si>
  <si>
    <t>Nous avons besoin d' une ou de plusieurs solutions , qui fonctionnent à une échelle immense , avec une immense fiabilité , et , bien qu' on cherche dans nombreuses directions , Je n' en vois vraiment que cinq qui tiennent la route .</t>
  </si>
  <si>
    <t>file://conllu/fr/teddy-918.conllu#s86_0</t>
  </si>
  <si>
    <t>87</t>
  </si>
  <si>
    <t>laisser</t>
  </si>
  <si>
    <t>J' ai laissé de côté l' énergie marémotrice , la géothermie , la fusion , les biocarburants .</t>
  </si>
  <si>
    <t>file://conllu/fr/teddy-918.conllu#s87_0</t>
  </si>
  <si>
    <t>88</t>
  </si>
  <si>
    <t>apporter</t>
  </si>
  <si>
    <t>Elles apporteront leur contribution , et si c' est plus que je ne pense , tant mieux , mais mon idée là-dessus , c' est que sur ces cinq-là , il y a encore du de le travail à faire , et nous ne pouvons en laisser tomber aucune , même si ça paraît difficile , même si les défis à relever semblent importants .</t>
  </si>
  <si>
    <t>file://conllu/fr/teddy-918.conllu#s88_0</t>
  </si>
  <si>
    <t>89</t>
  </si>
  <si>
    <t>Regardon</t>
  </si>
  <si>
    <t>Regardons d' abord la combustion des de les combustibles fossiles , qu' il s' agisse du de le charbon ou du de le gaz naturel .</t>
  </si>
  <si>
    <t>file://conllu/fr/teddy-918.conllu#s89_0</t>
  </si>
  <si>
    <t>90</t>
  </si>
  <si>
    <t>Ce qu' il faut faire là paraît simple , mais ça ne l' est pas , c' est de prendre tout le CO2 , après la combustion , le sortir du de le circuit , le mette sous pression , le rendre liquide , le mettre quelque part , et espérer qu' il y reste .</t>
  </si>
  <si>
    <t>file://conllu/fr/teddy-918.conllu#s90_0</t>
  </si>
  <si>
    <t>91</t>
  </si>
  <si>
    <t>Il y a des de les projets avancés permettant de réaliser cela à 60 à 80 % , mais arriver à 100 % , ça sera très délicat , et ce sera difficile de convenir de l' endroit où tout ce CO2 devrait être mis , mais le plus dur est ici la question du de le long terme .</t>
  </si>
  <si>
    <t>file://conllu/fr/teddy-918.conllu#s91_0</t>
  </si>
  <si>
    <t>92</t>
  </si>
  <si>
    <t>Qui pourra avoir cette certitude ?</t>
  </si>
  <si>
    <t>file://conllu/fr/teddy-918.conllu#s92_0</t>
  </si>
  <si>
    <t>93</t>
  </si>
  <si>
    <t>Qui pourra garantir quelque chose qui est des de les milliards de fois plus volumineux que tout autre type de déchets auquel à lequel vous pouvez penser , nucléaires ou autres ?</t>
  </si>
  <si>
    <t>file://conllu/fr/teddy-918.conllu#s93_0</t>
  </si>
  <si>
    <t>94</t>
  </si>
  <si>
    <t>Cela fait beaucoup de volume .</t>
  </si>
  <si>
    <t>file://conllu/fr/teddy-918.conllu#s94_0</t>
  </si>
  <si>
    <t>95</t>
  </si>
  <si>
    <t>être (être difficile)</t>
  </si>
  <si>
    <t>Alors ce sera difficile pour cette solution .</t>
  </si>
  <si>
    <t>file://conllu/fr/teddy-918.conllu#s95_0</t>
  </si>
  <si>
    <t>96</t>
  </si>
  <si>
    <t>ensuite?</t>
  </si>
  <si>
    <t>Ensuite , il y a le nucléaire .</t>
  </si>
  <si>
    <t>file://conllu/fr/teddy-918.conllu#s96_0</t>
  </si>
  <si>
    <t>97</t>
  </si>
  <si>
    <t>aussi?</t>
  </si>
  <si>
    <t>présenter</t>
  </si>
  <si>
    <t>Qui présente aussi trois gros problèmes :</t>
  </si>
  <si>
    <t>file://conllu/fr/teddy-918.conllu#s97_0</t>
  </si>
  <si>
    <t>98</t>
  </si>
  <si>
    <t>être (être élever)</t>
  </si>
  <si>
    <t>Le coût , en particulier dans les pays fortement réglementés , est élevé .</t>
  </si>
  <si>
    <t>file://conllu/fr/teddy-918.conllu#s98_0</t>
  </si>
  <si>
    <t>99</t>
  </si>
  <si>
    <t>La question de la sécurité , d' être vraiment sûrs qu' il n y aura pas de problème , que , même en ayant des de les opérateurs humains , le combustible ne soit pas utilisé pour les armes .</t>
  </si>
  <si>
    <t>file://conllu/fr/teddy-918.conllu#s99_0</t>
  </si>
  <si>
    <t>100</t>
  </si>
  <si>
    <t>et puis?</t>
  </si>
  <si>
    <t>Et puis , que faire avec les déchets ?</t>
  </si>
  <si>
    <t>file://conllu/fr/teddy-918.conllu#s100_0</t>
  </si>
  <si>
    <t>101</t>
  </si>
  <si>
    <t>poser</t>
  </si>
  <si>
    <t>Et , bien que le volume ne soit pas pas très impotant , il pose de nombreux problèmes .</t>
  </si>
  <si>
    <t>file://conllu/fr/teddy-918.conllu#s101_0</t>
  </si>
  <si>
    <t>102</t>
  </si>
  <si>
    <t>Les gens ont besoin de se sentir bien là-dessus .</t>
  </si>
  <si>
    <t>file://conllu/fr/teddy-918.conllu#s102_0</t>
  </si>
  <si>
    <t>103</t>
  </si>
  <si>
    <t>problème</t>
  </si>
  <si>
    <t>Donc , trois problèmes très difficiles qui pourraient être résolus , et donc , sur lesquels il faudrait travailler .</t>
  </si>
  <si>
    <t>file://conllu/fr/teddy-918.conllu#s103_0</t>
  </si>
  <si>
    <t>104</t>
  </si>
  <si>
    <t>regrouper</t>
  </si>
  <si>
    <t>Les trois derniers des de les cinq , je les ai regroupés .</t>
  </si>
  <si>
    <t>file://conllu/fr/teddy-918.conllu#s104_0</t>
  </si>
  <si>
    <t>105</t>
  </si>
  <si>
    <t>Ce sont ceux auxquels à lesquels les gens font souvent référence en tant qu' énergies renouvelables .</t>
  </si>
  <si>
    <t>file://conllu/fr/teddy-918.conllu#s105_0</t>
  </si>
  <si>
    <t>106</t>
  </si>
  <si>
    <t>même si?</t>
  </si>
  <si>
    <t>Mais en fait même si c' est génial qu' elles ne nécessitent aucun carburant elles présentent quelques inconvénients .</t>
  </si>
  <si>
    <t>file://conllu/fr/teddy-918.conllu#s106_0</t>
  </si>
  <si>
    <t>107</t>
  </si>
  <si>
    <t>est</t>
  </si>
  <si>
    <t>Le premier est que la densité d' énergie produite grâce à ces technologies est considérablement inférieure à celle d' une centrale électrique .</t>
  </si>
  <si>
    <t>file://conllu/fr/teddy-918.conllu#s107_0</t>
  </si>
  <si>
    <t>108</t>
  </si>
  <si>
    <t>agir</t>
  </si>
  <si>
    <t>Il s' agit de fermes à énergie , on parle là de nombreux kilomètres carrés , des de les milliers de fois plus d' espace que pour une centrale à énergie normale .</t>
  </si>
  <si>
    <t>file://conllu/fr/teddy-918.conllu#s108_0</t>
  </si>
  <si>
    <t>109</t>
  </si>
  <si>
    <t>de plus?</t>
  </si>
  <si>
    <t>être (être source)</t>
  </si>
  <si>
    <t>De plus ce sont des de les sources fonctionnant par intermittence .</t>
  </si>
  <si>
    <t>file://conllu/fr/teddy-918.conllu#s109_0</t>
  </si>
  <si>
    <t>110</t>
  </si>
  <si>
    <t>briller</t>
  </si>
  <si>
    <t>Le soleil ne brille pas toute la journée , il ne brille pas tous les jours , et , pareillement , le vent ne souffle pas tout le temps .</t>
  </si>
  <si>
    <t>file://conllu/fr/teddy-918.conllu#s110_0</t>
  </si>
  <si>
    <t>111</t>
  </si>
  <si>
    <t>Et donc , si vous dépendez de ces sources , vous devez avoir un moyen d' obtenir de l' énergie pendant ces périodes de temps où elle n' est pas disponible .</t>
  </si>
  <si>
    <t>file://conllu/fr/teddy-918.conllu#s111_0</t>
  </si>
  <si>
    <t>112</t>
  </si>
  <si>
    <t>Nous avons ici de gros problèmes de coûts .</t>
  </si>
  <si>
    <t>file://conllu/fr/teddy-918.conllu#s112_0</t>
  </si>
  <si>
    <t>113</t>
  </si>
  <si>
    <t>Nous avons des de les problèmes de transmission .</t>
  </si>
  <si>
    <t>file://conllu/fr/teddy-918.conllu#s113_0</t>
  </si>
  <si>
    <t>114</t>
  </si>
  <si>
    <t>par exemple?</t>
  </si>
  <si>
    <t>Par exemple , disons que cette source d' énergie est en dehors de votre pays , alors non seulement vous avez besoin de la technologie , mais vous devez faire face au à le risque d' une énergie venue d' ailleurs .</t>
  </si>
  <si>
    <t>file://conllu/fr/teddy-918.conllu#s114_0</t>
  </si>
  <si>
    <t>115</t>
  </si>
  <si>
    <t>finalement?</t>
  </si>
  <si>
    <t>Et , finalement , il y a ce problème de stockage .</t>
  </si>
  <si>
    <t>file://conllu/fr/teddy-918.conllu#s115_0</t>
  </si>
  <si>
    <t>116</t>
  </si>
  <si>
    <t>Alors , pour dimensionner cela , j' ai étudié tous les types de batteries qu' on fabrique , pour les voitures , pour les ordinateurs , les téléphones , les lampes de poche , pour tout , et comparé cela à la quantité d' énergie électrique utilisée dans le monde , et ce que j' ai constaté , c' est que la totalité des de les batteries que nous faisons aujourd'hui pourrait stocker moins de 10 minutes de toute l' énergie .</t>
  </si>
  <si>
    <t>file://conllu/fr/teddy-918.conllu#s116_0</t>
  </si>
  <si>
    <t>117</t>
  </si>
  <si>
    <t>Alors , en fait , nous avons besoin d' une percée importante ici , quelque chose qui puisse améliorer d' un facteur de 100 les approches que nous avons actuellement .</t>
  </si>
  <si>
    <t>file://conllu/fr/teddy-918.conllu#s117_0</t>
  </si>
  <si>
    <t>118</t>
  </si>
  <si>
    <t>être (être impossible)</t>
  </si>
  <si>
    <t>Ce n' est pas impossible , mais ce n' est pas une chose très facile .</t>
  </si>
  <si>
    <t>file://conllu/fr/teddy-918.conllu#s118_0</t>
  </si>
  <si>
    <t>119</t>
  </si>
  <si>
    <t>être (être ce)</t>
  </si>
  <si>
    <t>C' est ce qu' on voit quand on essaie d' obtenir d' une source intermittente plus de , disons , 20 à 30 pour cent de ce qu' on utilise .</t>
  </si>
  <si>
    <t>file://conllu/fr/teddy-918.conllu#s119_0</t>
  </si>
  <si>
    <t>120</t>
  </si>
  <si>
    <t>Si on compte sur cette source pour fournir les 100 % , vous avez besoin d' une incroyable batterie miracle .</t>
  </si>
  <si>
    <t>file://conllu/fr/teddy-918.conllu#s120_0</t>
  </si>
  <si>
    <t>121</t>
  </si>
  <si>
    <t>essair</t>
  </si>
  <si>
    <t>Bon , essayons d' avancer sur la question de la bonne approche à adopter .</t>
  </si>
  <si>
    <t>file://conllu/fr/teddy-918.conllu#s121_0</t>
  </si>
  <si>
    <t>122</t>
  </si>
  <si>
    <t>Est -ce que c' est un nouveau &amp;quot; Projet Manhattan &amp;quot; ?</t>
  </si>
  <si>
    <t>file://conllu/fr/teddy-918.conllu#s122_0</t>
  </si>
  <si>
    <t>123</t>
  </si>
  <si>
    <t>moyen</t>
  </si>
  <si>
    <t>Quels moyens pour y arriver ?</t>
  </si>
  <si>
    <t>file://conllu/fr/teddy-918.conllu#s123_0</t>
  </si>
  <si>
    <t>124</t>
  </si>
  <si>
    <t>Eh bien , il nous faut un grand nombre d' entreprises pour travailler sur le sujet , des de les centaines .</t>
  </si>
  <si>
    <t>file://conllu/fr/teddy-918.conllu#s124_0</t>
  </si>
  <si>
    <t>125</t>
  </si>
  <si>
    <t>Dans chacune de ces cinq voies , nous avons besoin d' au à le moins une centaine de personnes .</t>
  </si>
  <si>
    <t>file://conllu/fr/teddy-918.conllu#s125_0</t>
  </si>
  <si>
    <t>126</t>
  </si>
  <si>
    <t>penser</t>
  </si>
  <si>
    <t>Et pour beaucoup d' entre eux , vous penserez qu' ils sont fous .</t>
  </si>
  <si>
    <t>file://conllu/fr/teddy-918.conllu#s126_0</t>
  </si>
  <si>
    <t>127</t>
  </si>
  <si>
    <t>être (être parfait)</t>
  </si>
  <si>
    <t>C' est parfait .</t>
  </si>
  <si>
    <t>file://conllu/fr/teddy-918.conllu#s127_0</t>
  </si>
  <si>
    <t>128</t>
  </si>
  <si>
    <t>déjà?</t>
  </si>
  <si>
    <t>poursuivre (poursuivre penser)</t>
  </si>
  <si>
    <t>Et , je pense qu' ici , dans le groupe TED , beaucoup de gens poursuivent déjà ces voies .</t>
  </si>
  <si>
    <t>file://conllu/fr/teddy-918.conllu#s128_0</t>
  </si>
  <si>
    <t>129</t>
  </si>
  <si>
    <t>posséder</t>
  </si>
  <si>
    <t>Bill Gross possède plusieurs sociétés , dont une appelé eSolar qui maîtrise quelques importantes technologies thermiques solaires .</t>
  </si>
  <si>
    <t>file://conllu/fr/teddy-918.conllu#s129_0</t>
  </si>
  <si>
    <t>130</t>
  </si>
  <si>
    <t>investir</t>
  </si>
  <si>
    <t>Vinod Khosla investit dans des de les douzaines d' entreprises qui font de grandes choses et ont d' intéressantes possibilités , et j' essaie d' aider à soutenir financièrement ces projets .</t>
  </si>
  <si>
    <t>file://conllu/fr/teddy-918.conllu#s130_0</t>
  </si>
  <si>
    <t>131</t>
  </si>
  <si>
    <t>soutenir</t>
  </si>
  <si>
    <t>En fait , Nathan Myhrvold et moi , nous soutenons financièrement une société qui , cela vous étonnera peut-être , a choisi l' approche nucléaire .</t>
  </si>
  <si>
    <t>file://conllu/fr/teddy-918.conllu#s131_0</t>
  </si>
  <si>
    <t>132</t>
  </si>
  <si>
    <t>yer</t>
  </si>
  <si>
    <t>Il ya quelques innovations dans le nucléaire : modulaire , liquide .</t>
  </si>
  <si>
    <t>file://conllu/fr/teddy-918.conllu#s132_0</t>
  </si>
  <si>
    <t>133</t>
  </si>
  <si>
    <t>depuis?</t>
  </si>
  <si>
    <t>cesser</t>
  </si>
  <si>
    <t>Et l' innovation avait vraiment cessé dans cette industrie depuis un certain temps , Alors , l' idée qu' il y ait quelques bonnes idées qui traînent n' est pas surprenant .</t>
  </si>
  <si>
    <t>file://conllu/fr/teddy-918.conllu#s133_0</t>
  </si>
  <si>
    <t>134</t>
  </si>
  <si>
    <t>être (être lieu)</t>
  </si>
  <si>
    <t>L' idée de Terrapower est , qu' au à le lieu de brûler une partie de l' uranium , ce un pour cent , qui est le U235 , on a décidé de brûler les autres 99 % , le U238 .</t>
  </si>
  <si>
    <t>file://conllu/fr/teddy-918.conllu#s134_0</t>
  </si>
  <si>
    <t>135</t>
  </si>
  <si>
    <t>être (être idée)</t>
  </si>
  <si>
    <t>C' est une idée un peu folle .</t>
  </si>
  <si>
    <t>file://conllu/fr/teddy-918.conllu#s135_0</t>
  </si>
  <si>
    <t>136</t>
  </si>
  <si>
    <t>parler (parler faire)</t>
  </si>
  <si>
    <t>En fait , ça faisait longtemps que des de les gens en parlaient , mais ils n' étaient jamais arrivés à simuler correctement si ça marcherait ou non , alors c' est grâce à l' avènement des de les super-ordinateurs modernes qu' on a pu effectuer la simulation , et voir que , oui , avec la bonne approche sur les matériaux , il semble que ça peut marcher .</t>
  </si>
  <si>
    <t>file://conllu/fr/teddy-918.conllu#s136_0</t>
  </si>
  <si>
    <t>137</t>
  </si>
  <si>
    <t>améliorer</t>
  </si>
  <si>
    <t>Et , parce que vous brûlez ces 99 pour cent , vous avez énormément amélioré le profil des de les coûts .</t>
  </si>
  <si>
    <t>file://conllu/fr/teddy-918.conllu#s137_0</t>
  </si>
  <si>
    <t>138</t>
  </si>
  <si>
    <t>être (être déchet)</t>
  </si>
  <si>
    <t>Ce que vous brûlez , ce sont les déchets , et vous pouvez utiliser comme combustible tous les surplus de déchets produits par les réacteurs d' aujourd'hui .</t>
  </si>
  <si>
    <t>file://conllu/fr/teddy-918.conllu#s138_0</t>
  </si>
  <si>
    <t>139</t>
  </si>
  <si>
    <t>ainsi?</t>
  </si>
  <si>
    <t>utiliser</t>
  </si>
  <si>
    <t>Ainsi , au à le lieu de s' en inquiéter à leur sujet , on les utilise .</t>
  </si>
  <si>
    <t>file://conllu/fr/teddy-918.conllu#s139_0</t>
  </si>
  <si>
    <t>140</t>
  </si>
  <si>
    <t>Ça , c' est quelque chose .</t>
  </si>
  <si>
    <t>file://conllu/fr/teddy-918.conllu#s140_0</t>
  </si>
  <si>
    <t>141</t>
  </si>
  <si>
    <t>aspirer</t>
  </si>
  <si>
    <t>Ça aspire cet uranium en fonctionnant .</t>
  </si>
  <si>
    <t>file://conllu/fr/teddy-918.conllu#s141_0</t>
  </si>
  <si>
    <t>142</t>
  </si>
  <si>
    <t>comme?</t>
  </si>
  <si>
    <t>être (être bougie)</t>
  </si>
  <si>
    <t>C' est un peu comme une bougie .</t>
  </si>
  <si>
    <t>file://conllu/fr/teddy-918.conllu#s142_0</t>
  </si>
  <si>
    <t>143</t>
  </si>
  <si>
    <t>Vous pouvez voir ça comme une bûche , on en a souvent parlé comme du de le &amp;quot; réacteur à vague d' ondes &amp;quot; .</t>
  </si>
  <si>
    <t>file://conllu/fr/teddy-918.conllu#s143_0</t>
  </si>
  <si>
    <t>144</t>
  </si>
  <si>
    <t>résoudre</t>
  </si>
  <si>
    <t>En termes de carburant , ça résout vraiment le problème .</t>
  </si>
  <si>
    <t>file://conllu/fr/teddy-918.conllu#s144_0</t>
  </si>
  <si>
    <t>145</t>
  </si>
  <si>
    <t>J' ai une photo ici d' un lieu dans le Kentucky .</t>
  </si>
  <si>
    <t>file://conllu/fr/teddy-918.conllu#s145_0</t>
  </si>
  <si>
    <t>146</t>
  </si>
  <si>
    <t>être (être reste)</t>
  </si>
  <si>
    <t>Ce sont les &amp;quot; restes &amp;quot; , les 99 pour cent , dont on a enlevé toute la partie qu' on brûle actuellement , alors on appelle ça &amp;quot; uranium appauvri &amp;quot; .</t>
  </si>
  <si>
    <t>file://conllu/fr/teddy-918.conllu#s146_0</t>
  </si>
  <si>
    <t>147</t>
  </si>
  <si>
    <t>Cela permettrait d' alimenter les États-Unis pour des de les centaines d' années .</t>
  </si>
  <si>
    <t>file://conllu/fr/teddy-918.conllu#s147_0</t>
  </si>
  <si>
    <t>148</t>
  </si>
  <si>
    <t>Et , par un processus peu coûteux , simplement en filtrant l' eau de mer on aurait assez de carburant pour toute la vie du de le reste de la planète .</t>
  </si>
  <si>
    <t>file://conllu/fr/teddy-918.conllu#s148_0</t>
  </si>
  <si>
    <t>149</t>
  </si>
  <si>
    <t>encore?</t>
  </si>
  <si>
    <t>rester</t>
  </si>
  <si>
    <t>D' accord , il reste encore beaucoup de chemin à faire , mais c' est un exemple parmi les centaines et les centaines d' idées dont nous avons besoin pour avancer .</t>
  </si>
  <si>
    <t>file://conllu/fr/teddy-918.conllu#s149_0</t>
  </si>
  <si>
    <t>150</t>
  </si>
  <si>
    <t>Réfléchisre</t>
  </si>
  <si>
    <t>Réfléchissons , comment allons -nous établir notre échelle de notation ?</t>
  </si>
  <si>
    <t>file://conllu/fr/teddy-918.conllu#s150_0</t>
  </si>
  <si>
    <t>151</t>
  </si>
  <si>
    <t>De quoi devrait avoir l' air notre feuille de route ?</t>
  </si>
  <si>
    <t>file://conllu/fr/teddy-918.conllu#s151_0</t>
  </si>
  <si>
    <t>152</t>
  </si>
  <si>
    <t>Commençer</t>
  </si>
  <si>
    <t>Commençons par le but que nous devons atteindre , et puis regardons les étapes intermédiaires .</t>
  </si>
  <si>
    <t>file://conllu/fr/teddy-918.conllu#s152_0</t>
  </si>
  <si>
    <t>153</t>
  </si>
  <si>
    <t>entendre</t>
  </si>
  <si>
    <t>Pour 2050 , vous avez entendu beaucoup de gens parler de cette réduction de 80 pour cent .</t>
  </si>
  <si>
    <t>file://conllu/fr/teddy-918.conllu#s153_0</t>
  </si>
  <si>
    <t>154</t>
  </si>
  <si>
    <t>C' est vraiment très important que nous y arrivions .</t>
  </si>
  <si>
    <t>file://conllu/fr/teddy-918.conllu#s154_0</t>
  </si>
  <si>
    <t>155</t>
  </si>
  <si>
    <t>provenir</t>
  </si>
  <si>
    <t>Et que les 20 % proviennent de ce qui se passe dans les pays pauvres , ou encore un peu de l' agriculture .</t>
  </si>
  <si>
    <t>file://conllu/fr/teddy-918.conllu#s155_0</t>
  </si>
  <si>
    <t>156</t>
  </si>
  <si>
    <t>espérer</t>
  </si>
  <si>
    <t>Espérons que d' ici là nous aurons une sylviculture et une industrie du de le ciment propres .</t>
  </si>
  <si>
    <t>file://conllu/fr/teddy-918.conllu#s156_0</t>
  </si>
  <si>
    <t>157</t>
  </si>
  <si>
    <t>Donc , pour arriver à ces 80 % , les pays développés , y compris des de les pays comme la Chine , auront eu à transformer complètement leurs méthodes de production d' électricité .</t>
  </si>
  <si>
    <t>file://conllu/fr/teddy-918.conllu#s157_0</t>
  </si>
  <si>
    <t>158</t>
  </si>
  <si>
    <t>Le niveau suivant , ce sera de mettre en oeuvre cette technologie zéro émission , de l' avoir mise en oeuvre dans tous les pays développés et d' être en passe de le faire dans les autres pays .</t>
  </si>
  <si>
    <t>file://conllu/fr/teddy-918.conllu#s158_0</t>
  </si>
  <si>
    <t>159</t>
  </si>
  <si>
    <t>C' est super important .</t>
  </si>
  <si>
    <t>file://conllu/fr/teddy-918.conllu#s159_0</t>
  </si>
  <si>
    <t>160</t>
  </si>
  <si>
    <t>être (être élément)</t>
  </si>
  <si>
    <t>C' est un élément essentiel pour tenir la feuille de route .</t>
  </si>
  <si>
    <t>file://conllu/fr/teddy-918.conllu#s160_0</t>
  </si>
  <si>
    <t>161</t>
  </si>
  <si>
    <t>revenir</t>
  </si>
  <si>
    <t>Alors , en revenant en arrière à partir de là , à quoi ressemble la feuille de route de 2020 ?</t>
  </si>
  <si>
    <t>file://conllu/fr/teddy-918.conllu#s161_0</t>
  </si>
  <si>
    <t>162</t>
  </si>
  <si>
    <t>Eh bien , là encore , on devrait avoir les deux éléments .</t>
  </si>
  <si>
    <t>file://conllu/fr/teddy-918.conllu#s162_0</t>
  </si>
  <si>
    <t>163</t>
  </si>
  <si>
    <t>Nous devons passer par des de les mesures d' efficacité pour commencer à obtenir des de les réductions .</t>
  </si>
  <si>
    <t>file://conllu/fr/teddy-918.conllu#s163_0</t>
  </si>
  <si>
    <t>164</t>
  </si>
  <si>
    <t>émettre</t>
  </si>
  <si>
    <t>Moins nous émettons , moins grande sera la somme de CO2 , et , par conséquent , moins chaude sera la température .</t>
  </si>
  <si>
    <t>file://conllu/fr/teddy-918.conllu#s164_0</t>
  </si>
  <si>
    <t>165</t>
  </si>
  <si>
    <t>Mais à certains égards , le niveau que nous atteindrons ici , en faisant des de les choses qui ne conduisent pas tout de suite à d' importantes réductions , n' est pas plus important , et peut-être même moins , que cet autre , qui est l' innovation sur laquelle reposent ces percées .</t>
  </si>
  <si>
    <t>file://conllu/fr/teddy-918.conllu#s165_0</t>
  </si>
  <si>
    <t>166</t>
  </si>
  <si>
    <t>Ces progrès , il faut que nous les réalisions à toute vitesse , et nous pouvons quantifier cela en termes de sociétés , de projets pilotes , de modifications des de les dispositions réglementaires .</t>
  </si>
  <si>
    <t>file://conllu/fr/teddy-918.conllu#s166_0</t>
  </si>
  <si>
    <t>167</t>
  </si>
  <si>
    <t>écrire</t>
  </si>
  <si>
    <t>Beaucoup de grands livres ont été écrits à ce sujet .</t>
  </si>
  <si>
    <t>file://conllu/fr/teddy-918.conllu#s167_0</t>
  </si>
  <si>
    <t>168</t>
  </si>
  <si>
    <t>livre</t>
  </si>
  <si>
    <t>Le livre de Al Gore , &amp;quot; Notre Choix &amp;quot; et le livre de David McKay , « L' énergie durable sans air chaud &amp;quot; .</t>
  </si>
  <si>
    <t>file://conllu/fr/teddy-918.conllu#s168_0</t>
  </si>
  <si>
    <t>169</t>
  </si>
  <si>
    <t>éclair</t>
  </si>
  <si>
    <t>Ils éclairent vraiment bien le sujet , et créent un cadre qui ouvre largement à la discussion , parce qu' on a besoin d' un soutien large pour cela .</t>
  </si>
  <si>
    <t>file://conllu/fr/teddy-918.conllu#s169_0</t>
  </si>
  <si>
    <t>170</t>
  </si>
  <si>
    <t>Beaucoup de choses doivent se produire en même temps .</t>
  </si>
  <si>
    <t>file://conllu/fr/teddy-918.conllu#s170_0</t>
  </si>
  <si>
    <t>171</t>
  </si>
  <si>
    <t>Il s' agit donc d' un souhait .</t>
  </si>
  <si>
    <t>file://conllu/fr/teddy-918.conllu#s171_0</t>
  </si>
  <si>
    <t>172</t>
  </si>
  <si>
    <t>être (être vœu)</t>
  </si>
  <si>
    <t>C' est un vœu très concret , que l' on invente cette technologie .</t>
  </si>
  <si>
    <t>file://conllu/fr/teddy-918.conllu#s172_0</t>
  </si>
  <si>
    <t>173</t>
  </si>
  <si>
    <t>être (être dernier)</t>
  </si>
  <si>
    <t>Si on me donnait un seul vœu à faire pour les 50 prochaines années , si je pouvais choisir le prochain Président , ou choisir un vaccin , ce qui est quelque chose que j' aime , ou encore choisir que cette chose soit inventée , un coût divisé par deux sans aucune émission de CO2 , c' est ce dernier que je choisirais .</t>
  </si>
  <si>
    <t>file://conllu/fr/teddy-918.conllu#s173_0</t>
  </si>
  <si>
    <t>174</t>
  </si>
  <si>
    <t>C' est celui qui aurait le plus grand impact .</t>
  </si>
  <si>
    <t>file://conllu/fr/teddy-918.conllu#s174_0</t>
  </si>
  <si>
    <t>175</t>
  </si>
  <si>
    <t>réaliser</t>
  </si>
  <si>
    <t>Si ce souhait ne se réalise pas , la division entre les gens qui pensent à court terme et à long terme sera terrible , entre les Etats-Unis et la Chine , entre pays pauvres et pays riches , et la vie sera bien pire pour la plupart de ces deux milliards de gens .</t>
  </si>
  <si>
    <t>file://conllu/fr/teddy-918.conllu#s175_0</t>
  </si>
  <si>
    <t>176</t>
  </si>
  <si>
    <t>Alors , qu' avons -nous à faire ?</t>
  </si>
  <si>
    <t>file://conllu/fr/teddy-918.conllu#s176_0</t>
  </si>
  <si>
    <t>177</t>
  </si>
  <si>
    <t>avant?</t>
  </si>
  <si>
    <t>En quoi fais -je appel à vous pour aller de l' avant ?</t>
  </si>
  <si>
    <t>file://conllu/fr/teddy-918.conllu#s177_0</t>
  </si>
  <si>
    <t>178</t>
  </si>
  <si>
    <t>Il faut plus de financement pour la recherche .</t>
  </si>
  <si>
    <t>file://conllu/fr/teddy-918.conllu#s178_0</t>
  </si>
  <si>
    <t>179</t>
  </si>
  <si>
    <t>lorsque?</t>
  </si>
  <si>
    <t>Lorsque les pays se réunissent , comme à Copenhague , ils ne devraient pas discuter seulement du de le CO2 .</t>
  </si>
  <si>
    <t>file://conllu/fr/teddy-918.conllu#s179_0</t>
  </si>
  <si>
    <t>180</t>
  </si>
  <si>
    <t>Ils devraient discuter de ce programme d' innovation , et vous seriez étonnés par le niveau de dépenses ridiculement faible nécessité par ces approches innovantes .</t>
  </si>
  <si>
    <t>file://conllu/fr/teddy-918.conllu#s180_0</t>
  </si>
  <si>
    <t>181</t>
  </si>
  <si>
    <t>Nous avons besoin d' incitations pour le marché , une taxe CO2 , avec plafonnement et échanges , quelque chose qui active un signal de prix .</t>
  </si>
  <si>
    <t>file://conllu/fr/teddy-918.conllu#s181_0</t>
  </si>
  <si>
    <t>182</t>
  </si>
  <si>
    <t>Nous devons faire passer le message .</t>
  </si>
  <si>
    <t>file://conllu/fr/teddy-918.conllu#s182_0</t>
  </si>
  <si>
    <t>183</t>
  </si>
  <si>
    <t>Nous avons besoin que ce dialogue devienne plus rationnel , plus compréhensible , y compris les étapes , les mesures que le gouvernement prend .</t>
  </si>
  <si>
    <t>file://conllu/fr/teddy-918.conllu#s183_0</t>
  </si>
  <si>
    <t>184</t>
  </si>
  <si>
    <t>être (être souhait)</t>
  </si>
  <si>
    <t>C' est un souhait important , mais je pense que nous pouvons l' accomplir.</t>
  </si>
  <si>
    <t>file://conllu/fr/teddy-918.conllu#s184_0</t>
  </si>
  <si>
    <t>185</t>
  </si>
  <si>
    <t>merci</t>
  </si>
  <si>
    <t>Merci .</t>
  </si>
  <si>
    <t>file://conllu/fr/teddy-918.conllu#s185_0</t>
  </si>
  <si>
    <t>186</t>
  </si>
  <si>
    <t>Applaudissements</t>
  </si>
  <si>
    <t>( Applaudissements ) Chris Anderson : Je vous remercie.</t>
  </si>
  <si>
    <t>file://conllu/fr/teddy-918.conllu#s186_0</t>
  </si>
  <si>
    <t>187</t>
  </si>
  <si>
    <t>file://conllu/fr/teddy-918.conllu#s187_0</t>
  </si>
  <si>
    <t>188</t>
  </si>
  <si>
    <t>file://conllu/fr/teddy-918.conllu#s188_0</t>
  </si>
  <si>
    <t>189</t>
  </si>
  <si>
    <t>dire (dire vouloir)</t>
  </si>
  <si>
    <t>Juste pour mieux comprendre , à propos de Terrapower , je veux dire , tout d' abord , pouvez -vous donner une idée de l' ampleur des de les investissements que cela représente ?</t>
  </si>
  <si>
    <t>file://conllu/fr/teddy-918.conllu#s189_0</t>
  </si>
  <si>
    <t>190</t>
  </si>
  <si>
    <t>Bill</t>
  </si>
  <si>
    <t>Bill Gates : Pour finaliser le logiciel avec le supercalculateur , embaucher les meilleurs scientifiques , ce que nous avons fait , ça se chiffre seulement en dizaines de millions , et même en ayant testé nos matériels dans un réacteur russe pour s' assurer qu' ils fonctionnent correctement , on arrive seulement dans les centaines de millions</t>
  </si>
  <si>
    <t>file://conllu/fr/teddy-918.conllu#s190_0</t>
  </si>
  <si>
    <t>191</t>
  </si>
  <si>
    <t>être (être construction)</t>
  </si>
  <si>
    <t>Le plus dur est la construction du de le réacteur pilote , trouver les quelques milliards , trouver le régulateur , l' emplacement voilà comment on construira le premier .</t>
  </si>
  <si>
    <t>file://conllu/fr/teddy-918.conllu#s191_0</t>
  </si>
  <si>
    <t>192</t>
  </si>
  <si>
    <t>fonctionner</t>
  </si>
  <si>
    <t>Une fois que le premier sera construit , si tout fonctionne comme annoncé , alors ça deviendra une évidence , avec des de les données économiques et une densité d' énergie , tellement différentes de celles du de le nucléaire que nous connaissons .</t>
  </si>
  <si>
    <t>file://conllu/fr/teddy-918.conllu#s192_0</t>
  </si>
  <si>
    <t>193</t>
  </si>
  <si>
    <t>ça</t>
  </si>
  <si>
    <t>CA : Alors , pour bien comprendre , cela implique de construire , profond dans le sol , quelque chose comme une sorte de colonne verticale de combustible nucléaire , faite de cet uranium appauvri , et puis le processus commence par le haut et continue vers le bas ?</t>
  </si>
  <si>
    <t>file://conllu/fr/teddy-918.conllu#s193_0</t>
  </si>
  <si>
    <t>194</t>
  </si>
  <si>
    <t>BG</t>
  </si>
  <si>
    <t>BG : C' est ça .</t>
  </si>
  <si>
    <t>file://conllu/fr/teddy-918.conllu#s194_0</t>
  </si>
  <si>
    <t>195</t>
  </si>
  <si>
    <t>Aujourd'hui , on doit constamment ravitailler le réacteur en carburant , ça nécessite donc beaucoup de gens et beaucoup de contrôles peuvent mal tourner , comme quand il faut l' ouvrir , et y faire entrer et sortir des de les choses .</t>
  </si>
  <si>
    <t>file://conllu/fr/teddy-918.conllu#s195_0</t>
  </si>
  <si>
    <t>196</t>
  </si>
  <si>
    <t>être (être bon)</t>
  </si>
  <si>
    <t>Ce n' est pas bon .</t>
  </si>
  <si>
    <t>file://conllu/fr/teddy-918.conllu#s196_0</t>
  </si>
  <si>
    <t>197</t>
  </si>
  <si>
    <t>Mais si on a un carburant très bon marché qu' on peut y mettre pour 60 ans pensez -y simplement comme à une bûche le poser là sans avoir tous ces mêmes problèmes complexes .</t>
  </si>
  <si>
    <t>file://conllu/fr/teddy-918.conllu#s197_0</t>
  </si>
  <si>
    <t>198</t>
  </si>
  <si>
    <t>Il est là , il va brûler pendant les 60 ans et puis c' est fini .</t>
  </si>
  <si>
    <t>file://conllu/fr/teddy-918.conllu#s198_0</t>
  </si>
  <si>
    <t>199</t>
  </si>
  <si>
    <t>CA : Il s' agit d' une centrale nucléaire qui est sa propre solution d' élimination des de les déchets .</t>
  </si>
  <si>
    <t>file://conllu/fr/teddy-918.conllu#s199_0</t>
  </si>
  <si>
    <t>200</t>
  </si>
  <si>
    <t>BG : Oui .</t>
  </si>
  <si>
    <t>file://conllu/fr/teddy-918.conllu#s200_0</t>
  </si>
  <si>
    <t>201</t>
  </si>
  <si>
    <t>Eh bien , ce qui se passe avec les déchets , c' est que vous pouvez les laisser sur place il y a beaucoup moins de déchets avec cette approche et puis vous pouvez les récupérer , les mettre dans un autre réacteur et brûler le tout .</t>
  </si>
  <si>
    <t>file://conllu/fr/teddy-918.conllu#s201_0</t>
  </si>
  <si>
    <t>202</t>
  </si>
  <si>
    <t>démarrer</t>
  </si>
  <si>
    <t>En fait , on démarre avec les déchets qui existent aujourd'hui , qui sont dans ces bassins de refroidissement dans des de les tonneaux secs , près du de le réacteur .</t>
  </si>
  <si>
    <t>file://conllu/fr/teddy-918.conllu#s202_0</t>
  </si>
  <si>
    <t>203</t>
  </si>
  <si>
    <t>C' est ça , le carburant avec lequel on commence .</t>
  </si>
  <si>
    <t>file://conllu/fr/teddy-918.conllu#s203_0</t>
  </si>
  <si>
    <t>204</t>
  </si>
  <si>
    <t>Ce qui a été un problème avec les anciens réacteurs , c' est ce qui nourrit le nôtre , et on réduit radicalement le volume des de les déchets avec ce processus .</t>
  </si>
  <si>
    <t>file://conllu/fr/teddy-918.conllu#s204_0</t>
  </si>
  <si>
    <t>205</t>
  </si>
  <si>
    <t>CA : Mais quand vous parlez aux à les gens autour de vous , dans le monde entier , des de les possibilités qu' on a ici , où montre -t -on le plus d' intérêt à en faire réellement quelque chose ?</t>
  </si>
  <si>
    <t>file://conllu/fr/teddy-918.conllu#s205_0</t>
  </si>
  <si>
    <t>206</t>
  </si>
  <si>
    <t>BG : Eh bien , nous n' avons pas choisi de lieu particulier , et il y a toutes ces règles de divulgation concernant tout ce qui se rapporte au à le nucléaire , alors , nous éveillons donc beaucoup d' intérêt , et la société a envoyé des de les gens en Russie , en Inde , en Chine .</t>
  </si>
  <si>
    <t>file://conllu/fr/teddy-918.conllu#s206_0</t>
  </si>
  <si>
    <t>207</t>
  </si>
  <si>
    <t>retourner</t>
  </si>
  <si>
    <t>Je suis retourné voir le Secrétaire à l' Énergie ici , parler de comment cela s' intègre dans l' agenda énergétique .</t>
  </si>
  <si>
    <t>file://conllu/fr/teddy-918.conllu#s207_0</t>
  </si>
  <si>
    <t>208</t>
  </si>
  <si>
    <t>être (être optimiste)</t>
  </si>
  <si>
    <t>Je suis optimiste .</t>
  </si>
  <si>
    <t>file://conllu/fr/teddy-918.conllu#s208_0</t>
  </si>
  <si>
    <t>209</t>
  </si>
  <si>
    <t>faire (faire savoir)</t>
  </si>
  <si>
    <t>Vous savez que les Français et les Japonais ont fait du de le bon travail .</t>
  </si>
  <si>
    <t>file://conllu/fr/teddy-918.conllu#s209_0</t>
  </si>
  <si>
    <t>210</t>
  </si>
  <si>
    <t>Il s' agit là d' une variante de quelque chose qui a déjà été réalisé .</t>
  </si>
  <si>
    <t>file://conllu/fr/teddy-918.conllu#s210_0</t>
  </si>
  <si>
    <t>211</t>
  </si>
  <si>
    <t>être (être candidat)</t>
  </si>
  <si>
    <t>C' est un progrès important , mais c' est comme un réacteur rapide , et de nombreux pays en ont déjà construits , donc chacun de ceux -là est candidat pour être le premier pays où nous construirons le premier .. CA : Quels sont , selon vous , l' échéance et la probabilité de mener cela à bien dans la réalité ?</t>
  </si>
  <si>
    <t>file://conllu/fr/teddy-918.conllu#s211_0</t>
  </si>
  <si>
    <t>212</t>
  </si>
  <si>
    <t>BG : Eh bien , pour une de ces unités de production électrique à grande échelle , et ce n' est qu' une approximation , nous devons compter 20 an pour inventer , et 20 ans pour mettre en œuvre .</t>
  </si>
  <si>
    <t>file://conllu/fr/teddy-918.conllu#s212_0</t>
  </si>
  <si>
    <t>213</t>
  </si>
  <si>
    <t>être (être genre)</t>
  </si>
  <si>
    <t>C' est à ce genre d' échéance que les modèles environnementaux nous ont montré qu' il fallait nous attendre .</t>
  </si>
  <si>
    <t>file://conllu/fr/teddy-918.conllu#s213_0</t>
  </si>
  <si>
    <t>214</t>
  </si>
  <si>
    <t>savoir</t>
  </si>
  <si>
    <t>Et , vous savez , Terrapower , si les choses vont bien , ce qui est beaucoup espérer , pourrait facilement tenir ces délais .</t>
  </si>
  <si>
    <t>file://conllu/fr/teddy-918.conllu#s214_0</t>
  </si>
  <si>
    <t>215</t>
  </si>
  <si>
    <t>Et il y a heureusement , aujourd'hui , des de les dizaines d' entreprises , et il faut qu' il y en ait des de les centaines , qui pourront , si le côté scientifique avance bien , et si le financement de leurs usines pilotes se passe bien , entrer aussi dans la compétition .</t>
  </si>
  <si>
    <t>file://conllu/fr/teddy-918.conllu#s215_0</t>
  </si>
  <si>
    <t>216</t>
  </si>
  <si>
    <t>être (être assister)</t>
  </si>
  <si>
    <t>Et ce sera mieux si on assiste à plusieurs succès , car alors on pourra utiliser un mélange de tout ça .</t>
  </si>
  <si>
    <t>file://conllu/fr/teddy-918.conllu#s216_0</t>
  </si>
  <si>
    <t>217</t>
  </si>
  <si>
    <t>Il faut absolument qu' un de ces projets réussisse .</t>
  </si>
  <si>
    <t>file://conllu/fr/teddy-918.conllu#s217_0</t>
  </si>
  <si>
    <t>218</t>
  </si>
  <si>
    <t>CA : En termes de changements des de les règles du de le jeu à grande échelle , est -ce que c' est le plus important dont vous ayez entendu parler ?</t>
  </si>
  <si>
    <t>file://conllu/fr/teddy-918.conllu#s218_0</t>
  </si>
  <si>
    <t>219</t>
  </si>
  <si>
    <t>BG : Une percée dans le domaine de l' énergie est la chose la plus importante .</t>
  </si>
  <si>
    <t>file://conllu/fr/teddy-918.conllu#s219_0</t>
  </si>
  <si>
    <t>220</t>
  </si>
  <si>
    <t>sans?</t>
  </si>
  <si>
    <t>être (être contrainte)</t>
  </si>
  <si>
    <t>Ça l' aurait été , même sans la contrainte de l' environnement , mais la contrainte environnementale la rend simplement tellement plus importante .</t>
  </si>
  <si>
    <t>file://conllu/fr/teddy-918.conllu#s220_0</t>
  </si>
  <si>
    <t>221</t>
  </si>
  <si>
    <t>Dans le domaine nucléaire , il y a d' autres innovateurs .</t>
  </si>
  <si>
    <t>file://conllu/fr/teddy-918.conllu#s221_0</t>
  </si>
  <si>
    <t>222</t>
  </si>
  <si>
    <t>Vous savez , on ne connait pas aussi bien leur travail que celui-ci , mais il y a ceux qui étudient l' approche par modules , c' est une approche différente .</t>
  </si>
  <si>
    <t>file://conllu/fr/teddy-918.conllu#s222_0</t>
  </si>
  <si>
    <t>223</t>
  </si>
  <si>
    <t>Il y a le réacteur de type liquide , ce qui semble un peu difficile , mais c' est peut-être ce qu' ils pensaient aussi de nous .</t>
  </si>
  <si>
    <t>file://conllu/fr/teddy-918.conllu#s223_0</t>
  </si>
  <si>
    <t>224</t>
  </si>
  <si>
    <t>Donc , il y a différentes voies , mais la beauté de tout ça , c' est qu' une molécule d' uranium renferme un million de fois plus d' énergie qu' une molécule de , disons , de charbon , et qu' ainsi , si l' on sait traiter les aspects négatifs , c' est à dire essentiellement la radiation , alors , l' empreinte et le coût , le potentiel , en termes d' effets sur la terre et sur le reste , le place quasiment dans une catégorie à part .</t>
  </si>
  <si>
    <t>file://conllu/fr/teddy-918.conllu#s224_0</t>
  </si>
  <si>
    <t>225</t>
  </si>
  <si>
    <t>CA : Et si ça ne marche pas , alors que faire ?</t>
  </si>
  <si>
    <t>file://conllu/fr/teddy-918.conllu#s225_0</t>
  </si>
  <si>
    <t>226</t>
  </si>
  <si>
    <t>Devons -nous commencer à prendre des de les mesures d' urgence pour essayer de garder stable la température de la terre ?</t>
  </si>
  <si>
    <t>file://conllu/fr/teddy-918.conllu#s226_0</t>
  </si>
  <si>
    <t>227</t>
  </si>
  <si>
    <t>BG : Si vous arrivait dans cette situation , ce serait comme si vous aviez trop mangé , et que vous étiez prêt à avoir un infarctus .</t>
  </si>
  <si>
    <t>file://conllu/fr/teddy-918.conllu#s227_0</t>
  </si>
  <si>
    <t>228</t>
  </si>
  <si>
    <t>allez-vous</t>
  </si>
  <si>
    <t>Alors , où allez-vous ?</t>
  </si>
  <si>
    <t>file://conllu/fr/teddy-918.conllu#s228_0</t>
  </si>
  <si>
    <t>229</t>
  </si>
  <si>
    <t>Il vous faut une chirurgie cardiaque ou quelque chose comme ça .</t>
  </si>
  <si>
    <t>file://conllu/fr/teddy-918.conllu#s229_0</t>
  </si>
  <si>
    <t>230</t>
  </si>
  <si>
    <t>Il ya une ligne de recherche sur ce qu' on appelle la géo-ingénierie , portant sur différentes techniques , qui retarderaient le réchauffement , pour gagner les 20 ou 30 ans nécessaires pour nous prendre en main .</t>
  </si>
  <si>
    <t>file://conllu/fr/teddy-918.conllu#s230_0</t>
  </si>
  <si>
    <t>231</t>
  </si>
  <si>
    <t>être (être rien)</t>
  </si>
  <si>
    <t>Ce n' est rien de plus qu' une police d' assurance .</t>
  </si>
  <si>
    <t>file://conllu/fr/teddy-918.conllu#s231_0</t>
  </si>
  <si>
    <t>232</t>
  </si>
  <si>
    <t>On espère ne pas en avoir besoin .</t>
  </si>
  <si>
    <t>file://conllu/fr/teddy-918.conllu#s232_0</t>
  </si>
  <si>
    <t>233</t>
  </si>
  <si>
    <t>Certains disent qu' il ne faudrait même pas travailler dans cette direction , car elle pourrait nous rendre paresseux , comme si vous continuiez à manger parce que vous savez que la chirurgie cardiaque sera là pour vous sauver .</t>
  </si>
  <si>
    <t>file://conllu/fr/teddy-918.conllu#s233_0</t>
  </si>
  <si>
    <t>234</t>
  </si>
  <si>
    <t>être (être sûr)</t>
  </si>
  <si>
    <t>Je ne suis pas sûr que ce soit avisé , étant donné l' ampleur du de le problème , mais , bon , il y a cette histoire de géo-ingénierie , à garder au à le fond de la poche , au à le cas où les choses arrivent plus vite que prévu , ou que l' innovation soit beaucoup plus lente .</t>
  </si>
  <si>
    <t>file://conllu/fr/teddy-918.conllu#s234_0</t>
  </si>
  <si>
    <t>235</t>
  </si>
  <si>
    <t>CA : Les climato-sceptiques : si vous aviez une ou deux phrases à leur dire , comment pourriez-vous les persuader qu' ils ont tort ?</t>
  </si>
  <si>
    <t>file://conllu/fr/teddy-918.conllu#s235_0</t>
  </si>
  <si>
    <t>236</t>
  </si>
  <si>
    <t>malheureusement?</t>
  </si>
  <si>
    <t>BG : Eh bien , malheureusement , les sceptiques sont dans des de les camps différents .</t>
  </si>
  <si>
    <t>file://conllu/fr/teddy-918.conllu#s236_0</t>
  </si>
  <si>
    <t>237</t>
  </si>
  <si>
    <t>être (être nombreux)</t>
  </si>
  <si>
    <t>Ceux dont les arguments sont scientifiques sont très peu nombreux .</t>
  </si>
  <si>
    <t>file://conllu/fr/teddy-918.conllu#s237_0</t>
  </si>
  <si>
    <t>238</t>
  </si>
  <si>
    <t>Disent -ils qu' il y a des de les effets de rétroaction négative qui ont à voir avec les nuages qui ont compensé les choses ?</t>
  </si>
  <si>
    <t>file://conllu/fr/teddy-918.conllu#s238_0</t>
  </si>
  <si>
    <t>239</t>
  </si>
  <si>
    <t>Il y a très , très peu de choses qu' ils puissent même dire , il y a une chance sur un million pour cela .</t>
  </si>
  <si>
    <t>file://conllu/fr/teddy-918.conllu#s239_0</t>
  </si>
  <si>
    <t>240</t>
  </si>
  <si>
    <t>être (être sida)</t>
  </si>
  <si>
    <t>Le principal problème que nous ayons ici est un peu comme avec le SIDA .</t>
  </si>
  <si>
    <t>file://conllu/fr/teddy-918.conllu#s240_0</t>
  </si>
  <si>
    <t>241</t>
  </si>
  <si>
    <t>Vous faites une erreur maintenant , et vous en payez le prix beaucoup plus tard .</t>
  </si>
  <si>
    <t>file://conllu/fr/teddy-918.conllu#s241_0</t>
  </si>
  <si>
    <t>242</t>
  </si>
  <si>
    <t>importer</t>
  </si>
  <si>
    <t>Quand vous avez n' importe quel genre de problème urgent , cette idée de souffrir maintenant , avec un gain plus tard par rapport à une douleur dont on n' est pas sûrs .</t>
  </si>
  <si>
    <t>file://conllu/fr/teddy-918.conllu#s242_0</t>
  </si>
  <si>
    <t>243</t>
  </si>
  <si>
    <t>être (être pire)</t>
  </si>
  <si>
    <t>En fait , le rapport du de le Groupe d’ experts Intergouvernemental sur l’ Evolution du de le Climat , ce n' est pas nécessairement le pire des de les cas , et il ya des de les gens dans les pays riches qui regardent le GIEC et se disent &amp;quot; Ok , ce n' est pas si important . &amp;quot;</t>
  </si>
  <si>
    <t>file://conllu/fr/teddy-918.conllu#s243_0</t>
  </si>
  <si>
    <t>244</t>
  </si>
  <si>
    <t>le fait est que?</t>
  </si>
  <si>
    <t>Le fait est que c' est cette part d' incertitude qui devrait nous pousser dans cette direction .</t>
  </si>
  <si>
    <t>file://conllu/fr/teddy-918.conllu#s244_0</t>
  </si>
  <si>
    <t>245</t>
  </si>
  <si>
    <t>Mais mon rêve est que , si vous pouvez faire que ce soit économique , et répondre aux à les contraintes de CO2 , alors les sceptiques diront : &amp;quot; OK , ça m' est égal qu' il ne rejette pas de CO2 , j' aurais préféré qu' il émette du de le CO2 , mais je crois que je vais l' accepter parce que c' est meilleur marché que ceux d' avant .</t>
  </si>
  <si>
    <t>file://conllu/fr/teddy-918.conllu#s245_0</t>
  </si>
  <si>
    <t>246</t>
  </si>
  <si>
    <t>CA : Et alors , ce serait votre réponse à l' argument de Bjorn Lomborg , que , si on dépense toute cette énergie à essayer de résoudre le problème du de le CO2 , ça va l' emporter tous les autres objectifs , comme d' essayer de débarrasser le monde de la pauvreté et du de le paludisme , etc.</t>
  </si>
  <si>
    <t>file://conllu/fr/teddy-918.conllu#s246_0</t>
  </si>
  <si>
    <t>247</t>
  </si>
  <si>
    <t>être (être gaspillage)</t>
  </si>
  <si>
    <t>Que c' est un gaspillage stupide des de les ressources que de dépenser de l' argent pour ça,quand il y a bien mieux à faire .</t>
  </si>
  <si>
    <t>file://conllu/fr/teddy-918.conllu#s247_0</t>
  </si>
  <si>
    <t>248</t>
  </si>
  <si>
    <t>BG : Eh bien , les dépenses réellement consacrées en Recherche &amp;amp;amp ;</t>
  </si>
  <si>
    <t>file://conllu/fr/teddy-918.conllu#s248_0</t>
  </si>
  <si>
    <t>249</t>
  </si>
  <si>
    <t>développement</t>
  </si>
  <si>
    <t>Développement disons , si les États-Unis dépensaient 10 milliards de plus par an qu' actuellement ce ne serait pas si dramatique .</t>
  </si>
  <si>
    <t>file://conllu/fr/teddy-918.conllu#s249_0</t>
  </si>
  <si>
    <t>250</t>
  </si>
  <si>
    <t>remettrer</t>
  </si>
  <si>
    <t>Ça ne remettrait pas les autres postes de dépense en cause .</t>
  </si>
  <si>
    <t>file://conllu/fr/teddy-918.conllu#s250_0</t>
  </si>
  <si>
    <t>251</t>
  </si>
  <si>
    <t>Là où les gens raisonnables peuvent ne pas être d' accord , et on parle ici de grosses sommes , c' est quand vous avez quelque chose de pas économique , et que vous essayez de le financer .</t>
  </si>
  <si>
    <t>file://conllu/fr/teddy-918.conllu#s251_0</t>
  </si>
  <si>
    <t>252</t>
  </si>
  <si>
    <t>surtout?</t>
  </si>
  <si>
    <t>C' est surtout ça , pour moi , qui est du de le gâchis .</t>
  </si>
  <si>
    <t>file://conllu/fr/teddy-918.conllu#s252_0</t>
  </si>
  <si>
    <t>253</t>
  </si>
  <si>
    <t>être (être proche)</t>
  </si>
  <si>
    <t>Sauf si on est très proche de la solution , et que ce qu' on finance c' est la progression du de le savoir , et que ça va être très bon marché .</t>
  </si>
  <si>
    <t>file://conllu/fr/teddy-918.conllu#s253_0</t>
  </si>
  <si>
    <t>254</t>
  </si>
  <si>
    <t>croire</t>
  </si>
  <si>
    <t>Je crois qu' on devrait essayer plus de choses choses qui pourraient , potentiellement , coûter beaucoup moins cher .</t>
  </si>
  <si>
    <t>file://conllu/fr/teddy-918.conllu#s254_0</t>
  </si>
  <si>
    <t>255</t>
  </si>
  <si>
    <t>Si l' arbitrage que vous choississez , c' est &amp;quot; Rendons l' énergie super chère &amp;quot; , alors seuls les riches pourront se le permettre .</t>
  </si>
  <si>
    <t>file://conllu/fr/teddy-918.conllu#s255_0</t>
  </si>
  <si>
    <t>256</t>
  </si>
  <si>
    <t>Ce que je veux dire , c' est que nous tous , ici , nous pourrions nous permettre de payer notre énergie 5 fois plus cher , sans changer notre mode de vie .</t>
  </si>
  <si>
    <t>file://conllu/fr/teddy-918.conllu#s256_0</t>
  </si>
  <si>
    <t>257</t>
  </si>
  <si>
    <t>La catastrophe serait pour ces deux milliards de gens .</t>
  </si>
  <si>
    <t>file://conllu/fr/teddy-918.conllu#s257_0</t>
  </si>
  <si>
    <t>258</t>
  </si>
  <si>
    <t>changer</t>
  </si>
  <si>
    <t>Et même Lomborg a changé .</t>
  </si>
  <si>
    <t>file://conllu/fr/teddy-918.conllu#s258_0</t>
  </si>
  <si>
    <t>259</t>
  </si>
  <si>
    <t>Son truc , maintenant , c' est de répéter &amp;quot; pourquoi ne discute -t -on pas plus de R&amp;amp;amp ;D . &amp;quot;</t>
  </si>
  <si>
    <t>file://conllu/fr/teddy-918.conllu#s259_0</t>
  </si>
  <si>
    <t>260</t>
  </si>
  <si>
    <t>Il est encore , à cause de l' affaire d' avant , toujours associé avec le camp des de les climato-sceptiques , mais il a compris que c' est une position assez solitaire , alors , il ramène son truc de R&amp;amp;amp ;D. Mais là-dedans , il y a quelque chose qui ne me semble pas faux .</t>
  </si>
  <si>
    <t>file://conllu/fr/teddy-918.conllu#s260_0</t>
  </si>
  <si>
    <t>261</t>
  </si>
  <si>
    <t>être (être dingue)</t>
  </si>
  <si>
    <t>C' est dingue de voir à quel point la R&amp;amp;amp;D est peu financée .</t>
  </si>
  <si>
    <t>file://conllu/fr/teddy-918.conllu#s261_0</t>
  </si>
  <si>
    <t>262</t>
  </si>
  <si>
    <t>CA : Et bien Bill , je pense que je parle au à le nom de la plupart des de les gens ici en disant que j' espère vraiment que ton souhait devienne réalité .</t>
  </si>
  <si>
    <t>file://conllu/fr/teddy-918.conllu#s262_0</t>
  </si>
  <si>
    <t>263</t>
  </si>
  <si>
    <t>Merci beaucoup .</t>
  </si>
  <si>
    <t>file://conllu/fr/teddy-918.conllu#s263_0</t>
  </si>
  <si>
    <t>264</t>
  </si>
  <si>
    <t>BG : Je vous remercie .</t>
  </si>
  <si>
    <t>file://conllu/fr/teddy-918.conllu#s264_0</t>
  </si>
  <si>
    <t>WORD</t>
  </si>
  <si>
    <t>GR</t>
  </si>
  <si>
    <t>NP_TYPE</t>
  </si>
  <si>
    <t>REF_AUTO</t>
  </si>
  <si>
    <t>COREF</t>
  </si>
  <si>
    <t>REF</t>
  </si>
  <si>
    <t>IS</t>
  </si>
  <si>
    <t>CB</t>
  </si>
  <si>
    <t>GR_ANTE</t>
  </si>
  <si>
    <t>REF_DIST</t>
  </si>
  <si>
    <t>REF_DIST_ANTE</t>
  </si>
  <si>
    <t># text = Je vais aujourd'hui vous parler d'énergie et de climat.</t>
  </si>
  <si>
    <t>Je</t>
  </si>
  <si>
    <t>SBJ</t>
  </si>
  <si>
    <t>pron.pper</t>
  </si>
  <si>
    <t>?OLD</t>
  </si>
  <si>
    <t>vais</t>
  </si>
  <si>
    <t>aujourd'hui</t>
  </si>
  <si>
    <t>vous</t>
  </si>
  <si>
    <t>OBJ_2</t>
  </si>
  <si>
    <t>parler</t>
  </si>
  <si>
    <t>d'</t>
  </si>
  <si>
    <t>énergie</t>
  </si>
  <si>
    <t>other_2</t>
  </si>
  <si>
    <t>indef-np.bare</t>
  </si>
  <si>
    <t>et</t>
  </si>
  <si>
    <t>de</t>
  </si>
  <si>
    <t>climat</t>
  </si>
  <si>
    <t>other_3</t>
  </si>
  <si>
    <t>.</t>
  </si>
  <si>
    <t># text = Et cela peut sembler un peu surprenant parce que mon travail à temps plein à la Fondation concerne plutôt les vaccins et les semences, les choses que nous devons inventer et distribuer pour aider les deux milliards des plus pauvres à vivre mieux.</t>
  </si>
  <si>
    <t>Et</t>
  </si>
  <si>
    <t>cela</t>
  </si>
  <si>
    <t>pron.pds</t>
  </si>
  <si>
    <t>peut</t>
  </si>
  <si>
    <t>sembler</t>
  </si>
  <si>
    <t>un</t>
  </si>
  <si>
    <t>peu</t>
  </si>
  <si>
    <t>surprenant</t>
  </si>
  <si>
    <t>parce</t>
  </si>
  <si>
    <t>que</t>
  </si>
  <si>
    <t>mon</t>
  </si>
  <si>
    <t>other_4</t>
  </si>
  <si>
    <t>pron.ppos</t>
  </si>
  <si>
    <t>travail</t>
  </si>
  <si>
    <t>SBJ_3</t>
  </si>
  <si>
    <t>def-np.poss</t>
  </si>
  <si>
    <t>à</t>
  </si>
  <si>
    <t>temps</t>
  </si>
  <si>
    <t>plein</t>
  </si>
  <si>
    <t>la</t>
  </si>
  <si>
    <t>Fondation</t>
  </si>
  <si>
    <t>def-np.the</t>
  </si>
  <si>
    <t>concerne</t>
  </si>
  <si>
    <t>plutôt</t>
  </si>
  <si>
    <t>les</t>
  </si>
  <si>
    <t>vaccins</t>
  </si>
  <si>
    <t>OBJ_3</t>
  </si>
  <si>
    <t>semences</t>
  </si>
  <si>
    <t>,</t>
  </si>
  <si>
    <t>choses</t>
  </si>
  <si>
    <t>OBJ_6</t>
  </si>
  <si>
    <t>nous</t>
  </si>
  <si>
    <t>SBJ_5</t>
  </si>
  <si>
    <t>devons</t>
  </si>
  <si>
    <t>inventer</t>
  </si>
  <si>
    <t>distribuer</t>
  </si>
  <si>
    <t>pour</t>
  </si>
  <si>
    <t>aider</t>
  </si>
  <si>
    <t>deux</t>
  </si>
  <si>
    <t>milliards</t>
  </si>
  <si>
    <t>OBJ_7</t>
  </si>
  <si>
    <t>plus</t>
  </si>
  <si>
    <t>pauvres</t>
  </si>
  <si>
    <t>vivre</t>
  </si>
  <si>
    <t>mieux</t>
  </si>
  <si>
    <t># text = Mais l'énergie et le climat sont extrêmement importants pour ces personnes, en fait, plus importants que pour quiconque sur la planète.</t>
  </si>
  <si>
    <t>Mais</t>
  </si>
  <si>
    <t>l'</t>
  </si>
  <si>
    <t>le</t>
  </si>
  <si>
    <t>sont</t>
  </si>
  <si>
    <t>extrêmement</t>
  </si>
  <si>
    <t>importants</t>
  </si>
  <si>
    <t>ces</t>
  </si>
  <si>
    <t>personnes</t>
  </si>
  <si>
    <t>other</t>
  </si>
  <si>
    <t>def-np.dem</t>
  </si>
  <si>
    <t>en</t>
  </si>
  <si>
    <t>fait</t>
  </si>
  <si>
    <t>quiconque</t>
  </si>
  <si>
    <t>pron.pind</t>
  </si>
  <si>
    <t>sur</t>
  </si>
  <si>
    <t>planète</t>
  </si>
  <si>
    <t># text = Le climat se détériore, ce qui signifie qu'il y aura de nombreuses années où leurs cultures ne pousseront pas.</t>
  </si>
  <si>
    <t>Le</t>
  </si>
  <si>
    <t>se</t>
  </si>
  <si>
    <t>détériore</t>
  </si>
  <si>
    <t>ce</t>
  </si>
  <si>
    <t>qui</t>
  </si>
  <si>
    <t>signifie</t>
  </si>
  <si>
    <t>qu'</t>
  </si>
  <si>
    <t>il</t>
  </si>
  <si>
    <t>y</t>
  </si>
  <si>
    <t>aura</t>
  </si>
  <si>
    <t>nombreuses</t>
  </si>
  <si>
    <t>années</t>
  </si>
  <si>
    <t>OBJ_4</t>
  </si>
  <si>
    <t>indef-np.a</t>
  </si>
  <si>
    <t>où</t>
  </si>
  <si>
    <t>leurs</t>
  </si>
  <si>
    <t>other_7</t>
  </si>
  <si>
    <t>cultures</t>
  </si>
  <si>
    <t>SBJ_6</t>
  </si>
  <si>
    <t>ne</t>
  </si>
  <si>
    <t>pousseront</t>
  </si>
  <si>
    <t>pas</t>
  </si>
  <si>
    <t># text = Il y aura trop de pluie, ou pas assez de pluie.</t>
  </si>
  <si>
    <t>Il</t>
  </si>
  <si>
    <t>trop</t>
  </si>
  <si>
    <t>OBJ</t>
  </si>
  <si>
    <t>pluie</t>
  </si>
  <si>
    <t>ou</t>
  </si>
  <si>
    <t>assez</t>
  </si>
  <si>
    <t># text = Les choses vont évoluer dans des directions que leur environnement fragile ne peut tout simplement pas supporter.</t>
  </si>
  <si>
    <t>Les</t>
  </si>
  <si>
    <t>vont</t>
  </si>
  <si>
    <t>évoluer</t>
  </si>
  <si>
    <t>dans</t>
  </si>
  <si>
    <t>directions</t>
  </si>
  <si>
    <t>leur</t>
  </si>
  <si>
    <t>other_5</t>
  </si>
  <si>
    <t>environnement</t>
  </si>
  <si>
    <t>SBJ_4</t>
  </si>
  <si>
    <t>fragile</t>
  </si>
  <si>
    <t>tout</t>
  </si>
  <si>
    <t>simplement</t>
  </si>
  <si>
    <t>supporter</t>
  </si>
  <si>
    <t># text = Et cela conduit à la famine.</t>
  </si>
  <si>
    <t>conduit</t>
  </si>
  <si>
    <t>famine</t>
  </si>
  <si>
    <t># text = Cela conduit à l'incertitude.</t>
  </si>
  <si>
    <t>Cela</t>
  </si>
  <si>
    <t>incertitude</t>
  </si>
  <si>
    <t># text = Cela conduit à des troubles.</t>
  </si>
  <si>
    <t>troubles</t>
  </si>
  <si>
    <t># text = Les changements climatiques seront terribles pour eux.</t>
  </si>
  <si>
    <t>changements</t>
  </si>
  <si>
    <t>climatiques</t>
  </si>
  <si>
    <t>seront</t>
  </si>
  <si>
    <t>terribles</t>
  </si>
  <si>
    <t>eux</t>
  </si>
  <si>
    <t>pron</t>
  </si>
  <si>
    <t># text = Le prix de l'énergie, également, est très important pour eux.</t>
  </si>
  <si>
    <t>prix</t>
  </si>
  <si>
    <t>également</t>
  </si>
  <si>
    <t>très</t>
  </si>
  <si>
    <t>important</t>
  </si>
  <si>
    <t># text = En fait, si vous ne pouviez baisser le prix que d'une seule chose, pour réduire la pauvreté, ce serait, de loin, celui de l'énergie.</t>
  </si>
  <si>
    <t>En</t>
  </si>
  <si>
    <t>si</t>
  </si>
  <si>
    <t>SBJ_2</t>
  </si>
  <si>
    <t>pouviez</t>
  </si>
  <si>
    <t>une</t>
  </si>
  <si>
    <t>seule</t>
  </si>
  <si>
    <t>chose</t>
  </si>
  <si>
    <t>réduire</t>
  </si>
  <si>
    <t>pauvreté</t>
  </si>
  <si>
    <t>serait</t>
  </si>
  <si>
    <t>loin</t>
  </si>
  <si>
    <t>celui</t>
  </si>
  <si>
    <t># text = Or, le prix de l'énergie a baissé au fil du temps.</t>
  </si>
  <si>
    <t>Or</t>
  </si>
  <si>
    <t>a</t>
  </si>
  <si>
    <t>baissé</t>
  </si>
  <si>
    <t>fil</t>
  </si>
  <si>
    <t># text = Vraiment, les avancées de la civilisation sont fondées sur les avancées de l'énergie.</t>
  </si>
  <si>
    <t>Vraiment</t>
  </si>
  <si>
    <t>avancées</t>
  </si>
  <si>
    <t>civilisation</t>
  </si>
  <si>
    <t>fondées</t>
  </si>
  <si>
    <t># text = La révolution du charbon a alimenté la révolution industrielle, et, même dans les années 1900, nous avons assisté à une diminution très rapide du prix de l'électricité, et c'est grâce à ça que nous avons des réfrigérateurs, l'air conditionné, que nous pouvons fabriquer des matériaux modernes et faire tant de choses.</t>
  </si>
  <si>
    <t>La</t>
  </si>
  <si>
    <t>révolution</t>
  </si>
  <si>
    <t>charbon</t>
  </si>
  <si>
    <t>alimenté</t>
  </si>
  <si>
    <t>industrielle</t>
  </si>
  <si>
    <t>même</t>
  </si>
  <si>
    <t>1900</t>
  </si>
  <si>
    <t>avons</t>
  </si>
  <si>
    <t>assisté</t>
  </si>
  <si>
    <t>diminution</t>
  </si>
  <si>
    <t>rapide</t>
  </si>
  <si>
    <t>électricité</t>
  </si>
  <si>
    <t>c'</t>
  </si>
  <si>
    <t>réfrigérateurs</t>
  </si>
  <si>
    <t>air</t>
  </si>
  <si>
    <t>conditionné</t>
  </si>
  <si>
    <t>pouvons</t>
  </si>
  <si>
    <t>fabriquer</t>
  </si>
  <si>
    <t>matériaux</t>
  </si>
  <si>
    <t>other_6</t>
  </si>
  <si>
    <t>modernes</t>
  </si>
  <si>
    <t>tant</t>
  </si>
  <si>
    <t># text = Dans le monde riche, tout va bien par rapport à l'électricité .</t>
  </si>
  <si>
    <t>Dans</t>
  </si>
  <si>
    <t>monde</t>
  </si>
  <si>
    <t>riche</t>
  </si>
  <si>
    <t>va</t>
  </si>
  <si>
    <t>bien</t>
  </si>
  <si>
    <t>par</t>
  </si>
  <si>
    <t>rapport</t>
  </si>
  <si>
    <t># text = Mais, en même temps qu'on abaisse son prix - et c'est parti pour le diviser par 2 -- nous devons répondre à une nouvelle contrainte, et cette contrainte concerne le CO2.</t>
  </si>
  <si>
    <t>on</t>
  </si>
  <si>
    <t>abaisse</t>
  </si>
  <si>
    <t>son</t>
  </si>
  <si>
    <t>parti</t>
  </si>
  <si>
    <t>diviser</t>
  </si>
  <si>
    <t>répondre</t>
  </si>
  <si>
    <t>nouvelle</t>
  </si>
  <si>
    <t>contrainte</t>
  </si>
  <si>
    <t>cette</t>
  </si>
  <si>
    <t>CO2</t>
  </si>
  <si>
    <t># text = Le CO2 réchauffe la planète, et l'équation sur le CO2 est en réalité très simple.</t>
  </si>
  <si>
    <t>réchauffe</t>
  </si>
  <si>
    <t>équation</t>
  </si>
  <si>
    <t>réalité</t>
  </si>
  <si>
    <t>simple</t>
  </si>
  <si>
    <t># text = Si vous prenez le total du CO2 rejeté, cela conduit à une augmentation de température, et cette augmentation de température conduit à des effets très négatifs.</t>
  </si>
  <si>
    <t>Si</t>
  </si>
  <si>
    <t>prenez</t>
  </si>
  <si>
    <t>total</t>
  </si>
  <si>
    <t>rejeté</t>
  </si>
  <si>
    <t>augmentation</t>
  </si>
  <si>
    <t>température</t>
  </si>
  <si>
    <t>effets</t>
  </si>
  <si>
    <t>négatifs</t>
  </si>
  <si>
    <t># text = Des effets sur la météo et, peut-être pire, des effets indirects, parce que les écosystèmes naturels ne peuvent pas s'adapter à ces changements rapides, et alors on voit l'effondrement de ces écosystèmes.</t>
  </si>
  <si>
    <t>De</t>
  </si>
  <si>
    <t>météo</t>
  </si>
  <si>
    <t>peut-être</t>
  </si>
  <si>
    <t>pire</t>
  </si>
  <si>
    <t>indirects</t>
  </si>
  <si>
    <t>écosystèmes</t>
  </si>
  <si>
    <t>naturels</t>
  </si>
  <si>
    <t>peuvent</t>
  </si>
  <si>
    <t>s'</t>
  </si>
  <si>
    <t>adapter</t>
  </si>
  <si>
    <t>rapides</t>
  </si>
  <si>
    <t>alors</t>
  </si>
  <si>
    <t>voit</t>
  </si>
  <si>
    <t>effondrement</t>
  </si>
  <si>
    <t># text = C'est vrai que sur les chiffres exacts, quelle température on aura, à partir de quelle augmentation de CO2, et à quel endroit on aura des effets secondaires positifs, là, on rencontre une certaine incertitude, mais pas beaucoup.</t>
  </si>
  <si>
    <t>C'</t>
  </si>
  <si>
    <t>vrai</t>
  </si>
  <si>
    <t>chiffres</t>
  </si>
  <si>
    <t>exacts</t>
  </si>
  <si>
    <t>quelle</t>
  </si>
  <si>
    <t>indef-np</t>
  </si>
  <si>
    <t>partir</t>
  </si>
  <si>
    <t>quel</t>
  </si>
  <si>
    <t>endroit</t>
  </si>
  <si>
    <t>SBJ_7</t>
  </si>
  <si>
    <t>secondaires</t>
  </si>
  <si>
    <t>positifs</t>
  </si>
  <si>
    <t>là</t>
  </si>
  <si>
    <t>rencontre</t>
  </si>
  <si>
    <t>certaine</t>
  </si>
  <si>
    <t>mais</t>
  </si>
  <si>
    <t>beaucoup</t>
  </si>
  <si>
    <t># text = Et si on ne connait pas exactement le degré de gravité de ces effets, on sait qu'ils seront extrêmement graves.</t>
  </si>
  <si>
    <t>connait</t>
  </si>
  <si>
    <t>exactement</t>
  </si>
  <si>
    <t>degré</t>
  </si>
  <si>
    <t>gravité</t>
  </si>
  <si>
    <t>sait</t>
  </si>
  <si>
    <t>ils</t>
  </si>
  <si>
    <t>graves</t>
  </si>
  <si>
    <t># text = A plusieurs reprises, j'ai demandé à des scientifiques de haut niveau s'il fallait vraiment descendre jusqu'à près de zéro?</t>
  </si>
  <si>
    <t>A</t>
  </si>
  <si>
    <t>plusieurs</t>
  </si>
  <si>
    <t>reprises</t>
  </si>
  <si>
    <t>j'</t>
  </si>
  <si>
    <t>ai</t>
  </si>
  <si>
    <t>demandé</t>
  </si>
  <si>
    <t>scientifiques</t>
  </si>
  <si>
    <t>haut</t>
  </si>
  <si>
    <t>niveau</t>
  </si>
  <si>
    <t>fallait</t>
  </si>
  <si>
    <t>vraiment</t>
  </si>
  <si>
    <t>descendre</t>
  </si>
  <si>
    <t>jusqu'</t>
  </si>
  <si>
    <t>près</t>
  </si>
  <si>
    <t>zéro</t>
  </si>
  <si>
    <t>?</t>
  </si>
  <si>
    <t># text = Ne peut-on pas simplement diminuer de la moitié ou du quart?</t>
  </si>
  <si>
    <t>Ne</t>
  </si>
  <si>
    <t>-on</t>
  </si>
  <si>
    <t>diminuer</t>
  </si>
  <si>
    <t>moitié</t>
  </si>
  <si>
    <t>quart</t>
  </si>
  <si>
    <t># text = Et la réponse est que, jusqu'à ce que nous approchions de zéro, la température continuera à augmenter.</t>
  </si>
  <si>
    <t>réponse</t>
  </si>
  <si>
    <t>approchions</t>
  </si>
  <si>
    <t>continuera</t>
  </si>
  <si>
    <t># text = Et donc c'est un grand défi.</t>
  </si>
  <si>
    <t>donc</t>
  </si>
  <si>
    <t>grand</t>
  </si>
  <si>
    <t>défi</t>
  </si>
  <si>
    <t># text = C'est très différent que de dire qu'on est un camion de 3,5 m de haut essayant de passer sous un pont de 3 m, et qu'on va trouver le moyen de s'y glisser.</t>
  </si>
  <si>
    <t>différent</t>
  </si>
  <si>
    <t>camion</t>
  </si>
  <si>
    <t>3,5</t>
  </si>
  <si>
    <t>m</t>
  </si>
  <si>
    <t>indef-np.quant</t>
  </si>
  <si>
    <t>essayant</t>
  </si>
  <si>
    <t>passer</t>
  </si>
  <si>
    <t>sous</t>
  </si>
  <si>
    <t>pont</t>
  </si>
  <si>
    <t>trouver</t>
  </si>
  <si>
    <t>OBJ_5</t>
  </si>
  <si>
    <t>glisser</t>
  </si>
  <si>
    <t># text = Là, c'est quelque chose qui doit arriver à zéro.</t>
  </si>
  <si>
    <t>Là</t>
  </si>
  <si>
    <t>quelque</t>
  </si>
  <si>
    <t>doit</t>
  </si>
  <si>
    <t>arriver</t>
  </si>
  <si>
    <t># text = Chaque année, nous rejetons une grande quantité de CO2, plus de 26 milliards de tonnes.</t>
  </si>
  <si>
    <t>Chaque</t>
  </si>
  <si>
    <t>année</t>
  </si>
  <si>
    <t>rejetons</t>
  </si>
  <si>
    <t>grande</t>
  </si>
  <si>
    <t>quantité</t>
  </si>
  <si>
    <t>tonnes</t>
  </si>
  <si>
    <t># text = Pour chaque américain, ça représente près de 20 tonnes.</t>
  </si>
  <si>
    <t>Pour</t>
  </si>
  <si>
    <t>chaque</t>
  </si>
  <si>
    <t>américain</t>
  </si>
  <si>
    <t>représente</t>
  </si>
  <si>
    <t>20</t>
  </si>
  <si>
    <t># text = Pour un habitant d'un pays pauvre, c'est moins d'une tonne.</t>
  </si>
  <si>
    <t>habitant</t>
  </si>
  <si>
    <t>pays</t>
  </si>
  <si>
    <t>pauvre</t>
  </si>
  <si>
    <t>moins</t>
  </si>
  <si>
    <t>tonne</t>
  </si>
  <si>
    <t># text = La moyenne est d'environ cinq tonnes par personne sur la planète.</t>
  </si>
  <si>
    <t>moyenne</t>
  </si>
  <si>
    <t>environ</t>
  </si>
  <si>
    <t>cinq</t>
  </si>
  <si>
    <t>personne</t>
  </si>
  <si>
    <t># text = Et on doit trouver le moyen d'apporter les changements pour descendre à zéro.</t>
  </si>
  <si>
    <t># text = L'augmentation a été constante.</t>
  </si>
  <si>
    <t>L'</t>
  </si>
  <si>
    <t>été</t>
  </si>
  <si>
    <t>constante</t>
  </si>
  <si>
    <t># text = Ce n'est qu'à cause de divers changements économiques que ça s'est ralenti, alors nous devons donc passer d'une hausse rapide à une baisse, jusqu'à descendre à zéro.</t>
  </si>
  <si>
    <t>Ce</t>
  </si>
  <si>
    <t>n'</t>
  </si>
  <si>
    <t>cause</t>
  </si>
  <si>
    <t>divers</t>
  </si>
  <si>
    <t>économiques</t>
  </si>
  <si>
    <t>ralenti</t>
  </si>
  <si>
    <t>hausse</t>
  </si>
  <si>
    <t>baisse</t>
  </si>
  <si>
    <t># text = Cette équation a quatre facteurs.</t>
  </si>
  <si>
    <t>Cette</t>
  </si>
  <si>
    <t>quatre</t>
  </si>
  <si>
    <t>facteurs</t>
  </si>
  <si>
    <t># text = Faisons un peu de multiplication.</t>
  </si>
  <si>
    <t>Faisons</t>
  </si>
  <si>
    <t>multiplication</t>
  </si>
  <si>
    <t># text = Bon, on a quelque chose à gauche, le CO2, qu'on veut réduire à zéro, et ça va être basé sur le nombre de personnes, les services que chaque personne utilise, en moyenne, l'énergie utilisée en moyenne pour chaque service, et le CO2 rejeté, par unité d'énergie.</t>
  </si>
  <si>
    <t>Bon</t>
  </si>
  <si>
    <t>gauche</t>
  </si>
  <si>
    <t>veut</t>
  </si>
  <si>
    <t>basé</t>
  </si>
  <si>
    <t>nombre</t>
  </si>
  <si>
    <t>services</t>
  </si>
  <si>
    <t>utilise</t>
  </si>
  <si>
    <t>utilisée</t>
  </si>
  <si>
    <t>service</t>
  </si>
  <si>
    <t>unité</t>
  </si>
  <si>
    <t># text = Alors, penchons-nous sur chacun de ces membres, et voyons comment on peut réduire le résultat à zéro.</t>
  </si>
  <si>
    <t>Alors</t>
  </si>
  <si>
    <t>penchons</t>
  </si>
  <si>
    <t>-nous</t>
  </si>
  <si>
    <t>chacun</t>
  </si>
  <si>
    <t>membres</t>
  </si>
  <si>
    <t>voyons</t>
  </si>
  <si>
    <t>comment</t>
  </si>
  <si>
    <t>résultat</t>
  </si>
  <si>
    <t># text = Il faudra probablement que l'un de ces chiffres soit tout proche de zéro.</t>
  </si>
  <si>
    <t>faudra</t>
  </si>
  <si>
    <t>probablement</t>
  </si>
  <si>
    <t>soit</t>
  </si>
  <si>
    <t>proche</t>
  </si>
  <si>
    <t># text = C'est du niveau de l'algèbre du secondaire, mais jetons un coup d'oeil.</t>
  </si>
  <si>
    <t>algèbre</t>
  </si>
  <si>
    <t>secondaire</t>
  </si>
  <si>
    <t>jetons</t>
  </si>
  <si>
    <t>coup</t>
  </si>
  <si>
    <t>oeil</t>
  </si>
  <si>
    <t># text = D'abord nous avons la population.</t>
  </si>
  <si>
    <t>D'</t>
  </si>
  <si>
    <t>abord</t>
  </si>
  <si>
    <t>population</t>
  </si>
  <si>
    <t># text = Le monde compte aujourd'hui 6,8 milliards de personnes.</t>
  </si>
  <si>
    <t>compte</t>
  </si>
  <si>
    <t>6,8</t>
  </si>
  <si>
    <t># text = On devrait atteindre les 9 milliards.</t>
  </si>
  <si>
    <t>On</t>
  </si>
  <si>
    <t>devrait</t>
  </si>
  <si>
    <t>atteindre</t>
  </si>
  <si>
    <t># text = Avec de très bons résultats sur les nouveaux vaccins, les soins de santé, le contrôle des naissances, on pourrait le réduire de, peut-être, 10 ou 15 pour cent, mais on gardera un facteur d'augmentation d'environ 1,3.</t>
  </si>
  <si>
    <t>Avec</t>
  </si>
  <si>
    <t>bons</t>
  </si>
  <si>
    <t>résultats</t>
  </si>
  <si>
    <t>nouveaux</t>
  </si>
  <si>
    <t>soins</t>
  </si>
  <si>
    <t>santé</t>
  </si>
  <si>
    <t>contrôle</t>
  </si>
  <si>
    <t>naissances</t>
  </si>
  <si>
    <t>pourrait</t>
  </si>
  <si>
    <t>cent</t>
  </si>
  <si>
    <t>gardera</t>
  </si>
  <si>
    <t>facteur</t>
  </si>
  <si>
    <t>1,3</t>
  </si>
  <si>
    <t># text = Le deuxième facteur concerne les services que nous utilisons.</t>
  </si>
  <si>
    <t>deuxième</t>
  </si>
  <si>
    <t>utilisons</t>
  </si>
  <si>
    <t># text = Cela englobe tout, la nourriture que nous mangeons, les vêtements, la télévision, le chauffage.</t>
  </si>
  <si>
    <t>englobe</t>
  </si>
  <si>
    <t>nourriture</t>
  </si>
  <si>
    <t>mangeons</t>
  </si>
  <si>
    <t>vêtements</t>
  </si>
  <si>
    <t>télévision</t>
  </si>
  <si>
    <t>chauffage</t>
  </si>
  <si>
    <t># text = Ce sont de très bonnes choses, et se débarrasser de la pauvreté signifie pouvoir fournir ces services à presque tout le monde sur la planète.</t>
  </si>
  <si>
    <t>bonnes</t>
  </si>
  <si>
    <t>débarrasser</t>
  </si>
  <si>
    <t>fournir</t>
  </si>
  <si>
    <t>presque</t>
  </si>
  <si>
    <t># text = Et c'est une bonne chose que ce chiffre augmente.</t>
  </si>
  <si>
    <t>bonne</t>
  </si>
  <si>
    <t>chiffre</t>
  </si>
  <si>
    <t>augmente</t>
  </si>
  <si>
    <t># text = Dans le monde riche, peut-être le milliard du haut, nous pourrions probablement les réduire, en utiliser moins, mais chaque année, ce chiffre, en moyenne, va monter, et finira par plus que doubler le nombre de services fournis par personne.</t>
  </si>
  <si>
    <t>milliard</t>
  </si>
  <si>
    <t>pourrions</t>
  </si>
  <si>
    <t>monter</t>
  </si>
  <si>
    <t>finira</t>
  </si>
  <si>
    <t>doubler</t>
  </si>
  <si>
    <t>fournis</t>
  </si>
  <si>
    <t># text = Ici nous avons un exemple de service très basique.</t>
  </si>
  <si>
    <t>Ici</t>
  </si>
  <si>
    <t>exemple</t>
  </si>
  <si>
    <t>basique</t>
  </si>
  <si>
    <t># text = Vous avez à la maison un éclairage suffisant pour lire et faire les devoirs scolaires.</t>
  </si>
  <si>
    <t>Vous</t>
  </si>
  <si>
    <t>avez</t>
  </si>
  <si>
    <t>maison</t>
  </si>
  <si>
    <t>éclairage</t>
  </si>
  <si>
    <t>suffisant</t>
  </si>
  <si>
    <t>lire</t>
  </si>
  <si>
    <t>devoirs</t>
  </si>
  <si>
    <t>scolaires</t>
  </si>
  <si>
    <t># text = Pas ces enfants.</t>
  </si>
  <si>
    <t>Pas</t>
  </si>
  <si>
    <t>enfants</t>
  </si>
  <si>
    <t># text = Alors ils sortent et font leurs devoirs à la lumière des lampadaires de la rue.</t>
  </si>
  <si>
    <t>sortent</t>
  </si>
  <si>
    <t>font</t>
  </si>
  <si>
    <t>lumière</t>
  </si>
  <si>
    <t>lampadaires</t>
  </si>
  <si>
    <t>rue</t>
  </si>
  <si>
    <t>--</t>
  </si>
  <si>
    <t># text = Maintenant, l'efficacité, "E", la quantité d'énergie pour chaque service, et ici, nous avons enfin de bonnes nouvelles.</t>
  </si>
  <si>
    <t>Maintenant</t>
  </si>
  <si>
    <t>&amp;quot;</t>
  </si>
  <si>
    <t>E</t>
  </si>
  <si>
    <t>ici</t>
  </si>
  <si>
    <t>enfin</t>
  </si>
  <si>
    <t>nouvelles</t>
  </si>
  <si>
    <t># text = Nous avons quelque chose qui ne grimpe pas.</t>
  </si>
  <si>
    <t>Nous</t>
  </si>
  <si>
    <t>grimpe</t>
  </si>
  <si>
    <t># text = Grâce à diverses inventions et de nouvelles façons de faire de la lumière, grâce à de nouveaux types de voitures, des façons différentes de construire les bâtiments.</t>
  </si>
  <si>
    <t>Grâce</t>
  </si>
  <si>
    <t>diverses</t>
  </si>
  <si>
    <t>inventions</t>
  </si>
  <si>
    <t>façons</t>
  </si>
  <si>
    <t>types</t>
  </si>
  <si>
    <t>voitures</t>
  </si>
  <si>
    <t>différentes</t>
  </si>
  <si>
    <t>construire</t>
  </si>
  <si>
    <t>bâtiments</t>
  </si>
  <si>
    <t># text = Il y a beaucoup de services pour lesquels on peut réduire l'énergie de façon substantielle, et pour certains services particuliers, la réduire de 90 pour cent.</t>
  </si>
  <si>
    <t>lesquels</t>
  </si>
  <si>
    <t>façon</t>
  </si>
  <si>
    <t>substantielle</t>
  </si>
  <si>
    <t>certains</t>
  </si>
  <si>
    <t>particuliers</t>
  </si>
  <si>
    <t># text = Il existe d'autres services comme la façon de fabriquer les l'engrais, ou d'effectuer le transport aérien, où les marges d'amélioration sont beaucoup beaucoup plus réduites.</t>
  </si>
  <si>
    <t>existe</t>
  </si>
  <si>
    <t>autres</t>
  </si>
  <si>
    <t>comme</t>
  </si>
  <si>
    <t>engrais</t>
  </si>
  <si>
    <t>effectuer</t>
  </si>
  <si>
    <t>transport</t>
  </si>
  <si>
    <t>aérien</t>
  </si>
  <si>
    <t>marges</t>
  </si>
  <si>
    <t>amélioration</t>
  </si>
  <si>
    <t>réduites</t>
  </si>
  <si>
    <t># text = Et donc, en gros, en étant optimistes, on pourrait obtenir une diminution d'un facteur de trois à, peut-être même, un facteur de six.</t>
  </si>
  <si>
    <t>gros</t>
  </si>
  <si>
    <t>étant</t>
  </si>
  <si>
    <t>optimistes</t>
  </si>
  <si>
    <t>obtenir</t>
  </si>
  <si>
    <t>trois</t>
  </si>
  <si>
    <t>six</t>
  </si>
  <si>
    <t># text = Pour l'ensemble de ces trois premiers facteurs, nous sommes au mieux passés de 26 milliards à, peut-être 13 milliards de tonnes, et ce n'est pas suffisant.</t>
  </si>
  <si>
    <t>ensemble</t>
  </si>
  <si>
    <t>premiers</t>
  </si>
  <si>
    <t>sommes</t>
  </si>
  <si>
    <t>passés</t>
  </si>
  <si>
    <t># text = Alors, voyons ce quatrième facteur -- qui va être un facteur clé -- et c'est la quantité de CO2 dégagée par unité d'énergie.</t>
  </si>
  <si>
    <t>quatrième</t>
  </si>
  <si>
    <t>clé</t>
  </si>
  <si>
    <t>dégagée</t>
  </si>
  <si>
    <t># text = Et donc, la question est: \"Peut-on le réduire à zéro ?\"</t>
  </si>
  <si>
    <t>question</t>
  </si>
  <si>
    <t>:</t>
  </si>
  <si>
    <t>Peut</t>
  </si>
  <si>
    <t># text = En brûlant du charbon, la réponse est non.</t>
  </si>
  <si>
    <t>brûlant</t>
  </si>
  <si>
    <t>non</t>
  </si>
  <si>
    <t># text = Si vous brûlez du gaz naturel, non plus.</t>
  </si>
  <si>
    <t>brûlez</t>
  </si>
  <si>
    <t>gaz</t>
  </si>
  <si>
    <t>naturel</t>
  </si>
  <si>
    <t># text = Presque toutes les techniques pour produire aujourd'hui de l'électricité, en dehors des énergies renouvelables et du nucléaire, rejettent du CO2.</t>
  </si>
  <si>
    <t>Presque</t>
  </si>
  <si>
    <t>toutes</t>
  </si>
  <si>
    <t>techniques</t>
  </si>
  <si>
    <t>produire</t>
  </si>
  <si>
    <t>dehors</t>
  </si>
  <si>
    <t>énergies</t>
  </si>
  <si>
    <t>renouvelables</t>
  </si>
  <si>
    <t>nucléaire</t>
  </si>
  <si>
    <t>rejettent</t>
  </si>
  <si>
    <t># text = Et donc, ce que nous allons devoir faire à une échelle globale, c'est de créer un nouveau système.</t>
  </si>
  <si>
    <t>allons</t>
  </si>
  <si>
    <t>échelle</t>
  </si>
  <si>
    <t>globale</t>
  </si>
  <si>
    <t>créer</t>
  </si>
  <si>
    <t>nouveau</t>
  </si>
  <si>
    <t>système</t>
  </si>
  <si>
    <t># text = Alors, il nous faut des miracles dans le domaine de l'énergie.</t>
  </si>
  <si>
    <t>faut</t>
  </si>
  <si>
    <t>miracles</t>
  </si>
  <si>
    <t>domaine</t>
  </si>
  <si>
    <t># text = Mais quand j'utilise le mot miracle, je ne veux pas dire quelque chose d'impossible.</t>
  </si>
  <si>
    <t>quand</t>
  </si>
  <si>
    <t>mot</t>
  </si>
  <si>
    <t>miracle</t>
  </si>
  <si>
    <t>je</t>
  </si>
  <si>
    <t>veux</t>
  </si>
  <si>
    <t>impossible</t>
  </si>
  <si>
    <t># text = Le microprocesseur est un miracle.</t>
  </si>
  <si>
    <t>microprocesseur</t>
  </si>
  <si>
    <t># text = L'ordinateur personnel est un miracle.</t>
  </si>
  <si>
    <t>ordinateur</t>
  </si>
  <si>
    <t>personnel</t>
  </si>
  <si>
    <t># text = L'Internet et les services web sont un miracle.</t>
  </si>
  <si>
    <t>Internet</t>
  </si>
  <si>
    <t>web</t>
  </si>
  <si>
    <t># text = Dans ce sens, les gens présents ici ont participé à la création de nombreux miracles.</t>
  </si>
  <si>
    <t>sens</t>
  </si>
  <si>
    <t>gens</t>
  </si>
  <si>
    <t>présents</t>
  </si>
  <si>
    <t>ont</t>
  </si>
  <si>
    <t>participé</t>
  </si>
  <si>
    <t>création</t>
  </si>
  <si>
    <t>nombreux</t>
  </si>
  <si>
    <t># text = D'habitude, on n'a pas de date butoir, où il faut réaliser le miracle pour une date donnée.</t>
  </si>
  <si>
    <t>habitude</t>
  </si>
  <si>
    <t>date</t>
  </si>
  <si>
    <t>butoir</t>
  </si>
  <si>
    <t>donnée</t>
  </si>
  <si>
    <t># text = D'habitude, on se tient juste prêts, et alors certains se produisent, d'autres pas.</t>
  </si>
  <si>
    <t>tient</t>
  </si>
  <si>
    <t>juste</t>
  </si>
  <si>
    <t>prêts</t>
  </si>
  <si>
    <t>produisent</t>
  </si>
  <si>
    <t># text = Dans le cas présent, il faut aller à toute vitesse et obtenir un miracle avec un calendrier assez restreint.</t>
  </si>
  <si>
    <t>cas</t>
  </si>
  <si>
    <t>présent</t>
  </si>
  <si>
    <t>toute</t>
  </si>
  <si>
    <t>vitesse</t>
  </si>
  <si>
    <t>avec</t>
  </si>
  <si>
    <t>calendrier</t>
  </si>
  <si>
    <t>restreint</t>
  </si>
  <si>
    <t># text = Je me suis demandé comment je pourrais résumer visuellement cela.</t>
  </si>
  <si>
    <t>me</t>
  </si>
  <si>
    <t>suis</t>
  </si>
  <si>
    <t>pourrais</t>
  </si>
  <si>
    <t>résumer</t>
  </si>
  <si>
    <t>visuellement</t>
  </si>
  <si>
    <t># text = Y aurait-il une sorte d'illustration venant de la nature, une démonstration qui saisirait l'imagination des gens ici?</t>
  </si>
  <si>
    <t>Y</t>
  </si>
  <si>
    <t>aurait</t>
  </si>
  <si>
    <t>-il</t>
  </si>
  <si>
    <t>sorte</t>
  </si>
  <si>
    <t>illustration</t>
  </si>
  <si>
    <t>venant</t>
  </si>
  <si>
    <t>nature</t>
  </si>
  <si>
    <t>démonstration</t>
  </si>
  <si>
    <t>saisirait</t>
  </si>
  <si>
    <t>imagination</t>
  </si>
  <si>
    <t># text = J'ai repensé à l'année dernière, quand j'avais apporté des moustiques, les gens avaient bien aimé.</t>
  </si>
  <si>
    <t>J'</t>
  </si>
  <si>
    <t>repensé</t>
  </si>
  <si>
    <t>dernière</t>
  </si>
  <si>
    <t>avais</t>
  </si>
  <si>
    <t>apporté</t>
  </si>
  <si>
    <t>moustiques</t>
  </si>
  <si>
    <t>avaient</t>
  </si>
  <si>
    <t>aimé</t>
  </si>
  <si>
    <t># text = (Rires) Ça leur avait permis de vraiment intégrer l'idée qu'il y a des gens qui vivent avec les moustiques.</t>
  </si>
  <si>
    <t>(</t>
  </si>
  <si>
    <t>Rires</t>
  </si>
  <si>
    <t>)</t>
  </si>
  <si>
    <t>Ça</t>
  </si>
  <si>
    <t>avait</t>
  </si>
  <si>
    <t>permis</t>
  </si>
  <si>
    <t>intégrer</t>
  </si>
  <si>
    <t>idée</t>
  </si>
  <si>
    <t>vivent</t>
  </si>
  <si>
    <t># text = Donc, avec l'énergie, tout ce que à quoi j'ai pu arriver, c'est ça.</t>
  </si>
  <si>
    <t>Donc</t>
  </si>
  <si>
    <t>quoi</t>
  </si>
  <si>
    <t>pu</t>
  </si>
  <si>
    <t># text = J'ai décidé que libérer des lucioles serait ma contribution à l'environnement ici, cette année.</t>
  </si>
  <si>
    <t>décidé</t>
  </si>
  <si>
    <t>libérer</t>
  </si>
  <si>
    <t>lucioles</t>
  </si>
  <si>
    <t>ma</t>
  </si>
  <si>
    <t>contribution</t>
  </si>
  <si>
    <t># text = Voici donc ici des lucioles naturelles.</t>
  </si>
  <si>
    <t>Voici</t>
  </si>
  <si>
    <t>naturelles</t>
  </si>
  <si>
    <t># text = On m'a dit qu'elles ne mordent pas, en fait, elles pourraient bien ne pas quitter ce pot.</t>
  </si>
  <si>
    <t>m'</t>
  </si>
  <si>
    <t>dit</t>
  </si>
  <si>
    <t>elles</t>
  </si>
  <si>
    <t>mordent</t>
  </si>
  <si>
    <t>pourraient</t>
  </si>
  <si>
    <t>quitter</t>
  </si>
  <si>
    <t>pot</t>
  </si>
  <si>
    <t># text = Il y a toutes sortes de solutions astucieuses comme ça, mais elles n'apportent pas grand chose, en fait.</t>
  </si>
  <si>
    <t>sortes</t>
  </si>
  <si>
    <t>solutions</t>
  </si>
  <si>
    <t>astucieuses</t>
  </si>
  <si>
    <t>apportent</t>
  </si>
  <si>
    <t># text = Nous avons besoin d'une ou de plusieurs solutions, qui fonctionnent à une échelle immense, avec une immense fiabilité, et, bien qu'on cherche dans nombreuses directions, Je n'en vois vraiment que cinq qui tiennent la route.</t>
  </si>
  <si>
    <t>besoin</t>
  </si>
  <si>
    <t>fonctionnent</t>
  </si>
  <si>
    <t>immense</t>
  </si>
  <si>
    <t>fiabilité</t>
  </si>
  <si>
    <t>cherche</t>
  </si>
  <si>
    <t>vois</t>
  </si>
  <si>
    <t>SBJ_8</t>
  </si>
  <si>
    <t>tiennent</t>
  </si>
  <si>
    <t>route</t>
  </si>
  <si>
    <t>OBJ_8</t>
  </si>
  <si>
    <t># text = J'ai laissé de côté l'énergie marémotrice, la géothermie, la fusion, les biocarburants.</t>
  </si>
  <si>
    <t>laissé</t>
  </si>
  <si>
    <t>côté</t>
  </si>
  <si>
    <t>marémotrice</t>
  </si>
  <si>
    <t>géothermie</t>
  </si>
  <si>
    <t>fusion</t>
  </si>
  <si>
    <t>biocarburants</t>
  </si>
  <si>
    <t># text = Elles apporteront leur contribution, et si c'est plus que je ne pense, tant mieux, mais mon idée là-dessus, c'est que sur ces cinq-là, il y a encore du travail à faire, et nous ne pouvons en laisser tomber aucune, même si ça paraît difficile, même si les défis à relever semblent importants.</t>
  </si>
  <si>
    <t>Elles</t>
  </si>
  <si>
    <t>apporteront</t>
  </si>
  <si>
    <t>pense</t>
  </si>
  <si>
    <t>là-dessus</t>
  </si>
  <si>
    <t>cinq-là</t>
  </si>
  <si>
    <t>encore</t>
  </si>
  <si>
    <t>tomber</t>
  </si>
  <si>
    <t>aucune</t>
  </si>
  <si>
    <t>SBJ_10</t>
  </si>
  <si>
    <t>paraît</t>
  </si>
  <si>
    <t>difficile</t>
  </si>
  <si>
    <t>défis</t>
  </si>
  <si>
    <t>SBJ_11</t>
  </si>
  <si>
    <t>relever</t>
  </si>
  <si>
    <t>semblent</t>
  </si>
  <si>
    <t># text = Regardons d'abord la combustion des combustibles fossiles, qu'il s'agisse du charbon ou du gaz naturel.</t>
  </si>
  <si>
    <t>Regardons</t>
  </si>
  <si>
    <t>combustion</t>
  </si>
  <si>
    <t>combustibles</t>
  </si>
  <si>
    <t>fossiles</t>
  </si>
  <si>
    <t>agisse</t>
  </si>
  <si>
    <t># text = Ce qu'il faut faire là paraît simple, mais ça ne l'est pas, c'est de prendre tout le CO2, après la combustion, le sortir du circuit, le mette sous pression, le rendre liquide, le mettre quelque part, et espérer qu'il y reste.</t>
  </si>
  <si>
    <t>prendre</t>
  </si>
  <si>
    <t>après</t>
  </si>
  <si>
    <t>circuit</t>
  </si>
  <si>
    <t>mette</t>
  </si>
  <si>
    <t>pression</t>
  </si>
  <si>
    <t>rendre</t>
  </si>
  <si>
    <t>liquide</t>
  </si>
  <si>
    <t>mettre</t>
  </si>
  <si>
    <t>part</t>
  </si>
  <si>
    <t>reste</t>
  </si>
  <si>
    <t># text = Il y a des projets avancés permettant de réaliser cela à 60 à 80 %, mais arriver à 100%, ça sera très délicat, et ce sera difficile de convenir de l'endroit où tout ce CO2 devrait être mis, mais le plus dur est ici la question du long terme.</t>
  </si>
  <si>
    <t>projets</t>
  </si>
  <si>
    <t>avancés</t>
  </si>
  <si>
    <t>permettant</t>
  </si>
  <si>
    <t>%</t>
  </si>
  <si>
    <t>sera</t>
  </si>
  <si>
    <t>délicat</t>
  </si>
  <si>
    <t>convenir</t>
  </si>
  <si>
    <t>mis</t>
  </si>
  <si>
    <t>dur</t>
  </si>
  <si>
    <t>long</t>
  </si>
  <si>
    <t>terme</t>
  </si>
  <si>
    <t>other_8</t>
  </si>
  <si>
    <t># text = Qui pourra avoir cette certitude ?</t>
  </si>
  <si>
    <t>Qui</t>
  </si>
  <si>
    <t>pron.pint</t>
  </si>
  <si>
    <t>pourra</t>
  </si>
  <si>
    <t>certitude</t>
  </si>
  <si>
    <t># text = Qui pourra garantir quelque chose qui est des milliards de fois plus volumineux que tout autre type de déchets auquel vous pouvez penser, nucléaires ou autres?</t>
  </si>
  <si>
    <t>garantir</t>
  </si>
  <si>
    <t>fois</t>
  </si>
  <si>
    <t>volumineux</t>
  </si>
  <si>
    <t>autre</t>
  </si>
  <si>
    <t>type</t>
  </si>
  <si>
    <t>déchets</t>
  </si>
  <si>
    <t>lequel</t>
  </si>
  <si>
    <t>pouvez</t>
  </si>
  <si>
    <t>nucléaires</t>
  </si>
  <si>
    <t># text = Cela fait beaucoup de volume.</t>
  </si>
  <si>
    <t>volume</t>
  </si>
  <si>
    <t># text = Alors ce sera difficile pour cette solution.</t>
  </si>
  <si>
    <t>solution</t>
  </si>
  <si>
    <t># text = Ensuite, il y a le nucléaire.</t>
  </si>
  <si>
    <t>Ensuite</t>
  </si>
  <si>
    <t># text = Qui présente aussi trois gros problèmes :</t>
  </si>
  <si>
    <t>présente</t>
  </si>
  <si>
    <t>aussi</t>
  </si>
  <si>
    <t>problèmes</t>
  </si>
  <si>
    <t># text = Le coût, en particulier dans les pays fortement réglementés, est élevé.</t>
  </si>
  <si>
    <t>coût</t>
  </si>
  <si>
    <t>particulier</t>
  </si>
  <si>
    <t>fortement</t>
  </si>
  <si>
    <t>réglementés</t>
  </si>
  <si>
    <t>élevé</t>
  </si>
  <si>
    <t># text = La question de la sécurité, d'être vraiment sûrs qu'il n y aura pas de problème, que, même en ayant des opérateurs humains, le combustible ne soit pas utilisé pour les armes.</t>
  </si>
  <si>
    <t>sécurité</t>
  </si>
  <si>
    <t>sûrs</t>
  </si>
  <si>
    <t>n</t>
  </si>
  <si>
    <t>ayant</t>
  </si>
  <si>
    <t>opérateurs</t>
  </si>
  <si>
    <t>humains</t>
  </si>
  <si>
    <t>combustible</t>
  </si>
  <si>
    <t>utilisé</t>
  </si>
  <si>
    <t>armes</t>
  </si>
  <si>
    <t># text = Et puis, que faire avec les déchets?</t>
  </si>
  <si>
    <t>puis</t>
  </si>
  <si>
    <t># text = Et, bien que le volume ne soit pas pas très impotant, il pose de nombreux problèmes.</t>
  </si>
  <si>
    <t>impotant</t>
  </si>
  <si>
    <t>pose</t>
  </si>
  <si>
    <t># text = Les gens ont besoin de se sentir bien là-dessus.</t>
  </si>
  <si>
    <t>sentir</t>
  </si>
  <si>
    <t># text = Donc, trois problèmes très difficiles qui pourraient être résolus, et donc, sur lesquels il faudrait travailler.</t>
  </si>
  <si>
    <t>difficiles</t>
  </si>
  <si>
    <t>résolus</t>
  </si>
  <si>
    <t>faudrait</t>
  </si>
  <si>
    <t>travailler</t>
  </si>
  <si>
    <t># text = Les trois derniers des cinq, je les ai regroupés.</t>
  </si>
  <si>
    <t>derniers</t>
  </si>
  <si>
    <t>regroupés</t>
  </si>
  <si>
    <t># text = Ce sont ceux auxquels les gens font souvent référence en tant qu'énergies renouvelables.</t>
  </si>
  <si>
    <t>ceux</t>
  </si>
  <si>
    <t>souvent</t>
  </si>
  <si>
    <t>référence</t>
  </si>
  <si>
    <t># text = Mais en fait - même si c'est génial qu'elles ne nécessitent aucun carburant -- elles présentent quelques inconvénients.</t>
  </si>
  <si>
    <t>génial</t>
  </si>
  <si>
    <t>nécessitent</t>
  </si>
  <si>
    <t>aucun</t>
  </si>
  <si>
    <t>carburant</t>
  </si>
  <si>
    <t>présentent</t>
  </si>
  <si>
    <t>quelques</t>
  </si>
  <si>
    <t>inconvénients</t>
  </si>
  <si>
    <t># text = Le premier est que la densité d'énergie produite grâce à ces technologies est considérablement inférieure à celle d'une centrale électrique.</t>
  </si>
  <si>
    <t>premier</t>
  </si>
  <si>
    <t>densité</t>
  </si>
  <si>
    <t>produite</t>
  </si>
  <si>
    <t>technologies</t>
  </si>
  <si>
    <t>considérablement</t>
  </si>
  <si>
    <t>inférieure</t>
  </si>
  <si>
    <t>celle</t>
  </si>
  <si>
    <t>centrale</t>
  </si>
  <si>
    <t>électrique</t>
  </si>
  <si>
    <t># text = Il s'agit de fermes à énergie, on parle là de nombreux kilomètres carrés, des milliers de fois plus d'espace que pour une centrale à énergie normale.</t>
  </si>
  <si>
    <t>agit</t>
  </si>
  <si>
    <t>fermes</t>
  </si>
  <si>
    <t>parle</t>
  </si>
  <si>
    <t>kilomètres</t>
  </si>
  <si>
    <t>carrés</t>
  </si>
  <si>
    <t>milliers</t>
  </si>
  <si>
    <t>espace</t>
  </si>
  <si>
    <t>normale</t>
  </si>
  <si>
    <t># text = De plus ce sont des sources fonctionnant par intermittence.</t>
  </si>
  <si>
    <t>sources</t>
  </si>
  <si>
    <t>fonctionnant</t>
  </si>
  <si>
    <t>intermittence</t>
  </si>
  <si>
    <t># text = Le soleil ne brille pas toute la journée, il ne brille pas tous les jours, et, pareillement, le vent ne souffle pas tout le temps.</t>
  </si>
  <si>
    <t>soleil</t>
  </si>
  <si>
    <t>brille</t>
  </si>
  <si>
    <t>journée</t>
  </si>
  <si>
    <t>tous</t>
  </si>
  <si>
    <t>jours</t>
  </si>
  <si>
    <t>pareillement</t>
  </si>
  <si>
    <t>vent</t>
  </si>
  <si>
    <t>souffle</t>
  </si>
  <si>
    <t># text = Et donc, si vous dépendez de ces sources, vous devez avoir un moyen d'obtenir de l'énergie pendant ces périodes de temps où elle n'est pas disponible.</t>
  </si>
  <si>
    <t>dépendez</t>
  </si>
  <si>
    <t>devez</t>
  </si>
  <si>
    <t>pendant</t>
  </si>
  <si>
    <t>périodes</t>
  </si>
  <si>
    <t>elle</t>
  </si>
  <si>
    <t>disponible</t>
  </si>
  <si>
    <t># text = Nous avons ici de gros problèmes de coûts .</t>
  </si>
  <si>
    <t>coûts</t>
  </si>
  <si>
    <t># text = Nous avons des problèmes de transmission.</t>
  </si>
  <si>
    <t>transmission</t>
  </si>
  <si>
    <t># text = Par exemple, disons que cette source d'énergie est en dehors de votre pays, alors non seulement vous avez besoin de la technologie, mais vous devez faire face au risque d'une énergie venue d'ailleurs.</t>
  </si>
  <si>
    <t>Par</t>
  </si>
  <si>
    <t>disons</t>
  </si>
  <si>
    <t>source</t>
  </si>
  <si>
    <t>votre</t>
  </si>
  <si>
    <t>seulement</t>
  </si>
  <si>
    <t>technologie</t>
  </si>
  <si>
    <t>face</t>
  </si>
  <si>
    <t>risque</t>
  </si>
  <si>
    <t>venue</t>
  </si>
  <si>
    <t>ailleurs</t>
  </si>
  <si>
    <t># text = Et, finalement, il y a ce problème de stockage.</t>
  </si>
  <si>
    <t>finalement</t>
  </si>
  <si>
    <t>stockage</t>
  </si>
  <si>
    <t># text = Alors, pour dimensionner cela, j'ai étudié tous les types de batteries qu'on fabrique, pour les voitures, pour les ordinateurs, les téléphones, les lampes de poche, pour tout, et comparé cela à la quantité d'énergie électrique utilisée dans le monde, et ce que j'ai constaté, c'est que la totalité des batteries que nous faisons aujourd'hui pourrait stocker moins de 10 minutes de toute l'énergie.</t>
  </si>
  <si>
    <t>dimensionner</t>
  </si>
  <si>
    <t>étudié</t>
  </si>
  <si>
    <t>batteries</t>
  </si>
  <si>
    <t>fabrique</t>
  </si>
  <si>
    <t>ordinateurs</t>
  </si>
  <si>
    <t>téléphones</t>
  </si>
  <si>
    <t>lampes</t>
  </si>
  <si>
    <t>poche</t>
  </si>
  <si>
    <t>comparé</t>
  </si>
  <si>
    <t>constaté</t>
  </si>
  <si>
    <t>totalité</t>
  </si>
  <si>
    <t>faisons</t>
  </si>
  <si>
    <t>stocker</t>
  </si>
  <si>
    <t>minutes</t>
  </si>
  <si>
    <t># text = Alors, en fait, nous avons besoin d'une percée importante ici, quelque chose qui puisse améliorer d'un facteur de 100 les approches que nous avons actuellement.</t>
  </si>
  <si>
    <t>percée</t>
  </si>
  <si>
    <t>importante</t>
  </si>
  <si>
    <t>puisse</t>
  </si>
  <si>
    <t>approches</t>
  </si>
  <si>
    <t>actuellement</t>
  </si>
  <si>
    <t># text = Ce n'est pas impossible, mais ce n'est pas une chose très facile.</t>
  </si>
  <si>
    <t>facile</t>
  </si>
  <si>
    <t># text = C'est ce qu'on voit quand on essaie d'obtenir d'une source intermittente plus de, disons, 20 à 30 pour cent de ce qu'on utilise.</t>
  </si>
  <si>
    <t>essaie</t>
  </si>
  <si>
    <t>intermittente</t>
  </si>
  <si>
    <t>OBJ_9</t>
  </si>
  <si>
    <t>SBJ_9</t>
  </si>
  <si>
    <t># text = Si on compte sur cette source pour fournir les 100%, vous avez besoin d'une incroyable batterie miracle.</t>
  </si>
  <si>
    <t>incroyable</t>
  </si>
  <si>
    <t>batterie</t>
  </si>
  <si>
    <t># text = Bon, essayons d'avancer sur la question de la bonne approche à adopter.</t>
  </si>
  <si>
    <t>essayons</t>
  </si>
  <si>
    <t>avancer</t>
  </si>
  <si>
    <t>approche</t>
  </si>
  <si>
    <t>adopter</t>
  </si>
  <si>
    <t># text = Est-ce que c'est un nouveau "Projet Manhattan" ?</t>
  </si>
  <si>
    <t>Est</t>
  </si>
  <si>
    <t>-ce</t>
  </si>
  <si>
    <t>Projet</t>
  </si>
  <si>
    <t>Manhattan</t>
  </si>
  <si>
    <t># text = Quels moyens pour y arriver ?</t>
  </si>
  <si>
    <t>Quels</t>
  </si>
  <si>
    <t>moyens</t>
  </si>
  <si>
    <t># text = Eh bien, il nous faut un grand nombre d'entreprises pour travailler sur le sujet, des centaines.</t>
  </si>
  <si>
    <t>Eh</t>
  </si>
  <si>
    <t>entreprises</t>
  </si>
  <si>
    <t>sujet</t>
  </si>
  <si>
    <t>centaines</t>
  </si>
  <si>
    <t># text = Dans chacune de ces cinq voies, nous avons besoin d'au moins une centaine de personnes.</t>
  </si>
  <si>
    <t>chacune</t>
  </si>
  <si>
    <t>voies</t>
  </si>
  <si>
    <t>centaine</t>
  </si>
  <si>
    <t># text = Et pour beaucoup d'entre eux, vous penserez qu'ils sont fous.</t>
  </si>
  <si>
    <t>entre</t>
  </si>
  <si>
    <t>penserez</t>
  </si>
  <si>
    <t>fous</t>
  </si>
  <si>
    <t># text = C'est parfait.</t>
  </si>
  <si>
    <t>parfait</t>
  </si>
  <si>
    <t># text = Et, je pense qu'ici, dans le groupe TED, beaucoup de gens poursuivent déjà ces voies.</t>
  </si>
  <si>
    <t>groupe</t>
  </si>
  <si>
    <t>TED</t>
  </si>
  <si>
    <t>poursuivent</t>
  </si>
  <si>
    <t>déjà</t>
  </si>
  <si>
    <t># text = Bill Gross possède plusieurs sociétés, dont une appelé eSolar qui maîtrise quelques importantes technologies thermiques solaires.</t>
  </si>
  <si>
    <t>Gross</t>
  </si>
  <si>
    <t>possède</t>
  </si>
  <si>
    <t>sociétés</t>
  </si>
  <si>
    <t>dont</t>
  </si>
  <si>
    <t>appelé</t>
  </si>
  <si>
    <t>eSolar</t>
  </si>
  <si>
    <t>maîtrise</t>
  </si>
  <si>
    <t>importantes</t>
  </si>
  <si>
    <t>thermiques</t>
  </si>
  <si>
    <t>solaires</t>
  </si>
  <si>
    <t># text = Vinod Khosla investit dans des douzaines d'entreprises qui font de grandes choses et ont d'intéressantes possibilités, et j'essaie d'aider à soutenir financièrement ces projets.</t>
  </si>
  <si>
    <t>Vinod</t>
  </si>
  <si>
    <t>Khosla</t>
  </si>
  <si>
    <t>investit</t>
  </si>
  <si>
    <t>douzaines</t>
  </si>
  <si>
    <t>grandes</t>
  </si>
  <si>
    <t>intéressantes</t>
  </si>
  <si>
    <t>possibilités</t>
  </si>
  <si>
    <t>financièrement</t>
  </si>
  <si>
    <t># text = En fait, Nathan Myhrvold et moi, nous soutenons financièrement une société qui, cela vous étonnera peut-être, a choisi l'approche nucléaire.</t>
  </si>
  <si>
    <t>Nathan</t>
  </si>
  <si>
    <t>Myhrvold</t>
  </si>
  <si>
    <t>moi</t>
  </si>
  <si>
    <t>soutenons</t>
  </si>
  <si>
    <t>société</t>
  </si>
  <si>
    <t>étonnera</t>
  </si>
  <si>
    <t>choisi</t>
  </si>
  <si>
    <t># text = Il ya quelques innovations dans le nucléaire: modulaire, liquide.</t>
  </si>
  <si>
    <t>ya</t>
  </si>
  <si>
    <t>innovations</t>
  </si>
  <si>
    <t>modulaire</t>
  </si>
  <si>
    <t># text = Et l'innovation avait vraiment cessé dans cette industrie depuis un certain temps, Alors, l'idée qu'il y ait quelques bonnes idées qui traînent n'est pas surprenant.</t>
  </si>
  <si>
    <t>innovation</t>
  </si>
  <si>
    <t>cessé</t>
  </si>
  <si>
    <t>industrie</t>
  </si>
  <si>
    <t>depuis</t>
  </si>
  <si>
    <t>certain</t>
  </si>
  <si>
    <t>ait</t>
  </si>
  <si>
    <t>idées</t>
  </si>
  <si>
    <t>traînent</t>
  </si>
  <si>
    <t># text = L'idée de Terrapower est, qu'au lieu de brûler une partie de l'uranium, ce un pour cent, qui est le U235, on a décidé de brûler les autres 99 %, le U238.</t>
  </si>
  <si>
    <t>Terrapower</t>
  </si>
  <si>
    <t>lieu</t>
  </si>
  <si>
    <t>partie</t>
  </si>
  <si>
    <t>uranium</t>
  </si>
  <si>
    <t>U235</t>
  </si>
  <si>
    <t>U238</t>
  </si>
  <si>
    <t># text = C'est une idée un peu folle.</t>
  </si>
  <si>
    <t>folle</t>
  </si>
  <si>
    <t># text = En fait, ça faisait longtemps que des gens en parlaient, mais ils n'étaient jamais arrivés à simuler correctement si ça marcherait ou non, alors c'est grâce à l'avènement des super-ordinateurs modernes qu'on a pu effectuer la simulation, et voir que, oui, avec la bonne approche sur les matériaux, il semble que ça peut marcher.</t>
  </si>
  <si>
    <t>faisait</t>
  </si>
  <si>
    <t>longtemps</t>
  </si>
  <si>
    <t>parlaient</t>
  </si>
  <si>
    <t>étaient</t>
  </si>
  <si>
    <t>jamais</t>
  </si>
  <si>
    <t>arrivés</t>
  </si>
  <si>
    <t>simuler</t>
  </si>
  <si>
    <t>correctement</t>
  </si>
  <si>
    <t>marcherait</t>
  </si>
  <si>
    <t>avènement</t>
  </si>
  <si>
    <t>super-ordinateurs</t>
  </si>
  <si>
    <t>simulation</t>
  </si>
  <si>
    <t>OBJ_10</t>
  </si>
  <si>
    <t>oui</t>
  </si>
  <si>
    <t>other_9</t>
  </si>
  <si>
    <t>other_10</t>
  </si>
  <si>
    <t>semble</t>
  </si>
  <si>
    <t>marcher</t>
  </si>
  <si>
    <t># text = Et, parce que vous brûlez ces 99 pour cent, vous avez énormément amélioré le profil des coûts.</t>
  </si>
  <si>
    <t>énormément</t>
  </si>
  <si>
    <t>amélioré</t>
  </si>
  <si>
    <t>profil</t>
  </si>
  <si>
    <t># text = Ce que vous brûlez, ce sont les déchets, et vous pouvez utiliser comme combustible tous les surplus de déchets produits par les réacteurs d'aujourd'hui.</t>
  </si>
  <si>
    <t>surplus</t>
  </si>
  <si>
    <t>produits</t>
  </si>
  <si>
    <t>réacteurs</t>
  </si>
  <si>
    <t># text = Ainsi, au lieu de s'en inquiéter à leur sujet, on les utilise.</t>
  </si>
  <si>
    <t>Ainsi</t>
  </si>
  <si>
    <t>inquiéter</t>
  </si>
  <si>
    <t># text = Ça, c'est quelque chose.</t>
  </si>
  <si>
    <t># text = Ça aspire cet uranium en fonctionnant.</t>
  </si>
  <si>
    <t>aspire</t>
  </si>
  <si>
    <t>cet</t>
  </si>
  <si>
    <t># text = C'est un peu comme une bougie.</t>
  </si>
  <si>
    <t>bougie</t>
  </si>
  <si>
    <t># text = Vous pouvez voir ça comme une bûche, on en a souvent parlé comme du "réacteur à vague d'ondes".</t>
  </si>
  <si>
    <t>bûche</t>
  </si>
  <si>
    <t>parlé</t>
  </si>
  <si>
    <t>réacteur</t>
  </si>
  <si>
    <t>vague</t>
  </si>
  <si>
    <t>ondes</t>
  </si>
  <si>
    <t># text = En termes de carburant, ça résout vraiment le problème.</t>
  </si>
  <si>
    <t>termes</t>
  </si>
  <si>
    <t>résout</t>
  </si>
  <si>
    <t># text = J'ai une photo ici d'un lieu dans le Kentucky.</t>
  </si>
  <si>
    <t>photo</t>
  </si>
  <si>
    <t>Kentucky</t>
  </si>
  <si>
    <t># text = Ce sont les "restes", les 99 pour cent, dont on a enlevé toute la partie qu'on brûle actuellement, alors on appelle ça "uranium appauvri".</t>
  </si>
  <si>
    <t>restes</t>
  </si>
  <si>
    <t>enlevé</t>
  </si>
  <si>
    <t>brûle</t>
  </si>
  <si>
    <t>appelle</t>
  </si>
  <si>
    <t>appauvri</t>
  </si>
  <si>
    <t># text = Cela permettrait d'alimenter les États-Unis pour des centaines d'années.</t>
  </si>
  <si>
    <t>permettrait</t>
  </si>
  <si>
    <t>États-Unis</t>
  </si>
  <si>
    <t># text = Et, par un processus peu coûteux, simplement en filtrant l'eau de mer on aurait assez de carburant pour toute la vie du reste de la planète.</t>
  </si>
  <si>
    <t>processus</t>
  </si>
  <si>
    <t>coûteux</t>
  </si>
  <si>
    <t>filtrant</t>
  </si>
  <si>
    <t>eau</t>
  </si>
  <si>
    <t>mer</t>
  </si>
  <si>
    <t>vie</t>
  </si>
  <si>
    <t># text = D'accord, il reste encore beaucoup de chemin à faire, mais c'est un exemple parmi les centaines et les centaines d'idées dont nous avons besoin pour avancer.</t>
  </si>
  <si>
    <t>accord</t>
  </si>
  <si>
    <t>chemin</t>
  </si>
  <si>
    <t>parmi</t>
  </si>
  <si>
    <t># text = Réfléchissons, comment allons-nous établir notre échelle de notation ?</t>
  </si>
  <si>
    <t>Réfléchissons</t>
  </si>
  <si>
    <t>établir</t>
  </si>
  <si>
    <t>notre</t>
  </si>
  <si>
    <t>notation</t>
  </si>
  <si>
    <t># text = De quoi devrait avoir l'air notre feuille de route ?</t>
  </si>
  <si>
    <t>feuille</t>
  </si>
  <si>
    <t># text = Commençons par le but que nous devons atteindre, et puis regardons les étapes intermédiaires.</t>
  </si>
  <si>
    <t>Commençons</t>
  </si>
  <si>
    <t>but</t>
  </si>
  <si>
    <t>regardons</t>
  </si>
  <si>
    <t>étapes</t>
  </si>
  <si>
    <t>intermédiaires</t>
  </si>
  <si>
    <t># text = Pour 2050, vous avez entendu beaucoup de gens parler de cette réduction de 80 pour cent.</t>
  </si>
  <si>
    <t>2050</t>
  </si>
  <si>
    <t>entendu</t>
  </si>
  <si>
    <t>réduction</t>
  </si>
  <si>
    <t># text = C'est vraiment très important que nous y arrivions.</t>
  </si>
  <si>
    <t>arrivions</t>
  </si>
  <si>
    <t># text = Et que les 20 % proviennent de ce qui se passe dans les pays pauvres, ou encore un peu de l'agriculture.</t>
  </si>
  <si>
    <t>proviennent</t>
  </si>
  <si>
    <t>passe</t>
  </si>
  <si>
    <t>agriculture</t>
  </si>
  <si>
    <t># text = Espérons que d'ici là nous aurons une sylviculture et une industrie du ciment propres.</t>
  </si>
  <si>
    <t>Espérons</t>
  </si>
  <si>
    <t>aurons</t>
  </si>
  <si>
    <t>sylviculture</t>
  </si>
  <si>
    <t>ciment</t>
  </si>
  <si>
    <t>propres</t>
  </si>
  <si>
    <t># text = Donc, pour arriver à ces 80 %, les pays développés, y compris des pays comme la Chine, auront eu à transformer complètement leurs méthodes de production d'électricité.</t>
  </si>
  <si>
    <t>développés</t>
  </si>
  <si>
    <t>compris</t>
  </si>
  <si>
    <t>Chine</t>
  </si>
  <si>
    <t>auront</t>
  </si>
  <si>
    <t>eu</t>
  </si>
  <si>
    <t>transformer</t>
  </si>
  <si>
    <t>complètement</t>
  </si>
  <si>
    <t>méthodes</t>
  </si>
  <si>
    <t>production</t>
  </si>
  <si>
    <t># text = Le niveau suivant, ce sera de mettre en oeuvre cette technologie zéro émission, de l'avoir mise en oeuvre dans tous les pays développés et d'être en passe de le faire dans les autres pays.</t>
  </si>
  <si>
    <t>suivant</t>
  </si>
  <si>
    <t>oeuvre</t>
  </si>
  <si>
    <t>émission</t>
  </si>
  <si>
    <t>mise</t>
  </si>
  <si>
    <t># text = C'est super important.</t>
  </si>
  <si>
    <t>super</t>
  </si>
  <si>
    <t># text = C'est un élément essentiel pour tenir la feuille de route.</t>
  </si>
  <si>
    <t>élément</t>
  </si>
  <si>
    <t>essentiel</t>
  </si>
  <si>
    <t>tenir</t>
  </si>
  <si>
    <t># text = Alors, en revenant en arrière à partir de là, à quoi ressemble la feuille de route de 2020 ?</t>
  </si>
  <si>
    <t>revenant</t>
  </si>
  <si>
    <t>arrière</t>
  </si>
  <si>
    <t>ressemble</t>
  </si>
  <si>
    <t>2020</t>
  </si>
  <si>
    <t># text = Eh bien, là encore, on devrait avoir les deux éléments.</t>
  </si>
  <si>
    <t>éléments</t>
  </si>
  <si>
    <t># text = Nous devons passer par des mesures d'efficacité pour commencer à obtenir des réductions.</t>
  </si>
  <si>
    <t>mesures</t>
  </si>
  <si>
    <t>commencer</t>
  </si>
  <si>
    <t>réductions</t>
  </si>
  <si>
    <t># text = Moins nous émettons, moins grande sera la somme de CO2, et, par conséquent, moins chaude sera la température.</t>
  </si>
  <si>
    <t>Moins</t>
  </si>
  <si>
    <t>émettons</t>
  </si>
  <si>
    <t>somme</t>
  </si>
  <si>
    <t>conséquent</t>
  </si>
  <si>
    <t>chaude</t>
  </si>
  <si>
    <t># text = Mais à certains égards, le niveau que nous atteindrons ici, en faisant des choses qui ne conduisent pas tout de suite à d'importantes réductions, n'est pas plus important, et peut-être même moins, que cet autre, qui est l'innovation sur laquelle reposent ces percées.</t>
  </si>
  <si>
    <t>égards</t>
  </si>
  <si>
    <t>atteindrons</t>
  </si>
  <si>
    <t>faisant</t>
  </si>
  <si>
    <t>conduisent</t>
  </si>
  <si>
    <t>suite</t>
  </si>
  <si>
    <t>laquelle</t>
  </si>
  <si>
    <t>reposent</t>
  </si>
  <si>
    <t>percées</t>
  </si>
  <si>
    <t># text = Ces progrès, il faut que nous les réalisions à toute vitesse, et nous pouvons quantifier cela en termes de sociétés, de projets pilotes, de modifications des dispositions réglementaires.</t>
  </si>
  <si>
    <t>Ces</t>
  </si>
  <si>
    <t>progrès</t>
  </si>
  <si>
    <t>réalisions</t>
  </si>
  <si>
    <t>quantifier</t>
  </si>
  <si>
    <t>pilotes</t>
  </si>
  <si>
    <t>modifications</t>
  </si>
  <si>
    <t>dispositions</t>
  </si>
  <si>
    <t>réglementaires</t>
  </si>
  <si>
    <t># text = Beaucoup de grands livres ont été écrits à ce sujet.</t>
  </si>
  <si>
    <t>Beaucoup</t>
  </si>
  <si>
    <t>grands</t>
  </si>
  <si>
    <t>livres</t>
  </si>
  <si>
    <t>écrits</t>
  </si>
  <si>
    <t># text = Le livre de Al Gore, "Notre Choix" et le livre de David McKay, «L'énergie durable sans air chaud".</t>
  </si>
  <si>
    <t>Al</t>
  </si>
  <si>
    <t>Gore</t>
  </si>
  <si>
    <t>Notre</t>
  </si>
  <si>
    <t>Choix</t>
  </si>
  <si>
    <t>David</t>
  </si>
  <si>
    <t>McKay</t>
  </si>
  <si>
    <t>«</t>
  </si>
  <si>
    <t>durable</t>
  </si>
  <si>
    <t>sans</t>
  </si>
  <si>
    <t>chaud</t>
  </si>
  <si>
    <t># text = Ils éclairent vraiment bien le sujet, et créent un cadre qui ouvre largement à la discussion, parce qu'on a besoin d'un soutien large pour cela.</t>
  </si>
  <si>
    <t>Ils</t>
  </si>
  <si>
    <t>éclairent</t>
  </si>
  <si>
    <t>créent</t>
  </si>
  <si>
    <t>cadre</t>
  </si>
  <si>
    <t>ouvre</t>
  </si>
  <si>
    <t>largement</t>
  </si>
  <si>
    <t>discussion</t>
  </si>
  <si>
    <t>soutien</t>
  </si>
  <si>
    <t>large</t>
  </si>
  <si>
    <t># text = Beaucoup de choses doivent se produire en même temps.</t>
  </si>
  <si>
    <t>doivent</t>
  </si>
  <si>
    <t># text = Il s'agit donc d'un souhait.</t>
  </si>
  <si>
    <t>souhait</t>
  </si>
  <si>
    <t># text = C'est un vœu très concret, que l'on invente cette technologie.</t>
  </si>
  <si>
    <t>vœu</t>
  </si>
  <si>
    <t>concret</t>
  </si>
  <si>
    <t>invente</t>
  </si>
  <si>
    <t># text = Si on me donnait un seul vœu à faire pour les 50 prochaines années, si je pouvais choisir le prochain Président, ou choisir un vaccin, ce qui est quelque chose que j'aime, ou encore choisir que cette chose soit inventée, un coût divisé par deux sans aucune émission de CO2, c'est ce dernier que je choisirais.</t>
  </si>
  <si>
    <t>donnait</t>
  </si>
  <si>
    <t>seul</t>
  </si>
  <si>
    <t>prochaines</t>
  </si>
  <si>
    <t>pouvais</t>
  </si>
  <si>
    <t>choisir</t>
  </si>
  <si>
    <t>prochain</t>
  </si>
  <si>
    <t>Président</t>
  </si>
  <si>
    <t>vaccin</t>
  </si>
  <si>
    <t>aime</t>
  </si>
  <si>
    <t>inventée</t>
  </si>
  <si>
    <t>divisé</t>
  </si>
  <si>
    <t>dernier</t>
  </si>
  <si>
    <t>choisirais</t>
  </si>
  <si>
    <t># text = C'est celui qui aurait le plus grand impact.</t>
  </si>
  <si>
    <t>impact</t>
  </si>
  <si>
    <t># text = Si ce souhait ne se réalise pas, la division entre les gens qui pensent à court terme et à long terme sera terrible, entre les Etats-Unis et la Chine, entre pays pauvres et pays riches, et la vie sera bien pire pour la plupart de ces deux milliards de gens.</t>
  </si>
  <si>
    <t>réalise</t>
  </si>
  <si>
    <t>division</t>
  </si>
  <si>
    <t>pensent</t>
  </si>
  <si>
    <t>court</t>
  </si>
  <si>
    <t>terrible</t>
  </si>
  <si>
    <t>Etats-Unis</t>
  </si>
  <si>
    <t>riches</t>
  </si>
  <si>
    <t>plupart</t>
  </si>
  <si>
    <t># text = Alors, qu'avons-nous à faire?</t>
  </si>
  <si>
    <t># text = En quoi fais-je appel à vous pour aller de l'avant ?</t>
  </si>
  <si>
    <t>fais</t>
  </si>
  <si>
    <t>-je</t>
  </si>
  <si>
    <t>appel</t>
  </si>
  <si>
    <t>avant</t>
  </si>
  <si>
    <t># text = Il faut plus de financement pour la recherche.</t>
  </si>
  <si>
    <t>financement</t>
  </si>
  <si>
    <t>recherche</t>
  </si>
  <si>
    <t># text = Lorsque les pays se réunissent, comme à Copenhague, ils ne devraient pas discuter seulement du CO2.</t>
  </si>
  <si>
    <t>Lorsque</t>
  </si>
  <si>
    <t>réunissent</t>
  </si>
  <si>
    <t>Copenhague</t>
  </si>
  <si>
    <t>devraient</t>
  </si>
  <si>
    <t>discuter</t>
  </si>
  <si>
    <t># text = Ils devraient discuter de ce programme d'innovation, et vous seriez étonnés par le niveau de dépenses ridiculement faible nécessité par ces approches innovantes.</t>
  </si>
  <si>
    <t>programme</t>
  </si>
  <si>
    <t>seriez</t>
  </si>
  <si>
    <t>étonnés</t>
  </si>
  <si>
    <t>dépenses</t>
  </si>
  <si>
    <t>ridiculement</t>
  </si>
  <si>
    <t>faible</t>
  </si>
  <si>
    <t>nécessité</t>
  </si>
  <si>
    <t>innovantes</t>
  </si>
  <si>
    <t># text = Nous avons besoin d'incitations pour le marché, une taxe CO2, avec plafonnement et échanges, quelque chose qui active un signal de prix.</t>
  </si>
  <si>
    <t>incitations</t>
  </si>
  <si>
    <t>marché</t>
  </si>
  <si>
    <t>taxe</t>
  </si>
  <si>
    <t>plafonnement</t>
  </si>
  <si>
    <t>échanges</t>
  </si>
  <si>
    <t>active</t>
  </si>
  <si>
    <t>signal</t>
  </si>
  <si>
    <t># text = Nous devons faire passer le message.</t>
  </si>
  <si>
    <t>message</t>
  </si>
  <si>
    <t># text = Nous avons besoin que ce dialogue devienne plus rationnel, plus compréhensible, y compris les étapes, les mesures que le gouvernement prend.</t>
  </si>
  <si>
    <t>dialogue</t>
  </si>
  <si>
    <t>devienne</t>
  </si>
  <si>
    <t>rationnel</t>
  </si>
  <si>
    <t>compréhensible</t>
  </si>
  <si>
    <t>gouvernement</t>
  </si>
  <si>
    <t>prend</t>
  </si>
  <si>
    <t># text = C'est un souhait important, mais je pense que nous pouvons l'accomplir.</t>
  </si>
  <si>
    <t>accomplir.</t>
  </si>
  <si>
    <t># text = Merci.</t>
  </si>
  <si>
    <t>Merci</t>
  </si>
  <si>
    <t># text = (Applaudissements) Chris Anderson: Je vous remercie.</t>
  </si>
  <si>
    <t>Chris</t>
  </si>
  <si>
    <t>Anderson</t>
  </si>
  <si>
    <t>remercie.</t>
  </si>
  <si>
    <t># text = Juste pour mieux comprendre, à propos de Terrapower, je veux dire, tout d'abord, pouvez-vous donner une idée de l'ampleur des investissements que cela représente?</t>
  </si>
  <si>
    <t>Juste</t>
  </si>
  <si>
    <t>comprendre</t>
  </si>
  <si>
    <t>propos</t>
  </si>
  <si>
    <t>-vous</t>
  </si>
  <si>
    <t>donner</t>
  </si>
  <si>
    <t>ampleur</t>
  </si>
  <si>
    <t>investissements</t>
  </si>
  <si>
    <t># text = Bill Gates: Pour finaliser le logiciel avec le supercalculateur, embaucher les meilleurs scientifiques, ce que nous avons fait, ça se chiffre seulement en dizaines de millions, et même en ayant testé nos matériels dans un réacteur russe pour s'assurer qu'ils fonctionnent correctement, on arrive seulement dans les centaines de millions</t>
  </si>
  <si>
    <t>Gates</t>
  </si>
  <si>
    <t>finaliser</t>
  </si>
  <si>
    <t>logiciel</t>
  </si>
  <si>
    <t>supercalculateur</t>
  </si>
  <si>
    <t>embaucher</t>
  </si>
  <si>
    <t>meilleurs</t>
  </si>
  <si>
    <t>dizaines</t>
  </si>
  <si>
    <t>millions</t>
  </si>
  <si>
    <t>testé</t>
  </si>
  <si>
    <t>nos</t>
  </si>
  <si>
    <t>matériels</t>
  </si>
  <si>
    <t>russe</t>
  </si>
  <si>
    <t>assurer</t>
  </si>
  <si>
    <t>arrive</t>
  </si>
  <si>
    <t># text = Le plus dur est la construction du réacteur pilote, trouver les quelques milliards, trouver le régulateur, l'emplacement voilà comment on construira le premier.</t>
  </si>
  <si>
    <t>construction</t>
  </si>
  <si>
    <t>pilote</t>
  </si>
  <si>
    <t>régulateur</t>
  </si>
  <si>
    <t>emplacement</t>
  </si>
  <si>
    <t>voilà</t>
  </si>
  <si>
    <t>construira</t>
  </si>
  <si>
    <t># text = Une fois que le premier sera construit, si tout fonctionne comme annoncé, alors ça deviendra une évidence, avec des données économiques et une densité d'énergie, tellement différentes de celles du nucléaire que nous connaissons.</t>
  </si>
  <si>
    <t>Une</t>
  </si>
  <si>
    <t>construit</t>
  </si>
  <si>
    <t>fonctionne</t>
  </si>
  <si>
    <t>annoncé</t>
  </si>
  <si>
    <t>deviendra</t>
  </si>
  <si>
    <t>évidence</t>
  </si>
  <si>
    <t>données</t>
  </si>
  <si>
    <t>tellement</t>
  </si>
  <si>
    <t>celles</t>
  </si>
  <si>
    <t>connaissons</t>
  </si>
  <si>
    <t># text = CA: Alors, pour bien comprendre, cela implique de construire, profond dans le sol, quelque chose comme une sorte de colonne verticale de combustible nucléaire, faite de cet uranium appauvri, et puis le processus commence par le haut et continue vers le bas ?</t>
  </si>
  <si>
    <t>CA</t>
  </si>
  <si>
    <t>implique</t>
  </si>
  <si>
    <t>profond</t>
  </si>
  <si>
    <t>sol</t>
  </si>
  <si>
    <t>colonne</t>
  </si>
  <si>
    <t>verticale</t>
  </si>
  <si>
    <t>faite</t>
  </si>
  <si>
    <t>commence</t>
  </si>
  <si>
    <t>continue</t>
  </si>
  <si>
    <t>vers</t>
  </si>
  <si>
    <t>bas</t>
  </si>
  <si>
    <t># text = BG: C'est ça.</t>
  </si>
  <si>
    <t># text = Aujourd'hui, on doit constamment ravitailler le réacteur en carburant, ça nécessite donc beaucoup de gens et beaucoup de contrôles peuvent mal tourner, comme quand il faut l'ouvrir, et y faire entrer et sortir des choses.</t>
  </si>
  <si>
    <t>Aujourd'hui</t>
  </si>
  <si>
    <t>constamment</t>
  </si>
  <si>
    <t>ravitailler</t>
  </si>
  <si>
    <t>nécessite</t>
  </si>
  <si>
    <t>contrôles</t>
  </si>
  <si>
    <t>mal</t>
  </si>
  <si>
    <t>tourner</t>
  </si>
  <si>
    <t>ouvrir</t>
  </si>
  <si>
    <t>entrer</t>
  </si>
  <si>
    <t># text = Ce n'est pas bon.</t>
  </si>
  <si>
    <t>bon</t>
  </si>
  <si>
    <t># text = Mais si on a un carburant très bon marché qu'on peut y mettre pour 60 ans -- pensez-y simplement comme à une bûche -- le poser là sans avoir tous ces mêmes problèmes complexes.</t>
  </si>
  <si>
    <t>ans</t>
  </si>
  <si>
    <t>pensez</t>
  </si>
  <si>
    <t>-y</t>
  </si>
  <si>
    <t>mêmes</t>
  </si>
  <si>
    <t>complexes</t>
  </si>
  <si>
    <t># text = Il est là, il va brûler pendant les 60 ans et puis c'est fini.</t>
  </si>
  <si>
    <t>fini</t>
  </si>
  <si>
    <t># text = CA: Il s'agit d'une centrale nucléaire qui est sa propre solution d'élimination des déchets.</t>
  </si>
  <si>
    <t>sa</t>
  </si>
  <si>
    <t>propre</t>
  </si>
  <si>
    <t>élimination</t>
  </si>
  <si>
    <t># text = BG: Oui.</t>
  </si>
  <si>
    <t>Oui</t>
  </si>
  <si>
    <t># text = Eh bien, ce qui se passe avec les déchets, c'est que vous pouvez les laisser sur place - il y a beaucoup moins de déchets avec cette approche -- et puis vous pouvez les récupérer, les mettre dans un autre réacteur et brûler le tout.</t>
  </si>
  <si>
    <t>place</t>
  </si>
  <si>
    <t>récupérer</t>
  </si>
  <si>
    <t># text = En fait, on démarre avec les déchets qui existent aujourd'hui, qui sont dans ces bassins de refroidissement dans des tonneaux secs, près du réacteur.</t>
  </si>
  <si>
    <t>démarre</t>
  </si>
  <si>
    <t>existent</t>
  </si>
  <si>
    <t>bassins</t>
  </si>
  <si>
    <t>refroidissement</t>
  </si>
  <si>
    <t>tonneaux</t>
  </si>
  <si>
    <t>secs</t>
  </si>
  <si>
    <t># text = C'est ça, le carburant avec lequel on commence.</t>
  </si>
  <si>
    <t># text = Ce qui a été un problème avec les anciens réacteurs, c'est ce qui nourrit le nôtre, et on réduit radicalement le volume des déchets avec ce processus.</t>
  </si>
  <si>
    <t>anciens</t>
  </si>
  <si>
    <t>nourrit</t>
  </si>
  <si>
    <t>nôtre</t>
  </si>
  <si>
    <t>réduit</t>
  </si>
  <si>
    <t>radicalement</t>
  </si>
  <si>
    <t># text = CA: Mais quand vous parlez aux gens autour de vous, dans le monde entier, des possibilités qu'on a ici, où montre-t-on le plus d'intérêt à en faire réellement quelque chose ?</t>
  </si>
  <si>
    <t>parlez</t>
  </si>
  <si>
    <t>autour</t>
  </si>
  <si>
    <t>entier</t>
  </si>
  <si>
    <t>montre</t>
  </si>
  <si>
    <t>-t</t>
  </si>
  <si>
    <t>intérêt</t>
  </si>
  <si>
    <t>réellement</t>
  </si>
  <si>
    <t># text = BG: Eh bien, nous n'avons pas choisi de lieu particulier, et il y a toutes ces règles de divulgation concernant tout ce qui se rapporte au nucléaire, alors, nous éveillons donc beaucoup d'intérêt, et la société a envoyé des gens en Russie, en Inde, en Chine.</t>
  </si>
  <si>
    <t>règles</t>
  </si>
  <si>
    <t>divulgation</t>
  </si>
  <si>
    <t>concernant</t>
  </si>
  <si>
    <t>rapporte</t>
  </si>
  <si>
    <t>éveillons</t>
  </si>
  <si>
    <t>envoyé</t>
  </si>
  <si>
    <t>Russie</t>
  </si>
  <si>
    <t>Inde</t>
  </si>
  <si>
    <t># text = Je suis retourné voir le Secrétaire à l'Énergie ici, parler de comment cela s'intègre dans l'agenda énergétique.</t>
  </si>
  <si>
    <t>retourné</t>
  </si>
  <si>
    <t>Secrétaire</t>
  </si>
  <si>
    <t>Énergie</t>
  </si>
  <si>
    <t>intègre</t>
  </si>
  <si>
    <t>agenda</t>
  </si>
  <si>
    <t>énergétique</t>
  </si>
  <si>
    <t># text = Je suis optimiste.</t>
  </si>
  <si>
    <t>optimiste</t>
  </si>
  <si>
    <t># text = Vous savez que les Français et les Japonais ont fait du bon travail.</t>
  </si>
  <si>
    <t>savez</t>
  </si>
  <si>
    <t>Français</t>
  </si>
  <si>
    <t>Japonais</t>
  </si>
  <si>
    <t># text = Il s'agit là d'une variante de quelque chose qui a déjà été réalisé.</t>
  </si>
  <si>
    <t>variante</t>
  </si>
  <si>
    <t>réalisé</t>
  </si>
  <si>
    <t># text = C'est un progrès important, mais c'est comme un réacteur rapide, et de nombreux pays en ont déjà construits, donc chacun de ceux-là est candidat pour être le premier pays où nous construirons le premier.. CA: Quels sont, selon vous, l'échéance et la probabilité de mener cela à bien dans la réalité ?</t>
  </si>
  <si>
    <t>construits</t>
  </si>
  <si>
    <t>-là</t>
  </si>
  <si>
    <t>candidat</t>
  </si>
  <si>
    <t>construirons</t>
  </si>
  <si>
    <t>..</t>
  </si>
  <si>
    <t>selon</t>
  </si>
  <si>
    <t>échéance</t>
  </si>
  <si>
    <t>probabilité</t>
  </si>
  <si>
    <t>mener</t>
  </si>
  <si>
    <t># text = BG: Eh bien, pour une de ces unités de production électrique à grande échelle, et ce n'est qu'une approximation, nous devons compter 20 an pour inventer, et 20 ans pour mettre en œuvre.</t>
  </si>
  <si>
    <t>unités</t>
  </si>
  <si>
    <t>approximation</t>
  </si>
  <si>
    <t>an</t>
  </si>
  <si>
    <t>œuvre</t>
  </si>
  <si>
    <t># text = C'est à ce genre d'échéance que les modèles environnementaux nous ont montré qu'il fallait nous attendre.</t>
  </si>
  <si>
    <t>genre</t>
  </si>
  <si>
    <t>modèles</t>
  </si>
  <si>
    <t>environnementaux</t>
  </si>
  <si>
    <t>montré</t>
  </si>
  <si>
    <t>attendre</t>
  </si>
  <si>
    <t># text = Et, vous savez, Terrapower, si les choses vont bien, ce qui est beaucoup espérer, pourrait facilement tenir ces délais.</t>
  </si>
  <si>
    <t>facilement</t>
  </si>
  <si>
    <t>délais</t>
  </si>
  <si>
    <t># text = Et il y a heureusement, aujourd'hui, des dizaines d'entreprises, et il faut qu'il y en ait des centaines, qui pourront, si le côté scientifique avance bien, et si le financement de leurs usines pilotes se passe bien, entrer aussi dans la compétition.</t>
  </si>
  <si>
    <t>heureusement</t>
  </si>
  <si>
    <t>pourront</t>
  </si>
  <si>
    <t>scientifique</t>
  </si>
  <si>
    <t>avance</t>
  </si>
  <si>
    <t>usines</t>
  </si>
  <si>
    <t>compétition</t>
  </si>
  <si>
    <t># text = Et ce sera mieux si on assiste à plusieurs succès, car alors on pourra utiliser un mélange de tout ça.</t>
  </si>
  <si>
    <t>assiste</t>
  </si>
  <si>
    <t>succès</t>
  </si>
  <si>
    <t>car</t>
  </si>
  <si>
    <t>mélange</t>
  </si>
  <si>
    <t># text = Il faut absolument qu'un de ces projets réussisse.</t>
  </si>
  <si>
    <t>absolument</t>
  </si>
  <si>
    <t>réussisse</t>
  </si>
  <si>
    <t># text = CA: En termes de changements des règles du jeu à grande échelle, est-ce que c'est le plus important dont vous ayez entendu parler ?</t>
  </si>
  <si>
    <t>jeu</t>
  </si>
  <si>
    <t>ayez</t>
  </si>
  <si>
    <t># text = BG: Une percée dans le domaine de l'énergie est la chose la plus importante.</t>
  </si>
  <si>
    <t># text = Ça l'aurait été, même sans la contrainte de l'environnement, mais la contrainte environnementale la rend simplement tellement plus importante.</t>
  </si>
  <si>
    <t>environnementale</t>
  </si>
  <si>
    <t>rend</t>
  </si>
  <si>
    <t># text = Dans le domaine nucléaire, il y a d'autres innovateurs.</t>
  </si>
  <si>
    <t>innovateurs</t>
  </si>
  <si>
    <t># text = Vous savez, on ne connait pas aussi bien leur travail que celui-ci, mais il y a ceux qui étudient l'approche par modules, c'est une approche différente.</t>
  </si>
  <si>
    <t>celui-ci</t>
  </si>
  <si>
    <t>étudient</t>
  </si>
  <si>
    <t>modules</t>
  </si>
  <si>
    <t>différente</t>
  </si>
  <si>
    <t># text = Il y a le réacteur de type liquide, ce qui semble un peu difficile, mais c'est peut-être ce qu'ils pensaient aussi de nous.</t>
  </si>
  <si>
    <t>pensaient</t>
  </si>
  <si>
    <t># text = Donc, il y a différentes voies, mais la beauté de tout ça, c'est qu'une molécule d'uranium renferme un million de fois plus d'énergie qu'une molécule de, disons, de charbon, et qu'ainsi, si l'on sait traiter les aspects négatifs, c'est à dire essentiellement la radiation, alors, l'empreinte et le coût, le potentiel, en termes d'effets sur la terre et sur le reste, le place quasiment dans une catégorie à part.</t>
  </si>
  <si>
    <t>beauté</t>
  </si>
  <si>
    <t>molécule</t>
  </si>
  <si>
    <t>renferme</t>
  </si>
  <si>
    <t>million</t>
  </si>
  <si>
    <t>ainsi</t>
  </si>
  <si>
    <t>traiter</t>
  </si>
  <si>
    <t>aspects</t>
  </si>
  <si>
    <t>essentiellement</t>
  </si>
  <si>
    <t>radiation</t>
  </si>
  <si>
    <t>empreinte</t>
  </si>
  <si>
    <t>potentiel</t>
  </si>
  <si>
    <t>terre</t>
  </si>
  <si>
    <t>quasiment</t>
  </si>
  <si>
    <t>catégorie</t>
  </si>
  <si>
    <t># text = CA: Et si ça ne marche pas, alors que faire ?</t>
  </si>
  <si>
    <t>marche</t>
  </si>
  <si>
    <t># text = Devons-nous commencer à prendre des mesures d'urgence pour essayer de garder stable la température de la terre?</t>
  </si>
  <si>
    <t>Devons</t>
  </si>
  <si>
    <t>urgence</t>
  </si>
  <si>
    <t>essayer</t>
  </si>
  <si>
    <t>garder</t>
  </si>
  <si>
    <t>stable</t>
  </si>
  <si>
    <t># text = BG: Si vous arrivait dans cette situation, ce serait comme si vous aviez trop mangé, et que vous étiez prêt à avoir un infarctus.</t>
  </si>
  <si>
    <t>arrivait</t>
  </si>
  <si>
    <t>situation</t>
  </si>
  <si>
    <t>aviez</t>
  </si>
  <si>
    <t>mangé</t>
  </si>
  <si>
    <t>étiez</t>
  </si>
  <si>
    <t>prêt</t>
  </si>
  <si>
    <t>infarctus</t>
  </si>
  <si>
    <t># text = Alors, où allez-vous?</t>
  </si>
  <si>
    <t># text = Il vous faut une chirurgie cardiaque ou quelque chose comme ça.</t>
  </si>
  <si>
    <t>chirurgie</t>
  </si>
  <si>
    <t>cardiaque</t>
  </si>
  <si>
    <t># text = Il ya une ligne de recherche sur ce qu'on appelle la géo-ingénierie, portant sur différentes techniques, qui retarderaient le réchauffement, pour gagner les 20 ou 30 ans nécessaires pour nous prendre en main.</t>
  </si>
  <si>
    <t>ligne</t>
  </si>
  <si>
    <t>géo-ingénierie</t>
  </si>
  <si>
    <t>portant</t>
  </si>
  <si>
    <t>retarderaient</t>
  </si>
  <si>
    <t>réchauffement</t>
  </si>
  <si>
    <t>gagner</t>
  </si>
  <si>
    <t>nécessaires</t>
  </si>
  <si>
    <t>main</t>
  </si>
  <si>
    <t># text = Ce n'est rien de plus qu'une police d'assurance.</t>
  </si>
  <si>
    <t>rien</t>
  </si>
  <si>
    <t>police</t>
  </si>
  <si>
    <t>assurance</t>
  </si>
  <si>
    <t># text = On espère ne pas en avoir besoin.</t>
  </si>
  <si>
    <t>espère</t>
  </si>
  <si>
    <t># text = Certains disent qu'il ne faudrait même pas travailler dans cette direction, car elle pourrait nous rendre paresseux, comme si vous continuiez à manger parce que vous savez que la chirurgie cardiaque sera là pour vous sauver.</t>
  </si>
  <si>
    <t>Certains</t>
  </si>
  <si>
    <t>disent</t>
  </si>
  <si>
    <t>direction</t>
  </si>
  <si>
    <t>paresseux</t>
  </si>
  <si>
    <t>continuiez</t>
  </si>
  <si>
    <t>manger</t>
  </si>
  <si>
    <t>sauver</t>
  </si>
  <si>
    <t># text = Je ne suis pas sûr que ce soit avisé, étant donné l'ampleur du problème, mais, bon, il y a cette histoire de géo-ingénierie, à garder au fond de la poche, au cas où les choses arrivent plus vite que prévu, ou que l'innovation soit beaucoup plus lente.</t>
  </si>
  <si>
    <t>sûr</t>
  </si>
  <si>
    <t>avisé</t>
  </si>
  <si>
    <t>donné</t>
  </si>
  <si>
    <t>histoire</t>
  </si>
  <si>
    <t>fond</t>
  </si>
  <si>
    <t>arrivent</t>
  </si>
  <si>
    <t>vite</t>
  </si>
  <si>
    <t>prévu</t>
  </si>
  <si>
    <t>lente</t>
  </si>
  <si>
    <t># text = CA: Les climato-sceptiques : si vous aviez une ou deux phrases à leur dire, comment pourriez-vous les persuader qu'ils ont tort?</t>
  </si>
  <si>
    <t>climato-sceptiques</t>
  </si>
  <si>
    <t>phrases</t>
  </si>
  <si>
    <t>pourriez-vous</t>
  </si>
  <si>
    <t>persuader</t>
  </si>
  <si>
    <t>tort</t>
  </si>
  <si>
    <t># text = BG: Eh bien, malheureusement, les sceptiques sont dans des camps différents.</t>
  </si>
  <si>
    <t>malheureusement</t>
  </si>
  <si>
    <t>sceptiques</t>
  </si>
  <si>
    <t>camps</t>
  </si>
  <si>
    <t>différents</t>
  </si>
  <si>
    <t># text = Ceux dont les arguments sont scientifiques sont très peu nombreux.</t>
  </si>
  <si>
    <t>Ceux</t>
  </si>
  <si>
    <t>arguments</t>
  </si>
  <si>
    <t># text = Disent-ils qu'il y a des effets de rétroaction négative qui ont à voir avec les nuages qui ont compensé les choses?</t>
  </si>
  <si>
    <t>Disent</t>
  </si>
  <si>
    <t>-ils</t>
  </si>
  <si>
    <t>rétroaction</t>
  </si>
  <si>
    <t>négative</t>
  </si>
  <si>
    <t>nuages</t>
  </si>
  <si>
    <t>compensé</t>
  </si>
  <si>
    <t># text = Il y a très, très peu de choses qu'ils puissent même dire, il y a une chance sur un million pour cela.</t>
  </si>
  <si>
    <t>puissent</t>
  </si>
  <si>
    <t>chance</t>
  </si>
  <si>
    <t># text = Le principal problème que nous ayons ici est un peu comme avec le SIDA.</t>
  </si>
  <si>
    <t>principal</t>
  </si>
  <si>
    <t>ayons</t>
  </si>
  <si>
    <t>SIDA</t>
  </si>
  <si>
    <t># text = Vous faites une erreur maintenant, et vous en payez le prix beaucoup plus tard.</t>
  </si>
  <si>
    <t>faites</t>
  </si>
  <si>
    <t>erreur</t>
  </si>
  <si>
    <t>maintenant</t>
  </si>
  <si>
    <t>payez</t>
  </si>
  <si>
    <t>tard</t>
  </si>
  <si>
    <t># text = Quand vous avez n'importe quel genre de problème urgent, cette idée de souffrir maintenant, avec un gain plus tard -- par rapport à une douleur dont on n'est pas sûrs.</t>
  </si>
  <si>
    <t>Quand</t>
  </si>
  <si>
    <t>importe</t>
  </si>
  <si>
    <t>urgent</t>
  </si>
  <si>
    <t>souffrir</t>
  </si>
  <si>
    <t>gain</t>
  </si>
  <si>
    <t>douleur</t>
  </si>
  <si>
    <t># text = En fait, le rapport du Groupe d’experts Intergouvernemental sur l’Evolution du Climat, ce n'est pas nécessairement le pire des cas, et il ya des gens dans les pays riches qui regardent le GIEC et se disent "Ok, ce n'est pas si important."</t>
  </si>
  <si>
    <t>Groupe</t>
  </si>
  <si>
    <t>d’</t>
  </si>
  <si>
    <t>experts</t>
  </si>
  <si>
    <t>Intergouvernemental</t>
  </si>
  <si>
    <t>l’</t>
  </si>
  <si>
    <t>Evolution</t>
  </si>
  <si>
    <t>Climat</t>
  </si>
  <si>
    <t>nécessairement</t>
  </si>
  <si>
    <t>regardent</t>
  </si>
  <si>
    <t>GIEC</t>
  </si>
  <si>
    <t>Ok</t>
  </si>
  <si>
    <t># text = Le fait est que c'est cette part d'incertitude qui devrait nous pousser dans cette direction.</t>
  </si>
  <si>
    <t>pousser</t>
  </si>
  <si>
    <t># text = Mais mon rêve est que, si vous pouvez faire que ce soit économique, et répondre aux contraintes de CO2, alors les sceptiques diront : "OK, ça m'est égal qu'il ne rejette pas de CO2, j'aurais préféré qu'il émette du CO2, mais je crois que je vais l'accepter parce que c'est meilleur marché que ceux d'avant.</t>
  </si>
  <si>
    <t>rêve</t>
  </si>
  <si>
    <t>économique</t>
  </si>
  <si>
    <t>contraintes</t>
  </si>
  <si>
    <t>diront</t>
  </si>
  <si>
    <t>OK</t>
  </si>
  <si>
    <t>égal</t>
  </si>
  <si>
    <t>rejette</t>
  </si>
  <si>
    <t>aurais</t>
  </si>
  <si>
    <t>préféré</t>
  </si>
  <si>
    <t>émette</t>
  </si>
  <si>
    <t>crois</t>
  </si>
  <si>
    <t>accepter</t>
  </si>
  <si>
    <t>meilleur</t>
  </si>
  <si>
    <t># text = CA: Et alors, ce serait votre réponse à l'argument de Bjorn Lomborg, que, si on dépense toute cette énergie à essayer de résoudre le problème du CO2, ça va l'emporter tous les autres objectifs, comme d'essayer de débarrasser le monde de la pauvreté et du paludisme, etc.</t>
  </si>
  <si>
    <t>argument</t>
  </si>
  <si>
    <t>Bjorn</t>
  </si>
  <si>
    <t>Lomborg</t>
  </si>
  <si>
    <t>dépense</t>
  </si>
  <si>
    <t>emporter</t>
  </si>
  <si>
    <t>objectifs</t>
  </si>
  <si>
    <t>paludisme</t>
  </si>
  <si>
    <t>etc.</t>
  </si>
  <si>
    <t># text = Que c'est un gaspillage stupide des ressources que de dépenser de l'argent pour ça,quand il y a bien mieux à faire.</t>
  </si>
  <si>
    <t>Que</t>
  </si>
  <si>
    <t>gaspillage</t>
  </si>
  <si>
    <t>stupide</t>
  </si>
  <si>
    <t>ressources</t>
  </si>
  <si>
    <t>dépenser</t>
  </si>
  <si>
    <t>argent</t>
  </si>
  <si>
    <t>ça,quand</t>
  </si>
  <si>
    <t># text = BG: Eh bien, les dépenses réellement consacrées en Recherche &amp;amp;</t>
  </si>
  <si>
    <t>consacrées</t>
  </si>
  <si>
    <t>Recherche</t>
  </si>
  <si>
    <t>&amp;amp;amp</t>
  </si>
  <si>
    <t>;</t>
  </si>
  <si>
    <t># text = Développement -- disons, si les États-Unis dépensaient 10 milliards de plus par an qu'actuellement -- ce ne serait pas si dramatique.</t>
  </si>
  <si>
    <t>Développement</t>
  </si>
  <si>
    <t>dépensaient</t>
  </si>
  <si>
    <t>dramatique</t>
  </si>
  <si>
    <t># text = Ça ne remettrait pas les autres postes de dépense en cause.</t>
  </si>
  <si>
    <t>remettrait</t>
  </si>
  <si>
    <t>postes</t>
  </si>
  <si>
    <t># text = Là où les gens raisonnables peuvent ne pas être d'accord, et on parle ici de grosses sommes, c'est quand vous avez quelque chose de pas économique, et que vous essayez de le financer.</t>
  </si>
  <si>
    <t>raisonnables</t>
  </si>
  <si>
    <t>grosses</t>
  </si>
  <si>
    <t>essayez</t>
  </si>
  <si>
    <t>financer</t>
  </si>
  <si>
    <t># text = C'est surtout ça, pour moi, qui est du gâchis.</t>
  </si>
  <si>
    <t>surtout</t>
  </si>
  <si>
    <t>gâchis</t>
  </si>
  <si>
    <t># text = Sauf si on est très proche de la solution, et que ce qu'on finance c'est la progression du savoir, et que ça va être très bon marché.</t>
  </si>
  <si>
    <t>Sauf</t>
  </si>
  <si>
    <t>finance</t>
  </si>
  <si>
    <t>progression</t>
  </si>
  <si>
    <t># text = Je crois qu'on devrait essayer plus de choses choses qui pourraient, potentiellement, coûter beaucoup moins cher.</t>
  </si>
  <si>
    <t>potentiellement</t>
  </si>
  <si>
    <t>coûter</t>
  </si>
  <si>
    <t>cher</t>
  </si>
  <si>
    <t># text = Si l'arbitrage que vous choississez, c'est \" Rendons l'énergie super chère\", alors seuls les riches pourront se le permettre.</t>
  </si>
  <si>
    <t>arbitrage</t>
  </si>
  <si>
    <t>choississez</t>
  </si>
  <si>
    <t>Rendons</t>
  </si>
  <si>
    <t>chère</t>
  </si>
  <si>
    <t>seuls</t>
  </si>
  <si>
    <t># text = Ce que je veux dire, c'est que nous tous, ici, nous pourrions nous permettre de payer notre énergie 5 fois plus cher, sans changer notre mode de vie.</t>
  </si>
  <si>
    <t>payer</t>
  </si>
  <si>
    <t>mode</t>
  </si>
  <si>
    <t># text = La catastrophe serait pour ces deux milliards de gens.</t>
  </si>
  <si>
    <t>catastrophe</t>
  </si>
  <si>
    <t># text = Et même Lomborg a changé.</t>
  </si>
  <si>
    <t>changé</t>
  </si>
  <si>
    <t># text = Son truc, maintenant, c'est de répéter "pourquoi ne discute-t-on pas plus de R&amp;amp;D."</t>
  </si>
  <si>
    <t>Son</t>
  </si>
  <si>
    <t>truc</t>
  </si>
  <si>
    <t>répéter</t>
  </si>
  <si>
    <t>pourquoi</t>
  </si>
  <si>
    <t>discute</t>
  </si>
  <si>
    <t>R&amp;amp;amp</t>
  </si>
  <si>
    <t>;D</t>
  </si>
  <si>
    <t># text = Il est encore, à cause de l'affaire d'avant, toujours associé avec le camp des climato-sceptiques, mais il a compris que c'est une position assez solitaire, alors, il ramène son truc de R&amp;amp;D. Mais là-dedans, il y a quelque chose qui ne me semble pas faux.</t>
  </si>
  <si>
    <t>affaire</t>
  </si>
  <si>
    <t>toujours</t>
  </si>
  <si>
    <t>associé</t>
  </si>
  <si>
    <t>camp</t>
  </si>
  <si>
    <t>position</t>
  </si>
  <si>
    <t>solitaire</t>
  </si>
  <si>
    <t>ramène</t>
  </si>
  <si>
    <t>;D.</t>
  </si>
  <si>
    <t>là-dedans</t>
  </si>
  <si>
    <t>faux</t>
  </si>
  <si>
    <t># text = C'est dingue de voir à quel point la R&amp;amp;D est peu financée.</t>
  </si>
  <si>
    <t>dingue</t>
  </si>
  <si>
    <t>point</t>
  </si>
  <si>
    <t>R&amp;amp;amp;D</t>
  </si>
  <si>
    <t>financée</t>
  </si>
  <si>
    <t># text = CA: Et bien Bill, je pense que je parle au nom de la plupart des gens ici en disant que j'espère vraiment que ton souhait devienne réalité.</t>
  </si>
  <si>
    <t>nom</t>
  </si>
  <si>
    <t>disant</t>
  </si>
  <si>
    <t>ton</t>
  </si>
  <si>
    <t># text = Merci beaucoup.</t>
  </si>
  <si>
    <t># text = BG: Je vous remercie.</t>
  </si>
  <si>
    <t>remercie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</si>
</sst>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17</v>
      </c>
      <c r="D3" s="7" t="s">
        <v>18</v>
      </c>
      <c r="E3" s="8" t="s">
        <v>19</v>
      </c>
      <c r="F3" s="6" t="s">
        <v>20</v>
      </c>
      <c r="G3" s="9">
        <f>IF(A3=1,"_",IF(C3="_","???",C3))</f>
        <v/>
      </c>
      <c r="H3" s="10" t="s">
        <v>12</v>
      </c>
      <c r="I3" s="11" t="s">
        <v>12</v>
      </c>
      <c r="J3" s="12"/>
    </row>
    <row r="4" spans="1:10" ht="60" customHeight="1">
      <c r="A4" s="6" t="s">
        <v>16</v>
      </c>
      <c r="B4" s="6" t="s">
        <v>21</v>
      </c>
      <c r="C4" s="6" t="s">
        <v>22</v>
      </c>
      <c r="D4" s="7" t="s">
        <v>23</v>
      </c>
      <c r="E4" s="8" t="s">
        <v>24</v>
      </c>
      <c r="F4" s="6" t="s">
        <v>25</v>
      </c>
      <c r="G4" s="9">
        <f>IF(A4=1,"_",IF(C4="_","???",C4))</f>
        <v/>
      </c>
      <c r="H4" s="10" t="s">
        <v>12</v>
      </c>
      <c r="I4" s="11" t="s">
        <v>12</v>
      </c>
      <c r="J4" s="12"/>
    </row>
    <row r="5" spans="1:10" ht="60" customHeight="1">
      <c r="A5" s="6" t="s">
        <v>26</v>
      </c>
      <c r="B5" s="6" t="s">
        <v>26</v>
      </c>
      <c r="C5" s="6" t="s">
        <v>12</v>
      </c>
      <c r="D5" s="7" t="s">
        <v>27</v>
      </c>
      <c r="E5" s="8" t="s">
        <v>28</v>
      </c>
      <c r="F5" s="6" t="s">
        <v>29</v>
      </c>
      <c r="G5" s="9">
        <f>IF(A5=1,"_",IF(C5="_","???",C5))</f>
        <v/>
      </c>
      <c r="H5" s="10" t="s">
        <v>12</v>
      </c>
      <c r="I5" s="11" t="s">
        <v>12</v>
      </c>
      <c r="J5" s="12"/>
    </row>
    <row r="6" spans="1:10" ht="60" customHeight="1">
      <c r="A6" s="6" t="s">
        <v>30</v>
      </c>
      <c r="B6" s="6" t="s">
        <v>16</v>
      </c>
      <c r="C6" s="6" t="s">
        <v>31</v>
      </c>
      <c r="D6" s="7" t="s">
        <v>32</v>
      </c>
      <c r="E6" s="8" t="s">
        <v>33</v>
      </c>
      <c r="F6" s="6" t="s">
        <v>34</v>
      </c>
      <c r="G6" s="9">
        <f>IF(A6=1,"_",IF(C6="_","???",C6))</f>
        <v/>
      </c>
      <c r="H6" s="10" t="s">
        <v>12</v>
      </c>
      <c r="I6" s="11" t="s">
        <v>12</v>
      </c>
      <c r="J6" s="12"/>
    </row>
    <row r="7" spans="1:10" ht="60" customHeight="1">
      <c r="A7" s="6" t="s">
        <v>35</v>
      </c>
      <c r="B7" s="6" t="s">
        <v>16</v>
      </c>
      <c r="C7" s="6" t="s">
        <v>12</v>
      </c>
      <c r="D7" s="7" t="s">
        <v>13</v>
      </c>
      <c r="E7" s="8" t="s">
        <v>36</v>
      </c>
      <c r="F7" s="6" t="s">
        <v>37</v>
      </c>
      <c r="G7" s="9">
        <f>IF(A7=1,"_",IF(C7="_","???",C7))</f>
        <v/>
      </c>
      <c r="H7" s="10" t="s">
        <v>12</v>
      </c>
      <c r="I7" s="11" t="s">
        <v>12</v>
      </c>
      <c r="J7" s="12"/>
    </row>
    <row r="8" spans="1:10" ht="60" customHeight="1">
      <c r="A8" s="6" t="s">
        <v>21</v>
      </c>
      <c r="B8" s="6" t="s">
        <v>16</v>
      </c>
      <c r="C8" s="6" t="s">
        <v>17</v>
      </c>
      <c r="D8" s="7" t="s">
        <v>38</v>
      </c>
      <c r="E8" s="8" t="s">
        <v>39</v>
      </c>
      <c r="F8" s="6" t="s">
        <v>40</v>
      </c>
      <c r="G8" s="9">
        <f>IF(A8=1,"_",IF(C8="_","???",C8))</f>
        <v/>
      </c>
      <c r="H8" s="10" t="s">
        <v>12</v>
      </c>
      <c r="I8" s="11" t="s">
        <v>12</v>
      </c>
      <c r="J8" s="12"/>
    </row>
    <row r="9" spans="1:10" ht="60" customHeight="1">
      <c r="A9" s="6" t="s">
        <v>41</v>
      </c>
      <c r="B9" s="6" t="s">
        <v>11</v>
      </c>
      <c r="C9" s="6" t="s">
        <v>42</v>
      </c>
      <c r="D9" s="7" t="s">
        <v>38</v>
      </c>
      <c r="E9" s="8" t="s">
        <v>43</v>
      </c>
      <c r="F9" s="6" t="s">
        <v>44</v>
      </c>
      <c r="G9" s="9">
        <f>IF(A9=1,"_",IF(C9="_","???",C9))</f>
        <v/>
      </c>
      <c r="H9" s="10" t="s">
        <v>12</v>
      </c>
      <c r="I9" s="11" t="s">
        <v>12</v>
      </c>
      <c r="J9" s="12"/>
    </row>
    <row r="10" spans="1:10" ht="60" customHeight="1">
      <c r="A10" s="6" t="s">
        <v>45</v>
      </c>
      <c r="B10" s="6" t="s">
        <v>11</v>
      </c>
      <c r="C10" s="6" t="s">
        <v>42</v>
      </c>
      <c r="D10" s="7" t="s">
        <v>38</v>
      </c>
      <c r="E10" s="8" t="s">
        <v>46</v>
      </c>
      <c r="F10" s="6" t="s">
        <v>47</v>
      </c>
      <c r="G10" s="9">
        <f>IF(A10=1,"_",IF(C10="_","???",C10))</f>
        <v/>
      </c>
      <c r="H10" s="10" t="s">
        <v>12</v>
      </c>
      <c r="I10" s="11" t="s">
        <v>12</v>
      </c>
      <c r="J10" s="12"/>
    </row>
    <row r="11" spans="1:10" ht="60" customHeight="1">
      <c r="A11" s="6" t="s">
        <v>48</v>
      </c>
      <c r="B11" s="6" t="s">
        <v>26</v>
      </c>
      <c r="C11" s="6" t="s">
        <v>49</v>
      </c>
      <c r="D11" s="7" t="s">
        <v>50</v>
      </c>
      <c r="E11" s="8" t="s">
        <v>51</v>
      </c>
      <c r="F11" s="6" t="s">
        <v>52</v>
      </c>
      <c r="G11" s="9">
        <f>IF(A11=1,"_",IF(C11="_","???",C11))</f>
        <v/>
      </c>
      <c r="H11" s="10" t="s">
        <v>12</v>
      </c>
      <c r="I11" s="11" t="s">
        <v>12</v>
      </c>
      <c r="J11" s="12"/>
    </row>
    <row r="12" spans="1:10" ht="60" customHeight="1">
      <c r="A12" s="6" t="s">
        <v>53</v>
      </c>
      <c r="B12" s="6" t="s">
        <v>45</v>
      </c>
      <c r="C12" s="6" t="s">
        <v>54</v>
      </c>
      <c r="D12" s="7" t="s">
        <v>23</v>
      </c>
      <c r="E12" s="8" t="s">
        <v>55</v>
      </c>
      <c r="F12" s="6" t="s">
        <v>56</v>
      </c>
      <c r="G12" s="9">
        <f>IF(A12=1,"_",IF(C12="_","???",C12))</f>
        <v/>
      </c>
      <c r="H12" s="10" t="s">
        <v>12</v>
      </c>
      <c r="I12" s="11" t="s">
        <v>12</v>
      </c>
      <c r="J12" s="12"/>
    </row>
    <row r="13" spans="1:10" ht="60" customHeight="1">
      <c r="A13" s="6" t="s">
        <v>57</v>
      </c>
      <c r="B13" s="6" t="s">
        <v>58</v>
      </c>
      <c r="C13" s="6" t="s">
        <v>59</v>
      </c>
      <c r="D13" s="7" t="s">
        <v>60</v>
      </c>
      <c r="E13" s="8" t="s">
        <v>61</v>
      </c>
      <c r="F13" s="6" t="s">
        <v>62</v>
      </c>
      <c r="G13" s="9">
        <f>IF(A13=1,"_",IF(C13="_","???",C13))</f>
        <v/>
      </c>
      <c r="H13" s="10" t="s">
        <v>12</v>
      </c>
      <c r="I13" s="11" t="s">
        <v>12</v>
      </c>
      <c r="J13" s="12"/>
    </row>
    <row r="14" spans="1:10" ht="60" customHeight="1">
      <c r="A14" s="6" t="s">
        <v>63</v>
      </c>
      <c r="B14" s="6" t="s">
        <v>45</v>
      </c>
      <c r="C14" s="6" t="s">
        <v>64</v>
      </c>
      <c r="D14" s="7" t="s">
        <v>65</v>
      </c>
      <c r="E14" s="8" t="s">
        <v>66</v>
      </c>
      <c r="F14" s="6" t="s">
        <v>67</v>
      </c>
      <c r="G14" s="9">
        <f>IF(A14=1,"_",IF(C14="_","???",C14))</f>
        <v/>
      </c>
      <c r="H14" s="10" t="s">
        <v>12</v>
      </c>
      <c r="I14" s="11" t="s">
        <v>12</v>
      </c>
      <c r="J14" s="12"/>
    </row>
    <row r="15" spans="1:10" ht="60" customHeight="1">
      <c r="A15" s="6" t="s">
        <v>68</v>
      </c>
      <c r="B15" s="6" t="s">
        <v>45</v>
      </c>
      <c r="C15" s="6" t="s">
        <v>12</v>
      </c>
      <c r="D15" s="7" t="s">
        <v>69</v>
      </c>
      <c r="E15" s="8" t="s">
        <v>70</v>
      </c>
      <c r="F15" s="6" t="s">
        <v>71</v>
      </c>
      <c r="G15" s="9">
        <f>IF(A15=1,"_",IF(C15="_","???",C15))</f>
        <v/>
      </c>
      <c r="H15" s="10" t="s">
        <v>12</v>
      </c>
      <c r="I15" s="11" t="s">
        <v>12</v>
      </c>
      <c r="J15" s="12"/>
    </row>
    <row r="16" spans="1:10" ht="60" customHeight="1">
      <c r="A16" s="6" t="s">
        <v>72</v>
      </c>
      <c r="B16" s="6" t="s">
        <v>21</v>
      </c>
      <c r="C16" s="6" t="s">
        <v>73</v>
      </c>
      <c r="D16" s="7" t="s">
        <v>74</v>
      </c>
      <c r="E16" s="8" t="s">
        <v>75</v>
      </c>
      <c r="F16" s="6" t="s">
        <v>76</v>
      </c>
      <c r="G16" s="9">
        <f>IF(A16=1,"_",IF(C16="_","???",C16))</f>
        <v/>
      </c>
      <c r="H16" s="10" t="s">
        <v>12</v>
      </c>
      <c r="I16" s="11" t="s">
        <v>12</v>
      </c>
      <c r="J16" s="12"/>
    </row>
    <row r="17" spans="1:10" ht="60" customHeight="1">
      <c r="A17" s="6" t="s">
        <v>77</v>
      </c>
      <c r="B17" s="6" t="s">
        <v>21</v>
      </c>
      <c r="C17" s="6" t="s">
        <v>12</v>
      </c>
      <c r="D17" s="7" t="s">
        <v>13</v>
      </c>
      <c r="E17" s="8" t="s">
        <v>78</v>
      </c>
      <c r="F17" s="6" t="s">
        <v>79</v>
      </c>
      <c r="G17" s="9">
        <f>IF(A17=1,"_",IF(C17="_","???",C17))</f>
        <v/>
      </c>
      <c r="H17" s="10" t="s">
        <v>12</v>
      </c>
      <c r="I17" s="11" t="s">
        <v>12</v>
      </c>
      <c r="J17" s="12"/>
    </row>
    <row r="18" spans="1:10" ht="60" customHeight="1">
      <c r="A18" s="6" t="s">
        <v>80</v>
      </c>
      <c r="B18" s="6" t="s">
        <v>81</v>
      </c>
      <c r="C18" s="6" t="s">
        <v>82</v>
      </c>
      <c r="D18" s="7" t="s">
        <v>83</v>
      </c>
      <c r="E18" s="8" t="s">
        <v>84</v>
      </c>
      <c r="F18" s="6" t="s">
        <v>85</v>
      </c>
      <c r="G18" s="9">
        <f>IF(A18=1,"_",IF(C18="_","???",C18))</f>
        <v/>
      </c>
      <c r="H18" s="10" t="s">
        <v>12</v>
      </c>
      <c r="I18" s="11" t="s">
        <v>12</v>
      </c>
      <c r="J18" s="12"/>
    </row>
    <row r="19" spans="1:10" ht="60" customHeight="1">
      <c r="A19" s="6" t="s">
        <v>86</v>
      </c>
      <c r="B19" s="6" t="s">
        <v>16</v>
      </c>
      <c r="C19" s="6" t="s">
        <v>17</v>
      </c>
      <c r="D19" s="7" t="s">
        <v>87</v>
      </c>
      <c r="E19" s="8" t="s">
        <v>88</v>
      </c>
      <c r="F19" s="6" t="s">
        <v>89</v>
      </c>
      <c r="G19" s="9">
        <f>IF(A19=1,"_",IF(C19="_","???",C19))</f>
        <v/>
      </c>
      <c r="H19" s="10" t="s">
        <v>12</v>
      </c>
      <c r="I19" s="11" t="s">
        <v>12</v>
      </c>
      <c r="J19" s="12"/>
    </row>
    <row r="20" spans="1:10" ht="60" customHeight="1">
      <c r="A20" s="6" t="s">
        <v>90</v>
      </c>
      <c r="B20" s="6" t="s">
        <v>57</v>
      </c>
      <c r="C20" s="6" t="s">
        <v>91</v>
      </c>
      <c r="D20" s="7" t="s">
        <v>38</v>
      </c>
      <c r="E20" s="8" t="s">
        <v>92</v>
      </c>
      <c r="F20" s="6" t="s">
        <v>93</v>
      </c>
      <c r="G20" s="9">
        <f>IF(A20=1,"_",IF(C20="_","???",C20))</f>
        <v/>
      </c>
      <c r="H20" s="10" t="s">
        <v>12</v>
      </c>
      <c r="I20" s="11" t="s">
        <v>12</v>
      </c>
      <c r="J20" s="12"/>
    </row>
    <row r="21" spans="1:10" ht="60" customHeight="1">
      <c r="A21" s="6" t="s">
        <v>94</v>
      </c>
      <c r="B21" s="6" t="s">
        <v>11</v>
      </c>
      <c r="C21" s="6" t="s">
        <v>12</v>
      </c>
      <c r="D21" s="7" t="s">
        <v>95</v>
      </c>
      <c r="E21" s="8" t="s">
        <v>96</v>
      </c>
      <c r="F21" s="6" t="s">
        <v>97</v>
      </c>
      <c r="G21" s="9">
        <f>IF(A21=1,"_",IF(C21="_","???",C21))</f>
        <v/>
      </c>
      <c r="H21" s="10" t="s">
        <v>12</v>
      </c>
      <c r="I21" s="11" t="s">
        <v>12</v>
      </c>
      <c r="J21" s="12"/>
    </row>
    <row r="22" spans="1:10" ht="60" customHeight="1">
      <c r="A22" s="6" t="s">
        <v>98</v>
      </c>
      <c r="B22" s="6" t="s">
        <v>30</v>
      </c>
      <c r="C22" s="6" t="s">
        <v>99</v>
      </c>
      <c r="D22" s="7" t="s">
        <v>100</v>
      </c>
      <c r="E22" s="8" t="s">
        <v>101</v>
      </c>
      <c r="F22" s="6" t="s">
        <v>102</v>
      </c>
      <c r="G22" s="9">
        <f>IF(A22=1,"_",IF(C22="_","???",C22))</f>
        <v/>
      </c>
      <c r="H22" s="10" t="s">
        <v>12</v>
      </c>
      <c r="I22" s="11" t="s">
        <v>12</v>
      </c>
      <c r="J22" s="12"/>
    </row>
    <row r="23" spans="1:10" ht="60" customHeight="1">
      <c r="A23" s="6" t="s">
        <v>58</v>
      </c>
      <c r="B23" s="6" t="s">
        <v>21</v>
      </c>
      <c r="C23" s="6" t="s">
        <v>103</v>
      </c>
      <c r="D23" s="7" t="s">
        <v>104</v>
      </c>
      <c r="E23" s="8" t="s">
        <v>105</v>
      </c>
      <c r="F23" s="6" t="s">
        <v>106</v>
      </c>
      <c r="G23" s="9">
        <f>IF(A23=1,"_",IF(C23="_","???",C23))</f>
        <v/>
      </c>
      <c r="H23" s="10" t="s">
        <v>12</v>
      </c>
      <c r="I23" s="11" t="s">
        <v>12</v>
      </c>
      <c r="J23" s="12"/>
    </row>
    <row r="24" spans="1:10" ht="60" customHeight="1">
      <c r="A24" s="6" t="s">
        <v>81</v>
      </c>
      <c r="B24" s="6" t="s">
        <v>11</v>
      </c>
      <c r="C24" s="6" t="s">
        <v>12</v>
      </c>
      <c r="D24" s="7" t="s">
        <v>18</v>
      </c>
      <c r="E24" s="8" t="s">
        <v>107</v>
      </c>
      <c r="F24" s="6" t="s">
        <v>108</v>
      </c>
      <c r="G24" s="9">
        <f>IF(A24=1,"_",IF(C24="_","???",C24))</f>
        <v/>
      </c>
      <c r="H24" s="10" t="s">
        <v>12</v>
      </c>
      <c r="I24" s="11" t="s">
        <v>12</v>
      </c>
      <c r="J24" s="12"/>
    </row>
    <row r="25" spans="1:10" ht="60" customHeight="1">
      <c r="A25" s="6" t="s">
        <v>109</v>
      </c>
      <c r="B25" s="6" t="s">
        <v>26</v>
      </c>
      <c r="C25" s="6" t="s">
        <v>17</v>
      </c>
      <c r="D25" s="7" t="s">
        <v>110</v>
      </c>
      <c r="E25" s="8" t="s">
        <v>111</v>
      </c>
      <c r="F25" s="6" t="s">
        <v>112</v>
      </c>
      <c r="G25" s="9">
        <f>IF(A25=1,"_",IF(C25="_","???",C25))</f>
        <v/>
      </c>
      <c r="H25" s="10" t="s">
        <v>12</v>
      </c>
      <c r="I25" s="11" t="s">
        <v>12</v>
      </c>
      <c r="J25" s="12"/>
    </row>
    <row r="26" spans="1:10" ht="60" customHeight="1">
      <c r="A26" s="6" t="s">
        <v>113</v>
      </c>
      <c r="B26" s="6" t="s">
        <v>26</v>
      </c>
      <c r="C26" s="6" t="s">
        <v>114</v>
      </c>
      <c r="D26" s="7" t="s">
        <v>115</v>
      </c>
      <c r="E26" s="8" t="s">
        <v>116</v>
      </c>
      <c r="F26" s="6" t="s">
        <v>117</v>
      </c>
      <c r="G26" s="9">
        <f>IF(A26=1,"_",IF(C26="_","???",C26))</f>
        <v/>
      </c>
      <c r="H26" s="10" t="s">
        <v>12</v>
      </c>
      <c r="I26" s="11" t="s">
        <v>12</v>
      </c>
      <c r="J26" s="12"/>
    </row>
    <row r="27" spans="1:10" ht="60" customHeight="1">
      <c r="A27" s="6" t="s">
        <v>118</v>
      </c>
      <c r="B27" s="6" t="s">
        <v>11</v>
      </c>
      <c r="C27" s="6" t="s">
        <v>12</v>
      </c>
      <c r="D27" s="7" t="s">
        <v>119</v>
      </c>
      <c r="E27" s="8" t="s">
        <v>120</v>
      </c>
      <c r="F27" s="6" t="s">
        <v>121</v>
      </c>
      <c r="G27" s="9">
        <f>IF(A27=1,"_",IF(C27="_","???",C27))</f>
        <v/>
      </c>
      <c r="H27" s="10" t="s">
        <v>12</v>
      </c>
      <c r="I27" s="11" t="s">
        <v>12</v>
      </c>
      <c r="J27" s="12"/>
    </row>
    <row r="28" spans="1:10" ht="60" customHeight="1">
      <c r="A28" s="6" t="s">
        <v>122</v>
      </c>
      <c r="B28" s="6" t="s">
        <v>26</v>
      </c>
      <c r="C28" s="6" t="s">
        <v>12</v>
      </c>
      <c r="D28" s="7" t="s">
        <v>123</v>
      </c>
      <c r="E28" s="8" t="s">
        <v>124</v>
      </c>
      <c r="F28" s="6" t="s">
        <v>125</v>
      </c>
      <c r="G28" s="9">
        <f>IF(A28=1,"_",IF(C28="_","???",C28))</f>
        <v/>
      </c>
      <c r="H28" s="10" t="s">
        <v>12</v>
      </c>
      <c r="I28" s="11" t="s">
        <v>12</v>
      </c>
      <c r="J28" s="12"/>
    </row>
    <row r="29" spans="1:10" ht="60" customHeight="1">
      <c r="A29" s="6" t="s">
        <v>126</v>
      </c>
      <c r="B29" s="6" t="s">
        <v>30</v>
      </c>
      <c r="C29" s="6" t="s">
        <v>12</v>
      </c>
      <c r="D29" s="7" t="s">
        <v>127</v>
      </c>
      <c r="E29" s="8" t="s">
        <v>128</v>
      </c>
      <c r="F29" s="6" t="s">
        <v>129</v>
      </c>
      <c r="G29" s="9">
        <f>IF(A29=1,"_",IF(C29="_","???",C29))</f>
        <v/>
      </c>
      <c r="H29" s="10" t="s">
        <v>12</v>
      </c>
      <c r="I29" s="11" t="s">
        <v>12</v>
      </c>
      <c r="J29" s="12"/>
    </row>
    <row r="30" spans="1:10" ht="60" customHeight="1">
      <c r="A30" s="6" t="s">
        <v>130</v>
      </c>
      <c r="B30" s="6" t="s">
        <v>35</v>
      </c>
      <c r="C30" s="6" t="s">
        <v>49</v>
      </c>
      <c r="D30" s="7" t="s">
        <v>131</v>
      </c>
      <c r="E30" s="8" t="s">
        <v>132</v>
      </c>
      <c r="F30" s="6" t="s">
        <v>133</v>
      </c>
      <c r="G30" s="9">
        <f>IF(A30=1,"_",IF(C30="_","???",C30))</f>
        <v/>
      </c>
      <c r="H30" s="10" t="s">
        <v>12</v>
      </c>
      <c r="I30" s="11" t="s">
        <v>12</v>
      </c>
      <c r="J30" s="12"/>
    </row>
    <row r="31" spans="1:10" ht="60" customHeight="1">
      <c r="A31" s="6" t="s">
        <v>134</v>
      </c>
      <c r="B31" s="6" t="s">
        <v>48</v>
      </c>
      <c r="C31" s="6" t="s">
        <v>49</v>
      </c>
      <c r="D31" s="7" t="s">
        <v>135</v>
      </c>
      <c r="E31" s="8" t="s">
        <v>136</v>
      </c>
      <c r="F31" s="6" t="s">
        <v>137</v>
      </c>
      <c r="G31" s="9">
        <f>IF(A31=1,"_",IF(C31="_","???",C31))</f>
        <v/>
      </c>
      <c r="H31" s="10" t="s">
        <v>12</v>
      </c>
      <c r="I31" s="11" t="s">
        <v>12</v>
      </c>
      <c r="J31" s="12"/>
    </row>
    <row r="32" spans="1:10" ht="60" customHeight="1">
      <c r="A32" s="6" t="s">
        <v>138</v>
      </c>
      <c r="B32" s="6" t="s">
        <v>16</v>
      </c>
      <c r="C32" s="6" t="s">
        <v>12</v>
      </c>
      <c r="D32" s="7" t="s">
        <v>139</v>
      </c>
      <c r="E32" s="8" t="s">
        <v>140</v>
      </c>
      <c r="F32" s="6" t="s">
        <v>141</v>
      </c>
      <c r="G32" s="9">
        <f>IF(A32=1,"_",IF(C32="_","???",C32))</f>
        <v/>
      </c>
      <c r="H32" s="10" t="s">
        <v>12</v>
      </c>
      <c r="I32" s="11" t="s">
        <v>12</v>
      </c>
      <c r="J32" s="12"/>
    </row>
    <row r="33" spans="1:10" ht="60" customHeight="1">
      <c r="A33" s="6" t="s">
        <v>142</v>
      </c>
      <c r="B33" s="6" t="s">
        <v>16</v>
      </c>
      <c r="C33" s="6" t="s">
        <v>17</v>
      </c>
      <c r="D33" s="7" t="s">
        <v>83</v>
      </c>
      <c r="E33" s="8" t="s">
        <v>143</v>
      </c>
      <c r="F33" s="6" t="s">
        <v>144</v>
      </c>
      <c r="G33" s="9">
        <f>IF(A33=1,"_",IF(C33="_","???",C33))</f>
        <v/>
      </c>
      <c r="H33" s="10" t="s">
        <v>12</v>
      </c>
      <c r="I33" s="11" t="s">
        <v>12</v>
      </c>
      <c r="J33" s="12"/>
    </row>
    <row r="34" spans="1:10" ht="60" customHeight="1">
      <c r="A34" s="6" t="s">
        <v>145</v>
      </c>
      <c r="B34" s="6" t="s">
        <v>26</v>
      </c>
      <c r="C34" s="6" t="s">
        <v>12</v>
      </c>
      <c r="D34" s="7" t="s">
        <v>146</v>
      </c>
      <c r="E34" s="8" t="s">
        <v>147</v>
      </c>
      <c r="F34" s="6" t="s">
        <v>148</v>
      </c>
      <c r="G34" s="9">
        <f>IF(A34=1,"_",IF(C34="_","???",C34))</f>
        <v/>
      </c>
      <c r="H34" s="10" t="s">
        <v>12</v>
      </c>
      <c r="I34" s="11" t="s">
        <v>12</v>
      </c>
      <c r="J34" s="12"/>
    </row>
    <row r="35" spans="1:10" ht="60" customHeight="1">
      <c r="A35" s="6" t="s">
        <v>149</v>
      </c>
      <c r="B35" s="6" t="s">
        <v>16</v>
      </c>
      <c r="C35" s="6" t="s">
        <v>150</v>
      </c>
      <c r="D35" s="7" t="s">
        <v>151</v>
      </c>
      <c r="E35" s="8" t="s">
        <v>152</v>
      </c>
      <c r="F35" s="6" t="s">
        <v>153</v>
      </c>
      <c r="G35" s="9">
        <f>IF(A35=1,"_",IF(C35="_","???",C35))</f>
        <v/>
      </c>
      <c r="H35" s="10" t="s">
        <v>12</v>
      </c>
      <c r="I35" s="11" t="s">
        <v>12</v>
      </c>
      <c r="J35" s="12"/>
    </row>
    <row r="36" spans="1:10" ht="60" customHeight="1">
      <c r="A36" s="6" t="s">
        <v>154</v>
      </c>
      <c r="B36" s="6" t="s">
        <v>16</v>
      </c>
      <c r="C36" s="6" t="s">
        <v>12</v>
      </c>
      <c r="D36" s="7" t="s">
        <v>32</v>
      </c>
      <c r="E36" s="8" t="s">
        <v>155</v>
      </c>
      <c r="F36" s="6" t="s">
        <v>156</v>
      </c>
      <c r="G36" s="9">
        <f>IF(A36=1,"_",IF(C36="_","???",C36))</f>
        <v/>
      </c>
      <c r="H36" s="10" t="s">
        <v>12</v>
      </c>
      <c r="I36" s="11" t="s">
        <v>12</v>
      </c>
      <c r="J36" s="12"/>
    </row>
    <row r="37" spans="1:10" ht="60" customHeight="1">
      <c r="A37" s="6" t="s">
        <v>157</v>
      </c>
      <c r="B37" s="6" t="s">
        <v>10</v>
      </c>
      <c r="C37" s="6" t="s">
        <v>12</v>
      </c>
      <c r="D37" s="7" t="s">
        <v>158</v>
      </c>
      <c r="E37" s="8" t="s">
        <v>159</v>
      </c>
      <c r="F37" s="6" t="s">
        <v>160</v>
      </c>
      <c r="G37" s="9">
        <f>IF(A37=1,"_",IF(C37="_","???",C37))</f>
        <v/>
      </c>
      <c r="H37" s="10" t="s">
        <v>12</v>
      </c>
      <c r="I37" s="11" t="s">
        <v>12</v>
      </c>
      <c r="J37" s="12"/>
    </row>
    <row r="38" spans="1:10" ht="60" customHeight="1">
      <c r="A38" s="6" t="s">
        <v>161</v>
      </c>
      <c r="B38" s="6" t="s">
        <v>26</v>
      </c>
      <c r="C38" s="6" t="s">
        <v>17</v>
      </c>
      <c r="D38" s="7" t="s">
        <v>32</v>
      </c>
      <c r="E38" s="8" t="s">
        <v>162</v>
      </c>
      <c r="F38" s="6" t="s">
        <v>163</v>
      </c>
      <c r="G38" s="9">
        <f>IF(A38=1,"_",IF(C38="_","???",C38))</f>
        <v/>
      </c>
      <c r="H38" s="10" t="s">
        <v>12</v>
      </c>
      <c r="I38" s="11" t="s">
        <v>12</v>
      </c>
      <c r="J38" s="12"/>
    </row>
    <row r="39" spans="1:10" ht="60" customHeight="1">
      <c r="A39" s="6" t="s">
        <v>164</v>
      </c>
      <c r="B39" s="6" t="s">
        <v>16</v>
      </c>
      <c r="C39" s="6" t="s">
        <v>150</v>
      </c>
      <c r="D39" s="7" t="s">
        <v>165</v>
      </c>
      <c r="E39" s="8" t="s">
        <v>166</v>
      </c>
      <c r="F39" s="6" t="s">
        <v>167</v>
      </c>
      <c r="G39" s="9">
        <f>IF(A39=1,"_",IF(C39="_","???",C39))</f>
        <v/>
      </c>
      <c r="H39" s="10" t="s">
        <v>12</v>
      </c>
      <c r="I39" s="11" t="s">
        <v>12</v>
      </c>
      <c r="J39" s="12"/>
    </row>
    <row r="40" spans="1:10" ht="60" customHeight="1">
      <c r="A40" s="6" t="s">
        <v>168</v>
      </c>
      <c r="B40" s="6" t="s">
        <v>11</v>
      </c>
      <c r="C40" s="6" t="s">
        <v>169</v>
      </c>
      <c r="D40" s="7" t="s">
        <v>170</v>
      </c>
      <c r="E40" s="8" t="s">
        <v>171</v>
      </c>
      <c r="F40" s="6" t="s">
        <v>172</v>
      </c>
      <c r="G40" s="9">
        <f>IF(A40=1,"_",IF(C40="_","???",C40))</f>
        <v/>
      </c>
      <c r="H40" s="10" t="s">
        <v>12</v>
      </c>
      <c r="I40" s="11" t="s">
        <v>12</v>
      </c>
      <c r="J40" s="12"/>
    </row>
    <row r="41" spans="1:10" ht="60" customHeight="1">
      <c r="A41" s="6" t="s">
        <v>173</v>
      </c>
      <c r="B41" s="6" t="s">
        <v>11</v>
      </c>
      <c r="C41" s="6" t="s">
        <v>174</v>
      </c>
      <c r="D41" s="7" t="s">
        <v>175</v>
      </c>
      <c r="E41" s="8" t="s">
        <v>176</v>
      </c>
      <c r="F41" s="6" t="s">
        <v>177</v>
      </c>
      <c r="G41" s="9">
        <f>IF(A41=1,"_",IF(C41="_","???",C41))</f>
        <v/>
      </c>
      <c r="H41" s="10" t="s">
        <v>12</v>
      </c>
      <c r="I41" s="11" t="s">
        <v>12</v>
      </c>
      <c r="J41" s="12"/>
    </row>
    <row r="42" spans="1:10" ht="60" customHeight="1">
      <c r="A42" s="6" t="s">
        <v>178</v>
      </c>
      <c r="B42" s="6" t="s">
        <v>26</v>
      </c>
      <c r="C42" s="6" t="s">
        <v>12</v>
      </c>
      <c r="D42" s="7" t="s">
        <v>179</v>
      </c>
      <c r="E42" s="8" t="s">
        <v>180</v>
      </c>
      <c r="F42" s="6" t="s">
        <v>181</v>
      </c>
      <c r="G42" s="9">
        <f>IF(A42=1,"_",IF(C42="_","???",C42))</f>
        <v/>
      </c>
      <c r="H42" s="10" t="s">
        <v>12</v>
      </c>
      <c r="I42" s="11" t="s">
        <v>12</v>
      </c>
      <c r="J42" s="12"/>
    </row>
    <row r="43" spans="1:10" ht="60" customHeight="1">
      <c r="A43" s="6" t="s">
        <v>182</v>
      </c>
      <c r="B43" s="6" t="s">
        <v>16</v>
      </c>
      <c r="C43" s="6" t="s">
        <v>12</v>
      </c>
      <c r="D43" s="7" t="s">
        <v>183</v>
      </c>
      <c r="E43" s="8" t="s">
        <v>184</v>
      </c>
      <c r="F43" s="6" t="s">
        <v>185</v>
      </c>
      <c r="G43" s="9">
        <f>IF(A43=1,"_",IF(C43="_","???",C43))</f>
        <v/>
      </c>
      <c r="H43" s="10" t="s">
        <v>12</v>
      </c>
      <c r="I43" s="11" t="s">
        <v>12</v>
      </c>
      <c r="J43" s="12"/>
    </row>
    <row r="44" spans="1:10" ht="60" customHeight="1">
      <c r="A44" s="6" t="s">
        <v>186</v>
      </c>
      <c r="B44" s="6" t="s">
        <v>11</v>
      </c>
      <c r="C44" s="6" t="s">
        <v>12</v>
      </c>
      <c r="D44" s="7" t="s">
        <v>83</v>
      </c>
      <c r="E44" s="8" t="s">
        <v>187</v>
      </c>
      <c r="F44" s="6" t="s">
        <v>188</v>
      </c>
      <c r="G44" s="9">
        <f>IF(A44=1,"_",IF(C44="_","???",C44))</f>
        <v/>
      </c>
      <c r="H44" s="10" t="s">
        <v>12</v>
      </c>
      <c r="I44" s="11" t="s">
        <v>12</v>
      </c>
      <c r="J44" s="12"/>
    </row>
    <row r="45" spans="1:10" ht="60" customHeight="1">
      <c r="A45" s="6" t="s">
        <v>189</v>
      </c>
      <c r="B45" s="6" t="s">
        <v>58</v>
      </c>
      <c r="C45" s="6" t="s">
        <v>174</v>
      </c>
      <c r="D45" s="7" t="s">
        <v>18</v>
      </c>
      <c r="E45" s="8" t="s">
        <v>190</v>
      </c>
      <c r="F45" s="6" t="s">
        <v>191</v>
      </c>
      <c r="G45" s="9">
        <f>IF(A45=1,"_",IF(C45="_","???",C45))</f>
        <v/>
      </c>
      <c r="H45" s="10" t="s">
        <v>12</v>
      </c>
      <c r="I45" s="11" t="s">
        <v>12</v>
      </c>
      <c r="J45" s="12"/>
    </row>
    <row r="46" spans="1:10" ht="60" customHeight="1">
      <c r="A46" s="6" t="s">
        <v>192</v>
      </c>
      <c r="B46" s="6" t="s">
        <v>26</v>
      </c>
      <c r="C46" s="6" t="s">
        <v>12</v>
      </c>
      <c r="D46" s="7" t="s">
        <v>193</v>
      </c>
      <c r="E46" s="8" t="s">
        <v>194</v>
      </c>
      <c r="F46" s="6" t="s">
        <v>195</v>
      </c>
      <c r="G46" s="9">
        <f>IF(A46=1,"_",IF(C46="_","???",C46))</f>
        <v/>
      </c>
      <c r="H46" s="10" t="s">
        <v>12</v>
      </c>
      <c r="I46" s="11" t="s">
        <v>12</v>
      </c>
      <c r="J46" s="12"/>
    </row>
    <row r="47" spans="1:10" ht="60" customHeight="1">
      <c r="A47" s="6" t="s">
        <v>196</v>
      </c>
      <c r="B47" s="6" t="s">
        <v>11</v>
      </c>
      <c r="C47" s="6" t="s">
        <v>12</v>
      </c>
      <c r="D47" s="7" t="s">
        <v>197</v>
      </c>
      <c r="E47" s="8" t="s">
        <v>198</v>
      </c>
      <c r="F47" s="6" t="s">
        <v>199</v>
      </c>
      <c r="G47" s="9">
        <f>IF(A47=1,"_",IF(C47="_","???",C47))</f>
        <v/>
      </c>
      <c r="H47" s="10" t="s">
        <v>12</v>
      </c>
      <c r="I47" s="11" t="s">
        <v>12</v>
      </c>
      <c r="J47" s="12"/>
    </row>
    <row r="48" spans="1:10" ht="60" customHeight="1">
      <c r="A48" s="6" t="s">
        <v>200</v>
      </c>
      <c r="B48" s="6" t="s">
        <v>68</v>
      </c>
      <c r="C48" s="6" t="s">
        <v>12</v>
      </c>
      <c r="D48" s="7" t="s">
        <v>201</v>
      </c>
      <c r="E48" s="8" t="s">
        <v>202</v>
      </c>
      <c r="F48" s="6" t="s">
        <v>203</v>
      </c>
      <c r="G48" s="9">
        <f>IF(A48=1,"_",IF(C48="_","???",C48))</f>
        <v/>
      </c>
      <c r="H48" s="10" t="s">
        <v>12</v>
      </c>
      <c r="I48" s="11" t="s">
        <v>12</v>
      </c>
      <c r="J48" s="12"/>
    </row>
    <row r="49" spans="1:10" ht="60" customHeight="1">
      <c r="A49" s="6" t="s">
        <v>204</v>
      </c>
      <c r="B49" s="6" t="s">
        <v>48</v>
      </c>
      <c r="C49" s="6" t="s">
        <v>17</v>
      </c>
      <c r="D49" s="7" t="s">
        <v>205</v>
      </c>
      <c r="E49" s="8" t="s">
        <v>206</v>
      </c>
      <c r="F49" s="6" t="s">
        <v>207</v>
      </c>
      <c r="G49" s="9">
        <f>IF(A49=1,"_",IF(C49="_","???",C49))</f>
        <v/>
      </c>
      <c r="H49" s="10" t="s">
        <v>12</v>
      </c>
      <c r="I49" s="11" t="s">
        <v>12</v>
      </c>
      <c r="J49" s="12"/>
    </row>
    <row r="50" spans="1:10" ht="60" customHeight="1">
      <c r="A50" s="6" t="s">
        <v>208</v>
      </c>
      <c r="B50" s="6" t="s">
        <v>68</v>
      </c>
      <c r="C50" s="6" t="s">
        <v>174</v>
      </c>
      <c r="D50" s="7" t="s">
        <v>209</v>
      </c>
      <c r="E50" s="8" t="s">
        <v>210</v>
      </c>
      <c r="F50" s="6" t="s">
        <v>211</v>
      </c>
      <c r="G50" s="9">
        <f>IF(A50=1,"_",IF(C50="_","???",C50))</f>
        <v/>
      </c>
      <c r="H50" s="10" t="s">
        <v>12</v>
      </c>
      <c r="I50" s="11" t="s">
        <v>12</v>
      </c>
      <c r="J50" s="12"/>
    </row>
    <row r="51" spans="1:10" ht="60" customHeight="1">
      <c r="A51" s="6" t="s">
        <v>212</v>
      </c>
      <c r="B51" s="6" t="s">
        <v>16</v>
      </c>
      <c r="C51" s="6" t="s">
        <v>12</v>
      </c>
      <c r="D51" s="7" t="s">
        <v>213</v>
      </c>
      <c r="E51" s="8" t="s">
        <v>214</v>
      </c>
      <c r="F51" s="6" t="s">
        <v>215</v>
      </c>
      <c r="G51" s="9">
        <f>IF(A51=1,"_",IF(C51="_","???",C51))</f>
        <v/>
      </c>
      <c r="H51" s="10" t="s">
        <v>12</v>
      </c>
      <c r="I51" s="11" t="s">
        <v>12</v>
      </c>
      <c r="J51" s="12"/>
    </row>
    <row r="52" spans="1:10" ht="60" customHeight="1">
      <c r="A52" s="6" t="s">
        <v>216</v>
      </c>
      <c r="B52" s="6" t="s">
        <v>11</v>
      </c>
      <c r="C52" s="6" t="s">
        <v>49</v>
      </c>
      <c r="D52" s="7" t="s">
        <v>32</v>
      </c>
      <c r="E52" s="8" t="s">
        <v>217</v>
      </c>
      <c r="F52" s="6" t="s">
        <v>218</v>
      </c>
      <c r="G52" s="9">
        <f>IF(A52=1,"_",IF(C52="_","???",C52))</f>
        <v/>
      </c>
      <c r="H52" s="10" t="s">
        <v>12</v>
      </c>
      <c r="I52" s="11" t="s">
        <v>12</v>
      </c>
      <c r="J52" s="12"/>
    </row>
    <row r="53" spans="1:10" ht="60" customHeight="1">
      <c r="A53" s="6" t="s">
        <v>219</v>
      </c>
      <c r="B53" s="6" t="s">
        <v>16</v>
      </c>
      <c r="C53" s="6" t="s">
        <v>12</v>
      </c>
      <c r="D53" s="7" t="s">
        <v>220</v>
      </c>
      <c r="E53" s="8" t="s">
        <v>221</v>
      </c>
      <c r="F53" s="6" t="s">
        <v>222</v>
      </c>
      <c r="G53" s="9">
        <f>IF(A53=1,"_",IF(C53="_","???",C53))</f>
        <v/>
      </c>
      <c r="H53" s="10" t="s">
        <v>12</v>
      </c>
      <c r="I53" s="11" t="s">
        <v>12</v>
      </c>
      <c r="J53" s="12"/>
    </row>
    <row r="54" spans="1:10" ht="60" customHeight="1">
      <c r="A54" s="6" t="s">
        <v>223</v>
      </c>
      <c r="B54" s="6" t="s">
        <v>16</v>
      </c>
      <c r="C54" s="6" t="s">
        <v>150</v>
      </c>
      <c r="D54" s="7" t="s">
        <v>224</v>
      </c>
      <c r="E54" s="8" t="s">
        <v>225</v>
      </c>
      <c r="F54" s="6" t="s">
        <v>226</v>
      </c>
      <c r="G54" s="9">
        <f>IF(A54=1,"_",IF(C54="_","???",C54))</f>
        <v/>
      </c>
      <c r="H54" s="10" t="s">
        <v>12</v>
      </c>
      <c r="I54" s="11" t="s">
        <v>12</v>
      </c>
      <c r="J54" s="12"/>
    </row>
    <row r="55" spans="1:10" ht="60" customHeight="1">
      <c r="A55" s="6" t="s">
        <v>227</v>
      </c>
      <c r="B55" s="6" t="s">
        <v>26</v>
      </c>
      <c r="C55" s="6" t="s">
        <v>228</v>
      </c>
      <c r="D55" s="7" t="s">
        <v>229</v>
      </c>
      <c r="E55" s="8" t="s">
        <v>230</v>
      </c>
      <c r="F55" s="6" t="s">
        <v>231</v>
      </c>
      <c r="G55" s="9">
        <f>IF(A55=1,"_",IF(C55="_","???",C55))</f>
        <v/>
      </c>
      <c r="H55" s="10" t="s">
        <v>12</v>
      </c>
      <c r="I55" s="11" t="s">
        <v>12</v>
      </c>
      <c r="J55" s="12"/>
    </row>
    <row r="56" spans="1:10" ht="60" customHeight="1">
      <c r="A56" s="6" t="s">
        <v>232</v>
      </c>
      <c r="B56" s="6" t="s">
        <v>11</v>
      </c>
      <c r="C56" s="6" t="s">
        <v>12</v>
      </c>
      <c r="D56" s="7" t="s">
        <v>233</v>
      </c>
      <c r="E56" s="8" t="s">
        <v>234</v>
      </c>
      <c r="F56" s="6" t="s">
        <v>235</v>
      </c>
      <c r="G56" s="9">
        <f>IF(A56=1,"_",IF(C56="_","???",C56))</f>
        <v/>
      </c>
      <c r="H56" s="10" t="s">
        <v>12</v>
      </c>
      <c r="I56" s="11" t="s">
        <v>12</v>
      </c>
      <c r="J56" s="12"/>
    </row>
    <row r="57" spans="1:10" ht="60" customHeight="1">
      <c r="A57" s="6" t="s">
        <v>236</v>
      </c>
      <c r="B57" s="6" t="s">
        <v>72</v>
      </c>
      <c r="C57" s="6" t="s">
        <v>42</v>
      </c>
      <c r="D57" s="7" t="s">
        <v>237</v>
      </c>
      <c r="E57" s="8" t="s">
        <v>238</v>
      </c>
      <c r="F57" s="6" t="s">
        <v>239</v>
      </c>
      <c r="G57" s="9">
        <f>IF(A57=1,"_",IF(C57="_","???",C57))</f>
        <v/>
      </c>
      <c r="H57" s="10" t="s">
        <v>12</v>
      </c>
      <c r="I57" s="11" t="s">
        <v>12</v>
      </c>
      <c r="J57" s="12"/>
    </row>
    <row r="58" spans="1:10" ht="60" customHeight="1">
      <c r="A58" s="6" t="s">
        <v>240</v>
      </c>
      <c r="B58" s="6" t="s">
        <v>16</v>
      </c>
      <c r="C58" s="6" t="s">
        <v>12</v>
      </c>
      <c r="D58" s="7" t="s">
        <v>32</v>
      </c>
      <c r="E58" s="8" t="s">
        <v>241</v>
      </c>
      <c r="F58" s="6" t="s">
        <v>242</v>
      </c>
      <c r="G58" s="9">
        <f>IF(A58=1,"_",IF(C58="_","???",C58))</f>
        <v/>
      </c>
      <c r="H58" s="10" t="s">
        <v>12</v>
      </c>
      <c r="I58" s="11" t="s">
        <v>12</v>
      </c>
      <c r="J58" s="12"/>
    </row>
    <row r="59" spans="1:10" ht="60" customHeight="1">
      <c r="A59" s="6" t="s">
        <v>243</v>
      </c>
      <c r="B59" s="6" t="s">
        <v>11</v>
      </c>
      <c r="C59" s="6" t="s">
        <v>12</v>
      </c>
      <c r="D59" s="7" t="s">
        <v>244</v>
      </c>
      <c r="E59" s="8" t="s">
        <v>245</v>
      </c>
      <c r="F59" s="6" t="s">
        <v>246</v>
      </c>
      <c r="G59" s="9">
        <f>IF(A59=1,"_",IF(C59="_","???",C59))</f>
        <v/>
      </c>
      <c r="H59" s="10" t="s">
        <v>12</v>
      </c>
      <c r="I59" s="11" t="s">
        <v>12</v>
      </c>
      <c r="J59" s="12"/>
    </row>
    <row r="60" spans="1:10" ht="60" customHeight="1">
      <c r="A60" s="6" t="s">
        <v>247</v>
      </c>
      <c r="B60" s="6" t="s">
        <v>57</v>
      </c>
      <c r="C60" s="6" t="s">
        <v>248</v>
      </c>
      <c r="D60" s="7" t="s">
        <v>18</v>
      </c>
      <c r="E60" s="8" t="s">
        <v>249</v>
      </c>
      <c r="F60" s="6" t="s">
        <v>250</v>
      </c>
      <c r="G60" s="9">
        <f>IF(A60=1,"_",IF(C60="_","???",C60))</f>
        <v/>
      </c>
      <c r="H60" s="10" t="s">
        <v>12</v>
      </c>
      <c r="I60" s="11" t="s">
        <v>12</v>
      </c>
      <c r="J60" s="12"/>
    </row>
    <row r="61" spans="1:10" ht="60" customHeight="1">
      <c r="A61" s="6" t="s">
        <v>251</v>
      </c>
      <c r="B61" s="6" t="s">
        <v>53</v>
      </c>
      <c r="C61" s="6" t="s">
        <v>252</v>
      </c>
      <c r="D61" s="7" t="s">
        <v>110</v>
      </c>
      <c r="E61" s="8" t="s">
        <v>253</v>
      </c>
      <c r="F61" s="6" t="s">
        <v>254</v>
      </c>
      <c r="G61" s="9">
        <f>IF(A61=1,"_",IF(C61="_","???",C61))</f>
        <v/>
      </c>
      <c r="H61" s="10" t="s">
        <v>12</v>
      </c>
      <c r="I61" s="11" t="s">
        <v>12</v>
      </c>
      <c r="J61" s="12"/>
    </row>
    <row r="62" spans="1:10" ht="60" customHeight="1">
      <c r="A62" s="6" t="s">
        <v>255</v>
      </c>
      <c r="B62" s="6" t="s">
        <v>16</v>
      </c>
      <c r="C62" s="6" t="s">
        <v>150</v>
      </c>
      <c r="D62" s="7" t="s">
        <v>256</v>
      </c>
      <c r="E62" s="8" t="s">
        <v>257</v>
      </c>
      <c r="F62" s="6" t="s">
        <v>258</v>
      </c>
      <c r="G62" s="9">
        <f>IF(A62=1,"_",IF(C62="_","???",C62))</f>
        <v/>
      </c>
      <c r="H62" s="10" t="s">
        <v>12</v>
      </c>
      <c r="I62" s="11" t="s">
        <v>12</v>
      </c>
      <c r="J62" s="12"/>
    </row>
    <row r="63" spans="1:10" ht="60" customHeight="1">
      <c r="A63" s="6" t="s">
        <v>259</v>
      </c>
      <c r="B63" s="6" t="s">
        <v>35</v>
      </c>
      <c r="C63" s="6" t="s">
        <v>114</v>
      </c>
      <c r="D63" s="7" t="s">
        <v>260</v>
      </c>
      <c r="E63" s="8" t="s">
        <v>261</v>
      </c>
      <c r="F63" s="6" t="s">
        <v>262</v>
      </c>
      <c r="G63" s="9">
        <f>IF(A63=1,"_",IF(C63="_","???",C63))</f>
        <v/>
      </c>
      <c r="H63" s="10" t="s">
        <v>12</v>
      </c>
      <c r="I63" s="11" t="s">
        <v>12</v>
      </c>
      <c r="J63" s="12"/>
    </row>
    <row r="64" spans="1:10" ht="60" customHeight="1">
      <c r="A64" s="6" t="s">
        <v>263</v>
      </c>
      <c r="B64" s="6" t="s">
        <v>45</v>
      </c>
      <c r="C64" s="6" t="s">
        <v>264</v>
      </c>
      <c r="D64" s="7" t="s">
        <v>265</v>
      </c>
      <c r="E64" s="8" t="s">
        <v>266</v>
      </c>
      <c r="F64" s="6" t="s">
        <v>267</v>
      </c>
      <c r="G64" s="9">
        <f>IF(A64=1,"_",IF(C64="_","???",C64))</f>
        <v/>
      </c>
      <c r="H64" s="10" t="s">
        <v>12</v>
      </c>
      <c r="I64" s="11" t="s">
        <v>12</v>
      </c>
      <c r="J64" s="12"/>
    </row>
    <row r="65" spans="1:10" ht="60" customHeight="1">
      <c r="A65" s="6" t="s">
        <v>268</v>
      </c>
      <c r="B65" s="6" t="s">
        <v>16</v>
      </c>
      <c r="C65" s="6" t="s">
        <v>99</v>
      </c>
      <c r="D65" s="7" t="s">
        <v>269</v>
      </c>
      <c r="E65" s="8" t="s">
        <v>270</v>
      </c>
      <c r="F65" s="6" t="s">
        <v>271</v>
      </c>
      <c r="G65" s="9">
        <f>IF(A65=1,"_",IF(C65="_","???",C65))</f>
        <v/>
      </c>
      <c r="H65" s="10" t="s">
        <v>12</v>
      </c>
      <c r="I65" s="11" t="s">
        <v>12</v>
      </c>
      <c r="J65" s="12"/>
    </row>
    <row r="66" spans="1:10" ht="60" customHeight="1">
      <c r="A66" s="6" t="s">
        <v>272</v>
      </c>
      <c r="B66" s="6" t="s">
        <v>58</v>
      </c>
      <c r="C66" s="6" t="s">
        <v>12</v>
      </c>
      <c r="D66" s="7" t="s">
        <v>273</v>
      </c>
      <c r="E66" s="8" t="s">
        <v>274</v>
      </c>
      <c r="F66" s="6" t="s">
        <v>275</v>
      </c>
      <c r="G66" s="9">
        <f>IF(A66=1,"_",IF(C66="_","???",C66))</f>
        <v/>
      </c>
      <c r="H66" s="10" t="s">
        <v>12</v>
      </c>
      <c r="I66" s="11" t="s">
        <v>12</v>
      </c>
      <c r="J66" s="12"/>
    </row>
    <row r="67" spans="1:10" ht="60" customHeight="1">
      <c r="A67" s="6" t="s">
        <v>276</v>
      </c>
      <c r="B67" s="6" t="s">
        <v>77</v>
      </c>
      <c r="C67" s="6" t="s">
        <v>114</v>
      </c>
      <c r="D67" s="7" t="s">
        <v>110</v>
      </c>
      <c r="E67" s="8" t="s">
        <v>277</v>
      </c>
      <c r="F67" s="6" t="s">
        <v>278</v>
      </c>
      <c r="G67" s="9">
        <f>IF(A67=1,"_",IF(C67="_","???",C67))</f>
        <v/>
      </c>
      <c r="H67" s="10" t="s">
        <v>12</v>
      </c>
      <c r="I67" s="11" t="s">
        <v>12</v>
      </c>
      <c r="J67" s="12"/>
    </row>
    <row r="68" spans="1:10" ht="60" customHeight="1">
      <c r="A68" s="6" t="s">
        <v>279</v>
      </c>
      <c r="B68" s="6" t="s">
        <v>30</v>
      </c>
      <c r="C68" s="6" t="s">
        <v>150</v>
      </c>
      <c r="D68" s="7" t="s">
        <v>170</v>
      </c>
      <c r="E68" s="8" t="s">
        <v>280</v>
      </c>
      <c r="F68" s="6" t="s">
        <v>281</v>
      </c>
      <c r="G68" s="9">
        <f>IF(A68=1,"_",IF(C68="_","???",C68))</f>
        <v/>
      </c>
      <c r="H68" s="10" t="s">
        <v>12</v>
      </c>
      <c r="I68" s="11" t="s">
        <v>12</v>
      </c>
      <c r="J68" s="12"/>
    </row>
    <row r="69" spans="1:10" ht="60" customHeight="1">
      <c r="A69" s="6" t="s">
        <v>282</v>
      </c>
      <c r="B69" s="6" t="s">
        <v>26</v>
      </c>
      <c r="C69" s="6" t="s">
        <v>283</v>
      </c>
      <c r="D69" s="7" t="s">
        <v>284</v>
      </c>
      <c r="E69" s="8" t="s">
        <v>285</v>
      </c>
      <c r="F69" s="6" t="s">
        <v>286</v>
      </c>
      <c r="G69" s="9">
        <f>IF(A69=1,"_",IF(C69="_","???",C69))</f>
        <v/>
      </c>
      <c r="H69" s="10" t="s">
        <v>12</v>
      </c>
      <c r="I69" s="11" t="s">
        <v>12</v>
      </c>
      <c r="J69" s="12"/>
    </row>
    <row r="70" spans="1:10" ht="60" customHeight="1">
      <c r="A70" s="6" t="s">
        <v>287</v>
      </c>
      <c r="B70" s="6" t="s">
        <v>16</v>
      </c>
      <c r="C70" s="6" t="s">
        <v>12</v>
      </c>
      <c r="D70" s="7" t="s">
        <v>288</v>
      </c>
      <c r="E70" s="8" t="s">
        <v>289</v>
      </c>
      <c r="F70" s="6" t="s">
        <v>290</v>
      </c>
      <c r="G70" s="9">
        <f>IF(A70=1,"_",IF(C70="_","???",C70))</f>
        <v/>
      </c>
      <c r="H70" s="10" t="s">
        <v>12</v>
      </c>
      <c r="I70" s="11" t="s">
        <v>12</v>
      </c>
      <c r="J70" s="12"/>
    </row>
    <row r="71" spans="1:10" ht="60" customHeight="1">
      <c r="A71" s="6" t="s">
        <v>291</v>
      </c>
      <c r="B71" s="6" t="s">
        <v>26</v>
      </c>
      <c r="C71" s="6" t="s">
        <v>12</v>
      </c>
      <c r="D71" s="7" t="s">
        <v>288</v>
      </c>
      <c r="E71" s="8" t="s">
        <v>292</v>
      </c>
      <c r="F71" s="6" t="s">
        <v>293</v>
      </c>
      <c r="G71" s="9">
        <f>IF(A71=1,"_",IF(C71="_","???",C71))</f>
        <v/>
      </c>
      <c r="H71" s="10" t="s">
        <v>12</v>
      </c>
      <c r="I71" s="11" t="s">
        <v>12</v>
      </c>
      <c r="J71" s="12"/>
    </row>
    <row r="72" spans="1:10" ht="60" customHeight="1">
      <c r="A72" s="6" t="s">
        <v>294</v>
      </c>
      <c r="B72" s="6" t="s">
        <v>21</v>
      </c>
      <c r="C72" s="6" t="s">
        <v>12</v>
      </c>
      <c r="D72" s="7" t="s">
        <v>288</v>
      </c>
      <c r="E72" s="8" t="s">
        <v>295</v>
      </c>
      <c r="F72" s="6" t="s">
        <v>296</v>
      </c>
      <c r="G72" s="9">
        <f>IF(A72=1,"_",IF(C72="_","???",C72))</f>
        <v/>
      </c>
      <c r="H72" s="10" t="s">
        <v>12</v>
      </c>
      <c r="I72" s="11" t="s">
        <v>12</v>
      </c>
      <c r="J72" s="12"/>
    </row>
    <row r="73" spans="1:10" ht="60" customHeight="1">
      <c r="A73" s="6" t="s">
        <v>297</v>
      </c>
      <c r="B73" s="6" t="s">
        <v>48</v>
      </c>
      <c r="C73" s="6" t="s">
        <v>42</v>
      </c>
      <c r="D73" s="7" t="s">
        <v>298</v>
      </c>
      <c r="E73" s="8" t="s">
        <v>299</v>
      </c>
      <c r="F73" s="6" t="s">
        <v>300</v>
      </c>
      <c r="G73" s="9">
        <f>IF(A73=1,"_",IF(C73="_","???",C73))</f>
        <v/>
      </c>
      <c r="H73" s="10" t="s">
        <v>12</v>
      </c>
      <c r="I73" s="11" t="s">
        <v>12</v>
      </c>
      <c r="J73" s="12"/>
    </row>
    <row r="74" spans="1:10" ht="60" customHeight="1">
      <c r="A74" s="6" t="s">
        <v>301</v>
      </c>
      <c r="B74" s="6" t="s">
        <v>35</v>
      </c>
      <c r="C74" s="6" t="s">
        <v>12</v>
      </c>
      <c r="D74" s="7" t="s">
        <v>32</v>
      </c>
      <c r="E74" s="8" t="s">
        <v>302</v>
      </c>
      <c r="F74" s="6" t="s">
        <v>303</v>
      </c>
      <c r="G74" s="9">
        <f>IF(A74=1,"_",IF(C74="_","???",C74))</f>
        <v/>
      </c>
      <c r="H74" s="10" t="s">
        <v>12</v>
      </c>
      <c r="I74" s="11" t="s">
        <v>12</v>
      </c>
      <c r="J74" s="12"/>
    </row>
    <row r="75" spans="1:10" ht="60" customHeight="1">
      <c r="A75" s="6" t="s">
        <v>304</v>
      </c>
      <c r="B75" s="6" t="s">
        <v>68</v>
      </c>
      <c r="C75" s="6" t="s">
        <v>150</v>
      </c>
      <c r="D75" s="7" t="s">
        <v>305</v>
      </c>
      <c r="E75" s="8" t="s">
        <v>306</v>
      </c>
      <c r="F75" s="6" t="s">
        <v>307</v>
      </c>
      <c r="G75" s="9">
        <f>IF(A75=1,"_",IF(C75="_","???",C75))</f>
        <v/>
      </c>
      <c r="H75" s="10" t="s">
        <v>12</v>
      </c>
      <c r="I75" s="11" t="s">
        <v>12</v>
      </c>
      <c r="J75" s="12"/>
    </row>
    <row r="76" spans="1:10" ht="60" customHeight="1">
      <c r="A76" s="6" t="s">
        <v>308</v>
      </c>
      <c r="B76" s="6" t="s">
        <v>21</v>
      </c>
      <c r="C76" s="6" t="s">
        <v>12</v>
      </c>
      <c r="D76" s="7" t="s">
        <v>170</v>
      </c>
      <c r="E76" s="8" t="s">
        <v>309</v>
      </c>
      <c r="F76" s="6" t="s">
        <v>310</v>
      </c>
      <c r="G76" s="9">
        <f>IF(A76=1,"_",IF(C76="_","???",C76))</f>
        <v/>
      </c>
      <c r="H76" s="10" t="s">
        <v>12</v>
      </c>
      <c r="I76" s="11" t="s">
        <v>12</v>
      </c>
      <c r="J76" s="12"/>
    </row>
    <row r="77" spans="1:10" ht="60" customHeight="1">
      <c r="A77" s="6" t="s">
        <v>311</v>
      </c>
      <c r="B77" s="6" t="s">
        <v>26</v>
      </c>
      <c r="C77" s="6" t="s">
        <v>12</v>
      </c>
      <c r="D77" s="7" t="s">
        <v>104</v>
      </c>
      <c r="E77" s="8" t="s">
        <v>312</v>
      </c>
      <c r="F77" s="6" t="s">
        <v>313</v>
      </c>
      <c r="G77" s="9">
        <f>IF(A77=1,"_",IF(C77="_","???",C77))</f>
        <v/>
      </c>
      <c r="H77" s="10" t="s">
        <v>12</v>
      </c>
      <c r="I77" s="11" t="s">
        <v>12</v>
      </c>
      <c r="J77" s="12"/>
    </row>
    <row r="78" spans="1:10" ht="60" customHeight="1">
      <c r="A78" s="6" t="s">
        <v>314</v>
      </c>
      <c r="B78" s="6" t="s">
        <v>11</v>
      </c>
      <c r="C78" s="6" t="s">
        <v>12</v>
      </c>
      <c r="D78" s="7" t="s">
        <v>32</v>
      </c>
      <c r="E78" s="8" t="s">
        <v>315</v>
      </c>
      <c r="F78" s="6" t="s">
        <v>316</v>
      </c>
      <c r="G78" s="9">
        <f>IF(A78=1,"_",IF(C78="_","???",C78))</f>
        <v/>
      </c>
      <c r="H78" s="10" t="s">
        <v>12</v>
      </c>
      <c r="I78" s="11" t="s">
        <v>12</v>
      </c>
      <c r="J78" s="12"/>
    </row>
    <row r="79" spans="1:10" ht="60" customHeight="1">
      <c r="A79" s="6" t="s">
        <v>317</v>
      </c>
      <c r="B79" s="6" t="s">
        <v>16</v>
      </c>
      <c r="C79" s="6" t="s">
        <v>283</v>
      </c>
      <c r="D79" s="7" t="s">
        <v>318</v>
      </c>
      <c r="E79" s="8" t="s">
        <v>319</v>
      </c>
      <c r="F79" s="6" t="s">
        <v>320</v>
      </c>
      <c r="G79" s="9">
        <f>IF(A79=1,"_",IF(C79="_","???",C79))</f>
        <v/>
      </c>
      <c r="H79" s="10" t="s">
        <v>12</v>
      </c>
      <c r="I79" s="11" t="s">
        <v>12</v>
      </c>
      <c r="J79" s="12"/>
    </row>
    <row r="80" spans="1:10" ht="60" customHeight="1">
      <c r="A80" s="6" t="s">
        <v>321</v>
      </c>
      <c r="B80" s="6" t="s">
        <v>21</v>
      </c>
      <c r="C80" s="6" t="s">
        <v>12</v>
      </c>
      <c r="D80" s="7" t="s">
        <v>322</v>
      </c>
      <c r="E80" s="8" t="s">
        <v>323</v>
      </c>
      <c r="F80" s="6" t="s">
        <v>324</v>
      </c>
      <c r="G80" s="9">
        <f>IF(A80=1,"_",IF(C80="_","???",C80))</f>
        <v/>
      </c>
      <c r="H80" s="10" t="s">
        <v>12</v>
      </c>
      <c r="I80" s="11" t="s">
        <v>12</v>
      </c>
      <c r="J80" s="12"/>
    </row>
    <row r="81" spans="1:10" ht="60" customHeight="1">
      <c r="A81" s="6" t="s">
        <v>325</v>
      </c>
      <c r="B81" s="6" t="s">
        <v>86</v>
      </c>
      <c r="C81" s="6" t="s">
        <v>114</v>
      </c>
      <c r="D81" s="7" t="s">
        <v>326</v>
      </c>
      <c r="E81" s="8" t="s">
        <v>327</v>
      </c>
      <c r="F81" s="6" t="s">
        <v>328</v>
      </c>
      <c r="G81" s="9">
        <f>IF(A81=1,"_",IF(C81="_","???",C81))</f>
        <v/>
      </c>
      <c r="H81" s="10" t="s">
        <v>12</v>
      </c>
      <c r="I81" s="11" t="s">
        <v>12</v>
      </c>
      <c r="J81" s="12"/>
    </row>
    <row r="82" spans="1:10" ht="60" customHeight="1">
      <c r="A82" s="6" t="s">
        <v>329</v>
      </c>
      <c r="B82" s="6" t="s">
        <v>16</v>
      </c>
      <c r="C82" s="6" t="s">
        <v>12</v>
      </c>
      <c r="D82" s="7" t="s">
        <v>330</v>
      </c>
      <c r="E82" s="8" t="s">
        <v>331</v>
      </c>
      <c r="F82" s="6" t="s">
        <v>332</v>
      </c>
      <c r="G82" s="9">
        <f>IF(A82=1,"_",IF(C82="_","???",C82))</f>
        <v/>
      </c>
      <c r="H82" s="10" t="s">
        <v>12</v>
      </c>
      <c r="I82" s="11" t="s">
        <v>12</v>
      </c>
      <c r="J82" s="12"/>
    </row>
    <row r="83" spans="1:10" ht="60" customHeight="1">
      <c r="A83" s="6" t="s">
        <v>333</v>
      </c>
      <c r="B83" s="6" t="s">
        <v>10</v>
      </c>
      <c r="C83" s="6" t="s">
        <v>114</v>
      </c>
      <c r="D83" s="7" t="s">
        <v>334</v>
      </c>
      <c r="E83" s="8" t="s">
        <v>335</v>
      </c>
      <c r="F83" s="6" t="s">
        <v>336</v>
      </c>
      <c r="G83" s="9">
        <f>IF(A83=1,"_",IF(C83="_","???",C83))</f>
        <v/>
      </c>
      <c r="H83" s="10" t="s">
        <v>12</v>
      </c>
      <c r="I83" s="11" t="s">
        <v>12</v>
      </c>
      <c r="J83" s="12"/>
    </row>
    <row r="84" spans="1:10" ht="60" customHeight="1">
      <c r="A84" s="6" t="s">
        <v>337</v>
      </c>
      <c r="B84" s="6" t="s">
        <v>26</v>
      </c>
      <c r="C84" s="6" t="s">
        <v>12</v>
      </c>
      <c r="D84" s="7" t="s">
        <v>338</v>
      </c>
      <c r="E84" s="8" t="s">
        <v>339</v>
      </c>
      <c r="F84" s="6" t="s">
        <v>340</v>
      </c>
      <c r="G84" s="9">
        <f>IF(A84=1,"_",IF(C84="_","???",C84))</f>
        <v/>
      </c>
      <c r="H84" s="10" t="s">
        <v>12</v>
      </c>
      <c r="I84" s="11" t="s">
        <v>12</v>
      </c>
      <c r="J84" s="12"/>
    </row>
    <row r="85" spans="1:10" ht="60" customHeight="1">
      <c r="A85" s="6" t="s">
        <v>341</v>
      </c>
      <c r="B85" s="6" t="s">
        <v>16</v>
      </c>
      <c r="C85" s="6" t="s">
        <v>342</v>
      </c>
      <c r="D85" s="7" t="s">
        <v>32</v>
      </c>
      <c r="E85" s="8" t="s">
        <v>343</v>
      </c>
      <c r="F85" s="6" t="s">
        <v>344</v>
      </c>
      <c r="G85" s="9">
        <f>IF(A85=1,"_",IF(C85="_","???",C85))</f>
        <v/>
      </c>
      <c r="H85" s="10" t="s">
        <v>12</v>
      </c>
      <c r="I85" s="11" t="s">
        <v>12</v>
      </c>
      <c r="J85" s="12"/>
    </row>
    <row r="86" spans="1:10" ht="60" customHeight="1">
      <c r="A86" s="6" t="s">
        <v>345</v>
      </c>
      <c r="B86" s="6" t="s">
        <v>11</v>
      </c>
      <c r="C86" s="6" t="s">
        <v>12</v>
      </c>
      <c r="D86" s="7" t="s">
        <v>346</v>
      </c>
      <c r="E86" s="8" t="s">
        <v>347</v>
      </c>
      <c r="F86" s="6" t="s">
        <v>348</v>
      </c>
      <c r="G86" s="9">
        <f>IF(A86=1,"_",IF(C86="_","???",C86))</f>
        <v/>
      </c>
      <c r="H86" s="10" t="s">
        <v>12</v>
      </c>
      <c r="I86" s="11" t="s">
        <v>12</v>
      </c>
      <c r="J86" s="12"/>
    </row>
    <row r="87" spans="1:10" ht="60" customHeight="1">
      <c r="A87" s="6" t="s">
        <v>349</v>
      </c>
      <c r="B87" s="6" t="s">
        <v>16</v>
      </c>
      <c r="C87" s="6" t="s">
        <v>12</v>
      </c>
      <c r="D87" s="7" t="s">
        <v>350</v>
      </c>
      <c r="E87" s="8" t="s">
        <v>351</v>
      </c>
      <c r="F87" s="6" t="s">
        <v>352</v>
      </c>
      <c r="G87" s="9">
        <f>IF(A87=1,"_",IF(C87="_","???",C87))</f>
        <v/>
      </c>
      <c r="H87" s="10" t="s">
        <v>12</v>
      </c>
      <c r="I87" s="11" t="s">
        <v>12</v>
      </c>
      <c r="J87" s="12"/>
    </row>
    <row r="88" spans="1:10" ht="60" customHeight="1">
      <c r="A88" s="6" t="s">
        <v>353</v>
      </c>
      <c r="B88" s="6" t="s">
        <v>11</v>
      </c>
      <c r="C88" s="6" t="s">
        <v>99</v>
      </c>
      <c r="D88" s="7" t="s">
        <v>354</v>
      </c>
      <c r="E88" s="8" t="s">
        <v>355</v>
      </c>
      <c r="F88" s="6" t="s">
        <v>356</v>
      </c>
      <c r="G88" s="9">
        <f>IF(A88=1,"_",IF(C88="_","???",C88))</f>
        <v/>
      </c>
      <c r="H88" s="10" t="s">
        <v>12</v>
      </c>
      <c r="I88" s="11" t="s">
        <v>12</v>
      </c>
      <c r="J88" s="12"/>
    </row>
    <row r="89" spans="1:10" ht="60" customHeight="1">
      <c r="A89" s="6" t="s">
        <v>357</v>
      </c>
      <c r="B89" s="6" t="s">
        <v>10</v>
      </c>
      <c r="C89" s="6" t="s">
        <v>103</v>
      </c>
      <c r="D89" s="7" t="s">
        <v>358</v>
      </c>
      <c r="E89" s="8" t="s">
        <v>359</v>
      </c>
      <c r="F89" s="6" t="s">
        <v>360</v>
      </c>
      <c r="G89" s="9">
        <f>IF(A89=1,"_",IF(C89="_","???",C89))</f>
        <v/>
      </c>
      <c r="H89" s="10" t="s">
        <v>12</v>
      </c>
      <c r="I89" s="11" t="s">
        <v>12</v>
      </c>
      <c r="J89" s="12"/>
    </row>
    <row r="90" spans="1:10" ht="60" customHeight="1">
      <c r="A90" s="6" t="s">
        <v>361</v>
      </c>
      <c r="B90" s="6" t="s">
        <v>26</v>
      </c>
      <c r="C90" s="6" t="s">
        <v>174</v>
      </c>
      <c r="D90" s="7" t="s">
        <v>170</v>
      </c>
      <c r="E90" s="8" t="s">
        <v>362</v>
      </c>
      <c r="F90" s="6" t="s">
        <v>363</v>
      </c>
      <c r="G90" s="9">
        <f>IF(A90=1,"_",IF(C90="_","???",C90))</f>
        <v/>
      </c>
      <c r="H90" s="10" t="s">
        <v>12</v>
      </c>
      <c r="I90" s="11" t="s">
        <v>12</v>
      </c>
      <c r="J90" s="12"/>
    </row>
    <row r="91" spans="1:10" ht="60" customHeight="1">
      <c r="A91" s="6" t="s">
        <v>364</v>
      </c>
      <c r="B91" s="6" t="s">
        <v>16</v>
      </c>
      <c r="C91" s="6" t="s">
        <v>174</v>
      </c>
      <c r="D91" s="7" t="s">
        <v>32</v>
      </c>
      <c r="E91" s="8" t="s">
        <v>365</v>
      </c>
      <c r="F91" s="6" t="s">
        <v>366</v>
      </c>
      <c r="G91" s="9">
        <f>IF(A91=1,"_",IF(C91="_","???",C91))</f>
        <v/>
      </c>
      <c r="H91" s="10" t="s">
        <v>12</v>
      </c>
      <c r="I91" s="11" t="s">
        <v>12</v>
      </c>
      <c r="J91" s="12"/>
    </row>
    <row r="92" spans="1:10" ht="60" customHeight="1">
      <c r="A92" s="6" t="s">
        <v>367</v>
      </c>
      <c r="B92" s="6" t="s">
        <v>11</v>
      </c>
      <c r="C92" s="6" t="s">
        <v>12</v>
      </c>
      <c r="D92" s="7" t="s">
        <v>18</v>
      </c>
      <c r="E92" s="8" t="s">
        <v>368</v>
      </c>
      <c r="F92" s="6" t="s">
        <v>369</v>
      </c>
      <c r="G92" s="9">
        <f>IF(A92=1,"_",IF(C92="_","???",C92))</f>
        <v/>
      </c>
      <c r="H92" s="10" t="s">
        <v>12</v>
      </c>
      <c r="I92" s="11" t="s">
        <v>12</v>
      </c>
      <c r="J92" s="12"/>
    </row>
    <row r="93" spans="1:10" ht="60" customHeight="1">
      <c r="A93" s="6" t="s">
        <v>370</v>
      </c>
      <c r="B93" s="6" t="s">
        <v>11</v>
      </c>
      <c r="C93" s="6" t="s">
        <v>12</v>
      </c>
      <c r="D93" s="7" t="s">
        <v>18</v>
      </c>
      <c r="E93" s="8" t="s">
        <v>371</v>
      </c>
      <c r="F93" s="6" t="s">
        <v>372</v>
      </c>
      <c r="G93" s="9">
        <f>IF(A93=1,"_",IF(C93="_","???",C93))</f>
        <v/>
      </c>
      <c r="H93" s="10" t="s">
        <v>12</v>
      </c>
      <c r="I93" s="11" t="s">
        <v>12</v>
      </c>
      <c r="J93" s="12"/>
    </row>
    <row r="94" spans="1:10" ht="60" customHeight="1">
      <c r="A94" s="6" t="s">
        <v>373</v>
      </c>
      <c r="B94" s="6" t="s">
        <v>11</v>
      </c>
      <c r="C94" s="6" t="s">
        <v>12</v>
      </c>
      <c r="D94" s="7" t="s">
        <v>158</v>
      </c>
      <c r="E94" s="8" t="s">
        <v>374</v>
      </c>
      <c r="F94" s="6" t="s">
        <v>375</v>
      </c>
      <c r="G94" s="9">
        <f>IF(A94=1,"_",IF(C94="_","???",C94))</f>
        <v/>
      </c>
      <c r="H94" s="10" t="s">
        <v>12</v>
      </c>
      <c r="I94" s="11" t="s">
        <v>12</v>
      </c>
      <c r="J94" s="12"/>
    </row>
    <row r="95" spans="1:10" ht="60" customHeight="1">
      <c r="A95" s="6" t="s">
        <v>376</v>
      </c>
      <c r="B95" s="6" t="s">
        <v>16</v>
      </c>
      <c r="C95" s="6" t="s">
        <v>150</v>
      </c>
      <c r="D95" s="7" t="s">
        <v>377</v>
      </c>
      <c r="E95" s="8" t="s">
        <v>378</v>
      </c>
      <c r="F95" s="6" t="s">
        <v>379</v>
      </c>
      <c r="G95" s="9">
        <f>IF(A95=1,"_",IF(C95="_","???",C95))</f>
        <v/>
      </c>
      <c r="H95" s="10" t="s">
        <v>12</v>
      </c>
      <c r="I95" s="11" t="s">
        <v>12</v>
      </c>
      <c r="J95" s="12"/>
    </row>
    <row r="96" spans="1:10" ht="60" customHeight="1">
      <c r="A96" s="6" t="s">
        <v>380</v>
      </c>
      <c r="B96" s="6" t="s">
        <v>30</v>
      </c>
      <c r="C96" s="6" t="s">
        <v>381</v>
      </c>
      <c r="D96" s="7" t="s">
        <v>32</v>
      </c>
      <c r="E96" s="8" t="s">
        <v>382</v>
      </c>
      <c r="F96" s="6" t="s">
        <v>383</v>
      </c>
      <c r="G96" s="9">
        <f>IF(A96=1,"_",IF(C96="_","???",C96))</f>
        <v/>
      </c>
      <c r="H96" s="10" t="s">
        <v>12</v>
      </c>
      <c r="I96" s="11" t="s">
        <v>12</v>
      </c>
      <c r="J96" s="12"/>
    </row>
    <row r="97" spans="1:10" ht="60" customHeight="1">
      <c r="A97" s="6" t="s">
        <v>384</v>
      </c>
      <c r="B97" s="6" t="s">
        <v>11</v>
      </c>
      <c r="C97" s="6" t="s">
        <v>385</v>
      </c>
      <c r="D97" s="7" t="s">
        <v>386</v>
      </c>
      <c r="E97" s="8" t="s">
        <v>387</v>
      </c>
      <c r="F97" s="6" t="s">
        <v>388</v>
      </c>
      <c r="G97" s="9">
        <f>IF(A97=1,"_",IF(C97="_","???",C97))</f>
        <v/>
      </c>
      <c r="H97" s="10" t="s">
        <v>12</v>
      </c>
      <c r="I97" s="11" t="s">
        <v>12</v>
      </c>
      <c r="J97" s="12"/>
    </row>
    <row r="98" spans="1:10" ht="60" customHeight="1">
      <c r="A98" s="6" t="s">
        <v>389</v>
      </c>
      <c r="B98" s="6" t="s">
        <v>57</v>
      </c>
      <c r="C98" s="6" t="s">
        <v>12</v>
      </c>
      <c r="D98" s="7" t="s">
        <v>390</v>
      </c>
      <c r="E98" s="8" t="s">
        <v>391</v>
      </c>
      <c r="F98" s="6" t="s">
        <v>392</v>
      </c>
      <c r="G98" s="9">
        <f>IF(A98=1,"_",IF(C98="_","???",C98))</f>
        <v/>
      </c>
      <c r="H98" s="10" t="s">
        <v>12</v>
      </c>
      <c r="I98" s="11" t="s">
        <v>12</v>
      </c>
      <c r="J98" s="12"/>
    </row>
    <row r="99" spans="1:10" ht="60" customHeight="1">
      <c r="A99" s="6" t="s">
        <v>393</v>
      </c>
      <c r="B99" s="6" t="s">
        <v>72</v>
      </c>
      <c r="C99" s="6" t="s">
        <v>169</v>
      </c>
      <c r="D99" s="7" t="s">
        <v>32</v>
      </c>
      <c r="E99" s="8" t="s">
        <v>394</v>
      </c>
      <c r="F99" s="6" t="s">
        <v>395</v>
      </c>
      <c r="G99" s="9">
        <f>IF(A99=1,"_",IF(C99="_","???",C99))</f>
        <v/>
      </c>
      <c r="H99" s="10" t="s">
        <v>12</v>
      </c>
      <c r="I99" s="11" t="s">
        <v>12</v>
      </c>
      <c r="J99" s="12"/>
    </row>
    <row r="100" spans="1:10" ht="60" customHeight="1">
      <c r="A100" s="6" t="s">
        <v>396</v>
      </c>
      <c r="B100" s="6" t="s">
        <v>30</v>
      </c>
      <c r="C100" s="6" t="s">
        <v>397</v>
      </c>
      <c r="D100" s="7" t="s">
        <v>158</v>
      </c>
      <c r="E100" s="8" t="s">
        <v>398</v>
      </c>
      <c r="F100" s="6" t="s">
        <v>399</v>
      </c>
      <c r="G100" s="9">
        <f>IF(A100=1,"_",IF(C100="_","???",C100))</f>
        <v/>
      </c>
      <c r="H100" s="10" t="s">
        <v>12</v>
      </c>
      <c r="I100" s="11" t="s">
        <v>12</v>
      </c>
      <c r="J100" s="12"/>
    </row>
    <row r="101" spans="1:10" ht="60" customHeight="1">
      <c r="A101" s="6" t="s">
        <v>400</v>
      </c>
      <c r="B101" s="6" t="s">
        <v>72</v>
      </c>
      <c r="C101" s="6" t="s">
        <v>169</v>
      </c>
      <c r="D101" s="7" t="s">
        <v>401</v>
      </c>
      <c r="E101" s="8" t="s">
        <v>402</v>
      </c>
      <c r="F101" s="6" t="s">
        <v>403</v>
      </c>
      <c r="G101" s="9">
        <f>IF(A101=1,"_",IF(C101="_","???",C101))</f>
        <v/>
      </c>
      <c r="H101" s="10" t="s">
        <v>12</v>
      </c>
      <c r="I101" s="11" t="s">
        <v>12</v>
      </c>
      <c r="J101" s="12"/>
    </row>
    <row r="102" spans="1:10" ht="60" customHeight="1">
      <c r="A102" s="6" t="s">
        <v>404</v>
      </c>
      <c r="B102" s="6" t="s">
        <v>16</v>
      </c>
      <c r="C102" s="6" t="s">
        <v>12</v>
      </c>
      <c r="D102" s="7" t="s">
        <v>32</v>
      </c>
      <c r="E102" s="8" t="s">
        <v>405</v>
      </c>
      <c r="F102" s="6" t="s">
        <v>406</v>
      </c>
      <c r="G102" s="9">
        <f>IF(A102=1,"_",IF(C102="_","???",C102))</f>
        <v/>
      </c>
      <c r="H102" s="10" t="s">
        <v>12</v>
      </c>
      <c r="I102" s="11" t="s">
        <v>12</v>
      </c>
      <c r="J102" s="12"/>
    </row>
    <row r="103" spans="1:10" ht="60" customHeight="1">
      <c r="A103" s="6" t="s">
        <v>407</v>
      </c>
      <c r="B103" s="6" t="s">
        <v>26</v>
      </c>
      <c r="C103" s="6" t="s">
        <v>114</v>
      </c>
      <c r="D103" s="7" t="s">
        <v>408</v>
      </c>
      <c r="E103" s="8" t="s">
        <v>409</v>
      </c>
      <c r="F103" s="6" t="s">
        <v>410</v>
      </c>
      <c r="G103" s="9">
        <f>IF(A103=1,"_",IF(C103="_","???",C103))</f>
        <v/>
      </c>
      <c r="H103" s="10" t="s">
        <v>12</v>
      </c>
      <c r="I103" s="11" t="s">
        <v>12</v>
      </c>
      <c r="J103" s="12"/>
    </row>
    <row r="104" spans="1:10" ht="60" customHeight="1">
      <c r="A104" s="6" t="s">
        <v>411</v>
      </c>
      <c r="B104" s="6" t="s">
        <v>53</v>
      </c>
      <c r="C104" s="6" t="s">
        <v>12</v>
      </c>
      <c r="D104" s="7" t="s">
        <v>412</v>
      </c>
      <c r="E104" s="8" t="s">
        <v>413</v>
      </c>
      <c r="F104" s="6" t="s">
        <v>414</v>
      </c>
      <c r="G104" s="9">
        <f>IF(A104=1,"_",IF(C104="_","???",C104))</f>
        <v/>
      </c>
      <c r="H104" s="10" t="s">
        <v>12</v>
      </c>
      <c r="I104" s="11" t="s">
        <v>12</v>
      </c>
      <c r="J104" s="12"/>
    </row>
    <row r="105" spans="1:10" ht="60" customHeight="1">
      <c r="A105" s="6" t="s">
        <v>415</v>
      </c>
      <c r="B105" s="6" t="s">
        <v>41</v>
      </c>
      <c r="C105" s="6" t="s">
        <v>264</v>
      </c>
      <c r="D105" s="7" t="s">
        <v>158</v>
      </c>
      <c r="E105" s="8" t="s">
        <v>416</v>
      </c>
      <c r="F105" s="6" t="s">
        <v>417</v>
      </c>
      <c r="G105" s="9">
        <f>IF(A105=1,"_",IF(C105="_","???",C105))</f>
        <v/>
      </c>
      <c r="H105" s="10" t="s">
        <v>12</v>
      </c>
      <c r="I105" s="11" t="s">
        <v>12</v>
      </c>
      <c r="J105" s="12"/>
    </row>
    <row r="106" spans="1:10" ht="60" customHeight="1">
      <c r="A106" s="6" t="s">
        <v>418</v>
      </c>
      <c r="B106" s="6" t="s">
        <v>86</v>
      </c>
      <c r="C106" s="6" t="s">
        <v>419</v>
      </c>
      <c r="D106" s="7" t="s">
        <v>386</v>
      </c>
      <c r="E106" s="8" t="s">
        <v>420</v>
      </c>
      <c r="F106" s="6" t="s">
        <v>421</v>
      </c>
      <c r="G106" s="9">
        <f>IF(A106=1,"_",IF(C106="_","???",C106))</f>
        <v/>
      </c>
      <c r="H106" s="10" t="s">
        <v>12</v>
      </c>
      <c r="I106" s="11" t="s">
        <v>12</v>
      </c>
      <c r="J106" s="12"/>
    </row>
    <row r="107" spans="1:10" ht="60" customHeight="1">
      <c r="A107" s="6" t="s">
        <v>422</v>
      </c>
      <c r="B107" s="6" t="s">
        <v>16</v>
      </c>
      <c r="C107" s="6" t="s">
        <v>12</v>
      </c>
      <c r="D107" s="7" t="s">
        <v>423</v>
      </c>
      <c r="E107" s="8" t="s">
        <v>424</v>
      </c>
      <c r="F107" s="6" t="s">
        <v>425</v>
      </c>
      <c r="G107" s="9">
        <f>IF(A107=1,"_",IF(C107="_","???",C107))</f>
        <v/>
      </c>
      <c r="H107" s="10" t="s">
        <v>12</v>
      </c>
      <c r="I107" s="11" t="s">
        <v>12</v>
      </c>
      <c r="J107" s="12"/>
    </row>
    <row r="108" spans="1:10" ht="60" customHeight="1">
      <c r="A108" s="6" t="s">
        <v>426</v>
      </c>
      <c r="B108" s="6" t="s">
        <v>16</v>
      </c>
      <c r="C108" s="6" t="s">
        <v>103</v>
      </c>
      <c r="D108" s="7" t="s">
        <v>427</v>
      </c>
      <c r="E108" s="8" t="s">
        <v>428</v>
      </c>
      <c r="F108" s="6" t="s">
        <v>429</v>
      </c>
      <c r="G108" s="9">
        <f>IF(A108=1,"_",IF(C108="_","???",C108))</f>
        <v/>
      </c>
      <c r="H108" s="10" t="s">
        <v>12</v>
      </c>
      <c r="I108" s="11" t="s">
        <v>12</v>
      </c>
      <c r="J108" s="12"/>
    </row>
    <row r="109" spans="1:10" ht="60" customHeight="1">
      <c r="A109" s="6" t="s">
        <v>430</v>
      </c>
      <c r="B109" s="6" t="s">
        <v>26</v>
      </c>
      <c r="C109" s="6" t="s">
        <v>431</v>
      </c>
      <c r="D109" s="7" t="s">
        <v>432</v>
      </c>
      <c r="E109" s="8" t="s">
        <v>433</v>
      </c>
      <c r="F109" s="6" t="s">
        <v>434</v>
      </c>
      <c r="G109" s="9">
        <f>IF(A109=1,"_",IF(C109="_","???",C109))</f>
        <v/>
      </c>
      <c r="H109" s="10" t="s">
        <v>12</v>
      </c>
      <c r="I109" s="11" t="s">
        <v>12</v>
      </c>
      <c r="J109" s="12"/>
    </row>
    <row r="110" spans="1:10" ht="60" customHeight="1">
      <c r="A110" s="6" t="s">
        <v>435</v>
      </c>
      <c r="B110" s="6" t="s">
        <v>26</v>
      </c>
      <c r="C110" s="6" t="s">
        <v>12</v>
      </c>
      <c r="D110" s="7" t="s">
        <v>436</v>
      </c>
      <c r="E110" s="8" t="s">
        <v>437</v>
      </c>
      <c r="F110" s="6" t="s">
        <v>438</v>
      </c>
      <c r="G110" s="9">
        <f>IF(A110=1,"_",IF(C110="_","???",C110))</f>
        <v/>
      </c>
      <c r="H110" s="10" t="s">
        <v>12</v>
      </c>
      <c r="I110" s="11" t="s">
        <v>12</v>
      </c>
      <c r="J110" s="12"/>
    </row>
    <row r="111" spans="1:10" ht="60" customHeight="1">
      <c r="A111" s="6" t="s">
        <v>439</v>
      </c>
      <c r="B111" s="6" t="s">
        <v>57</v>
      </c>
      <c r="C111" s="6" t="s">
        <v>114</v>
      </c>
      <c r="D111" s="7" t="s">
        <v>83</v>
      </c>
      <c r="E111" s="8" t="s">
        <v>440</v>
      </c>
      <c r="F111" s="6" t="s">
        <v>441</v>
      </c>
      <c r="G111" s="9">
        <f>IF(A111=1,"_",IF(C111="_","???",C111))</f>
        <v/>
      </c>
      <c r="H111" s="10" t="s">
        <v>12</v>
      </c>
      <c r="I111" s="11" t="s">
        <v>12</v>
      </c>
      <c r="J111" s="12"/>
    </row>
    <row r="112" spans="1:10" ht="60" customHeight="1">
      <c r="A112" s="6" t="s">
        <v>442</v>
      </c>
      <c r="B112" s="6" t="s">
        <v>11</v>
      </c>
      <c r="C112" s="6" t="s">
        <v>12</v>
      </c>
      <c r="D112" s="7" t="s">
        <v>32</v>
      </c>
      <c r="E112" s="8" t="s">
        <v>443</v>
      </c>
      <c r="F112" s="6" t="s">
        <v>444</v>
      </c>
      <c r="G112" s="9">
        <f>IF(A112=1,"_",IF(C112="_","???",C112))</f>
        <v/>
      </c>
      <c r="H112" s="10" t="s">
        <v>12</v>
      </c>
      <c r="I112" s="11" t="s">
        <v>12</v>
      </c>
      <c r="J112" s="12"/>
    </row>
    <row r="113" spans="1:10" ht="60" customHeight="1">
      <c r="A113" s="6" t="s">
        <v>445</v>
      </c>
      <c r="B113" s="6" t="s">
        <v>11</v>
      </c>
      <c r="C113" s="6" t="s">
        <v>12</v>
      </c>
      <c r="D113" s="7" t="s">
        <v>32</v>
      </c>
      <c r="E113" s="8" t="s">
        <v>446</v>
      </c>
      <c r="F113" s="6" t="s">
        <v>447</v>
      </c>
      <c r="G113" s="9">
        <f>IF(A113=1,"_",IF(C113="_","???",C113))</f>
        <v/>
      </c>
      <c r="H113" s="10" t="s">
        <v>12</v>
      </c>
      <c r="I113" s="11" t="s">
        <v>12</v>
      </c>
      <c r="J113" s="12"/>
    </row>
    <row r="114" spans="1:10" ht="60" customHeight="1">
      <c r="A114" s="6" t="s">
        <v>448</v>
      </c>
      <c r="B114" s="6" t="s">
        <v>26</v>
      </c>
      <c r="C114" s="6" t="s">
        <v>449</v>
      </c>
      <c r="D114" s="7" t="s">
        <v>338</v>
      </c>
      <c r="E114" s="8" t="s">
        <v>450</v>
      </c>
      <c r="F114" s="6" t="s">
        <v>451</v>
      </c>
      <c r="G114" s="9">
        <f>IF(A114=1,"_",IF(C114="_","???",C114))</f>
        <v/>
      </c>
      <c r="H114" s="10" t="s">
        <v>12</v>
      </c>
      <c r="I114" s="11" t="s">
        <v>12</v>
      </c>
      <c r="J114" s="12"/>
    </row>
    <row r="115" spans="1:10" ht="60" customHeight="1">
      <c r="A115" s="6" t="s">
        <v>452</v>
      </c>
      <c r="B115" s="6" t="s">
        <v>21</v>
      </c>
      <c r="C115" s="6" t="s">
        <v>453</v>
      </c>
      <c r="D115" s="7" t="s">
        <v>32</v>
      </c>
      <c r="E115" s="8" t="s">
        <v>454</v>
      </c>
      <c r="F115" s="6" t="s">
        <v>455</v>
      </c>
      <c r="G115" s="9">
        <f>IF(A115=1,"_",IF(C115="_","???",C115))</f>
        <v/>
      </c>
      <c r="H115" s="10" t="s">
        <v>12</v>
      </c>
      <c r="I115" s="11" t="s">
        <v>12</v>
      </c>
      <c r="J115" s="12"/>
    </row>
    <row r="116" spans="1:10" ht="60" customHeight="1">
      <c r="A116" s="6" t="s">
        <v>456</v>
      </c>
      <c r="B116" s="6" t="s">
        <v>247</v>
      </c>
      <c r="C116" s="6" t="s">
        <v>150</v>
      </c>
      <c r="D116" s="7" t="s">
        <v>110</v>
      </c>
      <c r="E116" s="8" t="s">
        <v>457</v>
      </c>
      <c r="F116" s="6" t="s">
        <v>458</v>
      </c>
      <c r="G116" s="9">
        <f>IF(A116=1,"_",IF(C116="_","???",C116))</f>
        <v/>
      </c>
      <c r="H116" s="10" t="s">
        <v>12</v>
      </c>
      <c r="I116" s="11" t="s">
        <v>12</v>
      </c>
      <c r="J116" s="12"/>
    </row>
    <row r="117" spans="1:10" ht="60" customHeight="1">
      <c r="A117" s="6" t="s">
        <v>459</v>
      </c>
      <c r="B117" s="6" t="s">
        <v>21</v>
      </c>
      <c r="C117" s="6" t="s">
        <v>59</v>
      </c>
      <c r="D117" s="7" t="s">
        <v>32</v>
      </c>
      <c r="E117" s="8" t="s">
        <v>460</v>
      </c>
      <c r="F117" s="6" t="s">
        <v>461</v>
      </c>
      <c r="G117" s="9">
        <f>IF(A117=1,"_",IF(C117="_","???",C117))</f>
        <v/>
      </c>
      <c r="H117" s="10" t="s">
        <v>12</v>
      </c>
      <c r="I117" s="11" t="s">
        <v>12</v>
      </c>
      <c r="J117" s="12"/>
    </row>
    <row r="118" spans="1:10" ht="60" customHeight="1">
      <c r="A118" s="6" t="s">
        <v>462</v>
      </c>
      <c r="B118" s="6" t="s">
        <v>16</v>
      </c>
      <c r="C118" s="6" t="s">
        <v>174</v>
      </c>
      <c r="D118" s="7" t="s">
        <v>463</v>
      </c>
      <c r="E118" s="8" t="s">
        <v>464</v>
      </c>
      <c r="F118" s="6" t="s">
        <v>465</v>
      </c>
      <c r="G118" s="9">
        <f>IF(A118=1,"_",IF(C118="_","???",C118))</f>
        <v/>
      </c>
      <c r="H118" s="10" t="s">
        <v>12</v>
      </c>
      <c r="I118" s="11" t="s">
        <v>12</v>
      </c>
      <c r="J118" s="12"/>
    </row>
    <row r="119" spans="1:10" ht="60" customHeight="1">
      <c r="A119" s="6" t="s">
        <v>466</v>
      </c>
      <c r="B119" s="6" t="s">
        <v>11</v>
      </c>
      <c r="C119" s="6" t="s">
        <v>12</v>
      </c>
      <c r="D119" s="7" t="s">
        <v>467</v>
      </c>
      <c r="E119" s="8" t="s">
        <v>468</v>
      </c>
      <c r="F119" s="6" t="s">
        <v>469</v>
      </c>
      <c r="G119" s="9">
        <f>IF(A119=1,"_",IF(C119="_","???",C119))</f>
        <v/>
      </c>
      <c r="H119" s="10" t="s">
        <v>12</v>
      </c>
      <c r="I119" s="11" t="s">
        <v>12</v>
      </c>
      <c r="J119" s="12"/>
    </row>
    <row r="120" spans="1:10" ht="60" customHeight="1">
      <c r="A120" s="6" t="s">
        <v>470</v>
      </c>
      <c r="B120" s="6" t="s">
        <v>68</v>
      </c>
      <c r="C120" s="6" t="s">
        <v>99</v>
      </c>
      <c r="D120" s="7" t="s">
        <v>32</v>
      </c>
      <c r="E120" s="8" t="s">
        <v>471</v>
      </c>
      <c r="F120" s="6" t="s">
        <v>472</v>
      </c>
      <c r="G120" s="9">
        <f>IF(A120=1,"_",IF(C120="_","???",C120))</f>
        <v/>
      </c>
      <c r="H120" s="10" t="s">
        <v>12</v>
      </c>
      <c r="I120" s="11" t="s">
        <v>12</v>
      </c>
      <c r="J120" s="12"/>
    </row>
    <row r="121" spans="1:10" ht="60" customHeight="1">
      <c r="A121" s="6" t="s">
        <v>473</v>
      </c>
      <c r="B121" s="6" t="s">
        <v>16</v>
      </c>
      <c r="C121" s="6" t="s">
        <v>12</v>
      </c>
      <c r="D121" s="7" t="s">
        <v>474</v>
      </c>
      <c r="E121" s="8" t="s">
        <v>475</v>
      </c>
      <c r="F121" s="6" t="s">
        <v>476</v>
      </c>
      <c r="G121" s="9">
        <f>IF(A121=1,"_",IF(C121="_","???",C121))</f>
        <v/>
      </c>
      <c r="H121" s="10" t="s">
        <v>12</v>
      </c>
      <c r="I121" s="11" t="s">
        <v>12</v>
      </c>
      <c r="J121" s="12"/>
    </row>
    <row r="122" spans="1:10" ht="60" customHeight="1">
      <c r="A122" s="6" t="s">
        <v>477</v>
      </c>
      <c r="B122" s="6" t="s">
        <v>10</v>
      </c>
      <c r="C122" s="6" t="s">
        <v>12</v>
      </c>
      <c r="D122" s="7" t="s">
        <v>110</v>
      </c>
      <c r="E122" s="8" t="s">
        <v>478</v>
      </c>
      <c r="F122" s="6" t="s">
        <v>479</v>
      </c>
      <c r="G122" s="9">
        <f>IF(A122=1,"_",IF(C122="_","???",C122))</f>
        <v/>
      </c>
      <c r="H122" s="10" t="s">
        <v>12</v>
      </c>
      <c r="I122" s="11" t="s">
        <v>12</v>
      </c>
      <c r="J122" s="12"/>
    </row>
    <row r="123" spans="1:10" ht="60" customHeight="1">
      <c r="A123" s="6" t="s">
        <v>480</v>
      </c>
      <c r="B123" s="6" t="s">
        <v>11</v>
      </c>
      <c r="C123" s="6" t="s">
        <v>49</v>
      </c>
      <c r="D123" s="7" t="s">
        <v>481</v>
      </c>
      <c r="E123" s="8" t="s">
        <v>482</v>
      </c>
      <c r="F123" s="6" t="s">
        <v>483</v>
      </c>
      <c r="G123" s="9">
        <f>IF(A123=1,"_",IF(C123="_","???",C123))</f>
        <v/>
      </c>
      <c r="H123" s="10" t="s">
        <v>12</v>
      </c>
      <c r="I123" s="11" t="s">
        <v>12</v>
      </c>
      <c r="J123" s="12"/>
    </row>
    <row r="124" spans="1:10" ht="60" customHeight="1">
      <c r="A124" s="6" t="s">
        <v>484</v>
      </c>
      <c r="B124" s="6" t="s">
        <v>35</v>
      </c>
      <c r="C124" s="6" t="s">
        <v>49</v>
      </c>
      <c r="D124" s="7" t="s">
        <v>170</v>
      </c>
      <c r="E124" s="8" t="s">
        <v>485</v>
      </c>
      <c r="F124" s="6" t="s">
        <v>486</v>
      </c>
      <c r="G124" s="9">
        <f>IF(A124=1,"_",IF(C124="_","???",C124))</f>
        <v/>
      </c>
      <c r="H124" s="10" t="s">
        <v>12</v>
      </c>
      <c r="I124" s="11" t="s">
        <v>12</v>
      </c>
      <c r="J124" s="12"/>
    </row>
    <row r="125" spans="1:10" ht="60" customHeight="1">
      <c r="A125" s="6" t="s">
        <v>487</v>
      </c>
      <c r="B125" s="6" t="s">
        <v>45</v>
      </c>
      <c r="C125" s="6" t="s">
        <v>12</v>
      </c>
      <c r="D125" s="7" t="s">
        <v>32</v>
      </c>
      <c r="E125" s="8" t="s">
        <v>488</v>
      </c>
      <c r="F125" s="6" t="s">
        <v>489</v>
      </c>
      <c r="G125" s="9">
        <f>IF(A125=1,"_",IF(C125="_","???",C125))</f>
        <v/>
      </c>
      <c r="H125" s="10" t="s">
        <v>12</v>
      </c>
      <c r="I125" s="11" t="s">
        <v>12</v>
      </c>
      <c r="J125" s="12"/>
    </row>
    <row r="126" spans="1:10" ht="60" customHeight="1">
      <c r="A126" s="6" t="s">
        <v>490</v>
      </c>
      <c r="B126" s="6" t="s">
        <v>45</v>
      </c>
      <c r="C126" s="6" t="s">
        <v>49</v>
      </c>
      <c r="D126" s="7" t="s">
        <v>491</v>
      </c>
      <c r="E126" s="8" t="s">
        <v>492</v>
      </c>
      <c r="F126" s="6" t="s">
        <v>493</v>
      </c>
      <c r="G126" s="9">
        <f>IF(A126=1,"_",IF(C126="_","???",C126))</f>
        <v/>
      </c>
      <c r="H126" s="10" t="s">
        <v>12</v>
      </c>
      <c r="I126" s="11" t="s">
        <v>12</v>
      </c>
      <c r="J126" s="12"/>
    </row>
    <row r="127" spans="1:10" ht="60" customHeight="1">
      <c r="A127" s="6" t="s">
        <v>494</v>
      </c>
      <c r="B127" s="6" t="s">
        <v>11</v>
      </c>
      <c r="C127" s="6" t="s">
        <v>12</v>
      </c>
      <c r="D127" s="7" t="s">
        <v>495</v>
      </c>
      <c r="E127" s="8" t="s">
        <v>496</v>
      </c>
      <c r="F127" s="6" t="s">
        <v>497</v>
      </c>
      <c r="G127" s="9">
        <f>IF(A127=1,"_",IF(C127="_","???",C127))</f>
        <v/>
      </c>
      <c r="H127" s="10" t="s">
        <v>12</v>
      </c>
      <c r="I127" s="11" t="s">
        <v>12</v>
      </c>
      <c r="J127" s="12"/>
    </row>
    <row r="128" spans="1:10" ht="60" customHeight="1">
      <c r="A128" s="6" t="s">
        <v>498</v>
      </c>
      <c r="B128" s="6" t="s">
        <v>77</v>
      </c>
      <c r="C128" s="6" t="s">
        <v>499</v>
      </c>
      <c r="D128" s="7" t="s">
        <v>500</v>
      </c>
      <c r="E128" s="8" t="s">
        <v>501</v>
      </c>
      <c r="F128" s="6" t="s">
        <v>502</v>
      </c>
      <c r="G128" s="9">
        <f>IF(A128=1,"_",IF(C128="_","???",C128))</f>
        <v/>
      </c>
      <c r="H128" s="10" t="s">
        <v>12</v>
      </c>
      <c r="I128" s="11" t="s">
        <v>12</v>
      </c>
      <c r="J128" s="12"/>
    </row>
    <row r="129" spans="1:10" ht="60" customHeight="1">
      <c r="A129" s="6" t="s">
        <v>503</v>
      </c>
      <c r="B129" s="6" t="s">
        <v>16</v>
      </c>
      <c r="C129" s="6" t="s">
        <v>12</v>
      </c>
      <c r="D129" s="7" t="s">
        <v>504</v>
      </c>
      <c r="E129" s="8" t="s">
        <v>505</v>
      </c>
      <c r="F129" s="6" t="s">
        <v>506</v>
      </c>
      <c r="G129" s="9">
        <f>IF(A129=1,"_",IF(C129="_","???",C129))</f>
        <v/>
      </c>
      <c r="H129" s="10" t="s">
        <v>12</v>
      </c>
      <c r="I129" s="11" t="s">
        <v>12</v>
      </c>
      <c r="J129" s="12"/>
    </row>
    <row r="130" spans="1:10" ht="60" customHeight="1">
      <c r="A130" s="6" t="s">
        <v>507</v>
      </c>
      <c r="B130" s="6" t="s">
        <v>16</v>
      </c>
      <c r="C130" s="6" t="s">
        <v>17</v>
      </c>
      <c r="D130" s="7" t="s">
        <v>508</v>
      </c>
      <c r="E130" s="8" t="s">
        <v>509</v>
      </c>
      <c r="F130" s="6" t="s">
        <v>510</v>
      </c>
      <c r="G130" s="9">
        <f>IF(A130=1,"_",IF(C130="_","???",C130))</f>
        <v/>
      </c>
      <c r="H130" s="10" t="s">
        <v>12</v>
      </c>
      <c r="I130" s="11" t="s">
        <v>12</v>
      </c>
      <c r="J130" s="12"/>
    </row>
    <row r="131" spans="1:10" ht="60" customHeight="1">
      <c r="A131" s="6" t="s">
        <v>511</v>
      </c>
      <c r="B131" s="6" t="s">
        <v>48</v>
      </c>
      <c r="C131" s="6" t="s">
        <v>59</v>
      </c>
      <c r="D131" s="7" t="s">
        <v>512</v>
      </c>
      <c r="E131" s="8" t="s">
        <v>513</v>
      </c>
      <c r="F131" s="6" t="s">
        <v>514</v>
      </c>
      <c r="G131" s="9">
        <f>IF(A131=1,"_",IF(C131="_","???",C131))</f>
        <v/>
      </c>
      <c r="H131" s="10" t="s">
        <v>12</v>
      </c>
      <c r="I131" s="11" t="s">
        <v>12</v>
      </c>
      <c r="J131" s="12"/>
    </row>
    <row r="132" spans="1:10" ht="60" customHeight="1">
      <c r="A132" s="6" t="s">
        <v>515</v>
      </c>
      <c r="B132" s="6" t="s">
        <v>11</v>
      </c>
      <c r="C132" s="6" t="s">
        <v>12</v>
      </c>
      <c r="D132" s="7" t="s">
        <v>516</v>
      </c>
      <c r="E132" s="8" t="s">
        <v>517</v>
      </c>
      <c r="F132" s="6" t="s">
        <v>518</v>
      </c>
      <c r="G132" s="9">
        <f>IF(A132=1,"_",IF(C132="_","???",C132))</f>
        <v/>
      </c>
      <c r="H132" s="10" t="s">
        <v>12</v>
      </c>
      <c r="I132" s="11" t="s">
        <v>12</v>
      </c>
      <c r="J132" s="12"/>
    </row>
    <row r="133" spans="1:10" ht="60" customHeight="1">
      <c r="A133" s="6" t="s">
        <v>519</v>
      </c>
      <c r="B133" s="6" t="s">
        <v>35</v>
      </c>
      <c r="C133" s="6" t="s">
        <v>520</v>
      </c>
      <c r="D133" s="7" t="s">
        <v>521</v>
      </c>
      <c r="E133" s="8" t="s">
        <v>522</v>
      </c>
      <c r="F133" s="6" t="s">
        <v>523</v>
      </c>
      <c r="G133" s="9">
        <f>IF(A133=1,"_",IF(C133="_","???",C133))</f>
        <v/>
      </c>
      <c r="H133" s="10" t="s">
        <v>12</v>
      </c>
      <c r="I133" s="11" t="s">
        <v>12</v>
      </c>
      <c r="J133" s="12"/>
    </row>
    <row r="134" spans="1:10" ht="60" customHeight="1">
      <c r="A134" s="6" t="s">
        <v>524</v>
      </c>
      <c r="B134" s="6" t="s">
        <v>30</v>
      </c>
      <c r="C134" s="6" t="s">
        <v>42</v>
      </c>
      <c r="D134" s="7" t="s">
        <v>525</v>
      </c>
      <c r="E134" s="8" t="s">
        <v>526</v>
      </c>
      <c r="F134" s="6" t="s">
        <v>527</v>
      </c>
      <c r="G134" s="9">
        <f>IF(A134=1,"_",IF(C134="_","???",C134))</f>
        <v/>
      </c>
      <c r="H134" s="10" t="s">
        <v>12</v>
      </c>
      <c r="I134" s="11" t="s">
        <v>12</v>
      </c>
      <c r="J134" s="12"/>
    </row>
    <row r="135" spans="1:10" ht="60" customHeight="1">
      <c r="A135" s="6" t="s">
        <v>528</v>
      </c>
      <c r="B135" s="6" t="s">
        <v>11</v>
      </c>
      <c r="C135" s="6" t="s">
        <v>12</v>
      </c>
      <c r="D135" s="7" t="s">
        <v>529</v>
      </c>
      <c r="E135" s="8" t="s">
        <v>530</v>
      </c>
      <c r="F135" s="6" t="s">
        <v>531</v>
      </c>
      <c r="G135" s="9">
        <f>IF(A135=1,"_",IF(C135="_","???",C135))</f>
        <v/>
      </c>
      <c r="H135" s="10" t="s">
        <v>12</v>
      </c>
      <c r="I135" s="11" t="s">
        <v>12</v>
      </c>
      <c r="J135" s="12"/>
    </row>
    <row r="136" spans="1:10" ht="60" customHeight="1">
      <c r="A136" s="6" t="s">
        <v>532</v>
      </c>
      <c r="B136" s="6" t="s">
        <v>57</v>
      </c>
      <c r="C136" s="6" t="s">
        <v>59</v>
      </c>
      <c r="D136" s="7" t="s">
        <v>533</v>
      </c>
      <c r="E136" s="8" t="s">
        <v>534</v>
      </c>
      <c r="F136" s="6" t="s">
        <v>535</v>
      </c>
      <c r="G136" s="9">
        <f>IF(A136=1,"_",IF(C136="_","???",C136))</f>
        <v/>
      </c>
      <c r="H136" s="10" t="s">
        <v>12</v>
      </c>
      <c r="I136" s="11" t="s">
        <v>12</v>
      </c>
      <c r="J136" s="12"/>
    </row>
    <row r="137" spans="1:10" ht="60" customHeight="1">
      <c r="A137" s="6" t="s">
        <v>536</v>
      </c>
      <c r="B137" s="6" t="s">
        <v>72</v>
      </c>
      <c r="C137" s="6" t="s">
        <v>17</v>
      </c>
      <c r="D137" s="7" t="s">
        <v>537</v>
      </c>
      <c r="E137" s="8" t="s">
        <v>538</v>
      </c>
      <c r="F137" s="6" t="s">
        <v>539</v>
      </c>
      <c r="G137" s="9">
        <f>IF(A137=1,"_",IF(C137="_","???",C137))</f>
        <v/>
      </c>
      <c r="H137" s="10" t="s">
        <v>12</v>
      </c>
      <c r="I137" s="11" t="s">
        <v>12</v>
      </c>
      <c r="J137" s="12"/>
    </row>
    <row r="138" spans="1:10" ht="60" customHeight="1">
      <c r="A138" s="6" t="s">
        <v>540</v>
      </c>
      <c r="B138" s="6" t="s">
        <v>21</v>
      </c>
      <c r="C138" s="6" t="s">
        <v>17</v>
      </c>
      <c r="D138" s="7" t="s">
        <v>541</v>
      </c>
      <c r="E138" s="8" t="s">
        <v>542</v>
      </c>
      <c r="F138" s="6" t="s">
        <v>543</v>
      </c>
      <c r="G138" s="9">
        <f>IF(A138=1,"_",IF(C138="_","???",C138))</f>
        <v/>
      </c>
      <c r="H138" s="10" t="s">
        <v>12</v>
      </c>
      <c r="I138" s="11" t="s">
        <v>12</v>
      </c>
      <c r="J138" s="12"/>
    </row>
    <row r="139" spans="1:10" ht="60" customHeight="1">
      <c r="A139" s="6" t="s">
        <v>544</v>
      </c>
      <c r="B139" s="6" t="s">
        <v>77</v>
      </c>
      <c r="C139" s="6" t="s">
        <v>545</v>
      </c>
      <c r="D139" s="7" t="s">
        <v>546</v>
      </c>
      <c r="E139" s="8" t="s">
        <v>547</v>
      </c>
      <c r="F139" s="6" t="s">
        <v>548</v>
      </c>
      <c r="G139" s="9">
        <f>IF(A139=1,"_",IF(C139="_","???",C139))</f>
        <v/>
      </c>
      <c r="H139" s="10" t="s">
        <v>12</v>
      </c>
      <c r="I139" s="11" t="s">
        <v>12</v>
      </c>
      <c r="J139" s="12"/>
    </row>
    <row r="140" spans="1:10" ht="60" customHeight="1">
      <c r="A140" s="6" t="s">
        <v>549</v>
      </c>
      <c r="B140" s="6" t="s">
        <v>26</v>
      </c>
      <c r="C140" s="6" t="s">
        <v>12</v>
      </c>
      <c r="D140" s="7" t="s">
        <v>123</v>
      </c>
      <c r="E140" s="8" t="s">
        <v>550</v>
      </c>
      <c r="F140" s="6" t="s">
        <v>551</v>
      </c>
      <c r="G140" s="9">
        <f>IF(A140=1,"_",IF(C140="_","???",C140))</f>
        <v/>
      </c>
      <c r="H140" s="10" t="s">
        <v>12</v>
      </c>
      <c r="I140" s="11" t="s">
        <v>12</v>
      </c>
      <c r="J140" s="12"/>
    </row>
    <row r="141" spans="1:10" ht="60" customHeight="1">
      <c r="A141" s="6" t="s">
        <v>552</v>
      </c>
      <c r="B141" s="6" t="s">
        <v>11</v>
      </c>
      <c r="C141" s="6" t="s">
        <v>264</v>
      </c>
      <c r="D141" s="7" t="s">
        <v>553</v>
      </c>
      <c r="E141" s="8" t="s">
        <v>554</v>
      </c>
      <c r="F141" s="6" t="s">
        <v>555</v>
      </c>
      <c r="G141" s="9">
        <f>IF(A141=1,"_",IF(C141="_","???",C141))</f>
        <v/>
      </c>
      <c r="H141" s="10" t="s">
        <v>12</v>
      </c>
      <c r="I141" s="11" t="s">
        <v>12</v>
      </c>
      <c r="J141" s="12"/>
    </row>
    <row r="142" spans="1:10" ht="60" customHeight="1">
      <c r="A142" s="6" t="s">
        <v>556</v>
      </c>
      <c r="B142" s="6" t="s">
        <v>11</v>
      </c>
      <c r="C142" s="6" t="s">
        <v>557</v>
      </c>
      <c r="D142" s="7" t="s">
        <v>558</v>
      </c>
      <c r="E142" s="8" t="s">
        <v>559</v>
      </c>
      <c r="F142" s="6" t="s">
        <v>560</v>
      </c>
      <c r="G142" s="9">
        <f>IF(A142=1,"_",IF(C142="_","???",C142))</f>
        <v/>
      </c>
      <c r="H142" s="10" t="s">
        <v>12</v>
      </c>
      <c r="I142" s="11" t="s">
        <v>12</v>
      </c>
      <c r="J142" s="12"/>
    </row>
    <row r="143" spans="1:10" ht="60" customHeight="1">
      <c r="A143" s="6" t="s">
        <v>561</v>
      </c>
      <c r="B143" s="6" t="s">
        <v>11</v>
      </c>
      <c r="C143" s="6" t="s">
        <v>264</v>
      </c>
      <c r="D143" s="7" t="s">
        <v>18</v>
      </c>
      <c r="E143" s="8" t="s">
        <v>562</v>
      </c>
      <c r="F143" s="6" t="s">
        <v>563</v>
      </c>
      <c r="G143" s="9">
        <f>IF(A143=1,"_",IF(C143="_","???",C143))</f>
        <v/>
      </c>
      <c r="H143" s="10" t="s">
        <v>12</v>
      </c>
      <c r="I143" s="11" t="s">
        <v>12</v>
      </c>
      <c r="J143" s="12"/>
    </row>
    <row r="144" spans="1:10" ht="60" customHeight="1">
      <c r="A144" s="6" t="s">
        <v>564</v>
      </c>
      <c r="B144" s="6" t="s">
        <v>21</v>
      </c>
      <c r="C144" s="6" t="s">
        <v>264</v>
      </c>
      <c r="D144" s="7" t="s">
        <v>565</v>
      </c>
      <c r="E144" s="8" t="s">
        <v>566</v>
      </c>
      <c r="F144" s="6" t="s">
        <v>567</v>
      </c>
      <c r="G144" s="9">
        <f>IF(A144=1,"_",IF(C144="_","???",C144))</f>
        <v/>
      </c>
      <c r="H144" s="10" t="s">
        <v>12</v>
      </c>
      <c r="I144" s="11" t="s">
        <v>12</v>
      </c>
      <c r="J144" s="12"/>
    </row>
    <row r="145" spans="1:10" ht="60" customHeight="1">
      <c r="A145" s="6" t="s">
        <v>568</v>
      </c>
      <c r="B145" s="6" t="s">
        <v>11</v>
      </c>
      <c r="C145" s="6" t="s">
        <v>12</v>
      </c>
      <c r="D145" s="7" t="s">
        <v>32</v>
      </c>
      <c r="E145" s="8" t="s">
        <v>569</v>
      </c>
      <c r="F145" s="6" t="s">
        <v>570</v>
      </c>
      <c r="G145" s="9">
        <f>IF(A145=1,"_",IF(C145="_","???",C145))</f>
        <v/>
      </c>
      <c r="H145" s="10" t="s">
        <v>12</v>
      </c>
      <c r="I145" s="11" t="s">
        <v>12</v>
      </c>
      <c r="J145" s="12"/>
    </row>
    <row r="146" spans="1:10" ht="60" customHeight="1">
      <c r="A146" s="6" t="s">
        <v>571</v>
      </c>
      <c r="B146" s="6" t="s">
        <v>11</v>
      </c>
      <c r="C146" s="6" t="s">
        <v>150</v>
      </c>
      <c r="D146" s="7" t="s">
        <v>572</v>
      </c>
      <c r="E146" s="8" t="s">
        <v>573</v>
      </c>
      <c r="F146" s="6" t="s">
        <v>574</v>
      </c>
      <c r="G146" s="9">
        <f>IF(A146=1,"_",IF(C146="_","???",C146))</f>
        <v/>
      </c>
      <c r="H146" s="10" t="s">
        <v>12</v>
      </c>
      <c r="I146" s="11" t="s">
        <v>12</v>
      </c>
      <c r="J146" s="12"/>
    </row>
    <row r="147" spans="1:10" ht="60" customHeight="1">
      <c r="A147" s="6" t="s">
        <v>575</v>
      </c>
      <c r="B147" s="6" t="s">
        <v>11</v>
      </c>
      <c r="C147" s="6" t="s">
        <v>12</v>
      </c>
      <c r="D147" s="7" t="s">
        <v>322</v>
      </c>
      <c r="E147" s="8" t="s">
        <v>576</v>
      </c>
      <c r="F147" s="6" t="s">
        <v>577</v>
      </c>
      <c r="G147" s="9">
        <f>IF(A147=1,"_",IF(C147="_","???",C147))</f>
        <v/>
      </c>
      <c r="H147" s="10" t="s">
        <v>12</v>
      </c>
      <c r="I147" s="11" t="s">
        <v>12</v>
      </c>
      <c r="J147" s="12"/>
    </row>
    <row r="148" spans="1:10" ht="60" customHeight="1">
      <c r="A148" s="6" t="s">
        <v>578</v>
      </c>
      <c r="B148" s="6" t="s">
        <v>80</v>
      </c>
      <c r="C148" s="6" t="s">
        <v>17</v>
      </c>
      <c r="D148" s="7" t="s">
        <v>32</v>
      </c>
      <c r="E148" s="8" t="s">
        <v>579</v>
      </c>
      <c r="F148" s="6" t="s">
        <v>580</v>
      </c>
      <c r="G148" s="9">
        <f>IF(A148=1,"_",IF(C148="_","???",C148))</f>
        <v/>
      </c>
      <c r="H148" s="10" t="s">
        <v>12</v>
      </c>
      <c r="I148" s="11" t="s">
        <v>12</v>
      </c>
      <c r="J148" s="12"/>
    </row>
    <row r="149" spans="1:10" ht="60" customHeight="1">
      <c r="A149" s="6" t="s">
        <v>581</v>
      </c>
      <c r="B149" s="6" t="s">
        <v>30</v>
      </c>
      <c r="C149" s="6" t="s">
        <v>582</v>
      </c>
      <c r="D149" s="7" t="s">
        <v>583</v>
      </c>
      <c r="E149" s="8" t="s">
        <v>584</v>
      </c>
      <c r="F149" s="6" t="s">
        <v>585</v>
      </c>
      <c r="G149" s="9">
        <f>IF(A149=1,"_",IF(C149="_","???",C149))</f>
        <v/>
      </c>
      <c r="H149" s="10" t="s">
        <v>12</v>
      </c>
      <c r="I149" s="11" t="s">
        <v>12</v>
      </c>
      <c r="J149" s="12"/>
    </row>
    <row r="150" spans="1:10" ht="60" customHeight="1">
      <c r="A150" s="6" t="s">
        <v>586</v>
      </c>
      <c r="B150" s="6" t="s">
        <v>10</v>
      </c>
      <c r="C150" s="6" t="s">
        <v>12</v>
      </c>
      <c r="D150" s="7" t="s">
        <v>587</v>
      </c>
      <c r="E150" s="8" t="s">
        <v>588</v>
      </c>
      <c r="F150" s="6" t="s">
        <v>589</v>
      </c>
      <c r="G150" s="9">
        <f>IF(A150=1,"_",IF(C150="_","???",C150))</f>
        <v/>
      </c>
      <c r="H150" s="10" t="s">
        <v>12</v>
      </c>
      <c r="I150" s="11" t="s">
        <v>12</v>
      </c>
      <c r="J150" s="12"/>
    </row>
    <row r="151" spans="1:10" ht="60" customHeight="1">
      <c r="A151" s="6" t="s">
        <v>590</v>
      </c>
      <c r="B151" s="6" t="s">
        <v>16</v>
      </c>
      <c r="C151" s="6" t="s">
        <v>12</v>
      </c>
      <c r="D151" s="7" t="s">
        <v>83</v>
      </c>
      <c r="E151" s="8" t="s">
        <v>591</v>
      </c>
      <c r="F151" s="6" t="s">
        <v>592</v>
      </c>
      <c r="G151" s="9">
        <f>IF(A151=1,"_",IF(C151="_","???",C151))</f>
        <v/>
      </c>
      <c r="H151" s="10" t="s">
        <v>12</v>
      </c>
      <c r="I151" s="11" t="s">
        <v>12</v>
      </c>
      <c r="J151" s="12"/>
    </row>
    <row r="152" spans="1:10" ht="60" customHeight="1">
      <c r="A152" s="6" t="s">
        <v>593</v>
      </c>
      <c r="B152" s="6" t="s">
        <v>10</v>
      </c>
      <c r="C152" s="6" t="s">
        <v>397</v>
      </c>
      <c r="D152" s="7" t="s">
        <v>594</v>
      </c>
      <c r="E152" s="8" t="s">
        <v>595</v>
      </c>
      <c r="F152" s="6" t="s">
        <v>596</v>
      </c>
      <c r="G152" s="9">
        <f>IF(A152=1,"_",IF(C152="_","???",C152))</f>
        <v/>
      </c>
      <c r="H152" s="10" t="s">
        <v>12</v>
      </c>
      <c r="I152" s="11" t="s">
        <v>12</v>
      </c>
      <c r="J152" s="12"/>
    </row>
    <row r="153" spans="1:10" ht="60" customHeight="1">
      <c r="A153" s="6" t="s">
        <v>597</v>
      </c>
      <c r="B153" s="6" t="s">
        <v>35</v>
      </c>
      <c r="C153" s="6" t="s">
        <v>49</v>
      </c>
      <c r="D153" s="7" t="s">
        <v>598</v>
      </c>
      <c r="E153" s="8" t="s">
        <v>599</v>
      </c>
      <c r="F153" s="6" t="s">
        <v>600</v>
      </c>
      <c r="G153" s="9">
        <f>IF(A153=1,"_",IF(C153="_","???",C153))</f>
        <v/>
      </c>
      <c r="H153" s="10" t="s">
        <v>12</v>
      </c>
      <c r="I153" s="11" t="s">
        <v>12</v>
      </c>
      <c r="J153" s="12"/>
    </row>
    <row r="154" spans="1:10" ht="60" customHeight="1">
      <c r="A154" s="6" t="s">
        <v>601</v>
      </c>
      <c r="B154" s="6" t="s">
        <v>11</v>
      </c>
      <c r="C154" s="6" t="s">
        <v>12</v>
      </c>
      <c r="D154" s="7" t="s">
        <v>23</v>
      </c>
      <c r="E154" s="8" t="s">
        <v>602</v>
      </c>
      <c r="F154" s="6" t="s">
        <v>603</v>
      </c>
      <c r="G154" s="9">
        <f>IF(A154=1,"_",IF(C154="_","???",C154))</f>
        <v/>
      </c>
      <c r="H154" s="10" t="s">
        <v>12</v>
      </c>
      <c r="I154" s="11" t="s">
        <v>12</v>
      </c>
      <c r="J154" s="12"/>
    </row>
    <row r="155" spans="1:10" ht="60" customHeight="1">
      <c r="A155" s="6" t="s">
        <v>604</v>
      </c>
      <c r="B155" s="6" t="s">
        <v>35</v>
      </c>
      <c r="C155" s="6" t="s">
        <v>582</v>
      </c>
      <c r="D155" s="7" t="s">
        <v>605</v>
      </c>
      <c r="E155" s="8" t="s">
        <v>606</v>
      </c>
      <c r="F155" s="6" t="s">
        <v>607</v>
      </c>
      <c r="G155" s="9">
        <f>IF(A155=1,"_",IF(C155="_","???",C155))</f>
        <v/>
      </c>
      <c r="H155" s="10" t="s">
        <v>12</v>
      </c>
      <c r="I155" s="11" t="s">
        <v>12</v>
      </c>
      <c r="J155" s="12"/>
    </row>
    <row r="156" spans="1:10" ht="60" customHeight="1">
      <c r="A156" s="6" t="s">
        <v>608</v>
      </c>
      <c r="B156" s="6" t="s">
        <v>10</v>
      </c>
      <c r="C156" s="6" t="s">
        <v>12</v>
      </c>
      <c r="D156" s="7" t="s">
        <v>609</v>
      </c>
      <c r="E156" s="8" t="s">
        <v>610</v>
      </c>
      <c r="F156" s="6" t="s">
        <v>611</v>
      </c>
      <c r="G156" s="9">
        <f>IF(A156=1,"_",IF(C156="_","???",C156))</f>
        <v/>
      </c>
      <c r="H156" s="10" t="s">
        <v>12</v>
      </c>
      <c r="I156" s="11" t="s">
        <v>12</v>
      </c>
      <c r="J156" s="12"/>
    </row>
    <row r="157" spans="1:10" ht="60" customHeight="1">
      <c r="A157" s="6" t="s">
        <v>612</v>
      </c>
      <c r="B157" s="6" t="s">
        <v>81</v>
      </c>
      <c r="C157" s="6" t="s">
        <v>49</v>
      </c>
      <c r="D157" s="7" t="s">
        <v>32</v>
      </c>
      <c r="E157" s="8" t="s">
        <v>613</v>
      </c>
      <c r="F157" s="6" t="s">
        <v>614</v>
      </c>
      <c r="G157" s="9">
        <f>IF(A157=1,"_",IF(C157="_","???",C157))</f>
        <v/>
      </c>
      <c r="H157" s="10" t="s">
        <v>12</v>
      </c>
      <c r="I157" s="11" t="s">
        <v>12</v>
      </c>
      <c r="J157" s="12"/>
    </row>
    <row r="158" spans="1:10" ht="60" customHeight="1">
      <c r="A158" s="6" t="s">
        <v>615</v>
      </c>
      <c r="B158" s="6" t="s">
        <v>35</v>
      </c>
      <c r="C158" s="6" t="s">
        <v>12</v>
      </c>
      <c r="D158" s="7" t="s">
        <v>110</v>
      </c>
      <c r="E158" s="8" t="s">
        <v>616</v>
      </c>
      <c r="F158" s="6" t="s">
        <v>617</v>
      </c>
      <c r="G158" s="9">
        <f>IF(A158=1,"_",IF(C158="_","???",C158))</f>
        <v/>
      </c>
      <c r="H158" s="10" t="s">
        <v>12</v>
      </c>
      <c r="I158" s="11" t="s">
        <v>12</v>
      </c>
      <c r="J158" s="12"/>
    </row>
    <row r="159" spans="1:10" ht="60" customHeight="1">
      <c r="A159" s="6" t="s">
        <v>618</v>
      </c>
      <c r="B159" s="6" t="s">
        <v>11</v>
      </c>
      <c r="C159" s="6" t="s">
        <v>12</v>
      </c>
      <c r="D159" s="7" t="s">
        <v>23</v>
      </c>
      <c r="E159" s="8" t="s">
        <v>619</v>
      </c>
      <c r="F159" s="6" t="s">
        <v>620</v>
      </c>
      <c r="G159" s="9">
        <f>IF(A159=1,"_",IF(C159="_","???",C159))</f>
        <v/>
      </c>
      <c r="H159" s="10" t="s">
        <v>12</v>
      </c>
      <c r="I159" s="11" t="s">
        <v>12</v>
      </c>
      <c r="J159" s="12"/>
    </row>
    <row r="160" spans="1:10" ht="60" customHeight="1">
      <c r="A160" s="6" t="s">
        <v>621</v>
      </c>
      <c r="B160" s="6" t="s">
        <v>11</v>
      </c>
      <c r="C160" s="6" t="s">
        <v>49</v>
      </c>
      <c r="D160" s="7" t="s">
        <v>622</v>
      </c>
      <c r="E160" s="8" t="s">
        <v>623</v>
      </c>
      <c r="F160" s="6" t="s">
        <v>624</v>
      </c>
      <c r="G160" s="9">
        <f>IF(A160=1,"_",IF(C160="_","???",C160))</f>
        <v/>
      </c>
      <c r="H160" s="10" t="s">
        <v>12</v>
      </c>
      <c r="I160" s="11" t="s">
        <v>12</v>
      </c>
      <c r="J160" s="12"/>
    </row>
    <row r="161" spans="1:10" ht="60" customHeight="1">
      <c r="A161" s="6" t="s">
        <v>625</v>
      </c>
      <c r="B161" s="6" t="s">
        <v>26</v>
      </c>
      <c r="C161" s="6" t="s">
        <v>150</v>
      </c>
      <c r="D161" s="7" t="s">
        <v>626</v>
      </c>
      <c r="E161" s="8" t="s">
        <v>627</v>
      </c>
      <c r="F161" s="6" t="s">
        <v>628</v>
      </c>
      <c r="G161" s="9">
        <f>IF(A161=1,"_",IF(C161="_","???",C161))</f>
        <v/>
      </c>
      <c r="H161" s="10" t="s">
        <v>12</v>
      </c>
      <c r="I161" s="11" t="s">
        <v>12</v>
      </c>
      <c r="J161" s="12"/>
    </row>
    <row r="162" spans="1:10" ht="60" customHeight="1">
      <c r="A162" s="6" t="s">
        <v>629</v>
      </c>
      <c r="B162" s="6" t="s">
        <v>41</v>
      </c>
      <c r="C162" s="6" t="s">
        <v>582</v>
      </c>
      <c r="D162" s="7" t="s">
        <v>83</v>
      </c>
      <c r="E162" s="8" t="s">
        <v>630</v>
      </c>
      <c r="F162" s="6" t="s">
        <v>631</v>
      </c>
      <c r="G162" s="9">
        <f>IF(A162=1,"_",IF(C162="_","???",C162))</f>
        <v/>
      </c>
      <c r="H162" s="10" t="s">
        <v>12</v>
      </c>
      <c r="I162" s="11" t="s">
        <v>12</v>
      </c>
      <c r="J162" s="12"/>
    </row>
    <row r="163" spans="1:10" ht="60" customHeight="1">
      <c r="A163" s="6" t="s">
        <v>632</v>
      </c>
      <c r="B163" s="6" t="s">
        <v>11</v>
      </c>
      <c r="C163" s="6" t="s">
        <v>12</v>
      </c>
      <c r="D163" s="7" t="s">
        <v>83</v>
      </c>
      <c r="E163" s="8" t="s">
        <v>633</v>
      </c>
      <c r="F163" s="6" t="s">
        <v>634</v>
      </c>
      <c r="G163" s="9">
        <f>IF(A163=1,"_",IF(C163="_","???",C163))</f>
        <v/>
      </c>
      <c r="H163" s="10" t="s">
        <v>12</v>
      </c>
      <c r="I163" s="11" t="s">
        <v>12</v>
      </c>
      <c r="J163" s="12"/>
    </row>
    <row r="164" spans="1:10" ht="60" customHeight="1">
      <c r="A164" s="6" t="s">
        <v>635</v>
      </c>
      <c r="B164" s="6" t="s">
        <v>16</v>
      </c>
      <c r="C164" s="6" t="s">
        <v>17</v>
      </c>
      <c r="D164" s="7" t="s">
        <v>636</v>
      </c>
      <c r="E164" s="8" t="s">
        <v>637</v>
      </c>
      <c r="F164" s="6" t="s">
        <v>638</v>
      </c>
      <c r="G164" s="9">
        <f>IF(A164=1,"_",IF(C164="_","???",C164))</f>
        <v/>
      </c>
      <c r="H164" s="10" t="s">
        <v>12</v>
      </c>
      <c r="I164" s="11" t="s">
        <v>12</v>
      </c>
      <c r="J164" s="12"/>
    </row>
    <row r="165" spans="1:10" ht="60" customHeight="1">
      <c r="A165" s="6" t="s">
        <v>639</v>
      </c>
      <c r="B165" s="6" t="s">
        <v>134</v>
      </c>
      <c r="C165" s="6" t="s">
        <v>174</v>
      </c>
      <c r="D165" s="7" t="s">
        <v>23</v>
      </c>
      <c r="E165" s="8" t="s">
        <v>640</v>
      </c>
      <c r="F165" s="6" t="s">
        <v>641</v>
      </c>
      <c r="G165" s="9">
        <f>IF(A165=1,"_",IF(C165="_","???",C165))</f>
        <v/>
      </c>
      <c r="H165" s="10" t="s">
        <v>12</v>
      </c>
      <c r="I165" s="11" t="s">
        <v>12</v>
      </c>
      <c r="J165" s="12"/>
    </row>
    <row r="166" spans="1:10" ht="60" customHeight="1">
      <c r="A166" s="6" t="s">
        <v>642</v>
      </c>
      <c r="B166" s="6" t="s">
        <v>30</v>
      </c>
      <c r="C166" s="6" t="s">
        <v>17</v>
      </c>
      <c r="D166" s="7" t="s">
        <v>170</v>
      </c>
      <c r="E166" s="8" t="s">
        <v>643</v>
      </c>
      <c r="F166" s="6" t="s">
        <v>644</v>
      </c>
      <c r="G166" s="9">
        <f>IF(A166=1,"_",IF(C166="_","???",C166))</f>
        <v/>
      </c>
      <c r="H166" s="10" t="s">
        <v>12</v>
      </c>
      <c r="I166" s="11" t="s">
        <v>12</v>
      </c>
      <c r="J166" s="12"/>
    </row>
    <row r="167" spans="1:10" ht="60" customHeight="1">
      <c r="A167" s="6" t="s">
        <v>645</v>
      </c>
      <c r="B167" s="6" t="s">
        <v>21</v>
      </c>
      <c r="C167" s="6" t="s">
        <v>42</v>
      </c>
      <c r="D167" s="7" t="s">
        <v>646</v>
      </c>
      <c r="E167" s="8" t="s">
        <v>647</v>
      </c>
      <c r="F167" s="6" t="s">
        <v>648</v>
      </c>
      <c r="G167" s="9">
        <f>IF(A167=1,"_",IF(C167="_","???",C167))</f>
        <v/>
      </c>
      <c r="H167" s="10" t="s">
        <v>12</v>
      </c>
      <c r="I167" s="11" t="s">
        <v>12</v>
      </c>
      <c r="J167" s="12"/>
    </row>
    <row r="168" spans="1:10" ht="60" customHeight="1">
      <c r="A168" s="6" t="s">
        <v>649</v>
      </c>
      <c r="B168" s="6" t="s">
        <v>11</v>
      </c>
      <c r="C168" s="6" t="s">
        <v>17</v>
      </c>
      <c r="D168" s="7" t="s">
        <v>650</v>
      </c>
      <c r="E168" s="8" t="s">
        <v>651</v>
      </c>
      <c r="F168" s="6" t="s">
        <v>652</v>
      </c>
      <c r="G168" s="9">
        <f>IF(A168=1,"_",IF(C168="_","???",C168))</f>
        <v/>
      </c>
      <c r="H168" s="10" t="s">
        <v>12</v>
      </c>
      <c r="I168" s="11" t="s">
        <v>12</v>
      </c>
      <c r="J168" s="12"/>
    </row>
    <row r="169" spans="1:10" ht="60" customHeight="1">
      <c r="A169" s="6" t="s">
        <v>653</v>
      </c>
      <c r="B169" s="6" t="s">
        <v>11</v>
      </c>
      <c r="C169" s="6" t="s">
        <v>17</v>
      </c>
      <c r="D169" s="7" t="s">
        <v>654</v>
      </c>
      <c r="E169" s="8" t="s">
        <v>655</v>
      </c>
      <c r="F169" s="6" t="s">
        <v>656</v>
      </c>
      <c r="G169" s="9">
        <f>IF(A169=1,"_",IF(C169="_","???",C169))</f>
        <v/>
      </c>
      <c r="H169" s="10" t="s">
        <v>12</v>
      </c>
      <c r="I169" s="11" t="s">
        <v>12</v>
      </c>
      <c r="J169" s="12"/>
    </row>
    <row r="170" spans="1:10" ht="60" customHeight="1">
      <c r="A170" s="6" t="s">
        <v>657</v>
      </c>
      <c r="B170" s="6" t="s">
        <v>26</v>
      </c>
      <c r="C170" s="6" t="s">
        <v>264</v>
      </c>
      <c r="D170" s="7" t="s">
        <v>83</v>
      </c>
      <c r="E170" s="8" t="s">
        <v>658</v>
      </c>
      <c r="F170" s="6" t="s">
        <v>659</v>
      </c>
      <c r="G170" s="9">
        <f>IF(A170=1,"_",IF(C170="_","???",C170))</f>
        <v/>
      </c>
      <c r="H170" s="10" t="s">
        <v>12</v>
      </c>
      <c r="I170" s="11" t="s">
        <v>12</v>
      </c>
      <c r="J170" s="12"/>
    </row>
    <row r="171" spans="1:10" ht="60" customHeight="1">
      <c r="A171" s="6" t="s">
        <v>660</v>
      </c>
      <c r="B171" s="6" t="s">
        <v>16</v>
      </c>
      <c r="C171" s="6" t="s">
        <v>114</v>
      </c>
      <c r="D171" s="7" t="s">
        <v>427</v>
      </c>
      <c r="E171" s="8" t="s">
        <v>661</v>
      </c>
      <c r="F171" s="6" t="s">
        <v>662</v>
      </c>
      <c r="G171" s="9">
        <f>IF(A171=1,"_",IF(C171="_","???",C171))</f>
        <v/>
      </c>
      <c r="H171" s="10" t="s">
        <v>12</v>
      </c>
      <c r="I171" s="11" t="s">
        <v>12</v>
      </c>
      <c r="J171" s="12"/>
    </row>
    <row r="172" spans="1:10" ht="60" customHeight="1">
      <c r="A172" s="6" t="s">
        <v>663</v>
      </c>
      <c r="B172" s="6" t="s">
        <v>11</v>
      </c>
      <c r="C172" s="6" t="s">
        <v>12</v>
      </c>
      <c r="D172" s="7" t="s">
        <v>664</v>
      </c>
      <c r="E172" s="8" t="s">
        <v>665</v>
      </c>
      <c r="F172" s="6" t="s">
        <v>666</v>
      </c>
      <c r="G172" s="9">
        <f>IF(A172=1,"_",IF(C172="_","???",C172))</f>
        <v/>
      </c>
      <c r="H172" s="10" t="s">
        <v>12</v>
      </c>
      <c r="I172" s="11" t="s">
        <v>12</v>
      </c>
      <c r="J172" s="12"/>
    </row>
    <row r="173" spans="1:10" ht="60" customHeight="1">
      <c r="A173" s="6" t="s">
        <v>667</v>
      </c>
      <c r="B173" s="6" t="s">
        <v>243</v>
      </c>
      <c r="C173" s="6" t="s">
        <v>99</v>
      </c>
      <c r="D173" s="7" t="s">
        <v>668</v>
      </c>
      <c r="E173" s="8" t="s">
        <v>669</v>
      </c>
      <c r="F173" s="6" t="s">
        <v>670</v>
      </c>
      <c r="G173" s="9">
        <f>IF(A173=1,"_",IF(C173="_","???",C173))</f>
        <v/>
      </c>
      <c r="H173" s="10" t="s">
        <v>12</v>
      </c>
      <c r="I173" s="11" t="s">
        <v>12</v>
      </c>
      <c r="J173" s="12"/>
    </row>
    <row r="174" spans="1:10" ht="60" customHeight="1">
      <c r="A174" s="6" t="s">
        <v>671</v>
      </c>
      <c r="B174" s="6" t="s">
        <v>11</v>
      </c>
      <c r="C174" s="6" t="s">
        <v>12</v>
      </c>
      <c r="D174" s="7" t="s">
        <v>60</v>
      </c>
      <c r="E174" s="8" t="s">
        <v>672</v>
      </c>
      <c r="F174" s="6" t="s">
        <v>673</v>
      </c>
      <c r="G174" s="9">
        <f>IF(A174=1,"_",IF(C174="_","???",C174))</f>
        <v/>
      </c>
      <c r="H174" s="10" t="s">
        <v>12</v>
      </c>
      <c r="I174" s="11" t="s">
        <v>12</v>
      </c>
      <c r="J174" s="12"/>
    </row>
    <row r="175" spans="1:10" ht="60" customHeight="1">
      <c r="A175" s="6" t="s">
        <v>674</v>
      </c>
      <c r="B175" s="6" t="s">
        <v>35</v>
      </c>
      <c r="C175" s="6" t="s">
        <v>99</v>
      </c>
      <c r="D175" s="7" t="s">
        <v>675</v>
      </c>
      <c r="E175" s="8" t="s">
        <v>676</v>
      </c>
      <c r="F175" s="6" t="s">
        <v>677</v>
      </c>
      <c r="G175" s="9">
        <f>IF(A175=1,"_",IF(C175="_","???",C175))</f>
        <v/>
      </c>
      <c r="H175" s="10" t="s">
        <v>12</v>
      </c>
      <c r="I175" s="11" t="s">
        <v>12</v>
      </c>
      <c r="J175" s="12"/>
    </row>
    <row r="176" spans="1:10" ht="60" customHeight="1">
      <c r="A176" s="6" t="s">
        <v>678</v>
      </c>
      <c r="B176" s="6" t="s">
        <v>21</v>
      </c>
      <c r="C176" s="6" t="s">
        <v>150</v>
      </c>
      <c r="D176" s="7" t="s">
        <v>158</v>
      </c>
      <c r="E176" s="8" t="s">
        <v>679</v>
      </c>
      <c r="F176" s="6" t="s">
        <v>680</v>
      </c>
      <c r="G176" s="9">
        <f>IF(A176=1,"_",IF(C176="_","???",C176))</f>
        <v/>
      </c>
      <c r="H176" s="10" t="s">
        <v>12</v>
      </c>
      <c r="I176" s="11" t="s">
        <v>12</v>
      </c>
      <c r="J176" s="12"/>
    </row>
    <row r="177" spans="1:10" ht="60" customHeight="1">
      <c r="A177" s="6" t="s">
        <v>681</v>
      </c>
      <c r="B177" s="6" t="s">
        <v>16</v>
      </c>
      <c r="C177" s="6" t="s">
        <v>682</v>
      </c>
      <c r="D177" s="7" t="s">
        <v>158</v>
      </c>
      <c r="E177" s="8" t="s">
        <v>683</v>
      </c>
      <c r="F177" s="6" t="s">
        <v>684</v>
      </c>
      <c r="G177" s="9">
        <f>IF(A177=1,"_",IF(C177="_","???",C177))</f>
        <v/>
      </c>
      <c r="H177" s="10" t="s">
        <v>12</v>
      </c>
      <c r="I177" s="11" t="s">
        <v>12</v>
      </c>
      <c r="J177" s="12"/>
    </row>
    <row r="178" spans="1:10" ht="60" customHeight="1">
      <c r="A178" s="6" t="s">
        <v>685</v>
      </c>
      <c r="B178" s="6" t="s">
        <v>11</v>
      </c>
      <c r="C178" s="6" t="s">
        <v>12</v>
      </c>
      <c r="D178" s="7" t="s">
        <v>170</v>
      </c>
      <c r="E178" s="8" t="s">
        <v>686</v>
      </c>
      <c r="F178" s="6" t="s">
        <v>687</v>
      </c>
      <c r="G178" s="9">
        <f>IF(A178=1,"_",IF(C178="_","???",C178))</f>
        <v/>
      </c>
      <c r="H178" s="10" t="s">
        <v>12</v>
      </c>
      <c r="I178" s="11" t="s">
        <v>12</v>
      </c>
      <c r="J178" s="12"/>
    </row>
    <row r="179" spans="1:10" ht="60" customHeight="1">
      <c r="A179" s="6" t="s">
        <v>688</v>
      </c>
      <c r="B179" s="6" t="s">
        <v>63</v>
      </c>
      <c r="C179" s="6" t="s">
        <v>689</v>
      </c>
      <c r="D179" s="7" t="s">
        <v>83</v>
      </c>
      <c r="E179" s="8" t="s">
        <v>690</v>
      </c>
      <c r="F179" s="6" t="s">
        <v>691</v>
      </c>
      <c r="G179" s="9">
        <f>IF(A179=1,"_",IF(C179="_","???",C179))</f>
        <v/>
      </c>
      <c r="H179" s="10" t="s">
        <v>12</v>
      </c>
      <c r="I179" s="11" t="s">
        <v>12</v>
      </c>
      <c r="J179" s="12"/>
    </row>
    <row r="180" spans="1:10" ht="60" customHeight="1">
      <c r="A180" s="6" t="s">
        <v>692</v>
      </c>
      <c r="B180" s="6" t="s">
        <v>11</v>
      </c>
      <c r="C180" s="6" t="s">
        <v>17</v>
      </c>
      <c r="D180" s="7" t="s">
        <v>83</v>
      </c>
      <c r="E180" s="8" t="s">
        <v>693</v>
      </c>
      <c r="F180" s="6" t="s">
        <v>694</v>
      </c>
      <c r="G180" s="9">
        <f>IF(A180=1,"_",IF(C180="_","???",C180))</f>
        <v/>
      </c>
      <c r="H180" s="10" t="s">
        <v>12</v>
      </c>
      <c r="I180" s="11" t="s">
        <v>12</v>
      </c>
      <c r="J180" s="12"/>
    </row>
    <row r="181" spans="1:10" ht="60" customHeight="1">
      <c r="A181" s="6" t="s">
        <v>695</v>
      </c>
      <c r="B181" s="6" t="s">
        <v>11</v>
      </c>
      <c r="C181" s="6" t="s">
        <v>49</v>
      </c>
      <c r="D181" s="7" t="s">
        <v>346</v>
      </c>
      <c r="E181" s="8" t="s">
        <v>696</v>
      </c>
      <c r="F181" s="6" t="s">
        <v>697</v>
      </c>
      <c r="G181" s="9">
        <f>IF(A181=1,"_",IF(C181="_","???",C181))</f>
        <v/>
      </c>
      <c r="H181" s="10" t="s">
        <v>12</v>
      </c>
      <c r="I181" s="11" t="s">
        <v>12</v>
      </c>
      <c r="J181" s="12"/>
    </row>
    <row r="182" spans="1:10" ht="60" customHeight="1">
      <c r="A182" s="6" t="s">
        <v>698</v>
      </c>
      <c r="B182" s="6" t="s">
        <v>11</v>
      </c>
      <c r="C182" s="6" t="s">
        <v>12</v>
      </c>
      <c r="D182" s="7" t="s">
        <v>83</v>
      </c>
      <c r="E182" s="8" t="s">
        <v>699</v>
      </c>
      <c r="F182" s="6" t="s">
        <v>700</v>
      </c>
      <c r="G182" s="9">
        <f>IF(A182=1,"_",IF(C182="_","???",C182))</f>
        <v/>
      </c>
      <c r="H182" s="10" t="s">
        <v>12</v>
      </c>
      <c r="I182" s="11" t="s">
        <v>12</v>
      </c>
      <c r="J182" s="12"/>
    </row>
    <row r="183" spans="1:10" ht="60" customHeight="1">
      <c r="A183" s="6" t="s">
        <v>701</v>
      </c>
      <c r="B183" s="6" t="s">
        <v>11</v>
      </c>
      <c r="C183" s="6" t="s">
        <v>12</v>
      </c>
      <c r="D183" s="7" t="s">
        <v>346</v>
      </c>
      <c r="E183" s="8" t="s">
        <v>702</v>
      </c>
      <c r="F183" s="6" t="s">
        <v>703</v>
      </c>
      <c r="G183" s="9">
        <f>IF(A183=1,"_",IF(C183="_","???",C183))</f>
        <v/>
      </c>
      <c r="H183" s="10" t="s">
        <v>12</v>
      </c>
      <c r="I183" s="11" t="s">
        <v>12</v>
      </c>
      <c r="J183" s="12"/>
    </row>
    <row r="184" spans="1:10" ht="60" customHeight="1">
      <c r="A184" s="6" t="s">
        <v>704</v>
      </c>
      <c r="B184" s="6" t="s">
        <v>11</v>
      </c>
      <c r="C184" s="6" t="s">
        <v>174</v>
      </c>
      <c r="D184" s="7" t="s">
        <v>705</v>
      </c>
      <c r="E184" s="8" t="s">
        <v>706</v>
      </c>
      <c r="F184" s="6" t="s">
        <v>707</v>
      </c>
      <c r="G184" s="9">
        <f>IF(A184=1,"_",IF(C184="_","???",C184))</f>
        <v/>
      </c>
      <c r="H184" s="10" t="s">
        <v>12</v>
      </c>
      <c r="I184" s="11" t="s">
        <v>12</v>
      </c>
      <c r="J184" s="12"/>
    </row>
    <row r="185" spans="1:10" ht="60" customHeight="1">
      <c r="A185" s="6" t="s">
        <v>708</v>
      </c>
      <c r="B185" s="6" t="s">
        <v>10</v>
      </c>
      <c r="C185" s="6" t="s">
        <v>12</v>
      </c>
      <c r="D185" s="7" t="s">
        <v>709</v>
      </c>
      <c r="E185" s="8" t="s">
        <v>710</v>
      </c>
      <c r="F185" s="6" t="s">
        <v>711</v>
      </c>
      <c r="G185" s="9">
        <f>IF(A185=1,"_",IF(C185="_","???",C185))</f>
        <v/>
      </c>
      <c r="H185" s="10" t="s">
        <v>12</v>
      </c>
      <c r="I185" s="11" t="s">
        <v>12</v>
      </c>
      <c r="J185" s="12"/>
    </row>
    <row r="186" spans="1:10" ht="60" customHeight="1">
      <c r="A186" s="6" t="s">
        <v>712</v>
      </c>
      <c r="B186" s="6" t="s">
        <v>11</v>
      </c>
      <c r="C186" s="6" t="s">
        <v>12</v>
      </c>
      <c r="D186" s="7" t="s">
        <v>713</v>
      </c>
      <c r="E186" s="8" t="s">
        <v>714</v>
      </c>
      <c r="F186" s="6" t="s">
        <v>715</v>
      </c>
      <c r="G186" s="9">
        <f>IF(A186=1,"_",IF(C186="_","???",C186))</f>
        <v/>
      </c>
      <c r="H186" s="10" t="s">
        <v>12</v>
      </c>
      <c r="I186" s="11" t="s">
        <v>12</v>
      </c>
      <c r="J186" s="12"/>
    </row>
    <row r="187" spans="1:10" ht="60" customHeight="1">
      <c r="A187" s="6" t="s">
        <v>716</v>
      </c>
      <c r="B187" s="6" t="s">
        <v>10</v>
      </c>
      <c r="C187" s="6" t="s">
        <v>12</v>
      </c>
      <c r="D187" s="7" t="s">
        <v>709</v>
      </c>
      <c r="E187" s="8" t="s">
        <v>710</v>
      </c>
      <c r="F187" s="6" t="s">
        <v>717</v>
      </c>
      <c r="G187" s="9">
        <f>IF(A187=1,"_",IF(C187="_","???",C187))</f>
        <v/>
      </c>
      <c r="H187" s="10" t="s">
        <v>12</v>
      </c>
      <c r="I187" s="11" t="s">
        <v>12</v>
      </c>
      <c r="J187" s="12"/>
    </row>
    <row r="188" spans="1:10" ht="60" customHeight="1">
      <c r="A188" s="6" t="s">
        <v>718</v>
      </c>
      <c r="B188" s="6" t="s">
        <v>10</v>
      </c>
      <c r="C188" s="6" t="s">
        <v>12</v>
      </c>
      <c r="D188" s="7" t="s">
        <v>709</v>
      </c>
      <c r="E188" s="8" t="s">
        <v>710</v>
      </c>
      <c r="F188" s="6" t="s">
        <v>719</v>
      </c>
      <c r="G188" s="9">
        <f>IF(A188=1,"_",IF(C188="_","???",C188))</f>
        <v/>
      </c>
      <c r="H188" s="10" t="s">
        <v>12</v>
      </c>
      <c r="I188" s="11" t="s">
        <v>12</v>
      </c>
      <c r="J188" s="12"/>
    </row>
    <row r="189" spans="1:10" ht="60" customHeight="1">
      <c r="A189" s="6" t="s">
        <v>720</v>
      </c>
      <c r="B189" s="6" t="s">
        <v>63</v>
      </c>
      <c r="C189" s="6" t="s">
        <v>12</v>
      </c>
      <c r="D189" s="7" t="s">
        <v>721</v>
      </c>
      <c r="E189" s="8" t="s">
        <v>722</v>
      </c>
      <c r="F189" s="6" t="s">
        <v>723</v>
      </c>
      <c r="G189" s="9">
        <f>IF(A189=1,"_",IF(C189="_","???",C189))</f>
        <v/>
      </c>
      <c r="H189" s="10" t="s">
        <v>12</v>
      </c>
      <c r="I189" s="11" t="s">
        <v>12</v>
      </c>
      <c r="J189" s="12"/>
    </row>
    <row r="190" spans="1:10" ht="60" customHeight="1">
      <c r="A190" s="6" t="s">
        <v>724</v>
      </c>
      <c r="B190" s="6" t="s">
        <v>10</v>
      </c>
      <c r="C190" s="6" t="s">
        <v>49</v>
      </c>
      <c r="D190" s="7" t="s">
        <v>725</v>
      </c>
      <c r="E190" s="8" t="s">
        <v>726</v>
      </c>
      <c r="F190" s="6" t="s">
        <v>727</v>
      </c>
      <c r="G190" s="9">
        <f>IF(A190=1,"_",IF(C190="_","???",C190))</f>
        <v/>
      </c>
      <c r="H190" s="10" t="s">
        <v>12</v>
      </c>
      <c r="I190" s="11" t="s">
        <v>12</v>
      </c>
      <c r="J190" s="12"/>
    </row>
    <row r="191" spans="1:10" ht="60" customHeight="1">
      <c r="A191" s="6" t="s">
        <v>728</v>
      </c>
      <c r="B191" s="6" t="s">
        <v>26</v>
      </c>
      <c r="C191" s="6" t="s">
        <v>12</v>
      </c>
      <c r="D191" s="7" t="s">
        <v>729</v>
      </c>
      <c r="E191" s="8" t="s">
        <v>730</v>
      </c>
      <c r="F191" s="6" t="s">
        <v>731</v>
      </c>
      <c r="G191" s="9">
        <f>IF(A191=1,"_",IF(C191="_","???",C191))</f>
        <v/>
      </c>
      <c r="H191" s="10" t="s">
        <v>12</v>
      </c>
      <c r="I191" s="11" t="s">
        <v>12</v>
      </c>
      <c r="J191" s="12"/>
    </row>
    <row r="192" spans="1:10" ht="60" customHeight="1">
      <c r="A192" s="6" t="s">
        <v>732</v>
      </c>
      <c r="B192" s="6" t="s">
        <v>53</v>
      </c>
      <c r="C192" s="6" t="s">
        <v>557</v>
      </c>
      <c r="D192" s="7" t="s">
        <v>733</v>
      </c>
      <c r="E192" s="8" t="s">
        <v>734</v>
      </c>
      <c r="F192" s="6" t="s">
        <v>735</v>
      </c>
      <c r="G192" s="9">
        <f>IF(A192=1,"_",IF(C192="_","???",C192))</f>
        <v/>
      </c>
      <c r="H192" s="10" t="s">
        <v>12</v>
      </c>
      <c r="I192" s="11" t="s">
        <v>12</v>
      </c>
      <c r="J192" s="12"/>
    </row>
    <row r="193" spans="1:10" ht="60" customHeight="1">
      <c r="A193" s="6" t="s">
        <v>736</v>
      </c>
      <c r="B193" s="6" t="s">
        <v>10</v>
      </c>
      <c r="C193" s="6" t="s">
        <v>150</v>
      </c>
      <c r="D193" s="7" t="s">
        <v>737</v>
      </c>
      <c r="E193" s="8" t="s">
        <v>738</v>
      </c>
      <c r="F193" s="6" t="s">
        <v>739</v>
      </c>
      <c r="G193" s="9">
        <f>IF(A193=1,"_",IF(C193="_","???",C193))</f>
        <v/>
      </c>
      <c r="H193" s="10" t="s">
        <v>12</v>
      </c>
      <c r="I193" s="11" t="s">
        <v>12</v>
      </c>
      <c r="J193" s="12"/>
    </row>
    <row r="194" spans="1:10" ht="60" customHeight="1">
      <c r="A194" s="6" t="s">
        <v>740</v>
      </c>
      <c r="B194" s="6" t="s">
        <v>10</v>
      </c>
      <c r="C194" s="6" t="s">
        <v>12</v>
      </c>
      <c r="D194" s="7" t="s">
        <v>741</v>
      </c>
      <c r="E194" s="8" t="s">
        <v>742</v>
      </c>
      <c r="F194" s="6" t="s">
        <v>743</v>
      </c>
      <c r="G194" s="9">
        <f>IF(A194=1,"_",IF(C194="_","???",C194))</f>
        <v/>
      </c>
      <c r="H194" s="10" t="s">
        <v>12</v>
      </c>
      <c r="I194" s="11" t="s">
        <v>12</v>
      </c>
      <c r="J194" s="12"/>
    </row>
    <row r="195" spans="1:10" ht="60" customHeight="1">
      <c r="A195" s="6" t="s">
        <v>744</v>
      </c>
      <c r="B195" s="6" t="s">
        <v>26</v>
      </c>
      <c r="C195" s="6" t="s">
        <v>114</v>
      </c>
      <c r="D195" s="7" t="s">
        <v>83</v>
      </c>
      <c r="E195" s="8" t="s">
        <v>745</v>
      </c>
      <c r="F195" s="6" t="s">
        <v>746</v>
      </c>
      <c r="G195" s="9">
        <f>IF(A195=1,"_",IF(C195="_","???",C195))</f>
        <v/>
      </c>
      <c r="H195" s="10" t="s">
        <v>12</v>
      </c>
      <c r="I195" s="11" t="s">
        <v>12</v>
      </c>
      <c r="J195" s="12"/>
    </row>
    <row r="196" spans="1:10" ht="60" customHeight="1">
      <c r="A196" s="6" t="s">
        <v>747</v>
      </c>
      <c r="B196" s="6" t="s">
        <v>16</v>
      </c>
      <c r="C196" s="6" t="s">
        <v>12</v>
      </c>
      <c r="D196" s="7" t="s">
        <v>748</v>
      </c>
      <c r="E196" s="8" t="s">
        <v>749</v>
      </c>
      <c r="F196" s="6" t="s">
        <v>750</v>
      </c>
      <c r="G196" s="9">
        <f>IF(A196=1,"_",IF(C196="_","???",C196))</f>
        <v/>
      </c>
      <c r="H196" s="10" t="s">
        <v>12</v>
      </c>
      <c r="I196" s="11" t="s">
        <v>12</v>
      </c>
      <c r="J196" s="12"/>
    </row>
    <row r="197" spans="1:10" ht="60" customHeight="1">
      <c r="A197" s="6" t="s">
        <v>751</v>
      </c>
      <c r="B197" s="6" t="s">
        <v>90</v>
      </c>
      <c r="C197" s="6" t="s">
        <v>174</v>
      </c>
      <c r="D197" s="7" t="s">
        <v>491</v>
      </c>
      <c r="E197" s="8" t="s">
        <v>752</v>
      </c>
      <c r="F197" s="6" t="s">
        <v>753</v>
      </c>
      <c r="G197" s="9">
        <f>IF(A197=1,"_",IF(C197="_","???",C197))</f>
        <v/>
      </c>
      <c r="H197" s="10" t="s">
        <v>12</v>
      </c>
      <c r="I197" s="11" t="s">
        <v>12</v>
      </c>
      <c r="J197" s="12"/>
    </row>
    <row r="198" spans="1:10" ht="60" customHeight="1">
      <c r="A198" s="6" t="s">
        <v>754</v>
      </c>
      <c r="B198" s="6" t="s">
        <v>35</v>
      </c>
      <c r="C198" s="6" t="s">
        <v>12</v>
      </c>
      <c r="D198" s="7" t="s">
        <v>13</v>
      </c>
      <c r="E198" s="8" t="s">
        <v>755</v>
      </c>
      <c r="F198" s="6" t="s">
        <v>756</v>
      </c>
      <c r="G198" s="9">
        <f>IF(A198=1,"_",IF(C198="_","???",C198))</f>
        <v/>
      </c>
      <c r="H198" s="10" t="s">
        <v>12</v>
      </c>
      <c r="I198" s="11" t="s">
        <v>12</v>
      </c>
      <c r="J198" s="12"/>
    </row>
    <row r="199" spans="1:10" ht="60" customHeight="1">
      <c r="A199" s="6" t="s">
        <v>757</v>
      </c>
      <c r="B199" s="6" t="s">
        <v>10</v>
      </c>
      <c r="C199" s="6" t="s">
        <v>103</v>
      </c>
      <c r="D199" s="7" t="s">
        <v>737</v>
      </c>
      <c r="E199" s="8" t="s">
        <v>758</v>
      </c>
      <c r="F199" s="6" t="s">
        <v>759</v>
      </c>
      <c r="G199" s="9">
        <f>IF(A199=1,"_",IF(C199="_","???",C199))</f>
        <v/>
      </c>
      <c r="H199" s="10" t="s">
        <v>12</v>
      </c>
      <c r="I199" s="11" t="s">
        <v>12</v>
      </c>
      <c r="J199" s="12"/>
    </row>
    <row r="200" spans="1:10" ht="60" customHeight="1">
      <c r="A200" s="6" t="s">
        <v>760</v>
      </c>
      <c r="B200" s="6" t="s">
        <v>10</v>
      </c>
      <c r="C200" s="6" t="s">
        <v>12</v>
      </c>
      <c r="D200" s="7" t="s">
        <v>741</v>
      </c>
      <c r="E200" s="8" t="s">
        <v>761</v>
      </c>
      <c r="F200" s="6" t="s">
        <v>762</v>
      </c>
      <c r="G200" s="9">
        <f>IF(A200=1,"_",IF(C200="_","???",C200))</f>
        <v/>
      </c>
      <c r="H200" s="10" t="s">
        <v>12</v>
      </c>
      <c r="I200" s="11" t="s">
        <v>12</v>
      </c>
      <c r="J200" s="12"/>
    </row>
    <row r="201" spans="1:10" ht="60" customHeight="1">
      <c r="A201" s="6" t="s">
        <v>763</v>
      </c>
      <c r="B201" s="6" t="s">
        <v>81</v>
      </c>
      <c r="C201" s="6" t="s">
        <v>397</v>
      </c>
      <c r="D201" s="7" t="s">
        <v>32</v>
      </c>
      <c r="E201" s="8" t="s">
        <v>764</v>
      </c>
      <c r="F201" s="6" t="s">
        <v>765</v>
      </c>
      <c r="G201" s="9">
        <f>IF(A201=1,"_",IF(C201="_","???",C201))</f>
        <v/>
      </c>
      <c r="H201" s="10" t="s">
        <v>12</v>
      </c>
      <c r="I201" s="11" t="s">
        <v>12</v>
      </c>
      <c r="J201" s="12"/>
    </row>
    <row r="202" spans="1:10" ht="60" customHeight="1">
      <c r="A202" s="6" t="s">
        <v>766</v>
      </c>
      <c r="B202" s="6" t="s">
        <v>30</v>
      </c>
      <c r="C202" s="6" t="s">
        <v>59</v>
      </c>
      <c r="D202" s="7" t="s">
        <v>767</v>
      </c>
      <c r="E202" s="8" t="s">
        <v>768</v>
      </c>
      <c r="F202" s="6" t="s">
        <v>769</v>
      </c>
      <c r="G202" s="9">
        <f>IF(A202=1,"_",IF(C202="_","???",C202))</f>
        <v/>
      </c>
      <c r="H202" s="10" t="s">
        <v>12</v>
      </c>
      <c r="I202" s="11" t="s">
        <v>12</v>
      </c>
      <c r="J202" s="12"/>
    </row>
    <row r="203" spans="1:10" ht="60" customHeight="1">
      <c r="A203" s="6" t="s">
        <v>770</v>
      </c>
      <c r="B203" s="6" t="s">
        <v>11</v>
      </c>
      <c r="C203" s="6" t="s">
        <v>12</v>
      </c>
      <c r="D203" s="7" t="s">
        <v>326</v>
      </c>
      <c r="E203" s="8" t="s">
        <v>771</v>
      </c>
      <c r="F203" s="6" t="s">
        <v>772</v>
      </c>
      <c r="G203" s="9">
        <f>IF(A203=1,"_",IF(C203="_","???",C203))</f>
        <v/>
      </c>
      <c r="H203" s="10" t="s">
        <v>12</v>
      </c>
      <c r="I203" s="11" t="s">
        <v>12</v>
      </c>
      <c r="J203" s="12"/>
    </row>
    <row r="204" spans="1:10" ht="60" customHeight="1">
      <c r="A204" s="6" t="s">
        <v>773</v>
      </c>
      <c r="B204" s="6" t="s">
        <v>63</v>
      </c>
      <c r="C204" s="6" t="s">
        <v>17</v>
      </c>
      <c r="D204" s="7" t="s">
        <v>467</v>
      </c>
      <c r="E204" s="8" t="s">
        <v>774</v>
      </c>
      <c r="F204" s="6" t="s">
        <v>775</v>
      </c>
      <c r="G204" s="9">
        <f>IF(A204=1,"_",IF(C204="_","???",C204))</f>
        <v/>
      </c>
      <c r="H204" s="10" t="s">
        <v>12</v>
      </c>
      <c r="I204" s="11" t="s">
        <v>12</v>
      </c>
      <c r="J204" s="12"/>
    </row>
    <row r="205" spans="1:10" ht="60" customHeight="1">
      <c r="A205" s="6" t="s">
        <v>776</v>
      </c>
      <c r="B205" s="6" t="s">
        <v>10</v>
      </c>
      <c r="C205" s="6" t="s">
        <v>283</v>
      </c>
      <c r="D205" s="7" t="s">
        <v>737</v>
      </c>
      <c r="E205" s="8" t="s">
        <v>777</v>
      </c>
      <c r="F205" s="6" t="s">
        <v>778</v>
      </c>
      <c r="G205" s="9">
        <f>IF(A205=1,"_",IF(C205="_","???",C205))</f>
        <v/>
      </c>
      <c r="H205" s="10" t="s">
        <v>12</v>
      </c>
      <c r="I205" s="11" t="s">
        <v>12</v>
      </c>
      <c r="J205" s="12"/>
    </row>
    <row r="206" spans="1:10" ht="60" customHeight="1">
      <c r="A206" s="6" t="s">
        <v>779</v>
      </c>
      <c r="B206" s="6" t="s">
        <v>10</v>
      </c>
      <c r="C206" s="6" t="s">
        <v>17</v>
      </c>
      <c r="D206" s="7" t="s">
        <v>741</v>
      </c>
      <c r="E206" s="8" t="s">
        <v>780</v>
      </c>
      <c r="F206" s="6" t="s">
        <v>781</v>
      </c>
      <c r="G206" s="9">
        <f>IF(A206=1,"_",IF(C206="_","???",C206))</f>
        <v/>
      </c>
      <c r="H206" s="10" t="s">
        <v>12</v>
      </c>
      <c r="I206" s="11" t="s">
        <v>12</v>
      </c>
      <c r="J206" s="12"/>
    </row>
    <row r="207" spans="1:10" ht="60" customHeight="1">
      <c r="A207" s="6" t="s">
        <v>782</v>
      </c>
      <c r="B207" s="6" t="s">
        <v>16</v>
      </c>
      <c r="C207" s="6" t="s">
        <v>12</v>
      </c>
      <c r="D207" s="7" t="s">
        <v>783</v>
      </c>
      <c r="E207" s="8" t="s">
        <v>784</v>
      </c>
      <c r="F207" s="6" t="s">
        <v>785</v>
      </c>
      <c r="G207" s="9">
        <f>IF(A207=1,"_",IF(C207="_","???",C207))</f>
        <v/>
      </c>
      <c r="H207" s="10" t="s">
        <v>12</v>
      </c>
      <c r="I207" s="11" t="s">
        <v>12</v>
      </c>
      <c r="J207" s="12"/>
    </row>
    <row r="208" spans="1:10" ht="60" customHeight="1">
      <c r="A208" s="6" t="s">
        <v>786</v>
      </c>
      <c r="B208" s="6" t="s">
        <v>11</v>
      </c>
      <c r="C208" s="6" t="s">
        <v>12</v>
      </c>
      <c r="D208" s="7" t="s">
        <v>787</v>
      </c>
      <c r="E208" s="8" t="s">
        <v>788</v>
      </c>
      <c r="F208" s="6" t="s">
        <v>789</v>
      </c>
      <c r="G208" s="9">
        <f>IF(A208=1,"_",IF(C208="_","???",C208))</f>
        <v/>
      </c>
      <c r="H208" s="10" t="s">
        <v>12</v>
      </c>
      <c r="I208" s="11" t="s">
        <v>12</v>
      </c>
      <c r="J208" s="12"/>
    </row>
    <row r="209" spans="1:10" ht="60" customHeight="1">
      <c r="A209" s="6" t="s">
        <v>790</v>
      </c>
      <c r="B209" s="6" t="s">
        <v>48</v>
      </c>
      <c r="C209" s="6" t="s">
        <v>12</v>
      </c>
      <c r="D209" s="7" t="s">
        <v>791</v>
      </c>
      <c r="E209" s="8" t="s">
        <v>792</v>
      </c>
      <c r="F209" s="6" t="s">
        <v>793</v>
      </c>
      <c r="G209" s="9">
        <f>IF(A209=1,"_",IF(C209="_","???",C209))</f>
        <v/>
      </c>
      <c r="H209" s="10" t="s">
        <v>12</v>
      </c>
      <c r="I209" s="11" t="s">
        <v>12</v>
      </c>
      <c r="J209" s="12"/>
    </row>
    <row r="210" spans="1:10" ht="60" customHeight="1">
      <c r="A210" s="6" t="s">
        <v>794</v>
      </c>
      <c r="B210" s="6" t="s">
        <v>16</v>
      </c>
      <c r="C210" s="6" t="s">
        <v>103</v>
      </c>
      <c r="D210" s="7" t="s">
        <v>427</v>
      </c>
      <c r="E210" s="8" t="s">
        <v>795</v>
      </c>
      <c r="F210" s="6" t="s">
        <v>796</v>
      </c>
      <c r="G210" s="9">
        <f>IF(A210=1,"_",IF(C210="_","???",C210))</f>
        <v/>
      </c>
      <c r="H210" s="10" t="s">
        <v>12</v>
      </c>
      <c r="I210" s="11" t="s">
        <v>12</v>
      </c>
      <c r="J210" s="12"/>
    </row>
    <row r="211" spans="1:10" ht="60" customHeight="1">
      <c r="A211" s="6" t="s">
        <v>797</v>
      </c>
      <c r="B211" s="6" t="s">
        <v>126</v>
      </c>
      <c r="C211" s="6" t="s">
        <v>49</v>
      </c>
      <c r="D211" s="7" t="s">
        <v>798</v>
      </c>
      <c r="E211" s="8" t="s">
        <v>799</v>
      </c>
      <c r="F211" s="6" t="s">
        <v>800</v>
      </c>
      <c r="G211" s="9">
        <f>IF(A211=1,"_",IF(C211="_","???",C211))</f>
        <v/>
      </c>
      <c r="H211" s="10" t="s">
        <v>12</v>
      </c>
      <c r="I211" s="11" t="s">
        <v>12</v>
      </c>
      <c r="J211" s="12"/>
    </row>
    <row r="212" spans="1:10" ht="60" customHeight="1">
      <c r="A212" s="6" t="s">
        <v>801</v>
      </c>
      <c r="B212" s="6" t="s">
        <v>10</v>
      </c>
      <c r="C212" s="6" t="s">
        <v>12</v>
      </c>
      <c r="D212" s="7" t="s">
        <v>741</v>
      </c>
      <c r="E212" s="8" t="s">
        <v>802</v>
      </c>
      <c r="F212" s="6" t="s">
        <v>803</v>
      </c>
      <c r="G212" s="9">
        <f>IF(A212=1,"_",IF(C212="_","???",C212))</f>
        <v/>
      </c>
      <c r="H212" s="10" t="s">
        <v>12</v>
      </c>
      <c r="I212" s="11" t="s">
        <v>12</v>
      </c>
      <c r="J212" s="12"/>
    </row>
    <row r="213" spans="1:10" ht="60" customHeight="1">
      <c r="A213" s="6" t="s">
        <v>804</v>
      </c>
      <c r="B213" s="6" t="s">
        <v>11</v>
      </c>
      <c r="C213" s="6" t="s">
        <v>42</v>
      </c>
      <c r="D213" s="7" t="s">
        <v>805</v>
      </c>
      <c r="E213" s="8" t="s">
        <v>806</v>
      </c>
      <c r="F213" s="6" t="s">
        <v>807</v>
      </c>
      <c r="G213" s="9">
        <f>IF(A213=1,"_",IF(C213="_","???",C213))</f>
        <v/>
      </c>
      <c r="H213" s="10" t="s">
        <v>12</v>
      </c>
      <c r="I213" s="11" t="s">
        <v>12</v>
      </c>
      <c r="J213" s="12"/>
    </row>
    <row r="214" spans="1:10" ht="60" customHeight="1">
      <c r="A214" s="6" t="s">
        <v>808</v>
      </c>
      <c r="B214" s="6" t="s">
        <v>26</v>
      </c>
      <c r="C214" s="6" t="s">
        <v>99</v>
      </c>
      <c r="D214" s="7" t="s">
        <v>809</v>
      </c>
      <c r="E214" s="8" t="s">
        <v>810</v>
      </c>
      <c r="F214" s="6" t="s">
        <v>811</v>
      </c>
      <c r="G214" s="9">
        <f>IF(A214=1,"_",IF(C214="_","???",C214))</f>
        <v/>
      </c>
      <c r="H214" s="10" t="s">
        <v>12</v>
      </c>
      <c r="I214" s="11" t="s">
        <v>12</v>
      </c>
      <c r="J214" s="12"/>
    </row>
    <row r="215" spans="1:10" ht="60" customHeight="1">
      <c r="A215" s="6" t="s">
        <v>812</v>
      </c>
      <c r="B215" s="6" t="s">
        <v>26</v>
      </c>
      <c r="C215" s="6" t="s">
        <v>17</v>
      </c>
      <c r="D215" s="7" t="s">
        <v>32</v>
      </c>
      <c r="E215" s="8" t="s">
        <v>813</v>
      </c>
      <c r="F215" s="6" t="s">
        <v>814</v>
      </c>
      <c r="G215" s="9">
        <f>IF(A215=1,"_",IF(C215="_","???",C215))</f>
        <v/>
      </c>
      <c r="H215" s="10" t="s">
        <v>12</v>
      </c>
      <c r="I215" s="11" t="s">
        <v>12</v>
      </c>
      <c r="J215" s="12"/>
    </row>
    <row r="216" spans="1:10" ht="60" customHeight="1">
      <c r="A216" s="6" t="s">
        <v>815</v>
      </c>
      <c r="B216" s="6" t="s">
        <v>16</v>
      </c>
      <c r="C216" s="6" t="s">
        <v>252</v>
      </c>
      <c r="D216" s="7" t="s">
        <v>816</v>
      </c>
      <c r="E216" s="8" t="s">
        <v>817</v>
      </c>
      <c r="F216" s="6" t="s">
        <v>818</v>
      </c>
      <c r="G216" s="9">
        <f>IF(A216=1,"_",IF(C216="_","???",C216))</f>
        <v/>
      </c>
      <c r="H216" s="10" t="s">
        <v>12</v>
      </c>
      <c r="I216" s="11" t="s">
        <v>12</v>
      </c>
      <c r="J216" s="12"/>
    </row>
    <row r="217" spans="1:10" ht="60" customHeight="1">
      <c r="A217" s="6" t="s">
        <v>819</v>
      </c>
      <c r="B217" s="6" t="s">
        <v>11</v>
      </c>
      <c r="C217" s="6" t="s">
        <v>12</v>
      </c>
      <c r="D217" s="7" t="s">
        <v>170</v>
      </c>
      <c r="E217" s="8" t="s">
        <v>820</v>
      </c>
      <c r="F217" s="6" t="s">
        <v>821</v>
      </c>
      <c r="G217" s="9">
        <f>IF(A217=1,"_",IF(C217="_","???",C217))</f>
        <v/>
      </c>
      <c r="H217" s="10" t="s">
        <v>12</v>
      </c>
      <c r="I217" s="11" t="s">
        <v>12</v>
      </c>
      <c r="J217" s="12"/>
    </row>
    <row r="218" spans="1:10" ht="60" customHeight="1">
      <c r="A218" s="6" t="s">
        <v>822</v>
      </c>
      <c r="B218" s="6" t="s">
        <v>80</v>
      </c>
      <c r="C218" s="6" t="s">
        <v>264</v>
      </c>
      <c r="D218" s="7" t="s">
        <v>110</v>
      </c>
      <c r="E218" s="8" t="s">
        <v>823</v>
      </c>
      <c r="F218" s="6" t="s">
        <v>824</v>
      </c>
      <c r="G218" s="9">
        <f>IF(A218=1,"_",IF(C218="_","???",C218))</f>
        <v/>
      </c>
      <c r="H218" s="10" t="s">
        <v>12</v>
      </c>
      <c r="I218" s="11" t="s">
        <v>12</v>
      </c>
      <c r="J218" s="12"/>
    </row>
    <row r="219" spans="1:10" ht="60" customHeight="1">
      <c r="A219" s="6" t="s">
        <v>825</v>
      </c>
      <c r="B219" s="6" t="s">
        <v>53</v>
      </c>
      <c r="C219" s="6" t="s">
        <v>12</v>
      </c>
      <c r="D219" s="7" t="s">
        <v>123</v>
      </c>
      <c r="E219" s="8" t="s">
        <v>826</v>
      </c>
      <c r="F219" s="6" t="s">
        <v>827</v>
      </c>
      <c r="G219" s="9">
        <f>IF(A219=1,"_",IF(C219="_","???",C219))</f>
        <v/>
      </c>
      <c r="H219" s="10" t="s">
        <v>12</v>
      </c>
      <c r="I219" s="11" t="s">
        <v>12</v>
      </c>
      <c r="J219" s="12"/>
    </row>
    <row r="220" spans="1:10" ht="60" customHeight="1">
      <c r="A220" s="6" t="s">
        <v>828</v>
      </c>
      <c r="B220" s="6" t="s">
        <v>26</v>
      </c>
      <c r="C220" s="6" t="s">
        <v>829</v>
      </c>
      <c r="D220" s="7" t="s">
        <v>830</v>
      </c>
      <c r="E220" s="8" t="s">
        <v>831</v>
      </c>
      <c r="F220" s="6" t="s">
        <v>832</v>
      </c>
      <c r="G220" s="9">
        <f>IF(A220=1,"_",IF(C220="_","???",C220))</f>
        <v/>
      </c>
      <c r="H220" s="10" t="s">
        <v>12</v>
      </c>
      <c r="I220" s="11" t="s">
        <v>12</v>
      </c>
      <c r="J220" s="12"/>
    </row>
    <row r="221" spans="1:10" ht="60" customHeight="1">
      <c r="A221" s="6" t="s">
        <v>833</v>
      </c>
      <c r="B221" s="6" t="s">
        <v>41</v>
      </c>
      <c r="C221" s="6" t="s">
        <v>12</v>
      </c>
      <c r="D221" s="7" t="s">
        <v>32</v>
      </c>
      <c r="E221" s="8" t="s">
        <v>834</v>
      </c>
      <c r="F221" s="6" t="s">
        <v>835</v>
      </c>
      <c r="G221" s="9">
        <f>IF(A221=1,"_",IF(C221="_","???",C221))</f>
        <v/>
      </c>
      <c r="H221" s="10" t="s">
        <v>12</v>
      </c>
      <c r="I221" s="11" t="s">
        <v>12</v>
      </c>
      <c r="J221" s="12"/>
    </row>
    <row r="222" spans="1:10" ht="60" customHeight="1">
      <c r="A222" s="6" t="s">
        <v>836</v>
      </c>
      <c r="B222" s="6" t="s">
        <v>35</v>
      </c>
      <c r="C222" s="6" t="s">
        <v>385</v>
      </c>
      <c r="D222" s="7" t="s">
        <v>100</v>
      </c>
      <c r="E222" s="8" t="s">
        <v>837</v>
      </c>
      <c r="F222" s="6" t="s">
        <v>838</v>
      </c>
      <c r="G222" s="9">
        <f>IF(A222=1,"_",IF(C222="_","???",C222))</f>
        <v/>
      </c>
      <c r="H222" s="10" t="s">
        <v>12</v>
      </c>
      <c r="I222" s="11" t="s">
        <v>12</v>
      </c>
      <c r="J222" s="12"/>
    </row>
    <row r="223" spans="1:10" ht="60" customHeight="1">
      <c r="A223" s="6" t="s">
        <v>839</v>
      </c>
      <c r="B223" s="6" t="s">
        <v>16</v>
      </c>
      <c r="C223" s="6" t="s">
        <v>174</v>
      </c>
      <c r="D223" s="7" t="s">
        <v>32</v>
      </c>
      <c r="E223" s="8" t="s">
        <v>840</v>
      </c>
      <c r="F223" s="6" t="s">
        <v>841</v>
      </c>
      <c r="G223" s="9">
        <f>IF(A223=1,"_",IF(C223="_","???",C223))</f>
        <v/>
      </c>
      <c r="H223" s="10" t="s">
        <v>12</v>
      </c>
      <c r="I223" s="11" t="s">
        <v>12</v>
      </c>
      <c r="J223" s="12"/>
    </row>
    <row r="224" spans="1:10" ht="60" customHeight="1">
      <c r="A224" s="6" t="s">
        <v>842</v>
      </c>
      <c r="B224" s="6" t="s">
        <v>30</v>
      </c>
      <c r="C224" s="6" t="s">
        <v>545</v>
      </c>
      <c r="D224" s="7" t="s">
        <v>32</v>
      </c>
      <c r="E224" s="8" t="s">
        <v>843</v>
      </c>
      <c r="F224" s="6" t="s">
        <v>844</v>
      </c>
      <c r="G224" s="9">
        <f>IF(A224=1,"_",IF(C224="_","???",C224))</f>
        <v/>
      </c>
      <c r="H224" s="10" t="s">
        <v>12</v>
      </c>
      <c r="I224" s="11" t="s">
        <v>12</v>
      </c>
      <c r="J224" s="12"/>
    </row>
    <row r="225" spans="1:10" ht="60" customHeight="1">
      <c r="A225" s="6" t="s">
        <v>845</v>
      </c>
      <c r="B225" s="6" t="s">
        <v>10</v>
      </c>
      <c r="C225" s="6" t="s">
        <v>99</v>
      </c>
      <c r="D225" s="7" t="s">
        <v>737</v>
      </c>
      <c r="E225" s="8" t="s">
        <v>846</v>
      </c>
      <c r="F225" s="6" t="s">
        <v>847</v>
      </c>
      <c r="G225" s="9">
        <f>IF(A225=1,"_",IF(C225="_","???",C225))</f>
        <v/>
      </c>
      <c r="H225" s="10" t="s">
        <v>12</v>
      </c>
      <c r="I225" s="11" t="s">
        <v>12</v>
      </c>
      <c r="J225" s="12"/>
    </row>
    <row r="226" spans="1:10" ht="60" customHeight="1">
      <c r="A226" s="6" t="s">
        <v>848</v>
      </c>
      <c r="B226" s="6" t="s">
        <v>10</v>
      </c>
      <c r="C226" s="6" t="s">
        <v>12</v>
      </c>
      <c r="D226" s="7" t="s">
        <v>83</v>
      </c>
      <c r="E226" s="8" t="s">
        <v>849</v>
      </c>
      <c r="F226" s="6" t="s">
        <v>850</v>
      </c>
      <c r="G226" s="9">
        <f>IF(A226=1,"_",IF(C226="_","???",C226))</f>
        <v/>
      </c>
      <c r="H226" s="10" t="s">
        <v>12</v>
      </c>
      <c r="I226" s="11" t="s">
        <v>12</v>
      </c>
      <c r="J226" s="12"/>
    </row>
    <row r="227" spans="1:10" ht="60" customHeight="1">
      <c r="A227" s="6" t="s">
        <v>851</v>
      </c>
      <c r="B227" s="6" t="s">
        <v>10</v>
      </c>
      <c r="C227" s="6" t="s">
        <v>99</v>
      </c>
      <c r="D227" s="7" t="s">
        <v>741</v>
      </c>
      <c r="E227" s="8" t="s">
        <v>852</v>
      </c>
      <c r="F227" s="6" t="s">
        <v>853</v>
      </c>
      <c r="G227" s="9">
        <f>IF(A227=1,"_",IF(C227="_","???",C227))</f>
        <v/>
      </c>
      <c r="H227" s="10" t="s">
        <v>12</v>
      </c>
      <c r="I227" s="11" t="s">
        <v>12</v>
      </c>
      <c r="J227" s="12"/>
    </row>
    <row r="228" spans="1:10" ht="60" customHeight="1">
      <c r="A228" s="6" t="s">
        <v>854</v>
      </c>
      <c r="B228" s="6" t="s">
        <v>26</v>
      </c>
      <c r="C228" s="6" t="s">
        <v>150</v>
      </c>
      <c r="D228" s="7" t="s">
        <v>855</v>
      </c>
      <c r="E228" s="8" t="s">
        <v>856</v>
      </c>
      <c r="F228" s="6" t="s">
        <v>857</v>
      </c>
      <c r="G228" s="9">
        <f>IF(A228=1,"_",IF(C228="_","???",C228))</f>
        <v/>
      </c>
      <c r="H228" s="10" t="s">
        <v>12</v>
      </c>
      <c r="I228" s="11" t="s">
        <v>12</v>
      </c>
      <c r="J228" s="12"/>
    </row>
    <row r="229" spans="1:10" ht="60" customHeight="1">
      <c r="A229" s="6" t="s">
        <v>858</v>
      </c>
      <c r="B229" s="6" t="s">
        <v>16</v>
      </c>
      <c r="C229" s="6" t="s">
        <v>12</v>
      </c>
      <c r="D229" s="7" t="s">
        <v>170</v>
      </c>
      <c r="E229" s="8" t="s">
        <v>859</v>
      </c>
      <c r="F229" s="6" t="s">
        <v>860</v>
      </c>
      <c r="G229" s="9">
        <f>IF(A229=1,"_",IF(C229="_","???",C229))</f>
        <v/>
      </c>
      <c r="H229" s="10" t="s">
        <v>12</v>
      </c>
      <c r="I229" s="11" t="s">
        <v>12</v>
      </c>
      <c r="J229" s="12"/>
    </row>
    <row r="230" spans="1:10" ht="60" customHeight="1">
      <c r="A230" s="6" t="s">
        <v>861</v>
      </c>
      <c r="B230" s="6" t="s">
        <v>11</v>
      </c>
      <c r="C230" s="6" t="s">
        <v>12</v>
      </c>
      <c r="D230" s="7" t="s">
        <v>516</v>
      </c>
      <c r="E230" s="8" t="s">
        <v>862</v>
      </c>
      <c r="F230" s="6" t="s">
        <v>863</v>
      </c>
      <c r="G230" s="9">
        <f>IF(A230=1,"_",IF(C230="_","???",C230))</f>
        <v/>
      </c>
      <c r="H230" s="10" t="s">
        <v>12</v>
      </c>
      <c r="I230" s="11" t="s">
        <v>12</v>
      </c>
      <c r="J230" s="12"/>
    </row>
    <row r="231" spans="1:10" ht="60" customHeight="1">
      <c r="A231" s="6" t="s">
        <v>864</v>
      </c>
      <c r="B231" s="6" t="s">
        <v>16</v>
      </c>
      <c r="C231" s="6" t="s">
        <v>431</v>
      </c>
      <c r="D231" s="7" t="s">
        <v>865</v>
      </c>
      <c r="E231" s="8" t="s">
        <v>866</v>
      </c>
      <c r="F231" s="6" t="s">
        <v>867</v>
      </c>
      <c r="G231" s="9">
        <f>IF(A231=1,"_",IF(C231="_","???",C231))</f>
        <v/>
      </c>
      <c r="H231" s="10" t="s">
        <v>12</v>
      </c>
      <c r="I231" s="11" t="s">
        <v>12</v>
      </c>
      <c r="J231" s="12"/>
    </row>
    <row r="232" spans="1:10" ht="60" customHeight="1">
      <c r="A232" s="6" t="s">
        <v>868</v>
      </c>
      <c r="B232" s="6" t="s">
        <v>11</v>
      </c>
      <c r="C232" s="6" t="s">
        <v>264</v>
      </c>
      <c r="D232" s="7" t="s">
        <v>609</v>
      </c>
      <c r="E232" s="8" t="s">
        <v>869</v>
      </c>
      <c r="F232" s="6" t="s">
        <v>870</v>
      </c>
      <c r="G232" s="9">
        <f>IF(A232=1,"_",IF(C232="_","???",C232))</f>
        <v/>
      </c>
      <c r="H232" s="10" t="s">
        <v>12</v>
      </c>
      <c r="I232" s="11" t="s">
        <v>12</v>
      </c>
      <c r="J232" s="12"/>
    </row>
    <row r="233" spans="1:10" ht="60" customHeight="1">
      <c r="A233" s="6" t="s">
        <v>871</v>
      </c>
      <c r="B233" s="6" t="s">
        <v>11</v>
      </c>
      <c r="C233" s="6" t="s">
        <v>73</v>
      </c>
      <c r="D233" s="7" t="s">
        <v>338</v>
      </c>
      <c r="E233" s="8" t="s">
        <v>872</v>
      </c>
      <c r="F233" s="6" t="s">
        <v>873</v>
      </c>
      <c r="G233" s="9">
        <f>IF(A233=1,"_",IF(C233="_","???",C233))</f>
        <v/>
      </c>
      <c r="H233" s="10" t="s">
        <v>12</v>
      </c>
      <c r="I233" s="11" t="s">
        <v>12</v>
      </c>
      <c r="J233" s="12"/>
    </row>
    <row r="234" spans="1:10" ht="60" customHeight="1">
      <c r="A234" s="6" t="s">
        <v>874</v>
      </c>
      <c r="B234" s="6" t="s">
        <v>16</v>
      </c>
      <c r="C234" s="6" t="s">
        <v>169</v>
      </c>
      <c r="D234" s="7" t="s">
        <v>875</v>
      </c>
      <c r="E234" s="8" t="s">
        <v>876</v>
      </c>
      <c r="F234" s="6" t="s">
        <v>877</v>
      </c>
      <c r="G234" s="9">
        <f>IF(A234=1,"_",IF(C234="_","???",C234))</f>
        <v/>
      </c>
      <c r="H234" s="10" t="s">
        <v>12</v>
      </c>
      <c r="I234" s="11" t="s">
        <v>12</v>
      </c>
      <c r="J234" s="12"/>
    </row>
    <row r="235" spans="1:10" ht="60" customHeight="1">
      <c r="A235" s="6" t="s">
        <v>878</v>
      </c>
      <c r="B235" s="6" t="s">
        <v>10</v>
      </c>
      <c r="C235" s="6" t="s">
        <v>12</v>
      </c>
      <c r="D235" s="7" t="s">
        <v>737</v>
      </c>
      <c r="E235" s="8" t="s">
        <v>879</v>
      </c>
      <c r="F235" s="6" t="s">
        <v>880</v>
      </c>
      <c r="G235" s="9">
        <f>IF(A235=1,"_",IF(C235="_","???",C235))</f>
        <v/>
      </c>
      <c r="H235" s="10" t="s">
        <v>12</v>
      </c>
      <c r="I235" s="11" t="s">
        <v>12</v>
      </c>
      <c r="J235" s="12"/>
    </row>
    <row r="236" spans="1:10" ht="60" customHeight="1">
      <c r="A236" s="6" t="s">
        <v>881</v>
      </c>
      <c r="B236" s="6" t="s">
        <v>10</v>
      </c>
      <c r="C236" s="6" t="s">
        <v>882</v>
      </c>
      <c r="D236" s="7" t="s">
        <v>741</v>
      </c>
      <c r="E236" s="8" t="s">
        <v>883</v>
      </c>
      <c r="F236" s="6" t="s">
        <v>884</v>
      </c>
      <c r="G236" s="9">
        <f>IF(A236=1,"_",IF(C236="_","???",C236))</f>
        <v/>
      </c>
      <c r="H236" s="10" t="s">
        <v>12</v>
      </c>
      <c r="I236" s="11" t="s">
        <v>12</v>
      </c>
      <c r="J236" s="12"/>
    </row>
    <row r="237" spans="1:10" ht="60" customHeight="1">
      <c r="A237" s="6" t="s">
        <v>885</v>
      </c>
      <c r="B237" s="6" t="s">
        <v>21</v>
      </c>
      <c r="C237" s="6" t="s">
        <v>12</v>
      </c>
      <c r="D237" s="7" t="s">
        <v>886</v>
      </c>
      <c r="E237" s="8" t="s">
        <v>887</v>
      </c>
      <c r="F237" s="6" t="s">
        <v>888</v>
      </c>
      <c r="G237" s="9">
        <f>IF(A237=1,"_",IF(C237="_","???",C237))</f>
        <v/>
      </c>
      <c r="H237" s="10" t="s">
        <v>12</v>
      </c>
      <c r="I237" s="11" t="s">
        <v>12</v>
      </c>
      <c r="J237" s="12"/>
    </row>
    <row r="238" spans="1:10" ht="60" customHeight="1">
      <c r="A238" s="6" t="s">
        <v>889</v>
      </c>
      <c r="B238" s="6" t="s">
        <v>10</v>
      </c>
      <c r="C238" s="6" t="s">
        <v>12</v>
      </c>
      <c r="D238" s="7" t="s">
        <v>338</v>
      </c>
      <c r="E238" s="8" t="s">
        <v>890</v>
      </c>
      <c r="F238" s="6" t="s">
        <v>891</v>
      </c>
      <c r="G238" s="9">
        <f>IF(A238=1,"_",IF(C238="_","???",C238))</f>
        <v/>
      </c>
      <c r="H238" s="10" t="s">
        <v>12</v>
      </c>
      <c r="I238" s="11" t="s">
        <v>12</v>
      </c>
      <c r="J238" s="12"/>
    </row>
    <row r="239" spans="1:10" ht="60" customHeight="1">
      <c r="A239" s="6" t="s">
        <v>892</v>
      </c>
      <c r="B239" s="6" t="s">
        <v>16</v>
      </c>
      <c r="C239" s="6" t="s">
        <v>12</v>
      </c>
      <c r="D239" s="7" t="s">
        <v>32</v>
      </c>
      <c r="E239" s="8" t="s">
        <v>893</v>
      </c>
      <c r="F239" s="6" t="s">
        <v>894</v>
      </c>
      <c r="G239" s="9">
        <f>IF(A239=1,"_",IF(C239="_","???",C239))</f>
        <v/>
      </c>
      <c r="H239" s="10" t="s">
        <v>12</v>
      </c>
      <c r="I239" s="11" t="s">
        <v>12</v>
      </c>
      <c r="J239" s="12"/>
    </row>
    <row r="240" spans="1:10" ht="60" customHeight="1">
      <c r="A240" s="6" t="s">
        <v>895</v>
      </c>
      <c r="B240" s="6" t="s">
        <v>41</v>
      </c>
      <c r="C240" s="6" t="s">
        <v>557</v>
      </c>
      <c r="D240" s="7" t="s">
        <v>896</v>
      </c>
      <c r="E240" s="8" t="s">
        <v>897</v>
      </c>
      <c r="F240" s="6" t="s">
        <v>898</v>
      </c>
      <c r="G240" s="9">
        <f>IF(A240=1,"_",IF(C240="_","???",C240))</f>
        <v/>
      </c>
      <c r="H240" s="10" t="s">
        <v>12</v>
      </c>
      <c r="I240" s="11" t="s">
        <v>12</v>
      </c>
      <c r="J240" s="12"/>
    </row>
    <row r="241" spans="1:10" ht="60" customHeight="1">
      <c r="A241" s="6" t="s">
        <v>899</v>
      </c>
      <c r="B241" s="6" t="s">
        <v>11</v>
      </c>
      <c r="C241" s="6" t="s">
        <v>228</v>
      </c>
      <c r="D241" s="7" t="s">
        <v>158</v>
      </c>
      <c r="E241" s="8" t="s">
        <v>900</v>
      </c>
      <c r="F241" s="6" t="s">
        <v>901</v>
      </c>
      <c r="G241" s="9">
        <f>IF(A241=1,"_",IF(C241="_","???",C241))</f>
        <v/>
      </c>
      <c r="H241" s="10" t="s">
        <v>12</v>
      </c>
      <c r="I241" s="11" t="s">
        <v>12</v>
      </c>
      <c r="J241" s="12"/>
    </row>
    <row r="242" spans="1:10" ht="60" customHeight="1">
      <c r="A242" s="6" t="s">
        <v>902</v>
      </c>
      <c r="B242" s="6" t="s">
        <v>30</v>
      </c>
      <c r="C242" s="6" t="s">
        <v>283</v>
      </c>
      <c r="D242" s="7" t="s">
        <v>903</v>
      </c>
      <c r="E242" s="8" t="s">
        <v>904</v>
      </c>
      <c r="F242" s="6" t="s">
        <v>905</v>
      </c>
      <c r="G242" s="9">
        <f>IF(A242=1,"_",IF(C242="_","???",C242))</f>
        <v/>
      </c>
      <c r="H242" s="10" t="s">
        <v>12</v>
      </c>
      <c r="I242" s="11" t="s">
        <v>12</v>
      </c>
      <c r="J242" s="12"/>
    </row>
    <row r="243" spans="1:10" ht="60" customHeight="1">
      <c r="A243" s="6" t="s">
        <v>906</v>
      </c>
      <c r="B243" s="6" t="s">
        <v>94</v>
      </c>
      <c r="C243" s="6" t="s">
        <v>59</v>
      </c>
      <c r="D243" s="7" t="s">
        <v>907</v>
      </c>
      <c r="E243" s="8" t="s">
        <v>908</v>
      </c>
      <c r="F243" s="6" t="s">
        <v>909</v>
      </c>
      <c r="G243" s="9">
        <f>IF(A243=1,"_",IF(C243="_","???",C243))</f>
        <v/>
      </c>
      <c r="H243" s="10" t="s">
        <v>12</v>
      </c>
      <c r="I243" s="11" t="s">
        <v>12</v>
      </c>
      <c r="J243" s="12"/>
    </row>
    <row r="244" spans="1:10" ht="60" customHeight="1">
      <c r="A244" s="6" t="s">
        <v>910</v>
      </c>
      <c r="B244" s="6" t="s">
        <v>16</v>
      </c>
      <c r="C244" s="6" t="s">
        <v>911</v>
      </c>
      <c r="D244" s="7" t="s">
        <v>110</v>
      </c>
      <c r="E244" s="8" t="s">
        <v>912</v>
      </c>
      <c r="F244" s="6" t="s">
        <v>913</v>
      </c>
      <c r="G244" s="9">
        <f>IF(A244=1,"_",IF(C244="_","???",C244))</f>
        <v/>
      </c>
      <c r="H244" s="10" t="s">
        <v>12</v>
      </c>
      <c r="I244" s="11" t="s">
        <v>12</v>
      </c>
      <c r="J244" s="12"/>
    </row>
    <row r="245" spans="1:10" ht="60" customHeight="1">
      <c r="A245" s="6" t="s">
        <v>914</v>
      </c>
      <c r="B245" s="6" t="s">
        <v>26</v>
      </c>
      <c r="C245" s="6" t="s">
        <v>150</v>
      </c>
      <c r="D245" s="7" t="s">
        <v>110</v>
      </c>
      <c r="E245" s="8" t="s">
        <v>915</v>
      </c>
      <c r="F245" s="6" t="s">
        <v>916</v>
      </c>
      <c r="G245" s="9">
        <f>IF(A245=1,"_",IF(C245="_","???",C245))</f>
        <v/>
      </c>
      <c r="H245" s="10" t="s">
        <v>12</v>
      </c>
      <c r="I245" s="11" t="s">
        <v>12</v>
      </c>
      <c r="J245" s="12"/>
    </row>
    <row r="246" spans="1:10" ht="60" customHeight="1">
      <c r="A246" s="6" t="s">
        <v>917</v>
      </c>
      <c r="B246" s="6" t="s">
        <v>10</v>
      </c>
      <c r="C246" s="6" t="s">
        <v>150</v>
      </c>
      <c r="D246" s="7" t="s">
        <v>737</v>
      </c>
      <c r="E246" s="8" t="s">
        <v>918</v>
      </c>
      <c r="F246" s="6" t="s">
        <v>919</v>
      </c>
      <c r="G246" s="9">
        <f>IF(A246=1,"_",IF(C246="_","???",C246))</f>
        <v/>
      </c>
      <c r="H246" s="10" t="s">
        <v>12</v>
      </c>
      <c r="I246" s="11" t="s">
        <v>12</v>
      </c>
      <c r="J246" s="12"/>
    </row>
    <row r="247" spans="1:10" ht="60" customHeight="1">
      <c r="A247" s="6" t="s">
        <v>920</v>
      </c>
      <c r="B247" s="6" t="s">
        <v>16</v>
      </c>
      <c r="C247" s="6" t="s">
        <v>12</v>
      </c>
      <c r="D247" s="7" t="s">
        <v>921</v>
      </c>
      <c r="E247" s="8" t="s">
        <v>922</v>
      </c>
      <c r="F247" s="6" t="s">
        <v>923</v>
      </c>
      <c r="G247" s="9">
        <f>IF(A247=1,"_",IF(C247="_","???",C247))</f>
        <v/>
      </c>
      <c r="H247" s="10" t="s">
        <v>12</v>
      </c>
      <c r="I247" s="11" t="s">
        <v>12</v>
      </c>
      <c r="J247" s="12"/>
    </row>
    <row r="248" spans="1:10" ht="60" customHeight="1">
      <c r="A248" s="6" t="s">
        <v>924</v>
      </c>
      <c r="B248" s="6" t="s">
        <v>10</v>
      </c>
      <c r="C248" s="6" t="s">
        <v>12</v>
      </c>
      <c r="D248" s="7" t="s">
        <v>741</v>
      </c>
      <c r="E248" s="8" t="s">
        <v>925</v>
      </c>
      <c r="F248" s="6" t="s">
        <v>926</v>
      </c>
      <c r="G248" s="9">
        <f>IF(A248=1,"_",IF(C248="_","???",C248))</f>
        <v/>
      </c>
      <c r="H248" s="10" t="s">
        <v>12</v>
      </c>
      <c r="I248" s="11" t="s">
        <v>12</v>
      </c>
      <c r="J248" s="12"/>
    </row>
    <row r="249" spans="1:10" ht="60" customHeight="1">
      <c r="A249" s="6" t="s">
        <v>927</v>
      </c>
      <c r="B249" s="6" t="s">
        <v>10</v>
      </c>
      <c r="C249" s="6" t="s">
        <v>99</v>
      </c>
      <c r="D249" s="7" t="s">
        <v>928</v>
      </c>
      <c r="E249" s="8" t="s">
        <v>929</v>
      </c>
      <c r="F249" s="6" t="s">
        <v>930</v>
      </c>
      <c r="G249" s="9">
        <f>IF(A249=1,"_",IF(C249="_","???",C249))</f>
        <v/>
      </c>
      <c r="H249" s="10" t="s">
        <v>12</v>
      </c>
      <c r="I249" s="11" t="s">
        <v>12</v>
      </c>
      <c r="J249" s="12"/>
    </row>
    <row r="250" spans="1:10" ht="60" customHeight="1">
      <c r="A250" s="6" t="s">
        <v>931</v>
      </c>
      <c r="B250" s="6" t="s">
        <v>16</v>
      </c>
      <c r="C250" s="6" t="s">
        <v>264</v>
      </c>
      <c r="D250" s="7" t="s">
        <v>932</v>
      </c>
      <c r="E250" s="8" t="s">
        <v>933</v>
      </c>
      <c r="F250" s="6" t="s">
        <v>934</v>
      </c>
      <c r="G250" s="9">
        <f>IF(A250=1,"_",IF(C250="_","???",C250))</f>
        <v/>
      </c>
      <c r="H250" s="10" t="s">
        <v>12</v>
      </c>
      <c r="I250" s="11" t="s">
        <v>12</v>
      </c>
      <c r="J250" s="12"/>
    </row>
    <row r="251" spans="1:10" ht="60" customHeight="1">
      <c r="A251" s="6" t="s">
        <v>935</v>
      </c>
      <c r="B251" s="6" t="s">
        <v>35</v>
      </c>
      <c r="C251" s="6" t="s">
        <v>17</v>
      </c>
      <c r="D251" s="7" t="s">
        <v>18</v>
      </c>
      <c r="E251" s="8" t="s">
        <v>936</v>
      </c>
      <c r="F251" s="6" t="s">
        <v>937</v>
      </c>
      <c r="G251" s="9">
        <f>IF(A251=1,"_",IF(C251="_","???",C251))</f>
        <v/>
      </c>
      <c r="H251" s="10" t="s">
        <v>12</v>
      </c>
      <c r="I251" s="11" t="s">
        <v>12</v>
      </c>
      <c r="J251" s="12"/>
    </row>
    <row r="252" spans="1:10" ht="60" customHeight="1">
      <c r="A252" s="6" t="s">
        <v>938</v>
      </c>
      <c r="B252" s="6" t="s">
        <v>11</v>
      </c>
      <c r="C252" s="6" t="s">
        <v>939</v>
      </c>
      <c r="D252" s="7" t="s">
        <v>326</v>
      </c>
      <c r="E252" s="8" t="s">
        <v>940</v>
      </c>
      <c r="F252" s="6" t="s">
        <v>941</v>
      </c>
      <c r="G252" s="9">
        <f>IF(A252=1,"_",IF(C252="_","???",C252))</f>
        <v/>
      </c>
      <c r="H252" s="10" t="s">
        <v>12</v>
      </c>
      <c r="I252" s="11" t="s">
        <v>12</v>
      </c>
      <c r="J252" s="12"/>
    </row>
    <row r="253" spans="1:10" ht="60" customHeight="1">
      <c r="A253" s="6" t="s">
        <v>942</v>
      </c>
      <c r="B253" s="6" t="s">
        <v>26</v>
      </c>
      <c r="C253" s="6" t="s">
        <v>99</v>
      </c>
      <c r="D253" s="7" t="s">
        <v>943</v>
      </c>
      <c r="E253" s="8" t="s">
        <v>944</v>
      </c>
      <c r="F253" s="6" t="s">
        <v>945</v>
      </c>
      <c r="G253" s="9">
        <f>IF(A253=1,"_",IF(C253="_","???",C253))</f>
        <v/>
      </c>
      <c r="H253" s="10" t="s">
        <v>12</v>
      </c>
      <c r="I253" s="11" t="s">
        <v>12</v>
      </c>
      <c r="J253" s="12"/>
    </row>
    <row r="254" spans="1:10" ht="60" customHeight="1">
      <c r="A254" s="6" t="s">
        <v>946</v>
      </c>
      <c r="B254" s="6" t="s">
        <v>11</v>
      </c>
      <c r="C254" s="6" t="s">
        <v>12</v>
      </c>
      <c r="D254" s="7" t="s">
        <v>947</v>
      </c>
      <c r="E254" s="8" t="s">
        <v>948</v>
      </c>
      <c r="F254" s="6" t="s">
        <v>949</v>
      </c>
      <c r="G254" s="9">
        <f>IF(A254=1,"_",IF(C254="_","???",C254))</f>
        <v/>
      </c>
      <c r="H254" s="10" t="s">
        <v>12</v>
      </c>
      <c r="I254" s="11" t="s">
        <v>12</v>
      </c>
      <c r="J254" s="12"/>
    </row>
    <row r="255" spans="1:10" ht="60" customHeight="1">
      <c r="A255" s="6" t="s">
        <v>950</v>
      </c>
      <c r="B255" s="6" t="s">
        <v>98</v>
      </c>
      <c r="C255" s="6" t="s">
        <v>150</v>
      </c>
      <c r="D255" s="7" t="s">
        <v>18</v>
      </c>
      <c r="E255" s="8" t="s">
        <v>951</v>
      </c>
      <c r="F255" s="6" t="s">
        <v>952</v>
      </c>
      <c r="G255" s="9">
        <f>IF(A255=1,"_",IF(C255="_","???",C255))</f>
        <v/>
      </c>
      <c r="H255" s="10" t="s">
        <v>12</v>
      </c>
      <c r="I255" s="11" t="s">
        <v>12</v>
      </c>
      <c r="J255" s="12"/>
    </row>
    <row r="256" spans="1:10" ht="60" customHeight="1">
      <c r="A256" s="6" t="s">
        <v>953</v>
      </c>
      <c r="B256" s="6" t="s">
        <v>41</v>
      </c>
      <c r="C256" s="6" t="s">
        <v>12</v>
      </c>
      <c r="D256" s="7" t="s">
        <v>110</v>
      </c>
      <c r="E256" s="8" t="s">
        <v>954</v>
      </c>
      <c r="F256" s="6" t="s">
        <v>955</v>
      </c>
      <c r="G256" s="9">
        <f>IF(A256=1,"_",IF(C256="_","???",C256))</f>
        <v/>
      </c>
      <c r="H256" s="10" t="s">
        <v>12</v>
      </c>
      <c r="I256" s="11" t="s">
        <v>12</v>
      </c>
      <c r="J256" s="12"/>
    </row>
    <row r="257" spans="1:10" ht="60" customHeight="1">
      <c r="A257" s="6" t="s">
        <v>956</v>
      </c>
      <c r="B257" s="6" t="s">
        <v>16</v>
      </c>
      <c r="C257" s="6" t="s">
        <v>49</v>
      </c>
      <c r="D257" s="7" t="s">
        <v>110</v>
      </c>
      <c r="E257" s="8" t="s">
        <v>957</v>
      </c>
      <c r="F257" s="6" t="s">
        <v>958</v>
      </c>
      <c r="G257" s="9">
        <f>IF(A257=1,"_",IF(C257="_","???",C257))</f>
        <v/>
      </c>
      <c r="H257" s="10" t="s">
        <v>12</v>
      </c>
      <c r="I257" s="11" t="s">
        <v>12</v>
      </c>
      <c r="J257" s="12"/>
    </row>
    <row r="258" spans="1:10" ht="60" customHeight="1">
      <c r="A258" s="6" t="s">
        <v>959</v>
      </c>
      <c r="B258" s="6" t="s">
        <v>30</v>
      </c>
      <c r="C258" s="6" t="s">
        <v>73</v>
      </c>
      <c r="D258" s="7" t="s">
        <v>960</v>
      </c>
      <c r="E258" s="8" t="s">
        <v>961</v>
      </c>
      <c r="F258" s="6" t="s">
        <v>962</v>
      </c>
      <c r="G258" s="9">
        <f>IF(A258=1,"_",IF(C258="_","???",C258))</f>
        <v/>
      </c>
      <c r="H258" s="10" t="s">
        <v>12</v>
      </c>
      <c r="I258" s="11" t="s">
        <v>12</v>
      </c>
      <c r="J258" s="12"/>
    </row>
    <row r="259" spans="1:10" ht="60" customHeight="1">
      <c r="A259" s="6" t="s">
        <v>963</v>
      </c>
      <c r="B259" s="6" t="s">
        <v>21</v>
      </c>
      <c r="C259" s="6" t="s">
        <v>228</v>
      </c>
      <c r="D259" s="7" t="s">
        <v>110</v>
      </c>
      <c r="E259" s="8" t="s">
        <v>964</v>
      </c>
      <c r="F259" s="6" t="s">
        <v>965</v>
      </c>
      <c r="G259" s="9">
        <f>IF(A259=1,"_",IF(C259="_","???",C259))</f>
        <v/>
      </c>
      <c r="H259" s="10" t="s">
        <v>12</v>
      </c>
      <c r="I259" s="11" t="s">
        <v>12</v>
      </c>
      <c r="J259" s="12"/>
    </row>
    <row r="260" spans="1:10" ht="60" customHeight="1">
      <c r="A260" s="6" t="s">
        <v>966</v>
      </c>
      <c r="B260" s="6" t="s">
        <v>11</v>
      </c>
      <c r="C260" s="6" t="s">
        <v>582</v>
      </c>
      <c r="D260" s="7" t="s">
        <v>151</v>
      </c>
      <c r="E260" s="8" t="s">
        <v>967</v>
      </c>
      <c r="F260" s="6" t="s">
        <v>968</v>
      </c>
      <c r="G260" s="9">
        <f>IF(A260=1,"_",IF(C260="_","???",C260))</f>
        <v/>
      </c>
      <c r="H260" s="10" t="s">
        <v>12</v>
      </c>
      <c r="I260" s="11" t="s">
        <v>12</v>
      </c>
      <c r="J260" s="12"/>
    </row>
    <row r="261" spans="1:10" ht="60" customHeight="1">
      <c r="A261" s="6" t="s">
        <v>969</v>
      </c>
      <c r="B261" s="6" t="s">
        <v>11</v>
      </c>
      <c r="C261" s="6" t="s">
        <v>12</v>
      </c>
      <c r="D261" s="7" t="s">
        <v>970</v>
      </c>
      <c r="E261" s="8" t="s">
        <v>971</v>
      </c>
      <c r="F261" s="6" t="s">
        <v>972</v>
      </c>
      <c r="G261" s="9">
        <f>IF(A261=1,"_",IF(C261="_","???",C261))</f>
        <v/>
      </c>
      <c r="H261" s="10" t="s">
        <v>12</v>
      </c>
      <c r="I261" s="11" t="s">
        <v>12</v>
      </c>
      <c r="J261" s="12"/>
    </row>
    <row r="262" spans="1:10" ht="60" customHeight="1">
      <c r="A262" s="6" t="s">
        <v>973</v>
      </c>
      <c r="B262" s="6" t="s">
        <v>10</v>
      </c>
      <c r="C262" s="6" t="s">
        <v>12</v>
      </c>
      <c r="D262" s="7" t="s">
        <v>737</v>
      </c>
      <c r="E262" s="8" t="s">
        <v>974</v>
      </c>
      <c r="F262" s="6" t="s">
        <v>975</v>
      </c>
      <c r="G262" s="9">
        <f>IF(A262=1,"_",IF(C262="_","???",C262))</f>
        <v/>
      </c>
      <c r="H262" s="10" t="s">
        <v>12</v>
      </c>
      <c r="I262" s="11" t="s">
        <v>12</v>
      </c>
      <c r="J262" s="12"/>
    </row>
    <row r="263" spans="1:10" ht="60" customHeight="1">
      <c r="A263" s="6" t="s">
        <v>976</v>
      </c>
      <c r="B263" s="6" t="s">
        <v>10</v>
      </c>
      <c r="C263" s="6" t="s">
        <v>12</v>
      </c>
      <c r="D263" s="7" t="s">
        <v>709</v>
      </c>
      <c r="E263" s="8" t="s">
        <v>977</v>
      </c>
      <c r="F263" s="6" t="s">
        <v>978</v>
      </c>
      <c r="G263" s="9">
        <f>IF(A263=1,"_",IF(C263="_","???",C263))</f>
        <v/>
      </c>
      <c r="H263" s="10" t="s">
        <v>12</v>
      </c>
      <c r="I263" s="11" t="s">
        <v>12</v>
      </c>
      <c r="J263" s="12"/>
    </row>
    <row r="264" spans="1:10" ht="60" customHeight="1">
      <c r="A264" s="6" t="s">
        <v>979</v>
      </c>
      <c r="B264" s="6" t="s">
        <v>10</v>
      </c>
      <c r="C264" s="6" t="s">
        <v>12</v>
      </c>
      <c r="D264" s="7" t="s">
        <v>741</v>
      </c>
      <c r="E264" s="8" t="s">
        <v>980</v>
      </c>
      <c r="F264" s="6" t="s">
        <v>981</v>
      </c>
      <c r="G264" s="9">
        <f>IF(A264=1,"_",IF(C264="_","???",C264))</f>
        <v/>
      </c>
      <c r="H264" s="10" t="s">
        <v>12</v>
      </c>
      <c r="I264" s="11" t="s">
        <v>12</v>
      </c>
      <c r="J2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56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982</v>
      </c>
      <c r="B1" s="13" t="s">
        <v>983</v>
      </c>
      <c r="C1" s="13" t="s">
        <v>984</v>
      </c>
      <c r="D1" s="13" t="s">
        <v>985</v>
      </c>
      <c r="E1" s="14" t="s">
        <v>986</v>
      </c>
      <c r="F1" s="15" t="s">
        <v>987</v>
      </c>
      <c r="G1" s="16" t="s">
        <v>988</v>
      </c>
      <c r="H1" s="17" t="s">
        <v>989</v>
      </c>
      <c r="I1" s="18" t="s">
        <v>990</v>
      </c>
      <c r="J1" s="18" t="s">
        <v>991</v>
      </c>
      <c r="K1" s="18" t="s">
        <v>992</v>
      </c>
      <c r="L1" s="19" t="s">
        <v>9</v>
      </c>
    </row>
    <row r="2" spans="1:12">
      <c r="A2" s="20" t="s">
        <v>993</v>
      </c>
    </row>
    <row r="3" spans="1:12">
      <c r="A3" s="20" t="s">
        <v>994</v>
      </c>
      <c r="B3" s="21" t="s">
        <v>995</v>
      </c>
      <c r="C3" s="21" t="s">
        <v>996</v>
      </c>
      <c r="D3" s="21" t="s">
        <v>997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1000</v>
      </c>
      <c r="B6" s="21" t="s">
        <v>1001</v>
      </c>
      <c r="C6" s="21" t="s">
        <v>996</v>
      </c>
      <c r="D6" s="21" t="s">
        <v>997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1002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1003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1004</v>
      </c>
      <c r="B9" s="21" t="s">
        <v>1005</v>
      </c>
      <c r="C9" s="21" t="s">
        <v>1006</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1007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1008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1009</v>
      </c>
      <c r="B12" s="21" t="s">
        <v>1010</v>
      </c>
      <c r="C12" s="21" t="s">
        <v>1006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1011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1012</v>
      </c>
    </row>
    <row r="16" spans="1:12">
      <c r="A16" s="20" t="s">
        <v>1013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1014</v>
      </c>
      <c r="B17" s="21" t="s">
        <v>995</v>
      </c>
      <c r="C17" s="21" t="s">
        <v>1015</v>
      </c>
      <c r="D17" s="21" t="s">
        <v>997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1016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1017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1018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1019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1020</v>
      </c>
      <c r="B22" s="21" t="s">
        <v>1001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1021</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1022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1023</v>
      </c>
      <c r="B25" s="21" t="s">
        <v>1024</v>
      </c>
      <c r="C25" s="21" t="s">
        <v>1025</v>
      </c>
      <c r="D25" s="21" t="s">
        <v>997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1026</v>
      </c>
      <c r="B26" s="21" t="s">
        <v>1027</v>
      </c>
      <c r="C26" s="21" t="s">
        <v>1028</v>
      </c>
      <c r="D26" s="21" t="s">
        <v>997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1029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1030</v>
      </c>
      <c r="B28" s="21" t="s">
        <v>1024</v>
      </c>
      <c r="C28" s="21" t="s">
        <v>1006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1031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1029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1032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1033</v>
      </c>
      <c r="B32" s="21" t="s">
        <v>1024</v>
      </c>
      <c r="C32" s="21" t="s">
        <v>1034</v>
      </c>
      <c r="D32" s="21" t="s">
        <v>997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1035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1036</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1037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1038</v>
      </c>
      <c r="B36" s="21" t="s">
        <v>1039</v>
      </c>
      <c r="C36" s="21" t="s">
        <v>1034</v>
      </c>
      <c r="D36" s="21" t="s">
        <v>997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1007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1037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1040</v>
      </c>
      <c r="B39" s="21" t="s">
        <v>1024</v>
      </c>
      <c r="C39" s="21" t="s">
        <v>1034</v>
      </c>
      <c r="D39" s="21" t="s">
        <v>997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1041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1037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1042</v>
      </c>
      <c r="B42" s="21" t="s">
        <v>1024</v>
      </c>
      <c r="C42" s="21" t="s">
        <v>1034</v>
      </c>
      <c r="D42" s="21" t="s">
        <v>997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1022</v>
      </c>
      <c r="B43" s="21" t="s">
        <v>1043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1044</v>
      </c>
      <c r="B44" s="21" t="s">
        <v>1045</v>
      </c>
      <c r="C44" s="21" t="s">
        <v>996</v>
      </c>
      <c r="D44" s="21" t="s">
        <v>997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1046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1047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1007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1048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1049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1050</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1037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1051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1052</v>
      </c>
      <c r="B53" s="21" t="s">
        <v>1053</v>
      </c>
      <c r="C53" s="21" t="s">
        <v>1034</v>
      </c>
      <c r="D53" s="21" t="s">
        <v>997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1008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1037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1054</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1055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1029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1056</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1057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1011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row>
    <row r="63" spans="1:12">
      <c r="A63" s="20" t="s">
        <v>1058</v>
      </c>
    </row>
    <row r="64" spans="1:12">
      <c r="A64" s="20" t="s">
        <v>1059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1060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1004</v>
      </c>
      <c r="B66" s="21" t="s">
        <v>995</v>
      </c>
      <c r="C66" s="21" t="s">
        <v>1034</v>
      </c>
      <c r="D66" s="21" t="s">
        <v>997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1007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1061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1009</v>
      </c>
      <c r="B69" s="21" t="s">
        <v>1005</v>
      </c>
      <c r="C69" s="21" t="s">
        <v>1034</v>
      </c>
      <c r="D69" s="21" t="s">
        <v>997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1062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1063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1064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1049</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1065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1066</v>
      </c>
      <c r="B75" s="21" t="s">
        <v>1067</v>
      </c>
      <c r="C75" s="21" t="s">
        <v>1068</v>
      </c>
      <c r="D75" s="21" t="s">
        <v>997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1041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1069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1070</v>
      </c>
      <c r="B78" s="21" t="s">
        <v>1010</v>
      </c>
      <c r="C78" s="21" t="s">
        <v>1006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1041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1054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1064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1022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1071</v>
      </c>
      <c r="B84" s="21" t="s">
        <v>1005</v>
      </c>
      <c r="C84" s="21" t="s">
        <v>1072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1073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1032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1074</v>
      </c>
      <c r="B87" s="21" t="s">
        <v>1010</v>
      </c>
      <c r="C87" s="21" t="s">
        <v>1034</v>
      </c>
      <c r="D87" s="21" t="s">
        <v>997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1011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row>
    <row r="90" spans="1:12">
      <c r="A90" s="20" t="s">
        <v>1075</v>
      </c>
    </row>
    <row r="91" spans="1:12">
      <c r="A91" s="20" t="s">
        <v>1076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1009</v>
      </c>
      <c r="B92" s="21" t="s">
        <v>995</v>
      </c>
      <c r="C92" s="21" t="s">
        <v>1034</v>
      </c>
      <c r="D92" s="21" t="s">
        <v>997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1077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1078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1041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1079</v>
      </c>
      <c r="B96" s="21" t="s">
        <v>1067</v>
      </c>
      <c r="C96" s="21" t="s">
        <v>1015</v>
      </c>
      <c r="D96" s="21" t="s">
        <v>997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1080</v>
      </c>
      <c r="B97" s="21" t="s">
        <v>1027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1081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1082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1083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1084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1085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1008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1086</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1087</v>
      </c>
      <c r="B105" s="21" t="s">
        <v>1088</v>
      </c>
      <c r="C105" s="21" t="s">
        <v>1089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1090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1091</v>
      </c>
      <c r="B107" s="21" t="s">
        <v>1092</v>
      </c>
      <c r="C107" s="21" t="s">
        <v>1025</v>
      </c>
      <c r="D107" s="21" t="s">
        <v>997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1093</v>
      </c>
      <c r="B108" s="21" t="s">
        <v>1094</v>
      </c>
      <c r="C108" s="21" t="s">
        <v>1028</v>
      </c>
      <c r="D108" s="21" t="s">
        <v>997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1095</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1096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1097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1011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row>
    <row r="114" spans="1:12">
      <c r="A114" s="20" t="s">
        <v>1098</v>
      </c>
    </row>
    <row r="115" spans="1:12">
      <c r="A115" s="20" t="s">
        <v>1099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1085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1100</v>
      </c>
      <c r="B118" s="21" t="s">
        <v>1101</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1008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1102</v>
      </c>
      <c r="B120" s="21" t="s">
        <v>1005</v>
      </c>
      <c r="C120" s="21" t="s">
        <v>1006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1041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1103</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1097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1104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1008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1102</v>
      </c>
      <c r="B126" s="21" t="s">
        <v>1067</v>
      </c>
      <c r="C126" s="21" t="s">
        <v>1006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1011</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row>
    <row r="129" spans="1:12">
      <c r="A129" s="20" t="s">
        <v>1105</v>
      </c>
    </row>
    <row r="130" spans="1:12">
      <c r="A130" s="20" t="s">
        <v>1106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1042</v>
      </c>
      <c r="B131" s="21" t="s">
        <v>995</v>
      </c>
      <c r="C131" s="21" t="s">
        <v>1034</v>
      </c>
      <c r="D131" s="21" t="s">
        <v>997</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1107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1108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1109</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1008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1037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1110</v>
      </c>
      <c r="B137" s="21" t="s">
        <v>1005</v>
      </c>
      <c r="C137" s="21" t="s">
        <v>1034</v>
      </c>
      <c r="D137" s="21" t="s">
        <v>997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1022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1111</v>
      </c>
      <c r="B139" s="21" t="s">
        <v>1112</v>
      </c>
      <c r="C139" s="21" t="s">
        <v>1025</v>
      </c>
      <c r="D139" s="21" t="s">
        <v>997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1113</v>
      </c>
      <c r="B140" s="21" t="s">
        <v>1114</v>
      </c>
      <c r="C140" s="21" t="s">
        <v>1028</v>
      </c>
      <c r="D140" s="21" t="s">
        <v>997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1115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1095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1016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1116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1117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1097</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1118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1011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row>
    <row r="150" spans="1:12">
      <c r="A150" s="20" t="s">
        <v>1119</v>
      </c>
    </row>
    <row r="151" spans="1:12">
      <c r="A151" s="20" t="s">
        <v>1013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1014</v>
      </c>
      <c r="B152" s="21" t="s">
        <v>995</v>
      </c>
      <c r="C152" s="21" t="s">
        <v>1015</v>
      </c>
      <c r="D152" s="21" t="s">
        <v>997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1120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1029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1032</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1121</v>
      </c>
      <c r="B156" s="21" t="s">
        <v>1067</v>
      </c>
      <c r="C156" s="21" t="s">
        <v>1034</v>
      </c>
      <c r="D156" s="21" t="s">
        <v>997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1011</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1122</v>
      </c>
    </row>
    <row r="160" spans="1:12">
      <c r="A160" s="20" t="s">
        <v>1123</v>
      </c>
      <c r="B160" s="21" t="s">
        <v>995</v>
      </c>
      <c r="C160" s="21" t="s">
        <v>1015</v>
      </c>
      <c r="D160" s="21" t="s">
        <v>997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1120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1029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1060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1124</v>
      </c>
      <c r="B164" s="21" t="s">
        <v>1067</v>
      </c>
      <c r="C164" s="21" t="s">
        <v>1034</v>
      </c>
      <c r="D164" s="21" t="s">
        <v>997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1011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1125</v>
      </c>
    </row>
    <row r="168" spans="1:12">
      <c r="A168" s="20" t="s">
        <v>1123</v>
      </c>
      <c r="B168" s="21" t="s">
        <v>995</v>
      </c>
      <c r="C168" s="21" t="s">
        <v>1015</v>
      </c>
      <c r="D168" s="21" t="s">
        <v>997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1120</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1029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1008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1037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1126</v>
      </c>
      <c r="B173" s="21" t="s">
        <v>1067</v>
      </c>
      <c r="C173" s="21" t="s">
        <v>1034</v>
      </c>
      <c r="D173" s="21" t="s">
        <v>997</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1011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1127</v>
      </c>
    </row>
    <row r="177" spans="1:12">
      <c r="A177" s="20" t="s">
        <v>1106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1128</v>
      </c>
      <c r="B178" s="21" t="s">
        <v>995</v>
      </c>
      <c r="C178" s="21" t="s">
        <v>1034</v>
      </c>
      <c r="D178" s="21" t="s">
        <v>997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1129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1130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1131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1049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1132</v>
      </c>
      <c r="B183" s="21" t="s">
        <v>1067</v>
      </c>
      <c r="C183" s="21" t="s">
        <v>1133</v>
      </c>
      <c r="D183" s="21" t="s">
        <v>997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1011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1134</v>
      </c>
    </row>
    <row r="187" spans="1:12">
      <c r="A187" s="20" t="s">
        <v>1076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1135</v>
      </c>
      <c r="B188" s="21" t="s">
        <v>995</v>
      </c>
      <c r="C188" s="21" t="s">
        <v>1034</v>
      </c>
      <c r="D188" s="21" t="s">
        <v>997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1008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1060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1004</v>
      </c>
      <c r="B191" s="21" t="s">
        <v>1005</v>
      </c>
      <c r="C191" s="21" t="s">
        <v>1034</v>
      </c>
      <c r="D191" s="21" t="s">
        <v>997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1041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1136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1041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423</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1137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1138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1049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1132</v>
      </c>
      <c r="B199" s="21" t="s">
        <v>1067</v>
      </c>
      <c r="C199" s="21" t="s">
        <v>1133</v>
      </c>
      <c r="D199" s="21" t="s">
        <v>997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1011</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row>
    <row r="202" spans="1:12">
      <c r="A202" s="20" t="s">
        <v>1139</v>
      </c>
    </row>
    <row r="203" spans="1:12">
      <c r="A203" s="20" t="s">
        <v>1140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1070</v>
      </c>
      <c r="B204" s="21" t="s">
        <v>1005</v>
      </c>
      <c r="C204" s="21" t="s">
        <v>1006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1041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1141</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1000</v>
      </c>
      <c r="B207" s="21" t="s">
        <v>1142</v>
      </c>
      <c r="C207" s="21" t="s">
        <v>996</v>
      </c>
      <c r="D207" s="21" t="s">
        <v>997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1095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1143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1061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1135</v>
      </c>
      <c r="B212" s="21" t="s">
        <v>1039</v>
      </c>
      <c r="C212" s="21" t="s">
        <v>1034</v>
      </c>
      <c r="D212" s="21" t="s">
        <v>997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1022</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1003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1144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1145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1146</v>
      </c>
      <c r="B217" s="21" t="s">
        <v>1024</v>
      </c>
      <c r="C217" s="21" t="s">
        <v>1089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1041</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1049</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1147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1032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1148</v>
      </c>
      <c r="B222" s="21" t="s">
        <v>1039</v>
      </c>
      <c r="C222" s="21" t="s">
        <v>1034</v>
      </c>
      <c r="D222" s="21" t="s">
        <v>997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1041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1079</v>
      </c>
      <c r="B224" s="21" t="s">
        <v>995</v>
      </c>
      <c r="C224" s="21" t="s">
        <v>1015</v>
      </c>
      <c r="D224" s="21" t="s">
        <v>997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1149</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1041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1008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1150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1041</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1151</v>
      </c>
      <c r="B230" s="21" t="s">
        <v>1067</v>
      </c>
      <c r="C230" s="21" t="s">
        <v>1015</v>
      </c>
      <c r="D230" s="21" t="s">
        <v>997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1008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1060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1004</v>
      </c>
      <c r="B233" s="21" t="s">
        <v>1067</v>
      </c>
      <c r="C233" s="21" t="s">
        <v>1034</v>
      </c>
      <c r="D233" s="21" t="s">
        <v>997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1011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row>
    <row r="236" spans="1:12">
      <c r="A236" s="20" t="s">
        <v>1152</v>
      </c>
    </row>
    <row r="237" spans="1:12">
      <c r="A237" s="20" t="s">
        <v>1153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1041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1061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1135</v>
      </c>
      <c r="B240" s="21" t="s">
        <v>995</v>
      </c>
      <c r="C240" s="21" t="s">
        <v>1034</v>
      </c>
      <c r="D240" s="21" t="s">
        <v>997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1008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1060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1004</v>
      </c>
      <c r="B243" s="21" t="s">
        <v>1005</v>
      </c>
      <c r="C243" s="21" t="s">
        <v>1034</v>
      </c>
      <c r="D243" s="21" t="s">
        <v>997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1154</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1155</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1029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1061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1156</v>
      </c>
      <c r="B248" s="21" t="s">
        <v>1067</v>
      </c>
      <c r="C248" s="21" t="s">
        <v>1034</v>
      </c>
      <c r="D248" s="21" t="s">
        <v>997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1008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1061</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1030</v>
      </c>
      <c r="B251" s="21" t="s">
        <v>1005</v>
      </c>
      <c r="C251" s="21" t="s">
        <v>1034</v>
      </c>
      <c r="D251" s="21" t="s">
        <v>997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1011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row>
    <row r="254" spans="1:12">
      <c r="A254" s="20" t="s">
        <v>1157</v>
      </c>
    </row>
    <row r="255" spans="1:12">
      <c r="A255" s="20" t="s">
        <v>1158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1041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1037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1159</v>
      </c>
      <c r="B258" s="21" t="s">
        <v>995</v>
      </c>
      <c r="C258" s="21" t="s">
        <v>1034</v>
      </c>
      <c r="D258" s="21" t="s">
        <v>997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1008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1032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1160</v>
      </c>
      <c r="B261" s="21" t="s">
        <v>1005</v>
      </c>
      <c r="C261" s="21" t="s">
        <v>1034</v>
      </c>
      <c r="D261" s="21" t="s">
        <v>997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1062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1161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1073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1037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1159</v>
      </c>
      <c r="B266" s="21" t="s">
        <v>1067</v>
      </c>
      <c r="C266" s="21" t="s">
        <v>1034</v>
      </c>
      <c r="D266" s="21" t="s">
        <v>997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1008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1060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1004</v>
      </c>
      <c r="B269" s="21" t="s">
        <v>1005</v>
      </c>
      <c r="C269" s="21" t="s">
        <v>1034</v>
      </c>
      <c r="D269" s="21" t="s">
        <v>997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1011</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1162</v>
      </c>
    </row>
    <row r="273" spans="1:12">
      <c r="A273" s="20" t="s">
        <v>1163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1164</v>
      </c>
      <c r="B274" s="21" t="s">
        <v>995</v>
      </c>
      <c r="C274" s="21" t="s">
        <v>1034</v>
      </c>
      <c r="D274" s="21" t="s">
        <v>997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1008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1061</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1165</v>
      </c>
      <c r="B277" s="21" t="s">
        <v>1005</v>
      </c>
      <c r="C277" s="21" t="s">
        <v>1034</v>
      </c>
      <c r="D277" s="21" t="s">
        <v>997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1154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1166</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1032</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1164</v>
      </c>
      <c r="B281" s="21" t="s">
        <v>1101</v>
      </c>
      <c r="C281" s="21" t="s">
        <v>1034</v>
      </c>
      <c r="D281" s="21" t="s">
        <v>997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1167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1041</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1007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1041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1168</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1109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1037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1087</v>
      </c>
      <c r="B289" s="21" t="s">
        <v>1067</v>
      </c>
      <c r="C289" s="21" t="s">
        <v>1034</v>
      </c>
      <c r="D289" s="21" t="s">
        <v>997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1169</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1041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1044</v>
      </c>
      <c r="B292" s="21" t="s">
        <v>1142</v>
      </c>
      <c r="C292" s="21" t="s">
        <v>996</v>
      </c>
      <c r="D292" s="21" t="s">
        <v>997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1170</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1171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1029</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1144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1172</v>
      </c>
      <c r="B297" s="21" t="s">
        <v>1005</v>
      </c>
      <c r="C297" s="21" t="s">
        <v>1089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1137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1173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1008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1061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1135</v>
      </c>
      <c r="B302" s="21" t="s">
        <v>1010</v>
      </c>
      <c r="C302" s="21" t="s">
        <v>1034</v>
      </c>
      <c r="D302" s="21" t="s">
        <v>997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1008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1060</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1174</v>
      </c>
      <c r="B305" s="21" t="s">
        <v>1024</v>
      </c>
      <c r="C305" s="21" t="s">
        <v>1034</v>
      </c>
      <c r="D305" s="21" t="s">
        <v>997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1041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1007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1175</v>
      </c>
      <c r="B308" s="21" t="s">
        <v>1027</v>
      </c>
      <c r="C308" s="21" t="s">
        <v>1015</v>
      </c>
      <c r="D308" s="21" t="s">
        <v>997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423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237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1029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737</v>
      </c>
      <c r="B312" s="21" t="s">
        <v>1010</v>
      </c>
      <c r="C312" s="21" t="s">
        <v>1015</v>
      </c>
      <c r="D312" s="21" t="s">
        <v>997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1022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1044</v>
      </c>
      <c r="B314" s="21" t="s">
        <v>1114</v>
      </c>
      <c r="C314" s="21" t="s">
        <v>996</v>
      </c>
      <c r="D314" s="21" t="s">
        <v>997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1170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1008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1037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1176</v>
      </c>
      <c r="B318" s="21" t="s">
        <v>1024</v>
      </c>
      <c r="C318" s="21" t="s">
        <v>1034</v>
      </c>
      <c r="D318" s="21" t="s">
        <v>997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1041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1060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1177</v>
      </c>
      <c r="B321" s="21" t="s">
        <v>1024</v>
      </c>
      <c r="C321" s="21" t="s">
        <v>1034</v>
      </c>
      <c r="D321" s="21" t="s">
        <v>997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1178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1041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1022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1044</v>
      </c>
      <c r="B325" s="21" t="s">
        <v>1045</v>
      </c>
      <c r="C325" s="21" t="s">
        <v>996</v>
      </c>
      <c r="D325" s="21" t="s">
        <v>997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1179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1180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1008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1037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1181</v>
      </c>
      <c r="B330" s="21" t="s">
        <v>1182</v>
      </c>
      <c r="C330" s="21" t="s">
        <v>1034</v>
      </c>
      <c r="D330" s="21" t="s">
        <v>997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1183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1007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158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1184</v>
      </c>
      <c r="B334" s="21" t="s">
        <v>1043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1008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1042</v>
      </c>
      <c r="B336" s="21" t="s">
        <v>1092</v>
      </c>
      <c r="C336" s="21" t="s">
        <v>1006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1011</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1185</v>
      </c>
    </row>
    <row r="340" spans="1:12">
      <c r="A340" s="20" t="s">
        <v>1186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1061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1187</v>
      </c>
      <c r="B342" s="21" t="s">
        <v>1067</v>
      </c>
      <c r="C342" s="21" t="s">
        <v>1034</v>
      </c>
      <c r="D342" s="21" t="s">
        <v>997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1188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1041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1116</v>
      </c>
      <c r="B345" s="21" t="s">
        <v>995</v>
      </c>
      <c r="C345" s="21" t="s">
        <v>1133</v>
      </c>
      <c r="D345" s="21" t="s">
        <v>997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1189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1190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1191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1192</v>
      </c>
      <c r="B349" s="21" t="s">
        <v>1067</v>
      </c>
      <c r="C349" s="21" t="s">
        <v>1006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1029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1060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1174</v>
      </c>
      <c r="B352" s="21" t="s">
        <v>1005</v>
      </c>
      <c r="C352" s="21" t="s">
        <v>1034</v>
      </c>
      <c r="D352" s="21" t="s">
        <v>997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1011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row>
    <row r="355" spans="1:12">
      <c r="A355" s="20" t="s">
        <v>1193</v>
      </c>
    </row>
    <row r="356" spans="1:12">
      <c r="A356" s="20" t="s">
        <v>1059</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1041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1069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1168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1030</v>
      </c>
      <c r="B360" s="21" t="s">
        <v>1005</v>
      </c>
      <c r="C360" s="21" t="s">
        <v>1006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1082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1194</v>
      </c>
      <c r="B362" s="21" t="s">
        <v>1027</v>
      </c>
      <c r="C362" s="21" t="s">
        <v>1133</v>
      </c>
      <c r="D362" s="21" t="s">
        <v>997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1195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1196</v>
      </c>
      <c r="B364" s="21" t="s">
        <v>1024</v>
      </c>
      <c r="C364" s="21" t="s">
        <v>1025</v>
      </c>
      <c r="D364" s="21" t="s">
        <v>997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1135</v>
      </c>
      <c r="B365" s="21" t="s">
        <v>1039</v>
      </c>
      <c r="C365" s="21" t="s">
        <v>1028</v>
      </c>
      <c r="D365" s="21" t="s">
        <v>997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1007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1175</v>
      </c>
      <c r="B368" s="21" t="s">
        <v>1045</v>
      </c>
      <c r="C368" s="21" t="s">
        <v>1015</v>
      </c>
      <c r="D368" s="21" t="s">
        <v>997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423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1197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1049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1061</v>
      </c>
      <c r="B372" s="21" t="s">
        <v>1043</v>
      </c>
      <c r="C372" s="21" t="s">
        <v>996</v>
      </c>
      <c r="D372" s="21" t="s">
        <v>997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1198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1191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1044</v>
      </c>
      <c r="B378" s="21" t="s">
        <v>995</v>
      </c>
      <c r="C378" s="21" t="s">
        <v>996</v>
      </c>
      <c r="D378" s="21" t="s">
        <v>997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1046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1199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1029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1144</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1200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1201</v>
      </c>
      <c r="B384" s="21" t="s">
        <v>1005</v>
      </c>
      <c r="C384" s="21" t="s">
        <v>1089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1041</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1007</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1202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1201</v>
      </c>
      <c r="B388" s="21" t="s">
        <v>1142</v>
      </c>
      <c r="C388" s="21" t="s">
        <v>1068</v>
      </c>
      <c r="D388" s="21" t="s">
        <v>997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1035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1061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1203</v>
      </c>
      <c r="B391" s="21" t="s">
        <v>1001</v>
      </c>
      <c r="C391" s="21" t="s">
        <v>1034</v>
      </c>
      <c r="D391" s="21" t="s">
        <v>997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1011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1204</v>
      </c>
    </row>
    <row r="395" spans="1:12">
      <c r="A395" s="20" t="s">
        <v>1076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1203</v>
      </c>
      <c r="B396" s="21" t="s">
        <v>995</v>
      </c>
      <c r="C396" s="21" t="s">
        <v>1034</v>
      </c>
      <c r="D396" s="21" t="s">
        <v>997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1205</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1032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1074</v>
      </c>
      <c r="B399" s="21" t="s">
        <v>1101</v>
      </c>
      <c r="C399" s="21" t="s">
        <v>1034</v>
      </c>
      <c r="D399" s="21" t="s">
        <v>997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1041</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1007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1060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1206</v>
      </c>
      <c r="B403" s="21" t="s">
        <v>1142</v>
      </c>
      <c r="C403" s="21" t="s">
        <v>1034</v>
      </c>
      <c r="D403" s="21" t="s">
        <v>997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1073</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1061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1203</v>
      </c>
      <c r="B406" s="21" t="s">
        <v>1010</v>
      </c>
      <c r="C406" s="21" t="s">
        <v>1034</v>
      </c>
      <c r="D406" s="21" t="s">
        <v>997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423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1069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1207</v>
      </c>
      <c r="B409" s="21" t="s">
        <v>1005</v>
      </c>
      <c r="C409" s="21" t="s">
        <v>1006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1137</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1208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1011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1209</v>
      </c>
    </row>
    <row r="415" spans="1:12">
      <c r="A415" s="20" t="s">
        <v>1210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1000</v>
      </c>
      <c r="B416" s="21" t="s">
        <v>1142</v>
      </c>
      <c r="C416" s="21" t="s">
        <v>996</v>
      </c>
      <c r="D416" s="21" t="s">
        <v>997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1211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1061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1212</v>
      </c>
      <c r="B419" s="21" t="s">
        <v>1001</v>
      </c>
      <c r="C419" s="21" t="s">
        <v>1034</v>
      </c>
      <c r="D419" s="21" t="s">
        <v>997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1008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1061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1203</v>
      </c>
      <c r="B422" s="21" t="s">
        <v>1010</v>
      </c>
      <c r="C422" s="21" t="s">
        <v>1034</v>
      </c>
      <c r="D422" s="21" t="s">
        <v>997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1213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1041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1014</v>
      </c>
      <c r="B425" s="21" t="s">
        <v>995</v>
      </c>
      <c r="C425" s="21" t="s">
        <v>1015</v>
      </c>
      <c r="D425" s="21" t="s">
        <v>997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1120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1029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1144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1214</v>
      </c>
      <c r="B429" s="21" t="s">
        <v>1067</v>
      </c>
      <c r="C429" s="21" t="s">
        <v>1089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1008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1215</v>
      </c>
      <c r="B431" s="21" t="s">
        <v>1005</v>
      </c>
      <c r="C431" s="21" t="s">
        <v>1006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1041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1007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1202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1214</v>
      </c>
      <c r="B435" s="21" t="s">
        <v>1027</v>
      </c>
      <c r="C435" s="21" t="s">
        <v>1068</v>
      </c>
      <c r="D435" s="21" t="s">
        <v>997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1008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1215</v>
      </c>
      <c r="B437" s="21" t="s">
        <v>1024</v>
      </c>
      <c r="C437" s="21" t="s">
        <v>1006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1120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1029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1008</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1037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1216</v>
      </c>
      <c r="B442" s="21" t="s">
        <v>1010</v>
      </c>
      <c r="C442" s="21" t="s">
        <v>1034</v>
      </c>
      <c r="D442" s="21" t="s">
        <v>997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1137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1217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1011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row>
    <row r="447" spans="1:12">
      <c r="A447" s="20" t="s">
        <v>1218</v>
      </c>
    </row>
    <row r="448" spans="1:12">
      <c r="A448" s="20" t="s">
        <v>1219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1037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1216</v>
      </c>
      <c r="B450" s="21" t="s">
        <v>1067</v>
      </c>
      <c r="C450" s="21" t="s">
        <v>1034</v>
      </c>
      <c r="D450" s="21" t="s">
        <v>997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1073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1032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1220</v>
      </c>
      <c r="B453" s="21" t="s">
        <v>1005</v>
      </c>
      <c r="C453" s="21" t="s">
        <v>1034</v>
      </c>
      <c r="D453" s="21" t="s">
        <v>997</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1007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1041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1221</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1222</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1041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1008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1037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1216</v>
      </c>
      <c r="B461" s="21" t="s">
        <v>1005</v>
      </c>
      <c r="C461" s="21" t="s">
        <v>1034</v>
      </c>
      <c r="D461" s="21" t="s">
        <v>997</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1223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1041</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1021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1022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1037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1224</v>
      </c>
      <c r="B467" s="21" t="s">
        <v>995</v>
      </c>
      <c r="C467" s="21" t="s">
        <v>1034</v>
      </c>
      <c r="D467" s="21" t="s">
        <v>997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1225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1095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1226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1097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1227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1228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1029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1065</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1128</v>
      </c>
      <c r="B476" s="21" t="s">
        <v>1005</v>
      </c>
      <c r="C476" s="21" t="s">
        <v>1068</v>
      </c>
      <c r="D476" s="21" t="s">
        <v>997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1229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1041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1007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1230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1194</v>
      </c>
      <c r="B481" s="21" t="s">
        <v>1142</v>
      </c>
      <c r="C481" s="21" t="s">
        <v>1133</v>
      </c>
      <c r="D481" s="21" t="s">
        <v>997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1231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1060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1232</v>
      </c>
      <c r="B484" s="21" t="s">
        <v>1001</v>
      </c>
      <c r="C484" s="21" t="s">
        <v>1028</v>
      </c>
      <c r="D484" s="21" t="s">
        <v>997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1008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1065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1224</v>
      </c>
      <c r="B487" s="21" t="s">
        <v>1010</v>
      </c>
      <c r="C487" s="21" t="s">
        <v>1068</v>
      </c>
      <c r="D487" s="21" t="s">
        <v>997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1011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row>
    <row r="490" spans="1:12">
      <c r="A490" s="20" t="s">
        <v>1233</v>
      </c>
    </row>
    <row r="491" spans="1:12">
      <c r="A491" s="20" t="s">
        <v>1234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423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1235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1022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1073</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1037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1236</v>
      </c>
      <c r="B497" s="21" t="s">
        <v>1067</v>
      </c>
      <c r="C497" s="21" t="s">
        <v>1034</v>
      </c>
      <c r="D497" s="21" t="s">
        <v>997</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1237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1041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1238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1215</v>
      </c>
      <c r="B501" s="21" t="s">
        <v>1005</v>
      </c>
      <c r="C501" s="21" t="s">
        <v>1239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1194</v>
      </c>
      <c r="B502" s="21" t="s">
        <v>1114</v>
      </c>
      <c r="C502" s="21" t="s">
        <v>1133</v>
      </c>
      <c r="D502" s="21" t="s">
        <v>997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1085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1041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1240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1238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1214</v>
      </c>
      <c r="B509" s="21" t="s">
        <v>1112</v>
      </c>
      <c r="C509" s="21" t="s">
        <v>1239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1008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1203</v>
      </c>
      <c r="B511" s="21" t="s">
        <v>1182</v>
      </c>
      <c r="C511" s="21" t="s">
        <v>1006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1041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1007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1029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1241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1242</v>
      </c>
      <c r="B516" s="21" t="s">
        <v>1092</v>
      </c>
      <c r="C516" s="21" t="s">
        <v>1239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1194</v>
      </c>
      <c r="B517" s="21" t="s">
        <v>1243</v>
      </c>
      <c r="C517" s="21" t="s">
        <v>1133</v>
      </c>
      <c r="D517" s="21" t="s">
        <v>997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1085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1008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1037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1216</v>
      </c>
      <c r="B521" s="21" t="s">
        <v>1092</v>
      </c>
      <c r="C521" s="21" t="s">
        <v>1034</v>
      </c>
      <c r="D521" s="21" t="s">
        <v>997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1244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1245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1041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1246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1041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1194</v>
      </c>
      <c r="B527" s="21" t="s">
        <v>1142</v>
      </c>
      <c r="C527" s="21" t="s">
        <v>1133</v>
      </c>
      <c r="D527" s="21" t="s">
        <v>997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1247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1144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1248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1124</v>
      </c>
      <c r="B531" s="21" t="s">
        <v>1001</v>
      </c>
      <c r="C531" s="21" t="s">
        <v>1089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1041</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1249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1097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1250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1011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row>
    <row r="538" spans="1:12">
      <c r="A538" s="20" t="s">
        <v>1251</v>
      </c>
    </row>
    <row r="539" spans="1:12">
      <c r="A539" s="20" t="s">
        <v>1013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1141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1194</v>
      </c>
      <c r="B541" s="21" t="s">
        <v>1142</v>
      </c>
      <c r="C541" s="21" t="s">
        <v>1133</v>
      </c>
      <c r="D541" s="21" t="s">
        <v>997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1095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1252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1097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1061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1254</v>
      </c>
      <c r="B547" s="21" t="s">
        <v>1001</v>
      </c>
      <c r="C547" s="21" t="s">
        <v>1028</v>
      </c>
      <c r="D547" s="21" t="s">
        <v>997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1008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1255</v>
      </c>
      <c r="B549" s="21" t="s">
        <v>1010</v>
      </c>
      <c r="C549" s="21" t="s">
        <v>1006</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1008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1065</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1216</v>
      </c>
      <c r="B552" s="21" t="s">
        <v>1010</v>
      </c>
      <c r="C552" s="21" t="s">
        <v>1068</v>
      </c>
      <c r="D552" s="21" t="s">
        <v>997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1041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1194</v>
      </c>
      <c r="B554" s="21" t="s">
        <v>995</v>
      </c>
      <c r="C554" s="21" t="s">
        <v>1133</v>
      </c>
      <c r="D554" s="21" t="s">
        <v>997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1256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1082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1257</v>
      </c>
      <c r="B557" s="21" t="s">
        <v>1142</v>
      </c>
      <c r="C557" s="21" t="s">
        <v>996</v>
      </c>
      <c r="D557" s="21" t="s">
        <v>997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1130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1063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1258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1011</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1259</v>
      </c>
    </row>
    <row r="564" spans="1:12">
      <c r="A564" s="20" t="s">
        <v>1260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1261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1262</v>
      </c>
      <c r="B566" s="21" t="s">
        <v>1067</v>
      </c>
      <c r="C566" s="21" t="s">
        <v>1239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1041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1263</v>
      </c>
      <c r="B568" s="21" t="s">
        <v>995</v>
      </c>
      <c r="C568" s="21" t="s">
        <v>996</v>
      </c>
      <c r="D568" s="21" t="s">
        <v>997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1264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1265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1029</v>
      </c>
      <c r="B571" s="21" t="s">
        <v>1101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1008</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1037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1266</v>
      </c>
      <c r="B574" s="21" t="s">
        <v>1005</v>
      </c>
      <c r="C574" s="21" t="s">
        <v>1034</v>
      </c>
      <c r="D574" s="21" t="s">
        <v>997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1008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1267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1268</v>
      </c>
      <c r="B577" s="21" t="s">
        <v>1010</v>
      </c>
      <c r="C577" s="21" t="s">
        <v>1006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1227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1083</v>
      </c>
      <c r="B579" s="21" t="s">
        <v>1142</v>
      </c>
      <c r="C579" s="21" t="s">
        <v>996</v>
      </c>
      <c r="D579" s="21" t="s">
        <v>997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1269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1270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1271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1272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1029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1273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1008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1274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1275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1276</v>
      </c>
    </row>
    <row r="591" spans="1:12">
      <c r="A591" s="20" t="s">
        <v>1277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1016</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1278</v>
      </c>
      <c r="B593" s="21" t="s">
        <v>995</v>
      </c>
      <c r="C593" s="21" t="s">
        <v>1133</v>
      </c>
      <c r="D593" s="21" t="s">
        <v>997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1097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1117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1279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1008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1032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1280</v>
      </c>
      <c r="B599" s="21" t="s">
        <v>1005</v>
      </c>
      <c r="C599" s="21" t="s">
        <v>1034</v>
      </c>
      <c r="D599" s="21" t="s">
        <v>997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1103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1008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1061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1281</v>
      </c>
      <c r="B603" s="21" t="s">
        <v>1010</v>
      </c>
      <c r="C603" s="21" t="s">
        <v>1034</v>
      </c>
      <c r="D603" s="21" t="s">
        <v>997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1275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1282</v>
      </c>
    </row>
    <row r="607" spans="1:12">
      <c r="A607" s="20" t="s">
        <v>1013</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1032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1283</v>
      </c>
      <c r="B609" s="21" t="s">
        <v>995</v>
      </c>
      <c r="C609" s="21" t="s">
        <v>1034</v>
      </c>
      <c r="D609" s="21" t="s">
        <v>997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423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1022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1041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1272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1029</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1079</v>
      </c>
      <c r="B615" s="21" t="s">
        <v>1067</v>
      </c>
      <c r="C615" s="21" t="s">
        <v>1015</v>
      </c>
      <c r="D615" s="21" t="s">
        <v>997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1022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1044</v>
      </c>
      <c r="B617" s="21" t="s">
        <v>1027</v>
      </c>
      <c r="C617" s="21" t="s">
        <v>996</v>
      </c>
      <c r="D617" s="21" t="s">
        <v>997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1284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1008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1274</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1041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1032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1215</v>
      </c>
      <c r="B623" s="21" t="s">
        <v>1027</v>
      </c>
      <c r="C623" s="21" t="s">
        <v>1034</v>
      </c>
      <c r="D623" s="21" t="s">
        <v>997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1285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1029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205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1011</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row>
    <row r="629" spans="1:12">
      <c r="A629" s="20" t="s">
        <v>1286</v>
      </c>
    </row>
    <row r="630" spans="1:12">
      <c r="A630" s="20" t="s">
        <v>1013</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1287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1175</v>
      </c>
      <c r="B632" s="21" t="s">
        <v>995</v>
      </c>
      <c r="C632" s="21" t="s">
        <v>1015</v>
      </c>
      <c r="D632" s="21" t="s">
        <v>997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423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1018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1288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1289</v>
      </c>
      <c r="B636" s="21" t="s">
        <v>1067</v>
      </c>
      <c r="C636" s="21" t="s">
        <v>1089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1011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row>
    <row r="639" spans="1:12">
      <c r="A639" s="20" t="s">
        <v>1290</v>
      </c>
    </row>
    <row r="640" spans="1:12">
      <c r="A640" s="20" t="s">
        <v>1234</v>
      </c>
      <c r="B640" s="21" t="s">
        <v>995</v>
      </c>
      <c r="C640" s="21" t="s">
        <v>1015</v>
      </c>
      <c r="D640" s="21" t="s">
        <v>997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423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1137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1291</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1022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1008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338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1082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1194</v>
      </c>
      <c r="B648" s="21" t="s">
        <v>1027</v>
      </c>
      <c r="C648" s="21" t="s">
        <v>1133</v>
      </c>
      <c r="D648" s="21" t="s">
        <v>997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423</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1018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1292</v>
      </c>
      <c r="B651" s="21" t="s">
        <v>1005</v>
      </c>
      <c r="C651" s="21" t="s">
        <v>1089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1008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1293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1294</v>
      </c>
      <c r="B654" s="21" t="s">
        <v>1010</v>
      </c>
      <c r="C654" s="21" t="s">
        <v>1295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1008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1267</v>
      </c>
      <c r="B656" s="21" t="s">
        <v>1024</v>
      </c>
      <c r="C656" s="21" t="s">
        <v>1006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1296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1008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1297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1298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1018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1299</v>
      </c>
      <c r="B662" s="21" t="s">
        <v>1112</v>
      </c>
      <c r="C662" s="21" t="s">
        <v>1089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1008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1294</v>
      </c>
      <c r="B665" s="21" t="s">
        <v>1182</v>
      </c>
      <c r="C665" s="21" t="s">
        <v>1295</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1041</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1082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1194</v>
      </c>
      <c r="B669" s="21" t="s">
        <v>1114</v>
      </c>
      <c r="C669" s="21" t="s">
        <v>1133</v>
      </c>
      <c r="D669" s="21" t="s">
        <v>997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1189</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1300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1061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481</v>
      </c>
      <c r="B673" s="21" t="s">
        <v>1301</v>
      </c>
      <c r="C673" s="21" t="s">
        <v>1034</v>
      </c>
      <c r="D673" s="21" t="s">
        <v>997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1008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1227</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1084</v>
      </c>
      <c r="B676" s="21" t="s">
        <v>1053</v>
      </c>
      <c r="C676" s="21" t="s">
        <v>1133</v>
      </c>
      <c r="D676" s="21" t="s">
        <v>997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1302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1011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row>
    <row r="680" spans="1:12">
      <c r="A680" s="20" t="s">
        <v>1303</v>
      </c>
    </row>
    <row r="681" spans="1:12">
      <c r="A681" s="20" t="s">
        <v>1304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1041</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1175</v>
      </c>
      <c r="B683" s="21" t="s">
        <v>995</v>
      </c>
      <c r="C683" s="21" t="s">
        <v>1015</v>
      </c>
      <c r="D683" s="21" t="s">
        <v>997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423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1305</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1146</v>
      </c>
      <c r="B686" s="21" t="s">
        <v>1067</v>
      </c>
      <c r="C686" s="21" t="s">
        <v>1239</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1080</v>
      </c>
      <c r="B687" s="21" t="s">
        <v>1142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1306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1307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1029</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1274</v>
      </c>
      <c r="B691" s="21" t="s">
        <v>1010</v>
      </c>
      <c r="C691" s="21" t="s">
        <v>1006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1308</v>
      </c>
    </row>
    <row r="695" spans="1:12">
      <c r="A695" s="20" t="s">
        <v>1309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1310</v>
      </c>
      <c r="B696" s="21" t="s">
        <v>1067</v>
      </c>
      <c r="C696" s="21" t="s">
        <v>1239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1041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1044</v>
      </c>
      <c r="B698" s="21" t="s">
        <v>995</v>
      </c>
      <c r="C698" s="21" t="s">
        <v>996</v>
      </c>
      <c r="D698" s="21" t="s">
        <v>997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1311</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1144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1312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1313</v>
      </c>
      <c r="B702" s="21" t="s">
        <v>1101</v>
      </c>
      <c r="C702" s="21" t="s">
        <v>1089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1008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1203</v>
      </c>
      <c r="B704" s="21" t="s">
        <v>1005</v>
      </c>
      <c r="C704" s="21" t="s">
        <v>1006</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1041</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1054</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1008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113</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1052</v>
      </c>
      <c r="B709" s="21" t="s">
        <v>1005</v>
      </c>
      <c r="C709" s="21" t="s">
        <v>1295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1008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1314</v>
      </c>
      <c r="B711" s="21" t="s">
        <v>1010</v>
      </c>
      <c r="C711" s="21" t="s">
        <v>1006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1011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row>
    <row r="714" spans="1:12">
      <c r="A714" s="20" t="s">
        <v>1315</v>
      </c>
    </row>
    <row r="715" spans="1:12">
      <c r="A715" s="20" t="s">
        <v>1316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1317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1318</v>
      </c>
      <c r="B717" s="21" t="s">
        <v>1067</v>
      </c>
      <c r="C717" s="21" t="s">
        <v>1239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1041</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737</v>
      </c>
      <c r="B719" s="21" t="s">
        <v>995</v>
      </c>
      <c r="C719" s="21" t="s">
        <v>1015</v>
      </c>
      <c r="D719" s="21" t="s">
        <v>997</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1319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1273</v>
      </c>
      <c r="B721" s="21" t="s">
        <v>1101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1008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1320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1314</v>
      </c>
      <c r="B724" s="21" t="s">
        <v>1005</v>
      </c>
      <c r="C724" s="21" t="s">
        <v>1295</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1011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row>
    <row r="727" spans="1:12">
      <c r="A727" s="20" t="s">
        <v>1321</v>
      </c>
    </row>
    <row r="728" spans="1:12">
      <c r="A728" s="20" t="s">
        <v>1316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1018</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1322</v>
      </c>
      <c r="B730" s="21" t="s">
        <v>1067</v>
      </c>
      <c r="C730" s="21" t="s">
        <v>1089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1003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1018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1323</v>
      </c>
      <c r="B733" s="21" t="s">
        <v>1005</v>
      </c>
      <c r="C733" s="21" t="s">
        <v>1089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1324</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1041</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1175</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423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1325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1003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1144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1326</v>
      </c>
      <c r="B741" s="21" t="s">
        <v>1067</v>
      </c>
      <c r="C741" s="21" t="s">
        <v>1089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1011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1327</v>
      </c>
    </row>
    <row r="745" spans="1:12">
      <c r="A745" s="20" t="s">
        <v>1163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1328</v>
      </c>
      <c r="B746" s="21" t="s">
        <v>995</v>
      </c>
      <c r="C746" s="21" t="s">
        <v>1034</v>
      </c>
      <c r="D746" s="21" t="s">
        <v>997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423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1003</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1329</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1330</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1314</v>
      </c>
      <c r="B751" s="21" t="s">
        <v>1067</v>
      </c>
      <c r="C751" s="21" t="s">
        <v>1295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1191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1331</v>
      </c>
      <c r="B753" s="21" t="s">
        <v>1067</v>
      </c>
      <c r="C753" s="21" t="s">
        <v>1006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1073</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1032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1074</v>
      </c>
      <c r="B756" s="21" t="s">
        <v>1067</v>
      </c>
      <c r="C756" s="21" t="s">
        <v>1034</v>
      </c>
      <c r="D756" s="21" t="s">
        <v>997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1011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1332</v>
      </c>
    </row>
    <row r="760" spans="1:12">
      <c r="A760" s="20" t="s">
        <v>1013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1194</v>
      </c>
      <c r="B761" s="21" t="s">
        <v>995</v>
      </c>
      <c r="C761" s="21" t="s">
        <v>1133</v>
      </c>
      <c r="D761" s="21" t="s">
        <v>997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1306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1300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1061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481</v>
      </c>
      <c r="B765" s="21" t="s">
        <v>1001</v>
      </c>
      <c r="C765" s="21" t="s">
        <v>1034</v>
      </c>
      <c r="D765" s="21" t="s">
        <v>997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1003</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354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1037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1128</v>
      </c>
      <c r="B769" s="21" t="s">
        <v>1088</v>
      </c>
      <c r="C769" s="21" t="s">
        <v>1034</v>
      </c>
      <c r="D769" s="21" t="s">
        <v>997</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1049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1271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1029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1274</v>
      </c>
      <c r="B773" s="21" t="s">
        <v>1112</v>
      </c>
      <c r="C773" s="21" t="s">
        <v>1006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1011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row>
    <row r="776" spans="1:12">
      <c r="A776" s="20" t="s">
        <v>1333</v>
      </c>
    </row>
    <row r="777" spans="1:12">
      <c r="A777" s="20" t="s">
        <v>1334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1214</v>
      </c>
      <c r="B778" s="21" t="s">
        <v>995</v>
      </c>
      <c r="C778" s="21" t="s">
        <v>1034</v>
      </c>
      <c r="D778" s="21" t="s">
        <v>997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1154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1335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1336</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1011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row>
    <row r="784" spans="1:12">
      <c r="A784" s="20" t="s">
        <v>1337</v>
      </c>
    </row>
    <row r="785" spans="1:12">
      <c r="A785" s="20" t="s">
        <v>1338</v>
      </c>
      <c r="B785" s="21" t="s">
        <v>995</v>
      </c>
      <c r="C785" s="21" t="s">
        <v>1015</v>
      </c>
      <c r="D785" s="21" t="s">
        <v>997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1339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423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1082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1029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1340</v>
      </c>
      <c r="B790" s="21" t="s">
        <v>1067</v>
      </c>
      <c r="C790" s="21" t="s">
        <v>1006</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1008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1341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1128</v>
      </c>
      <c r="B793" s="21" t="s">
        <v>1067</v>
      </c>
      <c r="C793" s="21" t="s">
        <v>1239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1342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1022</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737</v>
      </c>
      <c r="B796" s="21" t="s">
        <v>1027</v>
      </c>
      <c r="C796" s="21" t="s">
        <v>1015</v>
      </c>
      <c r="D796" s="21" t="s">
        <v>997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1227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423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1343</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1041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1230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1044</v>
      </c>
      <c r="B802" s="21" t="s">
        <v>1142</v>
      </c>
      <c r="C802" s="21" t="s">
        <v>996</v>
      </c>
      <c r="D802" s="21" t="s">
        <v>997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1046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1287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1297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1003</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1144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1344</v>
      </c>
      <c r="B808" s="21" t="s">
        <v>1010</v>
      </c>
      <c r="C808" s="21" t="s">
        <v>1089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1173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1029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1144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1345</v>
      </c>
      <c r="B812" s="21" t="s">
        <v>1024</v>
      </c>
      <c r="C812" s="21" t="s">
        <v>1089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1041</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1272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1029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1271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1029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1274</v>
      </c>
      <c r="B818" s="21" t="s">
        <v>1112</v>
      </c>
      <c r="C818" s="21" t="s">
        <v>1006</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1011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row>
    <row r="821" spans="1:12">
      <c r="A821" s="20" t="s">
        <v>1346</v>
      </c>
    </row>
    <row r="822" spans="1:12">
      <c r="A822" s="20" t="s">
        <v>1347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1206</v>
      </c>
      <c r="B823" s="21" t="s">
        <v>995</v>
      </c>
      <c r="C823" s="21" t="s">
        <v>1068</v>
      </c>
      <c r="D823" s="21" t="s">
        <v>997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1154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1348</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1349</v>
      </c>
      <c r="B826" s="21" t="s">
        <v>1101</v>
      </c>
      <c r="C826" s="21" t="s">
        <v>1295</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1011</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row>
    <row r="829" spans="1:12">
      <c r="A829" s="20" t="s">
        <v>1350</v>
      </c>
    </row>
    <row r="830" spans="1:12">
      <c r="A830" s="20" t="s">
        <v>1351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1018</v>
      </c>
      <c r="B831" s="21" t="s">
        <v>1101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1019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1008</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1352</v>
      </c>
      <c r="B834" s="21" t="s">
        <v>1005</v>
      </c>
      <c r="C834" s="21" t="s">
        <v>1006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1011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row>
    <row r="837" spans="1:12">
      <c r="A837" s="20" t="s">
        <v>1353</v>
      </c>
    </row>
    <row r="838" spans="1:12">
      <c r="A838" s="20" t="s">
        <v>1354</v>
      </c>
      <c r="B838" s="21" t="s">
        <v>995</v>
      </c>
      <c r="C838" s="21" t="s">
        <v>1095</v>
      </c>
      <c r="D838" s="21" t="s">
        <v>997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1041</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1194</v>
      </c>
      <c r="B840" s="21" t="s">
        <v>1005</v>
      </c>
      <c r="C840" s="21" t="s">
        <v>1133</v>
      </c>
      <c r="D840" s="21" t="s">
        <v>997</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1154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1305</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1146</v>
      </c>
      <c r="B843" s="21" t="s">
        <v>1101</v>
      </c>
      <c r="C843" s="21" t="s">
        <v>1239</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1029</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1355</v>
      </c>
      <c r="B845" s="21" t="s">
        <v>1005</v>
      </c>
      <c r="C845" s="21" t="s">
        <v>1006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1041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1061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1203</v>
      </c>
      <c r="B848" s="21" t="s">
        <v>1067</v>
      </c>
      <c r="C848" s="21" t="s">
        <v>1034</v>
      </c>
      <c r="D848" s="21" t="s">
        <v>997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1041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1082</v>
      </c>
      <c r="B850" s="21" t="s">
        <v>1039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1194</v>
      </c>
      <c r="B851" s="21" t="s">
        <v>1027</v>
      </c>
      <c r="C851" s="21" t="s">
        <v>1133</v>
      </c>
      <c r="D851" s="21" t="s">
        <v>997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1356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1147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1029</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1274</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1041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1007</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737</v>
      </c>
      <c r="B858" s="21" t="s">
        <v>1142</v>
      </c>
      <c r="C858" s="21" t="s">
        <v>1015</v>
      </c>
      <c r="D858" s="21" t="s">
        <v>997</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1189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1357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1073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1061</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1358</v>
      </c>
      <c r="B864" s="21" t="s">
        <v>1010</v>
      </c>
      <c r="C864" s="21" t="s">
        <v>1034</v>
      </c>
      <c r="D864" s="21" t="s">
        <v>997</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1008</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1066</v>
      </c>
      <c r="B866" s="21" t="s">
        <v>1024</v>
      </c>
      <c r="C866" s="21" t="s">
        <v>1006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1041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1037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1359</v>
      </c>
      <c r="B869" s="21" t="s">
        <v>1039</v>
      </c>
      <c r="C869" s="21" t="s">
        <v>1034</v>
      </c>
      <c r="D869" s="21" t="s">
        <v>997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1022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1317</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1331</v>
      </c>
      <c r="B872" s="21" t="s">
        <v>1024</v>
      </c>
      <c r="C872" s="21" t="s">
        <v>1239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1360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1041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1069</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1328</v>
      </c>
      <c r="B876" s="21" t="s">
        <v>1010</v>
      </c>
      <c r="C876" s="21" t="s">
        <v>1006</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1041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1060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1004</v>
      </c>
      <c r="B879" s="21" t="s">
        <v>1039</v>
      </c>
      <c r="C879" s="21" t="s">
        <v>1034</v>
      </c>
      <c r="D879" s="21" t="s">
        <v>997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1361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1069</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1328</v>
      </c>
      <c r="B882" s="21" t="s">
        <v>1112</v>
      </c>
      <c r="C882" s="21" t="s">
        <v>1006</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1049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1317</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1362</v>
      </c>
      <c r="B885" s="21" t="s">
        <v>1112</v>
      </c>
      <c r="C885" s="21" t="s">
        <v>1239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1041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1007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1061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1203</v>
      </c>
      <c r="B889" s="21" t="s">
        <v>1010</v>
      </c>
      <c r="C889" s="21" t="s">
        <v>1034</v>
      </c>
      <c r="D889" s="21" t="s">
        <v>997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1213</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1041</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1191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1363</v>
      </c>
      <c r="B893" s="21" t="s">
        <v>1024</v>
      </c>
      <c r="C893" s="21" t="s">
        <v>1006</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1003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1004</v>
      </c>
      <c r="B895" s="21" t="s">
        <v>1112</v>
      </c>
      <c r="C895" s="21" t="s">
        <v>1006</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1011</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row>
    <row r="898" spans="1:12">
      <c r="A898" s="20" t="s">
        <v>1364</v>
      </c>
    </row>
    <row r="899" spans="1:12">
      <c r="A899" s="20" t="s">
        <v>1365</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1041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1366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1367</v>
      </c>
      <c r="B902" s="21" t="s">
        <v>995</v>
      </c>
      <c r="C902" s="21" t="s">
        <v>996</v>
      </c>
      <c r="D902" s="21" t="s">
        <v>997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1073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1368</v>
      </c>
      <c r="B904" s="21" t="s">
        <v>1067</v>
      </c>
      <c r="C904" s="21" t="s">
        <v>1133</v>
      </c>
      <c r="D904" s="21" t="s">
        <v>997</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1008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1065</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1369</v>
      </c>
      <c r="B907" s="21" t="s">
        <v>1005</v>
      </c>
      <c r="C907" s="21" t="s">
        <v>1068</v>
      </c>
      <c r="D907" s="21" t="s">
        <v>997</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1041</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1007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1370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1371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1194</v>
      </c>
      <c r="B912" s="21" t="s">
        <v>1027</v>
      </c>
      <c r="C912" s="21" t="s">
        <v>1133</v>
      </c>
      <c r="D912" s="21" t="s">
        <v>997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1016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1147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1061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1372</v>
      </c>
      <c r="B916" s="21" t="s">
        <v>1088</v>
      </c>
      <c r="C916" s="21" t="s">
        <v>1034</v>
      </c>
      <c r="D916" s="21" t="s">
        <v>997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1029</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1274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1011</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1373</v>
      </c>
    </row>
    <row r="922" spans="1:12">
      <c r="A922" s="20" t="s">
        <v>1099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1374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1375</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1022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1060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1018</v>
      </c>
      <c r="B927" s="21" t="s">
        <v>1142</v>
      </c>
      <c r="C927" s="21" t="s">
        <v>1133</v>
      </c>
      <c r="D927" s="21" t="s">
        <v>997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1008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1065</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1236</v>
      </c>
      <c r="B930" s="21" t="s">
        <v>1010</v>
      </c>
      <c r="C930" s="21" t="s">
        <v>1068</v>
      </c>
      <c r="D930" s="21" t="s">
        <v>997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1376</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1116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1377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1008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1274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1011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row>
    <row r="938" spans="1:12">
      <c r="A938" s="20" t="s">
        <v>1378</v>
      </c>
    </row>
    <row r="939" spans="1:12">
      <c r="A939" s="20" t="s">
        <v>1234</v>
      </c>
      <c r="B939" s="21" t="s">
        <v>995</v>
      </c>
      <c r="C939" s="21" t="s">
        <v>1015</v>
      </c>
      <c r="D939" s="21" t="s">
        <v>997</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423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1008</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1061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1268</v>
      </c>
      <c r="B943" s="21" t="s">
        <v>1067</v>
      </c>
      <c r="C943" s="21" t="s">
        <v>1034</v>
      </c>
      <c r="D943" s="21" t="s">
        <v>997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1008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1060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1379</v>
      </c>
      <c r="B946" s="21" t="s">
        <v>1067</v>
      </c>
      <c r="C946" s="21" t="s">
        <v>1034</v>
      </c>
      <c r="D946" s="21" t="s">
        <v>997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1008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1061</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1380</v>
      </c>
      <c r="B949" s="21" t="s">
        <v>1005</v>
      </c>
      <c r="C949" s="21" t="s">
        <v>1034</v>
      </c>
      <c r="D949" s="21" t="s">
        <v>997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1041</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1249</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1381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1018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1382</v>
      </c>
      <c r="B954" s="21" t="s">
        <v>1001</v>
      </c>
      <c r="C954" s="21" t="s">
        <v>1089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1003</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1383</v>
      </c>
      <c r="B956" s="21" t="s">
        <v>1010</v>
      </c>
      <c r="C956" s="21" t="s">
        <v>1006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1011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row>
    <row r="959" spans="1:12">
      <c r="A959" s="20" t="s">
        <v>1384</v>
      </c>
    </row>
    <row r="960" spans="1:12">
      <c r="A960" s="20" t="s">
        <v>1385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1386</v>
      </c>
      <c r="B961" s="21" t="s">
        <v>1005</v>
      </c>
      <c r="C961" s="21" t="s">
        <v>1006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1044</v>
      </c>
      <c r="B962" s="21" t="s">
        <v>995</v>
      </c>
      <c r="C962" s="21" t="s">
        <v>996</v>
      </c>
      <c r="D962" s="21" t="s">
        <v>997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1170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1032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1387</v>
      </c>
      <c r="B965" s="21" t="s">
        <v>1067</v>
      </c>
      <c r="C965" s="21" t="s">
        <v>1034</v>
      </c>
      <c r="D965" s="21" t="s">
        <v>997</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1011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row>
    <row r="968" spans="1:12">
      <c r="A968" s="20" t="s">
        <v>1388</v>
      </c>
    </row>
    <row r="969" spans="1:12">
      <c r="A969" s="20" t="s">
        <v>1076</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1187</v>
      </c>
      <c r="B970" s="21" t="s">
        <v>995</v>
      </c>
      <c r="C970" s="21" t="s">
        <v>1034</v>
      </c>
      <c r="D970" s="21" t="s">
        <v>997</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1389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999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1390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1052</v>
      </c>
      <c r="B974" s="21" t="s">
        <v>1101</v>
      </c>
      <c r="C974" s="21" t="s">
        <v>1295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1008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1066</v>
      </c>
      <c r="B976" s="21" t="s">
        <v>1005</v>
      </c>
      <c r="C976" s="21" t="s">
        <v>1006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1011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row r="979" spans="1:12">
      <c r="A979" s="20" t="s">
        <v>1391</v>
      </c>
    </row>
    <row r="980" spans="1:12">
      <c r="A980" s="20" t="s">
        <v>1392</v>
      </c>
      <c r="B980" s="21" t="s">
        <v>995</v>
      </c>
      <c r="C980" s="21" t="s">
        <v>1133</v>
      </c>
      <c r="D980" s="21" t="s">
        <v>997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1393</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1394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1037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45</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1052</v>
      </c>
      <c r="B985" s="21" t="s">
        <v>1001</v>
      </c>
      <c r="C985" s="21" t="s">
        <v>1034</v>
      </c>
      <c r="D985" s="21" t="s">
        <v>997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1011</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row>
    <row r="988" spans="1:12">
      <c r="A988" s="20" t="s">
        <v>1395</v>
      </c>
    </row>
    <row r="989" spans="1:12">
      <c r="A989" s="20" t="s">
        <v>1396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1008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1137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1397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1398</v>
      </c>
      <c r="B993" s="21" t="s">
        <v>1067</v>
      </c>
      <c r="C993" s="21" t="s">
        <v>1089</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1073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1037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1399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1038</v>
      </c>
      <c r="B997" s="21" t="s">
        <v>1005</v>
      </c>
      <c r="C997" s="21" t="s">
        <v>1034</v>
      </c>
      <c r="D997" s="21" t="s">
        <v>997</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1041</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1037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1400</v>
      </c>
      <c r="B1000" s="21" t="s">
        <v>1067</v>
      </c>
      <c r="C1000" s="21" t="s">
        <v>1034</v>
      </c>
      <c r="D1000" s="21" t="s">
        <v>997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1008</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1401</v>
      </c>
      <c r="B1002" s="21" t="s">
        <v>1005</v>
      </c>
      <c r="C1002" s="21" t="s">
        <v>1006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1041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1061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1402</v>
      </c>
      <c r="B1005" s="21" t="s">
        <v>1005</v>
      </c>
      <c r="C1005" s="21" t="s">
        <v>1034</v>
      </c>
      <c r="D1005" s="21" t="s">
        <v>997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1008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1037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1403</v>
      </c>
      <c r="B1008" s="21" t="s">
        <v>1010</v>
      </c>
      <c r="C1008" s="21" t="s">
        <v>1034</v>
      </c>
      <c r="D1008" s="21" t="s">
        <v>997</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1041</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1194</v>
      </c>
      <c r="B1010" s="21" t="s">
        <v>995</v>
      </c>
      <c r="C1010" s="21" t="s">
        <v>1133</v>
      </c>
      <c r="D1010" s="21" t="s">
        <v>997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1404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1061</v>
      </c>
      <c r="B1012" s="21" t="s">
        <v>1001</v>
      </c>
      <c r="C1012" s="21" t="s">
        <v>996</v>
      </c>
      <c r="D1012" s="21" t="s">
        <v>997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1147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1008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1041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1221</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1041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1103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72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1049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1405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1041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1249</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1194</v>
      </c>
      <c r="B1025" s="21" t="s">
        <v>1142</v>
      </c>
      <c r="C1025" s="21" t="s">
        <v>1133</v>
      </c>
      <c r="D1025" s="21" t="s">
        <v>997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1406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1018</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1407</v>
      </c>
      <c r="B1028" s="21" t="s">
        <v>1001</v>
      </c>
      <c r="C1028" s="21" t="s">
        <v>1089</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1003</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1214</v>
      </c>
      <c r="B1030" s="21" t="s">
        <v>1010</v>
      </c>
      <c r="C1030" s="21" t="s">
        <v>1006</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1003</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1329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1408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1011</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row>
    <row r="1036" spans="1:12">
      <c r="A1036" s="20" t="s">
        <v>1409</v>
      </c>
    </row>
    <row r="1037" spans="1:12">
      <c r="A1037" s="20" t="s">
        <v>1076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1410</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1407</v>
      </c>
      <c r="B1039" s="21" t="s">
        <v>995</v>
      </c>
      <c r="C1039" s="21" t="s">
        <v>1034</v>
      </c>
      <c r="D1039" s="21" t="s">
        <v>997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1035</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1037</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1359</v>
      </c>
      <c r="B1042" s="21" t="s">
        <v>1101</v>
      </c>
      <c r="C1042" s="21" t="s">
        <v>1034</v>
      </c>
      <c r="D1042" s="21" t="s">
        <v>997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1022</v>
      </c>
      <c r="B1043" s="21" t="s">
        <v>1039</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1044</v>
      </c>
      <c r="B1044" s="21" t="s">
        <v>1027</v>
      </c>
      <c r="C1044" s="21" t="s">
        <v>996</v>
      </c>
      <c r="D1044" s="21" t="s">
        <v>997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1411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1011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1412</v>
      </c>
    </row>
    <row r="1049" spans="1:12">
      <c r="A1049" s="20" t="s">
        <v>1123</v>
      </c>
      <c r="B1049" s="21" t="s">
        <v>995</v>
      </c>
      <c r="C1049" s="21" t="s">
        <v>1015</v>
      </c>
      <c r="D1049" s="21" t="s">
        <v>997</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1413</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1116</v>
      </c>
      <c r="B1051" s="21" t="s">
        <v>1101</v>
      </c>
      <c r="C1051" s="21" t="s">
        <v>1133</v>
      </c>
      <c r="D1051" s="21" t="s">
        <v>997</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1041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1032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1414</v>
      </c>
      <c r="B1054" s="21" t="s">
        <v>1005</v>
      </c>
      <c r="C1054" s="21" t="s">
        <v>1034</v>
      </c>
      <c r="D1054" s="21" t="s">
        <v>997</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1022</v>
      </c>
      <c r="B1055" s="21" t="s">
        <v>1088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1044</v>
      </c>
      <c r="B1056" s="21" t="s">
        <v>1114</v>
      </c>
      <c r="C1056" s="21" t="s">
        <v>996</v>
      </c>
      <c r="D1056" s="21" t="s">
        <v>997</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1415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1041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1037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1416</v>
      </c>
      <c r="B1060" s="21" t="s">
        <v>1067</v>
      </c>
      <c r="C1060" s="21" t="s">
        <v>1034</v>
      </c>
      <c r="D1060" s="21" t="s">
        <v>997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1041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1032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1417</v>
      </c>
      <c r="B1063" s="21" t="s">
        <v>1005</v>
      </c>
      <c r="C1063" s="21" t="s">
        <v>1034</v>
      </c>
      <c r="D1063" s="21" t="s">
        <v>997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1041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1061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1418</v>
      </c>
      <c r="B1066" s="21" t="s">
        <v>1005</v>
      </c>
      <c r="C1066" s="21" t="s">
        <v>1034</v>
      </c>
      <c r="D1066" s="21" t="s">
        <v>997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1011</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row>
    <row r="1069" spans="1:12">
      <c r="A1069" s="20" t="s">
        <v>1419</v>
      </c>
    </row>
    <row r="1070" spans="1:12">
      <c r="A1070" s="20" t="s">
        <v>1338</v>
      </c>
      <c r="B1070" s="21" t="s">
        <v>1142</v>
      </c>
      <c r="C1070" s="21" t="s">
        <v>1015</v>
      </c>
      <c r="D1070" s="21" t="s">
        <v>997</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1062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1008</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1137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1420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1042</v>
      </c>
      <c r="B1075" s="21" t="s">
        <v>995</v>
      </c>
      <c r="C1075" s="21" t="s">
        <v>1089</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1041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1007</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1077</v>
      </c>
      <c r="B1078" s="21" t="s">
        <v>1039</v>
      </c>
      <c r="C1078" s="21" t="s">
        <v>996</v>
      </c>
      <c r="D1078" s="21" t="s">
        <v>997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1421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1008</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1032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1148</v>
      </c>
      <c r="B1082" s="21" t="s">
        <v>1010</v>
      </c>
      <c r="C1082" s="21" t="s">
        <v>1034</v>
      </c>
      <c r="D1082" s="21" t="s">
        <v>997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1081</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18</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1422</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1065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1359</v>
      </c>
      <c r="B1087" s="21" t="s">
        <v>1039</v>
      </c>
      <c r="C1087" s="21" t="s">
        <v>1068</v>
      </c>
      <c r="D1087" s="21" t="s">
        <v>997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1029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1423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1116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1061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1187</v>
      </c>
      <c r="B1092" s="21" t="s">
        <v>1010</v>
      </c>
      <c r="C1092" s="21" t="s">
        <v>1034</v>
      </c>
      <c r="D1092" s="21" t="s">
        <v>997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1073</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1032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1074</v>
      </c>
      <c r="B1095" s="21" t="s">
        <v>1024</v>
      </c>
      <c r="C1095" s="21" t="s">
        <v>1034</v>
      </c>
      <c r="D1095" s="21" t="s">
        <v>997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1011</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1424</v>
      </c>
    </row>
    <row r="1099" spans="1:12">
      <c r="A1099" s="20" t="s">
        <v>1013</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1175</v>
      </c>
      <c r="B1100" s="21" t="s">
        <v>1142</v>
      </c>
      <c r="C1100" s="21" t="s">
        <v>1015</v>
      </c>
      <c r="D1100" s="21" t="s">
        <v>997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423</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1144</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1425</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1146</v>
      </c>
      <c r="B1104" s="21" t="s">
        <v>995</v>
      </c>
      <c r="C1104" s="21" t="s">
        <v>1089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1022</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1079</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1426</v>
      </c>
      <c r="B1107" s="21" t="s">
        <v>1005</v>
      </c>
      <c r="C1107" s="21" t="s">
        <v>1068</v>
      </c>
      <c r="D1107" s="21" t="s">
        <v>997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1427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1011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1428</v>
      </c>
    </row>
    <row r="1112" spans="1:12">
      <c r="A1112" s="20" t="s">
        <v>1186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1061</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1187</v>
      </c>
      <c r="B1114" s="21" t="s">
        <v>1067</v>
      </c>
      <c r="C1114" s="21" t="s">
        <v>1034</v>
      </c>
      <c r="D1114" s="21" t="s">
        <v>997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1188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1041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1221</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1061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1429</v>
      </c>
      <c r="B1119" s="21" t="s">
        <v>1010</v>
      </c>
      <c r="C1119" s="21" t="s">
        <v>1034</v>
      </c>
      <c r="D1119" s="21" t="s">
        <v>997</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1008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1061</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1267</v>
      </c>
      <c r="B1122" s="21" t="s">
        <v>1024</v>
      </c>
      <c r="C1122" s="21" t="s">
        <v>1034</v>
      </c>
      <c r="D1122" s="21" t="s">
        <v>997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1041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1044</v>
      </c>
      <c r="B1124" s="21" t="s">
        <v>1101</v>
      </c>
      <c r="C1124" s="21" t="s">
        <v>996</v>
      </c>
      <c r="D1124" s="21" t="s">
        <v>997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1430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1375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1037</v>
      </c>
      <c r="B1127" s="21" t="s">
        <v>1001</v>
      </c>
      <c r="C1127" s="21" t="s">
        <v>996</v>
      </c>
      <c r="D1127" s="21" t="s">
        <v>997</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1147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1041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1069</v>
      </c>
      <c r="B1130" s="21" t="s">
        <v>1039</v>
      </c>
      <c r="C1130" s="21" t="s">
        <v>1133</v>
      </c>
      <c r="D1130" s="21" t="s">
        <v>997</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546</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1325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1041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1249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1317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1310</v>
      </c>
      <c r="B1136" s="21" t="s">
        <v>1005</v>
      </c>
      <c r="C1136" s="21" t="s">
        <v>1239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1041</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1079</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1426</v>
      </c>
      <c r="B1139" s="21" t="s">
        <v>1142</v>
      </c>
      <c r="C1139" s="21" t="s">
        <v>1068</v>
      </c>
      <c r="D1139" s="21" t="s">
        <v>997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1041</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1069</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1328</v>
      </c>
      <c r="B1142" s="21" t="s">
        <v>1010</v>
      </c>
      <c r="C1142" s="21" t="s">
        <v>1006</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1041</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1189</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1431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1041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1007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1432</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1191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1054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1022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1433</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1061</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1358</v>
      </c>
      <c r="B1154" s="21" t="s">
        <v>1088</v>
      </c>
      <c r="C1154" s="21" t="s">
        <v>1034</v>
      </c>
      <c r="D1154" s="21" t="s">
        <v>997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1008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1359</v>
      </c>
      <c r="B1156" s="21" t="s">
        <v>1112</v>
      </c>
      <c r="C1156" s="21" t="s">
        <v>1006</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1434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1191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1331</v>
      </c>
      <c r="B1159" s="21" t="s">
        <v>1092</v>
      </c>
      <c r="C1159" s="21" t="s">
        <v>1006</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row>
    <row r="1162" spans="1:12">
      <c r="A1162" s="20" t="s">
        <v>1435</v>
      </c>
    </row>
    <row r="1163" spans="1:12">
      <c r="A1163" s="20" t="s">
        <v>1436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1044</v>
      </c>
      <c r="B1164" s="21" t="s">
        <v>995</v>
      </c>
      <c r="C1164" s="21" t="s">
        <v>996</v>
      </c>
      <c r="D1164" s="21" t="s">
        <v>997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1170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1018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1437</v>
      </c>
      <c r="B1167" s="21" t="s">
        <v>1067</v>
      </c>
      <c r="C1167" s="21" t="s">
        <v>1089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1008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1362</v>
      </c>
      <c r="B1169" s="21" t="s">
        <v>1067</v>
      </c>
      <c r="C1169" s="21" t="s">
        <v>1006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1137</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1438</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1011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1439</v>
      </c>
    </row>
    <row r="1175" spans="1:12">
      <c r="A1175" s="20" t="s">
        <v>1440</v>
      </c>
      <c r="B1175" s="21" t="s">
        <v>995</v>
      </c>
      <c r="C1175" s="21" t="s">
        <v>996</v>
      </c>
      <c r="D1175" s="21" t="s">
        <v>997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1441</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1029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1032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1442</v>
      </c>
      <c r="B1179" s="21" t="s">
        <v>1067</v>
      </c>
      <c r="C1179" s="21" t="s">
        <v>1034</v>
      </c>
      <c r="D1179" s="21" t="s">
        <v>997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1018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1443</v>
      </c>
      <c r="B1181" s="21" t="s">
        <v>1005</v>
      </c>
      <c r="C1181" s="21" t="s">
        <v>1089</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1444</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1049</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1445</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1007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158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1037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1446</v>
      </c>
      <c r="B1188" s="21" t="s">
        <v>1039</v>
      </c>
      <c r="C1188" s="21" t="s">
        <v>1034</v>
      </c>
      <c r="D1188" s="21" t="s">
        <v>997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1447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1011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1448</v>
      </c>
    </row>
    <row r="1193" spans="1:12">
      <c r="A1193" s="20" t="s">
        <v>1449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1065</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1450</v>
      </c>
      <c r="B1195" s="21" t="s">
        <v>1067</v>
      </c>
      <c r="C1195" s="21" t="s">
        <v>1068</v>
      </c>
      <c r="D1195" s="21" t="s">
        <v>997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1011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row>
    <row r="1198" spans="1:12">
      <c r="A1198" s="20" t="s">
        <v>1451</v>
      </c>
    </row>
    <row r="1199" spans="1:12">
      <c r="A1199" s="20" t="s">
        <v>1365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1257</v>
      </c>
      <c r="B1200" s="21" t="s">
        <v>995</v>
      </c>
      <c r="C1200" s="21" t="s">
        <v>996</v>
      </c>
      <c r="D1200" s="21" t="s">
        <v>997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1452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1007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1453</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1091</v>
      </c>
      <c r="B1204" s="21" t="s">
        <v>1010</v>
      </c>
      <c r="C1204" s="21" t="s">
        <v>1025</v>
      </c>
      <c r="D1204" s="21" t="s">
        <v>997</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1446</v>
      </c>
      <c r="B1205" s="21" t="s">
        <v>1001</v>
      </c>
      <c r="C1205" s="21" t="s">
        <v>1028</v>
      </c>
      <c r="D1205" s="21" t="s">
        <v>997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1029</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1032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1454</v>
      </c>
      <c r="B1208" s="21" t="s">
        <v>1005</v>
      </c>
      <c r="C1208" s="21" t="s">
        <v>1034</v>
      </c>
      <c r="D1208" s="21" t="s">
        <v>997</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1008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1037</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1455</v>
      </c>
      <c r="B1211" s="21" t="s">
        <v>1010</v>
      </c>
      <c r="C1211" s="21" t="s">
        <v>1034</v>
      </c>
      <c r="D1211" s="21" t="s">
        <v>997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1008</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1032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1456</v>
      </c>
      <c r="B1214" s="21" t="s">
        <v>1024</v>
      </c>
      <c r="C1214" s="21" t="s">
        <v>1034</v>
      </c>
      <c r="D1214" s="21" t="s">
        <v>997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1011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row>
    <row r="1217" spans="1:12">
      <c r="A1217" s="20" t="s">
        <v>1457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1458</v>
      </c>
    </row>
    <row r="1219" spans="1:12">
      <c r="A1219" s="20" t="s">
        <v>1459</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1041</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1060</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229</v>
      </c>
      <c r="B1222" s="21" t="s">
        <v>1067</v>
      </c>
      <c r="C1222" s="21" t="s">
        <v>1034</v>
      </c>
      <c r="D1222" s="21" t="s">
        <v>997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1041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1460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1461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1460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1041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1032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1313</v>
      </c>
      <c r="B1229" s="21" t="s">
        <v>1067</v>
      </c>
      <c r="C1229" s="21" t="s">
        <v>1034</v>
      </c>
      <c r="D1229" s="21" t="s">
        <v>997</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1003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1004</v>
      </c>
      <c r="B1231" s="21" t="s">
        <v>1005</v>
      </c>
      <c r="C1231" s="21" t="s">
        <v>1006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1049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1317</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1362</v>
      </c>
      <c r="B1234" s="21" t="s">
        <v>1005</v>
      </c>
      <c r="C1234" s="21" t="s">
        <v>1239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1041</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1007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1462</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1041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1044</v>
      </c>
      <c r="B1239" s="21" t="s">
        <v>1142</v>
      </c>
      <c r="C1239" s="21" t="s">
        <v>996</v>
      </c>
      <c r="D1239" s="21" t="s">
        <v>997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1170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1463</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1008</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1420</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1464</v>
      </c>
      <c r="B1244" s="21" t="s">
        <v>1001</v>
      </c>
      <c r="C1244" s="21" t="s">
        <v>1089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1011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1465</v>
      </c>
    </row>
    <row r="1248" spans="1:12">
      <c r="A1248" s="20" t="s">
        <v>1466</v>
      </c>
      <c r="B1248" s="21" t="s">
        <v>995</v>
      </c>
      <c r="C1248" s="21" t="s">
        <v>996</v>
      </c>
      <c r="D1248" s="21" t="s">
        <v>997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1170</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1305</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1146</v>
      </c>
      <c r="B1251" s="21" t="s">
        <v>1067</v>
      </c>
      <c r="C1251" s="21" t="s">
        <v>1239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1080</v>
      </c>
      <c r="B1252" s="21" t="s">
        <v>1142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1095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1467</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1097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1011</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row>
    <row r="1258" spans="1:12">
      <c r="A1258" s="20" t="s">
        <v>1468</v>
      </c>
    </row>
    <row r="1259" spans="1:12">
      <c r="A1259" s="20" t="s">
        <v>1469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1029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1470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1471</v>
      </c>
      <c r="B1262" s="21" t="s">
        <v>1005</v>
      </c>
      <c r="C1262" s="21" t="s">
        <v>1239</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1007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1008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1464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1472</v>
      </c>
      <c r="B1266" s="21" t="s">
        <v>1010</v>
      </c>
      <c r="C1266" s="21" t="s">
        <v>1089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1008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158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1008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1032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1454</v>
      </c>
      <c r="B1271" s="21" t="s">
        <v>1112</v>
      </c>
      <c r="C1271" s="21" t="s">
        <v>1034</v>
      </c>
      <c r="D1271" s="21" t="s">
        <v>997</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1041</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237</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1029</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1008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1399</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1473</v>
      </c>
      <c r="B1277" s="21" t="s">
        <v>1067</v>
      </c>
      <c r="C1277" s="21" t="s">
        <v>1089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1008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1474</v>
      </c>
      <c r="B1279" s="21" t="s">
        <v>1005</v>
      </c>
      <c r="C1279" s="21" t="s">
        <v>1006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1041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1008</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1037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1472</v>
      </c>
      <c r="B1283" s="21" t="s">
        <v>1005</v>
      </c>
      <c r="C1283" s="21" t="s">
        <v>1034</v>
      </c>
      <c r="D1283" s="21" t="s">
        <v>997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1475</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1008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1476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1037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1477</v>
      </c>
      <c r="B1288" s="21" t="s">
        <v>1088</v>
      </c>
      <c r="C1288" s="21" t="s">
        <v>1034</v>
      </c>
      <c r="D1288" s="21" t="s">
        <v>997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1011</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1478</v>
      </c>
    </row>
    <row r="1292" spans="1:12">
      <c r="A1292" s="20" t="s">
        <v>1099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1084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1154</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1250</v>
      </c>
      <c r="B1295" s="21" t="s">
        <v>1101</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1008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1359</v>
      </c>
      <c r="B1297" s="21" t="s">
        <v>1005</v>
      </c>
      <c r="C1297" s="21" t="s">
        <v>1006</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1049</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1479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1194</v>
      </c>
      <c r="B1300" s="21" t="s">
        <v>1142</v>
      </c>
      <c r="C1300" s="21" t="s">
        <v>1133</v>
      </c>
      <c r="D1300" s="21" t="s">
        <v>997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1016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1147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1060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1004</v>
      </c>
      <c r="B1304" s="21" t="s">
        <v>1039</v>
      </c>
      <c r="C1304" s="21" t="s">
        <v>1034</v>
      </c>
      <c r="D1304" s="21" t="s">
        <v>997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1008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1480</v>
      </c>
      <c r="B1306" s="21" t="s">
        <v>1024</v>
      </c>
      <c r="C1306" s="21" t="s">
        <v>1006</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1481</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1041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1007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1049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1482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1359</v>
      </c>
      <c r="B1312" s="21" t="s">
        <v>1005</v>
      </c>
      <c r="C1312" s="21" t="s">
        <v>1239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1483</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1041</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1032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1147</v>
      </c>
      <c r="B1316" s="21" t="s">
        <v>1005</v>
      </c>
      <c r="C1316" s="21" t="s">
        <v>1034</v>
      </c>
      <c r="D1316" s="21" t="s">
        <v>997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1008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361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1049</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1405</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1011</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row>
    <row r="1323" spans="1:12">
      <c r="A1323" s="20" t="s">
        <v>1484</v>
      </c>
    </row>
    <row r="1324" spans="1:12">
      <c r="A1324" s="20" t="s">
        <v>1099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1485</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1003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1486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1359</v>
      </c>
      <c r="B1328" s="21" t="s">
        <v>995</v>
      </c>
      <c r="C1328" s="21" t="s">
        <v>1089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1487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1032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1480</v>
      </c>
      <c r="B1331" s="21" t="s">
        <v>1005</v>
      </c>
      <c r="C1331" s="21" t="s">
        <v>1034</v>
      </c>
      <c r="D1331" s="21" t="s">
        <v>997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1008</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1180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1037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1060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1488</v>
      </c>
      <c r="B1336" s="21" t="s">
        <v>1088</v>
      </c>
      <c r="C1336" s="21" t="s">
        <v>1034</v>
      </c>
      <c r="D1336" s="21" t="s">
        <v>997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1041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1103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1003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1489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1061</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1490</v>
      </c>
      <c r="B1342" s="21" t="s">
        <v>1039</v>
      </c>
      <c r="C1342" s="21" t="s">
        <v>1034</v>
      </c>
      <c r="D1342" s="21" t="s">
        <v>997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1491</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1041</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1090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1037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1492</v>
      </c>
      <c r="B1347" s="21" t="s">
        <v>1027</v>
      </c>
      <c r="C1347" s="21" t="s">
        <v>1034</v>
      </c>
      <c r="D1347" s="21" t="s">
        <v>997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1003</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1493</v>
      </c>
      <c r="B1349" s="21" t="s">
        <v>1024</v>
      </c>
      <c r="C1349" s="21" t="s">
        <v>1006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1062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1250</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1250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1054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1494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1011</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row>
    <row r="1357" spans="1:12">
      <c r="A1357" s="20" t="s">
        <v>1495</v>
      </c>
    </row>
    <row r="1358" spans="1:12">
      <c r="A1358" s="20" t="s">
        <v>1013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1287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1041</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1069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1496</v>
      </c>
      <c r="B1362" s="21" t="s">
        <v>1067</v>
      </c>
      <c r="C1362" s="21" t="s">
        <v>1006</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1041</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1069</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1497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1498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1041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1194</v>
      </c>
      <c r="B1368" s="21" t="s">
        <v>995</v>
      </c>
      <c r="C1368" s="21" t="s">
        <v>1133</v>
      </c>
      <c r="D1368" s="21" t="s">
        <v>997</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1404</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1499</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1144</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1172</v>
      </c>
      <c r="B1372" s="21" t="s">
        <v>1001</v>
      </c>
      <c r="C1372" s="21" t="s">
        <v>1089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1003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1018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1407</v>
      </c>
      <c r="B1375" s="21" t="s">
        <v>1010</v>
      </c>
      <c r="C1375" s="21" t="s">
        <v>1089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1008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1500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1029</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1041</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1221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1168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1041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1018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1407</v>
      </c>
      <c r="B1384" s="21" t="s">
        <v>1024</v>
      </c>
      <c r="C1384" s="21" t="s">
        <v>1089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1008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1501</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1011</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row>
    <row r="1389" spans="1:12">
      <c r="A1389" s="20" t="s">
        <v>1502</v>
      </c>
    </row>
    <row r="1390" spans="1:12">
      <c r="A1390" s="20" t="s">
        <v>1316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1060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1503</v>
      </c>
      <c r="B1392" s="21" t="s">
        <v>1067</v>
      </c>
      <c r="C1392" s="21" t="s">
        <v>1028</v>
      </c>
      <c r="D1392" s="21" t="s">
        <v>997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1008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1065</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1500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1504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1349</v>
      </c>
      <c r="B1397" s="21" t="s">
        <v>1005</v>
      </c>
      <c r="C1397" s="21" t="s">
        <v>1068</v>
      </c>
      <c r="D1397" s="21" t="s">
        <v>997</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1041</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1044</v>
      </c>
      <c r="B1399" s="21" t="s">
        <v>995</v>
      </c>
      <c r="C1399" s="21" t="s">
        <v>996</v>
      </c>
      <c r="D1399" s="21" t="s">
        <v>997</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1505</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1029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1061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1057</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1506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1008</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113</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1052</v>
      </c>
      <c r="B1407" s="21" t="s">
        <v>1005</v>
      </c>
      <c r="C1407" s="21" t="s">
        <v>1295</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1029</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1041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1221</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63</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1052</v>
      </c>
      <c r="B1412" s="21" t="s">
        <v>1067</v>
      </c>
      <c r="C1412" s="21" t="s">
        <v>1295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1008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1314</v>
      </c>
      <c r="B1414" s="21" t="s">
        <v>1005</v>
      </c>
      <c r="C1414" s="21" t="s">
        <v>1006</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1041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1007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1079</v>
      </c>
      <c r="B1417" s="21" t="s">
        <v>1142</v>
      </c>
      <c r="C1417" s="21" t="s">
        <v>1015</v>
      </c>
      <c r="D1417" s="21" t="s">
        <v>997</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1339</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423</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1097</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1444</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1011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row>
    <row r="1424" spans="1:12">
      <c r="A1424" s="20" t="s">
        <v>1507</v>
      </c>
    </row>
    <row r="1425" spans="1:12">
      <c r="A1425" s="20" t="s">
        <v>1365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1041</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1370</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1079</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1508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1407</v>
      </c>
      <c r="B1430" s="21" t="s">
        <v>1101</v>
      </c>
      <c r="C1430" s="21" t="s">
        <v>1068</v>
      </c>
      <c r="D1430" s="21" t="s">
        <v>997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1080</v>
      </c>
      <c r="B1432" s="21" t="s">
        <v>1027</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1189</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110</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1018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1407</v>
      </c>
      <c r="B1436" s="21" t="s">
        <v>1010</v>
      </c>
      <c r="C1436" s="21" t="s">
        <v>1089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1509</v>
      </c>
      <c r="B1437" s="21" t="s">
        <v>1024</v>
      </c>
      <c r="C1437" s="21" t="s">
        <v>1006</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12</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1007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1175</v>
      </c>
      <c r="B1440" s="21" t="s">
        <v>1142</v>
      </c>
      <c r="C1440" s="21" t="s">
        <v>1015</v>
      </c>
      <c r="D1440" s="21" t="s">
        <v>997</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423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1032</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1313</v>
      </c>
      <c r="B1443" s="21" t="s">
        <v>1067</v>
      </c>
      <c r="C1443" s="21" t="s">
        <v>1034</v>
      </c>
      <c r="D1443" s="21" t="s">
        <v>997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1008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1203</v>
      </c>
      <c r="B1445" s="21" t="s">
        <v>1005</v>
      </c>
      <c r="C1445" s="21" t="s">
        <v>1006</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1510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1191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1363</v>
      </c>
      <c r="B1448" s="21" t="s">
        <v>1010</v>
      </c>
      <c r="C1448" s="21" t="s">
        <v>1006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1003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1004</v>
      </c>
      <c r="B1450" s="21" t="s">
        <v>1024</v>
      </c>
      <c r="C1450" s="21" t="s">
        <v>1006</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1011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row>
    <row r="1453" spans="1:12">
      <c r="A1453" s="20" t="s">
        <v>1457</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1511</v>
      </c>
    </row>
    <row r="1455" spans="1:12">
      <c r="A1455" s="20" t="s">
        <v>1013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1287</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1041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1032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1512</v>
      </c>
      <c r="B1459" s="21" t="s">
        <v>995</v>
      </c>
      <c r="C1459" s="21" t="s">
        <v>1034</v>
      </c>
      <c r="D1459" s="21" t="s">
        <v>997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423</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1513</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1460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1514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1278</v>
      </c>
      <c r="B1464" s="21" t="s">
        <v>995</v>
      </c>
      <c r="C1464" s="21" t="s">
        <v>1133</v>
      </c>
      <c r="D1464" s="21" t="s">
        <v>997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1061</v>
      </c>
      <c r="B1465" s="21" t="s">
        <v>1001</v>
      </c>
      <c r="C1465" s="21" t="s">
        <v>996</v>
      </c>
      <c r="D1465" s="21" t="s">
        <v>997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1147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1029</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1274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1275</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1460</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row>
    <row r="1472" spans="1:12">
      <c r="A1472" s="20" t="s">
        <v>1515</v>
      </c>
    </row>
    <row r="1473" spans="1:12">
      <c r="A1473" s="20" t="s">
        <v>1140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1516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1008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1061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1165</v>
      </c>
      <c r="B1477" s="21" t="s">
        <v>1005</v>
      </c>
      <c r="C1477" s="21" t="s">
        <v>1034</v>
      </c>
      <c r="D1477" s="21" t="s">
        <v>997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1041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1032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1283</v>
      </c>
      <c r="B1480" s="21" t="s">
        <v>995</v>
      </c>
      <c r="C1480" s="21" t="s">
        <v>1034</v>
      </c>
      <c r="D1480" s="21" t="s">
        <v>997</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423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1517</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1011</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1518</v>
      </c>
    </row>
    <row r="1486" spans="1:12">
      <c r="A1486" s="20" t="s">
        <v>1210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1000</v>
      </c>
      <c r="B1487" s="21" t="s">
        <v>995</v>
      </c>
      <c r="C1487" s="21" t="s">
        <v>996</v>
      </c>
      <c r="D1487" s="21" t="s">
        <v>997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1519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1008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1061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1520</v>
      </c>
      <c r="B1491" s="21" t="s">
        <v>1067</v>
      </c>
      <c r="C1491" s="21" t="s">
        <v>1034</v>
      </c>
      <c r="D1491" s="21" t="s">
        <v>997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1521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1041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1517</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1054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1011</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1522</v>
      </c>
    </row>
    <row r="1499" spans="1:12">
      <c r="A1499" s="20" t="s">
        <v>1523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1524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1037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1525</v>
      </c>
      <c r="B1502" s="21" t="s">
        <v>995</v>
      </c>
      <c r="C1502" s="21" t="s">
        <v>1034</v>
      </c>
      <c r="D1502" s="21" t="s">
        <v>997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1049</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1526</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999</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1008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1060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1174</v>
      </c>
      <c r="B1508" s="21" t="s">
        <v>1039</v>
      </c>
      <c r="C1508" s="21" t="s">
        <v>1006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1041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1069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1527</v>
      </c>
      <c r="B1511" s="21" t="s">
        <v>1005</v>
      </c>
      <c r="C1511" s="21" t="s">
        <v>1006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1008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1037</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1528</v>
      </c>
      <c r="B1514" s="21" t="s">
        <v>1010</v>
      </c>
      <c r="C1514" s="21" t="s">
        <v>1034</v>
      </c>
      <c r="D1514" s="21" t="s">
        <v>997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1529</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1007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1008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1061</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1530</v>
      </c>
      <c r="B1519" s="21" t="s">
        <v>1024</v>
      </c>
      <c r="C1519" s="21" t="s">
        <v>1034</v>
      </c>
      <c r="D1519" s="21" t="s">
        <v>997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1041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1531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1008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1061</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1203</v>
      </c>
      <c r="B1524" s="21" t="s">
        <v>1067</v>
      </c>
      <c r="C1524" s="21" t="s">
        <v>1034</v>
      </c>
      <c r="D1524" s="21" t="s">
        <v>997</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1011</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row>
    <row r="1527" spans="1:12">
      <c r="A1527" s="20" t="s">
        <v>1532</v>
      </c>
    </row>
    <row r="1528" spans="1:12">
      <c r="A1528" s="20" t="s">
        <v>1013</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1287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1041</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1079</v>
      </c>
      <c r="B1531" s="21" t="s">
        <v>1067</v>
      </c>
      <c r="C1531" s="21" t="s">
        <v>1015</v>
      </c>
      <c r="D1531" s="21" t="s">
        <v>997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1022</v>
      </c>
      <c r="B1532" s="21" t="s">
        <v>1088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1044</v>
      </c>
      <c r="B1533" s="21" t="s">
        <v>1027</v>
      </c>
      <c r="C1533" s="21" t="s">
        <v>996</v>
      </c>
      <c r="D1533" s="21" t="s">
        <v>997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1533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158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1029</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1144</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1534</v>
      </c>
      <c r="B1539" s="21" t="s">
        <v>1112</v>
      </c>
      <c r="C1539" s="21" t="s">
        <v>1089</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1535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1041</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1175</v>
      </c>
      <c r="B1542" s="21" t="s">
        <v>995</v>
      </c>
      <c r="C1542" s="21" t="s">
        <v>1015</v>
      </c>
      <c r="D1542" s="21" t="s">
        <v>997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423</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1008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1536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1018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1537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1538</v>
      </c>
      <c r="B1548" s="21" t="s">
        <v>1001</v>
      </c>
      <c r="C1548" s="21" t="s">
        <v>1089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1011</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row>
    <row r="1551" spans="1:12">
      <c r="A1551" s="20" t="s">
        <v>1539</v>
      </c>
    </row>
    <row r="1552" spans="1:12">
      <c r="A1552" s="20" t="s">
        <v>1365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1041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1083</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1044</v>
      </c>
      <c r="B1555" s="21" t="s">
        <v>1101</v>
      </c>
      <c r="C1555" s="21" t="s">
        <v>996</v>
      </c>
      <c r="D1555" s="21" t="s">
        <v>997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1540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1008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1037</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1541</v>
      </c>
      <c r="B1559" s="21" t="s">
        <v>1067</v>
      </c>
      <c r="C1559" s="21" t="s">
        <v>1034</v>
      </c>
      <c r="D1559" s="21" t="s">
        <v>997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1109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1061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1542</v>
      </c>
      <c r="B1562" s="21" t="s">
        <v>1005</v>
      </c>
      <c r="C1562" s="21" t="s">
        <v>1034</v>
      </c>
      <c r="D1562" s="21" t="s">
        <v>997</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1008</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1060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1004</v>
      </c>
      <c r="B1565" s="21" t="s">
        <v>1010</v>
      </c>
      <c r="C1565" s="21" t="s">
        <v>1034</v>
      </c>
      <c r="D1565" s="21" t="s">
        <v>997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1011</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row>
    <row r="1568" spans="1:12">
      <c r="A1568" s="20" t="s">
        <v>1543</v>
      </c>
    </row>
    <row r="1569" spans="1:12">
      <c r="A1569" s="20" t="s">
        <v>1059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1544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1263</v>
      </c>
      <c r="B1571" s="21" t="s">
        <v>1142</v>
      </c>
      <c r="C1571" s="21" t="s">
        <v>996</v>
      </c>
      <c r="D1571" s="21" t="s">
        <v>997</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1360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1061</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1545</v>
      </c>
      <c r="B1574" s="21" t="s">
        <v>1001</v>
      </c>
      <c r="C1574" s="21" t="s">
        <v>1034</v>
      </c>
      <c r="D1574" s="21" t="s">
        <v>997</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1546</v>
      </c>
      <c r="B1575" s="21" t="s">
        <v>1010</v>
      </c>
      <c r="C1575" s="21" t="s">
        <v>1006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1041</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1547</v>
      </c>
      <c r="B1577" s="21" t="s">
        <v>995</v>
      </c>
      <c r="C1577" s="21" t="s">
        <v>996</v>
      </c>
      <c r="D1577" s="21" t="s">
        <v>997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1095</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1548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1097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338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1305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1146</v>
      </c>
      <c r="B1583" s="21" t="s">
        <v>1001</v>
      </c>
      <c r="C1583" s="21" t="s">
        <v>1239</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1003</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1549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1011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row>
    <row r="1588" spans="1:12">
      <c r="A1588" s="20" t="s">
        <v>1550</v>
      </c>
    </row>
    <row r="1589" spans="1:12">
      <c r="A1589" s="20" t="s">
        <v>1076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1551</v>
      </c>
      <c r="B1590" s="21" t="s">
        <v>995</v>
      </c>
      <c r="C1590" s="21" t="s">
        <v>1034</v>
      </c>
      <c r="D1590" s="21" t="s">
        <v>997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423</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1018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1546</v>
      </c>
      <c r="B1593" s="21" t="s">
        <v>1067</v>
      </c>
      <c r="C1593" s="21" t="s">
        <v>1089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1011</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row>
    <row r="1596" spans="1:12">
      <c r="A1596" s="20" t="s">
        <v>1552</v>
      </c>
    </row>
    <row r="1597" spans="1:12">
      <c r="A1597" s="20" t="s">
        <v>1334</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1553</v>
      </c>
      <c r="B1598" s="21" t="s">
        <v>995</v>
      </c>
      <c r="C1598" s="21" t="s">
        <v>1034</v>
      </c>
      <c r="D1598" s="21" t="s">
        <v>997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1554</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423</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1018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1546</v>
      </c>
      <c r="B1602" s="21" t="s">
        <v>1067</v>
      </c>
      <c r="C1602" s="21" t="s">
        <v>1089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1011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1555</v>
      </c>
    </row>
    <row r="1606" spans="1:12">
      <c r="A1606" s="20" t="s">
        <v>1334</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1556</v>
      </c>
      <c r="B1607" s="21" t="s">
        <v>995</v>
      </c>
      <c r="C1607" s="21" t="s">
        <v>1095</v>
      </c>
      <c r="D1607" s="21" t="s">
        <v>997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1007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1037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1359</v>
      </c>
      <c r="B1610" s="21" t="s">
        <v>1005</v>
      </c>
      <c r="C1610" s="21" t="s">
        <v>1034</v>
      </c>
      <c r="D1610" s="21" t="s">
        <v>997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1557</v>
      </c>
      <c r="B1611" s="21" t="s">
        <v>1010</v>
      </c>
      <c r="C1611" s="21" t="s">
        <v>1006</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1062</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1018</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1546</v>
      </c>
      <c r="B1614" s="21" t="s">
        <v>1067</v>
      </c>
      <c r="C1614" s="21" t="s">
        <v>1089</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1011</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1558</v>
      </c>
    </row>
    <row r="1618" spans="1:12">
      <c r="A1618" s="20" t="s">
        <v>1186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1079</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1559</v>
      </c>
      <c r="B1620" s="21" t="s">
        <v>1067</v>
      </c>
      <c r="C1620" s="21" t="s">
        <v>1068</v>
      </c>
      <c r="D1620" s="21" t="s">
        <v>997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1041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1037</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1560</v>
      </c>
      <c r="B1623" s="21" t="s">
        <v>995</v>
      </c>
      <c r="C1623" s="21" t="s">
        <v>1034</v>
      </c>
      <c r="D1623" s="21" t="s">
        <v>997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1561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1462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1562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1563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1029</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1032</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1564</v>
      </c>
      <c r="B1630" s="21" t="s">
        <v>1067</v>
      </c>
      <c r="C1630" s="21" t="s">
        <v>1034</v>
      </c>
      <c r="D1630" s="21" t="s">
        <v>997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1008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1565</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1541</v>
      </c>
      <c r="B1633" s="21" t="s">
        <v>1005</v>
      </c>
      <c r="C1633" s="21" t="s">
        <v>1006</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1011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row>
    <row r="1636" spans="1:12">
      <c r="A1636" s="20" t="s">
        <v>1566</v>
      </c>
    </row>
    <row r="1637" spans="1:12">
      <c r="A1637" s="20" t="s">
        <v>1385</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1567</v>
      </c>
      <c r="B1638" s="21" t="s">
        <v>1067</v>
      </c>
      <c r="C1638" s="21" t="s">
        <v>1006</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1041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1194</v>
      </c>
      <c r="B1640" s="21" t="s">
        <v>995</v>
      </c>
      <c r="C1640" s="21" t="s">
        <v>1133</v>
      </c>
      <c r="D1640" s="21" t="s">
        <v>997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1339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1154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1097</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1008</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1568</v>
      </c>
      <c r="B1645" s="21" t="s">
        <v>1101</v>
      </c>
      <c r="C1645" s="21" t="s">
        <v>1089</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1569</v>
      </c>
      <c r="B1646" s="21" t="s">
        <v>1005</v>
      </c>
      <c r="C1646" s="21" t="s">
        <v>1006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1041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1090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1083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1540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675</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1061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1546</v>
      </c>
      <c r="B1653" s="21" t="s">
        <v>1088</v>
      </c>
      <c r="C1653" s="21" t="s">
        <v>1034</v>
      </c>
      <c r="D1653" s="21" t="s">
        <v>997</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1049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1144</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1568</v>
      </c>
      <c r="B1656" s="21" t="s">
        <v>1024</v>
      </c>
      <c r="C1656" s="21" t="s">
        <v>1089</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1570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1011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row>
    <row r="1660" spans="1:12">
      <c r="A1660" s="20" t="s">
        <v>1571</v>
      </c>
    </row>
    <row r="1661" spans="1:12">
      <c r="A1661" s="20" t="s">
        <v>1385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1567</v>
      </c>
      <c r="B1662" s="21" t="s">
        <v>1067</v>
      </c>
      <c r="C1662" s="21" t="s">
        <v>1006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1041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1194</v>
      </c>
      <c r="B1664" s="21" t="s">
        <v>995</v>
      </c>
      <c r="C1664" s="21" t="s">
        <v>1133</v>
      </c>
      <c r="D1664" s="21" t="s">
        <v>997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1077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1572</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1573</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1574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1041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1230</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1482</v>
      </c>
      <c r="B1672" s="21" t="s">
        <v>1142</v>
      </c>
      <c r="C1672" s="21" t="s">
        <v>1133</v>
      </c>
      <c r="D1672" s="21" t="s">
        <v>997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1077</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1575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1041</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1003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1486</v>
      </c>
      <c r="B1677" s="21" t="s">
        <v>1067</v>
      </c>
      <c r="C1677" s="21" t="s">
        <v>1133</v>
      </c>
      <c r="D1677" s="21" t="s">
        <v>997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1097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1011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row>
    <row r="1681" spans="1:12">
      <c r="A1681" s="20" t="s">
        <v>1576</v>
      </c>
    </row>
    <row r="1682" spans="1:12">
      <c r="A1682" s="20" t="s">
        <v>1186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1061</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1577</v>
      </c>
      <c r="B1684" s="21" t="s">
        <v>1067</v>
      </c>
      <c r="C1684" s="21" t="s">
        <v>1034</v>
      </c>
      <c r="D1684" s="21" t="s">
        <v>997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1578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1041</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1083</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1540</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13</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1029</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1579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1580</v>
      </c>
      <c r="B1692" s="21" t="s">
        <v>1005</v>
      </c>
      <c r="C1692" s="21" t="s">
        <v>1239</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1007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1499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1018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1546</v>
      </c>
      <c r="B1696" s="21" t="s">
        <v>1039</v>
      </c>
      <c r="C1696" s="21" t="s">
        <v>1089</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1581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1018</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1582</v>
      </c>
      <c r="B1699" s="21" t="s">
        <v>1010</v>
      </c>
      <c r="C1699" s="21" t="s">
        <v>1089</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1104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1583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1011</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row>
    <row r="1704" spans="1:12">
      <c r="A1704" s="20" t="s">
        <v>1584</v>
      </c>
    </row>
    <row r="1705" spans="1:12">
      <c r="A1705" s="20" t="s">
        <v>994</v>
      </c>
      <c r="B1705" s="21" t="s">
        <v>995</v>
      </c>
      <c r="C1705" s="21" t="s">
        <v>996</v>
      </c>
      <c r="D1705" s="21" t="s">
        <v>997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1585</v>
      </c>
      <c r="B1706" s="21" t="s">
        <v>1101</v>
      </c>
      <c r="C1706" s="21" t="s">
        <v>996</v>
      </c>
      <c r="D1706" s="21" t="s">
        <v>997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1586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1265</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1371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1547</v>
      </c>
      <c r="B1710" s="21" t="s">
        <v>1142</v>
      </c>
      <c r="C1710" s="21" t="s">
        <v>996</v>
      </c>
      <c r="D1710" s="21" t="s">
        <v>997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1587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1588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1589</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1014</v>
      </c>
      <c r="B1714" s="21" t="s">
        <v>1039</v>
      </c>
      <c r="C1714" s="21" t="s">
        <v>1015</v>
      </c>
      <c r="D1714" s="21" t="s">
        <v>997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1011</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row>
    <row r="1717" spans="1:12">
      <c r="A1717" s="20" t="s">
        <v>1590</v>
      </c>
    </row>
    <row r="1718" spans="1:12">
      <c r="A1718" s="20" t="s">
        <v>1591</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1592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1593</v>
      </c>
      <c r="B1720" s="21" t="s">
        <v>995</v>
      </c>
      <c r="C1720" s="21" t="s">
        <v>996</v>
      </c>
      <c r="D1720" s="21" t="s">
        <v>997</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1144</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1594</v>
      </c>
      <c r="B1722" s="21" t="s">
        <v>1101</v>
      </c>
      <c r="C1722" s="21" t="s">
        <v>1089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1003</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1595</v>
      </c>
      <c r="B1724" s="21" t="s">
        <v>1005</v>
      </c>
      <c r="C1724" s="21" t="s">
        <v>1006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1596</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1008</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1032</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1597</v>
      </c>
      <c r="B1728" s="21" t="s">
        <v>1024</v>
      </c>
      <c r="C1728" s="21" t="s">
        <v>1034</v>
      </c>
      <c r="D1728" s="21" t="s">
        <v>997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1041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1144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1598</v>
      </c>
      <c r="B1731" s="21" t="s">
        <v>1005</v>
      </c>
      <c r="C1731" s="21" t="s">
        <v>1089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1080</v>
      </c>
      <c r="B1732" s="21" t="s">
        <v>1114</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1599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1060</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1600</v>
      </c>
      <c r="B1735" s="21" t="s">
        <v>1088</v>
      </c>
      <c r="C1735" s="21" t="s">
        <v>1034</v>
      </c>
      <c r="D1735" s="21" t="s">
        <v>997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1008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1037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1560</v>
      </c>
      <c r="B1738" s="21" t="s">
        <v>1112</v>
      </c>
      <c r="C1738" s="21" t="s">
        <v>1034</v>
      </c>
      <c r="D1738" s="21" t="s">
        <v>997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1462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1275</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row>
    <row r="1742" spans="1:12">
      <c r="A1742" s="20" t="s">
        <v>1601</v>
      </c>
    </row>
    <row r="1743" spans="1:12">
      <c r="A1743" s="20" t="s">
        <v>1602</v>
      </c>
      <c r="B1743" s="21" t="s">
        <v>995</v>
      </c>
      <c r="C1743" s="21" t="s">
        <v>996</v>
      </c>
      <c r="D1743" s="21" t="s">
        <v>997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1264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1603</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1029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1060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1310</v>
      </c>
      <c r="B1748" s="21" t="s">
        <v>1067</v>
      </c>
      <c r="C1748" s="21" t="s">
        <v>1034</v>
      </c>
      <c r="D1748" s="21" t="s">
        <v>997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1604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1041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1544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1263</v>
      </c>
      <c r="B1752" s="21" t="s">
        <v>1142</v>
      </c>
      <c r="C1752" s="21" t="s">
        <v>996</v>
      </c>
      <c r="D1752" s="21" t="s">
        <v>997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1605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1606</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1008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1037</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1607</v>
      </c>
      <c r="B1757" s="21" t="s">
        <v>1005</v>
      </c>
      <c r="C1757" s="21" t="s">
        <v>1034</v>
      </c>
      <c r="D1757" s="21" t="s">
        <v>997</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1041</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1037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1560</v>
      </c>
      <c r="B1760" s="21" t="s">
        <v>1142</v>
      </c>
      <c r="C1760" s="21" t="s">
        <v>1034</v>
      </c>
      <c r="D1760" s="21" t="s">
        <v>997</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1608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1190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1609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1011</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row>
    <row r="1766" spans="1:12">
      <c r="A1766" s="20" t="s">
        <v>1610</v>
      </c>
    </row>
    <row r="1767" spans="1:12">
      <c r="A1767" s="20" t="s">
        <v>1611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1612</v>
      </c>
      <c r="B1768" s="21" t="s">
        <v>1067</v>
      </c>
      <c r="C1768" s="21" t="s">
        <v>1095</v>
      </c>
      <c r="D1768" s="21" t="s">
        <v>997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1613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1614</v>
      </c>
      <c r="B1770" s="21" t="s">
        <v>995</v>
      </c>
      <c r="C1770" s="21" t="s">
        <v>1095</v>
      </c>
      <c r="D1770" s="21" t="s">
        <v>997</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1111</v>
      </c>
      <c r="B1771" s="21" t="s">
        <v>1101</v>
      </c>
      <c r="C1771" s="21" t="s">
        <v>996</v>
      </c>
      <c r="D1771" s="21" t="s">
        <v>997</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1615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1616</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1008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1270</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1617</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1060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1618</v>
      </c>
      <c r="B1778" s="21" t="s">
        <v>1001</v>
      </c>
      <c r="C1778" s="21" t="s">
        <v>1034</v>
      </c>
      <c r="D1778" s="21" t="s">
        <v>997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1082</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1083</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1084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1154</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1008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1037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1560</v>
      </c>
      <c r="B1785" s="21" t="s">
        <v>1024</v>
      </c>
      <c r="C1785" s="21" t="s">
        <v>1034</v>
      </c>
      <c r="D1785" s="21" t="s">
        <v>997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1080</v>
      </c>
      <c r="B1786" s="21" t="s">
        <v>1094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1619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1581</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1037</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1607</v>
      </c>
      <c r="B1790" s="21" t="s">
        <v>1182</v>
      </c>
      <c r="C1790" s="21" t="s">
        <v>1034</v>
      </c>
      <c r="D1790" s="21" t="s">
        <v>997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1011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row>
    <row r="1793" spans="1:12">
      <c r="A1793" s="20" t="s">
        <v>1620</v>
      </c>
    </row>
    <row r="1794" spans="1:12">
      <c r="A1794" s="20" t="s">
        <v>1621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1041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1581</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1060</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1004</v>
      </c>
      <c r="B1798" s="21" t="s">
        <v>1067</v>
      </c>
      <c r="C1798" s="21" t="s">
        <v>1034</v>
      </c>
      <c r="D1798" s="21" t="s">
        <v>997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1041</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1116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1079</v>
      </c>
      <c r="B1801" s="21" t="s">
        <v>1067</v>
      </c>
      <c r="C1801" s="21" t="s">
        <v>1015</v>
      </c>
      <c r="D1801" s="21" t="s">
        <v>997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1022</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1029</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1622</v>
      </c>
      <c r="B1804" s="21" t="s">
        <v>1010</v>
      </c>
      <c r="C1804" s="21" t="s">
        <v>1133</v>
      </c>
      <c r="D1804" s="21" t="s">
        <v>997</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1263</v>
      </c>
      <c r="B1805" s="21" t="s">
        <v>1027</v>
      </c>
      <c r="C1805" s="21" t="s">
        <v>996</v>
      </c>
      <c r="D1805" s="21" t="s">
        <v>997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1264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1623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1307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1041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1175</v>
      </c>
      <c r="B1810" s="21" t="s">
        <v>995</v>
      </c>
      <c r="C1810" s="21" t="s">
        <v>1015</v>
      </c>
      <c r="D1810" s="21" t="s">
        <v>997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423</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737</v>
      </c>
      <c r="B1812" s="21" t="s">
        <v>1067</v>
      </c>
      <c r="C1812" s="21" t="s">
        <v>1015</v>
      </c>
      <c r="D1812" s="21" t="s">
        <v>997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1011</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row>
    <row r="1815" spans="1:12">
      <c r="A1815" s="20" t="s">
        <v>1624</v>
      </c>
    </row>
    <row r="1816" spans="1:12">
      <c r="A1816" s="20" t="s">
        <v>1602</v>
      </c>
      <c r="B1816" s="21" t="s">
        <v>995</v>
      </c>
      <c r="C1816" s="21" t="s">
        <v>996</v>
      </c>
      <c r="D1816" s="21" t="s">
        <v>997</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1264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1625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1022</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1626</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1008</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1037</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1627</v>
      </c>
      <c r="B1823" s="21" t="s">
        <v>1005</v>
      </c>
      <c r="C1823" s="21" t="s">
        <v>1034</v>
      </c>
      <c r="D1823" s="21" t="s">
        <v>997</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1149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1628</v>
      </c>
      <c r="B1825" s="21" t="s">
        <v>1010</v>
      </c>
      <c r="C1825" s="21" t="s">
        <v>1025</v>
      </c>
      <c r="D1825" s="21" t="s">
        <v>997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1629</v>
      </c>
      <c r="B1826" s="21" t="s">
        <v>1001</v>
      </c>
      <c r="C1826" s="21" t="s">
        <v>1028</v>
      </c>
      <c r="D1826" s="21" t="s">
        <v>997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1029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1060</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1113</v>
      </c>
      <c r="B1829" s="21" t="s">
        <v>1010</v>
      </c>
      <c r="C1829" s="21" t="s">
        <v>1034</v>
      </c>
      <c r="D1829" s="21" t="s">
        <v>997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1462</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1041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1202</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1310</v>
      </c>
      <c r="B1833" s="21" t="s">
        <v>1010</v>
      </c>
      <c r="C1833" s="21" t="s">
        <v>1068</v>
      </c>
      <c r="D1833" s="21" t="s">
        <v>997</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1011</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row>
    <row r="1836" spans="1:12">
      <c r="A1836" s="20" t="s">
        <v>1630</v>
      </c>
    </row>
    <row r="1837" spans="1:12">
      <c r="A1837" s="20" t="s">
        <v>1631</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1287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1462</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1008</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1037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1627</v>
      </c>
      <c r="B1842" s="21" t="s">
        <v>1067</v>
      </c>
      <c r="C1842" s="21" t="s">
        <v>1034</v>
      </c>
      <c r="D1842" s="21" t="s">
        <v>997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1632</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1011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1633</v>
      </c>
    </row>
    <row r="1847" spans="1:12">
      <c r="A1847" s="20" t="s">
        <v>1392</v>
      </c>
      <c r="B1847" s="21" t="s">
        <v>995</v>
      </c>
      <c r="C1847" s="21" t="s">
        <v>1133</v>
      </c>
      <c r="D1847" s="21" t="s">
        <v>997</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1634</v>
      </c>
      <c r="B1848" s="21" t="s">
        <v>1101</v>
      </c>
      <c r="C1848" s="21" t="s">
        <v>996</v>
      </c>
      <c r="D1848" s="21" t="s">
        <v>997</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1154</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1635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1082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1636</v>
      </c>
      <c r="B1852" s="21" t="s">
        <v>1142</v>
      </c>
      <c r="C1852" s="21" t="s">
        <v>996</v>
      </c>
      <c r="D1852" s="21" t="s">
        <v>997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1095</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1637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1097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1041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1069</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1070</v>
      </c>
      <c r="B1858" s="21" t="s">
        <v>1024</v>
      </c>
      <c r="C1858" s="21" t="s">
        <v>1006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1041</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1636</v>
      </c>
      <c r="B1860" s="21" t="s">
        <v>1027</v>
      </c>
      <c r="C1860" s="21" t="s">
        <v>996</v>
      </c>
      <c r="D1860" s="21" t="s">
        <v>997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1638</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1190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1095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1097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1639</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1079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1640</v>
      </c>
      <c r="B1867" s="21" t="s">
        <v>1088</v>
      </c>
      <c r="C1867" s="21" t="s">
        <v>1068</v>
      </c>
      <c r="D1867" s="21" t="s">
        <v>997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1011</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1641</v>
      </c>
    </row>
    <row r="1871" spans="1:12">
      <c r="A1871" s="20" t="s">
        <v>1099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1084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1154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1524</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1642</v>
      </c>
      <c r="B1875" s="21" t="s">
        <v>1101</v>
      </c>
      <c r="C1875" s="21" t="s">
        <v>1239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1008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1643</v>
      </c>
      <c r="B1877" s="21" t="s">
        <v>1005</v>
      </c>
      <c r="C1877" s="21" t="s">
        <v>1006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1644</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1487</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737</v>
      </c>
      <c r="B1880" s="21" t="s">
        <v>1067</v>
      </c>
      <c r="C1880" s="21" t="s">
        <v>1015</v>
      </c>
      <c r="D1880" s="21" t="s">
        <v>997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1041</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1249</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1636</v>
      </c>
      <c r="B1883" s="21" t="s">
        <v>1142</v>
      </c>
      <c r="C1883" s="21" t="s">
        <v>996</v>
      </c>
      <c r="D1883" s="21" t="s">
        <v>997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1339</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1645</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1097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1288</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1146</v>
      </c>
      <c r="B1888" s="21" t="s">
        <v>1001</v>
      </c>
      <c r="C1888" s="21" t="s">
        <v>1006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1041</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1069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1070</v>
      </c>
      <c r="B1891" s="21" t="s">
        <v>1010</v>
      </c>
      <c r="C1891" s="21" t="s">
        <v>1006</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1011</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1646</v>
      </c>
    </row>
    <row r="1895" spans="1:12">
      <c r="A1895" s="20" t="s">
        <v>1466</v>
      </c>
      <c r="B1895" s="21" t="s">
        <v>995</v>
      </c>
      <c r="C1895" s="21" t="s">
        <v>996</v>
      </c>
      <c r="D1895" s="21" t="s">
        <v>997</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1170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1647</v>
      </c>
      <c r="B1897" s="21" t="s">
        <v>1067</v>
      </c>
      <c r="C1897" s="21" t="s">
        <v>1089</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1003</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1144</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1103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1008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1261</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1643</v>
      </c>
      <c r="B1903" s="21" t="s">
        <v>1005</v>
      </c>
      <c r="C1903" s="21" t="s">
        <v>1239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1041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1080</v>
      </c>
      <c r="B1905" s="21" t="s">
        <v>1114</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1648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1029</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1144</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1534</v>
      </c>
      <c r="B1909" s="21" t="s">
        <v>1024</v>
      </c>
      <c r="C1909" s="21" t="s">
        <v>1089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1649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1041</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1581</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1144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1649</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1650</v>
      </c>
      <c r="B1915" s="21" t="s">
        <v>1024</v>
      </c>
      <c r="C1915" s="21" t="s">
        <v>1089</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1041</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1007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1041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1190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1082</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1194</v>
      </c>
      <c r="B1921" s="21" t="s">
        <v>1243</v>
      </c>
      <c r="C1921" s="21" t="s">
        <v>1133</v>
      </c>
      <c r="D1921" s="21" t="s">
        <v>997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1651</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1109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1086</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1110</v>
      </c>
      <c r="B1925" s="21" t="s">
        <v>1092</v>
      </c>
      <c r="C1925" s="21" t="s">
        <v>1006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1041</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994</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1339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1069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1652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1270</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1022</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1330</v>
      </c>
      <c r="B1933" s="21" t="s">
        <v>1182</v>
      </c>
      <c r="C1933" s="21" t="s">
        <v>1133</v>
      </c>
      <c r="D1933" s="21" t="s">
        <v>997</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1080</v>
      </c>
      <c r="B1934" s="21" t="s">
        <v>1653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1654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1655</v>
      </c>
      <c r="B1937" s="21" t="s">
        <v>1656</v>
      </c>
      <c r="C1937" s="21" t="s">
        <v>1034</v>
      </c>
      <c r="D1937" s="21" t="s">
        <v>997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1011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row>
    <row r="1940" spans="1:12">
      <c r="A1940" s="20" t="s">
        <v>1657</v>
      </c>
    </row>
    <row r="1941" spans="1:12">
      <c r="A1941" s="20" t="s">
        <v>1602</v>
      </c>
      <c r="B1941" s="21" t="s">
        <v>995</v>
      </c>
      <c r="C1941" s="21" t="s">
        <v>996</v>
      </c>
      <c r="D1941" s="21" t="s">
        <v>997</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1264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1658</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1008</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1659</v>
      </c>
      <c r="B1945" s="21" t="s">
        <v>1010</v>
      </c>
      <c r="C1945" s="21" t="s">
        <v>1006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1060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1004</v>
      </c>
      <c r="B1947" s="21" t="s">
        <v>1067</v>
      </c>
      <c r="C1947" s="21" t="s">
        <v>1034</v>
      </c>
      <c r="D1947" s="21" t="s">
        <v>997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1660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1041</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1032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1661</v>
      </c>
      <c r="B1951" s="21" t="s">
        <v>1101</v>
      </c>
      <c r="C1951" s="21" t="s">
        <v>1034</v>
      </c>
      <c r="D1951" s="21" t="s">
        <v>997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1041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1032</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1662</v>
      </c>
      <c r="B1954" s="21" t="s">
        <v>1005</v>
      </c>
      <c r="C1954" s="21" t="s">
        <v>1034</v>
      </c>
      <c r="D1954" s="21" t="s">
        <v>997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1041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1037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1663</v>
      </c>
      <c r="B1957" s="21" t="s">
        <v>1005</v>
      </c>
      <c r="C1957" s="21" t="s">
        <v>1034</v>
      </c>
      <c r="D1957" s="21" t="s">
        <v>997</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1011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row>
    <row r="1960" spans="1:12">
      <c r="A1960" s="20" t="s">
        <v>1664</v>
      </c>
    </row>
    <row r="1961" spans="1:12">
      <c r="A1961" s="20" t="s">
        <v>1665</v>
      </c>
      <c r="B1961" s="21" t="s">
        <v>995</v>
      </c>
      <c r="C1961" s="21" t="s">
        <v>996</v>
      </c>
      <c r="D1961" s="21" t="s">
        <v>997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1666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1111</v>
      </c>
      <c r="B1963" s="21" t="s">
        <v>1005</v>
      </c>
      <c r="C1963" s="21" t="s">
        <v>1025</v>
      </c>
      <c r="D1963" s="21" t="s">
        <v>997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1629</v>
      </c>
      <c r="B1964" s="21" t="s">
        <v>1101</v>
      </c>
      <c r="C1964" s="21" t="s">
        <v>1028</v>
      </c>
      <c r="D1964" s="21" t="s">
        <v>997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1041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1007</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1141</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1175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423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1054</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1022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1547</v>
      </c>
      <c r="B1972" s="21" t="s">
        <v>1027</v>
      </c>
      <c r="C1972" s="21" t="s">
        <v>996</v>
      </c>
      <c r="D1972" s="21" t="s">
        <v>997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1095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1667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1041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1184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1057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1041</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1249</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1023</v>
      </c>
      <c r="B1980" s="21" t="s">
        <v>1112</v>
      </c>
      <c r="C1980" s="21" t="s">
        <v>1025</v>
      </c>
      <c r="D1980" s="21" t="s">
        <v>997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1618</v>
      </c>
      <c r="B1981" s="21" t="s">
        <v>1024</v>
      </c>
      <c r="C1981" s="21" t="s">
        <v>1028</v>
      </c>
      <c r="D1981" s="21" t="s">
        <v>997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1668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1041</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1175</v>
      </c>
      <c r="B1984" s="21" t="s">
        <v>1114</v>
      </c>
      <c r="C1984" s="21" t="s">
        <v>1015</v>
      </c>
      <c r="D1984" s="21" t="s">
        <v>997</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423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1022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1073</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1065</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1669</v>
      </c>
      <c r="B1989" s="21" t="s">
        <v>1112</v>
      </c>
      <c r="C1989" s="21" t="s">
        <v>1133</v>
      </c>
      <c r="D1989" s="21" t="s">
        <v>997</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1041</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1083</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1084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1154</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1670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1008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1061</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1026</v>
      </c>
      <c r="B1997" s="21" t="s">
        <v>1112</v>
      </c>
      <c r="C1997" s="21" t="s">
        <v>1034</v>
      </c>
      <c r="D1997" s="21" t="s">
        <v>997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1029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158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1041</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1007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1044</v>
      </c>
      <c r="B2002" s="21" t="s">
        <v>1243</v>
      </c>
      <c r="C2002" s="21" t="s">
        <v>996</v>
      </c>
      <c r="D2002" s="21" t="s">
        <v>997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1095</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1179</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1069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350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1671</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1672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1041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1168</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1141</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737</v>
      </c>
      <c r="B2012" s="21" t="s">
        <v>1673</v>
      </c>
      <c r="C2012" s="21" t="s">
        <v>1015</v>
      </c>
      <c r="D2012" s="21" t="s">
        <v>997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1674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1675</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1041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1168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1141</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1037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1676</v>
      </c>
      <c r="B2019" s="21" t="s">
        <v>1677</v>
      </c>
      <c r="C2019" s="21" t="s">
        <v>1034</v>
      </c>
      <c r="D2019" s="21" t="s">
        <v>997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1029</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1678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1679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1064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row>
    <row r="2026" spans="1:12">
      <c r="A2026" s="20" t="s">
        <v>1680</v>
      </c>
    </row>
    <row r="2027" spans="1:12">
      <c r="A2027" s="20" t="s">
        <v>1681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1003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1386</v>
      </c>
      <c r="B2029" s="21" t="s">
        <v>1005</v>
      </c>
      <c r="C2029" s="21" t="s">
        <v>1006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1032</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1682</v>
      </c>
      <c r="B2031" s="21" t="s">
        <v>1101</v>
      </c>
      <c r="C2031" s="21" t="s">
        <v>1034</v>
      </c>
      <c r="D2031" s="21" t="s">
        <v>997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1008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1037</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1683</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1684</v>
      </c>
      <c r="B2035" s="21" t="s">
        <v>1005</v>
      </c>
      <c r="C2035" s="21" t="s">
        <v>1034</v>
      </c>
      <c r="D2035" s="21" t="s">
        <v>997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1041</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1082</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1083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1227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1685</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1008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1061</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1165</v>
      </c>
      <c r="B2043" s="21" t="s">
        <v>1005</v>
      </c>
      <c r="C2043" s="21" t="s">
        <v>1034</v>
      </c>
      <c r="D2043" s="21" t="s">
        <v>997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1103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1008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1061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1520</v>
      </c>
      <c r="B2047" s="21" t="s">
        <v>1010</v>
      </c>
      <c r="C2047" s="21" t="s">
        <v>1034</v>
      </c>
      <c r="D2047" s="21" t="s">
        <v>997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1521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1011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row>
    <row r="2051" spans="1:12">
      <c r="A2051" s="20" t="s">
        <v>1686</v>
      </c>
    </row>
    <row r="2052" spans="1:12">
      <c r="A2052" s="20" t="s">
        <v>1338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1082</v>
      </c>
      <c r="B2053" s="21" t="s">
        <v>1001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1083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1540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158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1246</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1674</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1208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1041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1249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737</v>
      </c>
      <c r="B2062" s="21" t="s">
        <v>1142</v>
      </c>
      <c r="C2062" s="21" t="s">
        <v>1015</v>
      </c>
      <c r="D2062" s="21" t="s">
        <v>997</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1095</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1060</v>
      </c>
      <c r="B2064" s="21" t="s">
        <v>1001</v>
      </c>
      <c r="C2064" s="21" t="s">
        <v>996</v>
      </c>
      <c r="D2064" s="21" t="s">
        <v>997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423</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1097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1041</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1175</v>
      </c>
      <c r="B2068" s="21" t="s">
        <v>1142</v>
      </c>
      <c r="C2068" s="21" t="s">
        <v>1015</v>
      </c>
      <c r="D2068" s="21" t="s">
        <v>997</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423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1008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1687</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1116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1061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1203</v>
      </c>
      <c r="B2074" s="21" t="s">
        <v>1039</v>
      </c>
      <c r="C2074" s="21" t="s">
        <v>1034</v>
      </c>
      <c r="D2074" s="21" t="s">
        <v>997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1041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1688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1032</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1682</v>
      </c>
      <c r="B2078" s="21" t="s">
        <v>1010</v>
      </c>
      <c r="C2078" s="21" t="s">
        <v>1034</v>
      </c>
      <c r="D2078" s="21" t="s">
        <v>997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1041</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1061</v>
      </c>
      <c r="B2080" s="21" t="s">
        <v>1088</v>
      </c>
      <c r="C2080" s="21" t="s">
        <v>996</v>
      </c>
      <c r="D2080" s="21" t="s">
        <v>997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224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1008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1061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1689</v>
      </c>
      <c r="B2084" s="21" t="s">
        <v>1024</v>
      </c>
      <c r="C2084" s="21" t="s">
        <v>1034</v>
      </c>
      <c r="D2084" s="21" t="s">
        <v>997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1041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1061</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1690</v>
      </c>
      <c r="B2087" s="21" t="s">
        <v>1005</v>
      </c>
      <c r="C2087" s="21" t="s">
        <v>1034</v>
      </c>
      <c r="D2087" s="21" t="s">
        <v>997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1298</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1691</v>
      </c>
      <c r="B2089" s="21" t="s">
        <v>1010</v>
      </c>
      <c r="C2089" s="21" t="s">
        <v>1006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1041</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1061</v>
      </c>
      <c r="B2091" s="21" t="s">
        <v>1039</v>
      </c>
      <c r="C2091" s="21" t="s">
        <v>996</v>
      </c>
      <c r="D2091" s="21" t="s">
        <v>997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1692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1693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1041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1061</v>
      </c>
      <c r="B2095" s="21" t="s">
        <v>1088</v>
      </c>
      <c r="C2095" s="21" t="s">
        <v>996</v>
      </c>
      <c r="D2095" s="21" t="s">
        <v>997</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1694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1305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1695</v>
      </c>
      <c r="B2098" s="21" t="s">
        <v>1024</v>
      </c>
      <c r="C2098" s="21" t="s">
        <v>1239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1041</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1007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609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1082</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1083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1084</v>
      </c>
      <c r="B2104" s="21" t="s">
        <v>1088</v>
      </c>
      <c r="C2104" s="21" t="s">
        <v>1133</v>
      </c>
      <c r="D2104" s="21" t="s">
        <v>997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1696</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1011</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row>
    <row r="2108" spans="1:12">
      <c r="A2108" s="20" t="s">
        <v>1697</v>
      </c>
    </row>
    <row r="2109" spans="1:12">
      <c r="A2109" s="20" t="s">
        <v>1099</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1084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1154</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1008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1037</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1698</v>
      </c>
      <c r="B2114" s="21" t="s">
        <v>1067</v>
      </c>
      <c r="C2114" s="21" t="s">
        <v>1034</v>
      </c>
      <c r="D2114" s="21" t="s">
        <v>997</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1699</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1700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1008</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675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1014</v>
      </c>
      <c r="B2119" s="21" t="s">
        <v>1088</v>
      </c>
      <c r="C2119" s="21" t="s">
        <v>1015</v>
      </c>
      <c r="D2119" s="21" t="s">
        <v>997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1029</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247</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1029</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321</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1701</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1041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1249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1307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1029</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396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1701</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1041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737</v>
      </c>
      <c r="B2132" s="21" t="s">
        <v>1142</v>
      </c>
      <c r="C2132" s="21" t="s">
        <v>1015</v>
      </c>
      <c r="D2132" s="21" t="s">
        <v>997</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1702</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1137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1703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1041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1007</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1079</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1702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1675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1008</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1704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1008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1060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1242</v>
      </c>
      <c r="B2145" s="21" t="s">
        <v>1024</v>
      </c>
      <c r="C2145" s="21" t="s">
        <v>1034</v>
      </c>
      <c r="D2145" s="21" t="s">
        <v>997</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1090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1116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1079</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1203</v>
      </c>
      <c r="B2149" s="21" t="s">
        <v>1094</v>
      </c>
      <c r="C2149" s="21" t="s">
        <v>1068</v>
      </c>
      <c r="D2149" s="21" t="s">
        <v>997</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1393</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110</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1705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1041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1249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1061</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1054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1706</v>
      </c>
      <c r="B2157" s="21" t="s">
        <v>1653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423</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1462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1032</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1512</v>
      </c>
      <c r="B2161" s="21" t="s">
        <v>1092</v>
      </c>
      <c r="C2161" s="21" t="s">
        <v>1034</v>
      </c>
      <c r="D2161" s="21" t="s">
        <v>997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1008</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1061</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1707</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1708</v>
      </c>
      <c r="B2165" s="21" t="s">
        <v>1709</v>
      </c>
      <c r="C2165" s="21" t="s">
        <v>1034</v>
      </c>
      <c r="D2165" s="21" t="s">
        <v>997</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1011</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row>
    <row r="2168" spans="1:12">
      <c r="A2168" s="20" t="s">
        <v>1710</v>
      </c>
    </row>
    <row r="2169" spans="1:12">
      <c r="A2169" s="20" t="s">
        <v>1711</v>
      </c>
      <c r="B2169" s="21" t="s">
        <v>995</v>
      </c>
      <c r="C2169" s="21" t="s">
        <v>1712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1713</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32</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1202</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1714</v>
      </c>
      <c r="B2173" s="21" t="s">
        <v>1001</v>
      </c>
      <c r="C2173" s="21" t="s">
        <v>1068</v>
      </c>
      <c r="D2173" s="21" t="s">
        <v>997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1275</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row>
    <row r="2176" spans="1:12">
      <c r="A2176" s="20" t="s">
        <v>1715</v>
      </c>
    </row>
    <row r="2177" spans="1:12">
      <c r="A2177" s="20" t="s">
        <v>1711</v>
      </c>
      <c r="B2177" s="21" t="s">
        <v>995</v>
      </c>
      <c r="C2177" s="21" t="s">
        <v>1712</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1713</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1716</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1305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1146</v>
      </c>
      <c r="B2181" s="21" t="s">
        <v>1001</v>
      </c>
      <c r="C2181" s="21" t="s">
        <v>1239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1080</v>
      </c>
      <c r="B2182" s="21" t="s">
        <v>1114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423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1008</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1037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1052</v>
      </c>
      <c r="B2186" s="21" t="s">
        <v>1010</v>
      </c>
      <c r="C2186" s="21" t="s">
        <v>1034</v>
      </c>
      <c r="D2186" s="21" t="s">
        <v>997</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1008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1717</v>
      </c>
      <c r="B2188" s="21" t="s">
        <v>1024</v>
      </c>
      <c r="C2188" s="21" t="s">
        <v>1006</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1054</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1718</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1022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1116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1719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1720</v>
      </c>
      <c r="B2194" s="21" t="s">
        <v>1024</v>
      </c>
      <c r="C2194" s="21" t="s">
        <v>1239</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1008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1721</v>
      </c>
      <c r="B2196" s="21" t="s">
        <v>1112</v>
      </c>
      <c r="C2196" s="21" t="s">
        <v>1006</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1029</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1722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1000</v>
      </c>
      <c r="B2199" s="21" t="s">
        <v>1094</v>
      </c>
      <c r="C2199" s="21" t="s">
        <v>996</v>
      </c>
      <c r="D2199" s="21" t="s">
        <v>997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1723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491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1041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1724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1103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1486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1275</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row>
    <row r="2208" spans="1:12">
      <c r="A2208" s="20" t="s">
        <v>1725</v>
      </c>
    </row>
    <row r="2209" spans="1:12">
      <c r="A2209" s="20" t="s">
        <v>1123</v>
      </c>
      <c r="B2209" s="21" t="s">
        <v>995</v>
      </c>
      <c r="C2209" s="21" t="s">
        <v>1015</v>
      </c>
      <c r="D2209" s="21" t="s">
        <v>997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1070</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1250</v>
      </c>
      <c r="B2211" s="21" t="s">
        <v>1101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1008</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1726</v>
      </c>
      <c r="B2213" s="21" t="s">
        <v>1005</v>
      </c>
      <c r="C2213" s="21" t="s">
        <v>1006</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1011</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row>
    <row r="2216" spans="1:12">
      <c r="A2216" s="20" t="s">
        <v>1727</v>
      </c>
    </row>
    <row r="2217" spans="1:12">
      <c r="A2217" s="20" t="s">
        <v>1365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1079</v>
      </c>
      <c r="B2218" s="21" t="s">
        <v>995</v>
      </c>
      <c r="C2218" s="21" t="s">
        <v>1015</v>
      </c>
      <c r="D2218" s="21" t="s">
        <v>997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1702</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1675</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1049</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1202</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1728</v>
      </c>
      <c r="B2223" s="21" t="s">
        <v>1067</v>
      </c>
      <c r="C2223" s="21" t="s">
        <v>1068</v>
      </c>
      <c r="D2223" s="21" t="s">
        <v>997</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1011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1729</v>
      </c>
    </row>
    <row r="2227" spans="1:12">
      <c r="A2227" s="20" t="s">
        <v>1730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1041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1083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1084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1154</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1061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1530</v>
      </c>
      <c r="B2233" s="21" t="s">
        <v>1101</v>
      </c>
      <c r="C2233" s="21" t="s">
        <v>1034</v>
      </c>
      <c r="D2233" s="21" t="s">
        <v>997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1011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row>
    <row r="2236" spans="1:12">
      <c r="A2236" s="20" t="s">
        <v>1731</v>
      </c>
    </row>
    <row r="2237" spans="1:12">
      <c r="A2237" s="20" t="s">
        <v>1711</v>
      </c>
      <c r="B2237" s="21" t="s">
        <v>995</v>
      </c>
      <c r="C2237" s="21" t="s">
        <v>1712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1732</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1733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1500</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1496</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1734</v>
      </c>
      <c r="B2242" s="21" t="s">
        <v>1101</v>
      </c>
      <c r="C2242" s="21" t="s">
        <v>1295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1513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row>
    <row r="2245" spans="1:12">
      <c r="A2245" s="20" t="s">
        <v>1735</v>
      </c>
    </row>
    <row r="2246" spans="1:12">
      <c r="A2246" s="20" t="s">
        <v>1076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1736</v>
      </c>
      <c r="B2247" s="21" t="s">
        <v>995</v>
      </c>
      <c r="C2247" s="21" t="s">
        <v>1034</v>
      </c>
      <c r="D2247" s="21" t="s">
        <v>997</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1041</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1069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1737</v>
      </c>
      <c r="B2250" s="21" t="s">
        <v>1024</v>
      </c>
      <c r="C2250" s="21" t="s">
        <v>1006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1109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1037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1323</v>
      </c>
      <c r="B2253" s="21" t="s">
        <v>1005</v>
      </c>
      <c r="C2253" s="21" t="s">
        <v>1034</v>
      </c>
      <c r="D2253" s="21" t="s">
        <v>997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1738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1739</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1041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423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1740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1011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row>
    <row r="2261" spans="1:12">
      <c r="A2261" s="20" t="s">
        <v>1741</v>
      </c>
    </row>
    <row r="2262" spans="1:12">
      <c r="A2262" s="20" t="s">
        <v>1163</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1512</v>
      </c>
      <c r="B2263" s="21" t="s">
        <v>995</v>
      </c>
      <c r="C2263" s="21" t="s">
        <v>1034</v>
      </c>
      <c r="D2263" s="21" t="s">
        <v>997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1008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1742</v>
      </c>
      <c r="B2266" s="21" t="s">
        <v>1005</v>
      </c>
      <c r="C2266" s="21" t="s">
        <v>1034</v>
      </c>
      <c r="D2266" s="21" t="s">
        <v>997</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1041</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1003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110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1270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1743</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1082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1083</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1744</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1084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1085</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1097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1008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408</v>
      </c>
      <c r="B2279" s="21" t="s">
        <v>1101</v>
      </c>
      <c r="C2279" s="21" t="s">
        <v>1089</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1041</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1022</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1041</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1168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1069</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1745</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1008</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1037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1746</v>
      </c>
      <c r="B2288" s="21" t="s">
        <v>1005</v>
      </c>
      <c r="C2288" s="21" t="s">
        <v>1034</v>
      </c>
      <c r="D2288" s="21" t="s">
        <v>997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1747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1041</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1061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1748</v>
      </c>
      <c r="B2292" s="21" t="s">
        <v>1142</v>
      </c>
      <c r="C2292" s="21" t="s">
        <v>1034</v>
      </c>
      <c r="D2292" s="21" t="s">
        <v>997</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1095</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1376</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1097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1749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1049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1037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1750</v>
      </c>
      <c r="B2299" s="21" t="s">
        <v>1005</v>
      </c>
      <c r="C2299" s="21" t="s">
        <v>1034</v>
      </c>
      <c r="D2299" s="21" t="s">
        <v>997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1011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row>
    <row r="2302" spans="1:12">
      <c r="A2302" s="20" t="s">
        <v>1751</v>
      </c>
    </row>
    <row r="2303" spans="1:12">
      <c r="A2303" s="20" t="s">
        <v>1013</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1752</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1041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1022</v>
      </c>
      <c r="B2306" s="21" t="s">
        <v>1101</v>
      </c>
      <c r="C2306" s="21" t="s">
        <v>1712</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158</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1581</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1037</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1721</v>
      </c>
      <c r="B2310" s="21" t="s">
        <v>1067</v>
      </c>
      <c r="C2310" s="21" t="s">
        <v>1034</v>
      </c>
      <c r="D2310" s="21" t="s">
        <v>997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1275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row>
    <row r="2313" spans="1:12">
      <c r="A2313" s="20" t="s">
        <v>1753</v>
      </c>
    </row>
    <row r="2314" spans="1:12">
      <c r="A2314" s="20" t="s">
        <v>1013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1041</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1190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1022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1061</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1726</v>
      </c>
      <c r="B2319" s="21" t="s">
        <v>1142</v>
      </c>
      <c r="C2319" s="21" t="s">
        <v>1034</v>
      </c>
      <c r="D2319" s="21" t="s">
        <v>997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1095</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1376</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1097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1097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1137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1754</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1041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1083</v>
      </c>
      <c r="B2327" s="21" t="s">
        <v>995</v>
      </c>
      <c r="C2327" s="21" t="s">
        <v>996</v>
      </c>
      <c r="D2327" s="21" t="s">
        <v>997</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1755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1008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1565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1734</v>
      </c>
      <c r="B2331" s="21" t="s">
        <v>1101</v>
      </c>
      <c r="C2331" s="21" t="s">
        <v>1089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1011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row>
    <row r="2334" spans="1:12">
      <c r="A2334" s="20" t="s">
        <v>1756</v>
      </c>
    </row>
    <row r="2335" spans="1:12">
      <c r="A2335" s="20" t="s">
        <v>1106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1560</v>
      </c>
      <c r="B2336" s="21" t="s">
        <v>995</v>
      </c>
      <c r="C2336" s="21" t="s">
        <v>1034</v>
      </c>
      <c r="D2336" s="21" t="s">
        <v>997</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1562</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1647</v>
      </c>
      <c r="B2338" s="21" t="s">
        <v>1101</v>
      </c>
      <c r="C2338" s="21" t="s">
        <v>1006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1008</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1077</v>
      </c>
      <c r="B2340" s="21" t="s">
        <v>1039</v>
      </c>
      <c r="C2340" s="21" t="s">
        <v>996</v>
      </c>
      <c r="D2340" s="21" t="s">
        <v>997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1757</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1190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1668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1011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1758</v>
      </c>
    </row>
    <row r="2347" spans="1:12">
      <c r="A2347" s="20" t="s">
        <v>1621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1041</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1500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1734</v>
      </c>
      <c r="B2350" s="21" t="s">
        <v>1067</v>
      </c>
      <c r="C2350" s="21" t="s">
        <v>1295</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1137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1759</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1080</v>
      </c>
      <c r="B2353" s="21" t="s">
        <v>1142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1638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1760</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1041</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1007</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1287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1041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1073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1479</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1083</v>
      </c>
      <c r="B2363" s="21" t="s">
        <v>1142</v>
      </c>
      <c r="C2363" s="21" t="s">
        <v>996</v>
      </c>
      <c r="D2363" s="21" t="s">
        <v>997</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1761</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1762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1011</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row>
    <row r="2368" spans="1:12">
      <c r="A2368" s="20" t="s">
        <v>1763</v>
      </c>
    </row>
    <row r="2369" spans="1:12">
      <c r="A2369" s="20" t="s">
        <v>1106</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1500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1764</v>
      </c>
      <c r="B2371" s="21" t="s">
        <v>1067</v>
      </c>
      <c r="C2371" s="21" t="s">
        <v>1034</v>
      </c>
      <c r="D2371" s="21" t="s">
        <v>997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1008</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1037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1330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1041</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1547</v>
      </c>
      <c r="B2376" s="21" t="s">
        <v>995</v>
      </c>
      <c r="C2376" s="21" t="s">
        <v>996</v>
      </c>
      <c r="D2376" s="21" t="s">
        <v>997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1037</v>
      </c>
      <c r="B2377" s="21" t="s">
        <v>1101</v>
      </c>
      <c r="C2377" s="21" t="s">
        <v>996</v>
      </c>
      <c r="D2377" s="21" t="s">
        <v>997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1264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1765</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1011</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row>
    <row r="2382" spans="1:12">
      <c r="A2382" s="20" t="s">
        <v>1766</v>
      </c>
    </row>
    <row r="2383" spans="1:12">
      <c r="A2383" s="20" t="s">
        <v>1338</v>
      </c>
      <c r="B2383" s="21" t="s">
        <v>1142</v>
      </c>
      <c r="C2383" s="21" t="s">
        <v>1015</v>
      </c>
      <c r="D2383" s="21" t="s">
        <v>997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1062</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1767</v>
      </c>
      <c r="B2385" s="21" t="s">
        <v>995</v>
      </c>
      <c r="C2385" s="21" t="s">
        <v>1015</v>
      </c>
      <c r="D2385" s="21" t="s">
        <v>997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1029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1479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1037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1560</v>
      </c>
      <c r="B2389" s="21" t="s">
        <v>1067</v>
      </c>
      <c r="C2389" s="21" t="s">
        <v>1034</v>
      </c>
      <c r="D2389" s="21" t="s">
        <v>997</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1453</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1768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1769</v>
      </c>
      <c r="B2392" s="21" t="s">
        <v>1101</v>
      </c>
      <c r="C2392" s="21" t="s">
        <v>1006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1069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1184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1082</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1528</v>
      </c>
      <c r="B2396" s="21" t="s">
        <v>1067</v>
      </c>
      <c r="C2396" s="21" t="s">
        <v>1006</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1529</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1011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row>
    <row r="2400" spans="1:12">
      <c r="A2400" s="20" t="s">
        <v>1770</v>
      </c>
    </row>
    <row r="2401" spans="1:12">
      <c r="A2401" s="20" t="s">
        <v>1059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1069</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1070</v>
      </c>
      <c r="B2403" s="21" t="s">
        <v>1005</v>
      </c>
      <c r="C2403" s="21" t="s">
        <v>1006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12</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1168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1141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1175</v>
      </c>
      <c r="B2407" s="21" t="s">
        <v>1142</v>
      </c>
      <c r="C2407" s="21" t="s">
        <v>1015</v>
      </c>
      <c r="D2407" s="21" t="s">
        <v>997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423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1771</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1082</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1636</v>
      </c>
      <c r="B2411" s="21" t="s">
        <v>1027</v>
      </c>
      <c r="C2411" s="21" t="s">
        <v>996</v>
      </c>
      <c r="D2411" s="21" t="s">
        <v>997</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1095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1772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1773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1774</v>
      </c>
      <c r="B2415" s="21" t="s">
        <v>1039</v>
      </c>
      <c r="C2415" s="21" t="s">
        <v>1239</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12</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1636</v>
      </c>
      <c r="B2417" s="21" t="s">
        <v>995</v>
      </c>
      <c r="C2417" s="21" t="s">
        <v>996</v>
      </c>
      <c r="D2417" s="21" t="s">
        <v>997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1775</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1776</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1777</v>
      </c>
      <c r="B2420" s="21" t="s">
        <v>1101</v>
      </c>
      <c r="C2420" s="21" t="s">
        <v>1239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1011</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row>
    <row r="2423" spans="1:12">
      <c r="A2423" s="20" t="s">
        <v>1778</v>
      </c>
    </row>
    <row r="2424" spans="1:12">
      <c r="A2424" s="20" t="s">
        <v>1076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1779</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423</v>
      </c>
      <c r="B2426" s="21" t="s">
        <v>1067</v>
      </c>
      <c r="C2426" s="21" t="s">
        <v>1034</v>
      </c>
      <c r="D2426" s="21" t="s">
        <v>997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1022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1032</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1780</v>
      </c>
      <c r="B2429" s="21" t="s">
        <v>1142</v>
      </c>
      <c r="C2429" s="21" t="s">
        <v>1034</v>
      </c>
      <c r="D2429" s="21" t="s">
        <v>997</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1003</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1004</v>
      </c>
      <c r="B2431" s="21" t="s">
        <v>1010</v>
      </c>
      <c r="C2431" s="21" t="s">
        <v>1006</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1781</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237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1029</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1065</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1782</v>
      </c>
      <c r="B2436" s="21" t="s">
        <v>1024</v>
      </c>
      <c r="C2436" s="21" t="s">
        <v>1068</v>
      </c>
      <c r="D2436" s="21" t="s">
        <v>997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423</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1783</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1784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1029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1785</v>
      </c>
      <c r="B2441" s="21" t="s">
        <v>1005</v>
      </c>
      <c r="C2441" s="21" t="s">
        <v>1015</v>
      </c>
      <c r="D2441" s="21" t="s">
        <v>997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1003</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1144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1786</v>
      </c>
      <c r="B2444" s="21" t="s">
        <v>1010</v>
      </c>
      <c r="C2444" s="21" t="s">
        <v>1089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1787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1011</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row>
    <row r="2448" spans="1:12">
      <c r="A2448" s="20" t="s">
        <v>1788</v>
      </c>
    </row>
    <row r="2449" spans="1:12">
      <c r="A2449" s="20" t="s">
        <v>1099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1227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1789</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1008</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1790</v>
      </c>
      <c r="B2453" s="21" t="s">
        <v>1067</v>
      </c>
      <c r="C2453" s="21" t="s">
        <v>1006</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1029</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1004</v>
      </c>
      <c r="B2455" s="21" t="s">
        <v>1005</v>
      </c>
      <c r="C2455" s="21" t="s">
        <v>1006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1041</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1194</v>
      </c>
      <c r="B2457" s="21" t="s">
        <v>1142</v>
      </c>
      <c r="C2457" s="21" t="s">
        <v>1133</v>
      </c>
      <c r="D2457" s="21" t="s">
        <v>997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1791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1246</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1008</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1565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1792</v>
      </c>
      <c r="B2462" s="21" t="s">
        <v>1001</v>
      </c>
      <c r="C2462" s="21" t="s">
        <v>1089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1793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1041</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1008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1037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1794</v>
      </c>
      <c r="B2467" s="21" t="s">
        <v>1005</v>
      </c>
      <c r="C2467" s="21" t="s">
        <v>1034</v>
      </c>
      <c r="D2467" s="21" t="s">
        <v>997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1008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1717</v>
      </c>
      <c r="B2469" s="21" t="s">
        <v>1024</v>
      </c>
      <c r="C2469" s="21" t="s">
        <v>1006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1054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1003</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1795</v>
      </c>
      <c r="B2472" s="21" t="s">
        <v>1024</v>
      </c>
      <c r="C2472" s="21" t="s">
        <v>1006</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1022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1049</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1144</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1786</v>
      </c>
      <c r="B2476" s="21" t="s">
        <v>1024</v>
      </c>
      <c r="C2476" s="21" t="s">
        <v>1089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1029</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1004</v>
      </c>
      <c r="B2478" s="21" t="s">
        <v>1112</v>
      </c>
      <c r="C2478" s="21" t="s">
        <v>1006</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1796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1011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row>
    <row r="2482" spans="1:12">
      <c r="A2482" s="20" t="s">
        <v>1797</v>
      </c>
    </row>
    <row r="2483" spans="1:12">
      <c r="A2483" s="20" t="s">
        <v>1219</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1054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1079</v>
      </c>
      <c r="B2485" s="21" t="s">
        <v>995</v>
      </c>
      <c r="C2485" s="21" t="s">
        <v>1015</v>
      </c>
      <c r="D2485" s="21" t="s">
        <v>997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1062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1008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1037</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1798</v>
      </c>
      <c r="B2489" s="21" t="s">
        <v>1067</v>
      </c>
      <c r="C2489" s="21" t="s">
        <v>1034</v>
      </c>
      <c r="D2489" s="21" t="s">
        <v>997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1799</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1191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1800</v>
      </c>
      <c r="B2492" s="21" t="s">
        <v>1005</v>
      </c>
      <c r="C2492" s="21" t="s">
        <v>1006</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1011</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1801</v>
      </c>
    </row>
    <row r="2496" spans="1:12">
      <c r="A2496" s="20" t="s">
        <v>1076</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1802</v>
      </c>
      <c r="B2497" s="21" t="s">
        <v>995</v>
      </c>
      <c r="C2497" s="21" t="s">
        <v>1034</v>
      </c>
      <c r="D2497" s="21" t="s">
        <v>997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1095</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1803</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1097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1579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1032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1804</v>
      </c>
      <c r="B2503" s="21" t="s">
        <v>1101</v>
      </c>
      <c r="C2503" s="21" t="s">
        <v>1034</v>
      </c>
      <c r="D2503" s="21" t="s">
        <v>997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1041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1083</v>
      </c>
      <c r="B2505" s="21" t="s">
        <v>1142</v>
      </c>
      <c r="C2505" s="21" t="s">
        <v>996</v>
      </c>
      <c r="D2505" s="21" t="s">
        <v>997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1095</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1803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1097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1805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1037</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1806</v>
      </c>
      <c r="B2511" s="21" t="s">
        <v>1001</v>
      </c>
      <c r="C2511" s="21" t="s">
        <v>1034</v>
      </c>
      <c r="D2511" s="21" t="s">
        <v>997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1041</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1007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1041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1807</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1041</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1061</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1808</v>
      </c>
      <c r="B2518" s="21" t="s">
        <v>1027</v>
      </c>
      <c r="C2518" s="21" t="s">
        <v>1034</v>
      </c>
      <c r="D2518" s="21" t="s">
        <v>997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1095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1809</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1097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1116</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1061</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1030</v>
      </c>
      <c r="B2524" s="21" t="s">
        <v>1039</v>
      </c>
      <c r="C2524" s="21" t="s">
        <v>1034</v>
      </c>
      <c r="D2524" s="21" t="s">
        <v>997</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1011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1810</v>
      </c>
    </row>
    <row r="2528" spans="1:12">
      <c r="A2528" s="20" t="s">
        <v>1013</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1287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1041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1141</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1000</v>
      </c>
      <c r="B2532" s="21" t="s">
        <v>1142</v>
      </c>
      <c r="C2532" s="21" t="s">
        <v>996</v>
      </c>
      <c r="D2532" s="21" t="s">
        <v>997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1811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1008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1065</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1798</v>
      </c>
      <c r="B2536" s="21" t="s">
        <v>1005</v>
      </c>
      <c r="C2536" s="21" t="s">
        <v>1068</v>
      </c>
      <c r="D2536" s="21" t="s">
        <v>997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1041</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1000</v>
      </c>
      <c r="B2538" s="21" t="s">
        <v>995</v>
      </c>
      <c r="C2538" s="21" t="s">
        <v>996</v>
      </c>
      <c r="D2538" s="21" t="s">
        <v>997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1812</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32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1018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481</v>
      </c>
      <c r="B2542" s="21" t="s">
        <v>1001</v>
      </c>
      <c r="C2542" s="21" t="s">
        <v>1089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1003</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1499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1008</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1060</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1004</v>
      </c>
      <c r="B2547" s="21" t="s">
        <v>1088</v>
      </c>
      <c r="C2547" s="21" t="s">
        <v>1006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1813</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1065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1814</v>
      </c>
      <c r="B2550" s="21" t="s">
        <v>1005</v>
      </c>
      <c r="C2550" s="21" t="s">
        <v>1068</v>
      </c>
      <c r="D2550" s="21" t="s">
        <v>997</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1008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1030</v>
      </c>
      <c r="B2552" s="21" t="s">
        <v>1010</v>
      </c>
      <c r="C2552" s="21" t="s">
        <v>1006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1090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1815</v>
      </c>
      <c r="B2554" s="21" t="s">
        <v>1045</v>
      </c>
      <c r="C2554" s="21" t="s">
        <v>996</v>
      </c>
      <c r="D2554" s="21" t="s">
        <v>997</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1339</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423</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1097</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1816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1011</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row>
    <row r="2561" spans="1:12">
      <c r="A2561" s="20" t="s">
        <v>1817</v>
      </c>
    </row>
    <row r="2562" spans="1:12">
      <c r="A2562" s="20" t="s">
        <v>1466</v>
      </c>
      <c r="B2562" s="21" t="s">
        <v>995</v>
      </c>
      <c r="C2562" s="21" t="s">
        <v>996</v>
      </c>
      <c r="D2562" s="21" t="s">
        <v>997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1170</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1462</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1008</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1496</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1734</v>
      </c>
      <c r="B2567" s="21" t="s">
        <v>1067</v>
      </c>
      <c r="C2567" s="21" t="s">
        <v>1006</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1008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1818</v>
      </c>
      <c r="B2569" s="21" t="s">
        <v>1005</v>
      </c>
      <c r="C2569" s="21" t="s">
        <v>1006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1011</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row>
    <row r="2572" spans="1:12">
      <c r="A2572" s="20" t="s">
        <v>1819</v>
      </c>
    </row>
    <row r="2573" spans="1:12">
      <c r="A2573" s="20" t="s">
        <v>1466</v>
      </c>
      <c r="B2573" s="21" t="s">
        <v>995</v>
      </c>
      <c r="C2573" s="21" t="s">
        <v>996</v>
      </c>
      <c r="D2573" s="21" t="s">
        <v>997</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1170</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1008</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1037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1734</v>
      </c>
      <c r="B2577" s="21" t="s">
        <v>1067</v>
      </c>
      <c r="C2577" s="21" t="s">
        <v>1034</v>
      </c>
      <c r="D2577" s="21" t="s">
        <v>997</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1008</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1820</v>
      </c>
      <c r="B2579" s="21" t="s">
        <v>1005</v>
      </c>
      <c r="C2579" s="21" t="s">
        <v>1006</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1011</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row>
    <row r="2582" spans="1:12">
      <c r="A2582" s="20" t="s">
        <v>1821</v>
      </c>
    </row>
    <row r="2583" spans="1:12">
      <c r="A2583" s="20" t="s">
        <v>1822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1437</v>
      </c>
      <c r="B2584" s="21" t="s">
        <v>1005</v>
      </c>
      <c r="C2584" s="21" t="s">
        <v>1006</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1041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1823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1022</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1202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1824</v>
      </c>
      <c r="B2589" s="21" t="s">
        <v>1142</v>
      </c>
      <c r="C2589" s="21" t="s">
        <v>1068</v>
      </c>
      <c r="D2589" s="21" t="s">
        <v>997</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1003</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1004</v>
      </c>
      <c r="B2591" s="21" t="s">
        <v>1010</v>
      </c>
      <c r="C2591" s="21" t="s">
        <v>1006</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423</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1069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1527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1008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1825</v>
      </c>
      <c r="B2596" s="21" t="s">
        <v>1024</v>
      </c>
      <c r="C2596" s="21" t="s">
        <v>1025</v>
      </c>
      <c r="D2596" s="21" t="s">
        <v>997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1323</v>
      </c>
      <c r="B2597" s="21" t="s">
        <v>1010</v>
      </c>
      <c r="C2597" s="21" t="s">
        <v>1028</v>
      </c>
      <c r="D2597" s="21" t="s">
        <v>997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1041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1230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1517</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1826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1000</v>
      </c>
      <c r="B2602" s="21" t="s">
        <v>1142</v>
      </c>
      <c r="C2602" s="21" t="s">
        <v>996</v>
      </c>
      <c r="D2602" s="21" t="s">
        <v>997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1441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1647</v>
      </c>
      <c r="B2604" s="21" t="s">
        <v>1001</v>
      </c>
      <c r="C2604" s="21" t="s">
        <v>1006</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1008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1032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1827</v>
      </c>
      <c r="B2607" s="21" t="s">
        <v>1010</v>
      </c>
      <c r="C2607" s="21" t="s">
        <v>1034</v>
      </c>
      <c r="D2607" s="21" t="s">
        <v>997</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1041</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1249</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1000</v>
      </c>
      <c r="B2610" s="21" t="s">
        <v>1142</v>
      </c>
      <c r="C2610" s="21" t="s">
        <v>996</v>
      </c>
      <c r="D2610" s="21" t="s">
        <v>997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1812</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158</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1828</v>
      </c>
      <c r="B2613" s="21" t="s">
        <v>1039</v>
      </c>
      <c r="C2613" s="21" t="s">
        <v>1006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1029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1061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1829</v>
      </c>
      <c r="B2616" s="21" t="s">
        <v>1010</v>
      </c>
      <c r="C2616" s="21" t="s">
        <v>1034</v>
      </c>
      <c r="D2616" s="21" t="s">
        <v>997</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1003</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1144</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1004</v>
      </c>
      <c r="B2619" s="21" t="s">
        <v>1024</v>
      </c>
      <c r="C2619" s="21" t="s">
        <v>1089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1830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1003</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1831</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1011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row>
    <row r="2625" spans="1:12">
      <c r="A2625" s="20" t="s">
        <v>1832</v>
      </c>
    </row>
    <row r="2626" spans="1:12">
      <c r="A2626" s="20" t="s">
        <v>1013</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1041</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1833</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1041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1083</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1084</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1154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1079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408</v>
      </c>
      <c r="B2634" s="21" t="s">
        <v>1101</v>
      </c>
      <c r="C2634" s="21" t="s">
        <v>1068</v>
      </c>
      <c r="D2634" s="21" t="s">
        <v>997</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1008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1834</v>
      </c>
      <c r="B2636" s="21" t="s">
        <v>1005</v>
      </c>
      <c r="C2636" s="21" t="s">
        <v>1006</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1011</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row>
    <row r="2639" spans="1:12">
      <c r="A2639" s="20" t="s">
        <v>1835</v>
      </c>
    </row>
    <row r="2640" spans="1:12">
      <c r="A2640" s="20" t="s">
        <v>1365</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1041</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1049</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1836</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1014</v>
      </c>
      <c r="B2644" s="21" t="s">
        <v>1039</v>
      </c>
      <c r="C2644" s="21" t="s">
        <v>1015</v>
      </c>
      <c r="D2644" s="21" t="s">
        <v>997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1041</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1263</v>
      </c>
      <c r="B2646" s="21" t="s">
        <v>1142</v>
      </c>
      <c r="C2646" s="21" t="s">
        <v>996</v>
      </c>
      <c r="D2646" s="21" t="s">
        <v>997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1264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1837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1805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1037</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1473</v>
      </c>
      <c r="B2651" s="21" t="s">
        <v>1001</v>
      </c>
      <c r="C2651" s="21" t="s">
        <v>1034</v>
      </c>
      <c r="D2651" s="21" t="s">
        <v>997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1008</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1838</v>
      </c>
      <c r="B2653" s="21" t="s">
        <v>1010</v>
      </c>
      <c r="C2653" s="21" t="s">
        <v>1006</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1082</v>
      </c>
      <c r="B2654" s="21" t="s">
        <v>1088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1194</v>
      </c>
      <c r="B2655" s="21" t="s">
        <v>1114</v>
      </c>
      <c r="C2655" s="21" t="s">
        <v>1133</v>
      </c>
      <c r="D2655" s="21" t="s">
        <v>997</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1839</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1041</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1049</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1037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1474</v>
      </c>
      <c r="B2660" s="21" t="s">
        <v>1005</v>
      </c>
      <c r="C2660" s="21" t="s">
        <v>1034</v>
      </c>
      <c r="D2660" s="21" t="s">
        <v>997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1041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1049</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1037</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1840</v>
      </c>
      <c r="B2664" s="21" t="s">
        <v>1005</v>
      </c>
      <c r="C2664" s="21" t="s">
        <v>1034</v>
      </c>
      <c r="D2664" s="21" t="s">
        <v>997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1041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1037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1841</v>
      </c>
      <c r="B2667" s="21" t="s">
        <v>1005</v>
      </c>
      <c r="C2667" s="21" t="s">
        <v>1034</v>
      </c>
      <c r="D2667" s="21" t="s">
        <v>997</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1041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1037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1842</v>
      </c>
      <c r="B2670" s="21" t="s">
        <v>1005</v>
      </c>
      <c r="C2670" s="21" t="s">
        <v>1034</v>
      </c>
      <c r="D2670" s="21" t="s">
        <v>997</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1008</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1843</v>
      </c>
      <c r="B2672" s="21" t="s">
        <v>1010</v>
      </c>
      <c r="C2672" s="21" t="s">
        <v>1006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1041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1049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1116</v>
      </c>
      <c r="B2675" s="21" t="s">
        <v>1005</v>
      </c>
      <c r="C2675" s="21" t="s">
        <v>1133</v>
      </c>
      <c r="D2675" s="21" t="s">
        <v>997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1041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1007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1844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1014</v>
      </c>
      <c r="B2679" s="21" t="s">
        <v>1039</v>
      </c>
      <c r="C2679" s="21" t="s">
        <v>1015</v>
      </c>
      <c r="D2679" s="21" t="s">
        <v>997</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1029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1032</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1313</v>
      </c>
      <c r="B2682" s="21" t="s">
        <v>1010</v>
      </c>
      <c r="C2682" s="21" t="s">
        <v>1034</v>
      </c>
      <c r="D2682" s="21" t="s">
        <v>997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1003</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1004</v>
      </c>
      <c r="B2684" s="21" t="s">
        <v>1024</v>
      </c>
      <c r="C2684" s="21" t="s">
        <v>1006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1787</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1361</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1109</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1061</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1187</v>
      </c>
      <c r="B2689" s="21" t="s">
        <v>1182</v>
      </c>
      <c r="C2689" s="21" t="s">
        <v>1034</v>
      </c>
      <c r="D2689" s="21" t="s">
        <v>997</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1041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1007</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1079</v>
      </c>
      <c r="B2692" s="21" t="s">
        <v>1005</v>
      </c>
      <c r="C2692" s="21" t="s">
        <v>1015</v>
      </c>
      <c r="D2692" s="21" t="s">
        <v>997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1022</v>
      </c>
      <c r="B2693" s="21" t="s">
        <v>1088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1263</v>
      </c>
      <c r="B2694" s="21" t="s">
        <v>1114</v>
      </c>
      <c r="C2694" s="21" t="s">
        <v>996</v>
      </c>
      <c r="D2694" s="21" t="s">
        <v>997</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1264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1845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1041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1175</v>
      </c>
      <c r="B2698" s="21" t="s">
        <v>995</v>
      </c>
      <c r="C2698" s="21" t="s">
        <v>1015</v>
      </c>
      <c r="D2698" s="21" t="s">
        <v>997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423</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1022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1032</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1846</v>
      </c>
      <c r="B2702" s="21" t="s">
        <v>1142</v>
      </c>
      <c r="C2702" s="21" t="s">
        <v>1034</v>
      </c>
      <c r="D2702" s="21" t="s">
        <v>997</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1008</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1037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1838</v>
      </c>
      <c r="B2705" s="21" t="s">
        <v>1010</v>
      </c>
      <c r="C2705" s="21" t="s">
        <v>1034</v>
      </c>
      <c r="D2705" s="21" t="s">
        <v>997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1022</v>
      </c>
      <c r="B2706" s="21" t="s">
        <v>1301</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1044</v>
      </c>
      <c r="B2707" s="21" t="s">
        <v>1045</v>
      </c>
      <c r="C2707" s="21" t="s">
        <v>996</v>
      </c>
      <c r="D2707" s="21" t="s">
        <v>997</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1847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999</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1404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1848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1325</v>
      </c>
      <c r="B2712" s="21" t="s">
        <v>1039</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1008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48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1849</v>
      </c>
      <c r="B2715" s="21" t="s">
        <v>1024</v>
      </c>
      <c r="C2715" s="21" t="s">
        <v>1295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1008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1579</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1060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1004</v>
      </c>
      <c r="B2719" s="21" t="s">
        <v>1112</v>
      </c>
      <c r="C2719" s="21" t="s">
        <v>1034</v>
      </c>
      <c r="D2719" s="21" t="s">
        <v>997</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1011</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1850</v>
      </c>
    </row>
    <row r="2723" spans="1:12">
      <c r="A2723" s="20" t="s">
        <v>1365</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1041</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1069</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1070</v>
      </c>
      <c r="B2726" s="21" t="s">
        <v>1005</v>
      </c>
      <c r="C2726" s="21" t="s">
        <v>1006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1041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1044</v>
      </c>
      <c r="B2728" s="21" t="s">
        <v>995</v>
      </c>
      <c r="C2728" s="21" t="s">
        <v>996</v>
      </c>
      <c r="D2728" s="21" t="s">
        <v>997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1170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1647</v>
      </c>
      <c r="B2730" s="21" t="s">
        <v>1101</v>
      </c>
      <c r="C2730" s="21" t="s">
        <v>1006</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1003</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1144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1851</v>
      </c>
      <c r="B2733" s="21" t="s">
        <v>1067</v>
      </c>
      <c r="C2733" s="21" t="s">
        <v>1089</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1852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1462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1041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1305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1146</v>
      </c>
      <c r="B2738" s="21" t="s">
        <v>1067</v>
      </c>
      <c r="C2738" s="21" t="s">
        <v>1239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1080</v>
      </c>
      <c r="B2739" s="21" t="s">
        <v>1027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1853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537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1003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1018</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1407</v>
      </c>
      <c r="B2744" s="21" t="s">
        <v>1024</v>
      </c>
      <c r="C2744" s="21" t="s">
        <v>1089</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1008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396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1037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1854</v>
      </c>
      <c r="B2748" s="21" t="s">
        <v>1112</v>
      </c>
      <c r="C2748" s="21" t="s">
        <v>1034</v>
      </c>
      <c r="D2748" s="21" t="s">
        <v>997</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1022</v>
      </c>
      <c r="B2749" s="21" t="s">
        <v>1053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1044</v>
      </c>
      <c r="B2750" s="21" t="s">
        <v>1243</v>
      </c>
      <c r="C2750" s="21" t="s">
        <v>996</v>
      </c>
      <c r="D2750" s="21" t="s">
        <v>997</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1170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1855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1011</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row>
    <row r="2755" spans="1:12">
      <c r="A2755" s="20" t="s">
        <v>1856</v>
      </c>
    </row>
    <row r="2756" spans="1:12">
      <c r="A2756" s="20" t="s">
        <v>1338</v>
      </c>
      <c r="B2756" s="21" t="s">
        <v>995</v>
      </c>
      <c r="C2756" s="21" t="s">
        <v>1015</v>
      </c>
      <c r="D2756" s="21" t="s">
        <v>997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1339</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423</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1097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1549</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1041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1249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1079</v>
      </c>
      <c r="B2763" s="21" t="s">
        <v>1142</v>
      </c>
      <c r="C2763" s="21" t="s">
        <v>1015</v>
      </c>
      <c r="D2763" s="21" t="s">
        <v>997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1339</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423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1097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1144</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1146</v>
      </c>
      <c r="B2768" s="21" t="s">
        <v>1067</v>
      </c>
      <c r="C2768" s="21" t="s">
        <v>1089</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1137</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1857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1011</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row>
    <row r="2773" spans="1:12">
      <c r="A2773" s="20" t="s">
        <v>1858</v>
      </c>
    </row>
    <row r="2774" spans="1:12">
      <c r="A2774" s="20" t="s">
        <v>1234</v>
      </c>
      <c r="B2774" s="21" t="s">
        <v>995</v>
      </c>
      <c r="C2774" s="21" t="s">
        <v>1015</v>
      </c>
      <c r="D2774" s="21" t="s">
        <v>997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423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1079</v>
      </c>
      <c r="B2776" s="21" t="s">
        <v>1067</v>
      </c>
      <c r="C2776" s="21" t="s">
        <v>1015</v>
      </c>
      <c r="D2776" s="21" t="s">
        <v>997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1082</v>
      </c>
      <c r="B2777" s="21" t="s">
        <v>1001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1194</v>
      </c>
      <c r="B2778" s="21" t="s">
        <v>1142</v>
      </c>
      <c r="C2778" s="21" t="s">
        <v>1133</v>
      </c>
      <c r="D2778" s="21" t="s">
        <v>997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1231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1544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1194</v>
      </c>
      <c r="B2781" s="21" t="s">
        <v>1027</v>
      </c>
      <c r="C2781" s="21" t="s">
        <v>1133</v>
      </c>
      <c r="D2781" s="21" t="s">
        <v>997</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1859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1003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1499</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1003</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1144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1824</v>
      </c>
      <c r="B2787" s="21" t="s">
        <v>1024</v>
      </c>
      <c r="C2787" s="21" t="s">
        <v>1089</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1860</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1054</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1008</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1041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1823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1041</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1320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1029</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130</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1049</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1405</v>
      </c>
      <c r="B2798" s="21" t="s">
        <v>1182</v>
      </c>
      <c r="C2798" s="21" t="s">
        <v>1028</v>
      </c>
      <c r="D2798" s="21" t="s">
        <v>997</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1008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1079</v>
      </c>
      <c r="B2800" s="21" t="s">
        <v>1092</v>
      </c>
      <c r="C2800" s="21" t="s">
        <v>1015</v>
      </c>
      <c r="D2800" s="21" t="s">
        <v>997</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1082</v>
      </c>
      <c r="B2801" s="21" t="s">
        <v>1861</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1194</v>
      </c>
      <c r="B2802" s="21" t="s">
        <v>1862</v>
      </c>
      <c r="C2802" s="21" t="s">
        <v>1133</v>
      </c>
      <c r="D2802" s="21" t="s">
        <v>997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1360</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1011</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row>
    <row r="2806" spans="1:12">
      <c r="A2806" s="20" t="s">
        <v>1863</v>
      </c>
    </row>
    <row r="2807" spans="1:12">
      <c r="A2807" s="20" t="s">
        <v>1210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1194</v>
      </c>
      <c r="B2808" s="21" t="s">
        <v>1142</v>
      </c>
      <c r="C2808" s="21" t="s">
        <v>1133</v>
      </c>
      <c r="D2808" s="21" t="s">
        <v>997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1389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1073</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1202</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1824</v>
      </c>
      <c r="B2812" s="21" t="s">
        <v>1005</v>
      </c>
      <c r="C2812" s="21" t="s">
        <v>1068</v>
      </c>
      <c r="D2812" s="21" t="s">
        <v>997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1049</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1422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1037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396</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1701</v>
      </c>
      <c r="B2817" s="21" t="s">
        <v>1039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1041</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1000</v>
      </c>
      <c r="B2819" s="21" t="s">
        <v>995</v>
      </c>
      <c r="C2819" s="21" t="s">
        <v>996</v>
      </c>
      <c r="D2819" s="21" t="s">
        <v>997</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1441</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1647</v>
      </c>
      <c r="B2821" s="21" t="s">
        <v>1101</v>
      </c>
      <c r="C2821" s="21" t="s">
        <v>1006</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1003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1144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1864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1865</v>
      </c>
      <c r="B2825" s="21" t="s">
        <v>1005</v>
      </c>
      <c r="C2825" s="21" t="s">
        <v>1089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1546</v>
      </c>
      <c r="B2826" s="21" t="s">
        <v>1010</v>
      </c>
      <c r="C2826" s="21" t="s">
        <v>1006</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1011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row>
    <row r="2829" spans="1:12">
      <c r="A2829" s="20" t="s">
        <v>1866</v>
      </c>
    </row>
    <row r="2830" spans="1:12">
      <c r="A2830" s="20" t="s">
        <v>1354</v>
      </c>
      <c r="B2830" s="21" t="s">
        <v>995</v>
      </c>
      <c r="C2830" s="21" t="s">
        <v>1095</v>
      </c>
      <c r="D2830" s="21" t="s">
        <v>997</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1041</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1867</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1003</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1868</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1073</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1032</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1512</v>
      </c>
      <c r="B2837" s="21" t="s">
        <v>1005</v>
      </c>
      <c r="C2837" s="21" t="s">
        <v>1034</v>
      </c>
      <c r="D2837" s="21" t="s">
        <v>997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1008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1032</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1425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1869</v>
      </c>
      <c r="B2841" s="21" t="s">
        <v>1010</v>
      </c>
      <c r="C2841" s="21" t="s">
        <v>1034</v>
      </c>
      <c r="D2841" s="21" t="s">
        <v>997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1029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1870</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1011</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row>
    <row r="2846" spans="1:12">
      <c r="A2846" s="20" t="s">
        <v>1457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1871</v>
      </c>
    </row>
    <row r="2848" spans="1:12">
      <c r="A2848" s="20" t="s">
        <v>1872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1873</v>
      </c>
      <c r="B2849" s="21" t="s">
        <v>995</v>
      </c>
      <c r="C2849" s="21" t="s">
        <v>1015</v>
      </c>
      <c r="D2849" s="21" t="s">
        <v>997</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1022</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1175</v>
      </c>
      <c r="B2851" s="21" t="s">
        <v>1142</v>
      </c>
      <c r="C2851" s="21" t="s">
        <v>1015</v>
      </c>
      <c r="D2851" s="21" t="s">
        <v>997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423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1018</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1537</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1460</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1874</v>
      </c>
      <c r="B2856" s="21" t="s">
        <v>1067</v>
      </c>
      <c r="C2856" s="21" t="s">
        <v>1095</v>
      </c>
      <c r="D2856" s="21" t="s">
        <v>997</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1875</v>
      </c>
      <c r="B2857" s="21" t="s">
        <v>1005</v>
      </c>
      <c r="C2857" s="21" t="s">
        <v>1095</v>
      </c>
      <c r="D2857" s="21" t="s">
        <v>997</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1460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1275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row>
    <row r="2861" spans="1:12">
      <c r="A2861" s="20" t="s">
        <v>1876</v>
      </c>
    </row>
    <row r="2862" spans="1:12">
      <c r="A2862" s="20" t="s">
        <v>1877</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1878</v>
      </c>
      <c r="B2863" s="21" t="s">
        <v>1067</v>
      </c>
      <c r="C2863" s="21" t="s">
        <v>1239</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1049</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1084</v>
      </c>
      <c r="B2865" s="21" t="s">
        <v>1001</v>
      </c>
      <c r="C2865" s="21" t="s">
        <v>1133</v>
      </c>
      <c r="D2865" s="21" t="s">
        <v>997</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1307</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1275</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row>
    <row r="2869" spans="1:12">
      <c r="A2869" s="20" t="s">
        <v>1879</v>
      </c>
    </row>
    <row r="2870" spans="1:12">
      <c r="A2870" s="20" t="s">
        <v>1880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1190</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1041</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1083</v>
      </c>
      <c r="B2873" s="21" t="s">
        <v>995</v>
      </c>
      <c r="C2873" s="21" t="s">
        <v>996</v>
      </c>
      <c r="D2873" s="21" t="s">
        <v>997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1044</v>
      </c>
      <c r="B2874" s="21" t="s">
        <v>1101</v>
      </c>
      <c r="C2874" s="21" t="s">
        <v>996</v>
      </c>
      <c r="D2874" s="21" t="s">
        <v>997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1540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1018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1288</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1358</v>
      </c>
      <c r="B2878" s="21" t="s">
        <v>1101</v>
      </c>
      <c r="C2878" s="21" t="s">
        <v>1089</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1003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1881</v>
      </c>
      <c r="B2880" s="21" t="s">
        <v>1005</v>
      </c>
      <c r="C2880" s="21" t="s">
        <v>1006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1049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1762</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1073</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1061</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1882</v>
      </c>
      <c r="B2885" s="21" t="s">
        <v>1005</v>
      </c>
      <c r="C2885" s="21" t="s">
        <v>1034</v>
      </c>
      <c r="D2885" s="21" t="s">
        <v>997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1041</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1008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1037</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1883</v>
      </c>
      <c r="B2889" s="21" t="s">
        <v>1010</v>
      </c>
      <c r="C2889" s="21" t="s">
        <v>1034</v>
      </c>
      <c r="D2889" s="21" t="s">
        <v>997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1011</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row>
    <row r="2892" spans="1:12">
      <c r="A2892" s="20" t="s">
        <v>1884</v>
      </c>
    </row>
    <row r="2893" spans="1:12">
      <c r="A2893" s="20" t="s">
        <v>1186</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1885</v>
      </c>
      <c r="B2894" s="21" t="s">
        <v>1067</v>
      </c>
      <c r="C2894" s="21" t="s">
        <v>1133</v>
      </c>
      <c r="D2894" s="21" t="s">
        <v>997</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1008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1065</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1330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1886</v>
      </c>
      <c r="B2898" s="21" t="s">
        <v>1005</v>
      </c>
      <c r="C2898" s="21" t="s">
        <v>1068</v>
      </c>
      <c r="D2898" s="21" t="s">
        <v>997</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1041</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1044</v>
      </c>
      <c r="B2900" s="21" t="s">
        <v>995</v>
      </c>
      <c r="C2900" s="21" t="s">
        <v>996</v>
      </c>
      <c r="D2900" s="21" t="s">
        <v>997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1170</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1647</v>
      </c>
      <c r="B2902" s="21" t="s">
        <v>1101</v>
      </c>
      <c r="C2902" s="21" t="s">
        <v>1006</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1003</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1029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1061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1325</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1144</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1887</v>
      </c>
      <c r="B2908" s="21" t="s">
        <v>1067</v>
      </c>
      <c r="C2908" s="21" t="s">
        <v>1295</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1008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1066</v>
      </c>
      <c r="B2910" s="21" t="s">
        <v>1005</v>
      </c>
      <c r="C2910" s="21" t="s">
        <v>1006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1011</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row>
    <row r="2913" spans="1:12">
      <c r="A2913" s="20" t="s">
        <v>1888</v>
      </c>
    </row>
    <row r="2914" spans="1:12">
      <c r="A2914" s="20" t="s">
        <v>1013</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1049</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1250</v>
      </c>
      <c r="B2916" s="21" t="s">
        <v>1067</v>
      </c>
      <c r="C2916" s="21" t="s">
        <v>1133</v>
      </c>
      <c r="D2916" s="21" t="s">
        <v>997</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1003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1889</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1132</v>
      </c>
      <c r="B2919" s="21" t="s">
        <v>1005</v>
      </c>
      <c r="C2919" s="21" t="s">
        <v>1133</v>
      </c>
      <c r="D2919" s="21" t="s">
        <v>997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1041</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1000</v>
      </c>
      <c r="B2921" s="21" t="s">
        <v>1101</v>
      </c>
      <c r="C2921" s="21" t="s">
        <v>996</v>
      </c>
      <c r="D2921" s="21" t="s">
        <v>997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1890</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1082</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1257</v>
      </c>
      <c r="B2924" s="21" t="s">
        <v>1142</v>
      </c>
      <c r="C2924" s="21" t="s">
        <v>996</v>
      </c>
      <c r="D2924" s="21" t="s">
        <v>997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1062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1891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1011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row>
    <row r="2929" spans="1:12">
      <c r="A2929" s="20" t="s">
        <v>1892</v>
      </c>
    </row>
    <row r="2930" spans="1:12">
      <c r="A2930" s="20" t="s">
        <v>1234</v>
      </c>
      <c r="B2930" s="21" t="s">
        <v>995</v>
      </c>
      <c r="C2930" s="21" t="s">
        <v>1015</v>
      </c>
      <c r="D2930" s="21" t="s">
        <v>997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423</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1893</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1011</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row>
    <row r="2935" spans="1:12">
      <c r="A2935" s="20" t="s">
        <v>1894</v>
      </c>
    </row>
    <row r="2936" spans="1:12">
      <c r="A2936" s="20" t="s">
        <v>1013</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1041</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1547</v>
      </c>
      <c r="B2938" s="21" t="s">
        <v>995</v>
      </c>
      <c r="C2938" s="21" t="s">
        <v>996</v>
      </c>
      <c r="D2938" s="21" t="s">
        <v>997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1667</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1082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1462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1041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1109</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1061</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1895</v>
      </c>
      <c r="B2945" s="21" t="s">
        <v>1005</v>
      </c>
      <c r="C2945" s="21" t="s">
        <v>1034</v>
      </c>
      <c r="D2945" s="21" t="s">
        <v>997</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1896</v>
      </c>
      <c r="B2946" s="21" t="s">
        <v>1010</v>
      </c>
      <c r="C2946" s="21" t="s">
        <v>1095</v>
      </c>
      <c r="D2946" s="21" t="s">
        <v>997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1041</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1250</v>
      </c>
      <c r="B2948" s="21" t="s">
        <v>1142</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1008</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1560</v>
      </c>
      <c r="B2950" s="21" t="s">
        <v>1010</v>
      </c>
      <c r="C2950" s="21" t="s">
        <v>1006</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1897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1898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1065</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1886</v>
      </c>
      <c r="B2954" s="21" t="s">
        <v>1001</v>
      </c>
      <c r="C2954" s="21" t="s">
        <v>1068</v>
      </c>
      <c r="D2954" s="21" t="s">
        <v>997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1011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row>
    <row r="2957" spans="1:12">
      <c r="A2957" s="20" t="s">
        <v>1899</v>
      </c>
    </row>
    <row r="2958" spans="1:12">
      <c r="A2958" s="20" t="s">
        <v>725</v>
      </c>
      <c r="B2958" s="21" t="s">
        <v>995</v>
      </c>
      <c r="C2958" s="21" t="s">
        <v>1095</v>
      </c>
      <c r="D2958" s="21" t="s">
        <v>997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1900</v>
      </c>
      <c r="B2959" s="21" t="s">
        <v>1005</v>
      </c>
      <c r="C2959" s="21" t="s">
        <v>1095</v>
      </c>
      <c r="D2959" s="21" t="s">
        <v>997</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1901</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1261</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1902</v>
      </c>
      <c r="B2962" s="21" t="s">
        <v>1101</v>
      </c>
      <c r="C2962" s="21" t="s">
        <v>1239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1041</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1903</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1144</v>
      </c>
      <c r="B2965" s="21" t="s">
        <v>1027</v>
      </c>
      <c r="C2965" s="21" t="s">
        <v>1133</v>
      </c>
      <c r="D2965" s="21" t="s">
        <v>997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1904</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1905</v>
      </c>
      <c r="B2967" s="21" t="s">
        <v>1039</v>
      </c>
      <c r="C2967" s="21" t="s">
        <v>1095</v>
      </c>
      <c r="D2967" s="21" t="s">
        <v>997</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1080</v>
      </c>
      <c r="B2968" s="21" t="s">
        <v>1045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1906</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1776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1907</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1782</v>
      </c>
      <c r="B2972" s="21" t="s">
        <v>1301</v>
      </c>
      <c r="C2972" s="21" t="s">
        <v>1239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1908</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1909</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1011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row>
    <row r="2977" spans="1:12">
      <c r="A2977" s="20" t="s">
        <v>1910</v>
      </c>
    </row>
    <row r="2978" spans="1:12">
      <c r="A2978" s="20" t="s">
        <v>1911</v>
      </c>
      <c r="B2978" s="21" t="s">
        <v>995</v>
      </c>
      <c r="C2978" s="21" t="s">
        <v>1095</v>
      </c>
      <c r="D2978" s="21" t="s">
        <v>997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1912</v>
      </c>
      <c r="B2979" s="21" t="s">
        <v>1005</v>
      </c>
      <c r="C2979" s="21" t="s">
        <v>1095</v>
      </c>
      <c r="D2979" s="21" t="s">
        <v>997</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1913</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1109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1008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1037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1914</v>
      </c>
      <c r="B2984" s="21" t="s">
        <v>1067</v>
      </c>
      <c r="C2984" s="21" t="s">
        <v>1034</v>
      </c>
      <c r="D2984" s="21" t="s">
        <v>997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1003</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1881</v>
      </c>
      <c r="B2986" s="21" t="s">
        <v>1005</v>
      </c>
      <c r="C2986" s="21" t="s">
        <v>1006</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1080</v>
      </c>
      <c r="B2987" s="21" t="s">
        <v>1027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1453</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1008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1915</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1042</v>
      </c>
      <c r="B2991" s="21" t="s">
        <v>1039</v>
      </c>
      <c r="C2991" s="21" t="s">
        <v>1089</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1007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1562</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1003</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1916</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1917</v>
      </c>
      <c r="B2996" s="21" t="s">
        <v>1088</v>
      </c>
      <c r="C2996" s="21" t="s">
        <v>1089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1041</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1007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1263</v>
      </c>
      <c r="B2999" s="21" t="s">
        <v>1142</v>
      </c>
      <c r="C2999" s="21" t="s">
        <v>996</v>
      </c>
      <c r="D2999" s="21" t="s">
        <v>997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1859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1003</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1050</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1029</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512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1918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1065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1698</v>
      </c>
      <c r="B3007" s="21" t="s">
        <v>1088</v>
      </c>
      <c r="C3007" s="21" t="s">
        <v>1068</v>
      </c>
      <c r="D3007" s="21" t="s">
        <v>997</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1011</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row>
    <row r="3010" spans="1:12">
      <c r="A3010" s="20" t="s">
        <v>1919</v>
      </c>
    </row>
    <row r="3011" spans="1:12">
      <c r="A3011" s="20" t="s">
        <v>1140</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1070</v>
      </c>
      <c r="B3012" s="21" t="s">
        <v>1005</v>
      </c>
      <c r="C3012" s="21" t="s">
        <v>1006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1041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1920</v>
      </c>
      <c r="B3014" s="21" t="s">
        <v>995</v>
      </c>
      <c r="C3014" s="21" t="s">
        <v>1095</v>
      </c>
      <c r="D3014" s="21" t="s">
        <v>997</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1921</v>
      </c>
      <c r="B3015" s="21" t="s">
        <v>1005</v>
      </c>
      <c r="C3015" s="21" t="s">
        <v>1095</v>
      </c>
      <c r="D3015" s="21" t="s">
        <v>997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1007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1922</v>
      </c>
      <c r="B3017" s="21" t="s">
        <v>1005</v>
      </c>
      <c r="C3017" s="21" t="s">
        <v>1133</v>
      </c>
      <c r="D3017" s="21" t="s">
        <v>997</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1041</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1044</v>
      </c>
      <c r="B3019" s="21" t="s">
        <v>1101</v>
      </c>
      <c r="C3019" s="21" t="s">
        <v>996</v>
      </c>
      <c r="D3019" s="21" t="s">
        <v>997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1923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1918</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1144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1924</v>
      </c>
      <c r="B3023" s="21" t="s">
        <v>1101</v>
      </c>
      <c r="C3023" s="21" t="s">
        <v>1089</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1080</v>
      </c>
      <c r="B3024" s="21" t="s">
        <v>1027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1041</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1014</v>
      </c>
      <c r="B3026" s="21" t="s">
        <v>1045</v>
      </c>
      <c r="C3026" s="21" t="s">
        <v>1015</v>
      </c>
      <c r="D3026" s="21" t="s">
        <v>997</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1000</v>
      </c>
      <c r="B3027" s="21" t="s">
        <v>1301</v>
      </c>
      <c r="C3027" s="21" t="s">
        <v>996</v>
      </c>
      <c r="D3027" s="21" t="s">
        <v>997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1925</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1221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1041</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1154</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1926</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1060</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1869</v>
      </c>
      <c r="B3034" s="21" t="s">
        <v>1039</v>
      </c>
      <c r="C3034" s="21" t="s">
        <v>1034</v>
      </c>
      <c r="D3034" s="21" t="s">
        <v>997</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1530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1011</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row>
    <row r="3038" spans="1:12">
      <c r="A3038" s="20" t="s">
        <v>1927</v>
      </c>
    </row>
    <row r="3039" spans="1:12">
      <c r="A3039" s="20" t="s">
        <v>1099</v>
      </c>
      <c r="B3039" s="21" t="s">
        <v>995</v>
      </c>
      <c r="C3039" s="21" t="s">
        <v>996</v>
      </c>
      <c r="D3039" s="21" t="s">
        <v>997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1928</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1776</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1929</v>
      </c>
      <c r="B3042" s="21" t="s">
        <v>1101</v>
      </c>
      <c r="C3042" s="21" t="s">
        <v>1239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1109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1061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1530</v>
      </c>
      <c r="B3045" s="21" t="s">
        <v>1067</v>
      </c>
      <c r="C3045" s="21" t="s">
        <v>1034</v>
      </c>
      <c r="D3045" s="21" t="s">
        <v>997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1513</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1930</v>
      </c>
      <c r="B3047" s="21" t="s">
        <v>1005</v>
      </c>
      <c r="C3047" s="21" t="s">
        <v>1006</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1041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1693</v>
      </c>
      <c r="B3049" s="21" t="s">
        <v>1010</v>
      </c>
      <c r="C3049" s="21" t="s">
        <v>1006</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1011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row>
    <row r="3052" spans="1:12">
      <c r="A3052" s="20" t="s">
        <v>1931</v>
      </c>
    </row>
    <row r="3053" spans="1:12">
      <c r="A3053" s="20" t="s">
        <v>1013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1060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1932</v>
      </c>
      <c r="B3055" s="21" t="s">
        <v>995</v>
      </c>
      <c r="C3055" s="21" t="s">
        <v>1034</v>
      </c>
      <c r="D3055" s="21" t="s">
        <v>997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1615</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1270</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1933</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1109</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1202</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1934</v>
      </c>
      <c r="B3061" s="21" t="s">
        <v>1067</v>
      </c>
      <c r="C3061" s="21" t="s">
        <v>1068</v>
      </c>
      <c r="D3061" s="21" t="s">
        <v>997</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1935</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1018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1936</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1030</v>
      </c>
      <c r="B3065" s="21" t="s">
        <v>1067</v>
      </c>
      <c r="C3065" s="21" t="s">
        <v>1089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1041</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1365</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1041</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1060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1618</v>
      </c>
      <c r="B3070" s="21" t="s">
        <v>1101</v>
      </c>
      <c r="C3070" s="21" t="s">
        <v>1034</v>
      </c>
      <c r="D3070" s="21" t="s">
        <v>997</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1082</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1083</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1084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1937</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1776</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1420</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1938</v>
      </c>
      <c r="B3077" s="21" t="s">
        <v>1039</v>
      </c>
      <c r="C3077" s="21" t="s">
        <v>1239</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1080</v>
      </c>
      <c r="B3078" s="21" t="s">
        <v>1045</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1939</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1339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423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1097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1020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1011</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row>
    <row r="3086" spans="1:12">
      <c r="A3086" s="20" t="s">
        <v>1940</v>
      </c>
    </row>
    <row r="3087" spans="1:12">
      <c r="A3087" s="20" t="s">
        <v>1334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1618</v>
      </c>
      <c r="B3088" s="21" t="s">
        <v>995</v>
      </c>
      <c r="C3088" s="21" t="s">
        <v>1028</v>
      </c>
      <c r="D3088" s="21" t="s">
        <v>997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1008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1941</v>
      </c>
      <c r="B3090" s="21" t="s">
        <v>1005</v>
      </c>
      <c r="C3090" s="21" t="s">
        <v>1095</v>
      </c>
      <c r="D3090" s="21" t="s">
        <v>997</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423</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1041</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1082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1029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1061</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1942</v>
      </c>
      <c r="B3096" s="21" t="s">
        <v>1067</v>
      </c>
      <c r="C3096" s="21" t="s">
        <v>1034</v>
      </c>
      <c r="D3096" s="21" t="s">
        <v>997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1008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269</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1144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1943</v>
      </c>
      <c r="B3100" s="21" t="s">
        <v>1001</v>
      </c>
      <c r="C3100" s="21" t="s">
        <v>1089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1008</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1060</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1944</v>
      </c>
      <c r="B3103" s="21" t="s">
        <v>1010</v>
      </c>
      <c r="C3103" s="21" t="s">
        <v>1034</v>
      </c>
      <c r="D3103" s="21" t="s">
        <v>997</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1041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1079</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1018</v>
      </c>
      <c r="B3106" s="21" t="s">
        <v>1005</v>
      </c>
      <c r="C3106" s="21" t="s">
        <v>1133</v>
      </c>
      <c r="D3106" s="21" t="s">
        <v>997</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1049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1405</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1041</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1080</v>
      </c>
      <c r="B3110" s="21" t="s">
        <v>1114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423</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1061</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1945</v>
      </c>
      <c r="B3113" s="21" t="s">
        <v>1010</v>
      </c>
      <c r="C3113" s="21" t="s">
        <v>1095</v>
      </c>
      <c r="D3113" s="21" t="s">
        <v>997</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1041</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1194</v>
      </c>
      <c r="B3115" s="21" t="s">
        <v>1142</v>
      </c>
      <c r="C3115" s="21" t="s">
        <v>1133</v>
      </c>
      <c r="D3115" s="21" t="s">
        <v>997</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1154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1625</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1008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269</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1037</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1486</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393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1701</v>
      </c>
      <c r="B3123" s="21" t="s">
        <v>1039</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1041</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1061</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1946</v>
      </c>
      <c r="B3126" s="21" t="s">
        <v>1024</v>
      </c>
      <c r="C3126" s="21" t="s">
        <v>1095</v>
      </c>
      <c r="D3126" s="21" t="s">
        <v>997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1011</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row>
    <row r="3129" spans="1:12">
      <c r="A3129" s="20" t="s">
        <v>1947</v>
      </c>
    </row>
    <row r="3130" spans="1:12">
      <c r="A3130" s="20" t="s">
        <v>1234</v>
      </c>
      <c r="B3130" s="21" t="s">
        <v>995</v>
      </c>
      <c r="C3130" s="21" t="s">
        <v>1015</v>
      </c>
      <c r="D3130" s="21" t="s">
        <v>997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423</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1144</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1618</v>
      </c>
      <c r="B3133" s="21" t="s">
        <v>1067</v>
      </c>
      <c r="C3133" s="21" t="s">
        <v>1089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1018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1019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1948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1011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row>
    <row r="3139" spans="1:12">
      <c r="A3139" s="20" t="s">
        <v>1949</v>
      </c>
    </row>
    <row r="3140" spans="1:12">
      <c r="A3140" s="20" t="s">
        <v>1140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1070</v>
      </c>
      <c r="B3141" s="21" t="s">
        <v>1005</v>
      </c>
      <c r="C3141" s="21" t="s">
        <v>1006</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1041</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737</v>
      </c>
      <c r="B3143" s="21" t="s">
        <v>995</v>
      </c>
      <c r="C3143" s="21" t="s">
        <v>1015</v>
      </c>
      <c r="D3143" s="21" t="s">
        <v>997</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1950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1951</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1022</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1008</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1037</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1560</v>
      </c>
      <c r="B3149" s="21" t="s">
        <v>1142</v>
      </c>
      <c r="C3149" s="21" t="s">
        <v>1034</v>
      </c>
      <c r="D3149" s="21" t="s">
        <v>997</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1069</v>
      </c>
      <c r="B3150" s="21" t="s">
        <v>1001</v>
      </c>
      <c r="C3150" s="21" t="s">
        <v>1133</v>
      </c>
      <c r="D3150" s="21" t="s">
        <v>997</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1952</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1041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1249</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1257</v>
      </c>
      <c r="B3154" s="21" t="s">
        <v>1027</v>
      </c>
      <c r="C3154" s="21" t="s">
        <v>996</v>
      </c>
      <c r="D3154" s="21" t="s">
        <v>997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1339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1953</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1954</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1955</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1029</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1956</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1957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1141</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737</v>
      </c>
      <c r="B3163" s="21" t="s">
        <v>1045</v>
      </c>
      <c r="C3163" s="21" t="s">
        <v>1015</v>
      </c>
      <c r="D3163" s="21" t="s">
        <v>997</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1958</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1103</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1517</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1041</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1230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1175</v>
      </c>
      <c r="B3169" s="21" t="s">
        <v>1094</v>
      </c>
      <c r="C3169" s="21" t="s">
        <v>1015</v>
      </c>
      <c r="D3169" s="21" t="s">
        <v>997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423</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237</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1029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1060</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1959</v>
      </c>
      <c r="B3174" s="21" t="s">
        <v>1182</v>
      </c>
      <c r="C3174" s="21" t="s">
        <v>1034</v>
      </c>
      <c r="D3174" s="21" t="s">
        <v>997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1008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1037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1960</v>
      </c>
      <c r="B3177" s="21" t="s">
        <v>1092</v>
      </c>
      <c r="C3177" s="21" t="s">
        <v>1034</v>
      </c>
      <c r="D3177" s="21" t="s">
        <v>997</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1183</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1082</v>
      </c>
      <c r="B3179" s="21" t="s">
        <v>1861</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1194</v>
      </c>
      <c r="B3180" s="21" t="s">
        <v>1862</v>
      </c>
      <c r="C3180" s="21" t="s">
        <v>1133</v>
      </c>
      <c r="D3180" s="21" t="s">
        <v>997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1154</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1623</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1489</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1032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1961</v>
      </c>
      <c r="B3185" s="21" t="s">
        <v>1962</v>
      </c>
      <c r="C3185" s="21" t="s">
        <v>1034</v>
      </c>
      <c r="D3185" s="21" t="s">
        <v>997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1041</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1007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256</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1022</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1041</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1963</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1041</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1581</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1032</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1425</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1869</v>
      </c>
      <c r="B3196" s="21" t="s">
        <v>1964</v>
      </c>
      <c r="C3196" s="21" t="s">
        <v>1034</v>
      </c>
      <c r="D3196" s="21" t="s">
        <v>997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1073</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1037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1181</v>
      </c>
      <c r="B3199" s="21" t="s">
        <v>1965</v>
      </c>
      <c r="C3199" s="21" t="s">
        <v>1034</v>
      </c>
      <c r="D3199" s="21" t="s">
        <v>997</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1041</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1083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1966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1022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737</v>
      </c>
      <c r="B3204" s="21" t="s">
        <v>1673</v>
      </c>
      <c r="C3204" s="21" t="s">
        <v>1015</v>
      </c>
      <c r="D3204" s="21" t="s">
        <v>997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1016</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1967</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1011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row>
    <row r="3209" spans="1:12">
      <c r="A3209" s="20" t="s">
        <v>1968</v>
      </c>
    </row>
    <row r="3210" spans="1:12">
      <c r="A3210" s="20" t="s">
        <v>1013</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1041</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1021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1022</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1000</v>
      </c>
      <c r="B3214" s="21" t="s">
        <v>1142</v>
      </c>
      <c r="C3214" s="21" t="s">
        <v>996</v>
      </c>
      <c r="D3214" s="21" t="s">
        <v>997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1519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1065</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393</v>
      </c>
      <c r="B3217" s="21" t="s">
        <v>1001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1049</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1405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1041</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1000</v>
      </c>
      <c r="B3221" s="21" t="s">
        <v>995</v>
      </c>
      <c r="C3221" s="21" t="s">
        <v>996</v>
      </c>
      <c r="D3221" s="21" t="s">
        <v>997</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1441</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1969</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1970</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1061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1971</v>
      </c>
      <c r="B3226" s="21" t="s">
        <v>1101</v>
      </c>
      <c r="C3226" s="21" t="s">
        <v>1034</v>
      </c>
      <c r="D3226" s="21" t="s">
        <v>997</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1008</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1037</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1818</v>
      </c>
      <c r="B3229" s="21" t="s">
        <v>1005</v>
      </c>
      <c r="C3229" s="21" t="s">
        <v>1034</v>
      </c>
      <c r="D3229" s="21" t="s">
        <v>997</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1011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row>
    <row r="3232" spans="1:12">
      <c r="A3232" s="20" t="s">
        <v>1972</v>
      </c>
    </row>
    <row r="3233" spans="1:12">
      <c r="A3233" s="20" t="s">
        <v>1338</v>
      </c>
      <c r="B3233" s="21" t="s">
        <v>1067</v>
      </c>
      <c r="C3233" s="21" t="s">
        <v>1015</v>
      </c>
      <c r="D3233" s="21" t="s">
        <v>997</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1022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1000</v>
      </c>
      <c r="B3235" s="21" t="s">
        <v>1027</v>
      </c>
      <c r="C3235" s="21" t="s">
        <v>996</v>
      </c>
      <c r="D3235" s="21" t="s">
        <v>997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1519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1041</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1079</v>
      </c>
      <c r="B3238" s="21" t="s">
        <v>995</v>
      </c>
      <c r="C3238" s="21" t="s">
        <v>1015</v>
      </c>
      <c r="D3238" s="21" t="s">
        <v>997</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1062</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1037</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1721</v>
      </c>
      <c r="B3241" s="21" t="s">
        <v>1067</v>
      </c>
      <c r="C3241" s="21" t="s">
        <v>1034</v>
      </c>
      <c r="D3241" s="21" t="s">
        <v>997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1041</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1007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1000</v>
      </c>
      <c r="B3244" s="21" t="s">
        <v>1142</v>
      </c>
      <c r="C3244" s="21" t="s">
        <v>996</v>
      </c>
      <c r="D3244" s="21" t="s">
        <v>997</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1723</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546</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1487</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1748</v>
      </c>
      <c r="B3248" s="21" t="s">
        <v>1010</v>
      </c>
      <c r="C3248" s="21" t="s">
        <v>1006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1805</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1037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1973</v>
      </c>
      <c r="B3251" s="21" t="s">
        <v>1039</v>
      </c>
      <c r="C3251" s="21" t="s">
        <v>1034</v>
      </c>
      <c r="D3251" s="21" t="s">
        <v>997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1008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1721</v>
      </c>
      <c r="B3253" s="21" t="s">
        <v>1024</v>
      </c>
      <c r="C3253" s="21" t="s">
        <v>1006</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1974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1191</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1037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1975</v>
      </c>
      <c r="B3257" s="21" t="s">
        <v>1112</v>
      </c>
      <c r="C3257" s="21" t="s">
        <v>1034</v>
      </c>
      <c r="D3257" s="21" t="s">
        <v>997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1003</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999</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1011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row>
    <row r="3262" spans="1:12">
      <c r="A3262" s="20" t="s">
        <v>1976</v>
      </c>
    </row>
    <row r="3263" spans="1:12">
      <c r="A3263" s="20" t="s">
        <v>1977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1041</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1029</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1061</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1942</v>
      </c>
      <c r="B3267" s="21" t="s">
        <v>1067</v>
      </c>
      <c r="C3267" s="21" t="s">
        <v>1034</v>
      </c>
      <c r="D3267" s="21" t="s">
        <v>997</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1008</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1227</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1069</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1978</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1029</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1111</v>
      </c>
      <c r="B3273" s="21" t="s">
        <v>1024</v>
      </c>
      <c r="C3273" s="21" t="s">
        <v>1025</v>
      </c>
      <c r="D3273" s="21" t="s">
        <v>997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1882</v>
      </c>
      <c r="B3274" s="21" t="s">
        <v>1010</v>
      </c>
      <c r="C3274" s="21" t="s">
        <v>1028</v>
      </c>
      <c r="D3274" s="21" t="s">
        <v>997</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1041</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1194</v>
      </c>
      <c r="B3276" s="21" t="s">
        <v>995</v>
      </c>
      <c r="C3276" s="21" t="s">
        <v>1133</v>
      </c>
      <c r="D3276" s="21" t="s">
        <v>997</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1037</v>
      </c>
      <c r="B3277" s="21" t="s">
        <v>1101</v>
      </c>
      <c r="C3277" s="21" t="s">
        <v>996</v>
      </c>
      <c r="D3277" s="21" t="s">
        <v>997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1360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1011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row>
    <row r="3281" spans="1:12">
      <c r="A3281" s="20" t="s">
        <v>1979</v>
      </c>
    </row>
    <row r="3282" spans="1:12">
      <c r="A3282" s="20" t="s">
        <v>1614</v>
      </c>
      <c r="B3282" s="21" t="s">
        <v>1067</v>
      </c>
      <c r="C3282" s="21" t="s">
        <v>1015</v>
      </c>
      <c r="D3282" s="21" t="s">
        <v>997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1041</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1175</v>
      </c>
      <c r="B3284" s="21" t="s">
        <v>995</v>
      </c>
      <c r="C3284" s="21" t="s">
        <v>1015</v>
      </c>
      <c r="D3284" s="21" t="s">
        <v>997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423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1305</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1146</v>
      </c>
      <c r="B3287" s="21" t="s">
        <v>1067</v>
      </c>
      <c r="C3287" s="21" t="s">
        <v>1239</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1011</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row>
    <row r="3290" spans="1:12">
      <c r="A3290" s="20" t="s">
        <v>1980</v>
      </c>
    </row>
    <row r="3291" spans="1:12">
      <c r="A3291" s="20" t="s">
        <v>1614</v>
      </c>
      <c r="B3291" s="21" t="s">
        <v>995</v>
      </c>
      <c r="C3291" s="21" t="s">
        <v>1015</v>
      </c>
      <c r="D3291" s="21" t="s">
        <v>997</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1981</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1982</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1944</v>
      </c>
      <c r="B3294" s="21" t="s">
        <v>1101</v>
      </c>
      <c r="C3294" s="21" t="s">
        <v>1068</v>
      </c>
      <c r="D3294" s="21" t="s">
        <v>997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1069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1799</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1011</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row>
    <row r="3299" spans="1:12">
      <c r="A3299" s="20" t="s">
        <v>1983</v>
      </c>
    </row>
    <row r="3300" spans="1:12">
      <c r="A3300" s="20" t="s">
        <v>1234</v>
      </c>
      <c r="B3300" s="21" t="s">
        <v>995</v>
      </c>
      <c r="C3300" s="21" t="s">
        <v>1015</v>
      </c>
      <c r="D3300" s="21" t="s">
        <v>997</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423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1018</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1019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1487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1144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1984</v>
      </c>
      <c r="B3306" s="21" t="s">
        <v>1067</v>
      </c>
      <c r="C3306" s="21" t="s">
        <v>1089</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1011</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row>
    <row r="3309" spans="1:12">
      <c r="A3309" s="20" t="s">
        <v>1457</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1985</v>
      </c>
    </row>
    <row r="3311" spans="1:12">
      <c r="A3311" s="20" t="s">
        <v>1440</v>
      </c>
      <c r="B3311" s="21" t="s">
        <v>995</v>
      </c>
      <c r="C3311" s="21" t="s">
        <v>996</v>
      </c>
      <c r="D3311" s="21" t="s">
        <v>997</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1723</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256</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737</v>
      </c>
      <c r="B3314" s="21" t="s">
        <v>1001</v>
      </c>
      <c r="C3314" s="21" t="s">
        <v>1015</v>
      </c>
      <c r="D3314" s="21" t="s">
        <v>997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1487</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1144</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1986</v>
      </c>
      <c r="B3317" s="21" t="s">
        <v>1005</v>
      </c>
      <c r="C3317" s="21" t="s">
        <v>1089</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1041</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1194</v>
      </c>
      <c r="B3319" s="21" t="s">
        <v>1142</v>
      </c>
      <c r="C3319" s="21" t="s">
        <v>1133</v>
      </c>
      <c r="D3319" s="21" t="s">
        <v>997</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1069</v>
      </c>
      <c r="B3320" s="21" t="s">
        <v>1001</v>
      </c>
      <c r="C3320" s="21" t="s">
        <v>1133</v>
      </c>
      <c r="D3320" s="21" t="s">
        <v>997</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1154</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1768</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1987</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1487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1008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1061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1460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1988</v>
      </c>
      <c r="B3328" s="21" t="s">
        <v>1005</v>
      </c>
      <c r="C3328" s="21" t="s">
        <v>1034</v>
      </c>
      <c r="D3328" s="21" t="s">
        <v>997</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1029</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1989</v>
      </c>
      <c r="B3330" s="21" t="s">
        <v>1010</v>
      </c>
      <c r="C3330" s="21" t="s">
        <v>1006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1003</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1990</v>
      </c>
      <c r="B3332" s="21" t="s">
        <v>1024</v>
      </c>
      <c r="C3332" s="21" t="s">
        <v>1006</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1460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1011</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row>
    <row r="3336" spans="1:12">
      <c r="A3336" s="20" t="s">
        <v>1991</v>
      </c>
    </row>
    <row r="3337" spans="1:12">
      <c r="A3337" s="20" t="s">
        <v>1140</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1992</v>
      </c>
      <c r="B3338" s="21" t="s">
        <v>1067</v>
      </c>
      <c r="C3338" s="21" t="s">
        <v>1006</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1008</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1774</v>
      </c>
      <c r="B3340" s="21" t="s">
        <v>1005</v>
      </c>
      <c r="C3340" s="21" t="s">
        <v>1006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1041</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737</v>
      </c>
      <c r="B3342" s="21" t="s">
        <v>995</v>
      </c>
      <c r="C3342" s="21" t="s">
        <v>1015</v>
      </c>
      <c r="D3342" s="21" t="s">
        <v>997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1993</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1270</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1061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408</v>
      </c>
      <c r="B3346" s="21" t="s">
        <v>1101</v>
      </c>
      <c r="C3346" s="21" t="s">
        <v>1034</v>
      </c>
      <c r="D3346" s="21" t="s">
        <v>997</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1011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1994</v>
      </c>
    </row>
    <row r="3350" spans="1:12">
      <c r="A3350" s="20" t="s">
        <v>1602</v>
      </c>
      <c r="B3350" s="21" t="s">
        <v>995</v>
      </c>
      <c r="C3350" s="21" t="s">
        <v>996</v>
      </c>
      <c r="D3350" s="21" t="s">
        <v>997</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1264</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1144</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1995</v>
      </c>
      <c r="B3353" s="21" t="s">
        <v>1101</v>
      </c>
      <c r="C3353" s="21" t="s">
        <v>1089</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1462</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1003</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1018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1942</v>
      </c>
      <c r="B3357" s="21" t="s">
        <v>1005</v>
      </c>
      <c r="C3357" s="21" t="s">
        <v>1089</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1109</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1061</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1996</v>
      </c>
      <c r="B3360" s="21" t="s">
        <v>1010</v>
      </c>
      <c r="C3360" s="21" t="s">
        <v>1095</v>
      </c>
      <c r="D3360" s="21" t="s">
        <v>997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1011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row>
    <row r="3363" spans="1:12">
      <c r="A3363" s="20" t="s">
        <v>1457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1997</v>
      </c>
    </row>
    <row r="3365" spans="1:12">
      <c r="A3365" s="20" t="s">
        <v>1338</v>
      </c>
      <c r="B3365" s="21" t="s">
        <v>995</v>
      </c>
      <c r="C3365" s="21" t="s">
        <v>1015</v>
      </c>
      <c r="D3365" s="21" t="s">
        <v>997</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1062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1037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1460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1998</v>
      </c>
      <c r="B3369" s="21" t="s">
        <v>1067</v>
      </c>
      <c r="C3369" s="21" t="s">
        <v>1034</v>
      </c>
      <c r="D3369" s="21" t="s">
        <v>997</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1460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1041</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1037</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393</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1049</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1405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1041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1903</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1194</v>
      </c>
      <c r="B3378" s="21" t="s">
        <v>1142</v>
      </c>
      <c r="C3378" s="21" t="s">
        <v>1133</v>
      </c>
      <c r="D3378" s="21" t="s">
        <v>997</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1154</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1999</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1579</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1032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1943</v>
      </c>
      <c r="B3383" s="21" t="s">
        <v>1001</v>
      </c>
      <c r="C3383" s="21" t="s">
        <v>1034</v>
      </c>
      <c r="D3383" s="21" t="s">
        <v>997</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1082</v>
      </c>
      <c r="B3384" s="21" t="s">
        <v>1088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1194</v>
      </c>
      <c r="B3385" s="21" t="s">
        <v>1114</v>
      </c>
      <c r="C3385" s="21" t="s">
        <v>1133</v>
      </c>
      <c r="D3385" s="21" t="s">
        <v>997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2000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1855</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1041</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1230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1194</v>
      </c>
      <c r="B3390" s="21" t="s">
        <v>1142</v>
      </c>
      <c r="C3390" s="21" t="s">
        <v>1133</v>
      </c>
      <c r="D3390" s="21" t="s">
        <v>997</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2001</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737</v>
      </c>
      <c r="B3392" s="21" t="s">
        <v>1001</v>
      </c>
      <c r="C3392" s="21" t="s">
        <v>1015</v>
      </c>
      <c r="D3392" s="21" t="s">
        <v>997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1460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1944</v>
      </c>
      <c r="B3394" s="21" t="s">
        <v>1010</v>
      </c>
      <c r="C3394" s="21" t="s">
        <v>1006</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2002</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1460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1011</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row>
    <row r="3399" spans="1:12">
      <c r="A3399" s="20" t="s">
        <v>2003</v>
      </c>
    </row>
    <row r="3400" spans="1:12">
      <c r="A3400" s="20" t="s">
        <v>1123</v>
      </c>
      <c r="B3400" s="21" t="s">
        <v>995</v>
      </c>
      <c r="C3400" s="21" t="s">
        <v>1015</v>
      </c>
      <c r="D3400" s="21" t="s">
        <v>997</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2004</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1003</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74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1037</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2005</v>
      </c>
      <c r="B3405" s="21" t="s">
        <v>1001</v>
      </c>
      <c r="C3405" s="21" t="s">
        <v>1095</v>
      </c>
      <c r="D3405" s="21" t="s">
        <v>997</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1049</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1008</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1037</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1883</v>
      </c>
      <c r="B3409" s="21" t="s">
        <v>1005</v>
      </c>
      <c r="C3409" s="21" t="s">
        <v>1034</v>
      </c>
      <c r="D3409" s="21" t="s">
        <v>997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1003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1087</v>
      </c>
      <c r="B3411" s="21" t="s">
        <v>1010</v>
      </c>
      <c r="C3411" s="21" t="s">
        <v>1006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1011</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row>
    <row r="3414" spans="1:12">
      <c r="A3414" s="20" t="s">
        <v>2006</v>
      </c>
    </row>
    <row r="3415" spans="1:12">
      <c r="A3415" s="20" t="s">
        <v>1013</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1041</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1191</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1018</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2007</v>
      </c>
      <c r="B3419" s="21" t="s">
        <v>1067</v>
      </c>
      <c r="C3419" s="21" t="s">
        <v>1089</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1019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2008</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1041</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1117</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1069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2009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1060</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2010</v>
      </c>
      <c r="B3427" s="21" t="s">
        <v>1001</v>
      </c>
      <c r="C3427" s="21" t="s">
        <v>1034</v>
      </c>
      <c r="D3427" s="21" t="s">
        <v>997</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1008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2011</v>
      </c>
      <c r="B3429" s="21" t="s">
        <v>1010</v>
      </c>
      <c r="C3429" s="21" t="s">
        <v>1006</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1194</v>
      </c>
      <c r="B3430" s="21" t="s">
        <v>995</v>
      </c>
      <c r="C3430" s="21" t="s">
        <v>1133</v>
      </c>
      <c r="D3430" s="21" t="s">
        <v>997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1592</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1104</v>
      </c>
      <c r="B3432" s="21" t="s">
        <v>1101</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1008</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1774</v>
      </c>
      <c r="B3434" s="21" t="s">
        <v>1005</v>
      </c>
      <c r="C3434" s="21" t="s">
        <v>1006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1049</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1579</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1032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2012</v>
      </c>
      <c r="B3438" s="21" t="s">
        <v>1010</v>
      </c>
      <c r="C3438" s="21" t="s">
        <v>1034</v>
      </c>
      <c r="D3438" s="21" t="s">
        <v>997</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1008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1061</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1696</v>
      </c>
      <c r="B3441" s="21" t="s">
        <v>1024</v>
      </c>
      <c r="C3441" s="21" t="s">
        <v>1034</v>
      </c>
      <c r="D3441" s="21" t="s">
        <v>997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1008</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1032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1074</v>
      </c>
      <c r="B3444" s="21" t="s">
        <v>1112</v>
      </c>
      <c r="C3444" s="21" t="s">
        <v>1034</v>
      </c>
      <c r="D3444" s="21" t="s">
        <v>997</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1011</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row>
    <row r="3447" spans="1:12">
      <c r="A3447" s="20" t="s">
        <v>2013</v>
      </c>
    </row>
    <row r="3448" spans="1:12">
      <c r="A3448" s="20" t="s">
        <v>1385</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2014</v>
      </c>
      <c r="B3449" s="21" t="s">
        <v>1067</v>
      </c>
      <c r="C3449" s="21" t="s">
        <v>1006</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1041</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1083</v>
      </c>
      <c r="B3451" s="21" t="s">
        <v>995</v>
      </c>
      <c r="C3451" s="21" t="s">
        <v>996</v>
      </c>
      <c r="D3451" s="21" t="s">
        <v>997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1696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1670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1250</v>
      </c>
      <c r="B3454" s="21" t="s">
        <v>1101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1008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2015</v>
      </c>
      <c r="B3456" s="21" t="s">
        <v>1005</v>
      </c>
      <c r="C3456" s="21" t="s">
        <v>1006</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1029</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158</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1041</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1249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1175</v>
      </c>
      <c r="B3461" s="21" t="s">
        <v>1142</v>
      </c>
      <c r="C3461" s="21" t="s">
        <v>1015</v>
      </c>
      <c r="D3461" s="21" t="s">
        <v>997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423</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1018</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1437</v>
      </c>
      <c r="B3464" s="21" t="s">
        <v>1067</v>
      </c>
      <c r="C3464" s="21" t="s">
        <v>1089</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2016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1037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1883</v>
      </c>
      <c r="B3467" s="21" t="s">
        <v>1005</v>
      </c>
      <c r="C3467" s="21" t="s">
        <v>1034</v>
      </c>
      <c r="D3467" s="21" t="s">
        <v>997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1007</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1037</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1883</v>
      </c>
      <c r="B3470" s="21" t="s">
        <v>1010</v>
      </c>
      <c r="C3470" s="21" t="s">
        <v>1034</v>
      </c>
      <c r="D3470" s="21" t="s">
        <v>997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1003</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1938</v>
      </c>
      <c r="B3472" s="21" t="s">
        <v>1024</v>
      </c>
      <c r="C3472" s="21" t="s">
        <v>1006</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1903</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1044</v>
      </c>
      <c r="B3474" s="21" t="s">
        <v>1094</v>
      </c>
      <c r="C3474" s="21" t="s">
        <v>996</v>
      </c>
      <c r="D3474" s="21" t="s">
        <v>997</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1170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1647</v>
      </c>
      <c r="B3476" s="21" t="s">
        <v>1112</v>
      </c>
      <c r="C3476" s="21" t="s">
        <v>1006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1049</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1868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1011</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row>
    <row r="3481" spans="1:12">
      <c r="A3481" s="20" t="s">
        <v>2017</v>
      </c>
    </row>
    <row r="3482" spans="1:12">
      <c r="A3482" s="20" t="s">
        <v>2018</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1041</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1371</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1533</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1367</v>
      </c>
      <c r="B3486" s="21" t="s">
        <v>1039</v>
      </c>
      <c r="C3486" s="21" t="s">
        <v>996</v>
      </c>
      <c r="D3486" s="21" t="s">
        <v>997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2019</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2020</v>
      </c>
      <c r="B3488" s="21" t="s">
        <v>1024</v>
      </c>
      <c r="C3488" s="21" t="s">
        <v>1025</v>
      </c>
      <c r="D3488" s="21" t="s">
        <v>997</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1534</v>
      </c>
      <c r="B3489" s="21" t="s">
        <v>1039</v>
      </c>
      <c r="C3489" s="21" t="s">
        <v>1028</v>
      </c>
      <c r="D3489" s="21" t="s">
        <v>997</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1008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2021</v>
      </c>
      <c r="B3491" s="21" t="s">
        <v>1024</v>
      </c>
      <c r="C3491" s="21" t="s">
        <v>1006</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1275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2022</v>
      </c>
    </row>
    <row r="3495" spans="1:12">
      <c r="A3495" s="20" t="s">
        <v>1219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1622</v>
      </c>
      <c r="B3496" s="21" t="s">
        <v>1067</v>
      </c>
      <c r="C3496" s="21" t="s">
        <v>1133</v>
      </c>
      <c r="D3496" s="21" t="s">
        <v>997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1393</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32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1060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1177</v>
      </c>
      <c r="B3500" s="21" t="s">
        <v>1001</v>
      </c>
      <c r="C3500" s="21" t="s">
        <v>1034</v>
      </c>
      <c r="D3500" s="21" t="s">
        <v>997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2020</v>
      </c>
      <c r="B3501" s="21" t="s">
        <v>1010</v>
      </c>
      <c r="C3501" s="21" t="s">
        <v>1025</v>
      </c>
      <c r="D3501" s="21" t="s">
        <v>997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2023</v>
      </c>
      <c r="B3502" s="21" t="s">
        <v>1001</v>
      </c>
      <c r="C3502" s="21" t="s">
        <v>1028</v>
      </c>
      <c r="D3502" s="21" t="s">
        <v>997</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1008</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1655</v>
      </c>
      <c r="B3504" s="21" t="s">
        <v>1010</v>
      </c>
      <c r="C3504" s="21" t="s">
        <v>1006</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1275</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row>
    <row r="3507" spans="1:12">
      <c r="A3507" s="20" t="s">
        <v>2024</v>
      </c>
    </row>
    <row r="3508" spans="1:12">
      <c r="A3508" s="20" t="s">
        <v>2025</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1191</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1061</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2026</v>
      </c>
      <c r="B3511" s="21" t="s">
        <v>1067</v>
      </c>
      <c r="C3511" s="21" t="s">
        <v>1034</v>
      </c>
      <c r="D3511" s="21" t="s">
        <v>997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1022</v>
      </c>
      <c r="B3512" s="21" t="s">
        <v>1088</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1044</v>
      </c>
      <c r="B3513" s="21" t="s">
        <v>1027</v>
      </c>
      <c r="C3513" s="21" t="s">
        <v>996</v>
      </c>
      <c r="D3513" s="21" t="s">
        <v>997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1046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1394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1041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1007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1752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2027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1037</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2028</v>
      </c>
      <c r="B3521" s="21" t="s">
        <v>1001</v>
      </c>
      <c r="C3521" s="21" t="s">
        <v>1034</v>
      </c>
      <c r="D3521" s="21" t="s">
        <v>997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2029</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1011</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row>
    <row r="3525" spans="1:12">
      <c r="A3525" s="20" t="s">
        <v>2030</v>
      </c>
    </row>
    <row r="3526" spans="1:12">
      <c r="A3526" s="20" t="s">
        <v>1316</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2031</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1041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1000</v>
      </c>
      <c r="B3529" s="21" t="s">
        <v>995</v>
      </c>
      <c r="C3529" s="21" t="s">
        <v>996</v>
      </c>
      <c r="D3529" s="21" t="s">
        <v>997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1441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2032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1250</v>
      </c>
      <c r="B3532" s="21" t="s">
        <v>1101</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1008</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1560</v>
      </c>
      <c r="B3534" s="21" t="s">
        <v>1005</v>
      </c>
      <c r="C3534" s="21" t="s">
        <v>1006</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1002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1008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1202</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2033</v>
      </c>
      <c r="B3538" s="21" t="s">
        <v>1024</v>
      </c>
      <c r="C3538" s="21" t="s">
        <v>1068</v>
      </c>
      <c r="D3538" s="21" t="s">
        <v>997</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1008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321</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1049</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1405</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1011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row>
    <row r="3545" spans="1:12">
      <c r="A3545" s="20" t="s">
        <v>2034</v>
      </c>
    </row>
    <row r="3546" spans="1:12">
      <c r="A3546" s="20" t="s">
        <v>1234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423</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1270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1137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1138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1022</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1044</v>
      </c>
      <c r="B3552" s="21" t="s">
        <v>1142</v>
      </c>
      <c r="C3552" s="21" t="s">
        <v>996</v>
      </c>
      <c r="D3552" s="21" t="s">
        <v>997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1084</v>
      </c>
      <c r="B3553" s="21" t="s">
        <v>1005</v>
      </c>
      <c r="C3553" s="21" t="s">
        <v>1133</v>
      </c>
      <c r="D3553" s="21" t="s">
        <v>997</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2035</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1011</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2036</v>
      </c>
    </row>
    <row r="3558" spans="1:12">
      <c r="A3558" s="20" t="s">
        <v>1013</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1022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1037</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1320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1701</v>
      </c>
      <c r="B3562" s="21" t="s">
        <v>995</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2037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1008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1079</v>
      </c>
      <c r="B3565" s="21" t="s">
        <v>1067</v>
      </c>
      <c r="C3565" s="21" t="s">
        <v>1015</v>
      </c>
      <c r="D3565" s="21" t="s">
        <v>997</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1080</v>
      </c>
      <c r="B3566" s="21" t="s">
        <v>1027</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1077</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2038</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1109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1037</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1323</v>
      </c>
      <c r="B3571" s="21" t="s">
        <v>1010</v>
      </c>
      <c r="C3571" s="21" t="s">
        <v>1034</v>
      </c>
      <c r="D3571" s="21" t="s">
        <v>997</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1055</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1041</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1103</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1670</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1018</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1019</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1008</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1060</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2039</v>
      </c>
      <c r="B3580" s="21" t="s">
        <v>1067</v>
      </c>
      <c r="C3580" s="21" t="s">
        <v>1034</v>
      </c>
      <c r="D3580" s="21" t="s">
        <v>997</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1011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row>
    <row r="3583" spans="1:12">
      <c r="A3583" s="20" t="s">
        <v>2040</v>
      </c>
    </row>
    <row r="3584" spans="1:12">
      <c r="A3584" s="20" t="s">
        <v>2041</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1022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1003</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1462</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1246</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1044</v>
      </c>
      <c r="B3589" s="21" t="s">
        <v>1142</v>
      </c>
      <c r="C3589" s="21" t="s">
        <v>996</v>
      </c>
      <c r="D3589" s="21" t="s">
        <v>997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2042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1144</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2043</v>
      </c>
      <c r="B3592" s="21" t="s">
        <v>1001</v>
      </c>
      <c r="C3592" s="21" t="s">
        <v>1089</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1007</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1144</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1934</v>
      </c>
      <c r="B3595" s="21" t="s">
        <v>1010</v>
      </c>
      <c r="C3595" s="21" t="s">
        <v>1089</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1008</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1061</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2044</v>
      </c>
      <c r="B3598" s="21" t="s">
        <v>1010</v>
      </c>
      <c r="C3598" s="21" t="s">
        <v>1034</v>
      </c>
      <c r="D3598" s="21" t="s">
        <v>997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2045</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1011</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row>
    <row r="3602" spans="1:12">
      <c r="A3602" s="20" t="s">
        <v>2046</v>
      </c>
    </row>
    <row r="3603" spans="1:12">
      <c r="A3603" s="20" t="s">
        <v>1621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1041</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1049</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1307</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1029</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1065</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321</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1701</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1041</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1037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1323</v>
      </c>
      <c r="B3613" s="21" t="s">
        <v>995</v>
      </c>
      <c r="C3613" s="21" t="s">
        <v>1034</v>
      </c>
      <c r="D3613" s="21" t="s">
        <v>997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2047</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1041</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1084</v>
      </c>
      <c r="B3616" s="21" t="s">
        <v>1010</v>
      </c>
      <c r="C3616" s="21" t="s">
        <v>1133</v>
      </c>
      <c r="D3616" s="21" t="s">
        <v>997</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2048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1008</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1037</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1323</v>
      </c>
      <c r="B3620" s="21" t="s">
        <v>1005</v>
      </c>
      <c r="C3620" s="21" t="s">
        <v>1034</v>
      </c>
      <c r="D3620" s="21" t="s">
        <v>997</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1487</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1032</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2049</v>
      </c>
      <c r="B3623" s="21" t="s">
        <v>1010</v>
      </c>
      <c r="C3623" s="21" t="s">
        <v>1095</v>
      </c>
      <c r="D3623" s="21" t="s">
        <v>997</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1041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2050</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2051</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1029</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2052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2053</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1091</v>
      </c>
      <c r="B3630" s="21" t="s">
        <v>1010</v>
      </c>
      <c r="C3630" s="21" t="s">
        <v>1025</v>
      </c>
      <c r="D3630" s="21" t="s">
        <v>997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2054</v>
      </c>
      <c r="B3631" s="21" t="s">
        <v>1001</v>
      </c>
      <c r="C3631" s="21" t="s">
        <v>1028</v>
      </c>
      <c r="D3631" s="21" t="s">
        <v>997</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1008</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2055</v>
      </c>
      <c r="B3633" s="21" t="s">
        <v>1010</v>
      </c>
      <c r="C3633" s="21" t="s">
        <v>1006</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1003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1174</v>
      </c>
      <c r="B3635" s="21" t="s">
        <v>1024</v>
      </c>
      <c r="C3635" s="21" t="s">
        <v>1006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1011</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row>
    <row r="3638" spans="1:12">
      <c r="A3638" s="20" t="s">
        <v>2056</v>
      </c>
    </row>
    <row r="3639" spans="1:12">
      <c r="A3639" s="20" t="s">
        <v>1076</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1268</v>
      </c>
      <c r="B3640" s="21" t="s">
        <v>1067</v>
      </c>
      <c r="C3640" s="21" t="s">
        <v>1034</v>
      </c>
      <c r="D3640" s="21" t="s">
        <v>997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2057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1041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1079</v>
      </c>
      <c r="B3643" s="21" t="s">
        <v>995</v>
      </c>
      <c r="C3643" s="21" t="s">
        <v>1015</v>
      </c>
      <c r="D3643" s="21" t="s">
        <v>997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1702</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1008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1694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1069</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2058</v>
      </c>
      <c r="B3648" s="21" t="s">
        <v>1005</v>
      </c>
      <c r="C3648" s="21" t="s">
        <v>1006</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1202</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1827</v>
      </c>
      <c r="B3650" s="21" t="s">
        <v>1001</v>
      </c>
      <c r="C3650" s="21" t="s">
        <v>1068</v>
      </c>
      <c r="D3650" s="21" t="s">
        <v>997</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1274</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2059</v>
      </c>
      <c r="B3652" s="21" t="s">
        <v>1010</v>
      </c>
      <c r="C3652" s="21" t="s">
        <v>1295</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1041</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1008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1060</v>
      </c>
      <c r="B3655" s="21" t="s">
        <v>1039</v>
      </c>
      <c r="C3655" s="21" t="s">
        <v>996</v>
      </c>
      <c r="D3655" s="21" t="s">
        <v>997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32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2060</v>
      </c>
      <c r="B3657" s="21" t="s">
        <v>1010</v>
      </c>
      <c r="C3657" s="21" t="s">
        <v>1006</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1069</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2058</v>
      </c>
      <c r="B3659" s="21" t="s">
        <v>1024</v>
      </c>
      <c r="C3659" s="21" t="s">
        <v>1006</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1109</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1805</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1037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1323</v>
      </c>
      <c r="B3663" s="21" t="s">
        <v>1024</v>
      </c>
      <c r="C3663" s="21" t="s">
        <v>1034</v>
      </c>
      <c r="D3663" s="21" t="s">
        <v>997</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2047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1007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1003</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110</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1069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2038</v>
      </c>
      <c r="B3669" s="21" t="s">
        <v>1182</v>
      </c>
      <c r="C3669" s="21" t="s">
        <v>1006</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1008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1061</v>
      </c>
      <c r="B3671" s="21" t="s">
        <v>1656</v>
      </c>
      <c r="C3671" s="21" t="s">
        <v>996</v>
      </c>
      <c r="D3671" s="21" t="s">
        <v>997</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158</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1109</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1037</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1486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1323</v>
      </c>
      <c r="B3676" s="21" t="s">
        <v>1709</v>
      </c>
      <c r="C3676" s="21" t="s">
        <v>1034</v>
      </c>
      <c r="D3676" s="21" t="s">
        <v>997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1011</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row>
    <row r="3679" spans="1:12">
      <c r="A3679" s="20" t="s">
        <v>2061</v>
      </c>
    </row>
    <row r="3680" spans="1:12">
      <c r="A3680" s="20" t="s">
        <v>1234</v>
      </c>
      <c r="B3680" s="21" t="s">
        <v>995</v>
      </c>
      <c r="C3680" s="21" t="s">
        <v>1015</v>
      </c>
      <c r="D3680" s="21" t="s">
        <v>997</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423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2062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1138</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1011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row>
    <row r="3686" spans="1:12">
      <c r="A3686" s="20" t="s">
        <v>2063</v>
      </c>
    </row>
    <row r="3687" spans="1:12">
      <c r="A3687" s="20" t="s">
        <v>1234</v>
      </c>
      <c r="B3687" s="21" t="s">
        <v>995</v>
      </c>
      <c r="C3687" s="21" t="s">
        <v>1015</v>
      </c>
      <c r="D3687" s="21" t="s">
        <v>997</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423</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1018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2064</v>
      </c>
      <c r="B3690" s="21" t="s">
        <v>1067</v>
      </c>
      <c r="C3690" s="21" t="s">
        <v>1089</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2065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1049</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2066</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1032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2023</v>
      </c>
      <c r="B3695" s="21" t="s">
        <v>1001</v>
      </c>
      <c r="C3695" s="21" t="s">
        <v>1034</v>
      </c>
      <c r="D3695" s="21" t="s">
        <v>997</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1008</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1655</v>
      </c>
      <c r="B3697" s="21" t="s">
        <v>1010</v>
      </c>
      <c r="C3697" s="21" t="s">
        <v>1006</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1011</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row>
    <row r="3700" spans="1:12">
      <c r="A3700" s="20" t="s">
        <v>2067</v>
      </c>
    </row>
    <row r="3701" spans="1:12">
      <c r="A3701" s="20" t="s">
        <v>1365</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1041</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1069</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2068</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1069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2069</v>
      </c>
      <c r="B3706" s="21" t="s">
        <v>1067</v>
      </c>
      <c r="C3706" s="21" t="s">
        <v>1006</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1029</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1240</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1008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1246</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1041</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1029</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1622</v>
      </c>
      <c r="B3713" s="21" t="s">
        <v>1005</v>
      </c>
      <c r="C3713" s="21" t="s">
        <v>1133</v>
      </c>
      <c r="D3713" s="21" t="s">
        <v>997</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2070</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1032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2023</v>
      </c>
      <c r="B3716" s="21" t="s">
        <v>1001</v>
      </c>
      <c r="C3716" s="21" t="s">
        <v>1034</v>
      </c>
      <c r="D3716" s="21" t="s">
        <v>997</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1008</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1655</v>
      </c>
      <c r="B3718" s="21" t="s">
        <v>1010</v>
      </c>
      <c r="C3718" s="21" t="s">
        <v>1006</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1008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2071</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1275</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row>
    <row r="3723" spans="1:12">
      <c r="A3723" s="20" t="s">
        <v>2072</v>
      </c>
    </row>
    <row r="3724" spans="1:12">
      <c r="A3724" s="20" t="s">
        <v>1880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1190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1041</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1246</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1670</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1041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1194</v>
      </c>
      <c r="B3730" s="21" t="s">
        <v>995</v>
      </c>
      <c r="C3730" s="21" t="s">
        <v>1133</v>
      </c>
      <c r="D3730" s="21" t="s">
        <v>997</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1393</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32</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1037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1051</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2073</v>
      </c>
      <c r="B3735" s="21" t="s">
        <v>1001</v>
      </c>
      <c r="C3735" s="21" t="s">
        <v>1034</v>
      </c>
      <c r="D3735" s="21" t="s">
        <v>997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1011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row>
    <row r="3738" spans="1:12">
      <c r="A3738" s="20" t="s">
        <v>2074</v>
      </c>
    </row>
    <row r="3739" spans="1:12">
      <c r="A3739" s="20" t="s">
        <v>1466</v>
      </c>
      <c r="B3739" s="21" t="s">
        <v>995</v>
      </c>
      <c r="C3739" s="21" t="s">
        <v>996</v>
      </c>
      <c r="D3739" s="21" t="s">
        <v>997</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1046</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1297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1191</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1008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1037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2075</v>
      </c>
      <c r="B3745" s="21" t="s">
        <v>1005</v>
      </c>
      <c r="C3745" s="21" t="s">
        <v>1034</v>
      </c>
      <c r="D3745" s="21" t="s">
        <v>997</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1003</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229</v>
      </c>
      <c r="B3747" s="21" t="s">
        <v>1010</v>
      </c>
      <c r="C3747" s="21" t="s">
        <v>1006</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1049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2076</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1029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1499</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1008</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1037</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2077</v>
      </c>
      <c r="B3754" s="21" t="s">
        <v>1112</v>
      </c>
      <c r="C3754" s="21" t="s">
        <v>1034</v>
      </c>
      <c r="D3754" s="21" t="s">
        <v>997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1011</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row>
    <row r="3757" spans="1:12">
      <c r="A3757" s="20" t="s">
        <v>2078</v>
      </c>
    </row>
    <row r="3758" spans="1:12">
      <c r="A3758" s="20" t="s">
        <v>2079</v>
      </c>
      <c r="B3758" s="21" t="s">
        <v>995</v>
      </c>
      <c r="C3758" s="21" t="s">
        <v>1095</v>
      </c>
      <c r="D3758" s="21" t="s">
        <v>997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1044</v>
      </c>
      <c r="B3759" s="21" t="s">
        <v>995</v>
      </c>
      <c r="C3759" s="21" t="s">
        <v>996</v>
      </c>
      <c r="D3759" s="21" t="s">
        <v>997</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2080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1041</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1325</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1312</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1702</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1032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2081</v>
      </c>
      <c r="B3766" s="21" t="s">
        <v>1101</v>
      </c>
      <c r="C3766" s="21" t="s">
        <v>1034</v>
      </c>
      <c r="D3766" s="21" t="s">
        <v>997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1008</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1203</v>
      </c>
      <c r="B3768" s="21" t="s">
        <v>1005</v>
      </c>
      <c r="C3768" s="21" t="s">
        <v>1006</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1041</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1007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1041</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1191</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2082</v>
      </c>
      <c r="B3773" s="21" t="s">
        <v>1010</v>
      </c>
      <c r="C3773" s="21" t="s">
        <v>1006</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1041</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1325</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2083</v>
      </c>
      <c r="B3776" s="21" t="s">
        <v>1142</v>
      </c>
      <c r="C3776" s="21" t="s">
        <v>1006</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1702</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1032</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1215</v>
      </c>
      <c r="B3779" s="21" t="s">
        <v>1067</v>
      </c>
      <c r="C3779" s="21" t="s">
        <v>1034</v>
      </c>
      <c r="D3779" s="21" t="s">
        <v>997</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1011</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row>
    <row r="3782" spans="1:12">
      <c r="A3782" s="20" t="s">
        <v>2084</v>
      </c>
    </row>
    <row r="3783" spans="1:12">
      <c r="A3783" s="20" t="s">
        <v>1059</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1029</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1482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2085</v>
      </c>
      <c r="B3786" s="21" t="s">
        <v>1067</v>
      </c>
      <c r="C3786" s="21" t="s">
        <v>1239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1041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1061</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1268</v>
      </c>
      <c r="B3789" s="21" t="s">
        <v>995</v>
      </c>
      <c r="C3789" s="21" t="s">
        <v>1034</v>
      </c>
      <c r="D3789" s="21" t="s">
        <v>997</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1022</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1044</v>
      </c>
      <c r="B3791" s="21" t="s">
        <v>1027</v>
      </c>
      <c r="C3791" s="21" t="s">
        <v>996</v>
      </c>
      <c r="D3791" s="21" t="s">
        <v>997</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2086</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1462</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1041</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1069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2087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1008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1037</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1042</v>
      </c>
      <c r="B3799" s="21" t="s">
        <v>1024</v>
      </c>
      <c r="C3799" s="21" t="s">
        <v>1034</v>
      </c>
      <c r="D3799" s="21" t="s">
        <v>997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1080</v>
      </c>
      <c r="B3800" s="21" t="s">
        <v>1094</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1095</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2088</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1097</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1116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1008</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2089</v>
      </c>
      <c r="B3806" s="21" t="s">
        <v>1043</v>
      </c>
      <c r="C3806" s="21" t="s">
        <v>1006</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1029</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1003</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1907</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2077</v>
      </c>
      <c r="B3810" s="21" t="s">
        <v>1092</v>
      </c>
      <c r="C3810" s="21" t="s">
        <v>1089</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1041</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1339</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423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1097</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1054</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1138</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1041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1007</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1221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1168</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1325</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1041</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1022</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1982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1719</v>
      </c>
      <c r="B3825" s="21" t="s">
        <v>1005</v>
      </c>
      <c r="C3825" s="21" t="s">
        <v>1068</v>
      </c>
      <c r="D3825" s="21" t="s">
        <v>997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1041</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1080</v>
      </c>
      <c r="B3827" s="21" t="s">
        <v>1114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423</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1060</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1932</v>
      </c>
      <c r="B3830" s="21" t="s">
        <v>1010</v>
      </c>
      <c r="C3830" s="21" t="s">
        <v>1034</v>
      </c>
      <c r="D3830" s="21" t="s">
        <v>997</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1073</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2090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2091</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1065</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2092</v>
      </c>
      <c r="B3835" s="21" t="s">
        <v>1045</v>
      </c>
      <c r="C3835" s="21" t="s">
        <v>1068</v>
      </c>
      <c r="D3835" s="21" t="s">
        <v>997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1011</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row>
    <row r="3838" spans="1:12">
      <c r="A3838" s="20" t="s">
        <v>2093</v>
      </c>
    </row>
    <row r="3839" spans="1:12">
      <c r="A3839" s="20" t="s">
        <v>2094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2095</v>
      </c>
      <c r="B3840" s="21" t="s">
        <v>1067</v>
      </c>
      <c r="C3840" s="21" t="s">
        <v>1068</v>
      </c>
      <c r="D3840" s="21" t="s">
        <v>997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1041</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1083</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1540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1022</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1044</v>
      </c>
      <c r="B3845" s="21" t="s">
        <v>1142</v>
      </c>
      <c r="C3845" s="21" t="s">
        <v>996</v>
      </c>
      <c r="D3845" s="21" t="s">
        <v>997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1037</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2096</v>
      </c>
      <c r="B3847" s="21" t="s">
        <v>1067</v>
      </c>
      <c r="C3847" s="21" t="s">
        <v>1034</v>
      </c>
      <c r="D3847" s="21" t="s">
        <v>997</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1029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1579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1580</v>
      </c>
      <c r="B3850" s="21" t="s">
        <v>1005</v>
      </c>
      <c r="C3850" s="21" t="s">
        <v>1239</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1041</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1007</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1044</v>
      </c>
      <c r="B3853" s="21" t="s">
        <v>1142</v>
      </c>
      <c r="C3853" s="21" t="s">
        <v>996</v>
      </c>
      <c r="D3853" s="21" t="s">
        <v>997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1179</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2097</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1014</v>
      </c>
      <c r="B3856" s="21" t="s">
        <v>1039</v>
      </c>
      <c r="C3856" s="21" t="s">
        <v>1015</v>
      </c>
      <c r="D3856" s="21" t="s">
        <v>997</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1069</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1992</v>
      </c>
      <c r="B3858" s="21" t="s">
        <v>1010</v>
      </c>
      <c r="C3858" s="21" t="s">
        <v>1006</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1008</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1902</v>
      </c>
      <c r="B3860" s="21" t="s">
        <v>1024</v>
      </c>
      <c r="C3860" s="21" t="s">
        <v>1006</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1041</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1008</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1698</v>
      </c>
      <c r="B3863" s="21" t="s">
        <v>1112</v>
      </c>
      <c r="C3863" s="21" t="s">
        <v>1006</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2098</v>
      </c>
      <c r="B3864" s="21" t="s">
        <v>1182</v>
      </c>
      <c r="C3864" s="21" t="s">
        <v>1006</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1041</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1008</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2099</v>
      </c>
      <c r="B3867" s="21" t="s">
        <v>1112</v>
      </c>
      <c r="C3867" s="21" t="s">
        <v>1006</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1008</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1037</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2100</v>
      </c>
      <c r="B3870" s="21" t="s">
        <v>1182</v>
      </c>
      <c r="C3870" s="21" t="s">
        <v>1034</v>
      </c>
      <c r="D3870" s="21" t="s">
        <v>997</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2101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1011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row>
    <row r="3874" spans="1:12">
      <c r="A3874" s="20" t="s">
        <v>2102</v>
      </c>
    </row>
    <row r="3875" spans="1:12">
      <c r="A3875" s="20" t="s">
        <v>2103</v>
      </c>
      <c r="B3875" s="21" t="s">
        <v>995</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1008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2104</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2105</v>
      </c>
      <c r="B3878" s="21" t="s">
        <v>1005</v>
      </c>
      <c r="C3878" s="21" t="s">
        <v>1006</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1562</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1335</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2106</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1029</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1079</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1882</v>
      </c>
      <c r="B3884" s="21" t="s">
        <v>1067</v>
      </c>
      <c r="C3884" s="21" t="s">
        <v>1068</v>
      </c>
      <c r="D3884" s="21" t="s">
        <v>997</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1011</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1457</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2107</v>
      </c>
    </row>
    <row r="3889" spans="1:12">
      <c r="A3889" s="20" t="s">
        <v>1076</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650</v>
      </c>
      <c r="B3890" s="21" t="s">
        <v>1067</v>
      </c>
      <c r="C3890" s="21" t="s">
        <v>1028</v>
      </c>
      <c r="D3890" s="21" t="s">
        <v>997</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1008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2108</v>
      </c>
      <c r="B3892" s="21" t="s">
        <v>1067</v>
      </c>
      <c r="C3892" s="21" t="s">
        <v>1095</v>
      </c>
      <c r="D3892" s="21" t="s">
        <v>997</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2109</v>
      </c>
      <c r="B3893" s="21" t="s">
        <v>1005</v>
      </c>
      <c r="C3893" s="21" t="s">
        <v>1095</v>
      </c>
      <c r="D3893" s="21" t="s">
        <v>997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1041</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1460</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2110</v>
      </c>
      <c r="B3896" s="21" t="s">
        <v>1005</v>
      </c>
      <c r="C3896" s="21" t="s">
        <v>1025</v>
      </c>
      <c r="D3896" s="21" t="s">
        <v>997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2111</v>
      </c>
      <c r="B3897" s="21" t="s">
        <v>1067</v>
      </c>
      <c r="C3897" s="21" t="s">
        <v>1028</v>
      </c>
      <c r="D3897" s="21" t="s">
        <v>997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1460</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1007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1061</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650</v>
      </c>
      <c r="B3901" s="21" t="s">
        <v>1067</v>
      </c>
      <c r="C3901" s="21" t="s">
        <v>1028</v>
      </c>
      <c r="D3901" s="21" t="s">
        <v>997</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1008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2112</v>
      </c>
      <c r="B3903" s="21" t="s">
        <v>1005</v>
      </c>
      <c r="C3903" s="21" t="s">
        <v>1095</v>
      </c>
      <c r="D3903" s="21" t="s">
        <v>997</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2113</v>
      </c>
      <c r="B3904" s="21" t="s">
        <v>1010</v>
      </c>
      <c r="C3904" s="21" t="s">
        <v>1095</v>
      </c>
      <c r="D3904" s="21" t="s">
        <v>997</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1041</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2114</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1334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1004</v>
      </c>
      <c r="B3908" s="21" t="s">
        <v>1067</v>
      </c>
      <c r="C3908" s="21" t="s">
        <v>1034</v>
      </c>
      <c r="D3908" s="21" t="s">
        <v>997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2115</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2116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1177</v>
      </c>
      <c r="B3911" s="21" t="s">
        <v>1005</v>
      </c>
      <c r="C3911" s="21" t="s">
        <v>1006</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2117</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1460</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1011</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row>
    <row r="3916" spans="1:12">
      <c r="A3916" s="20" t="s">
        <v>2118</v>
      </c>
    </row>
    <row r="3917" spans="1:12">
      <c r="A3917" s="20" t="s">
        <v>2119</v>
      </c>
      <c r="B3917" s="21" t="s">
        <v>995</v>
      </c>
      <c r="C3917" s="21" t="s">
        <v>996</v>
      </c>
      <c r="D3917" s="21" t="s">
        <v>997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2120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1270</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1190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1061</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1882</v>
      </c>
      <c r="B3922" s="21" t="s">
        <v>1101</v>
      </c>
      <c r="C3922" s="21" t="s">
        <v>1034</v>
      </c>
      <c r="D3922" s="21" t="s">
        <v>997</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1041</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1007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2121</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1018</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2122</v>
      </c>
      <c r="B3927" s="21" t="s">
        <v>1001</v>
      </c>
      <c r="C3927" s="21" t="s">
        <v>1089</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1080</v>
      </c>
      <c r="B3928" s="21" t="s">
        <v>1114</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2123</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2124</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1029</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1032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2125</v>
      </c>
      <c r="B3933" s="21" t="s">
        <v>1024</v>
      </c>
      <c r="C3933" s="21" t="s">
        <v>1034</v>
      </c>
      <c r="D3933" s="21" t="s">
        <v>997</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1041</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1021</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1082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1194</v>
      </c>
      <c r="B3937" s="21" t="s">
        <v>1142</v>
      </c>
      <c r="C3937" s="21" t="s">
        <v>1133</v>
      </c>
      <c r="D3937" s="21" t="s">
        <v>997</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1154</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1647</v>
      </c>
      <c r="B3939" s="21" t="s">
        <v>1001</v>
      </c>
      <c r="C3939" s="21" t="s">
        <v>1006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1003</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1018</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2126</v>
      </c>
      <c r="B3942" s="21" t="s">
        <v>1005</v>
      </c>
      <c r="C3942" s="21" t="s">
        <v>1089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2127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1049</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1014</v>
      </c>
      <c r="B3945" s="21" t="s">
        <v>1010</v>
      </c>
      <c r="C3945" s="21" t="s">
        <v>1015</v>
      </c>
      <c r="D3945" s="21" t="s">
        <v>997</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1011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row>
    <row r="3948" spans="1:12">
      <c r="A3948" s="20" t="s">
        <v>2128</v>
      </c>
    </row>
    <row r="3949" spans="1:12">
      <c r="A3949" s="20" t="s">
        <v>2103</v>
      </c>
      <c r="B3949" s="21" t="s">
        <v>995</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1008</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1042</v>
      </c>
      <c r="B3951" s="21" t="s">
        <v>1005</v>
      </c>
      <c r="C3951" s="21" t="s">
        <v>1006</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2129</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1077</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1526</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1069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1168</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1030</v>
      </c>
      <c r="B3957" s="21" t="s">
        <v>1010</v>
      </c>
      <c r="C3957" s="21" t="s">
        <v>1006</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1011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row>
    <row r="3960" spans="1:12">
      <c r="A3960" s="20" t="s">
        <v>2130</v>
      </c>
    </row>
    <row r="3961" spans="1:12">
      <c r="A3961" s="20" t="s">
        <v>1099</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1227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1789</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1287</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1003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1018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2131</v>
      </c>
      <c r="B3967" s="21" t="s">
        <v>1067</v>
      </c>
      <c r="C3967" s="21" t="s">
        <v>1089</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1011</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row>
    <row r="3970" spans="1:12">
      <c r="A3970" s="20" t="s">
        <v>2132</v>
      </c>
    </row>
    <row r="3971" spans="1:12">
      <c r="A3971" s="20" t="s">
        <v>1234</v>
      </c>
      <c r="B3971" s="21" t="s">
        <v>995</v>
      </c>
      <c r="C3971" s="21" t="s">
        <v>1015</v>
      </c>
      <c r="D3971" s="21" t="s">
        <v>997</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423</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1018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2133</v>
      </c>
      <c r="B3974" s="21" t="s">
        <v>1067</v>
      </c>
      <c r="C3974" s="21" t="s">
        <v>1089</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1137</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2134</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1041</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1022</v>
      </c>
      <c r="B3978" s="21" t="s">
        <v>1001</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1060</v>
      </c>
      <c r="B3979" s="21" t="s">
        <v>1142</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1194</v>
      </c>
      <c r="B3980" s="21" t="s">
        <v>1010</v>
      </c>
      <c r="C3980" s="21" t="s">
        <v>1133</v>
      </c>
      <c r="D3980" s="21" t="s">
        <v>997</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2135</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1202</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1827</v>
      </c>
      <c r="B3983" s="21" t="s">
        <v>1142</v>
      </c>
      <c r="C3983" s="21" t="s">
        <v>1068</v>
      </c>
      <c r="D3983" s="21" t="s">
        <v>997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1011</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row>
    <row r="3986" spans="1:12">
      <c r="A3986" s="20" t="s">
        <v>2136</v>
      </c>
    </row>
    <row r="3987" spans="1:12">
      <c r="A3987" s="20" t="s">
        <v>1210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1194</v>
      </c>
      <c r="B3988" s="21" t="s">
        <v>1142</v>
      </c>
      <c r="C3988" s="21" t="s">
        <v>1133</v>
      </c>
      <c r="D3988" s="21" t="s">
        <v>997</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1585</v>
      </c>
      <c r="B3989" s="21" t="s">
        <v>1001</v>
      </c>
      <c r="C3989" s="21" t="s">
        <v>996</v>
      </c>
      <c r="D3989" s="21" t="s">
        <v>997</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2137</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1018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2138</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2133</v>
      </c>
      <c r="B3993" s="21" t="s">
        <v>1001</v>
      </c>
      <c r="C3993" s="21" t="s">
        <v>1089</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1029</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158</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1049</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1037</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208</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2139</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1087</v>
      </c>
      <c r="B4000" s="21" t="s">
        <v>1010</v>
      </c>
      <c r="C4000" s="21" t="s">
        <v>1034</v>
      </c>
      <c r="D4000" s="21" t="s">
        <v>997</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1041</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1141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1547</v>
      </c>
      <c r="B4003" s="21" t="s">
        <v>1142</v>
      </c>
      <c r="C4003" s="21" t="s">
        <v>996</v>
      </c>
      <c r="D4003" s="21" t="s">
        <v>997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2140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2141</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1061</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2142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2143</v>
      </c>
      <c r="B4008" s="21" t="s">
        <v>1039</v>
      </c>
      <c r="C4008" s="21" t="s">
        <v>1095</v>
      </c>
      <c r="D4008" s="21" t="s">
        <v>997</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1041</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1103</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2141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1018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2144</v>
      </c>
      <c r="B4013" s="21" t="s">
        <v>1088</v>
      </c>
      <c r="C4013" s="21" t="s">
        <v>1089</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1041</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1079</v>
      </c>
      <c r="B4015" s="21" t="s">
        <v>1112</v>
      </c>
      <c r="C4015" s="21" t="s">
        <v>1015</v>
      </c>
      <c r="D4015" s="21" t="s">
        <v>997</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1080</v>
      </c>
      <c r="B4016" s="21" t="s">
        <v>1243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423</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1305</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1146</v>
      </c>
      <c r="B4019" s="21" t="s">
        <v>1182</v>
      </c>
      <c r="C4019" s="21" t="s">
        <v>1239</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1022</v>
      </c>
      <c r="B4020" s="21" t="s">
        <v>1656</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1263</v>
      </c>
      <c r="B4021" s="21" t="s">
        <v>1653</v>
      </c>
      <c r="C4021" s="21" t="s">
        <v>996</v>
      </c>
      <c r="D4021" s="21" t="s">
        <v>997</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2145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1041</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1103</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1670</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2141</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1022</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1202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1146</v>
      </c>
      <c r="B4029" s="21" t="s">
        <v>1862</v>
      </c>
      <c r="C4029" s="21" t="s">
        <v>1068</v>
      </c>
      <c r="D4029" s="21" t="s">
        <v>997</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1376</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2146</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1041</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1018</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1736</v>
      </c>
      <c r="B4034" s="21" t="s">
        <v>1092</v>
      </c>
      <c r="C4034" s="21" t="s">
        <v>1089</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2147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1191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1051</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2116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1672</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2059</v>
      </c>
      <c r="B4040" s="21" t="s">
        <v>1964</v>
      </c>
      <c r="C4040" s="21" t="s">
        <v>1239</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1008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1203</v>
      </c>
      <c r="B4042" s="21" t="s">
        <v>1965</v>
      </c>
      <c r="C4042" s="21" t="s">
        <v>1006</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1041</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1175</v>
      </c>
      <c r="B4044" s="21" t="s">
        <v>995</v>
      </c>
      <c r="C4044" s="21" t="s">
        <v>1015</v>
      </c>
      <c r="D4044" s="21" t="s">
        <v>997</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423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1079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2148</v>
      </c>
      <c r="B4047" s="21" t="s">
        <v>1067</v>
      </c>
      <c r="C4047" s="21" t="s">
        <v>1068</v>
      </c>
      <c r="D4047" s="21" t="s">
        <v>997</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1022</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1547</v>
      </c>
      <c r="B4049" s="21" t="s">
        <v>1142</v>
      </c>
      <c r="C4049" s="21" t="s">
        <v>996</v>
      </c>
      <c r="D4049" s="21" t="s">
        <v>997</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2149</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1011</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row>
    <row r="4053" spans="1:12">
      <c r="A4053" s="20" t="s">
        <v>2150</v>
      </c>
    </row>
    <row r="4054" spans="1:12">
      <c r="A4054" s="20" t="s">
        <v>1234</v>
      </c>
      <c r="B4054" s="21" t="s">
        <v>995</v>
      </c>
      <c r="C4054" s="21" t="s">
        <v>1015</v>
      </c>
      <c r="D4054" s="21" t="s">
        <v>997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423</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1151</v>
      </c>
      <c r="B4056" s="21" t="s">
        <v>1067</v>
      </c>
      <c r="C4056" s="21" t="s">
        <v>1015</v>
      </c>
      <c r="D4056" s="21" t="s">
        <v>997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1080</v>
      </c>
      <c r="B4057" s="21" t="s">
        <v>1142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1592</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1061</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1054</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1288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2151</v>
      </c>
      <c r="B4062" s="21" t="s">
        <v>1067</v>
      </c>
      <c r="C4062" s="21" t="s">
        <v>1034</v>
      </c>
      <c r="D4062" s="21" t="s">
        <v>997</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1011</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row>
    <row r="4065" spans="1:12">
      <c r="A4065" s="20" t="s">
        <v>2152</v>
      </c>
    </row>
    <row r="4066" spans="1:12">
      <c r="A4066" s="20" t="s">
        <v>1210</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1079</v>
      </c>
      <c r="B4067" s="21" t="s">
        <v>1142</v>
      </c>
      <c r="C4067" s="21" t="s">
        <v>1015</v>
      </c>
      <c r="D4067" s="21" t="s">
        <v>997</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2131</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1095</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1077</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2153</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1097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1041</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1032</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2154</v>
      </c>
      <c r="B4075" s="21" t="s">
        <v>995</v>
      </c>
      <c r="C4075" s="21" t="s">
        <v>1034</v>
      </c>
      <c r="D4075" s="21" t="s">
        <v>997</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1889</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1037</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1560</v>
      </c>
      <c r="B4078" s="21" t="s">
        <v>1005</v>
      </c>
      <c r="C4078" s="21" t="s">
        <v>1034</v>
      </c>
      <c r="D4078" s="21" t="s">
        <v>997</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1080</v>
      </c>
      <c r="B4079" s="21" t="s">
        <v>1114</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2155</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1029</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2156</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1708</v>
      </c>
      <c r="B4083" s="21" t="s">
        <v>1024</v>
      </c>
      <c r="C4083" s="21" t="s">
        <v>1006</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1007</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1029</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1707</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1708</v>
      </c>
      <c r="B4087" s="21" t="s">
        <v>1112</v>
      </c>
      <c r="C4087" s="21" t="s">
        <v>1006</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1702</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2157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1041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1889</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1037</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2158</v>
      </c>
      <c r="B4093" s="21" t="s">
        <v>1005</v>
      </c>
      <c r="C4093" s="21" t="s">
        <v>1095</v>
      </c>
      <c r="D4093" s="21" t="s">
        <v>997</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1007</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1032</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2049</v>
      </c>
      <c r="B4096" s="21" t="s">
        <v>1010</v>
      </c>
      <c r="C4096" s="21" t="s">
        <v>1095</v>
      </c>
      <c r="D4096" s="21" t="s">
        <v>997</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1041</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1889</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1323</v>
      </c>
      <c r="B4099" s="21" t="s">
        <v>1005</v>
      </c>
      <c r="C4099" s="21" t="s">
        <v>1034</v>
      </c>
      <c r="D4099" s="21" t="s">
        <v>997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1055</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1007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1323</v>
      </c>
      <c r="B4102" s="21" t="s">
        <v>1010</v>
      </c>
      <c r="C4102" s="21" t="s">
        <v>1006</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2159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1041</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1007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1032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2012</v>
      </c>
      <c r="B4107" s="21" t="s">
        <v>1114</v>
      </c>
      <c r="C4107" s="21" t="s">
        <v>1034</v>
      </c>
      <c r="D4107" s="21" t="s">
        <v>997</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1702</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1190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1222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1049</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1032</v>
      </c>
      <c r="B4112" s="21" t="s">
        <v>1010</v>
      </c>
      <c r="C4112" s="21" t="s">
        <v>1028</v>
      </c>
      <c r="D4112" s="21" t="s">
        <v>997</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2160</v>
      </c>
      <c r="B4113" s="21" t="s">
        <v>1024</v>
      </c>
      <c r="C4113" s="21" t="s">
        <v>1006</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1008</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1065</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1051</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1052</v>
      </c>
      <c r="B4117" s="21" t="s">
        <v>1024</v>
      </c>
      <c r="C4117" s="21" t="s">
        <v>1068</v>
      </c>
      <c r="D4117" s="21" t="s">
        <v>997</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1008</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1560</v>
      </c>
      <c r="B4119" s="21" t="s">
        <v>1112</v>
      </c>
      <c r="C4119" s="21" t="s">
        <v>1006</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1011</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row>
    <row r="4122" spans="1:12">
      <c r="A4122" s="20" t="s">
        <v>2161</v>
      </c>
    </row>
    <row r="4123" spans="1:12">
      <c r="A4123" s="20" t="s">
        <v>1365</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1041</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1082</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1170</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1367</v>
      </c>
      <c r="B4127" s="21" t="s">
        <v>1101</v>
      </c>
      <c r="C4127" s="21" t="s">
        <v>996</v>
      </c>
      <c r="D4127" s="21" t="s">
        <v>997</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1029</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158</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1275</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row>
    <row r="4132" spans="1:12">
      <c r="A4132" s="20" t="s">
        <v>2162</v>
      </c>
    </row>
    <row r="4133" spans="1:12">
      <c r="A4133" s="20" t="s">
        <v>1140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1622</v>
      </c>
      <c r="B4134" s="21" t="s">
        <v>1067</v>
      </c>
      <c r="C4134" s="21" t="s">
        <v>1133</v>
      </c>
      <c r="D4134" s="21" t="s">
        <v>997</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2163</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2164</v>
      </c>
      <c r="B4136" s="21" t="s">
        <v>995</v>
      </c>
      <c r="C4136" s="21" t="s">
        <v>996</v>
      </c>
      <c r="D4136" s="21" t="s">
        <v>997</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2165</v>
      </c>
      <c r="B4137" s="21" t="s">
        <v>1101</v>
      </c>
      <c r="C4137" s="21" t="s">
        <v>1006</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1029</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1000</v>
      </c>
      <c r="B4139" s="21" t="s">
        <v>1067</v>
      </c>
      <c r="C4139" s="21" t="s">
        <v>996</v>
      </c>
      <c r="D4139" s="21" t="s">
        <v>997</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1049</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1008</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1060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2166</v>
      </c>
      <c r="B4144" s="21" t="s">
        <v>1005</v>
      </c>
      <c r="C4144" s="21" t="s">
        <v>1034</v>
      </c>
      <c r="D4144" s="21" t="s">
        <v>997</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1275</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row>
    <row r="4147" spans="1:12">
      <c r="A4147" s="20" t="s">
        <v>2167</v>
      </c>
    </row>
    <row r="4148" spans="1:12">
      <c r="A4148" s="20" t="s">
        <v>1099</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1540</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1054</v>
      </c>
      <c r="B4150" s="21" t="s">
        <v>995</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1008</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2168</v>
      </c>
      <c r="B4152" s="21" t="s">
        <v>1005</v>
      </c>
      <c r="C4152" s="21" t="s">
        <v>1006</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1049</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1032</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2169</v>
      </c>
      <c r="B4155" s="21" t="s">
        <v>1010</v>
      </c>
      <c r="C4155" s="21" t="s">
        <v>1034</v>
      </c>
      <c r="D4155" s="21" t="s">
        <v>997</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1011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row>
    <row r="4158" spans="1:12">
      <c r="A4158" s="20" t="s">
        <v>2170</v>
      </c>
    </row>
    <row r="4159" spans="1:12">
      <c r="A4159" s="20" t="s">
        <v>2171</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1037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1323</v>
      </c>
      <c r="B4161" s="21" t="s">
        <v>1142</v>
      </c>
      <c r="C4161" s="21" t="s">
        <v>1034</v>
      </c>
      <c r="D4161" s="21" t="s">
        <v>997</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1077</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2172</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1041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1487</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1029</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2173</v>
      </c>
      <c r="B4167" s="21" t="s">
        <v>1005</v>
      </c>
      <c r="C4167" s="21" t="s">
        <v>1095</v>
      </c>
      <c r="D4167" s="21" t="s">
        <v>997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1041</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1257</v>
      </c>
      <c r="B4169" s="21" t="s">
        <v>995</v>
      </c>
      <c r="C4169" s="21" t="s">
        <v>996</v>
      </c>
      <c r="D4169" s="21" t="s">
        <v>997</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1095</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2174</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1097</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2175</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1826</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1008</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1061</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1203</v>
      </c>
      <c r="B4177" s="21" t="s">
        <v>1005</v>
      </c>
      <c r="C4177" s="21" t="s">
        <v>1034</v>
      </c>
      <c r="D4177" s="21" t="s">
        <v>997</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1011</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row>
    <row r="4180" spans="1:12">
      <c r="A4180" s="20" t="s">
        <v>2176</v>
      </c>
    </row>
    <row r="4181" spans="1:12">
      <c r="A4181" s="20" t="s">
        <v>2119</v>
      </c>
      <c r="B4181" s="21" t="s">
        <v>995</v>
      </c>
      <c r="C4181" s="21" t="s">
        <v>996</v>
      </c>
      <c r="D4181" s="21" t="s">
        <v>997</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2174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2175</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1008</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1079</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2177</v>
      </c>
      <c r="B4186" s="21" t="s">
        <v>1005</v>
      </c>
      <c r="C4186" s="21" t="s">
        <v>1068</v>
      </c>
      <c r="D4186" s="21" t="s">
        <v>997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1003</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1932</v>
      </c>
      <c r="B4188" s="21" t="s">
        <v>1010</v>
      </c>
      <c r="C4188" s="21" t="s">
        <v>1006</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1041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1007</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1000</v>
      </c>
      <c r="B4191" s="21" t="s">
        <v>1142</v>
      </c>
      <c r="C4191" s="21" t="s">
        <v>996</v>
      </c>
      <c r="D4191" s="21" t="s">
        <v>997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2178</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2179</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1191</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1061</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1268</v>
      </c>
      <c r="B4196" s="21" t="s">
        <v>1005</v>
      </c>
      <c r="C4196" s="21" t="s">
        <v>1034</v>
      </c>
      <c r="D4196" s="21" t="s">
        <v>997</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1008</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2180</v>
      </c>
      <c r="B4198" s="21" t="s">
        <v>1010</v>
      </c>
      <c r="C4198" s="21" t="s">
        <v>1006</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2181</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2182</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2183</v>
      </c>
      <c r="B4201" s="21" t="s">
        <v>1010</v>
      </c>
      <c r="C4201" s="21" t="s">
        <v>1006</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1191</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1065</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1854</v>
      </c>
      <c r="B4204" s="21" t="s">
        <v>1024</v>
      </c>
      <c r="C4204" s="21" t="s">
        <v>1068</v>
      </c>
      <c r="D4204" s="21" t="s">
        <v>997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2184</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1011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row>
    <row r="4208" spans="1:12">
      <c r="A4208" s="20" t="s">
        <v>2185</v>
      </c>
    </row>
    <row r="4209" spans="1:12">
      <c r="A4209" s="20" t="s">
        <v>1466</v>
      </c>
      <c r="B4209" s="21" t="s">
        <v>995</v>
      </c>
      <c r="C4209" s="21" t="s">
        <v>996</v>
      </c>
      <c r="D4209" s="21" t="s">
        <v>997</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1170</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1647</v>
      </c>
      <c r="B4211" s="21" t="s">
        <v>1067</v>
      </c>
      <c r="C4211" s="21" t="s">
        <v>1006</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1003</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2186</v>
      </c>
      <c r="B4213" s="21" t="s">
        <v>1067</v>
      </c>
      <c r="C4213" s="21" t="s">
        <v>1006</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1049</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1061</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2187</v>
      </c>
      <c r="B4216" s="21" t="s">
        <v>1067</v>
      </c>
      <c r="C4216" s="21" t="s">
        <v>1034</v>
      </c>
      <c r="D4216" s="21" t="s">
        <v>997</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1041</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1144</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2188</v>
      </c>
      <c r="B4219" s="21" t="s">
        <v>1067</v>
      </c>
      <c r="C4219" s="21" t="s">
        <v>1089</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1203</v>
      </c>
      <c r="B4220" s="21" t="s">
        <v>1005</v>
      </c>
      <c r="C4220" s="21" t="s">
        <v>1006</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1041</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1581</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2189</v>
      </c>
      <c r="B4223" s="21" t="s">
        <v>1067</v>
      </c>
      <c r="C4223" s="21" t="s">
        <v>1006</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1007</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2190</v>
      </c>
      <c r="B4225" s="21" t="s">
        <v>1005</v>
      </c>
      <c r="C4225" s="21" t="s">
        <v>1006</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1041</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1305</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1146</v>
      </c>
      <c r="B4228" s="21" t="s">
        <v>1067</v>
      </c>
      <c r="C4228" s="21" t="s">
        <v>1239</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1080</v>
      </c>
      <c r="B4229" s="21" t="s">
        <v>1027</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2191</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1018</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2192</v>
      </c>
      <c r="B4232" s="21" t="s">
        <v>1039</v>
      </c>
      <c r="C4232" s="21" t="s">
        <v>1089</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1008</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1135</v>
      </c>
      <c r="B4234" s="21" t="s">
        <v>1024</v>
      </c>
      <c r="C4234" s="21" t="s">
        <v>1006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1011</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row>
    <row r="4237" spans="1:12">
      <c r="A4237" s="20" t="s">
        <v>2193</v>
      </c>
    </row>
    <row r="4238" spans="1:12">
      <c r="A4238" s="20" t="s">
        <v>1466</v>
      </c>
      <c r="B4238" s="21" t="s">
        <v>995</v>
      </c>
      <c r="C4238" s="21" t="s">
        <v>996</v>
      </c>
      <c r="D4238" s="21" t="s">
        <v>997</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1046</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158</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1297</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1061</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2194</v>
      </c>
      <c r="B4243" s="21" t="s">
        <v>1001</v>
      </c>
      <c r="C4243" s="21" t="s">
        <v>1034</v>
      </c>
      <c r="D4243" s="21" t="s">
        <v>997</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1011</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row>
    <row r="4246" spans="1:12">
      <c r="A4246" s="20" t="s">
        <v>2195</v>
      </c>
    </row>
    <row r="4247" spans="1:12">
      <c r="A4247" s="20" t="s">
        <v>1466</v>
      </c>
      <c r="B4247" s="21" t="s">
        <v>995</v>
      </c>
      <c r="C4247" s="21" t="s">
        <v>996</v>
      </c>
      <c r="D4247" s="21" t="s">
        <v>997</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1170</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1647</v>
      </c>
      <c r="B4249" s="21" t="s">
        <v>1067</v>
      </c>
      <c r="C4249" s="21" t="s">
        <v>1006</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1022</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1079</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2196</v>
      </c>
      <c r="B4252" s="21" t="s">
        <v>1142</v>
      </c>
      <c r="C4252" s="21" t="s">
        <v>1068</v>
      </c>
      <c r="D4252" s="21" t="s">
        <v>997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2197</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1054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2198</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1041</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1054</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2199</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1041</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1084</v>
      </c>
      <c r="B4260" s="21" t="s">
        <v>1010</v>
      </c>
      <c r="C4260" s="21" t="s">
        <v>1133</v>
      </c>
      <c r="D4260" s="21" t="s">
        <v>997</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2048</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1037</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2028</v>
      </c>
      <c r="B4263" s="21" t="s">
        <v>1005</v>
      </c>
      <c r="C4263" s="21" t="s">
        <v>1034</v>
      </c>
      <c r="D4263" s="21" t="s">
        <v>997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1041</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1037</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2075</v>
      </c>
      <c r="B4266" s="21" t="s">
        <v>1005</v>
      </c>
      <c r="C4266" s="21" t="s">
        <v>1034</v>
      </c>
      <c r="D4266" s="21" t="s">
        <v>997</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1022</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1061</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2200</v>
      </c>
      <c r="B4269" s="21" t="s">
        <v>1114</v>
      </c>
      <c r="C4269" s="21" t="s">
        <v>1034</v>
      </c>
      <c r="D4269" s="21" t="s">
        <v>997</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2201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1011</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row>
    <row r="4273" spans="1:12">
      <c r="A4273" s="20" t="s">
        <v>2202</v>
      </c>
    </row>
    <row r="4274" spans="1:12">
      <c r="A4274" s="20" t="s">
        <v>1234</v>
      </c>
      <c r="B4274" s="21" t="s">
        <v>995</v>
      </c>
      <c r="C4274" s="21" t="s">
        <v>1015</v>
      </c>
      <c r="D4274" s="21" t="s">
        <v>997</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423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1018</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2131</v>
      </c>
      <c r="B4277" s="21" t="s">
        <v>1067</v>
      </c>
      <c r="C4277" s="21" t="s">
        <v>1089</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1138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1041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1249</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1547</v>
      </c>
      <c r="B4281" s="21" t="s">
        <v>1142</v>
      </c>
      <c r="C4281" s="21" t="s">
        <v>996</v>
      </c>
      <c r="D4281" s="21" t="s">
        <v>997</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1667</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1022</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1044</v>
      </c>
      <c r="B4284" s="21" t="s">
        <v>1027</v>
      </c>
      <c r="C4284" s="21" t="s">
        <v>996</v>
      </c>
      <c r="D4284" s="21" t="s">
        <v>997</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1179</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1060</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2203</v>
      </c>
      <c r="B4287" s="21" t="s">
        <v>1039</v>
      </c>
      <c r="C4287" s="21" t="s">
        <v>1034</v>
      </c>
      <c r="D4287" s="21" t="s">
        <v>997</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row>
    <row r="4289" spans="1:12">
      <c r="A4289" s="20" t="s">
        <v>2204</v>
      </c>
    </row>
    <row r="4290" spans="1:12">
      <c r="A4290" s="20" t="s">
        <v>2205</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1011</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row>
    <row r="4293" spans="1:12">
      <c r="A4293" s="20" t="s">
        <v>2206</v>
      </c>
    </row>
    <row r="4294" spans="1:12">
      <c r="A4294" s="20" t="s">
        <v>1611</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713</v>
      </c>
      <c r="B4295" s="21" t="s">
        <v>1067</v>
      </c>
      <c r="C4295" s="21" t="s">
        <v>1095</v>
      </c>
      <c r="D4295" s="21" t="s">
        <v>997</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1613</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2207</v>
      </c>
      <c r="B4297" s="21" t="s">
        <v>1067</v>
      </c>
      <c r="C4297" s="21" t="s">
        <v>1095</v>
      </c>
      <c r="D4297" s="21" t="s">
        <v>997</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2208</v>
      </c>
      <c r="B4298" s="21" t="s">
        <v>1067</v>
      </c>
      <c r="C4298" s="21" t="s">
        <v>1095</v>
      </c>
      <c r="D4298" s="21" t="s">
        <v>997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1513</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994</v>
      </c>
      <c r="B4300" s="21" t="s">
        <v>1142</v>
      </c>
      <c r="C4300" s="21" t="s">
        <v>996</v>
      </c>
      <c r="D4300" s="21" t="s">
        <v>997</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1000</v>
      </c>
      <c r="B4301" s="21" t="s">
        <v>1001</v>
      </c>
      <c r="C4301" s="21" t="s">
        <v>996</v>
      </c>
      <c r="D4301" s="21" t="s">
        <v>997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2209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row>
    <row r="4304" spans="1:12">
      <c r="A4304" s="20" t="s">
        <v>2204</v>
      </c>
    </row>
    <row r="4305" spans="1:12">
      <c r="A4305" s="20" t="s">
        <v>2205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1011</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row>
    <row r="4308" spans="1:12">
      <c r="A4308" s="20" t="s">
        <v>2204</v>
      </c>
    </row>
    <row r="4309" spans="1:12">
      <c r="A4309" s="20" t="s">
        <v>2205</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1011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row>
    <row r="4312" spans="1:12">
      <c r="A4312" s="20" t="s">
        <v>2210</v>
      </c>
    </row>
    <row r="4313" spans="1:12">
      <c r="A4313" s="20" t="s">
        <v>2211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1049</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1057</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2212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1041</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1029</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2213</v>
      </c>
      <c r="B4319" s="21" t="s">
        <v>1010</v>
      </c>
      <c r="C4319" s="21" t="s">
        <v>1028</v>
      </c>
      <c r="D4319" s="21" t="s">
        <v>997</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1008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1941</v>
      </c>
      <c r="B4321" s="21" t="s">
        <v>1024</v>
      </c>
      <c r="C4321" s="21" t="s">
        <v>1095</v>
      </c>
      <c r="D4321" s="21" t="s">
        <v>997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1041</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1547</v>
      </c>
      <c r="B4323" s="21" t="s">
        <v>995</v>
      </c>
      <c r="C4323" s="21" t="s">
        <v>996</v>
      </c>
      <c r="D4323" s="21" t="s">
        <v>997</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1548</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338</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1041</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1116</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1003</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1386</v>
      </c>
      <c r="B4329" s="21" t="s">
        <v>1024</v>
      </c>
      <c r="C4329" s="21" t="s">
        <v>1006</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1041</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1723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2214</v>
      </c>
      <c r="B4332" s="21" t="s">
        <v>1027</v>
      </c>
      <c r="C4332" s="21" t="s">
        <v>996</v>
      </c>
      <c r="D4332" s="21" t="s">
        <v>997</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2215</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1144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1618</v>
      </c>
      <c r="B4335" s="21" t="s">
        <v>1088</v>
      </c>
      <c r="C4335" s="21" t="s">
        <v>1089</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1008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1060</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2216</v>
      </c>
      <c r="B4338" s="21" t="s">
        <v>1112</v>
      </c>
      <c r="C4338" s="21" t="s">
        <v>1034</v>
      </c>
      <c r="D4338" s="21" t="s">
        <v>997</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1008</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1037</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2217</v>
      </c>
      <c r="B4341" s="21" t="s">
        <v>1182</v>
      </c>
      <c r="C4341" s="21" t="s">
        <v>1034</v>
      </c>
      <c r="D4341" s="21" t="s">
        <v>997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1022</v>
      </c>
      <c r="B4342" s="21" t="s">
        <v>1656</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1014</v>
      </c>
      <c r="B4343" s="21" t="s">
        <v>1653</v>
      </c>
      <c r="C4343" s="21" t="s">
        <v>1015</v>
      </c>
      <c r="D4343" s="21" t="s">
        <v>997</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1319</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1275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row>
    <row r="4347" spans="1:12">
      <c r="A4347" s="20" t="s">
        <v>2218</v>
      </c>
    </row>
    <row r="4348" spans="1:12">
      <c r="A4348" s="20" t="s">
        <v>725</v>
      </c>
      <c r="B4348" s="21" t="s">
        <v>1067</v>
      </c>
      <c r="C4348" s="21" t="s">
        <v>1095</v>
      </c>
      <c r="D4348" s="21" t="s">
        <v>997</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2219</v>
      </c>
      <c r="B4349" s="21" t="s">
        <v>1067</v>
      </c>
      <c r="C4349" s="21" t="s">
        <v>1095</v>
      </c>
      <c r="D4349" s="21" t="s">
        <v>997</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1513</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1316</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2220</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1061</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2221</v>
      </c>
      <c r="B4354" s="21" t="s">
        <v>1001</v>
      </c>
      <c r="C4354" s="21" t="s">
        <v>1034</v>
      </c>
      <c r="D4354" s="21" t="s">
        <v>997</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1581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1061</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2222</v>
      </c>
      <c r="B4357" s="21" t="s">
        <v>1005</v>
      </c>
      <c r="C4357" s="21" t="s">
        <v>1034</v>
      </c>
      <c r="D4357" s="21" t="s">
        <v>997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1041</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2223</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1037</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2224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1266</v>
      </c>
      <c r="B4362" s="21" t="s">
        <v>1039</v>
      </c>
      <c r="C4362" s="21" t="s">
        <v>1034</v>
      </c>
      <c r="D4362" s="21" t="s">
        <v>997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1041</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1079</v>
      </c>
      <c r="B4364" s="21" t="s">
        <v>1005</v>
      </c>
      <c r="C4364" s="21" t="s">
        <v>1015</v>
      </c>
      <c r="D4364" s="21" t="s">
        <v>997</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1022</v>
      </c>
      <c r="B4365" s="21" t="s">
        <v>1088</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1044</v>
      </c>
      <c r="B4366" s="21" t="s">
        <v>1114</v>
      </c>
      <c r="C4366" s="21" t="s">
        <v>996</v>
      </c>
      <c r="D4366" s="21" t="s">
        <v>997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1170</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1070</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1041</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737</v>
      </c>
      <c r="B4370" s="21" t="s">
        <v>1027</v>
      </c>
      <c r="C4370" s="21" t="s">
        <v>1015</v>
      </c>
      <c r="D4370" s="21" t="s">
        <v>997</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1077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1426</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1826</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1069</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2225</v>
      </c>
      <c r="B4375" s="21" t="s">
        <v>1010</v>
      </c>
      <c r="C4375" s="21" t="s">
        <v>1006</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1008</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2226</v>
      </c>
      <c r="B4377" s="21" t="s">
        <v>1024</v>
      </c>
      <c r="C4377" s="21" t="s">
        <v>1006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1041</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1007</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1168</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1069</v>
      </c>
      <c r="B4381" s="21" t="s">
        <v>1112</v>
      </c>
      <c r="C4381" s="21" t="s">
        <v>1133</v>
      </c>
      <c r="D4381" s="21" t="s">
        <v>997</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1745</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2227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2228</v>
      </c>
      <c r="B4384" s="21" t="s">
        <v>1112</v>
      </c>
      <c r="C4384" s="21" t="s">
        <v>1025</v>
      </c>
      <c r="D4384" s="21" t="s">
        <v>997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2229</v>
      </c>
      <c r="B4385" s="21" t="s">
        <v>1088</v>
      </c>
      <c r="C4385" s="21" t="s">
        <v>1028</v>
      </c>
      <c r="D4385" s="21" t="s">
        <v>997</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1109</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1018</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1988</v>
      </c>
      <c r="B4388" s="21" t="s">
        <v>1024</v>
      </c>
      <c r="C4388" s="21" t="s">
        <v>1089</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2230</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1049</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1227</v>
      </c>
      <c r="B4391" s="21" t="s">
        <v>1301</v>
      </c>
      <c r="C4391" s="21" t="s">
        <v>996</v>
      </c>
      <c r="D4391" s="21" t="s">
        <v>997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2231</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1082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1257</v>
      </c>
      <c r="B4394" s="21" t="s">
        <v>1094</v>
      </c>
      <c r="C4394" s="21" t="s">
        <v>996</v>
      </c>
      <c r="D4394" s="21" t="s">
        <v>997</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1648</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1957</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1041</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1194</v>
      </c>
      <c r="B4398" s="21" t="s">
        <v>1114</v>
      </c>
      <c r="C4398" s="21" t="s">
        <v>1133</v>
      </c>
      <c r="D4398" s="21" t="s">
        <v>997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2232</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1826</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1109</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1037</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1883</v>
      </c>
      <c r="B4403" s="21" t="s">
        <v>1024</v>
      </c>
      <c r="C4403" s="21" t="s">
        <v>1034</v>
      </c>
      <c r="D4403" s="21" t="s">
        <v>997</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1008</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2226</v>
      </c>
      <c r="B4405" s="21" t="s">
        <v>1112</v>
      </c>
      <c r="C4405" s="21" t="s">
        <v>1006</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row>
    <row r="4407" spans="1:12">
      <c r="A4407" s="20" t="s">
        <v>2233</v>
      </c>
    </row>
    <row r="4408" spans="1:12">
      <c r="A4408" s="20" t="s">
        <v>1076</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1054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1706</v>
      </c>
      <c r="B4410" s="21" t="s">
        <v>995</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423</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1032</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2234</v>
      </c>
      <c r="B4413" s="21" t="s">
        <v>1067</v>
      </c>
      <c r="C4413" s="21" t="s">
        <v>1034</v>
      </c>
      <c r="D4413" s="21" t="s">
        <v>997</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1008</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1061</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1988</v>
      </c>
      <c r="B4416" s="21" t="s">
        <v>1067</v>
      </c>
      <c r="C4416" s="21" t="s">
        <v>1034</v>
      </c>
      <c r="D4416" s="21" t="s">
        <v>997</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2235</v>
      </c>
      <c r="B4417" s="21" t="s">
        <v>1005</v>
      </c>
      <c r="C4417" s="21" t="s">
        <v>1006</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1041</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1300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1037</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1776</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1052</v>
      </c>
      <c r="B4422" s="21" t="s">
        <v>1001</v>
      </c>
      <c r="C4422" s="21" t="s">
        <v>1034</v>
      </c>
      <c r="D4422" s="21" t="s">
        <v>997</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1041</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1300</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1061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2236</v>
      </c>
      <c r="B4426" s="21" t="s">
        <v>1039</v>
      </c>
      <c r="C4426" s="21" t="s">
        <v>1034</v>
      </c>
      <c r="D4426" s="21" t="s">
        <v>997</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1041</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1060</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2237</v>
      </c>
      <c r="B4429" s="21" t="s">
        <v>1142</v>
      </c>
      <c r="C4429" s="21" t="s">
        <v>1034</v>
      </c>
      <c r="D4429" s="21" t="s">
        <v>997</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2238</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1371</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1194</v>
      </c>
      <c r="B4432" s="21" t="s">
        <v>1027</v>
      </c>
      <c r="C4432" s="21" t="s">
        <v>1133</v>
      </c>
      <c r="D4432" s="21" t="s">
        <v>997</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2239</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1061</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1779</v>
      </c>
      <c r="B4435" s="21" t="s">
        <v>1039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1011</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row>
    <row r="4438" spans="1:12">
      <c r="A4438" s="20" t="s">
        <v>2240</v>
      </c>
    </row>
    <row r="4439" spans="1:12">
      <c r="A4439" s="20" t="s">
        <v>2241</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1717</v>
      </c>
      <c r="B4440" s="21" t="s">
        <v>1005</v>
      </c>
      <c r="C4440" s="21" t="s">
        <v>1006</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1022</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1061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1779</v>
      </c>
      <c r="B4443" s="21" t="s">
        <v>1027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1702</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2242</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1041</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1141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1116</v>
      </c>
      <c r="B4448" s="21" t="s">
        <v>995</v>
      </c>
      <c r="C4448" s="21" t="s">
        <v>1133</v>
      </c>
      <c r="D4448" s="21" t="s">
        <v>997</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2243</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1487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2244</v>
      </c>
      <c r="B4451" s="21" t="s">
        <v>1067</v>
      </c>
      <c r="C4451" s="21" t="s">
        <v>1006</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1041</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1230</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737</v>
      </c>
      <c r="B4454" s="21" t="s">
        <v>1027</v>
      </c>
      <c r="C4454" s="21" t="s">
        <v>1015</v>
      </c>
      <c r="D4454" s="21" t="s">
        <v>997</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2245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1144</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2246</v>
      </c>
      <c r="B4457" s="21" t="s">
        <v>1039</v>
      </c>
      <c r="C4457" s="21" t="s">
        <v>1089</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1041</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1581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1008</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1037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2247</v>
      </c>
      <c r="B4462" s="21" t="s">
        <v>1010</v>
      </c>
      <c r="C4462" s="21" t="s">
        <v>1034</v>
      </c>
      <c r="D4462" s="21" t="s">
        <v>997</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1342</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1007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1144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1780</v>
      </c>
      <c r="B4466" s="21" t="s">
        <v>1024</v>
      </c>
      <c r="C4466" s="21" t="s">
        <v>1089</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1003</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1004</v>
      </c>
      <c r="B4468" s="21" t="s">
        <v>1112</v>
      </c>
      <c r="C4468" s="21" t="s">
        <v>1006</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1041</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2248</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1475</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1008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2249</v>
      </c>
      <c r="B4473" s="21" t="s">
        <v>1112</v>
      </c>
      <c r="C4473" s="21" t="s">
        <v>1015</v>
      </c>
      <c r="D4473" s="21" t="s">
        <v>997</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1008</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1061</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1530</v>
      </c>
      <c r="B4476" s="21" t="s">
        <v>1182</v>
      </c>
      <c r="C4476" s="21" t="s">
        <v>1034</v>
      </c>
      <c r="D4476" s="21" t="s">
        <v>997</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1022</v>
      </c>
      <c r="B4477" s="21" t="s">
        <v>1656</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1044</v>
      </c>
      <c r="B4478" s="21" t="s">
        <v>1653</v>
      </c>
      <c r="C4478" s="21" t="s">
        <v>996</v>
      </c>
      <c r="D4478" s="21" t="s">
        <v>997</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2250</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1011</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row>
    <row r="4482" spans="1:12">
      <c r="A4482" s="20" t="s">
        <v>2251</v>
      </c>
    </row>
    <row r="4483" spans="1:12">
      <c r="A4483" s="20" t="s">
        <v>2252</v>
      </c>
      <c r="B4483" s="21" t="s">
        <v>1067</v>
      </c>
      <c r="C4483" s="21" t="s">
        <v>1015</v>
      </c>
      <c r="D4483" s="21" t="s">
        <v>997</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1513</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1365</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1041</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1049</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1190</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2212</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1041</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1014</v>
      </c>
      <c r="B4491" s="21" t="s">
        <v>1142</v>
      </c>
      <c r="C4491" s="21" t="s">
        <v>1015</v>
      </c>
      <c r="D4491" s="21" t="s">
        <v>997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2253</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1008</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1476</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1041</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2254</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1109</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1061</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2255</v>
      </c>
      <c r="B4499" s="21" t="s">
        <v>1024</v>
      </c>
      <c r="C4499" s="21" t="s">
        <v>1034</v>
      </c>
      <c r="D4499" s="21" t="s">
        <v>997</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1041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1305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1146</v>
      </c>
      <c r="B4502" s="21" t="s">
        <v>1001</v>
      </c>
      <c r="C4502" s="21" t="s">
        <v>1239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1487</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1144</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1594</v>
      </c>
      <c r="B4505" s="21" t="s">
        <v>1010</v>
      </c>
      <c r="C4505" s="21" t="s">
        <v>1089</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1008</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2256</v>
      </c>
      <c r="B4507" s="21" t="s">
        <v>1024</v>
      </c>
      <c r="C4507" s="21" t="s">
        <v>1006</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2257</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1008</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1748</v>
      </c>
      <c r="B4510" s="21" t="s">
        <v>1112</v>
      </c>
      <c r="C4510" s="21" t="s">
        <v>1006</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1530</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1041</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2258</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1008</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1982</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1944</v>
      </c>
      <c r="B4516" s="21" t="s">
        <v>1182</v>
      </c>
      <c r="C4516" s="21" t="s">
        <v>1068</v>
      </c>
      <c r="D4516" s="21" t="s">
        <v>997</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2002</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1041</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1007</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1752</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1061</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2007</v>
      </c>
      <c r="B4522" s="21" t="s">
        <v>1094</v>
      </c>
      <c r="C4522" s="21" t="s">
        <v>1034</v>
      </c>
      <c r="D4522" s="21" t="s">
        <v>997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2259</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1191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1061</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1267</v>
      </c>
      <c r="B4526" s="21" t="s">
        <v>1182</v>
      </c>
      <c r="C4526" s="21" t="s">
        <v>1034</v>
      </c>
      <c r="D4526" s="21" t="s">
        <v>997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1007</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2260</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2261</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1061</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2262</v>
      </c>
      <c r="B4531" s="21" t="s">
        <v>1092</v>
      </c>
      <c r="C4531" s="21" t="s">
        <v>1034</v>
      </c>
      <c r="D4531" s="21" t="s">
        <v>997</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1275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row>
    <row r="4534" spans="1:12">
      <c r="A4534" s="20" t="s">
        <v>2263</v>
      </c>
    </row>
    <row r="4535" spans="1:12">
      <c r="A4535" s="20" t="s">
        <v>741</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1513</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1234</v>
      </c>
      <c r="B4537" s="21" t="s">
        <v>1142</v>
      </c>
      <c r="C4537" s="21" t="s">
        <v>1015</v>
      </c>
      <c r="D4537" s="21" t="s">
        <v>997</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423</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737</v>
      </c>
      <c r="B4539" s="21" t="s">
        <v>1067</v>
      </c>
      <c r="C4539" s="21" t="s">
        <v>1015</v>
      </c>
      <c r="D4539" s="21" t="s">
        <v>997</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1011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row>
    <row r="4542" spans="1:12">
      <c r="A4542" s="20" t="s">
        <v>2264</v>
      </c>
    </row>
    <row r="4543" spans="1:12">
      <c r="A4543" s="20" t="s">
        <v>2265</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1041</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1194</v>
      </c>
      <c r="B4545" s="21" t="s">
        <v>995</v>
      </c>
      <c r="C4545" s="21" t="s">
        <v>1133</v>
      </c>
      <c r="D4545" s="21" t="s">
        <v>997</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1306</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2266</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2267</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1061</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1988</v>
      </c>
      <c r="B4550" s="21" t="s">
        <v>1001</v>
      </c>
      <c r="C4550" s="21" t="s">
        <v>1034</v>
      </c>
      <c r="D4550" s="21" t="s">
        <v>997</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1069</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1774</v>
      </c>
      <c r="B4552" s="21" t="s">
        <v>1010</v>
      </c>
      <c r="C4552" s="21" t="s">
        <v>1006</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1041</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737</v>
      </c>
      <c r="B4554" s="21" t="s">
        <v>1142</v>
      </c>
      <c r="C4554" s="21" t="s">
        <v>1015</v>
      </c>
      <c r="D4554" s="21" t="s">
        <v>997</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2268</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1287</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1250</v>
      </c>
      <c r="B4557" s="21" t="s">
        <v>1001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1008</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1560</v>
      </c>
      <c r="B4559" s="21" t="s">
        <v>1010</v>
      </c>
      <c r="C4559" s="21" t="s">
        <v>1006</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1007</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1250</v>
      </c>
      <c r="B4561" s="21" t="s">
        <v>1045</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1008</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2269</v>
      </c>
      <c r="B4563" s="21" t="s">
        <v>1182</v>
      </c>
      <c r="C4563" s="21" t="s">
        <v>1006</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1226</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2270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2271</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1041</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1487</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1544</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1083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1540</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1060</v>
      </c>
      <c r="B4572" s="21" t="s">
        <v>1656</v>
      </c>
      <c r="C4572" s="21" t="s">
        <v>996</v>
      </c>
      <c r="D4572" s="21" t="s">
        <v>997</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2272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1041</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1007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1084</v>
      </c>
      <c r="B4576" s="21" t="s">
        <v>1053</v>
      </c>
      <c r="C4576" s="21" t="s">
        <v>1133</v>
      </c>
      <c r="D4576" s="21" t="s">
        <v>997</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158</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2273</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1007</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224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1008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1037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1042</v>
      </c>
      <c r="B4583" s="21" t="s">
        <v>1709</v>
      </c>
      <c r="C4583" s="21" t="s">
        <v>1034</v>
      </c>
      <c r="D4583" s="21" t="s">
        <v>997</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1011</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row>
    <row r="4586" spans="1:12">
      <c r="A4586" s="20" t="s">
        <v>2274</v>
      </c>
    </row>
    <row r="4587" spans="1:12">
      <c r="A4587" s="20" t="s">
        <v>1338</v>
      </c>
      <c r="B4587" s="21" t="s">
        <v>995</v>
      </c>
      <c r="C4587" s="21" t="s">
        <v>1015</v>
      </c>
      <c r="D4587" s="21" t="s">
        <v>997</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1339</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423</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1097</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2275</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1011</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row>
    <row r="4594" spans="1:12">
      <c r="A4594" s="20" t="s">
        <v>2276</v>
      </c>
    </row>
    <row r="4595" spans="1:12">
      <c r="A4595" s="20" t="s">
        <v>1059</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1141</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1194</v>
      </c>
      <c r="B4597" s="21" t="s">
        <v>1142</v>
      </c>
      <c r="C4597" s="21" t="s">
        <v>1133</v>
      </c>
      <c r="D4597" s="21" t="s">
        <v>997</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1154</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1018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1774</v>
      </c>
      <c r="B4600" s="21" t="s">
        <v>1001</v>
      </c>
      <c r="C4600" s="21" t="s">
        <v>1089</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1137</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2275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2187</v>
      </c>
      <c r="B4603" s="21" t="s">
        <v>1010</v>
      </c>
      <c r="C4603" s="21" t="s">
        <v>1006</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1082</v>
      </c>
      <c r="B4604" s="21" t="s">
        <v>1301</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1194</v>
      </c>
      <c r="B4605" s="21" t="s">
        <v>1114</v>
      </c>
      <c r="C4605" s="21" t="s">
        <v>1133</v>
      </c>
      <c r="D4605" s="21" t="s">
        <v>997</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1016</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1084</v>
      </c>
      <c r="B4607" s="21" t="s">
        <v>1301</v>
      </c>
      <c r="C4607" s="21" t="s">
        <v>1133</v>
      </c>
      <c r="D4607" s="21" t="s">
        <v>997</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1694</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1049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247</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2277</v>
      </c>
      <c r="B4611" s="21" t="s">
        <v>1112</v>
      </c>
      <c r="C4611" s="21" t="s">
        <v>1295</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12</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2278</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2279</v>
      </c>
      <c r="B4614" s="21" t="s">
        <v>1101</v>
      </c>
      <c r="C4614" s="21" t="s">
        <v>1133</v>
      </c>
      <c r="D4614" s="21" t="s">
        <v>997</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1117</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1487</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1029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1144</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1986</v>
      </c>
      <c r="B4619" s="21" t="s">
        <v>1005</v>
      </c>
      <c r="C4619" s="21" t="s">
        <v>1089</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1061</v>
      </c>
      <c r="B4621" s="21" t="s">
        <v>1001</v>
      </c>
      <c r="C4621" s="21" t="s">
        <v>996</v>
      </c>
      <c r="D4621" s="21" t="s">
        <v>997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401</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1246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2116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32</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1805</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1065</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2280</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1734</v>
      </c>
      <c r="B4629" s="21" t="s">
        <v>1039</v>
      </c>
      <c r="C4629" s="21" t="s">
        <v>1068</v>
      </c>
      <c r="D4629" s="21" t="s">
        <v>997</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2281</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1011</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row>
    <row r="4633" spans="1:12">
      <c r="A4633" s="20" t="s">
        <v>2282</v>
      </c>
    </row>
    <row r="4634" spans="1:12">
      <c r="A4634" s="20" t="s">
        <v>1099</v>
      </c>
      <c r="B4634" s="21" t="s">
        <v>995</v>
      </c>
      <c r="C4634" s="21" t="s">
        <v>996</v>
      </c>
      <c r="D4634" s="21" t="s">
        <v>997</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423</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1246</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1041</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1083</v>
      </c>
      <c r="B4638" s="21" t="s">
        <v>995</v>
      </c>
      <c r="C4638" s="21" t="s">
        <v>996</v>
      </c>
      <c r="D4638" s="21" t="s">
        <v>997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1189</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269</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1813</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1037</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247</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2277</v>
      </c>
      <c r="B4644" s="21" t="s">
        <v>1005</v>
      </c>
      <c r="C4644" s="21" t="s">
        <v>1034</v>
      </c>
      <c r="D4644" s="21" t="s">
        <v>997</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1007</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1752</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1175</v>
      </c>
      <c r="B4647" s="21" t="s">
        <v>1027</v>
      </c>
      <c r="C4647" s="21" t="s">
        <v>1015</v>
      </c>
      <c r="D4647" s="21" t="s">
        <v>997</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423</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2283</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1011</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row>
    <row r="4652" spans="1:12">
      <c r="A4652" s="20" t="s">
        <v>2284</v>
      </c>
    </row>
    <row r="4653" spans="1:12">
      <c r="A4653" s="20" t="s">
        <v>2252</v>
      </c>
      <c r="B4653" s="21" t="s">
        <v>1067</v>
      </c>
      <c r="C4653" s="21" t="s">
        <v>1015</v>
      </c>
      <c r="D4653" s="21" t="s">
        <v>997</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1513</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1099</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1227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1789</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1003</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1144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1786</v>
      </c>
      <c r="B4660" s="21" t="s">
        <v>1005</v>
      </c>
      <c r="C4660" s="21" t="s">
        <v>1089</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1530</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1080</v>
      </c>
      <c r="B4662" s="21" t="s">
        <v>1114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423</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2285</v>
      </c>
      <c r="B4664" s="21" t="s">
        <v>1112</v>
      </c>
      <c r="C4664" s="21" t="s">
        <v>1025</v>
      </c>
      <c r="D4664" s="21" t="s">
        <v>997</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2286</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1728</v>
      </c>
      <c r="B4666" s="21" t="s">
        <v>1088</v>
      </c>
      <c r="C4666" s="21" t="s">
        <v>1028</v>
      </c>
      <c r="D4666" s="21" t="s">
        <v>997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1003</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2287</v>
      </c>
      <c r="B4668" s="21" t="s">
        <v>1112</v>
      </c>
      <c r="C4668" s="21" t="s">
        <v>1006</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1008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1037</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1721</v>
      </c>
      <c r="B4671" s="21" t="s">
        <v>1182</v>
      </c>
      <c r="C4671" s="21" t="s">
        <v>1034</v>
      </c>
      <c r="D4671" s="21" t="s">
        <v>997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1011</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row>
    <row r="4674" spans="1:12">
      <c r="A4674" s="20" t="s">
        <v>2288</v>
      </c>
    </row>
    <row r="4675" spans="1:12">
      <c r="A4675" s="20" t="s">
        <v>741</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1513</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2289</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1011</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row>
    <row r="4680" spans="1:12">
      <c r="A4680" s="20" t="s">
        <v>2290</v>
      </c>
    </row>
    <row r="4681" spans="1:12">
      <c r="A4681" s="20" t="s">
        <v>1880</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1190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1041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1079</v>
      </c>
      <c r="B4684" s="21" t="s">
        <v>1010</v>
      </c>
      <c r="C4684" s="21" t="s">
        <v>1015</v>
      </c>
      <c r="D4684" s="21" t="s">
        <v>997</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1080</v>
      </c>
      <c r="B4685" s="21" t="s">
        <v>1045</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1077</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2038</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1581</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1037</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1721</v>
      </c>
      <c r="B4690" s="21" t="s">
        <v>1112</v>
      </c>
      <c r="C4690" s="21" t="s">
        <v>1034</v>
      </c>
      <c r="D4690" s="21" t="s">
        <v>997</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1041</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1175</v>
      </c>
      <c r="B4692" s="21" t="s">
        <v>1142</v>
      </c>
      <c r="C4692" s="21" t="s">
        <v>1015</v>
      </c>
      <c r="D4692" s="21" t="s">
        <v>997</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423</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1022</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1000</v>
      </c>
      <c r="B4695" s="21" t="s">
        <v>1027</v>
      </c>
      <c r="C4695" s="21" t="s">
        <v>996</v>
      </c>
      <c r="D4695" s="21" t="s">
        <v>997</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1723</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1037</v>
      </c>
      <c r="B4697" s="21" t="s">
        <v>1088</v>
      </c>
      <c r="C4697" s="21" t="s">
        <v>996</v>
      </c>
      <c r="D4697" s="21" t="s">
        <v>997</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350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1073</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2291</v>
      </c>
      <c r="B4700" s="21" t="s">
        <v>1024</v>
      </c>
      <c r="C4700" s="21" t="s">
        <v>1006</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12</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1083</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1084</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1154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1250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1325</v>
      </c>
      <c r="B4706" s="21" t="s">
        <v>1101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1008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1721</v>
      </c>
      <c r="B4708" s="21" t="s">
        <v>1005</v>
      </c>
      <c r="C4708" s="21" t="s">
        <v>1006</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1581</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1202</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1869</v>
      </c>
      <c r="B4711" s="21" t="s">
        <v>1010</v>
      </c>
      <c r="C4711" s="21" t="s">
        <v>1068</v>
      </c>
      <c r="D4711" s="21" t="s">
        <v>997</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12</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1007</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1752</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1000</v>
      </c>
      <c r="B4715" s="21" t="s">
        <v>1142</v>
      </c>
      <c r="C4715" s="21" t="s">
        <v>996</v>
      </c>
      <c r="D4715" s="21" t="s">
        <v>997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1723</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1037</v>
      </c>
      <c r="B4717" s="21" t="s">
        <v>1039</v>
      </c>
      <c r="C4717" s="21" t="s">
        <v>996</v>
      </c>
      <c r="D4717" s="21" t="s">
        <v>997</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2292</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1041</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1037</v>
      </c>
      <c r="B4720" s="21" t="s">
        <v>1039</v>
      </c>
      <c r="C4720" s="21" t="s">
        <v>996</v>
      </c>
      <c r="D4720" s="21" t="s">
        <v>997</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1694</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1109</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1018</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1719</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1988</v>
      </c>
      <c r="B4725" s="21" t="s">
        <v>1010</v>
      </c>
      <c r="C4725" s="21" t="s">
        <v>1089</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1007</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269</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1061</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1116</v>
      </c>
      <c r="B4729" s="21" t="s">
        <v>1039</v>
      </c>
      <c r="C4729" s="21" t="s">
        <v>1034</v>
      </c>
      <c r="D4729" s="21" t="s">
        <v>997</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1011</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row>
    <row r="4732" spans="1:12">
      <c r="A4732" s="20" t="s">
        <v>2293</v>
      </c>
    </row>
    <row r="4733" spans="1:12">
      <c r="A4733" s="20" t="s">
        <v>1140</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1070</v>
      </c>
      <c r="B4734" s="21" t="s">
        <v>1005</v>
      </c>
      <c r="C4734" s="21" t="s">
        <v>1006</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1041</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1194</v>
      </c>
      <c r="B4736" s="21" t="s">
        <v>995</v>
      </c>
      <c r="C4736" s="21" t="s">
        <v>1133</v>
      </c>
      <c r="D4736" s="21" t="s">
        <v>997</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2294</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1581</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1037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1721</v>
      </c>
      <c r="B4740" s="21" t="s">
        <v>1067</v>
      </c>
      <c r="C4740" s="21" t="s">
        <v>1034</v>
      </c>
      <c r="D4740" s="21" t="s">
        <v>997</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1080</v>
      </c>
      <c r="B4741" s="21" t="s">
        <v>1027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2295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999</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1041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1080</v>
      </c>
      <c r="B4745" s="21" t="s">
        <v>1027</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1062</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1109</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1065</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2296</v>
      </c>
      <c r="B4749" s="21" t="s">
        <v>1010</v>
      </c>
      <c r="C4749" s="21" t="s">
        <v>1068</v>
      </c>
      <c r="D4749" s="21" t="s">
        <v>997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1008</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2297</v>
      </c>
      <c r="B4751" s="21" t="s">
        <v>1024</v>
      </c>
      <c r="C4751" s="21" t="s">
        <v>1006</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1109</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1008</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1037</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2298</v>
      </c>
      <c r="B4755" s="21" t="s">
        <v>1112</v>
      </c>
      <c r="C4755" s="21" t="s">
        <v>1034</v>
      </c>
      <c r="D4755" s="21" t="s">
        <v>997</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2299</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1041</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1273</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1008</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1061</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1988</v>
      </c>
      <c r="B4761" s="21" t="s">
        <v>1024</v>
      </c>
      <c r="C4761" s="21" t="s">
        <v>1034</v>
      </c>
      <c r="D4761" s="21" t="s">
        <v>997</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1011</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row>
    <row r="4764" spans="1:12">
      <c r="A4764" s="20" t="s">
        <v>2300</v>
      </c>
    </row>
    <row r="4765" spans="1:12">
      <c r="A4765" s="20" t="s">
        <v>1234</v>
      </c>
      <c r="B4765" s="21" t="s">
        <v>995</v>
      </c>
      <c r="C4765" s="21" t="s">
        <v>1015</v>
      </c>
      <c r="D4765" s="21" t="s">
        <v>997</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423</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737</v>
      </c>
      <c r="B4767" s="21" t="s">
        <v>1067</v>
      </c>
      <c r="C4767" s="21" t="s">
        <v>1015</v>
      </c>
      <c r="D4767" s="21" t="s">
        <v>997</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1041</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1061</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1774</v>
      </c>
      <c r="B4770" s="21" t="s">
        <v>1067</v>
      </c>
      <c r="C4770" s="21" t="s">
        <v>1034</v>
      </c>
      <c r="D4770" s="21" t="s">
        <v>997</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1581</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1722</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1194</v>
      </c>
      <c r="B4773" s="21" t="s">
        <v>1027</v>
      </c>
      <c r="C4773" s="21" t="s">
        <v>1133</v>
      </c>
      <c r="D4773" s="21" t="s">
        <v>997</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2259</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1011</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row>
    <row r="4777" spans="1:12">
      <c r="A4777" s="20" t="s">
        <v>2301</v>
      </c>
    </row>
    <row r="4778" spans="1:12">
      <c r="A4778" s="20" t="s">
        <v>1338</v>
      </c>
      <c r="B4778" s="21" t="s">
        <v>1067</v>
      </c>
      <c r="C4778" s="21" t="s">
        <v>1015</v>
      </c>
      <c r="D4778" s="21" t="s">
        <v>997</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1080</v>
      </c>
      <c r="B4779" s="21" t="s">
        <v>1027</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1154</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1335</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1018</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408</v>
      </c>
      <c r="B4783" s="21" t="s">
        <v>1005</v>
      </c>
      <c r="C4783" s="21" t="s">
        <v>1089</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1581</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1037</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2302</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1975</v>
      </c>
      <c r="B4787" s="21" t="s">
        <v>1010</v>
      </c>
      <c r="C4787" s="21" t="s">
        <v>1034</v>
      </c>
      <c r="D4787" s="21" t="s">
        <v>997</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1041</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1175</v>
      </c>
      <c r="B4789" s="21" t="s">
        <v>995</v>
      </c>
      <c r="C4789" s="21" t="s">
        <v>1015</v>
      </c>
      <c r="D4789" s="21" t="s">
        <v>997</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423</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1079</v>
      </c>
      <c r="B4791" s="21" t="s">
        <v>1067</v>
      </c>
      <c r="C4791" s="21" t="s">
        <v>1015</v>
      </c>
      <c r="D4791" s="21" t="s">
        <v>997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1080</v>
      </c>
      <c r="B4792" s="21" t="s">
        <v>1142</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2303</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1061</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2304</v>
      </c>
      <c r="B4795" s="21" t="s">
        <v>1001</v>
      </c>
      <c r="C4795" s="21" t="s">
        <v>1034</v>
      </c>
      <c r="D4795" s="21" t="s">
        <v>997</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1041</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1007</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1194</v>
      </c>
      <c r="B4798" s="21" t="s">
        <v>1142</v>
      </c>
      <c r="C4798" s="21" t="s">
        <v>1133</v>
      </c>
      <c r="D4798" s="21" t="s">
        <v>997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2305</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2306</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1061</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1726</v>
      </c>
      <c r="B4802" s="21" t="s">
        <v>1001</v>
      </c>
      <c r="C4802" s="21" t="s">
        <v>1034</v>
      </c>
      <c r="D4802" s="21" t="s">
        <v>997</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1008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1037</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1721</v>
      </c>
      <c r="B4805" s="21" t="s">
        <v>1010</v>
      </c>
      <c r="C4805" s="21" t="s">
        <v>1034</v>
      </c>
      <c r="D4805" s="21" t="s">
        <v>997</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1581</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1079</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2007</v>
      </c>
      <c r="B4808" s="21" t="s">
        <v>1005</v>
      </c>
      <c r="C4808" s="21" t="s">
        <v>1068</v>
      </c>
      <c r="D4808" s="21" t="s">
        <v>997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1011</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row>
    <row r="4811" spans="1:12">
      <c r="A4811" s="20" t="s">
        <v>2307</v>
      </c>
    </row>
    <row r="4812" spans="1:12">
      <c r="A4812" s="20" t="s">
        <v>2252</v>
      </c>
      <c r="B4812" s="21" t="s">
        <v>1067</v>
      </c>
      <c r="C4812" s="21" t="s">
        <v>1015</v>
      </c>
      <c r="D4812" s="21" t="s">
        <v>997</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1513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1059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1544</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1000</v>
      </c>
      <c r="B4816" s="21" t="s">
        <v>1142</v>
      </c>
      <c r="C4816" s="21" t="s">
        <v>996</v>
      </c>
      <c r="D4816" s="21" t="s">
        <v>997</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2308</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1029</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1037</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1560</v>
      </c>
      <c r="B4820" s="21" t="s">
        <v>1005</v>
      </c>
      <c r="C4820" s="21" t="s">
        <v>1034</v>
      </c>
      <c r="D4820" s="21" t="s">
        <v>997</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2309</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1008</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1000</v>
      </c>
      <c r="B4823" s="21" t="s">
        <v>1010</v>
      </c>
      <c r="C4823" s="21" t="s">
        <v>996</v>
      </c>
      <c r="D4823" s="21" t="s">
        <v>997</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1041</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1109</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1061</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1187</v>
      </c>
      <c r="B4827" s="21" t="s">
        <v>1005</v>
      </c>
      <c r="C4827" s="21" t="s">
        <v>1034</v>
      </c>
      <c r="D4827" s="21" t="s">
        <v>997</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2310</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1041</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1008</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1037</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1917</v>
      </c>
      <c r="B4832" s="21" t="s">
        <v>1010</v>
      </c>
      <c r="C4832" s="21" t="s">
        <v>1034</v>
      </c>
      <c r="D4832" s="21" t="s">
        <v>997</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1082</v>
      </c>
      <c r="B4833" s="21" t="s">
        <v>1301</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1194</v>
      </c>
      <c r="B4834" s="21" t="s">
        <v>1045</v>
      </c>
      <c r="C4834" s="21" t="s">
        <v>1133</v>
      </c>
      <c r="D4834" s="21" t="s">
        <v>997</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1154</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1462</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1041</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1090</v>
      </c>
      <c r="B4838" s="21" t="s">
        <v>1043</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2311</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2312</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1278</v>
      </c>
      <c r="B4841" s="21" t="s">
        <v>1094</v>
      </c>
      <c r="C4841" s="21" t="s">
        <v>1133</v>
      </c>
      <c r="D4841" s="21" t="s">
        <v>997</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1061</v>
      </c>
      <c r="B4842" s="21" t="s">
        <v>1043</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1054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1003</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2313</v>
      </c>
      <c r="B4845" s="21" t="s">
        <v>1092</v>
      </c>
      <c r="C4845" s="21" t="s">
        <v>1006</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1029</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1069</v>
      </c>
      <c r="B4847" s="21" t="s">
        <v>1053</v>
      </c>
      <c r="C4847" s="21" t="s">
        <v>1133</v>
      </c>
      <c r="D4847" s="21" t="s">
        <v>997</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158</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2314</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1305</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1146</v>
      </c>
      <c r="B4851" s="21" t="s">
        <v>1053</v>
      </c>
      <c r="C4851" s="21" t="s">
        <v>1239</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1275</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row>
    <row r="4854" spans="1:12">
      <c r="A4854" s="20" t="s">
        <v>2315</v>
      </c>
    </row>
    <row r="4855" spans="1:12">
      <c r="A4855" s="20" t="s">
        <v>741</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1513</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1880</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1190</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1041</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1044</v>
      </c>
      <c r="B4860" s="21" t="s">
        <v>1027</v>
      </c>
      <c r="C4860" s="21" t="s">
        <v>996</v>
      </c>
      <c r="D4860" s="21" t="s">
        <v>997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1339</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1170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1097</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1926</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1008</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1942</v>
      </c>
      <c r="B4866" s="21" t="s">
        <v>1039</v>
      </c>
      <c r="C4866" s="21" t="s">
        <v>1089</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1737</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1041</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1007</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1083</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1084</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1154</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1524</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1065</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2316</v>
      </c>
      <c r="B4875" s="21" t="s">
        <v>1001</v>
      </c>
      <c r="C4875" s="21" t="s">
        <v>1068</v>
      </c>
      <c r="D4875" s="21" t="s">
        <v>997</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1008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2317</v>
      </c>
      <c r="B4877" s="21" t="s">
        <v>1010</v>
      </c>
      <c r="C4877" s="21" t="s">
        <v>1006</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2318</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1116</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1079</v>
      </c>
      <c r="B4880" s="21" t="s">
        <v>1039</v>
      </c>
      <c r="C4880" s="21" t="s">
        <v>1015</v>
      </c>
      <c r="D4880" s="21" t="s">
        <v>997</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1080</v>
      </c>
      <c r="B4881" s="21" t="s">
        <v>1045</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1077</v>
      </c>
      <c r="B4882" s="21" t="s">
        <v>1301</v>
      </c>
      <c r="C4882" s="21" t="s">
        <v>996</v>
      </c>
      <c r="D4882" s="21" t="s">
        <v>997</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2319</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1029</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1061</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1530</v>
      </c>
      <c r="B4886" s="21" t="s">
        <v>1112</v>
      </c>
      <c r="C4886" s="21" t="s">
        <v>1034</v>
      </c>
      <c r="D4886" s="21" t="s">
        <v>997</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1041</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1230</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1041</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1044</v>
      </c>
      <c r="B4890" s="21" t="s">
        <v>1114</v>
      </c>
      <c r="C4890" s="21" t="s">
        <v>996</v>
      </c>
      <c r="D4890" s="21" t="s">
        <v>997</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2320</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1287</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1250</v>
      </c>
      <c r="B4893" s="21" t="s">
        <v>1088</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1003</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2313</v>
      </c>
      <c r="B4895" s="21" t="s">
        <v>1112</v>
      </c>
      <c r="C4895" s="21" t="s">
        <v>1006</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1041</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1007</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1032</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1924</v>
      </c>
      <c r="B4899" s="21" t="s">
        <v>1045</v>
      </c>
      <c r="C4899" s="21" t="s">
        <v>1034</v>
      </c>
      <c r="D4899" s="21" t="s">
        <v>997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1154</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2321</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1008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1037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1560</v>
      </c>
      <c r="B4904" s="21" t="s">
        <v>1112</v>
      </c>
      <c r="C4904" s="21" t="s">
        <v>1034</v>
      </c>
      <c r="D4904" s="21" t="s">
        <v>997</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1069</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2322</v>
      </c>
      <c r="B4906" s="21" t="s">
        <v>1112</v>
      </c>
      <c r="C4906" s="21" t="s">
        <v>1095</v>
      </c>
      <c r="D4906" s="21" t="s">
        <v>997</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1041</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1069</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2323</v>
      </c>
      <c r="B4909" s="21" t="s">
        <v>1182</v>
      </c>
      <c r="C4909" s="21" t="s">
        <v>1095</v>
      </c>
      <c r="D4909" s="21" t="s">
        <v>997</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1041</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1069</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2049</v>
      </c>
      <c r="B4912" s="21" t="s">
        <v>1182</v>
      </c>
      <c r="C4912" s="21" t="s">
        <v>1095</v>
      </c>
      <c r="D4912" s="21" t="s">
        <v>997</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1011</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row>
    <row r="4915" spans="1:12">
      <c r="A4915" s="20" t="s">
        <v>2324</v>
      </c>
    </row>
    <row r="4916" spans="1:12">
      <c r="A4916" s="20" t="s">
        <v>994</v>
      </c>
      <c r="B4916" s="21" t="s">
        <v>995</v>
      </c>
      <c r="C4916" s="21" t="s">
        <v>996</v>
      </c>
      <c r="D4916" s="21" t="s">
        <v>997</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1586</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2325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256</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1061</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2326</v>
      </c>
      <c r="B4921" s="21" t="s">
        <v>1001</v>
      </c>
      <c r="C4921" s="21" t="s">
        <v>1034</v>
      </c>
      <c r="D4921" s="21" t="s">
        <v>997</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1029</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1060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2327</v>
      </c>
      <c r="B4924" s="21" t="s">
        <v>1005</v>
      </c>
      <c r="C4924" s="21" t="s">
        <v>1095</v>
      </c>
      <c r="D4924" s="21" t="s">
        <v>997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1462</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1041</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1002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1008</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1371</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1014</v>
      </c>
      <c r="B4930" s="21" t="s">
        <v>1027</v>
      </c>
      <c r="C4930" s="21" t="s">
        <v>1015</v>
      </c>
      <c r="D4930" s="21" t="s">
        <v>997</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1227</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2328</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1109</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1060</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2329</v>
      </c>
      <c r="B4935" s="21" t="s">
        <v>1010</v>
      </c>
      <c r="C4935" s="21" t="s">
        <v>1034</v>
      </c>
      <c r="D4935" s="21" t="s">
        <v>997</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2330</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1011</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row>
    <row r="4939" spans="1:12">
      <c r="A4939" s="20" t="s">
        <v>2331</v>
      </c>
    </row>
    <row r="4940" spans="1:12">
      <c r="A4940" s="20" t="s">
        <v>994</v>
      </c>
      <c r="B4940" s="21" t="s">
        <v>995</v>
      </c>
      <c r="C4940" s="21" t="s">
        <v>996</v>
      </c>
      <c r="D4940" s="21" t="s">
        <v>997</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1586</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2332</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1011</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row>
    <row r="4945" spans="1:12">
      <c r="A4945" s="20" t="s">
        <v>2333</v>
      </c>
    </row>
    <row r="4946" spans="1:12">
      <c r="A4946" s="20" t="s">
        <v>1440</v>
      </c>
      <c r="B4946" s="21" t="s">
        <v>995</v>
      </c>
      <c r="C4946" s="21" t="s">
        <v>996</v>
      </c>
      <c r="D4946" s="21" t="s">
        <v>997</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2334</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1022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1037</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2335</v>
      </c>
      <c r="B4950" s="21" t="s">
        <v>1142</v>
      </c>
      <c r="C4950" s="21" t="s">
        <v>1034</v>
      </c>
      <c r="D4950" s="21" t="s">
        <v>997</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1007</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1037</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2336</v>
      </c>
      <c r="B4953" s="21" t="s">
        <v>1010</v>
      </c>
      <c r="C4953" s="21" t="s">
        <v>1034</v>
      </c>
      <c r="D4953" s="21" t="s">
        <v>997</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1562</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1070</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1008</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1061</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2275</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1026</v>
      </c>
      <c r="B4959" s="21" t="s">
        <v>1005</v>
      </c>
      <c r="C4959" s="21" t="s">
        <v>1034</v>
      </c>
      <c r="D4959" s="21" t="s">
        <v>997</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1011</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row>
    <row r="4962" spans="1:12">
      <c r="A4962" s="20" t="s">
        <v>2337</v>
      </c>
    </row>
    <row r="4963" spans="1:12">
      <c r="A4963" s="20" t="s">
        <v>1099</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1227</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1789</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1246</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1003</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1144</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2338</v>
      </c>
      <c r="B4969" s="21" t="s">
        <v>1067</v>
      </c>
      <c r="C4969" s="21" t="s">
        <v>1089</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1008</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1305</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1146</v>
      </c>
      <c r="B4972" s="21" t="s">
        <v>1005</v>
      </c>
      <c r="C4972" s="21" t="s">
        <v>1239</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1080</v>
      </c>
      <c r="B4973" s="21" t="s">
        <v>1114</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1154</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1898</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1335</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2339</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1011</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row>
    <row r="4980" spans="1:12">
      <c r="A4980" s="20" t="s">
        <v>2340</v>
      </c>
    </row>
    <row r="4981" spans="1:12">
      <c r="A4981" s="20" t="s">
        <v>1234</v>
      </c>
      <c r="B4981" s="21" t="s">
        <v>1142</v>
      </c>
      <c r="C4981" s="21" t="s">
        <v>1015</v>
      </c>
      <c r="D4981" s="21" t="s">
        <v>997</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423</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1018</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2095</v>
      </c>
      <c r="B4984" s="21" t="s">
        <v>995</v>
      </c>
      <c r="C4984" s="21" t="s">
        <v>1089</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1138</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1041</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1249</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1175</v>
      </c>
      <c r="B4988" s="21" t="s">
        <v>1027</v>
      </c>
      <c r="C4988" s="21" t="s">
        <v>1015</v>
      </c>
      <c r="D4988" s="21" t="s">
        <v>997</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423</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1487</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1018</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1988</v>
      </c>
      <c r="B4992" s="21" t="s">
        <v>1005</v>
      </c>
      <c r="C4992" s="21" t="s">
        <v>1089</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1173</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1041</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1007</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1008</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1565</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1323</v>
      </c>
      <c r="B4998" s="21" t="s">
        <v>1027</v>
      </c>
      <c r="C4998" s="21" t="s">
        <v>1089</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1069</v>
      </c>
      <c r="B4999" s="21" t="s">
        <v>1039</v>
      </c>
      <c r="C4999" s="21" t="s">
        <v>1133</v>
      </c>
      <c r="D4999" s="21" t="s">
        <v>997</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1562</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1898</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2341</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1041</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1287</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1368</v>
      </c>
      <c r="B5005" s="21" t="s">
        <v>1010</v>
      </c>
      <c r="C5005" s="21" t="s">
        <v>1133</v>
      </c>
      <c r="D5005" s="21" t="s">
        <v>997</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1008</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1767</v>
      </c>
      <c r="B5007" s="21" t="s">
        <v>1024</v>
      </c>
      <c r="C5007" s="21" t="s">
        <v>1015</v>
      </c>
      <c r="D5007" s="21" t="s">
        <v>997</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2342</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423</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2343</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1049</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110</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1061</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1779</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1323</v>
      </c>
      <c r="B5015" s="21" t="s">
        <v>1067</v>
      </c>
      <c r="C5015" s="21" t="s">
        <v>1034</v>
      </c>
      <c r="D5015" s="21" t="s">
        <v>997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1090</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1044</v>
      </c>
      <c r="B5017" s="21" t="s">
        <v>1027</v>
      </c>
      <c r="C5017" s="21" t="s">
        <v>996</v>
      </c>
      <c r="D5017" s="21" t="s">
        <v>997</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2344</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1061</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1779</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2345</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2252</v>
      </c>
      <c r="B5022" s="21" t="s">
        <v>1067</v>
      </c>
      <c r="C5022" s="21" t="s">
        <v>1095</v>
      </c>
      <c r="D5022" s="21" t="s">
        <v>997</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1513</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1877</v>
      </c>
      <c r="B5024" s="21" t="s">
        <v>1027</v>
      </c>
      <c r="C5024" s="21" t="s">
        <v>1133</v>
      </c>
      <c r="D5024" s="21" t="s">
        <v>997</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1062</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1041</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2346</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1000</v>
      </c>
      <c r="B5028" s="21" t="s">
        <v>1010</v>
      </c>
      <c r="C5028" s="21" t="s">
        <v>996</v>
      </c>
      <c r="D5028" s="21" t="s">
        <v>997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1041</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1060</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2347</v>
      </c>
      <c r="B5031" s="21" t="s">
        <v>1005</v>
      </c>
      <c r="C5031" s="21" t="s">
        <v>1034</v>
      </c>
      <c r="D5031" s="21" t="s">
        <v>997</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1007</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1032</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2348</v>
      </c>
      <c r="B5034" s="21" t="s">
        <v>1010</v>
      </c>
      <c r="C5034" s="21" t="s">
        <v>1034</v>
      </c>
      <c r="D5034" s="21" t="s">
        <v>997</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1008</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2349</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1014</v>
      </c>
      <c r="B5037" s="21" t="s">
        <v>1301</v>
      </c>
      <c r="C5037" s="21" t="s">
        <v>1015</v>
      </c>
      <c r="D5037" s="21" t="s">
        <v>997</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1029</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1190</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1109</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1032</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1207</v>
      </c>
      <c r="B5042" s="21" t="s">
        <v>1112</v>
      </c>
      <c r="C5042" s="21" t="s">
        <v>1034</v>
      </c>
      <c r="D5042" s="21" t="s">
        <v>997</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1275</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row>
    <row r="5045" spans="1:12">
      <c r="A5045" s="20" t="s">
        <v>2350</v>
      </c>
    </row>
    <row r="5046" spans="1:12">
      <c r="A5046" s="20" t="s">
        <v>741</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1513</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1880</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1190</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1041</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1049</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1144</v>
      </c>
      <c r="B5052" s="21" t="s">
        <v>1005</v>
      </c>
      <c r="C5052" s="21" t="s">
        <v>1133</v>
      </c>
      <c r="D5052" s="21" t="s">
        <v>997</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1008</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1065</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2351</v>
      </c>
      <c r="B5055" s="21" t="s">
        <v>1010</v>
      </c>
      <c r="C5055" s="21" t="s">
        <v>1068</v>
      </c>
      <c r="D5055" s="21" t="s">
        <v>997</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1008</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2055</v>
      </c>
      <c r="B5057" s="21" t="s">
        <v>1024</v>
      </c>
      <c r="C5057" s="21" t="s">
        <v>1006</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1787</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1029</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1312</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1534</v>
      </c>
      <c r="B5061" s="21" t="s">
        <v>1024</v>
      </c>
      <c r="C5061" s="21" t="s">
        <v>1006</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1041</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1007</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1079</v>
      </c>
      <c r="B5064" s="21" t="s">
        <v>1027</v>
      </c>
      <c r="C5064" s="21" t="s">
        <v>1015</v>
      </c>
      <c r="D5064" s="21" t="s">
        <v>997</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1339</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423</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1082</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1144</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2352</v>
      </c>
      <c r="B5069" s="21" t="s">
        <v>1005</v>
      </c>
      <c r="C5069" s="21" t="s">
        <v>1089</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1041</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1044</v>
      </c>
      <c r="B5071" s="21" t="s">
        <v>1027</v>
      </c>
      <c r="C5071" s="21" t="s">
        <v>996</v>
      </c>
      <c r="D5071" s="21" t="s">
        <v>997</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1046</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183</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1320</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2353</v>
      </c>
      <c r="B5075" s="21" t="s">
        <v>1088</v>
      </c>
      <c r="C5075" s="21" t="s">
        <v>1295</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1049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1047</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1041</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1007</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1320</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2277</v>
      </c>
      <c r="B5081" s="21" t="s">
        <v>1112</v>
      </c>
      <c r="C5081" s="21" t="s">
        <v>1295</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1049</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1694</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1069</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2354</v>
      </c>
      <c r="B5085" s="21" t="s">
        <v>1182</v>
      </c>
      <c r="C5085" s="21" t="s">
        <v>1006</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1011</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row>
    <row r="5088" spans="1:12">
      <c r="A5088" s="20" t="s">
        <v>2355</v>
      </c>
    </row>
    <row r="5089" spans="1:12">
      <c r="A5089" s="20" t="s">
        <v>1234</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423</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1029</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1079</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2356</v>
      </c>
      <c r="B5093" s="21" t="s">
        <v>1067</v>
      </c>
      <c r="C5093" s="21" t="s">
        <v>1068</v>
      </c>
      <c r="D5093" s="21" t="s">
        <v>997</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1003</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2347</v>
      </c>
      <c r="B5095" s="21" t="s">
        <v>1067</v>
      </c>
      <c r="C5095" s="21" t="s">
        <v>1006</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1022</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1037</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2357</v>
      </c>
      <c r="B5098" s="21" t="s">
        <v>1142</v>
      </c>
      <c r="C5098" s="21" t="s">
        <v>1034</v>
      </c>
      <c r="D5098" s="21" t="s">
        <v>997</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2358</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1044</v>
      </c>
      <c r="B5100" s="21" t="s">
        <v>1001</v>
      </c>
      <c r="C5100" s="21" t="s">
        <v>996</v>
      </c>
      <c r="D5100" s="21" t="s">
        <v>997</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1562</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2359</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1082</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1083</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1269</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1044</v>
      </c>
      <c r="B5106" s="21" t="s">
        <v>1088</v>
      </c>
      <c r="C5106" s="21" t="s">
        <v>996</v>
      </c>
      <c r="D5106" s="21" t="s">
        <v>997</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2360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1011</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row>
    <row r="5110" spans="1:12">
      <c r="A5110" s="20" t="s">
        <v>2361</v>
      </c>
    </row>
    <row r="5111" spans="1:12">
      <c r="A5111" s="20" t="s">
        <v>1013</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1041</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1000</v>
      </c>
      <c r="B5113" s="21" t="s">
        <v>995</v>
      </c>
      <c r="C5113" s="21" t="s">
        <v>996</v>
      </c>
      <c r="D5113" s="21" t="s">
        <v>997</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2334</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1041</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1941</v>
      </c>
      <c r="B5116" s="21" t="s">
        <v>1101</v>
      </c>
      <c r="C5116" s="21" t="s">
        <v>1095</v>
      </c>
      <c r="D5116" s="21" t="s">
        <v>997</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1041</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1141</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1037</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1042</v>
      </c>
      <c r="B5120" s="21" t="s">
        <v>1142</v>
      </c>
      <c r="C5120" s="21" t="s">
        <v>1034</v>
      </c>
      <c r="D5120" s="21" t="s">
        <v>997</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1107</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1190</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1041</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1079</v>
      </c>
      <c r="B5124" s="21" t="s">
        <v>1067</v>
      </c>
      <c r="C5124" s="21" t="s">
        <v>1015</v>
      </c>
      <c r="D5124" s="21" t="s">
        <v>997</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1080</v>
      </c>
      <c r="B5125" s="21" t="s">
        <v>1027</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423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1250</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609</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1041</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1404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2362</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2066</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1065</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2363</v>
      </c>
      <c r="B5134" s="21" t="s">
        <v>1039</v>
      </c>
      <c r="C5134" s="21" t="s">
        <v>1068</v>
      </c>
      <c r="D5134" s="21" t="s">
        <v>997</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1011</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row>
    <row r="5137" spans="1:12">
      <c r="A5137" s="20" t="s">
        <v>2364</v>
      </c>
    </row>
    <row r="5138" spans="1:12">
      <c r="A5138" s="20" t="s">
        <v>1013</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1083</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1084</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1154</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2365</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1041</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999</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1041</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1008</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1037</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2225</v>
      </c>
      <c r="B5148" s="21" t="s">
        <v>1101</v>
      </c>
      <c r="C5148" s="21" t="s">
        <v>1034</v>
      </c>
      <c r="D5148" s="21" t="s">
        <v>997</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1003</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1881</v>
      </c>
      <c r="B5150" s="21" t="s">
        <v>1005</v>
      </c>
      <c r="C5150" s="21" t="s">
        <v>1006</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1041</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1007</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1083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1540</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1082</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1083</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1084</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1069</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1937</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1008</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1037</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1883</v>
      </c>
      <c r="B5162" s="21" t="s">
        <v>1010</v>
      </c>
      <c r="C5162" s="21" t="s">
        <v>1034</v>
      </c>
      <c r="D5162" s="21" t="s">
        <v>997</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1041</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1080</v>
      </c>
      <c r="B5164" s="21" t="s">
        <v>1045</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2366</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1041</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1141</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1061</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1659</v>
      </c>
      <c r="B5169" s="21" t="s">
        <v>1094</v>
      </c>
      <c r="C5169" s="21" t="s">
        <v>1034</v>
      </c>
      <c r="D5169" s="21" t="s">
        <v>997</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2367</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2368</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1190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1041</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1007</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1141</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1061</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2168</v>
      </c>
      <c r="B5177" s="21" t="s">
        <v>1243</v>
      </c>
      <c r="C5177" s="21" t="s">
        <v>1028</v>
      </c>
      <c r="D5177" s="21" t="s">
        <v>997</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1008</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1091</v>
      </c>
      <c r="B5179" s="21" t="s">
        <v>1964</v>
      </c>
      <c r="C5179" s="21" t="s">
        <v>1025</v>
      </c>
      <c r="D5179" s="21" t="s">
        <v>997</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2369</v>
      </c>
      <c r="B5180" s="21" t="s">
        <v>1709</v>
      </c>
      <c r="C5180" s="21" t="s">
        <v>1028</v>
      </c>
      <c r="D5180" s="21" t="s">
        <v>997</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2098</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1077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2038</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1190</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1041</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2273</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1733</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1109</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1032</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2370</v>
      </c>
      <c r="B5190" s="21" t="s">
        <v>1092</v>
      </c>
      <c r="C5190" s="21" t="s">
        <v>1034</v>
      </c>
      <c r="D5190" s="21" t="s">
        <v>997</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1011</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row>
    <row r="5193" spans="1:12">
      <c r="A5193" s="20" t="s">
        <v>2371</v>
      </c>
    </row>
    <row r="5194" spans="1:12">
      <c r="A5194" s="20" t="s">
        <v>1013</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1079</v>
      </c>
      <c r="B5195" s="21" t="s">
        <v>995</v>
      </c>
      <c r="C5195" s="21" t="s">
        <v>1015</v>
      </c>
      <c r="D5195" s="21" t="s">
        <v>997</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1702</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1057</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1141</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1194</v>
      </c>
      <c r="B5199" s="21" t="s">
        <v>995</v>
      </c>
      <c r="C5199" s="21" t="s">
        <v>1133</v>
      </c>
      <c r="D5199" s="21" t="s">
        <v>997</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2372</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1029</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1261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2373</v>
      </c>
      <c r="B5203" s="21" t="s">
        <v>1067</v>
      </c>
      <c r="C5203" s="21" t="s">
        <v>1239</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1041</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2374</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1230</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1194</v>
      </c>
      <c r="B5207" s="21" t="s">
        <v>1142</v>
      </c>
      <c r="C5207" s="21" t="s">
        <v>1133</v>
      </c>
      <c r="D5207" s="21" t="s">
        <v>997</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1713</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546</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1018</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2375</v>
      </c>
      <c r="B5211" s="21" t="s">
        <v>1039</v>
      </c>
      <c r="C5211" s="21" t="s">
        <v>1028</v>
      </c>
      <c r="D5211" s="21" t="s">
        <v>997</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1008</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1116</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737</v>
      </c>
      <c r="B5214" s="21" t="s">
        <v>1024</v>
      </c>
      <c r="C5214" s="21" t="s">
        <v>1015</v>
      </c>
      <c r="D5214" s="21" t="s">
        <v>997</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1011</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row>
    <row r="5217" spans="1:12">
      <c r="A5217" s="20" t="s">
        <v>2376</v>
      </c>
    </row>
    <row r="5218" spans="1:12">
      <c r="A5218" s="20" t="s">
        <v>1099</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1540</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2377</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1082</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1018</v>
      </c>
      <c r="B5222" s="21" t="s">
        <v>1142</v>
      </c>
      <c r="C5222" s="21" t="s">
        <v>1133</v>
      </c>
      <c r="D5222" s="21" t="s">
        <v>997</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1008</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1065</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1698</v>
      </c>
      <c r="B5225" s="21" t="s">
        <v>1010</v>
      </c>
      <c r="C5225" s="21" t="s">
        <v>1068</v>
      </c>
      <c r="D5225" s="21" t="s">
        <v>997</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2378</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1011</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row>
    <row r="5229" spans="1:12">
      <c r="A5229" s="20" t="s">
        <v>2379</v>
      </c>
    </row>
    <row r="5230" spans="1:12">
      <c r="A5230" s="20" t="s">
        <v>2252</v>
      </c>
      <c r="B5230" s="21" t="s">
        <v>995</v>
      </c>
      <c r="C5230" s="21" t="s">
        <v>1015</v>
      </c>
      <c r="D5230" s="21" t="s">
        <v>997</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1513</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1140</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1992</v>
      </c>
      <c r="B5233" s="21" t="s">
        <v>1067</v>
      </c>
      <c r="C5233" s="21" t="s">
        <v>1006</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1008</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1128</v>
      </c>
      <c r="B5235" s="21" t="s">
        <v>1005</v>
      </c>
      <c r="C5235" s="21" t="s">
        <v>1006</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1008</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1037</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2316</v>
      </c>
      <c r="B5238" s="21" t="s">
        <v>1010</v>
      </c>
      <c r="C5238" s="21" t="s">
        <v>1034</v>
      </c>
      <c r="D5238" s="21" t="s">
        <v>997</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1008</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1061</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2380</v>
      </c>
      <c r="B5241" s="21" t="s">
        <v>1024</v>
      </c>
      <c r="C5241" s="21" t="s">
        <v>1034</v>
      </c>
      <c r="D5241" s="21" t="s">
        <v>997</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1029</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1312</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1534</v>
      </c>
      <c r="B5244" s="21" t="s">
        <v>1024</v>
      </c>
      <c r="C5244" s="21" t="s">
        <v>1006</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1041</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423</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1873</v>
      </c>
      <c r="B5247" s="21" t="s">
        <v>1101</v>
      </c>
      <c r="C5247" s="21" t="s">
        <v>1015</v>
      </c>
      <c r="D5247" s="21" t="s">
        <v>997</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1022</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1175</v>
      </c>
      <c r="B5249" s="21" t="s">
        <v>1027</v>
      </c>
      <c r="C5249" s="21" t="s">
        <v>1015</v>
      </c>
      <c r="D5249" s="21" t="s">
        <v>997</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423</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1061</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1054</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1138</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1903</v>
      </c>
      <c r="B5254" s="21" t="s">
        <v>1301</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1000</v>
      </c>
      <c r="B5255" s="21" t="s">
        <v>1114</v>
      </c>
      <c r="C5255" s="21" t="s">
        <v>996</v>
      </c>
      <c r="D5255" s="21" t="s">
        <v>997</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2381</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2032</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1002</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1275</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row>
    <row r="5261" spans="1:12">
      <c r="A5261" s="20" t="s">
        <v>2382</v>
      </c>
    </row>
    <row r="5262" spans="1:12">
      <c r="A5262" s="20" t="s">
        <v>741</v>
      </c>
      <c r="B5262" s="21" t="s">
        <v>995</v>
      </c>
      <c r="C5262" s="21" t="s">
        <v>1095</v>
      </c>
      <c r="D5262" s="21" t="s">
        <v>997</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1513</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2241</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1851</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1109</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1061</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1542</v>
      </c>
      <c r="B5268" s="21" t="s">
        <v>1024</v>
      </c>
      <c r="C5268" s="21" t="s">
        <v>1034</v>
      </c>
      <c r="D5268" s="21" t="s">
        <v>997</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1008</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1060</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1004</v>
      </c>
      <c r="B5271" s="21" t="s">
        <v>1112</v>
      </c>
      <c r="C5271" s="21" t="s">
        <v>1034</v>
      </c>
      <c r="D5271" s="21" t="s">
        <v>997</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423</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1032</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1146</v>
      </c>
      <c r="B5274" s="21" t="s">
        <v>1067</v>
      </c>
      <c r="C5274" s="21" t="s">
        <v>1034</v>
      </c>
      <c r="D5274" s="21" t="s">
        <v>997</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1032</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1054</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1852</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1011</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row>
    <row r="5280" spans="1:12">
      <c r="A5280" s="20" t="s">
        <v>2383</v>
      </c>
    </row>
    <row r="5281" spans="1:12">
      <c r="A5281" s="20" t="s">
        <v>1614</v>
      </c>
      <c r="B5281" s="21" t="s">
        <v>995</v>
      </c>
      <c r="C5281" s="21" t="s">
        <v>1015</v>
      </c>
      <c r="D5281" s="21" t="s">
        <v>997</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1060</v>
      </c>
      <c r="B5282" s="21" t="s">
        <v>1101</v>
      </c>
      <c r="C5282" s="21" t="s">
        <v>996</v>
      </c>
      <c r="D5282" s="21" t="s">
        <v>997</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1592</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1335</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1041</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1168</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2116</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1032</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1201</v>
      </c>
      <c r="B5289" s="21" t="s">
        <v>1067</v>
      </c>
      <c r="C5289" s="21" t="s">
        <v>1034</v>
      </c>
      <c r="D5289" s="21" t="s">
        <v>997</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1008</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1060</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1113</v>
      </c>
      <c r="B5292" s="21" t="s">
        <v>1067</v>
      </c>
      <c r="C5292" s="21" t="s">
        <v>1034</v>
      </c>
      <c r="D5292" s="21" t="s">
        <v>997</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1041</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1249</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1032</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1201</v>
      </c>
      <c r="B5296" s="21" t="s">
        <v>1142</v>
      </c>
      <c r="C5296" s="21" t="s">
        <v>1034</v>
      </c>
      <c r="D5296" s="21" t="s">
        <v>997</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2384</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1032</v>
      </c>
      <c r="B5298" s="21" t="s">
        <v>1001</v>
      </c>
      <c r="C5298" s="21" t="s">
        <v>996</v>
      </c>
      <c r="D5298" s="21" t="s">
        <v>997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2385</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1117</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2248</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1054</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1852</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1011</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row>
    <row r="5306" spans="1:12">
      <c r="A5306" s="20" t="s">
        <v>2386</v>
      </c>
    </row>
    <row r="5307" spans="1:12">
      <c r="A5307" s="20" t="s">
        <v>1186</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1061</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1542</v>
      </c>
      <c r="B5309" s="21" t="s">
        <v>1067</v>
      </c>
      <c r="C5309" s="21" t="s">
        <v>1034</v>
      </c>
      <c r="D5309" s="21" t="s">
        <v>997</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1530</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1041</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1083</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1084</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1154</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1003</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1486</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2387</v>
      </c>
      <c r="B5317" s="21" t="s">
        <v>1101</v>
      </c>
      <c r="C5317" s="21" t="s">
        <v>1089</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1011</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row>
    <row r="5320" spans="1:12">
      <c r="A5320" s="20" t="s">
        <v>2388</v>
      </c>
    </row>
    <row r="5321" spans="1:12">
      <c r="A5321" s="20" t="s">
        <v>1440</v>
      </c>
      <c r="B5321" s="21" t="s">
        <v>995</v>
      </c>
      <c r="C5321" s="21" t="s">
        <v>996</v>
      </c>
      <c r="D5321" s="21" t="s">
        <v>997</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2334</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1041</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1194</v>
      </c>
      <c r="B5324" s="21" t="s">
        <v>1142</v>
      </c>
      <c r="C5324" s="21" t="s">
        <v>1133</v>
      </c>
      <c r="D5324" s="21" t="s">
        <v>997</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1095</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1252</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1097</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1733</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1190</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1111</v>
      </c>
      <c r="B5330" s="21" t="s">
        <v>1010</v>
      </c>
      <c r="C5330" s="21" t="s">
        <v>1025</v>
      </c>
      <c r="D5330" s="21" t="s">
        <v>997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1026</v>
      </c>
      <c r="B5331" s="21" t="s">
        <v>1001</v>
      </c>
      <c r="C5331" s="21" t="s">
        <v>1028</v>
      </c>
      <c r="D5331" s="21" t="s">
        <v>997</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1022</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2389</v>
      </c>
      <c r="B5333" s="21" t="s">
        <v>1010</v>
      </c>
      <c r="C5333" s="21" t="s">
        <v>1015</v>
      </c>
      <c r="D5333" s="21" t="s">
        <v>997</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1041</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1249</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1083</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1084</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1154</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1767</v>
      </c>
      <c r="B5339" s="21" t="s">
        <v>1001</v>
      </c>
      <c r="C5339" s="21" t="s">
        <v>1015</v>
      </c>
      <c r="D5339" s="21" t="s">
        <v>997</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1080</v>
      </c>
      <c r="B5340" s="21" t="s">
        <v>1114</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2390</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1060</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1869</v>
      </c>
      <c r="B5343" s="21" t="s">
        <v>1088</v>
      </c>
      <c r="C5343" s="21" t="s">
        <v>1034</v>
      </c>
      <c r="D5343" s="21" t="s">
        <v>997</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1191</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2391</v>
      </c>
      <c r="B5345" s="21" t="s">
        <v>1112</v>
      </c>
      <c r="C5345" s="21" t="s">
        <v>1006</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1041</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1175</v>
      </c>
      <c r="B5347" s="21" t="s">
        <v>1142</v>
      </c>
      <c r="C5347" s="21" t="s">
        <v>1015</v>
      </c>
      <c r="D5347" s="21" t="s">
        <v>997</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423</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1144</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1869</v>
      </c>
      <c r="B5350" s="21" t="s">
        <v>1067</v>
      </c>
      <c r="C5350" s="21" t="s">
        <v>1089</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2392</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1011</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row>
    <row r="5354" spans="1:12">
      <c r="A5354" s="20" t="s">
        <v>2393</v>
      </c>
    </row>
    <row r="5355" spans="1:12">
      <c r="A5355" s="20" t="s">
        <v>1099</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1084</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1154</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1061</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1988</v>
      </c>
      <c r="B5359" s="21" t="s">
        <v>1101</v>
      </c>
      <c r="C5359" s="21" t="s">
        <v>1034</v>
      </c>
      <c r="D5359" s="21" t="s">
        <v>997</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1008</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1720</v>
      </c>
      <c r="B5361" s="21" t="s">
        <v>1005</v>
      </c>
      <c r="C5361" s="21" t="s">
        <v>1006</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1693</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1041</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1079</v>
      </c>
      <c r="B5364" s="21" t="s">
        <v>1005</v>
      </c>
      <c r="C5364" s="21" t="s">
        <v>1015</v>
      </c>
      <c r="D5364" s="21" t="s">
        <v>997</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1080</v>
      </c>
      <c r="B5365" s="21" t="s">
        <v>1114</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1966</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1018</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1019</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1675</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1041</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1249</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1175</v>
      </c>
      <c r="B5372" s="21" t="s">
        <v>1142</v>
      </c>
      <c r="C5372" s="21" t="s">
        <v>1015</v>
      </c>
      <c r="D5372" s="21" t="s">
        <v>997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423</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1221</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1079</v>
      </c>
      <c r="B5375" s="21" t="s">
        <v>1067</v>
      </c>
      <c r="C5375" s="21" t="s">
        <v>1015</v>
      </c>
      <c r="D5375" s="21" t="s">
        <v>997</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1082</v>
      </c>
      <c r="B5376" s="21" t="s">
        <v>1039</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1257</v>
      </c>
      <c r="B5377" s="21" t="s">
        <v>1027</v>
      </c>
      <c r="C5377" s="21" t="s">
        <v>996</v>
      </c>
      <c r="D5377" s="21" t="s">
        <v>997</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2394</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1733</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1008</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1044</v>
      </c>
      <c r="B5381" s="21" t="s">
        <v>1010</v>
      </c>
      <c r="C5381" s="21" t="s">
        <v>996</v>
      </c>
      <c r="D5381" s="21" t="s">
        <v>997</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1011</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row>
    <row r="5384" spans="1:12">
      <c r="A5384" s="20" t="s">
        <v>2395</v>
      </c>
    </row>
    <row r="5385" spans="1:12">
      <c r="A5385" s="20" t="s">
        <v>1621</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1041</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1083</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1084</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1154</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1475</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1886</v>
      </c>
      <c r="B5391" s="21" t="s">
        <v>1101</v>
      </c>
      <c r="C5391" s="21" t="s">
        <v>1239</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1041</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1249</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1032</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2396</v>
      </c>
      <c r="B5395" s="21" t="s">
        <v>1005</v>
      </c>
      <c r="C5395" s="21" t="s">
        <v>1028</v>
      </c>
      <c r="D5395" s="21" t="s">
        <v>997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1008</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1116</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737</v>
      </c>
      <c r="B5398" s="21" t="s">
        <v>1010</v>
      </c>
      <c r="C5398" s="21" t="s">
        <v>1015</v>
      </c>
      <c r="D5398" s="21" t="s">
        <v>997</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1041</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1175</v>
      </c>
      <c r="B5400" s="21" t="s">
        <v>1142</v>
      </c>
      <c r="C5400" s="21" t="s">
        <v>1015</v>
      </c>
      <c r="D5400" s="21" t="s">
        <v>997</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423</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1082</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1144</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2397</v>
      </c>
      <c r="B5404" s="21" t="s">
        <v>1067</v>
      </c>
      <c r="C5404" s="21" t="s">
        <v>1089</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1003</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1944</v>
      </c>
      <c r="B5406" s="21" t="s">
        <v>1005</v>
      </c>
      <c r="C5406" s="21" t="s">
        <v>1006</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2398</v>
      </c>
      <c r="B5407" s="21" t="s">
        <v>1010</v>
      </c>
      <c r="C5407" s="21" t="s">
        <v>1006</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1018</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2399</v>
      </c>
      <c r="B5409" s="21" t="s">
        <v>1005</v>
      </c>
      <c r="C5409" s="21" t="s">
        <v>1295</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1008</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1717</v>
      </c>
      <c r="B5411" s="21" t="s">
        <v>1010</v>
      </c>
      <c r="C5411" s="21" t="s">
        <v>1006</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1054</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1003</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1004</v>
      </c>
      <c r="B5414" s="21" t="s">
        <v>1024</v>
      </c>
      <c r="C5414" s="21" t="s">
        <v>1006</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1082</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1144</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2397</v>
      </c>
      <c r="B5417" s="21" t="s">
        <v>1010</v>
      </c>
      <c r="C5417" s="21" t="s">
        <v>1089</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1008</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1041</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1823</v>
      </c>
      <c r="B5420" s="21" t="s">
        <v>1024</v>
      </c>
      <c r="C5420" s="21" t="s">
        <v>1006</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1041</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1008</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1165</v>
      </c>
      <c r="B5423" s="21" t="s">
        <v>1112</v>
      </c>
      <c r="C5423" s="21" t="s">
        <v>1006</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1041</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1007</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1082</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2400</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1041</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1141</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1060</v>
      </c>
      <c r="B5430" s="21" t="s">
        <v>1027</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1194</v>
      </c>
      <c r="B5431" s="21" t="s">
        <v>1024</v>
      </c>
      <c r="C5431" s="21" t="s">
        <v>1133</v>
      </c>
      <c r="D5431" s="21" t="s">
        <v>997</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1256</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2401</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1037</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2402</v>
      </c>
      <c r="B5435" s="21" t="s">
        <v>1088</v>
      </c>
      <c r="C5435" s="21" t="s">
        <v>1034</v>
      </c>
      <c r="D5435" s="21" t="s">
        <v>997</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1217</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1041</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1175</v>
      </c>
      <c r="B5438" s="21" t="s">
        <v>1142</v>
      </c>
      <c r="C5438" s="21" t="s">
        <v>1015</v>
      </c>
      <c r="D5438" s="21" t="s">
        <v>997</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423</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1029</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338</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2403</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1032</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2404</v>
      </c>
      <c r="B5444" s="21" t="s">
        <v>1039</v>
      </c>
      <c r="C5444" s="21" t="s">
        <v>1034</v>
      </c>
      <c r="D5444" s="21" t="s">
        <v>997</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1041</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1230</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1041</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1060</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2405</v>
      </c>
      <c r="B5449" s="21" t="s">
        <v>1010</v>
      </c>
      <c r="C5449" s="21" t="s">
        <v>1034</v>
      </c>
      <c r="D5449" s="21" t="s">
        <v>997</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1007</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1061</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1736</v>
      </c>
      <c r="B5452" s="21" t="s">
        <v>1024</v>
      </c>
      <c r="C5452" s="21" t="s">
        <v>1034</v>
      </c>
      <c r="D5452" s="21" t="s">
        <v>997</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1041</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1061</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2406</v>
      </c>
      <c r="B5455" s="21" t="s">
        <v>1024</v>
      </c>
      <c r="C5455" s="21" t="s">
        <v>1034</v>
      </c>
      <c r="D5455" s="21" t="s">
        <v>997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1041</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1069</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1992</v>
      </c>
      <c r="B5458" s="21" t="s">
        <v>1024</v>
      </c>
      <c r="C5458" s="21" t="s">
        <v>1006</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1003</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1216</v>
      </c>
      <c r="B5460" s="21" t="s">
        <v>1112</v>
      </c>
      <c r="C5460" s="21" t="s">
        <v>1006</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1073</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1032</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2407</v>
      </c>
      <c r="B5463" s="21" t="s">
        <v>1182</v>
      </c>
      <c r="C5463" s="21" t="s">
        <v>1034</v>
      </c>
      <c r="D5463" s="21" t="s">
        <v>997</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1007</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1073</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1061</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1696</v>
      </c>
      <c r="B5467" s="21" t="s">
        <v>1092</v>
      </c>
      <c r="C5467" s="21" t="s">
        <v>1034</v>
      </c>
      <c r="D5467" s="21" t="s">
        <v>997</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1041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1061</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2291</v>
      </c>
      <c r="B5470" s="21" t="s">
        <v>1024</v>
      </c>
      <c r="C5470" s="21" t="s">
        <v>1034</v>
      </c>
      <c r="D5470" s="21" t="s">
        <v>997</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2408</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1109</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1144</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2409</v>
      </c>
      <c r="B5474" s="21" t="s">
        <v>1112</v>
      </c>
      <c r="C5474" s="21" t="s">
        <v>1089</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1029</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1695</v>
      </c>
      <c r="B5476" s="21" t="s">
        <v>1092</v>
      </c>
      <c r="C5476" s="21" t="s">
        <v>1006</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1011</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row>
    <row r="5479" spans="1:12">
      <c r="A5479" s="20" t="s">
        <v>2410</v>
      </c>
    </row>
    <row r="5480" spans="1:12">
      <c r="A5480" s="20" t="s">
        <v>2252</v>
      </c>
      <c r="B5480" s="21" t="s">
        <v>1067</v>
      </c>
      <c r="C5480" s="21" t="s">
        <v>1015</v>
      </c>
      <c r="D5480" s="21" t="s">
        <v>997</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1513</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1013</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1141</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737</v>
      </c>
      <c r="B5484" s="21" t="s">
        <v>1142</v>
      </c>
      <c r="C5484" s="21" t="s">
        <v>1015</v>
      </c>
      <c r="D5484" s="21" t="s">
        <v>997</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1095</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2411</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1097</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1041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1230</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1022</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158</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1275</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row>
    <row r="5494" spans="1:12">
      <c r="A5494" s="20" t="s">
        <v>2412</v>
      </c>
    </row>
    <row r="5495" spans="1:12">
      <c r="A5495" s="20" t="s">
        <v>2413</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1367</v>
      </c>
      <c r="B5496" s="21" t="s">
        <v>1001</v>
      </c>
      <c r="C5496" s="21" t="s">
        <v>996</v>
      </c>
      <c r="D5496" s="21" t="s">
        <v>997</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2076</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1029</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1687</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1008</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1037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2075</v>
      </c>
      <c r="B5502" s="21" t="s">
        <v>1010</v>
      </c>
      <c r="C5502" s="21" t="s">
        <v>1034</v>
      </c>
      <c r="D5502" s="21" t="s">
        <v>997</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1003</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2414</v>
      </c>
      <c r="B5504" s="21" t="s">
        <v>1024</v>
      </c>
      <c r="C5504" s="21" t="s">
        <v>1006</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1049</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2415</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1008</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2416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2417</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1032</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1215</v>
      </c>
      <c r="B5511" s="21" t="s">
        <v>1301</v>
      </c>
      <c r="C5511" s="21" t="s">
        <v>1034</v>
      </c>
      <c r="D5511" s="21" t="s">
        <v>997</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1008</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1032</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2407</v>
      </c>
      <c r="B5514" s="21" t="s">
        <v>1182</v>
      </c>
      <c r="C5514" s="21" t="s">
        <v>1034</v>
      </c>
      <c r="D5514" s="21" t="s">
        <v>997</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1275</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row>
    <row r="5517" spans="1:12">
      <c r="A5517" s="20" t="s">
        <v>2418</v>
      </c>
    </row>
    <row r="5518" spans="1:12">
      <c r="A5518" s="20" t="s">
        <v>741</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1513</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1210</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1000</v>
      </c>
      <c r="B5521" s="21" t="s">
        <v>1142</v>
      </c>
      <c r="C5521" s="21" t="s">
        <v>996</v>
      </c>
      <c r="D5521" s="21" t="s">
        <v>997</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2419</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1109</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1202</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2420</v>
      </c>
      <c r="B5525" s="21" t="s">
        <v>1005</v>
      </c>
      <c r="C5525" s="21" t="s">
        <v>1068</v>
      </c>
      <c r="D5525" s="21" t="s">
        <v>997</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1041</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1079</v>
      </c>
      <c r="B5527" s="21" t="s">
        <v>1027</v>
      </c>
      <c r="C5527" s="21" t="s">
        <v>1015</v>
      </c>
      <c r="D5527" s="21" t="s">
        <v>997</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1149</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1487</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1141</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1000</v>
      </c>
      <c r="B5531" s="21" t="s">
        <v>1027</v>
      </c>
      <c r="C5531" s="21" t="s">
        <v>996</v>
      </c>
      <c r="D5531" s="21" t="s">
        <v>997</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2421</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1100</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2422</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1041</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1007</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1022</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1000</v>
      </c>
      <c r="B5538" s="21" t="s">
        <v>1027</v>
      </c>
      <c r="C5538" s="21" t="s">
        <v>996</v>
      </c>
      <c r="D5538" s="21" t="s">
        <v>997</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2423</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2424</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1029</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32</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1018</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2425</v>
      </c>
      <c r="B5544" s="21" t="s">
        <v>1301</v>
      </c>
      <c r="C5544" s="21" t="s">
        <v>1089</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1011</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row>
    <row r="5547" spans="1:12">
      <c r="A5547" s="20" t="s">
        <v>2426</v>
      </c>
    </row>
    <row r="5548" spans="1:12">
      <c r="A5548" s="20" t="s">
        <v>1365</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1041</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1090</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855</v>
      </c>
      <c r="B5551" s="21" t="s">
        <v>1067</v>
      </c>
      <c r="C5551" s="21" t="s">
        <v>996</v>
      </c>
      <c r="D5551" s="21" t="s">
        <v>997</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1275</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row>
    <row r="5554" spans="1:12">
      <c r="A5554" s="20" t="s">
        <v>2427</v>
      </c>
    </row>
    <row r="5555" spans="1:12">
      <c r="A5555" s="20" t="s">
        <v>1099</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1000</v>
      </c>
      <c r="B5556" s="21" t="s">
        <v>1101</v>
      </c>
      <c r="C5556" s="21" t="s">
        <v>996</v>
      </c>
      <c r="D5556" s="21" t="s">
        <v>997</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1540</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1144</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2428</v>
      </c>
      <c r="B5559" s="21" t="s">
        <v>1101</v>
      </c>
      <c r="C5559" s="21" t="s">
        <v>1089</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2429</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1103</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1305</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1146</v>
      </c>
      <c r="B5563" s="21" t="s">
        <v>1005</v>
      </c>
      <c r="C5563" s="21" t="s">
        <v>1239</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1487</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737</v>
      </c>
      <c r="B5565" s="21" t="s">
        <v>1010</v>
      </c>
      <c r="C5565" s="21" t="s">
        <v>1015</v>
      </c>
      <c r="D5565" s="21" t="s">
        <v>997</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1011</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row>
    <row r="5568" spans="1:12">
      <c r="A5568" s="20" t="s">
        <v>2430</v>
      </c>
    </row>
    <row r="5569" spans="1:12">
      <c r="A5569" s="20" t="s">
        <v>1099</v>
      </c>
      <c r="B5569" s="21" t="s">
        <v>995</v>
      </c>
      <c r="C5569" s="21" t="s">
        <v>996</v>
      </c>
      <c r="D5569" s="21" t="s">
        <v>997</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1928</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1144</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2431</v>
      </c>
      <c r="B5572" s="21" t="s">
        <v>1101</v>
      </c>
      <c r="C5572" s="21" t="s">
        <v>1089</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1008</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2169</v>
      </c>
      <c r="B5574" s="21" t="s">
        <v>1005</v>
      </c>
      <c r="C5574" s="21" t="s">
        <v>1006</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1073</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1079</v>
      </c>
      <c r="B5576" s="21" t="s">
        <v>1005</v>
      </c>
      <c r="C5576" s="21" t="s">
        <v>1015</v>
      </c>
      <c r="D5576" s="21" t="s">
        <v>997</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1082</v>
      </c>
      <c r="B5577" s="21" t="s">
        <v>1088</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1194</v>
      </c>
      <c r="B5578" s="21" t="s">
        <v>1114</v>
      </c>
      <c r="C5578" s="21" t="s">
        <v>1133</v>
      </c>
      <c r="D5578" s="21" t="s">
        <v>997</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2001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1032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2432</v>
      </c>
      <c r="B5581" s="21" t="s">
        <v>1024</v>
      </c>
      <c r="C5581" s="21" t="s">
        <v>1034</v>
      </c>
      <c r="D5581" s="21" t="s">
        <v>997</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1041</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2433</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1073</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1475</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1525</v>
      </c>
      <c r="B5586" s="21" t="s">
        <v>1005</v>
      </c>
      <c r="C5586" s="21" t="s">
        <v>1239</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1041</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1080</v>
      </c>
      <c r="B5588" s="21" t="s">
        <v>1114</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2434</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1061</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2435</v>
      </c>
      <c r="B5591" s="21" t="s">
        <v>1088</v>
      </c>
      <c r="C5591" s="21" t="s">
        <v>1034</v>
      </c>
      <c r="D5591" s="21" t="s">
        <v>997</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1041</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1049</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2436</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1037</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1320</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1103</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130</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2277</v>
      </c>
      <c r="B5599" s="21" t="s">
        <v>1301</v>
      </c>
      <c r="C5599" s="21" t="s">
        <v>1034</v>
      </c>
      <c r="D5599" s="21" t="s">
        <v>997</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2437</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1049</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1044</v>
      </c>
      <c r="B5602" s="21" t="s">
        <v>1043</v>
      </c>
      <c r="C5602" s="21" t="s">
        <v>996</v>
      </c>
      <c r="D5602" s="21" t="s">
        <v>997</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1687</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1069</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2438</v>
      </c>
      <c r="B5605" s="21" t="s">
        <v>1182</v>
      </c>
      <c r="C5605" s="21" t="s">
        <v>1006</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1011</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row>
    <row r="5608" spans="1:12">
      <c r="A5608" s="20" t="s">
        <v>2439</v>
      </c>
    </row>
    <row r="5609" spans="1:12">
      <c r="A5609" s="20" t="s">
        <v>1338</v>
      </c>
      <c r="B5609" s="21" t="s">
        <v>995</v>
      </c>
      <c r="C5609" s="21" t="s">
        <v>1015</v>
      </c>
      <c r="D5609" s="21" t="s">
        <v>997</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1339</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423</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2440</v>
      </c>
      <c r="B5612" s="21" t="s">
        <v>1067</v>
      </c>
      <c r="C5612" s="21" t="s">
        <v>1133</v>
      </c>
      <c r="D5612" s="21" t="s">
        <v>997</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1008</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1054</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1082</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1144</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2441</v>
      </c>
      <c r="B5617" s="21" t="s">
        <v>1005</v>
      </c>
      <c r="C5617" s="21" t="s">
        <v>1089</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1003</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2442</v>
      </c>
      <c r="B5619" s="21" t="s">
        <v>1010</v>
      </c>
      <c r="C5619" s="21" t="s">
        <v>1006</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1011</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row>
    <row r="5622" spans="1:12">
      <c r="A5622" s="20" t="s">
        <v>2443</v>
      </c>
    </row>
    <row r="5623" spans="1:12">
      <c r="A5623" s="20" t="s">
        <v>1392</v>
      </c>
      <c r="B5623" s="21" t="s">
        <v>995</v>
      </c>
      <c r="C5623" s="21" t="s">
        <v>1133</v>
      </c>
      <c r="D5623" s="21" t="s">
        <v>997</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2444</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1095</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1097</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1069</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32</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1647</v>
      </c>
      <c r="B5629" s="21" t="s">
        <v>1001</v>
      </c>
      <c r="C5629" s="21" t="s">
        <v>1006</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1011</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row>
    <row r="5632" spans="1:12">
      <c r="A5632" s="20" t="s">
        <v>2445</v>
      </c>
    </row>
    <row r="5633" spans="1:12">
      <c r="A5633" s="20" t="s">
        <v>2446</v>
      </c>
      <c r="B5633" s="21" t="s">
        <v>995</v>
      </c>
      <c r="C5633" s="21" t="s">
        <v>1133</v>
      </c>
      <c r="D5633" s="21" t="s">
        <v>997</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2447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1082</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1083</v>
      </c>
      <c r="B5636" s="21" t="s">
        <v>1142</v>
      </c>
      <c r="C5636" s="21" t="s">
        <v>996</v>
      </c>
      <c r="D5636" s="21" t="s">
        <v>997</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1095</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1761</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1168</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1097</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1762</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1109</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1202</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2448</v>
      </c>
      <c r="B5644" s="21" t="s">
        <v>1010</v>
      </c>
      <c r="C5644" s="21" t="s">
        <v>1068</v>
      </c>
      <c r="D5644" s="21" t="s">
        <v>997</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1041</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2374</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1815</v>
      </c>
      <c r="B5647" s="21" t="s">
        <v>1142</v>
      </c>
      <c r="C5647" s="21" t="s">
        <v>996</v>
      </c>
      <c r="D5647" s="21" t="s">
        <v>997</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1404</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1044</v>
      </c>
      <c r="B5649" s="21" t="s">
        <v>1039</v>
      </c>
      <c r="C5649" s="21" t="s">
        <v>996</v>
      </c>
      <c r="D5649" s="21" t="s">
        <v>997</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1692</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2449</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1041</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1487</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1141</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1000</v>
      </c>
      <c r="B5655" s="21" t="s">
        <v>1114</v>
      </c>
      <c r="C5655" s="21" t="s">
        <v>996</v>
      </c>
      <c r="D5655" s="21" t="s">
        <v>997</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2450</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1029</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2451</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1021</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1022</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1000</v>
      </c>
      <c r="B5661" s="21" t="s">
        <v>1027</v>
      </c>
      <c r="C5661" s="21" t="s">
        <v>996</v>
      </c>
      <c r="D5661" s="21" t="s">
        <v>997</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2334</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1022</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1032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2428</v>
      </c>
      <c r="B5665" s="21" t="s">
        <v>1114</v>
      </c>
      <c r="C5665" s="21" t="s">
        <v>1034</v>
      </c>
      <c r="D5665" s="21" t="s">
        <v>997</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2429</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1702</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1246</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1049</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1000</v>
      </c>
      <c r="B5670" s="21" t="s">
        <v>1301</v>
      </c>
      <c r="C5670" s="21" t="s">
        <v>996</v>
      </c>
      <c r="D5670" s="21" t="s">
        <v>997</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2452</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1011</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row>
    <row r="5674" spans="1:12">
      <c r="A5674" s="20" t="s">
        <v>2453</v>
      </c>
    </row>
    <row r="5675" spans="1:12">
      <c r="A5675" s="20" t="s">
        <v>994</v>
      </c>
      <c r="B5675" s="21" t="s">
        <v>995</v>
      </c>
      <c r="C5675" s="21" t="s">
        <v>996</v>
      </c>
      <c r="D5675" s="21" t="s">
        <v>997</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1095</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1586</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1097</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2454</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1022</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1079</v>
      </c>
      <c r="B5681" s="21" t="s">
        <v>1142</v>
      </c>
      <c r="C5681" s="21" t="s">
        <v>1015</v>
      </c>
      <c r="D5681" s="21" t="s">
        <v>997</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1376</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2455</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1041</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1497</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2456</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1060</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2216</v>
      </c>
      <c r="B5688" s="21" t="s">
        <v>1067</v>
      </c>
      <c r="C5688" s="21" t="s">
        <v>1034</v>
      </c>
      <c r="D5688" s="21" t="s">
        <v>997</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1008</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1061</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408</v>
      </c>
      <c r="B5691" s="21" t="s">
        <v>1005</v>
      </c>
      <c r="C5691" s="21" t="s">
        <v>1034</v>
      </c>
      <c r="D5691" s="21" t="s">
        <v>997</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1041</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1249</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1041</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2275</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1041</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1083</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1084</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1154</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1202</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2457</v>
      </c>
      <c r="B5701" s="21" t="s">
        <v>1001</v>
      </c>
      <c r="C5701" s="21" t="s">
        <v>1068</v>
      </c>
      <c r="D5701" s="21" t="s">
        <v>997</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1008</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2432</v>
      </c>
      <c r="B5703" s="21" t="s">
        <v>1010</v>
      </c>
      <c r="C5703" s="21" t="s">
        <v>1006</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1041</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1029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2416</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1029</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1061</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2458</v>
      </c>
      <c r="B5709" s="21" t="s">
        <v>1010</v>
      </c>
      <c r="C5709" s="21" t="s">
        <v>1034</v>
      </c>
      <c r="D5709" s="21" t="s">
        <v>997</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1008</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1032</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1843</v>
      </c>
      <c r="B5712" s="21" t="s">
        <v>1024</v>
      </c>
      <c r="C5712" s="21" t="s">
        <v>1034</v>
      </c>
      <c r="D5712" s="21" t="s">
        <v>997</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1041</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1029</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1061</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1577</v>
      </c>
      <c r="B5716" s="21" t="s">
        <v>1010</v>
      </c>
      <c r="C5716" s="21" t="s">
        <v>1034</v>
      </c>
      <c r="D5716" s="21" t="s">
        <v>997</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1090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1037</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1042</v>
      </c>
      <c r="B5719" s="21" t="s">
        <v>1045</v>
      </c>
      <c r="C5719" s="21" t="s">
        <v>1034</v>
      </c>
      <c r="D5719" s="21" t="s">
        <v>997</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2459</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1054</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2460</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1022</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2461</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1041</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1103</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1022</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1060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1932</v>
      </c>
      <c r="B5729" s="21" t="s">
        <v>1114</v>
      </c>
      <c r="C5729" s="21" t="s">
        <v>1034</v>
      </c>
      <c r="D5729" s="21" t="s">
        <v>997</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1376</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1250</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1054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2462</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1011</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row>
    <row r="5736" spans="1:12">
      <c r="A5736" s="20" t="s">
        <v>2463</v>
      </c>
    </row>
    <row r="5737" spans="1:12">
      <c r="A5737" s="20" t="s">
        <v>2252</v>
      </c>
      <c r="B5737" s="21" t="s">
        <v>1067</v>
      </c>
      <c r="C5737" s="21" t="s">
        <v>1015</v>
      </c>
      <c r="D5737" s="21" t="s">
        <v>997</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1513</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1106</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2464</v>
      </c>
      <c r="B5740" s="21" t="s">
        <v>1142</v>
      </c>
      <c r="C5740" s="21" t="s">
        <v>1034</v>
      </c>
      <c r="D5740" s="21" t="s">
        <v>997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1513</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1141</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1000</v>
      </c>
      <c r="B5743" s="21" t="s">
        <v>1027</v>
      </c>
      <c r="C5743" s="21" t="s">
        <v>996</v>
      </c>
      <c r="D5743" s="21" t="s">
        <v>997</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2421</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1144</v>
      </c>
      <c r="B5745" s="21" t="s">
        <v>1039</v>
      </c>
      <c r="C5745" s="21" t="s">
        <v>1133</v>
      </c>
      <c r="D5745" s="21" t="s">
        <v>997</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1103</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1051</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2465</v>
      </c>
      <c r="B5748" s="21" t="s">
        <v>1024</v>
      </c>
      <c r="C5748" s="21" t="s">
        <v>1295</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1029</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1111</v>
      </c>
      <c r="B5750" s="21" t="s">
        <v>1088</v>
      </c>
      <c r="C5750" s="21" t="s">
        <v>996</v>
      </c>
      <c r="D5750" s="21" t="s">
        <v>997</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338</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1041</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1371</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2466</v>
      </c>
      <c r="B5754" s="21" t="s">
        <v>1142</v>
      </c>
      <c r="C5754" s="21" t="s">
        <v>996</v>
      </c>
      <c r="D5754" s="21" t="s">
        <v>997</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1037</v>
      </c>
      <c r="B5755" s="21" t="s">
        <v>1001</v>
      </c>
      <c r="C5755" s="21" t="s">
        <v>996</v>
      </c>
      <c r="D5755" s="21" t="s">
        <v>997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2467</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1082</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1257</v>
      </c>
      <c r="B5758" s="21" t="s">
        <v>1027</v>
      </c>
      <c r="C5758" s="21" t="s">
        <v>996</v>
      </c>
      <c r="D5758" s="21" t="s">
        <v>997</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1562</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2468</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1275</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row>
    <row r="5763" spans="1:12">
      <c r="A5763" s="20" t="s">
        <v>2469</v>
      </c>
    </row>
    <row r="5764" spans="1:12">
      <c r="A5764" s="20" t="s">
        <v>741</v>
      </c>
      <c r="B5764" s="21" t="s">
        <v>1067</v>
      </c>
      <c r="C5764" s="21" t="s">
        <v>1095</v>
      </c>
      <c r="D5764" s="21" t="s">
        <v>997</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1513</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1880</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1190</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1041</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2470</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1041</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1037</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2471</v>
      </c>
      <c r="B5772" s="21" t="s">
        <v>1027</v>
      </c>
      <c r="C5772" s="21" t="s">
        <v>1034</v>
      </c>
      <c r="D5772" s="21" t="s">
        <v>997</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1062</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1109</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1008</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1037</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2472</v>
      </c>
      <c r="B5777" s="21" t="s">
        <v>1010</v>
      </c>
      <c r="C5777" s="21" t="s">
        <v>1034</v>
      </c>
      <c r="D5777" s="21" t="s">
        <v>997</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2473</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1011</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row>
    <row r="5781" spans="1:12">
      <c r="A5781" s="20" t="s">
        <v>2474</v>
      </c>
    </row>
    <row r="5782" spans="1:12">
      <c r="A5782" s="20" t="s">
        <v>2475</v>
      </c>
      <c r="B5782" s="21" t="s">
        <v>995</v>
      </c>
      <c r="C5782" s="21" t="s">
        <v>1015</v>
      </c>
      <c r="D5782" s="21" t="s">
        <v>997</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1903</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1037</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2476</v>
      </c>
      <c r="B5785" s="21" t="s">
        <v>1027</v>
      </c>
      <c r="C5785" s="21" t="s">
        <v>1034</v>
      </c>
      <c r="D5785" s="21" t="s">
        <v>997</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1062</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1266</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1062</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1137</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1019</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1565</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1011</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row>
    <row r="5794" spans="1:12">
      <c r="A5794" s="20" t="s">
        <v>2477</v>
      </c>
    </row>
    <row r="5795" spans="1:12">
      <c r="A5795" s="20" t="s">
        <v>2478</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2479</v>
      </c>
      <c r="B5796" s="21" t="s">
        <v>995</v>
      </c>
      <c r="C5796" s="21" t="s">
        <v>996</v>
      </c>
      <c r="D5796" s="21" t="s">
        <v>997</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1082</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1083</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1084</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1154</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1008</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1037</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1216</v>
      </c>
      <c r="B5803" s="21" t="s">
        <v>1005</v>
      </c>
      <c r="C5803" s="21" t="s">
        <v>1034</v>
      </c>
      <c r="D5803" s="21" t="s">
        <v>997</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1008</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2480</v>
      </c>
      <c r="B5805" s="21" t="s">
        <v>1010</v>
      </c>
      <c r="C5805" s="21" t="s">
        <v>1006</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2481</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1080</v>
      </c>
      <c r="B5807" s="21" t="s">
        <v>1114</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1562</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1029</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256</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1581</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1037</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2482</v>
      </c>
      <c r="B5813" s="21" t="s">
        <v>1112</v>
      </c>
      <c r="C5813" s="21" t="s">
        <v>1034</v>
      </c>
      <c r="D5813" s="21" t="s">
        <v>997</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1080</v>
      </c>
      <c r="B5814" s="21" t="s">
        <v>1243</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1562</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2483</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1037</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1042</v>
      </c>
      <c r="B5818" s="21" t="s">
        <v>1053</v>
      </c>
      <c r="C5818" s="21" t="s">
        <v>1034</v>
      </c>
      <c r="D5818" s="21" t="s">
        <v>997</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1275</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row>
    <row r="5821" spans="1:12">
      <c r="A5821" s="20" t="s">
        <v>2484</v>
      </c>
    </row>
    <row r="5822" spans="1:12">
      <c r="A5822" s="20" t="s">
        <v>1099</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1084</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1154</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1137</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1041</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1137</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1019</v>
      </c>
      <c r="B5828" s="21" t="s">
        <v>1101</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1008</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1042</v>
      </c>
      <c r="B5830" s="21" t="s">
        <v>1005</v>
      </c>
      <c r="C5830" s="21" t="s">
        <v>1006</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1082</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1257</v>
      </c>
      <c r="B5832" s="21" t="s">
        <v>1114</v>
      </c>
      <c r="C5832" s="21" t="s">
        <v>996</v>
      </c>
      <c r="D5832" s="21" t="s">
        <v>997</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2485</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1168</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338</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1041</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1083</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1084</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1154</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1144</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2486</v>
      </c>
      <c r="B5841" s="21" t="s">
        <v>1001</v>
      </c>
      <c r="C5841" s="21" t="s">
        <v>1089</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1073</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1018</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2399</v>
      </c>
      <c r="B5844" s="21" t="s">
        <v>1005</v>
      </c>
      <c r="C5844" s="21" t="s">
        <v>1089</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1049</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1014</v>
      </c>
      <c r="B5846" s="21" t="s">
        <v>1010</v>
      </c>
      <c r="C5846" s="21" t="s">
        <v>1015</v>
      </c>
      <c r="D5846" s="21" t="s">
        <v>997</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1011</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row>
    <row r="5849" spans="1:12">
      <c r="A5849" s="20" t="s">
        <v>2487</v>
      </c>
    </row>
    <row r="5850" spans="1:12">
      <c r="A5850" s="20" t="s">
        <v>1076</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2488</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408</v>
      </c>
      <c r="B5852" s="21" t="s">
        <v>995</v>
      </c>
      <c r="C5852" s="21" t="s">
        <v>1034</v>
      </c>
      <c r="D5852" s="21" t="s">
        <v>997</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1022</v>
      </c>
      <c r="B5853" s="21" t="s">
        <v>1039</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1044</v>
      </c>
      <c r="B5854" s="21" t="s">
        <v>1027</v>
      </c>
      <c r="C5854" s="21" t="s">
        <v>996</v>
      </c>
      <c r="D5854" s="21" t="s">
        <v>997</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2489</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1462</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423</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1018</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1019</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1487</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1581</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1061</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2490</v>
      </c>
      <c r="B5863" s="21" t="s">
        <v>1067</v>
      </c>
      <c r="C5863" s="21" t="s">
        <v>1095</v>
      </c>
      <c r="D5863" s="21" t="s">
        <v>997</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1011</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row>
    <row r="5866" spans="1:12">
      <c r="A5866" s="20" t="s">
        <v>2491</v>
      </c>
    </row>
    <row r="5867" spans="1:12">
      <c r="A5867" s="20" t="s">
        <v>1440</v>
      </c>
      <c r="B5867" s="21" t="s">
        <v>995</v>
      </c>
      <c r="C5867" s="21" t="s">
        <v>996</v>
      </c>
      <c r="D5867" s="21" t="s">
        <v>997</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2492</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1144</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2493</v>
      </c>
      <c r="B5870" s="21" t="s">
        <v>1101</v>
      </c>
      <c r="C5870" s="21" t="s">
        <v>1089</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2494</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1041</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1007</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1000</v>
      </c>
      <c r="B5874" s="21" t="s">
        <v>1142</v>
      </c>
      <c r="C5874" s="21" t="s">
        <v>996</v>
      </c>
      <c r="D5874" s="21" t="s">
        <v>997</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1069</v>
      </c>
      <c r="B5875" s="21" t="s">
        <v>1010</v>
      </c>
      <c r="C5875" s="21" t="s">
        <v>1133</v>
      </c>
      <c r="D5875" s="21" t="s">
        <v>997</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2495</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1061</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1135</v>
      </c>
      <c r="B5878" s="21" t="s">
        <v>1001</v>
      </c>
      <c r="C5878" s="21" t="s">
        <v>1034</v>
      </c>
      <c r="D5878" s="21" t="s">
        <v>997</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1250</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1054</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2496</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1011</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row>
    <row r="5884" spans="1:12">
      <c r="A5884" s="20" t="s">
        <v>2497</v>
      </c>
    </row>
    <row r="5885" spans="1:12">
      <c r="A5885" s="20" t="s">
        <v>2498</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1000</v>
      </c>
      <c r="B5886" s="21" t="s">
        <v>995</v>
      </c>
      <c r="C5886" s="21" t="s">
        <v>996</v>
      </c>
      <c r="D5886" s="21" t="s">
        <v>997</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1441</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1339</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2499</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1241</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2356</v>
      </c>
      <c r="B5891" s="21" t="s">
        <v>1101</v>
      </c>
      <c r="C5891" s="21" t="s">
        <v>1239</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1008</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408</v>
      </c>
      <c r="B5893" s="21" t="s">
        <v>1005</v>
      </c>
      <c r="C5893" s="21" t="s">
        <v>1006</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2500</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1041</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1202</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1618</v>
      </c>
      <c r="B5897" s="21" t="s">
        <v>1101</v>
      </c>
      <c r="C5897" s="21" t="s">
        <v>1068</v>
      </c>
      <c r="D5897" s="21" t="s">
        <v>997</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1008</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2501</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2494</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1041</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1581</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1018</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2502</v>
      </c>
      <c r="B5904" s="21" t="s">
        <v>1010</v>
      </c>
      <c r="C5904" s="21" t="s">
        <v>1089</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1054</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2496</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12</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12</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1191</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1192</v>
      </c>
      <c r="B5910" s="21" t="s">
        <v>1010</v>
      </c>
      <c r="C5910" s="21" t="s">
        <v>1006</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1029</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1144</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2503</v>
      </c>
      <c r="B5913" s="21" t="s">
        <v>1024</v>
      </c>
      <c r="C5913" s="21" t="s">
        <v>1089</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1903</v>
      </c>
      <c r="B5914" s="21" t="s">
        <v>1043</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1194</v>
      </c>
      <c r="B5915" s="21" t="s">
        <v>1094</v>
      </c>
      <c r="C5915" s="21" t="s">
        <v>1133</v>
      </c>
      <c r="D5915" s="21" t="s">
        <v>997</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1339</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423</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1097</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1743</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1011</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row>
    <row r="5922" spans="1:12">
      <c r="A5922" s="20" t="s">
        <v>1457</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2504</v>
      </c>
    </row>
    <row r="5924" spans="1:12">
      <c r="A5924" s="20" t="s">
        <v>1140</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1070</v>
      </c>
      <c r="B5925" s="21" t="s">
        <v>1005</v>
      </c>
      <c r="C5925" s="21" t="s">
        <v>1006</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1041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1061</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1192</v>
      </c>
      <c r="B5928" s="21" t="s">
        <v>1067</v>
      </c>
      <c r="C5928" s="21" t="s">
        <v>1034</v>
      </c>
      <c r="D5928" s="21" t="s">
        <v>997</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1008</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1061</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2505</v>
      </c>
      <c r="B5931" s="21" t="s">
        <v>1005</v>
      </c>
      <c r="C5931" s="21" t="s">
        <v>1034</v>
      </c>
      <c r="D5931" s="21" t="s">
        <v>997</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2506</v>
      </c>
      <c r="B5932" s="21" t="s">
        <v>1010</v>
      </c>
      <c r="C5932" s="21" t="s">
        <v>1095</v>
      </c>
      <c r="D5932" s="21" t="s">
        <v>997</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2507</v>
      </c>
      <c r="B5933" s="21" t="s">
        <v>1024</v>
      </c>
      <c r="C5933" s="21" t="s">
        <v>1006</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2508</v>
      </c>
      <c r="B5934" s="21" t="s">
        <v>1024</v>
      </c>
      <c r="C5934" s="21" t="s">
        <v>1095</v>
      </c>
      <c r="D5934" s="21" t="s">
        <v>997</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1073</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2509</v>
      </c>
      <c r="B5936" s="21" t="s">
        <v>1005</v>
      </c>
      <c r="C5936" s="21" t="s">
        <v>1095</v>
      </c>
      <c r="D5936" s="21" t="s">
        <v>997</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2510</v>
      </c>
      <c r="B5937" s="21" t="s">
        <v>1010</v>
      </c>
      <c r="C5937" s="21" t="s">
        <v>1095</v>
      </c>
      <c r="D5937" s="21" t="s">
        <v>997</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1008</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1061</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2511</v>
      </c>
      <c r="B5940" s="21" t="s">
        <v>1010</v>
      </c>
      <c r="C5940" s="21" t="s">
        <v>1034</v>
      </c>
      <c r="D5940" s="21" t="s">
        <v>997</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1041</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1079</v>
      </c>
      <c r="B5942" s="21" t="s">
        <v>995</v>
      </c>
      <c r="C5942" s="21" t="s">
        <v>1015</v>
      </c>
      <c r="D5942" s="21" t="s">
        <v>997</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1339</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423</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1097</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2512</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1061</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1222</v>
      </c>
      <c r="B5948" s="21" t="s">
        <v>1067</v>
      </c>
      <c r="C5948" s="21" t="s">
        <v>1034</v>
      </c>
      <c r="D5948" s="21" t="s">
        <v>997</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1008</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1037</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1577</v>
      </c>
      <c r="B5951" s="21" t="s">
        <v>1067</v>
      </c>
      <c r="C5951" s="21" t="s">
        <v>1034</v>
      </c>
      <c r="D5951" s="21" t="s">
        <v>997</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1041</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1007</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1083</v>
      </c>
      <c r="B5954" s="21" t="s">
        <v>1142</v>
      </c>
      <c r="C5954" s="21" t="s">
        <v>996</v>
      </c>
      <c r="D5954" s="21" t="s">
        <v>997</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1928</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1008</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1037</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1560</v>
      </c>
      <c r="B5958" s="21" t="s">
        <v>1005</v>
      </c>
      <c r="C5958" s="21" t="s">
        <v>1034</v>
      </c>
      <c r="D5958" s="21" t="s">
        <v>997</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1109</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1037</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1323</v>
      </c>
      <c r="B5961" s="21" t="s">
        <v>1005</v>
      </c>
      <c r="C5961" s="21" t="s">
        <v>1034</v>
      </c>
      <c r="D5961" s="21" t="s">
        <v>997</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2159</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1080</v>
      </c>
      <c r="B5963" s="21" t="s">
        <v>1114</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2513</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1061</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2514</v>
      </c>
      <c r="B5966" s="21" t="s">
        <v>1088</v>
      </c>
      <c r="C5966" s="21" t="s">
        <v>1095</v>
      </c>
      <c r="D5966" s="21" t="s">
        <v>997</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1007</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1077</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2447</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1460</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2515</v>
      </c>
      <c r="B5971" s="21" t="s">
        <v>1182</v>
      </c>
      <c r="C5971" s="21" t="s">
        <v>1095</v>
      </c>
      <c r="D5971" s="21" t="s">
        <v>997</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1041</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1079</v>
      </c>
      <c r="B5973" s="21" t="s">
        <v>1094</v>
      </c>
      <c r="C5973" s="21" t="s">
        <v>1015</v>
      </c>
      <c r="D5973" s="21" t="s">
        <v>997</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1339</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423</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1097</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1141</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1138</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1011</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1460</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row>
    <row r="5982" spans="1:12">
      <c r="A5982" s="20" t="s">
        <v>2516</v>
      </c>
    </row>
    <row r="5983" spans="1:12">
      <c r="A5983" s="20" t="s">
        <v>1076</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1070</v>
      </c>
      <c r="B5984" s="21" t="s">
        <v>995</v>
      </c>
      <c r="C5984" s="21" t="s">
        <v>1034</v>
      </c>
      <c r="D5984" s="21" t="s">
        <v>997</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423</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1022</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1175</v>
      </c>
      <c r="B5987" s="21" t="s">
        <v>1142</v>
      </c>
      <c r="C5987" s="21" t="s">
        <v>1015</v>
      </c>
      <c r="D5987" s="21" t="s">
        <v>997</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423</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1202</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1695</v>
      </c>
      <c r="B5990" s="21" t="s">
        <v>1067</v>
      </c>
      <c r="C5990" s="21" t="s">
        <v>1068</v>
      </c>
      <c r="D5990" s="21" t="s">
        <v>997</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1003</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1124</v>
      </c>
      <c r="B5992" s="21" t="s">
        <v>1005</v>
      </c>
      <c r="C5992" s="21" t="s">
        <v>1006</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1080</v>
      </c>
      <c r="B5993" s="21" t="s">
        <v>1027</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1393</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1044</v>
      </c>
      <c r="B5995" s="21" t="s">
        <v>1088</v>
      </c>
      <c r="C5995" s="21" t="s">
        <v>996</v>
      </c>
      <c r="D5995" s="21" t="s">
        <v>997</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2517</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1109</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1202</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2448</v>
      </c>
      <c r="B5999" s="21" t="s">
        <v>1024</v>
      </c>
      <c r="C5999" s="21" t="s">
        <v>1068</v>
      </c>
      <c r="D5999" s="21" t="s">
        <v>997</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1011</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row>
    <row r="6002" spans="1:12">
      <c r="A6002" s="20" t="s">
        <v>1457</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2518</v>
      </c>
    </row>
    <row r="6004" spans="1:12">
      <c r="A6004" s="20" t="s">
        <v>1059</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1023</v>
      </c>
      <c r="B6005" s="21" t="s">
        <v>1005</v>
      </c>
      <c r="C6005" s="21" t="s">
        <v>1025</v>
      </c>
      <c r="D6005" s="21" t="s">
        <v>997</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2519</v>
      </c>
      <c r="B6006" s="21" t="s">
        <v>995</v>
      </c>
      <c r="C6006" s="21" t="s">
        <v>1028</v>
      </c>
      <c r="D6006" s="21" t="s">
        <v>997</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423</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1022</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1041</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1141</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1000</v>
      </c>
      <c r="B6011" s="21" t="s">
        <v>1142</v>
      </c>
      <c r="C6011" s="21" t="s">
        <v>996</v>
      </c>
      <c r="D6011" s="21" t="s">
        <v>997</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1723</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158</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1022</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1079</v>
      </c>
      <c r="B6015" s="21" t="s">
        <v>1114</v>
      </c>
      <c r="C6015" s="21" t="s">
        <v>1015</v>
      </c>
      <c r="D6015" s="21" t="s">
        <v>997</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1376</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2520</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1041</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1007</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1199</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1029</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1037</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2521</v>
      </c>
      <c r="B6023" s="21" t="s">
        <v>1005</v>
      </c>
      <c r="C6023" s="21" t="s">
        <v>1034</v>
      </c>
      <c r="D6023" s="21" t="s">
        <v>997</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1008</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1203</v>
      </c>
      <c r="B6025" s="21" t="s">
        <v>1010</v>
      </c>
      <c r="C6025" s="21" t="s">
        <v>1006</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1041</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1230</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1037</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2471</v>
      </c>
      <c r="B6029" s="21" t="s">
        <v>1142</v>
      </c>
      <c r="C6029" s="21" t="s">
        <v>1034</v>
      </c>
      <c r="D6029" s="21" t="s">
        <v>997</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2522</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1513</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1460</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2523</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1041</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737</v>
      </c>
      <c r="B6035" s="21" t="s">
        <v>1027</v>
      </c>
      <c r="C6035" s="21" t="s">
        <v>1015</v>
      </c>
      <c r="D6035" s="21" t="s">
        <v>997</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1634</v>
      </c>
      <c r="B6036" s="21" t="s">
        <v>1039</v>
      </c>
      <c r="C6036" s="21" t="s">
        <v>996</v>
      </c>
      <c r="D6036" s="21" t="s">
        <v>997</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423</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2524</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1082</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1083</v>
      </c>
      <c r="B6040" s="21" t="s">
        <v>1114</v>
      </c>
      <c r="C6040" s="21" t="s">
        <v>996</v>
      </c>
      <c r="D6040" s="21" t="s">
        <v>997</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1095</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2525</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1097</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1008</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1203</v>
      </c>
      <c r="B6045" s="21" t="s">
        <v>1088</v>
      </c>
      <c r="C6045" s="21" t="s">
        <v>1089</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1041</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1263</v>
      </c>
      <c r="B6047" s="21" t="s">
        <v>1045</v>
      </c>
      <c r="C6047" s="21" t="s">
        <v>996</v>
      </c>
      <c r="D6047" s="21" t="s">
        <v>997</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2526</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2527</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1082</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1083</v>
      </c>
      <c r="B6051" s="21" t="s">
        <v>1094</v>
      </c>
      <c r="C6051" s="21" t="s">
        <v>996</v>
      </c>
      <c r="D6051" s="21" t="s">
        <v>997</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2528</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1008</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1061</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1203</v>
      </c>
      <c r="B6055" s="21" t="s">
        <v>1182</v>
      </c>
      <c r="C6055" s="21" t="s">
        <v>1034</v>
      </c>
      <c r="D6055" s="21" t="s">
        <v>997</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1041</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1249</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1547</v>
      </c>
      <c r="B6058" s="21" t="s">
        <v>1094</v>
      </c>
      <c r="C6058" s="21" t="s">
        <v>996</v>
      </c>
      <c r="D6058" s="21" t="s">
        <v>997</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2529</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1022</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1547</v>
      </c>
      <c r="B6061" s="21" t="s">
        <v>1243</v>
      </c>
      <c r="C6061" s="21" t="s">
        <v>996</v>
      </c>
      <c r="D6061" s="21" t="s">
        <v>997</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998</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1060</v>
      </c>
      <c r="B6063" s="21" t="s">
        <v>1656</v>
      </c>
      <c r="C6063" s="21" t="s">
        <v>996</v>
      </c>
      <c r="D6063" s="21" t="s">
        <v>997</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2530</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1021</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1022</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1175</v>
      </c>
      <c r="B6067" s="21" t="s">
        <v>1653</v>
      </c>
      <c r="C6067" s="21" t="s">
        <v>1015</v>
      </c>
      <c r="D6067" s="21" t="s">
        <v>997</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423</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2531</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2187</v>
      </c>
      <c r="B6070" s="21" t="s">
        <v>1092</v>
      </c>
      <c r="C6070" s="21" t="s">
        <v>1006</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1022</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1767</v>
      </c>
      <c r="B6072" s="21" t="s">
        <v>1709</v>
      </c>
      <c r="C6072" s="21" t="s">
        <v>1015</v>
      </c>
      <c r="D6072" s="21" t="s">
        <v>997</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1003</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2166</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1011</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row>
    <row r="6077" spans="1:12">
      <c r="A6077" s="20" t="s">
        <v>2532</v>
      </c>
    </row>
    <row r="6078" spans="1:12">
      <c r="A6078" s="20" t="s">
        <v>2252</v>
      </c>
      <c r="B6078" s="21" t="s">
        <v>1067</v>
      </c>
      <c r="C6078" s="21" t="s">
        <v>1015</v>
      </c>
      <c r="D6078" s="21" t="s">
        <v>997</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1513</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1013</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1230</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1041</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1079</v>
      </c>
      <c r="B6083" s="21" t="s">
        <v>1142</v>
      </c>
      <c r="C6083" s="21" t="s">
        <v>1015</v>
      </c>
      <c r="D6083" s="21" t="s">
        <v>997</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1149</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1825</v>
      </c>
      <c r="B6085" s="21" t="s">
        <v>1005</v>
      </c>
      <c r="C6085" s="21" t="s">
        <v>1025</v>
      </c>
      <c r="D6085" s="21" t="s">
        <v>997</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1283</v>
      </c>
      <c r="B6086" s="21" t="s">
        <v>1067</v>
      </c>
      <c r="C6086" s="21" t="s">
        <v>1028</v>
      </c>
      <c r="D6086" s="21" t="s">
        <v>997</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1029</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1060</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2533</v>
      </c>
      <c r="B6089" s="21" t="s">
        <v>1005</v>
      </c>
      <c r="C6089" s="21" t="s">
        <v>1028</v>
      </c>
      <c r="D6089" s="21" t="s">
        <v>997</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1008</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2534</v>
      </c>
      <c r="B6091" s="21" t="s">
        <v>1010</v>
      </c>
      <c r="C6091" s="21" t="s">
        <v>1095</v>
      </c>
      <c r="D6091" s="21" t="s">
        <v>997</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2535</v>
      </c>
      <c r="B6092" s="21" t="s">
        <v>1024</v>
      </c>
      <c r="C6092" s="21" t="s">
        <v>1095</v>
      </c>
      <c r="D6092" s="21" t="s">
        <v>997</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1041</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1022</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1041</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1141</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1194</v>
      </c>
      <c r="B6097" s="21" t="s">
        <v>1114</v>
      </c>
      <c r="C6097" s="21" t="s">
        <v>1133</v>
      </c>
      <c r="D6097" s="21" t="s">
        <v>997</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2536</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1579</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1202</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1004</v>
      </c>
      <c r="B6101" s="21" t="s">
        <v>1088</v>
      </c>
      <c r="C6101" s="21" t="s">
        <v>1068</v>
      </c>
      <c r="D6101" s="21" t="s">
        <v>997</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1029</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2415</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1008</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565</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1061</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408</v>
      </c>
      <c r="B6107" s="21" t="s">
        <v>1043</v>
      </c>
      <c r="C6107" s="21" t="s">
        <v>1034</v>
      </c>
      <c r="D6107" s="21" t="s">
        <v>997</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1008</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1061</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1203</v>
      </c>
      <c r="B6110" s="21" t="s">
        <v>1092</v>
      </c>
      <c r="C6110" s="21" t="s">
        <v>1034</v>
      </c>
      <c r="D6110" s="21" t="s">
        <v>997</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1041</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737</v>
      </c>
      <c r="B6112" s="21" t="s">
        <v>1027</v>
      </c>
      <c r="C6112" s="21" t="s">
        <v>1015</v>
      </c>
      <c r="D6112" s="21" t="s">
        <v>997</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1189</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1060</v>
      </c>
      <c r="B6114" s="21" t="s">
        <v>1088</v>
      </c>
      <c r="C6114" s="21" t="s">
        <v>996</v>
      </c>
      <c r="D6114" s="21" t="s">
        <v>997</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2537</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1805</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1037</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1486</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2538</v>
      </c>
      <c r="B6119" s="21" t="s">
        <v>1010</v>
      </c>
      <c r="C6119" s="21" t="s">
        <v>1034</v>
      </c>
      <c r="D6119" s="21" t="s">
        <v>997</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1041</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1487</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1003</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2415</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1008</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1421</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1061</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1187</v>
      </c>
      <c r="B6127" s="21" t="s">
        <v>1301</v>
      </c>
      <c r="C6127" s="21" t="s">
        <v>1034</v>
      </c>
      <c r="D6127" s="21" t="s">
        <v>997</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1008</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1032</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1148</v>
      </c>
      <c r="B6130" s="21" t="s">
        <v>1182</v>
      </c>
      <c r="C6130" s="21" t="s">
        <v>1034</v>
      </c>
      <c r="D6130" s="21" t="s">
        <v>997</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1007</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1008</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1061</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2539</v>
      </c>
      <c r="B6134" s="21" t="s">
        <v>1092</v>
      </c>
      <c r="C6134" s="21" t="s">
        <v>1034</v>
      </c>
      <c r="D6134" s="21" t="s">
        <v>997</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1041</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2540</v>
      </c>
      <c r="B6136" s="21" t="s">
        <v>1027</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row>
    <row r="6138" spans="1:12">
      <c r="A6138" s="20" t="s">
        <v>2541</v>
      </c>
    </row>
    <row r="6139" spans="1:12">
      <c r="A6139" s="20" t="s">
        <v>2542</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1175</v>
      </c>
      <c r="B6140" s="21" t="s">
        <v>995</v>
      </c>
      <c r="C6140" s="21" t="s">
        <v>1015</v>
      </c>
      <c r="D6140" s="21" t="s">
        <v>997</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423</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1018</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2543</v>
      </c>
      <c r="B6143" s="21" t="s">
        <v>1067</v>
      </c>
      <c r="C6143" s="21" t="s">
        <v>1089</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2544</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1008</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1037</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2545</v>
      </c>
      <c r="B6147" s="21" t="s">
        <v>1067</v>
      </c>
      <c r="C6147" s="21" t="s">
        <v>1034</v>
      </c>
      <c r="D6147" s="21" t="s">
        <v>997</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1022</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1008</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2546</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1008</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1060</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2547</v>
      </c>
      <c r="B6153" s="21" t="s">
        <v>1001</v>
      </c>
      <c r="C6153" s="21" t="s">
        <v>1006</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1049</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2548</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1083</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1084</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1154</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1190</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1057</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1029</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158</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1011</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row>
    <row r="6165" spans="1:12">
      <c r="A6165" s="20" t="s">
        <v>2549</v>
      </c>
    </row>
    <row r="6166" spans="1:12">
      <c r="A6166" s="20" t="s">
        <v>741</v>
      </c>
      <c r="B6166" s="21" t="s">
        <v>1067</v>
      </c>
      <c r="C6166" s="21" t="s">
        <v>1095</v>
      </c>
      <c r="D6166" s="21" t="s">
        <v>997</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1513</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1880</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1190</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1041</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1037</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2180</v>
      </c>
      <c r="B6172" s="21" t="s">
        <v>1005</v>
      </c>
      <c r="C6172" s="21" t="s">
        <v>1034</v>
      </c>
      <c r="D6172" s="21" t="s">
        <v>997</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2314</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2550</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1069</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2551</v>
      </c>
      <c r="B6176" s="21" t="s">
        <v>1024</v>
      </c>
      <c r="C6176" s="21" t="s">
        <v>1006</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2552</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2553</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row>
    <row r="6180" spans="1:12">
      <c r="A6180" s="20" t="s">
        <v>2554</v>
      </c>
    </row>
    <row r="6181" spans="1:12">
      <c r="A6181" s="20" t="s">
        <v>2555</v>
      </c>
      <c r="B6181" s="21" t="s">
        <v>1067</v>
      </c>
      <c r="C6181" s="21" t="s">
        <v>1006</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12</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1823</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1041</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1141</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1037</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2005</v>
      </c>
      <c r="B6187" s="21" t="s">
        <v>1142</v>
      </c>
      <c r="C6187" s="21" t="s">
        <v>1095</v>
      </c>
      <c r="D6187" s="21" t="s">
        <v>997</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2556</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48</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1052</v>
      </c>
      <c r="B6190" s="21" t="s">
        <v>1001</v>
      </c>
      <c r="C6190" s="21" t="s">
        <v>1295</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1008</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1054</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1191</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2353</v>
      </c>
      <c r="B6194" s="21" t="s">
        <v>1005</v>
      </c>
      <c r="C6194" s="21" t="s">
        <v>1006</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1082</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1855</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12</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1079</v>
      </c>
      <c r="B6198" s="21" t="s">
        <v>1142</v>
      </c>
      <c r="C6198" s="21" t="s">
        <v>1015</v>
      </c>
      <c r="D6198" s="21" t="s">
        <v>997</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1095</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1149</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1097</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1141</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2557</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1011</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row>
    <row r="6206" spans="1:12">
      <c r="A6206" s="20" t="s">
        <v>2558</v>
      </c>
    </row>
    <row r="6207" spans="1:12">
      <c r="A6207" s="20" t="s">
        <v>1614</v>
      </c>
      <c r="B6207" s="21" t="s">
        <v>995</v>
      </c>
      <c r="C6207" s="21" t="s">
        <v>1015</v>
      </c>
      <c r="D6207" s="21" t="s">
        <v>997</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1095</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2559</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1097</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1037</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1486</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2560</v>
      </c>
      <c r="B6213" s="21" t="s">
        <v>1101</v>
      </c>
      <c r="C6213" s="21" t="s">
        <v>1034</v>
      </c>
      <c r="D6213" s="21" t="s">
        <v>997</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1008</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2536</v>
      </c>
      <c r="B6215" s="21" t="s">
        <v>1005</v>
      </c>
      <c r="C6215" s="21" t="s">
        <v>1006</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1069</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1340</v>
      </c>
      <c r="B6217" s="21" t="s">
        <v>1067</v>
      </c>
      <c r="C6217" s="21" t="s">
        <v>1006</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1011</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row>
    <row r="6220" spans="1:12">
      <c r="A6220" s="20" t="s">
        <v>2561</v>
      </c>
    </row>
    <row r="6221" spans="1:12">
      <c r="A6221" s="20" t="s">
        <v>1304</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1090</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1037</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1560</v>
      </c>
      <c r="B6224" s="21" t="s">
        <v>995</v>
      </c>
      <c r="C6224" s="21" t="s">
        <v>1034</v>
      </c>
      <c r="D6224" s="21" t="s">
        <v>997</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2562</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1226</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1095</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1097</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110</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1003</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2014</v>
      </c>
      <c r="B6231" s="21" t="s">
        <v>1067</v>
      </c>
      <c r="C6231" s="21" t="s">
        <v>1006</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1041</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1007</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1194</v>
      </c>
      <c r="B6234" s="21" t="s">
        <v>1142</v>
      </c>
      <c r="C6234" s="21" t="s">
        <v>1133</v>
      </c>
      <c r="D6234" s="21" t="s">
        <v>997</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1791</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1462</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1008</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2563</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1505</v>
      </c>
      <c r="B6239" s="21" t="s">
        <v>1001</v>
      </c>
      <c r="C6239" s="21" t="s">
        <v>1089</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1041</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1175</v>
      </c>
      <c r="B6241" s="21" t="s">
        <v>1142</v>
      </c>
      <c r="C6241" s="21" t="s">
        <v>1015</v>
      </c>
      <c r="D6241" s="21" t="s">
        <v>997</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423</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1544</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1000</v>
      </c>
      <c r="B6244" s="21" t="s">
        <v>1027</v>
      </c>
      <c r="C6244" s="21" t="s">
        <v>996</v>
      </c>
      <c r="D6244" s="21" t="s">
        <v>997</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1441</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1305</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1146</v>
      </c>
      <c r="B6247" s="21" t="s">
        <v>1039</v>
      </c>
      <c r="C6247" s="21" t="s">
        <v>1239</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1008</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1097</v>
      </c>
      <c r="B6249" s="21" t="s">
        <v>1024</v>
      </c>
      <c r="C6249" s="21" t="s">
        <v>1006</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2520</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1041</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1007</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1022</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1000</v>
      </c>
      <c r="B6254" s="21" t="s">
        <v>1142</v>
      </c>
      <c r="C6254" s="21" t="s">
        <v>996</v>
      </c>
      <c r="D6254" s="21" t="s">
        <v>997</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2564</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1008</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1061</v>
      </c>
      <c r="B6257" s="21" t="s">
        <v>1039</v>
      </c>
      <c r="C6257" s="21" t="s">
        <v>996</v>
      </c>
      <c r="D6257" s="21" t="s">
        <v>997</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2565</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1011</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row>
    <row r="6261" spans="1:12">
      <c r="A6261" s="20" t="s">
        <v>2566</v>
      </c>
    </row>
    <row r="6262" spans="1:12">
      <c r="A6262" s="20" t="s">
        <v>1234</v>
      </c>
      <c r="B6262" s="21" t="s">
        <v>995</v>
      </c>
      <c r="C6262" s="21" t="s">
        <v>1015</v>
      </c>
      <c r="D6262" s="21" t="s">
        <v>997</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423</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2567</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737</v>
      </c>
      <c r="B6265" s="21" t="s">
        <v>1067</v>
      </c>
      <c r="C6265" s="21" t="s">
        <v>1015</v>
      </c>
      <c r="D6265" s="21" t="s">
        <v>997</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1041</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1049</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1922</v>
      </c>
      <c r="B6268" s="21" t="s">
        <v>1067</v>
      </c>
      <c r="C6268" s="21" t="s">
        <v>1133</v>
      </c>
      <c r="D6268" s="21" t="s">
        <v>997</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1041</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1080</v>
      </c>
      <c r="B6270" s="21" t="s">
        <v>1142</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423</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1008</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1061</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2568</v>
      </c>
      <c r="B6274" s="21" t="s">
        <v>1067</v>
      </c>
      <c r="C6274" s="21" t="s">
        <v>1034</v>
      </c>
      <c r="D6274" s="21" t="s">
        <v>997</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1011</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row>
    <row r="6277" spans="1:12">
      <c r="A6277" s="20" t="s">
        <v>2569</v>
      </c>
    </row>
    <row r="6278" spans="1:12">
      <c r="A6278" s="20" t="s">
        <v>2570</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1141</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1194</v>
      </c>
      <c r="B6280" s="21" t="s">
        <v>995</v>
      </c>
      <c r="C6280" s="21" t="s">
        <v>1133</v>
      </c>
      <c r="D6280" s="21" t="s">
        <v>997</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423</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1137</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1377</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1008</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1032</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1728</v>
      </c>
      <c r="B6286" s="21" t="s">
        <v>1067</v>
      </c>
      <c r="C6286" s="21" t="s">
        <v>1034</v>
      </c>
      <c r="D6286" s="21" t="s">
        <v>997</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1041</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1007</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1022</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1079</v>
      </c>
      <c r="B6290" s="21" t="s">
        <v>1067</v>
      </c>
      <c r="C6290" s="21" t="s">
        <v>1015</v>
      </c>
      <c r="D6290" s="21" t="s">
        <v>997</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1082</v>
      </c>
      <c r="B6291" s="21" t="s">
        <v>1039</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1194</v>
      </c>
      <c r="B6292" s="21" t="s">
        <v>1027</v>
      </c>
      <c r="C6292" s="21" t="s">
        <v>1133</v>
      </c>
      <c r="D6292" s="21" t="s">
        <v>997</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2571</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1175</v>
      </c>
      <c r="B6294" s="21" t="s">
        <v>1027</v>
      </c>
      <c r="C6294" s="21" t="s">
        <v>1015</v>
      </c>
      <c r="D6294" s="21" t="s">
        <v>997</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423</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1032</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2572</v>
      </c>
      <c r="B6297" s="21" t="s">
        <v>1005</v>
      </c>
      <c r="C6297" s="21" t="s">
        <v>1034</v>
      </c>
      <c r="D6297" s="21" t="s">
        <v>997</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1008</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1061</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809</v>
      </c>
      <c r="B6300" s="21" t="s">
        <v>1010</v>
      </c>
      <c r="C6300" s="21" t="s">
        <v>1034</v>
      </c>
      <c r="D6300" s="21" t="s">
        <v>997</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1041</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1007</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1022</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737</v>
      </c>
      <c r="B6304" s="21" t="s">
        <v>1114</v>
      </c>
      <c r="C6304" s="21" t="s">
        <v>1015</v>
      </c>
      <c r="D6304" s="21" t="s">
        <v>997</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1189</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110</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1137</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2275</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2187</v>
      </c>
      <c r="B6309" s="21" t="s">
        <v>1024</v>
      </c>
      <c r="C6309" s="21" t="s">
        <v>1006</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1011</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row>
    <row r="6312" spans="1:12">
      <c r="A6312" s="20" t="s">
        <v>2573</v>
      </c>
    </row>
    <row r="6313" spans="1:12">
      <c r="A6313" s="20" t="s">
        <v>994</v>
      </c>
      <c r="B6313" s="21" t="s">
        <v>995</v>
      </c>
      <c r="C6313" s="21" t="s">
        <v>996</v>
      </c>
      <c r="D6313" s="21" t="s">
        <v>997</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2529</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1082</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1194</v>
      </c>
      <c r="B6316" s="21" t="s">
        <v>1142</v>
      </c>
      <c r="C6316" s="21" t="s">
        <v>1133</v>
      </c>
      <c r="D6316" s="21" t="s">
        <v>997</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1393</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2415</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1054</v>
      </c>
      <c r="B6319" s="21" t="s">
        <v>1039</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1008</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1042</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1042</v>
      </c>
      <c r="B6322" s="21" t="s">
        <v>1024</v>
      </c>
      <c r="C6322" s="21" t="s">
        <v>1089</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1080</v>
      </c>
      <c r="B6323" s="21" t="s">
        <v>1094</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1638</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1041</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2574</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1041</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2575</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1250</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1325</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2576</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1011</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row>
    <row r="6334" spans="1:12">
      <c r="A6334" s="20" t="s">
        <v>1457</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2577</v>
      </c>
    </row>
    <row r="6336" spans="1:12">
      <c r="A6336" s="20" t="s">
        <v>1210</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1060</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2578</v>
      </c>
      <c r="B6338" s="21" t="s">
        <v>1142</v>
      </c>
      <c r="C6338" s="21" t="s">
        <v>1034</v>
      </c>
      <c r="D6338" s="21" t="s">
        <v>997</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1022</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1000</v>
      </c>
      <c r="B6340" s="21" t="s">
        <v>1114</v>
      </c>
      <c r="C6340" s="21" t="s">
        <v>996</v>
      </c>
      <c r="D6340" s="21" t="s">
        <v>997</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2579</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1041</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1175</v>
      </c>
      <c r="B6343" s="21" t="s">
        <v>1142</v>
      </c>
      <c r="C6343" s="21" t="s">
        <v>1015</v>
      </c>
      <c r="D6343" s="21" t="s">
        <v>997</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423</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1460</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2580</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1060</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1004</v>
      </c>
      <c r="B6348" s="21" t="s">
        <v>1001</v>
      </c>
      <c r="C6348" s="21" t="s">
        <v>1034</v>
      </c>
      <c r="D6348" s="21" t="s">
        <v>997</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2062</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2581</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1460</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1041</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1230</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2582</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1037</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2159</v>
      </c>
      <c r="B6356" s="21" t="s">
        <v>995</v>
      </c>
      <c r="C6356" s="21" t="s">
        <v>1034</v>
      </c>
      <c r="D6356" s="21" t="s">
        <v>997</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2366</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1077</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1061</v>
      </c>
      <c r="B6359" s="21" t="s">
        <v>1001</v>
      </c>
      <c r="C6359" s="21" t="s">
        <v>996</v>
      </c>
      <c r="D6359" s="21" t="s">
        <v>997</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322</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1011</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row>
    <row r="6363" spans="1:12">
      <c r="A6363" s="20" t="s">
        <v>2583</v>
      </c>
    </row>
    <row r="6364" spans="1:12">
      <c r="A6364" s="20" t="s">
        <v>1338</v>
      </c>
      <c r="B6364" s="21" t="s">
        <v>1067</v>
      </c>
      <c r="C6364" s="21" t="s">
        <v>1015</v>
      </c>
      <c r="D6364" s="21" t="s">
        <v>997</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1022</v>
      </c>
      <c r="B6365" s="21" t="s">
        <v>1088</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1547</v>
      </c>
      <c r="B6366" s="21" t="s">
        <v>1027</v>
      </c>
      <c r="C6366" s="21" t="s">
        <v>996</v>
      </c>
      <c r="D6366" s="21" t="s">
        <v>997</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1548</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338</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1041</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1175</v>
      </c>
      <c r="B6370" s="21" t="s">
        <v>995</v>
      </c>
      <c r="C6370" s="21" t="s">
        <v>1015</v>
      </c>
      <c r="D6370" s="21" t="s">
        <v>997</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423</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1022</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1044</v>
      </c>
      <c r="B6373" s="21" t="s">
        <v>1142</v>
      </c>
      <c r="C6373" s="21" t="s">
        <v>996</v>
      </c>
      <c r="D6373" s="21" t="s">
        <v>997</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1805</v>
      </c>
      <c r="B6374" s="21" t="s">
        <v>1005</v>
      </c>
      <c r="C6374" s="21" t="s">
        <v>1133</v>
      </c>
      <c r="D6374" s="21" t="s">
        <v>997</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1041</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1462</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1041</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1044</v>
      </c>
      <c r="B6378" s="21" t="s">
        <v>1001</v>
      </c>
      <c r="C6378" s="21" t="s">
        <v>996</v>
      </c>
      <c r="D6378" s="21" t="s">
        <v>997</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1430</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1044</v>
      </c>
      <c r="B6380" s="21" t="s">
        <v>1039</v>
      </c>
      <c r="C6380" s="21" t="s">
        <v>996</v>
      </c>
      <c r="D6380" s="21" t="s">
        <v>997</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322</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1008</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2584</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2020</v>
      </c>
      <c r="B6384" s="21" t="s">
        <v>1112</v>
      </c>
      <c r="C6384" s="21" t="s">
        <v>1025</v>
      </c>
      <c r="D6384" s="21" t="s">
        <v>997</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1004</v>
      </c>
      <c r="B6385" s="21" t="s">
        <v>1088</v>
      </c>
      <c r="C6385" s="21" t="s">
        <v>1028</v>
      </c>
      <c r="D6385" s="21" t="s">
        <v>997</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30</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1717</v>
      </c>
      <c r="B6387" s="21" t="s">
        <v>1112</v>
      </c>
      <c r="C6387" s="21" t="s">
        <v>1295</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1054</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2576</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1041</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2116</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960</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2020</v>
      </c>
      <c r="B6393" s="21" t="s">
        <v>1112</v>
      </c>
      <c r="C6393" s="21" t="s">
        <v>1025</v>
      </c>
      <c r="D6393" s="21" t="s">
        <v>997</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2585</v>
      </c>
      <c r="B6394" s="21" t="s">
        <v>1088</v>
      </c>
      <c r="C6394" s="21" t="s">
        <v>1028</v>
      </c>
      <c r="D6394" s="21" t="s">
        <v>997</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1008</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2012</v>
      </c>
      <c r="B6396" s="21" t="s">
        <v>1112</v>
      </c>
      <c r="C6396" s="21" t="s">
        <v>1006</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1011</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row>
    <row r="6399" spans="1:12">
      <c r="A6399" s="20" t="s">
        <v>2586</v>
      </c>
    </row>
    <row r="6400" spans="1:12">
      <c r="A6400" s="20" t="s">
        <v>1163</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2587</v>
      </c>
      <c r="B6401" s="21" t="s">
        <v>995</v>
      </c>
      <c r="C6401" s="21" t="s">
        <v>1034</v>
      </c>
      <c r="D6401" s="21" t="s">
        <v>997</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1149</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1049</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1065</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1051</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1052</v>
      </c>
      <c r="B6406" s="21" t="s">
        <v>1067</v>
      </c>
      <c r="C6406" s="21" t="s">
        <v>1068</v>
      </c>
      <c r="D6406" s="21" t="s">
        <v>997</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t="s">
        <v>1008</v>
      </c>
      <c r="E6407" s="22">
        <f>IF(D6407="?OLD","!!!","")</f>
        <v/>
      </c>
      <c r="F6407" s="23" t="str">
        <f>IF(OR(E6407="",E6407="!!!"),"",IF(NOT(ISNA(VLOOKUP(E6407,E$1:E6406,1,FALSE()))),"OLD",IF(AND(E6407&lt;&gt;"",E6407&lt;&gt;"!!!"),"NEW","")))</f>
        <v> </v>
      </c>
      <c r="G6407" s="24" t="str">
        <f>IF(OR(E6407="",E6407="!!!"),"",IF(OR(J6407=0,AND(J6407=1,K6407=1),AND(J6407=1,I6407="SBJ"),AND(J6407=1,I6407=0)),"?IN_FOCUS",IF(J6407&lt;=2,"?ACTIVATED",IF(J6407&lt;&gt;"","?FAMILIAR",IF(F6407="NEW",IF(ISNA(VLOOKUP(E6407,#REF!,1,FALSE())),"?TYPE_IDENTIFIABLE","?REFERENTIAL"),"_")))))</f>
        <v> </v>
      </c>
      <c r="H6407" s="25" t="str">
        <f>IF(J6407&lt;&gt;1,"",IF(I6407="SBJ","CB","?"))</f>
        <v> </v>
      </c>
      <c r="I6407" s="26" t="str">
        <f>IF(OR(E6407="",E6407="!!!",F6407="NEW"),"",INDEX(B6406:B$2,-1+SUMPRODUCT(MAX(ROW(E6406:E$2)*(E6407=E6406:E$2)))))</f>
        <v> </v>
      </c>
      <c r="J6407" s="26" t="str">
        <f>IF(OR(E6407="",E6407="!!!",F6407="NEW"),"",COUNTBLANK(OFFSET(A$1,,,SUMPRODUCT(MAX(ROW(E$2:E6407)*(E6407=E$2:E6407)))))-COUNTBLANK(OFFSET(A$1,,,SUMPRODUCT(MAX(ROW(E$1:E6406)*(E2=E$1:E6406))))))</f>
        <v> </v>
      </c>
      <c r="K6407" s="26" t="str">
        <f>IF(OR(E6407="",E6407="!!!",F6407="NEW"),"",INDEX(J$1:J6406,SUMPRODUCT(MAX(ROW(E$1:E6406)*(E6407=E$1:E6406)))))</f>
        <v> </v>
      </c>
      <c r="L6407" s="27"/>
    </row>
    <row r="6408" spans="1:12">
      <c r="A6408" s="20" t="s">
        <v>1560</v>
      </c>
      <c r="B6408" s="21" t="s">
        <v>1005</v>
      </c>
      <c r="C6408" s="21" t="s">
        <v>1006</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t="s">
        <v>1011</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row>
    <row r="6411" spans="1:12">
      <c r="A6411" s="20" t="s">
        <v>2588</v>
      </c>
    </row>
    <row r="6412" spans="1:12">
      <c r="A6412" s="20" t="s">
        <v>1013</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1168</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2535</v>
      </c>
      <c r="B6414" s="21" t="s">
        <v>995</v>
      </c>
      <c r="C6414" s="21" t="s">
        <v>1095</v>
      </c>
      <c r="D6414" s="21" t="s">
        <v>997</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1154</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2589</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1011</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row>
    <row r="6419" spans="1:12">
      <c r="A6419" s="20" t="s">
        <v>1457</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2590</v>
      </c>
    </row>
    <row r="6421" spans="1:12">
      <c r="A6421" s="20" t="s">
        <v>2591</v>
      </c>
      <c r="B6421" s="21" t="s">
        <v>1005</v>
      </c>
      <c r="C6421" s="21" t="s">
        <v>1025</v>
      </c>
      <c r="D6421" s="21" t="s">
        <v>997</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2592</v>
      </c>
      <c r="B6422" s="21" t="s">
        <v>1067</v>
      </c>
      <c r="C6422" s="21" t="s">
        <v>1028</v>
      </c>
      <c r="D6422" s="21" t="s">
        <v>997</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1041</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2494</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1041</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1175</v>
      </c>
      <c r="B6426" s="21" t="s">
        <v>995</v>
      </c>
      <c r="C6426" s="21" t="s">
        <v>1015</v>
      </c>
      <c r="D6426" s="21" t="s">
        <v>997</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423</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1008</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2593</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1460</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2594</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1095</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2595</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2312</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1278</v>
      </c>
      <c r="B6435" s="21" t="s">
        <v>1027</v>
      </c>
      <c r="C6435" s="21" t="s">
        <v>1133</v>
      </c>
      <c r="D6435" s="21" t="s">
        <v>997</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1097</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1054</v>
      </c>
      <c r="B6437" s="21" t="s">
        <v>1039</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1008</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2596</v>
      </c>
      <c r="B6439" s="21" t="s">
        <v>1024</v>
      </c>
      <c r="C6439" s="21" t="s">
        <v>1095</v>
      </c>
      <c r="D6439" s="21" t="s">
        <v>997</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2597</v>
      </c>
      <c r="B6440" s="21" t="s">
        <v>1112</v>
      </c>
      <c r="C6440" s="21" t="s">
        <v>1095</v>
      </c>
      <c r="D6440" s="21" t="s">
        <v>997</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1011</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1460</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row>
    <row r="6444" spans="1:12">
      <c r="A6444" s="20" t="s">
        <v>2598</v>
      </c>
    </row>
    <row r="6445" spans="1:12">
      <c r="A6445" s="20" t="s">
        <v>1099</v>
      </c>
      <c r="B6445" s="21" t="s">
        <v>995</v>
      </c>
      <c r="C6445" s="21" t="s">
        <v>996</v>
      </c>
      <c r="D6445" s="21" t="s">
        <v>997</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423</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1670</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1041</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1029</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1340</v>
      </c>
      <c r="B6450" s="21" t="s">
        <v>1067</v>
      </c>
      <c r="C6450" s="21" t="s">
        <v>1006</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1008</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1060</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2599</v>
      </c>
      <c r="B6453" s="21" t="s">
        <v>1067</v>
      </c>
      <c r="C6453" s="21" t="s">
        <v>1034</v>
      </c>
      <c r="D6453" s="21" t="s">
        <v>997</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1003</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2166</v>
      </c>
      <c r="B6455" s="21" t="s">
        <v>1005</v>
      </c>
      <c r="C6455" s="21" t="s">
        <v>1006</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1041</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2600</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2601</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1581</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1061</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2602</v>
      </c>
      <c r="B6461" s="21" t="s">
        <v>1005</v>
      </c>
      <c r="C6461" s="21" t="s">
        <v>1034</v>
      </c>
      <c r="D6461" s="21" t="s">
        <v>997</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1008</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1037</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2464</v>
      </c>
      <c r="B6464" s="21" t="s">
        <v>1010</v>
      </c>
      <c r="C6464" s="21" t="s">
        <v>1034</v>
      </c>
      <c r="D6464" s="21" t="s">
        <v>997</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1041</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1249</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1083</v>
      </c>
      <c r="B6467" s="21" t="s">
        <v>1027</v>
      </c>
      <c r="C6467" s="21" t="s">
        <v>996</v>
      </c>
      <c r="D6467" s="21" t="s">
        <v>997</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1154</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2048</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1022</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1175</v>
      </c>
      <c r="B6471" s="21" t="s">
        <v>1114</v>
      </c>
      <c r="C6471" s="21" t="s">
        <v>1015</v>
      </c>
      <c r="D6471" s="21" t="s">
        <v>997</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423</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1144</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2603</v>
      </c>
      <c r="B6474" s="21" t="s">
        <v>1010</v>
      </c>
      <c r="C6474" s="21" t="s">
        <v>1089</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1104</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2604</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1041</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1230</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1041</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1083</v>
      </c>
      <c r="B6480" s="21" t="s">
        <v>1045</v>
      </c>
      <c r="C6480" s="21" t="s">
        <v>996</v>
      </c>
      <c r="D6480" s="21" t="s">
        <v>997</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2605</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1196</v>
      </c>
      <c r="B6482" s="21" t="s">
        <v>1182</v>
      </c>
      <c r="C6482" s="21" t="s">
        <v>1025</v>
      </c>
      <c r="D6482" s="21" t="s">
        <v>997</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2592</v>
      </c>
      <c r="B6483" s="21" t="s">
        <v>1301</v>
      </c>
      <c r="C6483" s="21" t="s">
        <v>1028</v>
      </c>
      <c r="D6483" s="21" t="s">
        <v>997</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1008</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2596</v>
      </c>
      <c r="B6485" s="21" t="s">
        <v>1182</v>
      </c>
      <c r="C6485" s="21" t="s">
        <v>1095</v>
      </c>
      <c r="D6485" s="21" t="s">
        <v>997</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2606</v>
      </c>
      <c r="B6486" s="21" t="s">
        <v>1092</v>
      </c>
      <c r="C6486" s="21" t="s">
        <v>1095</v>
      </c>
      <c r="D6486" s="21" t="s">
        <v>997</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1059</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2607</v>
      </c>
      <c r="B6488" s="21" t="s">
        <v>1709</v>
      </c>
      <c r="C6488" s="21" t="s">
        <v>1006</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1041</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1083</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1084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1154</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1305</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1146</v>
      </c>
      <c r="B6494" s="21" t="s">
        <v>1656</v>
      </c>
      <c r="C6494" s="21" t="s">
        <v>1239</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1080</v>
      </c>
      <c r="B6495" s="21" t="s">
        <v>1673</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1095</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1585</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1966</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1097</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2608</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1011</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row>
    <row r="6503" spans="1:12">
      <c r="A6503" s="20" t="s">
        <v>2609</v>
      </c>
    </row>
    <row r="6504" spans="1:12">
      <c r="A6504" s="20" t="s">
        <v>1234</v>
      </c>
      <c r="B6504" s="21" t="s">
        <v>995</v>
      </c>
      <c r="C6504" s="21" t="s">
        <v>1015</v>
      </c>
      <c r="D6504" s="21" t="s">
        <v>997</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423</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2610</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1008</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256</v>
      </c>
      <c r="B6508" s="21" t="s">
        <v>1142</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1029</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1241</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2611</v>
      </c>
      <c r="B6511" s="21" t="s">
        <v>1010</v>
      </c>
      <c r="C6511" s="21" t="s">
        <v>1239</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1032</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2612</v>
      </c>
      <c r="B6513" s="21" t="s">
        <v>1039</v>
      </c>
      <c r="C6513" s="21" t="s">
        <v>1095</v>
      </c>
      <c r="D6513" s="21" t="s">
        <v>997</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423</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1019</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2613</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1011</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row>
    <row r="6519" spans="1:12">
      <c r="A6519" s="20" t="s">
        <v>2614</v>
      </c>
    </row>
    <row r="6520" spans="1:12">
      <c r="A6520" s="20" t="s">
        <v>2252</v>
      </c>
      <c r="B6520" s="21" t="s">
        <v>1067</v>
      </c>
      <c r="C6520" s="21" t="s">
        <v>1015</v>
      </c>
      <c r="D6520" s="21" t="s">
        <v>997</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1513</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1013</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1190</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725</v>
      </c>
      <c r="B6524" s="21" t="s">
        <v>1005</v>
      </c>
      <c r="C6524" s="21" t="s">
        <v>1095</v>
      </c>
      <c r="D6524" s="21" t="s">
        <v>997</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1041</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1547</v>
      </c>
      <c r="B6526" s="21" t="s">
        <v>1142</v>
      </c>
      <c r="C6526" s="21" t="s">
        <v>996</v>
      </c>
      <c r="D6526" s="21" t="s">
        <v>997</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1667</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1022</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1547</v>
      </c>
      <c r="B6529" s="21" t="s">
        <v>1027</v>
      </c>
      <c r="C6529" s="21" t="s">
        <v>996</v>
      </c>
      <c r="D6529" s="21" t="s">
        <v>997</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1791</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1029</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1061</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2615</v>
      </c>
      <c r="B6533" s="21" t="s">
        <v>1010</v>
      </c>
      <c r="C6533" s="21" t="s">
        <v>1034</v>
      </c>
      <c r="D6533" s="21" t="s">
        <v>997</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1008</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1032</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2160</v>
      </c>
      <c r="B6536" s="21" t="s">
        <v>1112</v>
      </c>
      <c r="C6536" s="21" t="s">
        <v>1006</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1008</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1037</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1560</v>
      </c>
      <c r="B6539" s="21" t="s">
        <v>1112</v>
      </c>
      <c r="C6539" s="21" t="s">
        <v>1034</v>
      </c>
      <c r="D6539" s="21" t="s">
        <v>997</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1462</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1069</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2616</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1022</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1263</v>
      </c>
      <c r="B6544" s="21" t="s">
        <v>1045</v>
      </c>
      <c r="C6544" s="21" t="s">
        <v>996</v>
      </c>
      <c r="D6544" s="21" t="s">
        <v>997</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2444</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1270</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1022</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2617</v>
      </c>
      <c r="B6548" s="21" t="s">
        <v>1092</v>
      </c>
      <c r="C6548" s="21" t="s">
        <v>1025</v>
      </c>
      <c r="D6548" s="21" t="s">
        <v>997</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2131</v>
      </c>
      <c r="B6549" s="21" t="s">
        <v>1094</v>
      </c>
      <c r="C6549" s="21" t="s">
        <v>1028</v>
      </c>
      <c r="D6549" s="21" t="s">
        <v>997</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2197</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1207</v>
      </c>
      <c r="B6551" s="21" t="s">
        <v>1043</v>
      </c>
      <c r="C6551" s="21" t="s">
        <v>1006</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1011</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row>
    <row r="6554" spans="1:12">
      <c r="A6554" s="20" t="s">
        <v>2618</v>
      </c>
    </row>
    <row r="6555" spans="1:12">
      <c r="A6555" s="20" t="s">
        <v>2205</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1250</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1011</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row>
    <row r="6559" spans="1:12">
      <c r="A6559" s="20" t="s">
        <v>2619</v>
      </c>
    </row>
    <row r="6560" spans="1:12">
      <c r="A6560" s="20" t="s">
        <v>741</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1513</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994</v>
      </c>
      <c r="B6562" s="21" t="s">
        <v>1142</v>
      </c>
      <c r="C6562" s="21" t="s">
        <v>996</v>
      </c>
      <c r="D6562" s="21" t="s">
        <v>997</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1000</v>
      </c>
      <c r="B6563" s="21" t="s">
        <v>1001</v>
      </c>
      <c r="C6563" s="21" t="s">
        <v>996</v>
      </c>
      <c r="D6563" s="21" t="s">
        <v>997</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2620</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1011</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2024-07-05T08:22:38Z</dcterms:created>
  <dcterms:modified xsi:type="dcterms:W3CDTF">2024-07-05T08:22:38Z</dcterms:modified>
</cp:coreProperties>
</file>