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<sst xmlns="http://schemas.openxmlformats.org/spreadsheetml/2006/main" count="13399" uniqueCount="2615">
  <si>
    <t>ID</t>
  </si>
  <si>
    <t>PRED_ID</t>
  </si>
  <si>
    <t>MARKER_AUTO</t>
  </si>
  <si>
    <t>PREDICATE</t>
  </si>
  <si>
    <t>TEXT</t>
  </si>
  <si>
    <t>SENTENCE</t>
  </si>
  <si>
    <t>MARKER</t>
  </si>
  <si>
    <t>TARGET</t>
  </si>
  <si>
    <t>RELATION</t>
  </si>
  <si>
    <t>COMMENT</t>
  </si>
  <si>
    <t>1</t>
  </si>
  <si>
    <t>3</t>
  </si>
  <si>
    <t>_</t>
  </si>
  <si>
    <t>sentir</t>
  </si>
  <si>
    <t>J' ai senti un enterrement dans ma tête</t>
  </si>
  <si>
    <t>file://conllu/fr/teddy-1323.conllu#s1_0</t>
  </si>
  <si>
    <t>2</t>
  </si>
  <si>
    <t>7</t>
  </si>
  <si>
    <t>et?</t>
  </si>
  <si>
    <t>aller</t>
  </si>
  <si>
    <t>Et les amis du de le défunt allaient et venaient , Continuaient à marcher , jusqu' à ce qu' il me semble Que ma raison s' en allait .</t>
  </si>
  <si>
    <t>file://conllu/fr/teddy-1323.conllu#s2_0</t>
  </si>
  <si>
    <t>quand?</t>
  </si>
  <si>
    <t>assir</t>
  </si>
  <si>
    <t>Et quand ils s' étaient tous assis</t>
  </si>
  <si>
    <t>file://conllu/fr/teddy-1323.conllu#s3_0</t>
  </si>
  <si>
    <t>4</t>
  </si>
  <si>
    <t>6</t>
  </si>
  <si>
    <t>battre</t>
  </si>
  <si>
    <t>Un office comme un tambour battait , battait , jusqu' à ce qu' il me semblait que mon esprit devenait paralysé .</t>
  </si>
  <si>
    <t>file://conllu/fr/teddy-1323.conllu#s4_0</t>
  </si>
  <si>
    <t>5</t>
  </si>
  <si>
    <t>et puis?</t>
  </si>
  <si>
    <t>entendre</t>
  </si>
  <si>
    <t>Et puis , je les ai entendus soulever une boîte et traverser mon âme en grinçant , avec encore ces mêmes bottes de plomb , puis tout s' est mis à sonner , comme si les cieux n' étaient qu' une cloche et l' existence n' était qu' une oreille et moi , et le silence , une espèce d' étrange race anéantie , solitaire , ici .</t>
  </si>
  <si>
    <t>file://conllu/fr/teddy-1323.conllu#s5_0</t>
  </si>
  <si>
    <t>11</t>
  </si>
  <si>
    <t>briser</t>
  </si>
  <si>
    <t>D' un coup , une planche de la raison se brisa , et je tombai , sans arrêt et heurtai un monde , à chaque chute et puis finis alors d' être consciente .</t>
  </si>
  <si>
    <t>file://conllu/fr/teddy-1323.conllu#s6_0</t>
  </si>
  <si>
    <t>à?</t>
  </si>
  <si>
    <t>comprenir</t>
  </si>
  <si>
    <t>» Nous comprenons la dépression à travers les métaphores .</t>
  </si>
  <si>
    <t>file://conllu/fr/teddy-1323.conllu#s7_0</t>
  </si>
  <si>
    <t>8</t>
  </si>
  <si>
    <t>arriver</t>
  </si>
  <si>
    <t>Emily Dickinson arrivait à la communiquer par des de les mots , Goya par une image .</t>
  </si>
  <si>
    <t>file://conllu/fr/teddy-1323.conllu#s8_0</t>
  </si>
  <si>
    <t>9</t>
  </si>
  <si>
    <t>en?</t>
  </si>
  <si>
    <t>être (être partie)</t>
  </si>
  <si>
    <t>Le but de l' art est , en partie , de décrire de tels états iconiques .</t>
  </si>
  <si>
    <t>file://conllu/fr/teddy-1323.conllu#s9_0</t>
  </si>
  <si>
    <t>10</t>
  </si>
  <si>
    <t>trouver</t>
  </si>
  <si>
    <t>Quant à moi , je m' étais toujours trouvé fort , parmi ceux qui pourraient survivre si on m' avait envoyé dans un camp de concentration .</t>
  </si>
  <si>
    <t>file://conllu/fr/teddy-1323.conllu#s10_0</t>
  </si>
  <si>
    <t>subir</t>
  </si>
  <si>
    <t>En 1991 , j' ai subi une série de pertes .</t>
  </si>
  <si>
    <t>file://conllu/fr/teddy-1323.conllu#s11_0</t>
  </si>
  <si>
    <t>12</t>
  </si>
  <si>
    <t>s'?</t>
  </si>
  <si>
    <t>mourir</t>
  </si>
  <si>
    <t>Ma mère est morte , une relation s' est terminée , je suis rentré aux à les États-Unis après quelques années à l' étranger , et je m' en suis sorti intact .</t>
  </si>
  <si>
    <t>file://conllu/fr/teddy-1323.conllu#s12_0</t>
  </si>
  <si>
    <t>13</t>
  </si>
  <si>
    <t>après?</t>
  </si>
  <si>
    <t>constater</t>
  </si>
  <si>
    <t>Mais en 1994 , trois ans après , j' ai constaté que je me désintéressais de tout .</t>
  </si>
  <si>
    <t>file://conllu/fr/teddy-1323.conllu#s13_0</t>
  </si>
  <si>
    <t>14</t>
  </si>
  <si>
    <t>voulais</t>
  </si>
  <si>
    <t>Je ne voulais plus faire les choses que j' avais voulu faire auparavant , et je ne savais pas pourquoi .</t>
  </si>
  <si>
    <t>file://conllu/fr/teddy-1323.conllu#s14_0</t>
  </si>
  <si>
    <t>15</t>
  </si>
  <si>
    <t>mais?</t>
  </si>
  <si>
    <t>être (être bonheur)</t>
  </si>
  <si>
    <t>Le contraire de la dépression n' est pas le bonheur , mais la vitalité , et c' était la vitalité qui paraissait me fuir à ce moment -là .</t>
  </si>
  <si>
    <t>file://conllu/fr/teddy-1323.conllu#s15_0</t>
  </si>
  <si>
    <t>16</t>
  </si>
  <si>
    <t>sembler</t>
  </si>
  <si>
    <t>Tout ce que j' avais à faire me semblait trop .</t>
  </si>
  <si>
    <t>file://conllu/fr/teddy-1323.conllu#s16_0</t>
  </si>
  <si>
    <t>17</t>
  </si>
  <si>
    <t>rentr</t>
  </si>
  <si>
    <t>Je rentrais à la maison et je voyais la lumière rouge du de le répondeur clignoter , et au à le lieu d' être ravi d' avoir des de les nouvelles des de les amis , je pensais : « Ça fait beaucoup de monde à rappeler .</t>
  </si>
  <si>
    <t>file://conllu/fr/teddy-1323.conllu#s17_0</t>
  </si>
  <si>
    <t>18</t>
  </si>
  <si>
    <t>ou?</t>
  </si>
  <si>
    <t>décider</t>
  </si>
  <si>
    <t>» Ou je décidais de prendre mon déjeuner , sauf qu' après , je pensais qu' il me faudrait sortir la nourriture , la mettre sur une assiette , la découper , la mastiquer , l' avaler , et c' était pour moi un supplice .</t>
  </si>
  <si>
    <t>file://conllu/fr/teddy-1323.conllu#s18_0</t>
  </si>
  <si>
    <t>19</t>
  </si>
  <si>
    <t>être</t>
  </si>
  <si>
    <t>Une chose qu' on néglige souvent lorsqu' on discute de la dépression , c' est qu' on est conscient que c' est ridicule .</t>
  </si>
  <si>
    <t>file://conllu/fr/teddy-1323.conllu#s19_0</t>
  </si>
  <si>
    <t>20</t>
  </si>
  <si>
    <t>alors?</t>
  </si>
  <si>
    <t>être (être conscient)</t>
  </si>
  <si>
    <t>On est conscient que c' est ridicule , alors qu' on l' éprouve .</t>
  </si>
  <si>
    <t>file://conllu/fr/teddy-1323.conllu#s20_0</t>
  </si>
  <si>
    <t>21</t>
  </si>
  <si>
    <t>On est conscient que la plupart des de les gens arrivent à écouter leurs messages et à déjeuner et à s' arranger pour prendre une douche et à quitter la maison et ce n' est pas si terrible , mais pourtant , on est sous son emprise et on est incapable de trouver une façon de la contourner .</t>
  </si>
  <si>
    <t>file://conllu/fr/teddy-1323.conllu#s21_0</t>
  </si>
  <si>
    <t>22</t>
  </si>
  <si>
    <t>rendre</t>
  </si>
  <si>
    <t>Et alors je me suis rendu compte que je faisais moins de choses , que je pensais moins , que je ressentais moins de choses .</t>
  </si>
  <si>
    <t>file://conllu/fr/teddy-1323.conllu#s22_0</t>
  </si>
  <si>
    <t>23</t>
  </si>
  <si>
    <t>être (être sorte)</t>
  </si>
  <si>
    <t>C' était une sorte de vide .</t>
  </si>
  <si>
    <t>file://conllu/fr/teddy-1323.conllu#s23_0</t>
  </si>
  <si>
    <t>24</t>
  </si>
  <si>
    <t>installer</t>
  </si>
  <si>
    <t>Et puis l' angoisse s' est installée .</t>
  </si>
  <si>
    <t>file://conllu/fr/teddy-1323.conllu#s24_0</t>
  </si>
  <si>
    <t>25</t>
  </si>
  <si>
    <t>si?</t>
  </si>
  <si>
    <t>répondr</t>
  </si>
  <si>
    <t>Si on me disait que je devais être en dépression durant tout le mois suivant , je répondrais : « Tant que je sais que ça sera fini en novembre , je peux y arriver .</t>
  </si>
  <si>
    <t>file://conllu/fr/teddy-1323.conllu#s25_0</t>
  </si>
  <si>
    <t>26</t>
  </si>
  <si>
    <t>plutôt?</t>
  </si>
  <si>
    <t>tailler</t>
  </si>
  <si>
    <t>» Mais si on me disait : « Durant le mois suivant , tu dois traverser une période d' angoisse aiguë , » je me taillerais les veines plutôt que de la subir .</t>
  </si>
  <si>
    <t>file://conllu/fr/teddy-1323.conllu#s26_0</t>
  </si>
  <si>
    <t>27</t>
  </si>
  <si>
    <t>comme?</t>
  </si>
  <si>
    <t>être (être sentiment)</t>
  </si>
  <si>
    <t>C' était toujours le même sentiment comme ce qu' on ressent quand on marche et qu' on trébuche ou qu' on glisse , et la terre fonce vers soi , mais plutôt que de durer normalement à peine une seconde , ça a duré six mois .</t>
  </si>
  <si>
    <t>file://conllu/fr/teddy-1323.conllu#s27_0</t>
  </si>
  <si>
    <t>28</t>
  </si>
  <si>
    <t>être (être sensation)</t>
  </si>
  <si>
    <t>C' est la sensation d' avoir peur tout le temps sans même savoir de quoi on a peur .</t>
  </si>
  <si>
    <t>file://conllu/fr/teddy-1323.conllu#s28_0</t>
  </si>
  <si>
    <t>29</t>
  </si>
  <si>
    <t>être (être moment)</t>
  </si>
  <si>
    <t>Et c' était à ce moment -là que j' ai commencé à croire que vivre faisait trop mal , et que la seule raison de ne pas se suicider , c' était afin d' éviter aux à les autres de souffrir .</t>
  </si>
  <si>
    <t>file://conllu/fr/teddy-1323.conllu#s29_0</t>
  </si>
  <si>
    <t>30</t>
  </si>
  <si>
    <t>finalement?</t>
  </si>
  <si>
    <t>réveiller</t>
  </si>
  <si>
    <t>Finalement un jour , je me suis réveillé et j' ai cru avoir eu une attaque cérébrale , car j' étais étendu sur le lit , immobile , je regardais le téléphone , et j' ai pensé : « Il y a quelque chose qui cloche , je devrais appeler quelqu'un .</t>
  </si>
  <si>
    <t>file://conllu/fr/teddy-1323.conllu#s30_0</t>
  </si>
  <si>
    <t>31</t>
  </si>
  <si>
    <t>arrivoir</t>
  </si>
  <si>
    <t>» mais je n' arrivais pas à tendre le bras pour attraper le téléphone et composer un numéro .</t>
  </si>
  <si>
    <t>file://conllu/fr/teddy-1323.conllu#s31_0</t>
  </si>
  <si>
    <t>32</t>
  </si>
  <si>
    <t>réussir</t>
  </si>
  <si>
    <t>Puis finalement , au à le bout de quatre heures passées allongé à le fixer , le téléphone a sonné , j' ai réussi à le décrocher d' une manière ou d' une autre , et c' était mon père , et j' ai dit : « J' ai de graves problèmes .</t>
  </si>
  <si>
    <t>file://conllu/fr/teddy-1323.conllu#s32_0</t>
  </si>
  <si>
    <t>33</t>
  </si>
  <si>
    <t>falloir</t>
  </si>
  <si>
    <t>Il faut qu' on fasse quelque chose .</t>
  </si>
  <si>
    <t>file://conllu/fr/teddy-1323.conllu#s33_0</t>
  </si>
  <si>
    <t>34</t>
  </si>
  <si>
    <t>commencer</t>
  </si>
  <si>
    <t>» Le lendemain , j' ai commencé à prendre des de les médicaments et une thérapie .</t>
  </si>
  <si>
    <t>file://conllu/fr/teddy-1323.conllu#s34_0</t>
  </si>
  <si>
    <t>35</t>
  </si>
  <si>
    <t>également?</t>
  </si>
  <si>
    <t>Et j' ai également commencé à considérer cette terrible question : Si je ne suis pas la solide personne qui aurait été capable de survivre dans un camp de concentration , alors qui suis -je ?</t>
  </si>
  <si>
    <t>file://conllu/fr/teddy-1323.conllu#s35_0</t>
  </si>
  <si>
    <t>36</t>
  </si>
  <si>
    <t>Et si je dois prendre des de les médicaments , est -ce qu' ils vont me permettre de redevenir moi-même , ou feront -ils de moi quelqu'un d' autre ?</t>
  </si>
  <si>
    <t>file://conllu/fr/teddy-1323.conllu#s36_0</t>
  </si>
  <si>
    <t>37</t>
  </si>
  <si>
    <t>avoir</t>
  </si>
  <si>
    <t>Et que vais -je ressentir s' ils font de moi Quand me suis engagé dans la lutte , j' avais deux avantanges .</t>
  </si>
  <si>
    <t>file://conllu/fr/teddy-1323.conllu#s37_0</t>
  </si>
  <si>
    <t>38</t>
  </si>
  <si>
    <t>ce</t>
  </si>
  <si>
    <t>Le premier , c' était que je savais , objectivement parlant , que je menais une vie agréable , et que si je pouvais m' en tirer , il me resterait toujours quelque chose qui valait la peine de vivre .</t>
  </si>
  <si>
    <t>file://conllu/fr/teddy-1323.conllu#s38_0</t>
  </si>
  <si>
    <t>39</t>
  </si>
  <si>
    <t>Et l' autre , c' est que j' avais accès au à le bon traitement .</t>
  </si>
  <si>
    <t>file://conllu/fr/teddy-1323.conllu#s39_0</t>
  </si>
  <si>
    <t>40</t>
  </si>
  <si>
    <t>cependant?</t>
  </si>
  <si>
    <t>Cependant , j' allais mieux et je rechutais , j' allais mieux et je rechutais , jusqu' à ce que je comprenne que je passerais le reste de ma vie et à suivre une thérapie .</t>
  </si>
  <si>
    <t>file://conllu/fr/teddy-1323.conllu#s40_0</t>
  </si>
  <si>
    <t>41</t>
  </si>
  <si>
    <t>dire</t>
  </si>
  <si>
    <t>Et je me suis dit : « Mais , est -ce un problème chimique ou psychologique ?</t>
  </si>
  <si>
    <t>file://conllu/fr/teddy-1323.conllu#s41_0</t>
  </si>
  <si>
    <t>42</t>
  </si>
  <si>
    <t>Et faut -il un traitement chimique , ou psychologique ?</t>
  </si>
  <si>
    <t>file://conllu/fr/teddy-1323.conllu#s42_0</t>
  </si>
  <si>
    <t>43</t>
  </si>
  <si>
    <t>»</t>
  </si>
  <si>
    <t>file://conllu/fr/teddy-1323.conllu#s43_0</t>
  </si>
  <si>
    <t>44</t>
  </si>
  <si>
    <t>Et je n' arrivais pas à comprendre .</t>
  </si>
  <si>
    <t>file://conllu/fr/teddy-1323.conllu#s44_0</t>
  </si>
  <si>
    <t>45</t>
  </si>
  <si>
    <t>comprendre</t>
  </si>
  <si>
    <t>Et puis j' ai compris qu' en fait , on n' avait pas assez avancé dans ces deux domaines pour expliquer totalement les choses .</t>
  </si>
  <si>
    <t>file://conllu/fr/teddy-1323.conllu#s45_0</t>
  </si>
  <si>
    <t>46</t>
  </si>
  <si>
    <t>aussi?</t>
  </si>
  <si>
    <t>avoir (avoir rôle)</t>
  </si>
  <si>
    <t>Le remède chimique et psychologique avaient tous les deux un rôle à jouer , et j' ai aussi compris que la dépression est une chose qui est si ancrée au à le fond de soi qu' elle ne peut être séparée de notre caractère ou personnalité .</t>
  </si>
  <si>
    <t>file://conllu/fr/teddy-1323.conllu#s46_0</t>
  </si>
  <si>
    <t>47</t>
  </si>
  <si>
    <t>devoir</t>
  </si>
  <si>
    <t>Je dois avouer que les traitements actuels de la dépression sont consternants .</t>
  </si>
  <si>
    <t>file://conllu/fr/teddy-1323.conllu#s47_0</t>
  </si>
  <si>
    <t>48</t>
  </si>
  <si>
    <t>être (être efficace)</t>
  </si>
  <si>
    <t>Ils ne sont pas très efficaces .</t>
  </si>
  <si>
    <t>file://conllu/fr/teddy-1323.conllu#s48_0</t>
  </si>
  <si>
    <t>49</t>
  </si>
  <si>
    <t>être (être coûteux)</t>
  </si>
  <si>
    <t>Ils sont très coûteux .</t>
  </si>
  <si>
    <t>file://conllu/fr/teddy-1323.conllu#s49_0</t>
  </si>
  <si>
    <t>50</t>
  </si>
  <si>
    <t>accompagner</t>
  </si>
  <si>
    <t>Ils s' accompagnent d' innombrables effets secondaires .</t>
  </si>
  <si>
    <t>file://conllu/fr/teddy-1323.conllu#s50_0</t>
  </si>
  <si>
    <t>51</t>
  </si>
  <si>
    <t>être (être catastrophe)</t>
  </si>
  <si>
    <t>C' est vraiment une catastrophe .</t>
  </si>
  <si>
    <t>file://conllu/fr/teddy-1323.conllu#s51_0</t>
  </si>
  <si>
    <t>52</t>
  </si>
  <si>
    <t>reconnaître</t>
  </si>
  <si>
    <t>Mais je suis tellement reconnaissant de vivre de nos jours plutôt qu' il y a 50 ans , quand on ne pouvait presque rien y faire .</t>
  </si>
  <si>
    <t>file://conllu/fr/teddy-1323.conllu#s52_0</t>
  </si>
  <si>
    <t>53</t>
  </si>
  <si>
    <t>espérer</t>
  </si>
  <si>
    <t>J' espère que dans 50 ans , les gens entendront parler des de les traitements que j' ai reçus et qu' ils seront choqués d' apprendre que l' on subissait une science si primitive .</t>
  </si>
  <si>
    <t>file://conllu/fr/teddy-1323.conllu#s53_0</t>
  </si>
  <si>
    <t>54</t>
  </si>
  <si>
    <t>être (être défaut)</t>
  </si>
  <si>
    <t>La dépression est un défaut de l' amour .</t>
  </si>
  <si>
    <t>file://conllu/fr/teddy-1323.conllu#s54_0</t>
  </si>
  <si>
    <t>55</t>
  </si>
  <si>
    <t>marier</t>
  </si>
  <si>
    <t>Si on est marié et si on pense : « Eh bien , si ma femme meurt , j' en trouverai une autre .</t>
  </si>
  <si>
    <t>file://conllu/fr/teddy-1323.conllu#s55_0</t>
  </si>
  <si>
    <t>56</t>
  </si>
  <si>
    <t>être (être amour)</t>
  </si>
  <si>
    <t>» ce ne serait pas de l' amour tel qu' on le connaît .</t>
  </si>
  <si>
    <t>file://conllu/fr/teddy-1323.conllu#s56_0</t>
  </si>
  <si>
    <t>57</t>
  </si>
  <si>
    <t>sans?</t>
  </si>
  <si>
    <t>Il n' y a pas d' amour sans l' anticipation de la perte , et ce spectre du de le désespoir peut être le moteur de l' intimité .</t>
  </si>
  <si>
    <t>file://conllu/fr/teddy-1323.conllu#s57_0</t>
  </si>
  <si>
    <t>58</t>
  </si>
  <si>
    <t>Il y a trois choses qu' on a tendance à confondre : la dépression , le chagrin , et la tristesse .</t>
  </si>
  <si>
    <t>file://conllu/fr/teddy-1323.conllu#s58_0</t>
  </si>
  <si>
    <t>59</t>
  </si>
  <si>
    <t>être (être réactionnel)</t>
  </si>
  <si>
    <t>Le chagrin est explicitement réactionnel .</t>
  </si>
  <si>
    <t>file://conllu/fr/teddy-1323.conllu#s59_0</t>
  </si>
  <si>
    <t>60</t>
  </si>
  <si>
    <t>mieux?</t>
  </si>
  <si>
    <t>Si on a subi une perte , et on se sent très malheureux , et six mois après , on se sent toujours profondément triste , mais on arrive mieux à fonctionner alors il s' agit probablement de chagrin , et il finira probablement par se résorber dans une certaine mesure .</t>
  </si>
  <si>
    <t>file://conllu/fr/teddy-1323.conllu#s60_0</t>
  </si>
  <si>
    <t>61</t>
  </si>
  <si>
    <t>Si on subit une énorme perte , et on se sent très mal , et au à le bout de six mois , on n' arrive toujours pas à fonctionner , d' une dépression déclenchée par des de les circonstances catastrophiques .</t>
  </si>
  <si>
    <t>file://conllu/fr/teddy-1323.conllu#s61_0</t>
  </si>
  <si>
    <t>62</t>
  </si>
  <si>
    <t>parler</t>
  </si>
  <si>
    <t>La trajectoire nous en parle longuement .</t>
  </si>
  <si>
    <t>file://conllu/fr/teddy-1323.conllu#s62_0</t>
  </si>
  <si>
    <t>63</t>
  </si>
  <si>
    <t>On a tendance à croire que la dépression n' est que de la tristesse .</t>
  </si>
  <si>
    <t>file://conllu/fr/teddy-1323.conllu#s63_0</t>
  </si>
  <si>
    <t>64</t>
  </si>
  <si>
    <t>agir</t>
  </si>
  <si>
    <t>Il s' agit de bien , bien trop de tristesse , bien trop de chagrin , et tout ça pour des de les raisons trop légères .</t>
  </si>
  <si>
    <t>file://conllu/fr/teddy-1323.conllu#s64_0</t>
  </si>
  <si>
    <t>65</t>
  </si>
  <si>
    <t>Quand j' ai pris sur moi pour comprendre la dépression , et pour interroger des de les gens qui l' avaient vécue , j' ai constaté que certains semblaient présenter , au à le moins superficiellement , ce qui paraissait être une dépression relativement légère , mais ils en étaient malgré tout complètement paralysés .</t>
  </si>
  <si>
    <t>file://conllu/fr/teddy-1323.conllu#s65_0</t>
  </si>
  <si>
    <t>66</t>
  </si>
  <si>
    <t>néanmoins?</t>
  </si>
  <si>
    <t>présenter</t>
  </si>
  <si>
    <t>Et d' autres présentaient ce qui semblait être , selon leurs descriptions , une dépression très grave mais ils menaient néanmoins de bonnes vies dans les intervalles entre les périodes de dépression .</t>
  </si>
  <si>
    <t>file://conllu/fr/teddy-1323.conllu#s66_0</t>
  </si>
  <si>
    <t>67</t>
  </si>
  <si>
    <t>entreprendre</t>
  </si>
  <si>
    <t>Alors j' ai entrepris de chercher ce qui rend certaines personnes plus résistantes que d' autres .</t>
  </si>
  <si>
    <t>file://conllu/fr/teddy-1323.conllu#s67_0</t>
  </si>
  <si>
    <t>68</t>
  </si>
  <si>
    <t>être (être mécanisme)</t>
  </si>
  <si>
    <t>Quels sont les mécanismes qui nous permettent de survivre ?</t>
  </si>
  <si>
    <t>file://conllu/fr/teddy-1323.conllu#s68_0</t>
  </si>
  <si>
    <t>69</t>
  </si>
  <si>
    <t>interroger</t>
  </si>
  <si>
    <t>Alors j' ai interrogé des de les personnes , les unes après les autres , toutes souffrant d' une dépression .</t>
  </si>
  <si>
    <t>file://conllu/fr/teddy-1323.conllu#s69_0</t>
  </si>
  <si>
    <t>70</t>
  </si>
  <si>
    <t>comparer</t>
  </si>
  <si>
    <t>L' une des de les premières personnes que j' ai interrogées a comparé la dépression à une manière plus lente d' être mort , et ça m' était rassurant d' entendre ça dès le début car ça m' a rappelé que cette façon plus lente d' être mort peut mener à la mort pour de vrai , et que c' est très grave .</t>
  </si>
  <si>
    <t>file://conllu/fr/teddy-1323.conllu#s70_0</t>
  </si>
  <si>
    <t>71</t>
  </si>
  <si>
    <t>représenter</t>
  </si>
  <si>
    <t>Elle représente le handicap le plus répandu au à le monde , et des de les gens en meurent tous les jours .</t>
  </si>
  <si>
    <t>file://conllu/fr/teddy-1323.conllu#s71_0</t>
  </si>
  <si>
    <t>72</t>
  </si>
  <si>
    <t>avant?</t>
  </si>
  <si>
    <t>être (être amie)</t>
  </si>
  <si>
    <t>Une personne à qui j' ai parlé lorsque j' essayais de comprendre tout ceci est une amie chère que je connaissais depuis très longtemps , et qui avait connu un épisode psychotique en première année d' université , avant de s' effondrer dans une sévère dépression .</t>
  </si>
  <si>
    <t>file://conllu/fr/teddy-1323.conllu#s72_0</t>
  </si>
  <si>
    <t>73</t>
  </si>
  <si>
    <t>souffrer</t>
  </si>
  <si>
    <t>Elle souffrait de trouble bipolaire , ou de psychose maniaco-dépressive comme on l' appelait à l' époque .</t>
  </si>
  <si>
    <t>file://conllu/fr/teddy-1323.conllu#s73_0</t>
  </si>
  <si>
    <t>74</t>
  </si>
  <si>
    <t>Elle allait très bien pendant plusieurs années , grâce au à le lithium , et puis finalement on a arrêté de lui prescrire du de le lithium pour voir comment elle réagirait sans , et elle a connu un autre épisode psychotique , puis elle a plongé dans la pire dépression que j' aie jamais vue pendant laquelle elle est restée chez ses parents , dans un état plus ou moins catatonique , pratiquement sans bouger , jour après jour après jour .</t>
  </si>
  <si>
    <t>file://conllu/fr/teddy-1323.conllu#s74_0</t>
  </si>
  <si>
    <t>75</t>
  </si>
  <si>
    <t>chanter (chanter dire)</t>
  </si>
  <si>
    <t>Et quand je l' ai interrogée des de les années après sur cette expérience elle est poète et psychothérapeute et s' appelle Maggie Robbins dans cet entretien , elle a dit : « Je chantais ' Where Have All the Flowers Gone ' en boucle , pour m' occuper l' esprit .</t>
  </si>
  <si>
    <t>file://conllu/fr/teddy-1323.conllu#s75_0</t>
  </si>
  <si>
    <t>76</t>
  </si>
  <si>
    <t>pour?</t>
  </si>
  <si>
    <t>chanter</t>
  </si>
  <si>
    <t>Je chantais pour balayer ce que mon esprit disait : ' Tu n' es rien .</t>
  </si>
  <si>
    <t>file://conllu/fr/teddy-1323.conllu#s76_0</t>
  </si>
  <si>
    <t>77</t>
  </si>
  <si>
    <t>personne</t>
  </si>
  <si>
    <t>Tu n' es personne .</t>
  </si>
  <si>
    <t>file://conllu/fr/teddy-1323.conllu#s77_0</t>
  </si>
  <si>
    <t>78</t>
  </si>
  <si>
    <t>même?</t>
  </si>
  <si>
    <t>mérire</t>
  </si>
  <si>
    <t>Tu ne mérites même pas de vivre .'</t>
  </si>
  <si>
    <t>file://conllu/fr/teddy-1323.conllu#s78_0</t>
  </si>
  <si>
    <t>79</t>
  </si>
  <si>
    <t>Et c' était à ce moment là que j' ai vraiment commencé à songer à me tuer .</t>
  </si>
  <si>
    <t>file://conllu/fr/teddy-1323.conllu#s79_0</t>
  </si>
  <si>
    <t>80</t>
  </si>
  <si>
    <t>savoir</t>
  </si>
  <si>
    <t>» Quand on est déprimé , on ne sait pas qu' on porte un voile gris et qu' on voit le monde à travers le brouillard provoqué par la mauvaise humeur .</t>
  </si>
  <si>
    <t>file://conllu/fr/teddy-1323.conllu#s80_0</t>
  </si>
  <si>
    <t>81</t>
  </si>
  <si>
    <t>croire</t>
  </si>
  <si>
    <t>On croit que le voile a été enlevé , le voile du de le bonheur , et que maintenant on voit clairement .</t>
  </si>
  <si>
    <t>file://conllu/fr/teddy-1323.conllu#s81_0</t>
  </si>
  <si>
    <t>82</t>
  </si>
  <si>
    <t>être (être facile)</t>
  </si>
  <si>
    <t>Il est plus facile d' aider des de les schizophrènes qui s' imaginent une chose inconnue au à le fond d' eux-même qui doit se faire exorciser , mais la difficulté chez les dépressifs , c' est qu' on croit percevoir la vérité .</t>
  </si>
  <si>
    <t>file://conllu/fr/teddy-1323.conllu#s82_0</t>
  </si>
  <si>
    <t>83</t>
  </si>
  <si>
    <t>mentir</t>
  </si>
  <si>
    <t>Mais la vérité ment .</t>
  </si>
  <si>
    <t>file://conllu/fr/teddy-1323.conllu#s83_0</t>
  </si>
  <si>
    <t>84</t>
  </si>
  <si>
    <t>devenir</t>
  </si>
  <si>
    <t>Je suis devenu obsédé par cette phrase : « Mais la vérité ment .</t>
  </si>
  <si>
    <t>file://conllu/fr/teddy-1323.conllu#s84_0</t>
  </si>
  <si>
    <t>85</t>
  </si>
  <si>
    <t>parler (parler découvrir)</t>
  </si>
  <si>
    <t>» Et j' ai découvert , en parlant à des de les dépressifs , qu' ils entretiennent de nombreux délires .</t>
  </si>
  <si>
    <t>file://conllu/fr/teddy-1323.conllu#s85_0</t>
  </si>
  <si>
    <t>86</t>
  </si>
  <si>
    <t>Les gens disent : « Personne ne m' aime .</t>
  </si>
  <si>
    <t>file://conllu/fr/teddy-1323.conllu#s86_0</t>
  </si>
  <si>
    <t>87</t>
  </si>
  <si>
    <t>» Et on leur dit : « Moi , je t' aime , ta femme t' aime , ta mère t' aime .</t>
  </si>
  <si>
    <t>file://conllu/fr/teddy-1323.conllu#s87_0</t>
  </si>
  <si>
    <t>88</t>
  </si>
  <si>
    <t>être (être dur)</t>
  </si>
  <si>
    <t>» Cette réponse n' est pas dure à trouver , pour la plupart des de les gens , au à le moins .</t>
  </si>
  <si>
    <t>file://conllu/fr/teddy-1323.conllu#s88_0</t>
  </si>
  <si>
    <t>89</t>
  </si>
  <si>
    <t>Mais les dépressifs disent aussi : « Quoi qu' on fasse , on va tout finir par mourir .</t>
  </si>
  <si>
    <t>file://conllu/fr/teddy-1323.conllu#s89_0</t>
  </si>
  <si>
    <t>90</t>
  </si>
  <si>
    <t>» Ou ils disent : « Il ne peut pas y avoir de vraie communion entre deux êtres humains .</t>
  </si>
  <si>
    <t>file://conllu/fr/teddy-1323.conllu#s90_0</t>
  </si>
  <si>
    <t>91</t>
  </si>
  <si>
    <t>enfermer</t>
  </si>
  <si>
    <t>Chacun est enfermé dans son propre corps .</t>
  </si>
  <si>
    <t>file://conllu/fr/teddy-1323.conllu#s91_0</t>
  </si>
  <si>
    <t>92</t>
  </si>
  <si>
    <t>» Ce à quoi il faut répondre : « Oui , en effet , mais là maintenant il vaut mieux se concentrer sur ce qu' on va prendre au à le petit déjeuner .</t>
  </si>
  <si>
    <t>file://conllu/fr/teddy-1323.conllu#s92_0</t>
  </si>
  <si>
    <t>93</t>
  </si>
  <si>
    <t>être (être maladie)</t>
  </si>
  <si>
    <t>» ( Rires ) Souvent , ce qu' ils expriment , ce n' est pas la maladie , mais la perspicacité , et on arrive à penser que l' extraordinaire , c' est que la plupart d' entre nous sont au à le courant de ces questions existentielles mais elles ne nous troublent pas trop .</t>
  </si>
  <si>
    <t>file://conllu/fr/teddy-1323.conllu#s93_0</t>
  </si>
  <si>
    <t>94</t>
  </si>
  <si>
    <t>Il y a une étude que j' ai beaucoup appréciée dans laquelle on a demandé à un groupe de dépressifs et un groupe de non-dépressifs de passer une heure à jouer un jeu vidéo , et à la fin de l' heure , on leur a demandé combien de petits monstres ils croyaient avoir tués .</t>
  </si>
  <si>
    <t>file://conllu/fr/teddy-1323.conllu#s94_0</t>
  </si>
  <si>
    <t>95</t>
  </si>
  <si>
    <t>être (être précis)</t>
  </si>
  <si>
    <t>Le groupe dépressif était typiquement très précis avec une marge de 10 % , alors que les non-dépressifs devinaient entre 15 et 20 fois plus de petits monstres ( Rires ) qu' ils avaient vraiment tués .</t>
  </si>
  <si>
    <t>file://conllu/fr/teddy-1323.conllu#s95_0</t>
  </si>
  <si>
    <t>97</t>
  </si>
  <si>
    <t>parler (parler demander)</t>
  </si>
  <si>
    <t>Ils demandent : « On te parle différemment ?</t>
  </si>
  <si>
    <t>file://conllu/fr/teddy-1323.conllu#s97_0</t>
  </si>
  <si>
    <t>98</t>
  </si>
  <si>
    <t>parler (parler répondre)</t>
  </si>
  <si>
    <t>» Et je réponds : « Oui , on me parle différemment .</t>
  </si>
  <si>
    <t>file://conllu/fr/teddy-1323.conllu#s98_0</t>
  </si>
  <si>
    <t>99</t>
  </si>
  <si>
    <t>puisqu'?</t>
  </si>
  <si>
    <t>différemment</t>
  </si>
  <si>
    <t>» Différemment , puisqu' ils commencent à me raconter leur expérience , ou celle de leur sœur , ou de leur meilleur ami .</t>
  </si>
  <si>
    <t>file://conllu/fr/teddy-1323.conllu#s99_0</t>
  </si>
  <si>
    <t>100</t>
  </si>
  <si>
    <t>maintenant?</t>
  </si>
  <si>
    <t>être (être différent)</t>
  </si>
  <si>
    <t>Maintenant , tout est différent car je sais que la dépression , c' est le secret familial que chacun garde .</t>
  </si>
  <si>
    <t>file://conllu/fr/teddy-1323.conllu#s100_0</t>
  </si>
  <si>
    <t>101</t>
  </si>
  <si>
    <t>Il y a quelques années , je suis allé à une conférence , et le vendredi de cette conférence de trois jours , une participante m' a pris à part , et elle m' a dit : « Je souffre d' une dépression et j' en suis un peu gênée , mais je prends ces médicaments depuis quelque temps , et je voulais savoir ce que vous en pensez ?</t>
  </si>
  <si>
    <t>file://conllu/fr/teddy-1323.conllu#s101_0</t>
  </si>
  <si>
    <t>102</t>
  </si>
  <si>
    <t>faire</t>
  </si>
  <si>
    <t>» Alors j' ai fait de mon mieux de lui conseiller autant que je pouvais .</t>
  </si>
  <si>
    <t>file://conllu/fr/teddy-1323.conllu#s102_0</t>
  </si>
  <si>
    <t>103</t>
  </si>
  <si>
    <t>savoir (savoir dire)</t>
  </si>
  <si>
    <t>Et puis elle a dit : « Vous savez , mon mari ne pourrait jamais comprendre ceci .</t>
  </si>
  <si>
    <t>file://conllu/fr/teddy-1323.conllu#s103_0</t>
  </si>
  <si>
    <t>104</t>
  </si>
  <si>
    <t>en fait?</t>
  </si>
  <si>
    <t>être (être personne)</t>
  </si>
  <si>
    <t>En fait , c' est une personne , pour qui ceci n' aurait pas de sens , alors je , vous savez , cela reste entre nous .</t>
  </si>
  <si>
    <t>file://conllu/fr/teddy-1323.conllu#s104_0</t>
  </si>
  <si>
    <t>105</t>
  </si>
  <si>
    <t>répondre</t>
  </si>
  <si>
    <t>» Et j' ai répondu : « D' accord , pas de problème .</t>
  </si>
  <si>
    <t>file://conllu/fr/teddy-1323.conllu#s105_0</t>
  </si>
  <si>
    <t>106</t>
  </si>
  <si>
    <t>prendre</t>
  </si>
  <si>
    <t>» Et le dimanche de cette même conférence , son mari m' a pris à part , et il m' a dit : « Ma femme ne me tiendrait pas en estime en tant que homme , si elle le savait , mais je souffre d' une dépression depuis quelque temps et je prends des de les médicaments , et je me demandais</t>
  </si>
  <si>
    <t>file://conllu/fr/teddy-1323.conllu#s106_0</t>
  </si>
  <si>
    <t>107</t>
  </si>
  <si>
    <t>cacher</t>
  </si>
  <si>
    <t>Ils se cachaient les mêmes medicaments , dans deux différents endroits dans la même chambre .</t>
  </si>
  <si>
    <t>file://conllu/fr/teddy-1323.conllu#s107_0</t>
  </si>
  <si>
    <t>108</t>
  </si>
  <si>
    <t>Et j' ai dit que je trouvais que la communication au à le sein de leur mariage pourrait être à l' origine de leurs problèmes .</t>
  </si>
  <si>
    <t>file://conllu/fr/teddy-1323.conllu#s108_0</t>
  </si>
  <si>
    <t>109</t>
  </si>
  <si>
    <t>frapper</t>
  </si>
  <si>
    <t>Mais j' ai aussi été frappé par l' énorme charge que représente ce secret mutuel .</t>
  </si>
  <si>
    <t>file://conllu/fr/teddy-1323.conllu#s109_0</t>
  </si>
  <si>
    <t>110</t>
  </si>
  <si>
    <t>être (être épuisant)</t>
  </si>
  <si>
    <t>La dépression est épuisante .</t>
  </si>
  <si>
    <t>file://conllu/fr/teddy-1323.conllu#s110_0</t>
  </si>
  <si>
    <t>111</t>
  </si>
  <si>
    <t>occuper</t>
  </si>
  <si>
    <t>Elle occupe tant de temps et d' énergie , et la passer sous silence , cela rend la dépression encore pire .</t>
  </si>
  <si>
    <t>file://conllu/fr/teddy-1323.conllu#s111_0</t>
  </si>
  <si>
    <t>112</t>
  </si>
  <si>
    <t>Et puis j' ai commencé à réfléchir sur toutes les façons qu' ont les gens de se soulager .</t>
  </si>
  <si>
    <t>file://conllu/fr/teddy-1323.conllu#s112_0</t>
  </si>
  <si>
    <t>114</t>
  </si>
  <si>
    <t>croître</t>
  </si>
  <si>
    <t>J' ai cru qu' il y avait quelques sortes de thérapie qui marchaient , c' était clair qu' il s' agissait du de le médicament , certains types de psychothérapie , peut-être la thérapie électroconvulsive , et que tout le reste était n' importe quoi .</t>
  </si>
  <si>
    <t>file://conllu/fr/teddy-1323.conllu#s114_0</t>
  </si>
  <si>
    <t>115</t>
  </si>
  <si>
    <t>découvrir</t>
  </si>
  <si>
    <t>Et puis , j' ai découvert une chose .</t>
  </si>
  <si>
    <t>file://conllu/fr/teddy-1323.conllu#s115_0</t>
  </si>
  <si>
    <t>116</t>
  </si>
  <si>
    <t>faire (faire sentir)</t>
  </si>
  <si>
    <t>Si vous avez un cancer du de le cerveau , et vous vous dites que vous tenir sur la tête pendant 20 minutes , chaque matin vous fait sentir mieux , cela pourrait très bien vous faire sentir mieux , mais vous avez toujours et vous allez probablement en mourir .</t>
  </si>
  <si>
    <t>file://conllu/fr/teddy-1323.conllu#s116_0</t>
  </si>
  <si>
    <t>117</t>
  </si>
  <si>
    <t>puisque?</t>
  </si>
  <si>
    <t>tenir (tenir dire sentir)</t>
  </si>
  <si>
    <t>Mais si vous dites que vous avez une dépression , et vous tenir sur la tête pendant 20 minutes chaque jour vous fait sentir mieux , alors ça a marché , puisque la dépression est une maladie qui porte sur comment on se sent , et si vous vous sentez mieux , alors effectivement , vous n' êtes plus déprimé .</t>
  </si>
  <si>
    <t>file://conllu/fr/teddy-1323.conllu#s117_0</t>
  </si>
  <si>
    <t>118</t>
  </si>
  <si>
    <t>Alors je suis devenu beaucoup plus tolérant envers la panoplie d' autres traitements .</t>
  </si>
  <si>
    <t>file://conllu/fr/teddy-1323.conllu#s118_0</t>
  </si>
  <si>
    <t>119</t>
  </si>
  <si>
    <t>recevoir</t>
  </si>
  <si>
    <t>Et je reçois des de les lettres , des de les centaines de lettres de gens qui m' écrivent pour me signaler ce qui marche pour eux .</t>
  </si>
  <si>
    <t>file://conllu/fr/teddy-1323.conllu#s119_0</t>
  </si>
  <si>
    <t>120</t>
  </si>
  <si>
    <t>poser</t>
  </si>
  <si>
    <t>Tout à l' heure , en coulisses , on me posait des de les questions sur la méditation .</t>
  </si>
  <si>
    <t>file://conllu/fr/teddy-1323.conllu#s120_0</t>
  </si>
  <si>
    <t>121</t>
  </si>
  <si>
    <t>être (être celui)</t>
  </si>
  <si>
    <t>Parmi toutes les lettres que j' ai reçues , ma préférée est celle envoyée par une femme qui a écrit pour dire qu' elle avait essayé la thérapie , elle avait essayé le médicament , elle avait essayé à peu près tout , et elle avait trouvé une solution et elle espérait que je la présenterais à tous , et la solution , c' était la fabrication des de les bidules en laine .</t>
  </si>
  <si>
    <t>file://conllu/fr/teddy-1323.conllu#s121_0</t>
  </si>
  <si>
    <t>122</t>
  </si>
  <si>
    <t>envoyer</t>
  </si>
  <si>
    <t>Elle m' en a envoyé quelques-uns .</t>
  </si>
  <si>
    <t>file://conllu/fr/teddy-1323.conllu#s122_0</t>
  </si>
  <si>
    <t>123</t>
  </si>
  <si>
    <t>porter</t>
  </si>
  <si>
    <t>Et je ne les porte pas en ce moment .</t>
  </si>
  <si>
    <t>file://conllu/fr/teddy-1323.conllu#s123_0</t>
  </si>
  <si>
    <t>124</t>
  </si>
  <si>
    <t>suggérer</t>
  </si>
  <si>
    <t>Je lui ai suggéré de se renseigner sur le trouble obsessionnel-compulsif dans le manuel des de les troubles mentaux .</t>
  </si>
  <si>
    <t>file://conllu/fr/teddy-1323.conllu#s124_0</t>
  </si>
  <si>
    <t>125</t>
  </si>
  <si>
    <t>pourtant?</t>
  </si>
  <si>
    <t>Mais pourtant , quand je suis parti à la recherche des de les traitements alternatifs , j' ai aussi découvert</t>
  </si>
  <si>
    <t>file://conllu/fr/teddy-1323.conllu#s125_0</t>
  </si>
  <si>
    <t>126</t>
  </si>
  <si>
    <t>participer</t>
  </si>
  <si>
    <t>J' ai participé à un exorcisme tribal au à le Sénégal qui comprenait pas mal de sang de bélier et je ne m' y attarderai pas en ce moment , mais quelques années plus tard je travaillais sur un autre projet , au à le Rwanda , et il m' est arrivé de décrire l' expérience à quelqu'un , et il m' a dit : « Eh bien , vous savez , ça c' est Afrique de l' Ouest , et ici c' est Afrique de l' Est , et nos rituels sont , en quelque sort , très différents , mais on en a certains qui partagent certains traits avec ce que vous décrivez .</t>
  </si>
  <si>
    <t>file://conllu/fr/teddy-1323.conllu#s126_0</t>
  </si>
  <si>
    <t>127</t>
  </si>
  <si>
    <t>» Et j' ai répondu :« Ah bon .</t>
  </si>
  <si>
    <t>file://conllu/fr/teddy-1323.conllu#s127_0</t>
  </si>
  <si>
    <t>128</t>
  </si>
  <si>
    <t>» Et il a dit : « Oui , mais on a eu pas mal de soucis avec des de les intervenants en santé mentale occidentaux , surtout ceux qui sont arrivés juste après le génocide .</t>
  </si>
  <si>
    <t>file://conllu/fr/teddy-1323.conllu#s128_0</t>
  </si>
  <si>
    <t>129</t>
  </si>
  <si>
    <t>demander</t>
  </si>
  <si>
    <t>» Et j' ai demandé : « Quelle sorte de soucis ?</t>
  </si>
  <si>
    <t>file://conllu/fr/teddy-1323.conllu#s129_0</t>
  </si>
  <si>
    <t>130</t>
  </si>
  <si>
    <t>file://conllu/fr/teddy-1323.conllu#s130_0</t>
  </si>
  <si>
    <t>131</t>
  </si>
  <si>
    <t>Et il a répondu : « Eh bien , ils faisaient cette chose bizarre .</t>
  </si>
  <si>
    <t>file://conllu/fr/teddy-1323.conllu#s131_0</t>
  </si>
  <si>
    <t>132</t>
  </si>
  <si>
    <t>Ils ne faisaient pas sortir les gens sous le soleil , là où on se sent mieux .</t>
  </si>
  <si>
    <t>file://conllu/fr/teddy-1323.conllu#s132_0</t>
  </si>
  <si>
    <t>133</t>
  </si>
  <si>
    <t>utiliser</t>
  </si>
  <si>
    <t>Ils n' ont pas utilisé les tambours ou la musique , pour animer les gens .</t>
  </si>
  <si>
    <t>file://conllu/fr/teddy-1323.conllu#s133_0</t>
  </si>
  <si>
    <t>134</t>
  </si>
  <si>
    <t>inclure</t>
  </si>
  <si>
    <t>Ils n' ont pas inclus la communauté entière .</t>
  </si>
  <si>
    <t>file://conllu/fr/teddy-1323.conllu#s134_0</t>
  </si>
  <si>
    <t>135</t>
  </si>
  <si>
    <t>Ils n' ont pas présenté la dépression comme un esprit envahissant .</t>
  </si>
  <si>
    <t>file://conllu/fr/teddy-1323.conllu#s135_0</t>
  </si>
  <si>
    <t>136</t>
  </si>
  <si>
    <t>à la place?</t>
  </si>
  <si>
    <t>amen</t>
  </si>
  <si>
    <t>À la place , ils amenaient les gens un par un dans de petites pièces minables et les faisaient discuter pendant une heure des de les mauvaises choses qui leur étaient arrivées .</t>
  </si>
  <si>
    <t>file://conllu/fr/teddy-1323.conllu#s136_0</t>
  </si>
  <si>
    <t>137</t>
  </si>
  <si>
    <t>Rires</t>
  </si>
  <si>
    <t>» ( Rires ) ( Applaudissements )</t>
  </si>
  <si>
    <t>file://conllu/fr/teddy-1323.conllu#s137_0</t>
  </si>
  <si>
    <t>138</t>
  </si>
  <si>
    <t>Il a dit : « Il fallait leur demander de partir .</t>
  </si>
  <si>
    <t>file://conllu/fr/teddy-1323.conllu#s138_0</t>
  </si>
  <si>
    <t>139</t>
  </si>
  <si>
    <t>parler (parler permettre)</t>
  </si>
  <si>
    <t>» Et puis à l' autre bout des de les traitements alternatifs , permettez -moi de vous parler de Frank Russakoff .</t>
  </si>
  <si>
    <t>file://conllu/fr/teddy-1323.conllu#s139_0</t>
  </si>
  <si>
    <t>140</t>
  </si>
  <si>
    <t>Frank Russakoff a subi la pire dépression que j' aie jamais vue .</t>
  </si>
  <si>
    <t>file://conllu/fr/teddy-1323.conllu#s140_0</t>
  </si>
  <si>
    <t>141</t>
  </si>
  <si>
    <t>déprimer</t>
  </si>
  <si>
    <t>Il était déprimé constamment .</t>
  </si>
  <si>
    <t>file://conllu/fr/teddy-1323.conllu#s141_0</t>
  </si>
  <si>
    <t>142</t>
  </si>
  <si>
    <t>À l' époque où je l' ai rencontré , il devait subir un traitment électrochoc chaque mois .</t>
  </si>
  <si>
    <t>file://conllu/fr/teddy-1323.conllu#s142_0</t>
  </si>
  <si>
    <t>143</t>
  </si>
  <si>
    <t>puis?</t>
  </si>
  <si>
    <t>Puis , pendant une semaine , il se sentait désorienté .</t>
  </si>
  <si>
    <t>file://conllu/fr/teddy-1323.conllu#s143_0</t>
  </si>
  <si>
    <t>144</t>
  </si>
  <si>
    <t>Puis , pendant une semaine tout allait bien .</t>
  </si>
  <si>
    <t>file://conllu/fr/teddy-1323.conllu#s144_0</t>
  </si>
  <si>
    <t>145</t>
  </si>
  <si>
    <t>régresser</t>
  </si>
  <si>
    <t>Puis pendant une semaine , il régressait de nouveau .</t>
  </si>
  <si>
    <t>file://conllu/fr/teddy-1323.conllu#s145_0</t>
  </si>
  <si>
    <t>146</t>
  </si>
  <si>
    <t>Et après , il aura un autre traitment électrochoc .</t>
  </si>
  <si>
    <t>file://conllu/fr/teddy-1323.conllu#s146_0</t>
  </si>
  <si>
    <t>147</t>
  </si>
  <si>
    <t>raconter</t>
  </si>
  <si>
    <t>Et il m' a raconté ceci quand je l' ai rencontré : « Passer les semaines ainsi , c' est vraiment insupportable</t>
  </si>
  <si>
    <t>file://conllu/fr/teddy-1323.conllu#s147_0</t>
  </si>
  <si>
    <t>148</t>
  </si>
  <si>
    <t>ainsi?</t>
  </si>
  <si>
    <t>pouvoir</t>
  </si>
  <si>
    <t>Je ne peux pas continuer ainsi , et je sais comment je vais y mettre fin si je n' arrive pas à aller mieux .</t>
  </si>
  <si>
    <t>file://conllu/fr/teddy-1323.conllu#s148_0</t>
  </si>
  <si>
    <t>149</t>
  </si>
  <si>
    <t>dire (dire entendre)</t>
  </si>
  <si>
    <t>» Mais , il m' a dit : « J' ai entendu parler d' un protocol à l’ hôpital Mass General , une procédure appelée une cinglutomie c' est une chirurgie du de le cerveau , et je pense que je vais tenter le coup .</t>
  </si>
  <si>
    <t>file://conllu/fr/teddy-1323.conllu#s149_0</t>
  </si>
  <si>
    <t>150</t>
  </si>
  <si>
    <t>souvenir</t>
  </si>
  <si>
    <t>» Et je me souviens que j' étais étonné qu' une personne qui avait connu tant de mauvaises expériences avec tant de traitments différents avait retenu quelque part au à le fond de lui assez d' optimisme de poursuivre encore un autre .</t>
  </si>
  <si>
    <t>file://conllu/fr/teddy-1323.conllu#s150_0</t>
  </si>
  <si>
    <t>151</t>
  </si>
  <si>
    <t>Et il a subit la cinglutomie , et l' intervention fut un grand succès .</t>
  </si>
  <si>
    <t>file://conllu/fr/teddy-1323.conllu#s151_0</t>
  </si>
  <si>
    <t>152</t>
  </si>
  <si>
    <t>être (être ami)</t>
  </si>
  <si>
    <t>Maintenant , c' est un ami .</t>
  </si>
  <si>
    <t>file://conllu/fr/teddy-1323.conllu#s152_0</t>
  </si>
  <si>
    <t>153</t>
  </si>
  <si>
    <t>Il a une charmante épouse et deux enfants adorables</t>
  </si>
  <si>
    <t>file://conllu/fr/teddy-1323.conllu#s153_0</t>
  </si>
  <si>
    <t>154</t>
  </si>
  <si>
    <t>dire (dire écrire)</t>
  </si>
  <si>
    <t>Il m' a écrit une lettre le Noël suivant la chirurgie , et il a dit : « Mon père m' a envoyé deux cadeaux cette année .</t>
  </si>
  <si>
    <t>file://conllu/fr/teddy-1323.conllu#s154_0</t>
  </si>
  <si>
    <t>155</t>
  </si>
  <si>
    <t>un</t>
  </si>
  <si>
    <t>L' un , un range-CD motorisé de la FNAC dont je n' avais pas vraiment besoin , mais je sais qu' il me l' a offert pour célébrer le fait que je vis seul et que j' ai un travail qui semble me combler .</t>
  </si>
  <si>
    <t>file://conllu/fr/teddy-1323.conllu#s155_0</t>
  </si>
  <si>
    <t>156</t>
  </si>
  <si>
    <t>être (être photo)</t>
  </si>
  <si>
    <t>Et l' autre cadeau c' était une photo de ma grand-mère qui s' est suicidée .</t>
  </si>
  <si>
    <t>file://conllu/fr/teddy-1323.conllu#s156_0</t>
  </si>
  <si>
    <t>157</t>
  </si>
  <si>
    <t>And alors que je l' ai déballée , j' ai commencé à pleurer et ma mère s' est approchée et elle a dit : « Tu pleures pour les membres de la famille que tu n' as jamais connus ?</t>
  </si>
  <si>
    <t>file://conllu/fr/teddy-1323.conllu#s157_0</t>
  </si>
  <si>
    <t>158</t>
  </si>
  <si>
    <t>file://conllu/fr/teddy-1323.conllu#s158_0</t>
  </si>
  <si>
    <t>159</t>
  </si>
  <si>
    <t>Et j' ai dit : « Elle était atteinte de la même maladie que moi .</t>
  </si>
  <si>
    <t>file://conllu/fr/teddy-1323.conllu#s159_0</t>
  </si>
  <si>
    <t>160</t>
  </si>
  <si>
    <t>écrire (écrire pleurer)</t>
  </si>
  <si>
    <t>» Et je pleure aussi en t' écrivant maintenant .</t>
  </si>
  <si>
    <t>file://conllu/fr/teddy-1323.conllu#s160_0</t>
  </si>
  <si>
    <t>161</t>
  </si>
  <si>
    <t>être (être triste)</t>
  </si>
  <si>
    <t>Ce n' est pas que je suis triste , mais je suis bouleversé , peut-être , parce que j' aurais pu me suicider , mais mes parents m' ont donné la force de continuer ainsi que les médecins , et j' ai subi l' intervention .</t>
  </si>
  <si>
    <t>file://conllu/fr/teddy-1323.conllu#s161_0</t>
  </si>
  <si>
    <t>162</t>
  </si>
  <si>
    <t>être (être vivant)</t>
  </si>
  <si>
    <t>Je suis vivant , et reconaissant .</t>
  </si>
  <si>
    <t>file://conllu/fr/teddy-1323.conllu#s162_0</t>
  </si>
  <si>
    <t>163</t>
  </si>
  <si>
    <t>quoique?</t>
  </si>
  <si>
    <t>C' est le bon moment de vivre , quoique on n' en a pas toujours l' impression .</t>
  </si>
  <si>
    <t>file://conllu/fr/teddy-1323.conllu#s163_0</t>
  </si>
  <si>
    <t>164</t>
  </si>
  <si>
    <t>» J' ai été frappé par le fait que la dépression est largement perçue comme quelque chose de moderne , d' occidental , de bourgeois alors je me suis appliqué à l' observation de comment ça fonctionnne dans d' autres contextes et l' une des de les choses qui m' intéressait particulièrement c' était la dépression parmi les miséreux .</t>
  </si>
  <si>
    <t>file://conllu/fr/teddy-1323.conllu#s164_0</t>
  </si>
  <si>
    <t>165</t>
  </si>
  <si>
    <t>mettre</t>
  </si>
  <si>
    <t>Alors , je me suis mis à étudier ce qui se fait pour les pauvres qui font une dépression .</t>
  </si>
  <si>
    <t>file://conllu/fr/teddy-1323.conllu#s165_0</t>
  </si>
  <si>
    <t>166</t>
  </si>
  <si>
    <t>Et j' ai découvert que la plupart du de le temps les pauvres ne reçoivent pas de traitment pour la dépression .</t>
  </si>
  <si>
    <t>file://conllu/fr/teddy-1323.conllu#s166_0</t>
  </si>
  <si>
    <t>167</t>
  </si>
  <si>
    <t>résultat?</t>
  </si>
  <si>
    <t>être (être résultat)</t>
  </si>
  <si>
    <t>La depression est le résultat d' une vulnerabilité génétique , qui est , probablement , répartie uniformément dans la population , et des de les facteurs déclenchants , qui sont susceptibles d' être plus sévères chez les pauvres .</t>
  </si>
  <si>
    <t>file://conllu/fr/teddy-1323.conllu#s167_0</t>
  </si>
  <si>
    <t>168</t>
  </si>
  <si>
    <t>avérer</t>
  </si>
  <si>
    <t>Pourtant , il s' avère que si vous menez une belle vie mais vous êtes toujours au à le plus bas , vous pensez : « Pourquoi est -ce que je me sens ainsi ?</t>
  </si>
  <si>
    <t>file://conllu/fr/teddy-1323.conllu#s168_0</t>
  </si>
  <si>
    <t>169</t>
  </si>
  <si>
    <t>Je dois faire une dépression .</t>
  </si>
  <si>
    <t>file://conllu/fr/teddy-1323.conllu#s169_0</t>
  </si>
  <si>
    <t>170</t>
  </si>
  <si>
    <t>enterprenir</t>
  </si>
  <si>
    <t>» Et vous enterprenez de trouver un traitement .</t>
  </si>
  <si>
    <t>file://conllu/fr/teddy-1323.conllu#s170_0</t>
  </si>
  <si>
    <t>171</t>
  </si>
  <si>
    <t>correspondre</t>
  </si>
  <si>
    <t>Mais si vous menez une vie vraiment terrible , et vous vous sentez toujours malheureux , la façon dont vous vous sentez correspond à votre vie , et l' idée ne vous effleure même pas : « Et si ceci peut être traité ?</t>
  </si>
  <si>
    <t>file://conllu/fr/teddy-1323.conllu#s171_0</t>
  </si>
  <si>
    <t>172</t>
  </si>
  <si>
    <t>file://conllu/fr/teddy-1323.conllu#s172_0</t>
  </si>
  <si>
    <t>173</t>
  </si>
  <si>
    <t>donc?</t>
  </si>
  <si>
    <t>exister</t>
  </si>
  <si>
    <t>Et donc , dans ce pays il existe une épidemie de dépression parmi les appauvris dont personne se rend compte , qui ne se fait pas traitée qui ne se fait pas abordée , et c' est vraiment la grande tragédie .</t>
  </si>
  <si>
    <t>file://conllu/fr/teddy-1323.conllu#s173_0</t>
  </si>
  <si>
    <t>174</t>
  </si>
  <si>
    <t>J' ai aussi trouvé une universitaire qui réalisait un projet de recherche dans les bas quartiers en dehors de D.C. , où elle interpellait des de les femmes venues la consulter pour d' autres problèmes de santé et les diagnostiquait avec la dépression , et puis les fournissait avec six mois de protocol expérimental .</t>
  </si>
  <si>
    <t>file://conllu/fr/teddy-1323.conllu#s174_0</t>
  </si>
  <si>
    <t>175</t>
  </si>
  <si>
    <t>venir</t>
  </si>
  <si>
    <t>L' une d' elle , Lolly , est venue , et voilà ce qu' elle a dit le jour où elle est venue .</t>
  </si>
  <si>
    <t>file://conllu/fr/teddy-1323.conllu#s175_0</t>
  </si>
  <si>
    <t>176</t>
  </si>
  <si>
    <t>Elle a dit , et c' était une femme , d' ailleurs , qui avait sept enfants .</t>
  </si>
  <si>
    <t>file://conllu/fr/teddy-1323.conllu#s176_0</t>
  </si>
  <si>
    <t>177</t>
  </si>
  <si>
    <t>Elle a dit : « Autrefois , j' avais un boulot , mais j' ai dû y renoncer parce que je n' arrivais pas à sortir de la maison .</t>
  </si>
  <si>
    <t>file://conllu/fr/teddy-1323.conllu#s177_0</t>
  </si>
  <si>
    <t>178</t>
  </si>
  <si>
    <t>Je n' ai rien à dire à mes enfants .</t>
  </si>
  <si>
    <t>file://conllu/fr/teddy-1323.conllu#s178_0</t>
  </si>
  <si>
    <t>179</t>
  </si>
  <si>
    <t>Le matin , je ne peux pas attendre qu' ils partent , et puis je me glisse dans mon lit , passe les couvertures au-dessus de ma tête , et quinze heures , quand ils reviennent , ça arrive trop vite .</t>
  </si>
  <si>
    <t>file://conllu/fr/teddy-1323.conllu#s179_0</t>
  </si>
  <si>
    <t>180</t>
  </si>
  <si>
    <t>» « Je prends beaucoup de Tylenol , je prends n' importe quoi qui puisse m' aider à dormir plus .</t>
  </si>
  <si>
    <t>file://conllu/fr/teddy-1323.conllu#s180_0</t>
  </si>
  <si>
    <t>181</t>
  </si>
  <si>
    <t>Récemment , mon mari me dit que je suis nulle , moche .</t>
  </si>
  <si>
    <t>file://conllu/fr/teddy-1323.conllu#s181_0</t>
  </si>
  <si>
    <t>182</t>
  </si>
  <si>
    <t>J' ai tellement envie d' arrêter le douleur .</t>
  </si>
  <si>
    <t>file://conllu/fr/teddy-1323.conllu#s182_0</t>
  </si>
  <si>
    <t>183</t>
  </si>
  <si>
    <t>inclure (inclure accepter)</t>
  </si>
  <si>
    <t>» Eh bien , elle a été incluse dans ce protocol expérimental , et lors de notre entretien six mois plus tard , elle avait accepté un travail dans la garde d' enfants pour le U.S. Navy , elle avait quitté son mari violent , « Mes enfants sont beaucoup plus heureux .</t>
  </si>
  <si>
    <t>file://conllu/fr/teddy-1323.conllu#s183_0</t>
  </si>
  <si>
    <t>184</t>
  </si>
  <si>
    <t>» Elle a dit : « Dans mon nouveau chez moi il y a une chambre pour les garçons et une pour les filles , mais le soir , ils traînent tous sur mon lit , et on fait les devoirs ensemble et tout .</t>
  </si>
  <si>
    <t>file://conllu/fr/teddy-1323.conllu#s184_0</t>
  </si>
  <si>
    <t>185</t>
  </si>
  <si>
    <t>dire (dire vouloir vouloir)</t>
  </si>
  <si>
    <t>L' un veut devenir pasteur , un autre veut devenir pompier , et une des de les filles dit qu' elle va devenir avocate .</t>
  </si>
  <si>
    <t>file://conllu/fr/teddy-1323.conllu#s185_0</t>
  </si>
  <si>
    <t>186</t>
  </si>
  <si>
    <t>pleurer</t>
  </si>
  <si>
    <t>Ils ne pleurent pas comme avant , et ils ne se battent plus comme avant .</t>
  </si>
  <si>
    <t>file://conllu/fr/teddy-1323.conllu#s186_0</t>
  </si>
  <si>
    <t>187</t>
  </si>
  <si>
    <t>être (être ce)</t>
  </si>
  <si>
    <t>C' est tout ce dont j' ai besoin pour mes gamins .</t>
  </si>
  <si>
    <t>file://conllu/fr/teddy-1323.conllu#s187_0</t>
  </si>
  <si>
    <t>188</t>
  </si>
  <si>
    <t>cesser</t>
  </si>
  <si>
    <t>Les changements ne cessent pas , comment je m' habille , je me sens , je me comporte .</t>
  </si>
  <si>
    <t>file://conllu/fr/teddy-1323.conllu#s188_0</t>
  </si>
  <si>
    <t>189</t>
  </si>
  <si>
    <t>Je peux sortir et ne plus avoir peur , et je ne crois pas que ces mauvais sentiments reviennent , et s' il n' y avait pas eu le Dr. Miranda et tout ça , je serais toujours à la maison , les couvertures au-dessus de ma tête , si j' étais même vivante .</t>
  </si>
  <si>
    <t>file://conllu/fr/teddy-1323.conllu#s189_0</t>
  </si>
  <si>
    <t>190</t>
  </si>
  <si>
    <t>écouter (écouter demander)</t>
  </si>
  <si>
    <t>J' ai demandé au à le Seigneur de m' envoyer un ange , et il a écouté mes prières .</t>
  </si>
  <si>
    <t>file://conllu/fr/teddy-1323.conllu#s190_0</t>
  </si>
  <si>
    <t>191</t>
  </si>
  <si>
    <t>toucher</t>
  </si>
  <si>
    <t>» Ces expériences m' ont beaucoup touché , et j' ai décidé que je voulais écrire au à le sujet d' elles non seulement dans un livre sur lequel je travaillais , mais aussi dans un article , et donc , j' ai reçu une commande du de le New York Times Magazine d' écrire au à le sujet de la dépression chez les personnes indigentes .</t>
  </si>
  <si>
    <t>file://conllu/fr/teddy-1323.conllu#s191_0</t>
  </si>
  <si>
    <t>192</t>
  </si>
  <si>
    <t>Et j' ai rendu mon histoire , et la rédactrice en chef m' a appelé , et a dit : « On ne peut vraiment pas publier ceci .</t>
  </si>
  <si>
    <t>file://conllu/fr/teddy-1323.conllu#s192_0</t>
  </si>
  <si>
    <t>193</t>
  </si>
  <si>
    <t>Bah</t>
  </si>
  <si>
    <t>» « Bah , pourquoi pas ?</t>
  </si>
  <si>
    <t>file://conllu/fr/teddy-1323.conllu#s193_0</t>
  </si>
  <si>
    <t>194</t>
  </si>
  <si>
    <t>» Et elle a dit: « C' est trop exagéré , tout simplement .</t>
  </si>
  <si>
    <t>file://conllu/fr/teddy-1323.conllu#s194_0</t>
  </si>
  <si>
    <t>195</t>
  </si>
  <si>
    <t>gens</t>
  </si>
  <si>
    <t>Ces gens qui sont plus ou moins au à le bas de l' échelle de la société et puis ils reçoivent quelques mois de traitment et ils sont à peu près prêts à diriger Morgan Stanley ?</t>
  </si>
  <si>
    <t>file://conllu/fr/teddy-1323.conllu#s195_0</t>
  </si>
  <si>
    <t>196</t>
  </si>
  <si>
    <t>être (être improbable)</t>
  </si>
  <si>
    <t>C' est trop improbable , tout simplement .</t>
  </si>
  <si>
    <t>file://conllu/fr/teddy-1323.conllu#s196_0</t>
  </si>
  <si>
    <t>197</t>
  </si>
  <si>
    <t>» Elle a dit : « C' est même la première fois que j' entends une telle histoire .</t>
  </si>
  <si>
    <t>file://conllu/fr/teddy-1323.conllu#s197_0</t>
  </si>
  <si>
    <t>198</t>
  </si>
  <si>
    <t>indiquer (indiquer dire)</t>
  </si>
  <si>
    <t>» Et j' ai dit : « Le fait que tu n' en as jamais entendu parler indique bien qu' il s' agit des de les nouvelles .</t>
  </si>
  <si>
    <t>file://conllu/fr/teddy-1323.conllu#s198_0</t>
  </si>
  <si>
    <t>199</t>
  </si>
  <si>
    <t>être (être magazine)</t>
  </si>
  <si>
    <t>» « Et vous êtes bien un magazine .</t>
  </si>
  <si>
    <t>file://conllu/fr/teddy-1323.conllu#s199_0</t>
  </si>
  <si>
    <t>200</t>
  </si>
  <si>
    <t>faire (faire accepter)</t>
  </si>
  <si>
    <t>» Alors après un peu de négociation , ils ont accepté de le faire .</t>
  </si>
  <si>
    <t>file://conllu/fr/teddy-1323.conllu#s200_0</t>
  </si>
  <si>
    <t>201</t>
  </si>
  <si>
    <t>Mais j' ai l' impression que beaucoup de leurs arguments étaient liés d' une manière quelconque à l' aversion que les gens ont toujours pour l' idée du de le traitment , que si jamais on se met à traiter beaucoup de gens des de les communautés indigentes , cela relèverait de l' exploitation , parce qu' on les changerait .</t>
  </si>
  <si>
    <t>file://conllu/fr/teddy-1323.conllu#s201_0</t>
  </si>
  <si>
    <t>202</t>
  </si>
  <si>
    <t>Il existe cet impératif moral faux qui semble être omniprésent que le traitement de la dépression , les médicaments et ainsi de suite , consistent en artifices , et que ce n' est pas naturel .</t>
  </si>
  <si>
    <t>file://conllu/fr/teddy-1323.conllu#s202_0</t>
  </si>
  <si>
    <t>203</t>
  </si>
  <si>
    <t>Et je trouve cela très abusé .</t>
  </si>
  <si>
    <t>file://conllu/fr/teddy-1323.conllu#s203_0</t>
  </si>
  <si>
    <t>204</t>
  </si>
  <si>
    <t>être (être naturel)</t>
  </si>
  <si>
    <t>Il serait naturel que nos dents tombent , mais personne ne milite contre le dentifrice , au à le moins pas dans mon entourage .</t>
  </si>
  <si>
    <t>file://conllu/fr/teddy-1323.conllu#s204_0</t>
  </si>
  <si>
    <t>205</t>
  </si>
  <si>
    <t>Et puis les gens disent : « Bon , mais finalement , la dépression fait partie de ce qu' on est sensé éprouver ?</t>
  </si>
  <si>
    <t>file://conllu/fr/teddy-1323.conllu#s205_0</t>
  </si>
  <si>
    <t>206</t>
  </si>
  <si>
    <t>La dépression , ça fait partie de notre évolution , non ?</t>
  </si>
  <si>
    <t>file://conllu/fr/teddy-1323.conllu#s206_0</t>
  </si>
  <si>
    <t>207</t>
  </si>
  <si>
    <t>Ça fait partie de sa personalité , non ?</t>
  </si>
  <si>
    <t>file://conllu/fr/teddy-1323.conllu#s207_0</t>
  </si>
  <si>
    <t>208</t>
  </si>
  <si>
    <t>file://conllu/fr/teddy-1323.conllu#s208_0</t>
  </si>
  <si>
    <t>209</t>
  </si>
  <si>
    <t>Et je réponds alors , que l' état d' esprit s' adapte .</t>
  </si>
  <si>
    <t>file://conllu/fr/teddy-1323.conllu#s209_0</t>
  </si>
  <si>
    <t>210</t>
  </si>
  <si>
    <t>être (être valeur)</t>
  </si>
  <si>
    <t>Etre capable de ressentir la tristesse et la peur et la joie et le plaisir et toutes nos autres humeurs , est d' une valeur énorme .</t>
  </si>
  <si>
    <t>file://conllu/fr/teddy-1323.conllu#s210_0</t>
  </si>
  <si>
    <t>211</t>
  </si>
  <si>
    <t>Et la grande dépression est ce qui survient quand ce système ne fonctionne plus .</t>
  </si>
  <si>
    <t>file://conllu/fr/teddy-1323.conllu#s211_0</t>
  </si>
  <si>
    <t>212</t>
  </si>
  <si>
    <t>adapter</t>
  </si>
  <si>
    <t>Quand il ne s' adapte plus .</t>
  </si>
  <si>
    <t>file://conllu/fr/teddy-1323.conllu#s212_0</t>
  </si>
  <si>
    <t>213</t>
  </si>
  <si>
    <t>dire (dire aborder)</t>
  </si>
  <si>
    <t>Les gens m' abordent et disent : « Pourtant , je crois que si je tiens le coup encore un an , je crois que je pourrais m' en sortir .</t>
  </si>
  <si>
    <t>file://conllu/fr/teddy-1323.conllu#s213_0</t>
  </si>
  <si>
    <t>214</t>
  </si>
  <si>
    <t>» Et je leur dis toujours : « Oui vous pourriez éventuellement vous en sortir mais vous n' aurez plus jamais 37 ans .</t>
  </si>
  <si>
    <t>file://conllu/fr/teddy-1323.conllu#s214_0</t>
  </si>
  <si>
    <t>215</t>
  </si>
  <si>
    <t>être (être court)</t>
  </si>
  <si>
    <t>La vie est courte , et cela représente une année entière que vous êtes prêt à abandonner .</t>
  </si>
  <si>
    <t>file://conllu/fr/teddy-1323.conllu#s215_0</t>
  </si>
  <si>
    <t>216</t>
  </si>
  <si>
    <t>Réfléchissez</t>
  </si>
  <si>
    <t>Réfléchissez .</t>
  </si>
  <si>
    <t>file://conllu/fr/teddy-1323.conllu#s216_0</t>
  </si>
  <si>
    <t>217</t>
  </si>
  <si>
    <t>être (être pauvreté)</t>
  </si>
  <si>
    <t>» C' est une étrange pauvreté dans la langue anglaise , et dans beaucoup d' autres langues , qu' on se serve du de le même mot , dépression , afin de décrire comment se sent un enfant , s' il pleut le jour de son anniversaire et afin de décrire comment se sent une personne juste avant de se suicider .</t>
  </si>
  <si>
    <t>file://conllu/fr/teddy-1323.conllu#s217_0</t>
  </si>
  <si>
    <t>218</t>
  </si>
  <si>
    <t>Les gens me disent : « Alors , est -ce continu avec la tristesse normale ?</t>
  </si>
  <si>
    <t>file://conllu/fr/teddy-1323.conllu#s218_0</t>
  </si>
  <si>
    <t>219</t>
  </si>
  <si>
    <t>file://conllu/fr/teddy-1323.conllu#s219_0</t>
  </si>
  <si>
    <t>220</t>
  </si>
  <si>
    <t>continuer (continuer répondre)</t>
  </si>
  <si>
    <t>Et je réponds : « D' une certaine façon , elle continue avec la tristesse normale .</t>
  </si>
  <si>
    <t>file://conllu/fr/teddy-1323.conllu#s220_0</t>
  </si>
  <si>
    <t>221</t>
  </si>
  <si>
    <t>Il existe une certaine continuité , mais c' est pareil à la continuitié qui existe entre avoir une clôture de fer devant sa maison sur laquelle apparaît une tache de rouille et il te faut poncer et repeindre , et ce qui arrive si vous laissez la maison pendant 100 ans et elle finit par rouiller au à le point de n' être plus qu' un tas de poussière orange .</t>
  </si>
  <si>
    <t>file://conllu/fr/teddy-1323.conllu#s221_0</t>
  </si>
  <si>
    <t>222</t>
  </si>
  <si>
    <t>Et c' est la tache de poussière orange , ce problème de poussière orange c' est à ceci que nous comptons répondre .</t>
  </si>
  <si>
    <t>file://conllu/fr/teddy-1323.conllu#s222_0</t>
  </si>
  <si>
    <t>223</t>
  </si>
  <si>
    <t>là</t>
  </si>
  <si>
    <t>» Alors là , quand les gens disent : « Vous prenez des de les pilules de bonheur , cela vous rend heureux ? » Mais , la réponse est non .</t>
  </si>
  <si>
    <t>file://conllu/fr/teddy-1323.conllu#s223_0</t>
  </si>
  <si>
    <t>224</t>
  </si>
  <si>
    <t>manger</t>
  </si>
  <si>
    <t>Mais manger mon déjeuner ne me rend pas triste , et le répondeur de mon téléphone et prendre une douche ne me rend pas triste .</t>
  </si>
  <si>
    <t>file://conllu/fr/teddy-1323.conllu#s224_0</t>
  </si>
  <si>
    <t>225</t>
  </si>
  <si>
    <t>ressentir</t>
  </si>
  <si>
    <t>Je ressens plus , en fait , je crois , parce que j' arrive à ressentir la tristesse sans nullité .</t>
  </si>
  <si>
    <t>file://conllu/fr/teddy-1323.conllu#s225_0</t>
  </si>
  <si>
    <t>226</t>
  </si>
  <si>
    <t>déception</t>
  </si>
  <si>
    <t>Les déceptions professionnelles , les relations dégradées , et le réchauffement climatique me rendent triste .</t>
  </si>
  <si>
    <t>file://conllu/fr/teddy-1323.conllu#s226_0</t>
  </si>
  <si>
    <t>227</t>
  </si>
  <si>
    <t>voilà</t>
  </si>
  <si>
    <t>Voilà les choses qui me rendent triste maintenant .</t>
  </si>
  <si>
    <t>file://conllu/fr/teddy-1323.conllu#s227_0</t>
  </si>
  <si>
    <t>228</t>
  </si>
  <si>
    <t>Alors , je me suis demandé , quelle en est la conclusion ?</t>
  </si>
  <si>
    <t>file://conllu/fr/teddy-1323.conllu#s228_0</t>
  </si>
  <si>
    <t>229</t>
  </si>
  <si>
    <t>sortir</t>
  </si>
  <si>
    <t>Comment s' en sortent ses gens qui ont de meilleures vies en dépit d' une dépression plus sévère .</t>
  </si>
  <si>
    <t>file://conllu/fr/teddy-1323.conllu#s229_0</t>
  </si>
  <si>
    <t>230</t>
  </si>
  <si>
    <t>Quel est le mécanisme de résilience ?</t>
  </si>
  <si>
    <t>file://conllu/fr/teddy-1323.conllu#s230_0</t>
  </si>
  <si>
    <t>231</t>
  </si>
  <si>
    <t>Et peu à peu , j' ai trouvé que ceux qui nient leurs expériences , ceux qui disent : « Il y a longtemps j' ai fait une dépression et je ne veux plus jamais y penser et je ne vais pas y faire attention et je vais tout simplement reprendre ma vie en main .</t>
  </si>
  <si>
    <t>file://conllu/fr/teddy-1323.conllu#s231_0</t>
  </si>
  <si>
    <t>232</t>
  </si>
  <si>
    <t>être (être gens)</t>
  </si>
  <si>
    <t>» paradoxalement , ceux sont ces gens -là qui en sont les plus asservis .</t>
  </si>
  <si>
    <t>file://conllu/fr/teddy-1323.conllu#s232_0</t>
  </si>
  <si>
    <t>233</t>
  </si>
  <si>
    <t>Nier la dépression ne fait que la renforcer .</t>
  </si>
  <si>
    <t>file://conllu/fr/teddy-1323.conllu#s233_0</t>
  </si>
  <si>
    <t>234</t>
  </si>
  <si>
    <t>grandir</t>
  </si>
  <si>
    <t>Tandis que vous la refusez , elle grandit .</t>
  </si>
  <si>
    <t>file://conllu/fr/teddy-1323.conllu#s234_0</t>
  </si>
  <si>
    <t>235</t>
  </si>
  <si>
    <t>celui</t>
  </si>
  <si>
    <t>Et ceux qui réussissent le mieux c' est ceux qui arrivent à tolérer le fait qu' ils vivent dans cet état .</t>
  </si>
  <si>
    <t>file://conllu/fr/teddy-1323.conllu#s235_0</t>
  </si>
  <si>
    <t>236</t>
  </si>
  <si>
    <t>Ceux qui arrivent à tolérer leur dépression sont ceux qui atteignent la résilience .</t>
  </si>
  <si>
    <t>file://conllu/fr/teddy-1323.conllu#s236_0</t>
  </si>
  <si>
    <t>237</t>
  </si>
  <si>
    <t>dire (dire supposer)</t>
  </si>
  <si>
    <t>Alors Frank Russakoff m' a dit : « Si je pouvais repartir à zéro , je suppose que je ne le ferais pas ainsi , mais curieusement , je suis reconnaissant de ce que j' ai vécu .</t>
  </si>
  <si>
    <t>file://conllu/fr/teddy-1323.conllu#s237_0</t>
  </si>
  <si>
    <t>238</t>
  </si>
  <si>
    <t>être (être contre)</t>
  </si>
  <si>
    <t>Je suis content d' avoir été 40 fois à l' hôpital .</t>
  </si>
  <si>
    <t>file://conllu/fr/teddy-1323.conllu#s238_0</t>
  </si>
  <si>
    <t>239</t>
  </si>
  <si>
    <t>être (être cher)</t>
  </si>
  <si>
    <t>Cela m' a appris des de les tas de choses sur l' amour , et la relation entretenue avec mes parents et mes médecins m' a été très chère , et elle le sera toujours .</t>
  </si>
  <si>
    <t>file://conllu/fr/teddy-1323.conllu#s239_0</t>
  </si>
  <si>
    <t>240</t>
  </si>
  <si>
    <t>» Et Maggie Robbins a dit : « Autrefois j' ai été bénévole dans une clinique du de le SIDA , et je ne cessais pas de parler , et les gens avec qui j' avais affaire n' étaient guère réceptifs , et je me suis dit : « Ce n' est pas très sympa ou aimable de leur part .</t>
  </si>
  <si>
    <t>file://conllu/fr/teddy-1323.conllu#s240_0</t>
  </si>
  <si>
    <t>241</t>
  </si>
  <si>
    <t>» Et puis je me suis rendu compte , qu' ils n' allaient jamais faire plus que quelques petites minutes de bavardage .</t>
  </si>
  <si>
    <t>file://conllu/fr/teddy-1323.conllu#s241_0</t>
  </si>
  <si>
    <t>242</t>
  </si>
  <si>
    <t>marquer</t>
  </si>
  <si>
    <t>Cela marquait tout simplement une occasion où je n' avais pas de SIDA et je ne mourais pas , mais j' arrivais à tolérer qu' eux , ils l' avaient et ils allaient mourir .</t>
  </si>
  <si>
    <t>file://conllu/fr/teddy-1323.conllu#s242_0</t>
  </si>
  <si>
    <t>243</t>
  </si>
  <si>
    <t>être (être avantage)</t>
  </si>
  <si>
    <t>Nos besoins sont nos plus grands avantages .</t>
  </si>
  <si>
    <t>file://conllu/fr/teddy-1323.conllu#s243_0</t>
  </si>
  <si>
    <t>244</t>
  </si>
  <si>
    <t>Il s' avère que j' ai appris à donner tout ce dont j' ai besoin .</t>
  </si>
  <si>
    <t>file://conllu/fr/teddy-1323.conllu#s244_0</t>
  </si>
  <si>
    <t>245</t>
  </si>
  <si>
    <t>empêcher</t>
  </si>
  <si>
    <t>» Valoriser sa dépression n' empêche pas la rechute , mais il pourrait faire en sort qu' une rechute éventuelle et la rechute même soit plus facile à tolérer .</t>
  </si>
  <si>
    <t>file://conllu/fr/teddy-1323.conllu#s245_0</t>
  </si>
  <si>
    <t>246</t>
  </si>
  <si>
    <t>Il ne s' agit pas vraiment de trouver une importance quelconque et de décider que votre dépression a été très significative .</t>
  </si>
  <si>
    <t>file://conllu/fr/teddy-1323.conllu#s246_0</t>
  </si>
  <si>
    <t>247</t>
  </si>
  <si>
    <t>Il s' agit de chercher cette importance et s' imaginer , quand il se produit de nouveau : « Ça va être l' enfer , mais je vais en tirer quelque chose .</t>
  </si>
  <si>
    <t>file://conllu/fr/teddy-1323.conllu#s247_0</t>
  </si>
  <si>
    <t>248</t>
  </si>
  <si>
    <t>apprendre</t>
  </si>
  <si>
    <t>» Au À le cours de ma propre dépression j' ai appris à quel point une émotion peut être intense , comment elle peut être plus vraie que des de les faits , et j' ai découvert que cette expérience -là m' a permis d' éprouver des de les émotions positives d' une manière plus intense et plus nette .</t>
  </si>
  <si>
    <t>file://conllu/fr/teddy-1323.conllu#s248_0</t>
  </si>
  <si>
    <t>249</t>
  </si>
  <si>
    <t>À l' opposé de la dépression , ce n' est pas le bonheur mais la vitalité .</t>
  </si>
  <si>
    <t>file://conllu/fr/teddy-1323.conllu#s249_0</t>
  </si>
  <si>
    <t>250</t>
  </si>
  <si>
    <t>et en ce moment , j' ai une vie vitale , même les jours où je suis triste .</t>
  </si>
  <si>
    <t>file://conllu/fr/teddy-1323.conllu#s250_0</t>
  </si>
  <si>
    <t>251</t>
  </si>
  <si>
    <t>J' ai senti cet enterrement dans ma tête , et je me suis assis à côté du de le colosse au à le bout du de le monde , et j' ai découvert quelque chose au à le fond de moi que je ne peux qu' appeler une âme que je n' avais jamais formulée avant ce jour il y a 20 ans quand l' enfer est venu me rendre visite subitement .</t>
  </si>
  <si>
    <t>file://conllu/fr/teddy-1323.conllu#s251_0</t>
  </si>
  <si>
    <t>252</t>
  </si>
  <si>
    <t>trouver (trouver croire)</t>
  </si>
  <si>
    <t>Et je crois que , bien que je déteste être déprimé et j' ai horreur d' être encore déprimé , j' ai trouvé un moyen d' aimer la dépression</t>
  </si>
  <si>
    <t>file://conllu/fr/teddy-1323.conllu#s252_0</t>
  </si>
  <si>
    <t>253</t>
  </si>
  <si>
    <t>aimer</t>
  </si>
  <si>
    <t>Je l' aime puisqu' elle m' a obligé de trouver de la joie et de m' y accrocher .</t>
  </si>
  <si>
    <t>file://conllu/fr/teddy-1323.conllu#s253_0</t>
  </si>
  <si>
    <t>254</t>
  </si>
  <si>
    <t>décider (décider croire)</t>
  </si>
  <si>
    <t>parce que chaque jour je décide parfois vaillamment , parfois contre à l' encontre de la raison du de le moment , d' adhérer aux à les raisons de vivre , Et cela , je crois , représente une extase très rare .</t>
  </si>
  <si>
    <t>file://conllu/fr/teddy-1323.conllu#s254_0</t>
  </si>
  <si>
    <t>255</t>
  </si>
  <si>
    <t>merci</t>
  </si>
  <si>
    <t>Merci .</t>
  </si>
  <si>
    <t>file://conllu/fr/teddy-1323.conllu#s255_0</t>
  </si>
  <si>
    <t>WORD</t>
  </si>
  <si>
    <t>GR</t>
  </si>
  <si>
    <t>NP_TYPE</t>
  </si>
  <si>
    <t>REF_AUTO</t>
  </si>
  <si>
    <t>COREF</t>
  </si>
  <si>
    <t>REF</t>
  </si>
  <si>
    <t>IS</t>
  </si>
  <si>
    <t>CB</t>
  </si>
  <si>
    <t>GR_ANTE</t>
  </si>
  <si>
    <t>REF_DIST</t>
  </si>
  <si>
    <t>REF_DIST_ANTE</t>
  </si>
  <si>
    <t># text = J'ai senti un enterrement dans ma tête</t>
  </si>
  <si>
    <t>J'</t>
  </si>
  <si>
    <t>SBJ</t>
  </si>
  <si>
    <t>pron.pper</t>
  </si>
  <si>
    <t>?OLD</t>
  </si>
  <si>
    <t>ai</t>
  </si>
  <si>
    <t>senti</t>
  </si>
  <si>
    <t>enterrement</t>
  </si>
  <si>
    <t>OBJ</t>
  </si>
  <si>
    <t>indef-np.a</t>
  </si>
  <si>
    <t>dans</t>
  </si>
  <si>
    <t>ma</t>
  </si>
  <si>
    <t>other_2</t>
  </si>
  <si>
    <t>pron.ppos</t>
  </si>
  <si>
    <t>tête</t>
  </si>
  <si>
    <t>other</t>
  </si>
  <si>
    <t>def-np.poss</t>
  </si>
  <si>
    <t># text = Et les amis du défunt allaient et venaient, Continuaient à marcher, jusqu'à ce qu'il me semble Que ma raison s'en allait.</t>
  </si>
  <si>
    <t>Et</t>
  </si>
  <si>
    <t>les</t>
  </si>
  <si>
    <t>amis</t>
  </si>
  <si>
    <t>def-np.the</t>
  </si>
  <si>
    <t>de</t>
  </si>
  <si>
    <t>le</t>
  </si>
  <si>
    <t>défunt</t>
  </si>
  <si>
    <t>allaient</t>
  </si>
  <si>
    <t>et</t>
  </si>
  <si>
    <t>venaient</t>
  </si>
  <si>
    <t>,</t>
  </si>
  <si>
    <t>Continuaient</t>
  </si>
  <si>
    <t>à</t>
  </si>
  <si>
    <t>marcher</t>
  </si>
  <si>
    <t>jusqu'</t>
  </si>
  <si>
    <t>other_4</t>
  </si>
  <si>
    <t>pron.pds</t>
  </si>
  <si>
    <t>qu'</t>
  </si>
  <si>
    <t>il</t>
  </si>
  <si>
    <t>me</t>
  </si>
  <si>
    <t>semble</t>
  </si>
  <si>
    <t>Que</t>
  </si>
  <si>
    <t>other_8</t>
  </si>
  <si>
    <t>raison</t>
  </si>
  <si>
    <t>SBJ_7</t>
  </si>
  <si>
    <t>s'</t>
  </si>
  <si>
    <t>en</t>
  </si>
  <si>
    <t>OBJ_7</t>
  </si>
  <si>
    <t>pron</t>
  </si>
  <si>
    <t>allait</t>
  </si>
  <si>
    <t>.</t>
  </si>
  <si>
    <t># text = Et quand ils s'étaient tous assis</t>
  </si>
  <si>
    <t>quand</t>
  </si>
  <si>
    <t>ils</t>
  </si>
  <si>
    <t>étaient</t>
  </si>
  <si>
    <t>tous</t>
  </si>
  <si>
    <t>assis</t>
  </si>
  <si>
    <t># text = Un office comme un tambour battait, battait, jusqu'à ce qu'il me semblait que mon esprit devenait paralysé.</t>
  </si>
  <si>
    <t>Un</t>
  </si>
  <si>
    <t>office</t>
  </si>
  <si>
    <t>comme</t>
  </si>
  <si>
    <t>tambour</t>
  </si>
  <si>
    <t>battait</t>
  </si>
  <si>
    <t>SBJ_4</t>
  </si>
  <si>
    <t>OBJ_4</t>
  </si>
  <si>
    <t>semblait</t>
  </si>
  <si>
    <t>que</t>
  </si>
  <si>
    <t>mon</t>
  </si>
  <si>
    <t>other_6</t>
  </si>
  <si>
    <t>esprit</t>
  </si>
  <si>
    <t>SBJ_5</t>
  </si>
  <si>
    <t>devenait</t>
  </si>
  <si>
    <t>paralysé</t>
  </si>
  <si>
    <t># text = Et puis, je les ai entendus soulever une boîte et traverser mon âme en grinçant, avec encore ces mêmes bottes de plomb, puis tout s'est mis à sonner, comme si les cieux n'étaient qu'une cloche et l'existence n'était qu'une oreille et moi, et le silence, une espèce d'étrange race anéantie, solitaire, ici.</t>
  </si>
  <si>
    <t>puis</t>
  </si>
  <si>
    <t>je</t>
  </si>
  <si>
    <t>entendus</t>
  </si>
  <si>
    <t>soulever</t>
  </si>
  <si>
    <t>une</t>
  </si>
  <si>
    <t>boîte</t>
  </si>
  <si>
    <t>OBJ_2</t>
  </si>
  <si>
    <t>traverser</t>
  </si>
  <si>
    <t>other_3</t>
  </si>
  <si>
    <t>âme</t>
  </si>
  <si>
    <t>grinçant</t>
  </si>
  <si>
    <t>indef-np.bare</t>
  </si>
  <si>
    <t>avec</t>
  </si>
  <si>
    <t>encore</t>
  </si>
  <si>
    <t>ces</t>
  </si>
  <si>
    <t>mêmes</t>
  </si>
  <si>
    <t>bottes</t>
  </si>
  <si>
    <t>def-np.dem</t>
  </si>
  <si>
    <t>plomb</t>
  </si>
  <si>
    <t>tout</t>
  </si>
  <si>
    <t>SBJ_3</t>
  </si>
  <si>
    <t>est</t>
  </si>
  <si>
    <t>mis</t>
  </si>
  <si>
    <t>sonner</t>
  </si>
  <si>
    <t>si</t>
  </si>
  <si>
    <t>cieux</t>
  </si>
  <si>
    <t>n'</t>
  </si>
  <si>
    <t>cloche</t>
  </si>
  <si>
    <t>l'</t>
  </si>
  <si>
    <t>existence</t>
  </si>
  <si>
    <t>était</t>
  </si>
  <si>
    <t>oreille</t>
  </si>
  <si>
    <t>moi</t>
  </si>
  <si>
    <t>silence</t>
  </si>
  <si>
    <t>espèce</t>
  </si>
  <si>
    <t>d'</t>
  </si>
  <si>
    <t>étrange</t>
  </si>
  <si>
    <t>race</t>
  </si>
  <si>
    <t>other_5</t>
  </si>
  <si>
    <t>anéantie</t>
  </si>
  <si>
    <t>solitaire</t>
  </si>
  <si>
    <t>ici</t>
  </si>
  <si>
    <t># text = D'un coup, une planche de la raison se brisa, et je tombai, sans arrêt et heurtai un monde, à chaque chute et puis finis alors d'être consciente.</t>
  </si>
  <si>
    <t>D'</t>
  </si>
  <si>
    <t>coup</t>
  </si>
  <si>
    <t>planche</t>
  </si>
  <si>
    <t>la</t>
  </si>
  <si>
    <t>se</t>
  </si>
  <si>
    <t>brisa</t>
  </si>
  <si>
    <t>SBJ_2</t>
  </si>
  <si>
    <t>tombai</t>
  </si>
  <si>
    <t>sans</t>
  </si>
  <si>
    <t>arrêt</t>
  </si>
  <si>
    <t>heurtai</t>
  </si>
  <si>
    <t>monde</t>
  </si>
  <si>
    <t>OBJ_3</t>
  </si>
  <si>
    <t>chaque</t>
  </si>
  <si>
    <t>chute</t>
  </si>
  <si>
    <t>indef-np</t>
  </si>
  <si>
    <t>finis</t>
  </si>
  <si>
    <t>alors</t>
  </si>
  <si>
    <t>consciente</t>
  </si>
  <si>
    <t># text = » Nous comprenons la dépression à travers les métaphores.</t>
  </si>
  <si>
    <t>Nous</t>
  </si>
  <si>
    <t>comprenons</t>
  </si>
  <si>
    <t>dépression</t>
  </si>
  <si>
    <t>travers</t>
  </si>
  <si>
    <t>métaphores</t>
  </si>
  <si>
    <t># text = Emily Dickinson arrivait à la communiquer par des mots, Goya par une image.</t>
  </si>
  <si>
    <t>Emily</t>
  </si>
  <si>
    <t>ne</t>
  </si>
  <si>
    <t>Dickinson</t>
  </si>
  <si>
    <t>arrivait</t>
  </si>
  <si>
    <t>communiquer</t>
  </si>
  <si>
    <t>par</t>
  </si>
  <si>
    <t>mots</t>
  </si>
  <si>
    <t>Goya</t>
  </si>
  <si>
    <t>image</t>
  </si>
  <si>
    <t># text = Le but de l'art est, en partie, de décrire de tels états iconiques.</t>
  </si>
  <si>
    <t>Le</t>
  </si>
  <si>
    <t>but</t>
  </si>
  <si>
    <t>art</t>
  </si>
  <si>
    <t>partie</t>
  </si>
  <si>
    <t>décrire</t>
  </si>
  <si>
    <t>tels</t>
  </si>
  <si>
    <t>états</t>
  </si>
  <si>
    <t>iconiques</t>
  </si>
  <si>
    <t># text = Quant à moi, je m'étais toujours trouvé fort, parmi ceux qui pourraient survivre si on m'avait envoyé dans un camp de concentration.</t>
  </si>
  <si>
    <t>Quant</t>
  </si>
  <si>
    <t>m'</t>
  </si>
  <si>
    <t>étais</t>
  </si>
  <si>
    <t>toujours</t>
  </si>
  <si>
    <t>trouvé</t>
  </si>
  <si>
    <t>fort</t>
  </si>
  <si>
    <t>parmi</t>
  </si>
  <si>
    <t>ceux</t>
  </si>
  <si>
    <t>qui</t>
  </si>
  <si>
    <t>pourraient</t>
  </si>
  <si>
    <t>survivre</t>
  </si>
  <si>
    <t>on</t>
  </si>
  <si>
    <t>OBJ_5</t>
  </si>
  <si>
    <t>avait</t>
  </si>
  <si>
    <t>envoyé</t>
  </si>
  <si>
    <t>camp</t>
  </si>
  <si>
    <t>concentration</t>
  </si>
  <si>
    <t># text = En 1991, j'ai subi une série de pertes.</t>
  </si>
  <si>
    <t>En</t>
  </si>
  <si>
    <t>1991</t>
  </si>
  <si>
    <t>j'</t>
  </si>
  <si>
    <t>subi</t>
  </si>
  <si>
    <t>série</t>
  </si>
  <si>
    <t>pertes</t>
  </si>
  <si>
    <t># text = Ma mère est morte, une relation s'est terminée, je suis rentré aux États-Unis après quelques années à l'étranger, et je m'en suis sorti intact.</t>
  </si>
  <si>
    <t>Ma</t>
  </si>
  <si>
    <t>mère</t>
  </si>
  <si>
    <t>morte</t>
  </si>
  <si>
    <t>relation</t>
  </si>
  <si>
    <t>terminée</t>
  </si>
  <si>
    <t>suis</t>
  </si>
  <si>
    <t>rentré</t>
  </si>
  <si>
    <t>États-Unis</t>
  </si>
  <si>
    <t>après</t>
  </si>
  <si>
    <t>quelques</t>
  </si>
  <si>
    <t>années</t>
  </si>
  <si>
    <t>étranger</t>
  </si>
  <si>
    <t>sorti</t>
  </si>
  <si>
    <t>intact</t>
  </si>
  <si>
    <t># text = Mais en 1994, trois ans après, j'ai constaté que je me désintéressais de tout.</t>
  </si>
  <si>
    <t>Mais</t>
  </si>
  <si>
    <t>1994</t>
  </si>
  <si>
    <t>trois</t>
  </si>
  <si>
    <t>ans</t>
  </si>
  <si>
    <t>indef-np.quant</t>
  </si>
  <si>
    <t>constaté</t>
  </si>
  <si>
    <t>désintéressais</t>
  </si>
  <si>
    <t># text = Je ne voulais plus faire les choses que j'avais voulu faire auparavant, et je ne savais pas pourquoi.</t>
  </si>
  <si>
    <t>Je</t>
  </si>
  <si>
    <t>plus</t>
  </si>
  <si>
    <t>choses</t>
  </si>
  <si>
    <t>avais</t>
  </si>
  <si>
    <t>voulu</t>
  </si>
  <si>
    <t>auparavant</t>
  </si>
  <si>
    <t>savais</t>
  </si>
  <si>
    <t>pas</t>
  </si>
  <si>
    <t>pourquoi</t>
  </si>
  <si>
    <t># text = Le contraire de la dépression n'est pas le bonheur, mais la vitalité, et c'était la vitalité qui paraissait me fuir à ce moment-là.</t>
  </si>
  <si>
    <t>contraire</t>
  </si>
  <si>
    <t>bonheur</t>
  </si>
  <si>
    <t>mais</t>
  </si>
  <si>
    <t>vitalité</t>
  </si>
  <si>
    <t>c'</t>
  </si>
  <si>
    <t>paraissait</t>
  </si>
  <si>
    <t>fuir</t>
  </si>
  <si>
    <t>moment</t>
  </si>
  <si>
    <t>-là</t>
  </si>
  <si>
    <t># text = Tout ce que j'avais à faire me semblait trop.</t>
  </si>
  <si>
    <t>Tout</t>
  </si>
  <si>
    <t>trop</t>
  </si>
  <si>
    <t># text = Je rentrais à la maison et je voyais la lumière rouge du répondeur clignoter, et au lieu d'être ravi d'avoir des nouvelles des amis, je pensais : « Ça fait beaucoup de monde à rappeler.</t>
  </si>
  <si>
    <t>rentrais</t>
  </si>
  <si>
    <t>maison</t>
  </si>
  <si>
    <t>voyais</t>
  </si>
  <si>
    <t>lumière</t>
  </si>
  <si>
    <t>rouge</t>
  </si>
  <si>
    <t>répondeur</t>
  </si>
  <si>
    <t>clignoter</t>
  </si>
  <si>
    <t>lieu</t>
  </si>
  <si>
    <t>ravi</t>
  </si>
  <si>
    <t>nouvelles</t>
  </si>
  <si>
    <t>pensais</t>
  </si>
  <si>
    <t>:</t>
  </si>
  <si>
    <t>«</t>
  </si>
  <si>
    <t>Ça</t>
  </si>
  <si>
    <t>fait</t>
  </si>
  <si>
    <t>beaucoup</t>
  </si>
  <si>
    <t>rappeler</t>
  </si>
  <si>
    <t># text = » Ou je décidais de prendre mon déjeuner, sauf qu'après, je pensais qu'il me faudrait sortir la nourriture, la mettre sur une assiette, la découper, la mastiquer, l'avaler, et c'était pour moi un supplice.</t>
  </si>
  <si>
    <t>Ou</t>
  </si>
  <si>
    <t>décidais</t>
  </si>
  <si>
    <t>déjeuner</t>
  </si>
  <si>
    <t>sauf</t>
  </si>
  <si>
    <t>faudrait</t>
  </si>
  <si>
    <t>nourriture</t>
  </si>
  <si>
    <t>OBJ_6</t>
  </si>
  <si>
    <t>sur</t>
  </si>
  <si>
    <t>assiette</t>
  </si>
  <si>
    <t>découper</t>
  </si>
  <si>
    <t>mastiquer</t>
  </si>
  <si>
    <t>avaler</t>
  </si>
  <si>
    <t>pour</t>
  </si>
  <si>
    <t>supplice</t>
  </si>
  <si>
    <t># text = Une chose qu'on néglige souvent lorsqu'on discute de la dépression, c'est qu'on est conscient que c'est ridicule.</t>
  </si>
  <si>
    <t>Une</t>
  </si>
  <si>
    <t>chose</t>
  </si>
  <si>
    <t>néglige</t>
  </si>
  <si>
    <t>souvent</t>
  </si>
  <si>
    <t>lorsqu'</t>
  </si>
  <si>
    <t>discute</t>
  </si>
  <si>
    <t>conscient</t>
  </si>
  <si>
    <t>ridicule</t>
  </si>
  <si>
    <t># text = On est conscient que c'est ridicule, alors qu'on l'éprouve.</t>
  </si>
  <si>
    <t>On</t>
  </si>
  <si>
    <t>éprouve</t>
  </si>
  <si>
    <t># text = On est conscient que la plupart des gens arrivent à écouter leurs messages et à déjeuner et à s'arranger pour prendre une douche et à quitter la maison et ce n'est pas si terrible, mais pourtant, on est sous son emprise et on est incapable de trouver une façon de la contourner.</t>
  </si>
  <si>
    <t>plupart</t>
  </si>
  <si>
    <t>arrivent</t>
  </si>
  <si>
    <t>écouter</t>
  </si>
  <si>
    <t>leurs</t>
  </si>
  <si>
    <t>messages</t>
  </si>
  <si>
    <t>arranger</t>
  </si>
  <si>
    <t>douche</t>
  </si>
  <si>
    <t>quitter</t>
  </si>
  <si>
    <t>terrible</t>
  </si>
  <si>
    <t>pourtant</t>
  </si>
  <si>
    <t>sous</t>
  </si>
  <si>
    <t>son</t>
  </si>
  <si>
    <t>emprise</t>
  </si>
  <si>
    <t>incapable</t>
  </si>
  <si>
    <t>façon</t>
  </si>
  <si>
    <t>contourner</t>
  </si>
  <si>
    <t># text = Et alors je me suis rendu compte que je faisais moins de choses, que je pensais moins, que je ressentais moins de choses.</t>
  </si>
  <si>
    <t>rendu</t>
  </si>
  <si>
    <t>compte</t>
  </si>
  <si>
    <t>faisais</t>
  </si>
  <si>
    <t>moins</t>
  </si>
  <si>
    <t>ressentais</t>
  </si>
  <si>
    <t># text = C'était une sorte de vide.</t>
  </si>
  <si>
    <t>C'</t>
  </si>
  <si>
    <t>sorte</t>
  </si>
  <si>
    <t>vide</t>
  </si>
  <si>
    <t># text = Et puis l'angoisse s'est installée.</t>
  </si>
  <si>
    <t>angoisse</t>
  </si>
  <si>
    <t>installée</t>
  </si>
  <si>
    <t># text = Si on me disait que je devais être en dépression durant tout le mois suivant, je répondrais : « Tant que je sais que ça sera fini en novembre, je peux y arriver.</t>
  </si>
  <si>
    <t>Si</t>
  </si>
  <si>
    <t>disait</t>
  </si>
  <si>
    <t>devais</t>
  </si>
  <si>
    <t>durant</t>
  </si>
  <si>
    <t>mois</t>
  </si>
  <si>
    <t>suivant</t>
  </si>
  <si>
    <t>répondrais</t>
  </si>
  <si>
    <t>Tant</t>
  </si>
  <si>
    <t>sais</t>
  </si>
  <si>
    <t>ça</t>
  </si>
  <si>
    <t>sera</t>
  </si>
  <si>
    <t>fini</t>
  </si>
  <si>
    <t>novembre</t>
  </si>
  <si>
    <t>peux</t>
  </si>
  <si>
    <t>y</t>
  </si>
  <si>
    <t># text = » Mais si on me disait : « Durant le mois suivant, tu dois traverser une période d'angoisse aiguë, » je me taillerais les veines plutôt que de la subir.</t>
  </si>
  <si>
    <t>Durant</t>
  </si>
  <si>
    <t>tu</t>
  </si>
  <si>
    <t>dois</t>
  </si>
  <si>
    <t>période</t>
  </si>
  <si>
    <t>aiguë</t>
  </si>
  <si>
    <t>taillerais</t>
  </si>
  <si>
    <t>veines</t>
  </si>
  <si>
    <t>plutôt</t>
  </si>
  <si>
    <t># text = C'était toujours le même sentiment comme ce qu'on ressent quand on marche et qu'on trébuche ou qu'on glisse, et la terre fonce vers soi, mais plutôt que de durer normalement à peine une seconde, ça a duré six mois.</t>
  </si>
  <si>
    <t>même</t>
  </si>
  <si>
    <t>sentiment</t>
  </si>
  <si>
    <t>ressent</t>
  </si>
  <si>
    <t>marche</t>
  </si>
  <si>
    <t>trébuche</t>
  </si>
  <si>
    <t>ou</t>
  </si>
  <si>
    <t>SBJ_6</t>
  </si>
  <si>
    <t>glisse</t>
  </si>
  <si>
    <t>terre</t>
  </si>
  <si>
    <t>fonce</t>
  </si>
  <si>
    <t>vers</t>
  </si>
  <si>
    <t>soi</t>
  </si>
  <si>
    <t>other_7</t>
  </si>
  <si>
    <t>durer</t>
  </si>
  <si>
    <t>normalement</t>
  </si>
  <si>
    <t>peine</t>
  </si>
  <si>
    <t>other_9</t>
  </si>
  <si>
    <t>seconde</t>
  </si>
  <si>
    <t>a</t>
  </si>
  <si>
    <t>duré</t>
  </si>
  <si>
    <t>six</t>
  </si>
  <si>
    <t># text = C'est la sensation d'avoir peur tout le temps sans même savoir de quoi on a peur.</t>
  </si>
  <si>
    <t>sensation</t>
  </si>
  <si>
    <t>peur</t>
  </si>
  <si>
    <t>temps</t>
  </si>
  <si>
    <t>quoi</t>
  </si>
  <si>
    <t># text = Et c'était à ce moment-là que j'ai commencé à croire que vivre faisait trop mal, et que la seule raison de ne pas se suicider, c'était afin d'éviter aux autres de souffrir.</t>
  </si>
  <si>
    <t>commencé</t>
  </si>
  <si>
    <t>vivre</t>
  </si>
  <si>
    <t>faisait</t>
  </si>
  <si>
    <t>mal</t>
  </si>
  <si>
    <t>seule</t>
  </si>
  <si>
    <t>suicider</t>
  </si>
  <si>
    <t>afin</t>
  </si>
  <si>
    <t>éviter</t>
  </si>
  <si>
    <t>autres</t>
  </si>
  <si>
    <t>souffrir</t>
  </si>
  <si>
    <t># text = Finalement un jour, je me suis réveillé et j'ai cru avoir eu une attaque cérébrale, car j'étais étendu sur le lit, immobile, je regardais le téléphone, et j'ai pensé : « Il y a quelque chose qui cloche, je devrais appeler quelqu'un.</t>
  </si>
  <si>
    <t>Finalement</t>
  </si>
  <si>
    <t>jour</t>
  </si>
  <si>
    <t>réveillé</t>
  </si>
  <si>
    <t>cru</t>
  </si>
  <si>
    <t>eu</t>
  </si>
  <si>
    <t>attaque</t>
  </si>
  <si>
    <t>cérébrale</t>
  </si>
  <si>
    <t>car</t>
  </si>
  <si>
    <t>étendu</t>
  </si>
  <si>
    <t>lit</t>
  </si>
  <si>
    <t>immobile</t>
  </si>
  <si>
    <t>regardais</t>
  </si>
  <si>
    <t>téléphone</t>
  </si>
  <si>
    <t>pensé</t>
  </si>
  <si>
    <t>Il</t>
  </si>
  <si>
    <t>quelque</t>
  </si>
  <si>
    <t>devrais</t>
  </si>
  <si>
    <t>appeler</t>
  </si>
  <si>
    <t>quelqu'un</t>
  </si>
  <si>
    <t># text = » mais je n'arrivais pas à tendre le bras pour attraper le téléphone et composer un numéro.</t>
  </si>
  <si>
    <t>arrivais</t>
  </si>
  <si>
    <t>tendre</t>
  </si>
  <si>
    <t>bras</t>
  </si>
  <si>
    <t>attraper</t>
  </si>
  <si>
    <t>composer</t>
  </si>
  <si>
    <t>numéro</t>
  </si>
  <si>
    <t># text = Puis finalement, au bout de quatre heures passées allongé à le fixer, le téléphone a sonné, j'ai réussi à le décrocher d'une manière ou d'une autre, et c'était mon père, et j'ai dit : « J'ai de graves problèmes.</t>
  </si>
  <si>
    <t>Puis</t>
  </si>
  <si>
    <t>finalement</t>
  </si>
  <si>
    <t>bout</t>
  </si>
  <si>
    <t>quatre</t>
  </si>
  <si>
    <t>heures</t>
  </si>
  <si>
    <t>passées</t>
  </si>
  <si>
    <t>allongé</t>
  </si>
  <si>
    <t>fixer</t>
  </si>
  <si>
    <t>sonné</t>
  </si>
  <si>
    <t>réussi</t>
  </si>
  <si>
    <t>décrocher</t>
  </si>
  <si>
    <t>manière</t>
  </si>
  <si>
    <t>autre</t>
  </si>
  <si>
    <t>père</t>
  </si>
  <si>
    <t>dit</t>
  </si>
  <si>
    <t>graves</t>
  </si>
  <si>
    <t>problèmes</t>
  </si>
  <si>
    <t># text = Il faut qu'on fasse quelque chose.</t>
  </si>
  <si>
    <t>faut</t>
  </si>
  <si>
    <t>fasse</t>
  </si>
  <si>
    <t># text = » Le lendemain, j'ai commencé à prendre des médicaments et une thérapie.</t>
  </si>
  <si>
    <t>lendemain</t>
  </si>
  <si>
    <t>médicaments</t>
  </si>
  <si>
    <t>thérapie</t>
  </si>
  <si>
    <t># text = Et j'ai également commencé à considérer cette terrible question : Si je ne suis pas la solide personne qui aurait été capable de survivre dans un camp de concentration, alors qui suis-je ?</t>
  </si>
  <si>
    <t>également</t>
  </si>
  <si>
    <t>considérer</t>
  </si>
  <si>
    <t>cette</t>
  </si>
  <si>
    <t>question</t>
  </si>
  <si>
    <t>solide</t>
  </si>
  <si>
    <t>aurait</t>
  </si>
  <si>
    <t>été</t>
  </si>
  <si>
    <t>capable</t>
  </si>
  <si>
    <t>-je</t>
  </si>
  <si>
    <t>?</t>
  </si>
  <si>
    <t># text = Et si je dois prendre des médicaments, est-ce qu'ils vont me permettre de redevenir moi-même, ou feront-ils de moi quelqu'un d'autre ?</t>
  </si>
  <si>
    <t>-ce</t>
  </si>
  <si>
    <t>vont</t>
  </si>
  <si>
    <t>permettre</t>
  </si>
  <si>
    <t>redevenir</t>
  </si>
  <si>
    <t>moi-même</t>
  </si>
  <si>
    <t>feront</t>
  </si>
  <si>
    <t>-ils</t>
  </si>
  <si>
    <t># text = Et que vais-je ressentir s'ils font de moi Quand me suis engagé dans la lutte, j'avais deux avantanges.</t>
  </si>
  <si>
    <t>vais</t>
  </si>
  <si>
    <t>font</t>
  </si>
  <si>
    <t>Quand</t>
  </si>
  <si>
    <t>engagé</t>
  </si>
  <si>
    <t>lutte</t>
  </si>
  <si>
    <t>deux</t>
  </si>
  <si>
    <t>avantanges</t>
  </si>
  <si>
    <t># text = Le premier, c'était que je savais, objectivement parlant, que je menais une vie agréable, et que si je pouvais m'en tirer, il me resterait toujours quelque chose qui valait la peine de vivre.</t>
  </si>
  <si>
    <t>premier</t>
  </si>
  <si>
    <t>objectivement</t>
  </si>
  <si>
    <t>parlant</t>
  </si>
  <si>
    <t>menais</t>
  </si>
  <si>
    <t>vie</t>
  </si>
  <si>
    <t>agréable</t>
  </si>
  <si>
    <t>pouvais</t>
  </si>
  <si>
    <t>tirer</t>
  </si>
  <si>
    <t>resterait</t>
  </si>
  <si>
    <t>valait</t>
  </si>
  <si>
    <t># text = Et l'autre, c'est que j'avais accès au bon traitement.</t>
  </si>
  <si>
    <t>accès</t>
  </si>
  <si>
    <t>bon</t>
  </si>
  <si>
    <t>traitement</t>
  </si>
  <si>
    <t># text = Cependant, j'allais mieux et je rechutais, j'allais mieux et je rechutais, jusqu'à ce que je comprenne que je passerais le reste de ma vie et à suivre une thérapie.</t>
  </si>
  <si>
    <t>Cependant</t>
  </si>
  <si>
    <t>allais</t>
  </si>
  <si>
    <t>mieux</t>
  </si>
  <si>
    <t>rechutais</t>
  </si>
  <si>
    <t>comprenne</t>
  </si>
  <si>
    <t>passerais</t>
  </si>
  <si>
    <t>reste</t>
  </si>
  <si>
    <t>suivre</t>
  </si>
  <si>
    <t># text = Et je me suis dit : « Mais, est-ce un problème chimique ou psychologique ?</t>
  </si>
  <si>
    <t>problème</t>
  </si>
  <si>
    <t>chimique</t>
  </si>
  <si>
    <t>psychologique</t>
  </si>
  <si>
    <t># text = Et faut-il un traitement chimique, ou psychologique ?</t>
  </si>
  <si>
    <t>-il</t>
  </si>
  <si>
    <t># text = »</t>
  </si>
  <si>
    <t># text = Et je n'arrivais pas à comprendre.</t>
  </si>
  <si>
    <t># text = Et puis j'ai compris qu'en fait, on n'avait pas assez avancé dans ces deux domaines pour expliquer totalement les choses.</t>
  </si>
  <si>
    <t>compris</t>
  </si>
  <si>
    <t>assez</t>
  </si>
  <si>
    <t>avancé</t>
  </si>
  <si>
    <t>domaines</t>
  </si>
  <si>
    <t>expliquer</t>
  </si>
  <si>
    <t>totalement</t>
  </si>
  <si>
    <t># text = Le remède chimique et psychologique avaient tous les deux un rôle à jouer, et j'ai aussi compris que la dépression est une chose qui est si ancrée au fond de soi qu'elle ne peut être séparée de notre caractère ou personnalité.</t>
  </si>
  <si>
    <t>remède</t>
  </si>
  <si>
    <t>avaient</t>
  </si>
  <si>
    <t>rôle</t>
  </si>
  <si>
    <t>jouer</t>
  </si>
  <si>
    <t>aussi</t>
  </si>
  <si>
    <t>ancrée</t>
  </si>
  <si>
    <t>fond</t>
  </si>
  <si>
    <t>elle</t>
  </si>
  <si>
    <t>peut</t>
  </si>
  <si>
    <t>séparée</t>
  </si>
  <si>
    <t>notre</t>
  </si>
  <si>
    <t>caractère</t>
  </si>
  <si>
    <t>personnalité</t>
  </si>
  <si>
    <t># text = Je dois avouer que les traitements actuels de la dépression sont consternants.</t>
  </si>
  <si>
    <t>avouer</t>
  </si>
  <si>
    <t>traitements</t>
  </si>
  <si>
    <t>actuels</t>
  </si>
  <si>
    <t>sont</t>
  </si>
  <si>
    <t>consternants</t>
  </si>
  <si>
    <t># text = Ils ne sont pas très efficaces.</t>
  </si>
  <si>
    <t>Ils</t>
  </si>
  <si>
    <t>très</t>
  </si>
  <si>
    <t>efficaces</t>
  </si>
  <si>
    <t># text = Ils sont très coûteux.</t>
  </si>
  <si>
    <t>coûteux</t>
  </si>
  <si>
    <t># text = Ils s'accompagnent d'innombrables effets secondaires.</t>
  </si>
  <si>
    <t>accompagnent</t>
  </si>
  <si>
    <t>innombrables</t>
  </si>
  <si>
    <t>effets</t>
  </si>
  <si>
    <t>secondaires</t>
  </si>
  <si>
    <t># text = C'est vraiment une catastrophe.</t>
  </si>
  <si>
    <t>vraiment</t>
  </si>
  <si>
    <t>catastrophe</t>
  </si>
  <si>
    <t># text = Mais je suis tellement reconnaissant de vivre de nos jours plutôt qu'il y a 50 ans, quand on ne pouvait presque rien y faire.</t>
  </si>
  <si>
    <t>tellement</t>
  </si>
  <si>
    <t>reconnaissant</t>
  </si>
  <si>
    <t>nos</t>
  </si>
  <si>
    <t>jours</t>
  </si>
  <si>
    <t>pouvait</t>
  </si>
  <si>
    <t>presque</t>
  </si>
  <si>
    <t>rien</t>
  </si>
  <si>
    <t># text = J'espère que dans 50 ans, les gens entendront parler des traitements que j'ai reçus et qu'ils seront choqués d'apprendre que l'on subissait une science si primitive.</t>
  </si>
  <si>
    <t>espère</t>
  </si>
  <si>
    <t>entendront</t>
  </si>
  <si>
    <t>reçus</t>
  </si>
  <si>
    <t>seront</t>
  </si>
  <si>
    <t>choqués</t>
  </si>
  <si>
    <t>subissait</t>
  </si>
  <si>
    <t>science</t>
  </si>
  <si>
    <t>primitive</t>
  </si>
  <si>
    <t># text = La dépression est un défaut de l'amour.</t>
  </si>
  <si>
    <t>La</t>
  </si>
  <si>
    <t>défaut</t>
  </si>
  <si>
    <t>amour</t>
  </si>
  <si>
    <t># text = Si on est marié et si on pense : « Eh bien, si ma femme meurt, j'en trouverai une autre.</t>
  </si>
  <si>
    <t>marié</t>
  </si>
  <si>
    <t>pense</t>
  </si>
  <si>
    <t>Eh</t>
  </si>
  <si>
    <t>bien</t>
  </si>
  <si>
    <t>femme</t>
  </si>
  <si>
    <t>meurt</t>
  </si>
  <si>
    <t>trouverai</t>
  </si>
  <si>
    <t># text = » ce ne serait pas de l'amour tel qu'on le connaît.</t>
  </si>
  <si>
    <t>serait</t>
  </si>
  <si>
    <t>tel</t>
  </si>
  <si>
    <t>connaît</t>
  </si>
  <si>
    <t># text = Il n'y a pas d'amour sans l'anticipation de la perte, et ce spectre du désespoir peut être le moteur de l'intimité.</t>
  </si>
  <si>
    <t>anticipation</t>
  </si>
  <si>
    <t>perte</t>
  </si>
  <si>
    <t>spectre</t>
  </si>
  <si>
    <t>désespoir</t>
  </si>
  <si>
    <t>moteur</t>
  </si>
  <si>
    <t>intimité</t>
  </si>
  <si>
    <t># text = Il y a trois choses qu'on a tendance à confondre : la dépression, le chagrin, et la tristesse.</t>
  </si>
  <si>
    <t>tendance</t>
  </si>
  <si>
    <t>confondre</t>
  </si>
  <si>
    <t>chagrin</t>
  </si>
  <si>
    <t>tristesse</t>
  </si>
  <si>
    <t># text = Le chagrin est explicitement réactionnel.</t>
  </si>
  <si>
    <t>explicitement</t>
  </si>
  <si>
    <t>réactionnel</t>
  </si>
  <si>
    <t># text = Si on a subi une perte, et on se sent très malheureux, et six mois après, on se sent toujours profondément triste, mais on arrive mieux à fonctionner alors il s'agit probablement de chagrin, et il finira probablement par se résorber dans une certaine mesure.</t>
  </si>
  <si>
    <t>sent</t>
  </si>
  <si>
    <t>malheureux</t>
  </si>
  <si>
    <t>profondément</t>
  </si>
  <si>
    <t>triste</t>
  </si>
  <si>
    <t>arrive</t>
  </si>
  <si>
    <t>fonctionner</t>
  </si>
  <si>
    <t>agit</t>
  </si>
  <si>
    <t>probablement</t>
  </si>
  <si>
    <t>finira</t>
  </si>
  <si>
    <t>résorber</t>
  </si>
  <si>
    <t>certaine</t>
  </si>
  <si>
    <t>mesure</t>
  </si>
  <si>
    <t># text = Si on subit une énorme perte, et on se sent très mal, et au bout de six mois, on n'arrive toujours pas à fonctionner, d'une dépression déclenchée par des circonstances catastrophiques.</t>
  </si>
  <si>
    <t>subit</t>
  </si>
  <si>
    <t>énorme</t>
  </si>
  <si>
    <t>déclenchée</t>
  </si>
  <si>
    <t>circonstances</t>
  </si>
  <si>
    <t>catastrophiques</t>
  </si>
  <si>
    <t># text = La trajectoire nous en parle longuement.</t>
  </si>
  <si>
    <t>trajectoire</t>
  </si>
  <si>
    <t>nous</t>
  </si>
  <si>
    <t>parle</t>
  </si>
  <si>
    <t>longuement</t>
  </si>
  <si>
    <t># text = On a tendance à croire que la dépression n'est que de la tristesse.</t>
  </si>
  <si>
    <t># text = Il s'agit de bien, bien trop de tristesse, bien trop de chagrin, et tout ça pour des raisons trop légères.</t>
  </si>
  <si>
    <t>raisons</t>
  </si>
  <si>
    <t>légères</t>
  </si>
  <si>
    <t># text = Quand j'ai pris sur moi pour comprendre la dépression, et pour interroger des gens qui l'avaient vécue, j'ai constaté que certains semblaient présenter, au moins superficiellement, ce qui paraissait être une dépression relativement légère, mais ils en étaient malgré tout complètement paralysés.</t>
  </si>
  <si>
    <t>pris</t>
  </si>
  <si>
    <t>vécue</t>
  </si>
  <si>
    <t>certains</t>
  </si>
  <si>
    <t>semblaient</t>
  </si>
  <si>
    <t>superficiellement</t>
  </si>
  <si>
    <t>relativement</t>
  </si>
  <si>
    <t>légère</t>
  </si>
  <si>
    <t>malgré</t>
  </si>
  <si>
    <t>complètement</t>
  </si>
  <si>
    <t>paralysés</t>
  </si>
  <si>
    <t># text = Et d'autres présentaient ce qui semblait être, selon leurs descriptions, une dépression très grave mais ils menaient néanmoins de bonnes vies dans les intervalles entre les périodes de dépression.</t>
  </si>
  <si>
    <t>présentaient</t>
  </si>
  <si>
    <t>selon</t>
  </si>
  <si>
    <t>descriptions</t>
  </si>
  <si>
    <t>grave</t>
  </si>
  <si>
    <t>menaient</t>
  </si>
  <si>
    <t>néanmoins</t>
  </si>
  <si>
    <t>bonnes</t>
  </si>
  <si>
    <t>vies</t>
  </si>
  <si>
    <t>intervalles</t>
  </si>
  <si>
    <t>entre</t>
  </si>
  <si>
    <t>périodes</t>
  </si>
  <si>
    <t># text = Alors j'ai entrepris de chercher ce qui rend certaines personnes plus résistantes que d'autres.</t>
  </si>
  <si>
    <t>Alors</t>
  </si>
  <si>
    <t>entrepris</t>
  </si>
  <si>
    <t>chercher</t>
  </si>
  <si>
    <t>rend</t>
  </si>
  <si>
    <t>certaines</t>
  </si>
  <si>
    <t>personnes</t>
  </si>
  <si>
    <t>résistantes</t>
  </si>
  <si>
    <t># text = Quels sont les mécanismes qui nous permettent de survivre ?</t>
  </si>
  <si>
    <t>Quels</t>
  </si>
  <si>
    <t>mécanismes</t>
  </si>
  <si>
    <t>permettent</t>
  </si>
  <si>
    <t># text = Alors j'ai interrogé des personnes, les unes après les autres, toutes souffrant d'une dépression.</t>
  </si>
  <si>
    <t>interrogé</t>
  </si>
  <si>
    <t>unes</t>
  </si>
  <si>
    <t>toutes</t>
  </si>
  <si>
    <t>souffrant</t>
  </si>
  <si>
    <t># text = L'une des premières personnes que j'ai interrogées a comparé la dépression à une manière plus lente d'être mort, et ça m'était rassurant d'entendre ça dès le début car ça m'a rappelé que cette façon plus lente d'être mort peut mener à la mort pour de vrai, et que c'est très grave.</t>
  </si>
  <si>
    <t>L'</t>
  </si>
  <si>
    <t>premières</t>
  </si>
  <si>
    <t>interrogées</t>
  </si>
  <si>
    <t>comparé</t>
  </si>
  <si>
    <t>lente</t>
  </si>
  <si>
    <t>mort</t>
  </si>
  <si>
    <t>rassurant</t>
  </si>
  <si>
    <t>dès</t>
  </si>
  <si>
    <t>début</t>
  </si>
  <si>
    <t>rappelé</t>
  </si>
  <si>
    <t>mener</t>
  </si>
  <si>
    <t>vrai</t>
  </si>
  <si>
    <t># text = Elle représente le handicap le plus répandu au monde, et des gens en meurent tous les jours.</t>
  </si>
  <si>
    <t>Elle</t>
  </si>
  <si>
    <t>représente</t>
  </si>
  <si>
    <t>handicap</t>
  </si>
  <si>
    <t>répandu</t>
  </si>
  <si>
    <t>meurent</t>
  </si>
  <si>
    <t># text = Une personne à qui j'ai parlé lorsque j'essayais de comprendre tout ceci est une amie chère que je connaissais depuis très longtemps, et qui avait connu un épisode psychotique en première année d'université, avant de s'effondrer dans une sévère dépression.</t>
  </si>
  <si>
    <t>parlé</t>
  </si>
  <si>
    <t>lorsque</t>
  </si>
  <si>
    <t>essayais</t>
  </si>
  <si>
    <t>ceci</t>
  </si>
  <si>
    <t>amie</t>
  </si>
  <si>
    <t>chère</t>
  </si>
  <si>
    <t>connaissais</t>
  </si>
  <si>
    <t>depuis</t>
  </si>
  <si>
    <t>longtemps</t>
  </si>
  <si>
    <t>connu</t>
  </si>
  <si>
    <t>épisode</t>
  </si>
  <si>
    <t>psychotique</t>
  </si>
  <si>
    <t>première</t>
  </si>
  <si>
    <t>année</t>
  </si>
  <si>
    <t>université</t>
  </si>
  <si>
    <t>avant</t>
  </si>
  <si>
    <t>effondrer</t>
  </si>
  <si>
    <t>sévère</t>
  </si>
  <si>
    <t># text = Elle souffrait de trouble bipolaire, ou de psychose maniaco-dépressive comme on l'appelait à l'époque.</t>
  </si>
  <si>
    <t>souffrait</t>
  </si>
  <si>
    <t>trouble</t>
  </si>
  <si>
    <t>bipolaire</t>
  </si>
  <si>
    <t>psychose</t>
  </si>
  <si>
    <t>maniaco-dépressive</t>
  </si>
  <si>
    <t>appelait</t>
  </si>
  <si>
    <t>époque</t>
  </si>
  <si>
    <t># text = Elle allait très bien pendant plusieurs années, grâce au lithium, et puis finalement on a arrêté de lui prescrire du lithium pour voir comment elle réagirait sans, et elle a connu un autre épisode psychotique, puis elle a plongé dans la pire dépression que j'aie jamais vue pendant laquelle elle est restée chez ses parents, dans un état plus ou moins catatonique, pratiquement sans bouger, jour après jour après jour.</t>
  </si>
  <si>
    <t>pendant</t>
  </si>
  <si>
    <t>plusieurs</t>
  </si>
  <si>
    <t>grâce</t>
  </si>
  <si>
    <t>lithium</t>
  </si>
  <si>
    <t>arrêté</t>
  </si>
  <si>
    <t>lui</t>
  </si>
  <si>
    <t>prescrire</t>
  </si>
  <si>
    <t>voir</t>
  </si>
  <si>
    <t>comment</t>
  </si>
  <si>
    <t>réagirait</t>
  </si>
  <si>
    <t>plongé</t>
  </si>
  <si>
    <t>pire</t>
  </si>
  <si>
    <t>aie</t>
  </si>
  <si>
    <t>jamais</t>
  </si>
  <si>
    <t>vue</t>
  </si>
  <si>
    <t>laquelle</t>
  </si>
  <si>
    <t>restée</t>
  </si>
  <si>
    <t>chez</t>
  </si>
  <si>
    <t>ses</t>
  </si>
  <si>
    <t>parents</t>
  </si>
  <si>
    <t>état</t>
  </si>
  <si>
    <t>catatonique</t>
  </si>
  <si>
    <t>pratiquement</t>
  </si>
  <si>
    <t>bouger</t>
  </si>
  <si>
    <t># text = Et quand je l'ai interrogée des années après sur cette expérience -- elle est poète et psychothérapeute et s'appelle Maggie Robbins -- dans cet entretien, elle a dit : « Je chantais 'Where Have All the Flowers Gone' en boucle, pour m'occuper l'esprit.</t>
  </si>
  <si>
    <t>interrogée</t>
  </si>
  <si>
    <t>expérience</t>
  </si>
  <si>
    <t>poète</t>
  </si>
  <si>
    <t>psychothérapeute</t>
  </si>
  <si>
    <t>appelle</t>
  </si>
  <si>
    <t>Maggie</t>
  </si>
  <si>
    <t>Robbins</t>
  </si>
  <si>
    <t>cet</t>
  </si>
  <si>
    <t>entretien</t>
  </si>
  <si>
    <t>chantais</t>
  </si>
  <si>
    <t>'</t>
  </si>
  <si>
    <t>Where</t>
  </si>
  <si>
    <t>Have</t>
  </si>
  <si>
    <t>All</t>
  </si>
  <si>
    <t>the</t>
  </si>
  <si>
    <t>Flowers</t>
  </si>
  <si>
    <t>Gone</t>
  </si>
  <si>
    <t>boucle</t>
  </si>
  <si>
    <t># text = Je chantais pour balayer ce que mon esprit disait : ' Tu n'es rien.</t>
  </si>
  <si>
    <t>balayer</t>
  </si>
  <si>
    <t>Tu</t>
  </si>
  <si>
    <t>es</t>
  </si>
  <si>
    <t># text = Tu n'es personne.</t>
  </si>
  <si>
    <t># text = Tu ne mérites même pas de vivre.'</t>
  </si>
  <si>
    <t>mérites</t>
  </si>
  <si>
    <t>.'</t>
  </si>
  <si>
    <t># text = Et c'était à ce moment là que j'ai vraiment commencé à songer à me tuer.</t>
  </si>
  <si>
    <t>songer</t>
  </si>
  <si>
    <t>tuer</t>
  </si>
  <si>
    <t># text = » Quand on est déprimé, on ne sait pas qu'on porte un voile gris et qu'on voit le monde à travers le brouillard provoqué par la mauvaise humeur.</t>
  </si>
  <si>
    <t>déprimé</t>
  </si>
  <si>
    <t>sait</t>
  </si>
  <si>
    <t>porte</t>
  </si>
  <si>
    <t>voile</t>
  </si>
  <si>
    <t>gris</t>
  </si>
  <si>
    <t>voit</t>
  </si>
  <si>
    <t>brouillard</t>
  </si>
  <si>
    <t>provoqué</t>
  </si>
  <si>
    <t>mauvaise</t>
  </si>
  <si>
    <t>humeur</t>
  </si>
  <si>
    <t># text = On croit que le voile a été enlevé, le voile du bonheur, et que maintenant on voit clairement.</t>
  </si>
  <si>
    <t>croit</t>
  </si>
  <si>
    <t>enlevé</t>
  </si>
  <si>
    <t>maintenant</t>
  </si>
  <si>
    <t>clairement</t>
  </si>
  <si>
    <t># text = Il est plus facile d'aider des schizophrènes qui s'imaginent une chose inconnue au fond d'eux-même qui doit se faire exorciser, mais la difficulté chez les dépressifs, c'est qu'on croit percevoir la vérité.</t>
  </si>
  <si>
    <t>facile</t>
  </si>
  <si>
    <t>aider</t>
  </si>
  <si>
    <t>schizophrènes</t>
  </si>
  <si>
    <t>imaginent</t>
  </si>
  <si>
    <t>inconnue</t>
  </si>
  <si>
    <t>eux-même</t>
  </si>
  <si>
    <t>doit</t>
  </si>
  <si>
    <t>exorciser</t>
  </si>
  <si>
    <t>difficulté</t>
  </si>
  <si>
    <t>dépressifs</t>
  </si>
  <si>
    <t>percevoir</t>
  </si>
  <si>
    <t>vérité</t>
  </si>
  <si>
    <t># text = Mais la vérité ment.</t>
  </si>
  <si>
    <t>ment</t>
  </si>
  <si>
    <t># text = Je suis devenu obsédé par cette phrase : « Mais la vérité ment.</t>
  </si>
  <si>
    <t>devenu</t>
  </si>
  <si>
    <t>obsédé</t>
  </si>
  <si>
    <t>phrase</t>
  </si>
  <si>
    <t># text = » Et j'ai découvert, en parlant à des dépressifs, qu'ils entretiennent de nombreux délires.</t>
  </si>
  <si>
    <t>découvert</t>
  </si>
  <si>
    <t>entretiennent</t>
  </si>
  <si>
    <t>nombreux</t>
  </si>
  <si>
    <t>délires</t>
  </si>
  <si>
    <t># text = Les gens disent : « Personne ne m'aime.</t>
  </si>
  <si>
    <t>Les</t>
  </si>
  <si>
    <t>disent</t>
  </si>
  <si>
    <t>Personne</t>
  </si>
  <si>
    <t>aime</t>
  </si>
  <si>
    <t># text = » Et on leur dit : « Moi, je t'aime, ta femme t'aime, ta mère t'aime.</t>
  </si>
  <si>
    <t>leur</t>
  </si>
  <si>
    <t>Moi</t>
  </si>
  <si>
    <t>t'</t>
  </si>
  <si>
    <t>ta</t>
  </si>
  <si>
    <t># text = » Cette réponse n'est pas dure à trouver, pour la plupart des gens, au moins.</t>
  </si>
  <si>
    <t>Cette</t>
  </si>
  <si>
    <t>réponse</t>
  </si>
  <si>
    <t>dure</t>
  </si>
  <si>
    <t># text = Mais les dépressifs disent aussi : « Quoi qu'on fasse, on va tout finir par mourir.</t>
  </si>
  <si>
    <t>Quoi</t>
  </si>
  <si>
    <t>pron.pint</t>
  </si>
  <si>
    <t>va</t>
  </si>
  <si>
    <t>finir</t>
  </si>
  <si>
    <t># text = » Ou ils disent : « Il ne peut pas y avoir de vraie communion entre deux êtres humains.</t>
  </si>
  <si>
    <t>vraie</t>
  </si>
  <si>
    <t>communion</t>
  </si>
  <si>
    <t>êtres</t>
  </si>
  <si>
    <t>humains</t>
  </si>
  <si>
    <t># text = Chacun est enfermé dans son propre corps.</t>
  </si>
  <si>
    <t>Chacun</t>
  </si>
  <si>
    <t>enfermé</t>
  </si>
  <si>
    <t>propre</t>
  </si>
  <si>
    <t>corps</t>
  </si>
  <si>
    <t># text = » Ce à quoi il faut répondre : « Oui, en effet, mais là maintenant il vaut mieux se concentrer sur ce qu'on va prendre au petit déjeuner.</t>
  </si>
  <si>
    <t>Ce</t>
  </si>
  <si>
    <t>Oui</t>
  </si>
  <si>
    <t>effet</t>
  </si>
  <si>
    <t>vaut</t>
  </si>
  <si>
    <t>concentrer</t>
  </si>
  <si>
    <t>petit</t>
  </si>
  <si>
    <t># text = » (Rires) Souvent, ce qu'ils expriment, ce n'est pas la maladie, mais la perspicacité, et on arrive à penser que l'extraordinaire, c'est que la plupart d'entre nous sont au courant de ces questions existentielles mais elles ne nous troublent pas trop.</t>
  </si>
  <si>
    <t>(</t>
  </si>
  <si>
    <t>)</t>
  </si>
  <si>
    <t>Souvent</t>
  </si>
  <si>
    <t>expriment</t>
  </si>
  <si>
    <t>maladie</t>
  </si>
  <si>
    <t>perspicacité</t>
  </si>
  <si>
    <t>penser</t>
  </si>
  <si>
    <t>extraordinaire</t>
  </si>
  <si>
    <t>courant</t>
  </si>
  <si>
    <t>questions</t>
  </si>
  <si>
    <t>existentielles</t>
  </si>
  <si>
    <t>elles</t>
  </si>
  <si>
    <t>troublent</t>
  </si>
  <si>
    <t># text = Il y a une étude que j'ai beaucoup appréciée dans laquelle on a demandé à un groupe de dépressifs et un groupe de non-dépressifs de passer une heure à jouer un jeu vidéo, et à la fin de l'heure, on leur a demandé combien de petits monstres ils croyaient avoir tués.</t>
  </si>
  <si>
    <t>étude</t>
  </si>
  <si>
    <t>appréciée</t>
  </si>
  <si>
    <t>demandé</t>
  </si>
  <si>
    <t>groupe</t>
  </si>
  <si>
    <t>non-dépressifs</t>
  </si>
  <si>
    <t>passer</t>
  </si>
  <si>
    <t>heure</t>
  </si>
  <si>
    <t>jeu</t>
  </si>
  <si>
    <t>OBJ_8</t>
  </si>
  <si>
    <t>vidéo</t>
  </si>
  <si>
    <t>fin</t>
  </si>
  <si>
    <t>combien</t>
  </si>
  <si>
    <t>petits</t>
  </si>
  <si>
    <t>monstres</t>
  </si>
  <si>
    <t>croyaient</t>
  </si>
  <si>
    <t>tués</t>
  </si>
  <si>
    <t># text = Le groupe dépressif était typiquement très précis avec une marge de 10 %, alors que les non-dépressifs devinaient entre 15 et 20 fois plus de petits monstres -- (Rires) -- qu'ils avaient vraiment tués.</t>
  </si>
  <si>
    <t>dépressif</t>
  </si>
  <si>
    <t>typiquement</t>
  </si>
  <si>
    <t>précis</t>
  </si>
  <si>
    <t>marge</t>
  </si>
  <si>
    <t>%</t>
  </si>
  <si>
    <t>devinaient</t>
  </si>
  <si>
    <t>fois</t>
  </si>
  <si>
    <t># text = Des gens m'ont dit, quand j'ai choisi d'écrire sur la dépression qu'il doit être très dur de révéler ceci, que les gens le sachent.</t>
  </si>
  <si>
    <t>De</t>
  </si>
  <si>
    <t>ont</t>
  </si>
  <si>
    <t>choisi</t>
  </si>
  <si>
    <t>écrire</t>
  </si>
  <si>
    <t>dur</t>
  </si>
  <si>
    <t>révéler</t>
  </si>
  <si>
    <t>SBJ_8</t>
  </si>
  <si>
    <t>sachent</t>
  </si>
  <si>
    <t># text = Ils demandent : « On te parle différemment ?</t>
  </si>
  <si>
    <t>demandent</t>
  </si>
  <si>
    <t>te</t>
  </si>
  <si>
    <t># text = » Et je réponds : « Oui, on me parle différemment.</t>
  </si>
  <si>
    <t>réponds</t>
  </si>
  <si>
    <t># text = » Différemment, puisqu'ils commencent à me raconter leur expérience, ou celle de leur sœur, ou de leur meilleur ami.</t>
  </si>
  <si>
    <t>Différemment</t>
  </si>
  <si>
    <t>puisqu'</t>
  </si>
  <si>
    <t>commencent</t>
  </si>
  <si>
    <t>celle</t>
  </si>
  <si>
    <t>sœur</t>
  </si>
  <si>
    <t>meilleur</t>
  </si>
  <si>
    <t>ami</t>
  </si>
  <si>
    <t># text = Maintenant, tout est différent car je sais que la dépression, c'est le secret familial que chacun garde.</t>
  </si>
  <si>
    <t>Maintenant</t>
  </si>
  <si>
    <t>différent</t>
  </si>
  <si>
    <t>secret</t>
  </si>
  <si>
    <t>familial</t>
  </si>
  <si>
    <t>chacun</t>
  </si>
  <si>
    <t>garde</t>
  </si>
  <si>
    <t># text = Il y a quelques années, je suis allé à une conférence, et le vendredi de cette conférence de trois jours, une participante m'a pris à part, et elle m'a dit : « Je souffre d'une dépression et j'en suis un peu gênée, mais je prends ces médicaments depuis quelque temps, et je voulais savoir ce que vous en pensez ?</t>
  </si>
  <si>
    <t>allé</t>
  </si>
  <si>
    <t>conférence</t>
  </si>
  <si>
    <t>vendredi</t>
  </si>
  <si>
    <t>participante</t>
  </si>
  <si>
    <t>part</t>
  </si>
  <si>
    <t>souffre</t>
  </si>
  <si>
    <t>peu</t>
  </si>
  <si>
    <t>gênée</t>
  </si>
  <si>
    <t>prends</t>
  </si>
  <si>
    <t>vous</t>
  </si>
  <si>
    <t>pensez</t>
  </si>
  <si>
    <t># text = » Alors j'ai fait de mon mieux de lui conseiller autant que je pouvais.</t>
  </si>
  <si>
    <t>conseiller</t>
  </si>
  <si>
    <t>autant</t>
  </si>
  <si>
    <t># text = Et puis elle a dit : « Vous savez, mon mari ne pourrait jamais comprendre ceci.</t>
  </si>
  <si>
    <t>Vous</t>
  </si>
  <si>
    <t>savez</t>
  </si>
  <si>
    <t>mari</t>
  </si>
  <si>
    <t>pourrait</t>
  </si>
  <si>
    <t># text = En fait, c'est une personne, pour qui ceci n'aurait pas de sens, alors je, vous savez, cela reste entre nous.</t>
  </si>
  <si>
    <t>sens</t>
  </si>
  <si>
    <t>cela</t>
  </si>
  <si>
    <t># text = » Et j'ai répondu : « D'accord, pas de problème.</t>
  </si>
  <si>
    <t>répondu</t>
  </si>
  <si>
    <t>accord</t>
  </si>
  <si>
    <t># text = » Et le dimanche de cette même conférence, son mari m'a pris à part, et il m'a dit : « Ma femme ne me tiendrait pas en estime en tant que homme, si elle le savait, mais je souffre d'une dépression depuis quelque temps et je prends des médicaments, et je me demandais</t>
  </si>
  <si>
    <t>dimanche</t>
  </si>
  <si>
    <t>tiendrait</t>
  </si>
  <si>
    <t>estime</t>
  </si>
  <si>
    <t>tant</t>
  </si>
  <si>
    <t>homme</t>
  </si>
  <si>
    <t>savait</t>
  </si>
  <si>
    <t>demandais</t>
  </si>
  <si>
    <t># text = Ils se cachaient les mêmes medicaments, dans deux différents endroits dans la même chambre.</t>
  </si>
  <si>
    <t>cachaient</t>
  </si>
  <si>
    <t>medicaments</t>
  </si>
  <si>
    <t>différents</t>
  </si>
  <si>
    <t>endroits</t>
  </si>
  <si>
    <t>chambre</t>
  </si>
  <si>
    <t># text = Et j'ai dit que je trouvais que la communication au sein de leur mariage pourrait être à l'origine de leurs problèmes.</t>
  </si>
  <si>
    <t>trouvais</t>
  </si>
  <si>
    <t>communication</t>
  </si>
  <si>
    <t>sein</t>
  </si>
  <si>
    <t>mariage</t>
  </si>
  <si>
    <t>origine</t>
  </si>
  <si>
    <t># text = Mais j'ai aussi été frappé par l'énorme charge que représente ce secret mutuel.</t>
  </si>
  <si>
    <t>frappé</t>
  </si>
  <si>
    <t>charge</t>
  </si>
  <si>
    <t>mutuel</t>
  </si>
  <si>
    <t># text = La dépression est épuisante.</t>
  </si>
  <si>
    <t>épuisante</t>
  </si>
  <si>
    <t># text = Elle occupe tant de temps et d'énergie, et la passer sous silence, cela rend la dépression encore pire.</t>
  </si>
  <si>
    <t>occupe</t>
  </si>
  <si>
    <t>énergie</t>
  </si>
  <si>
    <t># text = Et puis j'ai commencé à réfléchir sur toutes les façons qu'ont les gens de se soulager.</t>
  </si>
  <si>
    <t>réfléchir</t>
  </si>
  <si>
    <t>façons</t>
  </si>
  <si>
    <t>soulager</t>
  </si>
  <si>
    <t># text = Au départ, j'avais été conservateur médical.</t>
  </si>
  <si>
    <t>À</t>
  </si>
  <si>
    <t>départ</t>
  </si>
  <si>
    <t>conservateur</t>
  </si>
  <si>
    <t>médical</t>
  </si>
  <si>
    <t># text = J'ai cru qu'il y avait quelques sortes de thérapie qui marchaient, c'était clair -- qu'il s'agissait du médicament, certains types de psychothérapie, peut-être la thérapie électroconvulsive, et que tout le reste était n'importe quoi.</t>
  </si>
  <si>
    <t>sortes</t>
  </si>
  <si>
    <t>marchaient</t>
  </si>
  <si>
    <t>clair</t>
  </si>
  <si>
    <t>agissait</t>
  </si>
  <si>
    <t>médicament</t>
  </si>
  <si>
    <t>types</t>
  </si>
  <si>
    <t>psychothérapie</t>
  </si>
  <si>
    <t>peut-être</t>
  </si>
  <si>
    <t>électroconvulsive</t>
  </si>
  <si>
    <t>importe</t>
  </si>
  <si>
    <t># text = Et puis, j'ai découvert une chose.</t>
  </si>
  <si>
    <t># text = Si vous avez un cancer du cerveau, et vous vous dites que vous tenir sur la tête pendant 20 minutes, chaque matin vous fait sentir mieux, cela pourrait très bien vous faire sentir mieux, mais vous avez toujours et vous allez probablement en mourir.</t>
  </si>
  <si>
    <t>avez</t>
  </si>
  <si>
    <t>cancer</t>
  </si>
  <si>
    <t>cerveau</t>
  </si>
  <si>
    <t>dites</t>
  </si>
  <si>
    <t>tenir</t>
  </si>
  <si>
    <t>minutes</t>
  </si>
  <si>
    <t>matin</t>
  </si>
  <si>
    <t>allez</t>
  </si>
  <si>
    <t># text = Mais si vous dites que vous avez une dépression, et vous tenir sur la tête pendant 20 minutes chaque jour vous fait sentir mieux, alors ça a marché, puisque la dépression est une maladie qui porte sur comment on se sent, et si vous vous sentez mieux, alors effectivement, vous n'êtes plus déprimé.</t>
  </si>
  <si>
    <t>marché</t>
  </si>
  <si>
    <t>puisque</t>
  </si>
  <si>
    <t>sentez</t>
  </si>
  <si>
    <t>effectivement</t>
  </si>
  <si>
    <t>êtes</t>
  </si>
  <si>
    <t># text = Alors je suis devenu beaucoup plus tolérant envers la panoplie d'autres traitements.</t>
  </si>
  <si>
    <t>tolérant</t>
  </si>
  <si>
    <t>envers</t>
  </si>
  <si>
    <t>panoplie</t>
  </si>
  <si>
    <t># text = Et je reçois des lettres, des centaines de lettres de gens qui m'écrivent pour me signaler ce qui marche pour eux.</t>
  </si>
  <si>
    <t>reçois</t>
  </si>
  <si>
    <t>lettres</t>
  </si>
  <si>
    <t>centaines</t>
  </si>
  <si>
    <t>écrivent</t>
  </si>
  <si>
    <t>signaler</t>
  </si>
  <si>
    <t>eux</t>
  </si>
  <si>
    <t># text = Tout à l'heure, en coulisses, on me posait des questions sur la méditation.</t>
  </si>
  <si>
    <t>coulisses</t>
  </si>
  <si>
    <t>posait</t>
  </si>
  <si>
    <t>méditation</t>
  </si>
  <si>
    <t># text = Parmi toutes les lettres que j'ai reçues, ma préférée est celle envoyée par une femme qui a écrit pour dire qu'elle avait essayé la thérapie, elle avait essayé le médicament, elle avait essayé à peu près tout, et elle avait trouvé une solution et elle espérait que je la présenterais à tous, et la solution, c'était la fabrication des bidules en laine.</t>
  </si>
  <si>
    <t>Parmi</t>
  </si>
  <si>
    <t>reçues</t>
  </si>
  <si>
    <t>préférée</t>
  </si>
  <si>
    <t>envoyée</t>
  </si>
  <si>
    <t>écrit</t>
  </si>
  <si>
    <t>essayé</t>
  </si>
  <si>
    <t>près</t>
  </si>
  <si>
    <t>solution</t>
  </si>
  <si>
    <t>espérait</t>
  </si>
  <si>
    <t>présenterais</t>
  </si>
  <si>
    <t>fabrication</t>
  </si>
  <si>
    <t>bidules</t>
  </si>
  <si>
    <t>laine</t>
  </si>
  <si>
    <t># text = Elle m'en a envoyé quelques-uns.</t>
  </si>
  <si>
    <t>quelques-uns</t>
  </si>
  <si>
    <t># text = Et je ne les porte pas en ce moment.</t>
  </si>
  <si>
    <t># text = Je lui ai suggéré de se renseigner sur le trouble obsessionnel-compulsif dans le manuel des troubles mentaux .</t>
  </si>
  <si>
    <t>suggéré</t>
  </si>
  <si>
    <t>renseigner</t>
  </si>
  <si>
    <t>obsessionnel-compulsif</t>
  </si>
  <si>
    <t>manuel</t>
  </si>
  <si>
    <t>troubles</t>
  </si>
  <si>
    <t>mentaux</t>
  </si>
  <si>
    <t># text = Mais pourtant, quand je suis parti à la recherche des traitements alternatifs, j'ai aussi découvert</t>
  </si>
  <si>
    <t>parti</t>
  </si>
  <si>
    <t>recherche</t>
  </si>
  <si>
    <t>alternatifs</t>
  </si>
  <si>
    <t># text = J'ai participé à un exorcisme tribal au Sénégal qui comprenait pas mal de sang de bélier et je ne m'y attarderai pas en ce moment, mais quelques années plus tard je travaillais sur un autre projet, au Rwanda, et il m'est arrivé de décrire l'expérience à quelqu'un, et il m'a dit : « Eh bien, vous savez, ça c'est Afrique de l'Ouest, et ici c'est Afrique de l'Est, et nos rituels sont, en quelque sort, très différents, mais on en a certains qui partagent certains traits avec ce que vous décrivez.</t>
  </si>
  <si>
    <t>participé</t>
  </si>
  <si>
    <t>exorcisme</t>
  </si>
  <si>
    <t>tribal</t>
  </si>
  <si>
    <t>Sénégal</t>
  </si>
  <si>
    <t>comprenait</t>
  </si>
  <si>
    <t>sang</t>
  </si>
  <si>
    <t>bélier</t>
  </si>
  <si>
    <t>attarderai</t>
  </si>
  <si>
    <t>tard</t>
  </si>
  <si>
    <t>travaillais</t>
  </si>
  <si>
    <t>projet</t>
  </si>
  <si>
    <t>Rwanda</t>
  </si>
  <si>
    <t>arrivé</t>
  </si>
  <si>
    <t>Afrique</t>
  </si>
  <si>
    <t>Ouest</t>
  </si>
  <si>
    <t>Est</t>
  </si>
  <si>
    <t>rituels</t>
  </si>
  <si>
    <t>sort</t>
  </si>
  <si>
    <t>partagent</t>
  </si>
  <si>
    <t>traits</t>
  </si>
  <si>
    <t>décrivez</t>
  </si>
  <si>
    <t># text = » Et j'ai répondu :« Ah bon.</t>
  </si>
  <si>
    <t>:«</t>
  </si>
  <si>
    <t>Ah</t>
  </si>
  <si>
    <t># text = » Et il a dit : « Oui, mais on a eu pas mal de soucis avec des intervenants en santé mentale occidentaux, surtout ceux qui sont arrivés juste après le génocide.</t>
  </si>
  <si>
    <t>soucis</t>
  </si>
  <si>
    <t>intervenants</t>
  </si>
  <si>
    <t>santé</t>
  </si>
  <si>
    <t>mentale</t>
  </si>
  <si>
    <t>occidentaux</t>
  </si>
  <si>
    <t>surtout</t>
  </si>
  <si>
    <t>arrivés</t>
  </si>
  <si>
    <t>juste</t>
  </si>
  <si>
    <t>génocide</t>
  </si>
  <si>
    <t># text = » Et j'ai demandé : « Quelle sorte de soucis ?</t>
  </si>
  <si>
    <t>Quelle</t>
  </si>
  <si>
    <t># text = Et il a répondu : « Eh bien, ils faisaient cette chose bizarre.</t>
  </si>
  <si>
    <t>faisaient</t>
  </si>
  <si>
    <t>bizarre</t>
  </si>
  <si>
    <t># text = Ils ne faisaient pas sortir les gens sous le soleil, là où on se sent mieux.</t>
  </si>
  <si>
    <t>soleil</t>
  </si>
  <si>
    <t>où</t>
  </si>
  <si>
    <t># text = Ils n'ont pas utilisé les tambours ou la musique, pour animer les gens.</t>
  </si>
  <si>
    <t>utilisé</t>
  </si>
  <si>
    <t>tambours</t>
  </si>
  <si>
    <t>musique</t>
  </si>
  <si>
    <t>animer</t>
  </si>
  <si>
    <t># text = Ils n'ont pas inclus la communauté entière.</t>
  </si>
  <si>
    <t>inclus</t>
  </si>
  <si>
    <t>communauté</t>
  </si>
  <si>
    <t>entière</t>
  </si>
  <si>
    <t># text = Ils n'ont pas présenté la dépression comme un esprit envahissant.</t>
  </si>
  <si>
    <t>présenté</t>
  </si>
  <si>
    <t>envahissant</t>
  </si>
  <si>
    <t># text = À la place, ils amenaient les gens un par un dans de petites pièces minables et les faisaient discuter pendant une heure des mauvaises choses qui leur étaient arrivées.</t>
  </si>
  <si>
    <t>place</t>
  </si>
  <si>
    <t>amenaient</t>
  </si>
  <si>
    <t>petites</t>
  </si>
  <si>
    <t>pièces</t>
  </si>
  <si>
    <t>minables</t>
  </si>
  <si>
    <t>discuter</t>
  </si>
  <si>
    <t>mauvaises</t>
  </si>
  <si>
    <t>arrivées</t>
  </si>
  <si>
    <t># text = » (Rires) (Applaudissements)</t>
  </si>
  <si>
    <t>Applaudissements</t>
  </si>
  <si>
    <t># text = Il a dit : « Il fallait leur demander de partir.</t>
  </si>
  <si>
    <t>fallait</t>
  </si>
  <si>
    <t>partir</t>
  </si>
  <si>
    <t># text = » Et puis à l'autre bout des traitements alternatifs, permettez-moi de vous parler de Frank Russakoff.</t>
  </si>
  <si>
    <t>permettez</t>
  </si>
  <si>
    <t>-moi</t>
  </si>
  <si>
    <t>Frank</t>
  </si>
  <si>
    <t>Russakoff</t>
  </si>
  <si>
    <t># text = Frank Russakoff a subi la pire dépression que j'aie jamais vue.</t>
  </si>
  <si>
    <t># text = Il était déprimé constamment.</t>
  </si>
  <si>
    <t>constamment</t>
  </si>
  <si>
    <t># text = À l'époque où je l'ai rencontré, il devait subir un traitment électrochoc chaque mois.</t>
  </si>
  <si>
    <t>rencontré</t>
  </si>
  <si>
    <t>devait</t>
  </si>
  <si>
    <t>traitment</t>
  </si>
  <si>
    <t>électrochoc</t>
  </si>
  <si>
    <t># text = Puis, pendant une semaine, il se sentait désorienté.</t>
  </si>
  <si>
    <t>semaine</t>
  </si>
  <si>
    <t>sentait</t>
  </si>
  <si>
    <t>désorienté</t>
  </si>
  <si>
    <t># text = Puis, pendant une semaine tout allait bien.</t>
  </si>
  <si>
    <t># text = Puis pendant une semaine, il régressait de nouveau.</t>
  </si>
  <si>
    <t>régressait</t>
  </si>
  <si>
    <t>nouveau</t>
  </si>
  <si>
    <t># text = Et après, il aura un autre traitment électrochoc.</t>
  </si>
  <si>
    <t>aura</t>
  </si>
  <si>
    <t># text = Et il m'a raconté ceci quand je l'ai rencontré : « Passer les semaines ainsi, c'est vraiment insupportable</t>
  </si>
  <si>
    <t>raconté</t>
  </si>
  <si>
    <t>Passer</t>
  </si>
  <si>
    <t>semaines</t>
  </si>
  <si>
    <t>ainsi</t>
  </si>
  <si>
    <t>insupportable</t>
  </si>
  <si>
    <t># text = Je ne peux pas continuer ainsi, et je sais comment je vais y mettre fin si je n'arrive pas à aller mieux.</t>
  </si>
  <si>
    <t>continuer</t>
  </si>
  <si>
    <t># text = » Mais, il m'a dit : « J'ai entendu parler d'un protocol à l’hôpital Mass General, une procédure appelée une cinglutomie c'est une chirurgie du cerveau, et je pense que je vais tenter le coup.</t>
  </si>
  <si>
    <t>entendu</t>
  </si>
  <si>
    <t>protocol</t>
  </si>
  <si>
    <t>l’</t>
  </si>
  <si>
    <t>hôpital</t>
  </si>
  <si>
    <t>Mass</t>
  </si>
  <si>
    <t>General</t>
  </si>
  <si>
    <t>procédure</t>
  </si>
  <si>
    <t>appelée</t>
  </si>
  <si>
    <t>cinglutomie</t>
  </si>
  <si>
    <t>chirurgie</t>
  </si>
  <si>
    <t>tenter</t>
  </si>
  <si>
    <t># text = » Et je me souviens que j'étais étonné qu'une personne qui avait connu tant de mauvaises expériences avec tant de traitments différents avait retenu quelque part au fond de lui assez d'optimisme de poursuivre encore un autre.</t>
  </si>
  <si>
    <t>souviens</t>
  </si>
  <si>
    <t>étonné</t>
  </si>
  <si>
    <t>expériences</t>
  </si>
  <si>
    <t>traitments</t>
  </si>
  <si>
    <t>retenu</t>
  </si>
  <si>
    <t>optimisme</t>
  </si>
  <si>
    <t>poursuivre</t>
  </si>
  <si>
    <t># text = Et il a subit la cinglutomie, et l'intervention fut un grand succès.</t>
  </si>
  <si>
    <t>intervention</t>
  </si>
  <si>
    <t>fut</t>
  </si>
  <si>
    <t>grand</t>
  </si>
  <si>
    <t>succès</t>
  </si>
  <si>
    <t># text = Maintenant, c'est un ami.</t>
  </si>
  <si>
    <t># text = Il a une charmante épouse et deux enfants adorables</t>
  </si>
  <si>
    <t>charmante</t>
  </si>
  <si>
    <t>épouse</t>
  </si>
  <si>
    <t>enfants</t>
  </si>
  <si>
    <t>adorables</t>
  </si>
  <si>
    <t># text = Il m'a écrit une lettre le Noël suivant la chirurgie, et il a dit : « Mon père m'a envoyé deux cadeaux cette année.</t>
  </si>
  <si>
    <t>lettre</t>
  </si>
  <si>
    <t>Noël</t>
  </si>
  <si>
    <t>Mon</t>
  </si>
  <si>
    <t>cadeaux</t>
  </si>
  <si>
    <t># text = L'un, un range-CD motorisé de la FNAC dont je n'avais pas vraiment besoin, mais je sais qu'il me l'a offert pour célébrer le fait que je vis seul et que j'ai un travail qui semble me combler.</t>
  </si>
  <si>
    <t>range-CD</t>
  </si>
  <si>
    <t>motorisé</t>
  </si>
  <si>
    <t>FNAC</t>
  </si>
  <si>
    <t>dont</t>
  </si>
  <si>
    <t>besoin</t>
  </si>
  <si>
    <t>offert</t>
  </si>
  <si>
    <t>célébrer</t>
  </si>
  <si>
    <t>vis</t>
  </si>
  <si>
    <t>seul</t>
  </si>
  <si>
    <t>travail</t>
  </si>
  <si>
    <t>SBJ_9</t>
  </si>
  <si>
    <t>OBJ_10</t>
  </si>
  <si>
    <t>combler</t>
  </si>
  <si>
    <t># text = Et l'autre cadeau c'était une photo de ma grand-mère qui s'est suicidée.</t>
  </si>
  <si>
    <t>cadeau</t>
  </si>
  <si>
    <t>photo</t>
  </si>
  <si>
    <t>grand-mère</t>
  </si>
  <si>
    <t>suicidée</t>
  </si>
  <si>
    <t># text = And alors que je l'ai déballée, j'ai commencé à pleurer et ma mère s'est approchée et elle a dit : « Tu pleures pour les membres de la famille que tu n'as jamais connus ?</t>
  </si>
  <si>
    <t>And</t>
  </si>
  <si>
    <t>déballée</t>
  </si>
  <si>
    <t>approchée</t>
  </si>
  <si>
    <t>pleures</t>
  </si>
  <si>
    <t>membres</t>
  </si>
  <si>
    <t>famille</t>
  </si>
  <si>
    <t>as</t>
  </si>
  <si>
    <t>connus</t>
  </si>
  <si>
    <t># text = Et j'ai dit : « Elle était atteinte de la même maladie que moi.</t>
  </si>
  <si>
    <t>atteinte</t>
  </si>
  <si>
    <t># text = » Et je pleure aussi en t'écrivant maintenant.</t>
  </si>
  <si>
    <t>pleure</t>
  </si>
  <si>
    <t>écrivant</t>
  </si>
  <si>
    <t># text = Ce n'est pas que je suis triste, mais je suis bouleversé, peut-être, parce que j'aurais pu me suicider, mais mes parents m'ont donné la force de continuer ainsi que les médecins, et j'ai subi l'intervention.</t>
  </si>
  <si>
    <t>bouleversé</t>
  </si>
  <si>
    <t>parce</t>
  </si>
  <si>
    <t>aurais</t>
  </si>
  <si>
    <t>pu</t>
  </si>
  <si>
    <t>mes</t>
  </si>
  <si>
    <t>donné</t>
  </si>
  <si>
    <t>force</t>
  </si>
  <si>
    <t>médecins</t>
  </si>
  <si>
    <t># text = Je suis vivant, et reconaissant.</t>
  </si>
  <si>
    <t>vivant</t>
  </si>
  <si>
    <t>reconaissant</t>
  </si>
  <si>
    <t># text = C'est le bon moment de vivre, quoique on n'en a pas toujours l'impression.</t>
  </si>
  <si>
    <t>quoique</t>
  </si>
  <si>
    <t>impression</t>
  </si>
  <si>
    <t># text = » J'ai été frappé par le fait que la dépression est largement perçue comme quelque chose de moderne, d'occidental, de bourgeois alors je me suis appliqué à l'observation de comment ça fonctionnne dans d'autres contextes et l'une des choses qui m'intéressait particulièrement c'était la dépression parmi les miséreux.</t>
  </si>
  <si>
    <t>largement</t>
  </si>
  <si>
    <t>perçue</t>
  </si>
  <si>
    <t>moderne</t>
  </si>
  <si>
    <t>occidental</t>
  </si>
  <si>
    <t>bourgeois</t>
  </si>
  <si>
    <t>appliqué</t>
  </si>
  <si>
    <t>observation</t>
  </si>
  <si>
    <t>fonctionnne</t>
  </si>
  <si>
    <t>contextes</t>
  </si>
  <si>
    <t>SBJ_10</t>
  </si>
  <si>
    <t>intéressait</t>
  </si>
  <si>
    <t>particulièrement</t>
  </si>
  <si>
    <t>SBJ_11</t>
  </si>
  <si>
    <t>other_10</t>
  </si>
  <si>
    <t>miséreux</t>
  </si>
  <si>
    <t>other_11</t>
  </si>
  <si>
    <t># text = Alors, je me suis mis à étudier ce qui se fait pour les pauvres qui font une dépression.</t>
  </si>
  <si>
    <t>étudier</t>
  </si>
  <si>
    <t>pauvres</t>
  </si>
  <si>
    <t># text = Et j'ai découvert que la plupart du temps les pauvres ne reçoivent pas de traitment pour la dépression.</t>
  </si>
  <si>
    <t>reçoivent</t>
  </si>
  <si>
    <t># text = La depression est le résultat d'une vulnerabilité génétique, qui est, probablement, répartie uniformément dans la population, et des facteurs déclenchants, qui sont susceptibles d'être plus sévères chez les pauvres.</t>
  </si>
  <si>
    <t>depression</t>
  </si>
  <si>
    <t>résultat</t>
  </si>
  <si>
    <t>vulnerabilité</t>
  </si>
  <si>
    <t>génétique</t>
  </si>
  <si>
    <t>répartie</t>
  </si>
  <si>
    <t>uniformément</t>
  </si>
  <si>
    <t>population</t>
  </si>
  <si>
    <t>facteurs</t>
  </si>
  <si>
    <t>déclenchants</t>
  </si>
  <si>
    <t>susceptibles</t>
  </si>
  <si>
    <t>sévères</t>
  </si>
  <si>
    <t># text = Pourtant, il s'avère que si vous menez une belle vie mais vous êtes toujours au plus bas, vous pensez : « Pourquoi est-ce que je me sens ainsi ?</t>
  </si>
  <si>
    <t>Pourtant</t>
  </si>
  <si>
    <t>avère</t>
  </si>
  <si>
    <t>menez</t>
  </si>
  <si>
    <t>belle</t>
  </si>
  <si>
    <t>bas</t>
  </si>
  <si>
    <t>Pourquoi</t>
  </si>
  <si>
    <t># text = Je dois faire une dépression.</t>
  </si>
  <si>
    <t># text = » Et vous enterprenez de trouver un traitement.</t>
  </si>
  <si>
    <t>enterprenez</t>
  </si>
  <si>
    <t># text = Mais si vous menez une vie vraiment terrible, et vous vous sentez toujours malheureux, la façon dont vous vous sentez correspond à votre vie, et l'idée ne vous effleure même pas : « Et si ceci peut être traité ?</t>
  </si>
  <si>
    <t>correspond</t>
  </si>
  <si>
    <t>votre</t>
  </si>
  <si>
    <t>idée</t>
  </si>
  <si>
    <t>effleure</t>
  </si>
  <si>
    <t>traité</t>
  </si>
  <si>
    <t># text = Et donc, dans ce pays il existe une épidemie de dépression parmi les appauvris dont personne se rend compte, qui ne se fait pas traitée qui ne se fait pas abordée, et c'est vraiment la grande tragédie.</t>
  </si>
  <si>
    <t>donc</t>
  </si>
  <si>
    <t>pays</t>
  </si>
  <si>
    <t>existe</t>
  </si>
  <si>
    <t>épidemie</t>
  </si>
  <si>
    <t>appauvris</t>
  </si>
  <si>
    <t>traitée</t>
  </si>
  <si>
    <t>abordée</t>
  </si>
  <si>
    <t>grande</t>
  </si>
  <si>
    <t>tragédie</t>
  </si>
  <si>
    <t># text = J'ai aussi trouvé une universitaire qui réalisait un projet de recherche dans les bas quartiers en dehors de D.C., où elle interpellait des femmes venues la consulter pour d'autres problèmes de santé et les diagnostiquait avec la dépression, et puis les fournissait avec six mois de protocol expérimental.</t>
  </si>
  <si>
    <t>universitaire</t>
  </si>
  <si>
    <t>réalisait</t>
  </si>
  <si>
    <t>quartiers</t>
  </si>
  <si>
    <t>dehors</t>
  </si>
  <si>
    <t>D.C.</t>
  </si>
  <si>
    <t>interpellait</t>
  </si>
  <si>
    <t>femmes</t>
  </si>
  <si>
    <t>venues</t>
  </si>
  <si>
    <t>consulter</t>
  </si>
  <si>
    <t>diagnostiquait</t>
  </si>
  <si>
    <t>fournissait</t>
  </si>
  <si>
    <t>expérimental</t>
  </si>
  <si>
    <t># text = L'une d'elle, Lolly, est venue, et voilà ce qu'elle a dit le jour où elle est venue.</t>
  </si>
  <si>
    <t>Lolly</t>
  </si>
  <si>
    <t>venue</t>
  </si>
  <si>
    <t># text = Elle a dit, et c'était une femme, d'ailleurs, qui avait sept enfants.</t>
  </si>
  <si>
    <t>ailleurs</t>
  </si>
  <si>
    <t>sept</t>
  </si>
  <si>
    <t># text = Elle a dit : « Autrefois, j'avais un boulot, mais j'ai dû y renoncer parce que je n'arrivais pas à sortir de la maison.</t>
  </si>
  <si>
    <t>Autrefois</t>
  </si>
  <si>
    <t>boulot</t>
  </si>
  <si>
    <t>dû</t>
  </si>
  <si>
    <t>renoncer</t>
  </si>
  <si>
    <t># text = Je n'ai rien à dire à mes enfants.</t>
  </si>
  <si>
    <t># text = Le matin, je ne peux pas attendre qu'ils partent, et puis je me glisse dans mon lit, passe les couvertures au-dessus de ma tête, et quinze heures, quand ils reviennent, ça arrive trop vite.</t>
  </si>
  <si>
    <t>attendre</t>
  </si>
  <si>
    <t>partent</t>
  </si>
  <si>
    <t>passe</t>
  </si>
  <si>
    <t>couvertures</t>
  </si>
  <si>
    <t>au-dessus</t>
  </si>
  <si>
    <t>quinze</t>
  </si>
  <si>
    <t>reviennent</t>
  </si>
  <si>
    <t>vite</t>
  </si>
  <si>
    <t># text = » « Je prends beaucoup de Tylenol, je prends n'importe quoi qui puisse m'aider à dormir plus.</t>
  </si>
  <si>
    <t>Tylenol</t>
  </si>
  <si>
    <t>puisse</t>
  </si>
  <si>
    <t>dormir</t>
  </si>
  <si>
    <t># text = Récemment, mon mari me dit que je suis nulle, moche.</t>
  </si>
  <si>
    <t>Récemment</t>
  </si>
  <si>
    <t>nulle</t>
  </si>
  <si>
    <t>moche</t>
  </si>
  <si>
    <t># text = J'ai tellement envie d'arrêter le douleur.</t>
  </si>
  <si>
    <t>envie</t>
  </si>
  <si>
    <t>arrêter</t>
  </si>
  <si>
    <t>douleur</t>
  </si>
  <si>
    <t># text = » Eh bien, elle a été incluse dans ce protocol expérimental, et lors de notre entretien six mois plus tard, elle avait accepté un travail dans la garde d'enfants pour le U.S. Navy, elle avait quitté son mari violent, « Mes enfants sont beaucoup plus heureux.</t>
  </si>
  <si>
    <t>incluse</t>
  </si>
  <si>
    <t>lors</t>
  </si>
  <si>
    <t>accepté</t>
  </si>
  <si>
    <t>U.S.</t>
  </si>
  <si>
    <t>Navy</t>
  </si>
  <si>
    <t>quitté</t>
  </si>
  <si>
    <t>violent</t>
  </si>
  <si>
    <t>Mes</t>
  </si>
  <si>
    <t>heureux</t>
  </si>
  <si>
    <t># text = » Elle a dit : « Dans mon nouveau chez moi il y a une chambre pour les garçons et une pour les filles, mais le soir, ils traînent tous sur mon lit, et on fait les devoirs ensemble et tout.</t>
  </si>
  <si>
    <t>Dans</t>
  </si>
  <si>
    <t>garçons</t>
  </si>
  <si>
    <t>filles</t>
  </si>
  <si>
    <t>soir</t>
  </si>
  <si>
    <t>traînent</t>
  </si>
  <si>
    <t>devoirs</t>
  </si>
  <si>
    <t>ensemble</t>
  </si>
  <si>
    <t># text = L'un veut devenir pasteur, un autre veut devenir pompier, et une des filles dit qu'elle va devenir avocate.</t>
  </si>
  <si>
    <t>veut</t>
  </si>
  <si>
    <t>pasteur</t>
  </si>
  <si>
    <t>pompier</t>
  </si>
  <si>
    <t>avocate</t>
  </si>
  <si>
    <t># text = Ils ne pleurent pas comme avant, et ils ne se battent plus comme avant.</t>
  </si>
  <si>
    <t>pleurent</t>
  </si>
  <si>
    <t>battent</t>
  </si>
  <si>
    <t># text = C'est tout ce dont j'ai besoin pour mes gamins.</t>
  </si>
  <si>
    <t>gamins</t>
  </si>
  <si>
    <t># text = Les changements ne cessent pas, comment je m'habille, je me sens, je me comporte.</t>
  </si>
  <si>
    <t>changements</t>
  </si>
  <si>
    <t>cessent</t>
  </si>
  <si>
    <t>habille</t>
  </si>
  <si>
    <t>comporte</t>
  </si>
  <si>
    <t># text = Je peux sortir et ne plus avoir peur, et je ne crois pas que ces mauvais sentiments reviennent, et s'il n'y avait pas eu le Dr. Miranda et tout ça, je serais toujours à la maison, les couvertures au-dessus de ma tête, si j'étais même vivante.</t>
  </si>
  <si>
    <t>crois</t>
  </si>
  <si>
    <t>mauvais</t>
  </si>
  <si>
    <t>sentiments</t>
  </si>
  <si>
    <t>Dr.</t>
  </si>
  <si>
    <t>Miranda</t>
  </si>
  <si>
    <t>serais</t>
  </si>
  <si>
    <t>vivante</t>
  </si>
  <si>
    <t># text = J'ai demandé au Seigneur de m'envoyer un ange, et il a écouté mes prières.</t>
  </si>
  <si>
    <t>Seigneur</t>
  </si>
  <si>
    <t>ange</t>
  </si>
  <si>
    <t>écouté</t>
  </si>
  <si>
    <t>prières</t>
  </si>
  <si>
    <t># text = » Ces expériences m'ont beaucoup touché, et j'ai décidé que je voulais écrire au sujet d'elles non seulement dans un livre sur lequel je travaillais, mais aussi dans un article, et donc, j'ai reçu une commande du New York Times Magazine d'écrire au sujet de la dépression chez les personnes indigentes.</t>
  </si>
  <si>
    <t>Ces</t>
  </si>
  <si>
    <t>touché</t>
  </si>
  <si>
    <t>décidé</t>
  </si>
  <si>
    <t>sujet</t>
  </si>
  <si>
    <t>non</t>
  </si>
  <si>
    <t>seulement</t>
  </si>
  <si>
    <t>livre</t>
  </si>
  <si>
    <t>lequel</t>
  </si>
  <si>
    <t>article</t>
  </si>
  <si>
    <t>reçu</t>
  </si>
  <si>
    <t>commande</t>
  </si>
  <si>
    <t>New</t>
  </si>
  <si>
    <t>York</t>
  </si>
  <si>
    <t>other_12</t>
  </si>
  <si>
    <t>Times</t>
  </si>
  <si>
    <t>Magazine</t>
  </si>
  <si>
    <t>indigentes</t>
  </si>
  <si>
    <t># text = Et j'ai rendu mon histoire, et la rédactrice en chef m'a appelé, et a dit : « On ne peut vraiment pas publier ceci.</t>
  </si>
  <si>
    <t>histoire</t>
  </si>
  <si>
    <t>rédactrice</t>
  </si>
  <si>
    <t>chef</t>
  </si>
  <si>
    <t>appelé</t>
  </si>
  <si>
    <t>publier</t>
  </si>
  <si>
    <t># text = » « Bah, pourquoi pas ?</t>
  </si>
  <si>
    <t># text = » Et elle a dit: « C'est trop exagéré, tout simplement.</t>
  </si>
  <si>
    <t>dit:</t>
  </si>
  <si>
    <t>exagéré</t>
  </si>
  <si>
    <t>simplement</t>
  </si>
  <si>
    <t># text = Ces gens qui sont plus ou moins au bas de l'échelle de la société et puis ils reçoivent quelques mois de traitment et ils sont à peu près prêts à diriger Morgan Stanley ?</t>
  </si>
  <si>
    <t>échelle</t>
  </si>
  <si>
    <t>société</t>
  </si>
  <si>
    <t>prêts</t>
  </si>
  <si>
    <t>diriger</t>
  </si>
  <si>
    <t>Morgan</t>
  </si>
  <si>
    <t>Stanley</t>
  </si>
  <si>
    <t># text = C'est trop improbable, tout simplement.</t>
  </si>
  <si>
    <t>improbable</t>
  </si>
  <si>
    <t># text = » Elle a dit : « C'est même la première fois que j'entends une telle histoire.</t>
  </si>
  <si>
    <t>entends</t>
  </si>
  <si>
    <t>telle</t>
  </si>
  <si>
    <t># text = » Et j'ai dit : « Le fait que tu n'en as jamais entendu parler indique bien qu'il s'agit des nouvelles.</t>
  </si>
  <si>
    <t>indique</t>
  </si>
  <si>
    <t># text = » « Et vous êtes bien un magazine.</t>
  </si>
  <si>
    <t>magazine</t>
  </si>
  <si>
    <t># text = » Alors après un peu de négociation, ils ont accepté de le faire.</t>
  </si>
  <si>
    <t>négociation</t>
  </si>
  <si>
    <t># text = Mais j'ai l'impression que beaucoup de leurs arguments étaient liés d'une manière quelconque à l'aversion que les gens ont toujours pour l'idée du traitment, que si jamais on se met à traiter beaucoup de gens des communautés indigentes, cela relèverait de l'exploitation, parce qu'on les changerait.</t>
  </si>
  <si>
    <t>arguments</t>
  </si>
  <si>
    <t>liés</t>
  </si>
  <si>
    <t>quelconque</t>
  </si>
  <si>
    <t>aversion</t>
  </si>
  <si>
    <t>met</t>
  </si>
  <si>
    <t>traiter</t>
  </si>
  <si>
    <t>communautés</t>
  </si>
  <si>
    <t>relèverait</t>
  </si>
  <si>
    <t>exploitation</t>
  </si>
  <si>
    <t>changerait</t>
  </si>
  <si>
    <t># text = Il existe cet impératif moral faux qui semble être omniprésent que le traitement de la dépression, les médicaments et ainsi de suite, consistent en artifices, et que ce n'est pas naturel.</t>
  </si>
  <si>
    <t>impératif</t>
  </si>
  <si>
    <t>moral</t>
  </si>
  <si>
    <t>faux</t>
  </si>
  <si>
    <t>omniprésent</t>
  </si>
  <si>
    <t>suite</t>
  </si>
  <si>
    <t>consistent</t>
  </si>
  <si>
    <t>artifices</t>
  </si>
  <si>
    <t>naturel</t>
  </si>
  <si>
    <t># text = Et je trouve cela très abusé.</t>
  </si>
  <si>
    <t>trouve</t>
  </si>
  <si>
    <t>abusé</t>
  </si>
  <si>
    <t># text = Il serait naturel que nos dents tombent, mais personne ne milite contre le dentifrice, au moins pas dans mon entourage.</t>
  </si>
  <si>
    <t>dents</t>
  </si>
  <si>
    <t>tombent</t>
  </si>
  <si>
    <t>milite</t>
  </si>
  <si>
    <t>contre</t>
  </si>
  <si>
    <t>dentifrice</t>
  </si>
  <si>
    <t>entourage</t>
  </si>
  <si>
    <t># text = Et puis les gens disent : « Bon, mais finalement, la dépression fait partie de ce qu'on est sensé éprouver ?</t>
  </si>
  <si>
    <t>Bon</t>
  </si>
  <si>
    <t>sensé</t>
  </si>
  <si>
    <t>éprouver</t>
  </si>
  <si>
    <t># text = La dépression, ça fait partie de notre évolution, non ?</t>
  </si>
  <si>
    <t>évolution</t>
  </si>
  <si>
    <t># text = Ça fait partie de sa personalité, non ?</t>
  </si>
  <si>
    <t>sa</t>
  </si>
  <si>
    <t>personalité</t>
  </si>
  <si>
    <t># text = Et je réponds alors, que l'état d'esprit s'adapte.</t>
  </si>
  <si>
    <t>adapte</t>
  </si>
  <si>
    <t># text = Etre capable de ressentir la tristesse et la peur et la joie et le plaisir et toutes nos autres humeurs, est d'une valeur énorme.</t>
  </si>
  <si>
    <t>Etre</t>
  </si>
  <si>
    <t>joie</t>
  </si>
  <si>
    <t>plaisir</t>
  </si>
  <si>
    <t>humeurs</t>
  </si>
  <si>
    <t>valeur</t>
  </si>
  <si>
    <t># text = Et la grande dépression est ce qui survient quand ce système ne fonctionne plus.</t>
  </si>
  <si>
    <t>survient</t>
  </si>
  <si>
    <t>système</t>
  </si>
  <si>
    <t>fonctionne</t>
  </si>
  <si>
    <t># text = Quand il ne s'adapte plus.</t>
  </si>
  <si>
    <t># text = Les gens m'abordent et disent : « Pourtant, je crois que si je tiens le coup encore un an, je crois que je pourrais m'en sortir.</t>
  </si>
  <si>
    <t>abordent</t>
  </si>
  <si>
    <t>tiens</t>
  </si>
  <si>
    <t>an</t>
  </si>
  <si>
    <t>pourrais</t>
  </si>
  <si>
    <t># text = » Et je leur dis toujours : « Oui vous pourriez éventuellement vous en sortir mais vous n'aurez plus jamais 37 ans.</t>
  </si>
  <si>
    <t>dis</t>
  </si>
  <si>
    <t>pourriez</t>
  </si>
  <si>
    <t>éventuellement</t>
  </si>
  <si>
    <t>aurez</t>
  </si>
  <si>
    <t># text = La vie est courte, et cela représente une année entière que vous êtes prêt à abandonner.</t>
  </si>
  <si>
    <t>courte</t>
  </si>
  <si>
    <t>prêt</t>
  </si>
  <si>
    <t>abandonner</t>
  </si>
  <si>
    <t># text = Réfléchissez.</t>
  </si>
  <si>
    <t># text = » C'est une étrange pauvreté dans la langue anglaise, et dans beaucoup d'autres langues, qu'on se serve du même mot, dépression, afin de décrire comment se sent un enfant, s'il pleut le jour de son anniversaire et afin de décrire comment se sent une personne juste avant de se suicider.</t>
  </si>
  <si>
    <t>pauvreté</t>
  </si>
  <si>
    <t>langue</t>
  </si>
  <si>
    <t>anglaise</t>
  </si>
  <si>
    <t>langues</t>
  </si>
  <si>
    <t>serve</t>
  </si>
  <si>
    <t>mot</t>
  </si>
  <si>
    <t>enfant</t>
  </si>
  <si>
    <t>pleut</t>
  </si>
  <si>
    <t>anniversaire</t>
  </si>
  <si>
    <t>OBJ_9</t>
  </si>
  <si>
    <t># text = Les gens me disent : « Alors, est-ce continu avec la tristesse normale ?</t>
  </si>
  <si>
    <t>continu</t>
  </si>
  <si>
    <t>normale</t>
  </si>
  <si>
    <t># text = Et je réponds : « D'une certaine façon, elle continue avec la tristesse normale.</t>
  </si>
  <si>
    <t>continue</t>
  </si>
  <si>
    <t># text = Il existe une certaine continuité, mais c'est pareil à la continuitié qui existe entre avoir une clôture de fer devant sa maison sur laquelle apparaît une tache de rouille et il te faut poncer et repeindre, et ce qui arrive si vous laissez la maison pendant 100 ans et elle finit par rouiller au point de n'être plus qu'un tas de poussière orange.</t>
  </si>
  <si>
    <t>continuité</t>
  </si>
  <si>
    <t>pareil</t>
  </si>
  <si>
    <t>continuitié</t>
  </si>
  <si>
    <t>clôture</t>
  </si>
  <si>
    <t>fer</t>
  </si>
  <si>
    <t>devant</t>
  </si>
  <si>
    <t>apparaît</t>
  </si>
  <si>
    <t>tache</t>
  </si>
  <si>
    <t>rouille</t>
  </si>
  <si>
    <t>poncer</t>
  </si>
  <si>
    <t>repeindre</t>
  </si>
  <si>
    <t>laissez</t>
  </si>
  <si>
    <t>finit</t>
  </si>
  <si>
    <t>rouiller</t>
  </si>
  <si>
    <t>point</t>
  </si>
  <si>
    <t>tas</t>
  </si>
  <si>
    <t>poussière</t>
  </si>
  <si>
    <t>orange</t>
  </si>
  <si>
    <t># text = Et c'est la tache de poussière orange, ce problème de poussière orange c'est à ceci que nous comptons répondre.</t>
  </si>
  <si>
    <t>comptons</t>
  </si>
  <si>
    <t># text = » Alors là, quand les gens disent : « Vous prenez des pilules de bonheur, cela vous rend heureux ? » Mais, la réponse est non.</t>
  </si>
  <si>
    <t>prenez</t>
  </si>
  <si>
    <t>pilules</t>
  </si>
  <si>
    <t># text = Mais manger mon déjeuner ne me rend pas triste, et le répondeur de mon téléphone et prendre une douche ne me rend pas triste.</t>
  </si>
  <si>
    <t># text = Je ressens plus, en fait, je crois, parce que j'arrive à ressentir la tristesse sans nullité.</t>
  </si>
  <si>
    <t>ressens</t>
  </si>
  <si>
    <t>nullité</t>
  </si>
  <si>
    <t># text = Les déceptions professionnelles, les relations dégradées, et le réchauffement climatique me rendent triste.</t>
  </si>
  <si>
    <t>déceptions</t>
  </si>
  <si>
    <t>professionnelles</t>
  </si>
  <si>
    <t>relations</t>
  </si>
  <si>
    <t>dégradées</t>
  </si>
  <si>
    <t>réchauffement</t>
  </si>
  <si>
    <t>climatique</t>
  </si>
  <si>
    <t>rendent</t>
  </si>
  <si>
    <t># text = Voilà les choses qui me rendent triste maintenant.</t>
  </si>
  <si>
    <t>Voilà</t>
  </si>
  <si>
    <t># text = Alors, je me suis demandé, quelle en est la conclusion ?</t>
  </si>
  <si>
    <t>quelle</t>
  </si>
  <si>
    <t>conclusion</t>
  </si>
  <si>
    <t># text = Comment s'en sortent ses gens qui ont de meilleures vies en dépit d'une dépression plus sévère.</t>
  </si>
  <si>
    <t>Comment</t>
  </si>
  <si>
    <t>sortent</t>
  </si>
  <si>
    <t>meilleures</t>
  </si>
  <si>
    <t>dépit</t>
  </si>
  <si>
    <t># text = Quel est le mécanisme de résilience?</t>
  </si>
  <si>
    <t>Quel</t>
  </si>
  <si>
    <t>mécanisme</t>
  </si>
  <si>
    <t>résilience</t>
  </si>
  <si>
    <t># text = Et peu à peu, j'ai trouvé que ceux qui nient leurs expériences, ceux qui disent : « Il y a longtemps j'ai fait une dépression et je ne veux plus jamais y penser et je ne vais pas y faire attention et je vais tout simplement reprendre ma vie en main.</t>
  </si>
  <si>
    <t>nient</t>
  </si>
  <si>
    <t>veux</t>
  </si>
  <si>
    <t>attention</t>
  </si>
  <si>
    <t>reprendre</t>
  </si>
  <si>
    <t>main</t>
  </si>
  <si>
    <t># text = » paradoxalement, ceux sont ces gens-là qui en sont les plus asservis.</t>
  </si>
  <si>
    <t>paradoxalement</t>
  </si>
  <si>
    <t>asservis</t>
  </si>
  <si>
    <t># text = Nier la dépression ne fait que la renforcer.</t>
  </si>
  <si>
    <t>Nier</t>
  </si>
  <si>
    <t>renforcer</t>
  </si>
  <si>
    <t># text = Tandis que vous la refusez, elle grandit.</t>
  </si>
  <si>
    <t>Tandis</t>
  </si>
  <si>
    <t>refusez</t>
  </si>
  <si>
    <t>grandit</t>
  </si>
  <si>
    <t># text = Et ceux qui réussissent le mieux c'est ceux qui arrivent à tolérer le fait qu'ils vivent dans cet état.</t>
  </si>
  <si>
    <t>réussissent</t>
  </si>
  <si>
    <t>tolérer</t>
  </si>
  <si>
    <t>vivent</t>
  </si>
  <si>
    <t># text = Ceux qui arrivent à tolérer leur dépression sont ceux qui atteignent la résilience.</t>
  </si>
  <si>
    <t>Ceux</t>
  </si>
  <si>
    <t>atteignent</t>
  </si>
  <si>
    <t># text = Alors Frank Russakoff m'a dit : « Si je pouvais repartir à zéro, je suppose que je ne le ferais pas ainsi, mais curieusement, je suis reconnaissant de ce que j'ai vécu.</t>
  </si>
  <si>
    <t>repartir</t>
  </si>
  <si>
    <t>zéro</t>
  </si>
  <si>
    <t>suppose</t>
  </si>
  <si>
    <t>ferais</t>
  </si>
  <si>
    <t>curieusement</t>
  </si>
  <si>
    <t>vécu</t>
  </si>
  <si>
    <t># text = Je suis content d'avoir été 40 fois à l'hôpital.</t>
  </si>
  <si>
    <t>content</t>
  </si>
  <si>
    <t># text = Cela m'a appris des tas de choses sur l'amour, et la relation entretenue avec mes parents et mes médecins m'a été très chère, et elle le sera toujours.</t>
  </si>
  <si>
    <t>Cela</t>
  </si>
  <si>
    <t>appris</t>
  </si>
  <si>
    <t>entretenue</t>
  </si>
  <si>
    <t># text = » Et Maggie Robbins a dit : « Autrefois j'ai été bénévole dans une clinique du SIDA, et je ne cessais pas de parler, et les gens avec qui j'avais affaire n'étaient guère réceptifs, et je me suis dit : « Ce n'est pas très sympa ou aimable de leur part.</t>
  </si>
  <si>
    <t>bénévole</t>
  </si>
  <si>
    <t>clinique</t>
  </si>
  <si>
    <t>SIDA</t>
  </si>
  <si>
    <t>cessais</t>
  </si>
  <si>
    <t>affaire</t>
  </si>
  <si>
    <t>guère</t>
  </si>
  <si>
    <t>réceptifs</t>
  </si>
  <si>
    <t>sympa</t>
  </si>
  <si>
    <t>aimable</t>
  </si>
  <si>
    <t># text = » Et puis je me suis rendu compte, qu'ils n'allaient jamais faire plus que quelques petites minutes de bavardage.</t>
  </si>
  <si>
    <t>bavardage</t>
  </si>
  <si>
    <t># text = Cela marquait tout simplement une occasion où je n'avais pas de SIDA et je ne mourais pas, mais j'arrivais à tolérer qu'eux, ils l'avaient et ils allaient mourir.</t>
  </si>
  <si>
    <t>marquait</t>
  </si>
  <si>
    <t>occasion</t>
  </si>
  <si>
    <t>mourais</t>
  </si>
  <si>
    <t># text = Nos besoins sont nos plus grands avantages.</t>
  </si>
  <si>
    <t>Nos</t>
  </si>
  <si>
    <t>besoins</t>
  </si>
  <si>
    <t>grands</t>
  </si>
  <si>
    <t>avantages</t>
  </si>
  <si>
    <t># text = Il s'avère que j'ai appris à donner tout ce dont j'ai besoin.</t>
  </si>
  <si>
    <t>donner</t>
  </si>
  <si>
    <t># text = » Valoriser sa dépression n'empêche pas la rechute, mais il pourrait faire en sort qu'une rechute éventuelle et la rechute même soit plus facile à tolérer.</t>
  </si>
  <si>
    <t>Valoriser</t>
  </si>
  <si>
    <t>empêche</t>
  </si>
  <si>
    <t>rechute</t>
  </si>
  <si>
    <t>éventuelle</t>
  </si>
  <si>
    <t>soit</t>
  </si>
  <si>
    <t># text = Il ne s'agit pas vraiment de trouver une importance quelconque et de décider que votre dépression a été très significative.</t>
  </si>
  <si>
    <t>importance</t>
  </si>
  <si>
    <t>significative</t>
  </si>
  <si>
    <t># text = Il s'agit de chercher cette importance et s'imaginer, quand il se produit de nouveau : « Ça va être l'enfer, mais je vais en tirer quelque chose.</t>
  </si>
  <si>
    <t>imaginer</t>
  </si>
  <si>
    <t>produit</t>
  </si>
  <si>
    <t>enfer</t>
  </si>
  <si>
    <t># text = » Au cours de ma propre dépression j'ai appris à quel point une émotion peut être intense, comment elle peut être plus vraie que des faits, et j'ai découvert que cette expérience-là m'a permis d'éprouver des émotions positives d'une manière plus intense et plus nette.</t>
  </si>
  <si>
    <t>cours</t>
  </si>
  <si>
    <t>quel</t>
  </si>
  <si>
    <t>émotion</t>
  </si>
  <si>
    <t>intense</t>
  </si>
  <si>
    <t>faits</t>
  </si>
  <si>
    <t>permis</t>
  </si>
  <si>
    <t>émotions</t>
  </si>
  <si>
    <t>positives</t>
  </si>
  <si>
    <t>nette</t>
  </si>
  <si>
    <t># text = À l'opposé de la dépression, ce n'est pas le bonheur mais la vitalité.</t>
  </si>
  <si>
    <t>opposé</t>
  </si>
  <si>
    <t># text = et en ce moment, j'ai une vie vitale, même les jours où je suis triste.</t>
  </si>
  <si>
    <t>vitale</t>
  </si>
  <si>
    <t># text = J'ai senti cet enterrement dans ma tête, et je me suis assis à côté du colosse au bout du monde, et j'ai découvert quelque chose au fond de moi que je ne peux qu'appeler une âme que je n'avais jamais formulée avant ce jour il y a 20 ans quand l'enfer est venu me rendre visite subitement.</t>
  </si>
  <si>
    <t>côté</t>
  </si>
  <si>
    <t>colosse</t>
  </si>
  <si>
    <t>formulée</t>
  </si>
  <si>
    <t>venu</t>
  </si>
  <si>
    <t>visite</t>
  </si>
  <si>
    <t>subitement</t>
  </si>
  <si>
    <t># text = Et je crois que, bien que je déteste être déprimé et j'ai horreur d'être encore déprimé, j'ai trouvé un moyen d'aimer la dépression</t>
  </si>
  <si>
    <t>déteste</t>
  </si>
  <si>
    <t>horreur</t>
  </si>
  <si>
    <t>moyen</t>
  </si>
  <si>
    <t># text = Je l'aime puisqu'elle m'a obligé de trouver de la joie et de m'y accrocher.</t>
  </si>
  <si>
    <t>obligé</t>
  </si>
  <si>
    <t>accrocher</t>
  </si>
  <si>
    <t># text = parce que chaque jour je décide parfois vaillamment, parfois contre à l'encontre de la raison du moment, d'adhérer aux raisons de vivre, Et cela, je crois, représente une extase très rare.</t>
  </si>
  <si>
    <t>décide</t>
  </si>
  <si>
    <t>parfois</t>
  </si>
  <si>
    <t>vaillamment</t>
  </si>
  <si>
    <t>encontre</t>
  </si>
  <si>
    <t>adhérer</t>
  </si>
  <si>
    <t>extase</t>
  </si>
  <si>
    <t>rare</t>
  </si>
  <si>
    <t># text = Merci.</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</si>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</sst>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11</v>
      </c>
      <c r="B4" s="6" t="s">
        <v>17</v>
      </c>
      <c r="C4" s="6" t="s">
        <v>22</v>
      </c>
      <c r="D4" s="7" t="s">
        <v>23</v>
      </c>
      <c r="E4" s="8" t="s">
        <v>24</v>
      </c>
      <c r="F4" s="6" t="s">
        <v>25</v>
      </c>
      <c r="G4" s="9">
        <f>IF(A4=1,"_",IF(C4="_","???",C4))</f>
        <v/>
      </c>
      <c r="H4" s="10" t="s">
        <v>12</v>
      </c>
      <c r="I4" s="11" t="s">
        <v>12</v>
      </c>
      <c r="J4" s="12"/>
    </row>
    <row r="5" spans="1:10" ht="60" customHeight="1">
      <c r="A5" s="6" t="s">
        <v>26</v>
      </c>
      <c r="B5" s="6" t="s">
        <v>27</v>
      </c>
      <c r="C5" s="6" t="s">
        <v>12</v>
      </c>
      <c r="D5" s="7" t="s">
        <v>28</v>
      </c>
      <c r="E5" s="8" t="s">
        <v>29</v>
      </c>
      <c r="F5" s="6" t="s">
        <v>30</v>
      </c>
      <c r="G5" s="9">
        <f>IF(A5=1,"_",IF(C5="_","???",C5))</f>
        <v/>
      </c>
      <c r="H5" s="10" t="s">
        <v>12</v>
      </c>
      <c r="I5" s="11" t="s">
        <v>12</v>
      </c>
      <c r="J5" s="12"/>
    </row>
    <row r="6" spans="1:10" ht="60" customHeight="1">
      <c r="A6" s="6" t="s">
        <v>31</v>
      </c>
      <c r="B6" s="6" t="s">
        <v>17</v>
      </c>
      <c r="C6" s="6" t="s">
        <v>32</v>
      </c>
      <c r="D6" s="7" t="s">
        <v>33</v>
      </c>
      <c r="E6" s="8" t="s">
        <v>34</v>
      </c>
      <c r="F6" s="6" t="s">
        <v>35</v>
      </c>
      <c r="G6" s="9">
        <f>IF(A6=1,"_",IF(C6="_","???",C6))</f>
        <v/>
      </c>
      <c r="H6" s="10" t="s">
        <v>12</v>
      </c>
      <c r="I6" s="11" t="s">
        <v>12</v>
      </c>
      <c r="J6" s="12"/>
    </row>
    <row r="7" spans="1:10" ht="60" customHeight="1">
      <c r="A7" s="6" t="s">
        <v>27</v>
      </c>
      <c r="B7" s="6" t="s">
        <v>36</v>
      </c>
      <c r="C7" s="6" t="s">
        <v>18</v>
      </c>
      <c r="D7" s="7" t="s">
        <v>37</v>
      </c>
      <c r="E7" s="8" t="s">
        <v>38</v>
      </c>
      <c r="F7" s="6" t="s">
        <v>39</v>
      </c>
      <c r="G7" s="9">
        <f>IF(A7=1,"_",IF(C7="_","???",C7))</f>
        <v/>
      </c>
      <c r="H7" s="10" t="s">
        <v>12</v>
      </c>
      <c r="I7" s="11" t="s">
        <v>12</v>
      </c>
      <c r="J7" s="12"/>
    </row>
    <row r="8" spans="1:10" ht="60" customHeight="1">
      <c r="A8" s="6" t="s">
        <v>17</v>
      </c>
      <c r="B8" s="6" t="s">
        <v>11</v>
      </c>
      <c r="C8" s="6" t="s">
        <v>40</v>
      </c>
      <c r="D8" s="7" t="s">
        <v>41</v>
      </c>
      <c r="E8" s="8" t="s">
        <v>42</v>
      </c>
      <c r="F8" s="6" t="s">
        <v>43</v>
      </c>
      <c r="G8" s="9">
        <f>IF(A8=1,"_",IF(C8="_","???",C8))</f>
        <v/>
      </c>
      <c r="H8" s="10" t="s">
        <v>12</v>
      </c>
      <c r="I8" s="11" t="s">
        <v>12</v>
      </c>
      <c r="J8" s="12"/>
    </row>
    <row r="9" spans="1:10" ht="60" customHeight="1">
      <c r="A9" s="6" t="s">
        <v>44</v>
      </c>
      <c r="B9" s="6" t="s">
        <v>11</v>
      </c>
      <c r="C9" s="6" t="s">
        <v>40</v>
      </c>
      <c r="D9" s="7" t="s">
        <v>45</v>
      </c>
      <c r="E9" s="8" t="s">
        <v>46</v>
      </c>
      <c r="F9" s="6" t="s">
        <v>47</v>
      </c>
      <c r="G9" s="9">
        <f>IF(A9=1,"_",IF(C9="_","???",C9))</f>
        <v/>
      </c>
      <c r="H9" s="10" t="s">
        <v>12</v>
      </c>
      <c r="I9" s="11" t="s">
        <v>12</v>
      </c>
      <c r="J9" s="12"/>
    </row>
    <row r="10" spans="1:10" ht="60" customHeight="1">
      <c r="A10" s="6" t="s">
        <v>48</v>
      </c>
      <c r="B10" s="6" t="s">
        <v>27</v>
      </c>
      <c r="C10" s="6" t="s">
        <v>49</v>
      </c>
      <c r="D10" s="7" t="s">
        <v>50</v>
      </c>
      <c r="E10" s="8" t="s">
        <v>51</v>
      </c>
      <c r="F10" s="6" t="s">
        <v>52</v>
      </c>
      <c r="G10" s="9">
        <f>IF(A10=1,"_",IF(C10="_","???",C10))</f>
        <v/>
      </c>
      <c r="H10" s="10" t="s">
        <v>12</v>
      </c>
      <c r="I10" s="11" t="s">
        <v>12</v>
      </c>
      <c r="J10" s="12"/>
    </row>
    <row r="11" spans="1:10" ht="60" customHeight="1">
      <c r="A11" s="6" t="s">
        <v>53</v>
      </c>
      <c r="B11" s="6" t="s">
        <v>48</v>
      </c>
      <c r="C11" s="6" t="s">
        <v>12</v>
      </c>
      <c r="D11" s="7" t="s">
        <v>54</v>
      </c>
      <c r="E11" s="8" t="s">
        <v>55</v>
      </c>
      <c r="F11" s="6" t="s">
        <v>56</v>
      </c>
      <c r="G11" s="9">
        <f>IF(A11=1,"_",IF(C11="_","???",C11))</f>
        <v/>
      </c>
      <c r="H11" s="10" t="s">
        <v>12</v>
      </c>
      <c r="I11" s="11" t="s">
        <v>12</v>
      </c>
      <c r="J11" s="12"/>
    </row>
    <row r="12" spans="1:10" ht="60" customHeight="1">
      <c r="A12" s="6" t="s">
        <v>36</v>
      </c>
      <c r="B12" s="6" t="s">
        <v>27</v>
      </c>
      <c r="C12" s="6" t="s">
        <v>49</v>
      </c>
      <c r="D12" s="7" t="s">
        <v>57</v>
      </c>
      <c r="E12" s="8" t="s">
        <v>58</v>
      </c>
      <c r="F12" s="6" t="s">
        <v>59</v>
      </c>
      <c r="G12" s="9">
        <f>IF(A12=1,"_",IF(C12="_","???",C12))</f>
        <v/>
      </c>
      <c r="H12" s="10" t="s">
        <v>12</v>
      </c>
      <c r="I12" s="11" t="s">
        <v>12</v>
      </c>
      <c r="J12" s="12"/>
    </row>
    <row r="13" spans="1:10" ht="60" customHeight="1">
      <c r="A13" s="6" t="s">
        <v>60</v>
      </c>
      <c r="B13" s="6" t="s">
        <v>26</v>
      </c>
      <c r="C13" s="6" t="s">
        <v>61</v>
      </c>
      <c r="D13" s="7" t="s">
        <v>62</v>
      </c>
      <c r="E13" s="8" t="s">
        <v>63</v>
      </c>
      <c r="F13" s="6" t="s">
        <v>64</v>
      </c>
      <c r="G13" s="9">
        <f>IF(A13=1,"_",IF(C13="_","???",C13))</f>
        <v/>
      </c>
      <c r="H13" s="10" t="s">
        <v>12</v>
      </c>
      <c r="I13" s="11" t="s">
        <v>12</v>
      </c>
      <c r="J13" s="12"/>
    </row>
    <row r="14" spans="1:10" ht="60" customHeight="1">
      <c r="A14" s="6" t="s">
        <v>65</v>
      </c>
      <c r="B14" s="6" t="s">
        <v>36</v>
      </c>
      <c r="C14" s="6" t="s">
        <v>66</v>
      </c>
      <c r="D14" s="7" t="s">
        <v>67</v>
      </c>
      <c r="E14" s="8" t="s">
        <v>68</v>
      </c>
      <c r="F14" s="6" t="s">
        <v>69</v>
      </c>
      <c r="G14" s="9">
        <f>IF(A14=1,"_",IF(C14="_","???",C14))</f>
        <v/>
      </c>
      <c r="H14" s="10" t="s">
        <v>12</v>
      </c>
      <c r="I14" s="11" t="s">
        <v>12</v>
      </c>
      <c r="J14" s="12"/>
    </row>
    <row r="15" spans="1:10" ht="60" customHeight="1">
      <c r="A15" s="6" t="s">
        <v>70</v>
      </c>
      <c r="B15" s="6" t="s">
        <v>11</v>
      </c>
      <c r="C15" s="6" t="s">
        <v>18</v>
      </c>
      <c r="D15" s="7" t="s">
        <v>71</v>
      </c>
      <c r="E15" s="8" t="s">
        <v>72</v>
      </c>
      <c r="F15" s="6" t="s">
        <v>73</v>
      </c>
      <c r="G15" s="9">
        <f>IF(A15=1,"_",IF(C15="_","???",C15))</f>
        <v/>
      </c>
      <c r="H15" s="10" t="s">
        <v>12</v>
      </c>
      <c r="I15" s="11" t="s">
        <v>12</v>
      </c>
      <c r="J15" s="12"/>
    </row>
    <row r="16" spans="1:10" ht="60" customHeight="1">
      <c r="A16" s="6" t="s">
        <v>74</v>
      </c>
      <c r="B16" s="6" t="s">
        <v>17</v>
      </c>
      <c r="C16" s="6" t="s">
        <v>75</v>
      </c>
      <c r="D16" s="7" t="s">
        <v>76</v>
      </c>
      <c r="E16" s="8" t="s">
        <v>77</v>
      </c>
      <c r="F16" s="6" t="s">
        <v>78</v>
      </c>
      <c r="G16" s="9">
        <f>IF(A16=1,"_",IF(C16="_","???",C16))</f>
        <v/>
      </c>
      <c r="H16" s="10" t="s">
        <v>12</v>
      </c>
      <c r="I16" s="11" t="s">
        <v>12</v>
      </c>
      <c r="J16" s="12"/>
    </row>
    <row r="17" spans="1:10" ht="60" customHeight="1">
      <c r="A17" s="6" t="s">
        <v>79</v>
      </c>
      <c r="B17" s="6" t="s">
        <v>48</v>
      </c>
      <c r="C17" s="6" t="s">
        <v>12</v>
      </c>
      <c r="D17" s="7" t="s">
        <v>80</v>
      </c>
      <c r="E17" s="8" t="s">
        <v>81</v>
      </c>
      <c r="F17" s="6" t="s">
        <v>82</v>
      </c>
      <c r="G17" s="9">
        <f>IF(A17=1,"_",IF(C17="_","???",C17))</f>
        <v/>
      </c>
      <c r="H17" s="10" t="s">
        <v>12</v>
      </c>
      <c r="I17" s="11" t="s">
        <v>12</v>
      </c>
      <c r="J17" s="12"/>
    </row>
    <row r="18" spans="1:10" ht="60" customHeight="1">
      <c r="A18" s="6" t="s">
        <v>83</v>
      </c>
      <c r="B18" s="6" t="s">
        <v>16</v>
      </c>
      <c r="C18" s="6" t="s">
        <v>18</v>
      </c>
      <c r="D18" s="7" t="s">
        <v>84</v>
      </c>
      <c r="E18" s="8" t="s">
        <v>85</v>
      </c>
      <c r="F18" s="6" t="s">
        <v>86</v>
      </c>
      <c r="G18" s="9">
        <f>IF(A18=1,"_",IF(C18="_","???",C18))</f>
        <v/>
      </c>
      <c r="H18" s="10" t="s">
        <v>12</v>
      </c>
      <c r="I18" s="11" t="s">
        <v>12</v>
      </c>
      <c r="J18" s="12"/>
    </row>
    <row r="19" spans="1:10" ht="60" customHeight="1">
      <c r="A19" s="6" t="s">
        <v>87</v>
      </c>
      <c r="B19" s="6" t="s">
        <v>26</v>
      </c>
      <c r="C19" s="6" t="s">
        <v>88</v>
      </c>
      <c r="D19" s="7" t="s">
        <v>89</v>
      </c>
      <c r="E19" s="8" t="s">
        <v>90</v>
      </c>
      <c r="F19" s="6" t="s">
        <v>91</v>
      </c>
      <c r="G19" s="9">
        <f>IF(A19=1,"_",IF(C19="_","???",C19))</f>
        <v/>
      </c>
      <c r="H19" s="10" t="s">
        <v>12</v>
      </c>
      <c r="I19" s="11" t="s">
        <v>12</v>
      </c>
      <c r="J19" s="12"/>
    </row>
    <row r="20" spans="1:10" ht="60" customHeight="1">
      <c r="A20" s="6" t="s">
        <v>92</v>
      </c>
      <c r="B20" s="6" t="s">
        <v>74</v>
      </c>
      <c r="C20" s="6" t="s">
        <v>12</v>
      </c>
      <c r="D20" s="7" t="s">
        <v>93</v>
      </c>
      <c r="E20" s="8" t="s">
        <v>94</v>
      </c>
      <c r="F20" s="6" t="s">
        <v>95</v>
      </c>
      <c r="G20" s="9">
        <f>IF(A20=1,"_",IF(C20="_","???",C20))</f>
        <v/>
      </c>
      <c r="H20" s="10" t="s">
        <v>12</v>
      </c>
      <c r="I20" s="11" t="s">
        <v>12</v>
      </c>
      <c r="J20" s="12"/>
    </row>
    <row r="21" spans="1:10" ht="60" customHeight="1">
      <c r="A21" s="6" t="s">
        <v>96</v>
      </c>
      <c r="B21" s="6" t="s">
        <v>16</v>
      </c>
      <c r="C21" s="6" t="s">
        <v>97</v>
      </c>
      <c r="D21" s="7" t="s">
        <v>98</v>
      </c>
      <c r="E21" s="8" t="s">
        <v>99</v>
      </c>
      <c r="F21" s="6" t="s">
        <v>100</v>
      </c>
      <c r="G21" s="9">
        <f>IF(A21=1,"_",IF(C21="_","???",C21))</f>
        <v/>
      </c>
      <c r="H21" s="10" t="s">
        <v>12</v>
      </c>
      <c r="I21" s="11" t="s">
        <v>12</v>
      </c>
      <c r="J21" s="12"/>
    </row>
    <row r="22" spans="1:10" ht="60" customHeight="1">
      <c r="A22" s="6" t="s">
        <v>101</v>
      </c>
      <c r="B22" s="6" t="s">
        <v>16</v>
      </c>
      <c r="C22" s="6" t="s">
        <v>12</v>
      </c>
      <c r="D22" s="7" t="s">
        <v>98</v>
      </c>
      <c r="E22" s="8" t="s">
        <v>102</v>
      </c>
      <c r="F22" s="6" t="s">
        <v>103</v>
      </c>
      <c r="G22" s="9">
        <f>IF(A22=1,"_",IF(C22="_","???",C22))</f>
        <v/>
      </c>
      <c r="H22" s="10" t="s">
        <v>12</v>
      </c>
      <c r="I22" s="11" t="s">
        <v>12</v>
      </c>
      <c r="J22" s="12"/>
    </row>
    <row r="23" spans="1:10" ht="60" customHeight="1">
      <c r="A23" s="6" t="s">
        <v>104</v>
      </c>
      <c r="B23" s="6" t="s">
        <v>27</v>
      </c>
      <c r="C23" s="6" t="s">
        <v>97</v>
      </c>
      <c r="D23" s="7" t="s">
        <v>105</v>
      </c>
      <c r="E23" s="8" t="s">
        <v>106</v>
      </c>
      <c r="F23" s="6" t="s">
        <v>107</v>
      </c>
      <c r="G23" s="9">
        <f>IF(A23=1,"_",IF(C23="_","???",C23))</f>
        <v/>
      </c>
      <c r="H23" s="10" t="s">
        <v>12</v>
      </c>
      <c r="I23" s="11" t="s">
        <v>12</v>
      </c>
      <c r="J23" s="12"/>
    </row>
    <row r="24" spans="1:10" ht="60" customHeight="1">
      <c r="A24" s="6" t="s">
        <v>108</v>
      </c>
      <c r="B24" s="6" t="s">
        <v>16</v>
      </c>
      <c r="C24" s="6" t="s">
        <v>12</v>
      </c>
      <c r="D24" s="7" t="s">
        <v>109</v>
      </c>
      <c r="E24" s="8" t="s">
        <v>110</v>
      </c>
      <c r="F24" s="6" t="s">
        <v>111</v>
      </c>
      <c r="G24" s="9">
        <f>IF(A24=1,"_",IF(C24="_","???",C24))</f>
        <v/>
      </c>
      <c r="H24" s="10" t="s">
        <v>12</v>
      </c>
      <c r="I24" s="11" t="s">
        <v>12</v>
      </c>
      <c r="J24" s="12"/>
    </row>
    <row r="25" spans="1:10" ht="60" customHeight="1">
      <c r="A25" s="6" t="s">
        <v>112</v>
      </c>
      <c r="B25" s="6" t="s">
        <v>17</v>
      </c>
      <c r="C25" s="6" t="s">
        <v>32</v>
      </c>
      <c r="D25" s="7" t="s">
        <v>113</v>
      </c>
      <c r="E25" s="8" t="s">
        <v>114</v>
      </c>
      <c r="F25" s="6" t="s">
        <v>115</v>
      </c>
      <c r="G25" s="9">
        <f>IF(A25=1,"_",IF(C25="_","???",C25))</f>
        <v/>
      </c>
      <c r="H25" s="10" t="s">
        <v>12</v>
      </c>
      <c r="I25" s="11" t="s">
        <v>12</v>
      </c>
      <c r="J25" s="12"/>
    </row>
    <row r="26" spans="1:10" ht="60" customHeight="1">
      <c r="A26" s="6" t="s">
        <v>116</v>
      </c>
      <c r="B26" s="6" t="s">
        <v>87</v>
      </c>
      <c r="C26" s="6" t="s">
        <v>117</v>
      </c>
      <c r="D26" s="7" t="s">
        <v>118</v>
      </c>
      <c r="E26" s="8" t="s">
        <v>119</v>
      </c>
      <c r="F26" s="6" t="s">
        <v>120</v>
      </c>
      <c r="G26" s="9">
        <f>IF(A26=1,"_",IF(C26="_","???",C26))</f>
        <v/>
      </c>
      <c r="H26" s="10" t="s">
        <v>12</v>
      </c>
      <c r="I26" s="11" t="s">
        <v>12</v>
      </c>
      <c r="J26" s="12"/>
    </row>
    <row r="27" spans="1:10" ht="60" customHeight="1">
      <c r="A27" s="6" t="s">
        <v>121</v>
      </c>
      <c r="B27" s="6" t="s">
        <v>121</v>
      </c>
      <c r="C27" s="6" t="s">
        <v>122</v>
      </c>
      <c r="D27" s="7" t="s">
        <v>123</v>
      </c>
      <c r="E27" s="8" t="s">
        <v>124</v>
      </c>
      <c r="F27" s="6" t="s">
        <v>125</v>
      </c>
      <c r="G27" s="9">
        <f>IF(A27=1,"_",IF(C27="_","???",C27))</f>
        <v/>
      </c>
      <c r="H27" s="10" t="s">
        <v>12</v>
      </c>
      <c r="I27" s="11" t="s">
        <v>12</v>
      </c>
      <c r="J27" s="12"/>
    </row>
    <row r="28" spans="1:10" ht="60" customHeight="1">
      <c r="A28" s="6" t="s">
        <v>126</v>
      </c>
      <c r="B28" s="6" t="s">
        <v>16</v>
      </c>
      <c r="C28" s="6" t="s">
        <v>127</v>
      </c>
      <c r="D28" s="7" t="s">
        <v>128</v>
      </c>
      <c r="E28" s="8" t="s">
        <v>129</v>
      </c>
      <c r="F28" s="6" t="s">
        <v>130</v>
      </c>
      <c r="G28" s="9">
        <f>IF(A28=1,"_",IF(C28="_","???",C28))</f>
        <v/>
      </c>
      <c r="H28" s="10" t="s">
        <v>12</v>
      </c>
      <c r="I28" s="11" t="s">
        <v>12</v>
      </c>
      <c r="J28" s="12"/>
    </row>
    <row r="29" spans="1:10" ht="60" customHeight="1">
      <c r="A29" s="6" t="s">
        <v>131</v>
      </c>
      <c r="B29" s="6" t="s">
        <v>16</v>
      </c>
      <c r="C29" s="6" t="s">
        <v>12</v>
      </c>
      <c r="D29" s="7" t="s">
        <v>132</v>
      </c>
      <c r="E29" s="8" t="s">
        <v>133</v>
      </c>
      <c r="F29" s="6" t="s">
        <v>134</v>
      </c>
      <c r="G29" s="9">
        <f>IF(A29=1,"_",IF(C29="_","???",C29))</f>
        <v/>
      </c>
      <c r="H29" s="10" t="s">
        <v>12</v>
      </c>
      <c r="I29" s="11" t="s">
        <v>12</v>
      </c>
      <c r="J29" s="12"/>
    </row>
    <row r="30" spans="1:10" ht="60" customHeight="1">
      <c r="A30" s="6" t="s">
        <v>135</v>
      </c>
      <c r="B30" s="6" t="s">
        <v>11</v>
      </c>
      <c r="C30" s="6" t="s">
        <v>18</v>
      </c>
      <c r="D30" s="7" t="s">
        <v>136</v>
      </c>
      <c r="E30" s="8" t="s">
        <v>137</v>
      </c>
      <c r="F30" s="6" t="s">
        <v>138</v>
      </c>
      <c r="G30" s="9">
        <f>IF(A30=1,"_",IF(C30="_","???",C30))</f>
        <v/>
      </c>
      <c r="H30" s="10" t="s">
        <v>12</v>
      </c>
      <c r="I30" s="11" t="s">
        <v>12</v>
      </c>
      <c r="J30" s="12"/>
    </row>
    <row r="31" spans="1:10" ht="60" customHeight="1">
      <c r="A31" s="6" t="s">
        <v>139</v>
      </c>
      <c r="B31" s="6" t="s">
        <v>44</v>
      </c>
      <c r="C31" s="6" t="s">
        <v>140</v>
      </c>
      <c r="D31" s="7" t="s">
        <v>141</v>
      </c>
      <c r="E31" s="8" t="s">
        <v>142</v>
      </c>
      <c r="F31" s="6" t="s">
        <v>143</v>
      </c>
      <c r="G31" s="9">
        <f>IF(A31=1,"_",IF(C31="_","???",C31))</f>
        <v/>
      </c>
      <c r="H31" s="10" t="s">
        <v>12</v>
      </c>
      <c r="I31" s="11" t="s">
        <v>12</v>
      </c>
      <c r="J31" s="12"/>
    </row>
    <row r="32" spans="1:10" ht="60" customHeight="1">
      <c r="A32" s="6" t="s">
        <v>144</v>
      </c>
      <c r="B32" s="6" t="s">
        <v>31</v>
      </c>
      <c r="C32" s="6" t="s">
        <v>75</v>
      </c>
      <c r="D32" s="7" t="s">
        <v>145</v>
      </c>
      <c r="E32" s="8" t="s">
        <v>146</v>
      </c>
      <c r="F32" s="6" t="s">
        <v>147</v>
      </c>
      <c r="G32" s="9">
        <f>IF(A32=1,"_",IF(C32="_","???",C32))</f>
        <v/>
      </c>
      <c r="H32" s="10" t="s">
        <v>12</v>
      </c>
      <c r="I32" s="11" t="s">
        <v>12</v>
      </c>
      <c r="J32" s="12"/>
    </row>
    <row r="33" spans="1:10" ht="60" customHeight="1">
      <c r="A33" s="6" t="s">
        <v>148</v>
      </c>
      <c r="B33" s="6" t="s">
        <v>108</v>
      </c>
      <c r="C33" s="6" t="s">
        <v>140</v>
      </c>
      <c r="D33" s="7" t="s">
        <v>149</v>
      </c>
      <c r="E33" s="8" t="s">
        <v>150</v>
      </c>
      <c r="F33" s="6" t="s">
        <v>151</v>
      </c>
      <c r="G33" s="9">
        <f>IF(A33=1,"_",IF(C33="_","???",C33))</f>
        <v/>
      </c>
      <c r="H33" s="10" t="s">
        <v>12</v>
      </c>
      <c r="I33" s="11" t="s">
        <v>12</v>
      </c>
      <c r="J33" s="12"/>
    </row>
    <row r="34" spans="1:10" ht="60" customHeight="1">
      <c r="A34" s="6" t="s">
        <v>152</v>
      </c>
      <c r="B34" s="6" t="s">
        <v>16</v>
      </c>
      <c r="C34" s="6" t="s">
        <v>12</v>
      </c>
      <c r="D34" s="7" t="s">
        <v>153</v>
      </c>
      <c r="E34" s="8" t="s">
        <v>154</v>
      </c>
      <c r="F34" s="6" t="s">
        <v>155</v>
      </c>
      <c r="G34" s="9">
        <f>IF(A34=1,"_",IF(C34="_","???",C34))</f>
        <v/>
      </c>
      <c r="H34" s="10" t="s">
        <v>12</v>
      </c>
      <c r="I34" s="11" t="s">
        <v>12</v>
      </c>
      <c r="J34" s="12"/>
    </row>
    <row r="35" spans="1:10" ht="60" customHeight="1">
      <c r="A35" s="6" t="s">
        <v>156</v>
      </c>
      <c r="B35" s="6" t="s">
        <v>17</v>
      </c>
      <c r="C35" s="6" t="s">
        <v>18</v>
      </c>
      <c r="D35" s="7" t="s">
        <v>157</v>
      </c>
      <c r="E35" s="8" t="s">
        <v>158</v>
      </c>
      <c r="F35" s="6" t="s">
        <v>159</v>
      </c>
      <c r="G35" s="9">
        <f>IF(A35=1,"_",IF(C35="_","???",C35))</f>
        <v/>
      </c>
      <c r="H35" s="10" t="s">
        <v>12</v>
      </c>
      <c r="I35" s="11" t="s">
        <v>12</v>
      </c>
      <c r="J35" s="12"/>
    </row>
    <row r="36" spans="1:10" ht="60" customHeight="1">
      <c r="A36" s="6" t="s">
        <v>160</v>
      </c>
      <c r="B36" s="6" t="s">
        <v>31</v>
      </c>
      <c r="C36" s="6" t="s">
        <v>161</v>
      </c>
      <c r="D36" s="7" t="s">
        <v>157</v>
      </c>
      <c r="E36" s="8" t="s">
        <v>162</v>
      </c>
      <c r="F36" s="6" t="s">
        <v>163</v>
      </c>
      <c r="G36" s="9">
        <f>IF(A36=1,"_",IF(C36="_","???",C36))</f>
        <v/>
      </c>
      <c r="H36" s="10" t="s">
        <v>12</v>
      </c>
      <c r="I36" s="11" t="s">
        <v>12</v>
      </c>
      <c r="J36" s="12"/>
    </row>
    <row r="37" spans="1:10" ht="60" customHeight="1">
      <c r="A37" s="6" t="s">
        <v>164</v>
      </c>
      <c r="B37" s="6" t="s">
        <v>53</v>
      </c>
      <c r="C37" s="6" t="s">
        <v>117</v>
      </c>
      <c r="D37" s="7" t="s">
        <v>93</v>
      </c>
      <c r="E37" s="8" t="s">
        <v>165</v>
      </c>
      <c r="F37" s="6" t="s">
        <v>166</v>
      </c>
      <c r="G37" s="9">
        <f>IF(A37=1,"_",IF(C37="_","???",C37))</f>
        <v/>
      </c>
      <c r="H37" s="10" t="s">
        <v>12</v>
      </c>
      <c r="I37" s="11" t="s">
        <v>12</v>
      </c>
      <c r="J37" s="12"/>
    </row>
    <row r="38" spans="1:10" ht="60" customHeight="1">
      <c r="A38" s="6" t="s">
        <v>167</v>
      </c>
      <c r="B38" s="6" t="s">
        <v>96</v>
      </c>
      <c r="C38" s="6" t="s">
        <v>18</v>
      </c>
      <c r="D38" s="7" t="s">
        <v>168</v>
      </c>
      <c r="E38" s="8" t="s">
        <v>169</v>
      </c>
      <c r="F38" s="6" t="s">
        <v>170</v>
      </c>
      <c r="G38" s="9">
        <f>IF(A38=1,"_",IF(C38="_","???",C38))</f>
        <v/>
      </c>
      <c r="H38" s="10" t="s">
        <v>12</v>
      </c>
      <c r="I38" s="11" t="s">
        <v>12</v>
      </c>
      <c r="J38" s="12"/>
    </row>
    <row r="39" spans="1:10" ht="60" customHeight="1">
      <c r="A39" s="6" t="s">
        <v>171</v>
      </c>
      <c r="B39" s="6" t="s">
        <v>26</v>
      </c>
      <c r="C39" s="6" t="s">
        <v>12</v>
      </c>
      <c r="D39" s="7" t="s">
        <v>172</v>
      </c>
      <c r="E39" s="8" t="s">
        <v>173</v>
      </c>
      <c r="F39" s="6" t="s">
        <v>174</v>
      </c>
      <c r="G39" s="9">
        <f>IF(A39=1,"_",IF(C39="_","???",C39))</f>
        <v/>
      </c>
      <c r="H39" s="10" t="s">
        <v>12</v>
      </c>
      <c r="I39" s="11" t="s">
        <v>12</v>
      </c>
      <c r="J39" s="12"/>
    </row>
    <row r="40" spans="1:10" ht="60" customHeight="1">
      <c r="A40" s="6" t="s">
        <v>175</v>
      </c>
      <c r="B40" s="6" t="s">
        <v>27</v>
      </c>
      <c r="C40" s="6" t="s">
        <v>18</v>
      </c>
      <c r="D40" s="7" t="s">
        <v>93</v>
      </c>
      <c r="E40" s="8" t="s">
        <v>176</v>
      </c>
      <c r="F40" s="6" t="s">
        <v>177</v>
      </c>
      <c r="G40" s="9">
        <f>IF(A40=1,"_",IF(C40="_","???",C40))</f>
        <v/>
      </c>
      <c r="H40" s="10" t="s">
        <v>12</v>
      </c>
      <c r="I40" s="11" t="s">
        <v>12</v>
      </c>
      <c r="J40" s="12"/>
    </row>
    <row r="41" spans="1:10" ht="60" customHeight="1">
      <c r="A41" s="6" t="s">
        <v>178</v>
      </c>
      <c r="B41" s="6" t="s">
        <v>26</v>
      </c>
      <c r="C41" s="6" t="s">
        <v>179</v>
      </c>
      <c r="D41" s="7" t="s">
        <v>19</v>
      </c>
      <c r="E41" s="8" t="s">
        <v>180</v>
      </c>
      <c r="F41" s="6" t="s">
        <v>181</v>
      </c>
      <c r="G41" s="9">
        <f>IF(A41=1,"_",IF(C41="_","???",C41))</f>
        <v/>
      </c>
      <c r="H41" s="10" t="s">
        <v>12</v>
      </c>
      <c r="I41" s="11" t="s">
        <v>12</v>
      </c>
      <c r="J41" s="12"/>
    </row>
    <row r="42" spans="1:10" ht="60" customHeight="1">
      <c r="A42" s="6" t="s">
        <v>182</v>
      </c>
      <c r="B42" s="6" t="s">
        <v>31</v>
      </c>
      <c r="C42" s="6" t="s">
        <v>75</v>
      </c>
      <c r="D42" s="7" t="s">
        <v>183</v>
      </c>
      <c r="E42" s="8" t="s">
        <v>184</v>
      </c>
      <c r="F42" s="6" t="s">
        <v>185</v>
      </c>
      <c r="G42" s="9">
        <f>IF(A42=1,"_",IF(C42="_","???",C42))</f>
        <v/>
      </c>
      <c r="H42" s="10" t="s">
        <v>12</v>
      </c>
      <c r="I42" s="11" t="s">
        <v>12</v>
      </c>
      <c r="J42" s="12"/>
    </row>
    <row r="43" spans="1:10" ht="60" customHeight="1">
      <c r="A43" s="6" t="s">
        <v>186</v>
      </c>
      <c r="B43" s="6" t="s">
        <v>16</v>
      </c>
      <c r="C43" s="6" t="s">
        <v>18</v>
      </c>
      <c r="D43" s="7" t="s">
        <v>153</v>
      </c>
      <c r="E43" s="8" t="s">
        <v>187</v>
      </c>
      <c r="F43" s="6" t="s">
        <v>188</v>
      </c>
      <c r="G43" s="9">
        <f>IF(A43=1,"_",IF(C43="_","???",C43))</f>
        <v/>
      </c>
      <c r="H43" s="10" t="s">
        <v>12</v>
      </c>
      <c r="I43" s="11" t="s">
        <v>12</v>
      </c>
      <c r="J43" s="12"/>
    </row>
    <row r="44" spans="1:10" ht="60" customHeight="1">
      <c r="A44" s="6" t="s">
        <v>189</v>
      </c>
      <c r="B44" s="6" t="s">
        <v>10</v>
      </c>
      <c r="C44" s="6" t="s">
        <v>12</v>
      </c>
      <c r="D44" s="7" t="s">
        <v>190</v>
      </c>
      <c r="E44" s="8" t="s">
        <v>190</v>
      </c>
      <c r="F44" s="6" t="s">
        <v>191</v>
      </c>
      <c r="G44" s="9">
        <f>IF(A44=1,"_",IF(C44="_","???",C44))</f>
        <v/>
      </c>
      <c r="H44" s="10" t="s">
        <v>12</v>
      </c>
      <c r="I44" s="11" t="s">
        <v>12</v>
      </c>
      <c r="J44" s="12"/>
    </row>
    <row r="45" spans="1:10" ht="60" customHeight="1">
      <c r="A45" s="6" t="s">
        <v>192</v>
      </c>
      <c r="B45" s="6" t="s">
        <v>26</v>
      </c>
      <c r="C45" s="6" t="s">
        <v>18</v>
      </c>
      <c r="D45" s="7" t="s">
        <v>145</v>
      </c>
      <c r="E45" s="8" t="s">
        <v>193</v>
      </c>
      <c r="F45" s="6" t="s">
        <v>194</v>
      </c>
      <c r="G45" s="9">
        <f>IF(A45=1,"_",IF(C45="_","???",C45))</f>
        <v/>
      </c>
      <c r="H45" s="10" t="s">
        <v>12</v>
      </c>
      <c r="I45" s="11" t="s">
        <v>12</v>
      </c>
      <c r="J45" s="12"/>
    </row>
    <row r="46" spans="1:10" ht="60" customHeight="1">
      <c r="A46" s="6" t="s">
        <v>195</v>
      </c>
      <c r="B46" s="6" t="s">
        <v>31</v>
      </c>
      <c r="C46" s="6" t="s">
        <v>32</v>
      </c>
      <c r="D46" s="7" t="s">
        <v>196</v>
      </c>
      <c r="E46" s="8" t="s">
        <v>197</v>
      </c>
      <c r="F46" s="6" t="s">
        <v>198</v>
      </c>
      <c r="G46" s="9">
        <f>IF(A46=1,"_",IF(C46="_","???",C46))</f>
        <v/>
      </c>
      <c r="H46" s="10" t="s">
        <v>12</v>
      </c>
      <c r="I46" s="11" t="s">
        <v>12</v>
      </c>
      <c r="J46" s="12"/>
    </row>
    <row r="47" spans="1:10" ht="60" customHeight="1">
      <c r="A47" s="6" t="s">
        <v>199</v>
      </c>
      <c r="B47" s="6" t="s">
        <v>27</v>
      </c>
      <c r="C47" s="6" t="s">
        <v>200</v>
      </c>
      <c r="D47" s="7" t="s">
        <v>201</v>
      </c>
      <c r="E47" s="8" t="s">
        <v>202</v>
      </c>
      <c r="F47" s="6" t="s">
        <v>203</v>
      </c>
      <c r="G47" s="9">
        <f>IF(A47=1,"_",IF(C47="_","???",C47))</f>
        <v/>
      </c>
      <c r="H47" s="10" t="s">
        <v>12</v>
      </c>
      <c r="I47" s="11" t="s">
        <v>12</v>
      </c>
      <c r="J47" s="12"/>
    </row>
    <row r="48" spans="1:10" ht="60" customHeight="1">
      <c r="A48" s="6" t="s">
        <v>204</v>
      </c>
      <c r="B48" s="6" t="s">
        <v>16</v>
      </c>
      <c r="C48" s="6" t="s">
        <v>12</v>
      </c>
      <c r="D48" s="7" t="s">
        <v>205</v>
      </c>
      <c r="E48" s="8" t="s">
        <v>206</v>
      </c>
      <c r="F48" s="6" t="s">
        <v>207</v>
      </c>
      <c r="G48" s="9">
        <f>IF(A48=1,"_",IF(C48="_","???",C48))</f>
        <v/>
      </c>
      <c r="H48" s="10" t="s">
        <v>12</v>
      </c>
      <c r="I48" s="11" t="s">
        <v>12</v>
      </c>
      <c r="J48" s="12"/>
    </row>
    <row r="49" spans="1:10" ht="60" customHeight="1">
      <c r="A49" s="6" t="s">
        <v>208</v>
      </c>
      <c r="B49" s="6" t="s">
        <v>11</v>
      </c>
      <c r="C49" s="6" t="s">
        <v>12</v>
      </c>
      <c r="D49" s="7" t="s">
        <v>209</v>
      </c>
      <c r="E49" s="8" t="s">
        <v>210</v>
      </c>
      <c r="F49" s="6" t="s">
        <v>211</v>
      </c>
      <c r="G49" s="9">
        <f>IF(A49=1,"_",IF(C49="_","???",C49))</f>
        <v/>
      </c>
      <c r="H49" s="10" t="s">
        <v>12</v>
      </c>
      <c r="I49" s="11" t="s">
        <v>12</v>
      </c>
      <c r="J49" s="12"/>
    </row>
    <row r="50" spans="1:10" ht="60" customHeight="1">
      <c r="A50" s="6" t="s">
        <v>212</v>
      </c>
      <c r="B50" s="6" t="s">
        <v>16</v>
      </c>
      <c r="C50" s="6" t="s">
        <v>12</v>
      </c>
      <c r="D50" s="7" t="s">
        <v>213</v>
      </c>
      <c r="E50" s="8" t="s">
        <v>214</v>
      </c>
      <c r="F50" s="6" t="s">
        <v>215</v>
      </c>
      <c r="G50" s="9">
        <f>IF(A50=1,"_",IF(C50="_","???",C50))</f>
        <v/>
      </c>
      <c r="H50" s="10" t="s">
        <v>12</v>
      </c>
      <c r="I50" s="11" t="s">
        <v>12</v>
      </c>
      <c r="J50" s="12"/>
    </row>
    <row r="51" spans="1:10" ht="60" customHeight="1">
      <c r="A51" s="6" t="s">
        <v>216</v>
      </c>
      <c r="B51" s="6" t="s">
        <v>11</v>
      </c>
      <c r="C51" s="6" t="s">
        <v>61</v>
      </c>
      <c r="D51" s="7" t="s">
        <v>217</v>
      </c>
      <c r="E51" s="8" t="s">
        <v>218</v>
      </c>
      <c r="F51" s="6" t="s">
        <v>219</v>
      </c>
      <c r="G51" s="9">
        <f>IF(A51=1,"_",IF(C51="_","???",C51))</f>
        <v/>
      </c>
      <c r="H51" s="10" t="s">
        <v>12</v>
      </c>
      <c r="I51" s="11" t="s">
        <v>12</v>
      </c>
      <c r="J51" s="12"/>
    </row>
    <row r="52" spans="1:10" ht="60" customHeight="1">
      <c r="A52" s="6" t="s">
        <v>220</v>
      </c>
      <c r="B52" s="6" t="s">
        <v>16</v>
      </c>
      <c r="C52" s="6" t="s">
        <v>12</v>
      </c>
      <c r="D52" s="7" t="s">
        <v>221</v>
      </c>
      <c r="E52" s="8" t="s">
        <v>222</v>
      </c>
      <c r="F52" s="6" t="s">
        <v>223</v>
      </c>
      <c r="G52" s="9">
        <f>IF(A52=1,"_",IF(C52="_","???",C52))</f>
        <v/>
      </c>
      <c r="H52" s="10" t="s">
        <v>12</v>
      </c>
      <c r="I52" s="11" t="s">
        <v>12</v>
      </c>
      <c r="J52" s="12"/>
    </row>
    <row r="53" spans="1:10" ht="60" customHeight="1">
      <c r="A53" s="6" t="s">
        <v>224</v>
      </c>
      <c r="B53" s="6" t="s">
        <v>31</v>
      </c>
      <c r="C53" s="6" t="s">
        <v>122</v>
      </c>
      <c r="D53" s="7" t="s">
        <v>225</v>
      </c>
      <c r="E53" s="8" t="s">
        <v>226</v>
      </c>
      <c r="F53" s="6" t="s">
        <v>227</v>
      </c>
      <c r="G53" s="9">
        <f>IF(A53=1,"_",IF(C53="_","???",C53))</f>
        <v/>
      </c>
      <c r="H53" s="10" t="s">
        <v>12</v>
      </c>
      <c r="I53" s="11" t="s">
        <v>12</v>
      </c>
      <c r="J53" s="12"/>
    </row>
    <row r="54" spans="1:10" ht="60" customHeight="1">
      <c r="A54" s="6" t="s">
        <v>228</v>
      </c>
      <c r="B54" s="6" t="s">
        <v>16</v>
      </c>
      <c r="C54" s="6" t="s">
        <v>18</v>
      </c>
      <c r="D54" s="7" t="s">
        <v>229</v>
      </c>
      <c r="E54" s="8" t="s">
        <v>230</v>
      </c>
      <c r="F54" s="6" t="s">
        <v>231</v>
      </c>
      <c r="G54" s="9">
        <f>IF(A54=1,"_",IF(C54="_","???",C54))</f>
        <v/>
      </c>
      <c r="H54" s="10" t="s">
        <v>12</v>
      </c>
      <c r="I54" s="11" t="s">
        <v>12</v>
      </c>
      <c r="J54" s="12"/>
    </row>
    <row r="55" spans="1:10" ht="60" customHeight="1">
      <c r="A55" s="6" t="s">
        <v>232</v>
      </c>
      <c r="B55" s="6" t="s">
        <v>11</v>
      </c>
      <c r="C55" s="6" t="s">
        <v>12</v>
      </c>
      <c r="D55" s="7" t="s">
        <v>233</v>
      </c>
      <c r="E55" s="8" t="s">
        <v>234</v>
      </c>
      <c r="F55" s="6" t="s">
        <v>235</v>
      </c>
      <c r="G55" s="9">
        <f>IF(A55=1,"_",IF(C55="_","???",C55))</f>
        <v/>
      </c>
      <c r="H55" s="10" t="s">
        <v>12</v>
      </c>
      <c r="I55" s="11" t="s">
        <v>12</v>
      </c>
      <c r="J55" s="12"/>
    </row>
    <row r="56" spans="1:10" ht="60" customHeight="1">
      <c r="A56" s="6" t="s">
        <v>236</v>
      </c>
      <c r="B56" s="6" t="s">
        <v>26</v>
      </c>
      <c r="C56" s="6" t="s">
        <v>117</v>
      </c>
      <c r="D56" s="7" t="s">
        <v>237</v>
      </c>
      <c r="E56" s="8" t="s">
        <v>238</v>
      </c>
      <c r="F56" s="6" t="s">
        <v>239</v>
      </c>
      <c r="G56" s="9">
        <f>IF(A56=1,"_",IF(C56="_","???",C56))</f>
        <v/>
      </c>
      <c r="H56" s="10" t="s">
        <v>12</v>
      </c>
      <c r="I56" s="11" t="s">
        <v>12</v>
      </c>
      <c r="J56" s="12"/>
    </row>
    <row r="57" spans="1:10" ht="60" customHeight="1">
      <c r="A57" s="6" t="s">
        <v>240</v>
      </c>
      <c r="B57" s="6" t="s">
        <v>26</v>
      </c>
      <c r="C57" s="6" t="s">
        <v>12</v>
      </c>
      <c r="D57" s="7" t="s">
        <v>241</v>
      </c>
      <c r="E57" s="8" t="s">
        <v>242</v>
      </c>
      <c r="F57" s="6" t="s">
        <v>243</v>
      </c>
      <c r="G57" s="9">
        <f>IF(A57=1,"_",IF(C57="_","???",C57))</f>
        <v/>
      </c>
      <c r="H57" s="10" t="s">
        <v>12</v>
      </c>
      <c r="I57" s="11" t="s">
        <v>12</v>
      </c>
      <c r="J57" s="12"/>
    </row>
    <row r="58" spans="1:10" ht="60" customHeight="1">
      <c r="A58" s="6" t="s">
        <v>244</v>
      </c>
      <c r="B58" s="6" t="s">
        <v>26</v>
      </c>
      <c r="C58" s="6" t="s">
        <v>245</v>
      </c>
      <c r="D58" s="7" t="s">
        <v>168</v>
      </c>
      <c r="E58" s="8" t="s">
        <v>246</v>
      </c>
      <c r="F58" s="6" t="s">
        <v>247</v>
      </c>
      <c r="G58" s="9">
        <f>IF(A58=1,"_",IF(C58="_","???",C58))</f>
        <v/>
      </c>
      <c r="H58" s="10" t="s">
        <v>12</v>
      </c>
      <c r="I58" s="11" t="s">
        <v>12</v>
      </c>
      <c r="J58" s="12"/>
    </row>
    <row r="59" spans="1:10" ht="60" customHeight="1">
      <c r="A59" s="6" t="s">
        <v>248</v>
      </c>
      <c r="B59" s="6" t="s">
        <v>11</v>
      </c>
      <c r="C59" s="6" t="s">
        <v>12</v>
      </c>
      <c r="D59" s="7" t="s">
        <v>168</v>
      </c>
      <c r="E59" s="8" t="s">
        <v>249</v>
      </c>
      <c r="F59" s="6" t="s">
        <v>250</v>
      </c>
      <c r="G59" s="9">
        <f>IF(A59=1,"_",IF(C59="_","???",C59))</f>
        <v/>
      </c>
      <c r="H59" s="10" t="s">
        <v>12</v>
      </c>
      <c r="I59" s="11" t="s">
        <v>12</v>
      </c>
      <c r="J59" s="12"/>
    </row>
    <row r="60" spans="1:10" ht="60" customHeight="1">
      <c r="A60" s="6" t="s">
        <v>251</v>
      </c>
      <c r="B60" s="6" t="s">
        <v>11</v>
      </c>
      <c r="C60" s="6" t="s">
        <v>12</v>
      </c>
      <c r="D60" s="7" t="s">
        <v>252</v>
      </c>
      <c r="E60" s="8" t="s">
        <v>253</v>
      </c>
      <c r="F60" s="6" t="s">
        <v>254</v>
      </c>
      <c r="G60" s="9">
        <f>IF(A60=1,"_",IF(C60="_","???",C60))</f>
        <v/>
      </c>
      <c r="H60" s="10" t="s">
        <v>12</v>
      </c>
      <c r="I60" s="11" t="s">
        <v>12</v>
      </c>
      <c r="J60" s="12"/>
    </row>
    <row r="61" spans="1:10" ht="60" customHeight="1">
      <c r="A61" s="6" t="s">
        <v>255</v>
      </c>
      <c r="B61" s="6" t="s">
        <v>104</v>
      </c>
      <c r="C61" s="6" t="s">
        <v>256</v>
      </c>
      <c r="D61" s="7" t="s">
        <v>13</v>
      </c>
      <c r="E61" s="8" t="s">
        <v>257</v>
      </c>
      <c r="F61" s="6" t="s">
        <v>258</v>
      </c>
      <c r="G61" s="9">
        <f>IF(A61=1,"_",IF(C61="_","???",C61))</f>
        <v/>
      </c>
      <c r="H61" s="10" t="s">
        <v>12</v>
      </c>
      <c r="I61" s="11" t="s">
        <v>12</v>
      </c>
      <c r="J61" s="12"/>
    </row>
    <row r="62" spans="1:10" ht="60" customHeight="1">
      <c r="A62" s="6" t="s">
        <v>259</v>
      </c>
      <c r="B62" s="6" t="s">
        <v>116</v>
      </c>
      <c r="C62" s="6" t="s">
        <v>117</v>
      </c>
      <c r="D62" s="7" t="s">
        <v>45</v>
      </c>
      <c r="E62" s="8" t="s">
        <v>260</v>
      </c>
      <c r="F62" s="6" t="s">
        <v>261</v>
      </c>
      <c r="G62" s="9">
        <f>IF(A62=1,"_",IF(C62="_","???",C62))</f>
        <v/>
      </c>
      <c r="H62" s="10" t="s">
        <v>12</v>
      </c>
      <c r="I62" s="11" t="s">
        <v>12</v>
      </c>
      <c r="J62" s="12"/>
    </row>
    <row r="63" spans="1:10" ht="60" customHeight="1">
      <c r="A63" s="6" t="s">
        <v>262</v>
      </c>
      <c r="B63" s="6" t="s">
        <v>31</v>
      </c>
      <c r="C63" s="6" t="s">
        <v>49</v>
      </c>
      <c r="D63" s="7" t="s">
        <v>263</v>
      </c>
      <c r="E63" s="8" t="s">
        <v>264</v>
      </c>
      <c r="F63" s="6" t="s">
        <v>265</v>
      </c>
      <c r="G63" s="9">
        <f>IF(A63=1,"_",IF(C63="_","???",C63))</f>
        <v/>
      </c>
      <c r="H63" s="10" t="s">
        <v>12</v>
      </c>
      <c r="I63" s="11" t="s">
        <v>12</v>
      </c>
      <c r="J63" s="12"/>
    </row>
    <row r="64" spans="1:10" ht="60" customHeight="1">
      <c r="A64" s="6" t="s">
        <v>266</v>
      </c>
      <c r="B64" s="6" t="s">
        <v>16</v>
      </c>
      <c r="C64" s="6" t="s">
        <v>40</v>
      </c>
      <c r="D64" s="7" t="s">
        <v>168</v>
      </c>
      <c r="E64" s="8" t="s">
        <v>267</v>
      </c>
      <c r="F64" s="6" t="s">
        <v>268</v>
      </c>
      <c r="G64" s="9">
        <f>IF(A64=1,"_",IF(C64="_","???",C64))</f>
        <v/>
      </c>
      <c r="H64" s="10" t="s">
        <v>12</v>
      </c>
      <c r="I64" s="11" t="s">
        <v>12</v>
      </c>
      <c r="J64" s="12"/>
    </row>
    <row r="65" spans="1:10" ht="60" customHeight="1">
      <c r="A65" s="6" t="s">
        <v>269</v>
      </c>
      <c r="B65" s="6" t="s">
        <v>11</v>
      </c>
      <c r="C65" s="6" t="s">
        <v>61</v>
      </c>
      <c r="D65" s="7" t="s">
        <v>270</v>
      </c>
      <c r="E65" s="8" t="s">
        <v>271</v>
      </c>
      <c r="F65" s="6" t="s">
        <v>272</v>
      </c>
      <c r="G65" s="9">
        <f>IF(A65=1,"_",IF(C65="_","???",C65))</f>
        <v/>
      </c>
      <c r="H65" s="10" t="s">
        <v>12</v>
      </c>
      <c r="I65" s="11" t="s">
        <v>12</v>
      </c>
      <c r="J65" s="12"/>
    </row>
    <row r="66" spans="1:10" ht="60" customHeight="1">
      <c r="A66" s="6" t="s">
        <v>273</v>
      </c>
      <c r="B66" s="6" t="s">
        <v>116</v>
      </c>
      <c r="C66" s="6" t="s">
        <v>22</v>
      </c>
      <c r="D66" s="7" t="s">
        <v>67</v>
      </c>
      <c r="E66" s="8" t="s">
        <v>274</v>
      </c>
      <c r="F66" s="6" t="s">
        <v>275</v>
      </c>
      <c r="G66" s="9">
        <f>IF(A66=1,"_",IF(C66="_","???",C66))</f>
        <v/>
      </c>
      <c r="H66" s="10" t="s">
        <v>12</v>
      </c>
      <c r="I66" s="11" t="s">
        <v>12</v>
      </c>
      <c r="J66" s="12"/>
    </row>
    <row r="67" spans="1:10" ht="60" customHeight="1">
      <c r="A67" s="6" t="s">
        <v>276</v>
      </c>
      <c r="B67" s="6" t="s">
        <v>26</v>
      </c>
      <c r="C67" s="6" t="s">
        <v>277</v>
      </c>
      <c r="D67" s="7" t="s">
        <v>278</v>
      </c>
      <c r="E67" s="8" t="s">
        <v>279</v>
      </c>
      <c r="F67" s="6" t="s">
        <v>280</v>
      </c>
      <c r="G67" s="9">
        <f>IF(A67=1,"_",IF(C67="_","???",C67))</f>
        <v/>
      </c>
      <c r="H67" s="10" t="s">
        <v>12</v>
      </c>
      <c r="I67" s="11" t="s">
        <v>12</v>
      </c>
      <c r="J67" s="12"/>
    </row>
    <row r="68" spans="1:10" ht="60" customHeight="1">
      <c r="A68" s="6" t="s">
        <v>281</v>
      </c>
      <c r="B68" s="6" t="s">
        <v>26</v>
      </c>
      <c r="C68" s="6" t="s">
        <v>97</v>
      </c>
      <c r="D68" s="7" t="s">
        <v>282</v>
      </c>
      <c r="E68" s="8" t="s">
        <v>283</v>
      </c>
      <c r="F68" s="6" t="s">
        <v>284</v>
      </c>
      <c r="G68" s="9">
        <f>IF(A68=1,"_",IF(C68="_","???",C68))</f>
        <v/>
      </c>
      <c r="H68" s="10" t="s">
        <v>12</v>
      </c>
      <c r="I68" s="11" t="s">
        <v>12</v>
      </c>
      <c r="J68" s="12"/>
    </row>
    <row r="69" spans="1:10" ht="60" customHeight="1">
      <c r="A69" s="6" t="s">
        <v>285</v>
      </c>
      <c r="B69" s="6" t="s">
        <v>16</v>
      </c>
      <c r="C69" s="6" t="s">
        <v>12</v>
      </c>
      <c r="D69" s="7" t="s">
        <v>286</v>
      </c>
      <c r="E69" s="8" t="s">
        <v>287</v>
      </c>
      <c r="F69" s="6" t="s">
        <v>288</v>
      </c>
      <c r="G69" s="9">
        <f>IF(A69=1,"_",IF(C69="_","???",C69))</f>
        <v/>
      </c>
      <c r="H69" s="10" t="s">
        <v>12</v>
      </c>
      <c r="I69" s="11" t="s">
        <v>12</v>
      </c>
      <c r="J69" s="12"/>
    </row>
    <row r="70" spans="1:10" ht="60" customHeight="1">
      <c r="A70" s="6" t="s">
        <v>289</v>
      </c>
      <c r="B70" s="6" t="s">
        <v>26</v>
      </c>
      <c r="C70" s="6" t="s">
        <v>97</v>
      </c>
      <c r="D70" s="7" t="s">
        <v>290</v>
      </c>
      <c r="E70" s="8" t="s">
        <v>291</v>
      </c>
      <c r="F70" s="6" t="s">
        <v>292</v>
      </c>
      <c r="G70" s="9">
        <f>IF(A70=1,"_",IF(C70="_","???",C70))</f>
        <v/>
      </c>
      <c r="H70" s="10" t="s">
        <v>12</v>
      </c>
      <c r="I70" s="11" t="s">
        <v>12</v>
      </c>
      <c r="J70" s="12"/>
    </row>
    <row r="71" spans="1:10" ht="60" customHeight="1">
      <c r="A71" s="6" t="s">
        <v>293</v>
      </c>
      <c r="B71" s="6" t="s">
        <v>60</v>
      </c>
      <c r="C71" s="6" t="s">
        <v>18</v>
      </c>
      <c r="D71" s="7" t="s">
        <v>294</v>
      </c>
      <c r="E71" s="8" t="s">
        <v>295</v>
      </c>
      <c r="F71" s="6" t="s">
        <v>296</v>
      </c>
      <c r="G71" s="9">
        <f>IF(A71=1,"_",IF(C71="_","???",C71))</f>
        <v/>
      </c>
      <c r="H71" s="10" t="s">
        <v>12</v>
      </c>
      <c r="I71" s="11" t="s">
        <v>12</v>
      </c>
      <c r="J71" s="12"/>
    </row>
    <row r="72" spans="1:10" ht="60" customHeight="1">
      <c r="A72" s="6" t="s">
        <v>297</v>
      </c>
      <c r="B72" s="6" t="s">
        <v>16</v>
      </c>
      <c r="C72" s="6" t="s">
        <v>12</v>
      </c>
      <c r="D72" s="7" t="s">
        <v>298</v>
      </c>
      <c r="E72" s="8" t="s">
        <v>299</v>
      </c>
      <c r="F72" s="6" t="s">
        <v>300</v>
      </c>
      <c r="G72" s="9">
        <f>IF(A72=1,"_",IF(C72="_","???",C72))</f>
        <v/>
      </c>
      <c r="H72" s="10" t="s">
        <v>12</v>
      </c>
      <c r="I72" s="11" t="s">
        <v>12</v>
      </c>
      <c r="J72" s="12"/>
    </row>
    <row r="73" spans="1:10" ht="60" customHeight="1">
      <c r="A73" s="6" t="s">
        <v>301</v>
      </c>
      <c r="B73" s="6" t="s">
        <v>74</v>
      </c>
      <c r="C73" s="6" t="s">
        <v>302</v>
      </c>
      <c r="D73" s="7" t="s">
        <v>303</v>
      </c>
      <c r="E73" s="8" t="s">
        <v>304</v>
      </c>
      <c r="F73" s="6" t="s">
        <v>305</v>
      </c>
      <c r="G73" s="9">
        <f>IF(A73=1,"_",IF(C73="_","???",C73))</f>
        <v/>
      </c>
      <c r="H73" s="10" t="s">
        <v>12</v>
      </c>
      <c r="I73" s="11" t="s">
        <v>12</v>
      </c>
      <c r="J73" s="12"/>
    </row>
    <row r="74" spans="1:10" ht="60" customHeight="1">
      <c r="A74" s="6" t="s">
        <v>306</v>
      </c>
      <c r="B74" s="6" t="s">
        <v>16</v>
      </c>
      <c r="C74" s="6" t="s">
        <v>88</v>
      </c>
      <c r="D74" s="7" t="s">
        <v>307</v>
      </c>
      <c r="E74" s="8" t="s">
        <v>308</v>
      </c>
      <c r="F74" s="6" t="s">
        <v>309</v>
      </c>
      <c r="G74" s="9">
        <f>IF(A74=1,"_",IF(C74="_","???",C74))</f>
        <v/>
      </c>
      <c r="H74" s="10" t="s">
        <v>12</v>
      </c>
      <c r="I74" s="11" t="s">
        <v>12</v>
      </c>
      <c r="J74" s="12"/>
    </row>
    <row r="75" spans="1:10" ht="60" customHeight="1">
      <c r="A75" s="6" t="s">
        <v>310</v>
      </c>
      <c r="B75" s="6" t="s">
        <v>16</v>
      </c>
      <c r="C75" s="6" t="s">
        <v>140</v>
      </c>
      <c r="D75" s="7" t="s">
        <v>19</v>
      </c>
      <c r="E75" s="8" t="s">
        <v>311</v>
      </c>
      <c r="F75" s="6" t="s">
        <v>312</v>
      </c>
      <c r="G75" s="9">
        <f>IF(A75=1,"_",IF(C75="_","???",C75))</f>
        <v/>
      </c>
      <c r="H75" s="10" t="s">
        <v>12</v>
      </c>
      <c r="I75" s="11" t="s">
        <v>12</v>
      </c>
      <c r="J75" s="12"/>
    </row>
    <row r="76" spans="1:10" ht="60" customHeight="1">
      <c r="A76" s="6" t="s">
        <v>313</v>
      </c>
      <c r="B76" s="6" t="s">
        <v>167</v>
      </c>
      <c r="C76" s="6" t="s">
        <v>22</v>
      </c>
      <c r="D76" s="7" t="s">
        <v>314</v>
      </c>
      <c r="E76" s="8" t="s">
        <v>315</v>
      </c>
      <c r="F76" s="6" t="s">
        <v>316</v>
      </c>
      <c r="G76" s="9">
        <f>IF(A76=1,"_",IF(C76="_","???",C76))</f>
        <v/>
      </c>
      <c r="H76" s="10" t="s">
        <v>12</v>
      </c>
      <c r="I76" s="11" t="s">
        <v>12</v>
      </c>
      <c r="J76" s="12"/>
    </row>
    <row r="77" spans="1:10" ht="60" customHeight="1">
      <c r="A77" s="6" t="s">
        <v>317</v>
      </c>
      <c r="B77" s="6" t="s">
        <v>16</v>
      </c>
      <c r="C77" s="6" t="s">
        <v>318</v>
      </c>
      <c r="D77" s="7" t="s">
        <v>319</v>
      </c>
      <c r="E77" s="8" t="s">
        <v>320</v>
      </c>
      <c r="F77" s="6" t="s">
        <v>321</v>
      </c>
      <c r="G77" s="9">
        <f>IF(A77=1,"_",IF(C77="_","???",C77))</f>
        <v/>
      </c>
      <c r="H77" s="10" t="s">
        <v>12</v>
      </c>
      <c r="I77" s="11" t="s">
        <v>12</v>
      </c>
      <c r="J77" s="12"/>
    </row>
    <row r="78" spans="1:10" ht="60" customHeight="1">
      <c r="A78" s="6" t="s">
        <v>322</v>
      </c>
      <c r="B78" s="6" t="s">
        <v>26</v>
      </c>
      <c r="C78" s="6" t="s">
        <v>12</v>
      </c>
      <c r="D78" s="7" t="s">
        <v>323</v>
      </c>
      <c r="E78" s="8" t="s">
        <v>324</v>
      </c>
      <c r="F78" s="6" t="s">
        <v>325</v>
      </c>
      <c r="G78" s="9">
        <f>IF(A78=1,"_",IF(C78="_","???",C78))</f>
        <v/>
      </c>
      <c r="H78" s="10" t="s">
        <v>12</v>
      </c>
      <c r="I78" s="11" t="s">
        <v>12</v>
      </c>
      <c r="J78" s="12"/>
    </row>
    <row r="79" spans="1:10" ht="60" customHeight="1">
      <c r="A79" s="6" t="s">
        <v>326</v>
      </c>
      <c r="B79" s="6" t="s">
        <v>11</v>
      </c>
      <c r="C79" s="6" t="s">
        <v>327</v>
      </c>
      <c r="D79" s="7" t="s">
        <v>328</v>
      </c>
      <c r="E79" s="8" t="s">
        <v>329</v>
      </c>
      <c r="F79" s="6" t="s">
        <v>330</v>
      </c>
      <c r="G79" s="9">
        <f>IF(A79=1,"_",IF(C79="_","???",C79))</f>
        <v/>
      </c>
      <c r="H79" s="10" t="s">
        <v>12</v>
      </c>
      <c r="I79" s="11" t="s">
        <v>12</v>
      </c>
      <c r="J79" s="12"/>
    </row>
    <row r="80" spans="1:10" ht="60" customHeight="1">
      <c r="A80" s="6" t="s">
        <v>331</v>
      </c>
      <c r="B80" s="6" t="s">
        <v>11</v>
      </c>
      <c r="C80" s="6" t="s">
        <v>18</v>
      </c>
      <c r="D80" s="7" t="s">
        <v>136</v>
      </c>
      <c r="E80" s="8" t="s">
        <v>332</v>
      </c>
      <c r="F80" s="6" t="s">
        <v>333</v>
      </c>
      <c r="G80" s="9">
        <f>IF(A80=1,"_",IF(C80="_","???",C80))</f>
        <v/>
      </c>
      <c r="H80" s="10" t="s">
        <v>12</v>
      </c>
      <c r="I80" s="11" t="s">
        <v>12</v>
      </c>
      <c r="J80" s="12"/>
    </row>
    <row r="81" spans="1:10" ht="60" customHeight="1">
      <c r="A81" s="6" t="s">
        <v>334</v>
      </c>
      <c r="B81" s="6" t="s">
        <v>48</v>
      </c>
      <c r="C81" s="6" t="s">
        <v>22</v>
      </c>
      <c r="D81" s="7" t="s">
        <v>335</v>
      </c>
      <c r="E81" s="8" t="s">
        <v>336</v>
      </c>
      <c r="F81" s="6" t="s">
        <v>337</v>
      </c>
      <c r="G81" s="9">
        <f>IF(A81=1,"_",IF(C81="_","???",C81))</f>
        <v/>
      </c>
      <c r="H81" s="10" t="s">
        <v>12</v>
      </c>
      <c r="I81" s="11" t="s">
        <v>12</v>
      </c>
      <c r="J81" s="12"/>
    </row>
    <row r="82" spans="1:10" ht="60" customHeight="1">
      <c r="A82" s="6" t="s">
        <v>338</v>
      </c>
      <c r="B82" s="6" t="s">
        <v>16</v>
      </c>
      <c r="C82" s="6" t="s">
        <v>12</v>
      </c>
      <c r="D82" s="7" t="s">
        <v>339</v>
      </c>
      <c r="E82" s="8" t="s">
        <v>340</v>
      </c>
      <c r="F82" s="6" t="s">
        <v>341</v>
      </c>
      <c r="G82" s="9">
        <f>IF(A82=1,"_",IF(C82="_","???",C82))</f>
        <v/>
      </c>
      <c r="H82" s="10" t="s">
        <v>12</v>
      </c>
      <c r="I82" s="11" t="s">
        <v>12</v>
      </c>
      <c r="J82" s="12"/>
    </row>
    <row r="83" spans="1:10" ht="60" customHeight="1">
      <c r="A83" s="6" t="s">
        <v>342</v>
      </c>
      <c r="B83" s="6" t="s">
        <v>16</v>
      </c>
      <c r="C83" s="6" t="s">
        <v>75</v>
      </c>
      <c r="D83" s="7" t="s">
        <v>343</v>
      </c>
      <c r="E83" s="8" t="s">
        <v>344</v>
      </c>
      <c r="F83" s="6" t="s">
        <v>345</v>
      </c>
      <c r="G83" s="9">
        <f>IF(A83=1,"_",IF(C83="_","???",C83))</f>
        <v/>
      </c>
      <c r="H83" s="10" t="s">
        <v>12</v>
      </c>
      <c r="I83" s="11" t="s">
        <v>12</v>
      </c>
      <c r="J83" s="12"/>
    </row>
    <row r="84" spans="1:10" ht="60" customHeight="1">
      <c r="A84" s="6" t="s">
        <v>346</v>
      </c>
      <c r="B84" s="6" t="s">
        <v>26</v>
      </c>
      <c r="C84" s="6" t="s">
        <v>75</v>
      </c>
      <c r="D84" s="7" t="s">
        <v>347</v>
      </c>
      <c r="E84" s="8" t="s">
        <v>348</v>
      </c>
      <c r="F84" s="6" t="s">
        <v>349</v>
      </c>
      <c r="G84" s="9">
        <f>IF(A84=1,"_",IF(C84="_","???",C84))</f>
        <v/>
      </c>
      <c r="H84" s="10" t="s">
        <v>12</v>
      </c>
      <c r="I84" s="11" t="s">
        <v>12</v>
      </c>
      <c r="J84" s="12"/>
    </row>
    <row r="85" spans="1:10" ht="60" customHeight="1">
      <c r="A85" s="6" t="s">
        <v>350</v>
      </c>
      <c r="B85" s="6" t="s">
        <v>11</v>
      </c>
      <c r="C85" s="6" t="s">
        <v>12</v>
      </c>
      <c r="D85" s="7" t="s">
        <v>351</v>
      </c>
      <c r="E85" s="8" t="s">
        <v>352</v>
      </c>
      <c r="F85" s="6" t="s">
        <v>353</v>
      </c>
      <c r="G85" s="9">
        <f>IF(A85=1,"_",IF(C85="_","???",C85))</f>
        <v/>
      </c>
      <c r="H85" s="10" t="s">
        <v>12</v>
      </c>
      <c r="I85" s="11" t="s">
        <v>12</v>
      </c>
      <c r="J85" s="12"/>
    </row>
    <row r="86" spans="1:10" ht="60" customHeight="1">
      <c r="A86" s="6" t="s">
        <v>354</v>
      </c>
      <c r="B86" s="6" t="s">
        <v>44</v>
      </c>
      <c r="C86" s="6" t="s">
        <v>18</v>
      </c>
      <c r="D86" s="7" t="s">
        <v>355</v>
      </c>
      <c r="E86" s="8" t="s">
        <v>356</v>
      </c>
      <c r="F86" s="6" t="s">
        <v>357</v>
      </c>
      <c r="G86" s="9">
        <f>IF(A86=1,"_",IF(C86="_","???",C86))</f>
        <v/>
      </c>
      <c r="H86" s="10" t="s">
        <v>12</v>
      </c>
      <c r="I86" s="11" t="s">
        <v>12</v>
      </c>
      <c r="J86" s="12"/>
    </row>
    <row r="87" spans="1:10" ht="60" customHeight="1">
      <c r="A87" s="6" t="s">
        <v>358</v>
      </c>
      <c r="B87" s="6" t="s">
        <v>11</v>
      </c>
      <c r="C87" s="6" t="s">
        <v>12</v>
      </c>
      <c r="D87" s="7" t="s">
        <v>183</v>
      </c>
      <c r="E87" s="8" t="s">
        <v>359</v>
      </c>
      <c r="F87" s="6" t="s">
        <v>360</v>
      </c>
      <c r="G87" s="9">
        <f>IF(A87=1,"_",IF(C87="_","???",C87))</f>
        <v/>
      </c>
      <c r="H87" s="10" t="s">
        <v>12</v>
      </c>
      <c r="I87" s="11" t="s">
        <v>12</v>
      </c>
      <c r="J87" s="12"/>
    </row>
    <row r="88" spans="1:10" ht="60" customHeight="1">
      <c r="A88" s="6" t="s">
        <v>361</v>
      </c>
      <c r="B88" s="6" t="s">
        <v>31</v>
      </c>
      <c r="C88" s="6" t="s">
        <v>18</v>
      </c>
      <c r="D88" s="7" t="s">
        <v>183</v>
      </c>
      <c r="E88" s="8" t="s">
        <v>362</v>
      </c>
      <c r="F88" s="6" t="s">
        <v>363</v>
      </c>
      <c r="G88" s="9">
        <f>IF(A88=1,"_",IF(C88="_","???",C88))</f>
        <v/>
      </c>
      <c r="H88" s="10" t="s">
        <v>12</v>
      </c>
      <c r="I88" s="11" t="s">
        <v>12</v>
      </c>
      <c r="J88" s="12"/>
    </row>
    <row r="89" spans="1:10" ht="60" customHeight="1">
      <c r="A89" s="6" t="s">
        <v>364</v>
      </c>
      <c r="B89" s="6" t="s">
        <v>31</v>
      </c>
      <c r="C89" s="6" t="s">
        <v>40</v>
      </c>
      <c r="D89" s="7" t="s">
        <v>365</v>
      </c>
      <c r="E89" s="8" t="s">
        <v>366</v>
      </c>
      <c r="F89" s="6" t="s">
        <v>367</v>
      </c>
      <c r="G89" s="9">
        <f>IF(A89=1,"_",IF(C89="_","???",C89))</f>
        <v/>
      </c>
      <c r="H89" s="10" t="s">
        <v>12</v>
      </c>
      <c r="I89" s="11" t="s">
        <v>12</v>
      </c>
      <c r="J89" s="12"/>
    </row>
    <row r="90" spans="1:10" ht="60" customHeight="1">
      <c r="A90" s="6" t="s">
        <v>368</v>
      </c>
      <c r="B90" s="6" t="s">
        <v>26</v>
      </c>
      <c r="C90" s="6" t="s">
        <v>200</v>
      </c>
      <c r="D90" s="7" t="s">
        <v>183</v>
      </c>
      <c r="E90" s="8" t="s">
        <v>369</v>
      </c>
      <c r="F90" s="6" t="s">
        <v>370</v>
      </c>
      <c r="G90" s="9">
        <f>IF(A90=1,"_",IF(C90="_","???",C90))</f>
        <v/>
      </c>
      <c r="H90" s="10" t="s">
        <v>12</v>
      </c>
      <c r="I90" s="11" t="s">
        <v>12</v>
      </c>
      <c r="J90" s="12"/>
    </row>
    <row r="91" spans="1:10" ht="60" customHeight="1">
      <c r="A91" s="6" t="s">
        <v>371</v>
      </c>
      <c r="B91" s="6" t="s">
        <v>26</v>
      </c>
      <c r="C91" s="6" t="s">
        <v>88</v>
      </c>
      <c r="D91" s="7" t="s">
        <v>183</v>
      </c>
      <c r="E91" s="8" t="s">
        <v>372</v>
      </c>
      <c r="F91" s="6" t="s">
        <v>373</v>
      </c>
      <c r="G91" s="9">
        <f>IF(A91=1,"_",IF(C91="_","???",C91))</f>
        <v/>
      </c>
      <c r="H91" s="10" t="s">
        <v>12</v>
      </c>
      <c r="I91" s="11" t="s">
        <v>12</v>
      </c>
      <c r="J91" s="12"/>
    </row>
    <row r="92" spans="1:10" ht="60" customHeight="1">
      <c r="A92" s="6" t="s">
        <v>374</v>
      </c>
      <c r="B92" s="6" t="s">
        <v>11</v>
      </c>
      <c r="C92" s="6" t="s">
        <v>12</v>
      </c>
      <c r="D92" s="7" t="s">
        <v>375</v>
      </c>
      <c r="E92" s="8" t="s">
        <v>376</v>
      </c>
      <c r="F92" s="6" t="s">
        <v>377</v>
      </c>
      <c r="G92" s="9">
        <f>IF(A92=1,"_",IF(C92="_","???",C92))</f>
        <v/>
      </c>
      <c r="H92" s="10" t="s">
        <v>12</v>
      </c>
      <c r="I92" s="11" t="s">
        <v>12</v>
      </c>
      <c r="J92" s="12"/>
    </row>
    <row r="93" spans="1:10" ht="60" customHeight="1">
      <c r="A93" s="6" t="s">
        <v>378</v>
      </c>
      <c r="B93" s="6" t="s">
        <v>16</v>
      </c>
      <c r="C93" s="6" t="s">
        <v>49</v>
      </c>
      <c r="D93" s="7" t="s">
        <v>172</v>
      </c>
      <c r="E93" s="8" t="s">
        <v>379</v>
      </c>
      <c r="F93" s="6" t="s">
        <v>380</v>
      </c>
      <c r="G93" s="9">
        <f>IF(A93=1,"_",IF(C93="_","???",C93))</f>
        <v/>
      </c>
      <c r="H93" s="10" t="s">
        <v>12</v>
      </c>
      <c r="I93" s="11" t="s">
        <v>12</v>
      </c>
      <c r="J93" s="12"/>
    </row>
    <row r="94" spans="1:10" ht="60" customHeight="1">
      <c r="A94" s="6" t="s">
        <v>381</v>
      </c>
      <c r="B94" s="6" t="s">
        <v>70</v>
      </c>
      <c r="C94" s="6" t="s">
        <v>75</v>
      </c>
      <c r="D94" s="7" t="s">
        <v>382</v>
      </c>
      <c r="E94" s="8" t="s">
        <v>383</v>
      </c>
      <c r="F94" s="6" t="s">
        <v>384</v>
      </c>
      <c r="G94" s="9">
        <f>IF(A94=1,"_",IF(C94="_","???",C94))</f>
        <v/>
      </c>
      <c r="H94" s="10" t="s">
        <v>12</v>
      </c>
      <c r="I94" s="11" t="s">
        <v>12</v>
      </c>
      <c r="J94" s="12"/>
    </row>
    <row r="95" spans="1:10" ht="60" customHeight="1">
      <c r="A95" s="6" t="s">
        <v>385</v>
      </c>
      <c r="B95" s="6" t="s">
        <v>11</v>
      </c>
      <c r="C95" s="6" t="s">
        <v>12</v>
      </c>
      <c r="D95" s="7" t="s">
        <v>168</v>
      </c>
      <c r="E95" s="8" t="s">
        <v>386</v>
      </c>
      <c r="F95" s="6" t="s">
        <v>387</v>
      </c>
      <c r="G95" s="9">
        <f>IF(A95=1,"_",IF(C95="_","???",C95))</f>
        <v/>
      </c>
      <c r="H95" s="10" t="s">
        <v>12</v>
      </c>
      <c r="I95" s="11" t="s">
        <v>12</v>
      </c>
      <c r="J95" s="12"/>
    </row>
    <row r="96" spans="1:10" ht="60" customHeight="1">
      <c r="A96" s="6" t="s">
        <v>388</v>
      </c>
      <c r="B96" s="6" t="s">
        <v>26</v>
      </c>
      <c r="C96" s="6" t="s">
        <v>97</v>
      </c>
      <c r="D96" s="7" t="s">
        <v>389</v>
      </c>
      <c r="E96" s="8" t="s">
        <v>390</v>
      </c>
      <c r="F96" s="6" t="s">
        <v>391</v>
      </c>
      <c r="G96" s="9">
        <f>IF(A96=1,"_",IF(C96="_","???",C96))</f>
        <v/>
      </c>
      <c r="H96" s="10" t="s">
        <v>12</v>
      </c>
      <c r="I96" s="11" t="s">
        <v>12</v>
      </c>
      <c r="J96" s="12"/>
    </row>
    <row r="97" spans="1:10" ht="60" customHeight="1">
      <c r="A97" s="6" t="s">
        <v>392</v>
      </c>
      <c r="B97" s="6" t="s">
        <v>17</v>
      </c>
      <c r="C97" s="6" t="s">
        <v>12</v>
      </c>
      <c r="D97" s="7" t="s">
        <v>393</v>
      </c>
      <c r="E97" s="8" t="s">
        <v>394</v>
      </c>
      <c r="F97" s="6" t="s">
        <v>395</v>
      </c>
      <c r="G97" s="9">
        <f>IF(A97=1,"_",IF(C97="_","???",C97))</f>
        <v/>
      </c>
      <c r="H97" s="10" t="s">
        <v>12</v>
      </c>
      <c r="I97" s="11" t="s">
        <v>12</v>
      </c>
      <c r="J97" s="12"/>
    </row>
    <row r="98" spans="1:10" ht="60" customHeight="1">
      <c r="A98" s="6" t="s">
        <v>396</v>
      </c>
      <c r="B98" s="6" t="s">
        <v>36</v>
      </c>
      <c r="C98" s="6" t="s">
        <v>18</v>
      </c>
      <c r="D98" s="7" t="s">
        <v>397</v>
      </c>
      <c r="E98" s="8" t="s">
        <v>398</v>
      </c>
      <c r="F98" s="6" t="s">
        <v>399</v>
      </c>
      <c r="G98" s="9">
        <f>IF(A98=1,"_",IF(C98="_","???",C98))</f>
        <v/>
      </c>
      <c r="H98" s="10" t="s">
        <v>12</v>
      </c>
      <c r="I98" s="11" t="s">
        <v>12</v>
      </c>
      <c r="J98" s="12"/>
    </row>
    <row r="99" spans="1:10" ht="60" customHeight="1">
      <c r="A99" s="6" t="s">
        <v>400</v>
      </c>
      <c r="B99" s="6" t="s">
        <v>16</v>
      </c>
      <c r="C99" s="6" t="s">
        <v>401</v>
      </c>
      <c r="D99" s="7" t="s">
        <v>402</v>
      </c>
      <c r="E99" s="8" t="s">
        <v>403</v>
      </c>
      <c r="F99" s="6" t="s">
        <v>404</v>
      </c>
      <c r="G99" s="9">
        <f>IF(A99=1,"_",IF(C99="_","???",C99))</f>
        <v/>
      </c>
      <c r="H99" s="10" t="s">
        <v>12</v>
      </c>
      <c r="I99" s="11" t="s">
        <v>12</v>
      </c>
      <c r="J99" s="12"/>
    </row>
    <row r="100" spans="1:10" ht="60" customHeight="1">
      <c r="A100" s="6" t="s">
        <v>405</v>
      </c>
      <c r="B100" s="6" t="s">
        <v>26</v>
      </c>
      <c r="C100" s="6" t="s">
        <v>406</v>
      </c>
      <c r="D100" s="7" t="s">
        <v>407</v>
      </c>
      <c r="E100" s="8" t="s">
        <v>408</v>
      </c>
      <c r="F100" s="6" t="s">
        <v>409</v>
      </c>
      <c r="G100" s="9">
        <f>IF(A100=1,"_",IF(C100="_","???",C100))</f>
        <v/>
      </c>
      <c r="H100" s="10" t="s">
        <v>12</v>
      </c>
      <c r="I100" s="11" t="s">
        <v>12</v>
      </c>
      <c r="J100" s="12"/>
    </row>
    <row r="101" spans="1:10" ht="60" customHeight="1">
      <c r="A101" s="6" t="s">
        <v>410</v>
      </c>
      <c r="B101" s="6" t="s">
        <v>48</v>
      </c>
      <c r="C101" s="6" t="s">
        <v>18</v>
      </c>
      <c r="D101" s="7" t="s">
        <v>19</v>
      </c>
      <c r="E101" s="8" t="s">
        <v>411</v>
      </c>
      <c r="F101" s="6" t="s">
        <v>412</v>
      </c>
      <c r="G101" s="9">
        <f>IF(A101=1,"_",IF(C101="_","???",C101))</f>
        <v/>
      </c>
      <c r="H101" s="10" t="s">
        <v>12</v>
      </c>
      <c r="I101" s="11" t="s">
        <v>12</v>
      </c>
      <c r="J101" s="12"/>
    </row>
    <row r="102" spans="1:10" ht="60" customHeight="1">
      <c r="A102" s="6" t="s">
        <v>413</v>
      </c>
      <c r="B102" s="6" t="s">
        <v>31</v>
      </c>
      <c r="C102" s="6" t="s">
        <v>256</v>
      </c>
      <c r="D102" s="7" t="s">
        <v>414</v>
      </c>
      <c r="E102" s="8" t="s">
        <v>415</v>
      </c>
      <c r="F102" s="6" t="s">
        <v>416</v>
      </c>
      <c r="G102" s="9">
        <f>IF(A102=1,"_",IF(C102="_","???",C102))</f>
        <v/>
      </c>
      <c r="H102" s="10" t="s">
        <v>12</v>
      </c>
      <c r="I102" s="11" t="s">
        <v>12</v>
      </c>
      <c r="J102" s="12"/>
    </row>
    <row r="103" spans="1:10" ht="60" customHeight="1">
      <c r="A103" s="6" t="s">
        <v>417</v>
      </c>
      <c r="B103" s="6" t="s">
        <v>48</v>
      </c>
      <c r="C103" s="6" t="s">
        <v>32</v>
      </c>
      <c r="D103" s="7" t="s">
        <v>418</v>
      </c>
      <c r="E103" s="8" t="s">
        <v>419</v>
      </c>
      <c r="F103" s="6" t="s">
        <v>420</v>
      </c>
      <c r="G103" s="9">
        <f>IF(A103=1,"_",IF(C103="_","???",C103))</f>
        <v/>
      </c>
      <c r="H103" s="10" t="s">
        <v>12</v>
      </c>
      <c r="I103" s="11" t="s">
        <v>12</v>
      </c>
      <c r="J103" s="12"/>
    </row>
    <row r="104" spans="1:10" ht="60" customHeight="1">
      <c r="A104" s="6" t="s">
        <v>421</v>
      </c>
      <c r="B104" s="6" t="s">
        <v>31</v>
      </c>
      <c r="C104" s="6" t="s">
        <v>422</v>
      </c>
      <c r="D104" s="7" t="s">
        <v>423</v>
      </c>
      <c r="E104" s="8" t="s">
        <v>424</v>
      </c>
      <c r="F104" s="6" t="s">
        <v>425</v>
      </c>
      <c r="G104" s="9">
        <f>IF(A104=1,"_",IF(C104="_","???",C104))</f>
        <v/>
      </c>
      <c r="H104" s="10" t="s">
        <v>12</v>
      </c>
      <c r="I104" s="11" t="s">
        <v>12</v>
      </c>
      <c r="J104" s="12"/>
    </row>
    <row r="105" spans="1:10" ht="60" customHeight="1">
      <c r="A105" s="6" t="s">
        <v>426</v>
      </c>
      <c r="B105" s="6" t="s">
        <v>31</v>
      </c>
      <c r="C105" s="6" t="s">
        <v>18</v>
      </c>
      <c r="D105" s="7" t="s">
        <v>427</v>
      </c>
      <c r="E105" s="8" t="s">
        <v>428</v>
      </c>
      <c r="F105" s="6" t="s">
        <v>429</v>
      </c>
      <c r="G105" s="9">
        <f>IF(A105=1,"_",IF(C105="_","???",C105))</f>
        <v/>
      </c>
      <c r="H105" s="10" t="s">
        <v>12</v>
      </c>
      <c r="I105" s="11" t="s">
        <v>12</v>
      </c>
      <c r="J105" s="12"/>
    </row>
    <row r="106" spans="1:10" ht="60" customHeight="1">
      <c r="A106" s="6" t="s">
        <v>430</v>
      </c>
      <c r="B106" s="6" t="s">
        <v>70</v>
      </c>
      <c r="C106" s="6" t="s">
        <v>18</v>
      </c>
      <c r="D106" s="7" t="s">
        <v>431</v>
      </c>
      <c r="E106" s="8" t="s">
        <v>432</v>
      </c>
      <c r="F106" s="6" t="s">
        <v>433</v>
      </c>
      <c r="G106" s="9">
        <f>IF(A106=1,"_",IF(C106="_","???",C106))</f>
        <v/>
      </c>
      <c r="H106" s="10" t="s">
        <v>12</v>
      </c>
      <c r="I106" s="11" t="s">
        <v>12</v>
      </c>
      <c r="J106" s="12"/>
    </row>
    <row r="107" spans="1:10" ht="60" customHeight="1">
      <c r="A107" s="6" t="s">
        <v>434</v>
      </c>
      <c r="B107" s="6" t="s">
        <v>11</v>
      </c>
      <c r="C107" s="6" t="s">
        <v>12</v>
      </c>
      <c r="D107" s="7" t="s">
        <v>435</v>
      </c>
      <c r="E107" s="8" t="s">
        <v>436</v>
      </c>
      <c r="F107" s="6" t="s">
        <v>437</v>
      </c>
      <c r="G107" s="9">
        <f>IF(A107=1,"_",IF(C107="_","???",C107))</f>
        <v/>
      </c>
      <c r="H107" s="10" t="s">
        <v>12</v>
      </c>
      <c r="I107" s="11" t="s">
        <v>12</v>
      </c>
      <c r="J107" s="12"/>
    </row>
    <row r="108" spans="1:10" ht="60" customHeight="1">
      <c r="A108" s="6" t="s">
        <v>438</v>
      </c>
      <c r="B108" s="6" t="s">
        <v>26</v>
      </c>
      <c r="C108" s="6" t="s">
        <v>18</v>
      </c>
      <c r="D108" s="7" t="s">
        <v>183</v>
      </c>
      <c r="E108" s="8" t="s">
        <v>439</v>
      </c>
      <c r="F108" s="6" t="s">
        <v>440</v>
      </c>
      <c r="G108" s="9">
        <f>IF(A108=1,"_",IF(C108="_","???",C108))</f>
        <v/>
      </c>
      <c r="H108" s="10" t="s">
        <v>12</v>
      </c>
      <c r="I108" s="11" t="s">
        <v>12</v>
      </c>
      <c r="J108" s="12"/>
    </row>
    <row r="109" spans="1:10" ht="60" customHeight="1">
      <c r="A109" s="6" t="s">
        <v>441</v>
      </c>
      <c r="B109" s="6" t="s">
        <v>27</v>
      </c>
      <c r="C109" s="6" t="s">
        <v>200</v>
      </c>
      <c r="D109" s="7" t="s">
        <v>442</v>
      </c>
      <c r="E109" s="8" t="s">
        <v>443</v>
      </c>
      <c r="F109" s="6" t="s">
        <v>444</v>
      </c>
      <c r="G109" s="9">
        <f>IF(A109=1,"_",IF(C109="_","???",C109))</f>
        <v/>
      </c>
      <c r="H109" s="10" t="s">
        <v>12</v>
      </c>
      <c r="I109" s="11" t="s">
        <v>12</v>
      </c>
      <c r="J109" s="12"/>
    </row>
    <row r="110" spans="1:10" ht="60" customHeight="1">
      <c r="A110" s="6" t="s">
        <v>445</v>
      </c>
      <c r="B110" s="6" t="s">
        <v>11</v>
      </c>
      <c r="C110" s="6" t="s">
        <v>12</v>
      </c>
      <c r="D110" s="7" t="s">
        <v>446</v>
      </c>
      <c r="E110" s="8" t="s">
        <v>447</v>
      </c>
      <c r="F110" s="6" t="s">
        <v>448</v>
      </c>
      <c r="G110" s="9">
        <f>IF(A110=1,"_",IF(C110="_","???",C110))</f>
        <v/>
      </c>
      <c r="H110" s="10" t="s">
        <v>12</v>
      </c>
      <c r="I110" s="11" t="s">
        <v>12</v>
      </c>
      <c r="J110" s="12"/>
    </row>
    <row r="111" spans="1:10" ht="60" customHeight="1">
      <c r="A111" s="6" t="s">
        <v>449</v>
      </c>
      <c r="B111" s="6" t="s">
        <v>16</v>
      </c>
      <c r="C111" s="6" t="s">
        <v>18</v>
      </c>
      <c r="D111" s="7" t="s">
        <v>450</v>
      </c>
      <c r="E111" s="8" t="s">
        <v>451</v>
      </c>
      <c r="F111" s="6" t="s">
        <v>452</v>
      </c>
      <c r="G111" s="9">
        <f>IF(A111=1,"_",IF(C111="_","???",C111))</f>
        <v/>
      </c>
      <c r="H111" s="10" t="s">
        <v>12</v>
      </c>
      <c r="I111" s="11" t="s">
        <v>12</v>
      </c>
      <c r="J111" s="12"/>
    </row>
    <row r="112" spans="1:10" ht="60" customHeight="1">
      <c r="A112" s="6" t="s">
        <v>453</v>
      </c>
      <c r="B112" s="6" t="s">
        <v>31</v>
      </c>
      <c r="C112" s="6" t="s">
        <v>32</v>
      </c>
      <c r="D112" s="7" t="s">
        <v>157</v>
      </c>
      <c r="E112" s="8" t="s">
        <v>454</v>
      </c>
      <c r="F112" s="6" t="s">
        <v>455</v>
      </c>
      <c r="G112" s="9">
        <f>IF(A112=1,"_",IF(C112="_","???",C112))</f>
        <v/>
      </c>
      <c r="H112" s="10" t="s">
        <v>12</v>
      </c>
      <c r="I112" s="11" t="s">
        <v>12</v>
      </c>
      <c r="J112" s="12"/>
    </row>
    <row r="113" spans="1:10" ht="60" customHeight="1">
      <c r="A113" s="6" t="s">
        <v>456</v>
      </c>
      <c r="B113" s="6" t="s">
        <v>11</v>
      </c>
      <c r="C113" s="6" t="s">
        <v>12</v>
      </c>
      <c r="D113" s="7" t="s">
        <v>457</v>
      </c>
      <c r="E113" s="8" t="s">
        <v>458</v>
      </c>
      <c r="F113" s="6" t="s">
        <v>459</v>
      </c>
      <c r="G113" s="9">
        <f>IF(A113=1,"_",IF(C113="_","???",C113))</f>
        <v/>
      </c>
      <c r="H113" s="10" t="s">
        <v>12</v>
      </c>
      <c r="I113" s="11" t="s">
        <v>12</v>
      </c>
      <c r="J113" s="12"/>
    </row>
    <row r="114" spans="1:10" ht="60" customHeight="1">
      <c r="A114" s="6" t="s">
        <v>460</v>
      </c>
      <c r="B114" s="6" t="s">
        <v>27</v>
      </c>
      <c r="C114" s="6" t="s">
        <v>32</v>
      </c>
      <c r="D114" s="7" t="s">
        <v>461</v>
      </c>
      <c r="E114" s="8" t="s">
        <v>462</v>
      </c>
      <c r="F114" s="6" t="s">
        <v>463</v>
      </c>
      <c r="G114" s="9">
        <f>IF(A114=1,"_",IF(C114="_","???",C114))</f>
        <v/>
      </c>
      <c r="H114" s="10" t="s">
        <v>12</v>
      </c>
      <c r="I114" s="11" t="s">
        <v>12</v>
      </c>
      <c r="J114" s="12"/>
    </row>
    <row r="115" spans="1:10" ht="60" customHeight="1">
      <c r="A115" s="6" t="s">
        <v>464</v>
      </c>
      <c r="B115" s="6" t="s">
        <v>126</v>
      </c>
      <c r="C115" s="6" t="s">
        <v>256</v>
      </c>
      <c r="D115" s="7" t="s">
        <v>465</v>
      </c>
      <c r="E115" s="8" t="s">
        <v>466</v>
      </c>
      <c r="F115" s="6" t="s">
        <v>467</v>
      </c>
      <c r="G115" s="9">
        <f>IF(A115=1,"_",IF(C115="_","???",C115))</f>
        <v/>
      </c>
      <c r="H115" s="10" t="s">
        <v>12</v>
      </c>
      <c r="I115" s="11" t="s">
        <v>12</v>
      </c>
      <c r="J115" s="12"/>
    </row>
    <row r="116" spans="1:10" ht="60" customHeight="1">
      <c r="A116" s="6" t="s">
        <v>468</v>
      </c>
      <c r="B116" s="6" t="s">
        <v>65</v>
      </c>
      <c r="C116" s="6" t="s">
        <v>469</v>
      </c>
      <c r="D116" s="7" t="s">
        <v>470</v>
      </c>
      <c r="E116" s="8" t="s">
        <v>471</v>
      </c>
      <c r="F116" s="6" t="s">
        <v>472</v>
      </c>
      <c r="G116" s="9">
        <f>IF(A116=1,"_",IF(C116="_","???",C116))</f>
        <v/>
      </c>
      <c r="H116" s="10" t="s">
        <v>12</v>
      </c>
      <c r="I116" s="11" t="s">
        <v>12</v>
      </c>
      <c r="J116" s="12"/>
    </row>
    <row r="117" spans="1:10" ht="60" customHeight="1">
      <c r="A117" s="6" t="s">
        <v>473</v>
      </c>
      <c r="B117" s="6" t="s">
        <v>26</v>
      </c>
      <c r="C117" s="6" t="s">
        <v>97</v>
      </c>
      <c r="D117" s="7" t="s">
        <v>351</v>
      </c>
      <c r="E117" s="8" t="s">
        <v>474</v>
      </c>
      <c r="F117" s="6" t="s">
        <v>475</v>
      </c>
      <c r="G117" s="9">
        <f>IF(A117=1,"_",IF(C117="_","???",C117))</f>
        <v/>
      </c>
      <c r="H117" s="10" t="s">
        <v>12</v>
      </c>
      <c r="I117" s="11" t="s">
        <v>12</v>
      </c>
      <c r="J117" s="12"/>
    </row>
    <row r="118" spans="1:10" ht="60" customHeight="1">
      <c r="A118" s="6" t="s">
        <v>476</v>
      </c>
      <c r="B118" s="6" t="s">
        <v>11</v>
      </c>
      <c r="C118" s="6" t="s">
        <v>18</v>
      </c>
      <c r="D118" s="7" t="s">
        <v>477</v>
      </c>
      <c r="E118" s="8" t="s">
        <v>478</v>
      </c>
      <c r="F118" s="6" t="s">
        <v>479</v>
      </c>
      <c r="G118" s="9">
        <f>IF(A118=1,"_",IF(C118="_","???",C118))</f>
        <v/>
      </c>
      <c r="H118" s="10" t="s">
        <v>12</v>
      </c>
      <c r="I118" s="11" t="s">
        <v>12</v>
      </c>
      <c r="J118" s="12"/>
    </row>
    <row r="119" spans="1:10" ht="60" customHeight="1">
      <c r="A119" s="6" t="s">
        <v>480</v>
      </c>
      <c r="B119" s="6" t="s">
        <v>36</v>
      </c>
      <c r="C119" s="6" t="s">
        <v>49</v>
      </c>
      <c r="D119" s="7" t="s">
        <v>481</v>
      </c>
      <c r="E119" s="8" t="s">
        <v>482</v>
      </c>
      <c r="F119" s="6" t="s">
        <v>483</v>
      </c>
      <c r="G119" s="9">
        <f>IF(A119=1,"_",IF(C119="_","???",C119))</f>
        <v/>
      </c>
      <c r="H119" s="10" t="s">
        <v>12</v>
      </c>
      <c r="I119" s="11" t="s">
        <v>12</v>
      </c>
      <c r="J119" s="12"/>
    </row>
    <row r="120" spans="1:10" ht="60" customHeight="1">
      <c r="A120" s="6" t="s">
        <v>484</v>
      </c>
      <c r="B120" s="6" t="s">
        <v>60</v>
      </c>
      <c r="C120" s="6" t="s">
        <v>12</v>
      </c>
      <c r="D120" s="7" t="s">
        <v>485</v>
      </c>
      <c r="E120" s="8" t="s">
        <v>486</v>
      </c>
      <c r="F120" s="6" t="s">
        <v>487</v>
      </c>
      <c r="G120" s="9">
        <f>IF(A120=1,"_",IF(C120="_","???",C120))</f>
        <v/>
      </c>
      <c r="H120" s="10" t="s">
        <v>12</v>
      </c>
      <c r="I120" s="11" t="s">
        <v>12</v>
      </c>
      <c r="J120" s="12"/>
    </row>
    <row r="121" spans="1:10" ht="60" customHeight="1">
      <c r="A121" s="6" t="s">
        <v>488</v>
      </c>
      <c r="B121" s="6" t="s">
        <v>31</v>
      </c>
      <c r="C121" s="6" t="s">
        <v>49</v>
      </c>
      <c r="D121" s="7" t="s">
        <v>489</v>
      </c>
      <c r="E121" s="8" t="s">
        <v>490</v>
      </c>
      <c r="F121" s="6" t="s">
        <v>491</v>
      </c>
      <c r="G121" s="9">
        <f>IF(A121=1,"_",IF(C121="_","???",C121))</f>
        <v/>
      </c>
      <c r="H121" s="10" t="s">
        <v>12</v>
      </c>
      <c r="I121" s="11" t="s">
        <v>12</v>
      </c>
      <c r="J121" s="12"/>
    </row>
    <row r="122" spans="1:10" ht="60" customHeight="1">
      <c r="A122" s="6" t="s">
        <v>492</v>
      </c>
      <c r="B122" s="6" t="s">
        <v>31</v>
      </c>
      <c r="C122" s="6" t="s">
        <v>18</v>
      </c>
      <c r="D122" s="7" t="s">
        <v>493</v>
      </c>
      <c r="E122" s="8" t="s">
        <v>494</v>
      </c>
      <c r="F122" s="6" t="s">
        <v>495</v>
      </c>
      <c r="G122" s="9">
        <f>IF(A122=1,"_",IF(C122="_","???",C122))</f>
        <v/>
      </c>
      <c r="H122" s="10" t="s">
        <v>12</v>
      </c>
      <c r="I122" s="11" t="s">
        <v>12</v>
      </c>
      <c r="J122" s="12"/>
    </row>
    <row r="123" spans="1:10" ht="60" customHeight="1">
      <c r="A123" s="6" t="s">
        <v>496</v>
      </c>
      <c r="B123" s="6" t="s">
        <v>26</v>
      </c>
      <c r="C123" s="6" t="s">
        <v>12</v>
      </c>
      <c r="D123" s="7" t="s">
        <v>497</v>
      </c>
      <c r="E123" s="8" t="s">
        <v>498</v>
      </c>
      <c r="F123" s="6" t="s">
        <v>499</v>
      </c>
      <c r="G123" s="9">
        <f>IF(A123=1,"_",IF(C123="_","???",C123))</f>
        <v/>
      </c>
      <c r="H123" s="10" t="s">
        <v>12</v>
      </c>
      <c r="I123" s="11" t="s">
        <v>12</v>
      </c>
      <c r="J123" s="12"/>
    </row>
    <row r="124" spans="1:10" ht="60" customHeight="1">
      <c r="A124" s="6" t="s">
        <v>500</v>
      </c>
      <c r="B124" s="6" t="s">
        <v>92</v>
      </c>
      <c r="C124" s="6" t="s">
        <v>501</v>
      </c>
      <c r="D124" s="7" t="s">
        <v>461</v>
      </c>
      <c r="E124" s="8" t="s">
        <v>502</v>
      </c>
      <c r="F124" s="6" t="s">
        <v>503</v>
      </c>
      <c r="G124" s="9">
        <f>IF(A124=1,"_",IF(C124="_","???",C124))</f>
        <v/>
      </c>
      <c r="H124" s="10" t="s">
        <v>12</v>
      </c>
      <c r="I124" s="11" t="s">
        <v>12</v>
      </c>
      <c r="J124" s="12"/>
    </row>
    <row r="125" spans="1:10" ht="60" customHeight="1">
      <c r="A125" s="6" t="s">
        <v>504</v>
      </c>
      <c r="B125" s="6" t="s">
        <v>11</v>
      </c>
      <c r="C125" s="6" t="s">
        <v>18</v>
      </c>
      <c r="D125" s="7" t="s">
        <v>505</v>
      </c>
      <c r="E125" s="8" t="s">
        <v>506</v>
      </c>
      <c r="F125" s="6" t="s">
        <v>507</v>
      </c>
      <c r="G125" s="9">
        <f>IF(A125=1,"_",IF(C125="_","???",C125))</f>
        <v/>
      </c>
      <c r="H125" s="10" t="s">
        <v>12</v>
      </c>
      <c r="I125" s="11" t="s">
        <v>12</v>
      </c>
      <c r="J125" s="12"/>
    </row>
    <row r="126" spans="1:10" ht="60" customHeight="1">
      <c r="A126" s="6" t="s">
        <v>508</v>
      </c>
      <c r="B126" s="6" t="s">
        <v>31</v>
      </c>
      <c r="C126" s="6" t="s">
        <v>18</v>
      </c>
      <c r="D126" s="7" t="s">
        <v>427</v>
      </c>
      <c r="E126" s="8" t="s">
        <v>509</v>
      </c>
      <c r="F126" s="6" t="s">
        <v>510</v>
      </c>
      <c r="G126" s="9">
        <f>IF(A126=1,"_",IF(C126="_","???",C126))</f>
        <v/>
      </c>
      <c r="H126" s="10" t="s">
        <v>12</v>
      </c>
      <c r="I126" s="11" t="s">
        <v>12</v>
      </c>
      <c r="J126" s="12"/>
    </row>
    <row r="127" spans="1:10" ht="60" customHeight="1">
      <c r="A127" s="6" t="s">
        <v>511</v>
      </c>
      <c r="B127" s="6" t="s">
        <v>31</v>
      </c>
      <c r="C127" s="6" t="s">
        <v>75</v>
      </c>
      <c r="D127" s="7" t="s">
        <v>183</v>
      </c>
      <c r="E127" s="8" t="s">
        <v>512</v>
      </c>
      <c r="F127" s="6" t="s">
        <v>513</v>
      </c>
      <c r="G127" s="9">
        <f>IF(A127=1,"_",IF(C127="_","???",C127))</f>
        <v/>
      </c>
      <c r="H127" s="10" t="s">
        <v>12</v>
      </c>
      <c r="I127" s="11" t="s">
        <v>12</v>
      </c>
      <c r="J127" s="12"/>
    </row>
    <row r="128" spans="1:10" ht="60" customHeight="1">
      <c r="A128" s="6" t="s">
        <v>514</v>
      </c>
      <c r="B128" s="6" t="s">
        <v>31</v>
      </c>
      <c r="C128" s="6" t="s">
        <v>18</v>
      </c>
      <c r="D128" s="7" t="s">
        <v>515</v>
      </c>
      <c r="E128" s="8" t="s">
        <v>516</v>
      </c>
      <c r="F128" s="6" t="s">
        <v>517</v>
      </c>
      <c r="G128" s="9">
        <f>IF(A128=1,"_",IF(C128="_","???",C128))</f>
        <v/>
      </c>
      <c r="H128" s="10" t="s">
        <v>12</v>
      </c>
      <c r="I128" s="11" t="s">
        <v>12</v>
      </c>
      <c r="J128" s="12"/>
    </row>
    <row r="129" spans="1:10" ht="60" customHeight="1">
      <c r="A129" s="6" t="s">
        <v>518</v>
      </c>
      <c r="B129" s="6" t="s">
        <v>10</v>
      </c>
      <c r="C129" s="6" t="s">
        <v>12</v>
      </c>
      <c r="D129" s="7" t="s">
        <v>190</v>
      </c>
      <c r="E129" s="8" t="s">
        <v>190</v>
      </c>
      <c r="F129" s="6" t="s">
        <v>519</v>
      </c>
      <c r="G129" s="9">
        <f>IF(A129=1,"_",IF(C129="_","???",C129))</f>
        <v/>
      </c>
      <c r="H129" s="10" t="s">
        <v>12</v>
      </c>
      <c r="I129" s="11" t="s">
        <v>12</v>
      </c>
      <c r="J129" s="12"/>
    </row>
    <row r="130" spans="1:10" ht="60" customHeight="1">
      <c r="A130" s="6" t="s">
        <v>520</v>
      </c>
      <c r="B130" s="6" t="s">
        <v>26</v>
      </c>
      <c r="C130" s="6" t="s">
        <v>18</v>
      </c>
      <c r="D130" s="7" t="s">
        <v>427</v>
      </c>
      <c r="E130" s="8" t="s">
        <v>521</v>
      </c>
      <c r="F130" s="6" t="s">
        <v>522</v>
      </c>
      <c r="G130" s="9">
        <f>IF(A130=1,"_",IF(C130="_","???",C130))</f>
        <v/>
      </c>
      <c r="H130" s="10" t="s">
        <v>12</v>
      </c>
      <c r="I130" s="11" t="s">
        <v>12</v>
      </c>
      <c r="J130" s="12"/>
    </row>
    <row r="131" spans="1:10" ht="60" customHeight="1">
      <c r="A131" s="6" t="s">
        <v>523</v>
      </c>
      <c r="B131" s="6" t="s">
        <v>11</v>
      </c>
      <c r="C131" s="6" t="s">
        <v>12</v>
      </c>
      <c r="D131" s="7" t="s">
        <v>414</v>
      </c>
      <c r="E131" s="8" t="s">
        <v>524</v>
      </c>
      <c r="F131" s="6" t="s">
        <v>525</v>
      </c>
      <c r="G131" s="9">
        <f>IF(A131=1,"_",IF(C131="_","???",C131))</f>
        <v/>
      </c>
      <c r="H131" s="10" t="s">
        <v>12</v>
      </c>
      <c r="I131" s="11" t="s">
        <v>12</v>
      </c>
      <c r="J131" s="12"/>
    </row>
    <row r="132" spans="1:10" ht="60" customHeight="1">
      <c r="A132" s="6" t="s">
        <v>526</v>
      </c>
      <c r="B132" s="6" t="s">
        <v>31</v>
      </c>
      <c r="C132" s="6" t="s">
        <v>318</v>
      </c>
      <c r="D132" s="7" t="s">
        <v>527</v>
      </c>
      <c r="E132" s="8" t="s">
        <v>528</v>
      </c>
      <c r="F132" s="6" t="s">
        <v>529</v>
      </c>
      <c r="G132" s="9">
        <f>IF(A132=1,"_",IF(C132="_","???",C132))</f>
        <v/>
      </c>
      <c r="H132" s="10" t="s">
        <v>12</v>
      </c>
      <c r="I132" s="11" t="s">
        <v>12</v>
      </c>
      <c r="J132" s="12"/>
    </row>
    <row r="133" spans="1:10" ht="60" customHeight="1">
      <c r="A133" s="6" t="s">
        <v>530</v>
      </c>
      <c r="B133" s="6" t="s">
        <v>31</v>
      </c>
      <c r="C133" s="6" t="s">
        <v>12</v>
      </c>
      <c r="D133" s="7" t="s">
        <v>531</v>
      </c>
      <c r="E133" s="8" t="s">
        <v>532</v>
      </c>
      <c r="F133" s="6" t="s">
        <v>533</v>
      </c>
      <c r="G133" s="9">
        <f>IF(A133=1,"_",IF(C133="_","???",C133))</f>
        <v/>
      </c>
      <c r="H133" s="10" t="s">
        <v>12</v>
      </c>
      <c r="I133" s="11" t="s">
        <v>12</v>
      </c>
      <c r="J133" s="12"/>
    </row>
    <row r="134" spans="1:10" ht="60" customHeight="1">
      <c r="A134" s="6" t="s">
        <v>534</v>
      </c>
      <c r="B134" s="6" t="s">
        <v>31</v>
      </c>
      <c r="C134" s="6" t="s">
        <v>127</v>
      </c>
      <c r="D134" s="7" t="s">
        <v>278</v>
      </c>
      <c r="E134" s="8" t="s">
        <v>535</v>
      </c>
      <c r="F134" s="6" t="s">
        <v>536</v>
      </c>
      <c r="G134" s="9">
        <f>IF(A134=1,"_",IF(C134="_","???",C134))</f>
        <v/>
      </c>
      <c r="H134" s="10" t="s">
        <v>12</v>
      </c>
      <c r="I134" s="11" t="s">
        <v>12</v>
      </c>
      <c r="J134" s="12"/>
    </row>
    <row r="135" spans="1:10" ht="60" customHeight="1">
      <c r="A135" s="6" t="s">
        <v>537</v>
      </c>
      <c r="B135" s="6" t="s">
        <v>27</v>
      </c>
      <c r="C135" s="6" t="s">
        <v>538</v>
      </c>
      <c r="D135" s="7" t="s">
        <v>539</v>
      </c>
      <c r="E135" s="8" t="s">
        <v>540</v>
      </c>
      <c r="F135" s="6" t="s">
        <v>541</v>
      </c>
      <c r="G135" s="9">
        <f>IF(A135=1,"_",IF(C135="_","???",C135))</f>
        <v/>
      </c>
      <c r="H135" s="10" t="s">
        <v>12</v>
      </c>
      <c r="I135" s="11" t="s">
        <v>12</v>
      </c>
      <c r="J135" s="12"/>
    </row>
    <row r="136" spans="1:10" ht="60" customHeight="1">
      <c r="A136" s="6" t="s">
        <v>542</v>
      </c>
      <c r="B136" s="6" t="s">
        <v>11</v>
      </c>
      <c r="C136" s="6" t="s">
        <v>12</v>
      </c>
      <c r="D136" s="7" t="s">
        <v>543</v>
      </c>
      <c r="E136" s="8" t="s">
        <v>544</v>
      </c>
      <c r="F136" s="6" t="s">
        <v>545</v>
      </c>
      <c r="G136" s="9">
        <f>IF(A136=1,"_",IF(C136="_","???",C136))</f>
        <v/>
      </c>
      <c r="H136" s="10" t="s">
        <v>12</v>
      </c>
      <c r="I136" s="11" t="s">
        <v>12</v>
      </c>
      <c r="J136" s="12"/>
    </row>
    <row r="137" spans="1:10" ht="60" customHeight="1">
      <c r="A137" s="6" t="s">
        <v>546</v>
      </c>
      <c r="B137" s="6" t="s">
        <v>11</v>
      </c>
      <c r="C137" s="6" t="s">
        <v>12</v>
      </c>
      <c r="D137" s="7" t="s">
        <v>183</v>
      </c>
      <c r="E137" s="8" t="s">
        <v>547</v>
      </c>
      <c r="F137" s="6" t="s">
        <v>548</v>
      </c>
      <c r="G137" s="9">
        <f>IF(A137=1,"_",IF(C137="_","???",C137))</f>
        <v/>
      </c>
      <c r="H137" s="10" t="s">
        <v>12</v>
      </c>
      <c r="I137" s="11" t="s">
        <v>12</v>
      </c>
      <c r="J137" s="12"/>
    </row>
    <row r="138" spans="1:10" ht="60" customHeight="1">
      <c r="A138" s="6" t="s">
        <v>549</v>
      </c>
      <c r="B138" s="6" t="s">
        <v>83</v>
      </c>
      <c r="C138" s="6" t="s">
        <v>32</v>
      </c>
      <c r="D138" s="7" t="s">
        <v>550</v>
      </c>
      <c r="E138" s="8" t="s">
        <v>551</v>
      </c>
      <c r="F138" s="6" t="s">
        <v>552</v>
      </c>
      <c r="G138" s="9">
        <f>IF(A138=1,"_",IF(C138="_","???",C138))</f>
        <v/>
      </c>
      <c r="H138" s="10" t="s">
        <v>12</v>
      </c>
      <c r="I138" s="11" t="s">
        <v>12</v>
      </c>
      <c r="J138" s="12"/>
    </row>
    <row r="139" spans="1:10" ht="60" customHeight="1">
      <c r="A139" s="6" t="s">
        <v>553</v>
      </c>
      <c r="B139" s="6" t="s">
        <v>26</v>
      </c>
      <c r="C139" s="6" t="s">
        <v>12</v>
      </c>
      <c r="D139" s="7" t="s">
        <v>57</v>
      </c>
      <c r="E139" s="8" t="s">
        <v>554</v>
      </c>
      <c r="F139" s="6" t="s">
        <v>555</v>
      </c>
      <c r="G139" s="9">
        <f>IF(A139=1,"_",IF(C139="_","???",C139))</f>
        <v/>
      </c>
      <c r="H139" s="10" t="s">
        <v>12</v>
      </c>
      <c r="I139" s="11" t="s">
        <v>12</v>
      </c>
      <c r="J139" s="12"/>
    </row>
    <row r="140" spans="1:10" ht="60" customHeight="1">
      <c r="A140" s="6" t="s">
        <v>556</v>
      </c>
      <c r="B140" s="6" t="s">
        <v>11</v>
      </c>
      <c r="C140" s="6" t="s">
        <v>12</v>
      </c>
      <c r="D140" s="7" t="s">
        <v>557</v>
      </c>
      <c r="E140" s="8" t="s">
        <v>558</v>
      </c>
      <c r="F140" s="6" t="s">
        <v>559</v>
      </c>
      <c r="G140" s="9">
        <f>IF(A140=1,"_",IF(C140="_","???",C140))</f>
        <v/>
      </c>
      <c r="H140" s="10" t="s">
        <v>12</v>
      </c>
      <c r="I140" s="11" t="s">
        <v>12</v>
      </c>
      <c r="J140" s="12"/>
    </row>
    <row r="141" spans="1:10" ht="60" customHeight="1">
      <c r="A141" s="6" t="s">
        <v>560</v>
      </c>
      <c r="B141" s="6" t="s">
        <v>36</v>
      </c>
      <c r="C141" s="6" t="s">
        <v>40</v>
      </c>
      <c r="D141" s="7" t="s">
        <v>205</v>
      </c>
      <c r="E141" s="8" t="s">
        <v>561</v>
      </c>
      <c r="F141" s="6" t="s">
        <v>562</v>
      </c>
      <c r="G141" s="9">
        <f>IF(A141=1,"_",IF(C141="_","???",C141))</f>
        <v/>
      </c>
      <c r="H141" s="10" t="s">
        <v>12</v>
      </c>
      <c r="I141" s="11" t="s">
        <v>12</v>
      </c>
      <c r="J141" s="12"/>
    </row>
    <row r="142" spans="1:10" ht="60" customHeight="1">
      <c r="A142" s="6" t="s">
        <v>563</v>
      </c>
      <c r="B142" s="6" t="s">
        <v>48</v>
      </c>
      <c r="C142" s="6" t="s">
        <v>564</v>
      </c>
      <c r="D142" s="7" t="s">
        <v>13</v>
      </c>
      <c r="E142" s="8" t="s">
        <v>565</v>
      </c>
      <c r="F142" s="6" t="s">
        <v>566</v>
      </c>
      <c r="G142" s="9">
        <f>IF(A142=1,"_",IF(C142="_","???",C142))</f>
        <v/>
      </c>
      <c r="H142" s="10" t="s">
        <v>12</v>
      </c>
      <c r="I142" s="11" t="s">
        <v>12</v>
      </c>
      <c r="J142" s="12"/>
    </row>
    <row r="143" spans="1:10" ht="60" customHeight="1">
      <c r="A143" s="6" t="s">
        <v>567</v>
      </c>
      <c r="B143" s="6" t="s">
        <v>17</v>
      </c>
      <c r="C143" s="6" t="s">
        <v>564</v>
      </c>
      <c r="D143" s="7" t="s">
        <v>19</v>
      </c>
      <c r="E143" s="8" t="s">
        <v>568</v>
      </c>
      <c r="F143" s="6" t="s">
        <v>569</v>
      </c>
      <c r="G143" s="9">
        <f>IF(A143=1,"_",IF(C143="_","???",C143))</f>
        <v/>
      </c>
      <c r="H143" s="10" t="s">
        <v>12</v>
      </c>
      <c r="I143" s="11" t="s">
        <v>12</v>
      </c>
      <c r="J143" s="12"/>
    </row>
    <row r="144" spans="1:10" ht="60" customHeight="1">
      <c r="A144" s="6" t="s">
        <v>570</v>
      </c>
      <c r="B144" s="6" t="s">
        <v>17</v>
      </c>
      <c r="C144" s="6" t="s">
        <v>564</v>
      </c>
      <c r="D144" s="7" t="s">
        <v>571</v>
      </c>
      <c r="E144" s="8" t="s">
        <v>572</v>
      </c>
      <c r="F144" s="6" t="s">
        <v>573</v>
      </c>
      <c r="G144" s="9">
        <f>IF(A144=1,"_",IF(C144="_","???",C144))</f>
        <v/>
      </c>
      <c r="H144" s="10" t="s">
        <v>12</v>
      </c>
      <c r="I144" s="11" t="s">
        <v>12</v>
      </c>
      <c r="J144" s="12"/>
    </row>
    <row r="145" spans="1:10" ht="60" customHeight="1">
      <c r="A145" s="6" t="s">
        <v>574</v>
      </c>
      <c r="B145" s="6" t="s">
        <v>31</v>
      </c>
      <c r="C145" s="6" t="s">
        <v>66</v>
      </c>
      <c r="D145" s="7" t="s">
        <v>168</v>
      </c>
      <c r="E145" s="8" t="s">
        <v>575</v>
      </c>
      <c r="F145" s="6" t="s">
        <v>576</v>
      </c>
      <c r="G145" s="9">
        <f>IF(A145=1,"_",IF(C145="_","???",C145))</f>
        <v/>
      </c>
      <c r="H145" s="10" t="s">
        <v>12</v>
      </c>
      <c r="I145" s="11" t="s">
        <v>12</v>
      </c>
      <c r="J145" s="12"/>
    </row>
    <row r="146" spans="1:10" ht="60" customHeight="1">
      <c r="A146" s="6" t="s">
        <v>577</v>
      </c>
      <c r="B146" s="6" t="s">
        <v>31</v>
      </c>
      <c r="C146" s="6" t="s">
        <v>22</v>
      </c>
      <c r="D146" s="7" t="s">
        <v>578</v>
      </c>
      <c r="E146" s="8" t="s">
        <v>579</v>
      </c>
      <c r="F146" s="6" t="s">
        <v>580</v>
      </c>
      <c r="G146" s="9">
        <f>IF(A146=1,"_",IF(C146="_","???",C146))</f>
        <v/>
      </c>
      <c r="H146" s="10" t="s">
        <v>12</v>
      </c>
      <c r="I146" s="11" t="s">
        <v>12</v>
      </c>
      <c r="J146" s="12"/>
    </row>
    <row r="147" spans="1:10" ht="60" customHeight="1">
      <c r="A147" s="6" t="s">
        <v>581</v>
      </c>
      <c r="B147" s="6" t="s">
        <v>11</v>
      </c>
      <c r="C147" s="6" t="s">
        <v>582</v>
      </c>
      <c r="D147" s="7" t="s">
        <v>583</v>
      </c>
      <c r="E147" s="8" t="s">
        <v>584</v>
      </c>
      <c r="F147" s="6" t="s">
        <v>585</v>
      </c>
      <c r="G147" s="9">
        <f>IF(A147=1,"_",IF(C147="_","???",C147))</f>
        <v/>
      </c>
      <c r="H147" s="10" t="s">
        <v>12</v>
      </c>
      <c r="I147" s="11" t="s">
        <v>12</v>
      </c>
      <c r="J147" s="12"/>
    </row>
    <row r="148" spans="1:10" ht="60" customHeight="1">
      <c r="A148" s="6" t="s">
        <v>586</v>
      </c>
      <c r="B148" s="6" t="s">
        <v>17</v>
      </c>
      <c r="C148" s="6" t="s">
        <v>75</v>
      </c>
      <c r="D148" s="7" t="s">
        <v>587</v>
      </c>
      <c r="E148" s="8" t="s">
        <v>588</v>
      </c>
      <c r="F148" s="6" t="s">
        <v>589</v>
      </c>
      <c r="G148" s="9">
        <f>IF(A148=1,"_",IF(C148="_","???",C148))</f>
        <v/>
      </c>
      <c r="H148" s="10" t="s">
        <v>12</v>
      </c>
      <c r="I148" s="11" t="s">
        <v>12</v>
      </c>
      <c r="J148" s="12"/>
    </row>
    <row r="149" spans="1:10" ht="60" customHeight="1">
      <c r="A149" s="6" t="s">
        <v>590</v>
      </c>
      <c r="B149" s="6" t="s">
        <v>31</v>
      </c>
      <c r="C149" s="6" t="s">
        <v>18</v>
      </c>
      <c r="D149" s="7" t="s">
        <v>591</v>
      </c>
      <c r="E149" s="8" t="s">
        <v>592</v>
      </c>
      <c r="F149" s="6" t="s">
        <v>593</v>
      </c>
      <c r="G149" s="9">
        <f>IF(A149=1,"_",IF(C149="_","???",C149))</f>
        <v/>
      </c>
      <c r="H149" s="10" t="s">
        <v>12</v>
      </c>
      <c r="I149" s="11" t="s">
        <v>12</v>
      </c>
      <c r="J149" s="12"/>
    </row>
    <row r="150" spans="1:10" ht="60" customHeight="1">
      <c r="A150" s="6" t="s">
        <v>594</v>
      </c>
      <c r="B150" s="6" t="s">
        <v>26</v>
      </c>
      <c r="C150" s="6" t="s">
        <v>18</v>
      </c>
      <c r="D150" s="7" t="s">
        <v>57</v>
      </c>
      <c r="E150" s="8" t="s">
        <v>595</v>
      </c>
      <c r="F150" s="6" t="s">
        <v>596</v>
      </c>
      <c r="G150" s="9">
        <f>IF(A150=1,"_",IF(C150="_","???",C150))</f>
        <v/>
      </c>
      <c r="H150" s="10" t="s">
        <v>12</v>
      </c>
      <c r="I150" s="11" t="s">
        <v>12</v>
      </c>
      <c r="J150" s="12"/>
    </row>
    <row r="151" spans="1:10" ht="60" customHeight="1">
      <c r="A151" s="6" t="s">
        <v>597</v>
      </c>
      <c r="B151" s="6" t="s">
        <v>26</v>
      </c>
      <c r="C151" s="6" t="s">
        <v>406</v>
      </c>
      <c r="D151" s="7" t="s">
        <v>598</v>
      </c>
      <c r="E151" s="8" t="s">
        <v>599</v>
      </c>
      <c r="F151" s="6" t="s">
        <v>600</v>
      </c>
      <c r="G151" s="9">
        <f>IF(A151=1,"_",IF(C151="_","???",C151))</f>
        <v/>
      </c>
      <c r="H151" s="10" t="s">
        <v>12</v>
      </c>
      <c r="I151" s="11" t="s">
        <v>12</v>
      </c>
      <c r="J151" s="12"/>
    </row>
    <row r="152" spans="1:10" ht="60" customHeight="1">
      <c r="A152" s="6" t="s">
        <v>601</v>
      </c>
      <c r="B152" s="6" t="s">
        <v>16</v>
      </c>
      <c r="C152" s="6" t="s">
        <v>12</v>
      </c>
      <c r="D152" s="7" t="s">
        <v>168</v>
      </c>
      <c r="E152" s="8" t="s">
        <v>602</v>
      </c>
      <c r="F152" s="6" t="s">
        <v>603</v>
      </c>
      <c r="G152" s="9">
        <f>IF(A152=1,"_",IF(C152="_","???",C152))</f>
        <v/>
      </c>
      <c r="H152" s="10" t="s">
        <v>12</v>
      </c>
      <c r="I152" s="11" t="s">
        <v>12</v>
      </c>
      <c r="J152" s="12"/>
    </row>
    <row r="153" spans="1:10" ht="60" customHeight="1">
      <c r="A153" s="6" t="s">
        <v>604</v>
      </c>
      <c r="B153" s="6" t="s">
        <v>79</v>
      </c>
      <c r="C153" s="6" t="s">
        <v>18</v>
      </c>
      <c r="D153" s="7" t="s">
        <v>605</v>
      </c>
      <c r="E153" s="8" t="s">
        <v>606</v>
      </c>
      <c r="F153" s="6" t="s">
        <v>607</v>
      </c>
      <c r="G153" s="9">
        <f>IF(A153=1,"_",IF(C153="_","???",C153))</f>
        <v/>
      </c>
      <c r="H153" s="10" t="s">
        <v>12</v>
      </c>
      <c r="I153" s="11" t="s">
        <v>12</v>
      </c>
      <c r="J153" s="12"/>
    </row>
    <row r="154" spans="1:10" ht="60" customHeight="1">
      <c r="A154" s="6" t="s">
        <v>608</v>
      </c>
      <c r="B154" s="6" t="s">
        <v>16</v>
      </c>
      <c r="C154" s="6" t="s">
        <v>75</v>
      </c>
      <c r="D154" s="7" t="s">
        <v>609</v>
      </c>
      <c r="E154" s="8" t="s">
        <v>610</v>
      </c>
      <c r="F154" s="6" t="s">
        <v>611</v>
      </c>
      <c r="G154" s="9">
        <f>IF(A154=1,"_",IF(C154="_","???",C154))</f>
        <v/>
      </c>
      <c r="H154" s="10" t="s">
        <v>12</v>
      </c>
      <c r="I154" s="11" t="s">
        <v>12</v>
      </c>
      <c r="J154" s="12"/>
    </row>
    <row r="155" spans="1:10" ht="60" customHeight="1">
      <c r="A155" s="6" t="s">
        <v>612</v>
      </c>
      <c r="B155" s="6" t="s">
        <v>27</v>
      </c>
      <c r="C155" s="6" t="s">
        <v>61</v>
      </c>
      <c r="D155" s="7" t="s">
        <v>613</v>
      </c>
      <c r="E155" s="8" t="s">
        <v>614</v>
      </c>
      <c r="F155" s="6" t="s">
        <v>615</v>
      </c>
      <c r="G155" s="9">
        <f>IF(A155=1,"_",IF(C155="_","???",C155))</f>
        <v/>
      </c>
      <c r="H155" s="10" t="s">
        <v>12</v>
      </c>
      <c r="I155" s="11" t="s">
        <v>12</v>
      </c>
      <c r="J155" s="12"/>
    </row>
    <row r="156" spans="1:10" ht="60" customHeight="1">
      <c r="A156" s="6" t="s">
        <v>616</v>
      </c>
      <c r="B156" s="6" t="s">
        <v>36</v>
      </c>
      <c r="C156" s="6" t="s">
        <v>97</v>
      </c>
      <c r="D156" s="7" t="s">
        <v>157</v>
      </c>
      <c r="E156" s="8" t="s">
        <v>617</v>
      </c>
      <c r="F156" s="6" t="s">
        <v>618</v>
      </c>
      <c r="G156" s="9">
        <f>IF(A156=1,"_",IF(C156="_","???",C156))</f>
        <v/>
      </c>
      <c r="H156" s="10" t="s">
        <v>12</v>
      </c>
      <c r="I156" s="11" t="s">
        <v>12</v>
      </c>
      <c r="J156" s="12"/>
    </row>
    <row r="157" spans="1:10" ht="60" customHeight="1">
      <c r="A157" s="6" t="s">
        <v>619</v>
      </c>
      <c r="B157" s="6" t="s">
        <v>10</v>
      </c>
      <c r="C157" s="6" t="s">
        <v>12</v>
      </c>
      <c r="D157" s="7" t="s">
        <v>190</v>
      </c>
      <c r="E157" s="8" t="s">
        <v>190</v>
      </c>
      <c r="F157" s="6" t="s">
        <v>620</v>
      </c>
      <c r="G157" s="9">
        <f>IF(A157=1,"_",IF(C157="_","???",C157))</f>
        <v/>
      </c>
      <c r="H157" s="10" t="s">
        <v>12</v>
      </c>
      <c r="I157" s="11" t="s">
        <v>12</v>
      </c>
      <c r="J157" s="12"/>
    </row>
    <row r="158" spans="1:10" ht="60" customHeight="1">
      <c r="A158" s="6" t="s">
        <v>621</v>
      </c>
      <c r="B158" s="6" t="s">
        <v>26</v>
      </c>
      <c r="C158" s="6" t="s">
        <v>18</v>
      </c>
      <c r="D158" s="7" t="s">
        <v>183</v>
      </c>
      <c r="E158" s="8" t="s">
        <v>622</v>
      </c>
      <c r="F158" s="6" t="s">
        <v>623</v>
      </c>
      <c r="G158" s="9">
        <f>IF(A158=1,"_",IF(C158="_","???",C158))</f>
        <v/>
      </c>
      <c r="H158" s="10" t="s">
        <v>12</v>
      </c>
      <c r="I158" s="11" t="s">
        <v>12</v>
      </c>
      <c r="J158" s="12"/>
    </row>
    <row r="159" spans="1:10" ht="60" customHeight="1">
      <c r="A159" s="6" t="s">
        <v>624</v>
      </c>
      <c r="B159" s="6" t="s">
        <v>44</v>
      </c>
      <c r="C159" s="6" t="s">
        <v>406</v>
      </c>
      <c r="D159" s="7" t="s">
        <v>625</v>
      </c>
      <c r="E159" s="8" t="s">
        <v>626</v>
      </c>
      <c r="F159" s="6" t="s">
        <v>627</v>
      </c>
      <c r="G159" s="9">
        <f>IF(A159=1,"_",IF(C159="_","???",C159))</f>
        <v/>
      </c>
      <c r="H159" s="10" t="s">
        <v>12</v>
      </c>
      <c r="I159" s="11" t="s">
        <v>12</v>
      </c>
      <c r="J159" s="12"/>
    </row>
    <row r="160" spans="1:10" ht="60" customHeight="1">
      <c r="A160" s="6" t="s">
        <v>628</v>
      </c>
      <c r="B160" s="6" t="s">
        <v>11</v>
      </c>
      <c r="C160" s="6" t="s">
        <v>75</v>
      </c>
      <c r="D160" s="7" t="s">
        <v>629</v>
      </c>
      <c r="E160" s="8" t="s">
        <v>630</v>
      </c>
      <c r="F160" s="6" t="s">
        <v>631</v>
      </c>
      <c r="G160" s="9">
        <f>IF(A160=1,"_",IF(C160="_","???",C160))</f>
        <v/>
      </c>
      <c r="H160" s="10" t="s">
        <v>12</v>
      </c>
      <c r="I160" s="11" t="s">
        <v>12</v>
      </c>
      <c r="J160" s="12"/>
    </row>
    <row r="161" spans="1:10" ht="60" customHeight="1">
      <c r="A161" s="6" t="s">
        <v>632</v>
      </c>
      <c r="B161" s="6" t="s">
        <v>16</v>
      </c>
      <c r="C161" s="6" t="s">
        <v>18</v>
      </c>
      <c r="D161" s="7" t="s">
        <v>633</v>
      </c>
      <c r="E161" s="8" t="s">
        <v>634</v>
      </c>
      <c r="F161" s="6" t="s">
        <v>635</v>
      </c>
      <c r="G161" s="9">
        <f>IF(A161=1,"_",IF(C161="_","???",C161))</f>
        <v/>
      </c>
      <c r="H161" s="10" t="s">
        <v>12</v>
      </c>
      <c r="I161" s="11" t="s">
        <v>12</v>
      </c>
      <c r="J161" s="12"/>
    </row>
    <row r="162" spans="1:10" ht="60" customHeight="1">
      <c r="A162" s="6" t="s">
        <v>636</v>
      </c>
      <c r="B162" s="6" t="s">
        <v>16</v>
      </c>
      <c r="C162" s="6" t="s">
        <v>637</v>
      </c>
      <c r="D162" s="7" t="s">
        <v>136</v>
      </c>
      <c r="E162" s="8" t="s">
        <v>638</v>
      </c>
      <c r="F162" s="6" t="s">
        <v>639</v>
      </c>
      <c r="G162" s="9">
        <f>IF(A162=1,"_",IF(C162="_","???",C162))</f>
        <v/>
      </c>
      <c r="H162" s="10" t="s">
        <v>12</v>
      </c>
      <c r="I162" s="11" t="s">
        <v>12</v>
      </c>
      <c r="J162" s="12"/>
    </row>
    <row r="163" spans="1:10" ht="60" customHeight="1">
      <c r="A163" s="6" t="s">
        <v>640</v>
      </c>
      <c r="B163" s="6" t="s">
        <v>31</v>
      </c>
      <c r="C163" s="6" t="s">
        <v>12</v>
      </c>
      <c r="D163" s="7" t="s">
        <v>442</v>
      </c>
      <c r="E163" s="8" t="s">
        <v>641</v>
      </c>
      <c r="F163" s="6" t="s">
        <v>642</v>
      </c>
      <c r="G163" s="9">
        <f>IF(A163=1,"_",IF(C163="_","???",C163))</f>
        <v/>
      </c>
      <c r="H163" s="10" t="s">
        <v>12</v>
      </c>
      <c r="I163" s="11" t="s">
        <v>12</v>
      </c>
      <c r="J163" s="12"/>
    </row>
    <row r="164" spans="1:10" ht="60" customHeight="1">
      <c r="A164" s="6" t="s">
        <v>643</v>
      </c>
      <c r="B164" s="6" t="s">
        <v>27</v>
      </c>
      <c r="C164" s="6" t="s">
        <v>97</v>
      </c>
      <c r="D164" s="7" t="s">
        <v>644</v>
      </c>
      <c r="E164" s="8" t="s">
        <v>645</v>
      </c>
      <c r="F164" s="6" t="s">
        <v>646</v>
      </c>
      <c r="G164" s="9">
        <f>IF(A164=1,"_",IF(C164="_","???",C164))</f>
        <v/>
      </c>
      <c r="H164" s="10" t="s">
        <v>12</v>
      </c>
      <c r="I164" s="11" t="s">
        <v>12</v>
      </c>
      <c r="J164" s="12"/>
    </row>
    <row r="165" spans="1:10" ht="60" customHeight="1">
      <c r="A165" s="6" t="s">
        <v>647</v>
      </c>
      <c r="B165" s="6" t="s">
        <v>26</v>
      </c>
      <c r="C165" s="6" t="s">
        <v>18</v>
      </c>
      <c r="D165" s="7" t="s">
        <v>461</v>
      </c>
      <c r="E165" s="8" t="s">
        <v>648</v>
      </c>
      <c r="F165" s="6" t="s">
        <v>649</v>
      </c>
      <c r="G165" s="9">
        <f>IF(A165=1,"_",IF(C165="_","???",C165))</f>
        <v/>
      </c>
      <c r="H165" s="10" t="s">
        <v>12</v>
      </c>
      <c r="I165" s="11" t="s">
        <v>12</v>
      </c>
      <c r="J165" s="12"/>
    </row>
    <row r="166" spans="1:10" ht="60" customHeight="1">
      <c r="A166" s="6" t="s">
        <v>650</v>
      </c>
      <c r="B166" s="6" t="s">
        <v>11</v>
      </c>
      <c r="C166" s="6" t="s">
        <v>651</v>
      </c>
      <c r="D166" s="7" t="s">
        <v>652</v>
      </c>
      <c r="E166" s="8" t="s">
        <v>653</v>
      </c>
      <c r="F166" s="6" t="s">
        <v>654</v>
      </c>
      <c r="G166" s="9">
        <f>IF(A166=1,"_",IF(C166="_","???",C166))</f>
        <v/>
      </c>
      <c r="H166" s="10" t="s">
        <v>12</v>
      </c>
      <c r="I166" s="11" t="s">
        <v>12</v>
      </c>
      <c r="J166" s="12"/>
    </row>
    <row r="167" spans="1:10" ht="60" customHeight="1">
      <c r="A167" s="6" t="s">
        <v>655</v>
      </c>
      <c r="B167" s="6" t="s">
        <v>31</v>
      </c>
      <c r="C167" s="6" t="s">
        <v>501</v>
      </c>
      <c r="D167" s="7" t="s">
        <v>656</v>
      </c>
      <c r="E167" s="8" t="s">
        <v>657</v>
      </c>
      <c r="F167" s="6" t="s">
        <v>658</v>
      </c>
      <c r="G167" s="9">
        <f>IF(A167=1,"_",IF(C167="_","???",C167))</f>
        <v/>
      </c>
      <c r="H167" s="10" t="s">
        <v>12</v>
      </c>
      <c r="I167" s="11" t="s">
        <v>12</v>
      </c>
      <c r="J167" s="12"/>
    </row>
    <row r="168" spans="1:10" ht="60" customHeight="1">
      <c r="A168" s="6" t="s">
        <v>659</v>
      </c>
      <c r="B168" s="6" t="s">
        <v>16</v>
      </c>
      <c r="C168" s="6" t="s">
        <v>12</v>
      </c>
      <c r="D168" s="7" t="s">
        <v>205</v>
      </c>
      <c r="E168" s="8" t="s">
        <v>660</v>
      </c>
      <c r="F168" s="6" t="s">
        <v>661</v>
      </c>
      <c r="G168" s="9">
        <f>IF(A168=1,"_",IF(C168="_","???",C168))</f>
        <v/>
      </c>
      <c r="H168" s="10" t="s">
        <v>12</v>
      </c>
      <c r="I168" s="11" t="s">
        <v>12</v>
      </c>
      <c r="J168" s="12"/>
    </row>
    <row r="169" spans="1:10" ht="60" customHeight="1">
      <c r="A169" s="6" t="s">
        <v>662</v>
      </c>
      <c r="B169" s="6" t="s">
        <v>26</v>
      </c>
      <c r="C169" s="6" t="s">
        <v>18</v>
      </c>
      <c r="D169" s="7" t="s">
        <v>663</v>
      </c>
      <c r="E169" s="8" t="s">
        <v>664</v>
      </c>
      <c r="F169" s="6" t="s">
        <v>665</v>
      </c>
      <c r="G169" s="9">
        <f>IF(A169=1,"_",IF(C169="_","???",C169))</f>
        <v/>
      </c>
      <c r="H169" s="10" t="s">
        <v>12</v>
      </c>
      <c r="I169" s="11" t="s">
        <v>12</v>
      </c>
      <c r="J169" s="12"/>
    </row>
    <row r="170" spans="1:10" ht="60" customHeight="1">
      <c r="A170" s="6" t="s">
        <v>666</v>
      </c>
      <c r="B170" s="6" t="s">
        <v>108</v>
      </c>
      <c r="C170" s="6" t="s">
        <v>75</v>
      </c>
      <c r="D170" s="7" t="s">
        <v>667</v>
      </c>
      <c r="E170" s="8" t="s">
        <v>668</v>
      </c>
      <c r="F170" s="6" t="s">
        <v>669</v>
      </c>
      <c r="G170" s="9">
        <f>IF(A170=1,"_",IF(C170="_","???",C170))</f>
        <v/>
      </c>
      <c r="H170" s="10" t="s">
        <v>12</v>
      </c>
      <c r="I170" s="11" t="s">
        <v>12</v>
      </c>
      <c r="J170" s="12"/>
    </row>
    <row r="171" spans="1:10" ht="60" customHeight="1">
      <c r="A171" s="6" t="s">
        <v>670</v>
      </c>
      <c r="B171" s="6" t="s">
        <v>10</v>
      </c>
      <c r="C171" s="6" t="s">
        <v>12</v>
      </c>
      <c r="D171" s="7" t="s">
        <v>190</v>
      </c>
      <c r="E171" s="8" t="s">
        <v>190</v>
      </c>
      <c r="F171" s="6" t="s">
        <v>671</v>
      </c>
      <c r="G171" s="9">
        <f>IF(A171=1,"_",IF(C171="_","???",C171))</f>
        <v/>
      </c>
      <c r="H171" s="10" t="s">
        <v>12</v>
      </c>
      <c r="I171" s="11" t="s">
        <v>12</v>
      </c>
      <c r="J171" s="12"/>
    </row>
    <row r="172" spans="1:10" ht="60" customHeight="1">
      <c r="A172" s="6" t="s">
        <v>672</v>
      </c>
      <c r="B172" s="6" t="s">
        <v>44</v>
      </c>
      <c r="C172" s="6" t="s">
        <v>673</v>
      </c>
      <c r="D172" s="7" t="s">
        <v>674</v>
      </c>
      <c r="E172" s="8" t="s">
        <v>675</v>
      </c>
      <c r="F172" s="6" t="s">
        <v>676</v>
      </c>
      <c r="G172" s="9">
        <f>IF(A172=1,"_",IF(C172="_","???",C172))</f>
        <v/>
      </c>
      <c r="H172" s="10" t="s">
        <v>12</v>
      </c>
      <c r="I172" s="11" t="s">
        <v>12</v>
      </c>
      <c r="J172" s="12"/>
    </row>
    <row r="173" spans="1:10" ht="60" customHeight="1">
      <c r="A173" s="6" t="s">
        <v>677</v>
      </c>
      <c r="B173" s="6" t="s">
        <v>26</v>
      </c>
      <c r="C173" s="6" t="s">
        <v>200</v>
      </c>
      <c r="D173" s="7" t="s">
        <v>54</v>
      </c>
      <c r="E173" s="8" t="s">
        <v>678</v>
      </c>
      <c r="F173" s="6" t="s">
        <v>679</v>
      </c>
      <c r="G173" s="9">
        <f>IF(A173=1,"_",IF(C173="_","???",C173))</f>
        <v/>
      </c>
      <c r="H173" s="10" t="s">
        <v>12</v>
      </c>
      <c r="I173" s="11" t="s">
        <v>12</v>
      </c>
      <c r="J173" s="12"/>
    </row>
    <row r="174" spans="1:10" ht="60" customHeight="1">
      <c r="A174" s="6" t="s">
        <v>680</v>
      </c>
      <c r="B174" s="6" t="s">
        <v>48</v>
      </c>
      <c r="C174" s="6" t="s">
        <v>18</v>
      </c>
      <c r="D174" s="7" t="s">
        <v>681</v>
      </c>
      <c r="E174" s="8" t="s">
        <v>682</v>
      </c>
      <c r="F174" s="6" t="s">
        <v>683</v>
      </c>
      <c r="G174" s="9">
        <f>IF(A174=1,"_",IF(C174="_","???",C174))</f>
        <v/>
      </c>
      <c r="H174" s="10" t="s">
        <v>12</v>
      </c>
      <c r="I174" s="11" t="s">
        <v>12</v>
      </c>
      <c r="J174" s="12"/>
    </row>
    <row r="175" spans="1:10" ht="60" customHeight="1">
      <c r="A175" s="6" t="s">
        <v>684</v>
      </c>
      <c r="B175" s="6" t="s">
        <v>11</v>
      </c>
      <c r="C175" s="6" t="s">
        <v>18</v>
      </c>
      <c r="D175" s="7" t="s">
        <v>183</v>
      </c>
      <c r="E175" s="8" t="s">
        <v>685</v>
      </c>
      <c r="F175" s="6" t="s">
        <v>686</v>
      </c>
      <c r="G175" s="9">
        <f>IF(A175=1,"_",IF(C175="_","???",C175))</f>
        <v/>
      </c>
      <c r="H175" s="10" t="s">
        <v>12</v>
      </c>
      <c r="I175" s="11" t="s">
        <v>12</v>
      </c>
      <c r="J175" s="12"/>
    </row>
    <row r="176" spans="1:10" ht="60" customHeight="1">
      <c r="A176" s="6" t="s">
        <v>687</v>
      </c>
      <c r="B176" s="6" t="s">
        <v>11</v>
      </c>
      <c r="C176" s="6" t="s">
        <v>75</v>
      </c>
      <c r="D176" s="7" t="s">
        <v>183</v>
      </c>
      <c r="E176" s="8" t="s">
        <v>688</v>
      </c>
      <c r="F176" s="6" t="s">
        <v>689</v>
      </c>
      <c r="G176" s="9">
        <f>IF(A176=1,"_",IF(C176="_","???",C176))</f>
        <v/>
      </c>
      <c r="H176" s="10" t="s">
        <v>12</v>
      </c>
      <c r="I176" s="11" t="s">
        <v>12</v>
      </c>
      <c r="J176" s="12"/>
    </row>
    <row r="177" spans="1:10" ht="60" customHeight="1">
      <c r="A177" s="6" t="s">
        <v>690</v>
      </c>
      <c r="B177" s="6" t="s">
        <v>11</v>
      </c>
      <c r="C177" s="6" t="s">
        <v>12</v>
      </c>
      <c r="D177" s="7" t="s">
        <v>168</v>
      </c>
      <c r="E177" s="8" t="s">
        <v>691</v>
      </c>
      <c r="F177" s="6" t="s">
        <v>692</v>
      </c>
      <c r="G177" s="9">
        <f>IF(A177=1,"_",IF(C177="_","???",C177))</f>
        <v/>
      </c>
      <c r="H177" s="10" t="s">
        <v>12</v>
      </c>
      <c r="I177" s="11" t="s">
        <v>12</v>
      </c>
      <c r="J177" s="12"/>
    </row>
    <row r="178" spans="1:10" ht="60" customHeight="1">
      <c r="A178" s="6" t="s">
        <v>693</v>
      </c>
      <c r="B178" s="6" t="s">
        <v>27</v>
      </c>
      <c r="C178" s="6" t="s">
        <v>12</v>
      </c>
      <c r="D178" s="7" t="s">
        <v>583</v>
      </c>
      <c r="E178" s="8" t="s">
        <v>694</v>
      </c>
      <c r="F178" s="6" t="s">
        <v>695</v>
      </c>
      <c r="G178" s="9">
        <f>IF(A178=1,"_",IF(C178="_","???",C178))</f>
        <v/>
      </c>
      <c r="H178" s="10" t="s">
        <v>12</v>
      </c>
      <c r="I178" s="11" t="s">
        <v>12</v>
      </c>
      <c r="J178" s="12"/>
    </row>
    <row r="179" spans="1:10" ht="60" customHeight="1">
      <c r="A179" s="6" t="s">
        <v>696</v>
      </c>
      <c r="B179" s="6" t="s">
        <v>53</v>
      </c>
      <c r="C179" s="6" t="s">
        <v>12</v>
      </c>
      <c r="D179" s="7" t="s">
        <v>431</v>
      </c>
      <c r="E179" s="8" t="s">
        <v>697</v>
      </c>
      <c r="F179" s="6" t="s">
        <v>698</v>
      </c>
      <c r="G179" s="9">
        <f>IF(A179=1,"_",IF(C179="_","???",C179))</f>
        <v/>
      </c>
      <c r="H179" s="10" t="s">
        <v>12</v>
      </c>
      <c r="I179" s="11" t="s">
        <v>12</v>
      </c>
      <c r="J179" s="12"/>
    </row>
    <row r="180" spans="1:10" ht="60" customHeight="1">
      <c r="A180" s="6" t="s">
        <v>699</v>
      </c>
      <c r="B180" s="6" t="s">
        <v>27</v>
      </c>
      <c r="C180" s="6" t="s">
        <v>12</v>
      </c>
      <c r="D180" s="7" t="s">
        <v>183</v>
      </c>
      <c r="E180" s="8" t="s">
        <v>700</v>
      </c>
      <c r="F180" s="6" t="s">
        <v>701</v>
      </c>
      <c r="G180" s="9">
        <f>IF(A180=1,"_",IF(C180="_","???",C180))</f>
        <v/>
      </c>
      <c r="H180" s="10" t="s">
        <v>12</v>
      </c>
      <c r="I180" s="11" t="s">
        <v>12</v>
      </c>
      <c r="J180" s="12"/>
    </row>
    <row r="181" spans="1:10" ht="60" customHeight="1">
      <c r="A181" s="6" t="s">
        <v>702</v>
      </c>
      <c r="B181" s="6" t="s">
        <v>16</v>
      </c>
      <c r="C181" s="6" t="s">
        <v>12</v>
      </c>
      <c r="D181" s="7" t="s">
        <v>168</v>
      </c>
      <c r="E181" s="8" t="s">
        <v>703</v>
      </c>
      <c r="F181" s="6" t="s">
        <v>704</v>
      </c>
      <c r="G181" s="9">
        <f>IF(A181=1,"_",IF(C181="_","???",C181))</f>
        <v/>
      </c>
      <c r="H181" s="10" t="s">
        <v>12</v>
      </c>
      <c r="I181" s="11" t="s">
        <v>12</v>
      </c>
      <c r="J181" s="12"/>
    </row>
    <row r="182" spans="1:10" ht="60" customHeight="1">
      <c r="A182" s="6" t="s">
        <v>705</v>
      </c>
      <c r="B182" s="6" t="s">
        <v>44</v>
      </c>
      <c r="C182" s="6" t="s">
        <v>12</v>
      </c>
      <c r="D182" s="7" t="s">
        <v>706</v>
      </c>
      <c r="E182" s="8" t="s">
        <v>707</v>
      </c>
      <c r="F182" s="6" t="s">
        <v>708</v>
      </c>
      <c r="G182" s="9">
        <f>IF(A182=1,"_",IF(C182="_","???",C182))</f>
        <v/>
      </c>
      <c r="H182" s="10" t="s">
        <v>12</v>
      </c>
      <c r="I182" s="11" t="s">
        <v>12</v>
      </c>
      <c r="J182" s="12"/>
    </row>
    <row r="183" spans="1:10" ht="60" customHeight="1">
      <c r="A183" s="6" t="s">
        <v>709</v>
      </c>
      <c r="B183" s="6" t="s">
        <v>26</v>
      </c>
      <c r="C183" s="6" t="s">
        <v>12</v>
      </c>
      <c r="D183" s="7" t="s">
        <v>183</v>
      </c>
      <c r="E183" s="8" t="s">
        <v>710</v>
      </c>
      <c r="F183" s="6" t="s">
        <v>711</v>
      </c>
      <c r="G183" s="9">
        <f>IF(A183=1,"_",IF(C183="_","???",C183))</f>
        <v/>
      </c>
      <c r="H183" s="10" t="s">
        <v>12</v>
      </c>
      <c r="I183" s="11" t="s">
        <v>12</v>
      </c>
      <c r="J183" s="12"/>
    </row>
    <row r="184" spans="1:10" ht="60" customHeight="1">
      <c r="A184" s="6" t="s">
        <v>712</v>
      </c>
      <c r="B184" s="6" t="s">
        <v>87</v>
      </c>
      <c r="C184" s="6" t="s">
        <v>12</v>
      </c>
      <c r="D184" s="7" t="s">
        <v>713</v>
      </c>
      <c r="E184" s="8" t="s">
        <v>714</v>
      </c>
      <c r="F184" s="6" t="s">
        <v>715</v>
      </c>
      <c r="G184" s="9">
        <f>IF(A184=1,"_",IF(C184="_","???",C184))</f>
        <v/>
      </c>
      <c r="H184" s="10" t="s">
        <v>12</v>
      </c>
      <c r="I184" s="11" t="s">
        <v>12</v>
      </c>
      <c r="J184" s="12"/>
    </row>
    <row r="185" spans="1:10" ht="60" customHeight="1">
      <c r="A185" s="6" t="s">
        <v>716</v>
      </c>
      <c r="B185" s="6" t="s">
        <v>11</v>
      </c>
      <c r="C185" s="6" t="s">
        <v>127</v>
      </c>
      <c r="D185" s="7" t="s">
        <v>717</v>
      </c>
      <c r="E185" s="8" t="s">
        <v>718</v>
      </c>
      <c r="F185" s="6" t="s">
        <v>719</v>
      </c>
      <c r="G185" s="9">
        <f>IF(A185=1,"_",IF(C185="_","???",C185))</f>
        <v/>
      </c>
      <c r="H185" s="10" t="s">
        <v>12</v>
      </c>
      <c r="I185" s="11" t="s">
        <v>12</v>
      </c>
      <c r="J185" s="12"/>
    </row>
    <row r="186" spans="1:10" ht="60" customHeight="1">
      <c r="A186" s="6" t="s">
        <v>720</v>
      </c>
      <c r="B186" s="6" t="s">
        <v>16</v>
      </c>
      <c r="C186" s="6" t="s">
        <v>12</v>
      </c>
      <c r="D186" s="7" t="s">
        <v>721</v>
      </c>
      <c r="E186" s="8" t="s">
        <v>722</v>
      </c>
      <c r="F186" s="6" t="s">
        <v>723</v>
      </c>
      <c r="G186" s="9">
        <f>IF(A186=1,"_",IF(C186="_","???",C186))</f>
        <v/>
      </c>
      <c r="H186" s="10" t="s">
        <v>12</v>
      </c>
      <c r="I186" s="11" t="s">
        <v>12</v>
      </c>
      <c r="J186" s="12"/>
    </row>
    <row r="187" spans="1:10" ht="60" customHeight="1">
      <c r="A187" s="6" t="s">
        <v>724</v>
      </c>
      <c r="B187" s="6" t="s">
        <v>26</v>
      </c>
      <c r="C187" s="6" t="s">
        <v>12</v>
      </c>
      <c r="D187" s="7" t="s">
        <v>725</v>
      </c>
      <c r="E187" s="8" t="s">
        <v>726</v>
      </c>
      <c r="F187" s="6" t="s">
        <v>727</v>
      </c>
      <c r="G187" s="9">
        <f>IF(A187=1,"_",IF(C187="_","???",C187))</f>
        <v/>
      </c>
      <c r="H187" s="10" t="s">
        <v>12</v>
      </c>
      <c r="I187" s="11" t="s">
        <v>12</v>
      </c>
      <c r="J187" s="12"/>
    </row>
    <row r="188" spans="1:10" ht="60" customHeight="1">
      <c r="A188" s="6" t="s">
        <v>728</v>
      </c>
      <c r="B188" s="6" t="s">
        <v>16</v>
      </c>
      <c r="C188" s="6" t="s">
        <v>327</v>
      </c>
      <c r="D188" s="7" t="s">
        <v>583</v>
      </c>
      <c r="E188" s="8" t="s">
        <v>729</v>
      </c>
      <c r="F188" s="6" t="s">
        <v>730</v>
      </c>
      <c r="G188" s="9">
        <f>IF(A188=1,"_",IF(C188="_","???",C188))</f>
        <v/>
      </c>
      <c r="H188" s="10" t="s">
        <v>12</v>
      </c>
      <c r="I188" s="11" t="s">
        <v>12</v>
      </c>
      <c r="J188" s="12"/>
    </row>
    <row r="189" spans="1:10" ht="60" customHeight="1">
      <c r="A189" s="6" t="s">
        <v>731</v>
      </c>
      <c r="B189" s="6" t="s">
        <v>79</v>
      </c>
      <c r="C189" s="6" t="s">
        <v>18</v>
      </c>
      <c r="D189" s="7" t="s">
        <v>732</v>
      </c>
      <c r="E189" s="8" t="s">
        <v>733</v>
      </c>
      <c r="F189" s="6" t="s">
        <v>734</v>
      </c>
      <c r="G189" s="9">
        <f>IF(A189=1,"_",IF(C189="_","???",C189))</f>
        <v/>
      </c>
      <c r="H189" s="10" t="s">
        <v>12</v>
      </c>
      <c r="I189" s="11" t="s">
        <v>12</v>
      </c>
      <c r="J189" s="12"/>
    </row>
    <row r="190" spans="1:10" ht="60" customHeight="1">
      <c r="A190" s="6" t="s">
        <v>735</v>
      </c>
      <c r="B190" s="6" t="s">
        <v>17</v>
      </c>
      <c r="C190" s="6" t="s">
        <v>18</v>
      </c>
      <c r="D190" s="7" t="s">
        <v>736</v>
      </c>
      <c r="E190" s="8" t="s">
        <v>737</v>
      </c>
      <c r="F190" s="6" t="s">
        <v>738</v>
      </c>
      <c r="G190" s="9">
        <f>IF(A190=1,"_",IF(C190="_","???",C190))</f>
        <v/>
      </c>
      <c r="H190" s="10" t="s">
        <v>12</v>
      </c>
      <c r="I190" s="11" t="s">
        <v>12</v>
      </c>
      <c r="J190" s="12"/>
    </row>
    <row r="191" spans="1:10" ht="60" customHeight="1">
      <c r="A191" s="6" t="s">
        <v>739</v>
      </c>
      <c r="B191" s="6" t="s">
        <v>26</v>
      </c>
      <c r="C191" s="6" t="s">
        <v>18</v>
      </c>
      <c r="D191" s="7" t="s">
        <v>105</v>
      </c>
      <c r="E191" s="8" t="s">
        <v>740</v>
      </c>
      <c r="F191" s="6" t="s">
        <v>741</v>
      </c>
      <c r="G191" s="9">
        <f>IF(A191=1,"_",IF(C191="_","???",C191))</f>
        <v/>
      </c>
      <c r="H191" s="10" t="s">
        <v>12</v>
      </c>
      <c r="I191" s="11" t="s">
        <v>12</v>
      </c>
      <c r="J191" s="12"/>
    </row>
    <row r="192" spans="1:10" ht="60" customHeight="1">
      <c r="A192" s="6" t="s">
        <v>742</v>
      </c>
      <c r="B192" s="6" t="s">
        <v>11</v>
      </c>
      <c r="C192" s="6" t="s">
        <v>12</v>
      </c>
      <c r="D192" s="7" t="s">
        <v>743</v>
      </c>
      <c r="E192" s="8" t="s">
        <v>744</v>
      </c>
      <c r="F192" s="6" t="s">
        <v>745</v>
      </c>
      <c r="G192" s="9">
        <f>IF(A192=1,"_",IF(C192="_","???",C192))</f>
        <v/>
      </c>
      <c r="H192" s="10" t="s">
        <v>12</v>
      </c>
      <c r="I192" s="11" t="s">
        <v>12</v>
      </c>
      <c r="J192" s="12"/>
    </row>
    <row r="193" spans="1:10" ht="60" customHeight="1">
      <c r="A193" s="6" t="s">
        <v>746</v>
      </c>
      <c r="B193" s="6" t="s">
        <v>26</v>
      </c>
      <c r="C193" s="6" t="s">
        <v>18</v>
      </c>
      <c r="D193" s="7" t="s">
        <v>168</v>
      </c>
      <c r="E193" s="8" t="s">
        <v>747</v>
      </c>
      <c r="F193" s="6" t="s">
        <v>748</v>
      </c>
      <c r="G193" s="9">
        <f>IF(A193=1,"_",IF(C193="_","???",C193))</f>
        <v/>
      </c>
      <c r="H193" s="10" t="s">
        <v>12</v>
      </c>
      <c r="I193" s="11" t="s">
        <v>12</v>
      </c>
      <c r="J193" s="12"/>
    </row>
    <row r="194" spans="1:10" ht="60" customHeight="1">
      <c r="A194" s="6" t="s">
        <v>749</v>
      </c>
      <c r="B194" s="6" t="s">
        <v>16</v>
      </c>
      <c r="C194" s="6" t="s">
        <v>32</v>
      </c>
      <c r="D194" s="7" t="s">
        <v>750</v>
      </c>
      <c r="E194" s="8" t="s">
        <v>751</v>
      </c>
      <c r="F194" s="6" t="s">
        <v>752</v>
      </c>
      <c r="G194" s="9">
        <f>IF(A194=1,"_",IF(C194="_","???",C194))</f>
        <v/>
      </c>
      <c r="H194" s="10" t="s">
        <v>12</v>
      </c>
      <c r="I194" s="11" t="s">
        <v>12</v>
      </c>
      <c r="J194" s="12"/>
    </row>
    <row r="195" spans="1:10" ht="60" customHeight="1">
      <c r="A195" s="6" t="s">
        <v>753</v>
      </c>
      <c r="B195" s="6" t="s">
        <v>16</v>
      </c>
      <c r="C195" s="6" t="s">
        <v>12</v>
      </c>
      <c r="D195" s="7" t="s">
        <v>754</v>
      </c>
      <c r="E195" s="8" t="s">
        <v>755</v>
      </c>
      <c r="F195" s="6" t="s">
        <v>756</v>
      </c>
      <c r="G195" s="9">
        <f>IF(A195=1,"_",IF(C195="_","???",C195))</f>
        <v/>
      </c>
      <c r="H195" s="10" t="s">
        <v>12</v>
      </c>
      <c r="I195" s="11" t="s">
        <v>12</v>
      </c>
      <c r="J195" s="12"/>
    </row>
    <row r="196" spans="1:10" ht="60" customHeight="1">
      <c r="A196" s="6" t="s">
        <v>757</v>
      </c>
      <c r="B196" s="6" t="s">
        <v>26</v>
      </c>
      <c r="C196" s="6" t="s">
        <v>327</v>
      </c>
      <c r="D196" s="7" t="s">
        <v>183</v>
      </c>
      <c r="E196" s="8" t="s">
        <v>758</v>
      </c>
      <c r="F196" s="6" t="s">
        <v>759</v>
      </c>
      <c r="G196" s="9">
        <f>IF(A196=1,"_",IF(C196="_","???",C196))</f>
        <v/>
      </c>
      <c r="H196" s="10" t="s">
        <v>12</v>
      </c>
      <c r="I196" s="11" t="s">
        <v>12</v>
      </c>
      <c r="J196" s="12"/>
    </row>
    <row r="197" spans="1:10" ht="60" customHeight="1">
      <c r="A197" s="6" t="s">
        <v>760</v>
      </c>
      <c r="B197" s="6" t="s">
        <v>87</v>
      </c>
      <c r="C197" s="6" t="s">
        <v>61</v>
      </c>
      <c r="D197" s="7" t="s">
        <v>761</v>
      </c>
      <c r="E197" s="8" t="s">
        <v>762</v>
      </c>
      <c r="F197" s="6" t="s">
        <v>763</v>
      </c>
      <c r="G197" s="9">
        <f>IF(A197=1,"_",IF(C197="_","???",C197))</f>
        <v/>
      </c>
      <c r="H197" s="10" t="s">
        <v>12</v>
      </c>
      <c r="I197" s="11" t="s">
        <v>12</v>
      </c>
      <c r="J197" s="12"/>
    </row>
    <row r="198" spans="1:10" ht="60" customHeight="1">
      <c r="A198" s="6" t="s">
        <v>764</v>
      </c>
      <c r="B198" s="6" t="s">
        <v>31</v>
      </c>
      <c r="C198" s="6" t="s">
        <v>18</v>
      </c>
      <c r="D198" s="7" t="s">
        <v>765</v>
      </c>
      <c r="E198" s="8" t="s">
        <v>766</v>
      </c>
      <c r="F198" s="6" t="s">
        <v>767</v>
      </c>
      <c r="G198" s="9">
        <f>IF(A198=1,"_",IF(C198="_","???",C198))</f>
        <v/>
      </c>
      <c r="H198" s="10" t="s">
        <v>12</v>
      </c>
      <c r="I198" s="11" t="s">
        <v>12</v>
      </c>
      <c r="J198" s="12"/>
    </row>
    <row r="199" spans="1:10" ht="60" customHeight="1">
      <c r="A199" s="6" t="s">
        <v>768</v>
      </c>
      <c r="B199" s="6" t="s">
        <v>70</v>
      </c>
      <c r="C199" s="6" t="s">
        <v>66</v>
      </c>
      <c r="D199" s="7" t="s">
        <v>769</v>
      </c>
      <c r="E199" s="8" t="s">
        <v>770</v>
      </c>
      <c r="F199" s="6" t="s">
        <v>771</v>
      </c>
      <c r="G199" s="9">
        <f>IF(A199=1,"_",IF(C199="_","???",C199))</f>
        <v/>
      </c>
      <c r="H199" s="10" t="s">
        <v>12</v>
      </c>
      <c r="I199" s="11" t="s">
        <v>12</v>
      </c>
      <c r="J199" s="12"/>
    </row>
    <row r="200" spans="1:10" ht="60" customHeight="1">
      <c r="A200" s="6" t="s">
        <v>772</v>
      </c>
      <c r="B200" s="6" t="s">
        <v>11</v>
      </c>
      <c r="C200" s="6" t="s">
        <v>75</v>
      </c>
      <c r="D200" s="7" t="s">
        <v>168</v>
      </c>
      <c r="E200" s="8" t="s">
        <v>773</v>
      </c>
      <c r="F200" s="6" t="s">
        <v>774</v>
      </c>
      <c r="G200" s="9">
        <f>IF(A200=1,"_",IF(C200="_","???",C200))</f>
        <v/>
      </c>
      <c r="H200" s="10" t="s">
        <v>12</v>
      </c>
      <c r="I200" s="11" t="s">
        <v>12</v>
      </c>
      <c r="J200" s="12"/>
    </row>
    <row r="201" spans="1:10" ht="60" customHeight="1">
      <c r="A201" s="6" t="s">
        <v>775</v>
      </c>
      <c r="B201" s="6" t="s">
        <v>16</v>
      </c>
      <c r="C201" s="6" t="s">
        <v>18</v>
      </c>
      <c r="D201" s="7" t="s">
        <v>674</v>
      </c>
      <c r="E201" s="8" t="s">
        <v>776</v>
      </c>
      <c r="F201" s="6" t="s">
        <v>777</v>
      </c>
      <c r="G201" s="9">
        <f>IF(A201=1,"_",IF(C201="_","???",C201))</f>
        <v/>
      </c>
      <c r="H201" s="10" t="s">
        <v>12</v>
      </c>
      <c r="I201" s="11" t="s">
        <v>12</v>
      </c>
      <c r="J201" s="12"/>
    </row>
    <row r="202" spans="1:10" ht="60" customHeight="1">
      <c r="A202" s="6" t="s">
        <v>778</v>
      </c>
      <c r="B202" s="6" t="s">
        <v>11</v>
      </c>
      <c r="C202" s="6" t="s">
        <v>18</v>
      </c>
      <c r="D202" s="7" t="s">
        <v>54</v>
      </c>
      <c r="E202" s="8" t="s">
        <v>779</v>
      </c>
      <c r="F202" s="6" t="s">
        <v>780</v>
      </c>
      <c r="G202" s="9">
        <f>IF(A202=1,"_",IF(C202="_","???",C202))</f>
        <v/>
      </c>
      <c r="H202" s="10" t="s">
        <v>12</v>
      </c>
      <c r="I202" s="11" t="s">
        <v>12</v>
      </c>
      <c r="J202" s="12"/>
    </row>
    <row r="203" spans="1:10" ht="60" customHeight="1">
      <c r="A203" s="6" t="s">
        <v>781</v>
      </c>
      <c r="B203" s="6" t="s">
        <v>16</v>
      </c>
      <c r="C203" s="6" t="s">
        <v>12</v>
      </c>
      <c r="D203" s="7" t="s">
        <v>782</v>
      </c>
      <c r="E203" s="8" t="s">
        <v>783</v>
      </c>
      <c r="F203" s="6" t="s">
        <v>784</v>
      </c>
      <c r="G203" s="9">
        <f>IF(A203=1,"_",IF(C203="_","???",C203))</f>
        <v/>
      </c>
      <c r="H203" s="10" t="s">
        <v>12</v>
      </c>
      <c r="I203" s="11" t="s">
        <v>12</v>
      </c>
      <c r="J203" s="12"/>
    </row>
    <row r="204" spans="1:10" ht="60" customHeight="1">
      <c r="A204" s="6" t="s">
        <v>785</v>
      </c>
      <c r="B204" s="6" t="s">
        <v>31</v>
      </c>
      <c r="C204" s="6" t="s">
        <v>32</v>
      </c>
      <c r="D204" s="7" t="s">
        <v>183</v>
      </c>
      <c r="E204" s="8" t="s">
        <v>786</v>
      </c>
      <c r="F204" s="6" t="s">
        <v>787</v>
      </c>
      <c r="G204" s="9">
        <f>IF(A204=1,"_",IF(C204="_","???",C204))</f>
        <v/>
      </c>
      <c r="H204" s="10" t="s">
        <v>12</v>
      </c>
      <c r="I204" s="11" t="s">
        <v>12</v>
      </c>
      <c r="J204" s="12"/>
    </row>
    <row r="205" spans="1:10" ht="60" customHeight="1">
      <c r="A205" s="6" t="s">
        <v>788</v>
      </c>
      <c r="B205" s="6" t="s">
        <v>31</v>
      </c>
      <c r="C205" s="6" t="s">
        <v>12</v>
      </c>
      <c r="D205" s="7" t="s">
        <v>414</v>
      </c>
      <c r="E205" s="8" t="s">
        <v>789</v>
      </c>
      <c r="F205" s="6" t="s">
        <v>790</v>
      </c>
      <c r="G205" s="9">
        <f>IF(A205=1,"_",IF(C205="_","???",C205))</f>
        <v/>
      </c>
      <c r="H205" s="10" t="s">
        <v>12</v>
      </c>
      <c r="I205" s="11" t="s">
        <v>12</v>
      </c>
      <c r="J205" s="12"/>
    </row>
    <row r="206" spans="1:10" ht="60" customHeight="1">
      <c r="A206" s="6" t="s">
        <v>791</v>
      </c>
      <c r="B206" s="6" t="s">
        <v>16</v>
      </c>
      <c r="C206" s="6" t="s">
        <v>12</v>
      </c>
      <c r="D206" s="7" t="s">
        <v>414</v>
      </c>
      <c r="E206" s="8" t="s">
        <v>792</v>
      </c>
      <c r="F206" s="6" t="s">
        <v>793</v>
      </c>
      <c r="G206" s="9">
        <f>IF(A206=1,"_",IF(C206="_","???",C206))</f>
        <v/>
      </c>
      <c r="H206" s="10" t="s">
        <v>12</v>
      </c>
      <c r="I206" s="11" t="s">
        <v>12</v>
      </c>
      <c r="J206" s="12"/>
    </row>
    <row r="207" spans="1:10" ht="60" customHeight="1">
      <c r="A207" s="6" t="s">
        <v>794</v>
      </c>
      <c r="B207" s="6" t="s">
        <v>10</v>
      </c>
      <c r="C207" s="6" t="s">
        <v>12</v>
      </c>
      <c r="D207" s="7" t="s">
        <v>190</v>
      </c>
      <c r="E207" s="8" t="s">
        <v>190</v>
      </c>
      <c r="F207" s="6" t="s">
        <v>795</v>
      </c>
      <c r="G207" s="9">
        <f>IF(A207=1,"_",IF(C207="_","???",C207))</f>
        <v/>
      </c>
      <c r="H207" s="10" t="s">
        <v>12</v>
      </c>
      <c r="I207" s="11" t="s">
        <v>12</v>
      </c>
      <c r="J207" s="12"/>
    </row>
    <row r="208" spans="1:10" ht="60" customHeight="1">
      <c r="A208" s="6" t="s">
        <v>796</v>
      </c>
      <c r="B208" s="6" t="s">
        <v>11</v>
      </c>
      <c r="C208" s="6" t="s">
        <v>97</v>
      </c>
      <c r="D208" s="7" t="s">
        <v>427</v>
      </c>
      <c r="E208" s="8" t="s">
        <v>797</v>
      </c>
      <c r="F208" s="6" t="s">
        <v>798</v>
      </c>
      <c r="G208" s="9">
        <f>IF(A208=1,"_",IF(C208="_","???",C208))</f>
        <v/>
      </c>
      <c r="H208" s="10" t="s">
        <v>12</v>
      </c>
      <c r="I208" s="11" t="s">
        <v>12</v>
      </c>
      <c r="J208" s="12"/>
    </row>
    <row r="209" spans="1:10" ht="60" customHeight="1">
      <c r="A209" s="6" t="s">
        <v>799</v>
      </c>
      <c r="B209" s="6" t="s">
        <v>104</v>
      </c>
      <c r="C209" s="6" t="s">
        <v>12</v>
      </c>
      <c r="D209" s="7" t="s">
        <v>800</v>
      </c>
      <c r="E209" s="8" t="s">
        <v>801</v>
      </c>
      <c r="F209" s="6" t="s">
        <v>802</v>
      </c>
      <c r="G209" s="9">
        <f>IF(A209=1,"_",IF(C209="_","???",C209))</f>
        <v/>
      </c>
      <c r="H209" s="10" t="s">
        <v>12</v>
      </c>
      <c r="I209" s="11" t="s">
        <v>12</v>
      </c>
      <c r="J209" s="12"/>
    </row>
    <row r="210" spans="1:10" ht="60" customHeight="1">
      <c r="A210" s="6" t="s">
        <v>803</v>
      </c>
      <c r="B210" s="6" t="s">
        <v>31</v>
      </c>
      <c r="C210" s="6" t="s">
        <v>18</v>
      </c>
      <c r="D210" s="7" t="s">
        <v>721</v>
      </c>
      <c r="E210" s="8" t="s">
        <v>804</v>
      </c>
      <c r="F210" s="6" t="s">
        <v>805</v>
      </c>
      <c r="G210" s="9">
        <f>IF(A210=1,"_",IF(C210="_","???",C210))</f>
        <v/>
      </c>
      <c r="H210" s="10" t="s">
        <v>12</v>
      </c>
      <c r="I210" s="11" t="s">
        <v>12</v>
      </c>
      <c r="J210" s="12"/>
    </row>
    <row r="211" spans="1:10" ht="60" customHeight="1">
      <c r="A211" s="6" t="s">
        <v>806</v>
      </c>
      <c r="B211" s="6" t="s">
        <v>31</v>
      </c>
      <c r="C211" s="6" t="s">
        <v>22</v>
      </c>
      <c r="D211" s="7" t="s">
        <v>807</v>
      </c>
      <c r="E211" s="8" t="s">
        <v>808</v>
      </c>
      <c r="F211" s="6" t="s">
        <v>809</v>
      </c>
      <c r="G211" s="9">
        <f>IF(A211=1,"_",IF(C211="_","???",C211))</f>
        <v/>
      </c>
      <c r="H211" s="10" t="s">
        <v>12</v>
      </c>
      <c r="I211" s="11" t="s">
        <v>12</v>
      </c>
      <c r="J211" s="12"/>
    </row>
    <row r="212" spans="1:10" ht="60" customHeight="1">
      <c r="A212" s="6" t="s">
        <v>810</v>
      </c>
      <c r="B212" s="6" t="s">
        <v>27</v>
      </c>
      <c r="C212" s="6" t="s">
        <v>501</v>
      </c>
      <c r="D212" s="7" t="s">
        <v>811</v>
      </c>
      <c r="E212" s="8" t="s">
        <v>812</v>
      </c>
      <c r="F212" s="6" t="s">
        <v>813</v>
      </c>
      <c r="G212" s="9">
        <f>IF(A212=1,"_",IF(C212="_","???",C212))</f>
        <v/>
      </c>
      <c r="H212" s="10" t="s">
        <v>12</v>
      </c>
      <c r="I212" s="11" t="s">
        <v>12</v>
      </c>
      <c r="J212" s="12"/>
    </row>
    <row r="213" spans="1:10" ht="60" customHeight="1">
      <c r="A213" s="6" t="s">
        <v>814</v>
      </c>
      <c r="B213" s="6" t="s">
        <v>31</v>
      </c>
      <c r="C213" s="6" t="s">
        <v>18</v>
      </c>
      <c r="D213" s="7" t="s">
        <v>183</v>
      </c>
      <c r="E213" s="8" t="s">
        <v>815</v>
      </c>
      <c r="F213" s="6" t="s">
        <v>816</v>
      </c>
      <c r="G213" s="9">
        <f>IF(A213=1,"_",IF(C213="_","???",C213))</f>
        <v/>
      </c>
      <c r="H213" s="10" t="s">
        <v>12</v>
      </c>
      <c r="I213" s="11" t="s">
        <v>12</v>
      </c>
      <c r="J213" s="12"/>
    </row>
    <row r="214" spans="1:10" ht="60" customHeight="1">
      <c r="A214" s="6" t="s">
        <v>817</v>
      </c>
      <c r="B214" s="6" t="s">
        <v>11</v>
      </c>
      <c r="C214" s="6" t="s">
        <v>18</v>
      </c>
      <c r="D214" s="7" t="s">
        <v>818</v>
      </c>
      <c r="E214" s="8" t="s">
        <v>819</v>
      </c>
      <c r="F214" s="6" t="s">
        <v>820</v>
      </c>
      <c r="G214" s="9">
        <f>IF(A214=1,"_",IF(C214="_","???",C214))</f>
        <v/>
      </c>
      <c r="H214" s="10" t="s">
        <v>12</v>
      </c>
      <c r="I214" s="11" t="s">
        <v>12</v>
      </c>
      <c r="J214" s="12"/>
    </row>
    <row r="215" spans="1:10" ht="60" customHeight="1">
      <c r="A215" s="6" t="s">
        <v>821</v>
      </c>
      <c r="B215" s="6" t="s">
        <v>10</v>
      </c>
      <c r="C215" s="6" t="s">
        <v>12</v>
      </c>
      <c r="D215" s="7" t="s">
        <v>822</v>
      </c>
      <c r="E215" s="8" t="s">
        <v>823</v>
      </c>
      <c r="F215" s="6" t="s">
        <v>824</v>
      </c>
      <c r="G215" s="9">
        <f>IF(A215=1,"_",IF(C215="_","???",C215))</f>
        <v/>
      </c>
      <c r="H215" s="10" t="s">
        <v>12</v>
      </c>
      <c r="I215" s="11" t="s">
        <v>12</v>
      </c>
      <c r="J215" s="12"/>
    </row>
    <row r="216" spans="1:10" ht="60" customHeight="1">
      <c r="A216" s="6" t="s">
        <v>825</v>
      </c>
      <c r="B216" s="6" t="s">
        <v>11</v>
      </c>
      <c r="C216" s="6" t="s">
        <v>18</v>
      </c>
      <c r="D216" s="7" t="s">
        <v>826</v>
      </c>
      <c r="E216" s="8" t="s">
        <v>827</v>
      </c>
      <c r="F216" s="6" t="s">
        <v>828</v>
      </c>
      <c r="G216" s="9">
        <f>IF(A216=1,"_",IF(C216="_","???",C216))</f>
        <v/>
      </c>
      <c r="H216" s="10" t="s">
        <v>12</v>
      </c>
      <c r="I216" s="11" t="s">
        <v>12</v>
      </c>
      <c r="J216" s="12"/>
    </row>
    <row r="217" spans="1:10" ht="60" customHeight="1">
      <c r="A217" s="6" t="s">
        <v>829</v>
      </c>
      <c r="B217" s="6" t="s">
        <v>26</v>
      </c>
      <c r="C217" s="6" t="s">
        <v>97</v>
      </c>
      <c r="D217" s="7" t="s">
        <v>183</v>
      </c>
      <c r="E217" s="8" t="s">
        <v>830</v>
      </c>
      <c r="F217" s="6" t="s">
        <v>831</v>
      </c>
      <c r="G217" s="9">
        <f>IF(A217=1,"_",IF(C217="_","???",C217))</f>
        <v/>
      </c>
      <c r="H217" s="10" t="s">
        <v>12</v>
      </c>
      <c r="I217" s="11" t="s">
        <v>12</v>
      </c>
      <c r="J217" s="12"/>
    </row>
    <row r="218" spans="1:10" ht="60" customHeight="1">
      <c r="A218" s="6" t="s">
        <v>832</v>
      </c>
      <c r="B218" s="6" t="s">
        <v>10</v>
      </c>
      <c r="C218" s="6" t="s">
        <v>12</v>
      </c>
      <c r="D218" s="7" t="s">
        <v>190</v>
      </c>
      <c r="E218" s="8" t="s">
        <v>190</v>
      </c>
      <c r="F218" s="6" t="s">
        <v>833</v>
      </c>
      <c r="G218" s="9">
        <f>IF(A218=1,"_",IF(C218="_","???",C218))</f>
        <v/>
      </c>
      <c r="H218" s="10" t="s">
        <v>12</v>
      </c>
      <c r="I218" s="11" t="s">
        <v>12</v>
      </c>
      <c r="J218" s="12"/>
    </row>
    <row r="219" spans="1:10" ht="60" customHeight="1">
      <c r="A219" s="6" t="s">
        <v>834</v>
      </c>
      <c r="B219" s="6" t="s">
        <v>60</v>
      </c>
      <c r="C219" s="6" t="s">
        <v>18</v>
      </c>
      <c r="D219" s="7" t="s">
        <v>835</v>
      </c>
      <c r="E219" s="8" t="s">
        <v>836</v>
      </c>
      <c r="F219" s="6" t="s">
        <v>837</v>
      </c>
      <c r="G219" s="9">
        <f>IF(A219=1,"_",IF(C219="_","???",C219))</f>
        <v/>
      </c>
      <c r="H219" s="10" t="s">
        <v>12</v>
      </c>
      <c r="I219" s="11" t="s">
        <v>12</v>
      </c>
      <c r="J219" s="12"/>
    </row>
    <row r="220" spans="1:10" ht="60" customHeight="1">
      <c r="A220" s="6" t="s">
        <v>838</v>
      </c>
      <c r="B220" s="6" t="s">
        <v>16</v>
      </c>
      <c r="C220" s="6" t="s">
        <v>75</v>
      </c>
      <c r="D220" s="7" t="s">
        <v>674</v>
      </c>
      <c r="E220" s="8" t="s">
        <v>839</v>
      </c>
      <c r="F220" s="6" t="s">
        <v>840</v>
      </c>
      <c r="G220" s="9">
        <f>IF(A220=1,"_",IF(C220="_","???",C220))</f>
        <v/>
      </c>
      <c r="H220" s="10" t="s">
        <v>12</v>
      </c>
      <c r="I220" s="11" t="s">
        <v>12</v>
      </c>
      <c r="J220" s="12"/>
    </row>
    <row r="221" spans="1:10" ht="60" customHeight="1">
      <c r="A221" s="6" t="s">
        <v>841</v>
      </c>
      <c r="B221" s="6" t="s">
        <v>79</v>
      </c>
      <c r="C221" s="6" t="s">
        <v>18</v>
      </c>
      <c r="D221" s="7" t="s">
        <v>93</v>
      </c>
      <c r="E221" s="8" t="s">
        <v>842</v>
      </c>
      <c r="F221" s="6" t="s">
        <v>843</v>
      </c>
      <c r="G221" s="9">
        <f>IF(A221=1,"_",IF(C221="_","???",C221))</f>
        <v/>
      </c>
      <c r="H221" s="10" t="s">
        <v>12</v>
      </c>
      <c r="I221" s="11" t="s">
        <v>12</v>
      </c>
      <c r="J221" s="12"/>
    </row>
    <row r="222" spans="1:10" ht="60" customHeight="1">
      <c r="A222" s="6" t="s">
        <v>844</v>
      </c>
      <c r="B222" s="6" t="s">
        <v>11</v>
      </c>
      <c r="C222" s="6" t="s">
        <v>22</v>
      </c>
      <c r="D222" s="7" t="s">
        <v>845</v>
      </c>
      <c r="E222" s="8" t="s">
        <v>846</v>
      </c>
      <c r="F222" s="6" t="s">
        <v>847</v>
      </c>
      <c r="G222" s="9">
        <f>IF(A222=1,"_",IF(C222="_","???",C222))</f>
        <v/>
      </c>
      <c r="H222" s="10" t="s">
        <v>12</v>
      </c>
      <c r="I222" s="11" t="s">
        <v>12</v>
      </c>
      <c r="J222" s="12"/>
    </row>
    <row r="223" spans="1:10" ht="60" customHeight="1">
      <c r="A223" s="6" t="s">
        <v>848</v>
      </c>
      <c r="B223" s="6" t="s">
        <v>16</v>
      </c>
      <c r="C223" s="6" t="s">
        <v>75</v>
      </c>
      <c r="D223" s="7" t="s">
        <v>849</v>
      </c>
      <c r="E223" s="8" t="s">
        <v>850</v>
      </c>
      <c r="F223" s="6" t="s">
        <v>851</v>
      </c>
      <c r="G223" s="9">
        <f>IF(A223=1,"_",IF(C223="_","???",C223))</f>
        <v/>
      </c>
      <c r="H223" s="10" t="s">
        <v>12</v>
      </c>
      <c r="I223" s="11" t="s">
        <v>12</v>
      </c>
      <c r="J223" s="12"/>
    </row>
    <row r="224" spans="1:10" ht="60" customHeight="1">
      <c r="A224" s="6" t="s">
        <v>852</v>
      </c>
      <c r="B224" s="6" t="s">
        <v>16</v>
      </c>
      <c r="C224" s="6" t="s">
        <v>49</v>
      </c>
      <c r="D224" s="7" t="s">
        <v>853</v>
      </c>
      <c r="E224" s="8" t="s">
        <v>854</v>
      </c>
      <c r="F224" s="6" t="s">
        <v>855</v>
      </c>
      <c r="G224" s="9">
        <f>IF(A224=1,"_",IF(C224="_","???",C224))</f>
        <v/>
      </c>
      <c r="H224" s="10" t="s">
        <v>12</v>
      </c>
      <c r="I224" s="11" t="s">
        <v>12</v>
      </c>
      <c r="J224" s="12"/>
    </row>
    <row r="225" spans="1:10" ht="60" customHeight="1">
      <c r="A225" s="6" t="s">
        <v>856</v>
      </c>
      <c r="B225" s="6" t="s">
        <v>16</v>
      </c>
      <c r="C225" s="6" t="s">
        <v>18</v>
      </c>
      <c r="D225" s="7" t="s">
        <v>857</v>
      </c>
      <c r="E225" s="8" t="s">
        <v>858</v>
      </c>
      <c r="F225" s="6" t="s">
        <v>859</v>
      </c>
      <c r="G225" s="9">
        <f>IF(A225=1,"_",IF(C225="_","???",C225))</f>
        <v/>
      </c>
      <c r="H225" s="10" t="s">
        <v>12</v>
      </c>
      <c r="I225" s="11" t="s">
        <v>12</v>
      </c>
      <c r="J225" s="12"/>
    </row>
    <row r="226" spans="1:10" ht="60" customHeight="1">
      <c r="A226" s="6" t="s">
        <v>860</v>
      </c>
      <c r="B226" s="6" t="s">
        <v>10</v>
      </c>
      <c r="C226" s="6" t="s">
        <v>12</v>
      </c>
      <c r="D226" s="7" t="s">
        <v>861</v>
      </c>
      <c r="E226" s="8" t="s">
        <v>862</v>
      </c>
      <c r="F226" s="6" t="s">
        <v>863</v>
      </c>
      <c r="G226" s="9">
        <f>IF(A226=1,"_",IF(C226="_","???",C226))</f>
        <v/>
      </c>
      <c r="H226" s="10" t="s">
        <v>12</v>
      </c>
      <c r="I226" s="11" t="s">
        <v>12</v>
      </c>
      <c r="J226" s="12"/>
    </row>
    <row r="227" spans="1:10" ht="60" customHeight="1">
      <c r="A227" s="6" t="s">
        <v>864</v>
      </c>
      <c r="B227" s="6" t="s">
        <v>27</v>
      </c>
      <c r="C227" s="6" t="s">
        <v>97</v>
      </c>
      <c r="D227" s="7" t="s">
        <v>515</v>
      </c>
      <c r="E227" s="8" t="s">
        <v>865</v>
      </c>
      <c r="F227" s="6" t="s">
        <v>866</v>
      </c>
      <c r="G227" s="9">
        <f>IF(A227=1,"_",IF(C227="_","???",C227))</f>
        <v/>
      </c>
      <c r="H227" s="10" t="s">
        <v>12</v>
      </c>
      <c r="I227" s="11" t="s">
        <v>12</v>
      </c>
      <c r="J227" s="12"/>
    </row>
    <row r="228" spans="1:10" ht="60" customHeight="1">
      <c r="A228" s="6" t="s">
        <v>867</v>
      </c>
      <c r="B228" s="6" t="s">
        <v>26</v>
      </c>
      <c r="C228" s="6" t="s">
        <v>61</v>
      </c>
      <c r="D228" s="7" t="s">
        <v>868</v>
      </c>
      <c r="E228" s="8" t="s">
        <v>869</v>
      </c>
      <c r="F228" s="6" t="s">
        <v>870</v>
      </c>
      <c r="G228" s="9">
        <f>IF(A228=1,"_",IF(C228="_","???",C228))</f>
        <v/>
      </c>
      <c r="H228" s="10" t="s">
        <v>12</v>
      </c>
      <c r="I228" s="11" t="s">
        <v>12</v>
      </c>
      <c r="J228" s="12"/>
    </row>
    <row r="229" spans="1:10" ht="60" customHeight="1">
      <c r="A229" s="6" t="s">
        <v>871</v>
      </c>
      <c r="B229" s="6" t="s">
        <v>16</v>
      </c>
      <c r="C229" s="6" t="s">
        <v>12</v>
      </c>
      <c r="D229" s="7" t="s">
        <v>286</v>
      </c>
      <c r="E229" s="8" t="s">
        <v>872</v>
      </c>
      <c r="F229" s="6" t="s">
        <v>873</v>
      </c>
      <c r="G229" s="9">
        <f>IF(A229=1,"_",IF(C229="_","???",C229))</f>
        <v/>
      </c>
      <c r="H229" s="10" t="s">
        <v>12</v>
      </c>
      <c r="I229" s="11" t="s">
        <v>12</v>
      </c>
      <c r="J229" s="12"/>
    </row>
    <row r="230" spans="1:10" ht="60" customHeight="1">
      <c r="A230" s="6" t="s">
        <v>874</v>
      </c>
      <c r="B230" s="6" t="s">
        <v>44</v>
      </c>
      <c r="C230" s="6" t="s">
        <v>18</v>
      </c>
      <c r="D230" s="7" t="s">
        <v>54</v>
      </c>
      <c r="E230" s="8" t="s">
        <v>875</v>
      </c>
      <c r="F230" s="6" t="s">
        <v>876</v>
      </c>
      <c r="G230" s="9">
        <f>IF(A230=1,"_",IF(C230="_","???",C230))</f>
        <v/>
      </c>
      <c r="H230" s="10" t="s">
        <v>12</v>
      </c>
      <c r="I230" s="11" t="s">
        <v>12</v>
      </c>
      <c r="J230" s="12"/>
    </row>
    <row r="231" spans="1:10" ht="60" customHeight="1">
      <c r="A231" s="6" t="s">
        <v>877</v>
      </c>
      <c r="B231" s="6" t="s">
        <v>31</v>
      </c>
      <c r="C231" s="6" t="s">
        <v>49</v>
      </c>
      <c r="D231" s="7" t="s">
        <v>878</v>
      </c>
      <c r="E231" s="8" t="s">
        <v>879</v>
      </c>
      <c r="F231" s="6" t="s">
        <v>880</v>
      </c>
      <c r="G231" s="9">
        <f>IF(A231=1,"_",IF(C231="_","???",C231))</f>
        <v/>
      </c>
      <c r="H231" s="10" t="s">
        <v>12</v>
      </c>
      <c r="I231" s="11" t="s">
        <v>12</v>
      </c>
      <c r="J231" s="12"/>
    </row>
    <row r="232" spans="1:10" ht="60" customHeight="1">
      <c r="A232" s="6" t="s">
        <v>881</v>
      </c>
      <c r="B232" s="6" t="s">
        <v>31</v>
      </c>
      <c r="C232" s="6" t="s">
        <v>12</v>
      </c>
      <c r="D232" s="7" t="s">
        <v>414</v>
      </c>
      <c r="E232" s="8" t="s">
        <v>882</v>
      </c>
      <c r="F232" s="6" t="s">
        <v>883</v>
      </c>
      <c r="G232" s="9">
        <f>IF(A232=1,"_",IF(C232="_","???",C232))</f>
        <v/>
      </c>
      <c r="H232" s="10" t="s">
        <v>12</v>
      </c>
      <c r="I232" s="11" t="s">
        <v>12</v>
      </c>
      <c r="J232" s="12"/>
    </row>
    <row r="233" spans="1:10" ht="60" customHeight="1">
      <c r="A233" s="6" t="s">
        <v>884</v>
      </c>
      <c r="B233" s="6" t="s">
        <v>44</v>
      </c>
      <c r="C233" s="6" t="s">
        <v>12</v>
      </c>
      <c r="D233" s="7" t="s">
        <v>885</v>
      </c>
      <c r="E233" s="8" t="s">
        <v>886</v>
      </c>
      <c r="F233" s="6" t="s">
        <v>887</v>
      </c>
      <c r="G233" s="9">
        <f>IF(A233=1,"_",IF(C233="_","???",C233))</f>
        <v/>
      </c>
      <c r="H233" s="10" t="s">
        <v>12</v>
      </c>
      <c r="I233" s="11" t="s">
        <v>12</v>
      </c>
      <c r="J233" s="12"/>
    </row>
    <row r="234" spans="1:10" ht="60" customHeight="1">
      <c r="A234" s="6" t="s">
        <v>888</v>
      </c>
      <c r="B234" s="6" t="s">
        <v>16</v>
      </c>
      <c r="C234" s="6" t="s">
        <v>256</v>
      </c>
      <c r="D234" s="7" t="s">
        <v>889</v>
      </c>
      <c r="E234" s="8" t="s">
        <v>890</v>
      </c>
      <c r="F234" s="6" t="s">
        <v>891</v>
      </c>
      <c r="G234" s="9">
        <f>IF(A234=1,"_",IF(C234="_","???",C234))</f>
        <v/>
      </c>
      <c r="H234" s="10" t="s">
        <v>12</v>
      </c>
      <c r="I234" s="11" t="s">
        <v>12</v>
      </c>
      <c r="J234" s="12"/>
    </row>
    <row r="235" spans="1:10" ht="60" customHeight="1">
      <c r="A235" s="6" t="s">
        <v>892</v>
      </c>
      <c r="B235" s="6" t="s">
        <v>44</v>
      </c>
      <c r="C235" s="6" t="s">
        <v>12</v>
      </c>
      <c r="D235" s="7" t="s">
        <v>485</v>
      </c>
      <c r="E235" s="8" t="s">
        <v>893</v>
      </c>
      <c r="F235" s="6" t="s">
        <v>894</v>
      </c>
      <c r="G235" s="9">
        <f>IF(A235=1,"_",IF(C235="_","???",C235))</f>
        <v/>
      </c>
      <c r="H235" s="10" t="s">
        <v>12</v>
      </c>
      <c r="I235" s="11" t="s">
        <v>12</v>
      </c>
      <c r="J235" s="12"/>
    </row>
    <row r="236" spans="1:10" ht="60" customHeight="1">
      <c r="A236" s="6" t="s">
        <v>895</v>
      </c>
      <c r="B236" s="6" t="s">
        <v>27</v>
      </c>
      <c r="C236" s="6" t="s">
        <v>97</v>
      </c>
      <c r="D236" s="7" t="s">
        <v>896</v>
      </c>
      <c r="E236" s="8" t="s">
        <v>897</v>
      </c>
      <c r="F236" s="6" t="s">
        <v>898</v>
      </c>
      <c r="G236" s="9">
        <f>IF(A236=1,"_",IF(C236="_","???",C236))</f>
        <v/>
      </c>
      <c r="H236" s="10" t="s">
        <v>12</v>
      </c>
      <c r="I236" s="11" t="s">
        <v>12</v>
      </c>
      <c r="J236" s="12"/>
    </row>
    <row r="237" spans="1:10" ht="60" customHeight="1">
      <c r="A237" s="6" t="s">
        <v>899</v>
      </c>
      <c r="B237" s="6" t="s">
        <v>16</v>
      </c>
      <c r="C237" s="6" t="s">
        <v>12</v>
      </c>
      <c r="D237" s="7" t="s">
        <v>900</v>
      </c>
      <c r="E237" s="8" t="s">
        <v>901</v>
      </c>
      <c r="F237" s="6" t="s">
        <v>902</v>
      </c>
      <c r="G237" s="9">
        <f>IF(A237=1,"_",IF(C237="_","???",C237))</f>
        <v/>
      </c>
      <c r="H237" s="10" t="s">
        <v>12</v>
      </c>
      <c r="I237" s="11" t="s">
        <v>12</v>
      </c>
      <c r="J237" s="12"/>
    </row>
    <row r="238" spans="1:10" ht="60" customHeight="1">
      <c r="A238" s="6" t="s">
        <v>903</v>
      </c>
      <c r="B238" s="6" t="s">
        <v>121</v>
      </c>
      <c r="C238" s="6" t="s">
        <v>18</v>
      </c>
      <c r="D238" s="7" t="s">
        <v>904</v>
      </c>
      <c r="E238" s="8" t="s">
        <v>905</v>
      </c>
      <c r="F238" s="6" t="s">
        <v>906</v>
      </c>
      <c r="G238" s="9">
        <f>IF(A238=1,"_",IF(C238="_","???",C238))</f>
        <v/>
      </c>
      <c r="H238" s="10" t="s">
        <v>12</v>
      </c>
      <c r="I238" s="11" t="s">
        <v>12</v>
      </c>
      <c r="J238" s="12"/>
    </row>
    <row r="239" spans="1:10" ht="60" customHeight="1">
      <c r="A239" s="6" t="s">
        <v>907</v>
      </c>
      <c r="B239" s="6" t="s">
        <v>27</v>
      </c>
      <c r="C239" s="6" t="s">
        <v>18</v>
      </c>
      <c r="D239" s="7" t="s">
        <v>183</v>
      </c>
      <c r="E239" s="8" t="s">
        <v>908</v>
      </c>
      <c r="F239" s="6" t="s">
        <v>909</v>
      </c>
      <c r="G239" s="9">
        <f>IF(A239=1,"_",IF(C239="_","???",C239))</f>
        <v/>
      </c>
      <c r="H239" s="10" t="s">
        <v>12</v>
      </c>
      <c r="I239" s="11" t="s">
        <v>12</v>
      </c>
      <c r="J239" s="12"/>
    </row>
    <row r="240" spans="1:10" ht="60" customHeight="1">
      <c r="A240" s="6" t="s">
        <v>910</v>
      </c>
      <c r="B240" s="6" t="s">
        <v>17</v>
      </c>
      <c r="C240" s="6" t="s">
        <v>32</v>
      </c>
      <c r="D240" s="7" t="s">
        <v>105</v>
      </c>
      <c r="E240" s="8" t="s">
        <v>911</v>
      </c>
      <c r="F240" s="6" t="s">
        <v>912</v>
      </c>
      <c r="G240" s="9">
        <f>IF(A240=1,"_",IF(C240="_","???",C240))</f>
        <v/>
      </c>
      <c r="H240" s="10" t="s">
        <v>12</v>
      </c>
      <c r="I240" s="11" t="s">
        <v>12</v>
      </c>
      <c r="J240" s="12"/>
    </row>
    <row r="241" spans="1:10" ht="60" customHeight="1">
      <c r="A241" s="6" t="s">
        <v>913</v>
      </c>
      <c r="B241" s="6" t="s">
        <v>16</v>
      </c>
      <c r="C241" s="6" t="s">
        <v>75</v>
      </c>
      <c r="D241" s="7" t="s">
        <v>914</v>
      </c>
      <c r="E241" s="8" t="s">
        <v>915</v>
      </c>
      <c r="F241" s="6" t="s">
        <v>916</v>
      </c>
      <c r="G241" s="9">
        <f>IF(A241=1,"_",IF(C241="_","???",C241))</f>
        <v/>
      </c>
      <c r="H241" s="10" t="s">
        <v>12</v>
      </c>
      <c r="I241" s="11" t="s">
        <v>12</v>
      </c>
      <c r="J241" s="12"/>
    </row>
    <row r="242" spans="1:10" ht="60" customHeight="1">
      <c r="A242" s="6" t="s">
        <v>917</v>
      </c>
      <c r="B242" s="6" t="s">
        <v>11</v>
      </c>
      <c r="C242" s="6" t="s">
        <v>12</v>
      </c>
      <c r="D242" s="7" t="s">
        <v>918</v>
      </c>
      <c r="E242" s="8" t="s">
        <v>919</v>
      </c>
      <c r="F242" s="6" t="s">
        <v>920</v>
      </c>
      <c r="G242" s="9">
        <f>IF(A242=1,"_",IF(C242="_","???",C242))</f>
        <v/>
      </c>
      <c r="H242" s="10" t="s">
        <v>12</v>
      </c>
      <c r="I242" s="11" t="s">
        <v>12</v>
      </c>
      <c r="J242" s="12"/>
    </row>
    <row r="243" spans="1:10" ht="60" customHeight="1">
      <c r="A243" s="6" t="s">
        <v>921</v>
      </c>
      <c r="B243" s="6" t="s">
        <v>11</v>
      </c>
      <c r="C243" s="6" t="s">
        <v>61</v>
      </c>
      <c r="D243" s="7" t="s">
        <v>656</v>
      </c>
      <c r="E243" s="8" t="s">
        <v>922</v>
      </c>
      <c r="F243" s="6" t="s">
        <v>923</v>
      </c>
      <c r="G243" s="9">
        <f>IF(A243=1,"_",IF(C243="_","???",C243))</f>
        <v/>
      </c>
      <c r="H243" s="10" t="s">
        <v>12</v>
      </c>
      <c r="I243" s="11" t="s">
        <v>12</v>
      </c>
      <c r="J243" s="12"/>
    </row>
    <row r="244" spans="1:10" ht="60" customHeight="1">
      <c r="A244" s="6" t="s">
        <v>924</v>
      </c>
      <c r="B244" s="6" t="s">
        <v>27</v>
      </c>
      <c r="C244" s="6" t="s">
        <v>75</v>
      </c>
      <c r="D244" s="7" t="s">
        <v>925</v>
      </c>
      <c r="E244" s="8" t="s">
        <v>926</v>
      </c>
      <c r="F244" s="6" t="s">
        <v>927</v>
      </c>
      <c r="G244" s="9">
        <f>IF(A244=1,"_",IF(C244="_","???",C244))</f>
        <v/>
      </c>
      <c r="H244" s="10" t="s">
        <v>12</v>
      </c>
      <c r="I244" s="11" t="s">
        <v>12</v>
      </c>
      <c r="J244" s="12"/>
    </row>
    <row r="245" spans="1:10" ht="60" customHeight="1">
      <c r="A245" s="6" t="s">
        <v>928</v>
      </c>
      <c r="B245" s="6" t="s">
        <v>26</v>
      </c>
      <c r="C245" s="6" t="s">
        <v>61</v>
      </c>
      <c r="D245" s="7" t="s">
        <v>270</v>
      </c>
      <c r="E245" s="8" t="s">
        <v>929</v>
      </c>
      <c r="F245" s="6" t="s">
        <v>930</v>
      </c>
      <c r="G245" s="9">
        <f>IF(A245=1,"_",IF(C245="_","???",C245))</f>
        <v/>
      </c>
      <c r="H245" s="10" t="s">
        <v>12</v>
      </c>
      <c r="I245" s="11" t="s">
        <v>12</v>
      </c>
      <c r="J245" s="12"/>
    </row>
    <row r="246" spans="1:10" ht="60" customHeight="1">
      <c r="A246" s="6" t="s">
        <v>931</v>
      </c>
      <c r="B246" s="6" t="s">
        <v>11</v>
      </c>
      <c r="C246" s="6" t="s">
        <v>61</v>
      </c>
      <c r="D246" s="7" t="s">
        <v>270</v>
      </c>
      <c r="E246" s="8" t="s">
        <v>932</v>
      </c>
      <c r="F246" s="6" t="s">
        <v>933</v>
      </c>
      <c r="G246" s="9">
        <f>IF(A246=1,"_",IF(C246="_","???",C246))</f>
        <v/>
      </c>
      <c r="H246" s="10" t="s">
        <v>12</v>
      </c>
      <c r="I246" s="11" t="s">
        <v>12</v>
      </c>
      <c r="J246" s="12"/>
    </row>
    <row r="247" spans="1:10" ht="60" customHeight="1">
      <c r="A247" s="6" t="s">
        <v>934</v>
      </c>
      <c r="B247" s="6" t="s">
        <v>36</v>
      </c>
      <c r="C247" s="6" t="s">
        <v>40</v>
      </c>
      <c r="D247" s="7" t="s">
        <v>935</v>
      </c>
      <c r="E247" s="8" t="s">
        <v>936</v>
      </c>
      <c r="F247" s="6" t="s">
        <v>937</v>
      </c>
      <c r="G247" s="9">
        <f>IF(A247=1,"_",IF(C247="_","???",C247))</f>
        <v/>
      </c>
      <c r="H247" s="10" t="s">
        <v>12</v>
      </c>
      <c r="I247" s="11" t="s">
        <v>12</v>
      </c>
      <c r="J247" s="12"/>
    </row>
    <row r="248" spans="1:10" ht="60" customHeight="1">
      <c r="A248" s="6" t="s">
        <v>938</v>
      </c>
      <c r="B248" s="6" t="s">
        <v>53</v>
      </c>
      <c r="C248" s="6" t="s">
        <v>75</v>
      </c>
      <c r="D248" s="7" t="s">
        <v>76</v>
      </c>
      <c r="E248" s="8" t="s">
        <v>939</v>
      </c>
      <c r="F248" s="6" t="s">
        <v>940</v>
      </c>
      <c r="G248" s="9">
        <f>IF(A248=1,"_",IF(C248="_","???",C248))</f>
        <v/>
      </c>
      <c r="H248" s="10" t="s">
        <v>12</v>
      </c>
      <c r="I248" s="11" t="s">
        <v>12</v>
      </c>
      <c r="J248" s="12"/>
    </row>
    <row r="249" spans="1:10" ht="60" customHeight="1">
      <c r="A249" s="6" t="s">
        <v>941</v>
      </c>
      <c r="B249" s="6" t="s">
        <v>17</v>
      </c>
      <c r="C249" s="6" t="s">
        <v>327</v>
      </c>
      <c r="D249" s="7" t="s">
        <v>168</v>
      </c>
      <c r="E249" s="8" t="s">
        <v>942</v>
      </c>
      <c r="F249" s="6" t="s">
        <v>943</v>
      </c>
      <c r="G249" s="9">
        <f>IF(A249=1,"_",IF(C249="_","???",C249))</f>
        <v/>
      </c>
      <c r="H249" s="10" t="s">
        <v>12</v>
      </c>
      <c r="I249" s="11" t="s">
        <v>12</v>
      </c>
      <c r="J249" s="12"/>
    </row>
    <row r="250" spans="1:10" ht="60" customHeight="1">
      <c r="A250" s="6" t="s">
        <v>944</v>
      </c>
      <c r="B250" s="6" t="s">
        <v>11</v>
      </c>
      <c r="C250" s="6" t="s">
        <v>18</v>
      </c>
      <c r="D250" s="7" t="s">
        <v>13</v>
      </c>
      <c r="E250" s="8" t="s">
        <v>945</v>
      </c>
      <c r="F250" s="6" t="s">
        <v>946</v>
      </c>
      <c r="G250" s="9">
        <f>IF(A250=1,"_",IF(C250="_","???",C250))</f>
        <v/>
      </c>
      <c r="H250" s="10" t="s">
        <v>12</v>
      </c>
      <c r="I250" s="11" t="s">
        <v>12</v>
      </c>
      <c r="J250" s="12"/>
    </row>
    <row r="251" spans="1:10" ht="60" customHeight="1">
      <c r="A251" s="6" t="s">
        <v>947</v>
      </c>
      <c r="B251" s="6" t="s">
        <v>108</v>
      </c>
      <c r="C251" s="6" t="s">
        <v>18</v>
      </c>
      <c r="D251" s="7" t="s">
        <v>948</v>
      </c>
      <c r="E251" s="8" t="s">
        <v>949</v>
      </c>
      <c r="F251" s="6" t="s">
        <v>950</v>
      </c>
      <c r="G251" s="9">
        <f>IF(A251=1,"_",IF(C251="_","???",C251))</f>
        <v/>
      </c>
      <c r="H251" s="10" t="s">
        <v>12</v>
      </c>
      <c r="I251" s="11" t="s">
        <v>12</v>
      </c>
      <c r="J251" s="12"/>
    </row>
    <row r="252" spans="1:10" ht="60" customHeight="1">
      <c r="A252" s="6" t="s">
        <v>951</v>
      </c>
      <c r="B252" s="6" t="s">
        <v>11</v>
      </c>
      <c r="C252" s="6" t="s">
        <v>401</v>
      </c>
      <c r="D252" s="7" t="s">
        <v>952</v>
      </c>
      <c r="E252" s="8" t="s">
        <v>953</v>
      </c>
      <c r="F252" s="6" t="s">
        <v>954</v>
      </c>
      <c r="G252" s="9">
        <f>IF(A252=1,"_",IF(C252="_","???",C252))</f>
        <v/>
      </c>
      <c r="H252" s="10" t="s">
        <v>12</v>
      </c>
      <c r="I252" s="11" t="s">
        <v>12</v>
      </c>
      <c r="J252" s="12"/>
    </row>
    <row r="253" spans="1:10" ht="60" customHeight="1">
      <c r="A253" s="6" t="s">
        <v>955</v>
      </c>
      <c r="B253" s="6" t="s">
        <v>27</v>
      </c>
      <c r="C253" s="6" t="s">
        <v>12</v>
      </c>
      <c r="D253" s="7" t="s">
        <v>956</v>
      </c>
      <c r="E253" s="8" t="s">
        <v>957</v>
      </c>
      <c r="F253" s="6" t="s">
        <v>958</v>
      </c>
      <c r="G253" s="9">
        <f>IF(A253=1,"_",IF(C253="_","???",C253))</f>
        <v/>
      </c>
      <c r="H253" s="10" t="s">
        <v>12</v>
      </c>
      <c r="I253" s="11" t="s">
        <v>12</v>
      </c>
      <c r="J253" s="12"/>
    </row>
    <row r="254" spans="1:10" ht="60" customHeight="1">
      <c r="A254" s="6" t="s">
        <v>959</v>
      </c>
      <c r="B254" s="6" t="s">
        <v>10</v>
      </c>
      <c r="C254" s="6" t="s">
        <v>12</v>
      </c>
      <c r="D254" s="7" t="s">
        <v>960</v>
      </c>
      <c r="E254" s="8" t="s">
        <v>961</v>
      </c>
      <c r="F254" s="6" t="s">
        <v>962</v>
      </c>
      <c r="G254" s="9">
        <f>IF(A254=1,"_",IF(C254="_","???",C254))</f>
        <v/>
      </c>
      <c r="H254" s="10" t="s">
        <v>12</v>
      </c>
      <c r="I254" s="11" t="s">
        <v>12</v>
      </c>
      <c r="J25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78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963</v>
      </c>
      <c r="B1" s="13" t="s">
        <v>964</v>
      </c>
      <c r="C1" s="13" t="s">
        <v>965</v>
      </c>
      <c r="D1" s="13" t="s">
        <v>966</v>
      </c>
      <c r="E1" s="14" t="s">
        <v>967</v>
      </c>
      <c r="F1" s="15" t="s">
        <v>968</v>
      </c>
      <c r="G1" s="16" t="s">
        <v>969</v>
      </c>
      <c r="H1" s="17" t="s">
        <v>970</v>
      </c>
      <c r="I1" s="18" t="s">
        <v>971</v>
      </c>
      <c r="J1" s="18" t="s">
        <v>972</v>
      </c>
      <c r="K1" s="18" t="s">
        <v>973</v>
      </c>
      <c r="L1" s="19" t="s">
        <v>9</v>
      </c>
    </row>
    <row r="2" spans="1:12">
      <c r="A2" s="20" t="s">
        <v>974</v>
      </c>
    </row>
    <row r="3" spans="1:12">
      <c r="A3" s="20" t="s">
        <v>975</v>
      </c>
      <c r="B3" s="21" t="s">
        <v>976</v>
      </c>
      <c r="C3" s="21" t="s">
        <v>977</v>
      </c>
      <c r="D3" s="21" t="s">
        <v>978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979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980</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609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981</v>
      </c>
      <c r="B7" s="21" t="s">
        <v>982</v>
      </c>
      <c r="C7" s="21" t="s">
        <v>983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984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985</v>
      </c>
      <c r="B9" s="21" t="s">
        <v>986</v>
      </c>
      <c r="C9" s="21" t="s">
        <v>987</v>
      </c>
      <c r="D9" s="21" t="s">
        <v>978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988</v>
      </c>
      <c r="B10" s="21" t="s">
        <v>989</v>
      </c>
      <c r="C10" s="21" t="s">
        <v>990</v>
      </c>
      <c r="D10" s="21" t="s">
        <v>978</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row>
    <row r="12" spans="1:12">
      <c r="A12" s="20" t="s">
        <v>991</v>
      </c>
    </row>
    <row r="13" spans="1:12">
      <c r="A13" s="20" t="s">
        <v>992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993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994</v>
      </c>
      <c r="B15" s="21" t="s">
        <v>976</v>
      </c>
      <c r="C15" s="21" t="s">
        <v>995</v>
      </c>
      <c r="D15" s="21" t="s">
        <v>978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996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997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998</v>
      </c>
      <c r="B18" s="21" t="s">
        <v>986</v>
      </c>
      <c r="C18" s="21" t="s">
        <v>995</v>
      </c>
      <c r="D18" s="21" t="s">
        <v>978</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999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1000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1001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1002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1003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1004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1005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1002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1006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1004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172</v>
      </c>
      <c r="B29" s="21" t="s">
        <v>1007</v>
      </c>
      <c r="C29" s="21" t="s">
        <v>1008</v>
      </c>
      <c r="D29" s="21" t="s">
        <v>978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1009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1010</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1011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1012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1013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985</v>
      </c>
      <c r="B35" s="21" t="s">
        <v>1014</v>
      </c>
      <c r="C35" s="21" t="s">
        <v>987</v>
      </c>
      <c r="D35" s="21" t="s">
        <v>978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1015</v>
      </c>
      <c r="B36" s="21" t="s">
        <v>1016</v>
      </c>
      <c r="C36" s="21" t="s">
        <v>990</v>
      </c>
      <c r="D36" s="21" t="s">
        <v>978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1017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1018</v>
      </c>
      <c r="B38" s="21" t="s">
        <v>1019</v>
      </c>
      <c r="C38" s="21" t="s">
        <v>1020</v>
      </c>
      <c r="D38" s="21" t="s">
        <v>978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1021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1022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1023</v>
      </c>
    </row>
    <row r="43" spans="1:12">
      <c r="A43" s="20" t="s">
        <v>992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1024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1025</v>
      </c>
      <c r="B45" s="21" t="s">
        <v>976</v>
      </c>
      <c r="C45" s="21" t="s">
        <v>977</v>
      </c>
      <c r="D45" s="21" t="s">
        <v>978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1017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1026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1027</v>
      </c>
      <c r="B48" s="21" t="s">
        <v>989</v>
      </c>
      <c r="C48" s="21" t="s">
        <v>1020</v>
      </c>
      <c r="D48" s="21" t="s">
        <v>978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1028</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row>
    <row r="51" spans="1:12">
      <c r="A51" s="20" t="s">
        <v>1029</v>
      </c>
    </row>
    <row r="52" spans="1:12">
      <c r="A52" s="20" t="s">
        <v>1030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1031</v>
      </c>
      <c r="B53" s="21" t="s">
        <v>976</v>
      </c>
      <c r="C53" s="21" t="s">
        <v>983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1032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609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1033</v>
      </c>
      <c r="B56" s="21" t="s">
        <v>986</v>
      </c>
      <c r="C56" s="21" t="s">
        <v>983</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1034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1002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1034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1006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1004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172</v>
      </c>
      <c r="B63" s="21" t="s">
        <v>986</v>
      </c>
      <c r="C63" s="21" t="s">
        <v>1008</v>
      </c>
      <c r="D63" s="21" t="s">
        <v>978</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1009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1010</v>
      </c>
      <c r="B65" s="21" t="s">
        <v>1035</v>
      </c>
      <c r="C65" s="21" t="s">
        <v>977</v>
      </c>
      <c r="D65" s="21" t="s">
        <v>978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1011</v>
      </c>
      <c r="B66" s="21" t="s">
        <v>1036</v>
      </c>
      <c r="C66" s="21" t="s">
        <v>977</v>
      </c>
      <c r="D66" s="21" t="s">
        <v>978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1037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1038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1039</v>
      </c>
      <c r="B69" s="21" t="s">
        <v>1040</v>
      </c>
      <c r="C69" s="21" t="s">
        <v>987</v>
      </c>
      <c r="D69" s="21" t="s">
        <v>978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1041</v>
      </c>
      <c r="B70" s="21" t="s">
        <v>1042</v>
      </c>
      <c r="C70" s="21" t="s">
        <v>990</v>
      </c>
      <c r="D70" s="21" t="s">
        <v>978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1043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1044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1022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row>
    <row r="75" spans="1:12">
      <c r="A75" s="20" t="s">
        <v>1045</v>
      </c>
    </row>
    <row r="76" spans="1:12">
      <c r="A76" s="20" t="s">
        <v>992</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1046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1002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1047</v>
      </c>
      <c r="B79" s="21" t="s">
        <v>976</v>
      </c>
      <c r="C79" s="21" t="s">
        <v>977</v>
      </c>
      <c r="D79" s="21" t="s">
        <v>978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993</v>
      </c>
      <c r="B80" s="21" t="s">
        <v>982</v>
      </c>
      <c r="C80" s="21" t="s">
        <v>977</v>
      </c>
      <c r="D80" s="21" t="s">
        <v>978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979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1048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1050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1051</v>
      </c>
      <c r="B85" s="21" t="s">
        <v>1052</v>
      </c>
      <c r="C85" s="21" t="s">
        <v>983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1000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1053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1039</v>
      </c>
      <c r="B88" s="21" t="s">
        <v>1054</v>
      </c>
      <c r="C88" s="21" t="s">
        <v>987</v>
      </c>
      <c r="D88" s="21" t="s">
        <v>978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1055</v>
      </c>
      <c r="B89" s="21" t="s">
        <v>1052</v>
      </c>
      <c r="C89" s="21" t="s">
        <v>990</v>
      </c>
      <c r="D89" s="21" t="s">
        <v>978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1018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1056</v>
      </c>
      <c r="B91" s="21" t="s">
        <v>1054</v>
      </c>
      <c r="C91" s="21" t="s">
        <v>1057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1002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1058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1059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1060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1061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1062</v>
      </c>
      <c r="B97" s="21" t="s">
        <v>989</v>
      </c>
      <c r="C97" s="21" t="s">
        <v>1063</v>
      </c>
      <c r="D97" s="21" t="s">
        <v>978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996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1064</v>
      </c>
      <c r="B99" s="21" t="s">
        <v>986</v>
      </c>
      <c r="C99" s="21" t="s">
        <v>1057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1002</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1046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1065</v>
      </c>
      <c r="B102" s="21" t="s">
        <v>1066</v>
      </c>
      <c r="C102" s="21" t="s">
        <v>1020</v>
      </c>
      <c r="D102" s="21" t="s">
        <v>978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1017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1067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1068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1004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1069</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1002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1032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1070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993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1071</v>
      </c>
      <c r="B112" s="21" t="s">
        <v>1035</v>
      </c>
      <c r="C112" s="21" t="s">
        <v>995</v>
      </c>
      <c r="D112" s="21" t="s">
        <v>978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1026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1009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1050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1073</v>
      </c>
      <c r="B117" s="21" t="s">
        <v>1054</v>
      </c>
      <c r="C117" s="21" t="s">
        <v>983</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1000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1074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1075</v>
      </c>
      <c r="B120" s="21" t="s">
        <v>1042</v>
      </c>
      <c r="C120" s="21" t="s">
        <v>995</v>
      </c>
      <c r="D120" s="21" t="s">
        <v>978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1072</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1076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1009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1050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1077</v>
      </c>
      <c r="B125" s="21" t="s">
        <v>1007</v>
      </c>
      <c r="C125" s="21" t="s">
        <v>983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1000</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1078</v>
      </c>
      <c r="B127" s="21" t="s">
        <v>1007</v>
      </c>
      <c r="C127" s="21" t="s">
        <v>1020</v>
      </c>
      <c r="D127" s="21" t="s">
        <v>978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1002</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1000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997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1079</v>
      </c>
      <c r="B131" s="21" t="s">
        <v>1054</v>
      </c>
      <c r="C131" s="21" t="s">
        <v>995</v>
      </c>
      <c r="D131" s="21" t="s">
        <v>978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1002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1050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1080</v>
      </c>
      <c r="B134" s="21" t="s">
        <v>1007</v>
      </c>
      <c r="C134" s="21" t="s">
        <v>983</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1081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1082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1083</v>
      </c>
      <c r="B137" s="21" t="s">
        <v>1084</v>
      </c>
      <c r="C137" s="21" t="s">
        <v>1057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1085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1002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1086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1002</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1087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1022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1088</v>
      </c>
    </row>
    <row r="146" spans="1:12">
      <c r="A146" s="20" t="s">
        <v>1089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609</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1090</v>
      </c>
      <c r="B148" s="21" t="s">
        <v>989</v>
      </c>
      <c r="C148" s="21" t="s">
        <v>983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1002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1050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1091</v>
      </c>
      <c r="B151" s="21" t="s">
        <v>976</v>
      </c>
      <c r="C151" s="21" t="s">
        <v>983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996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1015</v>
      </c>
      <c r="B154" s="21" t="s">
        <v>986</v>
      </c>
      <c r="C154" s="21" t="s">
        <v>995</v>
      </c>
      <c r="D154" s="21" t="s">
        <v>978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1093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1094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1002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1000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1047</v>
      </c>
      <c r="B159" s="21" t="s">
        <v>1095</v>
      </c>
      <c r="C159" s="21" t="s">
        <v>977</v>
      </c>
      <c r="D159" s="21" t="s">
        <v>978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1096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1002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1097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1098</v>
      </c>
      <c r="B163" s="21" t="s">
        <v>986</v>
      </c>
      <c r="C163" s="21" t="s">
        <v>1057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1000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1099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609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1100</v>
      </c>
      <c r="B167" s="21" t="s">
        <v>1101</v>
      </c>
      <c r="C167" s="21" t="s">
        <v>983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1002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1004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1102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1103</v>
      </c>
      <c r="B171" s="21" t="s">
        <v>986</v>
      </c>
      <c r="C171" s="21" t="s">
        <v>1104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1000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1046</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1105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1106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1081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93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1107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1022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row>
    <row r="181" spans="1:12">
      <c r="A181" s="20" t="s">
        <v>1108</v>
      </c>
    </row>
    <row r="182" spans="1:12">
      <c r="A182" s="20" t="s">
        <v>190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1109</v>
      </c>
      <c r="B183" s="21" t="s">
        <v>976</v>
      </c>
      <c r="C183" s="21" t="s">
        <v>977</v>
      </c>
      <c r="D183" s="21" t="s">
        <v>978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1110</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1092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1111</v>
      </c>
      <c r="B186" s="21" t="s">
        <v>982</v>
      </c>
      <c r="C186" s="21" t="s">
        <v>995</v>
      </c>
      <c r="D186" s="21" t="s">
        <v>978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1004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1112</v>
      </c>
      <c r="B188" s="21" t="s">
        <v>1054</v>
      </c>
      <c r="C188" s="21" t="s">
        <v>1057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993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1113</v>
      </c>
      <c r="B190" s="21" t="s">
        <v>989</v>
      </c>
      <c r="C190" s="21" t="s">
        <v>995</v>
      </c>
      <c r="D190" s="21" t="s">
        <v>978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1022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row>
    <row r="193" spans="1:12">
      <c r="A193" s="20" t="s">
        <v>1114</v>
      </c>
    </row>
    <row r="194" spans="1:12">
      <c r="A194" s="20" t="s">
        <v>1115</v>
      </c>
      <c r="B194" s="21" t="s">
        <v>976</v>
      </c>
      <c r="C194" s="21" t="s">
        <v>1116</v>
      </c>
      <c r="D194" s="21" t="s">
        <v>978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1117</v>
      </c>
      <c r="B195" s="21" t="s">
        <v>986</v>
      </c>
      <c r="C195" s="21" t="s">
        <v>1116</v>
      </c>
      <c r="D195" s="21" t="s">
        <v>978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1118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1004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1092</v>
      </c>
      <c r="B198" s="21" t="s">
        <v>1052</v>
      </c>
      <c r="C198" s="21" t="s">
        <v>977</v>
      </c>
      <c r="D198" s="21" t="s">
        <v>978</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1119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1120</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996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993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1121</v>
      </c>
      <c r="B203" s="21" t="s">
        <v>986</v>
      </c>
      <c r="C203" s="21" t="s">
        <v>995</v>
      </c>
      <c r="D203" s="21" t="s">
        <v>978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1002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1122</v>
      </c>
      <c r="B205" s="21" t="s">
        <v>989</v>
      </c>
      <c r="C205" s="21" t="s">
        <v>1116</v>
      </c>
      <c r="D205" s="21" t="s">
        <v>978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1120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1050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1123</v>
      </c>
      <c r="B208" s="21" t="s">
        <v>986</v>
      </c>
      <c r="C208" s="21" t="s">
        <v>983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1022</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1124</v>
      </c>
    </row>
    <row r="212" spans="1:12">
      <c r="A212" s="20" t="s">
        <v>1125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1126</v>
      </c>
      <c r="B213" s="21" t="s">
        <v>976</v>
      </c>
      <c r="C213" s="21" t="s">
        <v>995</v>
      </c>
      <c r="D213" s="21" t="s">
        <v>978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996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1074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1127</v>
      </c>
      <c r="B216" s="21" t="s">
        <v>986</v>
      </c>
      <c r="C216" s="21" t="s">
        <v>995</v>
      </c>
      <c r="D216" s="21" t="s">
        <v>978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1067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1002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1018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1128</v>
      </c>
      <c r="B220" s="21" t="s">
        <v>989</v>
      </c>
      <c r="C220" s="21" t="s">
        <v>1057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1002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996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1129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996</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1130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1131</v>
      </c>
      <c r="B226" s="21" t="s">
        <v>1052</v>
      </c>
      <c r="C226" s="21" t="s">
        <v>983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1132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1022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1133</v>
      </c>
    </row>
    <row r="231" spans="1:12">
      <c r="A231" s="20" t="s">
        <v>1134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1004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1078</v>
      </c>
      <c r="B233" s="21" t="s">
        <v>989</v>
      </c>
      <c r="C233" s="21" t="s">
        <v>1020</v>
      </c>
      <c r="D233" s="21" t="s">
        <v>978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1002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1047</v>
      </c>
      <c r="B235" s="21" t="s">
        <v>976</v>
      </c>
      <c r="C235" s="21" t="s">
        <v>977</v>
      </c>
      <c r="D235" s="21" t="s">
        <v>978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1135</v>
      </c>
      <c r="B236" s="21" t="s">
        <v>982</v>
      </c>
      <c r="C236" s="21" t="s">
        <v>977</v>
      </c>
      <c r="D236" s="21" t="s">
        <v>978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1136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1137</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1138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1139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1002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1140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1141</v>
      </c>
      <c r="B243" s="21" t="s">
        <v>989</v>
      </c>
      <c r="C243" s="21" t="s">
        <v>1008</v>
      </c>
      <c r="D243" s="21" t="s">
        <v>978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1142</v>
      </c>
      <c r="B244" s="21" t="s">
        <v>1066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1143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1144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1070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1145</v>
      </c>
      <c r="B248" s="21" t="s">
        <v>1042</v>
      </c>
      <c r="C248" s="21" t="s">
        <v>1020</v>
      </c>
      <c r="D248" s="21" t="s">
        <v>978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1135</v>
      </c>
      <c r="B249" s="21" t="s">
        <v>1146</v>
      </c>
      <c r="C249" s="21" t="s">
        <v>977</v>
      </c>
      <c r="D249" s="21" t="s">
        <v>978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1147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1148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984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609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1149</v>
      </c>
      <c r="B254" s="21" t="s">
        <v>1084</v>
      </c>
      <c r="C254" s="21" t="s">
        <v>983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996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1150</v>
      </c>
      <c r="B256" s="21" t="s">
        <v>1040</v>
      </c>
      <c r="C256" s="21" t="s">
        <v>1057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1022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row>
    <row r="259" spans="1:12">
      <c r="A259" s="20" t="s">
        <v>1151</v>
      </c>
    </row>
    <row r="260" spans="1:12">
      <c r="A260" s="20" t="s">
        <v>1152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1153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1002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1154</v>
      </c>
      <c r="B263" s="21" t="s">
        <v>976</v>
      </c>
      <c r="C263" s="21" t="s">
        <v>977</v>
      </c>
      <c r="D263" s="21" t="s">
        <v>978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979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1155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1050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1156</v>
      </c>
      <c r="B267" s="21" t="s">
        <v>982</v>
      </c>
      <c r="C267" s="21" t="s">
        <v>983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996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1157</v>
      </c>
      <c r="B269" s="21" t="s">
        <v>986</v>
      </c>
      <c r="C269" s="21" t="s">
        <v>1057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1022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1158</v>
      </c>
    </row>
    <row r="273" spans="1:12">
      <c r="A273" s="20" t="s">
        <v>1159</v>
      </c>
      <c r="B273" s="21" t="s">
        <v>986</v>
      </c>
      <c r="C273" s="21" t="s">
        <v>987</v>
      </c>
      <c r="D273" s="21" t="s">
        <v>978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1160</v>
      </c>
      <c r="B274" s="21" t="s">
        <v>976</v>
      </c>
      <c r="C274" s="21" t="s">
        <v>990</v>
      </c>
      <c r="D274" s="21" t="s">
        <v>978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1161</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1002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1050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1162</v>
      </c>
      <c r="B279" s="21" t="s">
        <v>1095</v>
      </c>
      <c r="C279" s="21" t="s">
        <v>983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1017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1067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1163</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1047</v>
      </c>
      <c r="B284" s="21" t="s">
        <v>1095</v>
      </c>
      <c r="C284" s="21" t="s">
        <v>977</v>
      </c>
      <c r="D284" s="21" t="s">
        <v>978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1164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1165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1004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993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1166</v>
      </c>
      <c r="B289" s="21" t="s">
        <v>986</v>
      </c>
      <c r="C289" s="21" t="s">
        <v>1116</v>
      </c>
      <c r="D289" s="21" t="s">
        <v>978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1167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1168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1169</v>
      </c>
      <c r="B292" s="21" t="s">
        <v>986</v>
      </c>
      <c r="C292" s="21" t="s">
        <v>1104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1004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1074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1170</v>
      </c>
      <c r="B295" s="21" t="s">
        <v>986</v>
      </c>
      <c r="C295" s="21" t="s">
        <v>995</v>
      </c>
      <c r="D295" s="21" t="s">
        <v>978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1002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1000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1047</v>
      </c>
      <c r="B298" s="21" t="s">
        <v>1095</v>
      </c>
      <c r="C298" s="21" t="s">
        <v>977</v>
      </c>
      <c r="D298" s="21" t="s">
        <v>978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1135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1018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1164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1171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1172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1022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row>
    <row r="306" spans="1:12">
      <c r="A306" s="20" t="s">
        <v>1173</v>
      </c>
    </row>
    <row r="307" spans="1:12">
      <c r="A307" s="20" t="s">
        <v>1174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1018</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1175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1002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1176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1177</v>
      </c>
      <c r="B312" s="21" t="s">
        <v>989</v>
      </c>
      <c r="C312" s="21" t="s">
        <v>1178</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1167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1002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1154</v>
      </c>
      <c r="B315" s="21" t="s">
        <v>976</v>
      </c>
      <c r="C315" s="21" t="s">
        <v>977</v>
      </c>
      <c r="D315" s="21" t="s">
        <v>978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979</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1179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1038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1047</v>
      </c>
      <c r="B319" s="21" t="s">
        <v>1095</v>
      </c>
      <c r="C319" s="21" t="s">
        <v>977</v>
      </c>
      <c r="D319" s="21" t="s">
        <v>978</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1011</v>
      </c>
      <c r="B320" s="21" t="s">
        <v>1052</v>
      </c>
      <c r="C320" s="21" t="s">
        <v>977</v>
      </c>
      <c r="D320" s="21" t="s">
        <v>978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1180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996</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1065</v>
      </c>
      <c r="B323" s="21" t="s">
        <v>986</v>
      </c>
      <c r="C323" s="21" t="s">
        <v>1020</v>
      </c>
      <c r="D323" s="21" t="s">
        <v>978</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1022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row>
    <row r="326" spans="1:12">
      <c r="A326" s="20" t="s">
        <v>1181</v>
      </c>
    </row>
    <row r="327" spans="1:12">
      <c r="A327" s="20" t="s">
        <v>1182</v>
      </c>
      <c r="B327" s="21" t="s">
        <v>976</v>
      </c>
      <c r="C327" s="21" t="s">
        <v>977</v>
      </c>
      <c r="D327" s="21" t="s">
        <v>978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1116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1183</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414</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993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1184</v>
      </c>
      <c r="B333" s="21" t="s">
        <v>1052</v>
      </c>
      <c r="C333" s="21" t="s">
        <v>995</v>
      </c>
      <c r="D333" s="21" t="s">
        <v>978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1038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1154</v>
      </c>
      <c r="B335" s="21" t="s">
        <v>1066</v>
      </c>
      <c r="C335" s="21" t="s">
        <v>977</v>
      </c>
      <c r="D335" s="21" t="s">
        <v>978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1185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1186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414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1187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1002</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1000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1047</v>
      </c>
      <c r="B342" s="21" t="s">
        <v>1095</v>
      </c>
      <c r="C342" s="21" t="s">
        <v>977</v>
      </c>
      <c r="D342" s="21" t="s">
        <v>978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1116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1188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1189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1190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1022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1191</v>
      </c>
    </row>
    <row r="350" spans="1:12">
      <c r="A350" s="20" t="s">
        <v>1125</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1192</v>
      </c>
      <c r="B351" s="21" t="s">
        <v>976</v>
      </c>
      <c r="C351" s="21" t="s">
        <v>995</v>
      </c>
      <c r="D351" s="21" t="s">
        <v>978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996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1092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1111</v>
      </c>
      <c r="B354" s="21" t="s">
        <v>986</v>
      </c>
      <c r="C354" s="21" t="s">
        <v>995</v>
      </c>
      <c r="D354" s="21" t="s">
        <v>978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1072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1067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1189</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997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1193</v>
      </c>
      <c r="B359" s="21" t="s">
        <v>989</v>
      </c>
      <c r="C359" s="21" t="s">
        <v>995</v>
      </c>
      <c r="D359" s="21" t="s">
        <v>978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1002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1194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1092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1195</v>
      </c>
      <c r="B363" s="21" t="s">
        <v>989</v>
      </c>
      <c r="C363" s="21" t="s">
        <v>995</v>
      </c>
      <c r="D363" s="21" t="s">
        <v>978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1002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1000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1196</v>
      </c>
      <c r="B366" s="21" t="s">
        <v>1066</v>
      </c>
      <c r="C366" s="21" t="s">
        <v>1008</v>
      </c>
      <c r="D366" s="21" t="s">
        <v>978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1076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1092</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1195</v>
      </c>
      <c r="B369" s="21" t="s">
        <v>986</v>
      </c>
      <c r="C369" s="21" t="s">
        <v>995</v>
      </c>
      <c r="D369" s="21" t="s">
        <v>978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1142</v>
      </c>
      <c r="B370" s="21" t="s">
        <v>1035</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1197</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1011</v>
      </c>
      <c r="B372" s="21" t="s">
        <v>1146</v>
      </c>
      <c r="C372" s="21" t="s">
        <v>977</v>
      </c>
      <c r="D372" s="21" t="s">
        <v>978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1198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1004</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172</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1199</v>
      </c>
      <c r="B376" s="21" t="s">
        <v>1084</v>
      </c>
      <c r="C376" s="21" t="s">
        <v>1063</v>
      </c>
      <c r="D376" s="21" t="s">
        <v>978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1200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1022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row>
    <row r="380" spans="1:12">
      <c r="A380" s="20" t="s">
        <v>1201</v>
      </c>
    </row>
    <row r="381" spans="1:12">
      <c r="A381" s="20" t="s">
        <v>1202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172</v>
      </c>
      <c r="B382" s="21" t="s">
        <v>976</v>
      </c>
      <c r="C382" s="21" t="s">
        <v>1008</v>
      </c>
      <c r="D382" s="21" t="s">
        <v>978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1038</v>
      </c>
      <c r="B383" s="21" t="s">
        <v>1036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1154</v>
      </c>
      <c r="B384" s="21" t="s">
        <v>1066</v>
      </c>
      <c r="C384" s="21" t="s">
        <v>977</v>
      </c>
      <c r="D384" s="21" t="s">
        <v>978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1185</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1004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414</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1011</v>
      </c>
      <c r="B388" s="21" t="s">
        <v>982</v>
      </c>
      <c r="C388" s="21" t="s">
        <v>977</v>
      </c>
      <c r="D388" s="21" t="s">
        <v>978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1037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1203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1022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1204</v>
      </c>
    </row>
    <row r="394" spans="1:12">
      <c r="A394" s="20" t="s">
        <v>1182</v>
      </c>
      <c r="B394" s="21" t="s">
        <v>976</v>
      </c>
      <c r="C394" s="21" t="s">
        <v>977</v>
      </c>
      <c r="D394" s="21" t="s">
        <v>978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1205</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1004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1092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1206</v>
      </c>
      <c r="B398" s="21" t="s">
        <v>989</v>
      </c>
      <c r="C398" s="21" t="s">
        <v>995</v>
      </c>
      <c r="D398" s="21" t="s">
        <v>978</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1000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1047</v>
      </c>
      <c r="B400" s="21" t="s">
        <v>1095</v>
      </c>
      <c r="C400" s="21" t="s">
        <v>977</v>
      </c>
      <c r="D400" s="21" t="s">
        <v>978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1207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1092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1208</v>
      </c>
      <c r="B403" s="21" t="s">
        <v>1052</v>
      </c>
      <c r="C403" s="21" t="s">
        <v>995</v>
      </c>
      <c r="D403" s="21" t="s">
        <v>978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1209</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996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997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1210</v>
      </c>
      <c r="B407" s="21" t="s">
        <v>1054</v>
      </c>
      <c r="C407" s="21" t="s">
        <v>995</v>
      </c>
      <c r="D407" s="21" t="s">
        <v>978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1211</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1002</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1000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1004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997</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1212</v>
      </c>
      <c r="B413" s="21" t="s">
        <v>1054</v>
      </c>
      <c r="C413" s="21" t="s">
        <v>1057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1081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93</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1213</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1081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168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996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993</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1214</v>
      </c>
      <c r="B421" s="21" t="s">
        <v>1084</v>
      </c>
      <c r="C421" s="21" t="s">
        <v>995</v>
      </c>
      <c r="D421" s="21" t="s">
        <v>978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996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993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994</v>
      </c>
      <c r="B424" s="21" t="s">
        <v>1040</v>
      </c>
      <c r="C424" s="21" t="s">
        <v>995</v>
      </c>
      <c r="D424" s="21" t="s">
        <v>978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1002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1047</v>
      </c>
      <c r="B426" s="21" t="s">
        <v>1095</v>
      </c>
      <c r="C426" s="21" t="s">
        <v>977</v>
      </c>
      <c r="D426" s="21" t="s">
        <v>978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1215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1216</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1217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1218</v>
      </c>
      <c r="B430" s="21" t="s">
        <v>1066</v>
      </c>
      <c r="C430" s="21" t="s">
        <v>1008</v>
      </c>
      <c r="D430" s="21" t="s">
        <v>978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1219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1220</v>
      </c>
      <c r="B432" s="21" t="s">
        <v>1101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996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1100</v>
      </c>
      <c r="B434" s="21" t="s">
        <v>1007</v>
      </c>
      <c r="C434" s="21" t="s">
        <v>1057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1004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1221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1022</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row>
    <row r="439" spans="1:12">
      <c r="A439" s="20" t="s">
        <v>1222</v>
      </c>
    </row>
    <row r="440" spans="1:12">
      <c r="A440" s="20" t="s">
        <v>190</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1223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1047</v>
      </c>
      <c r="B442" s="21" t="s">
        <v>976</v>
      </c>
      <c r="C442" s="21" t="s">
        <v>977</v>
      </c>
      <c r="D442" s="21" t="s">
        <v>978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1224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996</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431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1039</v>
      </c>
      <c r="B446" s="21" t="s">
        <v>1054</v>
      </c>
      <c r="C446" s="21" t="s">
        <v>987</v>
      </c>
      <c r="D446" s="21" t="s">
        <v>978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1225</v>
      </c>
      <c r="B447" s="21" t="s">
        <v>1052</v>
      </c>
      <c r="C447" s="21" t="s">
        <v>990</v>
      </c>
      <c r="D447" s="21" t="s">
        <v>978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1002</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1226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1009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1167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1002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1047</v>
      </c>
      <c r="B453" s="21" t="s">
        <v>1066</v>
      </c>
      <c r="C453" s="21" t="s">
        <v>977</v>
      </c>
      <c r="D453" s="21" t="s">
        <v>978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1215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1009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1010</v>
      </c>
      <c r="B456" s="21" t="s">
        <v>1035</v>
      </c>
      <c r="C456" s="21" t="s">
        <v>977</v>
      </c>
      <c r="D456" s="21" t="s">
        <v>978</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1011</v>
      </c>
      <c r="B457" s="21" t="s">
        <v>1036</v>
      </c>
      <c r="C457" s="21" t="s">
        <v>977</v>
      </c>
      <c r="D457" s="21" t="s">
        <v>978</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1227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868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1092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1228</v>
      </c>
      <c r="B461" s="21" t="s">
        <v>1146</v>
      </c>
      <c r="C461" s="21" t="s">
        <v>995</v>
      </c>
      <c r="D461" s="21" t="s">
        <v>978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1002</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1092</v>
      </c>
      <c r="B463" s="21" t="s">
        <v>1229</v>
      </c>
      <c r="C463" s="21" t="s">
        <v>977</v>
      </c>
      <c r="D463" s="21" t="s">
        <v>978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644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1230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1050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1231</v>
      </c>
      <c r="B467" s="21" t="s">
        <v>1040</v>
      </c>
      <c r="C467" s="21" t="s">
        <v>983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1002</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1092</v>
      </c>
      <c r="B469" s="21" t="s">
        <v>1229</v>
      </c>
      <c r="C469" s="21" t="s">
        <v>977</v>
      </c>
      <c r="D469" s="21" t="s">
        <v>978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1232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1002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1092</v>
      </c>
      <c r="B472" s="21" t="s">
        <v>1229</v>
      </c>
      <c r="C472" s="21" t="s">
        <v>977</v>
      </c>
      <c r="D472" s="21" t="s">
        <v>978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1233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1002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1074</v>
      </c>
      <c r="B475" s="21" t="s">
        <v>1229</v>
      </c>
      <c r="C475" s="21" t="s">
        <v>977</v>
      </c>
      <c r="D475" s="21" t="s">
        <v>978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1234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1002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1000</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1196</v>
      </c>
      <c r="B479" s="21" t="s">
        <v>1042</v>
      </c>
      <c r="C479" s="21" t="s">
        <v>1008</v>
      </c>
      <c r="D479" s="21" t="s">
        <v>978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1076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1235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1078</v>
      </c>
      <c r="B482" s="21" t="s">
        <v>1084</v>
      </c>
      <c r="C482" s="21" t="s">
        <v>1020</v>
      </c>
      <c r="D482" s="21" t="s">
        <v>978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609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1236</v>
      </c>
      <c r="B484" s="21" t="s">
        <v>1007</v>
      </c>
      <c r="C484" s="21" t="s">
        <v>983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1022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row>
    <row r="487" spans="1:12">
      <c r="A487" s="20" t="s">
        <v>1237</v>
      </c>
    </row>
    <row r="488" spans="1:12">
      <c r="A488" s="20" t="s">
        <v>1238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1239</v>
      </c>
      <c r="B489" s="21" t="s">
        <v>989</v>
      </c>
      <c r="C489" s="21" t="s">
        <v>983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1009</v>
      </c>
      <c r="B490" s="21" t="s">
        <v>1101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1145</v>
      </c>
      <c r="B491" s="21" t="s">
        <v>1066</v>
      </c>
      <c r="C491" s="21" t="s">
        <v>1020</v>
      </c>
      <c r="D491" s="21" t="s">
        <v>978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1240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1241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1242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1145</v>
      </c>
      <c r="B495" s="21" t="s">
        <v>1066</v>
      </c>
      <c r="C495" s="21" t="s">
        <v>1020</v>
      </c>
      <c r="D495" s="21" t="s">
        <v>978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1243</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996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1092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1111</v>
      </c>
      <c r="B499" s="21" t="s">
        <v>1054</v>
      </c>
      <c r="C499" s="21" t="s">
        <v>995</v>
      </c>
      <c r="D499" s="21" t="s">
        <v>978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1002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1196</v>
      </c>
      <c r="B501" s="21" t="s">
        <v>976</v>
      </c>
      <c r="C501" s="21" t="s">
        <v>1008</v>
      </c>
      <c r="D501" s="21" t="s">
        <v>978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1067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1009</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1145</v>
      </c>
      <c r="B504" s="21" t="s">
        <v>1095</v>
      </c>
      <c r="C504" s="21" t="s">
        <v>1020</v>
      </c>
      <c r="D504" s="21" t="s">
        <v>978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1067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1244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1038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1196</v>
      </c>
      <c r="B508" s="21" t="s">
        <v>1066</v>
      </c>
      <c r="C508" s="21" t="s">
        <v>1008</v>
      </c>
      <c r="D508" s="21" t="s">
        <v>978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1067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1245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1022</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row>
    <row r="513" spans="1:12">
      <c r="A513" s="20" t="s">
        <v>1246</v>
      </c>
    </row>
    <row r="514" spans="1:12">
      <c r="A514" s="20" t="s">
        <v>1247</v>
      </c>
      <c r="B514" s="21" t="s">
        <v>976</v>
      </c>
      <c r="C514" s="21" t="s">
        <v>1020</v>
      </c>
      <c r="D514" s="21" t="s">
        <v>978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1067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1244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1038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1196</v>
      </c>
      <c r="B518" s="21" t="s">
        <v>1095</v>
      </c>
      <c r="C518" s="21" t="s">
        <v>1008</v>
      </c>
      <c r="D518" s="21" t="s">
        <v>978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1067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1245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1002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1106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1009</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1145</v>
      </c>
      <c r="B524" s="21" t="s">
        <v>1095</v>
      </c>
      <c r="C524" s="21" t="s">
        <v>1020</v>
      </c>
      <c r="D524" s="21" t="s">
        <v>978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1074</v>
      </c>
      <c r="B525" s="21" t="s">
        <v>1052</v>
      </c>
      <c r="C525" s="21" t="s">
        <v>977</v>
      </c>
      <c r="D525" s="21" t="s">
        <v>978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1248</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1022</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1249</v>
      </c>
    </row>
    <row r="530" spans="1:12">
      <c r="A530" s="20" t="s">
        <v>1247</v>
      </c>
      <c r="B530" s="21" t="s">
        <v>976</v>
      </c>
      <c r="C530" s="21" t="s">
        <v>1020</v>
      </c>
      <c r="D530" s="21" t="s">
        <v>978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1067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1244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1038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1092</v>
      </c>
      <c r="B534" s="21" t="s">
        <v>1095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1250</v>
      </c>
      <c r="B535" s="21" t="s">
        <v>1054</v>
      </c>
      <c r="C535" s="21" t="s">
        <v>1057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996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993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750</v>
      </c>
      <c r="B538" s="21" t="s">
        <v>1054</v>
      </c>
      <c r="C538" s="21" t="s">
        <v>995</v>
      </c>
      <c r="D538" s="21" t="s">
        <v>978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1251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1004</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1252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1253</v>
      </c>
      <c r="B542" s="21" t="s">
        <v>1007</v>
      </c>
      <c r="C542" s="21" t="s">
        <v>987</v>
      </c>
      <c r="D542" s="21" t="s">
        <v>978</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1254</v>
      </c>
      <c r="B543" s="21" t="s">
        <v>1101</v>
      </c>
      <c r="C543" s="21" t="s">
        <v>990</v>
      </c>
      <c r="D543" s="21" t="s">
        <v>978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1000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1004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1225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1000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1004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1017</v>
      </c>
      <c r="B549" s="21" t="s">
        <v>1036</v>
      </c>
      <c r="C549" s="21" t="s">
        <v>977</v>
      </c>
      <c r="D549" s="21" t="s">
        <v>978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1255</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1235</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431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1050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1256</v>
      </c>
      <c r="B554" s="21" t="s">
        <v>1146</v>
      </c>
      <c r="C554" s="21" t="s">
        <v>983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1000</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1004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1257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1092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1206</v>
      </c>
      <c r="B559" s="21" t="s">
        <v>1229</v>
      </c>
      <c r="C559" s="21" t="s">
        <v>995</v>
      </c>
      <c r="D559" s="21" t="s">
        <v>978</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1000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172</v>
      </c>
      <c r="B561" s="21" t="s">
        <v>1066</v>
      </c>
      <c r="C561" s="21" t="s">
        <v>1008</v>
      </c>
      <c r="D561" s="21" t="s">
        <v>978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1072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1067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1189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1070</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1258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1002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1194</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1259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1002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1145</v>
      </c>
      <c r="B571" s="21" t="s">
        <v>1066</v>
      </c>
      <c r="C571" s="21" t="s">
        <v>1020</v>
      </c>
      <c r="D571" s="21" t="s">
        <v>978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1067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1260</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1261</v>
      </c>
      <c r="B574" s="21" t="s">
        <v>1054</v>
      </c>
      <c r="C574" s="21" t="s">
        <v>987</v>
      </c>
      <c r="D574" s="21" t="s">
        <v>978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1262</v>
      </c>
      <c r="B575" s="21" t="s">
        <v>986</v>
      </c>
      <c r="C575" s="21" t="s">
        <v>990</v>
      </c>
      <c r="D575" s="21" t="s">
        <v>978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1000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1145</v>
      </c>
      <c r="B577" s="21" t="s">
        <v>1035</v>
      </c>
      <c r="C577" s="21" t="s">
        <v>1020</v>
      </c>
      <c r="D577" s="21" t="s">
        <v>978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1067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1263</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996</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54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1050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1264</v>
      </c>
      <c r="B583" s="21" t="s">
        <v>1146</v>
      </c>
      <c r="C583" s="21" t="s">
        <v>983</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996</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1092</v>
      </c>
      <c r="B585" s="21" t="s">
        <v>1019</v>
      </c>
      <c r="C585" s="21" t="s">
        <v>977</v>
      </c>
      <c r="D585" s="21" t="s">
        <v>978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1265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1022</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row>
    <row r="589" spans="1:12">
      <c r="A589" s="20" t="s">
        <v>1266</v>
      </c>
    </row>
    <row r="590" spans="1:12">
      <c r="A590" s="20" t="s">
        <v>992</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1106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1047</v>
      </c>
      <c r="B592" s="21" t="s">
        <v>976</v>
      </c>
      <c r="C592" s="21" t="s">
        <v>977</v>
      </c>
      <c r="D592" s="21" t="s">
        <v>978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1011</v>
      </c>
      <c r="B593" s="21" t="s">
        <v>982</v>
      </c>
      <c r="C593" s="21" t="s">
        <v>977</v>
      </c>
      <c r="D593" s="21" t="s">
        <v>978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1164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1267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1268</v>
      </c>
      <c r="B596" s="21" t="s">
        <v>982</v>
      </c>
      <c r="C596" s="21" t="s">
        <v>1057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1038</v>
      </c>
      <c r="B597" s="21" t="s">
        <v>1052</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1047</v>
      </c>
      <c r="B598" s="21" t="s">
        <v>1095</v>
      </c>
      <c r="C598" s="21" t="s">
        <v>977</v>
      </c>
      <c r="D598" s="21" t="s">
        <v>978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1269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1270</v>
      </c>
      <c r="B600" s="21" t="s">
        <v>1052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996</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1184</v>
      </c>
      <c r="B602" s="21" t="s">
        <v>1054</v>
      </c>
      <c r="C602" s="21" t="s">
        <v>1057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1002</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1038</v>
      </c>
      <c r="B604" s="21" t="s">
        <v>1052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1047</v>
      </c>
      <c r="B605" s="21" t="s">
        <v>1095</v>
      </c>
      <c r="C605" s="21" t="s">
        <v>977</v>
      </c>
      <c r="D605" s="21" t="s">
        <v>978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1215</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1270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1002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1038</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1047</v>
      </c>
      <c r="B610" s="21" t="s">
        <v>1095</v>
      </c>
      <c r="C610" s="21" t="s">
        <v>977</v>
      </c>
      <c r="D610" s="21" t="s">
        <v>978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1271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1270</v>
      </c>
      <c r="B612" s="21" t="s">
        <v>1052</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996</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1184</v>
      </c>
      <c r="B614" s="21" t="s">
        <v>1054</v>
      </c>
      <c r="C614" s="21" t="s">
        <v>1057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1022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row>
    <row r="617" spans="1:12">
      <c r="A617" s="20" t="s">
        <v>1272</v>
      </c>
    </row>
    <row r="618" spans="1:12">
      <c r="A618" s="20" t="s">
        <v>1273</v>
      </c>
      <c r="B618" s="21" t="s">
        <v>976</v>
      </c>
      <c r="C618" s="21" t="s">
        <v>1008</v>
      </c>
      <c r="D618" s="21" t="s">
        <v>978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1076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1050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1274</v>
      </c>
      <c r="B621" s="21" t="s">
        <v>989</v>
      </c>
      <c r="C621" s="21" t="s">
        <v>983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996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1275</v>
      </c>
      <c r="B623" s="21" t="s">
        <v>989</v>
      </c>
      <c r="C623" s="21" t="s">
        <v>1057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1022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row>
    <row r="626" spans="1:12">
      <c r="A626" s="20" t="s">
        <v>1276</v>
      </c>
    </row>
    <row r="627" spans="1:12">
      <c r="A627" s="20" t="s">
        <v>992</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1046</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1074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1277</v>
      </c>
      <c r="B630" s="21" t="s">
        <v>976</v>
      </c>
      <c r="C630" s="21" t="s">
        <v>995</v>
      </c>
      <c r="D630" s="21" t="s">
        <v>978</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1017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1067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1278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1022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row>
    <row r="636" spans="1:12">
      <c r="A636" s="20" t="s">
        <v>1279</v>
      </c>
    </row>
    <row r="637" spans="1:12">
      <c r="A637" s="20" t="s">
        <v>1280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1145</v>
      </c>
      <c r="B638" s="21" t="s">
        <v>1095</v>
      </c>
      <c r="C638" s="21" t="s">
        <v>1020</v>
      </c>
      <c r="D638" s="21" t="s">
        <v>978</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1011</v>
      </c>
      <c r="B639" s="21" t="s">
        <v>1052</v>
      </c>
      <c r="C639" s="21" t="s">
        <v>977</v>
      </c>
      <c r="D639" s="21" t="s">
        <v>978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1281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1038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1047</v>
      </c>
      <c r="B642" s="21" t="s">
        <v>1066</v>
      </c>
      <c r="C642" s="21" t="s">
        <v>977</v>
      </c>
      <c r="D642" s="21" t="s">
        <v>978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1282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1018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1111</v>
      </c>
      <c r="B646" s="21" t="s">
        <v>1054</v>
      </c>
      <c r="C646" s="21" t="s">
        <v>1057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1283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1065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997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1284</v>
      </c>
      <c r="B650" s="21" t="s">
        <v>1007</v>
      </c>
      <c r="C650" s="21" t="s">
        <v>995</v>
      </c>
      <c r="D650" s="21" t="s">
        <v>978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1285</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1002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1047</v>
      </c>
      <c r="B653" s="21" t="s">
        <v>976</v>
      </c>
      <c r="C653" s="21" t="s">
        <v>977</v>
      </c>
      <c r="D653" s="21" t="s">
        <v>978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1286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1216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1217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1287</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1038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1047</v>
      </c>
      <c r="B659" s="21" t="s">
        <v>1035</v>
      </c>
      <c r="C659" s="21" t="s">
        <v>977</v>
      </c>
      <c r="D659" s="21" t="s">
        <v>978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1288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1289</v>
      </c>
      <c r="B662" s="21" t="s">
        <v>1042</v>
      </c>
      <c r="C662" s="21" t="s">
        <v>1008</v>
      </c>
      <c r="D662" s="21" t="s">
        <v>978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1290</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1291</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1018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1292</v>
      </c>
      <c r="B666" s="21" t="s">
        <v>1084</v>
      </c>
      <c r="C666" s="21" t="s">
        <v>1057</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1047</v>
      </c>
      <c r="B668" s="21" t="s">
        <v>1095</v>
      </c>
      <c r="C668" s="21" t="s">
        <v>977</v>
      </c>
      <c r="D668" s="21" t="s">
        <v>978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1293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1294</v>
      </c>
      <c r="B670" s="21" t="s">
        <v>1101</v>
      </c>
      <c r="C670" s="21" t="s">
        <v>1020</v>
      </c>
      <c r="D670" s="21" t="s">
        <v>978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1022</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row>
    <row r="674" spans="1:12">
      <c r="A674" s="20" t="s">
        <v>1295</v>
      </c>
    </row>
    <row r="675" spans="1:12">
      <c r="A675" s="20" t="s">
        <v>190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1174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1070</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1145</v>
      </c>
      <c r="B678" s="21" t="s">
        <v>1066</v>
      </c>
      <c r="C678" s="21" t="s">
        <v>1020</v>
      </c>
      <c r="D678" s="21" t="s">
        <v>978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1011</v>
      </c>
      <c r="B679" s="21" t="s">
        <v>1101</v>
      </c>
      <c r="C679" s="21" t="s">
        <v>977</v>
      </c>
      <c r="D679" s="21" t="s">
        <v>978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1281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1216</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1217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1296</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997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1284</v>
      </c>
      <c r="B685" s="21" t="s">
        <v>986</v>
      </c>
      <c r="C685" s="21" t="s">
        <v>995</v>
      </c>
      <c r="D685" s="21" t="s">
        <v>978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1285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1002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1297</v>
      </c>
      <c r="B688" s="21" t="s">
        <v>1095</v>
      </c>
      <c r="C688" s="21" t="s">
        <v>977</v>
      </c>
      <c r="D688" s="21" t="s">
        <v>978</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1298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1053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1050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1299</v>
      </c>
      <c r="B692" s="21" t="s">
        <v>1101</v>
      </c>
      <c r="C692" s="21" t="s">
        <v>983</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1081</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1277</v>
      </c>
      <c r="B694" s="21" t="s">
        <v>1007</v>
      </c>
      <c r="C694" s="21" t="s">
        <v>1057</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1300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1002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190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1047</v>
      </c>
      <c r="B698" s="21" t="s">
        <v>976</v>
      </c>
      <c r="C698" s="21" t="s">
        <v>977</v>
      </c>
      <c r="D698" s="21" t="s">
        <v>978</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1011</v>
      </c>
      <c r="B699" s="21" t="s">
        <v>982</v>
      </c>
      <c r="C699" s="21" t="s">
        <v>977</v>
      </c>
      <c r="D699" s="21" t="s">
        <v>978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1301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993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1302</v>
      </c>
      <c r="B702" s="21" t="s">
        <v>982</v>
      </c>
      <c r="C702" s="21" t="s">
        <v>995</v>
      </c>
      <c r="D702" s="21" t="s">
        <v>978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1303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1038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996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1092</v>
      </c>
      <c r="B706" s="21" t="s">
        <v>1101</v>
      </c>
      <c r="C706" s="21" t="s">
        <v>977</v>
      </c>
      <c r="D706" s="21" t="s">
        <v>978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1022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row>
    <row r="710" spans="1:12">
      <c r="A710" s="20" t="s">
        <v>1304</v>
      </c>
    </row>
    <row r="711" spans="1:12">
      <c r="A711" s="20" t="s">
        <v>1273</v>
      </c>
      <c r="B711" s="21" t="s">
        <v>976</v>
      </c>
      <c r="C711" s="21" t="s">
        <v>1008</v>
      </c>
      <c r="D711" s="21" t="s">
        <v>978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1076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1137</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997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1305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1306</v>
      </c>
      <c r="B716" s="21" t="s">
        <v>989</v>
      </c>
      <c r="C716" s="21" t="s">
        <v>995</v>
      </c>
      <c r="D716" s="21" t="s">
        <v>978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1032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172</v>
      </c>
      <c r="B718" s="21" t="s">
        <v>989</v>
      </c>
      <c r="C718" s="21" t="s">
        <v>1008</v>
      </c>
      <c r="D718" s="21" t="s">
        <v>978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1009</v>
      </c>
      <c r="B719" s="21" t="s">
        <v>1101</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1145</v>
      </c>
      <c r="B720" s="21" t="s">
        <v>1066</v>
      </c>
      <c r="C720" s="21" t="s">
        <v>1020</v>
      </c>
      <c r="D720" s="21" t="s">
        <v>978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1307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1024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1145</v>
      </c>
      <c r="B723" s="21" t="s">
        <v>1035</v>
      </c>
      <c r="C723" s="21" t="s">
        <v>1020</v>
      </c>
      <c r="D723" s="21" t="s">
        <v>978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1308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1000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1009</v>
      </c>
      <c r="B726" s="21" t="s">
        <v>1146</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1145</v>
      </c>
      <c r="B727" s="21" t="s">
        <v>1042</v>
      </c>
      <c r="C727" s="21" t="s">
        <v>1020</v>
      </c>
      <c r="D727" s="21" t="s">
        <v>978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1309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1310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1009</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1145</v>
      </c>
      <c r="B731" s="21" t="s">
        <v>1311</v>
      </c>
      <c r="C731" s="21" t="s">
        <v>1020</v>
      </c>
      <c r="D731" s="21" t="s">
        <v>978</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1312</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1002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1000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1092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1313</v>
      </c>
      <c r="B736" s="21" t="s">
        <v>1016</v>
      </c>
      <c r="C736" s="21" t="s">
        <v>995</v>
      </c>
      <c r="D736" s="21" t="s">
        <v>978</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1314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1315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1316</v>
      </c>
      <c r="B739" s="21" t="s">
        <v>1317</v>
      </c>
      <c r="C739" s="21" t="s">
        <v>1020</v>
      </c>
      <c r="D739" s="21" t="s">
        <v>978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1002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1194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1303</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1038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996</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1318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1319</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1004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1320</v>
      </c>
      <c r="B748" s="21" t="s">
        <v>1321</v>
      </c>
      <c r="C748" s="21" t="s">
        <v>1057</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1050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1322</v>
      </c>
      <c r="B750" s="21" t="s">
        <v>1317</v>
      </c>
      <c r="C750" s="21" t="s">
        <v>983</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1002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1289</v>
      </c>
      <c r="B752" s="21" t="s">
        <v>1042</v>
      </c>
      <c r="C752" s="21" t="s">
        <v>1008</v>
      </c>
      <c r="D752" s="21" t="s">
        <v>978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1323</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1324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1325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1284</v>
      </c>
      <c r="B756" s="21" t="s">
        <v>1146</v>
      </c>
      <c r="C756" s="21" t="s">
        <v>1178</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1022</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1326</v>
      </c>
    </row>
    <row r="760" spans="1:12">
      <c r="A760" s="20" t="s">
        <v>1273</v>
      </c>
      <c r="B760" s="21" t="s">
        <v>976</v>
      </c>
      <c r="C760" s="21" t="s">
        <v>1008</v>
      </c>
      <c r="D760" s="21" t="s">
        <v>978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1067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1092</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1327</v>
      </c>
      <c r="B763" s="21" t="s">
        <v>989</v>
      </c>
      <c r="C763" s="21" t="s">
        <v>995</v>
      </c>
      <c r="D763" s="21" t="s">
        <v>978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1081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168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1328</v>
      </c>
      <c r="B766" s="21" t="s">
        <v>1052</v>
      </c>
      <c r="C766" s="21" t="s">
        <v>1057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1065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997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1329</v>
      </c>
      <c r="B769" s="21" t="s">
        <v>986</v>
      </c>
      <c r="C769" s="21" t="s">
        <v>995</v>
      </c>
      <c r="D769" s="21" t="s">
        <v>978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1097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1305</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335</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996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1330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1145</v>
      </c>
      <c r="B775" s="21" t="s">
        <v>1095</v>
      </c>
      <c r="C775" s="21" t="s">
        <v>1020</v>
      </c>
      <c r="D775" s="21" t="s">
        <v>978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1323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1328</v>
      </c>
      <c r="B777" s="21" t="s">
        <v>1052</v>
      </c>
      <c r="C777" s="21" t="s">
        <v>1057</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1022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row>
    <row r="780" spans="1:12">
      <c r="A780" s="20" t="s">
        <v>1331</v>
      </c>
    </row>
    <row r="781" spans="1:12">
      <c r="A781" s="20" t="s">
        <v>992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1196</v>
      </c>
      <c r="B782" s="21" t="s">
        <v>976</v>
      </c>
      <c r="C782" s="21" t="s">
        <v>1008</v>
      </c>
      <c r="D782" s="21" t="s">
        <v>978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1076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1004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172</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1199</v>
      </c>
      <c r="B786" s="21" t="s">
        <v>989</v>
      </c>
      <c r="C786" s="21" t="s">
        <v>1063</v>
      </c>
      <c r="D786" s="21" t="s">
        <v>978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1200</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1038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1154</v>
      </c>
      <c r="B789" s="21" t="s">
        <v>1066</v>
      </c>
      <c r="C789" s="21" t="s">
        <v>977</v>
      </c>
      <c r="D789" s="21" t="s">
        <v>978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979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1332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1004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339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1333</v>
      </c>
      <c r="B795" s="21" t="s">
        <v>1042</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1334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1203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1335</v>
      </c>
      <c r="B798" s="21" t="s">
        <v>1146</v>
      </c>
      <c r="C798" s="21" t="s">
        <v>1057</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1002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1000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1038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1092</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1336</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1015</v>
      </c>
      <c r="B804" s="21" t="s">
        <v>986</v>
      </c>
      <c r="C804" s="21" t="s">
        <v>995</v>
      </c>
      <c r="D804" s="21" t="s">
        <v>978</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996</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1116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1189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1093</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1337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1002</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1196</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1076</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1338</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1081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1339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1004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993</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1340</v>
      </c>
      <c r="B818" s="21" t="s">
        <v>1054</v>
      </c>
      <c r="C818" s="21" t="s">
        <v>1020</v>
      </c>
      <c r="D818" s="21" t="s">
        <v>978</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996</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1341</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1022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1342</v>
      </c>
    </row>
    <row r="824" spans="1:12">
      <c r="A824" s="20" t="s">
        <v>1343</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609</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1344</v>
      </c>
      <c r="B826" s="21" t="s">
        <v>989</v>
      </c>
      <c r="C826" s="21" t="s">
        <v>983</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1002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1047</v>
      </c>
      <c r="B828" s="21" t="s">
        <v>976</v>
      </c>
      <c r="C828" s="21" t="s">
        <v>977</v>
      </c>
      <c r="D828" s="21" t="s">
        <v>978</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1011</v>
      </c>
      <c r="B829" s="21" t="s">
        <v>982</v>
      </c>
      <c r="C829" s="21" t="s">
        <v>977</v>
      </c>
      <c r="D829" s="21" t="s">
        <v>978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1164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1345</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1000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1154</v>
      </c>
      <c r="B833" s="21" t="s">
        <v>1095</v>
      </c>
      <c r="C833" s="21" t="s">
        <v>977</v>
      </c>
      <c r="D833" s="21" t="s">
        <v>978</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979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1346</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168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1347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1050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1348</v>
      </c>
      <c r="B839" s="21" t="s">
        <v>1101</v>
      </c>
      <c r="C839" s="21" t="s">
        <v>983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1349</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1002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1350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1154</v>
      </c>
      <c r="B843" s="21" t="s">
        <v>1095</v>
      </c>
      <c r="C843" s="21" t="s">
        <v>977</v>
      </c>
      <c r="D843" s="21" t="s">
        <v>978</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1136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1351</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1230</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997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1352</v>
      </c>
      <c r="B848" s="21" t="s">
        <v>986</v>
      </c>
      <c r="C848" s="21" t="s">
        <v>995</v>
      </c>
      <c r="D848" s="21" t="s">
        <v>978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1002</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1353</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1002</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1047</v>
      </c>
      <c r="B852" s="21" t="s">
        <v>1095</v>
      </c>
      <c r="C852" s="21" t="s">
        <v>977</v>
      </c>
      <c r="D852" s="21" t="s">
        <v>978</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1354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997</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1355</v>
      </c>
      <c r="B855" s="21" t="s">
        <v>1052</v>
      </c>
      <c r="C855" s="21" t="s">
        <v>995</v>
      </c>
      <c r="D855" s="21" t="s">
        <v>978</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1002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1000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1154</v>
      </c>
      <c r="B858" s="21" t="s">
        <v>1066</v>
      </c>
      <c r="C858" s="21" t="s">
        <v>977</v>
      </c>
      <c r="D858" s="21" t="s">
        <v>978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979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1356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1216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1217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1357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1294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1323</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1358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1239</v>
      </c>
      <c r="B867" s="21" t="s">
        <v>1101</v>
      </c>
      <c r="C867" s="21" t="s">
        <v>1104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1142</v>
      </c>
      <c r="B868" s="21" t="s">
        <v>1042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1073</v>
      </c>
      <c r="B869" s="21" t="s">
        <v>1007</v>
      </c>
      <c r="C869" s="21" t="s">
        <v>1057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1002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1047</v>
      </c>
      <c r="B871" s="21" t="s">
        <v>1035</v>
      </c>
      <c r="C871" s="21" t="s">
        <v>977</v>
      </c>
      <c r="D871" s="21" t="s">
        <v>978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1359</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1360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1361</v>
      </c>
      <c r="B874" s="21" t="s">
        <v>1146</v>
      </c>
      <c r="C874" s="21" t="s">
        <v>1020</v>
      </c>
      <c r="D874" s="21" t="s">
        <v>978</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1022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row>
    <row r="877" spans="1:12">
      <c r="A877" s="20" t="s">
        <v>1362</v>
      </c>
    </row>
    <row r="878" spans="1:12">
      <c r="A878" s="20" t="s">
        <v>190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1194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1047</v>
      </c>
      <c r="B880" s="21" t="s">
        <v>976</v>
      </c>
      <c r="C880" s="21" t="s">
        <v>977</v>
      </c>
      <c r="D880" s="21" t="s">
        <v>978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1072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1363</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1189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1004</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1364</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997</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1365</v>
      </c>
      <c r="B887" s="21" t="s">
        <v>1052</v>
      </c>
      <c r="C887" s="21" t="s">
        <v>995</v>
      </c>
      <c r="D887" s="21" t="s">
        <v>978</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1235</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1366</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997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1355</v>
      </c>
      <c r="B891" s="21" t="s">
        <v>1101</v>
      </c>
      <c r="C891" s="21" t="s">
        <v>995</v>
      </c>
      <c r="D891" s="21" t="s">
        <v>978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1000</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1367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609</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1368</v>
      </c>
      <c r="B895" s="21" t="s">
        <v>1036</v>
      </c>
      <c r="C895" s="21" t="s">
        <v>983</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1022</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row>
    <row r="898" spans="1:12">
      <c r="A898" s="20" t="s">
        <v>1369</v>
      </c>
    </row>
    <row r="899" spans="1:12">
      <c r="A899" s="20" t="s">
        <v>1370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1371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1002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1004</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997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1372</v>
      </c>
      <c r="B904" s="21" t="s">
        <v>986</v>
      </c>
      <c r="C904" s="21" t="s">
        <v>995</v>
      </c>
      <c r="D904" s="21" t="s">
        <v>978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996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1373</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1374</v>
      </c>
      <c r="B907" s="21" t="s">
        <v>1054</v>
      </c>
      <c r="C907" s="21" t="s">
        <v>1178</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1375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1376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1004</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997</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1377</v>
      </c>
      <c r="B912" s="21" t="s">
        <v>1040</v>
      </c>
      <c r="C912" s="21" t="s">
        <v>995</v>
      </c>
      <c r="D912" s="21" t="s">
        <v>978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1002</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997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1355</v>
      </c>
      <c r="B915" s="21" t="s">
        <v>1095</v>
      </c>
      <c r="C915" s="21" t="s">
        <v>995</v>
      </c>
      <c r="D915" s="21" t="s">
        <v>978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1323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1378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1002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1154</v>
      </c>
      <c r="B919" s="21" t="s">
        <v>976</v>
      </c>
      <c r="C919" s="21" t="s">
        <v>977</v>
      </c>
      <c r="D919" s="21" t="s">
        <v>978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979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1379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1004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997</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1380</v>
      </c>
      <c r="B924" s="21" t="s">
        <v>989</v>
      </c>
      <c r="C924" s="21" t="s">
        <v>995</v>
      </c>
      <c r="D924" s="21" t="s">
        <v>978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1081</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1050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1381</v>
      </c>
      <c r="B927" s="21" t="s">
        <v>986</v>
      </c>
      <c r="C927" s="21" t="s">
        <v>983</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1310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1081</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1050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1382</v>
      </c>
      <c r="B931" s="21" t="s">
        <v>1054</v>
      </c>
      <c r="C931" s="21" t="s">
        <v>983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1002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1000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1196</v>
      </c>
      <c r="B934" s="21" t="s">
        <v>1095</v>
      </c>
      <c r="C934" s="21" t="s">
        <v>1008</v>
      </c>
      <c r="D934" s="21" t="s">
        <v>978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1076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1039</v>
      </c>
      <c r="B936" s="21" t="s">
        <v>986</v>
      </c>
      <c r="C936" s="21" t="s">
        <v>987</v>
      </c>
      <c r="D936" s="21" t="s">
        <v>978</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1383</v>
      </c>
      <c r="B937" s="21" t="s">
        <v>989</v>
      </c>
      <c r="C937" s="21" t="s">
        <v>990</v>
      </c>
      <c r="D937" s="21" t="s">
        <v>978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1002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1000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1154</v>
      </c>
      <c r="B940" s="21" t="s">
        <v>1066</v>
      </c>
      <c r="C940" s="21" t="s">
        <v>977</v>
      </c>
      <c r="D940" s="21" t="s">
        <v>978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979</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1384</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1216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1217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975</v>
      </c>
      <c r="B945" s="21" t="s">
        <v>1095</v>
      </c>
      <c r="C945" s="21" t="s">
        <v>977</v>
      </c>
      <c r="D945" s="21" t="s">
        <v>978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979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996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1385</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1386</v>
      </c>
      <c r="B949" s="21" t="s">
        <v>1052</v>
      </c>
      <c r="C949" s="21" t="s">
        <v>983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1022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row>
    <row r="952" spans="1:12">
      <c r="A952" s="20" t="s">
        <v>1387</v>
      </c>
    </row>
    <row r="953" spans="1:12">
      <c r="A953" s="20" t="s">
        <v>1357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1388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1009</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1145</v>
      </c>
      <c r="B956" s="21" t="s">
        <v>1095</v>
      </c>
      <c r="C956" s="21" t="s">
        <v>1020</v>
      </c>
      <c r="D956" s="21" t="s">
        <v>978</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1389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1358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1239</v>
      </c>
      <c r="B959" s="21" t="s">
        <v>1052</v>
      </c>
      <c r="C959" s="21" t="s">
        <v>1104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1022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row>
    <row r="962" spans="1:12">
      <c r="A962" s="20" t="s">
        <v>1390</v>
      </c>
    </row>
    <row r="963" spans="1:12">
      <c r="A963" s="20" t="s">
        <v>190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1125</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1391</v>
      </c>
      <c r="B965" s="21" t="s">
        <v>989</v>
      </c>
      <c r="C965" s="21" t="s">
        <v>995</v>
      </c>
      <c r="D965" s="21" t="s">
        <v>978</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1002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1154</v>
      </c>
      <c r="B967" s="21" t="s">
        <v>976</v>
      </c>
      <c r="C967" s="21" t="s">
        <v>977</v>
      </c>
      <c r="D967" s="21" t="s">
        <v>978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979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1332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1004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431</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996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993</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1392</v>
      </c>
      <c r="B974" s="21" t="s">
        <v>986</v>
      </c>
      <c r="C974" s="21" t="s">
        <v>995</v>
      </c>
      <c r="D974" s="21" t="s">
        <v>978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1000</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1050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1393</v>
      </c>
      <c r="B977" s="21" t="s">
        <v>989</v>
      </c>
      <c r="C977" s="21" t="s">
        <v>983</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1022</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row>
    <row r="980" spans="1:12">
      <c r="A980" s="20" t="s">
        <v>1394</v>
      </c>
    </row>
    <row r="981" spans="1:12">
      <c r="A981" s="20" t="s">
        <v>992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1154</v>
      </c>
      <c r="B982" s="21" t="s">
        <v>976</v>
      </c>
      <c r="C982" s="21" t="s">
        <v>977</v>
      </c>
      <c r="D982" s="21" t="s">
        <v>978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979</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1395</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1332</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1004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1396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1397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1258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1398</v>
      </c>
      <c r="B990" s="21" t="s">
        <v>1052</v>
      </c>
      <c r="C990" s="21" t="s">
        <v>1063</v>
      </c>
      <c r="D990" s="21" t="s">
        <v>978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1216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1280</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1047</v>
      </c>
      <c r="B993" s="21" t="s">
        <v>1095</v>
      </c>
      <c r="C993" s="21" t="s">
        <v>977</v>
      </c>
      <c r="D993" s="21" t="s">
        <v>978</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1116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1164</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1189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1092</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1399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323</v>
      </c>
      <c r="B999" s="21" t="s">
        <v>989</v>
      </c>
      <c r="C999" s="21" t="s">
        <v>995</v>
      </c>
      <c r="D999" s="21" t="s">
        <v>978</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1142</v>
      </c>
      <c r="B1000" s="21" t="s">
        <v>1066</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1400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1401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1402</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996</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1144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984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609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1149</v>
      </c>
      <c r="B1008" s="21" t="s">
        <v>1007</v>
      </c>
      <c r="C1008" s="21" t="s">
        <v>983</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996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1150</v>
      </c>
      <c r="B1010" s="21" t="s">
        <v>1084</v>
      </c>
      <c r="C1010" s="21" t="s">
        <v>1057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1002</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1106</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1142</v>
      </c>
      <c r="B1013" s="21" t="s">
        <v>1311</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1164</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1403</v>
      </c>
      <c r="B1015" s="21" t="s">
        <v>1084</v>
      </c>
      <c r="C1015" s="21" t="s">
        <v>977</v>
      </c>
      <c r="D1015" s="21" t="s">
        <v>978</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1404</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row>
    <row r="1018" spans="1:12">
      <c r="A1018" s="20" t="s">
        <v>1405</v>
      </c>
    </row>
    <row r="1019" spans="1:12">
      <c r="A1019" s="20" t="s">
        <v>992</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1070</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1047</v>
      </c>
      <c r="B1021" s="21" t="s">
        <v>1095</v>
      </c>
      <c r="C1021" s="21" t="s">
        <v>977</v>
      </c>
      <c r="D1021" s="21" t="s">
        <v>978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1298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431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996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993</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1392</v>
      </c>
      <c r="B1026" s="21" t="s">
        <v>1054</v>
      </c>
      <c r="C1026" s="21" t="s">
        <v>995</v>
      </c>
      <c r="D1026" s="21" t="s">
        <v>978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1002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1067</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1406</v>
      </c>
      <c r="B1029" s="21" t="s">
        <v>976</v>
      </c>
      <c r="C1029" s="21" t="s">
        <v>1008</v>
      </c>
      <c r="D1029" s="21" t="s">
        <v>978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1009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1025</v>
      </c>
      <c r="B1031" s="21" t="s">
        <v>1095</v>
      </c>
      <c r="C1031" s="21" t="s">
        <v>977</v>
      </c>
      <c r="D1031" s="21" t="s">
        <v>978</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1407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1011</v>
      </c>
      <c r="B1033" s="21" t="s">
        <v>1101</v>
      </c>
      <c r="C1033" s="21" t="s">
        <v>977</v>
      </c>
      <c r="D1033" s="21" t="s">
        <v>978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1408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996</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1409</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1410</v>
      </c>
      <c r="B1037" s="21" t="s">
        <v>1036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1002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1310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1411</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1412</v>
      </c>
      <c r="B1041" s="21" t="s">
        <v>1095</v>
      </c>
      <c r="C1041" s="21" t="s">
        <v>977</v>
      </c>
      <c r="D1041" s="21" t="s">
        <v>978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996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1078</v>
      </c>
      <c r="B1043" s="21" t="s">
        <v>986</v>
      </c>
      <c r="C1043" s="21" t="s">
        <v>1020</v>
      </c>
      <c r="D1043" s="21" t="s">
        <v>978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1361</v>
      </c>
      <c r="B1044" s="21" t="s">
        <v>1052</v>
      </c>
      <c r="C1044" s="21" t="s">
        <v>1020</v>
      </c>
      <c r="D1044" s="21" t="s">
        <v>978</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1081</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1382</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1404</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1413</v>
      </c>
    </row>
    <row r="1050" spans="1:12">
      <c r="A1050" s="20" t="s">
        <v>992</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1038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1414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1403</v>
      </c>
      <c r="B1053" s="21" t="s">
        <v>1095</v>
      </c>
      <c r="C1053" s="21" t="s">
        <v>977</v>
      </c>
      <c r="D1053" s="21" t="s">
        <v>978</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853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1017</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1025</v>
      </c>
      <c r="B1056" s="21" t="s">
        <v>1035</v>
      </c>
      <c r="C1056" s="21" t="s">
        <v>977</v>
      </c>
      <c r="D1056" s="21" t="s">
        <v>978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1415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996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1078</v>
      </c>
      <c r="B1059" s="21" t="s">
        <v>1007</v>
      </c>
      <c r="C1059" s="21" t="s">
        <v>1020</v>
      </c>
      <c r="D1059" s="21" t="s">
        <v>978</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1416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1011</v>
      </c>
      <c r="B1061" s="21" t="s">
        <v>1042</v>
      </c>
      <c r="C1061" s="21" t="s">
        <v>977</v>
      </c>
      <c r="D1061" s="21" t="s">
        <v>978</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1164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1417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984</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1092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1418</v>
      </c>
      <c r="B1066" s="21" t="s">
        <v>1084</v>
      </c>
      <c r="C1066" s="21" t="s">
        <v>995</v>
      </c>
      <c r="D1066" s="21" t="s">
        <v>978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1002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1154</v>
      </c>
      <c r="B1068" s="21" t="s">
        <v>976</v>
      </c>
      <c r="C1068" s="21" t="s">
        <v>977</v>
      </c>
      <c r="D1068" s="21" t="s">
        <v>978</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1185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1419</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1420</v>
      </c>
      <c r="B1071" s="21" t="s">
        <v>982</v>
      </c>
      <c r="C1071" s="21" t="s">
        <v>1178</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1022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row>
    <row r="1074" spans="1:12">
      <c r="A1074" s="20" t="s">
        <v>1421</v>
      </c>
    </row>
    <row r="1075" spans="1:12">
      <c r="A1075" s="20" t="s">
        <v>1125</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1422</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1002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1196</v>
      </c>
      <c r="B1078" s="21" t="s">
        <v>989</v>
      </c>
      <c r="C1078" s="21" t="s">
        <v>1008</v>
      </c>
      <c r="D1078" s="21" t="s">
        <v>978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1076</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1038</v>
      </c>
      <c r="B1080" s="21" t="s">
        <v>1101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1047</v>
      </c>
      <c r="B1081" s="21" t="s">
        <v>1066</v>
      </c>
      <c r="C1081" s="21" t="s">
        <v>977</v>
      </c>
      <c r="D1081" s="21" t="s">
        <v>978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1188</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1002</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1423</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1424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1002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1038</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1047</v>
      </c>
      <c r="B1088" s="21" t="s">
        <v>1035</v>
      </c>
      <c r="C1088" s="21" t="s">
        <v>977</v>
      </c>
      <c r="D1088" s="21" t="s">
        <v>978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1425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1050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1426</v>
      </c>
      <c r="B1091" s="21" t="s">
        <v>1036</v>
      </c>
      <c r="C1091" s="21" t="s">
        <v>983</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1427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1002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1000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1038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1070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1047</v>
      </c>
      <c r="B1097" s="21" t="s">
        <v>1042</v>
      </c>
      <c r="C1097" s="21" t="s">
        <v>977</v>
      </c>
      <c r="D1097" s="21" t="s">
        <v>978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1428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1135</v>
      </c>
      <c r="B1099" s="21" t="s">
        <v>1229</v>
      </c>
      <c r="C1099" s="21" t="s">
        <v>977</v>
      </c>
      <c r="D1099" s="21" t="s">
        <v>978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1018</v>
      </c>
      <c r="B1100" s="21" t="s">
        <v>1229</v>
      </c>
      <c r="C1100" s="21" t="s">
        <v>1020</v>
      </c>
      <c r="D1100" s="21" t="s">
        <v>978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1429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1002</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1010</v>
      </c>
      <c r="B1103" s="21" t="s">
        <v>1035</v>
      </c>
      <c r="C1103" s="21" t="s">
        <v>977</v>
      </c>
      <c r="D1103" s="21" t="s">
        <v>978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1011</v>
      </c>
      <c r="B1104" s="21" t="s">
        <v>1036</v>
      </c>
      <c r="C1104" s="21" t="s">
        <v>977</v>
      </c>
      <c r="D1104" s="21" t="s">
        <v>978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1430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1137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1358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1239</v>
      </c>
      <c r="B1108" s="21" t="s">
        <v>1036</v>
      </c>
      <c r="C1108" s="21" t="s">
        <v>1104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1142</v>
      </c>
      <c r="B1109" s="21" t="s">
        <v>1311</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1431</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1092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1320</v>
      </c>
      <c r="B1112" s="21" t="s">
        <v>1229</v>
      </c>
      <c r="C1112" s="21" t="s">
        <v>995</v>
      </c>
      <c r="D1112" s="21" t="s">
        <v>978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996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1333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1022</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row>
    <row r="1117" spans="1:12">
      <c r="A1117" s="20" t="s">
        <v>1432</v>
      </c>
    </row>
    <row r="1118" spans="1:12">
      <c r="A1118" s="20" t="s">
        <v>992</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1074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1382</v>
      </c>
      <c r="B1120" s="21" t="s">
        <v>989</v>
      </c>
      <c r="C1120" s="21" t="s">
        <v>1020</v>
      </c>
      <c r="D1120" s="21" t="s">
        <v>978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1002</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1196</v>
      </c>
      <c r="B1122" s="21" t="s">
        <v>976</v>
      </c>
      <c r="C1122" s="21" t="s">
        <v>1008</v>
      </c>
      <c r="D1122" s="21" t="s">
        <v>978</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1067</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1038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1154</v>
      </c>
      <c r="B1125" s="21" t="s">
        <v>1095</v>
      </c>
      <c r="C1125" s="21" t="s">
        <v>977</v>
      </c>
      <c r="D1125" s="21" t="s">
        <v>978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1185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1433</v>
      </c>
      <c r="B1127" s="21" t="s">
        <v>1052</v>
      </c>
      <c r="C1127" s="21" t="s">
        <v>1057</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1004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997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1434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1435</v>
      </c>
      <c r="B1131" s="21" t="s">
        <v>986</v>
      </c>
      <c r="C1131" s="21" t="s">
        <v>995</v>
      </c>
      <c r="D1131" s="21" t="s">
        <v>978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1022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row>
    <row r="1134" spans="1:12">
      <c r="A1134" s="20" t="s">
        <v>1436</v>
      </c>
    </row>
    <row r="1135" spans="1:12">
      <c r="A1135" s="20" t="s">
        <v>1437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1002</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1154</v>
      </c>
      <c r="B1137" s="21" t="s">
        <v>976</v>
      </c>
      <c r="C1137" s="21" t="s">
        <v>977</v>
      </c>
      <c r="D1137" s="21" t="s">
        <v>978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1438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1439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1000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1047</v>
      </c>
      <c r="B1141" s="21" t="s">
        <v>1095</v>
      </c>
      <c r="C1141" s="21" t="s">
        <v>977</v>
      </c>
      <c r="D1141" s="21" t="s">
        <v>978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1440</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1002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1154</v>
      </c>
      <c r="B1144" s="21" t="s">
        <v>1095</v>
      </c>
      <c r="C1144" s="21" t="s">
        <v>977</v>
      </c>
      <c r="D1144" s="21" t="s">
        <v>978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1438</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1439</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1000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1047</v>
      </c>
      <c r="B1148" s="21" t="s">
        <v>1095</v>
      </c>
      <c r="C1148" s="21" t="s">
        <v>977</v>
      </c>
      <c r="D1148" s="21" t="s">
        <v>978</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1440</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1002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1006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1004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172</v>
      </c>
      <c r="B1153" s="21" t="s">
        <v>986</v>
      </c>
      <c r="C1153" s="21" t="s">
        <v>1008</v>
      </c>
      <c r="D1153" s="21" t="s">
        <v>978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1038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1047</v>
      </c>
      <c r="B1155" s="21" t="s">
        <v>1066</v>
      </c>
      <c r="C1155" s="21" t="s">
        <v>977</v>
      </c>
      <c r="D1155" s="21" t="s">
        <v>978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1441</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1038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1047</v>
      </c>
      <c r="B1158" s="21" t="s">
        <v>1035</v>
      </c>
      <c r="C1158" s="21" t="s">
        <v>977</v>
      </c>
      <c r="D1158" s="21" t="s">
        <v>978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1442</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997</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1443</v>
      </c>
      <c r="B1161" s="21" t="s">
        <v>1036</v>
      </c>
      <c r="C1161" s="21" t="s">
        <v>990</v>
      </c>
      <c r="D1161" s="21" t="s">
        <v>978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996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985</v>
      </c>
      <c r="B1163" s="21" t="s">
        <v>1040</v>
      </c>
      <c r="C1163" s="21" t="s">
        <v>987</v>
      </c>
      <c r="D1163" s="21" t="s">
        <v>978</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1426</v>
      </c>
      <c r="B1164" s="21" t="s">
        <v>1084</v>
      </c>
      <c r="C1164" s="21" t="s">
        <v>990</v>
      </c>
      <c r="D1164" s="21" t="s">
        <v>978</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1000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1004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1444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1050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1393</v>
      </c>
      <c r="B1169" s="21" t="s">
        <v>1146</v>
      </c>
      <c r="C1169" s="21" t="s">
        <v>983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1022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row>
    <row r="1172" spans="1:12">
      <c r="A1172" s="20" t="s">
        <v>1445</v>
      </c>
    </row>
    <row r="1173" spans="1:12">
      <c r="A1173" s="20" t="s">
        <v>992</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1047</v>
      </c>
      <c r="B1174" s="21" t="s">
        <v>976</v>
      </c>
      <c r="C1174" s="21" t="s">
        <v>977</v>
      </c>
      <c r="D1174" s="21" t="s">
        <v>978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1011</v>
      </c>
      <c r="B1175" s="21" t="s">
        <v>982</v>
      </c>
      <c r="C1175" s="21" t="s">
        <v>977</v>
      </c>
      <c r="D1175" s="21" t="s">
        <v>978</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1164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1384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1216</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1217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1174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1002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1067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1406</v>
      </c>
      <c r="B1183" s="21" t="s">
        <v>1095</v>
      </c>
      <c r="C1183" s="21" t="s">
        <v>1008</v>
      </c>
      <c r="D1183" s="21" t="s">
        <v>978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609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1446</v>
      </c>
      <c r="B1185" s="21" t="s">
        <v>989</v>
      </c>
      <c r="C1185" s="21" t="s">
        <v>983</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1447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1310</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1448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1404</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row>
    <row r="1191" spans="1:12">
      <c r="A1191" s="20" t="s">
        <v>1449</v>
      </c>
    </row>
    <row r="1192" spans="1:12">
      <c r="A1192" s="20" t="s">
        <v>992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1388</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1450</v>
      </c>
      <c r="B1194" s="21" t="s">
        <v>976</v>
      </c>
      <c r="C1194" s="21" t="s">
        <v>977</v>
      </c>
      <c r="D1194" s="21" t="s">
        <v>978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609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1435</v>
      </c>
      <c r="B1196" s="21" t="s">
        <v>982</v>
      </c>
      <c r="C1196" s="21" t="s">
        <v>983</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1447</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1002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1310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1448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1404</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row>
    <row r="1203" spans="1:12">
      <c r="A1203" s="20" t="s">
        <v>1451</v>
      </c>
    </row>
    <row r="1204" spans="1:12">
      <c r="A1204" s="20" t="s">
        <v>190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row>
    <row r="1206" spans="1:12">
      <c r="A1206" s="20" t="s">
        <v>1452</v>
      </c>
    </row>
    <row r="1207" spans="1:12">
      <c r="A1207" s="20" t="s">
        <v>992</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1047</v>
      </c>
      <c r="B1208" s="21" t="s">
        <v>976</v>
      </c>
      <c r="C1208" s="21" t="s">
        <v>977</v>
      </c>
      <c r="D1208" s="21" t="s">
        <v>978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1072</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1363</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1189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1004</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196</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1022</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row>
    <row r="1216" spans="1:12">
      <c r="A1216" s="20" t="s">
        <v>1453</v>
      </c>
    </row>
    <row r="1217" spans="1:12">
      <c r="A1217" s="20" t="s">
        <v>992</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1046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1154</v>
      </c>
      <c r="B1219" s="21" t="s">
        <v>976</v>
      </c>
      <c r="C1219" s="21" t="s">
        <v>977</v>
      </c>
      <c r="D1219" s="21" t="s">
        <v>978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979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1454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1009</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1018</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1219</v>
      </c>
      <c r="B1224" s="21" t="s">
        <v>986</v>
      </c>
      <c r="C1224" s="21" t="s">
        <v>1057</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1002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1145</v>
      </c>
      <c r="B1226" s="21" t="s">
        <v>1095</v>
      </c>
      <c r="C1226" s="21" t="s">
        <v>1020</v>
      </c>
      <c r="D1226" s="21" t="s">
        <v>978</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1072</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1147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1189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1455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1456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984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1060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1419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1457</v>
      </c>
      <c r="B1235" s="21" t="s">
        <v>1054</v>
      </c>
      <c r="C1235" s="21" t="s">
        <v>1063</v>
      </c>
      <c r="D1235" s="21" t="s">
        <v>978</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1235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1458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1459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993</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1184</v>
      </c>
      <c r="B1240" s="21" t="s">
        <v>1036</v>
      </c>
      <c r="C1240" s="21" t="s">
        <v>995</v>
      </c>
      <c r="D1240" s="21" t="s">
        <v>978</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1022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row>
    <row r="1243" spans="1:12">
      <c r="A1243" s="20" t="s">
        <v>1460</v>
      </c>
    </row>
    <row r="1244" spans="1:12">
      <c r="A1244" s="20" t="s">
        <v>1125</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1461</v>
      </c>
      <c r="B1245" s="21" t="s">
        <v>976</v>
      </c>
      <c r="C1245" s="21" t="s">
        <v>995</v>
      </c>
      <c r="D1245" s="21" t="s">
        <v>978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1447</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1000</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1448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1462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1027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993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1419</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609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1463</v>
      </c>
      <c r="B1254" s="21" t="s">
        <v>989</v>
      </c>
      <c r="C1254" s="21" t="s">
        <v>983</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1004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1464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1002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1000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1154</v>
      </c>
      <c r="B1259" s="21" t="s">
        <v>1095</v>
      </c>
      <c r="C1259" s="21" t="s">
        <v>977</v>
      </c>
      <c r="D1259" s="21" t="s">
        <v>978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979</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1465</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1454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1038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1092</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1111</v>
      </c>
      <c r="B1265" s="21" t="s">
        <v>1066</v>
      </c>
      <c r="C1265" s="21" t="s">
        <v>995</v>
      </c>
      <c r="D1265" s="21" t="s">
        <v>978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1067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1050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1239</v>
      </c>
      <c r="B1268" s="21" t="s">
        <v>986</v>
      </c>
      <c r="C1268" s="21" t="s">
        <v>983</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1142</v>
      </c>
      <c r="B1269" s="21" t="s">
        <v>1035</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1067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1070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1466</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1004</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997</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1467</v>
      </c>
      <c r="B1275" s="21" t="s">
        <v>1007</v>
      </c>
      <c r="C1275" s="21" t="s">
        <v>990</v>
      </c>
      <c r="D1275" s="21" t="s">
        <v>978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996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1316</v>
      </c>
      <c r="B1277" s="21" t="s">
        <v>1084</v>
      </c>
      <c r="C1277" s="21" t="s">
        <v>1020</v>
      </c>
      <c r="D1277" s="21" t="s">
        <v>978</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1009</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1468</v>
      </c>
      <c r="B1279" s="21" t="s">
        <v>1042</v>
      </c>
      <c r="C1279" s="21" t="s">
        <v>977</v>
      </c>
      <c r="D1279" s="21" t="s">
        <v>978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1116</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1469</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93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1470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996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1471</v>
      </c>
      <c r="B1285" s="21" t="s">
        <v>1317</v>
      </c>
      <c r="C1285" s="21" t="s">
        <v>987</v>
      </c>
      <c r="D1285" s="21" t="s">
        <v>978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1472</v>
      </c>
      <c r="B1286" s="21" t="s">
        <v>1040</v>
      </c>
      <c r="C1286" s="21" t="s">
        <v>990</v>
      </c>
      <c r="D1286" s="21" t="s">
        <v>978</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1310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1473</v>
      </c>
      <c r="B1288" s="21" t="s">
        <v>1317</v>
      </c>
      <c r="C1288" s="21" t="s">
        <v>1057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1022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1474</v>
      </c>
    </row>
    <row r="1292" spans="1:12">
      <c r="A1292" s="20" t="s">
        <v>1182</v>
      </c>
      <c r="B1292" s="21" t="s">
        <v>976</v>
      </c>
      <c r="C1292" s="21" t="s">
        <v>977</v>
      </c>
      <c r="D1292" s="21" t="s">
        <v>978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1298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1475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1038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993</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1476</v>
      </c>
      <c r="B1297" s="21" t="s">
        <v>1066</v>
      </c>
      <c r="C1297" s="21" t="s">
        <v>995</v>
      </c>
      <c r="D1297" s="21" t="s">
        <v>978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1477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996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1092</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1111</v>
      </c>
      <c r="B1301" s="21" t="s">
        <v>1007</v>
      </c>
      <c r="C1301" s="21" t="s">
        <v>995</v>
      </c>
      <c r="D1301" s="21" t="s">
        <v>978</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1478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1479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1022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row>
    <row r="1306" spans="1:12">
      <c r="A1306" s="20" t="s">
        <v>1480</v>
      </c>
    </row>
    <row r="1307" spans="1:12">
      <c r="A1307" s="20" t="s">
        <v>1481</v>
      </c>
      <c r="B1307" s="21" t="s">
        <v>976</v>
      </c>
      <c r="C1307" s="21" t="s">
        <v>977</v>
      </c>
      <c r="D1307" s="21" t="s">
        <v>978</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1116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1478</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1189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1482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1483</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1022</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row>
    <row r="1315" spans="1:12">
      <c r="A1315" s="20" t="s">
        <v>1484</v>
      </c>
    </row>
    <row r="1316" spans="1:12">
      <c r="A1316" s="20" t="s">
        <v>1481</v>
      </c>
      <c r="B1316" s="21" t="s">
        <v>976</v>
      </c>
      <c r="C1316" s="21" t="s">
        <v>977</v>
      </c>
      <c r="D1316" s="21" t="s">
        <v>978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1478</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1482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1485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1022</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1486</v>
      </c>
    </row>
    <row r="1323" spans="1:12">
      <c r="A1323" s="20" t="s">
        <v>1481</v>
      </c>
      <c r="B1323" s="21" t="s">
        <v>976</v>
      </c>
      <c r="C1323" s="21" t="s">
        <v>977</v>
      </c>
      <c r="D1323" s="21" t="s">
        <v>978</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1017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1487</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1081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1488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1489</v>
      </c>
      <c r="B1328" s="21" t="s">
        <v>989</v>
      </c>
      <c r="C1328" s="21" t="s">
        <v>1057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1490</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1022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row>
    <row r="1332" spans="1:12">
      <c r="A1332" s="20" t="s">
        <v>1491</v>
      </c>
    </row>
    <row r="1333" spans="1:12">
      <c r="A1333" s="20" t="s">
        <v>1273</v>
      </c>
      <c r="B1333" s="21" t="s">
        <v>976</v>
      </c>
      <c r="C1333" s="21" t="s">
        <v>1008</v>
      </c>
      <c r="D1333" s="21" t="s">
        <v>978</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1067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1492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1050</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1493</v>
      </c>
      <c r="B1337" s="21" t="s">
        <v>989</v>
      </c>
      <c r="C1337" s="21" t="s">
        <v>983</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1022</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row>
    <row r="1340" spans="1:12">
      <c r="A1340" s="20" t="s">
        <v>1494</v>
      </c>
    </row>
    <row r="1341" spans="1:12">
      <c r="A1341" s="20" t="s">
        <v>1174</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1047</v>
      </c>
      <c r="B1342" s="21" t="s">
        <v>976</v>
      </c>
      <c r="C1342" s="21" t="s">
        <v>977</v>
      </c>
      <c r="D1342" s="21" t="s">
        <v>978</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1164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1495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1496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996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1333</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996</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1497</v>
      </c>
      <c r="B1349" s="21" t="s">
        <v>1054</v>
      </c>
      <c r="C1349" s="21" t="s">
        <v>987</v>
      </c>
      <c r="D1349" s="21" t="s">
        <v>978</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1498</v>
      </c>
      <c r="B1350" s="21" t="s">
        <v>986</v>
      </c>
      <c r="C1350" s="21" t="s">
        <v>990</v>
      </c>
      <c r="D1350" s="21" t="s">
        <v>978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1303</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1009</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1010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1294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1323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216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1177</v>
      </c>
      <c r="B1357" s="21" t="s">
        <v>1101</v>
      </c>
      <c r="C1357" s="21" t="s">
        <v>1178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1002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1024</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1145</v>
      </c>
      <c r="B1360" s="21" t="s">
        <v>1035</v>
      </c>
      <c r="C1360" s="21" t="s">
        <v>1020</v>
      </c>
      <c r="D1360" s="21" t="s">
        <v>978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1116</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1499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1500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1501</v>
      </c>
      <c r="B1364" s="21" t="s">
        <v>1146</v>
      </c>
      <c r="C1364" s="21" t="s">
        <v>1020</v>
      </c>
      <c r="D1364" s="21" t="s">
        <v>978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1294</v>
      </c>
      <c r="B1365" s="21" t="s">
        <v>1146</v>
      </c>
      <c r="C1365" s="21" t="s">
        <v>1020</v>
      </c>
      <c r="D1365" s="21" t="s">
        <v>978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414</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1022</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1502</v>
      </c>
    </row>
    <row r="1370" spans="1:12">
      <c r="A1370" s="20" t="s">
        <v>975</v>
      </c>
      <c r="B1370" s="21" t="s">
        <v>976</v>
      </c>
      <c r="C1370" s="21" t="s">
        <v>977</v>
      </c>
      <c r="D1370" s="21" t="s">
        <v>978</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1503</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1038</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984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216</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1177</v>
      </c>
      <c r="B1375" s="21" t="s">
        <v>989</v>
      </c>
      <c r="C1375" s="21" t="s">
        <v>1178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1002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993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750</v>
      </c>
      <c r="B1378" s="21" t="s">
        <v>1095</v>
      </c>
      <c r="C1378" s="21" t="s">
        <v>995</v>
      </c>
      <c r="D1378" s="21" t="s">
        <v>978</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1504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263</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996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993</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1476</v>
      </c>
      <c r="B1383" s="21" t="s">
        <v>1054</v>
      </c>
      <c r="C1383" s="21" t="s">
        <v>995</v>
      </c>
      <c r="D1383" s="21" t="s">
        <v>978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1038</v>
      </c>
      <c r="B1384" s="21" t="s">
        <v>1146</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1154</v>
      </c>
      <c r="B1385" s="21" t="s">
        <v>1042</v>
      </c>
      <c r="C1385" s="21" t="s">
        <v>977</v>
      </c>
      <c r="D1385" s="21" t="s">
        <v>978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979</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1505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1000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1009</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1025</v>
      </c>
      <c r="B1390" s="21" t="s">
        <v>1095</v>
      </c>
      <c r="C1390" s="21" t="s">
        <v>977</v>
      </c>
      <c r="D1390" s="21" t="s">
        <v>978</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1506</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1507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1081</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935</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1038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1074</v>
      </c>
      <c r="B1396" s="21" t="s">
        <v>1035</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1145</v>
      </c>
      <c r="B1397" s="21" t="s">
        <v>1084</v>
      </c>
      <c r="C1397" s="21" t="s">
        <v>1020</v>
      </c>
      <c r="D1397" s="21" t="s">
        <v>978</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1508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1050</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1509</v>
      </c>
      <c r="B1400" s="21" t="s">
        <v>1036</v>
      </c>
      <c r="C1400" s="21" t="s">
        <v>983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1070</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1510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1022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row>
    <row r="1405" spans="1:12">
      <c r="A1405" s="20" t="s">
        <v>1511</v>
      </c>
    </row>
    <row r="1406" spans="1:12">
      <c r="A1406" s="20" t="s">
        <v>1512</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1111</v>
      </c>
      <c r="B1407" s="21" t="s">
        <v>976</v>
      </c>
      <c r="C1407" s="21" t="s">
        <v>995</v>
      </c>
      <c r="D1407" s="21" t="s">
        <v>978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1067</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609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1513</v>
      </c>
      <c r="B1410" s="21" t="s">
        <v>989</v>
      </c>
      <c r="C1410" s="21" t="s">
        <v>983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996</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1074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1514</v>
      </c>
      <c r="B1413" s="21" t="s">
        <v>989</v>
      </c>
      <c r="C1413" s="21" t="s">
        <v>995</v>
      </c>
      <c r="D1413" s="21" t="s">
        <v>978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1022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row>
    <row r="1416" spans="1:12">
      <c r="A1416" s="20" t="s">
        <v>1515</v>
      </c>
    </row>
    <row r="1417" spans="1:12">
      <c r="A1417" s="20" t="s">
        <v>1280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1145</v>
      </c>
      <c r="B1418" s="21" t="s">
        <v>976</v>
      </c>
      <c r="C1418" s="21" t="s">
        <v>1020</v>
      </c>
      <c r="D1418" s="21" t="s">
        <v>978</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1067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1516</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1000</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1070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1145</v>
      </c>
      <c r="B1423" s="21" t="s">
        <v>1095</v>
      </c>
      <c r="C1423" s="21" t="s">
        <v>1020</v>
      </c>
      <c r="D1423" s="21" t="s">
        <v>978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1517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1216</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1217</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1518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1519</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1002</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1070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985</v>
      </c>
      <c r="B1431" s="21" t="s">
        <v>1084</v>
      </c>
      <c r="C1431" s="21" t="s">
        <v>987</v>
      </c>
      <c r="D1431" s="21" t="s">
        <v>978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1520</v>
      </c>
      <c r="B1432" s="21" t="s">
        <v>1035</v>
      </c>
      <c r="C1432" s="21" t="s">
        <v>990</v>
      </c>
      <c r="D1432" s="21" t="s">
        <v>978</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1521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1002</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1154</v>
      </c>
      <c r="B1435" s="21" t="s">
        <v>1035</v>
      </c>
      <c r="C1435" s="21" t="s">
        <v>977</v>
      </c>
      <c r="D1435" s="21" t="s">
        <v>978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1018</v>
      </c>
      <c r="B1436" s="21" t="s">
        <v>1036</v>
      </c>
      <c r="C1436" s="21" t="s">
        <v>1020</v>
      </c>
      <c r="D1436" s="21" t="s">
        <v>978</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1522</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1050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1382</v>
      </c>
      <c r="B1439" s="21" t="s">
        <v>1036</v>
      </c>
      <c r="C1439" s="21" t="s">
        <v>1020</v>
      </c>
      <c r="D1439" s="21" t="s">
        <v>978</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1022</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1523</v>
      </c>
    </row>
    <row r="1443" spans="1:12">
      <c r="A1443" s="20" t="s">
        <v>190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172</v>
      </c>
      <c r="B1444" s="21" t="s">
        <v>976</v>
      </c>
      <c r="C1444" s="21" t="s">
        <v>1008</v>
      </c>
      <c r="D1444" s="21" t="s">
        <v>978</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1116</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1524</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1189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996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1074</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1514</v>
      </c>
      <c r="B1450" s="21" t="s">
        <v>989</v>
      </c>
      <c r="C1450" s="21" t="s">
        <v>995</v>
      </c>
      <c r="D1450" s="21" t="s">
        <v>978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1525</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1009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1145</v>
      </c>
      <c r="B1453" s="21" t="s">
        <v>1066</v>
      </c>
      <c r="C1453" s="21" t="s">
        <v>1020</v>
      </c>
      <c r="D1453" s="21" t="s">
        <v>978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997</v>
      </c>
      <c r="B1454" s="21" t="s">
        <v>1101</v>
      </c>
      <c r="C1454" s="21" t="s">
        <v>977</v>
      </c>
      <c r="D1454" s="21" t="s">
        <v>978</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1526</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1022</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row>
    <row r="1458" spans="1:12">
      <c r="A1458" s="20" t="s">
        <v>1527</v>
      </c>
    </row>
    <row r="1459" spans="1:12">
      <c r="A1459" s="20" t="s">
        <v>1357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1072</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1294</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1323</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1189</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1081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1514</v>
      </c>
      <c r="B1465" s="21" t="s">
        <v>982</v>
      </c>
      <c r="C1465" s="21" t="s">
        <v>983</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1097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1074</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1528</v>
      </c>
      <c r="B1468" s="21" t="s">
        <v>989</v>
      </c>
      <c r="C1468" s="21" t="s">
        <v>995</v>
      </c>
      <c r="D1468" s="21" t="s">
        <v>978</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996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1092</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1529</v>
      </c>
      <c r="B1471" s="21" t="s">
        <v>986</v>
      </c>
      <c r="C1471" s="21" t="s">
        <v>995</v>
      </c>
      <c r="D1471" s="21" t="s">
        <v>978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1002</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1000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172</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1530</v>
      </c>
      <c r="B1475" s="21" t="s">
        <v>1095</v>
      </c>
      <c r="C1475" s="21" t="s">
        <v>1063</v>
      </c>
      <c r="D1475" s="21" t="s">
        <v>978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996</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997</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1531</v>
      </c>
      <c r="B1478" s="21" t="s">
        <v>1054</v>
      </c>
      <c r="C1478" s="21" t="s">
        <v>995</v>
      </c>
      <c r="D1478" s="21" t="s">
        <v>978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1469</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93</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997</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1532</v>
      </c>
      <c r="B1482" s="21" t="s">
        <v>986</v>
      </c>
      <c r="C1482" s="21" t="s">
        <v>995</v>
      </c>
      <c r="D1482" s="21" t="s">
        <v>978</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996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1074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1533</v>
      </c>
      <c r="B1485" s="21" t="s">
        <v>1054</v>
      </c>
      <c r="C1485" s="21" t="s">
        <v>995</v>
      </c>
      <c r="D1485" s="21" t="s">
        <v>978</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1022</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row>
    <row r="1488" spans="1:12">
      <c r="A1488" s="20" t="s">
        <v>1534</v>
      </c>
    </row>
    <row r="1489" spans="1:12">
      <c r="A1489" s="20" t="s">
        <v>1357</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1294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1323</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1176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1184</v>
      </c>
      <c r="B1493" s="21" t="s">
        <v>982</v>
      </c>
      <c r="C1493" s="21" t="s">
        <v>1178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1009</v>
      </c>
      <c r="B1494" s="21" t="s">
        <v>1036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1145</v>
      </c>
      <c r="B1495" s="21" t="s">
        <v>1066</v>
      </c>
      <c r="C1495" s="21" t="s">
        <v>1020</v>
      </c>
      <c r="D1495" s="21" t="s">
        <v>978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1323</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1535</v>
      </c>
      <c r="B1497" s="21" t="s">
        <v>1101</v>
      </c>
      <c r="C1497" s="21" t="s">
        <v>1057</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1004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1536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1216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1092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1111</v>
      </c>
      <c r="B1502" s="21" t="s">
        <v>1007</v>
      </c>
      <c r="C1502" s="21" t="s">
        <v>995</v>
      </c>
      <c r="D1502" s="21" t="s">
        <v>978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1002</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997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1537</v>
      </c>
      <c r="B1505" s="21" t="s">
        <v>1084</v>
      </c>
      <c r="C1505" s="21" t="s">
        <v>995</v>
      </c>
      <c r="D1505" s="21" t="s">
        <v>978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1002</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1000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1092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1538</v>
      </c>
      <c r="B1509" s="21" t="s">
        <v>1084</v>
      </c>
      <c r="C1509" s="21" t="s">
        <v>995</v>
      </c>
      <c r="D1509" s="21" t="s">
        <v>978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1022</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row>
    <row r="1512" spans="1:12">
      <c r="A1512" s="20" t="s">
        <v>1539</v>
      </c>
    </row>
    <row r="1513" spans="1:12">
      <c r="A1513" s="20" t="s">
        <v>1125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1537</v>
      </c>
      <c r="B1514" s="21" t="s">
        <v>976</v>
      </c>
      <c r="C1514" s="21" t="s">
        <v>995</v>
      </c>
      <c r="D1514" s="21" t="s">
        <v>978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1067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1540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1541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1022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row>
    <row r="1520" spans="1:12">
      <c r="A1520" s="20" t="s">
        <v>1542</v>
      </c>
    </row>
    <row r="1521" spans="1:12">
      <c r="A1521" s="20" t="s">
        <v>1280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1145</v>
      </c>
      <c r="B1522" s="21" t="s">
        <v>1095</v>
      </c>
      <c r="C1522" s="21" t="s">
        <v>1020</v>
      </c>
      <c r="D1522" s="21" t="s">
        <v>978</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1323</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1155</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1050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1529</v>
      </c>
      <c r="B1526" s="21" t="s">
        <v>1052</v>
      </c>
      <c r="C1526" s="21" t="s">
        <v>983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1002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1000</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1145</v>
      </c>
      <c r="B1529" s="21" t="s">
        <v>1066</v>
      </c>
      <c r="C1529" s="21" t="s">
        <v>1020</v>
      </c>
      <c r="D1529" s="21" t="s">
        <v>978</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1093</v>
      </c>
      <c r="B1530" s="21" t="s">
        <v>1101</v>
      </c>
      <c r="C1530" s="21" t="s">
        <v>977</v>
      </c>
      <c r="D1530" s="21" t="s">
        <v>978</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1543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1482</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1544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1002</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1000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1325</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1284</v>
      </c>
      <c r="B1537" s="21" t="s">
        <v>1054</v>
      </c>
      <c r="C1537" s="21" t="s">
        <v>1178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1167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1002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1145</v>
      </c>
      <c r="B1540" s="21" t="s">
        <v>976</v>
      </c>
      <c r="C1540" s="21" t="s">
        <v>1020</v>
      </c>
      <c r="D1540" s="21" t="s">
        <v>978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1093</v>
      </c>
      <c r="B1541" s="21" t="s">
        <v>982</v>
      </c>
      <c r="C1541" s="21" t="s">
        <v>977</v>
      </c>
      <c r="D1541" s="21" t="s">
        <v>978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1543</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1137</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1545</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1546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1002</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1194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1145</v>
      </c>
      <c r="B1548" s="21" t="s">
        <v>1095</v>
      </c>
      <c r="C1548" s="21" t="s">
        <v>1020</v>
      </c>
      <c r="D1548" s="21" t="s">
        <v>978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1547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1439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1004</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1548</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1106</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1010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1017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1549</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1550</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996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1537</v>
      </c>
      <c r="B1559" s="21" t="s">
        <v>1054</v>
      </c>
      <c r="C1559" s="21" t="s">
        <v>1057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1002</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1000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1010</v>
      </c>
      <c r="B1562" s="21" t="s">
        <v>1035</v>
      </c>
      <c r="C1562" s="21" t="s">
        <v>977</v>
      </c>
      <c r="D1562" s="21" t="s">
        <v>978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1551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1550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1120</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1093</v>
      </c>
      <c r="B1566" s="21" t="s">
        <v>1146</v>
      </c>
      <c r="C1566" s="21" t="s">
        <v>977</v>
      </c>
      <c r="D1566" s="21" t="s">
        <v>978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1552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984</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1050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1553</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1554</v>
      </c>
      <c r="B1571" s="21" t="s">
        <v>1084</v>
      </c>
      <c r="C1571" s="21" t="s">
        <v>983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1022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row>
    <row r="1574" spans="1:12">
      <c r="A1574" s="20" t="s">
        <v>1555</v>
      </c>
    </row>
    <row r="1575" spans="1:12">
      <c r="A1575" s="20" t="s">
        <v>1280</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1145</v>
      </c>
      <c r="B1576" s="21" t="s">
        <v>1095</v>
      </c>
      <c r="C1576" s="21" t="s">
        <v>1020</v>
      </c>
      <c r="D1576" s="21" t="s">
        <v>978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1556</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1050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1557</v>
      </c>
      <c r="B1579" s="21" t="s">
        <v>1052</v>
      </c>
      <c r="C1579" s="21" t="s">
        <v>983</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1529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1002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1000</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1145</v>
      </c>
      <c r="B1583" s="21" t="s">
        <v>1066</v>
      </c>
      <c r="C1583" s="21" t="s">
        <v>1020</v>
      </c>
      <c r="D1583" s="21" t="s">
        <v>978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1093</v>
      </c>
      <c r="B1584" s="21" t="s">
        <v>1101</v>
      </c>
      <c r="C1584" s="21" t="s">
        <v>977</v>
      </c>
      <c r="D1584" s="21" t="s">
        <v>978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1543</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1482</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1335</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1002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1000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1004</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997</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1372</v>
      </c>
      <c r="B1592" s="21" t="s">
        <v>986</v>
      </c>
      <c r="C1592" s="21" t="s">
        <v>995</v>
      </c>
      <c r="D1592" s="21" t="s">
        <v>978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996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1325</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1284</v>
      </c>
      <c r="B1595" s="21" t="s">
        <v>1054</v>
      </c>
      <c r="C1595" s="21" t="s">
        <v>1178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1002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1145</v>
      </c>
      <c r="B1597" s="21" t="s">
        <v>976</v>
      </c>
      <c r="C1597" s="21" t="s">
        <v>1020</v>
      </c>
      <c r="D1597" s="21" t="s">
        <v>978</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1072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1547</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1137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1189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1004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1548</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1002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1081</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1050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1111</v>
      </c>
      <c r="B1607" s="21" t="s">
        <v>986</v>
      </c>
      <c r="C1607" s="21" t="s">
        <v>983</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1558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1120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996</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993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1559</v>
      </c>
      <c r="B1612" s="21" t="s">
        <v>1007</v>
      </c>
      <c r="C1612" s="21" t="s">
        <v>995</v>
      </c>
      <c r="D1612" s="21" t="s">
        <v>978</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1560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1022</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1561</v>
      </c>
    </row>
    <row r="1617" spans="1:12">
      <c r="A1617" s="20" t="s">
        <v>1512</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1562</v>
      </c>
      <c r="B1618" s="21" t="s">
        <v>976</v>
      </c>
      <c r="C1618" s="21" t="s">
        <v>995</v>
      </c>
      <c r="D1618" s="21" t="s">
        <v>978</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1563</v>
      </c>
      <c r="B1619" s="21" t="s">
        <v>976</v>
      </c>
      <c r="C1619" s="21" t="s">
        <v>977</v>
      </c>
      <c r="D1619" s="21" t="s">
        <v>978</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1018</v>
      </c>
      <c r="B1620" s="21" t="s">
        <v>982</v>
      </c>
      <c r="C1620" s="21" t="s">
        <v>1020</v>
      </c>
      <c r="D1620" s="21" t="s">
        <v>978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1564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1565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1022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1566</v>
      </c>
    </row>
    <row r="1626" spans="1:12">
      <c r="A1626" s="20" t="s">
        <v>1247</v>
      </c>
      <c r="B1626" s="21" t="s">
        <v>976</v>
      </c>
      <c r="C1626" s="21" t="s">
        <v>1020</v>
      </c>
      <c r="D1626" s="21" t="s">
        <v>978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1323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1535</v>
      </c>
      <c r="B1628" s="21" t="s">
        <v>982</v>
      </c>
      <c r="C1628" s="21" t="s">
        <v>1057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1004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339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1038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1092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1111</v>
      </c>
      <c r="B1633" s="21" t="s">
        <v>1066</v>
      </c>
      <c r="C1633" s="21" t="s">
        <v>995</v>
      </c>
      <c r="D1633" s="21" t="s">
        <v>978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1072</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1067</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1038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996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1092</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1538</v>
      </c>
      <c r="B1639" s="21" t="s">
        <v>1054</v>
      </c>
      <c r="C1639" s="21" t="s">
        <v>995</v>
      </c>
      <c r="D1639" s="21" t="s">
        <v>978</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1022</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row>
    <row r="1642" spans="1:12">
      <c r="A1642" s="20" t="s">
        <v>1567</v>
      </c>
    </row>
    <row r="1643" spans="1:12">
      <c r="A1643" s="20" t="s">
        <v>1357</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1017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1549</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996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1519</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1002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1519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1203</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996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1538</v>
      </c>
      <c r="B1652" s="21" t="s">
        <v>986</v>
      </c>
      <c r="C1652" s="21" t="s">
        <v>1057</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1002</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1519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1203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996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1537</v>
      </c>
      <c r="B1657" s="21" t="s">
        <v>1007</v>
      </c>
      <c r="C1657" s="21" t="s">
        <v>1057</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1002</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1000</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1065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1289</v>
      </c>
      <c r="B1661" s="21" t="s">
        <v>1054</v>
      </c>
      <c r="C1661" s="21" t="s">
        <v>1008</v>
      </c>
      <c r="D1661" s="21" t="s">
        <v>978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1235</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996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993</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1568</v>
      </c>
      <c r="B1665" s="21" t="s">
        <v>1007</v>
      </c>
      <c r="C1665" s="21" t="s">
        <v>995</v>
      </c>
      <c r="D1665" s="21" t="s">
        <v>978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1203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1569</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1022</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row>
    <row r="1670" spans="1:12">
      <c r="A1670" s="20" t="s">
        <v>1570</v>
      </c>
    </row>
    <row r="1671" spans="1:12">
      <c r="A1671" s="20" t="s">
        <v>1416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1154</v>
      </c>
      <c r="B1672" s="21" t="s">
        <v>1095</v>
      </c>
      <c r="C1672" s="21" t="s">
        <v>977</v>
      </c>
      <c r="D1672" s="21" t="s">
        <v>978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979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1571</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1230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1078</v>
      </c>
      <c r="B1676" s="21" t="s">
        <v>986</v>
      </c>
      <c r="C1676" s="21" t="s">
        <v>1020</v>
      </c>
      <c r="D1676" s="21" t="s">
        <v>978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1235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196</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1092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1111</v>
      </c>
      <c r="B1680" s="21" t="s">
        <v>1101</v>
      </c>
      <c r="C1680" s="21" t="s">
        <v>995</v>
      </c>
      <c r="D1680" s="21" t="s">
        <v>978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1002</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1000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1235</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290</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996</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993</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750</v>
      </c>
      <c r="B1687" s="21" t="s">
        <v>1054</v>
      </c>
      <c r="C1687" s="21" t="s">
        <v>995</v>
      </c>
      <c r="D1687" s="21" t="s">
        <v>978</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1142</v>
      </c>
      <c r="B1688" s="21" t="s">
        <v>1042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1074</v>
      </c>
      <c r="B1689" s="21" t="s">
        <v>1146</v>
      </c>
      <c r="C1689" s="21" t="s">
        <v>977</v>
      </c>
      <c r="D1689" s="21" t="s">
        <v>978</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1462</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1572</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1002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1154</v>
      </c>
      <c r="B1693" s="21" t="s">
        <v>976</v>
      </c>
      <c r="C1693" s="21" t="s">
        <v>977</v>
      </c>
      <c r="D1693" s="21" t="s">
        <v>978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979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1179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1038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1573</v>
      </c>
      <c r="B1697" s="21" t="s">
        <v>1095</v>
      </c>
      <c r="C1697" s="21" t="s">
        <v>1020</v>
      </c>
      <c r="D1697" s="21" t="s">
        <v>978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1574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278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1002</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1004</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997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1270</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1575</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1002</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172</v>
      </c>
      <c r="B1706" s="21" t="s">
        <v>986</v>
      </c>
      <c r="C1706" s="21" t="s">
        <v>1008</v>
      </c>
      <c r="D1706" s="21" t="s">
        <v>978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1142</v>
      </c>
      <c r="B1707" s="21" t="s">
        <v>1035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1197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93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1050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1111</v>
      </c>
      <c r="B1711" s="21" t="s">
        <v>1007</v>
      </c>
      <c r="C1711" s="21" t="s">
        <v>983</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1576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1577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1002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1194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1025</v>
      </c>
      <c r="B1716" s="21" t="s">
        <v>1095</v>
      </c>
      <c r="C1716" s="21" t="s">
        <v>977</v>
      </c>
      <c r="D1716" s="21" t="s">
        <v>978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1018</v>
      </c>
      <c r="B1717" s="21" t="s">
        <v>1052</v>
      </c>
      <c r="C1717" s="21" t="s">
        <v>1020</v>
      </c>
      <c r="D1717" s="21" t="s">
        <v>978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1026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1578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1065</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1579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1580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1022</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row>
    <row r="1725" spans="1:12">
      <c r="A1725" s="20" t="s">
        <v>1581</v>
      </c>
    </row>
    <row r="1726" spans="1:12">
      <c r="A1726" s="20" t="s">
        <v>992</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1081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1340</v>
      </c>
      <c r="B1728" s="21" t="s">
        <v>976</v>
      </c>
      <c r="C1728" s="21" t="s">
        <v>1020</v>
      </c>
      <c r="D1728" s="21" t="s">
        <v>978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1582</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172</v>
      </c>
      <c r="B1730" s="21" t="s">
        <v>982</v>
      </c>
      <c r="C1730" s="21" t="s">
        <v>1008</v>
      </c>
      <c r="D1730" s="21" t="s">
        <v>978</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1142</v>
      </c>
      <c r="B1731" s="21" t="s">
        <v>1066</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1037</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93</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1002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1583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1253</v>
      </c>
      <c r="B1736" s="21" t="s">
        <v>1084</v>
      </c>
      <c r="C1736" s="21" t="s">
        <v>987</v>
      </c>
      <c r="D1736" s="21" t="s">
        <v>978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1584</v>
      </c>
      <c r="B1737" s="21" t="s">
        <v>1007</v>
      </c>
      <c r="C1737" s="21" t="s">
        <v>990</v>
      </c>
      <c r="D1737" s="21" t="s">
        <v>978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1002</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1050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1111</v>
      </c>
      <c r="B1740" s="21" t="s">
        <v>1054</v>
      </c>
      <c r="C1740" s="21" t="s">
        <v>983</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1482</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1585</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1194</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1025</v>
      </c>
      <c r="B1744" s="21" t="s">
        <v>1095</v>
      </c>
      <c r="C1744" s="21" t="s">
        <v>977</v>
      </c>
      <c r="D1744" s="21" t="s">
        <v>978</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1586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1587</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996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1588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1589</v>
      </c>
      <c r="B1749" s="21" t="s">
        <v>1052</v>
      </c>
      <c r="C1749" s="21" t="s">
        <v>983</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984</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993</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1590</v>
      </c>
      <c r="B1752" s="21" t="s">
        <v>986</v>
      </c>
      <c r="C1752" s="21" t="s">
        <v>995</v>
      </c>
      <c r="D1752" s="21" t="s">
        <v>978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1591</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993</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1592</v>
      </c>
      <c r="B1755" s="21" t="s">
        <v>1054</v>
      </c>
      <c r="C1755" s="21" t="s">
        <v>995</v>
      </c>
      <c r="D1755" s="21" t="s">
        <v>978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996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1111</v>
      </c>
      <c r="B1757" s="21" t="s">
        <v>1007</v>
      </c>
      <c r="C1757" s="21" t="s">
        <v>1057</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1022</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row>
    <row r="1760" spans="1:12">
      <c r="A1760" s="20" t="s">
        <v>1593</v>
      </c>
    </row>
    <row r="1761" spans="1:12">
      <c r="A1761" s="20" t="s">
        <v>1594</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1154</v>
      </c>
      <c r="B1762" s="21" t="s">
        <v>976</v>
      </c>
      <c r="C1762" s="21" t="s">
        <v>977</v>
      </c>
      <c r="D1762" s="21" t="s">
        <v>978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979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1595</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996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1596</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172</v>
      </c>
      <c r="B1767" s="21" t="s">
        <v>1052</v>
      </c>
      <c r="C1767" s="21" t="s">
        <v>1008</v>
      </c>
      <c r="D1767" s="21" t="s">
        <v>978</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1142</v>
      </c>
      <c r="B1768" s="21" t="s">
        <v>1035</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1597</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1598</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1599</v>
      </c>
      <c r="B1771" s="21" t="s">
        <v>1036</v>
      </c>
      <c r="C1771" s="21" t="s">
        <v>1104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1183</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1600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1038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1081</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1340</v>
      </c>
      <c r="B1776" s="21" t="s">
        <v>1040</v>
      </c>
      <c r="C1776" s="21" t="s">
        <v>1020</v>
      </c>
      <c r="D1776" s="21" t="s">
        <v>978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1022</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row>
    <row r="1779" spans="1:12">
      <c r="A1779" s="20" t="s">
        <v>1601</v>
      </c>
    </row>
    <row r="1780" spans="1:12">
      <c r="A1780" s="20" t="s">
        <v>1602</v>
      </c>
      <c r="B1780" s="21" t="s">
        <v>976</v>
      </c>
      <c r="C1780" s="21" t="s">
        <v>1020</v>
      </c>
      <c r="D1780" s="21" t="s">
        <v>978</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1478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993</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1603</v>
      </c>
      <c r="B1783" s="21" t="s">
        <v>989</v>
      </c>
      <c r="C1783" s="21" t="s">
        <v>995</v>
      </c>
      <c r="D1783" s="21" t="s">
        <v>978</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1142</v>
      </c>
      <c r="B1784" s="21" t="s">
        <v>1095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1563</v>
      </c>
      <c r="B1785" s="21" t="s">
        <v>1052</v>
      </c>
      <c r="C1785" s="21" t="s">
        <v>977</v>
      </c>
      <c r="D1785" s="21" t="s">
        <v>978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1604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996</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1144</v>
      </c>
      <c r="B1788" s="21" t="s">
        <v>986</v>
      </c>
      <c r="C1788" s="21" t="s">
        <v>1057</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1404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row>
    <row r="1791" spans="1:12">
      <c r="A1791" s="20" t="s">
        <v>1605</v>
      </c>
    </row>
    <row r="1792" spans="1:12">
      <c r="A1792" s="20" t="s">
        <v>1594</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1154</v>
      </c>
      <c r="B1793" s="21" t="s">
        <v>976</v>
      </c>
      <c r="C1793" s="21" t="s">
        <v>977</v>
      </c>
      <c r="D1793" s="21" t="s">
        <v>978</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979</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1606</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996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993</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1599</v>
      </c>
      <c r="B1798" s="21" t="s">
        <v>989</v>
      </c>
      <c r="C1798" s="21" t="s">
        <v>995</v>
      </c>
      <c r="D1798" s="21" t="s">
        <v>978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1002</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993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1607</v>
      </c>
      <c r="B1801" s="21" t="s">
        <v>982</v>
      </c>
      <c r="C1801" s="21" t="s">
        <v>995</v>
      </c>
      <c r="D1801" s="21" t="s">
        <v>978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1167</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993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1340</v>
      </c>
      <c r="B1804" s="21" t="s">
        <v>986</v>
      </c>
      <c r="C1804" s="21" t="s">
        <v>995</v>
      </c>
      <c r="D1804" s="21" t="s">
        <v>978</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1002</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1608</v>
      </c>
      <c r="B1806" s="21" t="s">
        <v>1101</v>
      </c>
      <c r="C1806" s="21" t="s">
        <v>1020</v>
      </c>
      <c r="D1806" s="21" t="s">
        <v>978</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1609</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1081</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1050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1111</v>
      </c>
      <c r="B1810" s="21" t="s">
        <v>1054</v>
      </c>
      <c r="C1810" s="21" t="s">
        <v>983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1022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row>
    <row r="1813" spans="1:12">
      <c r="A1813" s="20" t="s">
        <v>1610</v>
      </c>
    </row>
    <row r="1814" spans="1:12">
      <c r="A1814" s="20" t="s">
        <v>1611</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1050</v>
      </c>
      <c r="B1815" s="21" t="s">
        <v>976</v>
      </c>
      <c r="C1815" s="21" t="s">
        <v>1020</v>
      </c>
      <c r="D1815" s="21" t="s">
        <v>978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996</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993</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1612</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1599</v>
      </c>
      <c r="B1819" s="21" t="s">
        <v>986</v>
      </c>
      <c r="C1819" s="21" t="s">
        <v>995</v>
      </c>
      <c r="D1819" s="21" t="s">
        <v>978</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1038</v>
      </c>
      <c r="B1820" s="21" t="s">
        <v>1036</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1154</v>
      </c>
      <c r="B1821" s="21" t="s">
        <v>1035</v>
      </c>
      <c r="C1821" s="21" t="s">
        <v>977</v>
      </c>
      <c r="D1821" s="21" t="s">
        <v>978</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979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1613</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1323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1614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1092</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1111</v>
      </c>
      <c r="B1827" s="21" t="s">
        <v>982</v>
      </c>
      <c r="C1827" s="21" t="s">
        <v>995</v>
      </c>
      <c r="D1827" s="21" t="s">
        <v>978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1004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1050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1381</v>
      </c>
      <c r="B1830" s="21" t="s">
        <v>989</v>
      </c>
      <c r="C1830" s="21" t="s">
        <v>983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1183</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1615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1081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93</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1616</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1002</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1000</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1289</v>
      </c>
      <c r="B1838" s="21" t="s">
        <v>1095</v>
      </c>
      <c r="C1838" s="21" t="s">
        <v>1008</v>
      </c>
      <c r="D1838" s="21" t="s">
        <v>978</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1135</v>
      </c>
      <c r="B1839" s="21" t="s">
        <v>1052</v>
      </c>
      <c r="C1839" s="21" t="s">
        <v>977</v>
      </c>
      <c r="D1839" s="21" t="s">
        <v>978</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1076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1617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1081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33</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1289</v>
      </c>
      <c r="B1844" s="21" t="s">
        <v>1101</v>
      </c>
      <c r="C1844" s="21" t="s">
        <v>1008</v>
      </c>
      <c r="D1844" s="21" t="s">
        <v>978</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1618</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997</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1619</v>
      </c>
      <c r="B1847" s="21" t="s">
        <v>1054</v>
      </c>
      <c r="C1847" s="21" t="s">
        <v>995</v>
      </c>
      <c r="D1847" s="21" t="s">
        <v>978</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1350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1289</v>
      </c>
      <c r="B1849" s="21" t="s">
        <v>1066</v>
      </c>
      <c r="C1849" s="21" t="s">
        <v>1008</v>
      </c>
      <c r="D1849" s="21" t="s">
        <v>978</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1135</v>
      </c>
      <c r="B1850" s="21" t="s">
        <v>1101</v>
      </c>
      <c r="C1850" s="21" t="s">
        <v>977</v>
      </c>
      <c r="D1850" s="21" t="s">
        <v>978</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1323</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1620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1038</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1397</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1264</v>
      </c>
      <c r="B1855" s="21" t="s">
        <v>1035</v>
      </c>
      <c r="C1855" s="21" t="s">
        <v>1063</v>
      </c>
      <c r="D1855" s="21" t="s">
        <v>978</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1183</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1615</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1081</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93</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1616</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1469</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1621</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1004</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1092</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1616</v>
      </c>
      <c r="B1865" s="21" t="s">
        <v>1040</v>
      </c>
      <c r="C1865" s="21" t="s">
        <v>995</v>
      </c>
      <c r="D1865" s="21" t="s">
        <v>978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1235</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996</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1622</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1002</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1000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1038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1196</v>
      </c>
      <c r="B1872" s="21" t="s">
        <v>1311</v>
      </c>
      <c r="C1872" s="21" t="s">
        <v>1008</v>
      </c>
      <c r="D1872" s="21" t="s">
        <v>978</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1067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1482</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1585</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1022</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row>
    <row r="1878" spans="1:12">
      <c r="A1878" s="20" t="s">
        <v>1623</v>
      </c>
    </row>
    <row r="1879" spans="1:12">
      <c r="A1879" s="20" t="s">
        <v>1624</v>
      </c>
      <c r="B1879" s="21" t="s">
        <v>976</v>
      </c>
      <c r="C1879" s="21" t="s">
        <v>977</v>
      </c>
      <c r="D1879" s="21" t="s">
        <v>978</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1625</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997</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1626</v>
      </c>
      <c r="B1882" s="21" t="s">
        <v>982</v>
      </c>
      <c r="C1882" s="21" t="s">
        <v>995</v>
      </c>
      <c r="D1882" s="21" t="s">
        <v>978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997</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1183</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1627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1004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997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1100</v>
      </c>
      <c r="B1888" s="21" t="s">
        <v>1054</v>
      </c>
      <c r="C1888" s="21" t="s">
        <v>995</v>
      </c>
      <c r="D1888" s="21" t="s">
        <v>978</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1002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1000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996</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993</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750</v>
      </c>
      <c r="B1893" s="21" t="s">
        <v>1095</v>
      </c>
      <c r="C1893" s="21" t="s">
        <v>995</v>
      </c>
      <c r="D1893" s="21" t="s">
        <v>978</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1018</v>
      </c>
      <c r="B1894" s="21" t="s">
        <v>1054</v>
      </c>
      <c r="C1894" s="21" t="s">
        <v>1020</v>
      </c>
      <c r="D1894" s="21" t="s">
        <v>978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1628</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1027</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993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1498</v>
      </c>
      <c r="B1898" s="21" t="s">
        <v>986</v>
      </c>
      <c r="C1898" s="21" t="s">
        <v>995</v>
      </c>
      <c r="D1898" s="21" t="s">
        <v>978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1022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row>
    <row r="1901" spans="1:12">
      <c r="A1901" s="20" t="s">
        <v>1629</v>
      </c>
    </row>
    <row r="1902" spans="1:12">
      <c r="A1902" s="20" t="s">
        <v>1238</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323</v>
      </c>
      <c r="B1903" s="21" t="s">
        <v>976</v>
      </c>
      <c r="C1903" s="21" t="s">
        <v>983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1004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1142</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1154</v>
      </c>
      <c r="B1906" s="21" t="s">
        <v>1066</v>
      </c>
      <c r="C1906" s="21" t="s">
        <v>977</v>
      </c>
      <c r="D1906" s="21" t="s">
        <v>978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979</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1630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1631</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1154</v>
      </c>
      <c r="B1910" s="21" t="s">
        <v>1035</v>
      </c>
      <c r="C1910" s="21" t="s">
        <v>977</v>
      </c>
      <c r="D1910" s="21" t="s">
        <v>978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1632</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996</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196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1065</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1633</v>
      </c>
      <c r="B1915" s="21" t="s">
        <v>1146</v>
      </c>
      <c r="C1915" s="21" t="s">
        <v>1020</v>
      </c>
      <c r="D1915" s="21" t="s">
        <v>978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1067</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1050</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1634</v>
      </c>
      <c r="B1918" s="21" t="s">
        <v>989</v>
      </c>
      <c r="C1918" s="21" t="s">
        <v>983</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1635</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1038</v>
      </c>
      <c r="B1920" s="21" t="s">
        <v>1052</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1047</v>
      </c>
      <c r="B1921" s="21" t="s">
        <v>1095</v>
      </c>
      <c r="C1921" s="21" t="s">
        <v>977</v>
      </c>
      <c r="D1921" s="21" t="s">
        <v>978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1636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1637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1482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1638</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1002</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1000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1142</v>
      </c>
      <c r="B1928" s="21" t="s">
        <v>1095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1147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1639</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609</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1640</v>
      </c>
      <c r="B1932" s="21" t="s">
        <v>1052</v>
      </c>
      <c r="C1932" s="21" t="s">
        <v>983</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1641</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1018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1642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1643</v>
      </c>
      <c r="B1936" s="21" t="s">
        <v>986</v>
      </c>
      <c r="C1936" s="21" t="s">
        <v>1057</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1081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1644</v>
      </c>
      <c r="B1938" s="21" t="s">
        <v>986</v>
      </c>
      <c r="C1938" s="21" t="s">
        <v>1057</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1002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1645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996</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1017</v>
      </c>
      <c r="B1942" s="21" t="s">
        <v>1101</v>
      </c>
      <c r="C1942" s="21" t="s">
        <v>977</v>
      </c>
      <c r="D1942" s="21" t="s">
        <v>978</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1646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984</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1050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1647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1111</v>
      </c>
      <c r="B1947" s="21" t="s">
        <v>1054</v>
      </c>
      <c r="C1947" s="21" t="s">
        <v>983</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1022</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row>
    <row r="1950" spans="1:12">
      <c r="A1950" s="20" t="s">
        <v>1648</v>
      </c>
    </row>
    <row r="1951" spans="1:12">
      <c r="A1951" s="20" t="s">
        <v>1624</v>
      </c>
      <c r="B1951" s="21" t="s">
        <v>976</v>
      </c>
      <c r="C1951" s="21" t="s">
        <v>977</v>
      </c>
      <c r="D1951" s="21" t="s">
        <v>978</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1649</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996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1650</v>
      </c>
      <c r="B1954" s="21" t="s">
        <v>989</v>
      </c>
      <c r="C1954" s="21" t="s">
        <v>1057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1651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1002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1310</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996</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1652</v>
      </c>
      <c r="B1959" s="21" t="s">
        <v>989</v>
      </c>
      <c r="C1959" s="21" t="s">
        <v>1057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1653</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1032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1145</v>
      </c>
      <c r="B1962" s="21" t="s">
        <v>1066</v>
      </c>
      <c r="C1962" s="21" t="s">
        <v>1020</v>
      </c>
      <c r="D1962" s="21" t="s">
        <v>978</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1074</v>
      </c>
      <c r="B1963" s="21" t="s">
        <v>1101</v>
      </c>
      <c r="C1963" s="21" t="s">
        <v>977</v>
      </c>
      <c r="D1963" s="21" t="s">
        <v>978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1654</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1004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1074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1655</v>
      </c>
      <c r="B1967" s="21" t="s">
        <v>1054</v>
      </c>
      <c r="C1967" s="21" t="s">
        <v>995</v>
      </c>
      <c r="D1967" s="21" t="s">
        <v>978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1022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row>
    <row r="1970" spans="1:12">
      <c r="A1970" s="20" t="s">
        <v>1656</v>
      </c>
    </row>
    <row r="1971" spans="1:12">
      <c r="A1971" s="20" t="s">
        <v>1624</v>
      </c>
      <c r="B1971" s="21" t="s">
        <v>976</v>
      </c>
      <c r="C1971" s="21" t="s">
        <v>977</v>
      </c>
      <c r="D1971" s="21" t="s">
        <v>978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1021</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1482</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1519</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1657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1658</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1169</v>
      </c>
      <c r="B1977" s="21" t="s">
        <v>989</v>
      </c>
      <c r="C1977" s="21" t="s">
        <v>1104</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1002</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1659</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1004</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997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1660</v>
      </c>
      <c r="B1982" s="21" t="s">
        <v>986</v>
      </c>
      <c r="C1982" s="21" t="s">
        <v>995</v>
      </c>
      <c r="D1982" s="21" t="s">
        <v>978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1002</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1000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1046</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1371</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1145</v>
      </c>
      <c r="B1987" s="21" t="s">
        <v>1095</v>
      </c>
      <c r="C1987" s="21" t="s">
        <v>1020</v>
      </c>
      <c r="D1987" s="21" t="s">
        <v>978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1323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1661</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996</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1662</v>
      </c>
      <c r="B1991" s="21" t="s">
        <v>1101</v>
      </c>
      <c r="C1991" s="21" t="s">
        <v>977</v>
      </c>
      <c r="D1991" s="21" t="s">
        <v>978</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1663</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996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997</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1660</v>
      </c>
      <c r="B1995" s="21" t="s">
        <v>1054</v>
      </c>
      <c r="C1995" s="21" t="s">
        <v>995</v>
      </c>
      <c r="D1995" s="21" t="s">
        <v>978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1235</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1664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1665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1468</v>
      </c>
      <c r="B1999" s="21" t="s">
        <v>1042</v>
      </c>
      <c r="C1999" s="21" t="s">
        <v>977</v>
      </c>
      <c r="D1999" s="21" t="s">
        <v>978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1666</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1097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1002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1000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1468</v>
      </c>
      <c r="B2004" s="21" t="s">
        <v>1066</v>
      </c>
      <c r="C2004" s="21" t="s">
        <v>977</v>
      </c>
      <c r="D2004" s="21" t="s">
        <v>978</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1323</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1639</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609</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1382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1640</v>
      </c>
      <c r="B2009" s="21" t="s">
        <v>1101</v>
      </c>
      <c r="C2009" s="21" t="s">
        <v>983</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1641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1002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1046</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1468</v>
      </c>
      <c r="B2013" s="21" t="s">
        <v>1042</v>
      </c>
      <c r="C2013" s="21" t="s">
        <v>977</v>
      </c>
      <c r="D2013" s="21" t="s">
        <v>978</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1323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1667</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984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1092</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1668</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1111</v>
      </c>
      <c r="B2019" s="21" t="s">
        <v>1084</v>
      </c>
      <c r="C2019" s="21" t="s">
        <v>995</v>
      </c>
      <c r="D2019" s="21" t="s">
        <v>978</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1038</v>
      </c>
      <c r="B2020" s="21" t="s">
        <v>1019</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1154</v>
      </c>
      <c r="B2021" s="21" t="s">
        <v>1016</v>
      </c>
      <c r="C2021" s="21" t="s">
        <v>977</v>
      </c>
      <c r="D2021" s="21" t="s">
        <v>978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1669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1670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1671</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1657</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1672</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1468</v>
      </c>
      <c r="B2027" s="21" t="s">
        <v>1311</v>
      </c>
      <c r="C2027" s="21" t="s">
        <v>977</v>
      </c>
      <c r="D2027" s="21" t="s">
        <v>978</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1067</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1673</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1674</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1675</v>
      </c>
      <c r="B2031" s="21" t="s">
        <v>1317</v>
      </c>
      <c r="C2031" s="21" t="s">
        <v>987</v>
      </c>
      <c r="D2031" s="21" t="s">
        <v>978</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1676</v>
      </c>
      <c r="B2032" s="21" t="s">
        <v>1040</v>
      </c>
      <c r="C2032" s="21" t="s">
        <v>990</v>
      </c>
      <c r="D2032" s="21" t="s">
        <v>978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1002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984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609</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1677</v>
      </c>
      <c r="B2036" s="21" t="s">
        <v>1040</v>
      </c>
      <c r="C2036" s="21" t="s">
        <v>983</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1183</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1310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1270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1678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1002</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1679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1097</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1680</v>
      </c>
      <c r="B2044" s="21" t="s">
        <v>1040</v>
      </c>
      <c r="C2044" s="21" t="s">
        <v>1057</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1002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1344</v>
      </c>
      <c r="B2046" s="21" t="s">
        <v>1317</v>
      </c>
      <c r="C2046" s="21" t="s">
        <v>1057</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1167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1344</v>
      </c>
      <c r="B2048" s="21" t="s">
        <v>1014</v>
      </c>
      <c r="C2048" s="21" t="s">
        <v>1057</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1167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1344</v>
      </c>
      <c r="B2050" s="21" t="s">
        <v>1321</v>
      </c>
      <c r="C2050" s="21" t="s">
        <v>1057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1022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row>
    <row r="2053" spans="1:12">
      <c r="A2053" s="20" t="s">
        <v>1681</v>
      </c>
    </row>
    <row r="2054" spans="1:12">
      <c r="A2054" s="20" t="s">
        <v>992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1024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1047</v>
      </c>
      <c r="B2056" s="21" t="s">
        <v>1095</v>
      </c>
      <c r="C2056" s="21" t="s">
        <v>977</v>
      </c>
      <c r="D2056" s="21" t="s">
        <v>978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1074</v>
      </c>
      <c r="B2057" s="21" t="s">
        <v>1052</v>
      </c>
      <c r="C2057" s="21" t="s">
        <v>977</v>
      </c>
      <c r="D2057" s="21" t="s">
        <v>978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979</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1682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996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993</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1169</v>
      </c>
      <c r="B2062" s="21" t="s">
        <v>986</v>
      </c>
      <c r="C2062" s="21" t="s">
        <v>995</v>
      </c>
      <c r="D2062" s="21" t="s">
        <v>978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1167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1230</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1397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1683</v>
      </c>
      <c r="B2066" s="21" t="s">
        <v>1054</v>
      </c>
      <c r="C2066" s="21" t="s">
        <v>1063</v>
      </c>
      <c r="D2066" s="21" t="s">
        <v>978</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12</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1468</v>
      </c>
      <c r="B2068" s="21" t="s">
        <v>1066</v>
      </c>
      <c r="C2068" s="21" t="s">
        <v>977</v>
      </c>
      <c r="D2068" s="21" t="s">
        <v>978</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1067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1684</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1000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1685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1000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1017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1686</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1687</v>
      </c>
      <c r="B2076" s="21" t="s">
        <v>1036</v>
      </c>
      <c r="C2076" s="21" t="s">
        <v>1116</v>
      </c>
      <c r="D2076" s="21" t="s">
        <v>978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1688</v>
      </c>
      <c r="B2077" s="21" t="s">
        <v>1084</v>
      </c>
      <c r="C2077" s="21" t="s">
        <v>1116</v>
      </c>
      <c r="D2077" s="21" t="s">
        <v>978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12</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984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1689</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1690</v>
      </c>
      <c r="B2082" s="21" t="s">
        <v>1007</v>
      </c>
      <c r="C2082" s="21" t="s">
        <v>1063</v>
      </c>
      <c r="D2082" s="21" t="s">
        <v>978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1002</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1468</v>
      </c>
      <c r="B2084" s="21" t="s">
        <v>976</v>
      </c>
      <c r="C2084" s="21" t="s">
        <v>977</v>
      </c>
      <c r="D2084" s="21" t="s">
        <v>978</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1323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1384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1216</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1217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1182</v>
      </c>
      <c r="B2089" s="21" t="s">
        <v>1095</v>
      </c>
      <c r="C2089" s="21" t="s">
        <v>977</v>
      </c>
      <c r="D2089" s="21" t="s">
        <v>978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1691</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1692</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1693</v>
      </c>
      <c r="B2092" s="21" t="s">
        <v>1052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1694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1695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1696</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1697</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1698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1692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1018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1699</v>
      </c>
      <c r="B2100" s="21" t="s">
        <v>986</v>
      </c>
      <c r="C2100" s="21" t="s">
        <v>1057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1002</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1235</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1135</v>
      </c>
      <c r="B2103" s="21" t="s">
        <v>1101</v>
      </c>
      <c r="C2103" s="21" t="s">
        <v>977</v>
      </c>
      <c r="D2103" s="21" t="s">
        <v>978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450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1074</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1041</v>
      </c>
      <c r="B2106" s="21" t="s">
        <v>1101</v>
      </c>
      <c r="C2106" s="21" t="s">
        <v>995</v>
      </c>
      <c r="D2106" s="21" t="s">
        <v>978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1022</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row>
    <row r="2109" spans="1:12">
      <c r="A2109" s="20" t="s">
        <v>1700</v>
      </c>
    </row>
    <row r="2110" spans="1:12">
      <c r="A2110" s="20" t="s">
        <v>1182</v>
      </c>
      <c r="B2110" s="21" t="s">
        <v>976</v>
      </c>
      <c r="C2110" s="21" t="s">
        <v>977</v>
      </c>
      <c r="D2110" s="21" t="s">
        <v>978</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1691</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1235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1701</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172</v>
      </c>
      <c r="B2114" s="21" t="s">
        <v>1052</v>
      </c>
      <c r="C2114" s="21" t="s">
        <v>1008</v>
      </c>
      <c r="D2114" s="21" t="s">
        <v>978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1038</v>
      </c>
      <c r="B2115" s="21" t="s">
        <v>1036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1039</v>
      </c>
      <c r="B2116" s="21" t="s">
        <v>1084</v>
      </c>
      <c r="C2116" s="21" t="s">
        <v>987</v>
      </c>
      <c r="D2116" s="21" t="s">
        <v>978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1041</v>
      </c>
      <c r="B2117" s="21" t="s">
        <v>1035</v>
      </c>
      <c r="C2117" s="21" t="s">
        <v>990</v>
      </c>
      <c r="D2117" s="21" t="s">
        <v>978</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1281</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1216</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1692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1702</v>
      </c>
      <c r="B2121" s="21" t="s">
        <v>1095</v>
      </c>
      <c r="C2121" s="21" t="s">
        <v>977</v>
      </c>
      <c r="D2121" s="21" t="s">
        <v>978</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1072</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1703</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1501</v>
      </c>
      <c r="B2124" s="21" t="s">
        <v>989</v>
      </c>
      <c r="C2124" s="21" t="s">
        <v>1020</v>
      </c>
      <c r="D2124" s="21" t="s">
        <v>978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1022</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row>
    <row r="2127" spans="1:12">
      <c r="A2127" s="20" t="s">
        <v>1704</v>
      </c>
    </row>
    <row r="2128" spans="1:12">
      <c r="A2128" s="20" t="s">
        <v>1702</v>
      </c>
      <c r="B2128" s="21" t="s">
        <v>976</v>
      </c>
      <c r="C2128" s="21" t="s">
        <v>977</v>
      </c>
      <c r="D2128" s="21" t="s">
        <v>978</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1072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1703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323</v>
      </c>
      <c r="B2131" s="21" t="s">
        <v>989</v>
      </c>
      <c r="C2131" s="21" t="s">
        <v>1057</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1022</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row>
    <row r="2134" spans="1:12">
      <c r="A2134" s="20" t="s">
        <v>1705</v>
      </c>
    </row>
    <row r="2135" spans="1:12">
      <c r="A2135" s="20" t="s">
        <v>1702</v>
      </c>
      <c r="B2135" s="21" t="s">
        <v>976</v>
      </c>
      <c r="C2135" s="21" t="s">
        <v>977</v>
      </c>
      <c r="D2135" s="21" t="s">
        <v>978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1116</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1706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1305</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1189</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996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1333</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1707</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row>
    <row r="2144" spans="1:12">
      <c r="A2144" s="20" t="s">
        <v>1708</v>
      </c>
    </row>
    <row r="2145" spans="1:12">
      <c r="A2145" s="20" t="s">
        <v>992</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1196</v>
      </c>
      <c r="B2146" s="21" t="s">
        <v>976</v>
      </c>
      <c r="C2146" s="21" t="s">
        <v>1008</v>
      </c>
      <c r="D2146" s="21" t="s">
        <v>978</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1076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1004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172</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1199</v>
      </c>
      <c r="B2150" s="21" t="s">
        <v>989</v>
      </c>
      <c r="C2150" s="21" t="s">
        <v>1063</v>
      </c>
      <c r="D2150" s="21" t="s">
        <v>978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845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1038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1154</v>
      </c>
      <c r="B2153" s="21" t="s">
        <v>1066</v>
      </c>
      <c r="C2153" s="21" t="s">
        <v>977</v>
      </c>
      <c r="D2153" s="21" t="s">
        <v>978</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979</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1492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1332</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1004</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1709</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1004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1011</v>
      </c>
      <c r="B2160" s="21" t="s">
        <v>1146</v>
      </c>
      <c r="C2160" s="21" t="s">
        <v>977</v>
      </c>
      <c r="D2160" s="21" t="s">
        <v>978</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1710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1022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row>
    <row r="2164" spans="1:12">
      <c r="A2164" s="20" t="s">
        <v>1711</v>
      </c>
    </row>
    <row r="2165" spans="1:12">
      <c r="A2165" s="20" t="s">
        <v>190</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1416</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1145</v>
      </c>
      <c r="B2167" s="21" t="s">
        <v>1095</v>
      </c>
      <c r="C2167" s="21" t="s">
        <v>1020</v>
      </c>
      <c r="D2167" s="21" t="s">
        <v>978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1067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1712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1002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1145</v>
      </c>
      <c r="B2171" s="21" t="s">
        <v>976</v>
      </c>
      <c r="C2171" s="21" t="s">
        <v>1020</v>
      </c>
      <c r="D2171" s="21" t="s">
        <v>978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1116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1713</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1189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1009</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1145</v>
      </c>
      <c r="B2176" s="21" t="s">
        <v>1095</v>
      </c>
      <c r="C2176" s="21" t="s">
        <v>1020</v>
      </c>
      <c r="D2176" s="21" t="s">
        <v>978</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1714</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609</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1715</v>
      </c>
      <c r="B2179" s="21" t="s">
        <v>1052</v>
      </c>
      <c r="C2179" s="21" t="s">
        <v>983</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1716</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1000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1009</v>
      </c>
      <c r="B2182" s="21" t="s">
        <v>1036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1145</v>
      </c>
      <c r="B2183" s="21" t="s">
        <v>1035</v>
      </c>
      <c r="C2183" s="21" t="s">
        <v>1020</v>
      </c>
      <c r="D2183" s="21" t="s">
        <v>978</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1717</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997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1100</v>
      </c>
      <c r="B2186" s="21" t="s">
        <v>1036</v>
      </c>
      <c r="C2186" s="21" t="s">
        <v>995</v>
      </c>
      <c r="D2186" s="21" t="s">
        <v>978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1004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1112</v>
      </c>
      <c r="B2188" s="21" t="s">
        <v>1040</v>
      </c>
      <c r="C2188" s="21" t="s">
        <v>1057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997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1718</v>
      </c>
      <c r="B2190" s="21" t="s">
        <v>1007</v>
      </c>
      <c r="C2190" s="21" t="s">
        <v>995</v>
      </c>
      <c r="D2190" s="21" t="s">
        <v>978</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1719</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1120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1092</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1720</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1721</v>
      </c>
      <c r="B2195" s="21" t="s">
        <v>1040</v>
      </c>
      <c r="C2195" s="21" t="s">
        <v>995</v>
      </c>
      <c r="D2195" s="21" t="s">
        <v>978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1022</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1722</v>
      </c>
    </row>
    <row r="2199" spans="1:12">
      <c r="A2199" s="20" t="s">
        <v>1247</v>
      </c>
      <c r="B2199" s="21" t="s">
        <v>976</v>
      </c>
      <c r="C2199" s="21" t="s">
        <v>1020</v>
      </c>
      <c r="D2199" s="21" t="s">
        <v>978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1723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1038</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997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1715</v>
      </c>
      <c r="B2203" s="21" t="s">
        <v>1095</v>
      </c>
      <c r="C2203" s="21" t="s">
        <v>995</v>
      </c>
      <c r="D2203" s="21" t="s">
        <v>978</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1323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1401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1724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1002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997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1715</v>
      </c>
      <c r="B2209" s="21" t="s">
        <v>986</v>
      </c>
      <c r="C2209" s="21" t="s">
        <v>995</v>
      </c>
      <c r="D2209" s="21" t="s">
        <v>978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996</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997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1193</v>
      </c>
      <c r="B2212" s="21" t="s">
        <v>1054</v>
      </c>
      <c r="C2212" s="21" t="s">
        <v>995</v>
      </c>
      <c r="D2212" s="21" t="s">
        <v>978</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1002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1000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1038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1725</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1145</v>
      </c>
      <c r="B2217" s="21" t="s">
        <v>1066</v>
      </c>
      <c r="C2217" s="21" t="s">
        <v>1020</v>
      </c>
      <c r="D2217" s="21" t="s">
        <v>978</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1717</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1726</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1022</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row>
    <row r="2222" spans="1:12">
      <c r="A2222" s="20" t="s">
        <v>1727</v>
      </c>
    </row>
    <row r="2223" spans="1:12">
      <c r="A2223" s="20" t="s">
        <v>1357</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1067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1183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1728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1081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1729</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996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993</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1730</v>
      </c>
      <c r="B2231" s="21" t="s">
        <v>986</v>
      </c>
      <c r="C2231" s="21" t="s">
        <v>995</v>
      </c>
      <c r="D2231" s="21" t="s">
        <v>978</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1142</v>
      </c>
      <c r="B2232" s="21" t="s">
        <v>1035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1017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1731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1050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1239</v>
      </c>
      <c r="B2236" s="21" t="s">
        <v>1036</v>
      </c>
      <c r="C2236" s="21" t="s">
        <v>983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1732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1004</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997</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1467</v>
      </c>
      <c r="B2240" s="21" t="s">
        <v>1007</v>
      </c>
      <c r="C2240" s="21" t="s">
        <v>990</v>
      </c>
      <c r="D2240" s="21" t="s">
        <v>978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1081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1733</v>
      </c>
      <c r="B2242" s="21" t="s">
        <v>1084</v>
      </c>
      <c r="C2242" s="21" t="s">
        <v>1020</v>
      </c>
      <c r="D2242" s="21" t="s">
        <v>978</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1142</v>
      </c>
      <c r="B2243" s="21" t="s">
        <v>1311</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1734</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1093</v>
      </c>
      <c r="B2245" s="21" t="s">
        <v>1019</v>
      </c>
      <c r="C2245" s="21" t="s">
        <v>977</v>
      </c>
      <c r="D2245" s="21" t="s">
        <v>978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414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1735</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1002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1194</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1092</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1736</v>
      </c>
      <c r="B2251" s="21" t="s">
        <v>986</v>
      </c>
      <c r="C2251" s="21" t="s">
        <v>995</v>
      </c>
      <c r="D2251" s="21" t="s">
        <v>978</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1674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993</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1737</v>
      </c>
      <c r="B2254" s="21" t="s">
        <v>1054</v>
      </c>
      <c r="C2254" s="21" t="s">
        <v>995</v>
      </c>
      <c r="D2254" s="21" t="s">
        <v>978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1002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1196</v>
      </c>
      <c r="B2256" s="21" t="s">
        <v>1095</v>
      </c>
      <c r="C2256" s="21" t="s">
        <v>1008</v>
      </c>
      <c r="D2256" s="21" t="s">
        <v>978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1067</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1009</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1145</v>
      </c>
      <c r="B2259" s="21" t="s">
        <v>1066</v>
      </c>
      <c r="C2259" s="21" t="s">
        <v>1020</v>
      </c>
      <c r="D2259" s="21" t="s">
        <v>978</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1723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1738</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1092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1739</v>
      </c>
      <c r="B2263" s="21" t="s">
        <v>1036</v>
      </c>
      <c r="C2263" s="21" t="s">
        <v>995</v>
      </c>
      <c r="D2263" s="21" t="s">
        <v>978</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1022</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row>
    <row r="2266" spans="1:12">
      <c r="A2266" s="20" t="s">
        <v>1740</v>
      </c>
    </row>
    <row r="2267" spans="1:12">
      <c r="A2267" s="20" t="s">
        <v>1174</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1092</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1739</v>
      </c>
      <c r="B2269" s="21" t="s">
        <v>976</v>
      </c>
      <c r="C2269" s="21" t="s">
        <v>995</v>
      </c>
      <c r="D2269" s="21" t="s">
        <v>978</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1741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1022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row>
    <row r="2273" spans="1:12">
      <c r="A2273" s="20" t="s">
        <v>1742</v>
      </c>
    </row>
    <row r="2274" spans="1:12">
      <c r="A2274" s="20" t="s">
        <v>1182</v>
      </c>
      <c r="B2274" s="21" t="s">
        <v>976</v>
      </c>
      <c r="C2274" s="21" t="s">
        <v>977</v>
      </c>
      <c r="D2274" s="21" t="s">
        <v>978</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1164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1743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1744</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1120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1397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1745</v>
      </c>
      <c r="B2280" s="21" t="s">
        <v>986</v>
      </c>
      <c r="C2280" s="21" t="s">
        <v>1063</v>
      </c>
      <c r="D2280" s="21" t="s">
        <v>978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1216</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1217</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1174</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1092</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1739</v>
      </c>
      <c r="B2285" s="21" t="s">
        <v>986</v>
      </c>
      <c r="C2285" s="21" t="s">
        <v>995</v>
      </c>
      <c r="D2285" s="21" t="s">
        <v>978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1741</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1022</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row>
    <row r="2289" spans="1:12">
      <c r="A2289" s="20" t="s">
        <v>1746</v>
      </c>
    </row>
    <row r="2290" spans="1:12">
      <c r="A2290" s="20" t="s">
        <v>190</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992</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1154</v>
      </c>
      <c r="B2292" s="21" t="s">
        <v>976</v>
      </c>
      <c r="C2292" s="21" t="s">
        <v>977</v>
      </c>
      <c r="D2292" s="21" t="s">
        <v>978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979</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1747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1002</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1018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1424</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1004</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996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993</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1737</v>
      </c>
      <c r="B2301" s="21" t="s">
        <v>986</v>
      </c>
      <c r="C2301" s="21" t="s">
        <v>995</v>
      </c>
      <c r="D2301" s="21" t="s">
        <v>978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1002</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1009</v>
      </c>
      <c r="B2303" s="21" t="s">
        <v>1036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1025</v>
      </c>
      <c r="B2304" s="21" t="s">
        <v>1035</v>
      </c>
      <c r="C2304" s="21" t="s">
        <v>977</v>
      </c>
      <c r="D2304" s="21" t="s">
        <v>978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1748</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996</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1749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1750</v>
      </c>
      <c r="B2308" s="21" t="s">
        <v>1035</v>
      </c>
      <c r="C2308" s="21" t="s">
        <v>983</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1022</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row>
    <row r="2311" spans="1:12">
      <c r="A2311" s="20" t="s">
        <v>1751</v>
      </c>
    </row>
    <row r="2312" spans="1:12">
      <c r="A2312" s="20" t="s">
        <v>1752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750</v>
      </c>
      <c r="B2313" s="21" t="s">
        <v>976</v>
      </c>
      <c r="C2313" s="21" t="s">
        <v>995</v>
      </c>
      <c r="D2313" s="21" t="s">
        <v>978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1753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1216</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1217</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1754</v>
      </c>
      <c r="B2317" s="21" t="s">
        <v>1095</v>
      </c>
      <c r="C2317" s="21" t="s">
        <v>1020</v>
      </c>
      <c r="D2317" s="21" t="s">
        <v>978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1116</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1135</v>
      </c>
      <c r="B2319" s="21" t="s">
        <v>1052</v>
      </c>
      <c r="C2319" s="21" t="s">
        <v>977</v>
      </c>
      <c r="D2319" s="21" t="s">
        <v>978</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1755</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1022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row>
    <row r="2323" spans="1:12">
      <c r="A2323" s="20" t="s">
        <v>1756</v>
      </c>
    </row>
    <row r="2324" spans="1:12">
      <c r="A2324" s="20" t="s">
        <v>190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992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1145</v>
      </c>
      <c r="B2326" s="21" t="s">
        <v>976</v>
      </c>
      <c r="C2326" s="21" t="s">
        <v>1020</v>
      </c>
      <c r="D2326" s="21" t="s">
        <v>978</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1757</v>
      </c>
      <c r="B2327" s="21" t="s">
        <v>982</v>
      </c>
      <c r="C2327" s="21" t="s">
        <v>977</v>
      </c>
      <c r="D2327" s="21" t="s">
        <v>978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1384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1216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1217</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1758</v>
      </c>
      <c r="B2331" s="21" t="s">
        <v>986</v>
      </c>
      <c r="C2331" s="21" t="s">
        <v>1020</v>
      </c>
      <c r="D2331" s="21" t="s">
        <v>978</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1002</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1047</v>
      </c>
      <c r="B2333" s="21" t="s">
        <v>1095</v>
      </c>
      <c r="C2333" s="21" t="s">
        <v>977</v>
      </c>
      <c r="D2333" s="21" t="s">
        <v>978</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1759</v>
      </c>
      <c r="B2334" s="21" t="s">
        <v>1052</v>
      </c>
      <c r="C2334" s="21" t="s">
        <v>977</v>
      </c>
      <c r="D2334" s="21" t="s">
        <v>978</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1755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1002</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1760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1520</v>
      </c>
      <c r="B2338" s="21" t="s">
        <v>1066</v>
      </c>
      <c r="C2338" s="21" t="s">
        <v>1057</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1759</v>
      </c>
      <c r="B2339" s="21" t="s">
        <v>1101</v>
      </c>
      <c r="C2339" s="21" t="s">
        <v>977</v>
      </c>
      <c r="D2339" s="21" t="s">
        <v>978</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1755</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1002</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1760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1160</v>
      </c>
      <c r="B2343" s="21" t="s">
        <v>1035</v>
      </c>
      <c r="C2343" s="21" t="s">
        <v>1057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1759</v>
      </c>
      <c r="B2344" s="21" t="s">
        <v>1036</v>
      </c>
      <c r="C2344" s="21" t="s">
        <v>977</v>
      </c>
      <c r="D2344" s="21" t="s">
        <v>978</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1755</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1022</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row>
    <row r="2348" spans="1:12">
      <c r="A2348" s="20" t="s">
        <v>1761</v>
      </c>
    </row>
    <row r="2349" spans="1:12">
      <c r="A2349" s="20" t="s">
        <v>190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1762</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1763</v>
      </c>
      <c r="B2351" s="21" t="s">
        <v>976</v>
      </c>
      <c r="C2351" s="21" t="s">
        <v>1063</v>
      </c>
      <c r="D2351" s="21" t="s">
        <v>978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1072</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1067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1189</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1764</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1004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1002</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1235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1092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1250</v>
      </c>
      <c r="B2361" s="21" t="s">
        <v>1054</v>
      </c>
      <c r="C2361" s="21" t="s">
        <v>1057</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996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993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750</v>
      </c>
      <c r="B2364" s="21" t="s">
        <v>1054</v>
      </c>
      <c r="C2364" s="21" t="s">
        <v>995</v>
      </c>
      <c r="D2364" s="21" t="s">
        <v>978</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1002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1004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997</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1270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1022</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row>
    <row r="2371" spans="1:12">
      <c r="A2371" s="20" t="s">
        <v>1765</v>
      </c>
    </row>
    <row r="2372" spans="1:12">
      <c r="A2372" s="20" t="s">
        <v>1174</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993</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1737</v>
      </c>
      <c r="B2374" s="21" t="s">
        <v>976</v>
      </c>
      <c r="C2374" s="21" t="s">
        <v>995</v>
      </c>
      <c r="D2374" s="21" t="s">
        <v>978</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1753</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1465</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1216</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1217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1766</v>
      </c>
      <c r="B2379" s="21" t="s">
        <v>986</v>
      </c>
      <c r="C2379" s="21" t="s">
        <v>1767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1009</v>
      </c>
      <c r="B2380" s="21" t="s">
        <v>1036</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1145</v>
      </c>
      <c r="B2381" s="21" t="s">
        <v>1035</v>
      </c>
      <c r="C2381" s="21" t="s">
        <v>1020</v>
      </c>
      <c r="D2381" s="21" t="s">
        <v>978</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1389</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1002</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1145</v>
      </c>
      <c r="B2384" s="21" t="s">
        <v>1095</v>
      </c>
      <c r="C2384" s="21" t="s">
        <v>1020</v>
      </c>
      <c r="D2384" s="21" t="s">
        <v>978</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1768</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1065</v>
      </c>
      <c r="B2386" s="21" t="s">
        <v>1101</v>
      </c>
      <c r="C2386" s="21" t="s">
        <v>1020</v>
      </c>
      <c r="D2386" s="21" t="s">
        <v>978</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1769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1120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62</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1022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row>
    <row r="2392" spans="1:12">
      <c r="A2392" s="20" t="s">
        <v>1770</v>
      </c>
    </row>
    <row r="2393" spans="1:12">
      <c r="A2393" s="20" t="s">
        <v>190</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1223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1025</v>
      </c>
      <c r="B2395" s="21" t="s">
        <v>976</v>
      </c>
      <c r="C2395" s="21" t="s">
        <v>977</v>
      </c>
      <c r="D2395" s="21" t="s">
        <v>978</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1753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1216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1217</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1357</v>
      </c>
      <c r="B2399" s="21" t="s">
        <v>1095</v>
      </c>
      <c r="C2399" s="21" t="s">
        <v>977</v>
      </c>
      <c r="D2399" s="21" t="s">
        <v>978</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1116</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1469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1189</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1294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996</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1771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1772</v>
      </c>
      <c r="B2407" s="21" t="s">
        <v>1054</v>
      </c>
      <c r="C2407" s="21" t="s">
        <v>1057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1591</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1419</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1773</v>
      </c>
      <c r="B2410" s="21" t="s">
        <v>1007</v>
      </c>
      <c r="C2410" s="21" t="s">
        <v>1178</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1774</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1022</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row>
    <row r="2414" spans="1:12">
      <c r="A2414" s="20" t="s">
        <v>1775</v>
      </c>
    </row>
    <row r="2415" spans="1:12">
      <c r="A2415" s="20" t="s">
        <v>1776</v>
      </c>
      <c r="B2415" s="21" t="s">
        <v>976</v>
      </c>
      <c r="C2415" s="21" t="s">
        <v>1020</v>
      </c>
      <c r="D2415" s="21" t="s">
        <v>978</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1067</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1777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984</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1261</v>
      </c>
      <c r="B2419" s="21" t="s">
        <v>986</v>
      </c>
      <c r="C2419" s="21" t="s">
        <v>987</v>
      </c>
      <c r="D2419" s="21" t="s">
        <v>978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1778</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1779</v>
      </c>
      <c r="B2421" s="21" t="s">
        <v>989</v>
      </c>
      <c r="C2421" s="21" t="s">
        <v>990</v>
      </c>
      <c r="D2421" s="21" t="s">
        <v>978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1022</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row>
    <row r="2424" spans="1:12">
      <c r="A2424" s="20" t="s">
        <v>1780</v>
      </c>
    </row>
    <row r="2425" spans="1:12">
      <c r="A2425" s="20" t="s">
        <v>190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1781</v>
      </c>
      <c r="B2426" s="21" t="s">
        <v>989</v>
      </c>
      <c r="C2426" s="21" t="s">
        <v>1008</v>
      </c>
      <c r="D2426" s="21" t="s">
        <v>978</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1004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1330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1010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1388</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427</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1216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1217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1782</v>
      </c>
      <c r="B2434" s="21" t="s">
        <v>989</v>
      </c>
      <c r="C2434" s="21" t="s">
        <v>1116</v>
      </c>
      <c r="D2434" s="21" t="s">
        <v>978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1002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1018</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1783</v>
      </c>
      <c r="B2437" s="21" t="s">
        <v>1054</v>
      </c>
      <c r="C2437" s="21" t="s">
        <v>1057</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1002</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1194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845</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1725</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1010</v>
      </c>
      <c r="B2442" s="21" t="s">
        <v>1066</v>
      </c>
      <c r="C2442" s="21" t="s">
        <v>977</v>
      </c>
      <c r="D2442" s="21" t="s">
        <v>978</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1784</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1439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1093</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1785</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1230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172</v>
      </c>
      <c r="B2448" s="21" t="s">
        <v>1007</v>
      </c>
      <c r="C2448" s="21" t="s">
        <v>1008</v>
      </c>
      <c r="D2448" s="21" t="s">
        <v>978</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1009</v>
      </c>
      <c r="B2449" s="21" t="s">
        <v>1019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1145</v>
      </c>
      <c r="B2450" s="21" t="s">
        <v>1311</v>
      </c>
      <c r="C2450" s="21" t="s">
        <v>1020</v>
      </c>
      <c r="D2450" s="21" t="s">
        <v>978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1768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431</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1004</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997</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1786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1225</v>
      </c>
      <c r="B2456" s="21" t="s">
        <v>1317</v>
      </c>
      <c r="C2456" s="21" t="s">
        <v>995</v>
      </c>
      <c r="D2456" s="21" t="s">
        <v>978</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1022</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row>
    <row r="2459" spans="1:12">
      <c r="A2459" s="20" t="s">
        <v>1787</v>
      </c>
    </row>
    <row r="2460" spans="1:12">
      <c r="A2460" s="20" t="s">
        <v>190</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1788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543</v>
      </c>
      <c r="B2462" s="21" t="s">
        <v>989</v>
      </c>
      <c r="C2462" s="21" t="s">
        <v>1116</v>
      </c>
      <c r="D2462" s="21" t="s">
        <v>978</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1789</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1790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1002</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172</v>
      </c>
      <c r="B2466" s="21" t="s">
        <v>986</v>
      </c>
      <c r="C2466" s="21" t="s">
        <v>1008</v>
      </c>
      <c r="D2466" s="21" t="s">
        <v>978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1009</v>
      </c>
      <c r="B2467" s="21" t="s">
        <v>1036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1025</v>
      </c>
      <c r="B2468" s="21" t="s">
        <v>1035</v>
      </c>
      <c r="C2468" s="21" t="s">
        <v>977</v>
      </c>
      <c r="D2468" s="21" t="s">
        <v>978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1791</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1002</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172</v>
      </c>
      <c r="B2471" s="21" t="s">
        <v>976</v>
      </c>
      <c r="C2471" s="21" t="s">
        <v>1008</v>
      </c>
      <c r="D2471" s="21" t="s">
        <v>978</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1072</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1067</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1189</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1092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1792</v>
      </c>
      <c r="B2476" s="21" t="s">
        <v>989</v>
      </c>
      <c r="C2476" s="21" t="s">
        <v>995</v>
      </c>
      <c r="D2476" s="21" t="s">
        <v>978</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1002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1194</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1092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1793</v>
      </c>
      <c r="B2480" s="21" t="s">
        <v>989</v>
      </c>
      <c r="C2480" s="21" t="s">
        <v>995</v>
      </c>
      <c r="D2480" s="21" t="s">
        <v>978</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1002</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1000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1145</v>
      </c>
      <c r="B2483" s="21" t="s">
        <v>1066</v>
      </c>
      <c r="C2483" s="21" t="s">
        <v>1020</v>
      </c>
      <c r="D2483" s="21" t="s">
        <v>978</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1547</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1004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1794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1038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1074</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1795</v>
      </c>
      <c r="B2489" s="21" t="s">
        <v>1084</v>
      </c>
      <c r="C2489" s="21" t="s">
        <v>995</v>
      </c>
      <c r="D2489" s="21" t="s">
        <v>978</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1002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1196</v>
      </c>
      <c r="B2491" s="21" t="s">
        <v>1042</v>
      </c>
      <c r="C2491" s="21" t="s">
        <v>1008</v>
      </c>
      <c r="D2491" s="21" t="s">
        <v>978</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1067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1038</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1092</v>
      </c>
      <c r="B2494" s="21" t="s">
        <v>1311</v>
      </c>
      <c r="C2494" s="21" t="s">
        <v>990</v>
      </c>
      <c r="D2494" s="21" t="s">
        <v>978</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1250</v>
      </c>
      <c r="B2495" s="21" t="s">
        <v>1317</v>
      </c>
      <c r="C2495" s="21" t="s">
        <v>1057</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1081</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1591</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1563</v>
      </c>
      <c r="B2498" s="21" t="s">
        <v>1317</v>
      </c>
      <c r="C2498" s="21" t="s">
        <v>977</v>
      </c>
      <c r="D2498" s="21" t="s">
        <v>978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1478</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1004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997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1796</v>
      </c>
      <c r="B2502" s="21" t="s">
        <v>1084</v>
      </c>
      <c r="C2502" s="21" t="s">
        <v>990</v>
      </c>
      <c r="D2502" s="21" t="s">
        <v>978</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996</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1060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1797</v>
      </c>
      <c r="B2505" s="21" t="s">
        <v>1040</v>
      </c>
      <c r="C2505" s="21" t="s">
        <v>1063</v>
      </c>
      <c r="D2505" s="21" t="s">
        <v>978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1798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1194</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1799</v>
      </c>
      <c r="B2508" s="21" t="s">
        <v>1016</v>
      </c>
      <c r="C2508" s="21" t="s">
        <v>977</v>
      </c>
      <c r="D2508" s="21" t="s">
        <v>978</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1116</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1563</v>
      </c>
      <c r="B2510" s="21" t="s">
        <v>1019</v>
      </c>
      <c r="C2510" s="21" t="s">
        <v>977</v>
      </c>
      <c r="D2510" s="21" t="s">
        <v>978</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1800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1189</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1203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1022</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row>
    <row r="2516" spans="1:12">
      <c r="A2516" s="20" t="s">
        <v>1801</v>
      </c>
    </row>
    <row r="2517" spans="1:12">
      <c r="A2517" s="20" t="s">
        <v>1357</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1294</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1323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1050</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1802</v>
      </c>
      <c r="B2521" s="21" t="s">
        <v>982</v>
      </c>
      <c r="C2521" s="21" t="s">
        <v>983</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1038</v>
      </c>
      <c r="B2522" s="21" t="s">
        <v>1101</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1154</v>
      </c>
      <c r="B2523" s="21" t="s">
        <v>1066</v>
      </c>
      <c r="C2523" s="21" t="s">
        <v>977</v>
      </c>
      <c r="D2523" s="21" t="s">
        <v>978</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979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1220</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1803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984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1672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1145</v>
      </c>
      <c r="B2529" s="21" t="s">
        <v>1035</v>
      </c>
      <c r="C2529" s="21" t="s">
        <v>1020</v>
      </c>
      <c r="D2529" s="21" t="s">
        <v>978</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1323</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1804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1004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609</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1805</v>
      </c>
      <c r="B2534" s="21" t="s">
        <v>1007</v>
      </c>
      <c r="C2534" s="21" t="s">
        <v>983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996</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1737</v>
      </c>
      <c r="B2536" s="21" t="s">
        <v>1084</v>
      </c>
      <c r="C2536" s="21" t="s">
        <v>1057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1000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609</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1805</v>
      </c>
      <c r="B2539" s="21" t="s">
        <v>1084</v>
      </c>
      <c r="C2539" s="21" t="s">
        <v>983</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996</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1806</v>
      </c>
      <c r="B2541" s="21" t="s">
        <v>1040</v>
      </c>
      <c r="C2541" s="21" t="s">
        <v>1057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996</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1807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1050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1808</v>
      </c>
      <c r="B2545" s="21" t="s">
        <v>1019</v>
      </c>
      <c r="C2545" s="21" t="s">
        <v>983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1004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1464</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609</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1809</v>
      </c>
      <c r="B2549" s="21" t="s">
        <v>1810</v>
      </c>
      <c r="C2549" s="21" t="s">
        <v>983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1811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1002</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1000</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1004</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1092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1812</v>
      </c>
      <c r="B2555" s="21" t="s">
        <v>1007</v>
      </c>
      <c r="C2555" s="21" t="s">
        <v>995</v>
      </c>
      <c r="D2555" s="21" t="s">
        <v>978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996</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1074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1808</v>
      </c>
      <c r="B2558" s="21" t="s">
        <v>1084</v>
      </c>
      <c r="C2558" s="21" t="s">
        <v>995</v>
      </c>
      <c r="D2558" s="21" t="s">
        <v>978</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1002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1145</v>
      </c>
      <c r="B2560" s="21" t="s">
        <v>1042</v>
      </c>
      <c r="C2560" s="21" t="s">
        <v>1020</v>
      </c>
      <c r="D2560" s="21" t="s">
        <v>978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1757</v>
      </c>
      <c r="B2561" s="21" t="s">
        <v>1146</v>
      </c>
      <c r="C2561" s="21" t="s">
        <v>977</v>
      </c>
      <c r="D2561" s="21" t="s">
        <v>978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1323</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1804</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1813</v>
      </c>
      <c r="B2564" s="21" t="s">
        <v>1146</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996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1814</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1815</v>
      </c>
      <c r="B2567" s="21" t="s">
        <v>1040</v>
      </c>
      <c r="C2567" s="21" t="s">
        <v>1057</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1025</v>
      </c>
      <c r="B2568" s="21" t="s">
        <v>1016</v>
      </c>
      <c r="C2568" s="21" t="s">
        <v>977</v>
      </c>
      <c r="D2568" s="21" t="s">
        <v>978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1816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168</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1817</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1022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row>
    <row r="2574" spans="1:12">
      <c r="A2574" s="20" t="s">
        <v>1818</v>
      </c>
    </row>
    <row r="2575" spans="1:12">
      <c r="A2575" s="20" t="s">
        <v>1125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1805</v>
      </c>
      <c r="B2576" s="21" t="s">
        <v>976</v>
      </c>
      <c r="C2576" s="21" t="s">
        <v>995</v>
      </c>
      <c r="D2576" s="21" t="s">
        <v>978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1819</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1076</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1820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1482</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1821</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1058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1050</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1822</v>
      </c>
      <c r="B2584" s="21" t="s">
        <v>989</v>
      </c>
      <c r="C2584" s="21" t="s">
        <v>983</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996</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53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1823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1002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1106</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1038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993</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1806</v>
      </c>
      <c r="B2592" s="21" t="s">
        <v>1095</v>
      </c>
      <c r="C2592" s="21" t="s">
        <v>995</v>
      </c>
      <c r="D2592" s="21" t="s">
        <v>978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1824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1591</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74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1000</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96</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1825</v>
      </c>
      <c r="B2598" s="21" t="s">
        <v>986</v>
      </c>
      <c r="C2598" s="21" t="s">
        <v>1178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1183</v>
      </c>
      <c r="B2599" s="21" t="s">
        <v>1052</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996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1814</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1815</v>
      </c>
      <c r="B2602" s="21" t="s">
        <v>1054</v>
      </c>
      <c r="C2602" s="21" t="s">
        <v>1057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1788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543</v>
      </c>
      <c r="B2605" s="21" t="s">
        <v>1007</v>
      </c>
      <c r="C2605" s="21" t="s">
        <v>1116</v>
      </c>
      <c r="D2605" s="21" t="s">
        <v>978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1789</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12</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12</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1009</v>
      </c>
      <c r="B2609" s="21" t="s">
        <v>1229</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1025</v>
      </c>
      <c r="B2610" s="21" t="s">
        <v>1311</v>
      </c>
      <c r="C2610" s="21" t="s">
        <v>977</v>
      </c>
      <c r="D2610" s="21" t="s">
        <v>978</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1462</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1492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1817</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1022</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row>
    <row r="2616" spans="1:12">
      <c r="A2616" s="20" t="s">
        <v>1826</v>
      </c>
    </row>
    <row r="2617" spans="1:12">
      <c r="A2617" s="20" t="s">
        <v>1827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993</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750</v>
      </c>
      <c r="B2619" s="21" t="s">
        <v>976</v>
      </c>
      <c r="C2619" s="21" t="s">
        <v>995</v>
      </c>
      <c r="D2619" s="21" t="s">
        <v>978</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1135</v>
      </c>
      <c r="B2620" s="21" t="s">
        <v>982</v>
      </c>
      <c r="C2620" s="21" t="s">
        <v>977</v>
      </c>
      <c r="D2620" s="21" t="s">
        <v>978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1828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1384</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1002</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1024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1154</v>
      </c>
      <c r="B2625" s="21" t="s">
        <v>1095</v>
      </c>
      <c r="C2625" s="21" t="s">
        <v>977</v>
      </c>
      <c r="D2625" s="21" t="s">
        <v>978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979</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1829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1081</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1830</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1230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1092</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1111</v>
      </c>
      <c r="B2632" s="21" t="s">
        <v>1054</v>
      </c>
      <c r="C2632" s="21" t="s">
        <v>995</v>
      </c>
      <c r="D2632" s="21" t="s">
        <v>978</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1009</v>
      </c>
      <c r="B2633" s="21" t="s">
        <v>1146</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1010</v>
      </c>
      <c r="B2634" s="21" t="s">
        <v>1042</v>
      </c>
      <c r="C2634" s="21" t="s">
        <v>977</v>
      </c>
      <c r="D2634" s="21" t="s">
        <v>978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1734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93</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1482</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1831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996</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1832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1633</v>
      </c>
      <c r="B2641" s="21" t="s">
        <v>1019</v>
      </c>
      <c r="C2641" s="21" t="s">
        <v>1020</v>
      </c>
      <c r="D2641" s="21" t="s">
        <v>978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1002</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1038</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993</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750</v>
      </c>
      <c r="B2645" s="21" t="s">
        <v>1833</v>
      </c>
      <c r="C2645" s="21" t="s">
        <v>995</v>
      </c>
      <c r="D2645" s="21" t="s">
        <v>978</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997</v>
      </c>
      <c r="B2646" s="21" t="s">
        <v>1810</v>
      </c>
      <c r="C2646" s="21" t="s">
        <v>977</v>
      </c>
      <c r="D2646" s="21" t="s">
        <v>978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1834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1022</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row>
    <row r="2650" spans="1:12">
      <c r="A2650" s="20" t="s">
        <v>1835</v>
      </c>
    </row>
    <row r="2651" spans="1:12">
      <c r="A2651" s="20" t="s">
        <v>1481</v>
      </c>
      <c r="B2651" s="21" t="s">
        <v>976</v>
      </c>
      <c r="C2651" s="21" t="s">
        <v>977</v>
      </c>
      <c r="D2651" s="21" t="s">
        <v>978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1836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1216</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1217</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1247</v>
      </c>
      <c r="B2655" s="21" t="s">
        <v>1095</v>
      </c>
      <c r="C2655" s="21" t="s">
        <v>1020</v>
      </c>
      <c r="D2655" s="21" t="s">
        <v>978</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1837</v>
      </c>
      <c r="B2656" s="21" t="s">
        <v>1052</v>
      </c>
      <c r="C2656" s="21" t="s">
        <v>977</v>
      </c>
      <c r="D2656" s="21" t="s">
        <v>978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1564</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402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1404</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row>
    <row r="2661" spans="1:12">
      <c r="A2661" s="20" t="s">
        <v>1838</v>
      </c>
    </row>
    <row r="2662" spans="1:12">
      <c r="A2662" s="20" t="s">
        <v>190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992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1047</v>
      </c>
      <c r="B2664" s="21" t="s">
        <v>976</v>
      </c>
      <c r="C2664" s="21" t="s">
        <v>977</v>
      </c>
      <c r="D2664" s="21" t="s">
        <v>978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1839</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1216</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1217</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1782</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1002</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1145</v>
      </c>
      <c r="B2670" s="21" t="s">
        <v>1095</v>
      </c>
      <c r="C2670" s="21" t="s">
        <v>1020</v>
      </c>
      <c r="D2670" s="21" t="s">
        <v>978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1011</v>
      </c>
      <c r="B2671" s="21" t="s">
        <v>1052</v>
      </c>
      <c r="C2671" s="21" t="s">
        <v>977</v>
      </c>
      <c r="D2671" s="21" t="s">
        <v>978</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1564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402</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1022</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row>
    <row r="2676" spans="1:12">
      <c r="A2676" s="20" t="s">
        <v>1840</v>
      </c>
    </row>
    <row r="2677" spans="1:12">
      <c r="A2677" s="20" t="s">
        <v>190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1841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1002</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1842</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1025</v>
      </c>
      <c r="B2681" s="21" t="s">
        <v>1095</v>
      </c>
      <c r="C2681" s="21" t="s">
        <v>977</v>
      </c>
      <c r="D2681" s="21" t="s">
        <v>978</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1843</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1004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1011</v>
      </c>
      <c r="B2684" s="21" t="s">
        <v>1101</v>
      </c>
      <c r="C2684" s="21" t="s">
        <v>977</v>
      </c>
      <c r="D2684" s="21" t="s">
        <v>978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578</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1757</v>
      </c>
      <c r="B2686" s="21" t="s">
        <v>1007</v>
      </c>
      <c r="C2686" s="21" t="s">
        <v>987</v>
      </c>
      <c r="D2686" s="21" t="s">
        <v>978</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1683</v>
      </c>
      <c r="B2687" s="21" t="s">
        <v>1101</v>
      </c>
      <c r="C2687" s="21" t="s">
        <v>990</v>
      </c>
      <c r="D2687" s="21" t="s">
        <v>978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1002</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1310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1844</v>
      </c>
      <c r="B2690" s="21" t="s">
        <v>986</v>
      </c>
      <c r="C2690" s="21" t="s">
        <v>1008</v>
      </c>
      <c r="D2690" s="21" t="s">
        <v>978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996</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1757</v>
      </c>
      <c r="B2692" s="21" t="s">
        <v>1007</v>
      </c>
      <c r="C2692" s="21" t="s">
        <v>987</v>
      </c>
      <c r="D2692" s="21" t="s">
        <v>978</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1845</v>
      </c>
      <c r="B2693" s="21" t="s">
        <v>1054</v>
      </c>
      <c r="C2693" s="21" t="s">
        <v>990</v>
      </c>
      <c r="D2693" s="21" t="s">
        <v>978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1002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1310</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996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1757</v>
      </c>
      <c r="B2697" s="21" t="s">
        <v>1084</v>
      </c>
      <c r="C2697" s="21" t="s">
        <v>987</v>
      </c>
      <c r="D2697" s="21" t="s">
        <v>978</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1846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1847</v>
      </c>
      <c r="B2699" s="21" t="s">
        <v>1007</v>
      </c>
      <c r="C2699" s="21" t="s">
        <v>990</v>
      </c>
      <c r="D2699" s="21" t="s">
        <v>978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1022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row>
    <row r="2702" spans="1:12">
      <c r="A2702" s="20" t="s">
        <v>1848</v>
      </c>
    </row>
    <row r="2703" spans="1:12">
      <c r="A2703" s="20" t="s">
        <v>1849</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1002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1065</v>
      </c>
      <c r="B2705" s="21" t="s">
        <v>976</v>
      </c>
      <c r="C2705" s="21" t="s">
        <v>1020</v>
      </c>
      <c r="D2705" s="21" t="s">
        <v>978</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1067</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1850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1350</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1047</v>
      </c>
      <c r="B2709" s="21" t="s">
        <v>1095</v>
      </c>
      <c r="C2709" s="21" t="s">
        <v>977</v>
      </c>
      <c r="D2709" s="21" t="s">
        <v>978</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1288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1038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1092</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1111</v>
      </c>
      <c r="B2713" s="21" t="s">
        <v>1054</v>
      </c>
      <c r="C2713" s="21" t="s">
        <v>995</v>
      </c>
      <c r="D2713" s="21" t="s">
        <v>978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1002</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1196</v>
      </c>
      <c r="B2715" s="21" t="s">
        <v>1066</v>
      </c>
      <c r="C2715" s="21" t="s">
        <v>1008</v>
      </c>
      <c r="D2715" s="21" t="s">
        <v>978</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1067</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997</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1851</v>
      </c>
      <c r="B2718" s="21" t="s">
        <v>986</v>
      </c>
      <c r="C2718" s="21" t="s">
        <v>995</v>
      </c>
      <c r="D2718" s="21" t="s">
        <v>978</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1852</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1038</v>
      </c>
      <c r="B2720" s="21" t="s">
        <v>1036</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1853</v>
      </c>
      <c r="B2721" s="21" t="s">
        <v>1035</v>
      </c>
      <c r="C2721" s="21" t="s">
        <v>1020</v>
      </c>
      <c r="D2721" s="21" t="s">
        <v>978</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1854</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1022</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row>
    <row r="2725" spans="1:12">
      <c r="A2725" s="20" t="s">
        <v>1855</v>
      </c>
    </row>
    <row r="2726" spans="1:12">
      <c r="A2726" s="20" t="s">
        <v>1357</v>
      </c>
      <c r="B2726" s="21" t="s">
        <v>986</v>
      </c>
      <c r="C2726" s="21" t="s">
        <v>977</v>
      </c>
      <c r="D2726" s="21" t="s">
        <v>978</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1294</v>
      </c>
      <c r="B2727" s="21" t="s">
        <v>1054</v>
      </c>
      <c r="C2727" s="21" t="s">
        <v>1020</v>
      </c>
      <c r="D2727" s="21" t="s">
        <v>978</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1323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1168</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1169</v>
      </c>
      <c r="B2730" s="21" t="s">
        <v>989</v>
      </c>
      <c r="C2730" s="21" t="s">
        <v>1104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1002</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1047</v>
      </c>
      <c r="B2732" s="21" t="s">
        <v>976</v>
      </c>
      <c r="C2732" s="21" t="s">
        <v>977</v>
      </c>
      <c r="D2732" s="21" t="s">
        <v>978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1164</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1856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1004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1050</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1857</v>
      </c>
      <c r="B2737" s="21" t="s">
        <v>989</v>
      </c>
      <c r="C2737" s="21" t="s">
        <v>983</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1002</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1000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997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1858</v>
      </c>
      <c r="B2741" s="21" t="s">
        <v>989</v>
      </c>
      <c r="C2741" s="21" t="s">
        <v>990</v>
      </c>
      <c r="D2741" s="21" t="s">
        <v>978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996</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1397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1857</v>
      </c>
      <c r="B2744" s="21" t="s">
        <v>986</v>
      </c>
      <c r="C2744" s="21" t="s">
        <v>1063</v>
      </c>
      <c r="D2744" s="21" t="s">
        <v>978</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996</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1176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1498</v>
      </c>
      <c r="B2747" s="21" t="s">
        <v>1054</v>
      </c>
      <c r="C2747" s="21" t="s">
        <v>1178</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1002</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1050</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1859</v>
      </c>
      <c r="B2750" s="21" t="s">
        <v>1095</v>
      </c>
      <c r="C2750" s="21" t="s">
        <v>983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1135</v>
      </c>
      <c r="B2751" s="21" t="s">
        <v>1052</v>
      </c>
      <c r="C2751" s="21" t="s">
        <v>977</v>
      </c>
      <c r="D2751" s="21" t="s">
        <v>978</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1323</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1571</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1004</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1860</v>
      </c>
      <c r="B2755" s="21" t="s">
        <v>986</v>
      </c>
      <c r="C2755" s="21" t="s">
        <v>1057</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1002</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1000</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1468</v>
      </c>
      <c r="B2758" s="21" t="s">
        <v>1066</v>
      </c>
      <c r="C2758" s="21" t="s">
        <v>977</v>
      </c>
      <c r="D2758" s="21" t="s">
        <v>978</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1135</v>
      </c>
      <c r="B2759" s="21" t="s">
        <v>1101</v>
      </c>
      <c r="C2759" s="21" t="s">
        <v>977</v>
      </c>
      <c r="D2759" s="21" t="s">
        <v>978</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1323</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1384</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1216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1217</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1182</v>
      </c>
      <c r="B2764" s="21" t="s">
        <v>1066</v>
      </c>
      <c r="C2764" s="21" t="s">
        <v>977</v>
      </c>
      <c r="D2764" s="21" t="s">
        <v>978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1861</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1081</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1050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1111</v>
      </c>
      <c r="B2768" s="21" t="s">
        <v>1054</v>
      </c>
      <c r="C2768" s="21" t="s">
        <v>983</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1000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1154</v>
      </c>
      <c r="B2770" s="21" t="s">
        <v>1035</v>
      </c>
      <c r="C2770" s="21" t="s">
        <v>977</v>
      </c>
      <c r="D2770" s="21" t="s">
        <v>978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1018</v>
      </c>
      <c r="B2771" s="21" t="s">
        <v>1036</v>
      </c>
      <c r="C2771" s="21" t="s">
        <v>1020</v>
      </c>
      <c r="D2771" s="21" t="s">
        <v>978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1164</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609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1862</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1863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1002</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1194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1047</v>
      </c>
      <c r="B2778" s="21" t="s">
        <v>1035</v>
      </c>
      <c r="C2778" s="21" t="s">
        <v>977</v>
      </c>
      <c r="D2778" s="21" t="s">
        <v>978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1864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1060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1392</v>
      </c>
      <c r="B2781" s="21" t="s">
        <v>1036</v>
      </c>
      <c r="C2781" s="21" t="s">
        <v>1063</v>
      </c>
      <c r="D2781" s="21" t="s">
        <v>978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1637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1358</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1329</v>
      </c>
      <c r="B2784" s="21" t="s">
        <v>1007</v>
      </c>
      <c r="C2784" s="21" t="s">
        <v>1104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1002</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1000</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1047</v>
      </c>
      <c r="B2787" s="21" t="s">
        <v>1066</v>
      </c>
      <c r="C2787" s="21" t="s">
        <v>977</v>
      </c>
      <c r="D2787" s="21" t="s">
        <v>978</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71</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335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172</v>
      </c>
      <c r="B2790" s="21" t="s">
        <v>1101</v>
      </c>
      <c r="C2790" s="21" t="s">
        <v>1008</v>
      </c>
      <c r="D2790" s="21" t="s">
        <v>978</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1038</v>
      </c>
      <c r="B2791" s="21" t="s">
        <v>1146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1865</v>
      </c>
      <c r="B2792" s="21" t="s">
        <v>1042</v>
      </c>
      <c r="C2792" s="21" t="s">
        <v>977</v>
      </c>
      <c r="D2792" s="21" t="s">
        <v>978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1018</v>
      </c>
      <c r="B2793" s="21" t="s">
        <v>1146</v>
      </c>
      <c r="C2793" s="21" t="s">
        <v>1020</v>
      </c>
      <c r="D2793" s="21" t="s">
        <v>978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1866</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1404</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row>
    <row r="2797" spans="1:12">
      <c r="A2797" s="20" t="s">
        <v>1867</v>
      </c>
    </row>
    <row r="2798" spans="1:12">
      <c r="A2798" s="20" t="s">
        <v>190</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1594</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1154</v>
      </c>
      <c r="B2800" s="21" t="s">
        <v>976</v>
      </c>
      <c r="C2800" s="21" t="s">
        <v>977</v>
      </c>
      <c r="D2800" s="21" t="s">
        <v>978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979</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1219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996</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1039</v>
      </c>
      <c r="B2804" s="21" t="s">
        <v>986</v>
      </c>
      <c r="C2804" s="21" t="s">
        <v>987</v>
      </c>
      <c r="D2804" s="21" t="s">
        <v>978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1439</v>
      </c>
      <c r="B2805" s="21" t="s">
        <v>989</v>
      </c>
      <c r="C2805" s="21" t="s">
        <v>990</v>
      </c>
      <c r="D2805" s="21" t="s">
        <v>978</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996</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1662</v>
      </c>
      <c r="B2807" s="21" t="s">
        <v>1101</v>
      </c>
      <c r="C2807" s="21" t="s">
        <v>977</v>
      </c>
      <c r="D2807" s="21" t="s">
        <v>978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1868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1869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1038</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1047</v>
      </c>
      <c r="B2811" s="21" t="s">
        <v>1042</v>
      </c>
      <c r="C2811" s="21" t="s">
        <v>977</v>
      </c>
      <c r="D2811" s="21" t="s">
        <v>978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1428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1022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row>
    <row r="2815" spans="1:12">
      <c r="A2815" s="20" t="s">
        <v>1870</v>
      </c>
    </row>
    <row r="2816" spans="1:12">
      <c r="A2816" s="20" t="s">
        <v>992</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1046</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1468</v>
      </c>
      <c r="B2818" s="21" t="s">
        <v>976</v>
      </c>
      <c r="C2818" s="21" t="s">
        <v>977</v>
      </c>
      <c r="D2818" s="21" t="s">
        <v>978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1323</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1384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1216</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1217</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1871</v>
      </c>
      <c r="B2823" s="21" t="s">
        <v>1095</v>
      </c>
      <c r="C2823" s="21" t="s">
        <v>977</v>
      </c>
      <c r="D2823" s="21" t="s">
        <v>978</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1872</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1002</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1039</v>
      </c>
      <c r="B2826" s="21" t="s">
        <v>1007</v>
      </c>
      <c r="C2826" s="21" t="s">
        <v>987</v>
      </c>
      <c r="D2826" s="21" t="s">
        <v>978</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1873</v>
      </c>
      <c r="B2827" s="21" t="s">
        <v>1066</v>
      </c>
      <c r="C2827" s="21" t="s">
        <v>990</v>
      </c>
      <c r="D2827" s="21" t="s">
        <v>978</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1116</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1874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1670</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196</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1633</v>
      </c>
      <c r="B2832" s="21" t="s">
        <v>1036</v>
      </c>
      <c r="C2832" s="21" t="s">
        <v>1020</v>
      </c>
      <c r="D2832" s="21" t="s">
        <v>978</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1022</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row>
    <row r="2835" spans="1:12">
      <c r="A2835" s="20" t="s">
        <v>1875</v>
      </c>
    </row>
    <row r="2836" spans="1:12">
      <c r="A2836" s="20" t="s">
        <v>1152</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1219</v>
      </c>
      <c r="B2837" s="21" t="s">
        <v>986</v>
      </c>
      <c r="C2837" s="21" t="s">
        <v>1057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1002</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1196</v>
      </c>
      <c r="B2839" s="21" t="s">
        <v>976</v>
      </c>
      <c r="C2839" s="21" t="s">
        <v>1008</v>
      </c>
      <c r="D2839" s="21" t="s">
        <v>978</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1067</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1050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323</v>
      </c>
      <c r="B2842" s="21" t="s">
        <v>989</v>
      </c>
      <c r="C2842" s="21" t="s">
        <v>983</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1002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1235</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1142</v>
      </c>
      <c r="B2845" s="21" t="s">
        <v>986</v>
      </c>
      <c r="C2845" s="21" t="s">
        <v>1767</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1633</v>
      </c>
      <c r="B2846" s="21" t="s">
        <v>1095</v>
      </c>
      <c r="C2846" s="21" t="s">
        <v>1020</v>
      </c>
      <c r="D2846" s="21" t="s">
        <v>978</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1072</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1400</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1189</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996</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1876</v>
      </c>
      <c r="B2851" s="21" t="s">
        <v>1052</v>
      </c>
      <c r="C2851" s="21" t="s">
        <v>983</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1002</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1106</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1047</v>
      </c>
      <c r="B2854" s="21" t="s">
        <v>1066</v>
      </c>
      <c r="C2854" s="21" t="s">
        <v>977</v>
      </c>
      <c r="D2854" s="21" t="s">
        <v>978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1002</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1865</v>
      </c>
      <c r="B2856" s="21" t="s">
        <v>1101</v>
      </c>
      <c r="C2856" s="21" t="s">
        <v>977</v>
      </c>
      <c r="D2856" s="21" t="s">
        <v>978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1872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1002</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1877</v>
      </c>
      <c r="B2859" s="21" t="s">
        <v>1035</v>
      </c>
      <c r="C2859" s="21" t="s">
        <v>1008</v>
      </c>
      <c r="D2859" s="21" t="s">
        <v>978</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1443</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1591</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1563</v>
      </c>
      <c r="B2862" s="21" t="s">
        <v>1007</v>
      </c>
      <c r="C2862" s="21" t="s">
        <v>977</v>
      </c>
      <c r="D2862" s="21" t="s">
        <v>978</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1022</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row>
    <row r="2865" spans="1:12">
      <c r="A2865" s="20" t="s">
        <v>1878</v>
      </c>
    </row>
    <row r="2866" spans="1:12">
      <c r="A2866" s="20" t="s">
        <v>190</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992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1154</v>
      </c>
      <c r="B2868" s="21" t="s">
        <v>976</v>
      </c>
      <c r="C2868" s="21" t="s">
        <v>977</v>
      </c>
      <c r="D2868" s="21" t="s">
        <v>978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979</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1879</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1216</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1217</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1089</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1880</v>
      </c>
      <c r="B2874" s="21" t="s">
        <v>989</v>
      </c>
      <c r="C2874" s="21" t="s">
        <v>1057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1002</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1189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996</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1446</v>
      </c>
      <c r="B2878" s="21" t="s">
        <v>1054</v>
      </c>
      <c r="C2878" s="21" t="s">
        <v>1057</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1022</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1881</v>
      </c>
    </row>
    <row r="2882" spans="1:12">
      <c r="A2882" s="20" t="s">
        <v>190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992</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997</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1882</v>
      </c>
      <c r="B2885" s="21" t="s">
        <v>989</v>
      </c>
      <c r="C2885" s="21" t="s">
        <v>990</v>
      </c>
      <c r="D2885" s="21" t="s">
        <v>978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996</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1397</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1305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1857</v>
      </c>
      <c r="B2889" s="21" t="s">
        <v>986</v>
      </c>
      <c r="C2889" s="21" t="s">
        <v>1063</v>
      </c>
      <c r="D2889" s="21" t="s">
        <v>978</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1002</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1261</v>
      </c>
      <c r="B2891" s="21" t="s">
        <v>986</v>
      </c>
      <c r="C2891" s="21" t="s">
        <v>987</v>
      </c>
      <c r="D2891" s="21" t="s">
        <v>978</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1873</v>
      </c>
      <c r="B2892" s="21" t="s">
        <v>976</v>
      </c>
      <c r="C2892" s="21" t="s">
        <v>990</v>
      </c>
      <c r="D2892" s="21" t="s">
        <v>978</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1135</v>
      </c>
      <c r="B2893" s="21" t="s">
        <v>982</v>
      </c>
      <c r="C2893" s="21" t="s">
        <v>977</v>
      </c>
      <c r="D2893" s="21" t="s">
        <v>978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1323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1571</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1004</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1860</v>
      </c>
      <c r="B2897" s="21" t="s">
        <v>989</v>
      </c>
      <c r="C2897" s="21" t="s">
        <v>1057</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1002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1000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1010</v>
      </c>
      <c r="B2900" s="21" t="s">
        <v>1066</v>
      </c>
      <c r="C2900" s="21" t="s">
        <v>977</v>
      </c>
      <c r="D2900" s="21" t="s">
        <v>978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1135</v>
      </c>
      <c r="B2901" s="21" t="s">
        <v>1101</v>
      </c>
      <c r="C2901" s="21" t="s">
        <v>977</v>
      </c>
      <c r="D2901" s="21" t="s">
        <v>978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1323</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1384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1216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1217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1159</v>
      </c>
      <c r="B2906" s="21" t="s">
        <v>1054</v>
      </c>
      <c r="C2906" s="21" t="s">
        <v>987</v>
      </c>
      <c r="D2906" s="21" t="s">
        <v>978</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1520</v>
      </c>
      <c r="B2907" s="21" t="s">
        <v>1095</v>
      </c>
      <c r="C2907" s="21" t="s">
        <v>990</v>
      </c>
      <c r="D2907" s="21" t="s">
        <v>978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1116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1011</v>
      </c>
      <c r="B2909" s="21" t="s">
        <v>1052</v>
      </c>
      <c r="C2909" s="21" t="s">
        <v>977</v>
      </c>
      <c r="D2909" s="21" t="s">
        <v>978</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1883</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1189</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1018</v>
      </c>
      <c r="B2912" s="21" t="s">
        <v>1101</v>
      </c>
      <c r="C2912" s="21" t="s">
        <v>1020</v>
      </c>
      <c r="D2912" s="21" t="s">
        <v>978</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1884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1018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1885</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1038</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1886</v>
      </c>
      <c r="B2917" s="21" t="s">
        <v>1054</v>
      </c>
      <c r="C2917" s="21" t="s">
        <v>1057</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1002</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1070</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1468</v>
      </c>
      <c r="B2920" s="21" t="s">
        <v>1035</v>
      </c>
      <c r="C2920" s="21" t="s">
        <v>977</v>
      </c>
      <c r="D2920" s="21" t="s">
        <v>978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997</v>
      </c>
      <c r="B2921" s="21" t="s">
        <v>1036</v>
      </c>
      <c r="C2921" s="21" t="s">
        <v>977</v>
      </c>
      <c r="D2921" s="21" t="s">
        <v>978</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1887</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1002</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1194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1047</v>
      </c>
      <c r="B2925" s="21" t="s">
        <v>1035</v>
      </c>
      <c r="C2925" s="21" t="s">
        <v>977</v>
      </c>
      <c r="D2925" s="21" t="s">
        <v>978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1861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1081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1050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1111</v>
      </c>
      <c r="B2929" s="21" t="s">
        <v>1007</v>
      </c>
      <c r="C2929" s="21" t="s">
        <v>983</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1637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1358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1329</v>
      </c>
      <c r="B2932" s="21" t="s">
        <v>1007</v>
      </c>
      <c r="C2932" s="21" t="s">
        <v>1104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1000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1047</v>
      </c>
      <c r="B2934" s="21" t="s">
        <v>1035</v>
      </c>
      <c r="C2934" s="21" t="s">
        <v>977</v>
      </c>
      <c r="D2934" s="21" t="s">
        <v>978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1864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996</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993</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1392</v>
      </c>
      <c r="B2938" s="21" t="s">
        <v>1007</v>
      </c>
      <c r="C2938" s="21" t="s">
        <v>995</v>
      </c>
      <c r="D2938" s="21" t="s">
        <v>978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1002</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1000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1047</v>
      </c>
      <c r="B2941" s="21" t="s">
        <v>1035</v>
      </c>
      <c r="C2941" s="21" t="s">
        <v>977</v>
      </c>
      <c r="D2941" s="21" t="s">
        <v>978</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1011</v>
      </c>
      <c r="B2942" s="21" t="s">
        <v>1036</v>
      </c>
      <c r="C2942" s="21" t="s">
        <v>977</v>
      </c>
      <c r="D2942" s="21" t="s">
        <v>978</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1888</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row>
    <row r="2945" spans="1:12">
      <c r="A2945" s="20" t="s">
        <v>1889</v>
      </c>
    </row>
    <row r="2946" spans="1:12">
      <c r="A2946" s="20" t="s">
        <v>1481</v>
      </c>
      <c r="B2946" s="21" t="s">
        <v>976</v>
      </c>
      <c r="C2946" s="21" t="s">
        <v>977</v>
      </c>
      <c r="D2946" s="21" t="s">
        <v>978</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1093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1890</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993</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1061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1891</v>
      </c>
      <c r="B2951" s="21" t="s">
        <v>982</v>
      </c>
      <c r="C2951" s="21" t="s">
        <v>995</v>
      </c>
      <c r="D2951" s="21" t="s">
        <v>978</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1002</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984</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1419</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1892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1893</v>
      </c>
      <c r="B2956" s="21" t="s">
        <v>986</v>
      </c>
      <c r="C2956" s="21" t="s">
        <v>1178</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984</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1092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1305</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1894</v>
      </c>
      <c r="B2960" s="21" t="s">
        <v>1054</v>
      </c>
      <c r="C2960" s="21" t="s">
        <v>995</v>
      </c>
      <c r="D2960" s="21" t="s">
        <v>978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1022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row>
    <row r="2963" spans="1:12">
      <c r="A2963" s="20" t="s">
        <v>1895</v>
      </c>
    </row>
    <row r="2964" spans="1:12">
      <c r="A2964" s="20" t="s">
        <v>992</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1154</v>
      </c>
      <c r="B2965" s="21" t="s">
        <v>976</v>
      </c>
      <c r="C2965" s="21" t="s">
        <v>977</v>
      </c>
      <c r="D2965" s="21" t="s">
        <v>978</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979</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1384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1038</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1047</v>
      </c>
      <c r="B2969" s="21" t="s">
        <v>1095</v>
      </c>
      <c r="C2969" s="21" t="s">
        <v>977</v>
      </c>
      <c r="D2969" s="21" t="s">
        <v>978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1896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1038</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1092</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1897</v>
      </c>
      <c r="B2973" s="21" t="s">
        <v>1066</v>
      </c>
      <c r="C2973" s="21" t="s">
        <v>995</v>
      </c>
      <c r="D2973" s="21" t="s">
        <v>978</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1004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997</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1898</v>
      </c>
      <c r="B2976" s="21" t="s">
        <v>1007</v>
      </c>
      <c r="C2976" s="21" t="s">
        <v>990</v>
      </c>
      <c r="D2976" s="21" t="s">
        <v>978</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996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1757</v>
      </c>
      <c r="B2978" s="21" t="s">
        <v>1040</v>
      </c>
      <c r="C2978" s="21" t="s">
        <v>987</v>
      </c>
      <c r="D2978" s="21" t="s">
        <v>978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1899</v>
      </c>
      <c r="B2979" s="21" t="s">
        <v>1084</v>
      </c>
      <c r="C2979" s="21" t="s">
        <v>990</v>
      </c>
      <c r="D2979" s="21" t="s">
        <v>978</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1874</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93</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1004</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1074</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1900</v>
      </c>
      <c r="B2984" s="21" t="s">
        <v>1007</v>
      </c>
      <c r="C2984" s="21" t="s">
        <v>990</v>
      </c>
      <c r="D2984" s="21" t="s">
        <v>978</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996</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1253</v>
      </c>
      <c r="B2986" s="21" t="s">
        <v>1040</v>
      </c>
      <c r="C2986" s="21" t="s">
        <v>987</v>
      </c>
      <c r="D2986" s="21" t="s">
        <v>978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1386</v>
      </c>
      <c r="B2987" s="21" t="s">
        <v>1084</v>
      </c>
      <c r="C2987" s="21" t="s">
        <v>990</v>
      </c>
      <c r="D2987" s="21" t="s">
        <v>978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1022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row>
    <row r="2990" spans="1:12">
      <c r="A2990" s="20" t="s">
        <v>1901</v>
      </c>
    </row>
    <row r="2991" spans="1:12">
      <c r="A2991" s="20" t="s">
        <v>1174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1154</v>
      </c>
      <c r="B2992" s="21" t="s">
        <v>976</v>
      </c>
      <c r="C2992" s="21" t="s">
        <v>977</v>
      </c>
      <c r="D2992" s="21" t="s">
        <v>978</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979</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1465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1401</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1902</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1120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1074</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1557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1903</v>
      </c>
      <c r="B3000" s="21" t="s">
        <v>989</v>
      </c>
      <c r="C3000" s="21" t="s">
        <v>995</v>
      </c>
      <c r="D3000" s="21" t="s">
        <v>978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1038</v>
      </c>
      <c r="B3001" s="21" t="s">
        <v>1101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1625</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172</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1851</v>
      </c>
      <c r="B3004" s="21" t="s">
        <v>1066</v>
      </c>
      <c r="C3004" s="21" t="s">
        <v>1063</v>
      </c>
      <c r="D3004" s="21" t="s">
        <v>978</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1904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1022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row>
    <row r="3008" spans="1:12">
      <c r="A3008" s="20" t="s">
        <v>1905</v>
      </c>
    </row>
    <row r="3009" spans="1:12">
      <c r="A3009" s="20" t="s">
        <v>1512</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1111</v>
      </c>
      <c r="B3010" s="21" t="s">
        <v>976</v>
      </c>
      <c r="C3010" s="21" t="s">
        <v>995</v>
      </c>
      <c r="D3010" s="21" t="s">
        <v>978</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1067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1906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1022</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row>
    <row r="3015" spans="1:12">
      <c r="A3015" s="20" t="s">
        <v>1907</v>
      </c>
    </row>
    <row r="3016" spans="1:12">
      <c r="A3016" s="20" t="s">
        <v>1624</v>
      </c>
      <c r="B3016" s="21" t="s">
        <v>976</v>
      </c>
      <c r="C3016" s="21" t="s">
        <v>977</v>
      </c>
      <c r="D3016" s="21" t="s">
        <v>978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1908</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1885</v>
      </c>
      <c r="B3018" s="21" t="s">
        <v>982</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996</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1329</v>
      </c>
      <c r="B3020" s="21" t="s">
        <v>986</v>
      </c>
      <c r="C3020" s="21" t="s">
        <v>1057</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1000</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1081</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1909</v>
      </c>
      <c r="B3023" s="21" t="s">
        <v>1054</v>
      </c>
      <c r="C3023" s="21" t="s">
        <v>1057</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1002</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1000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1092</v>
      </c>
      <c r="B3026" s="21" t="s">
        <v>1052</v>
      </c>
      <c r="C3026" s="21" t="s">
        <v>977</v>
      </c>
      <c r="D3026" s="21" t="s">
        <v>978</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1807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1260</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1079</v>
      </c>
      <c r="B3029" s="21" t="s">
        <v>986</v>
      </c>
      <c r="C3029" s="21" t="s">
        <v>1057</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1002</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1877</v>
      </c>
      <c r="B3031" s="21" t="s">
        <v>1066</v>
      </c>
      <c r="C3031" s="21" t="s">
        <v>1008</v>
      </c>
      <c r="D3031" s="21" t="s">
        <v>978</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1597</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1092</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1111</v>
      </c>
      <c r="B3034" s="21" t="s">
        <v>1101</v>
      </c>
      <c r="C3034" s="21" t="s">
        <v>995</v>
      </c>
      <c r="D3034" s="21" t="s">
        <v>978</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1059</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1668</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1022</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row>
    <row r="3039" spans="1:12">
      <c r="A3039" s="20" t="s">
        <v>1910</v>
      </c>
    </row>
    <row r="3040" spans="1:12">
      <c r="A3040" s="20" t="s">
        <v>992</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1046</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1154</v>
      </c>
      <c r="B3042" s="21" t="s">
        <v>976</v>
      </c>
      <c r="C3042" s="21" t="s">
        <v>977</v>
      </c>
      <c r="D3042" s="21" t="s">
        <v>978</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979</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1332</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1004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1911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1230</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1608</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993</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1912</v>
      </c>
      <c r="B3050" s="21" t="s">
        <v>986</v>
      </c>
      <c r="C3050" s="21" t="s">
        <v>995</v>
      </c>
      <c r="D3050" s="21" t="s">
        <v>978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1009</v>
      </c>
      <c r="B3051" s="21" t="s">
        <v>1036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1828</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993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750</v>
      </c>
      <c r="B3054" s="21" t="s">
        <v>1035</v>
      </c>
      <c r="C3054" s="21" t="s">
        <v>995</v>
      </c>
      <c r="D3054" s="21" t="s">
        <v>978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996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1093</v>
      </c>
      <c r="B3056" s="21" t="s">
        <v>1229</v>
      </c>
      <c r="C3056" s="21" t="s">
        <v>977</v>
      </c>
      <c r="D3056" s="21" t="s">
        <v>978</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1913</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1022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1914</v>
      </c>
    </row>
    <row r="3061" spans="1:12">
      <c r="A3061" s="20" t="s">
        <v>1915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997</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1916</v>
      </c>
      <c r="B3063" s="21" t="s">
        <v>989</v>
      </c>
      <c r="C3063" s="21" t="s">
        <v>995</v>
      </c>
      <c r="D3063" s="21" t="s">
        <v>978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1002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1154</v>
      </c>
      <c r="B3065" s="21" t="s">
        <v>976</v>
      </c>
      <c r="C3065" s="21" t="s">
        <v>977</v>
      </c>
      <c r="D3065" s="21" t="s">
        <v>978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1185</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1401</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1917</v>
      </c>
      <c r="B3068" s="21" t="s">
        <v>989</v>
      </c>
      <c r="C3068" s="21" t="s">
        <v>1057</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1918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1022</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row>
    <row r="3072" spans="1:12">
      <c r="A3072" s="20" t="s">
        <v>1919</v>
      </c>
    </row>
    <row r="3073" spans="1:12">
      <c r="A3073" s="20" t="s">
        <v>975</v>
      </c>
      <c r="B3073" s="21" t="s">
        <v>976</v>
      </c>
      <c r="C3073" s="21" t="s">
        <v>977</v>
      </c>
      <c r="D3073" s="21" t="s">
        <v>978</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979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1346</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1009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1010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1294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1147</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1168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1920</v>
      </c>
      <c r="B3081" s="21" t="s">
        <v>1052</v>
      </c>
      <c r="C3081" s="21" t="s">
        <v>1104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996</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1393</v>
      </c>
      <c r="B3083" s="21" t="s">
        <v>1054</v>
      </c>
      <c r="C3083" s="21" t="s">
        <v>1057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1142</v>
      </c>
      <c r="B3084" s="21" t="s">
        <v>1035</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1921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1002</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1196</v>
      </c>
      <c r="B3087" s="21" t="s">
        <v>1095</v>
      </c>
      <c r="C3087" s="21" t="s">
        <v>1008</v>
      </c>
      <c r="D3087" s="21" t="s">
        <v>978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1076</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1922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12</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1009</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1010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1017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1923</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996</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997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1924</v>
      </c>
      <c r="B3097" s="21" t="s">
        <v>1054</v>
      </c>
      <c r="C3097" s="21" t="s">
        <v>995</v>
      </c>
      <c r="D3097" s="21" t="s">
        <v>978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1002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1573</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1925</v>
      </c>
      <c r="B3100" s="21" t="s">
        <v>1007</v>
      </c>
      <c r="C3100" s="21" t="s">
        <v>1104</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996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1926</v>
      </c>
      <c r="B3102" s="21" t="s">
        <v>1084</v>
      </c>
      <c r="C3102" s="21" t="s">
        <v>1057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1002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1927</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1092</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1393</v>
      </c>
      <c r="B3106" s="21" t="s">
        <v>1007</v>
      </c>
      <c r="C3106" s="21" t="s">
        <v>995</v>
      </c>
      <c r="D3106" s="21" t="s">
        <v>978</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1928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1002</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1000</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1038</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1065</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997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1443</v>
      </c>
      <c r="B3113" s="21" t="s">
        <v>1066</v>
      </c>
      <c r="C3113" s="21" t="s">
        <v>995</v>
      </c>
      <c r="D3113" s="21" t="s">
        <v>978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1076</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1072</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1929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1330</v>
      </c>
      <c r="B3117" s="21" t="s">
        <v>1066</v>
      </c>
      <c r="C3117" s="21" t="s">
        <v>1020</v>
      </c>
      <c r="D3117" s="21" t="s">
        <v>978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1022</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row>
    <row r="3120" spans="1:12">
      <c r="A3120" s="20" t="s">
        <v>1930</v>
      </c>
    </row>
    <row r="3121" spans="1:12">
      <c r="A3121" s="20" t="s">
        <v>992</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1046</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1002</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1154</v>
      </c>
      <c r="B3124" s="21" t="s">
        <v>976</v>
      </c>
      <c r="C3124" s="21" t="s">
        <v>977</v>
      </c>
      <c r="D3124" s="21" t="s">
        <v>978</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979</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1747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1050</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1239</v>
      </c>
      <c r="B3128" s="21" t="s">
        <v>982</v>
      </c>
      <c r="C3128" s="21" t="s">
        <v>983</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1022</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row>
    <row r="3131" spans="1:12">
      <c r="A3131" s="20" t="s">
        <v>1931</v>
      </c>
    </row>
    <row r="3132" spans="1:12">
      <c r="A3132" s="20" t="s">
        <v>1280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1865</v>
      </c>
      <c r="B3133" s="21" t="s">
        <v>1095</v>
      </c>
      <c r="C3133" s="21" t="s">
        <v>977</v>
      </c>
      <c r="D3133" s="21" t="s">
        <v>978</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1932</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609</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1933</v>
      </c>
      <c r="B3136" s="21" t="s">
        <v>1052</v>
      </c>
      <c r="C3136" s="21" t="s">
        <v>983</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996</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997</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1934</v>
      </c>
      <c r="B3139" s="21" t="s">
        <v>1054</v>
      </c>
      <c r="C3139" s="21" t="s">
        <v>995</v>
      </c>
      <c r="D3139" s="21" t="s">
        <v>978</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1002</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1000</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1865</v>
      </c>
      <c r="B3142" s="21" t="s">
        <v>1066</v>
      </c>
      <c r="C3142" s="21" t="s">
        <v>977</v>
      </c>
      <c r="D3142" s="21" t="s">
        <v>978</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1865</v>
      </c>
      <c r="B3143" s="21" t="s">
        <v>1101</v>
      </c>
      <c r="C3143" s="21" t="s">
        <v>977</v>
      </c>
      <c r="D3143" s="21" t="s">
        <v>978</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1935</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1038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1865</v>
      </c>
      <c r="B3146" s="21" t="s">
        <v>1101</v>
      </c>
      <c r="C3146" s="21" t="s">
        <v>977</v>
      </c>
      <c r="D3146" s="21" t="s">
        <v>978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1936</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1230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1092</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988</v>
      </c>
      <c r="B3150" s="21" t="s">
        <v>1054</v>
      </c>
      <c r="C3150" s="21" t="s">
        <v>995</v>
      </c>
      <c r="D3150" s="21" t="s">
        <v>978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1657</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96</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1937</v>
      </c>
      <c r="B3153" s="21" t="s">
        <v>1054</v>
      </c>
      <c r="C3153" s="21" t="s">
        <v>1178</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1002</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1102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1938</v>
      </c>
      <c r="B3156" s="21" t="s">
        <v>976</v>
      </c>
      <c r="C3156" s="21" t="s">
        <v>1104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1865</v>
      </c>
      <c r="B3157" s="21" t="s">
        <v>982</v>
      </c>
      <c r="C3157" s="21" t="s">
        <v>977</v>
      </c>
      <c r="D3157" s="21" t="s">
        <v>978</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1219</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1439</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1002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1877</v>
      </c>
      <c r="B3162" s="21" t="s">
        <v>1095</v>
      </c>
      <c r="C3162" s="21" t="s">
        <v>1008</v>
      </c>
      <c r="D3162" s="21" t="s">
        <v>978</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1874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1482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1519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1865</v>
      </c>
      <c r="B3166" s="21" t="s">
        <v>1101</v>
      </c>
      <c r="C3166" s="21" t="s">
        <v>977</v>
      </c>
      <c r="D3166" s="21" t="s">
        <v>978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414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1439</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1002</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1194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1865</v>
      </c>
      <c r="B3172" s="21" t="s">
        <v>1095</v>
      </c>
      <c r="C3172" s="21" t="s">
        <v>977</v>
      </c>
      <c r="D3172" s="21" t="s">
        <v>978</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1932</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1137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1000</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1865</v>
      </c>
      <c r="B3176" s="21" t="s">
        <v>1066</v>
      </c>
      <c r="C3176" s="21" t="s">
        <v>977</v>
      </c>
      <c r="D3176" s="21" t="s">
        <v>978</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1939</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1550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1018</v>
      </c>
      <c r="B3179" s="21" t="s">
        <v>1101</v>
      </c>
      <c r="C3179" s="21" t="s">
        <v>1020</v>
      </c>
      <c r="D3179" s="21" t="s">
        <v>978</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62</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1022</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row>
    <row r="3183" spans="1:12">
      <c r="A3183" s="20" t="s">
        <v>1940</v>
      </c>
    </row>
    <row r="3184" spans="1:12">
      <c r="A3184" s="20" t="s">
        <v>1174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1070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1865</v>
      </c>
      <c r="B3186" s="21" t="s">
        <v>1095</v>
      </c>
      <c r="C3186" s="21" t="s">
        <v>977</v>
      </c>
      <c r="D3186" s="21" t="s">
        <v>978</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1935</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1038</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1865</v>
      </c>
      <c r="B3189" s="21" t="s">
        <v>1066</v>
      </c>
      <c r="C3189" s="21" t="s">
        <v>977</v>
      </c>
      <c r="D3189" s="21" t="s">
        <v>978</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1932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1050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1111</v>
      </c>
      <c r="B3192" s="21" t="s">
        <v>1101</v>
      </c>
      <c r="C3192" s="21" t="s">
        <v>983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1002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1000</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1865</v>
      </c>
      <c r="B3195" s="21" t="s">
        <v>1101</v>
      </c>
      <c r="C3195" s="21" t="s">
        <v>977</v>
      </c>
      <c r="D3195" s="21" t="s">
        <v>978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1936</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1230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1092</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988</v>
      </c>
      <c r="B3199" s="21" t="s">
        <v>986</v>
      </c>
      <c r="C3199" s="21" t="s">
        <v>995</v>
      </c>
      <c r="D3199" s="21" t="s">
        <v>978</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1657</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96</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1937</v>
      </c>
      <c r="B3202" s="21" t="s">
        <v>1054</v>
      </c>
      <c r="C3202" s="21" t="s">
        <v>1178</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1102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1344</v>
      </c>
      <c r="B3204" s="21" t="s">
        <v>976</v>
      </c>
      <c r="C3204" s="21" t="s">
        <v>1104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1865</v>
      </c>
      <c r="B3205" s="21" t="s">
        <v>982</v>
      </c>
      <c r="C3205" s="21" t="s">
        <v>977</v>
      </c>
      <c r="D3205" s="21" t="s">
        <v>978</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1219</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13</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1439</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1002</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1106</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1289</v>
      </c>
      <c r="B3211" s="21" t="s">
        <v>1095</v>
      </c>
      <c r="C3211" s="21" t="s">
        <v>1008</v>
      </c>
      <c r="D3211" s="21" t="s">
        <v>978</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1323</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1941</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1002</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1942</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1092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1111</v>
      </c>
      <c r="B3217" s="21" t="s">
        <v>1095</v>
      </c>
      <c r="C3217" s="21" t="s">
        <v>995</v>
      </c>
      <c r="D3217" s="21" t="s">
        <v>978</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1067</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1050</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1792</v>
      </c>
      <c r="B3220" s="21" t="s">
        <v>989</v>
      </c>
      <c r="C3220" s="21" t="s">
        <v>983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1142</v>
      </c>
      <c r="B3221" s="21" t="s">
        <v>1066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1714</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1230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1665</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1145</v>
      </c>
      <c r="B3225" s="21" t="s">
        <v>1035</v>
      </c>
      <c r="C3225" s="21" t="s">
        <v>1020</v>
      </c>
      <c r="D3225" s="21" t="s">
        <v>978</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1093</v>
      </c>
      <c r="B3226" s="21" t="s">
        <v>1036</v>
      </c>
      <c r="C3226" s="21" t="s">
        <v>977</v>
      </c>
      <c r="D3226" s="21" t="s">
        <v>978</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1543</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1002</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1000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1070</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1865</v>
      </c>
      <c r="B3231" s="21" t="s">
        <v>1311</v>
      </c>
      <c r="C3231" s="21" t="s">
        <v>977</v>
      </c>
      <c r="D3231" s="21" t="s">
        <v>978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1865</v>
      </c>
      <c r="B3232" s="21" t="s">
        <v>1229</v>
      </c>
      <c r="C3232" s="21" t="s">
        <v>977</v>
      </c>
      <c r="D3232" s="21" t="s">
        <v>978</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1943</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1439</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1002</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1106</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1944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1002</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1865</v>
      </c>
      <c r="B3239" s="21" t="s">
        <v>1042</v>
      </c>
      <c r="C3239" s="21" t="s">
        <v>977</v>
      </c>
      <c r="D3239" s="21" t="s">
        <v>978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1072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1945</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1183</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1712</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1022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1946</v>
      </c>
    </row>
    <row r="3247" spans="1:12">
      <c r="A3247" s="20" t="s">
        <v>1594</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1047</v>
      </c>
      <c r="B3248" s="21" t="s">
        <v>976</v>
      </c>
      <c r="C3248" s="21" t="s">
        <v>977</v>
      </c>
      <c r="D3248" s="21" t="s">
        <v>978</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1164</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1743</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1220</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1183</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1947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1948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1092</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1949</v>
      </c>
      <c r="B3256" s="21" t="s">
        <v>986</v>
      </c>
      <c r="C3256" s="21" t="s">
        <v>995</v>
      </c>
      <c r="D3256" s="21" t="s">
        <v>978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1081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1340</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1476</v>
      </c>
      <c r="B3259" s="21" t="s">
        <v>1054</v>
      </c>
      <c r="C3259" s="21" t="s">
        <v>1057</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1022</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row>
    <row r="3262" spans="1:12">
      <c r="A3262" s="20" t="s">
        <v>1950</v>
      </c>
    </row>
    <row r="3263" spans="1:12">
      <c r="A3263" s="20" t="s">
        <v>992</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1047</v>
      </c>
      <c r="B3264" s="21" t="s">
        <v>976</v>
      </c>
      <c r="C3264" s="21" t="s">
        <v>977</v>
      </c>
      <c r="D3264" s="21" t="s">
        <v>978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1951</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996</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993</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1952</v>
      </c>
      <c r="B3268" s="21" t="s">
        <v>989</v>
      </c>
      <c r="C3268" s="21" t="s">
        <v>995</v>
      </c>
      <c r="D3268" s="21" t="s">
        <v>978</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1002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996</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993</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1953</v>
      </c>
      <c r="B3272" s="21" t="s">
        <v>989</v>
      </c>
      <c r="C3272" s="21" t="s">
        <v>995</v>
      </c>
      <c r="D3272" s="21" t="s">
        <v>978</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996</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1952</v>
      </c>
      <c r="B3274" s="21" t="s">
        <v>986</v>
      </c>
      <c r="C3274" s="21" t="s">
        <v>1057</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996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750</v>
      </c>
      <c r="B3276" s="21" t="s">
        <v>1054</v>
      </c>
      <c r="C3276" s="21" t="s">
        <v>1057</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1142</v>
      </c>
      <c r="B3277" s="21" t="s">
        <v>1066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1135</v>
      </c>
      <c r="B3278" s="21" t="s">
        <v>1101</v>
      </c>
      <c r="C3278" s="21" t="s">
        <v>977</v>
      </c>
      <c r="D3278" s="21" t="s">
        <v>978</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1954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1235</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1011</v>
      </c>
      <c r="B3281" s="21" t="s">
        <v>1036</v>
      </c>
      <c r="C3281" s="21" t="s">
        <v>977</v>
      </c>
      <c r="D3281" s="21" t="s">
        <v>978</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1955</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172</v>
      </c>
      <c r="B3283" s="21" t="s">
        <v>1036</v>
      </c>
      <c r="C3283" s="21" t="s">
        <v>1008</v>
      </c>
      <c r="D3283" s="21" t="s">
        <v>978</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1142</v>
      </c>
      <c r="B3284" s="21" t="s">
        <v>1311</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1308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1235</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1956</v>
      </c>
      <c r="B3287" s="21" t="s">
        <v>1040</v>
      </c>
      <c r="C3287" s="21" t="s">
        <v>1020</v>
      </c>
      <c r="D3287" s="21" t="s">
        <v>978</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1022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row>
    <row r="3290" spans="1:12">
      <c r="A3290" s="20" t="s">
        <v>1957</v>
      </c>
    </row>
    <row r="3291" spans="1:12">
      <c r="A3291" s="20" t="s">
        <v>1202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1004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1074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1808</v>
      </c>
      <c r="B3294" s="21" t="s">
        <v>989</v>
      </c>
      <c r="C3294" s="21" t="s">
        <v>995</v>
      </c>
      <c r="D3294" s="21" t="s">
        <v>978</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1002</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1018</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1958</v>
      </c>
      <c r="B3297" s="21" t="s">
        <v>989</v>
      </c>
      <c r="C3297" s="21" t="s">
        <v>1057</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1002</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1145</v>
      </c>
      <c r="B3299" s="21" t="s">
        <v>976</v>
      </c>
      <c r="C3299" s="21" t="s">
        <v>1020</v>
      </c>
      <c r="D3299" s="21" t="s">
        <v>978</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1011</v>
      </c>
      <c r="B3300" s="21" t="s">
        <v>982</v>
      </c>
      <c r="C3300" s="21" t="s">
        <v>977</v>
      </c>
      <c r="D3300" s="21" t="s">
        <v>978</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1959</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996</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993</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1797</v>
      </c>
      <c r="B3304" s="21" t="s">
        <v>989</v>
      </c>
      <c r="C3304" s="21" t="s">
        <v>995</v>
      </c>
      <c r="D3304" s="21" t="s">
        <v>978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1230</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1092</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1960</v>
      </c>
      <c r="B3307" s="21" t="s">
        <v>986</v>
      </c>
      <c r="C3307" s="21" t="s">
        <v>995</v>
      </c>
      <c r="D3307" s="21" t="s">
        <v>978</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1022</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row>
    <row r="3310" spans="1:12">
      <c r="A3310" s="20" t="s">
        <v>1961</v>
      </c>
    </row>
    <row r="3311" spans="1:12">
      <c r="A3311" s="20" t="s">
        <v>1962</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1608</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993</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1952</v>
      </c>
      <c r="B3314" s="21" t="s">
        <v>989</v>
      </c>
      <c r="C3314" s="21" t="s">
        <v>995</v>
      </c>
      <c r="D3314" s="21" t="s">
        <v>978</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1038</v>
      </c>
      <c r="B3315" s="21" t="s">
        <v>1101</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1154</v>
      </c>
      <c r="B3316" s="21" t="s">
        <v>1066</v>
      </c>
      <c r="C3316" s="21" t="s">
        <v>977</v>
      </c>
      <c r="D3316" s="21" t="s">
        <v>978</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979</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1963</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1002</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985</v>
      </c>
      <c r="B3320" s="21" t="s">
        <v>986</v>
      </c>
      <c r="C3320" s="21" t="s">
        <v>987</v>
      </c>
      <c r="D3320" s="21" t="s">
        <v>978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1964</v>
      </c>
      <c r="B3321" s="21" t="s">
        <v>976</v>
      </c>
      <c r="C3321" s="21" t="s">
        <v>990</v>
      </c>
      <c r="D3321" s="21" t="s">
        <v>978</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1067</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1844</v>
      </c>
      <c r="B3323" s="21" t="s">
        <v>989</v>
      </c>
      <c r="C3323" s="21" t="s">
        <v>1008</v>
      </c>
      <c r="D3323" s="21" t="s">
        <v>978</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1965</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1120</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1050</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1520</v>
      </c>
      <c r="B3327" s="21" t="s">
        <v>986</v>
      </c>
      <c r="C3327" s="21" t="s">
        <v>983</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1142</v>
      </c>
      <c r="B3328" s="21" t="s">
        <v>1035</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1323</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1966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1235</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183</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1009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1468</v>
      </c>
      <c r="B3334" s="21" t="s">
        <v>1311</v>
      </c>
      <c r="C3334" s="21" t="s">
        <v>977</v>
      </c>
      <c r="D3334" s="21" t="s">
        <v>978</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1147</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1967</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1092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1393</v>
      </c>
      <c r="B3338" s="21" t="s">
        <v>1229</v>
      </c>
      <c r="C3338" s="21" t="s">
        <v>995</v>
      </c>
      <c r="D3338" s="21" t="s">
        <v>978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1002</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1468</v>
      </c>
      <c r="B3340" s="21" t="s">
        <v>1095</v>
      </c>
      <c r="C3340" s="21" t="s">
        <v>977</v>
      </c>
      <c r="D3340" s="21" t="s">
        <v>978</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1147</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1967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997</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1924</v>
      </c>
      <c r="B3344" s="21" t="s">
        <v>1052</v>
      </c>
      <c r="C3344" s="21" t="s">
        <v>995</v>
      </c>
      <c r="D3344" s="21" t="s">
        <v>978</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1002</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1468</v>
      </c>
      <c r="B3346" s="21" t="s">
        <v>1095</v>
      </c>
      <c r="C3346" s="21" t="s">
        <v>977</v>
      </c>
      <c r="D3346" s="21" t="s">
        <v>978</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1147</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1967</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1004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1862</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1968</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1065</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1002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1000</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1468</v>
      </c>
      <c r="B3355" s="21" t="s">
        <v>1035</v>
      </c>
      <c r="C3355" s="21" t="s">
        <v>977</v>
      </c>
      <c r="D3355" s="21" t="s">
        <v>978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1147</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1138</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1050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1969</v>
      </c>
      <c r="B3359" s="21" t="s">
        <v>1036</v>
      </c>
      <c r="C3359" s="21" t="s">
        <v>983</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1000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1468</v>
      </c>
      <c r="B3361" s="21" t="s">
        <v>1035</v>
      </c>
      <c r="C3361" s="21" t="s">
        <v>977</v>
      </c>
      <c r="D3361" s="21" t="s">
        <v>978</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1970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1038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1047</v>
      </c>
      <c r="B3364" s="21" t="s">
        <v>1042</v>
      </c>
      <c r="C3364" s="21" t="s">
        <v>977</v>
      </c>
      <c r="D3364" s="21" t="s">
        <v>978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1092</v>
      </c>
      <c r="B3365" s="21" t="s">
        <v>1146</v>
      </c>
      <c r="C3365" s="21" t="s">
        <v>977</v>
      </c>
      <c r="D3365" s="21" t="s">
        <v>978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1971</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1004</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1027</v>
      </c>
      <c r="B3368" s="21" t="s">
        <v>1084</v>
      </c>
      <c r="C3368" s="21" t="s">
        <v>1020</v>
      </c>
      <c r="D3368" s="21" t="s">
        <v>978</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1002</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1000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1092</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1969</v>
      </c>
      <c r="B3372" s="21" t="s">
        <v>1084</v>
      </c>
      <c r="C3372" s="21" t="s">
        <v>995</v>
      </c>
      <c r="D3372" s="21" t="s">
        <v>978</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1002</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1196</v>
      </c>
      <c r="B3374" s="21" t="s">
        <v>1095</v>
      </c>
      <c r="C3374" s="21" t="s">
        <v>1008</v>
      </c>
      <c r="D3374" s="21" t="s">
        <v>978</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1076</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1092</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1972</v>
      </c>
      <c r="B3377" s="21" t="s">
        <v>989</v>
      </c>
      <c r="C3377" s="21" t="s">
        <v>995</v>
      </c>
      <c r="D3377" s="21" t="s">
        <v>978</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996</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993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1973</v>
      </c>
      <c r="B3380" s="21" t="s">
        <v>986</v>
      </c>
      <c r="C3380" s="21" t="s">
        <v>995</v>
      </c>
      <c r="D3380" s="21" t="s">
        <v>978</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1018</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1974</v>
      </c>
      <c r="B3382" s="21" t="s">
        <v>1054</v>
      </c>
      <c r="C3382" s="21" t="s">
        <v>1057</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1022</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row>
    <row r="3385" spans="1:12">
      <c r="A3385" s="20" t="s">
        <v>1975</v>
      </c>
    </row>
    <row r="3386" spans="1:12">
      <c r="A3386" s="20" t="s">
        <v>1624</v>
      </c>
      <c r="B3386" s="21" t="s">
        <v>976</v>
      </c>
      <c r="C3386" s="21" t="s">
        <v>977</v>
      </c>
      <c r="D3386" s="21" t="s">
        <v>978</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1135</v>
      </c>
      <c r="B3387" s="21" t="s">
        <v>982</v>
      </c>
      <c r="C3387" s="21" t="s">
        <v>977</v>
      </c>
      <c r="D3387" s="21" t="s">
        <v>978</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1018</v>
      </c>
      <c r="B3388" s="21" t="s">
        <v>986</v>
      </c>
      <c r="C3388" s="21" t="s">
        <v>1020</v>
      </c>
      <c r="D3388" s="21" t="s">
        <v>978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1323</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1148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1976</v>
      </c>
      <c r="B3391" s="21" t="s">
        <v>982</v>
      </c>
      <c r="C3391" s="21" t="s">
        <v>1020</v>
      </c>
      <c r="D3391" s="21" t="s">
        <v>978</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1022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row>
    <row r="3394" spans="1:12">
      <c r="A3394" s="20" t="s">
        <v>1977</v>
      </c>
    </row>
    <row r="3395" spans="1:12">
      <c r="A3395" s="20" t="s">
        <v>992</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1047</v>
      </c>
      <c r="B3396" s="21" t="s">
        <v>976</v>
      </c>
      <c r="C3396" s="21" t="s">
        <v>977</v>
      </c>
      <c r="D3396" s="21" t="s">
        <v>978</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1116</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993</v>
      </c>
      <c r="B3398" s="21" t="s">
        <v>982</v>
      </c>
      <c r="C3398" s="21" t="s">
        <v>977</v>
      </c>
      <c r="D3398" s="21" t="s">
        <v>978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1714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1189</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1018</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172</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1199</v>
      </c>
      <c r="B3403" s="21" t="s">
        <v>989</v>
      </c>
      <c r="C3403" s="21" t="s">
        <v>1063</v>
      </c>
      <c r="D3403" s="21" t="s">
        <v>978</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1022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row>
    <row r="3406" spans="1:12">
      <c r="A3406" s="20" t="s">
        <v>1978</v>
      </c>
    </row>
    <row r="3407" spans="1:12">
      <c r="A3407" s="20" t="s">
        <v>1182</v>
      </c>
      <c r="B3407" s="21" t="s">
        <v>976</v>
      </c>
      <c r="C3407" s="21" t="s">
        <v>977</v>
      </c>
      <c r="D3407" s="21" t="s">
        <v>978</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1662</v>
      </c>
      <c r="B3408" s="21" t="s">
        <v>982</v>
      </c>
      <c r="C3408" s="21" t="s">
        <v>977</v>
      </c>
      <c r="D3408" s="21" t="s">
        <v>978</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979</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1979</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996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1093</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1980</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1230</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997</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1650</v>
      </c>
      <c r="B3416" s="21" t="s">
        <v>986</v>
      </c>
      <c r="C3416" s="21" t="s">
        <v>995</v>
      </c>
      <c r="D3416" s="21" t="s">
        <v>978</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1981</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984</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997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1982</v>
      </c>
      <c r="B3420" s="21" t="s">
        <v>986</v>
      </c>
      <c r="C3420" s="21" t="s">
        <v>995</v>
      </c>
      <c r="D3420" s="21" t="s">
        <v>978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996</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993</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1983</v>
      </c>
      <c r="B3423" s="21" t="s">
        <v>1054</v>
      </c>
      <c r="C3423" s="21" t="s">
        <v>995</v>
      </c>
      <c r="D3423" s="21" t="s">
        <v>978</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1984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1022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row>
    <row r="3427" spans="1:12">
      <c r="A3427" s="20" t="s">
        <v>1985</v>
      </c>
    </row>
    <row r="3428" spans="1:12">
      <c r="A3428" s="20" t="s">
        <v>1174</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1259</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1002</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1024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1047</v>
      </c>
      <c r="B3432" s="21" t="s">
        <v>1095</v>
      </c>
      <c r="C3432" s="21" t="s">
        <v>977</v>
      </c>
      <c r="D3432" s="21" t="s">
        <v>978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1164</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1986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1004</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1092</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1987</v>
      </c>
      <c r="B3437" s="21" t="s">
        <v>986</v>
      </c>
      <c r="C3437" s="21" t="s">
        <v>995</v>
      </c>
      <c r="D3437" s="21" t="s">
        <v>978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996</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993</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1476</v>
      </c>
      <c r="B3440" s="21" t="s">
        <v>1054</v>
      </c>
      <c r="C3440" s="21" t="s">
        <v>995</v>
      </c>
      <c r="D3440" s="21" t="s">
        <v>978</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1988</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1002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1154</v>
      </c>
      <c r="B3443" s="21" t="s">
        <v>976</v>
      </c>
      <c r="C3443" s="21" t="s">
        <v>977</v>
      </c>
      <c r="D3443" s="21" t="s">
        <v>978</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979</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1465</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1747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row>
    <row r="3448" spans="1:12">
      <c r="A3448" s="20" t="s">
        <v>1989</v>
      </c>
    </row>
    <row r="3449" spans="1:12">
      <c r="A3449" s="20" t="s">
        <v>975</v>
      </c>
      <c r="B3449" s="21" t="s">
        <v>976</v>
      </c>
      <c r="C3449" s="21" t="s">
        <v>977</v>
      </c>
      <c r="D3449" s="21" t="s">
        <v>978</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979</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1990</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1004</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609</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1991</v>
      </c>
      <c r="B3454" s="21" t="s">
        <v>989</v>
      </c>
      <c r="C3454" s="21" t="s">
        <v>983</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1992</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1004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997</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1993</v>
      </c>
      <c r="B3458" s="21" t="s">
        <v>986</v>
      </c>
      <c r="C3458" s="21" t="s">
        <v>1116</v>
      </c>
      <c r="D3458" s="21" t="s">
        <v>978</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1142</v>
      </c>
      <c r="B3459" s="21" t="s">
        <v>1066</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1994</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1189</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1335</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996</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1995</v>
      </c>
      <c r="B3464" s="21" t="s">
        <v>1007</v>
      </c>
      <c r="C3464" s="21" t="s">
        <v>1057</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996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1996</v>
      </c>
      <c r="B3466" s="21" t="s">
        <v>1084</v>
      </c>
      <c r="C3466" s="21" t="s">
        <v>1057</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1000</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1047</v>
      </c>
      <c r="B3468" s="21" t="s">
        <v>1095</v>
      </c>
      <c r="C3468" s="21" t="s">
        <v>977</v>
      </c>
      <c r="D3468" s="21" t="s">
        <v>978</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1116</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1135</v>
      </c>
      <c r="B3470" s="21" t="s">
        <v>1052</v>
      </c>
      <c r="C3470" s="21" t="s">
        <v>977</v>
      </c>
      <c r="D3470" s="21" t="s">
        <v>978</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1294</v>
      </c>
      <c r="B3471" s="21" t="s">
        <v>1052</v>
      </c>
      <c r="C3471" s="21" t="s">
        <v>1020</v>
      </c>
      <c r="D3471" s="21" t="s">
        <v>978</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1997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1189</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1018</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172</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1199</v>
      </c>
      <c r="B3476" s="21" t="s">
        <v>986</v>
      </c>
      <c r="C3476" s="21" t="s">
        <v>1063</v>
      </c>
      <c r="D3476" s="21" t="s">
        <v>978</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1002</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1194</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1168</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1169</v>
      </c>
      <c r="B3480" s="21" t="s">
        <v>1054</v>
      </c>
      <c r="C3480" s="21" t="s">
        <v>1104</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1183</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1998</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1047</v>
      </c>
      <c r="B3483" s="21" t="s">
        <v>1066</v>
      </c>
      <c r="C3483" s="21" t="s">
        <v>977</v>
      </c>
      <c r="D3483" s="21" t="s">
        <v>978</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1999</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1230</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609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1382</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2000</v>
      </c>
      <c r="B3488" s="21" t="s">
        <v>1054</v>
      </c>
      <c r="C3488" s="21" t="s">
        <v>983</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1002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1004</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997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2001</v>
      </c>
      <c r="B3492" s="21" t="s">
        <v>1054</v>
      </c>
      <c r="C3492" s="21" t="s">
        <v>1116</v>
      </c>
      <c r="D3492" s="21" t="s">
        <v>978</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1002</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1000</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1010</v>
      </c>
      <c r="B3495" s="21" t="s">
        <v>1066</v>
      </c>
      <c r="C3495" s="21" t="s">
        <v>977</v>
      </c>
      <c r="D3495" s="21" t="s">
        <v>978</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1135</v>
      </c>
      <c r="B3496" s="21" t="s">
        <v>1101</v>
      </c>
      <c r="C3496" s="21" t="s">
        <v>977</v>
      </c>
      <c r="D3496" s="21" t="s">
        <v>978</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1067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2002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996</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1129</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1074</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1683</v>
      </c>
      <c r="B3502" s="21" t="s">
        <v>1036</v>
      </c>
      <c r="C3502" s="21" t="s">
        <v>995</v>
      </c>
      <c r="D3502" s="21" t="s">
        <v>978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1004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1361</v>
      </c>
      <c r="B3504" s="21" t="s">
        <v>1007</v>
      </c>
      <c r="C3504" s="21" t="s">
        <v>1020</v>
      </c>
      <c r="D3504" s="21" t="s">
        <v>978</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1002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1000</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1010</v>
      </c>
      <c r="B3507" s="21" t="s">
        <v>1066</v>
      </c>
      <c r="C3507" s="21" t="s">
        <v>977</v>
      </c>
      <c r="D3507" s="21" t="s">
        <v>978</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1135</v>
      </c>
      <c r="B3508" s="21" t="s">
        <v>1101</v>
      </c>
      <c r="C3508" s="21" t="s">
        <v>977</v>
      </c>
      <c r="D3508" s="21" t="s">
        <v>978</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1323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1384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1216</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1217</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1518</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1519</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1002</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1865</v>
      </c>
      <c r="B3516" s="21" t="s">
        <v>1036</v>
      </c>
      <c r="C3516" s="21" t="s">
        <v>977</v>
      </c>
      <c r="D3516" s="21" t="s">
        <v>978</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1872</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1002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1289</v>
      </c>
      <c r="B3519" s="21" t="s">
        <v>1054</v>
      </c>
      <c r="C3519" s="21" t="s">
        <v>1008</v>
      </c>
      <c r="D3519" s="21" t="s">
        <v>978</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1196</v>
      </c>
      <c r="B3520" s="21" t="s">
        <v>1066</v>
      </c>
      <c r="C3520" s="21" t="s">
        <v>1008</v>
      </c>
      <c r="D3520" s="21" t="s">
        <v>978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1067</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2003</v>
      </c>
      <c r="B3522" s="21" t="s">
        <v>986</v>
      </c>
      <c r="C3522" s="21" t="s">
        <v>1116</v>
      </c>
      <c r="D3522" s="21" t="s">
        <v>978</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996</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1074</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2004</v>
      </c>
      <c r="B3525" s="21" t="s">
        <v>1054</v>
      </c>
      <c r="C3525" s="21" t="s">
        <v>995</v>
      </c>
      <c r="D3525" s="21" t="s">
        <v>978</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1002</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1000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1087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1196</v>
      </c>
      <c r="B3529" s="21" t="s">
        <v>1066</v>
      </c>
      <c r="C3529" s="21" t="s">
        <v>1008</v>
      </c>
      <c r="D3529" s="21" t="s">
        <v>978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1067</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2003</v>
      </c>
      <c r="B3531" s="21" t="s">
        <v>986</v>
      </c>
      <c r="C3531" s="21" t="s">
        <v>1116</v>
      </c>
      <c r="D3531" s="21" t="s">
        <v>978</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996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1074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2005</v>
      </c>
      <c r="B3534" s="21" t="s">
        <v>1054</v>
      </c>
      <c r="C3534" s="21" t="s">
        <v>1116</v>
      </c>
      <c r="D3534" s="21" t="s">
        <v>978</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1002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1000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1497</v>
      </c>
      <c r="B3537" s="21" t="s">
        <v>1007</v>
      </c>
      <c r="C3537" s="21" t="s">
        <v>987</v>
      </c>
      <c r="D3537" s="21" t="s">
        <v>978</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2006</v>
      </c>
      <c r="B3538" s="21" t="s">
        <v>1066</v>
      </c>
      <c r="C3538" s="21" t="s">
        <v>990</v>
      </c>
      <c r="D3538" s="21" t="s">
        <v>978</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1478</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1002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1018</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1358</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2007</v>
      </c>
      <c r="B3543" s="21" t="s">
        <v>986</v>
      </c>
      <c r="C3543" s="21" t="s">
        <v>1104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1002</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1482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1892</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1002</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1194</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1145</v>
      </c>
      <c r="B3549" s="21" t="s">
        <v>1066</v>
      </c>
      <c r="C3549" s="21" t="s">
        <v>1020</v>
      </c>
      <c r="D3549" s="21" t="s">
        <v>978</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1018</v>
      </c>
      <c r="B3550" s="21" t="s">
        <v>1054</v>
      </c>
      <c r="C3550" s="21" t="s">
        <v>1020</v>
      </c>
      <c r="D3550" s="21" t="s">
        <v>978</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1323</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1573</v>
      </c>
      <c r="B3552" s="21" t="s">
        <v>986</v>
      </c>
      <c r="C3552" s="21" t="s">
        <v>1020</v>
      </c>
      <c r="D3552" s="21" t="s">
        <v>978</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1142</v>
      </c>
      <c r="B3553" s="21" t="s">
        <v>1035</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2008</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1573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2009</v>
      </c>
      <c r="B3556" s="21" t="s">
        <v>1036</v>
      </c>
      <c r="C3556" s="21" t="s">
        <v>1104</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1058</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172</v>
      </c>
      <c r="B3558" s="21" t="s">
        <v>1084</v>
      </c>
      <c r="C3558" s="21" t="s">
        <v>1008</v>
      </c>
      <c r="D3558" s="21" t="s">
        <v>978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1038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1865</v>
      </c>
      <c r="B3560" s="21" t="s">
        <v>1016</v>
      </c>
      <c r="C3560" s="21" t="s">
        <v>977</v>
      </c>
      <c r="D3560" s="21" t="s">
        <v>978</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2010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1022</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row>
    <row r="3564" spans="1:12">
      <c r="A3564" s="20" t="s">
        <v>2011</v>
      </c>
    </row>
    <row r="3565" spans="1:12">
      <c r="A3565" s="20" t="s">
        <v>190</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992</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1154</v>
      </c>
      <c r="B3567" s="21" t="s">
        <v>976</v>
      </c>
      <c r="C3567" s="21" t="s">
        <v>977</v>
      </c>
      <c r="D3567" s="21" t="s">
        <v>978</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979</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1879</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2012</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2013</v>
      </c>
      <c r="B3571" s="21" t="s">
        <v>982</v>
      </c>
      <c r="C3571" s="21" t="s">
        <v>1116</v>
      </c>
      <c r="D3571" s="21" t="s">
        <v>978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1434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1022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row>
    <row r="3575" spans="1:12">
      <c r="A3575" s="20" t="s">
        <v>2014</v>
      </c>
    </row>
    <row r="3576" spans="1:12">
      <c r="A3576" s="20" t="s">
        <v>190</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992</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1010</v>
      </c>
      <c r="B3578" s="21" t="s">
        <v>976</v>
      </c>
      <c r="C3578" s="21" t="s">
        <v>977</v>
      </c>
      <c r="D3578" s="21" t="s">
        <v>978</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1323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1384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1216</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1217</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1782</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1002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1194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1145</v>
      </c>
      <c r="B3586" s="21" t="s">
        <v>1095</v>
      </c>
      <c r="C3586" s="21" t="s">
        <v>1020</v>
      </c>
      <c r="D3586" s="21" t="s">
        <v>978</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1323</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1347</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1189</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1335</v>
      </c>
      <c r="B3590" s="21" t="s">
        <v>1052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996</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2015</v>
      </c>
      <c r="B3592" s="21" t="s">
        <v>1054</v>
      </c>
      <c r="C3592" s="21" t="s">
        <v>1057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1058</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996</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993</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2016</v>
      </c>
      <c r="B3596" s="21" t="s">
        <v>1007</v>
      </c>
      <c r="C3596" s="21" t="s">
        <v>995</v>
      </c>
      <c r="D3596" s="21" t="s">
        <v>978</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1018</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2017</v>
      </c>
      <c r="B3598" s="21" t="s">
        <v>1084</v>
      </c>
      <c r="C3598" s="21" t="s">
        <v>1057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2018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2019</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1002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2020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1141</v>
      </c>
      <c r="B3603" s="21" t="s">
        <v>1084</v>
      </c>
      <c r="C3603" s="21" t="s">
        <v>1008</v>
      </c>
      <c r="D3603" s="21" t="s">
        <v>978</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1142</v>
      </c>
      <c r="B3604" s="21" t="s">
        <v>1016</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1478</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2021</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2022</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1167</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997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2023</v>
      </c>
      <c r="B3610" s="21" t="s">
        <v>1317</v>
      </c>
      <c r="C3610" s="21" t="s">
        <v>995</v>
      </c>
      <c r="D3610" s="21" t="s">
        <v>978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1022</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row>
    <row r="3613" spans="1:12">
      <c r="A3613" s="20" t="s">
        <v>2024</v>
      </c>
    </row>
    <row r="3614" spans="1:12">
      <c r="A3614" s="20" t="s">
        <v>190</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992</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1154</v>
      </c>
      <c r="B3616" s="21" t="s">
        <v>976</v>
      </c>
      <c r="C3616" s="21" t="s">
        <v>977</v>
      </c>
      <c r="D3616" s="21" t="s">
        <v>978</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979</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1804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1216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1217</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2025</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1274</v>
      </c>
      <c r="B3622" s="21" t="s">
        <v>982</v>
      </c>
      <c r="C3622" s="21" t="s">
        <v>1104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996</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2015</v>
      </c>
      <c r="B3624" s="21" t="s">
        <v>986</v>
      </c>
      <c r="C3624" s="21" t="s">
        <v>1057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1404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row>
    <row r="3627" spans="1:12">
      <c r="A3627" s="20" t="s">
        <v>1451</v>
      </c>
    </row>
    <row r="3628" spans="1:12">
      <c r="A3628" s="20" t="s">
        <v>190</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2026</v>
      </c>
    </row>
    <row r="3631" spans="1:12">
      <c r="A3631" s="20" t="s">
        <v>992</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1010</v>
      </c>
      <c r="B3632" s="21" t="s">
        <v>976</v>
      </c>
      <c r="C3632" s="21" t="s">
        <v>977</v>
      </c>
      <c r="D3632" s="21" t="s">
        <v>978</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1323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1879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1216</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1217</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1518</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1519</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1002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1025</v>
      </c>
      <c r="B3640" s="21" t="s">
        <v>1066</v>
      </c>
      <c r="C3640" s="21" t="s">
        <v>977</v>
      </c>
      <c r="D3640" s="21" t="s">
        <v>978</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2027</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1397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1239</v>
      </c>
      <c r="B3643" s="21" t="s">
        <v>1101</v>
      </c>
      <c r="C3643" s="21" t="s">
        <v>1063</v>
      </c>
      <c r="D3643" s="21" t="s">
        <v>978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2028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1022</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row>
    <row r="3647" spans="1:12">
      <c r="A3647" s="20" t="s">
        <v>2029</v>
      </c>
    </row>
    <row r="3648" spans="1:12">
      <c r="A3648" s="20" t="s">
        <v>1481</v>
      </c>
      <c r="B3648" s="21" t="s">
        <v>976</v>
      </c>
      <c r="C3648" s="21" t="s">
        <v>977</v>
      </c>
      <c r="D3648" s="21" t="s">
        <v>978</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1116</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2027</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1189</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868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993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750</v>
      </c>
      <c r="B3654" s="21" t="s">
        <v>1052</v>
      </c>
      <c r="C3654" s="21" t="s">
        <v>995</v>
      </c>
      <c r="D3654" s="21" t="s">
        <v>978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1260</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997</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2030</v>
      </c>
      <c r="B3657" s="21" t="s">
        <v>986</v>
      </c>
      <c r="C3657" s="21" t="s">
        <v>995</v>
      </c>
      <c r="D3657" s="21" t="s">
        <v>978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1002</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845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2031</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1145</v>
      </c>
      <c r="B3661" s="21" t="s">
        <v>1066</v>
      </c>
      <c r="C3661" s="21" t="s">
        <v>1020</v>
      </c>
      <c r="D3661" s="21" t="s">
        <v>978</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1093</v>
      </c>
      <c r="B3662" s="21" t="s">
        <v>1101</v>
      </c>
      <c r="C3662" s="21" t="s">
        <v>977</v>
      </c>
      <c r="D3662" s="21" t="s">
        <v>978</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1543</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1439</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1022</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row>
    <row r="3667" spans="1:12">
      <c r="A3667" s="20" t="s">
        <v>2032</v>
      </c>
    </row>
    <row r="3668" spans="1:12">
      <c r="A3668" s="20" t="s">
        <v>1481</v>
      </c>
      <c r="B3668" s="21" t="s">
        <v>976</v>
      </c>
      <c r="C3668" s="21" t="s">
        <v>977</v>
      </c>
      <c r="D3668" s="21" t="s">
        <v>978</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1072</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1828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1189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2033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993</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2034</v>
      </c>
      <c r="B3674" s="21" t="s">
        <v>982</v>
      </c>
      <c r="C3674" s="21" t="s">
        <v>995</v>
      </c>
      <c r="D3674" s="21" t="s">
        <v>978</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1310</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1092</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2035</v>
      </c>
      <c r="B3677" s="21" t="s">
        <v>986</v>
      </c>
      <c r="C3677" s="21" t="s">
        <v>995</v>
      </c>
      <c r="D3677" s="21" t="s">
        <v>978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1002</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1235</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2036</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993</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750</v>
      </c>
      <c r="B3682" s="21" t="s">
        <v>1052</v>
      </c>
      <c r="C3682" s="21" t="s">
        <v>995</v>
      </c>
      <c r="D3682" s="21" t="s">
        <v>978</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1022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row>
    <row r="3685" spans="1:12">
      <c r="A3685" s="20" t="s">
        <v>2037</v>
      </c>
    </row>
    <row r="3686" spans="1:12">
      <c r="A3686" s="20" t="s">
        <v>1481</v>
      </c>
      <c r="B3686" s="21" t="s">
        <v>976</v>
      </c>
      <c r="C3686" s="21" t="s">
        <v>977</v>
      </c>
      <c r="D3686" s="21" t="s">
        <v>978</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1072</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1828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1189</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2038</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1092</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2039</v>
      </c>
      <c r="B3692" s="21" t="s">
        <v>982</v>
      </c>
      <c r="C3692" s="21" t="s">
        <v>995</v>
      </c>
      <c r="D3692" s="21" t="s">
        <v>978</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2040</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1022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row>
    <row r="3696" spans="1:12">
      <c r="A3696" s="20" t="s">
        <v>2041</v>
      </c>
    </row>
    <row r="3697" spans="1:12">
      <c r="A3697" s="20" t="s">
        <v>1481</v>
      </c>
      <c r="B3697" s="21" t="s">
        <v>976</v>
      </c>
      <c r="C3697" s="21" t="s">
        <v>977</v>
      </c>
      <c r="D3697" s="21" t="s">
        <v>978</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1072</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1828</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1189</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2042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1092</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1111</v>
      </c>
      <c r="B3703" s="21" t="s">
        <v>982</v>
      </c>
      <c r="C3703" s="21" t="s">
        <v>995</v>
      </c>
      <c r="D3703" s="21" t="s">
        <v>978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1032</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609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1041</v>
      </c>
      <c r="B3706" s="21" t="s">
        <v>989</v>
      </c>
      <c r="C3706" s="21" t="s">
        <v>983</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2043</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1022</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row>
    <row r="3710" spans="1:12">
      <c r="A3710" s="20" t="s">
        <v>2044</v>
      </c>
    </row>
    <row r="3711" spans="1:12">
      <c r="A3711" s="20" t="s">
        <v>1915</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1092</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2045</v>
      </c>
      <c r="B3713" s="21" t="s">
        <v>989</v>
      </c>
      <c r="C3713" s="21" t="s">
        <v>995</v>
      </c>
      <c r="D3713" s="21" t="s">
        <v>978</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1002</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1025</v>
      </c>
      <c r="B3715" s="21" t="s">
        <v>976</v>
      </c>
      <c r="C3715" s="21" t="s">
        <v>977</v>
      </c>
      <c r="D3715" s="21" t="s">
        <v>978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2046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993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750</v>
      </c>
      <c r="B3718" s="21" t="s">
        <v>982</v>
      </c>
      <c r="C3718" s="21" t="s">
        <v>995</v>
      </c>
      <c r="D3718" s="21" t="s">
        <v>978</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609</v>
      </c>
      <c r="B3719" s="21" t="s">
        <v>986</v>
      </c>
      <c r="C3719" s="21" t="s">
        <v>1020</v>
      </c>
      <c r="D3719" s="21" t="s">
        <v>978</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1120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609</v>
      </c>
      <c r="B3721" s="21" t="s">
        <v>1054</v>
      </c>
      <c r="C3721" s="21" t="s">
        <v>1020</v>
      </c>
      <c r="D3721" s="21" t="s">
        <v>978</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984</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996</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2047</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2048</v>
      </c>
      <c r="B3725" s="21" t="s">
        <v>1054</v>
      </c>
      <c r="C3725" s="21" t="s">
        <v>983</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2049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1000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993</v>
      </c>
      <c r="B3728" s="21" t="s">
        <v>1101</v>
      </c>
      <c r="C3728" s="21" t="s">
        <v>977</v>
      </c>
      <c r="D3728" s="21" t="s">
        <v>978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2027</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2050</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1657</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1050</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1808</v>
      </c>
      <c r="B3733" s="21" t="s">
        <v>1054</v>
      </c>
      <c r="C3733" s="21" t="s">
        <v>983</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996</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993</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2051</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1184</v>
      </c>
      <c r="B3737" s="21" t="s">
        <v>1007</v>
      </c>
      <c r="C3737" s="21" t="s">
        <v>995</v>
      </c>
      <c r="D3737" s="21" t="s">
        <v>978</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1142</v>
      </c>
      <c r="B3738" s="21" t="s">
        <v>1311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1757</v>
      </c>
      <c r="B3739" s="21" t="s">
        <v>1229</v>
      </c>
      <c r="C3739" s="21" t="s">
        <v>977</v>
      </c>
      <c r="D3739" s="21" t="s">
        <v>978</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1026</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2052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1022</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row>
    <row r="3744" spans="1:12">
      <c r="A3744" s="20" t="s">
        <v>2053</v>
      </c>
    </row>
    <row r="3745" spans="1:12">
      <c r="A3745" s="20" t="s">
        <v>190</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1788</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543</v>
      </c>
      <c r="B3747" s="21" t="s">
        <v>989</v>
      </c>
      <c r="C3747" s="21" t="s">
        <v>1116</v>
      </c>
      <c r="D3747" s="21" t="s">
        <v>978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1789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1788</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2054</v>
      </c>
      <c r="B3750" s="21" t="s">
        <v>989</v>
      </c>
      <c r="C3750" s="21" t="s">
        <v>1057</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1789</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2055</v>
      </c>
    </row>
    <row r="3754" spans="1:12">
      <c r="A3754" s="20" t="s">
        <v>1357</v>
      </c>
      <c r="B3754" s="21" t="s">
        <v>976</v>
      </c>
      <c r="C3754" s="21" t="s">
        <v>977</v>
      </c>
      <c r="D3754" s="21" t="s">
        <v>978</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1323</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1384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1216</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1217</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1357</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2056</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1757</v>
      </c>
      <c r="B3761" s="21" t="s">
        <v>1101</v>
      </c>
      <c r="C3761" s="21" t="s">
        <v>977</v>
      </c>
      <c r="D3761" s="21" t="s">
        <v>978</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515</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996</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2057</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1022</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row>
    <row r="3767" spans="1:12">
      <c r="A3767" s="20" t="s">
        <v>2058</v>
      </c>
    </row>
    <row r="3768" spans="1:12">
      <c r="A3768" s="20" t="s">
        <v>190</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992</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1046</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1004</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1074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1382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1372</v>
      </c>
      <c r="B3774" s="21" t="s">
        <v>989</v>
      </c>
      <c r="C3774" s="21" t="s">
        <v>995</v>
      </c>
      <c r="D3774" s="21" t="s">
        <v>978</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996</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993</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1476</v>
      </c>
      <c r="B3777" s="21" t="s">
        <v>986</v>
      </c>
      <c r="C3777" s="21" t="s">
        <v>995</v>
      </c>
      <c r="D3777" s="21" t="s">
        <v>978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1988</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1002</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2059</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2060</v>
      </c>
      <c r="B3781" s="21" t="s">
        <v>982</v>
      </c>
      <c r="C3781" s="21" t="s">
        <v>1020</v>
      </c>
      <c r="D3781" s="21" t="s">
        <v>978</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996</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1865</v>
      </c>
      <c r="B3783" s="21" t="s">
        <v>1052</v>
      </c>
      <c r="C3783" s="21" t="s">
        <v>977</v>
      </c>
      <c r="D3783" s="21" t="s">
        <v>978</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263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996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2061</v>
      </c>
      <c r="B3786" s="21" t="s">
        <v>986</v>
      </c>
      <c r="C3786" s="21" t="s">
        <v>1116</v>
      </c>
      <c r="D3786" s="21" t="s">
        <v>978</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2062</v>
      </c>
      <c r="B3787" s="21" t="s">
        <v>1054</v>
      </c>
      <c r="C3787" s="21" t="s">
        <v>1116</v>
      </c>
      <c r="D3787" s="21" t="s">
        <v>978</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1022</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row>
    <row r="3790" spans="1:12">
      <c r="A3790" s="20" t="s">
        <v>2063</v>
      </c>
    </row>
    <row r="3791" spans="1:12">
      <c r="A3791" s="20" t="s">
        <v>2061</v>
      </c>
      <c r="B3791" s="21" t="s">
        <v>976</v>
      </c>
      <c r="C3791" s="21" t="s">
        <v>1116</v>
      </c>
      <c r="D3791" s="21" t="s">
        <v>978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2062</v>
      </c>
      <c r="B3792" s="21" t="s">
        <v>986</v>
      </c>
      <c r="C3792" s="21" t="s">
        <v>1116</v>
      </c>
      <c r="D3792" s="21" t="s">
        <v>978</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1323</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1155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1092</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1668</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1111</v>
      </c>
      <c r="B3797" s="21" t="s">
        <v>982</v>
      </c>
      <c r="C3797" s="21" t="s">
        <v>995</v>
      </c>
      <c r="D3797" s="21" t="s">
        <v>978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1038</v>
      </c>
      <c r="B3798" s="21" t="s">
        <v>1101</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1154</v>
      </c>
      <c r="B3799" s="21" t="s">
        <v>1066</v>
      </c>
      <c r="C3799" s="21" t="s">
        <v>977</v>
      </c>
      <c r="D3799" s="21" t="s">
        <v>978</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1669</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1670</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1671</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1022</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row>
    <row r="3805" spans="1:12">
      <c r="A3805" s="20" t="s">
        <v>2064</v>
      </c>
    </row>
    <row r="3806" spans="1:12">
      <c r="A3806" s="20" t="s">
        <v>1357</v>
      </c>
      <c r="B3806" s="21" t="s">
        <v>976</v>
      </c>
      <c r="C3806" s="21" t="s">
        <v>977</v>
      </c>
      <c r="D3806" s="21" t="s">
        <v>978</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1076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1712</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2065</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1022</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row>
    <row r="3812" spans="1:12">
      <c r="A3812" s="20" t="s">
        <v>2066</v>
      </c>
    </row>
    <row r="3813" spans="1:12">
      <c r="A3813" s="20" t="s">
        <v>1915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1074</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1655</v>
      </c>
      <c r="B3815" s="21" t="s">
        <v>989</v>
      </c>
      <c r="C3815" s="21" t="s">
        <v>995</v>
      </c>
      <c r="D3815" s="21" t="s">
        <v>978</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2031</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1047</v>
      </c>
      <c r="B3817" s="21" t="s">
        <v>1066</v>
      </c>
      <c r="C3817" s="21" t="s">
        <v>977</v>
      </c>
      <c r="D3817" s="21" t="s">
        <v>978</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1074</v>
      </c>
      <c r="B3818" s="21" t="s">
        <v>1101</v>
      </c>
      <c r="C3818" s="21" t="s">
        <v>977</v>
      </c>
      <c r="D3818" s="21" t="s">
        <v>978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979</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2067</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1002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1010</v>
      </c>
      <c r="B3822" s="21" t="s">
        <v>976</v>
      </c>
      <c r="C3822" s="21" t="s">
        <v>977</v>
      </c>
      <c r="D3822" s="21" t="s">
        <v>978</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2068</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57</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609</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2069</v>
      </c>
      <c r="B3826" s="21" t="s">
        <v>1052</v>
      </c>
      <c r="C3826" s="21" t="s">
        <v>983</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2070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1102</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1284</v>
      </c>
      <c r="B3829" s="21" t="s">
        <v>986</v>
      </c>
      <c r="C3829" s="21" t="s">
        <v>1104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1022</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row>
    <row r="3832" spans="1:12">
      <c r="A3832" s="20" t="s">
        <v>2071</v>
      </c>
    </row>
    <row r="3833" spans="1:12">
      <c r="A3833" s="20" t="s">
        <v>1370</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1002</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1657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1050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2072</v>
      </c>
      <c r="B3837" s="21" t="s">
        <v>989</v>
      </c>
      <c r="C3837" s="21" t="s">
        <v>983</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1002</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1010</v>
      </c>
      <c r="B3839" s="21" t="s">
        <v>976</v>
      </c>
      <c r="C3839" s="21" t="s">
        <v>977</v>
      </c>
      <c r="D3839" s="21" t="s">
        <v>978</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1093</v>
      </c>
      <c r="B3840" s="21" t="s">
        <v>982</v>
      </c>
      <c r="C3840" s="21" t="s">
        <v>977</v>
      </c>
      <c r="D3840" s="21" t="s">
        <v>978</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2073</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2074</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1022</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row>
    <row r="3845" spans="1:12">
      <c r="A3845" s="20" t="s">
        <v>2075</v>
      </c>
    </row>
    <row r="3846" spans="1:12">
      <c r="A3846" s="20" t="s">
        <v>1370</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1002</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1657</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1050</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2072</v>
      </c>
      <c r="B3850" s="21" t="s">
        <v>989</v>
      </c>
      <c r="C3850" s="21" t="s">
        <v>983</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1065</v>
      </c>
      <c r="B3851" s="21" t="s">
        <v>976</v>
      </c>
      <c r="C3851" s="21" t="s">
        <v>1020</v>
      </c>
      <c r="D3851" s="21" t="s">
        <v>978</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1021</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1519</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1022</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row>
    <row r="3856" spans="1:12">
      <c r="A3856" s="20" t="s">
        <v>2076</v>
      </c>
    </row>
    <row r="3857" spans="1:12">
      <c r="A3857" s="20" t="s">
        <v>1370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1657</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1050</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2072</v>
      </c>
      <c r="B3860" s="21" t="s">
        <v>989</v>
      </c>
      <c r="C3860" s="21" t="s">
        <v>983</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1002</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1010</v>
      </c>
      <c r="B3862" s="21" t="s">
        <v>976</v>
      </c>
      <c r="C3862" s="21" t="s">
        <v>977</v>
      </c>
      <c r="D3862" s="21" t="s">
        <v>978</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2077</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996</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2078</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1022</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row>
    <row r="3868" spans="1:12">
      <c r="A3868" s="20" t="s">
        <v>2079</v>
      </c>
    </row>
    <row r="3869" spans="1:12">
      <c r="A3869" s="20" t="s">
        <v>992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1167</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1002</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1010</v>
      </c>
      <c r="B3872" s="21" t="s">
        <v>976</v>
      </c>
      <c r="C3872" s="21" t="s">
        <v>977</v>
      </c>
      <c r="D3872" s="21" t="s">
        <v>978</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2080</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609</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1382</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2069</v>
      </c>
      <c r="B3876" s="21" t="s">
        <v>982</v>
      </c>
      <c r="C3876" s="21" t="s">
        <v>983</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2070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1022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row>
    <row r="3880" spans="1:12">
      <c r="A3880" s="20" t="s">
        <v>2081</v>
      </c>
    </row>
    <row r="3881" spans="1:12">
      <c r="A3881" s="20" t="s">
        <v>992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1010</v>
      </c>
      <c r="B3882" s="21" t="s">
        <v>976</v>
      </c>
      <c r="C3882" s="21" t="s">
        <v>977</v>
      </c>
      <c r="D3882" s="21" t="s">
        <v>978</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1135</v>
      </c>
      <c r="B3883" s="21" t="s">
        <v>982</v>
      </c>
      <c r="C3883" s="21" t="s">
        <v>977</v>
      </c>
      <c r="D3883" s="21" t="s">
        <v>978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1323</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2082</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1633</v>
      </c>
      <c r="B3886" s="21" t="s">
        <v>982</v>
      </c>
      <c r="C3886" s="21" t="s">
        <v>1020</v>
      </c>
      <c r="D3886" s="21" t="s">
        <v>978</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1024</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1047</v>
      </c>
      <c r="B3888" s="21" t="s">
        <v>1095</v>
      </c>
      <c r="C3888" s="21" t="s">
        <v>977</v>
      </c>
      <c r="D3888" s="21" t="s">
        <v>978</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1074</v>
      </c>
      <c r="B3889" s="21" t="s">
        <v>1052</v>
      </c>
      <c r="C3889" s="21" t="s">
        <v>977</v>
      </c>
      <c r="D3889" s="21" t="s">
        <v>978</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979</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2067</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1216</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1217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2083</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993</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2084</v>
      </c>
      <c r="B3896" s="21" t="s">
        <v>1101</v>
      </c>
      <c r="C3896" s="21" t="s">
        <v>995</v>
      </c>
      <c r="D3896" s="21" t="s">
        <v>978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2085</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1002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1196</v>
      </c>
      <c r="B3899" s="21" t="s">
        <v>1035</v>
      </c>
      <c r="C3899" s="21" t="s">
        <v>1008</v>
      </c>
      <c r="D3899" s="21" t="s">
        <v>978</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1067</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1492</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2086</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row>
    <row r="3904" spans="1:12">
      <c r="A3904" s="20" t="s">
        <v>2087</v>
      </c>
    </row>
    <row r="3905" spans="1:12">
      <c r="A3905" s="20" t="s">
        <v>1182</v>
      </c>
      <c r="B3905" s="21" t="s">
        <v>976</v>
      </c>
      <c r="C3905" s="21" t="s">
        <v>977</v>
      </c>
      <c r="D3905" s="21" t="s">
        <v>978</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1116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1293</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1189</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2088</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2085</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1002</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1000</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1047</v>
      </c>
      <c r="B3913" s="21" t="s">
        <v>1066</v>
      </c>
      <c r="C3913" s="21" t="s">
        <v>977</v>
      </c>
      <c r="D3913" s="21" t="s">
        <v>978</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1288</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1665</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1047</v>
      </c>
      <c r="B3916" s="21" t="s">
        <v>1035</v>
      </c>
      <c r="C3916" s="21" t="s">
        <v>977</v>
      </c>
      <c r="D3916" s="21" t="s">
        <v>978</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1414</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1294</v>
      </c>
      <c r="B3918" s="21" t="s">
        <v>1146</v>
      </c>
      <c r="C3918" s="21" t="s">
        <v>1020</v>
      </c>
      <c r="D3918" s="21" t="s">
        <v>978</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644</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1812</v>
      </c>
      <c r="B3920" s="21" t="s">
        <v>1146</v>
      </c>
      <c r="C3920" s="21" t="s">
        <v>1057</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1070</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1047</v>
      </c>
      <c r="B3922" s="21" t="s">
        <v>1311</v>
      </c>
      <c r="C3922" s="21" t="s">
        <v>977</v>
      </c>
      <c r="D3922" s="21" t="s">
        <v>978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1072</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1547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1189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1004</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19</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1439</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1022</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row>
    <row r="3931" spans="1:12">
      <c r="A3931" s="20" t="s">
        <v>2089</v>
      </c>
    </row>
    <row r="3932" spans="1:12">
      <c r="A3932" s="20" t="s">
        <v>190</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1174</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1002</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1010</v>
      </c>
      <c r="B3935" s="21" t="s">
        <v>1095</v>
      </c>
      <c r="C3935" s="21" t="s">
        <v>977</v>
      </c>
      <c r="D3935" s="21" t="s">
        <v>978</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1135</v>
      </c>
      <c r="B3936" s="21" t="s">
        <v>1052</v>
      </c>
      <c r="C3936" s="21" t="s">
        <v>977</v>
      </c>
      <c r="D3936" s="21" t="s">
        <v>978</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1323</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1384</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1216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1217</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975</v>
      </c>
      <c r="B3941" s="21" t="s">
        <v>976</v>
      </c>
      <c r="C3941" s="21" t="s">
        <v>977</v>
      </c>
      <c r="D3941" s="21" t="s">
        <v>978</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979</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2090</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263</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1081</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609</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2091</v>
      </c>
      <c r="B3947" s="21" t="s">
        <v>986</v>
      </c>
      <c r="C3947" s="21" t="s">
        <v>983</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1004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2092</v>
      </c>
      <c r="B3949" s="21" t="s">
        <v>1054</v>
      </c>
      <c r="C3949" s="21" t="s">
        <v>1116</v>
      </c>
      <c r="D3949" s="21" t="s">
        <v>978</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2093</v>
      </c>
      <c r="B3950" s="21" t="s">
        <v>1007</v>
      </c>
      <c r="C3950" s="21" t="s">
        <v>1057</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2094</v>
      </c>
      <c r="B3951" s="21" t="s">
        <v>1054</v>
      </c>
      <c r="C3951" s="21" t="s">
        <v>1116</v>
      </c>
      <c r="D3951" s="21" t="s">
        <v>978</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2095</v>
      </c>
      <c r="B3952" s="21" t="s">
        <v>1007</v>
      </c>
      <c r="C3952" s="21" t="s">
        <v>1116</v>
      </c>
      <c r="D3952" s="21" t="s">
        <v>978</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1002</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1050</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2096</v>
      </c>
      <c r="B3955" s="21" t="s">
        <v>1007</v>
      </c>
      <c r="C3955" s="21" t="s">
        <v>983</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2097</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1050</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2098</v>
      </c>
      <c r="B3958" s="21" t="s">
        <v>1040</v>
      </c>
      <c r="C3958" s="21" t="s">
        <v>983</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1196</v>
      </c>
      <c r="B3959" s="21" t="s">
        <v>1095</v>
      </c>
      <c r="C3959" s="21" t="s">
        <v>1008</v>
      </c>
      <c r="D3959" s="21" t="s">
        <v>978</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1067</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1050</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2099</v>
      </c>
      <c r="B3962" s="21" t="s">
        <v>989</v>
      </c>
      <c r="C3962" s="21" t="s">
        <v>983</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996</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997</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1934</v>
      </c>
      <c r="B3965" s="21" t="s">
        <v>986</v>
      </c>
      <c r="C3965" s="21" t="s">
        <v>995</v>
      </c>
      <c r="D3965" s="21" t="s">
        <v>978</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1002</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1000</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1047</v>
      </c>
      <c r="B3968" s="21" t="s">
        <v>1066</v>
      </c>
      <c r="C3968" s="21" t="s">
        <v>977</v>
      </c>
      <c r="D3968" s="21" t="s">
        <v>978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1517</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1038</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1047</v>
      </c>
      <c r="B3971" s="21" t="s">
        <v>1035</v>
      </c>
      <c r="C3971" s="21" t="s">
        <v>977</v>
      </c>
      <c r="D3971" s="21" t="s">
        <v>978</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1414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2100</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997</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1090</v>
      </c>
      <c r="B3975" s="21" t="s">
        <v>1036</v>
      </c>
      <c r="C3975" s="21" t="s">
        <v>995</v>
      </c>
      <c r="D3975" s="21" t="s">
        <v>978</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1022</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row>
    <row r="3978" spans="1:12">
      <c r="A3978" s="20" t="s">
        <v>2101</v>
      </c>
    </row>
    <row r="3979" spans="1:12">
      <c r="A3979" s="20" t="s">
        <v>190</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992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1047</v>
      </c>
      <c r="B3981" s="21" t="s">
        <v>976</v>
      </c>
      <c r="C3981" s="21" t="s">
        <v>977</v>
      </c>
      <c r="D3981" s="21" t="s">
        <v>978</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1011</v>
      </c>
      <c r="B3982" s="21" t="s">
        <v>982</v>
      </c>
      <c r="C3982" s="21" t="s">
        <v>977</v>
      </c>
      <c r="D3982" s="21" t="s">
        <v>978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2102</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1038</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1154</v>
      </c>
      <c r="B3985" s="21" t="s">
        <v>1095</v>
      </c>
      <c r="C3985" s="21" t="s">
        <v>977</v>
      </c>
      <c r="D3985" s="21" t="s">
        <v>978</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1136</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2103</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1009</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1050</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323</v>
      </c>
      <c r="B3990" s="21" t="s">
        <v>1066</v>
      </c>
      <c r="C3990" s="21" t="s">
        <v>983</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1142</v>
      </c>
      <c r="B3991" s="21" t="s">
        <v>1042</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1147</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1639</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1885</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996</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2051</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2104</v>
      </c>
      <c r="B3997" s="21" t="s">
        <v>1146</v>
      </c>
      <c r="C3997" s="21" t="s">
        <v>983</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1058</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1885</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996</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2105</v>
      </c>
      <c r="B4001" s="21" t="s">
        <v>1317</v>
      </c>
      <c r="C4001" s="21" t="s">
        <v>1057</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1892</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1147</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2106</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1358</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1860</v>
      </c>
      <c r="B4006" s="21" t="s">
        <v>1101</v>
      </c>
      <c r="C4006" s="21" t="s">
        <v>1104</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1004</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997</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1467</v>
      </c>
      <c r="B4009" s="21" t="s">
        <v>1007</v>
      </c>
      <c r="C4009" s="21" t="s">
        <v>990</v>
      </c>
      <c r="D4009" s="21" t="s">
        <v>978</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996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1662</v>
      </c>
      <c r="B4011" s="21" t="s">
        <v>1084</v>
      </c>
      <c r="C4011" s="21" t="s">
        <v>977</v>
      </c>
      <c r="D4011" s="21" t="s">
        <v>978</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1455</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1081</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2107</v>
      </c>
      <c r="B4014" s="21" t="s">
        <v>1084</v>
      </c>
      <c r="C4014" s="21" t="s">
        <v>1057</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996</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2108</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1059</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609</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1382</v>
      </c>
      <c r="B4019" s="21" t="s">
        <v>1229</v>
      </c>
      <c r="C4019" s="21" t="s">
        <v>983</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1022</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row>
    <row r="4022" spans="1:12">
      <c r="A4022" s="20" t="s">
        <v>2109</v>
      </c>
    </row>
    <row r="4023" spans="1:12">
      <c r="A4023" s="20" t="s">
        <v>992</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1010</v>
      </c>
      <c r="B4024" s="21" t="s">
        <v>976</v>
      </c>
      <c r="C4024" s="21" t="s">
        <v>977</v>
      </c>
      <c r="D4024" s="21" t="s">
        <v>978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1323</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1556</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1092</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2098</v>
      </c>
      <c r="B4028" s="21" t="s">
        <v>982</v>
      </c>
      <c r="C4028" s="21" t="s">
        <v>995</v>
      </c>
      <c r="D4028" s="21" t="s">
        <v>978</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1002</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1000</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1074</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2110</v>
      </c>
      <c r="B4032" s="21" t="s">
        <v>1095</v>
      </c>
      <c r="C4032" s="21" t="s">
        <v>995</v>
      </c>
      <c r="D4032" s="21" t="s">
        <v>978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2111</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609</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2112</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2113</v>
      </c>
      <c r="B4036" s="21" t="s">
        <v>989</v>
      </c>
      <c r="C4036" s="21" t="s">
        <v>983</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1022</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row>
    <row r="4039" spans="1:12">
      <c r="A4039" s="20" t="s">
        <v>2114</v>
      </c>
    </row>
    <row r="4040" spans="1:12">
      <c r="A4040" s="20" t="s">
        <v>1849</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1002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1196</v>
      </c>
      <c r="B4042" s="21" t="s">
        <v>976</v>
      </c>
      <c r="C4042" s="21" t="s">
        <v>1008</v>
      </c>
      <c r="D4042" s="21" t="s">
        <v>978</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1067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609</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1847</v>
      </c>
      <c r="B4045" s="21" t="s">
        <v>989</v>
      </c>
      <c r="C4045" s="21" t="s">
        <v>983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1022</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row>
    <row r="4048" spans="1:12">
      <c r="A4048" s="20" t="s">
        <v>2115</v>
      </c>
    </row>
    <row r="4049" spans="1:12">
      <c r="A4049" s="20" t="s">
        <v>1357</v>
      </c>
      <c r="B4049" s="21" t="s">
        <v>976</v>
      </c>
      <c r="C4049" s="21" t="s">
        <v>977</v>
      </c>
      <c r="D4049" s="21" t="s">
        <v>978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1323</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1050</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2116</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2117</v>
      </c>
      <c r="B4053" s="21" t="s">
        <v>982</v>
      </c>
      <c r="C4053" s="21" t="s">
        <v>983</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1000</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1419</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2118</v>
      </c>
      <c r="B4056" s="21" t="s">
        <v>986</v>
      </c>
      <c r="C4056" s="21" t="s">
        <v>1178</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2119</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row>
    <row r="4059" spans="1:12">
      <c r="A4059" s="20" t="s">
        <v>2120</v>
      </c>
    </row>
    <row r="4060" spans="1:12">
      <c r="A4060" s="20" t="s">
        <v>1357</v>
      </c>
      <c r="B4060" s="21" t="s">
        <v>976</v>
      </c>
      <c r="C4060" s="21" t="s">
        <v>977</v>
      </c>
      <c r="D4060" s="21" t="s">
        <v>978</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1135</v>
      </c>
      <c r="B4061" s="21" t="s">
        <v>982</v>
      </c>
      <c r="C4061" s="21" t="s">
        <v>977</v>
      </c>
      <c r="D4061" s="21" t="s">
        <v>978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1323</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1966</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1050</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2121</v>
      </c>
      <c r="B4065" s="21" t="s">
        <v>982</v>
      </c>
      <c r="C4065" s="21" t="s">
        <v>983</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997</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2122</v>
      </c>
      <c r="B4067" s="21" t="s">
        <v>986</v>
      </c>
      <c r="C4067" s="21" t="s">
        <v>1116</v>
      </c>
      <c r="D4067" s="21" t="s">
        <v>978</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1285</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1092</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2099</v>
      </c>
      <c r="B4070" s="21" t="s">
        <v>1101</v>
      </c>
      <c r="C4070" s="21" t="s">
        <v>995</v>
      </c>
      <c r="D4070" s="21" t="s">
        <v>978</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1002</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1000</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1010</v>
      </c>
      <c r="B4073" s="21" t="s">
        <v>1095</v>
      </c>
      <c r="C4073" s="21" t="s">
        <v>977</v>
      </c>
      <c r="D4073" s="21" t="s">
        <v>978</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1323</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1384</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1216</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1217</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2123</v>
      </c>
      <c r="B4078" s="21" t="s">
        <v>1007</v>
      </c>
      <c r="C4078" s="21" t="s">
        <v>987</v>
      </c>
      <c r="D4078" s="21" t="s">
        <v>978</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1383</v>
      </c>
      <c r="B4079" s="21" t="s">
        <v>1066</v>
      </c>
      <c r="C4079" s="21" t="s">
        <v>990</v>
      </c>
      <c r="D4079" s="21" t="s">
        <v>978</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1135</v>
      </c>
      <c r="B4080" s="21" t="s">
        <v>1101</v>
      </c>
      <c r="C4080" s="21" t="s">
        <v>977</v>
      </c>
      <c r="D4080" s="21" t="s">
        <v>978</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1323</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1148</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1419</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2124</v>
      </c>
      <c r="B4084" s="21" t="s">
        <v>1101</v>
      </c>
      <c r="C4084" s="21" t="s">
        <v>1178</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1397</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1643</v>
      </c>
      <c r="B4086" s="21" t="s">
        <v>1054</v>
      </c>
      <c r="C4086" s="21" t="s">
        <v>1063</v>
      </c>
      <c r="D4086" s="21" t="s">
        <v>978</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1022</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row>
    <row r="4089" spans="1:12">
      <c r="A4089" s="20" t="s">
        <v>2125</v>
      </c>
    </row>
    <row r="4090" spans="1:12">
      <c r="A4090" s="20" t="s">
        <v>1611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609</v>
      </c>
      <c r="B4091" s="21" t="s">
        <v>989</v>
      </c>
      <c r="C4091" s="21" t="s">
        <v>1020</v>
      </c>
      <c r="D4091" s="21" t="s">
        <v>978</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1002</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609</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2126</v>
      </c>
      <c r="B4094" s="21" t="s">
        <v>989</v>
      </c>
      <c r="C4094" s="21" t="s">
        <v>983</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2127</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996</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1092</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2128</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2129</v>
      </c>
      <c r="B4099" s="21" t="s">
        <v>1146</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1047</v>
      </c>
      <c r="B4100" s="21" t="s">
        <v>1042</v>
      </c>
      <c r="C4100" s="21" t="s">
        <v>977</v>
      </c>
      <c r="D4100" s="21" t="s">
        <v>978</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1072</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1185</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1189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1492</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2130</v>
      </c>
      <c r="B4105" s="21" t="s">
        <v>1146</v>
      </c>
      <c r="C4105" s="21" t="s">
        <v>1057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1002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1194</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1047</v>
      </c>
      <c r="B4108" s="21" t="s">
        <v>1095</v>
      </c>
      <c r="C4108" s="21" t="s">
        <v>977</v>
      </c>
      <c r="D4108" s="21" t="s">
        <v>978</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1288</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1009</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1010</v>
      </c>
      <c r="B4111" s="21" t="s">
        <v>1066</v>
      </c>
      <c r="C4111" s="21" t="s">
        <v>977</v>
      </c>
      <c r="D4111" s="21" t="s">
        <v>978</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1011</v>
      </c>
      <c r="B4112" s="21" t="s">
        <v>1101</v>
      </c>
      <c r="C4112" s="21" t="s">
        <v>977</v>
      </c>
      <c r="D4112" s="21" t="s">
        <v>978</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1074</v>
      </c>
      <c r="B4113" s="21" t="s">
        <v>1101</v>
      </c>
      <c r="C4113" s="21" t="s">
        <v>977</v>
      </c>
      <c r="D4113" s="21" t="s">
        <v>978</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1323</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2131</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1235</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2132</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997</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1219</v>
      </c>
      <c r="B4119" s="21" t="s">
        <v>1036</v>
      </c>
      <c r="C4119" s="21" t="s">
        <v>995</v>
      </c>
      <c r="D4119" s="21" t="s">
        <v>978</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1038</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1047</v>
      </c>
      <c r="B4121" s="21" t="s">
        <v>1311</v>
      </c>
      <c r="C4121" s="21" t="s">
        <v>977</v>
      </c>
      <c r="D4121" s="21" t="s">
        <v>978</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2133</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2134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1000</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1038</v>
      </c>
      <c r="B4125" s="21" t="s">
        <v>1019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1154</v>
      </c>
      <c r="B4126" s="21" t="s">
        <v>1016</v>
      </c>
      <c r="C4126" s="21" t="s">
        <v>977</v>
      </c>
      <c r="D4126" s="21" t="s">
        <v>978</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979</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609</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2135</v>
      </c>
      <c r="B4129" s="21" t="s">
        <v>1019</v>
      </c>
      <c r="C4129" s="21" t="s">
        <v>983</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1142</v>
      </c>
      <c r="B4130" s="21" t="s">
        <v>2136</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1012</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1011</v>
      </c>
      <c r="B4132" s="21" t="s">
        <v>2137</v>
      </c>
      <c r="C4132" s="21" t="s">
        <v>977</v>
      </c>
      <c r="D4132" s="21" t="s">
        <v>978</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2138</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1022</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row>
    <row r="4136" spans="1:12">
      <c r="A4136" s="20" t="s">
        <v>2139</v>
      </c>
    </row>
    <row r="4137" spans="1:12">
      <c r="A4137" s="20" t="s">
        <v>992</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1074</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1382</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2140</v>
      </c>
      <c r="B4140" s="21" t="s">
        <v>989</v>
      </c>
      <c r="C4140" s="21" t="s">
        <v>995</v>
      </c>
      <c r="D4140" s="21" t="s">
        <v>978</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1196</v>
      </c>
      <c r="B4141" s="21" t="s">
        <v>976</v>
      </c>
      <c r="C4141" s="21" t="s">
        <v>1008</v>
      </c>
      <c r="D4141" s="21" t="s">
        <v>978</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1076</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1050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2141</v>
      </c>
      <c r="B4144" s="21" t="s">
        <v>989</v>
      </c>
      <c r="C4144" s="21" t="s">
        <v>990</v>
      </c>
      <c r="D4144" s="21" t="s">
        <v>978</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996</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985</v>
      </c>
      <c r="B4146" s="21" t="s">
        <v>986</v>
      </c>
      <c r="C4146" s="21" t="s">
        <v>987</v>
      </c>
      <c r="D4146" s="21" t="s">
        <v>978</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2142</v>
      </c>
      <c r="B4147" s="21" t="s">
        <v>989</v>
      </c>
      <c r="C4147" s="21" t="s">
        <v>990</v>
      </c>
      <c r="D4147" s="21" t="s">
        <v>978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1142</v>
      </c>
      <c r="B4148" s="21" t="s">
        <v>1095</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1017</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1067</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2143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1022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row>
    <row r="4154" spans="1:12">
      <c r="A4154" s="20" t="s">
        <v>2144</v>
      </c>
    </row>
    <row r="4155" spans="1:12">
      <c r="A4155" s="20" t="s">
        <v>2145</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1106</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1038</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1047</v>
      </c>
      <c r="B4158" s="21" t="s">
        <v>1095</v>
      </c>
      <c r="C4158" s="21" t="s">
        <v>977</v>
      </c>
      <c r="D4158" s="21" t="s">
        <v>978</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1074</v>
      </c>
      <c r="B4159" s="21" t="s">
        <v>1052</v>
      </c>
      <c r="C4159" s="21" t="s">
        <v>977</v>
      </c>
      <c r="D4159" s="21" t="s">
        <v>978</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979</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2146</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1002</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1154</v>
      </c>
      <c r="B4163" s="21" t="s">
        <v>976</v>
      </c>
      <c r="C4163" s="21" t="s">
        <v>977</v>
      </c>
      <c r="D4163" s="21" t="s">
        <v>978</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979</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1332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1004</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717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1000</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985</v>
      </c>
      <c r="B4169" s="21" t="s">
        <v>1054</v>
      </c>
      <c r="C4169" s="21" t="s">
        <v>987</v>
      </c>
      <c r="D4169" s="21" t="s">
        <v>978</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1160</v>
      </c>
      <c r="B4170" s="21" t="s">
        <v>1095</v>
      </c>
      <c r="C4170" s="21" t="s">
        <v>990</v>
      </c>
      <c r="D4170" s="21" t="s">
        <v>978</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1017</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1067</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2147</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1000</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1468</v>
      </c>
      <c r="B4175" s="21" t="s">
        <v>1066</v>
      </c>
      <c r="C4175" s="21" t="s">
        <v>977</v>
      </c>
      <c r="D4175" s="21" t="s">
        <v>978</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1323</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1384</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1216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1217</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1702</v>
      </c>
      <c r="B4180" s="21" t="s">
        <v>1035</v>
      </c>
      <c r="C4180" s="21" t="s">
        <v>977</v>
      </c>
      <c r="D4180" s="21" t="s">
        <v>978</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2148</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1235</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993</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2149</v>
      </c>
      <c r="B4184" s="21" t="s">
        <v>1007</v>
      </c>
      <c r="C4184" s="21" t="s">
        <v>995</v>
      </c>
      <c r="D4184" s="21" t="s">
        <v>978</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996</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1092</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2150</v>
      </c>
      <c r="B4187" s="21" t="s">
        <v>1084</v>
      </c>
      <c r="C4187" s="21" t="s">
        <v>995</v>
      </c>
      <c r="D4187" s="21" t="s">
        <v>978</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1038</v>
      </c>
      <c r="B4188" s="21" t="s">
        <v>1229</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1297</v>
      </c>
      <c r="B4189" s="21" t="s">
        <v>1311</v>
      </c>
      <c r="C4189" s="21" t="s">
        <v>977</v>
      </c>
      <c r="D4189" s="21" t="s">
        <v>978</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1072</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2151</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1670</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2152</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1404</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row>
    <row r="4196" spans="1:12">
      <c r="A4196" s="20" t="s">
        <v>1451</v>
      </c>
    </row>
    <row r="4197" spans="1:12">
      <c r="A4197" s="20" t="s">
        <v>190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row>
    <row r="4199" spans="1:12">
      <c r="A4199" s="20" t="s">
        <v>2153</v>
      </c>
    </row>
    <row r="4200" spans="1:12">
      <c r="A4200" s="20" t="s">
        <v>992</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1154</v>
      </c>
      <c r="B4201" s="21" t="s">
        <v>976</v>
      </c>
      <c r="C4201" s="21" t="s">
        <v>977</v>
      </c>
      <c r="D4201" s="21" t="s">
        <v>978</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979</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1384</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1216</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1217</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1624</v>
      </c>
      <c r="B4206" s="21" t="s">
        <v>1095</v>
      </c>
      <c r="C4206" s="21" t="s">
        <v>977</v>
      </c>
      <c r="D4206" s="21" t="s">
        <v>978</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1076</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2154</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996</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1092</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1305</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1792</v>
      </c>
      <c r="B4212" s="21" t="s">
        <v>986</v>
      </c>
      <c r="C4212" s="21" t="s">
        <v>995</v>
      </c>
      <c r="D4212" s="21" t="s">
        <v>978</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1038</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1078</v>
      </c>
      <c r="B4214" s="21" t="s">
        <v>1054</v>
      </c>
      <c r="C4214" s="21" t="s">
        <v>1020</v>
      </c>
      <c r="D4214" s="21" t="s">
        <v>978</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1022</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row>
    <row r="4217" spans="1:12">
      <c r="A4217" s="20" t="s">
        <v>2155</v>
      </c>
    </row>
    <row r="4218" spans="1:12">
      <c r="A4218" s="20" t="s">
        <v>190</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992</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1047</v>
      </c>
      <c r="B4220" s="21" t="s">
        <v>976</v>
      </c>
      <c r="C4220" s="21" t="s">
        <v>977</v>
      </c>
      <c r="D4220" s="21" t="s">
        <v>978</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2156</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1465</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1018</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1759</v>
      </c>
      <c r="B4224" s="21" t="s">
        <v>1052</v>
      </c>
      <c r="C4224" s="21" t="s">
        <v>977</v>
      </c>
      <c r="D4224" s="21" t="s">
        <v>978</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2157</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1725</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1022</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row>
    <row r="4229" spans="1:12">
      <c r="A4229" s="20" t="s">
        <v>2158</v>
      </c>
    </row>
    <row r="4230" spans="1:12">
      <c r="A4230" s="20" t="s">
        <v>1781</v>
      </c>
      <c r="B4230" s="21" t="s">
        <v>976</v>
      </c>
      <c r="C4230" s="21" t="s">
        <v>1008</v>
      </c>
      <c r="D4230" s="21" t="s">
        <v>978</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1072</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1067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1189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1038</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1047</v>
      </c>
      <c r="B4235" s="21" t="s">
        <v>976</v>
      </c>
      <c r="C4235" s="21" t="s">
        <v>977</v>
      </c>
      <c r="D4235" s="21" t="s">
        <v>978</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1164</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1546</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1002</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1194</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1047</v>
      </c>
      <c r="B4240" s="21" t="s">
        <v>1095</v>
      </c>
      <c r="C4240" s="21" t="s">
        <v>977</v>
      </c>
      <c r="D4240" s="21" t="s">
        <v>978</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1164</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2159</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1002</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1927</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1002</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2160</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1038</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1154</v>
      </c>
      <c r="B4248" s="21" t="s">
        <v>1095</v>
      </c>
      <c r="C4248" s="21" t="s">
        <v>977</v>
      </c>
      <c r="D4248" s="21" t="s">
        <v>978</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2161</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2162</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1011</v>
      </c>
      <c r="B4251" s="21" t="s">
        <v>1101</v>
      </c>
      <c r="C4251" s="21" t="s">
        <v>977</v>
      </c>
      <c r="D4251" s="21" t="s">
        <v>978</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1337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1002</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1194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2163</v>
      </c>
      <c r="B4255" s="21" t="s">
        <v>1054</v>
      </c>
      <c r="C4255" s="21" t="s">
        <v>987</v>
      </c>
      <c r="D4255" s="21" t="s">
        <v>978</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1676</v>
      </c>
      <c r="B4256" s="21" t="s">
        <v>1095</v>
      </c>
      <c r="C4256" s="21" t="s">
        <v>990</v>
      </c>
      <c r="D4256" s="21" t="s">
        <v>978</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1135</v>
      </c>
      <c r="B4257" s="21" t="s">
        <v>1052</v>
      </c>
      <c r="C4257" s="21" t="s">
        <v>977</v>
      </c>
      <c r="D4257" s="21" t="s">
        <v>978</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1828</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2164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1092</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2165</v>
      </c>
      <c r="B4261" s="21" t="s">
        <v>1052</v>
      </c>
      <c r="C4261" s="21" t="s">
        <v>995</v>
      </c>
      <c r="D4261" s="21" t="s">
        <v>978</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996</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2088</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2085</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1038</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993</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2166</v>
      </c>
      <c r="B4267" s="21" t="s">
        <v>1054</v>
      </c>
      <c r="C4267" s="21" t="s">
        <v>995</v>
      </c>
      <c r="D4267" s="21" t="s">
        <v>978</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1002</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1000</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1154</v>
      </c>
      <c r="B4270" s="21" t="s">
        <v>1095</v>
      </c>
      <c r="C4270" s="21" t="s">
        <v>977</v>
      </c>
      <c r="D4270" s="21" t="s">
        <v>978</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979</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1155</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1074</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2110</v>
      </c>
      <c r="B4274" s="21" t="s">
        <v>1052</v>
      </c>
      <c r="C4274" s="21" t="s">
        <v>995</v>
      </c>
      <c r="D4274" s="21" t="s">
        <v>978</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1022</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row>
    <row r="4277" spans="1:12">
      <c r="A4277" s="20" t="s">
        <v>2167</v>
      </c>
    </row>
    <row r="4278" spans="1:12">
      <c r="A4278" s="20" t="s">
        <v>1182</v>
      </c>
      <c r="B4278" s="21" t="s">
        <v>976</v>
      </c>
      <c r="C4278" s="21" t="s">
        <v>977</v>
      </c>
      <c r="D4278" s="21" t="s">
        <v>978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1164</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2168</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1002</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1000</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2169</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1022</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row>
    <row r="4286" spans="1:12">
      <c r="A4286" s="20" t="s">
        <v>2170</v>
      </c>
    </row>
    <row r="4287" spans="1:12">
      <c r="A4287" s="20" t="s">
        <v>1273</v>
      </c>
      <c r="B4287" s="21" t="s">
        <v>976</v>
      </c>
      <c r="C4287" s="21" t="s">
        <v>1008</v>
      </c>
      <c r="D4287" s="21" t="s">
        <v>978</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1067</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997</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1434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1199</v>
      </c>
      <c r="B4291" s="21" t="s">
        <v>989</v>
      </c>
      <c r="C4291" s="21" t="s">
        <v>995</v>
      </c>
      <c r="D4291" s="21" t="s">
        <v>978</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996</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1333</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1002</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2171</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1145</v>
      </c>
      <c r="B4296" s="21" t="s">
        <v>1095</v>
      </c>
      <c r="C4296" s="21" t="s">
        <v>1020</v>
      </c>
      <c r="D4296" s="21" t="s">
        <v>978</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1072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1018</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1323</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1189</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1137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1074</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2172</v>
      </c>
      <c r="B4303" s="21" t="s">
        <v>1052</v>
      </c>
      <c r="C4303" s="21" t="s">
        <v>995</v>
      </c>
      <c r="D4303" s="21" t="s">
        <v>978</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1022</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row>
    <row r="4306" spans="1:12">
      <c r="A4306" s="20" t="s">
        <v>2173</v>
      </c>
    </row>
    <row r="4307" spans="1:12">
      <c r="A4307" s="20" t="s">
        <v>190</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975</v>
      </c>
      <c r="B4308" s="21" t="s">
        <v>976</v>
      </c>
      <c r="C4308" s="21" t="s">
        <v>977</v>
      </c>
      <c r="D4308" s="21" t="s">
        <v>978</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979</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1401</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1902</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1120</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997</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1219</v>
      </c>
      <c r="B4314" s="21" t="s">
        <v>989</v>
      </c>
      <c r="C4314" s="21" t="s">
        <v>995</v>
      </c>
      <c r="D4314" s="21" t="s">
        <v>978</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1038</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1092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1111</v>
      </c>
      <c r="B4317" s="21" t="s">
        <v>1066</v>
      </c>
      <c r="C4317" s="21" t="s">
        <v>995</v>
      </c>
      <c r="D4317" s="21" t="s">
        <v>978</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1067</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2174</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2175</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1032</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1358</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1239</v>
      </c>
      <c r="B4323" s="21" t="s">
        <v>1054</v>
      </c>
      <c r="C4323" s="21" t="s">
        <v>1104</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996</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2176</v>
      </c>
      <c r="B4325" s="21" t="s">
        <v>1007</v>
      </c>
      <c r="C4325" s="21" t="s">
        <v>1057</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1002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1081</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2177</v>
      </c>
      <c r="B4328" s="21" t="s">
        <v>1084</v>
      </c>
      <c r="C4328" s="21" t="s">
        <v>1057</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1002</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996</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2178</v>
      </c>
      <c r="B4331" s="21" t="s">
        <v>1084</v>
      </c>
      <c r="C4331" s="21" t="s">
        <v>1057</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1106</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1047</v>
      </c>
      <c r="B4333" s="21" t="s">
        <v>1035</v>
      </c>
      <c r="C4333" s="21" t="s">
        <v>977</v>
      </c>
      <c r="D4333" s="21" t="s">
        <v>978</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1011</v>
      </c>
      <c r="B4334" s="21" t="s">
        <v>1036</v>
      </c>
      <c r="C4334" s="21" t="s">
        <v>977</v>
      </c>
      <c r="D4334" s="21" t="s">
        <v>978</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1164</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2179</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1004</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1074</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2180</v>
      </c>
      <c r="B4339" s="21" t="s">
        <v>1007</v>
      </c>
      <c r="C4339" s="21" t="s">
        <v>995</v>
      </c>
      <c r="D4339" s="21" t="s">
        <v>978</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996</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1665</v>
      </c>
      <c r="B4341" s="21" t="s">
        <v>1084</v>
      </c>
      <c r="C4341" s="21" t="s">
        <v>1057</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1289</v>
      </c>
      <c r="B4342" s="21" t="s">
        <v>1016</v>
      </c>
      <c r="C4342" s="21" t="s">
        <v>1008</v>
      </c>
      <c r="D4342" s="21" t="s">
        <v>978</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2181</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984</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1081</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1340</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2182</v>
      </c>
      <c r="B4347" s="21" t="s">
        <v>1317</v>
      </c>
      <c r="C4347" s="21" t="s">
        <v>983</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1000</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1074</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1050</v>
      </c>
      <c r="B4350" s="21" t="s">
        <v>1014</v>
      </c>
      <c r="C4350" s="21" t="s">
        <v>1020</v>
      </c>
      <c r="D4350" s="21" t="s">
        <v>978</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996</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993</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1184</v>
      </c>
      <c r="B4353" s="21" t="s">
        <v>1321</v>
      </c>
      <c r="C4353" s="21" t="s">
        <v>995</v>
      </c>
      <c r="D4353" s="21" t="s">
        <v>978</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1142</v>
      </c>
      <c r="B4354" s="21" t="s">
        <v>2183</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1135</v>
      </c>
      <c r="B4355" s="21" t="s">
        <v>2137</v>
      </c>
      <c r="C4355" s="21" t="s">
        <v>977</v>
      </c>
      <c r="D4355" s="21" t="s">
        <v>978</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2184</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2185</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1196</v>
      </c>
      <c r="B4358" s="21" t="s">
        <v>2186</v>
      </c>
      <c r="C4358" s="21" t="s">
        <v>1008</v>
      </c>
      <c r="D4358" s="21" t="s">
        <v>978</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1076</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1092</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1111</v>
      </c>
      <c r="B4361" s="21" t="s">
        <v>2187</v>
      </c>
      <c r="C4361" s="21" t="s">
        <v>995</v>
      </c>
      <c r="D4361" s="21" t="s">
        <v>978</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1140</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993</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2188</v>
      </c>
      <c r="B4364" s="21" t="s">
        <v>2189</v>
      </c>
      <c r="C4364" s="21" t="s">
        <v>995</v>
      </c>
      <c r="D4364" s="21" t="s">
        <v>978</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1022</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row>
    <row r="4367" spans="1:12">
      <c r="A4367" s="20" t="s">
        <v>2190</v>
      </c>
    </row>
    <row r="4368" spans="1:12">
      <c r="A4368" s="20" t="s">
        <v>1594</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1002</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1047</v>
      </c>
      <c r="B4370" s="21" t="s">
        <v>976</v>
      </c>
      <c r="C4370" s="21" t="s">
        <v>977</v>
      </c>
      <c r="D4370" s="21" t="s">
        <v>978</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1011</v>
      </c>
      <c r="B4371" s="21" t="s">
        <v>982</v>
      </c>
      <c r="C4371" s="21" t="s">
        <v>977</v>
      </c>
      <c r="D4371" s="21" t="s">
        <v>978</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1164</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1068</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1004</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2191</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172</v>
      </c>
      <c r="B4376" s="21" t="s">
        <v>982</v>
      </c>
      <c r="C4376" s="21" t="s">
        <v>1008</v>
      </c>
      <c r="D4376" s="21" t="s">
        <v>978</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1142</v>
      </c>
      <c r="B4377" s="21" t="s">
        <v>1066</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1093</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1219</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1235</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993</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2192</v>
      </c>
      <c r="B4382" s="21" t="s">
        <v>1054</v>
      </c>
      <c r="C4382" s="21" t="s">
        <v>995</v>
      </c>
      <c r="D4382" s="21" t="s">
        <v>978</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1142</v>
      </c>
      <c r="B4383" s="21" t="s">
        <v>1042</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1415</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1050</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1111</v>
      </c>
      <c r="B4386" s="21" t="s">
        <v>1146</v>
      </c>
      <c r="C4386" s="21" t="s">
        <v>983</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1022</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row>
    <row r="4389" spans="1:12">
      <c r="A4389" s="20" t="s">
        <v>2193</v>
      </c>
    </row>
    <row r="4390" spans="1:12">
      <c r="A4390" s="20" t="s">
        <v>992</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1154</v>
      </c>
      <c r="B4391" s="21" t="s">
        <v>976</v>
      </c>
      <c r="C4391" s="21" t="s">
        <v>977</v>
      </c>
      <c r="D4391" s="21" t="s">
        <v>978</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979</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1747</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1038</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1092</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1250</v>
      </c>
      <c r="B4396" s="21" t="s">
        <v>1054</v>
      </c>
      <c r="C4396" s="21" t="s">
        <v>1057</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996</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997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1329</v>
      </c>
      <c r="B4399" s="21" t="s">
        <v>986</v>
      </c>
      <c r="C4399" s="21" t="s">
        <v>995</v>
      </c>
      <c r="D4399" s="21" t="s">
        <v>978</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993</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2192</v>
      </c>
      <c r="B4401" s="21" t="s">
        <v>1095</v>
      </c>
      <c r="C4401" s="21" t="s">
        <v>995</v>
      </c>
      <c r="D4401" s="21" t="s">
        <v>978</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1116</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2194</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1189</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996</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2069</v>
      </c>
      <c r="B4406" s="21" t="s">
        <v>1052</v>
      </c>
      <c r="C4406" s="21" t="s">
        <v>983</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1235</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1092</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1111</v>
      </c>
      <c r="B4409" s="21" t="s">
        <v>986</v>
      </c>
      <c r="C4409" s="21" t="s">
        <v>995</v>
      </c>
      <c r="D4409" s="21" t="s">
        <v>978</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1022</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row>
    <row r="4412" spans="1:12">
      <c r="A4412" s="20" t="s">
        <v>2195</v>
      </c>
    </row>
    <row r="4413" spans="1:12">
      <c r="A4413" s="20" t="s">
        <v>1512</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2196</v>
      </c>
      <c r="B4414" s="21" t="s">
        <v>976</v>
      </c>
      <c r="C4414" s="21" t="s">
        <v>995</v>
      </c>
      <c r="D4414" s="21" t="s">
        <v>978</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1067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997</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2197</v>
      </c>
      <c r="B4417" s="21" t="s">
        <v>989</v>
      </c>
      <c r="C4417" s="21" t="s">
        <v>995</v>
      </c>
      <c r="D4417" s="21" t="s">
        <v>978</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1081</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1050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2198</v>
      </c>
      <c r="B4420" s="21" t="s">
        <v>989</v>
      </c>
      <c r="C4420" s="21" t="s">
        <v>983</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2199</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1002</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1142</v>
      </c>
      <c r="B4423" s="21" t="s">
        <v>1066</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1067</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1002</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1550</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1002</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2200</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2201</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984</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1092</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2202</v>
      </c>
      <c r="B4432" s="21" t="s">
        <v>1054</v>
      </c>
      <c r="C4432" s="21" t="s">
        <v>995</v>
      </c>
      <c r="D4432" s="21" t="s">
        <v>978</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1002</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1000</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996</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993</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2203</v>
      </c>
      <c r="B4437" s="21" t="s">
        <v>1054</v>
      </c>
      <c r="C4437" s="21" t="s">
        <v>995</v>
      </c>
      <c r="D4437" s="21" t="s">
        <v>978</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2204</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1002</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1142</v>
      </c>
      <c r="B4440" s="21" t="s">
        <v>1042</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1478</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2205</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1081</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93</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1183</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2206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1674</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993</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2192</v>
      </c>
      <c r="B4449" s="21" t="s">
        <v>1040</v>
      </c>
      <c r="C4449" s="21" t="s">
        <v>995</v>
      </c>
      <c r="D4449" s="21" t="s">
        <v>978</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1022</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row>
    <row r="4452" spans="1:12">
      <c r="A4452" s="20" t="s">
        <v>2207</v>
      </c>
    </row>
    <row r="4453" spans="1:12">
      <c r="A4453" s="20" t="s">
        <v>2208</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1002</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1010</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1017</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2209</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1038</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1070</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1865</v>
      </c>
      <c r="B4460" s="21" t="s">
        <v>1095</v>
      </c>
      <c r="C4460" s="21" t="s">
        <v>977</v>
      </c>
      <c r="D4460" s="21" t="s">
        <v>978</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2210</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1050</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2211</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1426</v>
      </c>
      <c r="B4464" s="21" t="s">
        <v>1052</v>
      </c>
      <c r="C4464" s="21" t="s">
        <v>983</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1194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1865</v>
      </c>
      <c r="B4466" s="21" t="s">
        <v>1095</v>
      </c>
      <c r="C4466" s="21" t="s">
        <v>977</v>
      </c>
      <c r="D4466" s="21" t="s">
        <v>978</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1945</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1137</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1004</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997</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1183</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2212</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1002</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1865</v>
      </c>
      <c r="B4474" s="21" t="s">
        <v>1066</v>
      </c>
      <c r="C4474" s="21" t="s">
        <v>977</v>
      </c>
      <c r="D4474" s="21" t="s">
        <v>978</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1866</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1216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1217</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2213</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1067</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1406</v>
      </c>
      <c r="B4480" s="21" t="s">
        <v>989</v>
      </c>
      <c r="C4480" s="21" t="s">
        <v>1008</v>
      </c>
      <c r="D4480" s="21" t="s">
        <v>978</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1038</v>
      </c>
      <c r="B4481" s="21" t="s">
        <v>1101</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1047</v>
      </c>
      <c r="B4482" s="21" t="s">
        <v>1066</v>
      </c>
      <c r="C4482" s="21" t="s">
        <v>977</v>
      </c>
      <c r="D4482" s="21" t="s">
        <v>978</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1011</v>
      </c>
      <c r="B4483" s="21" t="s">
        <v>1101</v>
      </c>
      <c r="C4483" s="21" t="s">
        <v>977</v>
      </c>
      <c r="D4483" s="21" t="s">
        <v>978</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1876</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2085</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1404</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row>
    <row r="4488" spans="1:12">
      <c r="A4488" s="20" t="s">
        <v>2214</v>
      </c>
    </row>
    <row r="4489" spans="1:12">
      <c r="A4489" s="20" t="s">
        <v>1182</v>
      </c>
      <c r="B4489" s="21" t="s">
        <v>976</v>
      </c>
      <c r="C4489" s="21" t="s">
        <v>977</v>
      </c>
      <c r="D4489" s="21" t="s">
        <v>978</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1298</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414</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1050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1111</v>
      </c>
      <c r="B4493" s="21" t="s">
        <v>1052</v>
      </c>
      <c r="C4493" s="21" t="s">
        <v>983</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1022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row>
    <row r="4496" spans="1:12">
      <c r="A4496" s="20" t="s">
        <v>2215</v>
      </c>
    </row>
    <row r="4497" spans="1:12">
      <c r="A4497" s="20" t="s">
        <v>190</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992</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1865</v>
      </c>
      <c r="B4499" s="21" t="s">
        <v>976</v>
      </c>
      <c r="C4499" s="21" t="s">
        <v>977</v>
      </c>
      <c r="D4499" s="21" t="s">
        <v>978</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2216</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996</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54</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609</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1435</v>
      </c>
      <c r="B4504" s="21" t="s">
        <v>1052</v>
      </c>
      <c r="C4504" s="21" t="s">
        <v>983</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1022</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row>
    <row r="4507" spans="1:12">
      <c r="A4507" s="20" t="s">
        <v>2217</v>
      </c>
    </row>
    <row r="4508" spans="1:12">
      <c r="A4508" s="20" t="s">
        <v>1174</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1070</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1865</v>
      </c>
      <c r="B4510" s="21" t="s">
        <v>1095</v>
      </c>
      <c r="C4510" s="21" t="s">
        <v>977</v>
      </c>
      <c r="D4510" s="21" t="s">
        <v>978</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2210</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1050</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1426</v>
      </c>
      <c r="B4513" s="21" t="s">
        <v>1052</v>
      </c>
      <c r="C4513" s="21" t="s">
        <v>983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1492</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1258</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1002</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1000</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1865</v>
      </c>
      <c r="B4518" s="21" t="s">
        <v>1066</v>
      </c>
      <c r="C4518" s="21" t="s">
        <v>977</v>
      </c>
      <c r="D4518" s="21" t="s">
        <v>978</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1865</v>
      </c>
      <c r="B4519" s="21" t="s">
        <v>1101</v>
      </c>
      <c r="C4519" s="21" t="s">
        <v>977</v>
      </c>
      <c r="D4519" s="21" t="s">
        <v>978</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1943</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1137</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1544</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1002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1092</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1264</v>
      </c>
      <c r="B4525" s="21" t="s">
        <v>976</v>
      </c>
      <c r="C4525" s="21" t="s">
        <v>995</v>
      </c>
      <c r="D4525" s="21" t="s">
        <v>978</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2129</v>
      </c>
      <c r="B4526" s="21" t="s">
        <v>982</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1865</v>
      </c>
      <c r="B4527" s="21" t="s">
        <v>1066</v>
      </c>
      <c r="C4527" s="21" t="s">
        <v>977</v>
      </c>
      <c r="D4527" s="21" t="s">
        <v>978</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1865</v>
      </c>
      <c r="B4528" s="21" t="s">
        <v>1101</v>
      </c>
      <c r="C4528" s="21" t="s">
        <v>977</v>
      </c>
      <c r="D4528" s="21" t="s">
        <v>978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1943</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2218</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1004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2219</v>
      </c>
      <c r="B4532" s="21" t="s">
        <v>986</v>
      </c>
      <c r="C4532" s="21" t="s">
        <v>987</v>
      </c>
      <c r="D4532" s="21" t="s">
        <v>978</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1426</v>
      </c>
      <c r="B4533" s="21" t="s">
        <v>989</v>
      </c>
      <c r="C4533" s="21" t="s">
        <v>990</v>
      </c>
      <c r="D4533" s="21" t="s">
        <v>978</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1002</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1000</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1074</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2220</v>
      </c>
      <c r="B4537" s="21" t="s">
        <v>1095</v>
      </c>
      <c r="C4537" s="21" t="s">
        <v>995</v>
      </c>
      <c r="D4537" s="21" t="s">
        <v>978</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1116</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1865</v>
      </c>
      <c r="B4539" s="21" t="s">
        <v>1052</v>
      </c>
      <c r="C4539" s="21" t="s">
        <v>977</v>
      </c>
      <c r="D4539" s="21" t="s">
        <v>978</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2221</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1305</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1189</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1216</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1217</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992</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1070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1633</v>
      </c>
      <c r="B4547" s="21" t="s">
        <v>1066</v>
      </c>
      <c r="C4547" s="21" t="s">
        <v>1020</v>
      </c>
      <c r="D4547" s="21" t="s">
        <v>978</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1469</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93</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2222</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1404</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row>
    <row r="4553" spans="1:12">
      <c r="A4553" s="20" t="s">
        <v>1451</v>
      </c>
    </row>
    <row r="4554" spans="1:12">
      <c r="A4554" s="20" t="s">
        <v>190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row>
    <row r="4556" spans="1:12">
      <c r="A4556" s="20" t="s">
        <v>2223</v>
      </c>
    </row>
    <row r="4557" spans="1:12">
      <c r="A4557" s="20" t="s">
        <v>992</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2224</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1002</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984</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172</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2225</v>
      </c>
      <c r="B4562" s="21" t="s">
        <v>989</v>
      </c>
      <c r="C4562" s="21" t="s">
        <v>1063</v>
      </c>
      <c r="D4562" s="21" t="s">
        <v>978</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1010</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2226</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1050</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2227</v>
      </c>
      <c r="B4566" s="21" t="s">
        <v>976</v>
      </c>
      <c r="C4566" s="21" t="s">
        <v>983</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996</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1111</v>
      </c>
      <c r="B4568" s="21" t="s">
        <v>986</v>
      </c>
      <c r="C4568" s="21" t="s">
        <v>1057</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1140</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993</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2228</v>
      </c>
      <c r="B4571" s="21" t="s">
        <v>986</v>
      </c>
      <c r="C4571" s="21" t="s">
        <v>995</v>
      </c>
      <c r="D4571" s="21" t="s">
        <v>978</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2129</v>
      </c>
      <c r="B4572" s="21" t="s">
        <v>1036</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323</v>
      </c>
      <c r="B4573" s="21" t="s">
        <v>1035</v>
      </c>
      <c r="C4573" s="21" t="s">
        <v>1020</v>
      </c>
      <c r="D4573" s="21" t="s">
        <v>978</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1093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1597</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1268</v>
      </c>
      <c r="B4576" s="21" t="s">
        <v>1036</v>
      </c>
      <c r="C4576" s="21" t="s">
        <v>1057</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1002</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1142</v>
      </c>
      <c r="B4578" s="21" t="s">
        <v>1066</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1116</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1093</v>
      </c>
      <c r="B4580" s="21" t="s">
        <v>1101</v>
      </c>
      <c r="C4580" s="21" t="s">
        <v>977</v>
      </c>
      <c r="D4580" s="21" t="s">
        <v>978</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1219</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1189</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2229</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1142</v>
      </c>
      <c r="B4584" s="21" t="s">
        <v>1035</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1116</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1093</v>
      </c>
      <c r="B4586" s="21" t="s">
        <v>1036</v>
      </c>
      <c r="C4586" s="21" t="s">
        <v>977</v>
      </c>
      <c r="D4586" s="21" t="s">
        <v>978</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1219</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1189</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2230</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1002</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1000</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1196</v>
      </c>
      <c r="B4592" s="21" t="s">
        <v>1035</v>
      </c>
      <c r="C4592" s="21" t="s">
        <v>1008</v>
      </c>
      <c r="D4592" s="21" t="s">
        <v>978</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1067</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1492</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1092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2231</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2232</v>
      </c>
      <c r="B4597" s="21" t="s">
        <v>1054</v>
      </c>
      <c r="C4597" s="21" t="s">
        <v>995</v>
      </c>
      <c r="D4597" s="21" t="s">
        <v>978</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1022</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row>
    <row r="4600" spans="1:12">
      <c r="A4600" s="20" t="s">
        <v>2233</v>
      </c>
    </row>
    <row r="4601" spans="1:12">
      <c r="A4601" s="20" t="s">
        <v>975</v>
      </c>
      <c r="B4601" s="21" t="s">
        <v>976</v>
      </c>
      <c r="C4601" s="21" t="s">
        <v>977</v>
      </c>
      <c r="D4601" s="21" t="s">
        <v>978</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979</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1465</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1138</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1050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2234</v>
      </c>
      <c r="B4606" s="21" t="s">
        <v>982</v>
      </c>
      <c r="C4606" s="21" t="s">
        <v>983</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1142</v>
      </c>
      <c r="B4607" s="21" t="s">
        <v>1066</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2235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609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2000</v>
      </c>
      <c r="B4610" s="21" t="s">
        <v>1101</v>
      </c>
      <c r="C4610" s="21" t="s">
        <v>983</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996</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1987</v>
      </c>
      <c r="B4612" s="21" t="s">
        <v>1007</v>
      </c>
      <c r="C4612" s="21" t="s">
        <v>1057</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984</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993</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2212</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2236</v>
      </c>
      <c r="B4616" s="21" t="s">
        <v>1007</v>
      </c>
      <c r="C4616" s="21" t="s">
        <v>995</v>
      </c>
      <c r="D4616" s="21" t="s">
        <v>978</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1018</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2237</v>
      </c>
      <c r="B4618" s="21" t="s">
        <v>1007</v>
      </c>
      <c r="C4618" s="21" t="s">
        <v>990</v>
      </c>
      <c r="D4618" s="21" t="s">
        <v>978</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996</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2238</v>
      </c>
      <c r="B4620" s="21" t="s">
        <v>1084</v>
      </c>
      <c r="C4620" s="21" t="s">
        <v>1116</v>
      </c>
      <c r="D4620" s="21" t="s">
        <v>978</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1002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2031</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1468</v>
      </c>
      <c r="B4623" s="21" t="s">
        <v>1042</v>
      </c>
      <c r="C4623" s="21" t="s">
        <v>977</v>
      </c>
      <c r="D4623" s="21" t="s">
        <v>978</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2239</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996</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993</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2240</v>
      </c>
      <c r="B4627" s="21" t="s">
        <v>1084</v>
      </c>
      <c r="C4627" s="21" t="s">
        <v>995</v>
      </c>
      <c r="D4627" s="21" t="s">
        <v>978</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2241</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1092</v>
      </c>
      <c r="B4629" s="21" t="s">
        <v>1052</v>
      </c>
      <c r="C4629" s="21" t="s">
        <v>977</v>
      </c>
      <c r="D4629" s="21" t="s">
        <v>978</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2242</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1235</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1081</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1340</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1386</v>
      </c>
      <c r="B4634" s="21" t="s">
        <v>986</v>
      </c>
      <c r="C4634" s="21" t="s">
        <v>983</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996</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2017</v>
      </c>
      <c r="B4636" s="21" t="s">
        <v>1054</v>
      </c>
      <c r="C4636" s="21" t="s">
        <v>1057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1000</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993</v>
      </c>
      <c r="B4638" s="21" t="s">
        <v>1052</v>
      </c>
      <c r="C4638" s="21" t="s">
        <v>977</v>
      </c>
      <c r="D4638" s="21" t="s">
        <v>978</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2243</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1058</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1092</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1111</v>
      </c>
      <c r="B4642" s="21" t="s">
        <v>986</v>
      </c>
      <c r="C4642" s="21" t="s">
        <v>995</v>
      </c>
      <c r="D4642" s="21" t="s">
        <v>978</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1002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1000</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1046</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993</v>
      </c>
      <c r="B4646" s="21" t="s">
        <v>1101</v>
      </c>
      <c r="C4646" s="21" t="s">
        <v>977</v>
      </c>
      <c r="D4646" s="21" t="s">
        <v>978</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2244</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1058</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1325</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1284</v>
      </c>
      <c r="B4650" s="21" t="s">
        <v>1054</v>
      </c>
      <c r="C4650" s="21" t="s">
        <v>1178</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996</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2091</v>
      </c>
      <c r="B4652" s="21" t="s">
        <v>1007</v>
      </c>
      <c r="C4652" s="21" t="s">
        <v>1057</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2245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1022</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row>
    <row r="4656" spans="1:12">
      <c r="A4656" s="20" t="s">
        <v>2246</v>
      </c>
    </row>
    <row r="4657" spans="1:12">
      <c r="A4657" s="20" t="s">
        <v>1611</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1050</v>
      </c>
      <c r="B4658" s="21" t="s">
        <v>976</v>
      </c>
      <c r="C4658" s="21" t="s">
        <v>1020</v>
      </c>
      <c r="D4658" s="21" t="s">
        <v>978</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1081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1468</v>
      </c>
      <c r="B4660" s="21" t="s">
        <v>986</v>
      </c>
      <c r="C4660" s="21" t="s">
        <v>977</v>
      </c>
      <c r="D4660" s="21" t="s">
        <v>978</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1002</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2247</v>
      </c>
      <c r="B4662" s="21" t="s">
        <v>986</v>
      </c>
      <c r="C4662" s="21" t="s">
        <v>1116</v>
      </c>
      <c r="D4662" s="21" t="s">
        <v>978</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1002</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1067</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2248</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1002</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1000</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861</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172</v>
      </c>
      <c r="B4669" s="21" t="s">
        <v>1052</v>
      </c>
      <c r="C4669" s="21" t="s">
        <v>1008</v>
      </c>
      <c r="D4669" s="21" t="s">
        <v>978</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1009</v>
      </c>
      <c r="B4670" s="21" t="s">
        <v>1036</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1468</v>
      </c>
      <c r="B4671" s="21" t="s">
        <v>1035</v>
      </c>
      <c r="C4671" s="21" t="s">
        <v>977</v>
      </c>
      <c r="D4671" s="21" t="s">
        <v>978</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1323</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1384</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997</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1344</v>
      </c>
      <c r="B4675" s="21" t="s">
        <v>1036</v>
      </c>
      <c r="C4675" s="21" t="s">
        <v>995</v>
      </c>
      <c r="D4675" s="21" t="s">
        <v>978</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2031</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1468</v>
      </c>
      <c r="B4677" s="21" t="s">
        <v>1311</v>
      </c>
      <c r="C4677" s="21" t="s">
        <v>977</v>
      </c>
      <c r="D4677" s="21" t="s">
        <v>978</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1067</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2248</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1022</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row>
    <row r="4682" spans="1:12">
      <c r="A4682" s="20" t="s">
        <v>2249</v>
      </c>
    </row>
    <row r="4683" spans="1:12">
      <c r="A4683" s="20" t="s">
        <v>1624</v>
      </c>
      <c r="B4683" s="21" t="s">
        <v>976</v>
      </c>
      <c r="C4683" s="21" t="s">
        <v>977</v>
      </c>
      <c r="D4683" s="21" t="s">
        <v>978</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1323</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1384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1002</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1000</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1196</v>
      </c>
      <c r="B4688" s="21" t="s">
        <v>1095</v>
      </c>
      <c r="C4688" s="21" t="s">
        <v>1008</v>
      </c>
      <c r="D4688" s="21" t="s">
        <v>978</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1076</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1050</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1520</v>
      </c>
      <c r="B4691" s="21" t="s">
        <v>989</v>
      </c>
      <c r="C4691" s="21" t="s">
        <v>983</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1002</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1081</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2250</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1002</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1142</v>
      </c>
      <c r="B4696" s="21" t="s">
        <v>1066</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1147</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2251</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2118</v>
      </c>
      <c r="B4699" s="21" t="s">
        <v>1101</v>
      </c>
      <c r="C4699" s="21" t="s">
        <v>1178</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1022</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row>
    <row r="4702" spans="1:12">
      <c r="A4702" s="20" t="s">
        <v>2252</v>
      </c>
    </row>
    <row r="4703" spans="1:12">
      <c r="A4703" s="20" t="s">
        <v>1624</v>
      </c>
      <c r="B4703" s="21" t="s">
        <v>976</v>
      </c>
      <c r="C4703" s="21" t="s">
        <v>977</v>
      </c>
      <c r="D4703" s="21" t="s">
        <v>978</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1323</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1384</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1216</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1217</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2253</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1002</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1154</v>
      </c>
      <c r="B4710" s="21" t="s">
        <v>1095</v>
      </c>
      <c r="C4710" s="21" t="s">
        <v>977</v>
      </c>
      <c r="D4710" s="21" t="s">
        <v>978</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1185</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609</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2254</v>
      </c>
      <c r="B4713" s="21" t="s">
        <v>1052</v>
      </c>
      <c r="C4713" s="21" t="s">
        <v>983</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1002</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1194</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1154</v>
      </c>
      <c r="B4716" s="21" t="s">
        <v>1095</v>
      </c>
      <c r="C4716" s="21" t="s">
        <v>977</v>
      </c>
      <c r="D4716" s="21" t="s">
        <v>978</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979</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2255</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1294</v>
      </c>
      <c r="B4719" s="21" t="s">
        <v>1101</v>
      </c>
      <c r="C4719" s="21" t="s">
        <v>1020</v>
      </c>
      <c r="D4719" s="21" t="s">
        <v>978</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2256</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2160</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1038</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1047</v>
      </c>
      <c r="B4723" s="21" t="s">
        <v>1066</v>
      </c>
      <c r="C4723" s="21" t="s">
        <v>977</v>
      </c>
      <c r="D4723" s="21" t="s">
        <v>978</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1072</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1363</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1189</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1004</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868</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996</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1092</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1206</v>
      </c>
      <c r="B4731" s="21" t="s">
        <v>1007</v>
      </c>
      <c r="C4731" s="21" t="s">
        <v>995</v>
      </c>
      <c r="D4731" s="21" t="s">
        <v>978</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1022</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row>
    <row r="4734" spans="1:12">
      <c r="A4734" s="20" t="s">
        <v>2257</v>
      </c>
    </row>
    <row r="4735" spans="1:12">
      <c r="A4735" s="20" t="s">
        <v>1182</v>
      </c>
      <c r="B4735" s="21" t="s">
        <v>976</v>
      </c>
      <c r="C4735" s="21" t="s">
        <v>977</v>
      </c>
      <c r="D4735" s="21" t="s">
        <v>978</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1072</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979</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1501</v>
      </c>
      <c r="B4738" s="21" t="s">
        <v>982</v>
      </c>
      <c r="C4738" s="21" t="s">
        <v>1020</v>
      </c>
      <c r="D4738" s="21" t="s">
        <v>978</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1004</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183</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1004</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2163</v>
      </c>
      <c r="B4742" s="21" t="s">
        <v>1007</v>
      </c>
      <c r="C4742" s="21" t="s">
        <v>987</v>
      </c>
      <c r="D4742" s="21" t="s">
        <v>978</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2118</v>
      </c>
      <c r="B4743" s="21" t="s">
        <v>1054</v>
      </c>
      <c r="C4743" s="21" t="s">
        <v>990</v>
      </c>
      <c r="D4743" s="21" t="s">
        <v>978</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1022</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2258</v>
      </c>
    </row>
    <row r="4747" spans="1:12">
      <c r="A4747" s="20" t="s">
        <v>1125</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1938</v>
      </c>
      <c r="B4748" s="21" t="s">
        <v>989</v>
      </c>
      <c r="C4748" s="21" t="s">
        <v>995</v>
      </c>
      <c r="D4748" s="21" t="s">
        <v>978</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1002</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1047</v>
      </c>
      <c r="B4750" s="21" t="s">
        <v>976</v>
      </c>
      <c r="C4750" s="21" t="s">
        <v>977</v>
      </c>
      <c r="D4750" s="21" t="s">
        <v>978</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1116</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1293</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1189</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2259</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1009</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1025</v>
      </c>
      <c r="B4756" s="21" t="s">
        <v>1066</v>
      </c>
      <c r="C4756" s="21" t="s">
        <v>977</v>
      </c>
      <c r="D4756" s="21" t="s">
        <v>978</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2260</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1002</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1000</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1046</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1047</v>
      </c>
      <c r="B4761" s="21" t="s">
        <v>1035</v>
      </c>
      <c r="C4761" s="21" t="s">
        <v>977</v>
      </c>
      <c r="D4761" s="21" t="s">
        <v>978</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1011</v>
      </c>
      <c r="B4762" s="21" t="s">
        <v>1036</v>
      </c>
      <c r="C4762" s="21" t="s">
        <v>977</v>
      </c>
      <c r="D4762" s="21" t="s">
        <v>978</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1312</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984</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1039</v>
      </c>
      <c r="B4765" s="21" t="s">
        <v>1084</v>
      </c>
      <c r="C4765" s="21" t="s">
        <v>987</v>
      </c>
      <c r="D4765" s="21" t="s">
        <v>978</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1352</v>
      </c>
      <c r="B4766" s="21" t="s">
        <v>1007</v>
      </c>
      <c r="C4766" s="21" t="s">
        <v>990</v>
      </c>
      <c r="D4766" s="21" t="s">
        <v>978</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1002</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2261</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993</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2262</v>
      </c>
      <c r="B4770" s="21" t="s">
        <v>1052</v>
      </c>
      <c r="C4770" s="21" t="s">
        <v>995</v>
      </c>
      <c r="D4770" s="21" t="s">
        <v>978</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2263</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996</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985</v>
      </c>
      <c r="B4773" s="21" t="s">
        <v>1007</v>
      </c>
      <c r="C4773" s="21" t="s">
        <v>987</v>
      </c>
      <c r="D4773" s="21" t="s">
        <v>978</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988</v>
      </c>
      <c r="B4774" s="21" t="s">
        <v>1054</v>
      </c>
      <c r="C4774" s="21" t="s">
        <v>990</v>
      </c>
      <c r="D4774" s="21" t="s">
        <v>978</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1002</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1000</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2264</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1374</v>
      </c>
      <c r="B4778" s="21" t="s">
        <v>986</v>
      </c>
      <c r="C4778" s="21" t="s">
        <v>1178</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1002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1024</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1025</v>
      </c>
      <c r="B4781" s="21" t="s">
        <v>1066</v>
      </c>
      <c r="C4781" s="21" t="s">
        <v>977</v>
      </c>
      <c r="D4781" s="21" t="s">
        <v>978</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2265</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1002</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1289</v>
      </c>
      <c r="B4784" s="21" t="s">
        <v>1066</v>
      </c>
      <c r="C4784" s="21" t="s">
        <v>1008</v>
      </c>
      <c r="D4784" s="21" t="s">
        <v>978</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1547</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1203</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2266</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1022</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row>
    <row r="4790" spans="1:12">
      <c r="A4790" s="20" t="s">
        <v>2267</v>
      </c>
    </row>
    <row r="4791" spans="1:12">
      <c r="A4791" s="20" t="s">
        <v>190</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1217</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1182</v>
      </c>
      <c r="B4793" s="21" t="s">
        <v>1095</v>
      </c>
      <c r="C4793" s="21" t="s">
        <v>977</v>
      </c>
      <c r="D4793" s="21" t="s">
        <v>978</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1864</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1220</v>
      </c>
      <c r="B4795" s="21" t="s">
        <v>1052</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996</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2268</v>
      </c>
      <c r="B4797" s="21" t="s">
        <v>1054</v>
      </c>
      <c r="C4797" s="21" t="s">
        <v>1116</v>
      </c>
      <c r="D4797" s="21" t="s">
        <v>978</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1002</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1047</v>
      </c>
      <c r="B4799" s="21" t="s">
        <v>976</v>
      </c>
      <c r="C4799" s="21" t="s">
        <v>977</v>
      </c>
      <c r="D4799" s="21" t="s">
        <v>978</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1864</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1072</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1929</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1330</v>
      </c>
      <c r="B4803" s="21" t="s">
        <v>982</v>
      </c>
      <c r="C4803" s="21" t="s">
        <v>1020</v>
      </c>
      <c r="D4803" s="21" t="s">
        <v>978</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1142</v>
      </c>
      <c r="B4804" s="21" t="s">
        <v>1066</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2269</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1135</v>
      </c>
      <c r="B4806" s="21" t="s">
        <v>1036</v>
      </c>
      <c r="C4806" s="21" t="s">
        <v>977</v>
      </c>
      <c r="D4806" s="21" t="s">
        <v>978</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1729</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1004</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2270</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1183</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1022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row>
    <row r="4813" spans="1:12">
      <c r="A4813" s="20" t="s">
        <v>2271</v>
      </c>
    </row>
    <row r="4814" spans="1:12">
      <c r="A4814" s="20" t="s">
        <v>2272</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1002</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1039</v>
      </c>
      <c r="B4816" s="21" t="s">
        <v>986</v>
      </c>
      <c r="C4816" s="21" t="s">
        <v>987</v>
      </c>
      <c r="D4816" s="21" t="s">
        <v>978</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1873</v>
      </c>
      <c r="B4817" s="21" t="s">
        <v>976</v>
      </c>
      <c r="C4817" s="21" t="s">
        <v>990</v>
      </c>
      <c r="D4817" s="21" t="s">
        <v>978</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1011</v>
      </c>
      <c r="B4818" s="21" t="s">
        <v>982</v>
      </c>
      <c r="C4818" s="21" t="s">
        <v>977</v>
      </c>
      <c r="D4818" s="21" t="s">
        <v>978</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1384</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1038</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1047</v>
      </c>
      <c r="B4821" s="21" t="s">
        <v>1095</v>
      </c>
      <c r="C4821" s="21" t="s">
        <v>977</v>
      </c>
      <c r="D4821" s="21" t="s">
        <v>978</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1164</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2273</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1002</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2274</v>
      </c>
      <c r="B4825" s="21" t="s">
        <v>986</v>
      </c>
      <c r="C4825" s="21" t="s">
        <v>1057</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1022</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row>
    <row r="4828" spans="1:12">
      <c r="A4828" s="20" t="s">
        <v>2275</v>
      </c>
    </row>
    <row r="4829" spans="1:12">
      <c r="A4829" s="20" t="s">
        <v>975</v>
      </c>
      <c r="B4829" s="21" t="s">
        <v>976</v>
      </c>
      <c r="C4829" s="21" t="s">
        <v>977</v>
      </c>
      <c r="D4829" s="21" t="s">
        <v>978</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979</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1495</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2276</v>
      </c>
      <c r="B4832" s="21" t="s">
        <v>982</v>
      </c>
      <c r="C4832" s="21" t="s">
        <v>1057</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1081</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2277</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997</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2278</v>
      </c>
      <c r="B4836" s="21" t="s">
        <v>1101</v>
      </c>
      <c r="C4836" s="21" t="s">
        <v>995</v>
      </c>
      <c r="D4836" s="21" t="s">
        <v>978</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1022</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row>
    <row r="4839" spans="1:12">
      <c r="A4839" s="20" t="s">
        <v>2279</v>
      </c>
    </row>
    <row r="4840" spans="1:12">
      <c r="A4840" s="20" t="s">
        <v>190</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1518</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1519</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1002</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1468</v>
      </c>
      <c r="B4844" s="21" t="s">
        <v>1095</v>
      </c>
      <c r="C4844" s="21" t="s">
        <v>977</v>
      </c>
      <c r="D4844" s="21" t="s">
        <v>978</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1323</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1401</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2280</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984</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172</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2091</v>
      </c>
      <c r="B4850" s="21" t="s">
        <v>986</v>
      </c>
      <c r="C4850" s="21" t="s">
        <v>1063</v>
      </c>
      <c r="D4850" s="21" t="s">
        <v>978</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2245</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1002</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1000</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2281</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996</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1471</v>
      </c>
      <c r="B4856" s="21" t="s">
        <v>1007</v>
      </c>
      <c r="C4856" s="21" t="s">
        <v>987</v>
      </c>
      <c r="D4856" s="21" t="s">
        <v>978</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1690</v>
      </c>
      <c r="B4857" s="21" t="s">
        <v>1054</v>
      </c>
      <c r="C4857" s="21" t="s">
        <v>990</v>
      </c>
      <c r="D4857" s="21" t="s">
        <v>978</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1325</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1284</v>
      </c>
      <c r="B4859" s="21" t="s">
        <v>1007</v>
      </c>
      <c r="C4859" s="21" t="s">
        <v>1178</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1183</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1998</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1002</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1468</v>
      </c>
      <c r="B4863" s="21" t="s">
        <v>976</v>
      </c>
      <c r="C4863" s="21" t="s">
        <v>977</v>
      </c>
      <c r="D4863" s="21" t="s">
        <v>978</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1147</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2282</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609</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2135</v>
      </c>
      <c r="B4867" s="21" t="s">
        <v>982</v>
      </c>
      <c r="C4867" s="21" t="s">
        <v>983</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984</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1092</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1854</v>
      </c>
      <c r="B4870" s="21" t="s">
        <v>989</v>
      </c>
      <c r="C4870" s="21" t="s">
        <v>995</v>
      </c>
      <c r="D4870" s="21" t="s">
        <v>978</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1081</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2118</v>
      </c>
      <c r="B4872" s="21" t="s">
        <v>986</v>
      </c>
      <c r="C4872" s="21" t="s">
        <v>1057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1235</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997</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2283</v>
      </c>
      <c r="B4875" s="21" t="s">
        <v>986</v>
      </c>
      <c r="C4875" s="21" t="s">
        <v>1116</v>
      </c>
      <c r="D4875" s="21" t="s">
        <v>978</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2284</v>
      </c>
      <c r="B4876" s="21" t="s">
        <v>1054</v>
      </c>
      <c r="C4876" s="21" t="s">
        <v>1116</v>
      </c>
      <c r="D4876" s="21" t="s">
        <v>978</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1002</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1468</v>
      </c>
      <c r="B4878" s="21" t="s">
        <v>1095</v>
      </c>
      <c r="C4878" s="21" t="s">
        <v>977</v>
      </c>
      <c r="D4878" s="21" t="s">
        <v>978</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1147</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2285</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1261</v>
      </c>
      <c r="B4881" s="21" t="s">
        <v>1054</v>
      </c>
      <c r="C4881" s="21" t="s">
        <v>987</v>
      </c>
      <c r="D4881" s="21" t="s">
        <v>978</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1873</v>
      </c>
      <c r="B4882" s="21" t="s">
        <v>1052</v>
      </c>
      <c r="C4882" s="21" t="s">
        <v>990</v>
      </c>
      <c r="D4882" s="21" t="s">
        <v>978</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2286</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1002</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1217</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2287</v>
      </c>
      <c r="B4886" s="21" t="s">
        <v>1007</v>
      </c>
      <c r="C4886" s="21" t="s">
        <v>987</v>
      </c>
      <c r="D4886" s="21" t="s">
        <v>978</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2118</v>
      </c>
      <c r="B4887" s="21" t="s">
        <v>1066</v>
      </c>
      <c r="C4887" s="21" t="s">
        <v>990</v>
      </c>
      <c r="D4887" s="21" t="s">
        <v>978</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1478</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1220</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1183</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2288</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1022</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row>
    <row r="4894" spans="1:12">
      <c r="A4894" s="20" t="s">
        <v>2289</v>
      </c>
    </row>
    <row r="4895" spans="1:12">
      <c r="A4895" s="20" t="s">
        <v>190</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1624</v>
      </c>
      <c r="B4896" s="21" t="s">
        <v>976</v>
      </c>
      <c r="C4896" s="21" t="s">
        <v>977</v>
      </c>
      <c r="D4896" s="21" t="s">
        <v>978</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1323</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1384</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1216</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1217</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2290</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1039</v>
      </c>
      <c r="B4902" s="21" t="s">
        <v>1054</v>
      </c>
      <c r="C4902" s="21" t="s">
        <v>987</v>
      </c>
      <c r="D4902" s="21" t="s">
        <v>978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2078</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1674</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1078</v>
      </c>
      <c r="B4905" s="21" t="s">
        <v>1054</v>
      </c>
      <c r="C4905" s="21" t="s">
        <v>1020</v>
      </c>
      <c r="D4905" s="21" t="s">
        <v>978</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1010</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1294</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1323</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1050</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1894</v>
      </c>
      <c r="B4910" s="21" t="s">
        <v>1052</v>
      </c>
      <c r="C4910" s="21" t="s">
        <v>983</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1235</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993</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2291</v>
      </c>
      <c r="B4913" s="21" t="s">
        <v>986</v>
      </c>
      <c r="C4913" s="21" t="s">
        <v>995</v>
      </c>
      <c r="D4913" s="21" t="s">
        <v>978</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1000</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1050</v>
      </c>
      <c r="B4915" s="21" t="s">
        <v>1054</v>
      </c>
      <c r="C4915" s="21" t="s">
        <v>1020</v>
      </c>
      <c r="D4915" s="21" t="s">
        <v>978</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1235</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993</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2292</v>
      </c>
      <c r="B4918" s="21" t="s">
        <v>1007</v>
      </c>
      <c r="C4918" s="21" t="s">
        <v>995</v>
      </c>
      <c r="D4918" s="21" t="s">
        <v>978</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1002</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1194</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997</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2293</v>
      </c>
      <c r="B4922" s="21" t="s">
        <v>1054</v>
      </c>
      <c r="C4922" s="21" t="s">
        <v>995</v>
      </c>
      <c r="D4922" s="21" t="s">
        <v>978</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1002</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1025</v>
      </c>
      <c r="B4924" s="21" t="s">
        <v>1066</v>
      </c>
      <c r="C4924" s="21" t="s">
        <v>977</v>
      </c>
      <c r="D4924" s="21" t="s">
        <v>978</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2294</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1027</v>
      </c>
      <c r="B4926" s="21" t="s">
        <v>1101</v>
      </c>
      <c r="C4926" s="21" t="s">
        <v>1020</v>
      </c>
      <c r="D4926" s="21" t="s">
        <v>978</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1230</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1039</v>
      </c>
      <c r="B4928" s="21" t="s">
        <v>1007</v>
      </c>
      <c r="C4928" s="21" t="s">
        <v>987</v>
      </c>
      <c r="D4928" s="21" t="s">
        <v>978</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1352</v>
      </c>
      <c r="B4929" s="21" t="s">
        <v>1054</v>
      </c>
      <c r="C4929" s="21" t="s">
        <v>990</v>
      </c>
      <c r="D4929" s="21" t="s">
        <v>978</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1002</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1000</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1145</v>
      </c>
      <c r="B4932" s="21" t="s">
        <v>1066</v>
      </c>
      <c r="C4932" s="21" t="s">
        <v>1020</v>
      </c>
      <c r="D4932" s="21" t="s">
        <v>978</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1219</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993</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2295</v>
      </c>
      <c r="B4935" s="21" t="s">
        <v>1101</v>
      </c>
      <c r="C4935" s="21" t="s">
        <v>995</v>
      </c>
      <c r="D4935" s="21" t="s">
        <v>978</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2296</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1000</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1065</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1022</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row>
    <row r="4941" spans="1:12">
      <c r="A4941" s="20" t="s">
        <v>2297</v>
      </c>
    </row>
    <row r="4942" spans="1:12">
      <c r="A4942" s="20" t="s">
        <v>1611</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609</v>
      </c>
      <c r="B4943" s="21" t="s">
        <v>976</v>
      </c>
      <c r="C4943" s="21" t="s">
        <v>1020</v>
      </c>
      <c r="D4943" s="21" t="s">
        <v>978</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2298</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351</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2299</v>
      </c>
      <c r="B4946" s="21" t="s">
        <v>986</v>
      </c>
      <c r="C4946" s="21" t="s">
        <v>1057</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1002</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609</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1382</v>
      </c>
      <c r="B4949" s="21" t="s">
        <v>1095</v>
      </c>
      <c r="C4949" s="21" t="s">
        <v>1020</v>
      </c>
      <c r="D4949" s="21" t="s">
        <v>978</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2298</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351</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2300</v>
      </c>
      <c r="B4952" s="21" t="s">
        <v>1054</v>
      </c>
      <c r="C4952" s="21" t="s">
        <v>1057</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1002</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1000</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1050</v>
      </c>
      <c r="B4955" s="21" t="s">
        <v>986</v>
      </c>
      <c r="C4955" s="21" t="s">
        <v>1020</v>
      </c>
      <c r="D4955" s="21" t="s">
        <v>978</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996</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993</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2292</v>
      </c>
      <c r="B4958" s="21" t="s">
        <v>1054</v>
      </c>
      <c r="C4958" s="21" t="s">
        <v>995</v>
      </c>
      <c r="D4958" s="21" t="s">
        <v>978</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1384</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1009</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1468</v>
      </c>
      <c r="B4961" s="21" t="s">
        <v>1035</v>
      </c>
      <c r="C4961" s="21" t="s">
        <v>977</v>
      </c>
      <c r="D4961" s="21" t="s">
        <v>978</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1768</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351</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2301</v>
      </c>
      <c r="B4964" s="21" t="s">
        <v>1084</v>
      </c>
      <c r="C4964" s="21" t="s">
        <v>1057</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1022</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row>
    <row r="4967" spans="1:12">
      <c r="A4967" s="20" t="s">
        <v>2302</v>
      </c>
    </row>
    <row r="4968" spans="1:12">
      <c r="A4968" s="20" t="s">
        <v>1481</v>
      </c>
      <c r="B4968" s="21" t="s">
        <v>976</v>
      </c>
      <c r="C4968" s="21" t="s">
        <v>977</v>
      </c>
      <c r="D4968" s="21" t="s">
        <v>978</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1116</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2303</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1189</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1032</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1645</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1002</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1000</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1025</v>
      </c>
      <c r="B4976" s="21" t="s">
        <v>1095</v>
      </c>
      <c r="C4976" s="21" t="s">
        <v>977</v>
      </c>
      <c r="D4976" s="21" t="s">
        <v>978</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1116</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1093</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2304</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1183</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1032</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1645</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1022</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row>
    <row r="4985" spans="1:12">
      <c r="A4985" s="20" t="s">
        <v>2305</v>
      </c>
    </row>
    <row r="4986" spans="1:12">
      <c r="A4986" s="20" t="s">
        <v>1273</v>
      </c>
      <c r="B4986" s="21" t="s">
        <v>976</v>
      </c>
      <c r="C4986" s="21" t="s">
        <v>1008</v>
      </c>
      <c r="D4986" s="21" t="s">
        <v>978</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1067</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1065</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172</v>
      </c>
      <c r="B4989" s="21" t="s">
        <v>989</v>
      </c>
      <c r="C4989" s="21" t="s">
        <v>1008</v>
      </c>
      <c r="D4989" s="21" t="s">
        <v>978</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2129</v>
      </c>
      <c r="B4990" s="21" t="s">
        <v>1052</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1154</v>
      </c>
      <c r="B4991" s="21" t="s">
        <v>1095</v>
      </c>
      <c r="C4991" s="21" t="s">
        <v>977</v>
      </c>
      <c r="D4991" s="21" t="s">
        <v>978</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979</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2130</v>
      </c>
      <c r="B4993" s="21" t="s">
        <v>1052</v>
      </c>
      <c r="C4993" s="21" t="s">
        <v>1057</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1235</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2163</v>
      </c>
      <c r="B4995" s="21" t="s">
        <v>1054</v>
      </c>
      <c r="C4995" s="21" t="s">
        <v>987</v>
      </c>
      <c r="D4995" s="21" t="s">
        <v>978</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2306</v>
      </c>
      <c r="B4996" s="21" t="s">
        <v>986</v>
      </c>
      <c r="C4996" s="21" t="s">
        <v>990</v>
      </c>
      <c r="D4996" s="21" t="s">
        <v>978</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1022</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row>
    <row r="4999" spans="1:12">
      <c r="A4999" s="20" t="s">
        <v>2307</v>
      </c>
    </row>
    <row r="5000" spans="1:12">
      <c r="A5000" s="20" t="s">
        <v>1752</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2308</v>
      </c>
      <c r="B5001" s="21" t="s">
        <v>976</v>
      </c>
      <c r="C5001" s="21" t="s">
        <v>995</v>
      </c>
      <c r="D5001" s="21" t="s">
        <v>978</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1116</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2309</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1189</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1002</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1665</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1047</v>
      </c>
      <c r="B5007" s="21" t="s">
        <v>1095</v>
      </c>
      <c r="C5007" s="21" t="s">
        <v>977</v>
      </c>
      <c r="D5007" s="21" t="s">
        <v>978</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1135</v>
      </c>
      <c r="B5008" s="21" t="s">
        <v>1052</v>
      </c>
      <c r="C5008" s="21" t="s">
        <v>977</v>
      </c>
      <c r="D5008" s="21" t="s">
        <v>978</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2310</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1002</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1047</v>
      </c>
      <c r="B5011" s="21" t="s">
        <v>1095</v>
      </c>
      <c r="C5011" s="21" t="s">
        <v>977</v>
      </c>
      <c r="D5011" s="21" t="s">
        <v>978</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1011</v>
      </c>
      <c r="B5012" s="21" t="s">
        <v>1052</v>
      </c>
      <c r="C5012" s="21" t="s">
        <v>977</v>
      </c>
      <c r="D5012" s="21" t="s">
        <v>978</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1876</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1002</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1047</v>
      </c>
      <c r="B5015" s="21" t="s">
        <v>1095</v>
      </c>
      <c r="C5015" s="21" t="s">
        <v>977</v>
      </c>
      <c r="D5015" s="21" t="s">
        <v>978</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1011</v>
      </c>
      <c r="B5016" s="21" t="s">
        <v>1052</v>
      </c>
      <c r="C5016" s="21" t="s">
        <v>977</v>
      </c>
      <c r="D5016" s="21" t="s">
        <v>978</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2311</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1022</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row>
    <row r="5020" spans="1:12">
      <c r="A5020" s="20" t="s">
        <v>2312</v>
      </c>
    </row>
    <row r="5021" spans="1:12">
      <c r="A5021" s="20" t="s">
        <v>1182</v>
      </c>
      <c r="B5021" s="21" t="s">
        <v>976</v>
      </c>
      <c r="C5021" s="21" t="s">
        <v>977</v>
      </c>
      <c r="D5021" s="21" t="s">
        <v>978</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1293</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868</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1000</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1116</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1183</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168</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1328</v>
      </c>
      <c r="B5028" s="21" t="s">
        <v>1101</v>
      </c>
      <c r="C5028" s="21" t="s">
        <v>1057</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1002</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1000</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1047</v>
      </c>
      <c r="B5031" s="21" t="s">
        <v>1095</v>
      </c>
      <c r="C5031" s="21" t="s">
        <v>977</v>
      </c>
      <c r="D5031" s="21" t="s">
        <v>978</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1116</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2313</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1189</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1038</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1060</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2314</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2315</v>
      </c>
      <c r="B5038" s="21" t="s">
        <v>1066</v>
      </c>
      <c r="C5038" s="21" t="s">
        <v>1063</v>
      </c>
      <c r="D5038" s="21" t="s">
        <v>978</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2265</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1002</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1000</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1017</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1010</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1072</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1294</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1147</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1189</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1347</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997</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2316</v>
      </c>
      <c r="B5050" s="21" t="s">
        <v>1036</v>
      </c>
      <c r="C5050" s="21" t="s">
        <v>995</v>
      </c>
      <c r="D5050" s="21" t="s">
        <v>978</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2317</v>
      </c>
      <c r="B5051" s="21" t="s">
        <v>1084</v>
      </c>
      <c r="C5051" s="21" t="s">
        <v>1116</v>
      </c>
      <c r="D5051" s="21" t="s">
        <v>978</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1000</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1065</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1289</v>
      </c>
      <c r="B5054" s="21" t="s">
        <v>1084</v>
      </c>
      <c r="C5054" s="21" t="s">
        <v>1008</v>
      </c>
      <c r="D5054" s="21" t="s">
        <v>978</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1002</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1047</v>
      </c>
      <c r="B5056" s="21" t="s">
        <v>1095</v>
      </c>
      <c r="C5056" s="21" t="s">
        <v>977</v>
      </c>
      <c r="D5056" s="21" t="s">
        <v>978</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2318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1137</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1004</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1092</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1206</v>
      </c>
      <c r="B5061" s="21" t="s">
        <v>989</v>
      </c>
      <c r="C5061" s="21" t="s">
        <v>995</v>
      </c>
      <c r="D5061" s="21" t="s">
        <v>978</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1002</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993</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2262</v>
      </c>
      <c r="B5064" s="21" t="s">
        <v>989</v>
      </c>
      <c r="C5064" s="21" t="s">
        <v>995</v>
      </c>
      <c r="D5064" s="21" t="s">
        <v>978</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2263</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996</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985</v>
      </c>
      <c r="B5067" s="21" t="s">
        <v>1007</v>
      </c>
      <c r="C5067" s="21" t="s">
        <v>987</v>
      </c>
      <c r="D5067" s="21" t="s">
        <v>978</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988</v>
      </c>
      <c r="B5068" s="21" t="s">
        <v>1054</v>
      </c>
      <c r="C5068" s="21" t="s">
        <v>990</v>
      </c>
      <c r="D5068" s="21" t="s">
        <v>978</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1002</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1070</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1154</v>
      </c>
      <c r="B5071" s="21" t="s">
        <v>1095</v>
      </c>
      <c r="C5071" s="21" t="s">
        <v>977</v>
      </c>
      <c r="D5071" s="21" t="s">
        <v>978</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1136</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1305</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2319</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1022</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row>
    <row r="5077" spans="1:12">
      <c r="A5077" s="20" t="s">
        <v>2320</v>
      </c>
    </row>
    <row r="5078" spans="1:12">
      <c r="A5078" s="20" t="s">
        <v>975</v>
      </c>
      <c r="B5078" s="21" t="s">
        <v>976</v>
      </c>
      <c r="C5078" s="21" t="s">
        <v>977</v>
      </c>
      <c r="D5078" s="21" t="s">
        <v>978</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979</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1804</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1004</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997</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2321</v>
      </c>
      <c r="B5083" s="21" t="s">
        <v>989</v>
      </c>
      <c r="C5083" s="21" t="s">
        <v>995</v>
      </c>
      <c r="D5083" s="21" t="s">
        <v>978</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996</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1135</v>
      </c>
      <c r="B5085" s="21" t="s">
        <v>1101</v>
      </c>
      <c r="C5085" s="21" t="s">
        <v>977</v>
      </c>
      <c r="D5085" s="21" t="s">
        <v>978</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489</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609</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2322</v>
      </c>
      <c r="B5088" s="21" t="s">
        <v>1101</v>
      </c>
      <c r="C5088" s="21" t="s">
        <v>983</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1002</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1000</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1010</v>
      </c>
      <c r="B5091" s="21" t="s">
        <v>1095</v>
      </c>
      <c r="C5091" s="21" t="s">
        <v>977</v>
      </c>
      <c r="D5091" s="21" t="s">
        <v>978</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1323</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2323</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2163</v>
      </c>
      <c r="B5094" s="21" t="s">
        <v>1054</v>
      </c>
      <c r="C5094" s="21" t="s">
        <v>987</v>
      </c>
      <c r="D5094" s="21" t="s">
        <v>978</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2324</v>
      </c>
      <c r="B5095" s="21" t="s">
        <v>1052</v>
      </c>
      <c r="C5095" s="21" t="s">
        <v>990</v>
      </c>
      <c r="D5095" s="21" t="s">
        <v>978</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1022</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row>
    <row r="5098" spans="1:12">
      <c r="A5098" s="20" t="s">
        <v>2325</v>
      </c>
    </row>
    <row r="5099" spans="1:12">
      <c r="A5099" s="20" t="s">
        <v>190</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2326</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2104</v>
      </c>
      <c r="B5101" s="21" t="s">
        <v>976</v>
      </c>
      <c r="C5101" s="21" t="s">
        <v>1063</v>
      </c>
      <c r="D5101" s="21" t="s">
        <v>978</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1135</v>
      </c>
      <c r="B5102" s="21" t="s">
        <v>982</v>
      </c>
      <c r="C5102" s="21" t="s">
        <v>977</v>
      </c>
      <c r="D5102" s="21" t="s">
        <v>978</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1828</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1220</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2327</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1002</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1000</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1154</v>
      </c>
      <c r="B5108" s="21" t="s">
        <v>1095</v>
      </c>
      <c r="C5108" s="21" t="s">
        <v>977</v>
      </c>
      <c r="D5108" s="21" t="s">
        <v>978</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979</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2328</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1038</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1047</v>
      </c>
      <c r="B5112" s="21" t="s">
        <v>1066</v>
      </c>
      <c r="C5112" s="21" t="s">
        <v>977</v>
      </c>
      <c r="D5112" s="21" t="s">
        <v>978</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71</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1830</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1004</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997</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2329</v>
      </c>
      <c r="B5117" s="21" t="s">
        <v>1084</v>
      </c>
      <c r="C5117" s="21" t="s">
        <v>1057</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1081</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1799</v>
      </c>
      <c r="B5119" s="21" t="s">
        <v>1084</v>
      </c>
      <c r="C5119" s="21" t="s">
        <v>977</v>
      </c>
      <c r="D5119" s="21" t="s">
        <v>978</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2330</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2331</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984</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609</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2332</v>
      </c>
      <c r="B5124" s="21" t="s">
        <v>1040</v>
      </c>
      <c r="C5124" s="21" t="s">
        <v>983</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1230</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2333</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1047</v>
      </c>
      <c r="B5127" s="21" t="s">
        <v>1833</v>
      </c>
      <c r="C5127" s="21" t="s">
        <v>977</v>
      </c>
      <c r="D5127" s="21" t="s">
        <v>978</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1999</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1002</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1194</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1465</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984</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609</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2334</v>
      </c>
      <c r="B5134" s="21" t="s">
        <v>1014</v>
      </c>
      <c r="C5134" s="21" t="s">
        <v>983</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1002</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1000</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2224</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1002</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1154</v>
      </c>
      <c r="B5139" s="21" t="s">
        <v>2183</v>
      </c>
      <c r="C5139" s="21" t="s">
        <v>977</v>
      </c>
      <c r="D5139" s="21" t="s">
        <v>978</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979</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2335</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1050</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2336</v>
      </c>
      <c r="B5143" s="21" t="s">
        <v>2137</v>
      </c>
      <c r="C5143" s="21" t="s">
        <v>990</v>
      </c>
      <c r="D5143" s="21" t="s">
        <v>978</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996</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997</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2337</v>
      </c>
      <c r="B5146" s="21" t="s">
        <v>2189</v>
      </c>
      <c r="C5146" s="21" t="s">
        <v>1116</v>
      </c>
      <c r="D5146" s="21" t="s">
        <v>978</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2338</v>
      </c>
      <c r="B5147" s="21" t="s">
        <v>2339</v>
      </c>
      <c r="C5147" s="21" t="s">
        <v>1116</v>
      </c>
      <c r="D5147" s="21" t="s">
        <v>978</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2340</v>
      </c>
      <c r="B5148" s="21" t="s">
        <v>2339</v>
      </c>
      <c r="C5148" s="21" t="s">
        <v>1116</v>
      </c>
      <c r="D5148" s="21" t="s">
        <v>978</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2341</v>
      </c>
      <c r="B5149" s="21" t="s">
        <v>2339</v>
      </c>
      <c r="C5149" s="21" t="s">
        <v>1116</v>
      </c>
      <c r="D5149" s="21" t="s">
        <v>978</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1081</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1830</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1004</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997</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2329</v>
      </c>
      <c r="B5154" s="21" t="s">
        <v>2189</v>
      </c>
      <c r="C5154" s="21" t="s">
        <v>995</v>
      </c>
      <c r="D5154" s="21" t="s">
        <v>978</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996</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1092</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1111</v>
      </c>
      <c r="B5157" s="21" t="s">
        <v>2339</v>
      </c>
      <c r="C5157" s="21" t="s">
        <v>995</v>
      </c>
      <c r="D5157" s="21" t="s">
        <v>978</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1674</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993</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1599</v>
      </c>
      <c r="B5160" s="21" t="s">
        <v>2189</v>
      </c>
      <c r="C5160" s="21" t="s">
        <v>995</v>
      </c>
      <c r="D5160" s="21" t="s">
        <v>978</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2342</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1022</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row>
    <row r="5164" spans="1:12">
      <c r="A5164" s="20" t="s">
        <v>2343</v>
      </c>
    </row>
    <row r="5165" spans="1:12">
      <c r="A5165" s="20" t="s">
        <v>992</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1154</v>
      </c>
      <c r="B5166" s="21" t="s">
        <v>976</v>
      </c>
      <c r="C5166" s="21" t="s">
        <v>977</v>
      </c>
      <c r="D5166" s="21" t="s">
        <v>978</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979</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1267</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1039</v>
      </c>
      <c r="B5169" s="21" t="s">
        <v>986</v>
      </c>
      <c r="C5169" s="21" t="s">
        <v>987</v>
      </c>
      <c r="D5169" s="21" t="s">
        <v>978</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2344</v>
      </c>
      <c r="B5170" s="21" t="s">
        <v>982</v>
      </c>
      <c r="C5170" s="21" t="s">
        <v>990</v>
      </c>
      <c r="D5170" s="21" t="s">
        <v>978</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1002</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1000</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1092</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2345</v>
      </c>
      <c r="B5174" s="21" t="s">
        <v>1095</v>
      </c>
      <c r="C5174" s="21" t="s">
        <v>995</v>
      </c>
      <c r="D5174" s="21" t="s">
        <v>978</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1018</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2346</v>
      </c>
      <c r="B5176" s="21" t="s">
        <v>1054</v>
      </c>
      <c r="C5176" s="21" t="s">
        <v>1057</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1135</v>
      </c>
      <c r="B5177" s="21" t="s">
        <v>1052</v>
      </c>
      <c r="C5177" s="21" t="s">
        <v>977</v>
      </c>
      <c r="D5177" s="21" t="s">
        <v>978</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1323</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2347</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1002</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1000</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1323</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1384</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1216</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1217</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1247</v>
      </c>
      <c r="B5186" s="21" t="s">
        <v>1095</v>
      </c>
      <c r="C5186" s="21" t="s">
        <v>1020</v>
      </c>
      <c r="D5186" s="21" t="s">
        <v>978</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1116</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1469</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1492</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1189</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2348</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1633</v>
      </c>
      <c r="B5192" s="21" t="s">
        <v>1101</v>
      </c>
      <c r="C5192" s="21" t="s">
        <v>1020</v>
      </c>
      <c r="D5192" s="21" t="s">
        <v>978</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1022</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row>
    <row r="5195" spans="1:12">
      <c r="A5195" s="20" t="s">
        <v>2349</v>
      </c>
    </row>
    <row r="5196" spans="1:12">
      <c r="A5196" s="20" t="s">
        <v>190</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1217</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743</v>
      </c>
      <c r="B5198" s="21" t="s">
        <v>989</v>
      </c>
      <c r="C5198" s="21" t="s">
        <v>1116</v>
      </c>
      <c r="D5198" s="21" t="s">
        <v>978</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1002</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1190</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1189</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1404</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row>
    <row r="5204" spans="1:12">
      <c r="A5204" s="20" t="s">
        <v>2350</v>
      </c>
    </row>
    <row r="5205" spans="1:12">
      <c r="A5205" s="20" t="s">
        <v>190</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992</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1468</v>
      </c>
      <c r="B5207" s="21" t="s">
        <v>976</v>
      </c>
      <c r="C5207" s="21" t="s">
        <v>977</v>
      </c>
      <c r="D5207" s="21" t="s">
        <v>978</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1323</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2351</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1217</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1273</v>
      </c>
      <c r="B5211" s="21" t="s">
        <v>1095</v>
      </c>
      <c r="C5211" s="21" t="s">
        <v>1008</v>
      </c>
      <c r="D5211" s="21" t="s">
        <v>978</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1067</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1203</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2352</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1002</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1065</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2353</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1022</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row>
    <row r="5220" spans="1:12">
      <c r="A5220" s="20" t="s">
        <v>2354</v>
      </c>
    </row>
    <row r="5221" spans="1:12">
      <c r="A5221" s="20" t="s">
        <v>2326</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750</v>
      </c>
      <c r="B5222" s="21" t="s">
        <v>989</v>
      </c>
      <c r="C5222" s="21" t="s">
        <v>1063</v>
      </c>
      <c r="D5222" s="21" t="s">
        <v>978</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1142</v>
      </c>
      <c r="B5223" s="21" t="s">
        <v>1095</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1478</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1183</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1310</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1270</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1004</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997</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2212</v>
      </c>
      <c r="B5230" s="21" t="s">
        <v>989</v>
      </c>
      <c r="C5230" s="21" t="s">
        <v>995</v>
      </c>
      <c r="D5230" s="21" t="s">
        <v>978</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996</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1074</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2355</v>
      </c>
      <c r="B5233" s="21" t="s">
        <v>986</v>
      </c>
      <c r="C5233" s="21" t="s">
        <v>995</v>
      </c>
      <c r="D5233" s="21" t="s">
        <v>978</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996</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1092</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2356</v>
      </c>
      <c r="B5236" s="21" t="s">
        <v>1054</v>
      </c>
      <c r="C5236" s="21" t="s">
        <v>995</v>
      </c>
      <c r="D5236" s="21" t="s">
        <v>978</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1000</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1046</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1025</v>
      </c>
      <c r="B5239" s="21" t="s">
        <v>1095</v>
      </c>
      <c r="C5239" s="21" t="s">
        <v>977</v>
      </c>
      <c r="D5239" s="21" t="s">
        <v>978</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2194</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1168</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1284</v>
      </c>
      <c r="B5242" s="21" t="s">
        <v>1052</v>
      </c>
      <c r="C5242" s="21" t="s">
        <v>1104</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996</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2069</v>
      </c>
      <c r="B5244" s="21" t="s">
        <v>1054</v>
      </c>
      <c r="C5244" s="21" t="s">
        <v>1057</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1000</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1025</v>
      </c>
      <c r="B5246" s="21" t="s">
        <v>1066</v>
      </c>
      <c r="C5246" s="21" t="s">
        <v>977</v>
      </c>
      <c r="D5246" s="21" t="s">
        <v>978</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1478</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1004</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1862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1968</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2357</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1004</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2358</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2359</v>
      </c>
      <c r="B5254" s="21" t="s">
        <v>1036</v>
      </c>
      <c r="C5254" s="21" t="s">
        <v>1116</v>
      </c>
      <c r="D5254" s="21" t="s">
        <v>978</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2360</v>
      </c>
      <c r="B5255" s="21" t="s">
        <v>1084</v>
      </c>
      <c r="C5255" s="21" t="s">
        <v>1116</v>
      </c>
      <c r="D5255" s="21" t="s">
        <v>978</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1404</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row>
    <row r="5258" spans="1:12">
      <c r="A5258" s="20" t="s">
        <v>2361</v>
      </c>
    </row>
    <row r="5259" spans="1:12">
      <c r="A5259" s="20" t="s">
        <v>1273</v>
      </c>
      <c r="B5259" s="21" t="s">
        <v>976</v>
      </c>
      <c r="C5259" s="21" t="s">
        <v>1008</v>
      </c>
      <c r="D5259" s="21" t="s">
        <v>978</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1067</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1203</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2362</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1002</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1065</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2353</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1022</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row>
    <row r="5268" spans="1:12">
      <c r="A5268" s="20" t="s">
        <v>2363</v>
      </c>
    </row>
    <row r="5269" spans="1:12">
      <c r="A5269" s="20" t="s">
        <v>190</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1624</v>
      </c>
      <c r="B5270" s="21" t="s">
        <v>976</v>
      </c>
      <c r="C5270" s="21" t="s">
        <v>977</v>
      </c>
      <c r="D5270" s="21" t="s">
        <v>978</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1323</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1384</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1216</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1217</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1273</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1067</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1305</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1092</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1642</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1825</v>
      </c>
      <c r="B5280" s="21" t="s">
        <v>989</v>
      </c>
      <c r="C5280" s="21" t="s">
        <v>995</v>
      </c>
      <c r="D5280" s="21" t="s">
        <v>978</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1038</v>
      </c>
      <c r="B5281" s="21" t="s">
        <v>1101</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1154</v>
      </c>
      <c r="B5282" s="21" t="s">
        <v>1066</v>
      </c>
      <c r="C5282" s="21" t="s">
        <v>977</v>
      </c>
      <c r="D5282" s="21" t="s">
        <v>978</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2364</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1050</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2365</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2344</v>
      </c>
      <c r="B5286" s="21" t="s">
        <v>1054</v>
      </c>
      <c r="C5286" s="21" t="s">
        <v>983</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1022</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row>
    <row r="5289" spans="1:12">
      <c r="A5289" s="20" t="s">
        <v>2366</v>
      </c>
    </row>
    <row r="5290" spans="1:12">
      <c r="A5290" s="20" t="s">
        <v>190</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992</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1154</v>
      </c>
      <c r="B5292" s="21" t="s">
        <v>976</v>
      </c>
      <c r="C5292" s="21" t="s">
        <v>977</v>
      </c>
      <c r="D5292" s="21" t="s">
        <v>978</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979</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1384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1216</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1217</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1125</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1219</v>
      </c>
      <c r="B5298" s="21" t="s">
        <v>1095</v>
      </c>
      <c r="C5298" s="21" t="s">
        <v>995</v>
      </c>
      <c r="D5298" s="21" t="s">
        <v>978</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1038</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1297</v>
      </c>
      <c r="B5300" s="21" t="s">
        <v>1035</v>
      </c>
      <c r="C5300" s="21" t="s">
        <v>977</v>
      </c>
      <c r="D5300" s="21" t="s">
        <v>978</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1072</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1018</v>
      </c>
      <c r="B5302" s="21" t="s">
        <v>1146</v>
      </c>
      <c r="C5302" s="21" t="s">
        <v>1020</v>
      </c>
      <c r="D5302" s="21" t="s">
        <v>978</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2151</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1670</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2090</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263</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2367</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1519</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1009</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1010</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1017</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1549</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996</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993</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1214</v>
      </c>
      <c r="B5315" s="21" t="s">
        <v>986</v>
      </c>
      <c r="C5315" s="21" t="s">
        <v>995</v>
      </c>
      <c r="D5315" s="21" t="s">
        <v>978</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1022</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row>
    <row r="5318" spans="1:12">
      <c r="A5318" s="20" t="s">
        <v>2368</v>
      </c>
    </row>
    <row r="5319" spans="1:12">
      <c r="A5319" s="20" t="s">
        <v>190</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1217</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992</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1865</v>
      </c>
      <c r="B5322" s="21" t="s">
        <v>976</v>
      </c>
      <c r="C5322" s="21" t="s">
        <v>977</v>
      </c>
      <c r="D5322" s="21" t="s">
        <v>978</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1945</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1519</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609</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2369</v>
      </c>
      <c r="B5326" s="21" t="s">
        <v>989</v>
      </c>
      <c r="C5326" s="21" t="s">
        <v>983</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1022</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row>
    <row r="5329" spans="1:12">
      <c r="A5329" s="20" t="s">
        <v>2370</v>
      </c>
    </row>
    <row r="5330" spans="1:12">
      <c r="A5330" s="20" t="s">
        <v>190</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1594</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1167</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609</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1862</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996</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2371</v>
      </c>
      <c r="B5336" s="21" t="s">
        <v>986</v>
      </c>
      <c r="C5336" s="21" t="s">
        <v>1057</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1002</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1025</v>
      </c>
      <c r="B5338" s="21" t="s">
        <v>976</v>
      </c>
      <c r="C5338" s="21" t="s">
        <v>977</v>
      </c>
      <c r="D5338" s="21" t="s">
        <v>978</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1828</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2282</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996</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997</v>
      </c>
      <c r="B5342" s="21" t="s">
        <v>1052</v>
      </c>
      <c r="C5342" s="21" t="s">
        <v>977</v>
      </c>
      <c r="D5342" s="21" t="s">
        <v>978</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414</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1022</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row>
    <row r="5346" spans="1:12">
      <c r="A5346" s="20" t="s">
        <v>2372</v>
      </c>
    </row>
    <row r="5347" spans="1:12">
      <c r="A5347" s="20" t="s">
        <v>1174</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1154</v>
      </c>
      <c r="B5348" s="21" t="s">
        <v>976</v>
      </c>
      <c r="C5348" s="21" t="s">
        <v>977</v>
      </c>
      <c r="D5348" s="21" t="s">
        <v>978</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979</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1074</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2172</v>
      </c>
      <c r="B5351" s="21" t="s">
        <v>982</v>
      </c>
      <c r="C5351" s="21" t="s">
        <v>995</v>
      </c>
      <c r="D5351" s="21" t="s">
        <v>978</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1038</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1220</v>
      </c>
      <c r="B5353" s="21" t="s">
        <v>1066</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996</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1253</v>
      </c>
      <c r="B5355" s="21" t="s">
        <v>1084</v>
      </c>
      <c r="C5355" s="21" t="s">
        <v>987</v>
      </c>
      <c r="D5355" s="21" t="s">
        <v>978</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2373</v>
      </c>
      <c r="B5356" s="21" t="s">
        <v>1007</v>
      </c>
      <c r="C5356" s="21" t="s">
        <v>990</v>
      </c>
      <c r="D5356" s="21" t="s">
        <v>978</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1026</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2374</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1081</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1050</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1381</v>
      </c>
      <c r="B5361" s="21" t="s">
        <v>1054</v>
      </c>
      <c r="C5361" s="21" t="s">
        <v>983</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2375</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1004</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1074</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2376</v>
      </c>
      <c r="B5365" s="21" t="s">
        <v>1007</v>
      </c>
      <c r="C5365" s="21" t="s">
        <v>995</v>
      </c>
      <c r="D5365" s="21" t="s">
        <v>978</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1038</v>
      </c>
      <c r="B5366" s="21" t="s">
        <v>1229</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993</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750</v>
      </c>
      <c r="B5368" s="21" t="s">
        <v>1311</v>
      </c>
      <c r="C5368" s="21" t="s">
        <v>995</v>
      </c>
      <c r="D5368" s="21" t="s">
        <v>978</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1828</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1137</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1235</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1074</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2220</v>
      </c>
      <c r="B5373" s="21" t="s">
        <v>1040</v>
      </c>
      <c r="C5373" s="21" t="s">
        <v>995</v>
      </c>
      <c r="D5373" s="21" t="s">
        <v>978</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996</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997</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2069</v>
      </c>
      <c r="B5376" s="21" t="s">
        <v>1317</v>
      </c>
      <c r="C5376" s="21" t="s">
        <v>995</v>
      </c>
      <c r="D5376" s="21" t="s">
        <v>978</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1002</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1038</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1070</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1670</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1145</v>
      </c>
      <c r="B5381" s="21" t="s">
        <v>1066</v>
      </c>
      <c r="C5381" s="21" t="s">
        <v>1020</v>
      </c>
      <c r="D5381" s="21" t="s">
        <v>978</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1093</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2377</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1004</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2378</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1220</v>
      </c>
      <c r="B5386" s="21" t="s">
        <v>1036</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996</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750</v>
      </c>
      <c r="B5388" s="21" t="s">
        <v>1084</v>
      </c>
      <c r="C5388" s="21" t="s">
        <v>1057</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996</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993</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2379</v>
      </c>
      <c r="B5391" s="21" t="s">
        <v>1040</v>
      </c>
      <c r="C5391" s="21" t="s">
        <v>995</v>
      </c>
      <c r="D5391" s="21" t="s">
        <v>978</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2342</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1002</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1877</v>
      </c>
      <c r="B5394" s="21" t="s">
        <v>1095</v>
      </c>
      <c r="C5394" s="21" t="s">
        <v>1008</v>
      </c>
      <c r="D5394" s="21" t="s">
        <v>978</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2380</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996</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1074</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2381</v>
      </c>
      <c r="B5398" s="21" t="s">
        <v>986</v>
      </c>
      <c r="C5398" s="21" t="s">
        <v>995</v>
      </c>
      <c r="D5398" s="21" t="s">
        <v>978</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1002</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2160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1009</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1145</v>
      </c>
      <c r="B5402" s="21" t="s">
        <v>1066</v>
      </c>
      <c r="C5402" s="21" t="s">
        <v>1020</v>
      </c>
      <c r="D5402" s="21" t="s">
        <v>978</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993</v>
      </c>
      <c r="B5403" s="21" t="s">
        <v>1101</v>
      </c>
      <c r="C5403" s="21" t="s">
        <v>977</v>
      </c>
      <c r="D5403" s="21" t="s">
        <v>978</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2382</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1022</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row>
    <row r="5407" spans="1:12">
      <c r="A5407" s="20" t="s">
        <v>2383</v>
      </c>
    </row>
    <row r="5408" spans="1:12">
      <c r="A5408" s="20" t="s">
        <v>1357</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2226</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1689</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2384</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2385</v>
      </c>
      <c r="B5412" s="21" t="s">
        <v>976</v>
      </c>
      <c r="C5412" s="21" t="s">
        <v>1063</v>
      </c>
      <c r="D5412" s="21" t="s">
        <v>978</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2386</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1142</v>
      </c>
      <c r="B5414" s="21" t="s">
        <v>1066</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1012</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93</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2387</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1038</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997</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1435</v>
      </c>
      <c r="B5420" s="21" t="s">
        <v>1007</v>
      </c>
      <c r="C5420" s="21" t="s">
        <v>995</v>
      </c>
      <c r="D5420" s="21" t="s">
        <v>978</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996</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1092</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1111</v>
      </c>
      <c r="B5423" s="21" t="s">
        <v>1084</v>
      </c>
      <c r="C5423" s="21" t="s">
        <v>995</v>
      </c>
      <c r="D5423" s="21" t="s">
        <v>978</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1002</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993</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1392</v>
      </c>
      <c r="B5426" s="21" t="s">
        <v>1084</v>
      </c>
      <c r="C5426" s="21" t="s">
        <v>995</v>
      </c>
      <c r="D5426" s="21" t="s">
        <v>978</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1000</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2085</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996</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2388</v>
      </c>
      <c r="B5430" s="21" t="s">
        <v>1014</v>
      </c>
      <c r="C5430" s="21" t="s">
        <v>1057</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1002</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2389</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1018</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2390</v>
      </c>
      <c r="B5434" s="21" t="s">
        <v>1040</v>
      </c>
      <c r="C5434" s="21" t="s">
        <v>1057</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1002</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1000</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1038</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172</v>
      </c>
      <c r="B5438" s="21" t="s">
        <v>1095</v>
      </c>
      <c r="C5438" s="21" t="s">
        <v>1008</v>
      </c>
      <c r="D5438" s="21" t="s">
        <v>978</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1072</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1067</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1189</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2391</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1022</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row>
    <row r="5445" spans="1:12">
      <c r="A5445" s="20" t="s">
        <v>2392</v>
      </c>
    </row>
    <row r="5446" spans="1:12">
      <c r="A5446" s="20" t="s">
        <v>992</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1047</v>
      </c>
      <c r="B5447" s="21" t="s">
        <v>976</v>
      </c>
      <c r="C5447" s="21" t="s">
        <v>977</v>
      </c>
      <c r="D5447" s="21" t="s">
        <v>978</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2393</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1877</v>
      </c>
      <c r="B5449" s="21" t="s">
        <v>982</v>
      </c>
      <c r="C5449" s="21" t="s">
        <v>1008</v>
      </c>
      <c r="D5449" s="21" t="s">
        <v>978</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1482</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2394</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1022</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row>
    <row r="5454" spans="1:12">
      <c r="A5454" s="20" t="s">
        <v>2395</v>
      </c>
    </row>
    <row r="5455" spans="1:12">
      <c r="A5455" s="20" t="s">
        <v>1357</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1524</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2391</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1038</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1497</v>
      </c>
      <c r="B5459" s="21" t="s">
        <v>1054</v>
      </c>
      <c r="C5459" s="21" t="s">
        <v>987</v>
      </c>
      <c r="D5459" s="21" t="s">
        <v>978</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2396</v>
      </c>
      <c r="B5460" s="21" t="s">
        <v>1095</v>
      </c>
      <c r="C5460" s="21" t="s">
        <v>990</v>
      </c>
      <c r="D5460" s="21" t="s">
        <v>978</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2397</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1002</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1194</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323</v>
      </c>
      <c r="B5464" s="21" t="s">
        <v>1066</v>
      </c>
      <c r="C5464" s="21" t="s">
        <v>1057</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1116</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2398</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2399</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997</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2400</v>
      </c>
      <c r="B5469" s="21" t="s">
        <v>1054</v>
      </c>
      <c r="C5469" s="21" t="s">
        <v>995</v>
      </c>
      <c r="D5469" s="21" t="s">
        <v>978</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1002</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1004</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997</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1270</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1189</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984</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1039</v>
      </c>
      <c r="B5476" s="21" t="s">
        <v>1084</v>
      </c>
      <c r="C5476" s="21" t="s">
        <v>987</v>
      </c>
      <c r="D5476" s="21" t="s">
        <v>978</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2401</v>
      </c>
      <c r="B5477" s="21" t="s">
        <v>1007</v>
      </c>
      <c r="C5477" s="21" t="s">
        <v>990</v>
      </c>
      <c r="D5477" s="21" t="s">
        <v>978</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1022</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row>
    <row r="5480" spans="1:12">
      <c r="A5480" s="20" t="s">
        <v>2402</v>
      </c>
    </row>
    <row r="5481" spans="1:12">
      <c r="A5481" s="20" t="s">
        <v>992</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1046</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993</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750</v>
      </c>
      <c r="B5484" s="21" t="s">
        <v>976</v>
      </c>
      <c r="C5484" s="21" t="s">
        <v>995</v>
      </c>
      <c r="D5484" s="21" t="s">
        <v>978</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1753</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1216</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1217</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2403</v>
      </c>
      <c r="B5488" s="21" t="s">
        <v>989</v>
      </c>
      <c r="C5488" s="21" t="s">
        <v>1116</v>
      </c>
      <c r="D5488" s="21" t="s">
        <v>978</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1002</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1194</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1371</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1002</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1092</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1111</v>
      </c>
      <c r="B5494" s="21" t="s">
        <v>1066</v>
      </c>
      <c r="C5494" s="21" t="s">
        <v>995</v>
      </c>
      <c r="D5494" s="21" t="s">
        <v>978</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1219</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1128</v>
      </c>
      <c r="B5496" s="21" t="s">
        <v>1101</v>
      </c>
      <c r="C5496" s="21" t="s">
        <v>990</v>
      </c>
      <c r="D5496" s="21" t="s">
        <v>978</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996</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172</v>
      </c>
      <c r="B5498" s="21" t="s">
        <v>1007</v>
      </c>
      <c r="C5498" s="21" t="s">
        <v>1008</v>
      </c>
      <c r="D5498" s="21" t="s">
        <v>978</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1009</v>
      </c>
      <c r="B5499" s="21" t="s">
        <v>1229</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1145</v>
      </c>
      <c r="B5500" s="21" t="s">
        <v>1311</v>
      </c>
      <c r="C5500" s="21" t="s">
        <v>1020</v>
      </c>
      <c r="D5500" s="21" t="s">
        <v>978</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1067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2404</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2405</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1404</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row>
    <row r="5506" spans="1:12">
      <c r="A5506" s="20" t="s">
        <v>2406</v>
      </c>
    </row>
    <row r="5507" spans="1:12">
      <c r="A5507" s="20" t="s">
        <v>1512</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1111</v>
      </c>
      <c r="B5508" s="21" t="s">
        <v>989</v>
      </c>
      <c r="C5508" s="21" t="s">
        <v>995</v>
      </c>
      <c r="D5508" s="21" t="s">
        <v>978</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1002</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1289</v>
      </c>
      <c r="B5510" s="21" t="s">
        <v>976</v>
      </c>
      <c r="C5510" s="21" t="s">
        <v>1008</v>
      </c>
      <c r="D5510" s="21" t="s">
        <v>978</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1219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1128</v>
      </c>
      <c r="B5512" s="21" t="s">
        <v>982</v>
      </c>
      <c r="C5512" s="21" t="s">
        <v>990</v>
      </c>
      <c r="D5512" s="21" t="s">
        <v>978</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996</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1471</v>
      </c>
      <c r="B5514" s="21" t="s">
        <v>1054</v>
      </c>
      <c r="C5514" s="21" t="s">
        <v>987</v>
      </c>
      <c r="D5514" s="21" t="s">
        <v>978</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2407</v>
      </c>
      <c r="B5515" s="21" t="s">
        <v>986</v>
      </c>
      <c r="C5515" s="21" t="s">
        <v>990</v>
      </c>
      <c r="D5515" s="21" t="s">
        <v>978</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1002</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2330</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1404</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row>
    <row r="5520" spans="1:12">
      <c r="A5520" s="20" t="s">
        <v>2408</v>
      </c>
    </row>
    <row r="5521" spans="1:12">
      <c r="A5521" s="20" t="s">
        <v>1218</v>
      </c>
      <c r="B5521" s="21" t="s">
        <v>976</v>
      </c>
      <c r="C5521" s="21" t="s">
        <v>1008</v>
      </c>
      <c r="D5521" s="21" t="s">
        <v>978</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1219</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1128</v>
      </c>
      <c r="B5523" s="21" t="s">
        <v>982</v>
      </c>
      <c r="C5523" s="21" t="s">
        <v>990</v>
      </c>
      <c r="D5523" s="21" t="s">
        <v>978</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996</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2409</v>
      </c>
      <c r="B5525" s="21" t="s">
        <v>1054</v>
      </c>
      <c r="C5525" s="21" t="s">
        <v>987</v>
      </c>
      <c r="D5525" s="21" t="s">
        <v>978</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2410</v>
      </c>
      <c r="B5526" s="21" t="s">
        <v>986</v>
      </c>
      <c r="C5526" s="21" t="s">
        <v>990</v>
      </c>
      <c r="D5526" s="21" t="s">
        <v>978</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1002</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2330</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1404</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row>
    <row r="5531" spans="1:12">
      <c r="A5531" s="20" t="s">
        <v>1451</v>
      </c>
    </row>
    <row r="5532" spans="1:12">
      <c r="A5532" s="20" t="s">
        <v>190</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row>
    <row r="5534" spans="1:12">
      <c r="A5534" s="20" t="s">
        <v>2411</v>
      </c>
    </row>
    <row r="5535" spans="1:12">
      <c r="A5535" s="20" t="s">
        <v>992</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1047</v>
      </c>
      <c r="B5536" s="21" t="s">
        <v>976</v>
      </c>
      <c r="C5536" s="21" t="s">
        <v>977</v>
      </c>
      <c r="D5536" s="21" t="s">
        <v>978</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1839</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1106</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1002</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1038</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1074</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1677</v>
      </c>
      <c r="B5542" s="21" t="s">
        <v>1095</v>
      </c>
      <c r="C5542" s="21" t="s">
        <v>995</v>
      </c>
      <c r="D5542" s="21" t="s">
        <v>978</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1081</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1041</v>
      </c>
      <c r="B5544" s="21" t="s">
        <v>1054</v>
      </c>
      <c r="C5544" s="21" t="s">
        <v>1057</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1017</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2412</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1022</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row>
    <row r="5549" spans="1:12">
      <c r="A5549" s="20" t="s">
        <v>2413</v>
      </c>
    </row>
    <row r="5550" spans="1:12">
      <c r="A5550" s="20" t="s">
        <v>2414</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1402</v>
      </c>
      <c r="B5551" s="21" t="s">
        <v>976</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996</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853</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1092</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1538</v>
      </c>
      <c r="B5555" s="21" t="s">
        <v>1101</v>
      </c>
      <c r="C5555" s="21" t="s">
        <v>995</v>
      </c>
      <c r="D5555" s="21" t="s">
        <v>978</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1000</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1092</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1328</v>
      </c>
      <c r="B5558" s="21" t="s">
        <v>1007</v>
      </c>
      <c r="C5558" s="21" t="s">
        <v>995</v>
      </c>
      <c r="D5558" s="21" t="s">
        <v>978</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1000</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1092</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2415</v>
      </c>
      <c r="B5561" s="21" t="s">
        <v>1007</v>
      </c>
      <c r="C5561" s="21" t="s">
        <v>995</v>
      </c>
      <c r="D5561" s="21" t="s">
        <v>978</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1000</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997</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2416</v>
      </c>
      <c r="B5564" s="21" t="s">
        <v>1007</v>
      </c>
      <c r="C5564" s="21" t="s">
        <v>995</v>
      </c>
      <c r="D5564" s="21" t="s">
        <v>978</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1000</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1608</v>
      </c>
      <c r="B5566" s="21" t="s">
        <v>1007</v>
      </c>
      <c r="C5566" s="21" t="s">
        <v>1020</v>
      </c>
      <c r="D5566" s="21" t="s">
        <v>978</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1497</v>
      </c>
      <c r="B5567" s="21" t="s">
        <v>1040</v>
      </c>
      <c r="C5567" s="21" t="s">
        <v>987</v>
      </c>
      <c r="D5567" s="21" t="s">
        <v>978</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1340</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2417</v>
      </c>
      <c r="B5569" s="21" t="s">
        <v>1084</v>
      </c>
      <c r="C5569" s="21" t="s">
        <v>990</v>
      </c>
      <c r="D5569" s="21" t="s">
        <v>978</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1002</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1067</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1081</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1050</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2418</v>
      </c>
      <c r="B5574" s="21" t="s">
        <v>989</v>
      </c>
      <c r="C5574" s="21" t="s">
        <v>983</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1557</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1022</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row>
    <row r="5578" spans="1:12">
      <c r="A5578" s="20" t="s">
        <v>2419</v>
      </c>
    </row>
    <row r="5579" spans="1:12">
      <c r="A5579" s="20" t="s">
        <v>992</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1092</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2231</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1111</v>
      </c>
      <c r="B5582" s="21" t="s">
        <v>976</v>
      </c>
      <c r="C5582" s="21" t="s">
        <v>995</v>
      </c>
      <c r="D5582" s="21" t="s">
        <v>978</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1067</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172</v>
      </c>
      <c r="B5584" s="21" t="s">
        <v>989</v>
      </c>
      <c r="C5584" s="21" t="s">
        <v>1008</v>
      </c>
      <c r="D5584" s="21" t="s">
        <v>978</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1142</v>
      </c>
      <c r="B5585" s="21" t="s">
        <v>1095</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2420</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1024</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172</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2421</v>
      </c>
      <c r="B5589" s="21" t="s">
        <v>1066</v>
      </c>
      <c r="C5589" s="21" t="s">
        <v>1063</v>
      </c>
      <c r="D5589" s="21" t="s">
        <v>978</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1116</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2422</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1183</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1022</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row>
    <row r="5595" spans="1:12">
      <c r="A5595" s="20" t="s">
        <v>2423</v>
      </c>
    </row>
    <row r="5596" spans="1:12">
      <c r="A5596" s="20" t="s">
        <v>1416</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1010</v>
      </c>
      <c r="B5597" s="21" t="s">
        <v>976</v>
      </c>
      <c r="C5597" s="21" t="s">
        <v>977</v>
      </c>
      <c r="D5597" s="21" t="s">
        <v>978</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1116</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1017</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2412</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1183</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1022</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row>
    <row r="5604" spans="1:12">
      <c r="A5604" s="20" t="s">
        <v>2424</v>
      </c>
    </row>
    <row r="5605" spans="1:12">
      <c r="A5605" s="20" t="s">
        <v>1752</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750</v>
      </c>
      <c r="B5606" s="21" t="s">
        <v>976</v>
      </c>
      <c r="C5606" s="21" t="s">
        <v>995</v>
      </c>
      <c r="D5606" s="21" t="s">
        <v>978</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1135</v>
      </c>
      <c r="B5607" s="21" t="s">
        <v>982</v>
      </c>
      <c r="C5607" s="21" t="s">
        <v>977</v>
      </c>
      <c r="D5607" s="21" t="s">
        <v>978</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2425</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1000</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1753</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1216</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1217</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2208</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1002</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1047</v>
      </c>
      <c r="B5615" s="21" t="s">
        <v>1095</v>
      </c>
      <c r="C5615" s="21" t="s">
        <v>977</v>
      </c>
      <c r="D5615" s="21" t="s">
        <v>978</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2313</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1038</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1070</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1047</v>
      </c>
      <c r="B5619" s="21" t="s">
        <v>1035</v>
      </c>
      <c r="C5619" s="21" t="s">
        <v>977</v>
      </c>
      <c r="D5619" s="21" t="s">
        <v>978</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2426</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997</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1090</v>
      </c>
      <c r="B5622" s="21" t="s">
        <v>1036</v>
      </c>
      <c r="C5622" s="21" t="s">
        <v>995</v>
      </c>
      <c r="D5622" s="21" t="s">
        <v>978</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1059</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609</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2427</v>
      </c>
      <c r="B5625" s="21" t="s">
        <v>1007</v>
      </c>
      <c r="C5625" s="21" t="s">
        <v>983</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1002</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1047</v>
      </c>
      <c r="B5627" s="21" t="s">
        <v>1066</v>
      </c>
      <c r="C5627" s="21" t="s">
        <v>977</v>
      </c>
      <c r="D5627" s="21" t="s">
        <v>978</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2313</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1038</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1047</v>
      </c>
      <c r="B5630" s="21" t="s">
        <v>1035</v>
      </c>
      <c r="C5630" s="21" t="s">
        <v>977</v>
      </c>
      <c r="D5630" s="21" t="s">
        <v>978</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2428</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1135</v>
      </c>
      <c r="B5632" s="21" t="s">
        <v>1146</v>
      </c>
      <c r="C5632" s="21" t="s">
        <v>977</v>
      </c>
      <c r="D5632" s="21" t="s">
        <v>978</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1018</v>
      </c>
      <c r="B5633" s="21" t="s">
        <v>1146</v>
      </c>
      <c r="C5633" s="21" t="s">
        <v>1020</v>
      </c>
      <c r="D5633" s="21" t="s">
        <v>978</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868</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1022</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row>
    <row r="5637" spans="1:12">
      <c r="A5637" s="20" t="s">
        <v>2429</v>
      </c>
    </row>
    <row r="5638" spans="1:12">
      <c r="A5638" s="20" t="s">
        <v>190</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992</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1047</v>
      </c>
      <c r="B5640" s="21" t="s">
        <v>976</v>
      </c>
      <c r="C5640" s="21" t="s">
        <v>977</v>
      </c>
      <c r="D5640" s="21" t="s">
        <v>978</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1757</v>
      </c>
      <c r="B5641" s="21" t="s">
        <v>982</v>
      </c>
      <c r="C5641" s="21" t="s">
        <v>977</v>
      </c>
      <c r="D5641" s="21" t="s">
        <v>978</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2430</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1137</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1216</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1217</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1782</v>
      </c>
      <c r="B5646" s="21" t="s">
        <v>1095</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1865</v>
      </c>
      <c r="B5647" s="21" t="s">
        <v>1052</v>
      </c>
      <c r="C5647" s="21" t="s">
        <v>977</v>
      </c>
      <c r="D5647" s="21" t="s">
        <v>978</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2431</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2432</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1865</v>
      </c>
      <c r="B5650" s="21" t="s">
        <v>1095</v>
      </c>
      <c r="C5650" s="21" t="s">
        <v>977</v>
      </c>
      <c r="D5650" s="21" t="s">
        <v>978</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1018</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868</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1194</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1865</v>
      </c>
      <c r="B5654" s="21" t="s">
        <v>1066</v>
      </c>
      <c r="C5654" s="21" t="s">
        <v>977</v>
      </c>
      <c r="D5654" s="21" t="s">
        <v>978</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1072</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2433</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1183</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1670</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167</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1177</v>
      </c>
      <c r="B5660" s="21" t="s">
        <v>1101</v>
      </c>
      <c r="C5660" s="21" t="s">
        <v>1178</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1022</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row>
    <row r="5663" spans="1:12">
      <c r="A5663" s="20" t="s">
        <v>2434</v>
      </c>
    </row>
    <row r="5664" spans="1:12">
      <c r="A5664" s="20" t="s">
        <v>1512</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1426</v>
      </c>
      <c r="B5665" s="21" t="s">
        <v>976</v>
      </c>
      <c r="C5665" s="21" t="s">
        <v>995</v>
      </c>
      <c r="D5665" s="21" t="s">
        <v>978</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1067</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2435</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1002</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1000</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1877</v>
      </c>
      <c r="B5670" s="21" t="s">
        <v>1095</v>
      </c>
      <c r="C5670" s="21" t="s">
        <v>1008</v>
      </c>
      <c r="D5670" s="21" t="s">
        <v>978</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1625</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1050</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1643</v>
      </c>
      <c r="B5673" s="21" t="s">
        <v>986</v>
      </c>
      <c r="C5673" s="21" t="s">
        <v>983</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2040</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1038</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1865</v>
      </c>
      <c r="B5676" s="21" t="s">
        <v>1066</v>
      </c>
      <c r="C5676" s="21" t="s">
        <v>977</v>
      </c>
      <c r="D5676" s="21" t="s">
        <v>978</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1945</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2436</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1004</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2437</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1022</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row>
    <row r="5683" spans="1:12">
      <c r="A5683" s="20" t="s">
        <v>2438</v>
      </c>
    </row>
    <row r="5684" spans="1:12">
      <c r="A5684" s="20" t="s">
        <v>822</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1022</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row>
    <row r="5687" spans="1:12">
      <c r="A5687" s="20" t="s">
        <v>2439</v>
      </c>
    </row>
    <row r="5688" spans="1:12">
      <c r="A5688" s="20" t="s">
        <v>190</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1273</v>
      </c>
      <c r="B5689" s="21" t="s">
        <v>976</v>
      </c>
      <c r="C5689" s="21" t="s">
        <v>1008</v>
      </c>
      <c r="D5689" s="21" t="s">
        <v>978</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1067</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1050</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1082</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2440</v>
      </c>
      <c r="B5693" s="21" t="s">
        <v>989</v>
      </c>
      <c r="C5693" s="21" t="s">
        <v>983</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984</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1092</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2441</v>
      </c>
      <c r="B5696" s="21" t="s">
        <v>989</v>
      </c>
      <c r="C5696" s="21" t="s">
        <v>995</v>
      </c>
      <c r="D5696" s="21" t="s">
        <v>978</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2442</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1002</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1000</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984</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1220</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1081</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1340</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2443</v>
      </c>
      <c r="B5704" s="21" t="s">
        <v>986</v>
      </c>
      <c r="C5704" s="21" t="s">
        <v>983</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1002</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1009</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1145</v>
      </c>
      <c r="B5707" s="21" t="s">
        <v>1095</v>
      </c>
      <c r="C5707" s="21" t="s">
        <v>1020</v>
      </c>
      <c r="D5707" s="21" t="s">
        <v>978</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1093</v>
      </c>
      <c r="B5708" s="21" t="s">
        <v>1052</v>
      </c>
      <c r="C5708" s="21" t="s">
        <v>977</v>
      </c>
      <c r="D5708" s="21" t="s">
        <v>978</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2444</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996</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997</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1305</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2445</v>
      </c>
      <c r="B5713" s="21" t="s">
        <v>986</v>
      </c>
      <c r="C5713" s="21" t="s">
        <v>995</v>
      </c>
      <c r="D5713" s="21" t="s">
        <v>978</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1002</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1111</v>
      </c>
      <c r="B5715" s="21" t="s">
        <v>1054</v>
      </c>
      <c r="C5715" s="21" t="s">
        <v>1057</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1002</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1338</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996</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1129</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1665</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1093</v>
      </c>
      <c r="B5721" s="21" t="s">
        <v>1146</v>
      </c>
      <c r="C5721" s="21" t="s">
        <v>977</v>
      </c>
      <c r="D5721" s="21" t="s">
        <v>978</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1543</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609</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2446</v>
      </c>
      <c r="B5724" s="21" t="s">
        <v>1042</v>
      </c>
      <c r="C5724" s="21" t="s">
        <v>983</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1002</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1017</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1010</v>
      </c>
      <c r="B5727" s="21" t="s">
        <v>1311</v>
      </c>
      <c r="C5727" s="21" t="s">
        <v>977</v>
      </c>
      <c r="D5727" s="21" t="s">
        <v>978</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2447</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997</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1344</v>
      </c>
      <c r="B5730" s="21" t="s">
        <v>1229</v>
      </c>
      <c r="C5730" s="21" t="s">
        <v>990</v>
      </c>
      <c r="D5730" s="21" t="s">
        <v>978</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996</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1261</v>
      </c>
      <c r="B5732" s="21" t="s">
        <v>1014</v>
      </c>
      <c r="C5732" s="21" t="s">
        <v>987</v>
      </c>
      <c r="D5732" s="21" t="s">
        <v>978</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2448</v>
      </c>
      <c r="B5733" s="21" t="s">
        <v>1317</v>
      </c>
      <c r="C5733" s="21" t="s">
        <v>990</v>
      </c>
      <c r="D5733" s="21" t="s">
        <v>978</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1000</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1338</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996</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1129</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1665</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1093</v>
      </c>
      <c r="B5739" s="21" t="s">
        <v>2449</v>
      </c>
      <c r="C5739" s="21" t="s">
        <v>977</v>
      </c>
      <c r="D5739" s="21" t="s">
        <v>978</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1543</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1050</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323</v>
      </c>
      <c r="B5742" s="21" t="s">
        <v>2136</v>
      </c>
      <c r="C5742" s="21" t="s">
        <v>983</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2022</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1645</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996</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1093</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1337</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1022</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row>
    <row r="5750" spans="1:12">
      <c r="A5750" s="20" t="s">
        <v>2450</v>
      </c>
    </row>
    <row r="5751" spans="1:12">
      <c r="A5751" s="20" t="s">
        <v>1752</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750</v>
      </c>
      <c r="B5752" s="21" t="s">
        <v>976</v>
      </c>
      <c r="C5752" s="21" t="s">
        <v>995</v>
      </c>
      <c r="D5752" s="21" t="s">
        <v>978</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1011</v>
      </c>
      <c r="B5753" s="21" t="s">
        <v>982</v>
      </c>
      <c r="C5753" s="21" t="s">
        <v>977</v>
      </c>
      <c r="D5753" s="21" t="s">
        <v>978</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1753</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1216</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1217</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1594</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1002</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1067</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1406</v>
      </c>
      <c r="B5760" s="21" t="s">
        <v>1095</v>
      </c>
      <c r="C5760" s="21" t="s">
        <v>1008</v>
      </c>
      <c r="D5760" s="21" t="s">
        <v>978</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2451</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1058</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1092</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1538</v>
      </c>
      <c r="B5764" s="21" t="s">
        <v>1054</v>
      </c>
      <c r="C5764" s="21" t="s">
        <v>995</v>
      </c>
      <c r="D5764" s="21" t="s">
        <v>978</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2452</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1404</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row>
    <row r="5768" spans="1:12">
      <c r="A5768" s="20" t="s">
        <v>1451</v>
      </c>
    </row>
    <row r="5769" spans="1:12">
      <c r="A5769" s="20" t="s">
        <v>190</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row>
    <row r="5771" spans="1:12">
      <c r="A5771" s="20" t="s">
        <v>2453</v>
      </c>
    </row>
    <row r="5772" spans="1:12">
      <c r="A5772" s="20" t="s">
        <v>992</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1047</v>
      </c>
      <c r="B5773" s="21" t="s">
        <v>976</v>
      </c>
      <c r="C5773" s="21" t="s">
        <v>977</v>
      </c>
      <c r="D5773" s="21" t="s">
        <v>978</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1839</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1216</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1217</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1089</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1050</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1553</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1264</v>
      </c>
      <c r="B5780" s="21" t="s">
        <v>986</v>
      </c>
      <c r="C5780" s="21" t="s">
        <v>983</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1002</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1468</v>
      </c>
      <c r="B5782" s="21" t="s">
        <v>1095</v>
      </c>
      <c r="C5782" s="21" t="s">
        <v>977</v>
      </c>
      <c r="D5782" s="21" t="s">
        <v>978</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2454</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1058</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1092</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1538</v>
      </c>
      <c r="B5786" s="21" t="s">
        <v>986</v>
      </c>
      <c r="C5786" s="21" t="s">
        <v>995</v>
      </c>
      <c r="D5786" s="21" t="s">
        <v>978</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2452</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1022</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row>
    <row r="5790" spans="1:12">
      <c r="A5790" s="20" t="s">
        <v>2455</v>
      </c>
    </row>
    <row r="5791" spans="1:12">
      <c r="A5791" s="20" t="s">
        <v>1357</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2226</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1050</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1553</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2456</v>
      </c>
      <c r="B5795" s="21" t="s">
        <v>976</v>
      </c>
      <c r="C5795" s="21" t="s">
        <v>983</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1002</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1194</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1196</v>
      </c>
      <c r="B5798" s="21" t="s">
        <v>1095</v>
      </c>
      <c r="C5798" s="21" t="s">
        <v>1008</v>
      </c>
      <c r="D5798" s="21" t="s">
        <v>978</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1067</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2457</v>
      </c>
      <c r="B5800" s="21" t="s">
        <v>989</v>
      </c>
      <c r="C5800" s="21" t="s">
        <v>1057</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1004</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1092</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2458</v>
      </c>
      <c r="B5803" s="21" t="s">
        <v>986</v>
      </c>
      <c r="C5803" s="21" t="s">
        <v>995</v>
      </c>
      <c r="D5803" s="21" t="s">
        <v>978</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1142</v>
      </c>
      <c r="B5804" s="21" t="s">
        <v>1035</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2226</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1591</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168</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1050</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2459</v>
      </c>
      <c r="B5809" s="21" t="s">
        <v>1146</v>
      </c>
      <c r="C5809" s="21" t="s">
        <v>983</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996</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2460</v>
      </c>
      <c r="B5811" s="21" t="s">
        <v>1040</v>
      </c>
      <c r="C5811" s="21" t="s">
        <v>1057</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2461</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2409</v>
      </c>
      <c r="B5813" s="21" t="s">
        <v>1040</v>
      </c>
      <c r="C5813" s="21" t="s">
        <v>987</v>
      </c>
      <c r="D5813" s="21" t="s">
        <v>978</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1206</v>
      </c>
      <c r="B5814" s="21" t="s">
        <v>1084</v>
      </c>
      <c r="C5814" s="21" t="s">
        <v>990</v>
      </c>
      <c r="D5814" s="21" t="s">
        <v>978</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1230</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1672</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2462</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1050</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2463</v>
      </c>
      <c r="B5819" s="21" t="s">
        <v>1016</v>
      </c>
      <c r="C5819" s="21" t="s">
        <v>983</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996</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2464</v>
      </c>
      <c r="B5821" s="21" t="s">
        <v>1014</v>
      </c>
      <c r="C5821" s="21" t="s">
        <v>1057</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1000</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1010</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1837</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1388</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2465</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1000</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2466</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1002</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1000</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172</v>
      </c>
      <c r="B5831" s="21" t="s">
        <v>1084</v>
      </c>
      <c r="C5831" s="21" t="s">
        <v>1008</v>
      </c>
      <c r="D5831" s="21" t="s">
        <v>978</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1142</v>
      </c>
      <c r="B5832" s="21" t="s">
        <v>1016</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1547</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1070</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1865</v>
      </c>
      <c r="B5835" s="21" t="s">
        <v>1833</v>
      </c>
      <c r="C5835" s="21" t="s">
        <v>977</v>
      </c>
      <c r="D5835" s="21" t="s">
        <v>978</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2467</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1092</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1206</v>
      </c>
      <c r="B5838" s="21" t="s">
        <v>1810</v>
      </c>
      <c r="C5838" s="21" t="s">
        <v>995</v>
      </c>
      <c r="D5838" s="21" t="s">
        <v>978</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1657</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405</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1177</v>
      </c>
      <c r="B5841" s="21" t="s">
        <v>1014</v>
      </c>
      <c r="C5841" s="21" t="s">
        <v>1178</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1000</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1468</v>
      </c>
      <c r="B5843" s="21" t="s">
        <v>2136</v>
      </c>
      <c r="C5843" s="21" t="s">
        <v>977</v>
      </c>
      <c r="D5843" s="21" t="s">
        <v>978</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2468</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1120</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2469</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1004</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997</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2470</v>
      </c>
      <c r="B5849" s="21" t="s">
        <v>2187</v>
      </c>
      <c r="C5849" s="21" t="s">
        <v>995</v>
      </c>
      <c r="D5849" s="21" t="s">
        <v>978</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996</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1072</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93</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1183</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1009</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609</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2471</v>
      </c>
      <c r="B5856" s="21" t="s">
        <v>2189</v>
      </c>
      <c r="C5856" s="21" t="s">
        <v>983</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996</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2472</v>
      </c>
      <c r="B5858" s="21" t="s">
        <v>2339</v>
      </c>
      <c r="C5858" s="21" t="s">
        <v>1057</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2473</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1022</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row>
    <row r="5862" spans="1:12">
      <c r="A5862" s="20" t="s">
        <v>2474</v>
      </c>
    </row>
    <row r="5863" spans="1:12">
      <c r="A5863" s="20" t="s">
        <v>992</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1196</v>
      </c>
      <c r="B5864" s="21" t="s">
        <v>1095</v>
      </c>
      <c r="C5864" s="21" t="s">
        <v>1008</v>
      </c>
      <c r="D5864" s="21" t="s">
        <v>978</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1067</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1092</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2463</v>
      </c>
      <c r="B5867" s="21" t="s">
        <v>989</v>
      </c>
      <c r="C5867" s="21" t="s">
        <v>995</v>
      </c>
      <c r="D5867" s="21" t="s">
        <v>978</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996</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2472</v>
      </c>
      <c r="B5869" s="21" t="s">
        <v>986</v>
      </c>
      <c r="C5869" s="21" t="s">
        <v>1057</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2473</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1002</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172</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1446</v>
      </c>
      <c r="B5873" s="21" t="s">
        <v>986</v>
      </c>
      <c r="C5873" s="21" t="s">
        <v>1063</v>
      </c>
      <c r="D5873" s="21" t="s">
        <v>978</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996</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2472</v>
      </c>
      <c r="B5875" s="21" t="s">
        <v>1054</v>
      </c>
      <c r="C5875" s="21" t="s">
        <v>1057</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2473</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1196</v>
      </c>
      <c r="B5877" s="21" t="s">
        <v>976</v>
      </c>
      <c r="C5877" s="21" t="s">
        <v>1008</v>
      </c>
      <c r="D5877" s="21" t="s">
        <v>978</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1067</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1004</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1633</v>
      </c>
      <c r="B5880" s="21" t="s">
        <v>989</v>
      </c>
      <c r="C5880" s="21" t="s">
        <v>1020</v>
      </c>
      <c r="D5880" s="21" t="s">
        <v>978</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1038</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1563</v>
      </c>
      <c r="B5882" s="21" t="s">
        <v>1095</v>
      </c>
      <c r="C5882" s="21" t="s">
        <v>977</v>
      </c>
      <c r="D5882" s="21" t="s">
        <v>978</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2475</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427</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1022</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row>
    <row r="5887" spans="1:12">
      <c r="A5887" s="20" t="s">
        <v>2476</v>
      </c>
    </row>
    <row r="5888" spans="1:12">
      <c r="A5888" s="20" t="s">
        <v>190</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1594</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845</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1002</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1024</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993</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750</v>
      </c>
      <c r="B5894" s="21" t="s">
        <v>1095</v>
      </c>
      <c r="C5894" s="21" t="s">
        <v>995</v>
      </c>
      <c r="D5894" s="21" t="s">
        <v>978</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1753</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1216</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1217</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1871</v>
      </c>
      <c r="B5898" s="21" t="s">
        <v>1066</v>
      </c>
      <c r="C5898" s="21" t="s">
        <v>977</v>
      </c>
      <c r="D5898" s="21" t="s">
        <v>978</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2477</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996</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993</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2478</v>
      </c>
      <c r="B5902" s="21" t="s">
        <v>1054</v>
      </c>
      <c r="C5902" s="21" t="s">
        <v>995</v>
      </c>
      <c r="D5902" s="21" t="s">
        <v>978</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996</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1193</v>
      </c>
      <c r="B5904" s="21" t="s">
        <v>1007</v>
      </c>
      <c r="C5904" s="21" t="s">
        <v>1057</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1002</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1877</v>
      </c>
      <c r="B5906" s="21" t="s">
        <v>1035</v>
      </c>
      <c r="C5906" s="21" t="s">
        <v>1008</v>
      </c>
      <c r="D5906" s="21" t="s">
        <v>978</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1865</v>
      </c>
      <c r="B5907" s="21" t="s">
        <v>1036</v>
      </c>
      <c r="C5907" s="21" t="s">
        <v>977</v>
      </c>
      <c r="D5907" s="21" t="s">
        <v>978</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1597</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2288</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1404</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190</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1174</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1002</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1092</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1763</v>
      </c>
      <c r="B5915" s="21" t="s">
        <v>1035</v>
      </c>
      <c r="C5915" s="21" t="s">
        <v>995</v>
      </c>
      <c r="D5915" s="21" t="s">
        <v>978</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1067</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2330</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1022</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row>
    <row r="5920" spans="1:12">
      <c r="A5920" s="20" t="s">
        <v>2479</v>
      </c>
    </row>
    <row r="5921" spans="1:12">
      <c r="A5921" s="20" t="s">
        <v>1174</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849</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1039</v>
      </c>
      <c r="B5923" s="21" t="s">
        <v>986</v>
      </c>
      <c r="C5923" s="21" t="s">
        <v>987</v>
      </c>
      <c r="D5923" s="21" t="s">
        <v>978</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1225</v>
      </c>
      <c r="B5924" s="21" t="s">
        <v>982</v>
      </c>
      <c r="C5924" s="21" t="s">
        <v>990</v>
      </c>
      <c r="D5924" s="21" t="s">
        <v>978</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1116</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1011</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1597</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1189</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1546</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1002</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1000</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997</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1210</v>
      </c>
      <c r="B5933" s="21" t="s">
        <v>1066</v>
      </c>
      <c r="C5933" s="21" t="s">
        <v>990</v>
      </c>
      <c r="D5933" s="21" t="s">
        <v>978</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996</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1039</v>
      </c>
      <c r="B5935" s="21" t="s">
        <v>1084</v>
      </c>
      <c r="C5935" s="21" t="s">
        <v>987</v>
      </c>
      <c r="D5935" s="21" t="s">
        <v>978</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1355</v>
      </c>
      <c r="B5936" s="21" t="s">
        <v>1007</v>
      </c>
      <c r="C5936" s="21" t="s">
        <v>990</v>
      </c>
      <c r="D5936" s="21" t="s">
        <v>978</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1000</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431</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1050</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1256</v>
      </c>
      <c r="B5940" s="21" t="s">
        <v>1146</v>
      </c>
      <c r="C5940" s="21" t="s">
        <v>983</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1116</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1011</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1597</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1189</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1546</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1022</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row>
    <row r="5948" spans="1:12">
      <c r="A5948" s="20" t="s">
        <v>2480</v>
      </c>
    </row>
    <row r="5949" spans="1:12">
      <c r="A5949" s="20" t="s">
        <v>1182</v>
      </c>
      <c r="B5949" s="21" t="s">
        <v>976</v>
      </c>
      <c r="C5949" s="21" t="s">
        <v>977</v>
      </c>
      <c r="D5949" s="21" t="s">
        <v>978</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2481</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1183</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1002</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1018</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1219</v>
      </c>
      <c r="B5954" s="21" t="s">
        <v>1054</v>
      </c>
      <c r="C5954" s="21" t="s">
        <v>1057</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1002</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1047</v>
      </c>
      <c r="B5956" s="21" t="s">
        <v>1095</v>
      </c>
      <c r="C5956" s="21" t="s">
        <v>977</v>
      </c>
      <c r="D5956" s="21" t="s">
        <v>978</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2313</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1002</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2160</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1038</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1154</v>
      </c>
      <c r="B5961" s="21" t="s">
        <v>1095</v>
      </c>
      <c r="C5961" s="21" t="s">
        <v>977</v>
      </c>
      <c r="D5961" s="21" t="s">
        <v>978</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1547</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1004</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853</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1092</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1538</v>
      </c>
      <c r="B5966" s="21" t="s">
        <v>1101</v>
      </c>
      <c r="C5966" s="21" t="s">
        <v>995</v>
      </c>
      <c r="D5966" s="21" t="s">
        <v>978</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1097</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2482</v>
      </c>
      <c r="B5968" s="21" t="s">
        <v>1054</v>
      </c>
      <c r="C5968" s="21" t="s">
        <v>1057</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1022</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row>
    <row r="5971" spans="1:12">
      <c r="A5971" s="20" t="s">
        <v>2483</v>
      </c>
    </row>
    <row r="5972" spans="1:12">
      <c r="A5972" s="20" t="s">
        <v>1752</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2484</v>
      </c>
      <c r="B5973" s="21" t="s">
        <v>989</v>
      </c>
      <c r="C5973" s="21" t="s">
        <v>995</v>
      </c>
      <c r="D5973" s="21" t="s">
        <v>978</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2485</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1002</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993</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2486</v>
      </c>
      <c r="B5977" s="21" t="s">
        <v>989</v>
      </c>
      <c r="C5977" s="21" t="s">
        <v>995</v>
      </c>
      <c r="D5977" s="21" t="s">
        <v>978</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2487</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1002</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1000</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997</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2488</v>
      </c>
      <c r="B5982" s="21" t="s">
        <v>1095</v>
      </c>
      <c r="C5982" s="21" t="s">
        <v>995</v>
      </c>
      <c r="D5982" s="21" t="s">
        <v>978</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2489</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1011</v>
      </c>
      <c r="B5984" s="21" t="s">
        <v>1052</v>
      </c>
      <c r="C5984" s="21" t="s">
        <v>977</v>
      </c>
      <c r="D5984" s="21" t="s">
        <v>978</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2490</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1546</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1022</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row>
    <row r="5989" spans="1:12">
      <c r="A5989" s="20" t="s">
        <v>2491</v>
      </c>
    </row>
    <row r="5990" spans="1:12">
      <c r="A5990" s="20" t="s">
        <v>2492</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993</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1184</v>
      </c>
      <c r="B5992" s="21" t="s">
        <v>982</v>
      </c>
      <c r="C5992" s="21" t="s">
        <v>995</v>
      </c>
      <c r="D5992" s="21" t="s">
        <v>978</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1142</v>
      </c>
      <c r="B5993" s="21" t="s">
        <v>1066</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1011</v>
      </c>
      <c r="B5994" s="21" t="s">
        <v>1101</v>
      </c>
      <c r="C5994" s="21" t="s">
        <v>977</v>
      </c>
      <c r="D5994" s="21" t="s">
        <v>978</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2490</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1546</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1725</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1022</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row>
    <row r="6000" spans="1:12">
      <c r="A6000" s="20" t="s">
        <v>2493</v>
      </c>
    </row>
    <row r="6001" spans="1:12">
      <c r="A6001" s="20" t="s">
        <v>1594</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1002</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1047</v>
      </c>
      <c r="B6003" s="21" t="s">
        <v>976</v>
      </c>
      <c r="C6003" s="21" t="s">
        <v>977</v>
      </c>
      <c r="D6003" s="21" t="s">
        <v>978</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t="s">
        <v>1011</v>
      </c>
      <c r="B6004" s="21" t="s">
        <v>982</v>
      </c>
      <c r="C6004" s="21" t="s">
        <v>977</v>
      </c>
      <c r="D6004" s="21" t="s">
        <v>978</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1164</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1804</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1002</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2494</v>
      </c>
      <c r="B6008" s="21" t="s">
        <v>1095</v>
      </c>
      <c r="C6008" s="21" t="s">
        <v>1020</v>
      </c>
      <c r="D6008" s="21" t="s">
        <v>978</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1018</v>
      </c>
      <c r="B6009" s="21" t="s">
        <v>1054</v>
      </c>
      <c r="C6009" s="21" t="s">
        <v>1020</v>
      </c>
      <c r="D6009" s="21" t="s">
        <v>978</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1067</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1092</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2495</v>
      </c>
      <c r="B6012" s="21" t="s">
        <v>989</v>
      </c>
      <c r="C6012" s="21" t="s">
        <v>995</v>
      </c>
      <c r="D6012" s="21" t="s">
        <v>978</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1404</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row>
    <row r="6015" spans="1:12">
      <c r="A6015" s="20" t="s">
        <v>2496</v>
      </c>
    </row>
    <row r="6016" spans="1:12">
      <c r="A6016" s="20" t="s">
        <v>2497</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1017</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1018</v>
      </c>
      <c r="B6018" s="21" t="s">
        <v>982</v>
      </c>
      <c r="C6018" s="21" t="s">
        <v>1020</v>
      </c>
      <c r="D6018" s="21" t="s">
        <v>978</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2498</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1675</v>
      </c>
      <c r="B6020" s="21" t="s">
        <v>986</v>
      </c>
      <c r="C6020" s="21" t="s">
        <v>987</v>
      </c>
      <c r="D6020" s="21" t="s">
        <v>978</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750</v>
      </c>
      <c r="B6021" s="21" t="s">
        <v>976</v>
      </c>
      <c r="C6021" s="21" t="s">
        <v>990</v>
      </c>
      <c r="D6021" s="21" t="s">
        <v>978</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1142</v>
      </c>
      <c r="B6022" s="21" t="s">
        <v>1066</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1828</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996</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2499</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1589</v>
      </c>
      <c r="B6026" s="21" t="s">
        <v>1101</v>
      </c>
      <c r="C6026" s="21" t="s">
        <v>983</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1018</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2500</v>
      </c>
      <c r="B6028" s="21" t="s">
        <v>1054</v>
      </c>
      <c r="C6028" s="21" t="s">
        <v>1057</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1081</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1050</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1111</v>
      </c>
      <c r="B6031" s="21" t="s">
        <v>1007</v>
      </c>
      <c r="C6031" s="21" t="s">
        <v>983</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1183</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1647</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1022</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row>
    <row r="6036" spans="1:12">
      <c r="A6036" s="20" t="s">
        <v>2501</v>
      </c>
    </row>
    <row r="6037" spans="1:12">
      <c r="A6037" s="20" t="s">
        <v>2502</v>
      </c>
      <c r="B6037" s="21" t="s">
        <v>976</v>
      </c>
      <c r="C6037" s="21" t="s">
        <v>1020</v>
      </c>
      <c r="D6037" s="21" t="s">
        <v>978</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1067</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997</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2503</v>
      </c>
      <c r="B6040" s="21" t="s">
        <v>989</v>
      </c>
      <c r="C6040" s="21" t="s">
        <v>995</v>
      </c>
      <c r="D6040" s="21" t="s">
        <v>978</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996</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2504</v>
      </c>
      <c r="B6042" s="21" t="s">
        <v>989</v>
      </c>
      <c r="C6042" s="21" t="s">
        <v>1057</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1404</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row>
    <row r="6045" spans="1:12">
      <c r="A6045" s="20" t="s">
        <v>2505</v>
      </c>
    </row>
    <row r="6046" spans="1:12">
      <c r="A6046" s="20" t="s">
        <v>992</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1862</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1004</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1862</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1002</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1154</v>
      </c>
      <c r="B6051" s="21" t="s">
        <v>976</v>
      </c>
      <c r="C6051" s="21" t="s">
        <v>977</v>
      </c>
      <c r="D6051" s="21" t="s">
        <v>978</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979</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1138</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1038</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1141</v>
      </c>
      <c r="B6055" s="21" t="s">
        <v>989</v>
      </c>
      <c r="C6055" s="21" t="s">
        <v>1008</v>
      </c>
      <c r="D6055" s="21" t="s">
        <v>978</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1142</v>
      </c>
      <c r="B6056" s="21" t="s">
        <v>1066</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2506</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1253</v>
      </c>
      <c r="B6058" s="21" t="s">
        <v>1007</v>
      </c>
      <c r="C6058" s="21" t="s">
        <v>987</v>
      </c>
      <c r="D6058" s="21" t="s">
        <v>978</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2104</v>
      </c>
      <c r="B6059" s="21" t="s">
        <v>1101</v>
      </c>
      <c r="C6059" s="21" t="s">
        <v>990</v>
      </c>
      <c r="D6059" s="21" t="s">
        <v>978</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1002</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1141</v>
      </c>
      <c r="B6061" s="21" t="s">
        <v>986</v>
      </c>
      <c r="C6061" s="21" t="s">
        <v>1008</v>
      </c>
      <c r="D6061" s="21" t="s">
        <v>978</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1142</v>
      </c>
      <c r="B6062" s="21" t="s">
        <v>1035</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1753</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1216</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1217</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1357</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1294</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1323</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1638</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1154</v>
      </c>
      <c r="B6070" s="21" t="s">
        <v>1311</v>
      </c>
      <c r="C6070" s="21" t="s">
        <v>977</v>
      </c>
      <c r="D6070" s="21" t="s">
        <v>978</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979</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1219</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1050</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1111</v>
      </c>
      <c r="B6074" s="21" t="s">
        <v>1229</v>
      </c>
      <c r="C6074" s="21" t="s">
        <v>983</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1000</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1047</v>
      </c>
      <c r="B6076" s="21" t="s">
        <v>1016</v>
      </c>
      <c r="C6076" s="21" t="s">
        <v>977</v>
      </c>
      <c r="D6076" s="21" t="s">
        <v>978</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1116</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2507</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1183</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1670</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1294</v>
      </c>
      <c r="B6081" s="21" t="s">
        <v>1014</v>
      </c>
      <c r="C6081" s="21" t="s">
        <v>1020</v>
      </c>
      <c r="D6081" s="21" t="s">
        <v>978</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1794</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1000</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1047</v>
      </c>
      <c r="B6084" s="21" t="s">
        <v>1016</v>
      </c>
      <c r="C6084" s="21" t="s">
        <v>977</v>
      </c>
      <c r="D6084" s="21" t="s">
        <v>978</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1116</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1414</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1189</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1294</v>
      </c>
      <c r="B6088" s="21" t="s">
        <v>1810</v>
      </c>
      <c r="C6088" s="21" t="s">
        <v>1020</v>
      </c>
      <c r="D6088" s="21" t="s">
        <v>978</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414</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2508</v>
      </c>
      <c r="B6090" s="21" t="s">
        <v>1810</v>
      </c>
      <c r="C6090" s="21" t="s">
        <v>1057</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1000</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1047</v>
      </c>
      <c r="B6092" s="21" t="s">
        <v>1311</v>
      </c>
      <c r="C6092" s="21" t="s">
        <v>977</v>
      </c>
      <c r="D6092" s="21" t="s">
        <v>978</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1414</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1065</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2353</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2509</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985</v>
      </c>
      <c r="B6097" s="21" t="s">
        <v>1014</v>
      </c>
      <c r="C6097" s="21" t="s">
        <v>987</v>
      </c>
      <c r="D6097" s="21" t="s">
        <v>978</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1426</v>
      </c>
      <c r="B6098" s="21" t="s">
        <v>1019</v>
      </c>
      <c r="C6098" s="21" t="s">
        <v>990</v>
      </c>
      <c r="D6098" s="21" t="s">
        <v>978</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1018</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2510</v>
      </c>
      <c r="B6100" s="21" t="s">
        <v>1014</v>
      </c>
      <c r="C6100" s="21" t="s">
        <v>1057</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1022</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row>
    <row r="6103" spans="1:12">
      <c r="A6103" s="20" t="s">
        <v>2511</v>
      </c>
    </row>
    <row r="6104" spans="1:12">
      <c r="A6104" s="20" t="s">
        <v>190</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2512</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1002</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1141</v>
      </c>
      <c r="B6107" s="21" t="s">
        <v>976</v>
      </c>
      <c r="C6107" s="21" t="s">
        <v>1008</v>
      </c>
      <c r="D6107" s="21" t="s">
        <v>978</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1478</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1060</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750</v>
      </c>
      <c r="B6110" s="21" t="s">
        <v>989</v>
      </c>
      <c r="C6110" s="21" t="s">
        <v>1063</v>
      </c>
      <c r="D6110" s="21" t="s">
        <v>978</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1200</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1142</v>
      </c>
      <c r="B6112" s="21" t="s">
        <v>1095</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1018</v>
      </c>
      <c r="B6113" s="21" t="s">
        <v>1052</v>
      </c>
      <c r="C6113" s="21" t="s">
        <v>1020</v>
      </c>
      <c r="D6113" s="21" t="s">
        <v>978</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1478</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993</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1183</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2513</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1022</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row>
    <row r="6120" spans="1:12">
      <c r="A6120" s="20" t="s">
        <v>2514</v>
      </c>
    </row>
    <row r="6121" spans="1:12">
      <c r="A6121" s="20" t="s">
        <v>2515</v>
      </c>
      <c r="B6121" s="21" t="s">
        <v>976</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1092</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1111</v>
      </c>
      <c r="B6123" s="21" t="s">
        <v>1052</v>
      </c>
      <c r="C6123" s="21" t="s">
        <v>995</v>
      </c>
      <c r="D6123" s="21" t="s">
        <v>978</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1116</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1219</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1038</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1092</v>
      </c>
      <c r="B6127" s="21" t="s">
        <v>1052</v>
      </c>
      <c r="C6127" s="21" t="s">
        <v>977</v>
      </c>
      <c r="D6127" s="21" t="s">
        <v>978</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2516</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1022</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row>
    <row r="6131" spans="1:12">
      <c r="A6131" s="20" t="s">
        <v>2517</v>
      </c>
    </row>
    <row r="6132" spans="1:12">
      <c r="A6132" s="20" t="s">
        <v>2518</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1038</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1865</v>
      </c>
      <c r="B6134" s="21" t="s">
        <v>1095</v>
      </c>
      <c r="C6134" s="21" t="s">
        <v>977</v>
      </c>
      <c r="D6134" s="21" t="s">
        <v>978</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1092</v>
      </c>
      <c r="B6135" s="21" t="s">
        <v>1052</v>
      </c>
      <c r="C6135" s="21" t="s">
        <v>977</v>
      </c>
      <c r="D6135" s="21" t="s">
        <v>978</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2519</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1002</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t="s">
        <v>1468</v>
      </c>
      <c r="B6138" s="21" t="s">
        <v>976</v>
      </c>
      <c r="C6138" s="21" t="s">
        <v>977</v>
      </c>
      <c r="D6138" s="21" t="s">
        <v>978</v>
      </c>
      <c r="E6138" s="22">
        <f>IF(D6138="?OLD","!!!","")</f>
        <v/>
      </c>
      <c r="F6138" s="23" t="str">
        <f>IF(OR(E6138="",E6138="!!!"),"",IF(NOT(ISNA(VLOOKUP(E6138,E$1:E6137,1,FALSE()))),"OLD",IF(AND(E6138&lt;&gt;"",E6138&lt;&gt;"!!!"),"NEW","")))</f>
        <v> </v>
      </c>
      <c r="G6138" s="24" t="str">
        <f>IF(OR(E6138="",E6138="!!!"),"",IF(OR(J6138=0,AND(J6138=1,K6138=1),AND(J6138=1,I6138="SBJ"),AND(J6138=1,I6138=0)),"?IN_FOCUS",IF(J6138&lt;=2,"?ACTIVATED",IF(J6138&lt;&gt;"","?FAMILIAR",IF(F6138="NEW",IF(ISNA(VLOOKUP(E6138,#REF!,1,FALSE())),"?TYPE_IDENTIFIABLE","?REFERENTIAL"),"_")))))</f>
        <v> </v>
      </c>
      <c r="H6138" s="25" t="str">
        <f>IF(J6138&lt;&gt;1,"",IF(I6138="SBJ","CB","?"))</f>
        <v> </v>
      </c>
      <c r="I6138" s="26" t="str">
        <f>IF(OR(E6138="",E6138="!!!",F6138="NEW"),"",INDEX(B6137:B$2,-1+SUMPRODUCT(MAX(ROW(E6137:E$2)*(E6138=E6137:E$2)))))</f>
        <v> </v>
      </c>
      <c r="J6138" s="26" t="str">
        <f>IF(OR(E6138="",E6138="!!!",F6138="NEW"),"",COUNTBLANK(OFFSET(A$1,,,SUMPRODUCT(MAX(ROW(E$2:E6138)*(E6138=E$2:E6138)))))-COUNTBLANK(OFFSET(A$1,,,SUMPRODUCT(MAX(ROW(E$1:E6137)*(E2=E$1:E6137))))))</f>
        <v> </v>
      </c>
      <c r="K6138" s="26" t="str">
        <f>IF(OR(E6138="",E6138="!!!",F6138="NEW"),"",INDEX(J$1:J6137,SUMPRODUCT(MAX(ROW(E$1:E6137)*(E6138=E$1:E6137)))))</f>
        <v> </v>
      </c>
      <c r="L6138" s="27"/>
    </row>
    <row r="6139" spans="1:12">
      <c r="A6139" s="20" t="s">
        <v>2520</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1022</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row>
    <row r="6142" spans="1:12">
      <c r="A6142" s="20" t="s">
        <v>2521</v>
      </c>
    </row>
    <row r="6143" spans="1:12">
      <c r="A6143" s="20" t="s">
        <v>992</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1141</v>
      </c>
      <c r="B6144" s="21" t="s">
        <v>989</v>
      </c>
      <c r="C6144" s="21" t="s">
        <v>1008</v>
      </c>
      <c r="D6144" s="21" t="s">
        <v>978</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1142</v>
      </c>
      <c r="B6145" s="21" t="s">
        <v>1095</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2522</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997</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1439</v>
      </c>
      <c r="B6148" s="21" t="s">
        <v>1052</v>
      </c>
      <c r="C6148" s="21" t="s">
        <v>995</v>
      </c>
      <c r="D6148" s="21" t="s">
        <v>978</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1196</v>
      </c>
      <c r="B6149" s="21" t="s">
        <v>1095</v>
      </c>
      <c r="C6149" s="21" t="s">
        <v>1008</v>
      </c>
      <c r="D6149" s="21" t="s">
        <v>978</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1067</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1141</v>
      </c>
      <c r="B6151" s="21" t="s">
        <v>989</v>
      </c>
      <c r="C6151" s="21" t="s">
        <v>1008</v>
      </c>
      <c r="D6151" s="21" t="s">
        <v>978</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1142</v>
      </c>
      <c r="B6152" s="21" t="s">
        <v>1066</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1251</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1004</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2523</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997</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1219</v>
      </c>
      <c r="B6157" s="21" t="s">
        <v>1036</v>
      </c>
      <c r="C6157" s="21" t="s">
        <v>995</v>
      </c>
      <c r="D6157" s="21" t="s">
        <v>978</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1009</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1025</v>
      </c>
      <c r="B6159" s="21" t="s">
        <v>1311</v>
      </c>
      <c r="C6159" s="21" t="s">
        <v>977</v>
      </c>
      <c r="D6159" s="21" t="s">
        <v>978</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2524</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984</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1689</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1677</v>
      </c>
      <c r="B6163" s="21" t="s">
        <v>1040</v>
      </c>
      <c r="C6163" s="21" t="s">
        <v>1063</v>
      </c>
      <c r="D6163" s="21" t="s">
        <v>978</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1022</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row>
    <row r="6166" spans="1:12">
      <c r="A6166" s="20" t="s">
        <v>2525</v>
      </c>
    </row>
    <row r="6167" spans="1:12">
      <c r="A6167" s="20" t="s">
        <v>2526</v>
      </c>
      <c r="B6167" s="21" t="s">
        <v>976</v>
      </c>
      <c r="C6167" s="21" t="s">
        <v>1008</v>
      </c>
      <c r="D6167" s="21" t="s">
        <v>978</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1142</v>
      </c>
      <c r="B6168" s="21" t="s">
        <v>1066</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1251</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1004</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2523</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1757</v>
      </c>
      <c r="B6172" s="21" t="s">
        <v>1084</v>
      </c>
      <c r="C6172" s="21" t="s">
        <v>987</v>
      </c>
      <c r="D6172" s="21" t="s">
        <v>978</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1111</v>
      </c>
      <c r="B6173" s="21" t="s">
        <v>1036</v>
      </c>
      <c r="C6173" s="21" t="s">
        <v>990</v>
      </c>
      <c r="D6173" s="21" t="s">
        <v>978</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1478</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1141</v>
      </c>
      <c r="B6175" s="21" t="s">
        <v>989</v>
      </c>
      <c r="C6175" s="21" t="s">
        <v>1008</v>
      </c>
      <c r="D6175" s="21" t="s">
        <v>978</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1142</v>
      </c>
      <c r="B6176" s="21" t="s">
        <v>1095</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2527</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1092</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2504</v>
      </c>
      <c r="B6179" s="21" t="s">
        <v>1052</v>
      </c>
      <c r="C6179" s="21" t="s">
        <v>995</v>
      </c>
      <c r="D6179" s="21" t="s">
        <v>978</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1022</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row>
    <row r="6182" spans="1:12">
      <c r="A6182" s="20" t="s">
        <v>2528</v>
      </c>
    </row>
    <row r="6183" spans="1:12">
      <c r="A6183" s="20" t="s">
        <v>1594</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2061</v>
      </c>
      <c r="B6184" s="21" t="s">
        <v>1095</v>
      </c>
      <c r="C6184" s="21" t="s">
        <v>1116</v>
      </c>
      <c r="D6184" s="21" t="s">
        <v>978</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2062</v>
      </c>
      <c r="B6185" s="21" t="s">
        <v>1054</v>
      </c>
      <c r="C6185" s="21" t="s">
        <v>1116</v>
      </c>
      <c r="D6185" s="21" t="s">
        <v>978</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1135</v>
      </c>
      <c r="B6186" s="21" t="s">
        <v>1052</v>
      </c>
      <c r="C6186" s="21" t="s">
        <v>977</v>
      </c>
      <c r="D6186" s="21" t="s">
        <v>978</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1323</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1384</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1216</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1217</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1280</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1047</v>
      </c>
      <c r="B6192" s="21" t="s">
        <v>1066</v>
      </c>
      <c r="C6192" s="21" t="s">
        <v>977</v>
      </c>
      <c r="D6192" s="21" t="s">
        <v>978</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1428</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2529</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1004</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2530</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1002</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1047</v>
      </c>
      <c r="B6198" s="21" t="s">
        <v>976</v>
      </c>
      <c r="C6198" s="21" t="s">
        <v>977</v>
      </c>
      <c r="D6198" s="21" t="s">
        <v>978</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2531</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1038</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1047</v>
      </c>
      <c r="B6201" s="21" t="s">
        <v>1095</v>
      </c>
      <c r="C6201" s="21" t="s">
        <v>977</v>
      </c>
      <c r="D6201" s="21" t="s">
        <v>978</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1116</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997</v>
      </c>
      <c r="B6203" s="21" t="s">
        <v>1052</v>
      </c>
      <c r="C6203" s="21" t="s">
        <v>977</v>
      </c>
      <c r="D6203" s="21" t="s">
        <v>978</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2532</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1189</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2085</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1002</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1194</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2533</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1002</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1047</v>
      </c>
      <c r="B6211" s="21" t="s">
        <v>1066</v>
      </c>
      <c r="C6211" s="21" t="s">
        <v>977</v>
      </c>
      <c r="D6211" s="21" t="s">
        <v>978</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1164</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1496</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996</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172</v>
      </c>
      <c r="B6215" s="21" t="s">
        <v>1054</v>
      </c>
      <c r="C6215" s="21" t="s">
        <v>1008</v>
      </c>
      <c r="D6215" s="21" t="s">
        <v>978</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1038</v>
      </c>
      <c r="B6216" s="21" t="s">
        <v>1146</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1154</v>
      </c>
      <c r="B6217" s="21" t="s">
        <v>1042</v>
      </c>
      <c r="C6217" s="21" t="s">
        <v>977</v>
      </c>
      <c r="D6217" s="21" t="s">
        <v>978</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979</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2534</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1022</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row>
    <row r="6222" spans="1:12">
      <c r="A6222" s="20" t="s">
        <v>2535</v>
      </c>
    </row>
    <row r="6223" spans="1:12">
      <c r="A6223" s="20" t="s">
        <v>1182</v>
      </c>
      <c r="B6223" s="21" t="s">
        <v>976</v>
      </c>
      <c r="C6223" s="21" t="s">
        <v>977</v>
      </c>
      <c r="D6223" s="21" t="s">
        <v>978</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1164</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2536</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1081</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168</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1401</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178</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1825</v>
      </c>
      <c r="B6230" s="21" t="s">
        <v>989</v>
      </c>
      <c r="C6230" s="21" t="s">
        <v>1178</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1004</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1074</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2093</v>
      </c>
      <c r="B6233" s="21" t="s">
        <v>986</v>
      </c>
      <c r="C6233" s="21" t="s">
        <v>995</v>
      </c>
      <c r="D6233" s="21" t="s">
        <v>978</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1022</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row>
    <row r="6236" spans="1:12">
      <c r="A6236" s="20" t="s">
        <v>2537</v>
      </c>
    </row>
    <row r="6237" spans="1:12">
      <c r="A6237" s="20" t="s">
        <v>2538</v>
      </c>
      <c r="B6237" s="21" t="s">
        <v>1095</v>
      </c>
      <c r="C6237" s="21" t="s">
        <v>1008</v>
      </c>
      <c r="D6237" s="21" t="s">
        <v>978</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1135</v>
      </c>
      <c r="B6238" s="21" t="s">
        <v>1052</v>
      </c>
      <c r="C6238" s="21" t="s">
        <v>977</v>
      </c>
      <c r="D6238" s="21" t="s">
        <v>978</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1323</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2539</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996</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993</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2471</v>
      </c>
      <c r="B6243" s="21" t="s">
        <v>986</v>
      </c>
      <c r="C6243" s="21" t="s">
        <v>995</v>
      </c>
      <c r="D6243" s="21" t="s">
        <v>978</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996</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1184</v>
      </c>
      <c r="B6245" s="21" t="s">
        <v>1054</v>
      </c>
      <c r="C6245" s="21" t="s">
        <v>1057</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1230</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1074</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1514</v>
      </c>
      <c r="B6248" s="21" t="s">
        <v>1054</v>
      </c>
      <c r="C6248" s="21" t="s">
        <v>995</v>
      </c>
      <c r="D6248" s="21" t="s">
        <v>978</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1002</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1000</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1092</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1162</v>
      </c>
      <c r="B6252" s="21" t="s">
        <v>986</v>
      </c>
      <c r="C6252" s="21" t="s">
        <v>995</v>
      </c>
      <c r="D6252" s="21" t="s">
        <v>978</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2540</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1058</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2163</v>
      </c>
      <c r="B6255" s="21" t="s">
        <v>1084</v>
      </c>
      <c r="C6255" s="21" t="s">
        <v>987</v>
      </c>
      <c r="D6255" s="21" t="s">
        <v>978</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1676</v>
      </c>
      <c r="B6256" s="21" t="s">
        <v>1007</v>
      </c>
      <c r="C6256" s="21" t="s">
        <v>990</v>
      </c>
      <c r="D6256" s="21" t="s">
        <v>978</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1000</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2163</v>
      </c>
      <c r="B6258" s="21" t="s">
        <v>1040</v>
      </c>
      <c r="C6258" s="21" t="s">
        <v>987</v>
      </c>
      <c r="D6258" s="21" t="s">
        <v>978</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2166</v>
      </c>
      <c r="B6259" s="21" t="s">
        <v>1084</v>
      </c>
      <c r="C6259" s="21" t="s">
        <v>990</v>
      </c>
      <c r="D6259" s="21" t="s">
        <v>978</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1135</v>
      </c>
      <c r="B6260" s="21" t="s">
        <v>976</v>
      </c>
      <c r="C6260" s="21" t="s">
        <v>977</v>
      </c>
      <c r="D6260" s="21" t="s">
        <v>978</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1323</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1401</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1482</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1635</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1002</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1000</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1468</v>
      </c>
      <c r="B6267" s="21" t="s">
        <v>1095</v>
      </c>
      <c r="C6267" s="21" t="s">
        <v>977</v>
      </c>
      <c r="D6267" s="21" t="s">
        <v>978</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997</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1290</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1137</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1022</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row>
    <row r="6273" spans="1:12">
      <c r="A6273" s="20" t="s">
        <v>2541</v>
      </c>
    </row>
    <row r="6274" spans="1:12">
      <c r="A6274" s="20" t="s">
        <v>190</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992</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1687</v>
      </c>
      <c r="B6276" s="21" t="s">
        <v>976</v>
      </c>
      <c r="C6276" s="21" t="s">
        <v>1116</v>
      </c>
      <c r="D6276" s="21" t="s">
        <v>978</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1688</v>
      </c>
      <c r="B6277" s="21" t="s">
        <v>986</v>
      </c>
      <c r="C6277" s="21" t="s">
        <v>1116</v>
      </c>
      <c r="D6277" s="21" t="s">
        <v>978</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1323</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1384</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t="s">
        <v>1216</v>
      </c>
      <c r="E6280" s="22">
        <f>IF(D6280="?OLD","!!!","")</f>
        <v/>
      </c>
      <c r="F6280" s="23" t="str">
        <f>IF(OR(E6280="",E6280="!!!"),"",IF(NOT(ISNA(VLOOKUP(E6280,E$1:E6279,1,FALSE()))),"OLD",IF(AND(E6280&lt;&gt;"",E6280&lt;&gt;"!!!"),"NEW","")))</f>
        <v> </v>
      </c>
      <c r="G6280" s="24" t="str">
        <f>IF(OR(E6280="",E6280="!!!"),"",IF(OR(J6280=0,AND(J6280=1,K6280=1),AND(J6280=1,I6280="SBJ"),AND(J6280=1,I6280=0)),"?IN_FOCUS",IF(J6280&lt;=2,"?ACTIVATED",IF(J6280&lt;&gt;"","?FAMILIAR",IF(F6280="NEW",IF(ISNA(VLOOKUP(E6280,#REF!,1,FALSE())),"?TYPE_IDENTIFIABLE","?REFERENTIAL"),"_")))))</f>
        <v> </v>
      </c>
      <c r="H6280" s="25" t="str">
        <f>IF(J6280&lt;&gt;1,"",IF(I6280="SBJ","CB","?"))</f>
        <v> </v>
      </c>
      <c r="I6280" s="26" t="str">
        <f>IF(OR(E6280="",E6280="!!!",F6280="NEW"),"",INDEX(B6279:B$2,-1+SUMPRODUCT(MAX(ROW(E6279:E$2)*(E6280=E6279:E$2)))))</f>
        <v> </v>
      </c>
      <c r="J6280" s="26" t="str">
        <f>IF(OR(E6280="",E6280="!!!",F6280="NEW"),"",COUNTBLANK(OFFSET(A$1,,,SUMPRODUCT(MAX(ROW(E$2:E6280)*(E6280=E$2:E6280)))))-COUNTBLANK(OFFSET(A$1,,,SUMPRODUCT(MAX(ROW(E$1:E6279)*(E2=E$1:E6279))))))</f>
        <v> </v>
      </c>
      <c r="K6280" s="26" t="str">
        <f>IF(OR(E6280="",E6280="!!!",F6280="NEW"),"",INDEX(J$1:J6279,SUMPRODUCT(MAX(ROW(E$1:E6279)*(E6280=E$1:E6279)))))</f>
        <v> </v>
      </c>
      <c r="L6280" s="27"/>
    </row>
    <row r="6281" spans="1:12">
      <c r="A6281" s="20" t="s">
        <v>1217</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2253</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1154</v>
      </c>
      <c r="B6283" s="21" t="s">
        <v>1095</v>
      </c>
      <c r="C6283" s="21" t="s">
        <v>977</v>
      </c>
      <c r="D6283" s="21" t="s">
        <v>978</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979</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1401</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2542</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984</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1050</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2543</v>
      </c>
      <c r="B6289" s="21" t="s">
        <v>986</v>
      </c>
      <c r="C6289" s="21" t="s">
        <v>990</v>
      </c>
      <c r="D6289" s="21" t="s">
        <v>978</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996</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997</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2544</v>
      </c>
      <c r="B6292" s="21" t="s">
        <v>1054</v>
      </c>
      <c r="C6292" s="21" t="s">
        <v>1116</v>
      </c>
      <c r="D6292" s="21" t="s">
        <v>978</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1002</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1000</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1047</v>
      </c>
      <c r="B6295" s="21" t="s">
        <v>1066</v>
      </c>
      <c r="C6295" s="21" t="s">
        <v>977</v>
      </c>
      <c r="D6295" s="21" t="s">
        <v>978</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1116</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2545</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1189</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996</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263</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1002</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1000</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993</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750</v>
      </c>
      <c r="B6304" s="21" t="s">
        <v>986</v>
      </c>
      <c r="C6304" s="21" t="s">
        <v>995</v>
      </c>
      <c r="D6304" s="21" t="s">
        <v>978</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1058</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1142</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1154</v>
      </c>
      <c r="B6307" s="21" t="s">
        <v>1035</v>
      </c>
      <c r="C6307" s="21" t="s">
        <v>977</v>
      </c>
      <c r="D6307" s="21" t="s">
        <v>978</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1185</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2546</v>
      </c>
      <c r="B6309" s="21" t="s">
        <v>1036</v>
      </c>
      <c r="C6309" s="21" t="s">
        <v>1057</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1072</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1026</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2547</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2548</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1002</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1000</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1047</v>
      </c>
      <c r="B6316" s="21" t="s">
        <v>1042</v>
      </c>
      <c r="C6316" s="21" t="s">
        <v>977</v>
      </c>
      <c r="D6316" s="21" t="s">
        <v>978</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1011</v>
      </c>
      <c r="B6317" s="21" t="s">
        <v>1146</v>
      </c>
      <c r="C6317" s="21" t="s">
        <v>977</v>
      </c>
      <c r="D6317" s="21" t="s">
        <v>978</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1164</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1384</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1216</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1217</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1781</v>
      </c>
      <c r="B6322" s="21" t="s">
        <v>1311</v>
      </c>
      <c r="C6322" s="21" t="s">
        <v>1008</v>
      </c>
      <c r="D6322" s="21" t="s">
        <v>978</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1072</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1067</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1189</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1482</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2549</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1310</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2550</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996</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1757</v>
      </c>
      <c r="B6331" s="21" t="s">
        <v>1040</v>
      </c>
      <c r="C6331" s="21" t="s">
        <v>987</v>
      </c>
      <c r="D6331" s="21" t="s">
        <v>978</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1860</v>
      </c>
      <c r="B6332" s="21" t="s">
        <v>1084</v>
      </c>
      <c r="C6332" s="21" t="s">
        <v>990</v>
      </c>
      <c r="D6332" s="21" t="s">
        <v>978</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1022</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row>
    <row r="6335" spans="1:12">
      <c r="A6335" s="20" t="s">
        <v>2551</v>
      </c>
    </row>
    <row r="6336" spans="1:12">
      <c r="A6336" s="20" t="s">
        <v>190</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992</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1046</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1047</v>
      </c>
      <c r="B6339" s="21" t="s">
        <v>976</v>
      </c>
      <c r="C6339" s="21" t="s">
        <v>977</v>
      </c>
      <c r="D6339" s="21" t="s">
        <v>978</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1011</v>
      </c>
      <c r="B6340" s="21" t="s">
        <v>982</v>
      </c>
      <c r="C6340" s="21" t="s">
        <v>977</v>
      </c>
      <c r="D6340" s="21" t="s">
        <v>978</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1164</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1267</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1268</v>
      </c>
      <c r="B6343" s="21" t="s">
        <v>982</v>
      </c>
      <c r="C6343" s="21" t="s">
        <v>1057</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1002</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1009</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1025</v>
      </c>
      <c r="B6346" s="21" t="s">
        <v>1095</v>
      </c>
      <c r="C6346" s="21" t="s">
        <v>977</v>
      </c>
      <c r="D6346" s="21" t="s">
        <v>978</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1072</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999</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1670</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414</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1183</v>
      </c>
      <c r="B6351" s="21" t="s">
        <v>1101</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1038</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1168</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2047</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1937</v>
      </c>
      <c r="B6355" s="21" t="s">
        <v>1007</v>
      </c>
      <c r="C6355" s="21" t="s">
        <v>1104</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996</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2552</v>
      </c>
      <c r="B6357" s="21" t="s">
        <v>1084</v>
      </c>
      <c r="C6357" s="21" t="s">
        <v>1057</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1022</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row>
    <row r="6360" spans="1:12">
      <c r="A6360" s="20" t="s">
        <v>2553</v>
      </c>
    </row>
    <row r="6361" spans="1:12">
      <c r="A6361" s="20" t="s">
        <v>2538</v>
      </c>
      <c r="B6361" s="21" t="s">
        <v>976</v>
      </c>
      <c r="C6361" s="21" t="s">
        <v>1008</v>
      </c>
      <c r="D6361" s="21" t="s">
        <v>978</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2554</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1065</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2353</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1050</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2555</v>
      </c>
      <c r="B6366" s="21" t="s">
        <v>982</v>
      </c>
      <c r="C6366" s="21" t="s">
        <v>983</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2031</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1047</v>
      </c>
      <c r="B6368" s="21" t="s">
        <v>1066</v>
      </c>
      <c r="C6368" s="21" t="s">
        <v>977</v>
      </c>
      <c r="D6368" s="21" t="s">
        <v>978</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1072</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1185</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1189</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996</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2544</v>
      </c>
      <c r="B6373" s="21" t="s">
        <v>1054</v>
      </c>
      <c r="C6373" s="21" t="s">
        <v>1116</v>
      </c>
      <c r="D6373" s="21" t="s">
        <v>978</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1000</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1047</v>
      </c>
      <c r="B6375" s="21" t="s">
        <v>1035</v>
      </c>
      <c r="C6375" s="21" t="s">
        <v>977</v>
      </c>
      <c r="D6375" s="21" t="s">
        <v>978</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1116</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2556</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1189</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1002</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1194</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1154</v>
      </c>
      <c r="B6381" s="21" t="s">
        <v>1095</v>
      </c>
      <c r="C6381" s="21" t="s">
        <v>977</v>
      </c>
      <c r="D6381" s="21" t="s">
        <v>978</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1363</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1004</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2523</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1009</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1956</v>
      </c>
      <c r="B6386" s="21" t="s">
        <v>1007</v>
      </c>
      <c r="C6386" s="21" t="s">
        <v>1020</v>
      </c>
      <c r="D6386" s="21" t="s">
        <v>978</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1002</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1025</v>
      </c>
      <c r="B6388" s="21" t="s">
        <v>1035</v>
      </c>
      <c r="C6388" s="21" t="s">
        <v>977</v>
      </c>
      <c r="D6388" s="21" t="s">
        <v>978</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1074</v>
      </c>
      <c r="B6389" s="21" t="s">
        <v>1036</v>
      </c>
      <c r="C6389" s="21" t="s">
        <v>977</v>
      </c>
      <c r="D6389" s="21" t="s">
        <v>978</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1462</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1000</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1025</v>
      </c>
      <c r="B6392" s="21" t="s">
        <v>1035</v>
      </c>
      <c r="C6392" s="21" t="s">
        <v>977</v>
      </c>
      <c r="D6392" s="21" t="s">
        <v>978</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999</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62</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1022</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row>
    <row r="6397" spans="1:12">
      <c r="A6397" s="20" t="s">
        <v>2557</v>
      </c>
    </row>
    <row r="6398" spans="1:12">
      <c r="A6398" s="20" t="s">
        <v>2558</v>
      </c>
      <c r="B6398" s="21" t="s">
        <v>986</v>
      </c>
      <c r="C6398" s="21" t="s">
        <v>987</v>
      </c>
      <c r="D6398" s="21" t="s">
        <v>978</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2559</v>
      </c>
      <c r="B6399" s="21" t="s">
        <v>976</v>
      </c>
      <c r="C6399" s="21" t="s">
        <v>990</v>
      </c>
      <c r="D6399" s="21" t="s">
        <v>978</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1478</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1497</v>
      </c>
      <c r="B6401" s="21" t="s">
        <v>989</v>
      </c>
      <c r="C6401" s="21" t="s">
        <v>987</v>
      </c>
      <c r="D6401" s="21" t="s">
        <v>978</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1183</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2560</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2561</v>
      </c>
      <c r="B6404" s="21" t="s">
        <v>989</v>
      </c>
      <c r="C6404" s="21" t="s">
        <v>990</v>
      </c>
      <c r="D6404" s="21" t="s">
        <v>978</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1022</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row>
    <row r="6407" spans="1:12">
      <c r="A6407" s="20" t="s">
        <v>2562</v>
      </c>
    </row>
    <row r="6408" spans="1:12">
      <c r="A6408" s="20" t="s">
        <v>1357</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t="s">
        <v>1017</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t="s">
        <v>2209</v>
      </c>
      <c r="E6410" s="22">
        <f>IF(D6410="?OLD","!!!","")</f>
        <v/>
      </c>
      <c r="F6410" s="23" t="str">
        <f>IF(OR(E6410="",E6410="!!!"),"",IF(NOT(ISNA(VLOOKUP(E6410,E$1:E6409,1,FALSE()))),"OLD",IF(AND(E6410&lt;&gt;"",E6410&lt;&gt;"!!!"),"NEW","")))</f>
        <v> </v>
      </c>
      <c r="G6410" s="24" t="str">
        <f>IF(OR(E6410="",E6410="!!!"),"",IF(OR(J6410=0,AND(J6410=1,K6410=1),AND(J6410=1,I6410="SBJ"),AND(J6410=1,I6410=0)),"?IN_FOCUS",IF(J6410&lt;=2,"?ACTIVATED",IF(J6410&lt;&gt;"","?FAMILIAR",IF(F6410="NEW",IF(ISNA(VLOOKUP(E6410,#REF!,1,FALSE())),"?TYPE_IDENTIFIABLE","?REFERENTIAL"),"_")))))</f>
        <v> </v>
      </c>
      <c r="H6410" s="25" t="str">
        <f>IF(J6410&lt;&gt;1,"",IF(I6410="SBJ","CB","?"))</f>
        <v> </v>
      </c>
      <c r="I6410" s="26" t="str">
        <f>IF(OR(E6410="",E6410="!!!",F6410="NEW"),"",INDEX(B6409:B$2,-1+SUMPRODUCT(MAX(ROW(E6409:E$2)*(E6410=E6409:E$2)))))</f>
        <v> </v>
      </c>
      <c r="J6410" s="26" t="str">
        <f>IF(OR(E6410="",E6410="!!!",F6410="NEW"),"",COUNTBLANK(OFFSET(A$1,,,SUMPRODUCT(MAX(ROW(E$2:E6410)*(E6410=E$2:E6410)))))-COUNTBLANK(OFFSET(A$1,,,SUMPRODUCT(MAX(ROW(E$1:E6409)*(E2=E$1:E6409))))))</f>
        <v> </v>
      </c>
      <c r="K6410" s="26" t="str">
        <f>IF(OR(E6410="",E6410="!!!",F6410="NEW"),"",INDEX(J$1:J6409,SUMPRODUCT(MAX(ROW(E$1:E6409)*(E6410=E$1:E6409)))))</f>
        <v> </v>
      </c>
      <c r="L6410" s="27"/>
    </row>
    <row r="6411" spans="1:12">
      <c r="A6411" s="20" t="s">
        <v>1038</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1154</v>
      </c>
      <c r="B6412" s="21" t="s">
        <v>1095</v>
      </c>
      <c r="C6412" s="21" t="s">
        <v>977</v>
      </c>
      <c r="D6412" s="21" t="s">
        <v>978</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979</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2539</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1004</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2563</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1065</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172</v>
      </c>
      <c r="B6418" s="21" t="s">
        <v>1101</v>
      </c>
      <c r="C6418" s="21" t="s">
        <v>1008</v>
      </c>
      <c r="D6418" s="21" t="s">
        <v>978</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2129</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1154</v>
      </c>
      <c r="B6420" s="21" t="s">
        <v>1042</v>
      </c>
      <c r="C6420" s="21" t="s">
        <v>977</v>
      </c>
      <c r="D6420" s="21" t="s">
        <v>978</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979</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2130</v>
      </c>
      <c r="B6422" s="21" t="s">
        <v>1146</v>
      </c>
      <c r="C6422" s="21" t="s">
        <v>1057</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1022</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row>
    <row r="6425" spans="1:12">
      <c r="A6425" s="20" t="s">
        <v>2564</v>
      </c>
    </row>
    <row r="6426" spans="1:12">
      <c r="A6426" s="20" t="s">
        <v>190</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2565</v>
      </c>
      <c r="B6427" s="21" t="s">
        <v>976</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2409</v>
      </c>
      <c r="B6428" s="21" t="s">
        <v>1054</v>
      </c>
      <c r="C6428" s="21" t="s">
        <v>987</v>
      </c>
      <c r="D6428" s="21" t="s">
        <v>978</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1111</v>
      </c>
      <c r="B6429" s="21" t="s">
        <v>1052</v>
      </c>
      <c r="C6429" s="21" t="s">
        <v>990</v>
      </c>
      <c r="D6429" s="21" t="s">
        <v>978</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1072</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2566</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1189</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1092</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2567</v>
      </c>
      <c r="B6434" s="21" t="s">
        <v>982</v>
      </c>
      <c r="C6434" s="21" t="s">
        <v>995</v>
      </c>
      <c r="D6434" s="21" t="s">
        <v>978</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1002</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1194</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1010</v>
      </c>
      <c r="B6437" s="21" t="s">
        <v>1095</v>
      </c>
      <c r="C6437" s="21" t="s">
        <v>977</v>
      </c>
      <c r="D6437" s="21" t="s">
        <v>978</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1874</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414</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1018</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2007</v>
      </c>
      <c r="B6441" s="21" t="s">
        <v>1054</v>
      </c>
      <c r="C6441" s="21" t="s">
        <v>1057</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1009</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1050</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2567</v>
      </c>
      <c r="B6444" s="21" t="s">
        <v>1035</v>
      </c>
      <c r="C6444" s="21" t="s">
        <v>983</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2568</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1000</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1092</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2567</v>
      </c>
      <c r="B6448" s="21" t="s">
        <v>1084</v>
      </c>
      <c r="C6448" s="21" t="s">
        <v>995</v>
      </c>
      <c r="D6448" s="21" t="s">
        <v>978</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1305</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2569</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1183</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1728</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1004</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2523</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1022</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row>
    <row r="6457" spans="1:12">
      <c r="A6457" s="20" t="s">
        <v>2570</v>
      </c>
    </row>
    <row r="6458" spans="1:12">
      <c r="A6458" s="20" t="s">
        <v>1357</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1116</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1017</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1549</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1189</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1492</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996</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54</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1050</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2571</v>
      </c>
      <c r="B6467" s="21" t="s">
        <v>1052</v>
      </c>
      <c r="C6467" s="21" t="s">
        <v>983</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2375</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1000</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996</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89</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1038</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2219</v>
      </c>
      <c r="B6473" s="21" t="s">
        <v>1084</v>
      </c>
      <c r="C6473" s="21" t="s">
        <v>987</v>
      </c>
      <c r="D6473" s="21" t="s">
        <v>978</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1111</v>
      </c>
      <c r="B6474" s="21" t="s">
        <v>1035</v>
      </c>
      <c r="C6474" s="21" t="s">
        <v>990</v>
      </c>
      <c r="D6474" s="21" t="s">
        <v>978</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1323</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1401</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1482</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2572</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1022</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row>
    <row r="6481" spans="1:12">
      <c r="A6481" s="20" t="s">
        <v>2573</v>
      </c>
    </row>
    <row r="6482" spans="1:12">
      <c r="A6482" s="20" t="s">
        <v>1357</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1017</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1549</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996</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1596</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1397</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2571</v>
      </c>
      <c r="B6488" s="21" t="s">
        <v>1052</v>
      </c>
      <c r="C6488" s="21" t="s">
        <v>1063</v>
      </c>
      <c r="D6488" s="21" t="s">
        <v>978</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1000</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1017</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2574</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1002</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1024</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1010</v>
      </c>
      <c r="B6494" s="21" t="s">
        <v>1066</v>
      </c>
      <c r="C6494" s="21" t="s">
        <v>977</v>
      </c>
      <c r="D6494" s="21" t="s">
        <v>978</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1093</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2575</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996</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2078</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1216</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1217</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1218</v>
      </c>
      <c r="B6501" s="21" t="s">
        <v>1035</v>
      </c>
      <c r="C6501" s="21" t="s">
        <v>1008</v>
      </c>
      <c r="D6501" s="21" t="s">
        <v>978</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1768</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93</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1074</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2576</v>
      </c>
      <c r="B6505" s="21" t="s">
        <v>1007</v>
      </c>
      <c r="C6505" s="21" t="s">
        <v>995</v>
      </c>
      <c r="D6505" s="21" t="s">
        <v>978</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1002</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1194</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1047</v>
      </c>
      <c r="B6508" s="21" t="s">
        <v>1042</v>
      </c>
      <c r="C6508" s="21" t="s">
        <v>977</v>
      </c>
      <c r="D6508" s="21" t="s">
        <v>978</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1414</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1018</v>
      </c>
      <c r="B6510" s="21" t="s">
        <v>1317</v>
      </c>
      <c r="C6510" s="21" t="s">
        <v>1020</v>
      </c>
      <c r="D6510" s="21" t="s">
        <v>978</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1429</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1358</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1239</v>
      </c>
      <c r="B6513" s="21" t="s">
        <v>1229</v>
      </c>
      <c r="C6513" s="21" t="s">
        <v>1104</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1022</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row>
    <row r="6516" spans="1:12">
      <c r="A6516" s="20" t="s">
        <v>2577</v>
      </c>
    </row>
    <row r="6517" spans="1:12">
      <c r="A6517" s="20" t="s">
        <v>190</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1915</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997</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2578</v>
      </c>
      <c r="B6520" s="21" t="s">
        <v>989</v>
      </c>
      <c r="C6520" s="21" t="s">
        <v>990</v>
      </c>
      <c r="D6520" s="21" t="s">
        <v>978</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996</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985</v>
      </c>
      <c r="B6522" s="21" t="s">
        <v>1054</v>
      </c>
      <c r="C6522" s="21" t="s">
        <v>987</v>
      </c>
      <c r="D6522" s="21" t="s">
        <v>978</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1778</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1111</v>
      </c>
      <c r="B6524" s="21" t="s">
        <v>986</v>
      </c>
      <c r="C6524" s="21" t="s">
        <v>990</v>
      </c>
      <c r="D6524" s="21" t="s">
        <v>978</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1154</v>
      </c>
      <c r="B6525" s="21" t="s">
        <v>976</v>
      </c>
      <c r="C6525" s="21" t="s">
        <v>977</v>
      </c>
      <c r="D6525" s="21" t="s">
        <v>978</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979</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2539</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1004</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2579</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2470</v>
      </c>
      <c r="B6530" s="21" t="s">
        <v>989</v>
      </c>
      <c r="C6530" s="21" t="s">
        <v>1104</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1050</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2580</v>
      </c>
      <c r="B6532" s="21" t="s">
        <v>1095</v>
      </c>
      <c r="C6532" s="21" t="s">
        <v>983</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1469</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93</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2581</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1002</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1665</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1468</v>
      </c>
      <c r="B6538" s="21" t="s">
        <v>1066</v>
      </c>
      <c r="C6538" s="21" t="s">
        <v>977</v>
      </c>
      <c r="D6538" s="21" t="s">
        <v>978</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1469</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93</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1183</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1771</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1038</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996</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993</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2582</v>
      </c>
      <c r="B6546" s="21" t="s">
        <v>1007</v>
      </c>
      <c r="C6546" s="21" t="s">
        <v>995</v>
      </c>
      <c r="D6546" s="21" t="s">
        <v>978</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1002</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1000</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1154</v>
      </c>
      <c r="B6549" s="21" t="s">
        <v>1066</v>
      </c>
      <c r="C6549" s="21" t="s">
        <v>977</v>
      </c>
      <c r="D6549" s="21" t="s">
        <v>978</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979</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1747</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1038</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1397</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1683</v>
      </c>
      <c r="B6554" s="21" t="s">
        <v>1035</v>
      </c>
      <c r="C6554" s="21" t="s">
        <v>1063</v>
      </c>
      <c r="D6554" s="21" t="s">
        <v>978</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1200</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1135</v>
      </c>
      <c r="B6556" s="21" t="s">
        <v>1036</v>
      </c>
      <c r="C6556" s="21" t="s">
        <v>977</v>
      </c>
      <c r="D6556" s="21" t="s">
        <v>978</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1323</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2583</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1081</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2405</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996</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993</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2584</v>
      </c>
      <c r="B6563" s="21" t="s">
        <v>1084</v>
      </c>
      <c r="C6563" s="21" t="s">
        <v>995</v>
      </c>
      <c r="D6563" s="21" t="s">
        <v>978</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2585</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1081</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1050</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1381</v>
      </c>
      <c r="B6567" s="21" t="s">
        <v>1040</v>
      </c>
      <c r="C6567" s="21" t="s">
        <v>983</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1183</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2581</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1000</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1183</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2586</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1022</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row>
    <row r="6575" spans="1:12">
      <c r="A6575" s="20" t="s">
        <v>2587</v>
      </c>
    </row>
    <row r="6576" spans="1:12">
      <c r="A6576" s="20" t="s">
        <v>1915</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t="s">
        <v>1074</v>
      </c>
      <c r="E6577" s="22">
        <f>IF(D6577="?OLD","!!!","")</f>
        <v/>
      </c>
      <c r="F6577" s="23" t="str">
        <f>IF(OR(E6577="",E6577="!!!"),"",IF(NOT(ISNA(VLOOKUP(E6577,E$1:E6576,1,FALSE()))),"OLD",IF(AND(E6577&lt;&gt;"",E6577&lt;&gt;"!!!"),"NEW","")))</f>
        <v> </v>
      </c>
      <c r="G6577" s="24" t="str">
        <f>IF(OR(E6577="",E6577="!!!"),"",IF(OR(J6577=0,AND(J6577=1,K6577=1),AND(J6577=1,I6577="SBJ"),AND(J6577=1,I6577=0)),"?IN_FOCUS",IF(J6577&lt;=2,"?ACTIVATED",IF(J6577&lt;&gt;"","?FAMILIAR",IF(F6577="NEW",IF(ISNA(VLOOKUP(E6577,#REF!,1,FALSE())),"?TYPE_IDENTIFIABLE","?REFERENTIAL"),"_")))))</f>
        <v> </v>
      </c>
      <c r="H6577" s="25" t="str">
        <f>IF(J6577&lt;&gt;1,"",IF(I6577="SBJ","CB","?"))</f>
        <v> </v>
      </c>
      <c r="I6577" s="26" t="str">
        <f>IF(OR(E6577="",E6577="!!!",F6577="NEW"),"",INDEX(B6576:B$2,-1+SUMPRODUCT(MAX(ROW(E6576:E$2)*(E6577=E6576:E$2)))))</f>
        <v> </v>
      </c>
      <c r="J6577" s="26" t="str">
        <f>IF(OR(E6577="",E6577="!!!",F6577="NEW"),"",COUNTBLANK(OFFSET(A$1,,,SUMPRODUCT(MAX(ROW(E$2:E6577)*(E6577=E$2:E6577)))))-COUNTBLANK(OFFSET(A$1,,,SUMPRODUCT(MAX(ROW(E$1:E6576)*(E2=E$1:E6576))))))</f>
        <v> </v>
      </c>
      <c r="K6577" s="26" t="str">
        <f>IF(OR(E6577="",E6577="!!!",F6577="NEW"),"",INDEX(J$1:J6576,SUMPRODUCT(MAX(ROW(E$1:E6576)*(E6577=E$1:E6576)))))</f>
        <v> </v>
      </c>
      <c r="L6577" s="27"/>
    </row>
    <row r="6578" spans="1:12">
      <c r="A6578" s="20" t="s">
        <v>2588</v>
      </c>
      <c r="B6578" s="21" t="s">
        <v>989</v>
      </c>
      <c r="C6578" s="21" t="s">
        <v>995</v>
      </c>
      <c r="D6578" s="21" t="s">
        <v>978</v>
      </c>
      <c r="E6578" s="22">
        <f>IF(D6578="?OLD","!!!","")</f>
        <v/>
      </c>
      <c r="F6578" s="23" t="str">
        <f>IF(OR(E6578="",E6578="!!!"),"",IF(NOT(ISNA(VLOOKUP(E6578,E$1:E6577,1,FALSE()))),"OLD",IF(AND(E6578&lt;&gt;"",E6578&lt;&gt;"!!!"),"NEW","")))</f>
        <v> </v>
      </c>
      <c r="G6578" s="24" t="str">
        <f>IF(OR(E6578="",E6578="!!!"),"",IF(OR(J6578=0,AND(J6578=1,K6578=1),AND(J6578=1,I6578="SBJ"),AND(J6578=1,I6578=0)),"?IN_FOCUS",IF(J6578&lt;=2,"?ACTIVATED",IF(J6578&lt;&gt;"","?FAMILIAR",IF(F6578="NEW",IF(ISNA(VLOOKUP(E6578,#REF!,1,FALSE())),"?TYPE_IDENTIFIABLE","?REFERENTIAL"),"_")))))</f>
        <v> </v>
      </c>
      <c r="H6578" s="25" t="str">
        <f>IF(J6578&lt;&gt;1,"",IF(I6578="SBJ","CB","?"))</f>
        <v> </v>
      </c>
      <c r="I6578" s="26" t="str">
        <f>IF(OR(E6578="",E6578="!!!",F6578="NEW"),"",INDEX(B6577:B$2,-1+SUMPRODUCT(MAX(ROW(E6577:E$2)*(E6578=E6577:E$2)))))</f>
        <v> </v>
      </c>
      <c r="J6578" s="26" t="str">
        <f>IF(OR(E6578="",E6578="!!!",F6578="NEW"),"",COUNTBLANK(OFFSET(A$1,,,SUMPRODUCT(MAX(ROW(E$2:E6578)*(E6578=E$2:E6578)))))-COUNTBLANK(OFFSET(A$1,,,SUMPRODUCT(MAX(ROW(E$1:E6577)*(E2=E$1:E6577))))))</f>
        <v> </v>
      </c>
      <c r="K6578" s="26" t="str">
        <f>IF(OR(E6578="",E6578="!!!",F6578="NEW"),"",INDEX(J$1:J6577,SUMPRODUCT(MAX(ROW(E$1:E6577)*(E6578=E$1:E6577)))))</f>
        <v> </v>
      </c>
      <c r="L6578" s="27"/>
    </row>
    <row r="6579" spans="1:12">
      <c r="A6579" s="20" t="s">
        <v>996</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1092</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1111</v>
      </c>
      <c r="B6581" s="21" t="s">
        <v>986</v>
      </c>
      <c r="C6581" s="21" t="s">
        <v>995</v>
      </c>
      <c r="D6581" s="21" t="s">
        <v>978</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1002</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172</v>
      </c>
      <c r="B6583" s="21" t="s">
        <v>976</v>
      </c>
      <c r="C6583" s="21" t="s">
        <v>1008</v>
      </c>
      <c r="D6583" s="21" t="s">
        <v>978</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1072</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1067</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1189</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997</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1193</v>
      </c>
      <c r="B6588" s="21" t="s">
        <v>989</v>
      </c>
      <c r="C6588" s="21" t="s">
        <v>995</v>
      </c>
      <c r="D6588" s="21" t="s">
        <v>978</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1194</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1092</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1195</v>
      </c>
      <c r="B6591" s="21" t="s">
        <v>989</v>
      </c>
      <c r="C6591" s="21" t="s">
        <v>995</v>
      </c>
      <c r="D6591" s="21" t="s">
        <v>978</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1022</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row>
    <row r="6594" spans="1:12">
      <c r="A6594" s="20" t="s">
        <v>2589</v>
      </c>
    </row>
    <row r="6595" spans="1:12">
      <c r="A6595" s="20" t="s">
        <v>1000</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1018</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172</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1199</v>
      </c>
      <c r="B6598" s="21" t="s">
        <v>989</v>
      </c>
      <c r="C6598" s="21" t="s">
        <v>1063</v>
      </c>
      <c r="D6598" s="21" t="s">
        <v>978</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1002</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1154</v>
      </c>
      <c r="B6600" s="21" t="s">
        <v>976</v>
      </c>
      <c r="C6600" s="21" t="s">
        <v>977</v>
      </c>
      <c r="D6600" s="21" t="s">
        <v>978</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979</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1050</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1426</v>
      </c>
      <c r="B6603" s="21" t="s">
        <v>982</v>
      </c>
      <c r="C6603" s="21" t="s">
        <v>983</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2590</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1002</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1305</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993</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1498</v>
      </c>
      <c r="B6608" s="21" t="s">
        <v>989</v>
      </c>
      <c r="C6608" s="21" t="s">
        <v>995</v>
      </c>
      <c r="D6608" s="21" t="s">
        <v>978</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2031</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1047</v>
      </c>
      <c r="B6610" s="21" t="s">
        <v>1066</v>
      </c>
      <c r="C6610" s="21" t="s">
        <v>977</v>
      </c>
      <c r="D6610" s="21" t="s">
        <v>978</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1164</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1546</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1022</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row>
    <row r="6615" spans="1:12">
      <c r="A6615" s="20" t="s">
        <v>2591</v>
      </c>
    </row>
    <row r="6616" spans="1:12">
      <c r="A6616" s="20" t="s">
        <v>975</v>
      </c>
      <c r="B6616" s="21" t="s">
        <v>976</v>
      </c>
      <c r="C6616" s="21" t="s">
        <v>977</v>
      </c>
      <c r="D6616" s="21" t="s">
        <v>978</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979</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980</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1689</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981</v>
      </c>
      <c r="B6620" s="21" t="s">
        <v>982</v>
      </c>
      <c r="C6620" s="21" t="s">
        <v>1063</v>
      </c>
      <c r="D6620" s="21" t="s">
        <v>978</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984</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985</v>
      </c>
      <c r="B6622" s="21" t="s">
        <v>986</v>
      </c>
      <c r="C6622" s="21" t="s">
        <v>987</v>
      </c>
      <c r="D6622" s="21" t="s">
        <v>978</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988</v>
      </c>
      <c r="B6623" s="21" t="s">
        <v>989</v>
      </c>
      <c r="C6623" s="21" t="s">
        <v>990</v>
      </c>
      <c r="D6623" s="21" t="s">
        <v>978</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1002</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1000</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1047</v>
      </c>
      <c r="B6626" s="21" t="s">
        <v>1095</v>
      </c>
      <c r="C6626" s="21" t="s">
        <v>977</v>
      </c>
      <c r="D6626" s="21" t="s">
        <v>978</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1011</v>
      </c>
      <c r="B6627" s="21" t="s">
        <v>1052</v>
      </c>
      <c r="C6627" s="21" t="s">
        <v>977</v>
      </c>
      <c r="D6627" s="21" t="s">
        <v>978</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1164</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1028</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1004</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2592</v>
      </c>
      <c r="B6631" s="21" t="s">
        <v>1054</v>
      </c>
      <c r="C6631" s="21" t="s">
        <v>1057</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996</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997</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2593</v>
      </c>
      <c r="B6634" s="21" t="s">
        <v>1054</v>
      </c>
      <c r="C6634" s="21" t="s">
        <v>995</v>
      </c>
      <c r="D6634" s="21" t="s">
        <v>978</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1004</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t="s">
        <v>997</v>
      </c>
      <c r="E6636" s="22">
        <f>IF(D6636="?OLD","!!!","")</f>
        <v/>
      </c>
      <c r="F6636" s="23" t="str">
        <f>IF(OR(E6636="",E6636="!!!"),"",IF(NOT(ISNA(VLOOKUP(E6636,E$1:E6635,1,FALSE()))),"OLD",IF(AND(E6636&lt;&gt;"",E6636&lt;&gt;"!!!"),"NEW","")))</f>
        <v> </v>
      </c>
      <c r="G6636" s="24" t="str">
        <f>IF(OR(E6636="",E6636="!!!"),"",IF(OR(J6636=0,AND(J6636=1,K6636=1),AND(J6636=1,I6636="SBJ"),AND(J6636=1,I6636=0)),"?IN_FOCUS",IF(J6636&lt;=2,"?ACTIVATED",IF(J6636&lt;&gt;"","?FAMILIAR",IF(F6636="NEW",IF(ISNA(VLOOKUP(E6636,#REF!,1,FALSE())),"?TYPE_IDENTIFIABLE","?REFERENTIAL"),"_")))))</f>
        <v> </v>
      </c>
      <c r="H6636" s="25" t="str">
        <f>IF(J6636&lt;&gt;1,"",IF(I6636="SBJ","CB","?"))</f>
        <v> </v>
      </c>
      <c r="I6636" s="26" t="str">
        <f>IF(OR(E6636="",E6636="!!!",F6636="NEW"),"",INDEX(B6635:B$2,-1+SUMPRODUCT(MAX(ROW(E6635:E$2)*(E6636=E6635:E$2)))))</f>
        <v> </v>
      </c>
      <c r="J6636" s="26" t="str">
        <f>IF(OR(E6636="",E6636="!!!",F6636="NEW"),"",COUNTBLANK(OFFSET(A$1,,,SUMPRODUCT(MAX(ROW(E$2:E6636)*(E6636=E$2:E6636)))))-COUNTBLANK(OFFSET(A$1,,,SUMPRODUCT(MAX(ROW(E$1:E6635)*(E2=E$1:E6635))))))</f>
        <v> </v>
      </c>
      <c r="K6636" s="26" t="str">
        <f>IF(OR(E6636="",E6636="!!!",F6636="NEW"),"",INDEX(J$1:J6635,SUMPRODUCT(MAX(ROW(E$1:E6635)*(E6636=E$1:E6635)))))</f>
        <v> </v>
      </c>
      <c r="L6636" s="27"/>
    </row>
    <row r="6637" spans="1:12">
      <c r="A6637" s="20" t="s">
        <v>1372</v>
      </c>
      <c r="B6637" s="21" t="s">
        <v>1007</v>
      </c>
      <c r="C6637" s="21" t="s">
        <v>995</v>
      </c>
      <c r="D6637" s="21" t="s">
        <v>978</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996</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997</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1100</v>
      </c>
      <c r="B6640" s="21" t="s">
        <v>1084</v>
      </c>
      <c r="C6640" s="21" t="s">
        <v>995</v>
      </c>
      <c r="D6640" s="21" t="s">
        <v>978</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1002</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1000</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1154</v>
      </c>
      <c r="B6643" s="21" t="s">
        <v>1066</v>
      </c>
      <c r="C6643" s="21" t="s">
        <v>977</v>
      </c>
      <c r="D6643" s="21" t="s">
        <v>978</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979</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1747</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1358</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1239</v>
      </c>
      <c r="B6647" s="21" t="s">
        <v>1101</v>
      </c>
      <c r="C6647" s="21" t="s">
        <v>1104</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1004</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997</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t="s">
        <v>1467</v>
      </c>
      <c r="B6650" s="21" t="s">
        <v>1054</v>
      </c>
      <c r="C6650" s="21" t="s">
        <v>990</v>
      </c>
      <c r="D6650" s="21" t="s">
        <v>978</v>
      </c>
      <c r="E6650" s="22">
        <f>IF(D6650="?OLD","!!!","")</f>
        <v/>
      </c>
      <c r="F6650" s="23" t="str">
        <f>IF(OR(E6650="",E6650="!!!"),"",IF(NOT(ISNA(VLOOKUP(E6650,E$1:E6649,1,FALSE()))),"OLD",IF(AND(E6650&lt;&gt;"",E6650&lt;&gt;"!!!"),"NEW","")))</f>
        <v> </v>
      </c>
      <c r="G6650" s="24" t="str">
        <f>IF(OR(E6650="",E6650="!!!"),"",IF(OR(J6650=0,AND(J6650=1,K6650=1),AND(J6650=1,I6650="SBJ"),AND(J6650=1,I6650=0)),"?IN_FOCUS",IF(J6650&lt;=2,"?ACTIVATED",IF(J6650&lt;&gt;"","?FAMILIAR",IF(F6650="NEW",IF(ISNA(VLOOKUP(E6650,#REF!,1,FALSE())),"?TYPE_IDENTIFIABLE","?REFERENTIAL"),"_")))))</f>
        <v> </v>
      </c>
      <c r="H6650" s="25" t="str">
        <f>IF(J6650&lt;&gt;1,"",IF(I6650="SBJ","CB","?"))</f>
        <v> </v>
      </c>
      <c r="I6650" s="26" t="str">
        <f>IF(OR(E6650="",E6650="!!!",F6650="NEW"),"",INDEX(B6649:B$2,-1+SUMPRODUCT(MAX(ROW(E6649:E$2)*(E6650=E6649:E$2)))))</f>
        <v> </v>
      </c>
      <c r="J6650" s="26" t="str">
        <f>IF(OR(E6650="",E6650="!!!",F6650="NEW"),"",COUNTBLANK(OFFSET(A$1,,,SUMPRODUCT(MAX(ROW(E$2:E6650)*(E6650=E$2:E6650)))))-COUNTBLANK(OFFSET(A$1,,,SUMPRODUCT(MAX(ROW(E$1:E6649)*(E2=E$1:E6649))))))</f>
        <v> </v>
      </c>
      <c r="K6650" s="26" t="str">
        <f>IF(OR(E6650="",E6650="!!!",F6650="NEW"),"",INDEX(J$1:J6649,SUMPRODUCT(MAX(ROW(E$1:E6649)*(E6650=E$1:E6649)))))</f>
        <v> </v>
      </c>
      <c r="L6650" s="27"/>
    </row>
    <row r="6651" spans="1:12">
      <c r="A6651" s="20" t="s">
        <v>996</v>
      </c>
      <c r="E6651" s="22">
        <f>IF(D6651="?OLD","!!!","")</f>
        <v/>
      </c>
      <c r="F6651" s="23" t="str">
        <f>IF(OR(E6651="",E6651="!!!"),"",IF(NOT(ISNA(VLOOKUP(E6651,E$1:E6650,1,FALSE()))),"OLD",IF(AND(E6651&lt;&gt;"",E6651&lt;&gt;"!!!"),"NEW","")))</f>
        <v> </v>
      </c>
      <c r="G6651" s="24" t="str">
        <f>IF(OR(E6651="",E6651="!!!"),"",IF(OR(J6651=0,AND(J6651=1,K6651=1),AND(J6651=1,I6651="SBJ"),AND(J6651=1,I6651=0)),"?IN_FOCUS",IF(J6651&lt;=2,"?ACTIVATED",IF(J6651&lt;&gt;"","?FAMILIAR",IF(F6651="NEW",IF(ISNA(VLOOKUP(E6651,#REF!,1,FALSE())),"?TYPE_IDENTIFIABLE","?REFERENTIAL"),"_")))))</f>
        <v> </v>
      </c>
      <c r="H6651" s="25" t="str">
        <f>IF(J6651&lt;&gt;1,"",IF(I6651="SBJ","CB","?"))</f>
        <v> </v>
      </c>
      <c r="I6651" s="26" t="str">
        <f>IF(OR(E6651="",E6651="!!!",F6651="NEW"),"",INDEX(B6650:B$2,-1+SUMPRODUCT(MAX(ROW(E6650:E$2)*(E6651=E6650:E$2)))))</f>
        <v> </v>
      </c>
      <c r="J6651" s="26" t="str">
        <f>IF(OR(E6651="",E6651="!!!",F6651="NEW"),"",COUNTBLANK(OFFSET(A$1,,,SUMPRODUCT(MAX(ROW(E$2:E6651)*(E6651=E$2:E6651)))))-COUNTBLANK(OFFSET(A$1,,,SUMPRODUCT(MAX(ROW(E$1:E6650)*(E2=E$1:E6650))))))</f>
        <v> </v>
      </c>
      <c r="K6651" s="26" t="str">
        <f>IF(OR(E6651="",E6651="!!!",F6651="NEW"),"",INDEX(J$1:J6650,SUMPRODUCT(MAX(ROW(E$1:E6650)*(E6651=E$1:E6650)))))</f>
        <v> </v>
      </c>
      <c r="L6651" s="27"/>
    </row>
    <row r="6652" spans="1:12">
      <c r="A6652" s="20" t="s">
        <v>1078</v>
      </c>
      <c r="B6652" s="21" t="s">
        <v>1007</v>
      </c>
      <c r="C6652" s="21" t="s">
        <v>1020</v>
      </c>
      <c r="D6652" s="21" t="s">
        <v>978</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1038</v>
      </c>
      <c r="B6653" s="21" t="s">
        <v>1146</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1047</v>
      </c>
      <c r="B6654" s="21" t="s">
        <v>1042</v>
      </c>
      <c r="C6654" s="21" t="s">
        <v>977</v>
      </c>
      <c r="D6654" s="21" t="s">
        <v>978</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1116</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1293</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1009</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1360</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1050</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1055</v>
      </c>
      <c r="B6660" s="21" t="s">
        <v>1229</v>
      </c>
      <c r="C6660" s="21" t="s">
        <v>983</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1038</v>
      </c>
      <c r="B6661" s="21" t="s">
        <v>1810</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1047</v>
      </c>
      <c r="B6662" s="21" t="s">
        <v>1833</v>
      </c>
      <c r="C6662" s="21" t="s">
        <v>977</v>
      </c>
      <c r="D6662" s="21" t="s">
        <v>978</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1072</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1185</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t="s">
        <v>1670</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2594</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1645</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172</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1344</v>
      </c>
      <c r="B6669" s="21" t="s">
        <v>1014</v>
      </c>
      <c r="C6669" s="21" t="s">
        <v>1063</v>
      </c>
      <c r="D6669" s="21" t="s">
        <v>978</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1010</v>
      </c>
      <c r="B6670" s="21" t="s">
        <v>1054</v>
      </c>
      <c r="C6670" s="21" t="s">
        <v>977</v>
      </c>
      <c r="D6670" s="21" t="s">
        <v>978</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1294</v>
      </c>
      <c r="B6671" s="21" t="s">
        <v>1007</v>
      </c>
      <c r="C6671" s="21" t="s">
        <v>1020</v>
      </c>
      <c r="D6671" s="21" t="s">
        <v>978</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1323</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96</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1177</v>
      </c>
      <c r="B6674" s="21" t="s">
        <v>986</v>
      </c>
      <c r="C6674" s="21" t="s">
        <v>1178</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t="s">
        <v>1024</v>
      </c>
      <c r="E6675" s="22">
        <f>IF(D6675="?OLD","!!!","")</f>
        <v/>
      </c>
      <c r="F6675" s="23" t="str">
        <f>IF(OR(E6675="",E6675="!!!"),"",IF(NOT(ISNA(VLOOKUP(E6675,E$1:E6674,1,FALSE()))),"OLD",IF(AND(E6675&lt;&gt;"",E6675&lt;&gt;"!!!"),"NEW","")))</f>
        <v> </v>
      </c>
      <c r="G6675" s="24" t="str">
        <f>IF(OR(E6675="",E6675="!!!"),"",IF(OR(J6675=0,AND(J6675=1,K6675=1),AND(J6675=1,I6675="SBJ"),AND(J6675=1,I6675=0)),"?IN_FOCUS",IF(J6675&lt;=2,"?ACTIVATED",IF(J6675&lt;&gt;"","?FAMILIAR",IF(F6675="NEW",IF(ISNA(VLOOKUP(E6675,#REF!,1,FALSE())),"?TYPE_IDENTIFIABLE","?REFERENTIAL"),"_")))))</f>
        <v> </v>
      </c>
      <c r="H6675" s="25" t="str">
        <f>IF(J6675&lt;&gt;1,"",IF(I6675="SBJ","CB","?"))</f>
        <v> </v>
      </c>
      <c r="I6675" s="26" t="str">
        <f>IF(OR(E6675="",E6675="!!!",F6675="NEW"),"",INDEX(B6674:B$2,-1+SUMPRODUCT(MAX(ROW(E6674:E$2)*(E6675=E6674:E$2)))))</f>
        <v> </v>
      </c>
      <c r="J6675" s="26" t="str">
        <f>IF(OR(E6675="",E6675="!!!",F6675="NEW"),"",COUNTBLANK(OFFSET(A$1,,,SUMPRODUCT(MAX(ROW(E$2:E6675)*(E6675=E$2:E6675)))))-COUNTBLANK(OFFSET(A$1,,,SUMPRODUCT(MAX(ROW(E$1:E6674)*(E2=E$1:E6674))))))</f>
        <v> </v>
      </c>
      <c r="K6675" s="26" t="str">
        <f>IF(OR(E6675="",E6675="!!!",F6675="NEW"),"",INDEX(J$1:J6674,SUMPRODUCT(MAX(ROW(E$1:E6674)*(E6675=E$1:E6674)))))</f>
        <v> </v>
      </c>
      <c r="L6675" s="27"/>
    </row>
    <row r="6676" spans="1:12">
      <c r="A6676" s="20" t="s">
        <v>1074</v>
      </c>
      <c r="E6676" s="22">
        <f>IF(D6676="?OLD","!!!","")</f>
        <v/>
      </c>
      <c r="F6676" s="23" t="str">
        <f>IF(OR(E6676="",E6676="!!!"),"",IF(NOT(ISNA(VLOOKUP(E6676,E$1:E6675,1,FALSE()))),"OLD",IF(AND(E6676&lt;&gt;"",E6676&lt;&gt;"!!!"),"NEW","")))</f>
        <v> </v>
      </c>
      <c r="G6676" s="24" t="str">
        <f>IF(OR(E6676="",E6676="!!!"),"",IF(OR(J6676=0,AND(J6676=1,K6676=1),AND(J6676=1,I6676="SBJ"),AND(J6676=1,I6676=0)),"?IN_FOCUS",IF(J6676&lt;=2,"?ACTIVATED",IF(J6676&lt;&gt;"","?FAMILIAR",IF(F6676="NEW",IF(ISNA(VLOOKUP(E6676,#REF!,1,FALSE())),"?TYPE_IDENTIFIABLE","?REFERENTIAL"),"_")))))</f>
        <v> </v>
      </c>
      <c r="H6676" s="25" t="str">
        <f>IF(J6676&lt;&gt;1,"",IF(I6676="SBJ","CB","?"))</f>
        <v> </v>
      </c>
      <c r="I6676" s="26" t="str">
        <f>IF(OR(E6676="",E6676="!!!",F6676="NEW"),"",INDEX(B6675:B$2,-1+SUMPRODUCT(MAX(ROW(E6675:E$2)*(E6676=E6675:E$2)))))</f>
        <v> </v>
      </c>
      <c r="J6676" s="26" t="str">
        <f>IF(OR(E6676="",E6676="!!!",F6676="NEW"),"",COUNTBLANK(OFFSET(A$1,,,SUMPRODUCT(MAX(ROW(E$2:E6676)*(E6676=E$2:E6676)))))-COUNTBLANK(OFFSET(A$1,,,SUMPRODUCT(MAX(ROW(E$1:E6675)*(E2=E$1:E6675))))))</f>
        <v> </v>
      </c>
      <c r="K6676" s="26" t="str">
        <f>IF(OR(E6676="",E6676="!!!",F6676="NEW"),"",INDEX(J$1:J6675,SUMPRODUCT(MAX(ROW(E$1:E6675)*(E6676=E$1:E6675)))))</f>
        <v> </v>
      </c>
      <c r="L6676" s="27"/>
    </row>
    <row r="6677" spans="1:12">
      <c r="A6677" s="20" t="s">
        <v>2576</v>
      </c>
      <c r="B6677" s="21" t="s">
        <v>1066</v>
      </c>
      <c r="C6677" s="21" t="s">
        <v>995</v>
      </c>
      <c r="D6677" s="21" t="s">
        <v>978</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1067</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2595</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1011</v>
      </c>
      <c r="B6680" s="21" t="s">
        <v>1036</v>
      </c>
      <c r="C6680" s="21" t="s">
        <v>977</v>
      </c>
      <c r="D6680" s="21" t="s">
        <v>978</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105</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2596</v>
      </c>
      <c r="B6682" s="21" t="s">
        <v>1036</v>
      </c>
      <c r="C6682" s="21" t="s">
        <v>1057</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t="s">
        <v>2597</v>
      </c>
      <c r="E6683" s="22">
        <f>IF(D6683="?OLD","!!!","")</f>
        <v/>
      </c>
      <c r="F6683" s="23" t="str">
        <f>IF(OR(E6683="",E6683="!!!"),"",IF(NOT(ISNA(VLOOKUP(E6683,E$1:E6682,1,FALSE()))),"OLD",IF(AND(E6683&lt;&gt;"",E6683&lt;&gt;"!!!"),"NEW","")))</f>
        <v> </v>
      </c>
      <c r="G6683" s="24" t="str">
        <f>IF(OR(E6683="",E6683="!!!"),"",IF(OR(J6683=0,AND(J6683=1,K6683=1),AND(J6683=1,I6683="SBJ"),AND(J6683=1,I6683=0)),"?IN_FOCUS",IF(J6683&lt;=2,"?ACTIVATED",IF(J6683&lt;&gt;"","?FAMILIAR",IF(F6683="NEW",IF(ISNA(VLOOKUP(E6683,#REF!,1,FALSE())),"?TYPE_IDENTIFIABLE","?REFERENTIAL"),"_")))))</f>
        <v> </v>
      </c>
      <c r="H6683" s="25" t="str">
        <f>IF(J6683&lt;&gt;1,"",IF(I6683="SBJ","CB","?"))</f>
        <v> </v>
      </c>
      <c r="I6683" s="26" t="str">
        <f>IF(OR(E6683="",E6683="!!!",F6683="NEW"),"",INDEX(B6682:B$2,-1+SUMPRODUCT(MAX(ROW(E6682:E$2)*(E6683=E6682:E$2)))))</f>
        <v> </v>
      </c>
      <c r="J6683" s="26" t="str">
        <f>IF(OR(E6683="",E6683="!!!",F6683="NEW"),"",COUNTBLANK(OFFSET(A$1,,,SUMPRODUCT(MAX(ROW(E$2:E6683)*(E6683=E$2:E6683)))))-COUNTBLANK(OFFSET(A$1,,,SUMPRODUCT(MAX(ROW(E$1:E6682)*(E2=E$1:E6682))))))</f>
        <v> </v>
      </c>
      <c r="K6683" s="26" t="str">
        <f>IF(OR(E6683="",E6683="!!!",F6683="NEW"),"",INDEX(J$1:J6682,SUMPRODUCT(MAX(ROW(E$1:E6682)*(E6683=E$1:E6682)))))</f>
        <v> </v>
      </c>
      <c r="L6683" s="27"/>
    </row>
    <row r="6684" spans="1:12">
      <c r="A6684" s="20" t="s">
        <v>1022</v>
      </c>
      <c r="E6684" s="22">
        <f>IF(D6684="?OLD","!!!","")</f>
        <v/>
      </c>
      <c r="F6684" s="23" t="str">
        <f>IF(OR(E6684="",E6684="!!!"),"",IF(NOT(ISNA(VLOOKUP(E6684,E$1:E6683,1,FALSE()))),"OLD",IF(AND(E6684&lt;&gt;"",E6684&lt;&gt;"!!!"),"NEW","")))</f>
        <v> </v>
      </c>
      <c r="G6684" s="24" t="str">
        <f>IF(OR(E6684="",E6684="!!!"),"",IF(OR(J6684=0,AND(J6684=1,K6684=1),AND(J6684=1,I6684="SBJ"),AND(J6684=1,I6684=0)),"?IN_FOCUS",IF(J6684&lt;=2,"?ACTIVATED",IF(J6684&lt;&gt;"","?FAMILIAR",IF(F6684="NEW",IF(ISNA(VLOOKUP(E6684,#REF!,1,FALSE())),"?TYPE_IDENTIFIABLE","?REFERENTIAL"),"_")))))</f>
        <v> </v>
      </c>
      <c r="H6684" s="25" t="str">
        <f>IF(J6684&lt;&gt;1,"",IF(I6684="SBJ","CB","?"))</f>
        <v> </v>
      </c>
      <c r="I6684" s="26" t="str">
        <f>IF(OR(E6684="",E6684="!!!",F6684="NEW"),"",INDEX(B6683:B$2,-1+SUMPRODUCT(MAX(ROW(E6683:E$2)*(E6684=E6683:E$2)))))</f>
        <v> </v>
      </c>
      <c r="J6684" s="26" t="str">
        <f>IF(OR(E6684="",E6684="!!!",F6684="NEW"),"",COUNTBLANK(OFFSET(A$1,,,SUMPRODUCT(MAX(ROW(E$2:E6684)*(E6684=E$2:E6684)))))-COUNTBLANK(OFFSET(A$1,,,SUMPRODUCT(MAX(ROW(E$1:E6683)*(E2=E$1:E6683))))))</f>
        <v> </v>
      </c>
      <c r="K6684" s="26" t="str">
        <f>IF(OR(E6684="",E6684="!!!",F6684="NEW"),"",INDEX(J$1:J6683,SUMPRODUCT(MAX(ROW(E$1:E6683)*(E6684=E$1:E6683)))))</f>
        <v> </v>
      </c>
      <c r="L6684" s="27"/>
    </row>
    <row r="6685" spans="1:12">
      <c r="A6685" s="20"/>
    </row>
    <row r="6686" spans="1:12">
      <c r="A6686" s="20" t="s">
        <v>2598</v>
      </c>
    </row>
    <row r="6687" spans="1:12">
      <c r="A6687" s="20" t="s">
        <v>992</v>
      </c>
      <c r="E6687" s="22">
        <f>IF(D6687="?OLD","!!!","")</f>
        <v/>
      </c>
      <c r="F6687" s="23" t="str">
        <f>IF(OR(E6687="",E6687="!!!"),"",IF(NOT(ISNA(VLOOKUP(E6687,E$1:E6686,1,FALSE()))),"OLD",IF(AND(E6687&lt;&gt;"",E6687&lt;&gt;"!!!"),"NEW","")))</f>
        <v> </v>
      </c>
      <c r="G6687" s="24" t="str">
        <f>IF(OR(E6687="",E6687="!!!"),"",IF(OR(J6687=0,AND(J6687=1,K6687=1),AND(J6687=1,I6687="SBJ"),AND(J6687=1,I6687=0)),"?IN_FOCUS",IF(J6687&lt;=2,"?ACTIVATED",IF(J6687&lt;&gt;"","?FAMILIAR",IF(F6687="NEW",IF(ISNA(VLOOKUP(E6687,#REF!,1,FALSE())),"?TYPE_IDENTIFIABLE","?REFERENTIAL"),"_")))))</f>
        <v> </v>
      </c>
      <c r="H6687" s="25" t="str">
        <f>IF(J6687&lt;&gt;1,"",IF(I6687="SBJ","CB","?"))</f>
        <v> </v>
      </c>
      <c r="I6687" s="26" t="str">
        <f>IF(OR(E6687="",E6687="!!!",F6687="NEW"),"",INDEX(B6686:B$2,-1+SUMPRODUCT(MAX(ROW(E6686:E$2)*(E6687=E6686:E$2)))))</f>
        <v> </v>
      </c>
      <c r="J6687" s="26" t="str">
        <f>IF(OR(E6687="",E6687="!!!",F6687="NEW"),"",COUNTBLANK(OFFSET(A$1,,,SUMPRODUCT(MAX(ROW(E$2:E6687)*(E6687=E$2:E6687)))))-COUNTBLANK(OFFSET(A$1,,,SUMPRODUCT(MAX(ROW(E$1:E6686)*(E2=E$1:E6686))))))</f>
        <v> </v>
      </c>
      <c r="K6687" s="26" t="str">
        <f>IF(OR(E6687="",E6687="!!!",F6687="NEW"),"",INDEX(J$1:J6686,SUMPRODUCT(MAX(ROW(E$1:E6686)*(E6687=E$1:E6686)))))</f>
        <v> </v>
      </c>
      <c r="L6687" s="27"/>
    </row>
    <row r="6688" spans="1:12">
      <c r="A6688" s="20" t="s">
        <v>1047</v>
      </c>
      <c r="B6688" s="21" t="s">
        <v>976</v>
      </c>
      <c r="C6688" s="21" t="s">
        <v>977</v>
      </c>
      <c r="D6688" s="21" t="s">
        <v>978</v>
      </c>
      <c r="E6688" s="22">
        <f>IF(D6688="?OLD","!!!","")</f>
        <v/>
      </c>
      <c r="F6688" s="23" t="str">
        <f>IF(OR(E6688="",E6688="!!!"),"",IF(NOT(ISNA(VLOOKUP(E6688,E$1:E6687,1,FALSE()))),"OLD",IF(AND(E6688&lt;&gt;"",E6688&lt;&gt;"!!!"),"NEW","")))</f>
        <v> </v>
      </c>
      <c r="G6688" s="24" t="str">
        <f>IF(OR(E6688="",E6688="!!!"),"",IF(OR(J6688=0,AND(J6688=1,K6688=1),AND(J6688=1,I6688="SBJ"),AND(J6688=1,I6688=0)),"?IN_FOCUS",IF(J6688&lt;=2,"?ACTIVATED",IF(J6688&lt;&gt;"","?FAMILIAR",IF(F6688="NEW",IF(ISNA(VLOOKUP(E6688,#REF!,1,FALSE())),"?TYPE_IDENTIFIABLE","?REFERENTIAL"),"_")))))</f>
        <v> </v>
      </c>
      <c r="H6688" s="25" t="str">
        <f>IF(J6688&lt;&gt;1,"",IF(I6688="SBJ","CB","?"))</f>
        <v> </v>
      </c>
      <c r="I6688" s="26" t="str">
        <f>IF(OR(E6688="",E6688="!!!",F6688="NEW"),"",INDEX(B6687:B$2,-1+SUMPRODUCT(MAX(ROW(E6687:E$2)*(E6688=E6687:E$2)))))</f>
        <v> </v>
      </c>
      <c r="J6688" s="26" t="str">
        <f>IF(OR(E6688="",E6688="!!!",F6688="NEW"),"",COUNTBLANK(OFFSET(A$1,,,SUMPRODUCT(MAX(ROW(E$2:E6688)*(E6688=E$2:E6688)))))-COUNTBLANK(OFFSET(A$1,,,SUMPRODUCT(MAX(ROW(E$1:E6687)*(E2=E$1:E6687))))))</f>
        <v> </v>
      </c>
      <c r="K6688" s="26" t="str">
        <f>IF(OR(E6688="",E6688="!!!",F6688="NEW"),"",INDEX(J$1:J6687,SUMPRODUCT(MAX(ROW(E$1:E6687)*(E6688=E$1:E6687)))))</f>
        <v> </v>
      </c>
      <c r="L6688" s="27"/>
    </row>
    <row r="6689" spans="1:12">
      <c r="A6689" s="20" t="s">
        <v>2313</v>
      </c>
      <c r="E6689" s="22">
        <f>IF(D6689="?OLD","!!!","")</f>
        <v/>
      </c>
      <c r="F6689" s="23" t="str">
        <f>IF(OR(E6689="",E6689="!!!"),"",IF(NOT(ISNA(VLOOKUP(E6689,E$1:E6688,1,FALSE()))),"OLD",IF(AND(E6689&lt;&gt;"",E6689&lt;&gt;"!!!"),"NEW","")))</f>
        <v> </v>
      </c>
      <c r="G6689" s="24" t="str">
        <f>IF(OR(E6689="",E6689="!!!"),"",IF(OR(J6689=0,AND(J6689=1,K6689=1),AND(J6689=1,I6689="SBJ"),AND(J6689=1,I6689=0)),"?IN_FOCUS",IF(J6689&lt;=2,"?ACTIVATED",IF(J6689&lt;&gt;"","?FAMILIAR",IF(F6689="NEW",IF(ISNA(VLOOKUP(E6689,#REF!,1,FALSE())),"?TYPE_IDENTIFIABLE","?REFERENTIAL"),"_")))))</f>
        <v> </v>
      </c>
      <c r="H6689" s="25" t="str">
        <f>IF(J6689&lt;&gt;1,"",IF(I6689="SBJ","CB","?"))</f>
        <v> </v>
      </c>
      <c r="I6689" s="26" t="str">
        <f>IF(OR(E6689="",E6689="!!!",F6689="NEW"),"",INDEX(B6688:B$2,-1+SUMPRODUCT(MAX(ROW(E6688:E$2)*(E6689=E6688:E$2)))))</f>
        <v> </v>
      </c>
      <c r="J6689" s="26" t="str">
        <f>IF(OR(E6689="",E6689="!!!",F6689="NEW"),"",COUNTBLANK(OFFSET(A$1,,,SUMPRODUCT(MAX(ROW(E$2:E6689)*(E6689=E$2:E6689)))))-COUNTBLANK(OFFSET(A$1,,,SUMPRODUCT(MAX(ROW(E$1:E6688)*(E2=E$1:E6688))))))</f>
        <v> </v>
      </c>
      <c r="K6689" s="26" t="str">
        <f>IF(OR(E6689="",E6689="!!!",F6689="NEW"),"",INDEX(J$1:J6688,SUMPRODUCT(MAX(ROW(E$1:E6688)*(E6689=E$1:E6688)))))</f>
        <v> </v>
      </c>
      <c r="L6689" s="27"/>
    </row>
    <row r="6690" spans="1:12">
      <c r="A6690" s="20" t="s">
        <v>1038</v>
      </c>
      <c r="E6690" s="22">
        <f>IF(D6690="?OLD","!!!","")</f>
        <v/>
      </c>
      <c r="F6690" s="23" t="str">
        <f>IF(OR(E6690="",E6690="!!!"),"",IF(NOT(ISNA(VLOOKUP(E6690,E$1:E6689,1,FALSE()))),"OLD",IF(AND(E6690&lt;&gt;"",E6690&lt;&gt;"!!!"),"NEW","")))</f>
        <v> </v>
      </c>
      <c r="G6690" s="24" t="str">
        <f>IF(OR(E6690="",E6690="!!!"),"",IF(OR(J6690=0,AND(J6690=1,K6690=1),AND(J6690=1,I6690="SBJ"),AND(J6690=1,I6690=0)),"?IN_FOCUS",IF(J6690&lt;=2,"?ACTIVATED",IF(J6690&lt;&gt;"","?FAMILIAR",IF(F6690="NEW",IF(ISNA(VLOOKUP(E6690,#REF!,1,FALSE())),"?TYPE_IDENTIFIABLE","?REFERENTIAL"),"_")))))</f>
        <v> </v>
      </c>
      <c r="H6690" s="25" t="str">
        <f>IF(J6690&lt;&gt;1,"",IF(I6690="SBJ","CB","?"))</f>
        <v> </v>
      </c>
      <c r="I6690" s="26" t="str">
        <f>IF(OR(E6690="",E6690="!!!",F6690="NEW"),"",INDEX(B6689:B$2,-1+SUMPRODUCT(MAX(ROW(E6689:E$2)*(E6690=E6689:E$2)))))</f>
        <v> </v>
      </c>
      <c r="J6690" s="26" t="str">
        <f>IF(OR(E6690="",E6690="!!!",F6690="NEW"),"",COUNTBLANK(OFFSET(A$1,,,SUMPRODUCT(MAX(ROW(E$2:E6690)*(E6690=E$2:E6690)))))-COUNTBLANK(OFFSET(A$1,,,SUMPRODUCT(MAX(ROW(E$1:E6689)*(E2=E$1:E6689))))))</f>
        <v> </v>
      </c>
      <c r="K6690" s="26" t="str">
        <f>IF(OR(E6690="",E6690="!!!",F6690="NEW"),"",INDEX(J$1:J6689,SUMPRODUCT(MAX(ROW(E$1:E6689)*(E6690=E$1:E6689)))))</f>
        <v> </v>
      </c>
      <c r="L6690" s="27"/>
    </row>
    <row r="6691" spans="1:12">
      <c r="A6691" s="20" t="s">
        <v>1002</v>
      </c>
      <c r="E6691" s="22">
        <f>IF(D6691="?OLD","!!!","")</f>
        <v/>
      </c>
      <c r="F6691" s="23" t="str">
        <f>IF(OR(E6691="",E6691="!!!"),"",IF(NOT(ISNA(VLOOKUP(E6691,E$1:E6690,1,FALSE()))),"OLD",IF(AND(E6691&lt;&gt;"",E6691&lt;&gt;"!!!"),"NEW","")))</f>
        <v> </v>
      </c>
      <c r="G6691" s="24" t="str">
        <f>IF(OR(E6691="",E6691="!!!"),"",IF(OR(J6691=0,AND(J6691=1,K6691=1),AND(J6691=1,I6691="SBJ"),AND(J6691=1,I6691=0)),"?IN_FOCUS",IF(J6691&lt;=2,"?ACTIVATED",IF(J6691&lt;&gt;"","?FAMILIAR",IF(F6691="NEW",IF(ISNA(VLOOKUP(E6691,#REF!,1,FALSE())),"?TYPE_IDENTIFIABLE","?REFERENTIAL"),"_")))))</f>
        <v> </v>
      </c>
      <c r="H6691" s="25" t="str">
        <f>IF(J6691&lt;&gt;1,"",IF(I6691="SBJ","CB","?"))</f>
        <v> </v>
      </c>
      <c r="I6691" s="26" t="str">
        <f>IF(OR(E6691="",E6691="!!!",F6691="NEW"),"",INDEX(B6690:B$2,-1+SUMPRODUCT(MAX(ROW(E6690:E$2)*(E6691=E6690:E$2)))))</f>
        <v> </v>
      </c>
      <c r="J6691" s="26" t="str">
        <f>IF(OR(E6691="",E6691="!!!",F6691="NEW"),"",COUNTBLANK(OFFSET(A$1,,,SUMPRODUCT(MAX(ROW(E$2:E6691)*(E6691=E$2:E6691)))))-COUNTBLANK(OFFSET(A$1,,,SUMPRODUCT(MAX(ROW(E$1:E6690)*(E2=E$1:E6690))))))</f>
        <v> </v>
      </c>
      <c r="K6691" s="26" t="str">
        <f>IF(OR(E6691="",E6691="!!!",F6691="NEW"),"",INDEX(J$1:J6690,SUMPRODUCT(MAX(ROW(E$1:E6690)*(E6691=E$1:E6690)))))</f>
        <v> </v>
      </c>
      <c r="L6691" s="27"/>
    </row>
    <row r="6692" spans="1:12">
      <c r="A6692" s="20" t="s">
        <v>1519</v>
      </c>
      <c r="E6692" s="22">
        <f>IF(D6692="?OLD","!!!","")</f>
        <v/>
      </c>
      <c r="F6692" s="23" t="str">
        <f>IF(OR(E6692="",E6692="!!!"),"",IF(NOT(ISNA(VLOOKUP(E6692,E$1:E6691,1,FALSE()))),"OLD",IF(AND(E6692&lt;&gt;"",E6692&lt;&gt;"!!!"),"NEW","")))</f>
        <v> </v>
      </c>
      <c r="G6692" s="24" t="str">
        <f>IF(OR(E6692="",E6692="!!!"),"",IF(OR(J6692=0,AND(J6692=1,K6692=1),AND(J6692=1,I6692="SBJ"),AND(J6692=1,I6692=0)),"?IN_FOCUS",IF(J6692&lt;=2,"?ACTIVATED",IF(J6692&lt;&gt;"","?FAMILIAR",IF(F6692="NEW",IF(ISNA(VLOOKUP(E6692,#REF!,1,FALSE())),"?TYPE_IDENTIFIABLE","?REFERENTIAL"),"_")))))</f>
        <v> </v>
      </c>
      <c r="H6692" s="25" t="str">
        <f>IF(J6692&lt;&gt;1,"",IF(I6692="SBJ","CB","?"))</f>
        <v> </v>
      </c>
      <c r="I6692" s="26" t="str">
        <f>IF(OR(E6692="",E6692="!!!",F6692="NEW"),"",INDEX(B6691:B$2,-1+SUMPRODUCT(MAX(ROW(E6691:E$2)*(E6692=E6691:E$2)))))</f>
        <v> </v>
      </c>
      <c r="J6692" s="26" t="str">
        <f>IF(OR(E6692="",E6692="!!!",F6692="NEW"),"",COUNTBLANK(OFFSET(A$1,,,SUMPRODUCT(MAX(ROW(E$2:E6692)*(E6692=E$2:E6692)))))-COUNTBLANK(OFFSET(A$1,,,SUMPRODUCT(MAX(ROW(E$1:E6691)*(E2=E$1:E6691))))))</f>
        <v> </v>
      </c>
      <c r="K6692" s="26" t="str">
        <f>IF(OR(E6692="",E6692="!!!",F6692="NEW"),"",INDEX(J$1:J6691,SUMPRODUCT(MAX(ROW(E$1:E6691)*(E6692=E$1:E6691)))))</f>
        <v> </v>
      </c>
      <c r="L6692" s="27"/>
    </row>
    <row r="6693" spans="1:12">
      <c r="A6693" s="20" t="s">
        <v>1038</v>
      </c>
      <c r="E6693" s="22">
        <f>IF(D6693="?OLD","!!!","")</f>
        <v/>
      </c>
      <c r="F6693" s="23" t="str">
        <f>IF(OR(E6693="",E6693="!!!"),"",IF(NOT(ISNA(VLOOKUP(E6693,E$1:E6692,1,FALSE()))),"OLD",IF(AND(E6693&lt;&gt;"",E6693&lt;&gt;"!!!"),"NEW","")))</f>
        <v> </v>
      </c>
      <c r="G6693" s="24" t="str">
        <f>IF(OR(E6693="",E6693="!!!"),"",IF(OR(J6693=0,AND(J6693=1,K6693=1),AND(J6693=1,I6693="SBJ"),AND(J6693=1,I6693=0)),"?IN_FOCUS",IF(J6693&lt;=2,"?ACTIVATED",IF(J6693&lt;&gt;"","?FAMILIAR",IF(F6693="NEW",IF(ISNA(VLOOKUP(E6693,#REF!,1,FALSE())),"?TYPE_IDENTIFIABLE","?REFERENTIAL"),"_")))))</f>
        <v> </v>
      </c>
      <c r="H6693" s="25" t="str">
        <f>IF(J6693&lt;&gt;1,"",IF(I6693="SBJ","CB","?"))</f>
        <v> </v>
      </c>
      <c r="I6693" s="26" t="str">
        <f>IF(OR(E6693="",E6693="!!!",F6693="NEW"),"",INDEX(B6692:B$2,-1+SUMPRODUCT(MAX(ROW(E6692:E$2)*(E6693=E6692:E$2)))))</f>
        <v> </v>
      </c>
      <c r="J6693" s="26" t="str">
        <f>IF(OR(E6693="",E6693="!!!",F6693="NEW"),"",COUNTBLANK(OFFSET(A$1,,,SUMPRODUCT(MAX(ROW(E$2:E6693)*(E6693=E$2:E6693)))))-COUNTBLANK(OFFSET(A$1,,,SUMPRODUCT(MAX(ROW(E$1:E6692)*(E2=E$1:E6692))))))</f>
        <v> </v>
      </c>
      <c r="K6693" s="26" t="str">
        <f>IF(OR(E6693="",E6693="!!!",F6693="NEW"),"",INDEX(J$1:J6692,SUMPRODUCT(MAX(ROW(E$1:E6692)*(E6693=E$1:E6692)))))</f>
        <v> </v>
      </c>
      <c r="L6693" s="27"/>
    </row>
    <row r="6694" spans="1:12">
      <c r="A6694" s="20" t="s">
        <v>1047</v>
      </c>
      <c r="B6694" s="21" t="s">
        <v>1066</v>
      </c>
      <c r="C6694" s="21" t="s">
        <v>977</v>
      </c>
      <c r="D6694" s="21" t="s">
        <v>978</v>
      </c>
      <c r="E6694" s="22">
        <f>IF(D6694="?OLD","!!!","")</f>
        <v/>
      </c>
      <c r="F6694" s="23" t="str">
        <f>IF(OR(E6694="",E6694="!!!"),"",IF(NOT(ISNA(VLOOKUP(E6694,E$1:E6693,1,FALSE()))),"OLD",IF(AND(E6694&lt;&gt;"",E6694&lt;&gt;"!!!"),"NEW","")))</f>
        <v> </v>
      </c>
      <c r="G6694" s="24" t="str">
        <f>IF(OR(E6694="",E6694="!!!"),"",IF(OR(J6694=0,AND(J6694=1,K6694=1),AND(J6694=1,I6694="SBJ"),AND(J6694=1,I6694=0)),"?IN_FOCUS",IF(J6694&lt;=2,"?ACTIVATED",IF(J6694&lt;&gt;"","?FAMILIAR",IF(F6694="NEW",IF(ISNA(VLOOKUP(E6694,#REF!,1,FALSE())),"?TYPE_IDENTIFIABLE","?REFERENTIAL"),"_")))))</f>
        <v> </v>
      </c>
      <c r="H6694" s="25" t="str">
        <f>IF(J6694&lt;&gt;1,"",IF(I6694="SBJ","CB","?"))</f>
        <v> </v>
      </c>
      <c r="I6694" s="26" t="str">
        <f>IF(OR(E6694="",E6694="!!!",F6694="NEW"),"",INDEX(B6693:B$2,-1+SUMPRODUCT(MAX(ROW(E6693:E$2)*(E6694=E6693:E$2)))))</f>
        <v> </v>
      </c>
      <c r="J6694" s="26" t="str">
        <f>IF(OR(E6694="",E6694="!!!",F6694="NEW"),"",COUNTBLANK(OFFSET(A$1,,,SUMPRODUCT(MAX(ROW(E$2:E6694)*(E6694=E$2:E6694)))))-COUNTBLANK(OFFSET(A$1,,,SUMPRODUCT(MAX(ROW(E$1:E6693)*(E2=E$1:E6693))))))</f>
        <v> </v>
      </c>
      <c r="K6694" s="26" t="str">
        <f>IF(OR(E6694="",E6694="!!!",F6694="NEW"),"",INDEX(J$1:J6693,SUMPRODUCT(MAX(ROW(E$1:E6693)*(E6694=E$1:E6693)))))</f>
        <v> </v>
      </c>
      <c r="L6694" s="27"/>
    </row>
    <row r="6695" spans="1:12">
      <c r="A6695" s="20" t="s">
        <v>2599</v>
      </c>
      <c r="E6695" s="22">
        <f>IF(D6695="?OLD","!!!","")</f>
        <v/>
      </c>
      <c r="F6695" s="23" t="str">
        <f>IF(OR(E6695="",E6695="!!!"),"",IF(NOT(ISNA(VLOOKUP(E6695,E$1:E6694,1,FALSE()))),"OLD",IF(AND(E6695&lt;&gt;"",E6695&lt;&gt;"!!!"),"NEW","")))</f>
        <v> </v>
      </c>
      <c r="G6695" s="24" t="str">
        <f>IF(OR(E6695="",E6695="!!!"),"",IF(OR(J6695=0,AND(J6695=1,K6695=1),AND(J6695=1,I6695="SBJ"),AND(J6695=1,I6695=0)),"?IN_FOCUS",IF(J6695&lt;=2,"?ACTIVATED",IF(J6695&lt;&gt;"","?FAMILIAR",IF(F6695="NEW",IF(ISNA(VLOOKUP(E6695,#REF!,1,FALSE())),"?TYPE_IDENTIFIABLE","?REFERENTIAL"),"_")))))</f>
        <v> </v>
      </c>
      <c r="H6695" s="25" t="str">
        <f>IF(J6695&lt;&gt;1,"",IF(I6695="SBJ","CB","?"))</f>
        <v> </v>
      </c>
      <c r="I6695" s="26" t="str">
        <f>IF(OR(E6695="",E6695="!!!",F6695="NEW"),"",INDEX(B6694:B$2,-1+SUMPRODUCT(MAX(ROW(E6694:E$2)*(E6695=E6694:E$2)))))</f>
        <v> </v>
      </c>
      <c r="J6695" s="26" t="str">
        <f>IF(OR(E6695="",E6695="!!!",F6695="NEW"),"",COUNTBLANK(OFFSET(A$1,,,SUMPRODUCT(MAX(ROW(E$2:E6695)*(E6695=E$2:E6695)))))-COUNTBLANK(OFFSET(A$1,,,SUMPRODUCT(MAX(ROW(E$1:E6694)*(E2=E$1:E6694))))))</f>
        <v> </v>
      </c>
      <c r="K6695" s="26" t="str">
        <f>IF(OR(E6695="",E6695="!!!",F6695="NEW"),"",INDEX(J$1:J6694,SUMPRODUCT(MAX(ROW(E$1:E6694)*(E6695=E$1:E6694)))))</f>
        <v> </v>
      </c>
      <c r="L6695" s="27"/>
    </row>
    <row r="6696" spans="1:12">
      <c r="A6696" s="20" t="s">
        <v>93</v>
      </c>
      <c r="E6696" s="22">
        <f>IF(D6696="?OLD","!!!","")</f>
        <v/>
      </c>
      <c r="F6696" s="23" t="str">
        <f>IF(OR(E6696="",E6696="!!!"),"",IF(NOT(ISNA(VLOOKUP(E6696,E$1:E6695,1,FALSE()))),"OLD",IF(AND(E6696&lt;&gt;"",E6696&lt;&gt;"!!!"),"NEW","")))</f>
        <v> </v>
      </c>
      <c r="G6696" s="24" t="str">
        <f>IF(OR(E6696="",E6696="!!!"),"",IF(OR(J6696=0,AND(J6696=1,K6696=1),AND(J6696=1,I6696="SBJ"),AND(J6696=1,I6696=0)),"?IN_FOCUS",IF(J6696&lt;=2,"?ACTIVATED",IF(J6696&lt;&gt;"","?FAMILIAR",IF(F6696="NEW",IF(ISNA(VLOOKUP(E6696,#REF!,1,FALSE())),"?TYPE_IDENTIFIABLE","?REFERENTIAL"),"_")))))</f>
        <v> </v>
      </c>
      <c r="H6696" s="25" t="str">
        <f>IF(J6696&lt;&gt;1,"",IF(I6696="SBJ","CB","?"))</f>
        <v> </v>
      </c>
      <c r="I6696" s="26" t="str">
        <f>IF(OR(E6696="",E6696="!!!",F6696="NEW"),"",INDEX(B6695:B$2,-1+SUMPRODUCT(MAX(ROW(E6695:E$2)*(E6696=E6695:E$2)))))</f>
        <v> </v>
      </c>
      <c r="J6696" s="26" t="str">
        <f>IF(OR(E6696="",E6696="!!!",F6696="NEW"),"",COUNTBLANK(OFFSET(A$1,,,SUMPRODUCT(MAX(ROW(E$2:E6696)*(E6696=E$2:E6696)))))-COUNTBLANK(OFFSET(A$1,,,SUMPRODUCT(MAX(ROW(E$1:E6695)*(E2=E$1:E6695))))))</f>
        <v> </v>
      </c>
      <c r="K6696" s="26" t="str">
        <f>IF(OR(E6696="",E6696="!!!",F6696="NEW"),"",INDEX(J$1:J6695,SUMPRODUCT(MAX(ROW(E$1:E6695)*(E6696=E$1:E6695)))))</f>
        <v> </v>
      </c>
      <c r="L6696" s="27"/>
    </row>
    <row r="6697" spans="1:12">
      <c r="A6697" s="20" t="s">
        <v>1712</v>
      </c>
      <c r="E6697" s="22">
        <f>IF(D6697="?OLD","!!!","")</f>
        <v/>
      </c>
      <c r="F6697" s="23" t="str">
        <f>IF(OR(E6697="",E6697="!!!"),"",IF(NOT(ISNA(VLOOKUP(E6697,E$1:E6696,1,FALSE()))),"OLD",IF(AND(E6697&lt;&gt;"",E6697&lt;&gt;"!!!"),"NEW","")))</f>
        <v> </v>
      </c>
      <c r="G6697" s="24" t="str">
        <f>IF(OR(E6697="",E6697="!!!"),"",IF(OR(J6697=0,AND(J6697=1,K6697=1),AND(J6697=1,I6697="SBJ"),AND(J6697=1,I6697=0)),"?IN_FOCUS",IF(J6697&lt;=2,"?ACTIVATED",IF(J6697&lt;&gt;"","?FAMILIAR",IF(F6697="NEW",IF(ISNA(VLOOKUP(E6697,#REF!,1,FALSE())),"?TYPE_IDENTIFIABLE","?REFERENTIAL"),"_")))))</f>
        <v> </v>
      </c>
      <c r="H6697" s="25" t="str">
        <f>IF(J6697&lt;&gt;1,"",IF(I6697="SBJ","CB","?"))</f>
        <v> </v>
      </c>
      <c r="I6697" s="26" t="str">
        <f>IF(OR(E6697="",E6697="!!!",F6697="NEW"),"",INDEX(B6696:B$2,-1+SUMPRODUCT(MAX(ROW(E6696:E$2)*(E6697=E6696:E$2)))))</f>
        <v> </v>
      </c>
      <c r="J6697" s="26" t="str">
        <f>IF(OR(E6697="",E6697="!!!",F6697="NEW"),"",COUNTBLANK(OFFSET(A$1,,,SUMPRODUCT(MAX(ROW(E$2:E6697)*(E6697=E$2:E6697)))))-COUNTBLANK(OFFSET(A$1,,,SUMPRODUCT(MAX(ROW(E$1:E6696)*(E2=E$1:E6696))))))</f>
        <v> </v>
      </c>
      <c r="K6697" s="26" t="str">
        <f>IF(OR(E6697="",E6697="!!!",F6697="NEW"),"",INDEX(J$1:J6696,SUMPRODUCT(MAX(ROW(E$1:E6696)*(E6697=E$1:E6696)))))</f>
        <v> </v>
      </c>
      <c r="L6697" s="27"/>
    </row>
    <row r="6698" spans="1:12">
      <c r="A6698" s="20" t="s">
        <v>1000</v>
      </c>
      <c r="E6698" s="22">
        <f>IF(D6698="?OLD","!!!","")</f>
        <v/>
      </c>
      <c r="F6698" s="23" t="str">
        <f>IF(OR(E6698="",E6698="!!!"),"",IF(NOT(ISNA(VLOOKUP(E6698,E$1:E6697,1,FALSE()))),"OLD",IF(AND(E6698&lt;&gt;"",E6698&lt;&gt;"!!!"),"NEW","")))</f>
        <v> </v>
      </c>
      <c r="G6698" s="24" t="str">
        <f>IF(OR(E6698="",E6698="!!!"),"",IF(OR(J6698=0,AND(J6698=1,K6698=1),AND(J6698=1,I6698="SBJ"),AND(J6698=1,I6698=0)),"?IN_FOCUS",IF(J6698&lt;=2,"?ACTIVATED",IF(J6698&lt;&gt;"","?FAMILIAR",IF(F6698="NEW",IF(ISNA(VLOOKUP(E6698,#REF!,1,FALSE())),"?TYPE_IDENTIFIABLE","?REFERENTIAL"),"_")))))</f>
        <v> </v>
      </c>
      <c r="H6698" s="25" t="str">
        <f>IF(J6698&lt;&gt;1,"",IF(I6698="SBJ","CB","?"))</f>
        <v> </v>
      </c>
      <c r="I6698" s="26" t="str">
        <f>IF(OR(E6698="",E6698="!!!",F6698="NEW"),"",INDEX(B6697:B$2,-1+SUMPRODUCT(MAX(ROW(E6697:E$2)*(E6698=E6697:E$2)))))</f>
        <v> </v>
      </c>
      <c r="J6698" s="26" t="str">
        <f>IF(OR(E6698="",E6698="!!!",F6698="NEW"),"",COUNTBLANK(OFFSET(A$1,,,SUMPRODUCT(MAX(ROW(E$2:E6698)*(E6698=E$2:E6698)))))-COUNTBLANK(OFFSET(A$1,,,SUMPRODUCT(MAX(ROW(E$1:E6697)*(E2=E$1:E6697))))))</f>
        <v> </v>
      </c>
      <c r="K6698" s="26" t="str">
        <f>IF(OR(E6698="",E6698="!!!",F6698="NEW"),"",INDEX(J$1:J6697,SUMPRODUCT(MAX(ROW(E$1:E6697)*(E6698=E$1:E6697)))))</f>
        <v> </v>
      </c>
      <c r="L6698" s="27"/>
    </row>
    <row r="6699" spans="1:12">
      <c r="A6699" s="20" t="s">
        <v>1154</v>
      </c>
      <c r="B6699" s="21" t="s">
        <v>1035</v>
      </c>
      <c r="C6699" s="21" t="s">
        <v>977</v>
      </c>
      <c r="D6699" s="21" t="s">
        <v>978</v>
      </c>
      <c r="E6699" s="22">
        <f>IF(D6699="?OLD","!!!","")</f>
        <v/>
      </c>
      <c r="F6699" s="23" t="str">
        <f>IF(OR(E6699="",E6699="!!!"),"",IF(NOT(ISNA(VLOOKUP(E6699,E$1:E6698,1,FALSE()))),"OLD",IF(AND(E6699&lt;&gt;"",E6699&lt;&gt;"!!!"),"NEW","")))</f>
        <v> </v>
      </c>
      <c r="G6699" s="24" t="str">
        <f>IF(OR(E6699="",E6699="!!!"),"",IF(OR(J6699=0,AND(J6699=1,K6699=1),AND(J6699=1,I6699="SBJ"),AND(J6699=1,I6699=0)),"?IN_FOCUS",IF(J6699&lt;=2,"?ACTIVATED",IF(J6699&lt;&gt;"","?FAMILIAR",IF(F6699="NEW",IF(ISNA(VLOOKUP(E6699,#REF!,1,FALSE())),"?TYPE_IDENTIFIABLE","?REFERENTIAL"),"_")))))</f>
        <v> </v>
      </c>
      <c r="H6699" s="25" t="str">
        <f>IF(J6699&lt;&gt;1,"",IF(I6699="SBJ","CB","?"))</f>
        <v> </v>
      </c>
      <c r="I6699" s="26" t="str">
        <f>IF(OR(E6699="",E6699="!!!",F6699="NEW"),"",INDEX(B6698:B$2,-1+SUMPRODUCT(MAX(ROW(E6698:E$2)*(E6699=E6698:E$2)))))</f>
        <v> </v>
      </c>
      <c r="J6699" s="26" t="str">
        <f>IF(OR(E6699="",E6699="!!!",F6699="NEW"),"",COUNTBLANK(OFFSET(A$1,,,SUMPRODUCT(MAX(ROW(E$2:E6699)*(E6699=E$2:E6699)))))-COUNTBLANK(OFFSET(A$1,,,SUMPRODUCT(MAX(ROW(E$1:E6698)*(E2=E$1:E6698))))))</f>
        <v> </v>
      </c>
      <c r="K6699" s="26" t="str">
        <f>IF(OR(E6699="",E6699="!!!",F6699="NEW"),"",INDEX(J$1:J6698,SUMPRODUCT(MAX(ROW(E$1:E6698)*(E6699=E$1:E6698)))))</f>
        <v> </v>
      </c>
      <c r="L6699" s="27"/>
    </row>
    <row r="6700" spans="1:12">
      <c r="A6700" s="20" t="s">
        <v>979</v>
      </c>
      <c r="E6700" s="22">
        <f>IF(D6700="?OLD","!!!","")</f>
        <v/>
      </c>
      <c r="F6700" s="23" t="str">
        <f>IF(OR(E6700="",E6700="!!!"),"",IF(NOT(ISNA(VLOOKUP(E6700,E$1:E6699,1,FALSE()))),"OLD",IF(AND(E6700&lt;&gt;"",E6700&lt;&gt;"!!!"),"NEW","")))</f>
        <v> </v>
      </c>
      <c r="G6700" s="24" t="str">
        <f>IF(OR(E6700="",E6700="!!!"),"",IF(OR(J6700=0,AND(J6700=1,K6700=1),AND(J6700=1,I6700="SBJ"),AND(J6700=1,I6700=0)),"?IN_FOCUS",IF(J6700&lt;=2,"?ACTIVATED",IF(J6700&lt;&gt;"","?FAMILIAR",IF(F6700="NEW",IF(ISNA(VLOOKUP(E6700,#REF!,1,FALSE())),"?TYPE_IDENTIFIABLE","?REFERENTIAL"),"_")))))</f>
        <v> </v>
      </c>
      <c r="H6700" s="25" t="str">
        <f>IF(J6700&lt;&gt;1,"",IF(I6700="SBJ","CB","?"))</f>
        <v> </v>
      </c>
      <c r="I6700" s="26" t="str">
        <f>IF(OR(E6700="",E6700="!!!",F6700="NEW"),"",INDEX(B6699:B$2,-1+SUMPRODUCT(MAX(ROW(E6699:E$2)*(E6700=E6699:E$2)))))</f>
        <v> </v>
      </c>
      <c r="J6700" s="26" t="str">
        <f>IF(OR(E6700="",E6700="!!!",F6700="NEW"),"",COUNTBLANK(OFFSET(A$1,,,SUMPRODUCT(MAX(ROW(E$2:E6700)*(E6700=E$2:E6700)))))-COUNTBLANK(OFFSET(A$1,,,SUMPRODUCT(MAX(ROW(E$1:E6699)*(E2=E$1:E6699))))))</f>
        <v> </v>
      </c>
      <c r="K6700" s="26" t="str">
        <f>IF(OR(E6700="",E6700="!!!",F6700="NEW"),"",INDEX(J$1:J6699,SUMPRODUCT(MAX(ROW(E$1:E6699)*(E6700=E$1:E6699)))))</f>
        <v> </v>
      </c>
      <c r="L6700" s="27"/>
    </row>
    <row r="6701" spans="1:12">
      <c r="A6701" s="20" t="s">
        <v>2600</v>
      </c>
      <c r="B6701" s="21" t="s">
        <v>1036</v>
      </c>
      <c r="C6701" s="21" t="s">
        <v>1057</v>
      </c>
      <c r="E6701" s="22">
        <f>IF(D6701="?OLD","!!!","")</f>
        <v/>
      </c>
      <c r="F6701" s="23" t="str">
        <f>IF(OR(E6701="",E6701="!!!"),"",IF(NOT(ISNA(VLOOKUP(E6701,E$1:E6700,1,FALSE()))),"OLD",IF(AND(E6701&lt;&gt;"",E6701&lt;&gt;"!!!"),"NEW","")))</f>
        <v> </v>
      </c>
      <c r="G6701" s="24" t="str">
        <f>IF(OR(E6701="",E6701="!!!"),"",IF(OR(J6701=0,AND(J6701=1,K6701=1),AND(J6701=1,I6701="SBJ"),AND(J6701=1,I6701=0)),"?IN_FOCUS",IF(J6701&lt;=2,"?ACTIVATED",IF(J6701&lt;&gt;"","?FAMILIAR",IF(F6701="NEW",IF(ISNA(VLOOKUP(E6701,#REF!,1,FALSE())),"?TYPE_IDENTIFIABLE","?REFERENTIAL"),"_")))))</f>
        <v> </v>
      </c>
      <c r="H6701" s="25" t="str">
        <f>IF(J6701&lt;&gt;1,"",IF(I6701="SBJ","CB","?"))</f>
        <v> </v>
      </c>
      <c r="I6701" s="26" t="str">
        <f>IF(OR(E6701="",E6701="!!!",F6701="NEW"),"",INDEX(B6700:B$2,-1+SUMPRODUCT(MAX(ROW(E6700:E$2)*(E6701=E6700:E$2)))))</f>
        <v> </v>
      </c>
      <c r="J6701" s="26" t="str">
        <f>IF(OR(E6701="",E6701="!!!",F6701="NEW"),"",COUNTBLANK(OFFSET(A$1,,,SUMPRODUCT(MAX(ROW(E$2:E6701)*(E6701=E$2:E6701)))))-COUNTBLANK(OFFSET(A$1,,,SUMPRODUCT(MAX(ROW(E$1:E6700)*(E2=E$1:E6700))))))</f>
        <v> </v>
      </c>
      <c r="K6701" s="26" t="str">
        <f>IF(OR(E6701="",E6701="!!!",F6701="NEW"),"",INDEX(J$1:J6700,SUMPRODUCT(MAX(ROW(E$1:E6700)*(E6701=E$1:E6700)))))</f>
        <v> </v>
      </c>
      <c r="L6701" s="27"/>
    </row>
    <row r="6702" spans="1:12">
      <c r="A6702" s="20" t="s">
        <v>1081</v>
      </c>
      <c r="E6702" s="22">
        <f>IF(D6702="?OLD","!!!","")</f>
        <v/>
      </c>
      <c r="F6702" s="23" t="str">
        <f>IF(OR(E6702="",E6702="!!!"),"",IF(NOT(ISNA(VLOOKUP(E6702,E$1:E6701,1,FALSE()))),"OLD",IF(AND(E6702&lt;&gt;"",E6702&lt;&gt;"!!!"),"NEW","")))</f>
        <v> </v>
      </c>
      <c r="G6702" s="24" t="str">
        <f>IF(OR(E6702="",E6702="!!!"),"",IF(OR(J6702=0,AND(J6702=1,K6702=1),AND(J6702=1,I6702="SBJ"),AND(J6702=1,I6702=0)),"?IN_FOCUS",IF(J6702&lt;=2,"?ACTIVATED",IF(J6702&lt;&gt;"","?FAMILIAR",IF(F6702="NEW",IF(ISNA(VLOOKUP(E6702,#REF!,1,FALSE())),"?TYPE_IDENTIFIABLE","?REFERENTIAL"),"_")))))</f>
        <v> </v>
      </c>
      <c r="H6702" s="25" t="str">
        <f>IF(J6702&lt;&gt;1,"",IF(I6702="SBJ","CB","?"))</f>
        <v> </v>
      </c>
      <c r="I6702" s="26" t="str">
        <f>IF(OR(E6702="",E6702="!!!",F6702="NEW"),"",INDEX(B6701:B$2,-1+SUMPRODUCT(MAX(ROW(E6701:E$2)*(E6702=E6701:E$2)))))</f>
        <v> </v>
      </c>
      <c r="J6702" s="26" t="str">
        <f>IF(OR(E6702="",E6702="!!!",F6702="NEW"),"",COUNTBLANK(OFFSET(A$1,,,SUMPRODUCT(MAX(ROW(E$2:E6702)*(E6702=E$2:E6702)))))-COUNTBLANK(OFFSET(A$1,,,SUMPRODUCT(MAX(ROW(E$1:E6701)*(E2=E$1:E6701))))))</f>
        <v> </v>
      </c>
      <c r="K6702" s="26" t="str">
        <f>IF(OR(E6702="",E6702="!!!",F6702="NEW"),"",INDEX(J$1:J6701,SUMPRODUCT(MAX(ROW(E$1:E6701)*(E6702=E$1:E6701)))))</f>
        <v> </v>
      </c>
      <c r="L6702" s="27"/>
    </row>
    <row r="6703" spans="1:12">
      <c r="A6703" s="20" t="s">
        <v>93</v>
      </c>
      <c r="E6703" s="22">
        <f>IF(D6703="?OLD","!!!","")</f>
        <v/>
      </c>
      <c r="F6703" s="23" t="str">
        <f>IF(OR(E6703="",E6703="!!!"),"",IF(NOT(ISNA(VLOOKUP(E6703,E$1:E6702,1,FALSE()))),"OLD",IF(AND(E6703&lt;&gt;"",E6703&lt;&gt;"!!!"),"NEW","")))</f>
        <v> </v>
      </c>
      <c r="G6703" s="24" t="str">
        <f>IF(OR(E6703="",E6703="!!!"),"",IF(OR(J6703=0,AND(J6703=1,K6703=1),AND(J6703=1,I6703="SBJ"),AND(J6703=1,I6703=0)),"?IN_FOCUS",IF(J6703&lt;=2,"?ACTIVATED",IF(J6703&lt;&gt;"","?FAMILIAR",IF(F6703="NEW",IF(ISNA(VLOOKUP(E6703,#REF!,1,FALSE())),"?TYPE_IDENTIFIABLE","?REFERENTIAL"),"_")))))</f>
        <v> </v>
      </c>
      <c r="H6703" s="25" t="str">
        <f>IF(J6703&lt;&gt;1,"",IF(I6703="SBJ","CB","?"))</f>
        <v> </v>
      </c>
      <c r="I6703" s="26" t="str">
        <f>IF(OR(E6703="",E6703="!!!",F6703="NEW"),"",INDEX(B6702:B$2,-1+SUMPRODUCT(MAX(ROW(E6702:E$2)*(E6703=E6702:E$2)))))</f>
        <v> </v>
      </c>
      <c r="J6703" s="26" t="str">
        <f>IF(OR(E6703="",E6703="!!!",F6703="NEW"),"",COUNTBLANK(OFFSET(A$1,,,SUMPRODUCT(MAX(ROW(E$2:E6703)*(E6703=E$2:E6703)))))-COUNTBLANK(OFFSET(A$1,,,SUMPRODUCT(MAX(ROW(E$1:E6702)*(E2=E$1:E6702))))))</f>
        <v> </v>
      </c>
      <c r="K6703" s="26" t="str">
        <f>IF(OR(E6703="",E6703="!!!",F6703="NEW"),"",INDEX(J$1:J6702,SUMPRODUCT(MAX(ROW(E$1:E6702)*(E6703=E$1:E6702)))))</f>
        <v> </v>
      </c>
      <c r="L6703" s="27"/>
    </row>
    <row r="6704" spans="1:12">
      <c r="A6704" s="20" t="s">
        <v>1059</v>
      </c>
      <c r="E6704" s="22">
        <f>IF(D6704="?OLD","!!!","")</f>
        <v/>
      </c>
      <c r="F6704" s="23" t="str">
        <f>IF(OR(E6704="",E6704="!!!"),"",IF(NOT(ISNA(VLOOKUP(E6704,E$1:E6703,1,FALSE()))),"OLD",IF(AND(E6704&lt;&gt;"",E6704&lt;&gt;"!!!"),"NEW","")))</f>
        <v> </v>
      </c>
      <c r="G6704" s="24" t="str">
        <f>IF(OR(E6704="",E6704="!!!"),"",IF(OR(J6704=0,AND(J6704=1,K6704=1),AND(J6704=1,I6704="SBJ"),AND(J6704=1,I6704=0)),"?IN_FOCUS",IF(J6704&lt;=2,"?ACTIVATED",IF(J6704&lt;&gt;"","?FAMILIAR",IF(F6704="NEW",IF(ISNA(VLOOKUP(E6704,#REF!,1,FALSE())),"?TYPE_IDENTIFIABLE","?REFERENTIAL"),"_")))))</f>
        <v> </v>
      </c>
      <c r="H6704" s="25" t="str">
        <f>IF(J6704&lt;&gt;1,"",IF(I6704="SBJ","CB","?"))</f>
        <v> </v>
      </c>
      <c r="I6704" s="26" t="str">
        <f>IF(OR(E6704="",E6704="!!!",F6704="NEW"),"",INDEX(B6703:B$2,-1+SUMPRODUCT(MAX(ROW(E6703:E$2)*(E6704=E6703:E$2)))))</f>
        <v> </v>
      </c>
      <c r="J6704" s="26" t="str">
        <f>IF(OR(E6704="",E6704="!!!",F6704="NEW"),"",COUNTBLANK(OFFSET(A$1,,,SUMPRODUCT(MAX(ROW(E$2:E6704)*(E6704=E$2:E6704)))))-COUNTBLANK(OFFSET(A$1,,,SUMPRODUCT(MAX(ROW(E$1:E6703)*(E2=E$1:E6703))))))</f>
        <v> </v>
      </c>
      <c r="K6704" s="26" t="str">
        <f>IF(OR(E6704="",E6704="!!!",F6704="NEW"),"",INDEX(J$1:J6703,SUMPRODUCT(MAX(ROW(E$1:E6703)*(E6704=E$1:E6703)))))</f>
        <v> </v>
      </c>
      <c r="L6704" s="27"/>
    </row>
    <row r="6705" spans="1:12">
      <c r="A6705" s="20" t="s">
        <v>1712</v>
      </c>
      <c r="E6705" s="22">
        <f>IF(D6705="?OLD","!!!","")</f>
        <v/>
      </c>
      <c r="F6705" s="23" t="str">
        <f>IF(OR(E6705="",E6705="!!!"),"",IF(NOT(ISNA(VLOOKUP(E6705,E$1:E6704,1,FALSE()))),"OLD",IF(AND(E6705&lt;&gt;"",E6705&lt;&gt;"!!!"),"NEW","")))</f>
        <v> </v>
      </c>
      <c r="G6705" s="24" t="str">
        <f>IF(OR(E6705="",E6705="!!!"),"",IF(OR(J6705=0,AND(J6705=1,K6705=1),AND(J6705=1,I6705="SBJ"),AND(J6705=1,I6705=0)),"?IN_FOCUS",IF(J6705&lt;=2,"?ACTIVATED",IF(J6705&lt;&gt;"","?FAMILIAR",IF(F6705="NEW",IF(ISNA(VLOOKUP(E6705,#REF!,1,FALSE())),"?TYPE_IDENTIFIABLE","?REFERENTIAL"),"_")))))</f>
        <v> </v>
      </c>
      <c r="H6705" s="25" t="str">
        <f>IF(J6705&lt;&gt;1,"",IF(I6705="SBJ","CB","?"))</f>
        <v> </v>
      </c>
      <c r="I6705" s="26" t="str">
        <f>IF(OR(E6705="",E6705="!!!",F6705="NEW"),"",INDEX(B6704:B$2,-1+SUMPRODUCT(MAX(ROW(E6704:E$2)*(E6705=E6704:E$2)))))</f>
        <v> </v>
      </c>
      <c r="J6705" s="26" t="str">
        <f>IF(OR(E6705="",E6705="!!!",F6705="NEW"),"",COUNTBLANK(OFFSET(A$1,,,SUMPRODUCT(MAX(ROW(E$2:E6705)*(E6705=E$2:E6705)))))-COUNTBLANK(OFFSET(A$1,,,SUMPRODUCT(MAX(ROW(E$1:E6704)*(E2=E$1:E6704))))))</f>
        <v> </v>
      </c>
      <c r="K6705" s="26" t="str">
        <f>IF(OR(E6705="",E6705="!!!",F6705="NEW"),"",INDEX(J$1:J6704,SUMPRODUCT(MAX(ROW(E$1:E6704)*(E6705=E$1:E6704)))))</f>
        <v> </v>
      </c>
      <c r="L6705" s="27"/>
    </row>
    <row r="6706" spans="1:12">
      <c r="A6706" s="20" t="s">
        <v>1002</v>
      </c>
      <c r="E6706" s="22">
        <f>IF(D6706="?OLD","!!!","")</f>
        <v/>
      </c>
      <c r="F6706" s="23" t="str">
        <f>IF(OR(E6706="",E6706="!!!"),"",IF(NOT(ISNA(VLOOKUP(E6706,E$1:E6705,1,FALSE()))),"OLD",IF(AND(E6706&lt;&gt;"",E6706&lt;&gt;"!!!"),"NEW","")))</f>
        <v> </v>
      </c>
      <c r="G6706" s="24" t="str">
        <f>IF(OR(E6706="",E6706="!!!"),"",IF(OR(J6706=0,AND(J6706=1,K6706=1),AND(J6706=1,I6706="SBJ"),AND(J6706=1,I6706=0)),"?IN_FOCUS",IF(J6706&lt;=2,"?ACTIVATED",IF(J6706&lt;&gt;"","?FAMILIAR",IF(F6706="NEW",IF(ISNA(VLOOKUP(E6706,#REF!,1,FALSE())),"?TYPE_IDENTIFIABLE","?REFERENTIAL"),"_")))))</f>
        <v> </v>
      </c>
      <c r="H6706" s="25" t="str">
        <f>IF(J6706&lt;&gt;1,"",IF(I6706="SBJ","CB","?"))</f>
        <v> </v>
      </c>
      <c r="I6706" s="26" t="str">
        <f>IF(OR(E6706="",E6706="!!!",F6706="NEW"),"",INDEX(B6705:B$2,-1+SUMPRODUCT(MAX(ROW(E6705:E$2)*(E6706=E6705:E$2)))))</f>
        <v> </v>
      </c>
      <c r="J6706" s="26" t="str">
        <f>IF(OR(E6706="",E6706="!!!",F6706="NEW"),"",COUNTBLANK(OFFSET(A$1,,,SUMPRODUCT(MAX(ROW(E$2:E6706)*(E6706=E$2:E6706)))))-COUNTBLANK(OFFSET(A$1,,,SUMPRODUCT(MAX(ROW(E$1:E6705)*(E2=E$1:E6705))))))</f>
        <v> </v>
      </c>
      <c r="K6706" s="26" t="str">
        <f>IF(OR(E6706="",E6706="!!!",F6706="NEW"),"",INDEX(J$1:J6705,SUMPRODUCT(MAX(ROW(E$1:E6705)*(E6706=E$1:E6705)))))</f>
        <v> </v>
      </c>
      <c r="L6706" s="27"/>
    </row>
    <row r="6707" spans="1:12">
      <c r="A6707" s="20" t="s">
        <v>1154</v>
      </c>
      <c r="B6707" s="21" t="s">
        <v>1095</v>
      </c>
      <c r="C6707" s="21" t="s">
        <v>977</v>
      </c>
      <c r="D6707" s="21" t="s">
        <v>978</v>
      </c>
      <c r="E6707" s="22">
        <f>IF(D6707="?OLD","!!!","")</f>
        <v/>
      </c>
      <c r="F6707" s="23" t="str">
        <f>IF(OR(E6707="",E6707="!!!"),"",IF(NOT(ISNA(VLOOKUP(E6707,E$1:E6706,1,FALSE()))),"OLD",IF(AND(E6707&lt;&gt;"",E6707&lt;&gt;"!!!"),"NEW","")))</f>
        <v> </v>
      </c>
      <c r="G6707" s="24" t="str">
        <f>IF(OR(E6707="",E6707="!!!"),"",IF(OR(J6707=0,AND(J6707=1,K6707=1),AND(J6707=1,I6707="SBJ"),AND(J6707=1,I6707=0)),"?IN_FOCUS",IF(J6707&lt;=2,"?ACTIVATED",IF(J6707&lt;&gt;"","?FAMILIAR",IF(F6707="NEW",IF(ISNA(VLOOKUP(E6707,#REF!,1,FALSE())),"?TYPE_IDENTIFIABLE","?REFERENTIAL"),"_")))))</f>
        <v> </v>
      </c>
      <c r="H6707" s="25" t="str">
        <f>IF(J6707&lt;&gt;1,"",IF(I6707="SBJ","CB","?"))</f>
        <v> </v>
      </c>
      <c r="I6707" s="26" t="str">
        <f>IF(OR(E6707="",E6707="!!!",F6707="NEW"),"",INDEX(B6706:B$2,-1+SUMPRODUCT(MAX(ROW(E6706:E$2)*(E6707=E6706:E$2)))))</f>
        <v> </v>
      </c>
      <c r="J6707" s="26" t="str">
        <f>IF(OR(E6707="",E6707="!!!",F6707="NEW"),"",COUNTBLANK(OFFSET(A$1,,,SUMPRODUCT(MAX(ROW(E$2:E6707)*(E6707=E$2:E6707)))))-COUNTBLANK(OFFSET(A$1,,,SUMPRODUCT(MAX(ROW(E$1:E6706)*(E2=E$1:E6706))))))</f>
        <v> </v>
      </c>
      <c r="K6707" s="26" t="str">
        <f>IF(OR(E6707="",E6707="!!!",F6707="NEW"),"",INDEX(J$1:J6706,SUMPRODUCT(MAX(ROW(E$1:E6706)*(E6707=E$1:E6706)))))</f>
        <v> </v>
      </c>
      <c r="L6707" s="27"/>
    </row>
    <row r="6708" spans="1:12">
      <c r="A6708" s="20" t="s">
        <v>979</v>
      </c>
      <c r="E6708" s="22">
        <f>IF(D6708="?OLD","!!!","")</f>
        <v/>
      </c>
      <c r="F6708" s="23" t="str">
        <f>IF(OR(E6708="",E6708="!!!"),"",IF(NOT(ISNA(VLOOKUP(E6708,E$1:E6707,1,FALSE()))),"OLD",IF(AND(E6708&lt;&gt;"",E6708&lt;&gt;"!!!"),"NEW","")))</f>
        <v> </v>
      </c>
      <c r="G6708" s="24" t="str">
        <f>IF(OR(E6708="",E6708="!!!"),"",IF(OR(J6708=0,AND(J6708=1,K6708=1),AND(J6708=1,I6708="SBJ"),AND(J6708=1,I6708=0)),"?IN_FOCUS",IF(J6708&lt;=2,"?ACTIVATED",IF(J6708&lt;&gt;"","?FAMILIAR",IF(F6708="NEW",IF(ISNA(VLOOKUP(E6708,#REF!,1,FALSE())),"?TYPE_IDENTIFIABLE","?REFERENTIAL"),"_")))))</f>
        <v> </v>
      </c>
      <c r="H6708" s="25" t="str">
        <f>IF(J6708&lt;&gt;1,"",IF(I6708="SBJ","CB","?"))</f>
        <v> </v>
      </c>
      <c r="I6708" s="26" t="str">
        <f>IF(OR(E6708="",E6708="!!!",F6708="NEW"),"",INDEX(B6707:B$2,-1+SUMPRODUCT(MAX(ROW(E6707:E$2)*(E6708=E6707:E$2)))))</f>
        <v> </v>
      </c>
      <c r="J6708" s="26" t="str">
        <f>IF(OR(E6708="",E6708="!!!",F6708="NEW"),"",COUNTBLANK(OFFSET(A$1,,,SUMPRODUCT(MAX(ROW(E$2:E6708)*(E6708=E$2:E6708)))))-COUNTBLANK(OFFSET(A$1,,,SUMPRODUCT(MAX(ROW(E$1:E6707)*(E2=E$1:E6707))))))</f>
        <v> </v>
      </c>
      <c r="K6708" s="26" t="str">
        <f>IF(OR(E6708="",E6708="!!!",F6708="NEW"),"",INDEX(J$1:J6707,SUMPRODUCT(MAX(ROW(E$1:E6707)*(E6708=E$1:E6707)))))</f>
        <v> </v>
      </c>
      <c r="L6708" s="27"/>
    </row>
    <row r="6709" spans="1:12">
      <c r="A6709" s="20" t="s">
        <v>1138</v>
      </c>
      <c r="E6709" s="22">
        <f>IF(D6709="?OLD","!!!","")</f>
        <v/>
      </c>
      <c r="F6709" s="23" t="str">
        <f>IF(OR(E6709="",E6709="!!!"),"",IF(NOT(ISNA(VLOOKUP(E6709,E$1:E6708,1,FALSE()))),"OLD",IF(AND(E6709&lt;&gt;"",E6709&lt;&gt;"!!!"),"NEW","")))</f>
        <v> </v>
      </c>
      <c r="G6709" s="24" t="str">
        <f>IF(OR(E6709="",E6709="!!!"),"",IF(OR(J6709=0,AND(J6709=1,K6709=1),AND(J6709=1,I6709="SBJ"),AND(J6709=1,I6709=0)),"?IN_FOCUS",IF(J6709&lt;=2,"?ACTIVATED",IF(J6709&lt;&gt;"","?FAMILIAR",IF(F6709="NEW",IF(ISNA(VLOOKUP(E6709,#REF!,1,FALSE())),"?TYPE_IDENTIFIABLE","?REFERENTIAL"),"_")))))</f>
        <v> </v>
      </c>
      <c r="H6709" s="25" t="str">
        <f>IF(J6709&lt;&gt;1,"",IF(I6709="SBJ","CB","?"))</f>
        <v> </v>
      </c>
      <c r="I6709" s="26" t="str">
        <f>IF(OR(E6709="",E6709="!!!",F6709="NEW"),"",INDEX(B6708:B$2,-1+SUMPRODUCT(MAX(ROW(E6708:E$2)*(E6709=E6708:E$2)))))</f>
        <v> </v>
      </c>
      <c r="J6709" s="26" t="str">
        <f>IF(OR(E6709="",E6709="!!!",F6709="NEW"),"",COUNTBLANK(OFFSET(A$1,,,SUMPRODUCT(MAX(ROW(E$2:E6709)*(E6709=E$2:E6709)))))-COUNTBLANK(OFFSET(A$1,,,SUMPRODUCT(MAX(ROW(E$1:E6708)*(E2=E$1:E6708))))))</f>
        <v> </v>
      </c>
      <c r="K6709" s="26" t="str">
        <f>IF(OR(E6709="",E6709="!!!",F6709="NEW"),"",INDEX(J$1:J6708,SUMPRODUCT(MAX(ROW(E$1:E6708)*(E6709=E$1:E6708)))))</f>
        <v> </v>
      </c>
      <c r="L6709" s="27"/>
    </row>
    <row r="6710" spans="1:12">
      <c r="A6710" s="20" t="s">
        <v>609</v>
      </c>
      <c r="E6710" s="22">
        <f>IF(D6710="?OLD","!!!","")</f>
        <v/>
      </c>
      <c r="F6710" s="23" t="str">
        <f>IF(OR(E6710="",E6710="!!!"),"",IF(NOT(ISNA(VLOOKUP(E6710,E$1:E6709,1,FALSE()))),"OLD",IF(AND(E6710&lt;&gt;"",E6710&lt;&gt;"!!!"),"NEW","")))</f>
        <v> </v>
      </c>
      <c r="G6710" s="24" t="str">
        <f>IF(OR(E6710="",E6710="!!!"),"",IF(OR(J6710=0,AND(J6710=1,K6710=1),AND(J6710=1,I6710="SBJ"),AND(J6710=1,I6710=0)),"?IN_FOCUS",IF(J6710&lt;=2,"?ACTIVATED",IF(J6710&lt;&gt;"","?FAMILIAR",IF(F6710="NEW",IF(ISNA(VLOOKUP(E6710,#REF!,1,FALSE())),"?TYPE_IDENTIFIABLE","?REFERENTIAL"),"_")))))</f>
        <v> </v>
      </c>
      <c r="H6710" s="25" t="str">
        <f>IF(J6710&lt;&gt;1,"",IF(I6710="SBJ","CB","?"))</f>
        <v> </v>
      </c>
      <c r="I6710" s="26" t="str">
        <f>IF(OR(E6710="",E6710="!!!",F6710="NEW"),"",INDEX(B6709:B$2,-1+SUMPRODUCT(MAX(ROW(E6709:E$2)*(E6710=E6709:E$2)))))</f>
        <v> </v>
      </c>
      <c r="J6710" s="26" t="str">
        <f>IF(OR(E6710="",E6710="!!!",F6710="NEW"),"",COUNTBLANK(OFFSET(A$1,,,SUMPRODUCT(MAX(ROW(E$2:E6710)*(E6710=E$2:E6710)))))-COUNTBLANK(OFFSET(A$1,,,SUMPRODUCT(MAX(ROW(E$1:E6709)*(E2=E$1:E6709))))))</f>
        <v> </v>
      </c>
      <c r="K6710" s="26" t="str">
        <f>IF(OR(E6710="",E6710="!!!",F6710="NEW"),"",INDEX(J$1:J6709,SUMPRODUCT(MAX(ROW(E$1:E6709)*(E6710=E$1:E6709)))))</f>
        <v> </v>
      </c>
      <c r="L6710" s="27"/>
    </row>
    <row r="6711" spans="1:12">
      <c r="A6711" s="20" t="s">
        <v>2601</v>
      </c>
      <c r="B6711" s="21" t="s">
        <v>1052</v>
      </c>
      <c r="C6711" s="21" t="s">
        <v>983</v>
      </c>
      <c r="E6711" s="22">
        <f>IF(D6711="?OLD","!!!","")</f>
        <v/>
      </c>
      <c r="F6711" s="23" t="str">
        <f>IF(OR(E6711="",E6711="!!!"),"",IF(NOT(ISNA(VLOOKUP(E6711,E$1:E6710,1,FALSE()))),"OLD",IF(AND(E6711&lt;&gt;"",E6711&lt;&gt;"!!!"),"NEW","")))</f>
        <v> </v>
      </c>
      <c r="G6711" s="24" t="str">
        <f>IF(OR(E6711="",E6711="!!!"),"",IF(OR(J6711=0,AND(J6711=1,K6711=1),AND(J6711=1,I6711="SBJ"),AND(J6711=1,I6711=0)),"?IN_FOCUS",IF(J6711&lt;=2,"?ACTIVATED",IF(J6711&lt;&gt;"","?FAMILIAR",IF(F6711="NEW",IF(ISNA(VLOOKUP(E6711,#REF!,1,FALSE())),"?TYPE_IDENTIFIABLE","?REFERENTIAL"),"_")))))</f>
        <v> </v>
      </c>
      <c r="H6711" s="25" t="str">
        <f>IF(J6711&lt;&gt;1,"",IF(I6711="SBJ","CB","?"))</f>
        <v> </v>
      </c>
      <c r="I6711" s="26" t="str">
        <f>IF(OR(E6711="",E6711="!!!",F6711="NEW"),"",INDEX(B6710:B$2,-1+SUMPRODUCT(MAX(ROW(E6710:E$2)*(E6711=E6710:E$2)))))</f>
        <v> </v>
      </c>
      <c r="J6711" s="26" t="str">
        <f>IF(OR(E6711="",E6711="!!!",F6711="NEW"),"",COUNTBLANK(OFFSET(A$1,,,SUMPRODUCT(MAX(ROW(E$2:E6711)*(E6711=E$2:E6711)))))-COUNTBLANK(OFFSET(A$1,,,SUMPRODUCT(MAX(ROW(E$1:E6710)*(E2=E$1:E6710))))))</f>
        <v> </v>
      </c>
      <c r="K6711" s="26" t="str">
        <f>IF(OR(E6711="",E6711="!!!",F6711="NEW"),"",INDEX(J$1:J6710,SUMPRODUCT(MAX(ROW(E$1:E6710)*(E6711=E$1:E6710)))))</f>
        <v> </v>
      </c>
      <c r="L6711" s="27"/>
    </row>
    <row r="6712" spans="1:12">
      <c r="A6712" s="20" t="s">
        <v>1081</v>
      </c>
      <c r="E6712" s="22">
        <f>IF(D6712="?OLD","!!!","")</f>
        <v/>
      </c>
      <c r="F6712" s="23" t="str">
        <f>IF(OR(E6712="",E6712="!!!"),"",IF(NOT(ISNA(VLOOKUP(E6712,E$1:E6711,1,FALSE()))),"OLD",IF(AND(E6712&lt;&gt;"",E6712&lt;&gt;"!!!"),"NEW","")))</f>
        <v> </v>
      </c>
      <c r="G6712" s="24" t="str">
        <f>IF(OR(E6712="",E6712="!!!"),"",IF(OR(J6712=0,AND(J6712=1,K6712=1),AND(J6712=1,I6712="SBJ"),AND(J6712=1,I6712=0)),"?IN_FOCUS",IF(J6712&lt;=2,"?ACTIVATED",IF(J6712&lt;&gt;"","?FAMILIAR",IF(F6712="NEW",IF(ISNA(VLOOKUP(E6712,#REF!,1,FALSE())),"?TYPE_IDENTIFIABLE","?REFERENTIAL"),"_")))))</f>
        <v> </v>
      </c>
      <c r="H6712" s="25" t="str">
        <f>IF(J6712&lt;&gt;1,"",IF(I6712="SBJ","CB","?"))</f>
        <v> </v>
      </c>
      <c r="I6712" s="26" t="str">
        <f>IF(OR(E6712="",E6712="!!!",F6712="NEW"),"",INDEX(B6711:B$2,-1+SUMPRODUCT(MAX(ROW(E6711:E$2)*(E6712=E6711:E$2)))))</f>
        <v> </v>
      </c>
      <c r="J6712" s="26" t="str">
        <f>IF(OR(E6712="",E6712="!!!",F6712="NEW"),"",COUNTBLANK(OFFSET(A$1,,,SUMPRODUCT(MAX(ROW(E$2:E6712)*(E6712=E$2:E6712)))))-COUNTBLANK(OFFSET(A$1,,,SUMPRODUCT(MAX(ROW(E$1:E6711)*(E2=E$1:E6711))))))</f>
        <v> </v>
      </c>
      <c r="K6712" s="26" t="str">
        <f>IF(OR(E6712="",E6712="!!!",F6712="NEW"),"",INDEX(J$1:J6711,SUMPRODUCT(MAX(ROW(E$1:E6711)*(E6712=E$1:E6711)))))</f>
        <v> </v>
      </c>
      <c r="L6712" s="27"/>
    </row>
    <row r="6713" spans="1:12">
      <c r="A6713" s="20" t="s">
        <v>952</v>
      </c>
      <c r="E6713" s="22">
        <f>IF(D6713="?OLD","!!!","")</f>
        <v/>
      </c>
      <c r="F6713" s="23" t="str">
        <f>IF(OR(E6713="",E6713="!!!"),"",IF(NOT(ISNA(VLOOKUP(E6713,E$1:E6712,1,FALSE()))),"OLD",IF(AND(E6713&lt;&gt;"",E6713&lt;&gt;"!!!"),"NEW","")))</f>
        <v> </v>
      </c>
      <c r="G6713" s="24" t="str">
        <f>IF(OR(E6713="",E6713="!!!"),"",IF(OR(J6713=0,AND(J6713=1,K6713=1),AND(J6713=1,I6713="SBJ"),AND(J6713=1,I6713=0)),"?IN_FOCUS",IF(J6713&lt;=2,"?ACTIVATED",IF(J6713&lt;&gt;"","?FAMILIAR",IF(F6713="NEW",IF(ISNA(VLOOKUP(E6713,#REF!,1,FALSE())),"?TYPE_IDENTIFIABLE","?REFERENTIAL"),"_")))))</f>
        <v> </v>
      </c>
      <c r="H6713" s="25" t="str">
        <f>IF(J6713&lt;&gt;1,"",IF(I6713="SBJ","CB","?"))</f>
        <v> </v>
      </c>
      <c r="I6713" s="26" t="str">
        <f>IF(OR(E6713="",E6713="!!!",F6713="NEW"),"",INDEX(B6712:B$2,-1+SUMPRODUCT(MAX(ROW(E6712:E$2)*(E6713=E6712:E$2)))))</f>
        <v> </v>
      </c>
      <c r="J6713" s="26" t="str">
        <f>IF(OR(E6713="",E6713="!!!",F6713="NEW"),"",COUNTBLANK(OFFSET(A$1,,,SUMPRODUCT(MAX(ROW(E$2:E6713)*(E6713=E$2:E6713)))))-COUNTBLANK(OFFSET(A$1,,,SUMPRODUCT(MAX(ROW(E$1:E6712)*(E2=E$1:E6712))))))</f>
        <v> </v>
      </c>
      <c r="K6713" s="26" t="str">
        <f>IF(OR(E6713="",E6713="!!!",F6713="NEW"),"",INDEX(J$1:J6712,SUMPRODUCT(MAX(ROW(E$1:E6712)*(E6713=E$1:E6712)))))</f>
        <v> </v>
      </c>
      <c r="L6713" s="27"/>
    </row>
    <row r="6714" spans="1:12">
      <c r="A6714" s="20" t="s">
        <v>1092</v>
      </c>
      <c r="E6714" s="22">
        <f>IF(D6714="?OLD","!!!","")</f>
        <v/>
      </c>
      <c r="F6714" s="23" t="str">
        <f>IF(OR(E6714="",E6714="!!!"),"",IF(NOT(ISNA(VLOOKUP(E6714,E$1:E6713,1,FALSE()))),"OLD",IF(AND(E6714&lt;&gt;"",E6714&lt;&gt;"!!!"),"NEW","")))</f>
        <v> </v>
      </c>
      <c r="G6714" s="24" t="str">
        <f>IF(OR(E6714="",E6714="!!!"),"",IF(OR(J6714=0,AND(J6714=1,K6714=1),AND(J6714=1,I6714="SBJ"),AND(J6714=1,I6714=0)),"?IN_FOCUS",IF(J6714&lt;=2,"?ACTIVATED",IF(J6714&lt;&gt;"","?FAMILIAR",IF(F6714="NEW",IF(ISNA(VLOOKUP(E6714,#REF!,1,FALSE())),"?TYPE_IDENTIFIABLE","?REFERENTIAL"),"_")))))</f>
        <v> </v>
      </c>
      <c r="H6714" s="25" t="str">
        <f>IF(J6714&lt;&gt;1,"",IF(I6714="SBJ","CB","?"))</f>
        <v> </v>
      </c>
      <c r="I6714" s="26" t="str">
        <f>IF(OR(E6714="",E6714="!!!",F6714="NEW"),"",INDEX(B6713:B$2,-1+SUMPRODUCT(MAX(ROW(E6713:E$2)*(E6714=E6713:E$2)))))</f>
        <v> </v>
      </c>
      <c r="J6714" s="26" t="str">
        <f>IF(OR(E6714="",E6714="!!!",F6714="NEW"),"",COUNTBLANK(OFFSET(A$1,,,SUMPRODUCT(MAX(ROW(E$2:E6714)*(E6714=E$2:E6714)))))-COUNTBLANK(OFFSET(A$1,,,SUMPRODUCT(MAX(ROW(E$1:E6713)*(E2=E$1:E6713))))))</f>
        <v> </v>
      </c>
      <c r="K6714" s="26" t="str">
        <f>IF(OR(E6714="",E6714="!!!",F6714="NEW"),"",INDEX(J$1:J6713,SUMPRODUCT(MAX(ROW(E$1:E6713)*(E6714=E$1:E6713)))))</f>
        <v> </v>
      </c>
      <c r="L6714" s="27"/>
    </row>
    <row r="6715" spans="1:12">
      <c r="A6715" s="20" t="s">
        <v>1111</v>
      </c>
      <c r="B6715" s="21" t="s">
        <v>1036</v>
      </c>
      <c r="C6715" s="21" t="s">
        <v>995</v>
      </c>
      <c r="D6715" s="21" t="s">
        <v>978</v>
      </c>
      <c r="E6715" s="22">
        <f>IF(D6715="?OLD","!!!","")</f>
        <v/>
      </c>
      <c r="F6715" s="23" t="str">
        <f>IF(OR(E6715="",E6715="!!!"),"",IF(NOT(ISNA(VLOOKUP(E6715,E$1:E6714,1,FALSE()))),"OLD",IF(AND(E6715&lt;&gt;"",E6715&lt;&gt;"!!!"),"NEW","")))</f>
        <v> </v>
      </c>
      <c r="G6715" s="24" t="str">
        <f>IF(OR(E6715="",E6715="!!!"),"",IF(OR(J6715=0,AND(J6715=1,K6715=1),AND(J6715=1,I6715="SBJ"),AND(J6715=1,I6715=0)),"?IN_FOCUS",IF(J6715&lt;=2,"?ACTIVATED",IF(J6715&lt;&gt;"","?FAMILIAR",IF(F6715="NEW",IF(ISNA(VLOOKUP(E6715,#REF!,1,FALSE())),"?TYPE_IDENTIFIABLE","?REFERENTIAL"),"_")))))</f>
        <v> </v>
      </c>
      <c r="H6715" s="25" t="str">
        <f>IF(J6715&lt;&gt;1,"",IF(I6715="SBJ","CB","?"))</f>
        <v> </v>
      </c>
      <c r="I6715" s="26" t="str">
        <f>IF(OR(E6715="",E6715="!!!",F6715="NEW"),"",INDEX(B6714:B$2,-1+SUMPRODUCT(MAX(ROW(E6714:E$2)*(E6715=E6714:E$2)))))</f>
        <v> </v>
      </c>
      <c r="J6715" s="26" t="str">
        <f>IF(OR(E6715="",E6715="!!!",F6715="NEW"),"",COUNTBLANK(OFFSET(A$1,,,SUMPRODUCT(MAX(ROW(E$2:E6715)*(E6715=E$2:E6715)))))-COUNTBLANK(OFFSET(A$1,,,SUMPRODUCT(MAX(ROW(E$1:E6714)*(E2=E$1:E6714))))))</f>
        <v> </v>
      </c>
      <c r="K6715" s="26" t="str">
        <f>IF(OR(E6715="",E6715="!!!",F6715="NEW"),"",INDEX(J$1:J6714,SUMPRODUCT(MAX(ROW(E$1:E6714)*(E6715=E$1:E6714)))))</f>
        <v> </v>
      </c>
      <c r="L6715" s="27"/>
    </row>
    <row r="6716" spans="1:12">
      <c r="A6716" s="20"/>
    </row>
    <row r="6717" spans="1:12">
      <c r="A6717" s="20" t="s">
        <v>2602</v>
      </c>
    </row>
    <row r="6718" spans="1:12">
      <c r="A6718" s="20" t="s">
        <v>1182</v>
      </c>
      <c r="B6718" s="21" t="s">
        <v>976</v>
      </c>
      <c r="C6718" s="21" t="s">
        <v>977</v>
      </c>
      <c r="D6718" s="21" t="s">
        <v>978</v>
      </c>
      <c r="E6718" s="22">
        <f>IF(D6718="?OLD","!!!","")</f>
        <v/>
      </c>
      <c r="F6718" s="23" t="str">
        <f>IF(OR(E6718="",E6718="!!!"),"",IF(NOT(ISNA(VLOOKUP(E6718,E$1:E6717,1,FALSE()))),"OLD",IF(AND(E6718&lt;&gt;"",E6718&lt;&gt;"!!!"),"NEW","")))</f>
        <v> </v>
      </c>
      <c r="G6718" s="24" t="str">
        <f>IF(OR(E6718="",E6718="!!!"),"",IF(OR(J6718=0,AND(J6718=1,K6718=1),AND(J6718=1,I6718="SBJ"),AND(J6718=1,I6718=0)),"?IN_FOCUS",IF(J6718&lt;=2,"?ACTIVATED",IF(J6718&lt;&gt;"","?FAMILIAR",IF(F6718="NEW",IF(ISNA(VLOOKUP(E6718,#REF!,1,FALSE())),"?TYPE_IDENTIFIABLE","?REFERENTIAL"),"_")))))</f>
        <v> </v>
      </c>
      <c r="H6718" s="25" t="str">
        <f>IF(J6718&lt;&gt;1,"",IF(I6718="SBJ","CB","?"))</f>
        <v> </v>
      </c>
      <c r="I6718" s="26" t="str">
        <f>IF(OR(E6718="",E6718="!!!",F6718="NEW"),"",INDEX(B6717:B$2,-1+SUMPRODUCT(MAX(ROW(E6717:E$2)*(E6718=E6717:E$2)))))</f>
        <v> </v>
      </c>
      <c r="J6718" s="26" t="str">
        <f>IF(OR(E6718="",E6718="!!!",F6718="NEW"),"",COUNTBLANK(OFFSET(A$1,,,SUMPRODUCT(MAX(ROW(E$2:E6718)*(E6718=E$2:E6718)))))-COUNTBLANK(OFFSET(A$1,,,SUMPRODUCT(MAX(ROW(E$1:E6717)*(E2=E$1:E6717))))))</f>
        <v> </v>
      </c>
      <c r="K6718" s="26" t="str">
        <f>IF(OR(E6718="",E6718="!!!",F6718="NEW"),"",INDEX(J$1:J6717,SUMPRODUCT(MAX(ROW(E$1:E6717)*(E6718=E$1:E6717)))))</f>
        <v> </v>
      </c>
      <c r="L6718" s="27"/>
    </row>
    <row r="6719" spans="1:12">
      <c r="A6719" s="20" t="s">
        <v>1074</v>
      </c>
      <c r="B6719" s="21" t="s">
        <v>982</v>
      </c>
      <c r="C6719" s="21" t="s">
        <v>977</v>
      </c>
      <c r="D6719" s="21" t="s">
        <v>978</v>
      </c>
      <c r="E6719" s="22">
        <f>IF(D6719="?OLD","!!!","")</f>
        <v/>
      </c>
      <c r="F6719" s="23" t="str">
        <f>IF(OR(E6719="",E6719="!!!"),"",IF(NOT(ISNA(VLOOKUP(E6719,E$1:E6718,1,FALSE()))),"OLD",IF(AND(E6719&lt;&gt;"",E6719&lt;&gt;"!!!"),"NEW","")))</f>
        <v> </v>
      </c>
      <c r="G6719" s="24" t="str">
        <f>IF(OR(E6719="",E6719="!!!"),"",IF(OR(J6719=0,AND(J6719=1,K6719=1),AND(J6719=1,I6719="SBJ"),AND(J6719=1,I6719=0)),"?IN_FOCUS",IF(J6719&lt;=2,"?ACTIVATED",IF(J6719&lt;&gt;"","?FAMILIAR",IF(F6719="NEW",IF(ISNA(VLOOKUP(E6719,#REF!,1,FALSE())),"?TYPE_IDENTIFIABLE","?REFERENTIAL"),"_")))))</f>
        <v> </v>
      </c>
      <c r="H6719" s="25" t="str">
        <f>IF(J6719&lt;&gt;1,"",IF(I6719="SBJ","CB","?"))</f>
        <v> </v>
      </c>
      <c r="I6719" s="26" t="str">
        <f>IF(OR(E6719="",E6719="!!!",F6719="NEW"),"",INDEX(B6718:B$2,-1+SUMPRODUCT(MAX(ROW(E6718:E$2)*(E6719=E6718:E$2)))))</f>
        <v> </v>
      </c>
      <c r="J6719" s="26" t="str">
        <f>IF(OR(E6719="",E6719="!!!",F6719="NEW"),"",COUNTBLANK(OFFSET(A$1,,,SUMPRODUCT(MAX(ROW(E$2:E6719)*(E6719=E$2:E6719)))))-COUNTBLANK(OFFSET(A$1,,,SUMPRODUCT(MAX(ROW(E$1:E6718)*(E2=E$1:E6718))))))</f>
        <v> </v>
      </c>
      <c r="K6719" s="26" t="str">
        <f>IF(OR(E6719="",E6719="!!!",F6719="NEW"),"",INDEX(J$1:J6718,SUMPRODUCT(MAX(ROW(E$1:E6718)*(E6719=E$1:E6718)))))</f>
        <v> </v>
      </c>
      <c r="L6719" s="27"/>
    </row>
    <row r="6720" spans="1:12">
      <c r="A6720" s="20" t="s">
        <v>1755</v>
      </c>
      <c r="E6720" s="22">
        <f>IF(D6720="?OLD","!!!","")</f>
        <v/>
      </c>
      <c r="F6720" s="23" t="str">
        <f>IF(OR(E6720="",E6720="!!!"),"",IF(NOT(ISNA(VLOOKUP(E6720,E$1:E6719,1,FALSE()))),"OLD",IF(AND(E6720&lt;&gt;"",E6720&lt;&gt;"!!!"),"NEW","")))</f>
        <v> </v>
      </c>
      <c r="G6720" s="24" t="str">
        <f>IF(OR(E6720="",E6720="!!!"),"",IF(OR(J6720=0,AND(J6720=1,K6720=1),AND(J6720=1,I6720="SBJ"),AND(J6720=1,I6720=0)),"?IN_FOCUS",IF(J6720&lt;=2,"?ACTIVATED",IF(J6720&lt;&gt;"","?FAMILIAR",IF(F6720="NEW",IF(ISNA(VLOOKUP(E6720,#REF!,1,FALSE())),"?TYPE_IDENTIFIABLE","?REFERENTIAL"),"_")))))</f>
        <v> </v>
      </c>
      <c r="H6720" s="25" t="str">
        <f>IF(J6720&lt;&gt;1,"",IF(I6720="SBJ","CB","?"))</f>
        <v> </v>
      </c>
      <c r="I6720" s="26" t="str">
        <f>IF(OR(E6720="",E6720="!!!",F6720="NEW"),"",INDEX(B6719:B$2,-1+SUMPRODUCT(MAX(ROW(E6719:E$2)*(E6720=E6719:E$2)))))</f>
        <v> </v>
      </c>
      <c r="J6720" s="26" t="str">
        <f>IF(OR(E6720="",E6720="!!!",F6720="NEW"),"",COUNTBLANK(OFFSET(A$1,,,SUMPRODUCT(MAX(ROW(E$2:E6720)*(E6720=E$2:E6720)))))-COUNTBLANK(OFFSET(A$1,,,SUMPRODUCT(MAX(ROW(E$1:E6719)*(E2=E$1:E6719))))))</f>
        <v> </v>
      </c>
      <c r="K6720" s="26" t="str">
        <f>IF(OR(E6720="",E6720="!!!",F6720="NEW"),"",INDEX(J$1:J6719,SUMPRODUCT(MAX(ROW(E$1:E6719)*(E6720=E$1:E6719)))))</f>
        <v> </v>
      </c>
      <c r="L6720" s="27"/>
    </row>
    <row r="6721" spans="1:12">
      <c r="A6721" s="20" t="s">
        <v>1842</v>
      </c>
      <c r="E6721" s="22">
        <f>IF(D6721="?OLD","!!!","")</f>
        <v/>
      </c>
      <c r="F6721" s="23" t="str">
        <f>IF(OR(E6721="",E6721="!!!"),"",IF(NOT(ISNA(VLOOKUP(E6721,E$1:E6720,1,FALSE()))),"OLD",IF(AND(E6721&lt;&gt;"",E6721&lt;&gt;"!!!"),"NEW","")))</f>
        <v> </v>
      </c>
      <c r="G6721" s="24" t="str">
        <f>IF(OR(E6721="",E6721="!!!"),"",IF(OR(J6721=0,AND(J6721=1,K6721=1),AND(J6721=1,I6721="SBJ"),AND(J6721=1,I6721=0)),"?IN_FOCUS",IF(J6721&lt;=2,"?ACTIVATED",IF(J6721&lt;&gt;"","?FAMILIAR",IF(F6721="NEW",IF(ISNA(VLOOKUP(E6721,#REF!,1,FALSE())),"?TYPE_IDENTIFIABLE","?REFERENTIAL"),"_")))))</f>
        <v> </v>
      </c>
      <c r="H6721" s="25" t="str">
        <f>IF(J6721&lt;&gt;1,"",IF(I6721="SBJ","CB","?"))</f>
        <v> </v>
      </c>
      <c r="I6721" s="26" t="str">
        <f>IF(OR(E6721="",E6721="!!!",F6721="NEW"),"",INDEX(B6720:B$2,-1+SUMPRODUCT(MAX(ROW(E6720:E$2)*(E6721=E6720:E$2)))))</f>
        <v> </v>
      </c>
      <c r="J6721" s="26" t="str">
        <f>IF(OR(E6721="",E6721="!!!",F6721="NEW"),"",COUNTBLANK(OFFSET(A$1,,,SUMPRODUCT(MAX(ROW(E$2:E6721)*(E6721=E$2:E6721)))))-COUNTBLANK(OFFSET(A$1,,,SUMPRODUCT(MAX(ROW(E$1:E6720)*(E2=E$1:E6720))))))</f>
        <v> </v>
      </c>
      <c r="K6721" s="26" t="str">
        <f>IF(OR(E6721="",E6721="!!!",F6721="NEW"),"",INDEX(J$1:J6720,SUMPRODUCT(MAX(ROW(E$1:E6720)*(E6721=E$1:E6720)))))</f>
        <v> </v>
      </c>
      <c r="L6721" s="27"/>
    </row>
    <row r="6722" spans="1:12">
      <c r="A6722" s="20" t="s">
        <v>1468</v>
      </c>
      <c r="B6722" s="21" t="s">
        <v>1095</v>
      </c>
      <c r="C6722" s="21" t="s">
        <v>977</v>
      </c>
      <c r="D6722" s="21" t="s">
        <v>978</v>
      </c>
      <c r="E6722" s="22">
        <f>IF(D6722="?OLD","!!!","")</f>
        <v/>
      </c>
      <c r="F6722" s="23" t="str">
        <f>IF(OR(E6722="",E6722="!!!"),"",IF(NOT(ISNA(VLOOKUP(E6722,E$1:E6721,1,FALSE()))),"OLD",IF(AND(E6722&lt;&gt;"",E6722&lt;&gt;"!!!"),"NEW","")))</f>
        <v> </v>
      </c>
      <c r="G6722" s="24" t="str">
        <f>IF(OR(E6722="",E6722="!!!"),"",IF(OR(J6722=0,AND(J6722=1,K6722=1),AND(J6722=1,I6722="SBJ"),AND(J6722=1,I6722=0)),"?IN_FOCUS",IF(J6722&lt;=2,"?ACTIVATED",IF(J6722&lt;&gt;"","?FAMILIAR",IF(F6722="NEW",IF(ISNA(VLOOKUP(E6722,#REF!,1,FALSE())),"?TYPE_IDENTIFIABLE","?REFERENTIAL"),"_")))))</f>
        <v> </v>
      </c>
      <c r="H6722" s="25" t="str">
        <f>IF(J6722&lt;&gt;1,"",IF(I6722="SBJ","CB","?"))</f>
        <v> </v>
      </c>
      <c r="I6722" s="26" t="str">
        <f>IF(OR(E6722="",E6722="!!!",F6722="NEW"),"",INDEX(B6721:B$2,-1+SUMPRODUCT(MAX(ROW(E6721:E$2)*(E6722=E6721:E$2)))))</f>
        <v> </v>
      </c>
      <c r="J6722" s="26" t="str">
        <f>IF(OR(E6722="",E6722="!!!",F6722="NEW"),"",COUNTBLANK(OFFSET(A$1,,,SUMPRODUCT(MAX(ROW(E$2:E6722)*(E6722=E$2:E6722)))))-COUNTBLANK(OFFSET(A$1,,,SUMPRODUCT(MAX(ROW(E$1:E6721)*(E2=E$1:E6721))))))</f>
        <v> </v>
      </c>
      <c r="K6722" s="26" t="str">
        <f>IF(OR(E6722="",E6722="!!!",F6722="NEW"),"",INDEX(J$1:J6721,SUMPRODUCT(MAX(ROW(E$1:E6721)*(E6722=E$1:E6721)))))</f>
        <v> </v>
      </c>
      <c r="L6722" s="27"/>
    </row>
    <row r="6723" spans="1:12">
      <c r="A6723" s="20" t="s">
        <v>1135</v>
      </c>
      <c r="B6723" s="21" t="s">
        <v>1052</v>
      </c>
      <c r="C6723" s="21" t="s">
        <v>977</v>
      </c>
      <c r="D6723" s="21" t="s">
        <v>978</v>
      </c>
      <c r="E6723" s="22">
        <f>IF(D6723="?OLD","!!!","")</f>
        <v/>
      </c>
      <c r="F6723" s="23" t="str">
        <f>IF(OR(E6723="",E6723="!!!"),"",IF(NOT(ISNA(VLOOKUP(E6723,E$1:E6722,1,FALSE()))),"OLD",IF(AND(E6723&lt;&gt;"",E6723&lt;&gt;"!!!"),"NEW","")))</f>
        <v> </v>
      </c>
      <c r="G6723" s="24" t="str">
        <f>IF(OR(E6723="",E6723="!!!"),"",IF(OR(J6723=0,AND(J6723=1,K6723=1),AND(J6723=1,I6723="SBJ"),AND(J6723=1,I6723=0)),"?IN_FOCUS",IF(J6723&lt;=2,"?ACTIVATED",IF(J6723&lt;&gt;"","?FAMILIAR",IF(F6723="NEW",IF(ISNA(VLOOKUP(E6723,#REF!,1,FALSE())),"?TYPE_IDENTIFIABLE","?REFERENTIAL"),"_")))))</f>
        <v> </v>
      </c>
      <c r="H6723" s="25" t="str">
        <f>IF(J6723&lt;&gt;1,"",IF(I6723="SBJ","CB","?"))</f>
        <v> </v>
      </c>
      <c r="I6723" s="26" t="str">
        <f>IF(OR(E6723="",E6723="!!!",F6723="NEW"),"",INDEX(B6722:B$2,-1+SUMPRODUCT(MAX(ROW(E6722:E$2)*(E6723=E6722:E$2)))))</f>
        <v> </v>
      </c>
      <c r="J6723" s="26" t="str">
        <f>IF(OR(E6723="",E6723="!!!",F6723="NEW"),"",COUNTBLANK(OFFSET(A$1,,,SUMPRODUCT(MAX(ROW(E$2:E6723)*(E6723=E$2:E6723)))))-COUNTBLANK(OFFSET(A$1,,,SUMPRODUCT(MAX(ROW(E$1:E6722)*(E2=E$1:E6722))))))</f>
        <v> </v>
      </c>
      <c r="K6723" s="26" t="str">
        <f>IF(OR(E6723="",E6723="!!!",F6723="NEW"),"",INDEX(J$1:J6722,SUMPRODUCT(MAX(ROW(E$1:E6722)*(E6723=E$1:E6722)))))</f>
        <v> </v>
      </c>
      <c r="L6723" s="27"/>
    </row>
    <row r="6724" spans="1:12">
      <c r="A6724" s="20" t="s">
        <v>1323</v>
      </c>
      <c r="E6724" s="22">
        <f>IF(D6724="?OLD","!!!","")</f>
        <v/>
      </c>
      <c r="F6724" s="23" t="str">
        <f>IF(OR(E6724="",E6724="!!!"),"",IF(NOT(ISNA(VLOOKUP(E6724,E$1:E6723,1,FALSE()))),"OLD",IF(AND(E6724&lt;&gt;"",E6724&lt;&gt;"!!!"),"NEW","")))</f>
        <v> </v>
      </c>
      <c r="G6724" s="24" t="str">
        <f>IF(OR(E6724="",E6724="!!!"),"",IF(OR(J6724=0,AND(J6724=1,K6724=1),AND(J6724=1,I6724="SBJ"),AND(J6724=1,I6724=0)),"?IN_FOCUS",IF(J6724&lt;=2,"?ACTIVATED",IF(J6724&lt;&gt;"","?FAMILIAR",IF(F6724="NEW",IF(ISNA(VLOOKUP(E6724,#REF!,1,FALSE())),"?TYPE_IDENTIFIABLE","?REFERENTIAL"),"_")))))</f>
        <v> </v>
      </c>
      <c r="H6724" s="25" t="str">
        <f>IF(J6724&lt;&gt;1,"",IF(I6724="SBJ","CB","?"))</f>
        <v> </v>
      </c>
      <c r="I6724" s="26" t="str">
        <f>IF(OR(E6724="",E6724="!!!",F6724="NEW"),"",INDEX(B6723:B$2,-1+SUMPRODUCT(MAX(ROW(E6723:E$2)*(E6724=E6723:E$2)))))</f>
        <v> </v>
      </c>
      <c r="J6724" s="26" t="str">
        <f>IF(OR(E6724="",E6724="!!!",F6724="NEW"),"",COUNTBLANK(OFFSET(A$1,,,SUMPRODUCT(MAX(ROW(E$2:E6724)*(E6724=E$2:E6724)))))-COUNTBLANK(OFFSET(A$1,,,SUMPRODUCT(MAX(ROW(E$1:E6723)*(E2=E$1:E6723))))))</f>
        <v> </v>
      </c>
      <c r="K6724" s="26" t="str">
        <f>IF(OR(E6724="",E6724="!!!",F6724="NEW"),"",INDEX(J$1:J6723,SUMPRODUCT(MAX(ROW(E$1:E6723)*(E6724=E$1:E6723)))))</f>
        <v> </v>
      </c>
      <c r="L6724" s="27"/>
    </row>
    <row r="6725" spans="1:12">
      <c r="A6725" s="20" t="s">
        <v>2603</v>
      </c>
      <c r="E6725" s="22">
        <f>IF(D6725="?OLD","!!!","")</f>
        <v/>
      </c>
      <c r="F6725" s="23" t="str">
        <f>IF(OR(E6725="",E6725="!!!"),"",IF(NOT(ISNA(VLOOKUP(E6725,E$1:E6724,1,FALSE()))),"OLD",IF(AND(E6725&lt;&gt;"",E6725&lt;&gt;"!!!"),"NEW","")))</f>
        <v> </v>
      </c>
      <c r="G6725" s="24" t="str">
        <f>IF(OR(E6725="",E6725="!!!"),"",IF(OR(J6725=0,AND(J6725=1,K6725=1),AND(J6725=1,I6725="SBJ"),AND(J6725=1,I6725=0)),"?IN_FOCUS",IF(J6725&lt;=2,"?ACTIVATED",IF(J6725&lt;&gt;"","?FAMILIAR",IF(F6725="NEW",IF(ISNA(VLOOKUP(E6725,#REF!,1,FALSE())),"?TYPE_IDENTIFIABLE","?REFERENTIAL"),"_")))))</f>
        <v> </v>
      </c>
      <c r="H6725" s="25" t="str">
        <f>IF(J6725&lt;&gt;1,"",IF(I6725="SBJ","CB","?"))</f>
        <v> </v>
      </c>
      <c r="I6725" s="26" t="str">
        <f>IF(OR(E6725="",E6725="!!!",F6725="NEW"),"",INDEX(B6724:B$2,-1+SUMPRODUCT(MAX(ROW(E6724:E$2)*(E6725=E6724:E$2)))))</f>
        <v> </v>
      </c>
      <c r="J6725" s="26" t="str">
        <f>IF(OR(E6725="",E6725="!!!",F6725="NEW"),"",COUNTBLANK(OFFSET(A$1,,,SUMPRODUCT(MAX(ROW(E$2:E6725)*(E6725=E$2:E6725)))))-COUNTBLANK(OFFSET(A$1,,,SUMPRODUCT(MAX(ROW(E$1:E6724)*(E2=E$1:E6724))))))</f>
        <v> </v>
      </c>
      <c r="K6725" s="26" t="str">
        <f>IF(OR(E6725="",E6725="!!!",F6725="NEW"),"",INDEX(J$1:J6724,SUMPRODUCT(MAX(ROW(E$1:E6724)*(E6725=E$1:E6724)))))</f>
        <v> </v>
      </c>
      <c r="L6725" s="27"/>
    </row>
    <row r="6726" spans="1:12">
      <c r="A6726" s="20" t="s">
        <v>996</v>
      </c>
      <c r="E6726" s="22">
        <f>IF(D6726="?OLD","!!!","")</f>
        <v/>
      </c>
      <c r="F6726" s="23" t="str">
        <f>IF(OR(E6726="",E6726="!!!"),"",IF(NOT(ISNA(VLOOKUP(E6726,E$1:E6725,1,FALSE()))),"OLD",IF(AND(E6726&lt;&gt;"",E6726&lt;&gt;"!!!"),"NEW","")))</f>
        <v> </v>
      </c>
      <c r="G6726" s="24" t="str">
        <f>IF(OR(E6726="",E6726="!!!"),"",IF(OR(J6726=0,AND(J6726=1,K6726=1),AND(J6726=1,I6726="SBJ"),AND(J6726=1,I6726=0)),"?IN_FOCUS",IF(J6726&lt;=2,"?ACTIVATED",IF(J6726&lt;&gt;"","?FAMILIAR",IF(F6726="NEW",IF(ISNA(VLOOKUP(E6726,#REF!,1,FALSE())),"?TYPE_IDENTIFIABLE","?REFERENTIAL"),"_")))))</f>
        <v> </v>
      </c>
      <c r="H6726" s="25" t="str">
        <f>IF(J6726&lt;&gt;1,"",IF(I6726="SBJ","CB","?"))</f>
        <v> </v>
      </c>
      <c r="I6726" s="26" t="str">
        <f>IF(OR(E6726="",E6726="!!!",F6726="NEW"),"",INDEX(B6725:B$2,-1+SUMPRODUCT(MAX(ROW(E6725:E$2)*(E6726=E6725:E$2)))))</f>
        <v> </v>
      </c>
      <c r="J6726" s="26" t="str">
        <f>IF(OR(E6726="",E6726="!!!",F6726="NEW"),"",COUNTBLANK(OFFSET(A$1,,,SUMPRODUCT(MAX(ROW(E$2:E6726)*(E6726=E$2:E6726)))))-COUNTBLANK(OFFSET(A$1,,,SUMPRODUCT(MAX(ROW(E$1:E6725)*(E2=E$1:E6725))))))</f>
        <v> </v>
      </c>
      <c r="K6726" s="26" t="str">
        <f>IF(OR(E6726="",E6726="!!!",F6726="NEW"),"",INDEX(J$1:J6725,SUMPRODUCT(MAX(ROW(E$1:E6725)*(E6726=E$1:E6725)))))</f>
        <v> </v>
      </c>
      <c r="L6726" s="27"/>
    </row>
    <row r="6727" spans="1:12">
      <c r="A6727" s="20" t="s">
        <v>54</v>
      </c>
      <c r="E6727" s="22">
        <f>IF(D6727="?OLD","!!!","")</f>
        <v/>
      </c>
      <c r="F6727" s="23" t="str">
        <f>IF(OR(E6727="",E6727="!!!"),"",IF(NOT(ISNA(VLOOKUP(E6727,E$1:E6726,1,FALSE()))),"OLD",IF(AND(E6727&lt;&gt;"",E6727&lt;&gt;"!!!"),"NEW","")))</f>
        <v> </v>
      </c>
      <c r="G6727" s="24" t="str">
        <f>IF(OR(E6727="",E6727="!!!"),"",IF(OR(J6727=0,AND(J6727=1,K6727=1),AND(J6727=1,I6727="SBJ"),AND(J6727=1,I6727=0)),"?IN_FOCUS",IF(J6727&lt;=2,"?ACTIVATED",IF(J6727&lt;&gt;"","?FAMILIAR",IF(F6727="NEW",IF(ISNA(VLOOKUP(E6727,#REF!,1,FALSE())),"?TYPE_IDENTIFIABLE","?REFERENTIAL"),"_")))))</f>
        <v> </v>
      </c>
      <c r="H6727" s="25" t="str">
        <f>IF(J6727&lt;&gt;1,"",IF(I6727="SBJ","CB","?"))</f>
        <v> </v>
      </c>
      <c r="I6727" s="26" t="str">
        <f>IF(OR(E6727="",E6727="!!!",F6727="NEW"),"",INDEX(B6726:B$2,-1+SUMPRODUCT(MAX(ROW(E6726:E$2)*(E6727=E6726:E$2)))))</f>
        <v> </v>
      </c>
      <c r="J6727" s="26" t="str">
        <f>IF(OR(E6727="",E6727="!!!",F6727="NEW"),"",COUNTBLANK(OFFSET(A$1,,,SUMPRODUCT(MAX(ROW(E$2:E6727)*(E6727=E$2:E6727)))))-COUNTBLANK(OFFSET(A$1,,,SUMPRODUCT(MAX(ROW(E$1:E6726)*(E2=E$1:E6726))))))</f>
        <v> </v>
      </c>
      <c r="K6727" s="26" t="str">
        <f>IF(OR(E6727="",E6727="!!!",F6727="NEW"),"",INDEX(J$1:J6726,SUMPRODUCT(MAX(ROW(E$1:E6726)*(E6727=E$1:E6726)))))</f>
        <v> </v>
      </c>
      <c r="L6727" s="27"/>
    </row>
    <row r="6728" spans="1:12">
      <c r="A6728" s="20" t="s">
        <v>996</v>
      </c>
      <c r="E6728" s="22">
        <f>IF(D6728="?OLD","!!!","")</f>
        <v/>
      </c>
      <c r="F6728" s="23" t="str">
        <f>IF(OR(E6728="",E6728="!!!"),"",IF(NOT(ISNA(VLOOKUP(E6728,E$1:E6727,1,FALSE()))),"OLD",IF(AND(E6728&lt;&gt;"",E6728&lt;&gt;"!!!"),"NEW","")))</f>
        <v> </v>
      </c>
      <c r="G6728" s="24" t="str">
        <f>IF(OR(E6728="",E6728="!!!"),"",IF(OR(J6728=0,AND(J6728=1,K6728=1),AND(J6728=1,I6728="SBJ"),AND(J6728=1,I6728=0)),"?IN_FOCUS",IF(J6728&lt;=2,"?ACTIVATED",IF(J6728&lt;&gt;"","?FAMILIAR",IF(F6728="NEW",IF(ISNA(VLOOKUP(E6728,#REF!,1,FALSE())),"?TYPE_IDENTIFIABLE","?REFERENTIAL"),"_")))))</f>
        <v> </v>
      </c>
      <c r="H6728" s="25" t="str">
        <f>IF(J6728&lt;&gt;1,"",IF(I6728="SBJ","CB","?"))</f>
        <v> </v>
      </c>
      <c r="I6728" s="26" t="str">
        <f>IF(OR(E6728="",E6728="!!!",F6728="NEW"),"",INDEX(B6727:B$2,-1+SUMPRODUCT(MAX(ROW(E6727:E$2)*(E6728=E6727:E$2)))))</f>
        <v> </v>
      </c>
      <c r="J6728" s="26" t="str">
        <f>IF(OR(E6728="",E6728="!!!",F6728="NEW"),"",COUNTBLANK(OFFSET(A$1,,,SUMPRODUCT(MAX(ROW(E$2:E6728)*(E6728=E$2:E6728)))))-COUNTBLANK(OFFSET(A$1,,,SUMPRODUCT(MAX(ROW(E$1:E6727)*(E2=E$1:E6727))))))</f>
        <v> </v>
      </c>
      <c r="K6728" s="26" t="str">
        <f>IF(OR(E6728="",E6728="!!!",F6728="NEW"),"",INDEX(J$1:J6727,SUMPRODUCT(MAX(ROW(E$1:E6727)*(E6728=E$1:E6727)))))</f>
        <v> </v>
      </c>
      <c r="L6728" s="27"/>
    </row>
    <row r="6729" spans="1:12">
      <c r="A6729" s="20" t="s">
        <v>1092</v>
      </c>
      <c r="E6729" s="22">
        <f>IF(D6729="?OLD","!!!","")</f>
        <v/>
      </c>
      <c r="F6729" s="23" t="str">
        <f>IF(OR(E6729="",E6729="!!!"),"",IF(NOT(ISNA(VLOOKUP(E6729,E$1:E6728,1,FALSE()))),"OLD",IF(AND(E6729&lt;&gt;"",E6729&lt;&gt;"!!!"),"NEW","")))</f>
        <v> </v>
      </c>
      <c r="G6729" s="24" t="str">
        <f>IF(OR(E6729="",E6729="!!!"),"",IF(OR(J6729=0,AND(J6729=1,K6729=1),AND(J6729=1,I6729="SBJ"),AND(J6729=1,I6729=0)),"?IN_FOCUS",IF(J6729&lt;=2,"?ACTIVATED",IF(J6729&lt;&gt;"","?FAMILIAR",IF(F6729="NEW",IF(ISNA(VLOOKUP(E6729,#REF!,1,FALSE())),"?TYPE_IDENTIFIABLE","?REFERENTIAL"),"_")))))</f>
        <v> </v>
      </c>
      <c r="H6729" s="25" t="str">
        <f>IF(J6729&lt;&gt;1,"",IF(I6729="SBJ","CB","?"))</f>
        <v> </v>
      </c>
      <c r="I6729" s="26" t="str">
        <f>IF(OR(E6729="",E6729="!!!",F6729="NEW"),"",INDEX(B6728:B$2,-1+SUMPRODUCT(MAX(ROW(E6728:E$2)*(E6729=E6728:E$2)))))</f>
        <v> </v>
      </c>
      <c r="J6729" s="26" t="str">
        <f>IF(OR(E6729="",E6729="!!!",F6729="NEW"),"",COUNTBLANK(OFFSET(A$1,,,SUMPRODUCT(MAX(ROW(E$2:E6729)*(E6729=E$2:E6729)))))-COUNTBLANK(OFFSET(A$1,,,SUMPRODUCT(MAX(ROW(E$1:E6728)*(E2=E$1:E6728))))))</f>
        <v> </v>
      </c>
      <c r="K6729" s="26" t="str">
        <f>IF(OR(E6729="",E6729="!!!",F6729="NEW"),"",INDEX(J$1:J6728,SUMPRODUCT(MAX(ROW(E$1:E6728)*(E6729=E$1:E6728)))))</f>
        <v> </v>
      </c>
      <c r="L6729" s="27"/>
    </row>
    <row r="6730" spans="1:12">
      <c r="A6730" s="20" t="s">
        <v>2415</v>
      </c>
      <c r="B6730" s="21" t="s">
        <v>1101</v>
      </c>
      <c r="C6730" s="21" t="s">
        <v>1057</v>
      </c>
      <c r="E6730" s="22">
        <f>IF(D6730="?OLD","!!!","")</f>
        <v/>
      </c>
      <c r="F6730" s="23" t="str">
        <f>IF(OR(E6730="",E6730="!!!"),"",IF(NOT(ISNA(VLOOKUP(E6730,E$1:E6729,1,FALSE()))),"OLD",IF(AND(E6730&lt;&gt;"",E6730&lt;&gt;"!!!"),"NEW","")))</f>
        <v> </v>
      </c>
      <c r="G6730" s="24" t="str">
        <f>IF(OR(E6730="",E6730="!!!"),"",IF(OR(J6730=0,AND(J6730=1,K6730=1),AND(J6730=1,I6730="SBJ"),AND(J6730=1,I6730=0)),"?IN_FOCUS",IF(J6730&lt;=2,"?ACTIVATED",IF(J6730&lt;&gt;"","?FAMILIAR",IF(F6730="NEW",IF(ISNA(VLOOKUP(E6730,#REF!,1,FALSE())),"?TYPE_IDENTIFIABLE","?REFERENTIAL"),"_")))))</f>
        <v> </v>
      </c>
      <c r="H6730" s="25" t="str">
        <f>IF(J6730&lt;&gt;1,"",IF(I6730="SBJ","CB","?"))</f>
        <v> </v>
      </c>
      <c r="I6730" s="26" t="str">
        <f>IF(OR(E6730="",E6730="!!!",F6730="NEW"),"",INDEX(B6729:B$2,-1+SUMPRODUCT(MAX(ROW(E6729:E$2)*(E6730=E6729:E$2)))))</f>
        <v> </v>
      </c>
      <c r="J6730" s="26" t="str">
        <f>IF(OR(E6730="",E6730="!!!",F6730="NEW"),"",COUNTBLANK(OFFSET(A$1,,,SUMPRODUCT(MAX(ROW(E$2:E6730)*(E6730=E$2:E6730)))))-COUNTBLANK(OFFSET(A$1,,,SUMPRODUCT(MAX(ROW(E$1:E6729)*(E2=E$1:E6729))))))</f>
        <v> </v>
      </c>
      <c r="K6730" s="26" t="str">
        <f>IF(OR(E6730="",E6730="!!!",F6730="NEW"),"",INDEX(J$1:J6729,SUMPRODUCT(MAX(ROW(E$1:E6729)*(E6730=E$1:E6729)))))</f>
        <v> </v>
      </c>
      <c r="L6730" s="27"/>
    </row>
    <row r="6731" spans="1:12">
      <c r="A6731" s="20" t="s">
        <v>1000</v>
      </c>
      <c r="E6731" s="22">
        <f>IF(D6731="?OLD","!!!","")</f>
        <v/>
      </c>
      <c r="F6731" s="23" t="str">
        <f>IF(OR(E6731="",E6731="!!!"),"",IF(NOT(ISNA(VLOOKUP(E6731,E$1:E6730,1,FALSE()))),"OLD",IF(AND(E6731&lt;&gt;"",E6731&lt;&gt;"!!!"),"NEW","")))</f>
        <v> </v>
      </c>
      <c r="G6731" s="24" t="str">
        <f>IF(OR(E6731="",E6731="!!!"),"",IF(OR(J6731=0,AND(J6731=1,K6731=1),AND(J6731=1,I6731="SBJ"),AND(J6731=1,I6731=0)),"?IN_FOCUS",IF(J6731&lt;=2,"?ACTIVATED",IF(J6731&lt;&gt;"","?FAMILIAR",IF(F6731="NEW",IF(ISNA(VLOOKUP(E6731,#REF!,1,FALSE())),"?TYPE_IDENTIFIABLE","?REFERENTIAL"),"_")))))</f>
        <v> </v>
      </c>
      <c r="H6731" s="25" t="str">
        <f>IF(J6731&lt;&gt;1,"",IF(I6731="SBJ","CB","?"))</f>
        <v> </v>
      </c>
      <c r="I6731" s="26" t="str">
        <f>IF(OR(E6731="",E6731="!!!",F6731="NEW"),"",INDEX(B6730:B$2,-1+SUMPRODUCT(MAX(ROW(E6730:E$2)*(E6731=E6730:E$2)))))</f>
        <v> </v>
      </c>
      <c r="J6731" s="26" t="str">
        <f>IF(OR(E6731="",E6731="!!!",F6731="NEW"),"",COUNTBLANK(OFFSET(A$1,,,SUMPRODUCT(MAX(ROW(E$2:E6731)*(E6731=E$2:E6731)))))-COUNTBLANK(OFFSET(A$1,,,SUMPRODUCT(MAX(ROW(E$1:E6730)*(E2=E$1:E6730))))))</f>
        <v> </v>
      </c>
      <c r="K6731" s="26" t="str">
        <f>IF(OR(E6731="",E6731="!!!",F6731="NEW"),"",INDEX(J$1:J6730,SUMPRODUCT(MAX(ROW(E$1:E6730)*(E6731=E$1:E6730)))))</f>
        <v> </v>
      </c>
      <c r="L6731" s="27"/>
    </row>
    <row r="6732" spans="1:12">
      <c r="A6732" s="20" t="s">
        <v>996</v>
      </c>
      <c r="E6732" s="22">
        <f>IF(D6732="?OLD","!!!","")</f>
        <v/>
      </c>
      <c r="F6732" s="23" t="str">
        <f>IF(OR(E6732="",E6732="!!!"),"",IF(NOT(ISNA(VLOOKUP(E6732,E$1:E6731,1,FALSE()))),"OLD",IF(AND(E6732&lt;&gt;"",E6732&lt;&gt;"!!!"),"NEW","")))</f>
        <v> </v>
      </c>
      <c r="G6732" s="24" t="str">
        <f>IF(OR(E6732="",E6732="!!!"),"",IF(OR(J6732=0,AND(J6732=1,K6732=1),AND(J6732=1,I6732="SBJ"),AND(J6732=1,I6732=0)),"?IN_FOCUS",IF(J6732&lt;=2,"?ACTIVATED",IF(J6732&lt;&gt;"","?FAMILIAR",IF(F6732="NEW",IF(ISNA(VLOOKUP(E6732,#REF!,1,FALSE())),"?TYPE_IDENTIFIABLE","?REFERENTIAL"),"_")))))</f>
        <v> </v>
      </c>
      <c r="H6732" s="25" t="str">
        <f>IF(J6732&lt;&gt;1,"",IF(I6732="SBJ","CB","?"))</f>
        <v> </v>
      </c>
      <c r="I6732" s="26" t="str">
        <f>IF(OR(E6732="",E6732="!!!",F6732="NEW"),"",INDEX(B6731:B$2,-1+SUMPRODUCT(MAX(ROW(E6731:E$2)*(E6732=E6731:E$2)))))</f>
        <v> </v>
      </c>
      <c r="J6732" s="26" t="str">
        <f>IF(OR(E6732="",E6732="!!!",F6732="NEW"),"",COUNTBLANK(OFFSET(A$1,,,SUMPRODUCT(MAX(ROW(E$2:E6732)*(E6732=E$2:E6732)))))-COUNTBLANK(OFFSET(A$1,,,SUMPRODUCT(MAX(ROW(E$1:E6731)*(E2=E$1:E6731))))))</f>
        <v> </v>
      </c>
      <c r="K6732" s="26" t="str">
        <f>IF(OR(E6732="",E6732="!!!",F6732="NEW"),"",INDEX(J$1:J6731,SUMPRODUCT(MAX(ROW(E$1:E6731)*(E6732=E$1:E6731)))))</f>
        <v> </v>
      </c>
      <c r="L6732" s="27"/>
    </row>
    <row r="6733" spans="1:12">
      <c r="A6733" s="20" t="s">
        <v>1135</v>
      </c>
      <c r="B6733" s="21" t="s">
        <v>1146</v>
      </c>
      <c r="C6733" s="21" t="s">
        <v>977</v>
      </c>
      <c r="D6733" s="21" t="s">
        <v>978</v>
      </c>
      <c r="E6733" s="22">
        <f>IF(D6733="?OLD","!!!","")</f>
        <v/>
      </c>
      <c r="F6733" s="23" t="str">
        <f>IF(OR(E6733="",E6733="!!!"),"",IF(NOT(ISNA(VLOOKUP(E6733,E$1:E6732,1,FALSE()))),"OLD",IF(AND(E6733&lt;&gt;"",E6733&lt;&gt;"!!!"),"NEW","")))</f>
        <v> </v>
      </c>
      <c r="G6733" s="24" t="str">
        <f>IF(OR(E6733="",E6733="!!!"),"",IF(OR(J6733=0,AND(J6733=1,K6733=1),AND(J6733=1,I6733="SBJ"),AND(J6733=1,I6733=0)),"?IN_FOCUS",IF(J6733&lt;=2,"?ACTIVATED",IF(J6733&lt;&gt;"","?FAMILIAR",IF(F6733="NEW",IF(ISNA(VLOOKUP(E6733,#REF!,1,FALSE())),"?TYPE_IDENTIFIABLE","?REFERENTIAL"),"_")))))</f>
        <v> </v>
      </c>
      <c r="H6733" s="25" t="str">
        <f>IF(J6733&lt;&gt;1,"",IF(I6733="SBJ","CB","?"))</f>
        <v> </v>
      </c>
      <c r="I6733" s="26" t="str">
        <f>IF(OR(E6733="",E6733="!!!",F6733="NEW"),"",INDEX(B6732:B$2,-1+SUMPRODUCT(MAX(ROW(E6732:E$2)*(E6733=E6732:E$2)))))</f>
        <v> </v>
      </c>
      <c r="J6733" s="26" t="str">
        <f>IF(OR(E6733="",E6733="!!!",F6733="NEW"),"",COUNTBLANK(OFFSET(A$1,,,SUMPRODUCT(MAX(ROW(E$2:E6733)*(E6733=E$2:E6733)))))-COUNTBLANK(OFFSET(A$1,,,SUMPRODUCT(MAX(ROW(E$1:E6732)*(E2=E$1:E6732))))))</f>
        <v> </v>
      </c>
      <c r="K6733" s="26" t="str">
        <f>IF(OR(E6733="",E6733="!!!",F6733="NEW"),"",INDEX(J$1:J6732,SUMPRODUCT(MAX(ROW(E$1:E6732)*(E6733=E$1:E6732)))))</f>
        <v> </v>
      </c>
      <c r="L6733" s="27"/>
    </row>
    <row r="6734" spans="1:12">
      <c r="A6734" s="20" t="s">
        <v>1294</v>
      </c>
      <c r="B6734" s="21" t="s">
        <v>1146</v>
      </c>
      <c r="C6734" s="21" t="s">
        <v>1020</v>
      </c>
      <c r="D6734" s="21" t="s">
        <v>978</v>
      </c>
      <c r="E6734" s="22">
        <f>IF(D6734="?OLD","!!!","")</f>
        <v/>
      </c>
      <c r="F6734" s="23" t="str">
        <f>IF(OR(E6734="",E6734="!!!"),"",IF(NOT(ISNA(VLOOKUP(E6734,E$1:E6733,1,FALSE()))),"OLD",IF(AND(E6734&lt;&gt;"",E6734&lt;&gt;"!!!"),"NEW","")))</f>
        <v> </v>
      </c>
      <c r="G6734" s="24" t="str">
        <f>IF(OR(E6734="",E6734="!!!"),"",IF(OR(J6734=0,AND(J6734=1,K6734=1),AND(J6734=1,I6734="SBJ"),AND(J6734=1,I6734=0)),"?IN_FOCUS",IF(J6734&lt;=2,"?ACTIVATED",IF(J6734&lt;&gt;"","?FAMILIAR",IF(F6734="NEW",IF(ISNA(VLOOKUP(E6734,#REF!,1,FALSE())),"?TYPE_IDENTIFIABLE","?REFERENTIAL"),"_")))))</f>
        <v> </v>
      </c>
      <c r="H6734" s="25" t="str">
        <f>IF(J6734&lt;&gt;1,"",IF(I6734="SBJ","CB","?"))</f>
        <v> </v>
      </c>
      <c r="I6734" s="26" t="str">
        <f>IF(OR(E6734="",E6734="!!!",F6734="NEW"),"",INDEX(B6733:B$2,-1+SUMPRODUCT(MAX(ROW(E6733:E$2)*(E6734=E6733:E$2)))))</f>
        <v> </v>
      </c>
      <c r="J6734" s="26" t="str">
        <f>IF(OR(E6734="",E6734="!!!",F6734="NEW"),"",COUNTBLANK(OFFSET(A$1,,,SUMPRODUCT(MAX(ROW(E$2:E6734)*(E6734=E$2:E6734)))))-COUNTBLANK(OFFSET(A$1,,,SUMPRODUCT(MAX(ROW(E$1:E6733)*(E2=E$1:E6733))))))</f>
        <v> </v>
      </c>
      <c r="K6734" s="26" t="str">
        <f>IF(OR(E6734="",E6734="!!!",F6734="NEW"),"",INDEX(J$1:J6733,SUMPRODUCT(MAX(ROW(E$1:E6733)*(E6734=E$1:E6733)))))</f>
        <v> </v>
      </c>
      <c r="L6734" s="27"/>
    </row>
    <row r="6735" spans="1:12">
      <c r="A6735" s="20" t="s">
        <v>2604</v>
      </c>
      <c r="E6735" s="22">
        <f>IF(D6735="?OLD","!!!","")</f>
        <v/>
      </c>
      <c r="F6735" s="23" t="str">
        <f>IF(OR(E6735="",E6735="!!!"),"",IF(NOT(ISNA(VLOOKUP(E6735,E$1:E6734,1,FALSE()))),"OLD",IF(AND(E6735&lt;&gt;"",E6735&lt;&gt;"!!!"),"NEW","")))</f>
        <v> </v>
      </c>
      <c r="G6735" s="24" t="str">
        <f>IF(OR(E6735="",E6735="!!!"),"",IF(OR(J6735=0,AND(J6735=1,K6735=1),AND(J6735=1,I6735="SBJ"),AND(J6735=1,I6735=0)),"?IN_FOCUS",IF(J6735&lt;=2,"?ACTIVATED",IF(J6735&lt;&gt;"","?FAMILIAR",IF(F6735="NEW",IF(ISNA(VLOOKUP(E6735,#REF!,1,FALSE())),"?TYPE_IDENTIFIABLE","?REFERENTIAL"),"_")))))</f>
        <v> </v>
      </c>
      <c r="H6735" s="25" t="str">
        <f>IF(J6735&lt;&gt;1,"",IF(I6735="SBJ","CB","?"))</f>
        <v> </v>
      </c>
      <c r="I6735" s="26" t="str">
        <f>IF(OR(E6735="",E6735="!!!",F6735="NEW"),"",INDEX(B6734:B$2,-1+SUMPRODUCT(MAX(ROW(E6734:E$2)*(E6735=E6734:E$2)))))</f>
        <v> </v>
      </c>
      <c r="J6735" s="26" t="str">
        <f>IF(OR(E6735="",E6735="!!!",F6735="NEW"),"",COUNTBLANK(OFFSET(A$1,,,SUMPRODUCT(MAX(ROW(E$2:E6735)*(E6735=E$2:E6735)))))-COUNTBLANK(OFFSET(A$1,,,SUMPRODUCT(MAX(ROW(E$1:E6734)*(E2=E$1:E6734))))))</f>
        <v> </v>
      </c>
      <c r="K6735" s="26" t="str">
        <f>IF(OR(E6735="",E6735="!!!",F6735="NEW"),"",INDEX(J$1:J6734,SUMPRODUCT(MAX(ROW(E$1:E6734)*(E6735=E$1:E6734)))))</f>
        <v> </v>
      </c>
      <c r="L6735" s="27"/>
    </row>
    <row r="6736" spans="1:12">
      <c r="A6736" s="20" t="s">
        <v>1022</v>
      </c>
      <c r="E6736" s="22">
        <f>IF(D6736="?OLD","!!!","")</f>
        <v/>
      </c>
      <c r="F6736" s="23" t="str">
        <f>IF(OR(E6736="",E6736="!!!"),"",IF(NOT(ISNA(VLOOKUP(E6736,E$1:E6735,1,FALSE()))),"OLD",IF(AND(E6736&lt;&gt;"",E6736&lt;&gt;"!!!"),"NEW","")))</f>
        <v> </v>
      </c>
      <c r="G6736" s="24" t="str">
        <f>IF(OR(E6736="",E6736="!!!"),"",IF(OR(J6736=0,AND(J6736=1,K6736=1),AND(J6736=1,I6736="SBJ"),AND(J6736=1,I6736=0)),"?IN_FOCUS",IF(J6736&lt;=2,"?ACTIVATED",IF(J6736&lt;&gt;"","?FAMILIAR",IF(F6736="NEW",IF(ISNA(VLOOKUP(E6736,#REF!,1,FALSE())),"?TYPE_IDENTIFIABLE","?REFERENTIAL"),"_")))))</f>
        <v> </v>
      </c>
      <c r="H6736" s="25" t="str">
        <f>IF(J6736&lt;&gt;1,"",IF(I6736="SBJ","CB","?"))</f>
        <v> </v>
      </c>
      <c r="I6736" s="26" t="str">
        <f>IF(OR(E6736="",E6736="!!!",F6736="NEW"),"",INDEX(B6735:B$2,-1+SUMPRODUCT(MAX(ROW(E6735:E$2)*(E6736=E6735:E$2)))))</f>
        <v> </v>
      </c>
      <c r="J6736" s="26" t="str">
        <f>IF(OR(E6736="",E6736="!!!",F6736="NEW"),"",COUNTBLANK(OFFSET(A$1,,,SUMPRODUCT(MAX(ROW(E$2:E6736)*(E6736=E$2:E6736)))))-COUNTBLANK(OFFSET(A$1,,,SUMPRODUCT(MAX(ROW(E$1:E6735)*(E2=E$1:E6735))))))</f>
        <v> </v>
      </c>
      <c r="K6736" s="26" t="str">
        <f>IF(OR(E6736="",E6736="!!!",F6736="NEW"),"",INDEX(J$1:J6735,SUMPRODUCT(MAX(ROW(E$1:E6735)*(E6736=E$1:E6735)))))</f>
        <v> </v>
      </c>
      <c r="L6736" s="27"/>
    </row>
    <row r="6737" spans="1:12">
      <c r="A6737" s="20"/>
    </row>
    <row r="6738" spans="1:12">
      <c r="A6738" s="20" t="s">
        <v>2605</v>
      </c>
    </row>
    <row r="6739" spans="1:12">
      <c r="A6739" s="20" t="s">
        <v>2160</v>
      </c>
      <c r="E6739" s="22">
        <f>IF(D6739="?OLD","!!!","")</f>
        <v/>
      </c>
      <c r="F6739" s="23" t="str">
        <f>IF(OR(E6739="",E6739="!!!"),"",IF(NOT(ISNA(VLOOKUP(E6739,E$1:E6738,1,FALSE()))),"OLD",IF(AND(E6739&lt;&gt;"",E6739&lt;&gt;"!!!"),"NEW","")))</f>
        <v> </v>
      </c>
      <c r="G6739" s="24" t="str">
        <f>IF(OR(E6739="",E6739="!!!"),"",IF(OR(J6739=0,AND(J6739=1,K6739=1),AND(J6739=1,I6739="SBJ"),AND(J6739=1,I6739=0)),"?IN_FOCUS",IF(J6739&lt;=2,"?ACTIVATED",IF(J6739&lt;&gt;"","?FAMILIAR",IF(F6739="NEW",IF(ISNA(VLOOKUP(E6739,#REF!,1,FALSE())),"?TYPE_IDENTIFIABLE","?REFERENTIAL"),"_")))))</f>
        <v> </v>
      </c>
      <c r="H6739" s="25" t="str">
        <f>IF(J6739&lt;&gt;1,"",IF(I6739="SBJ","CB","?"))</f>
        <v> </v>
      </c>
      <c r="I6739" s="26" t="str">
        <f>IF(OR(E6739="",E6739="!!!",F6739="NEW"),"",INDEX(B6738:B$2,-1+SUMPRODUCT(MAX(ROW(E6738:E$2)*(E6739=E6738:E$2)))))</f>
        <v> </v>
      </c>
      <c r="J6739" s="26" t="str">
        <f>IF(OR(E6739="",E6739="!!!",F6739="NEW"),"",COUNTBLANK(OFFSET(A$1,,,SUMPRODUCT(MAX(ROW(E$2:E6739)*(E6739=E$2:E6739)))))-COUNTBLANK(OFFSET(A$1,,,SUMPRODUCT(MAX(ROW(E$1:E6738)*(E2=E$1:E6738))))))</f>
        <v> </v>
      </c>
      <c r="K6739" s="26" t="str">
        <f>IF(OR(E6739="",E6739="!!!",F6739="NEW"),"",INDEX(J$1:J6738,SUMPRODUCT(MAX(ROW(E$1:E6738)*(E6739=E$1:E6738)))))</f>
        <v> </v>
      </c>
      <c r="L6739" s="27"/>
    </row>
    <row r="6740" spans="1:12">
      <c r="A6740" s="20" t="s">
        <v>1038</v>
      </c>
      <c r="E6740" s="22">
        <f>IF(D6740="?OLD","!!!","")</f>
        <v/>
      </c>
      <c r="F6740" s="23" t="str">
        <f>IF(OR(E6740="",E6740="!!!"),"",IF(NOT(ISNA(VLOOKUP(E6740,E$1:E6739,1,FALSE()))),"OLD",IF(AND(E6740&lt;&gt;"",E6740&lt;&gt;"!!!"),"NEW","")))</f>
        <v> </v>
      </c>
      <c r="G6740" s="24" t="str">
        <f>IF(OR(E6740="",E6740="!!!"),"",IF(OR(J6740=0,AND(J6740=1,K6740=1),AND(J6740=1,I6740="SBJ"),AND(J6740=1,I6740=0)),"?IN_FOCUS",IF(J6740&lt;=2,"?ACTIVATED",IF(J6740&lt;&gt;"","?FAMILIAR",IF(F6740="NEW",IF(ISNA(VLOOKUP(E6740,#REF!,1,FALSE())),"?TYPE_IDENTIFIABLE","?REFERENTIAL"),"_")))))</f>
        <v> </v>
      </c>
      <c r="H6740" s="25" t="str">
        <f>IF(J6740&lt;&gt;1,"",IF(I6740="SBJ","CB","?"))</f>
        <v> </v>
      </c>
      <c r="I6740" s="26" t="str">
        <f>IF(OR(E6740="",E6740="!!!",F6740="NEW"),"",INDEX(B6739:B$2,-1+SUMPRODUCT(MAX(ROW(E6739:E$2)*(E6740=E6739:E$2)))))</f>
        <v> </v>
      </c>
      <c r="J6740" s="26" t="str">
        <f>IF(OR(E6740="",E6740="!!!",F6740="NEW"),"",COUNTBLANK(OFFSET(A$1,,,SUMPRODUCT(MAX(ROW(E$2:E6740)*(E6740=E$2:E6740)))))-COUNTBLANK(OFFSET(A$1,,,SUMPRODUCT(MAX(ROW(E$1:E6739)*(E2=E$1:E6739))))))</f>
        <v> </v>
      </c>
      <c r="K6740" s="26" t="str">
        <f>IF(OR(E6740="",E6740="!!!",F6740="NEW"),"",INDEX(J$1:J6739,SUMPRODUCT(MAX(ROW(E$1:E6739)*(E6740=E$1:E6739)))))</f>
        <v> </v>
      </c>
      <c r="L6740" s="27"/>
    </row>
    <row r="6741" spans="1:12">
      <c r="A6741" s="20" t="s">
        <v>1102</v>
      </c>
      <c r="E6741" s="22">
        <f>IF(D6741="?OLD","!!!","")</f>
        <v/>
      </c>
      <c r="F6741" s="23" t="str">
        <f>IF(OR(E6741="",E6741="!!!"),"",IF(NOT(ISNA(VLOOKUP(E6741,E$1:E6740,1,FALSE()))),"OLD",IF(AND(E6741&lt;&gt;"",E6741&lt;&gt;"!!!"),"NEW","")))</f>
        <v> </v>
      </c>
      <c r="G6741" s="24" t="str">
        <f>IF(OR(E6741="",E6741="!!!"),"",IF(OR(J6741=0,AND(J6741=1,K6741=1),AND(J6741=1,I6741="SBJ"),AND(J6741=1,I6741=0)),"?IN_FOCUS",IF(J6741&lt;=2,"?ACTIVATED",IF(J6741&lt;&gt;"","?FAMILIAR",IF(F6741="NEW",IF(ISNA(VLOOKUP(E6741,#REF!,1,FALSE())),"?TYPE_IDENTIFIABLE","?REFERENTIAL"),"_")))))</f>
        <v> </v>
      </c>
      <c r="H6741" s="25" t="str">
        <f>IF(J6741&lt;&gt;1,"",IF(I6741="SBJ","CB","?"))</f>
        <v> </v>
      </c>
      <c r="I6741" s="26" t="str">
        <f>IF(OR(E6741="",E6741="!!!",F6741="NEW"),"",INDEX(B6740:B$2,-1+SUMPRODUCT(MAX(ROW(E6740:E$2)*(E6741=E6740:E$2)))))</f>
        <v> </v>
      </c>
      <c r="J6741" s="26" t="str">
        <f>IF(OR(E6741="",E6741="!!!",F6741="NEW"),"",COUNTBLANK(OFFSET(A$1,,,SUMPRODUCT(MAX(ROW(E$2:E6741)*(E6741=E$2:E6741)))))-COUNTBLANK(OFFSET(A$1,,,SUMPRODUCT(MAX(ROW(E$1:E6740)*(E2=E$1:E6740))))))</f>
        <v> </v>
      </c>
      <c r="K6741" s="26" t="str">
        <f>IF(OR(E6741="",E6741="!!!",F6741="NEW"),"",INDEX(J$1:J6740,SUMPRODUCT(MAX(ROW(E$1:E6740)*(E6741=E$1:E6740)))))</f>
        <v> </v>
      </c>
      <c r="L6741" s="27"/>
    </row>
    <row r="6742" spans="1:12">
      <c r="A6742" s="20" t="s">
        <v>1344</v>
      </c>
      <c r="B6742" s="21" t="s">
        <v>986</v>
      </c>
      <c r="C6742" s="21" t="s">
        <v>1104</v>
      </c>
      <c r="E6742" s="22">
        <f>IF(D6742="?OLD","!!!","")</f>
        <v/>
      </c>
      <c r="F6742" s="23" t="str">
        <f>IF(OR(E6742="",E6742="!!!"),"",IF(NOT(ISNA(VLOOKUP(E6742,E$1:E6741,1,FALSE()))),"OLD",IF(AND(E6742&lt;&gt;"",E6742&lt;&gt;"!!!"),"NEW","")))</f>
        <v> </v>
      </c>
      <c r="G6742" s="24" t="str">
        <f>IF(OR(E6742="",E6742="!!!"),"",IF(OR(J6742=0,AND(J6742=1,K6742=1),AND(J6742=1,I6742="SBJ"),AND(J6742=1,I6742=0)),"?IN_FOCUS",IF(J6742&lt;=2,"?ACTIVATED",IF(J6742&lt;&gt;"","?FAMILIAR",IF(F6742="NEW",IF(ISNA(VLOOKUP(E6742,#REF!,1,FALSE())),"?TYPE_IDENTIFIABLE","?REFERENTIAL"),"_")))))</f>
        <v> </v>
      </c>
      <c r="H6742" s="25" t="str">
        <f>IF(J6742&lt;&gt;1,"",IF(I6742="SBJ","CB","?"))</f>
        <v> </v>
      </c>
      <c r="I6742" s="26" t="str">
        <f>IF(OR(E6742="",E6742="!!!",F6742="NEW"),"",INDEX(B6741:B$2,-1+SUMPRODUCT(MAX(ROW(E6741:E$2)*(E6742=E6741:E$2)))))</f>
        <v> </v>
      </c>
      <c r="J6742" s="26" t="str">
        <f>IF(OR(E6742="",E6742="!!!",F6742="NEW"),"",COUNTBLANK(OFFSET(A$1,,,SUMPRODUCT(MAX(ROW(E$2:E6742)*(E6742=E$2:E6742)))))-COUNTBLANK(OFFSET(A$1,,,SUMPRODUCT(MAX(ROW(E$1:E6741)*(E2=E$1:E6741))))))</f>
        <v> </v>
      </c>
      <c r="K6742" s="26" t="str">
        <f>IF(OR(E6742="",E6742="!!!",F6742="NEW"),"",INDEX(J$1:J6741,SUMPRODUCT(MAX(ROW(E$1:E6741)*(E6742=E$1:E6741)))))</f>
        <v> </v>
      </c>
      <c r="L6742" s="27"/>
    </row>
    <row r="6743" spans="1:12">
      <c r="A6743" s="20" t="s">
        <v>1047</v>
      </c>
      <c r="B6743" s="21" t="s">
        <v>1095</v>
      </c>
      <c r="C6743" s="21" t="s">
        <v>977</v>
      </c>
      <c r="D6743" s="21" t="s">
        <v>978</v>
      </c>
      <c r="E6743" s="22">
        <f>IF(D6743="?OLD","!!!","")</f>
        <v/>
      </c>
      <c r="F6743" s="23" t="str">
        <f>IF(OR(E6743="",E6743="!!!"),"",IF(NOT(ISNA(VLOOKUP(E6743,E$1:E6742,1,FALSE()))),"OLD",IF(AND(E6743&lt;&gt;"",E6743&lt;&gt;"!!!"),"NEW","")))</f>
        <v> </v>
      </c>
      <c r="G6743" s="24" t="str">
        <f>IF(OR(E6743="",E6743="!!!"),"",IF(OR(J6743=0,AND(J6743=1,K6743=1),AND(J6743=1,I6743="SBJ"),AND(J6743=1,I6743=0)),"?IN_FOCUS",IF(J6743&lt;=2,"?ACTIVATED",IF(J6743&lt;&gt;"","?FAMILIAR",IF(F6743="NEW",IF(ISNA(VLOOKUP(E6743,#REF!,1,FALSE())),"?TYPE_IDENTIFIABLE","?REFERENTIAL"),"_")))))</f>
        <v> </v>
      </c>
      <c r="H6743" s="25" t="str">
        <f>IF(J6743&lt;&gt;1,"",IF(I6743="SBJ","CB","?"))</f>
        <v> </v>
      </c>
      <c r="I6743" s="26" t="str">
        <f>IF(OR(E6743="",E6743="!!!",F6743="NEW"),"",INDEX(B6742:B$2,-1+SUMPRODUCT(MAX(ROW(E6742:E$2)*(E6743=E6742:E$2)))))</f>
        <v> </v>
      </c>
      <c r="J6743" s="26" t="str">
        <f>IF(OR(E6743="",E6743="!!!",F6743="NEW"),"",COUNTBLANK(OFFSET(A$1,,,SUMPRODUCT(MAX(ROW(E$2:E6743)*(E6743=E$2:E6743)))))-COUNTBLANK(OFFSET(A$1,,,SUMPRODUCT(MAX(ROW(E$1:E6742)*(E2=E$1:E6742))))))</f>
        <v> </v>
      </c>
      <c r="K6743" s="26" t="str">
        <f>IF(OR(E6743="",E6743="!!!",F6743="NEW"),"",INDEX(J$1:J6742,SUMPRODUCT(MAX(ROW(E$1:E6742)*(E6743=E$1:E6742)))))</f>
        <v> </v>
      </c>
      <c r="L6743" s="27"/>
    </row>
    <row r="6744" spans="1:12">
      <c r="A6744" s="20" t="s">
        <v>2606</v>
      </c>
      <c r="E6744" s="22">
        <f>IF(D6744="?OLD","!!!","")</f>
        <v/>
      </c>
      <c r="F6744" s="23" t="str">
        <f>IF(OR(E6744="",E6744="!!!"),"",IF(NOT(ISNA(VLOOKUP(E6744,E$1:E6743,1,FALSE()))),"OLD",IF(AND(E6744&lt;&gt;"",E6744&lt;&gt;"!!!"),"NEW","")))</f>
        <v> </v>
      </c>
      <c r="G6744" s="24" t="str">
        <f>IF(OR(E6744="",E6744="!!!"),"",IF(OR(J6744=0,AND(J6744=1,K6744=1),AND(J6744=1,I6744="SBJ"),AND(J6744=1,I6744=0)),"?IN_FOCUS",IF(J6744&lt;=2,"?ACTIVATED",IF(J6744&lt;&gt;"","?FAMILIAR",IF(F6744="NEW",IF(ISNA(VLOOKUP(E6744,#REF!,1,FALSE())),"?TYPE_IDENTIFIABLE","?REFERENTIAL"),"_")))))</f>
        <v> </v>
      </c>
      <c r="H6744" s="25" t="str">
        <f>IF(J6744&lt;&gt;1,"",IF(I6744="SBJ","CB","?"))</f>
        <v> </v>
      </c>
      <c r="I6744" s="26" t="str">
        <f>IF(OR(E6744="",E6744="!!!",F6744="NEW"),"",INDEX(B6743:B$2,-1+SUMPRODUCT(MAX(ROW(E6743:E$2)*(E6744=E6743:E$2)))))</f>
        <v> </v>
      </c>
      <c r="J6744" s="26" t="str">
        <f>IF(OR(E6744="",E6744="!!!",F6744="NEW"),"",COUNTBLANK(OFFSET(A$1,,,SUMPRODUCT(MAX(ROW(E$2:E6744)*(E6744=E$2:E6744)))))-COUNTBLANK(OFFSET(A$1,,,SUMPRODUCT(MAX(ROW(E$1:E6743)*(E2=E$1:E6743))))))</f>
        <v> </v>
      </c>
      <c r="K6744" s="26" t="str">
        <f>IF(OR(E6744="",E6744="!!!",F6744="NEW"),"",INDEX(J$1:J6743,SUMPRODUCT(MAX(ROW(E$1:E6743)*(E6744=E$1:E6743)))))</f>
        <v> </v>
      </c>
      <c r="L6744" s="27"/>
    </row>
    <row r="6745" spans="1:12">
      <c r="A6745" s="20" t="s">
        <v>2607</v>
      </c>
      <c r="E6745" s="22">
        <f>IF(D6745="?OLD","!!!","")</f>
        <v/>
      </c>
      <c r="F6745" s="23" t="str">
        <f>IF(OR(E6745="",E6745="!!!"),"",IF(NOT(ISNA(VLOOKUP(E6745,E$1:E6744,1,FALSE()))),"OLD",IF(AND(E6745&lt;&gt;"",E6745&lt;&gt;"!!!"),"NEW","")))</f>
        <v> </v>
      </c>
      <c r="G6745" s="24" t="str">
        <f>IF(OR(E6745="",E6745="!!!"),"",IF(OR(J6745=0,AND(J6745=1,K6745=1),AND(J6745=1,I6745="SBJ"),AND(J6745=1,I6745=0)),"?IN_FOCUS",IF(J6745&lt;=2,"?ACTIVATED",IF(J6745&lt;&gt;"","?FAMILIAR",IF(F6745="NEW",IF(ISNA(VLOOKUP(E6745,#REF!,1,FALSE())),"?TYPE_IDENTIFIABLE","?REFERENTIAL"),"_")))))</f>
        <v> </v>
      </c>
      <c r="H6745" s="25" t="str">
        <f>IF(J6745&lt;&gt;1,"",IF(I6745="SBJ","CB","?"))</f>
        <v> </v>
      </c>
      <c r="I6745" s="26" t="str">
        <f>IF(OR(E6745="",E6745="!!!",F6745="NEW"),"",INDEX(B6744:B$2,-1+SUMPRODUCT(MAX(ROW(E6744:E$2)*(E6745=E6744:E$2)))))</f>
        <v> </v>
      </c>
      <c r="J6745" s="26" t="str">
        <f>IF(OR(E6745="",E6745="!!!",F6745="NEW"),"",COUNTBLANK(OFFSET(A$1,,,SUMPRODUCT(MAX(ROW(E$2:E6745)*(E6745=E$2:E6745)))))-COUNTBLANK(OFFSET(A$1,,,SUMPRODUCT(MAX(ROW(E$1:E6744)*(E2=E$1:E6744))))))</f>
        <v> </v>
      </c>
      <c r="K6745" s="26" t="str">
        <f>IF(OR(E6745="",E6745="!!!",F6745="NEW"),"",INDEX(J$1:J6744,SUMPRODUCT(MAX(ROW(E$1:E6744)*(E6745=E$1:E6744)))))</f>
        <v> </v>
      </c>
      <c r="L6745" s="27"/>
    </row>
    <row r="6746" spans="1:12">
      <c r="A6746" s="20" t="s">
        <v>2608</v>
      </c>
      <c r="E6746" s="22">
        <f>IF(D6746="?OLD","!!!","")</f>
        <v/>
      </c>
      <c r="F6746" s="23" t="str">
        <f>IF(OR(E6746="",E6746="!!!"),"",IF(NOT(ISNA(VLOOKUP(E6746,E$1:E6745,1,FALSE()))),"OLD",IF(AND(E6746&lt;&gt;"",E6746&lt;&gt;"!!!"),"NEW","")))</f>
        <v> </v>
      </c>
      <c r="G6746" s="24" t="str">
        <f>IF(OR(E6746="",E6746="!!!"),"",IF(OR(J6746=0,AND(J6746=1,K6746=1),AND(J6746=1,I6746="SBJ"),AND(J6746=1,I6746=0)),"?IN_FOCUS",IF(J6746&lt;=2,"?ACTIVATED",IF(J6746&lt;&gt;"","?FAMILIAR",IF(F6746="NEW",IF(ISNA(VLOOKUP(E6746,#REF!,1,FALSE())),"?TYPE_IDENTIFIABLE","?REFERENTIAL"),"_")))))</f>
        <v> </v>
      </c>
      <c r="H6746" s="25" t="str">
        <f>IF(J6746&lt;&gt;1,"",IF(I6746="SBJ","CB","?"))</f>
        <v> </v>
      </c>
      <c r="I6746" s="26" t="str">
        <f>IF(OR(E6746="",E6746="!!!",F6746="NEW"),"",INDEX(B6745:B$2,-1+SUMPRODUCT(MAX(ROW(E6745:E$2)*(E6746=E6745:E$2)))))</f>
        <v> </v>
      </c>
      <c r="J6746" s="26" t="str">
        <f>IF(OR(E6746="",E6746="!!!",F6746="NEW"),"",COUNTBLANK(OFFSET(A$1,,,SUMPRODUCT(MAX(ROW(E$2:E6746)*(E6746=E$2:E6746)))))-COUNTBLANK(OFFSET(A$1,,,SUMPRODUCT(MAX(ROW(E$1:E6745)*(E2=E$1:E6745))))))</f>
        <v> </v>
      </c>
      <c r="K6746" s="26" t="str">
        <f>IF(OR(E6746="",E6746="!!!",F6746="NEW"),"",INDEX(J$1:J6745,SUMPRODUCT(MAX(ROW(E$1:E6745)*(E6746=E$1:E6745)))))</f>
        <v> </v>
      </c>
      <c r="L6746" s="27"/>
    </row>
    <row r="6747" spans="1:12">
      <c r="A6747" s="20" t="s">
        <v>1002</v>
      </c>
      <c r="E6747" s="22">
        <f>IF(D6747="?OLD","!!!","")</f>
        <v/>
      </c>
      <c r="F6747" s="23" t="str">
        <f>IF(OR(E6747="",E6747="!!!"),"",IF(NOT(ISNA(VLOOKUP(E6747,E$1:E6746,1,FALSE()))),"OLD",IF(AND(E6747&lt;&gt;"",E6747&lt;&gt;"!!!"),"NEW","")))</f>
        <v> </v>
      </c>
      <c r="G6747" s="24" t="str">
        <f>IF(OR(E6747="",E6747="!!!"),"",IF(OR(J6747=0,AND(J6747=1,K6747=1),AND(J6747=1,I6747="SBJ"),AND(J6747=1,I6747=0)),"?IN_FOCUS",IF(J6747&lt;=2,"?ACTIVATED",IF(J6747&lt;&gt;"","?FAMILIAR",IF(F6747="NEW",IF(ISNA(VLOOKUP(E6747,#REF!,1,FALSE())),"?TYPE_IDENTIFIABLE","?REFERENTIAL"),"_")))))</f>
        <v> </v>
      </c>
      <c r="H6747" s="25" t="str">
        <f>IF(J6747&lt;&gt;1,"",IF(I6747="SBJ","CB","?"))</f>
        <v> </v>
      </c>
      <c r="I6747" s="26" t="str">
        <f>IF(OR(E6747="",E6747="!!!",F6747="NEW"),"",INDEX(B6746:B$2,-1+SUMPRODUCT(MAX(ROW(E6746:E$2)*(E6747=E6746:E$2)))))</f>
        <v> </v>
      </c>
      <c r="J6747" s="26" t="str">
        <f>IF(OR(E6747="",E6747="!!!",F6747="NEW"),"",COUNTBLANK(OFFSET(A$1,,,SUMPRODUCT(MAX(ROW(E$2:E6747)*(E6747=E$2:E6747)))))-COUNTBLANK(OFFSET(A$1,,,SUMPRODUCT(MAX(ROW(E$1:E6746)*(E2=E$1:E6746))))))</f>
        <v> </v>
      </c>
      <c r="K6747" s="26" t="str">
        <f>IF(OR(E6747="",E6747="!!!",F6747="NEW"),"",INDEX(J$1:J6746,SUMPRODUCT(MAX(ROW(E$1:E6746)*(E6747=E$1:E6746)))))</f>
        <v> </v>
      </c>
      <c r="L6747" s="27"/>
    </row>
    <row r="6748" spans="1:12">
      <c r="A6748" s="20" t="s">
        <v>2607</v>
      </c>
      <c r="E6748" s="22">
        <f>IF(D6748="?OLD","!!!","")</f>
        <v/>
      </c>
      <c r="F6748" s="23" t="str">
        <f>IF(OR(E6748="",E6748="!!!"),"",IF(NOT(ISNA(VLOOKUP(E6748,E$1:E6747,1,FALSE()))),"OLD",IF(AND(E6748&lt;&gt;"",E6748&lt;&gt;"!!!"),"NEW","")))</f>
        <v> </v>
      </c>
      <c r="G6748" s="24" t="str">
        <f>IF(OR(E6748="",E6748="!!!"),"",IF(OR(J6748=0,AND(J6748=1,K6748=1),AND(J6748=1,I6748="SBJ"),AND(J6748=1,I6748=0)),"?IN_FOCUS",IF(J6748&lt;=2,"?ACTIVATED",IF(J6748&lt;&gt;"","?FAMILIAR",IF(F6748="NEW",IF(ISNA(VLOOKUP(E6748,#REF!,1,FALSE())),"?TYPE_IDENTIFIABLE","?REFERENTIAL"),"_")))))</f>
        <v> </v>
      </c>
      <c r="H6748" s="25" t="str">
        <f>IF(J6748&lt;&gt;1,"",IF(I6748="SBJ","CB","?"))</f>
        <v> </v>
      </c>
      <c r="I6748" s="26" t="str">
        <f>IF(OR(E6748="",E6748="!!!",F6748="NEW"),"",INDEX(B6747:B$2,-1+SUMPRODUCT(MAX(ROW(E6747:E$2)*(E6748=E6747:E$2)))))</f>
        <v> </v>
      </c>
      <c r="J6748" s="26" t="str">
        <f>IF(OR(E6748="",E6748="!!!",F6748="NEW"),"",COUNTBLANK(OFFSET(A$1,,,SUMPRODUCT(MAX(ROW(E$2:E6748)*(E6748=E$2:E6748)))))-COUNTBLANK(OFFSET(A$1,,,SUMPRODUCT(MAX(ROW(E$1:E6747)*(E2=E$1:E6747))))))</f>
        <v> </v>
      </c>
      <c r="K6748" s="26" t="str">
        <f>IF(OR(E6748="",E6748="!!!",F6748="NEW"),"",INDEX(J$1:J6747,SUMPRODUCT(MAX(ROW(E$1:E6747)*(E6748=E$1:E6747)))))</f>
        <v> </v>
      </c>
      <c r="L6748" s="27"/>
    </row>
    <row r="6749" spans="1:12">
      <c r="A6749" s="20" t="s">
        <v>2399</v>
      </c>
      <c r="E6749" s="22">
        <f>IF(D6749="?OLD","!!!","")</f>
        <v/>
      </c>
      <c r="F6749" s="23" t="str">
        <f>IF(OR(E6749="",E6749="!!!"),"",IF(NOT(ISNA(VLOOKUP(E6749,E$1:E6748,1,FALSE()))),"OLD",IF(AND(E6749&lt;&gt;"",E6749&lt;&gt;"!!!"),"NEW","")))</f>
        <v> </v>
      </c>
      <c r="G6749" s="24" t="str">
        <f>IF(OR(E6749="",E6749="!!!"),"",IF(OR(J6749=0,AND(J6749=1,K6749=1),AND(J6749=1,I6749="SBJ"),AND(J6749=1,I6749=0)),"?IN_FOCUS",IF(J6749&lt;=2,"?ACTIVATED",IF(J6749&lt;&gt;"","?FAMILIAR",IF(F6749="NEW",IF(ISNA(VLOOKUP(E6749,#REF!,1,FALSE())),"?TYPE_IDENTIFIABLE","?REFERENTIAL"),"_")))))</f>
        <v> </v>
      </c>
      <c r="H6749" s="25" t="str">
        <f>IF(J6749&lt;&gt;1,"",IF(I6749="SBJ","CB","?"))</f>
        <v> </v>
      </c>
      <c r="I6749" s="26" t="str">
        <f>IF(OR(E6749="",E6749="!!!",F6749="NEW"),"",INDEX(B6748:B$2,-1+SUMPRODUCT(MAX(ROW(E6748:E$2)*(E6749=E6748:E$2)))))</f>
        <v> </v>
      </c>
      <c r="J6749" s="26" t="str">
        <f>IF(OR(E6749="",E6749="!!!",F6749="NEW"),"",COUNTBLANK(OFFSET(A$1,,,SUMPRODUCT(MAX(ROW(E$2:E6749)*(E6749=E$2:E6749)))))-COUNTBLANK(OFFSET(A$1,,,SUMPRODUCT(MAX(ROW(E$1:E6748)*(E2=E$1:E6748))))))</f>
        <v> </v>
      </c>
      <c r="K6749" s="26" t="str">
        <f>IF(OR(E6749="",E6749="!!!",F6749="NEW"),"",INDEX(J$1:J6748,SUMPRODUCT(MAX(ROW(E$1:E6748)*(E6749=E$1:E6748)))))</f>
        <v> </v>
      </c>
      <c r="L6749" s="27"/>
    </row>
    <row r="6750" spans="1:12">
      <c r="A6750" s="20" t="s">
        <v>1004</v>
      </c>
      <c r="E6750" s="22">
        <f>IF(D6750="?OLD","!!!","")</f>
        <v/>
      </c>
      <c r="F6750" s="23" t="str">
        <f>IF(OR(E6750="",E6750="!!!"),"",IF(NOT(ISNA(VLOOKUP(E6750,E$1:E6749,1,FALSE()))),"OLD",IF(AND(E6750&lt;&gt;"",E6750&lt;&gt;"!!!"),"NEW","")))</f>
        <v> </v>
      </c>
      <c r="G6750" s="24" t="str">
        <f>IF(OR(E6750="",E6750="!!!"),"",IF(OR(J6750=0,AND(J6750=1,K6750=1),AND(J6750=1,I6750="SBJ"),AND(J6750=1,I6750=0)),"?IN_FOCUS",IF(J6750&lt;=2,"?ACTIVATED",IF(J6750&lt;&gt;"","?FAMILIAR",IF(F6750="NEW",IF(ISNA(VLOOKUP(E6750,#REF!,1,FALSE())),"?TYPE_IDENTIFIABLE","?REFERENTIAL"),"_")))))</f>
        <v> </v>
      </c>
      <c r="H6750" s="25" t="str">
        <f>IF(J6750&lt;&gt;1,"",IF(I6750="SBJ","CB","?"))</f>
        <v> </v>
      </c>
      <c r="I6750" s="26" t="str">
        <f>IF(OR(E6750="",E6750="!!!",F6750="NEW"),"",INDEX(B6749:B$2,-1+SUMPRODUCT(MAX(ROW(E6749:E$2)*(E6750=E6749:E$2)))))</f>
        <v> </v>
      </c>
      <c r="J6750" s="26" t="str">
        <f>IF(OR(E6750="",E6750="!!!",F6750="NEW"),"",COUNTBLANK(OFFSET(A$1,,,SUMPRODUCT(MAX(ROW(E$2:E6750)*(E6750=E$2:E6750)))))-COUNTBLANK(OFFSET(A$1,,,SUMPRODUCT(MAX(ROW(E$1:E6749)*(E2=E$1:E6749))))))</f>
        <v> </v>
      </c>
      <c r="K6750" s="26" t="str">
        <f>IF(OR(E6750="",E6750="!!!",F6750="NEW"),"",INDEX(J$1:J6749,SUMPRODUCT(MAX(ROW(E$1:E6749)*(E6750=E$1:E6749)))))</f>
        <v> </v>
      </c>
      <c r="L6750" s="27"/>
    </row>
    <row r="6751" spans="1:12">
      <c r="A6751" s="20" t="s">
        <v>1074</v>
      </c>
      <c r="E6751" s="22">
        <f>IF(D6751="?OLD","!!!","")</f>
        <v/>
      </c>
      <c r="F6751" s="23" t="str">
        <f>IF(OR(E6751="",E6751="!!!"),"",IF(NOT(ISNA(VLOOKUP(E6751,E$1:E6750,1,FALSE()))),"OLD",IF(AND(E6751&lt;&gt;"",E6751&lt;&gt;"!!!"),"NEW","")))</f>
        <v> </v>
      </c>
      <c r="G6751" s="24" t="str">
        <f>IF(OR(E6751="",E6751="!!!"),"",IF(OR(J6751=0,AND(J6751=1,K6751=1),AND(J6751=1,I6751="SBJ"),AND(J6751=1,I6751=0)),"?IN_FOCUS",IF(J6751&lt;=2,"?ACTIVATED",IF(J6751&lt;&gt;"","?FAMILIAR",IF(F6751="NEW",IF(ISNA(VLOOKUP(E6751,#REF!,1,FALSE())),"?TYPE_IDENTIFIABLE","?REFERENTIAL"),"_")))))</f>
        <v> </v>
      </c>
      <c r="H6751" s="25" t="str">
        <f>IF(J6751&lt;&gt;1,"",IF(I6751="SBJ","CB","?"))</f>
        <v> </v>
      </c>
      <c r="I6751" s="26" t="str">
        <f>IF(OR(E6751="",E6751="!!!",F6751="NEW"),"",INDEX(B6750:B$2,-1+SUMPRODUCT(MAX(ROW(E6750:E$2)*(E6751=E6750:E$2)))))</f>
        <v> </v>
      </c>
      <c r="J6751" s="26" t="str">
        <f>IF(OR(E6751="",E6751="!!!",F6751="NEW"),"",COUNTBLANK(OFFSET(A$1,,,SUMPRODUCT(MAX(ROW(E$2:E6751)*(E6751=E$2:E6751)))))-COUNTBLANK(OFFSET(A$1,,,SUMPRODUCT(MAX(ROW(E$1:E6750)*(E2=E$1:E6750))))))</f>
        <v> </v>
      </c>
      <c r="K6751" s="26" t="str">
        <f>IF(OR(E6751="",E6751="!!!",F6751="NEW"),"",INDEX(J$1:J6750,SUMPRODUCT(MAX(ROW(E$1:E6750)*(E6751=E$1:E6750)))))</f>
        <v> </v>
      </c>
      <c r="L6751" s="27"/>
    </row>
    <row r="6752" spans="1:12">
      <c r="A6752" s="20" t="s">
        <v>2609</v>
      </c>
      <c r="B6752" s="21" t="s">
        <v>1052</v>
      </c>
      <c r="C6752" s="21" t="s">
        <v>995</v>
      </c>
      <c r="D6752" s="21" t="s">
        <v>978</v>
      </c>
      <c r="E6752" s="22">
        <f>IF(D6752="?OLD","!!!","")</f>
        <v/>
      </c>
      <c r="F6752" s="23" t="str">
        <f>IF(OR(E6752="",E6752="!!!"),"",IF(NOT(ISNA(VLOOKUP(E6752,E$1:E6751,1,FALSE()))),"OLD",IF(AND(E6752&lt;&gt;"",E6752&lt;&gt;"!!!"),"NEW","")))</f>
        <v> </v>
      </c>
      <c r="G6752" s="24" t="str">
        <f>IF(OR(E6752="",E6752="!!!"),"",IF(OR(J6752=0,AND(J6752=1,K6752=1),AND(J6752=1,I6752="SBJ"),AND(J6752=1,I6752=0)),"?IN_FOCUS",IF(J6752&lt;=2,"?ACTIVATED",IF(J6752&lt;&gt;"","?FAMILIAR",IF(F6752="NEW",IF(ISNA(VLOOKUP(E6752,#REF!,1,FALSE())),"?TYPE_IDENTIFIABLE","?REFERENTIAL"),"_")))))</f>
        <v> </v>
      </c>
      <c r="H6752" s="25" t="str">
        <f>IF(J6752&lt;&gt;1,"",IF(I6752="SBJ","CB","?"))</f>
        <v> </v>
      </c>
      <c r="I6752" s="26" t="str">
        <f>IF(OR(E6752="",E6752="!!!",F6752="NEW"),"",INDEX(B6751:B$2,-1+SUMPRODUCT(MAX(ROW(E6751:E$2)*(E6752=E6751:E$2)))))</f>
        <v> </v>
      </c>
      <c r="J6752" s="26" t="str">
        <f>IF(OR(E6752="",E6752="!!!",F6752="NEW"),"",COUNTBLANK(OFFSET(A$1,,,SUMPRODUCT(MAX(ROW(E$2:E6752)*(E6752=E$2:E6752)))))-COUNTBLANK(OFFSET(A$1,,,SUMPRODUCT(MAX(ROW(E$1:E6751)*(E2=E$1:E6751))))))</f>
        <v> </v>
      </c>
      <c r="K6752" s="26" t="str">
        <f>IF(OR(E6752="",E6752="!!!",F6752="NEW"),"",INDEX(J$1:J6751,SUMPRODUCT(MAX(ROW(E$1:E6751)*(E6752=E$1:E6751)))))</f>
        <v> </v>
      </c>
      <c r="L6752" s="27"/>
    </row>
    <row r="6753" spans="1:12">
      <c r="A6753" s="20" t="s">
        <v>996</v>
      </c>
      <c r="E6753" s="22">
        <f>IF(D6753="?OLD","!!!","")</f>
        <v/>
      </c>
      <c r="F6753" s="23" t="str">
        <f>IF(OR(E6753="",E6753="!!!"),"",IF(NOT(ISNA(VLOOKUP(E6753,E$1:E6752,1,FALSE()))),"OLD",IF(AND(E6753&lt;&gt;"",E6753&lt;&gt;"!!!"),"NEW","")))</f>
        <v> </v>
      </c>
      <c r="G6753" s="24" t="str">
        <f>IF(OR(E6753="",E6753="!!!"),"",IF(OR(J6753=0,AND(J6753=1,K6753=1),AND(J6753=1,I6753="SBJ"),AND(J6753=1,I6753=0)),"?IN_FOCUS",IF(J6753&lt;=2,"?ACTIVATED",IF(J6753&lt;&gt;"","?FAMILIAR",IF(F6753="NEW",IF(ISNA(VLOOKUP(E6753,#REF!,1,FALSE())),"?TYPE_IDENTIFIABLE","?REFERENTIAL"),"_")))))</f>
        <v> </v>
      </c>
      <c r="H6753" s="25" t="str">
        <f>IF(J6753&lt;&gt;1,"",IF(I6753="SBJ","CB","?"))</f>
        <v> </v>
      </c>
      <c r="I6753" s="26" t="str">
        <f>IF(OR(E6753="",E6753="!!!",F6753="NEW"),"",INDEX(B6752:B$2,-1+SUMPRODUCT(MAX(ROW(E6752:E$2)*(E6753=E6752:E$2)))))</f>
        <v> </v>
      </c>
      <c r="J6753" s="26" t="str">
        <f>IF(OR(E6753="",E6753="!!!",F6753="NEW"),"",COUNTBLANK(OFFSET(A$1,,,SUMPRODUCT(MAX(ROW(E$2:E6753)*(E6753=E$2:E6753)))))-COUNTBLANK(OFFSET(A$1,,,SUMPRODUCT(MAX(ROW(E$1:E6752)*(E2=E$1:E6752))))))</f>
        <v> </v>
      </c>
      <c r="K6753" s="26" t="str">
        <f>IF(OR(E6753="",E6753="!!!",F6753="NEW"),"",INDEX(J$1:J6752,SUMPRODUCT(MAX(ROW(E$1:E6752)*(E6753=E$1:E6752)))))</f>
        <v> </v>
      </c>
      <c r="L6753" s="27"/>
    </row>
    <row r="6754" spans="1:12">
      <c r="A6754" s="20" t="s">
        <v>1092</v>
      </c>
      <c r="E6754" s="22">
        <f>IF(D6754="?OLD","!!!","")</f>
        <v/>
      </c>
      <c r="F6754" s="23" t="str">
        <f>IF(OR(E6754="",E6754="!!!"),"",IF(NOT(ISNA(VLOOKUP(E6754,E$1:E6753,1,FALSE()))),"OLD",IF(AND(E6754&lt;&gt;"",E6754&lt;&gt;"!!!"),"NEW","")))</f>
        <v> </v>
      </c>
      <c r="G6754" s="24" t="str">
        <f>IF(OR(E6754="",E6754="!!!"),"",IF(OR(J6754=0,AND(J6754=1,K6754=1),AND(J6754=1,I6754="SBJ"),AND(J6754=1,I6754=0)),"?IN_FOCUS",IF(J6754&lt;=2,"?ACTIVATED",IF(J6754&lt;&gt;"","?FAMILIAR",IF(F6754="NEW",IF(ISNA(VLOOKUP(E6754,#REF!,1,FALSE())),"?TYPE_IDENTIFIABLE","?REFERENTIAL"),"_")))))</f>
        <v> </v>
      </c>
      <c r="H6754" s="25" t="str">
        <f>IF(J6754&lt;&gt;1,"",IF(I6754="SBJ","CB","?"))</f>
        <v> </v>
      </c>
      <c r="I6754" s="26" t="str">
        <f>IF(OR(E6754="",E6754="!!!",F6754="NEW"),"",INDEX(B6753:B$2,-1+SUMPRODUCT(MAX(ROW(E6753:E$2)*(E6754=E6753:E$2)))))</f>
        <v> </v>
      </c>
      <c r="J6754" s="26" t="str">
        <f>IF(OR(E6754="",E6754="!!!",F6754="NEW"),"",COUNTBLANK(OFFSET(A$1,,,SUMPRODUCT(MAX(ROW(E$2:E6754)*(E6754=E$2:E6754)))))-COUNTBLANK(OFFSET(A$1,,,SUMPRODUCT(MAX(ROW(E$1:E6753)*(E2=E$1:E6753))))))</f>
        <v> </v>
      </c>
      <c r="K6754" s="26" t="str">
        <f>IF(OR(E6754="",E6754="!!!",F6754="NEW"),"",INDEX(J$1:J6753,SUMPRODUCT(MAX(ROW(E$1:E6753)*(E6754=E$1:E6753)))))</f>
        <v> </v>
      </c>
      <c r="L6754" s="27"/>
    </row>
    <row r="6755" spans="1:12">
      <c r="A6755" s="20" t="s">
        <v>1015</v>
      </c>
      <c r="B6755" s="21" t="s">
        <v>1054</v>
      </c>
      <c r="C6755" s="21" t="s">
        <v>995</v>
      </c>
      <c r="D6755" s="21" t="s">
        <v>978</v>
      </c>
      <c r="E6755" s="22">
        <f>IF(D6755="?OLD","!!!","")</f>
        <v/>
      </c>
      <c r="F6755" s="23" t="str">
        <f>IF(OR(E6755="",E6755="!!!"),"",IF(NOT(ISNA(VLOOKUP(E6755,E$1:E6754,1,FALSE()))),"OLD",IF(AND(E6755&lt;&gt;"",E6755&lt;&gt;"!!!"),"NEW","")))</f>
        <v> </v>
      </c>
      <c r="G6755" s="24" t="str">
        <f>IF(OR(E6755="",E6755="!!!"),"",IF(OR(J6755=0,AND(J6755=1,K6755=1),AND(J6755=1,I6755="SBJ"),AND(J6755=1,I6755=0)),"?IN_FOCUS",IF(J6755&lt;=2,"?ACTIVATED",IF(J6755&lt;&gt;"","?FAMILIAR",IF(F6755="NEW",IF(ISNA(VLOOKUP(E6755,#REF!,1,FALSE())),"?TYPE_IDENTIFIABLE","?REFERENTIAL"),"_")))))</f>
        <v> </v>
      </c>
      <c r="H6755" s="25" t="str">
        <f>IF(J6755&lt;&gt;1,"",IF(I6755="SBJ","CB","?"))</f>
        <v> </v>
      </c>
      <c r="I6755" s="26" t="str">
        <f>IF(OR(E6755="",E6755="!!!",F6755="NEW"),"",INDEX(B6754:B$2,-1+SUMPRODUCT(MAX(ROW(E6754:E$2)*(E6755=E6754:E$2)))))</f>
        <v> </v>
      </c>
      <c r="J6755" s="26" t="str">
        <f>IF(OR(E6755="",E6755="!!!",F6755="NEW"),"",COUNTBLANK(OFFSET(A$1,,,SUMPRODUCT(MAX(ROW(E$2:E6755)*(E6755=E$2:E6755)))))-COUNTBLANK(OFFSET(A$1,,,SUMPRODUCT(MAX(ROW(E$1:E6754)*(E2=E$1:E6754))))))</f>
        <v> </v>
      </c>
      <c r="K6755" s="26" t="str">
        <f>IF(OR(E6755="",E6755="!!!",F6755="NEW"),"",INDEX(J$1:J6754,SUMPRODUCT(MAX(ROW(E$1:E6754)*(E6755=E$1:E6754)))))</f>
        <v> </v>
      </c>
      <c r="L6755" s="27"/>
    </row>
    <row r="6756" spans="1:12">
      <c r="A6756" s="20" t="s">
        <v>996</v>
      </c>
      <c r="E6756" s="22">
        <f>IF(D6756="?OLD","!!!","")</f>
        <v/>
      </c>
      <c r="F6756" s="23" t="str">
        <f>IF(OR(E6756="",E6756="!!!"),"",IF(NOT(ISNA(VLOOKUP(E6756,E$1:E6755,1,FALSE()))),"OLD",IF(AND(E6756&lt;&gt;"",E6756&lt;&gt;"!!!"),"NEW","")))</f>
        <v> </v>
      </c>
      <c r="G6756" s="24" t="str">
        <f>IF(OR(E6756="",E6756="!!!"),"",IF(OR(J6756=0,AND(J6756=1,K6756=1),AND(J6756=1,I6756="SBJ"),AND(J6756=1,I6756=0)),"?IN_FOCUS",IF(J6756&lt;=2,"?ACTIVATED",IF(J6756&lt;&gt;"","?FAMILIAR",IF(F6756="NEW",IF(ISNA(VLOOKUP(E6756,#REF!,1,FALSE())),"?TYPE_IDENTIFIABLE","?REFERENTIAL"),"_")))))</f>
        <v> </v>
      </c>
      <c r="H6756" s="25" t="str">
        <f>IF(J6756&lt;&gt;1,"",IF(I6756="SBJ","CB","?"))</f>
        <v> </v>
      </c>
      <c r="I6756" s="26" t="str">
        <f>IF(OR(E6756="",E6756="!!!",F6756="NEW"),"",INDEX(B6755:B$2,-1+SUMPRODUCT(MAX(ROW(E6755:E$2)*(E6756=E6755:E$2)))))</f>
        <v> </v>
      </c>
      <c r="J6756" s="26" t="str">
        <f>IF(OR(E6756="",E6756="!!!",F6756="NEW"),"",COUNTBLANK(OFFSET(A$1,,,SUMPRODUCT(MAX(ROW(E$2:E6756)*(E6756=E$2:E6756)))))-COUNTBLANK(OFFSET(A$1,,,SUMPRODUCT(MAX(ROW(E$1:E6755)*(E2=E$1:E6755))))))</f>
        <v> </v>
      </c>
      <c r="K6756" s="26" t="str">
        <f>IF(OR(E6756="",E6756="!!!",F6756="NEW"),"",INDEX(J$1:J6755,SUMPRODUCT(MAX(ROW(E$1:E6755)*(E6756=E$1:E6755)))))</f>
        <v> </v>
      </c>
      <c r="L6756" s="27"/>
    </row>
    <row r="6757" spans="1:12">
      <c r="A6757" s="20" t="s">
        <v>997</v>
      </c>
      <c r="E6757" s="22">
        <f>IF(D6757="?OLD","!!!","")</f>
        <v/>
      </c>
      <c r="F6757" s="23" t="str">
        <f>IF(OR(E6757="",E6757="!!!"),"",IF(NOT(ISNA(VLOOKUP(E6757,E$1:E6756,1,FALSE()))),"OLD",IF(AND(E6757&lt;&gt;"",E6757&lt;&gt;"!!!"),"NEW","")))</f>
        <v> </v>
      </c>
      <c r="G6757" s="24" t="str">
        <f>IF(OR(E6757="",E6757="!!!"),"",IF(OR(J6757=0,AND(J6757=1,K6757=1),AND(J6757=1,I6757="SBJ"),AND(J6757=1,I6757=0)),"?IN_FOCUS",IF(J6757&lt;=2,"?ACTIVATED",IF(J6757&lt;&gt;"","?FAMILIAR",IF(F6757="NEW",IF(ISNA(VLOOKUP(E6757,#REF!,1,FALSE())),"?TYPE_IDENTIFIABLE","?REFERENTIAL"),"_")))))</f>
        <v> </v>
      </c>
      <c r="H6757" s="25" t="str">
        <f>IF(J6757&lt;&gt;1,"",IF(I6757="SBJ","CB","?"))</f>
        <v> </v>
      </c>
      <c r="I6757" s="26" t="str">
        <f>IF(OR(E6757="",E6757="!!!",F6757="NEW"),"",INDEX(B6756:B$2,-1+SUMPRODUCT(MAX(ROW(E6756:E$2)*(E6757=E6756:E$2)))))</f>
        <v> </v>
      </c>
      <c r="J6757" s="26" t="str">
        <f>IF(OR(E6757="",E6757="!!!",F6757="NEW"),"",COUNTBLANK(OFFSET(A$1,,,SUMPRODUCT(MAX(ROW(E$2:E6757)*(E6757=E$2:E6757)))))-COUNTBLANK(OFFSET(A$1,,,SUMPRODUCT(MAX(ROW(E$1:E6756)*(E2=E$1:E6756))))))</f>
        <v> </v>
      </c>
      <c r="K6757" s="26" t="str">
        <f>IF(OR(E6757="",E6757="!!!",F6757="NEW"),"",INDEX(J$1:J6756,SUMPRODUCT(MAX(ROW(E$1:E6756)*(E6757=E$1:E6756)))))</f>
        <v> </v>
      </c>
      <c r="L6757" s="27"/>
    </row>
    <row r="6758" spans="1:12">
      <c r="A6758" s="20" t="s">
        <v>1199</v>
      </c>
      <c r="B6758" s="21" t="s">
        <v>1007</v>
      </c>
      <c r="C6758" s="21" t="s">
        <v>995</v>
      </c>
      <c r="D6758" s="21" t="s">
        <v>978</v>
      </c>
      <c r="E6758" s="22">
        <f>IF(D6758="?OLD","!!!","")</f>
        <v/>
      </c>
      <c r="F6758" s="23" t="str">
        <f>IF(OR(E6758="",E6758="!!!"),"",IF(NOT(ISNA(VLOOKUP(E6758,E$1:E6757,1,FALSE()))),"OLD",IF(AND(E6758&lt;&gt;"",E6758&lt;&gt;"!!!"),"NEW","")))</f>
        <v> </v>
      </c>
      <c r="G6758" s="24" t="str">
        <f>IF(OR(E6758="",E6758="!!!"),"",IF(OR(J6758=0,AND(J6758=1,K6758=1),AND(J6758=1,I6758="SBJ"),AND(J6758=1,I6758=0)),"?IN_FOCUS",IF(J6758&lt;=2,"?ACTIVATED",IF(J6758&lt;&gt;"","?FAMILIAR",IF(F6758="NEW",IF(ISNA(VLOOKUP(E6758,#REF!,1,FALSE())),"?TYPE_IDENTIFIABLE","?REFERENTIAL"),"_")))))</f>
        <v> </v>
      </c>
      <c r="H6758" s="25" t="str">
        <f>IF(J6758&lt;&gt;1,"",IF(I6758="SBJ","CB","?"))</f>
        <v> </v>
      </c>
      <c r="I6758" s="26" t="str">
        <f>IF(OR(E6758="",E6758="!!!",F6758="NEW"),"",INDEX(B6757:B$2,-1+SUMPRODUCT(MAX(ROW(E6757:E$2)*(E6758=E6757:E$2)))))</f>
        <v> </v>
      </c>
      <c r="J6758" s="26" t="str">
        <f>IF(OR(E6758="",E6758="!!!",F6758="NEW"),"",COUNTBLANK(OFFSET(A$1,,,SUMPRODUCT(MAX(ROW(E$2:E6758)*(E6758=E$2:E6758)))))-COUNTBLANK(OFFSET(A$1,,,SUMPRODUCT(MAX(ROW(E$1:E6757)*(E2=E$1:E6757))))))</f>
        <v> </v>
      </c>
      <c r="K6758" s="26" t="str">
        <f>IF(OR(E6758="",E6758="!!!",F6758="NEW"),"",INDEX(J$1:J6757,SUMPRODUCT(MAX(ROW(E$1:E6757)*(E6758=E$1:E6757)))))</f>
        <v> </v>
      </c>
      <c r="L6758" s="27"/>
    </row>
    <row r="6759" spans="1:12">
      <c r="A6759" s="20" t="s">
        <v>1002</v>
      </c>
      <c r="E6759" s="22">
        <f>IF(D6759="?OLD","!!!","")</f>
        <v/>
      </c>
      <c r="F6759" s="23" t="str">
        <f>IF(OR(E6759="",E6759="!!!"),"",IF(NOT(ISNA(VLOOKUP(E6759,E$1:E6758,1,FALSE()))),"OLD",IF(AND(E6759&lt;&gt;"",E6759&lt;&gt;"!!!"),"NEW","")))</f>
        <v> </v>
      </c>
      <c r="G6759" s="24" t="str">
        <f>IF(OR(E6759="",E6759="!!!"),"",IF(OR(J6759=0,AND(J6759=1,K6759=1),AND(J6759=1,I6759="SBJ"),AND(J6759=1,I6759=0)),"?IN_FOCUS",IF(J6759&lt;=2,"?ACTIVATED",IF(J6759&lt;&gt;"","?FAMILIAR",IF(F6759="NEW",IF(ISNA(VLOOKUP(E6759,#REF!,1,FALSE())),"?TYPE_IDENTIFIABLE","?REFERENTIAL"),"_")))))</f>
        <v> </v>
      </c>
      <c r="H6759" s="25" t="str">
        <f>IF(J6759&lt;&gt;1,"",IF(I6759="SBJ","CB","?"))</f>
        <v> </v>
      </c>
      <c r="I6759" s="26" t="str">
        <f>IF(OR(E6759="",E6759="!!!",F6759="NEW"),"",INDEX(B6758:B$2,-1+SUMPRODUCT(MAX(ROW(E6758:E$2)*(E6759=E6758:E$2)))))</f>
        <v> </v>
      </c>
      <c r="J6759" s="26" t="str">
        <f>IF(OR(E6759="",E6759="!!!",F6759="NEW"),"",COUNTBLANK(OFFSET(A$1,,,SUMPRODUCT(MAX(ROW(E$2:E6759)*(E6759=E$2:E6759)))))-COUNTBLANK(OFFSET(A$1,,,SUMPRODUCT(MAX(ROW(E$1:E6758)*(E2=E$1:E6758))))))</f>
        <v> </v>
      </c>
      <c r="K6759" s="26" t="str">
        <f>IF(OR(E6759="",E6759="!!!",F6759="NEW"),"",INDEX(J$1:J6758,SUMPRODUCT(MAX(ROW(E$1:E6758)*(E6759=E$1:E6758)))))</f>
        <v> </v>
      </c>
      <c r="L6759" s="27"/>
    </row>
    <row r="6760" spans="1:12">
      <c r="A6760" s="20" t="s">
        <v>1081</v>
      </c>
      <c r="E6760" s="22">
        <f>IF(D6760="?OLD","!!!","")</f>
        <v/>
      </c>
      <c r="F6760" s="23" t="str">
        <f>IF(OR(E6760="",E6760="!!!"),"",IF(NOT(ISNA(VLOOKUP(E6760,E$1:E6759,1,FALSE()))),"OLD",IF(AND(E6760&lt;&gt;"",E6760&lt;&gt;"!!!"),"NEW","")))</f>
        <v> </v>
      </c>
      <c r="G6760" s="24" t="str">
        <f>IF(OR(E6760="",E6760="!!!"),"",IF(OR(J6760=0,AND(J6760=1,K6760=1),AND(J6760=1,I6760="SBJ"),AND(J6760=1,I6760=0)),"?IN_FOCUS",IF(J6760&lt;=2,"?ACTIVATED",IF(J6760&lt;&gt;"","?FAMILIAR",IF(F6760="NEW",IF(ISNA(VLOOKUP(E6760,#REF!,1,FALSE())),"?TYPE_IDENTIFIABLE","?REFERENTIAL"),"_")))))</f>
        <v> </v>
      </c>
      <c r="H6760" s="25" t="str">
        <f>IF(J6760&lt;&gt;1,"",IF(I6760="SBJ","CB","?"))</f>
        <v> </v>
      </c>
      <c r="I6760" s="26" t="str">
        <f>IF(OR(E6760="",E6760="!!!",F6760="NEW"),"",INDEX(B6759:B$2,-1+SUMPRODUCT(MAX(ROW(E6759:E$2)*(E6760=E6759:E$2)))))</f>
        <v> </v>
      </c>
      <c r="J6760" s="26" t="str">
        <f>IF(OR(E6760="",E6760="!!!",F6760="NEW"),"",COUNTBLANK(OFFSET(A$1,,,SUMPRODUCT(MAX(ROW(E$2:E6760)*(E6760=E$2:E6760)))))-COUNTBLANK(OFFSET(A$1,,,SUMPRODUCT(MAX(ROW(E$1:E6759)*(E2=E$1:E6759))))))</f>
        <v> </v>
      </c>
      <c r="K6760" s="26" t="str">
        <f>IF(OR(E6760="",E6760="!!!",F6760="NEW"),"",INDEX(J$1:J6759,SUMPRODUCT(MAX(ROW(E$1:E6759)*(E6760=E$1:E6759)))))</f>
        <v> </v>
      </c>
      <c r="L6760" s="27"/>
    </row>
    <row r="6761" spans="1:12">
      <c r="A6761" s="20" t="s">
        <v>2610</v>
      </c>
      <c r="E6761" s="22">
        <f>IF(D6761="?OLD","!!!","")</f>
        <v/>
      </c>
      <c r="F6761" s="23" t="str">
        <f>IF(OR(E6761="",E6761="!!!"),"",IF(NOT(ISNA(VLOOKUP(E6761,E$1:E6760,1,FALSE()))),"OLD",IF(AND(E6761&lt;&gt;"",E6761&lt;&gt;"!!!"),"NEW","")))</f>
        <v> </v>
      </c>
      <c r="G6761" s="24" t="str">
        <f>IF(OR(E6761="",E6761="!!!"),"",IF(OR(J6761=0,AND(J6761=1,K6761=1),AND(J6761=1,I6761="SBJ"),AND(J6761=1,I6761=0)),"?IN_FOCUS",IF(J6761&lt;=2,"?ACTIVATED",IF(J6761&lt;&gt;"","?FAMILIAR",IF(F6761="NEW",IF(ISNA(VLOOKUP(E6761,#REF!,1,FALSE())),"?TYPE_IDENTIFIABLE","?REFERENTIAL"),"_")))))</f>
        <v> </v>
      </c>
      <c r="H6761" s="25" t="str">
        <f>IF(J6761&lt;&gt;1,"",IF(I6761="SBJ","CB","?"))</f>
        <v> </v>
      </c>
      <c r="I6761" s="26" t="str">
        <f>IF(OR(E6761="",E6761="!!!",F6761="NEW"),"",INDEX(B6760:B$2,-1+SUMPRODUCT(MAX(ROW(E6760:E$2)*(E6761=E6760:E$2)))))</f>
        <v> </v>
      </c>
      <c r="J6761" s="26" t="str">
        <f>IF(OR(E6761="",E6761="!!!",F6761="NEW"),"",COUNTBLANK(OFFSET(A$1,,,SUMPRODUCT(MAX(ROW(E$2:E6761)*(E6761=E$2:E6761)))))-COUNTBLANK(OFFSET(A$1,,,SUMPRODUCT(MAX(ROW(E$1:E6760)*(E2=E$1:E6760))))))</f>
        <v> </v>
      </c>
      <c r="K6761" s="26" t="str">
        <f>IF(OR(E6761="",E6761="!!!",F6761="NEW"),"",INDEX(J$1:J6760,SUMPRODUCT(MAX(ROW(E$1:E6760)*(E6761=E$1:E6760)))))</f>
        <v> </v>
      </c>
      <c r="L6761" s="27"/>
    </row>
    <row r="6762" spans="1:12">
      <c r="A6762" s="20" t="s">
        <v>1004</v>
      </c>
      <c r="E6762" s="22">
        <f>IF(D6762="?OLD","!!!","")</f>
        <v/>
      </c>
      <c r="F6762" s="23" t="str">
        <f>IF(OR(E6762="",E6762="!!!"),"",IF(NOT(ISNA(VLOOKUP(E6762,E$1:E6761,1,FALSE()))),"OLD",IF(AND(E6762&lt;&gt;"",E6762&lt;&gt;"!!!"),"NEW","")))</f>
        <v> </v>
      </c>
      <c r="G6762" s="24" t="str">
        <f>IF(OR(E6762="",E6762="!!!"),"",IF(OR(J6762=0,AND(J6762=1,K6762=1),AND(J6762=1,I6762="SBJ"),AND(J6762=1,I6762=0)),"?IN_FOCUS",IF(J6762&lt;=2,"?ACTIVATED",IF(J6762&lt;&gt;"","?FAMILIAR",IF(F6762="NEW",IF(ISNA(VLOOKUP(E6762,#REF!,1,FALSE())),"?TYPE_IDENTIFIABLE","?REFERENTIAL"),"_")))))</f>
        <v> </v>
      </c>
      <c r="H6762" s="25" t="str">
        <f>IF(J6762&lt;&gt;1,"",IF(I6762="SBJ","CB","?"))</f>
        <v> </v>
      </c>
      <c r="I6762" s="26" t="str">
        <f>IF(OR(E6762="",E6762="!!!",F6762="NEW"),"",INDEX(B6761:B$2,-1+SUMPRODUCT(MAX(ROW(E6761:E$2)*(E6762=E6761:E$2)))))</f>
        <v> </v>
      </c>
      <c r="J6762" s="26" t="str">
        <f>IF(OR(E6762="",E6762="!!!",F6762="NEW"),"",COUNTBLANK(OFFSET(A$1,,,SUMPRODUCT(MAX(ROW(E$2:E6762)*(E6762=E$2:E6762)))))-COUNTBLANK(OFFSET(A$1,,,SUMPRODUCT(MAX(ROW(E$1:E6761)*(E2=E$1:E6761))))))</f>
        <v> </v>
      </c>
      <c r="K6762" s="26" t="str">
        <f>IF(OR(E6762="",E6762="!!!",F6762="NEW"),"",INDEX(J$1:J6761,SUMPRODUCT(MAX(ROW(E$1:E6761)*(E6762=E$1:E6761)))))</f>
        <v> </v>
      </c>
      <c r="L6762" s="27"/>
    </row>
    <row r="6763" spans="1:12">
      <c r="A6763" s="20" t="s">
        <v>993</v>
      </c>
      <c r="E6763" s="22">
        <f>IF(D6763="?OLD","!!!","")</f>
        <v/>
      </c>
      <c r="F6763" s="23" t="str">
        <f>IF(OR(E6763="",E6763="!!!"),"",IF(NOT(ISNA(VLOOKUP(E6763,E$1:E6762,1,FALSE()))),"OLD",IF(AND(E6763&lt;&gt;"",E6763&lt;&gt;"!!!"),"NEW","")))</f>
        <v> </v>
      </c>
      <c r="G6763" s="24" t="str">
        <f>IF(OR(E6763="",E6763="!!!"),"",IF(OR(J6763=0,AND(J6763=1,K6763=1),AND(J6763=1,I6763="SBJ"),AND(J6763=1,I6763=0)),"?IN_FOCUS",IF(J6763&lt;=2,"?ACTIVATED",IF(J6763&lt;&gt;"","?FAMILIAR",IF(F6763="NEW",IF(ISNA(VLOOKUP(E6763,#REF!,1,FALSE())),"?TYPE_IDENTIFIABLE","?REFERENTIAL"),"_")))))</f>
        <v> </v>
      </c>
      <c r="H6763" s="25" t="str">
        <f>IF(J6763&lt;&gt;1,"",IF(I6763="SBJ","CB","?"))</f>
        <v> </v>
      </c>
      <c r="I6763" s="26" t="str">
        <f>IF(OR(E6763="",E6763="!!!",F6763="NEW"),"",INDEX(B6762:B$2,-1+SUMPRODUCT(MAX(ROW(E6762:E$2)*(E6763=E6762:E$2)))))</f>
        <v> </v>
      </c>
      <c r="J6763" s="26" t="str">
        <f>IF(OR(E6763="",E6763="!!!",F6763="NEW"),"",COUNTBLANK(OFFSET(A$1,,,SUMPRODUCT(MAX(ROW(E$2:E6763)*(E6763=E$2:E6763)))))-COUNTBLANK(OFFSET(A$1,,,SUMPRODUCT(MAX(ROW(E$1:E6762)*(E2=E$1:E6762))))))</f>
        <v> </v>
      </c>
      <c r="K6763" s="26" t="str">
        <f>IF(OR(E6763="",E6763="!!!",F6763="NEW"),"",INDEX(J$1:J6762,SUMPRODUCT(MAX(ROW(E$1:E6762)*(E6763=E$1:E6762)))))</f>
        <v> </v>
      </c>
      <c r="L6763" s="27"/>
    </row>
    <row r="6764" spans="1:12">
      <c r="A6764" s="20" t="s">
        <v>1568</v>
      </c>
      <c r="B6764" s="21" t="s">
        <v>1007</v>
      </c>
      <c r="C6764" s="21" t="s">
        <v>995</v>
      </c>
      <c r="D6764" s="21" t="s">
        <v>978</v>
      </c>
      <c r="E6764" s="22">
        <f>IF(D6764="?OLD","!!!","")</f>
        <v/>
      </c>
      <c r="F6764" s="23" t="str">
        <f>IF(OR(E6764="",E6764="!!!"),"",IF(NOT(ISNA(VLOOKUP(E6764,E$1:E6763,1,FALSE()))),"OLD",IF(AND(E6764&lt;&gt;"",E6764&lt;&gt;"!!!"),"NEW","")))</f>
        <v> </v>
      </c>
      <c r="G6764" s="24" t="str">
        <f>IF(OR(E6764="",E6764="!!!"),"",IF(OR(J6764=0,AND(J6764=1,K6764=1),AND(J6764=1,I6764="SBJ"),AND(J6764=1,I6764=0)),"?IN_FOCUS",IF(J6764&lt;=2,"?ACTIVATED",IF(J6764&lt;&gt;"","?FAMILIAR",IF(F6764="NEW",IF(ISNA(VLOOKUP(E6764,#REF!,1,FALSE())),"?TYPE_IDENTIFIABLE","?REFERENTIAL"),"_")))))</f>
        <v> </v>
      </c>
      <c r="H6764" s="25" t="str">
        <f>IF(J6764&lt;&gt;1,"",IF(I6764="SBJ","CB","?"))</f>
        <v> </v>
      </c>
      <c r="I6764" s="26" t="str">
        <f>IF(OR(E6764="",E6764="!!!",F6764="NEW"),"",INDEX(B6763:B$2,-1+SUMPRODUCT(MAX(ROW(E6763:E$2)*(E6764=E6763:E$2)))))</f>
        <v> </v>
      </c>
      <c r="J6764" s="26" t="str">
        <f>IF(OR(E6764="",E6764="!!!",F6764="NEW"),"",COUNTBLANK(OFFSET(A$1,,,SUMPRODUCT(MAX(ROW(E$2:E6764)*(E6764=E$2:E6764)))))-COUNTBLANK(OFFSET(A$1,,,SUMPRODUCT(MAX(ROW(E$1:E6763)*(E2=E$1:E6763))))))</f>
        <v> </v>
      </c>
      <c r="K6764" s="26" t="str">
        <f>IF(OR(E6764="",E6764="!!!",F6764="NEW"),"",INDEX(J$1:J6763,SUMPRODUCT(MAX(ROW(E$1:E6763)*(E6764=E$1:E6763)))))</f>
        <v> </v>
      </c>
      <c r="L6764" s="27"/>
    </row>
    <row r="6765" spans="1:12">
      <c r="A6765" s="20" t="s">
        <v>996</v>
      </c>
      <c r="E6765" s="22">
        <f>IF(D6765="?OLD","!!!","")</f>
        <v/>
      </c>
      <c r="F6765" s="23" t="str">
        <f>IF(OR(E6765="",E6765="!!!"),"",IF(NOT(ISNA(VLOOKUP(E6765,E$1:E6764,1,FALSE()))),"OLD",IF(AND(E6765&lt;&gt;"",E6765&lt;&gt;"!!!"),"NEW","")))</f>
        <v> </v>
      </c>
      <c r="G6765" s="24" t="str">
        <f>IF(OR(E6765="",E6765="!!!"),"",IF(OR(J6765=0,AND(J6765=1,K6765=1),AND(J6765=1,I6765="SBJ"),AND(J6765=1,I6765=0)),"?IN_FOCUS",IF(J6765&lt;=2,"?ACTIVATED",IF(J6765&lt;&gt;"","?FAMILIAR",IF(F6765="NEW",IF(ISNA(VLOOKUP(E6765,#REF!,1,FALSE())),"?TYPE_IDENTIFIABLE","?REFERENTIAL"),"_")))))</f>
        <v> </v>
      </c>
      <c r="H6765" s="25" t="str">
        <f>IF(J6765&lt;&gt;1,"",IF(I6765="SBJ","CB","?"))</f>
        <v> </v>
      </c>
      <c r="I6765" s="26" t="str">
        <f>IF(OR(E6765="",E6765="!!!",F6765="NEW"),"",INDEX(B6764:B$2,-1+SUMPRODUCT(MAX(ROW(E6764:E$2)*(E6765=E6764:E$2)))))</f>
        <v> </v>
      </c>
      <c r="J6765" s="26" t="str">
        <f>IF(OR(E6765="",E6765="!!!",F6765="NEW"),"",COUNTBLANK(OFFSET(A$1,,,SUMPRODUCT(MAX(ROW(E$2:E6765)*(E6765=E$2:E6765)))))-COUNTBLANK(OFFSET(A$1,,,SUMPRODUCT(MAX(ROW(E$1:E6764)*(E2=E$1:E6764))))))</f>
        <v> </v>
      </c>
      <c r="K6765" s="26" t="str">
        <f>IF(OR(E6765="",E6765="!!!",F6765="NEW"),"",INDEX(J$1:J6764,SUMPRODUCT(MAX(ROW(E$1:E6764)*(E6765=E$1:E6764)))))</f>
        <v> </v>
      </c>
      <c r="L6765" s="27"/>
    </row>
    <row r="6766" spans="1:12">
      <c r="A6766" s="20" t="s">
        <v>1333</v>
      </c>
      <c r="E6766" s="22">
        <f>IF(D6766="?OLD","!!!","")</f>
        <v/>
      </c>
      <c r="F6766" s="23" t="str">
        <f>IF(OR(E6766="",E6766="!!!"),"",IF(NOT(ISNA(VLOOKUP(E6766,E$1:E6765,1,FALSE()))),"OLD",IF(AND(E6766&lt;&gt;"",E6766&lt;&gt;"!!!"),"NEW","")))</f>
        <v> </v>
      </c>
      <c r="G6766" s="24" t="str">
        <f>IF(OR(E6766="",E6766="!!!"),"",IF(OR(J6766=0,AND(J6766=1,K6766=1),AND(J6766=1,I6766="SBJ"),AND(J6766=1,I6766=0)),"?IN_FOCUS",IF(J6766&lt;=2,"?ACTIVATED",IF(J6766&lt;&gt;"","?FAMILIAR",IF(F6766="NEW",IF(ISNA(VLOOKUP(E6766,#REF!,1,FALSE())),"?TYPE_IDENTIFIABLE","?REFERENTIAL"),"_")))))</f>
        <v> </v>
      </c>
      <c r="H6766" s="25" t="str">
        <f>IF(J6766&lt;&gt;1,"",IF(I6766="SBJ","CB","?"))</f>
        <v> </v>
      </c>
      <c r="I6766" s="26" t="str">
        <f>IF(OR(E6766="",E6766="!!!",F6766="NEW"),"",INDEX(B6765:B$2,-1+SUMPRODUCT(MAX(ROW(E6765:E$2)*(E6766=E6765:E$2)))))</f>
        <v> </v>
      </c>
      <c r="J6766" s="26" t="str">
        <f>IF(OR(E6766="",E6766="!!!",F6766="NEW"),"",COUNTBLANK(OFFSET(A$1,,,SUMPRODUCT(MAX(ROW(E$2:E6766)*(E6766=E$2:E6766)))))-COUNTBLANK(OFFSET(A$1,,,SUMPRODUCT(MAX(ROW(E$1:E6765)*(E2=E$1:E6765))))))</f>
        <v> </v>
      </c>
      <c r="K6766" s="26" t="str">
        <f>IF(OR(E6766="",E6766="!!!",F6766="NEW"),"",INDEX(J$1:J6765,SUMPRODUCT(MAX(ROW(E$1:E6765)*(E6766=E$1:E6765)))))</f>
        <v> </v>
      </c>
      <c r="L6766" s="27"/>
    </row>
    <row r="6767" spans="1:12">
      <c r="A6767" s="20" t="s">
        <v>1002</v>
      </c>
      <c r="E6767" s="22">
        <f>IF(D6767="?OLD","!!!","")</f>
        <v/>
      </c>
      <c r="F6767" s="23" t="str">
        <f>IF(OR(E6767="",E6767="!!!"),"",IF(NOT(ISNA(VLOOKUP(E6767,E$1:E6766,1,FALSE()))),"OLD",IF(AND(E6767&lt;&gt;"",E6767&lt;&gt;"!!!"),"NEW","")))</f>
        <v> </v>
      </c>
      <c r="G6767" s="24" t="str">
        <f>IF(OR(E6767="",E6767="!!!"),"",IF(OR(J6767=0,AND(J6767=1,K6767=1),AND(J6767=1,I6767="SBJ"),AND(J6767=1,I6767=0)),"?IN_FOCUS",IF(J6767&lt;=2,"?ACTIVATED",IF(J6767&lt;&gt;"","?FAMILIAR",IF(F6767="NEW",IF(ISNA(VLOOKUP(E6767,#REF!,1,FALSE())),"?TYPE_IDENTIFIABLE","?REFERENTIAL"),"_")))))</f>
        <v> </v>
      </c>
      <c r="H6767" s="25" t="str">
        <f>IF(J6767&lt;&gt;1,"",IF(I6767="SBJ","CB","?"))</f>
        <v> </v>
      </c>
      <c r="I6767" s="26" t="str">
        <f>IF(OR(E6767="",E6767="!!!",F6767="NEW"),"",INDEX(B6766:B$2,-1+SUMPRODUCT(MAX(ROW(E6766:E$2)*(E6767=E6766:E$2)))))</f>
        <v> </v>
      </c>
      <c r="J6767" s="26" t="str">
        <f>IF(OR(E6767="",E6767="!!!",F6767="NEW"),"",COUNTBLANK(OFFSET(A$1,,,SUMPRODUCT(MAX(ROW(E$2:E6767)*(E6767=E$2:E6767)))))-COUNTBLANK(OFFSET(A$1,,,SUMPRODUCT(MAX(ROW(E$1:E6766)*(E2=E$1:E6766))))))</f>
        <v> </v>
      </c>
      <c r="K6767" s="26" t="str">
        <f>IF(OR(E6767="",E6767="!!!",F6767="NEW"),"",INDEX(J$1:J6766,SUMPRODUCT(MAX(ROW(E$1:E6766)*(E6767=E$1:E6766)))))</f>
        <v> </v>
      </c>
      <c r="L6767" s="27"/>
    </row>
    <row r="6768" spans="1:12">
      <c r="A6768" s="20" t="s">
        <v>992</v>
      </c>
      <c r="E6768" s="22">
        <f>IF(D6768="?OLD","!!!","")</f>
        <v/>
      </c>
      <c r="F6768" s="23" t="str">
        <f>IF(OR(E6768="",E6768="!!!"),"",IF(NOT(ISNA(VLOOKUP(E6768,E$1:E6767,1,FALSE()))),"OLD",IF(AND(E6768&lt;&gt;"",E6768&lt;&gt;"!!!"),"NEW","")))</f>
        <v> </v>
      </c>
      <c r="G6768" s="24" t="str">
        <f>IF(OR(E6768="",E6768="!!!"),"",IF(OR(J6768=0,AND(J6768=1,K6768=1),AND(J6768=1,I6768="SBJ"),AND(J6768=1,I6768=0)),"?IN_FOCUS",IF(J6768&lt;=2,"?ACTIVATED",IF(J6768&lt;&gt;"","?FAMILIAR",IF(F6768="NEW",IF(ISNA(VLOOKUP(E6768,#REF!,1,FALSE())),"?TYPE_IDENTIFIABLE","?REFERENTIAL"),"_")))))</f>
        <v> </v>
      </c>
      <c r="H6768" s="25" t="str">
        <f>IF(J6768&lt;&gt;1,"",IF(I6768="SBJ","CB","?"))</f>
        <v> </v>
      </c>
      <c r="I6768" s="26" t="str">
        <f>IF(OR(E6768="",E6768="!!!",F6768="NEW"),"",INDEX(B6767:B$2,-1+SUMPRODUCT(MAX(ROW(E6767:E$2)*(E6768=E6767:E$2)))))</f>
        <v> </v>
      </c>
      <c r="J6768" s="26" t="str">
        <f>IF(OR(E6768="",E6768="!!!",F6768="NEW"),"",COUNTBLANK(OFFSET(A$1,,,SUMPRODUCT(MAX(ROW(E$2:E6768)*(E6768=E$2:E6768)))))-COUNTBLANK(OFFSET(A$1,,,SUMPRODUCT(MAX(ROW(E$1:E6767)*(E2=E$1:E6767))))))</f>
        <v> </v>
      </c>
      <c r="K6768" s="26" t="str">
        <f>IF(OR(E6768="",E6768="!!!",F6768="NEW"),"",INDEX(J$1:J6767,SUMPRODUCT(MAX(ROW(E$1:E6767)*(E6768=E$1:E6767)))))</f>
        <v> </v>
      </c>
      <c r="L6768" s="27"/>
    </row>
    <row r="6769" spans="1:12">
      <c r="A6769" s="20" t="s">
        <v>1877</v>
      </c>
      <c r="B6769" s="21" t="s">
        <v>986</v>
      </c>
      <c r="C6769" s="21" t="s">
        <v>1008</v>
      </c>
      <c r="D6769" s="21" t="s">
        <v>978</v>
      </c>
      <c r="E6769" s="22">
        <f>IF(D6769="?OLD","!!!","")</f>
        <v/>
      </c>
      <c r="F6769" s="23" t="str">
        <f>IF(OR(E6769="",E6769="!!!"),"",IF(NOT(ISNA(VLOOKUP(E6769,E$1:E6768,1,FALSE()))),"OLD",IF(AND(E6769&lt;&gt;"",E6769&lt;&gt;"!!!"),"NEW","")))</f>
        <v> </v>
      </c>
      <c r="G6769" s="24" t="str">
        <f>IF(OR(E6769="",E6769="!!!"),"",IF(OR(J6769=0,AND(J6769=1,K6769=1),AND(J6769=1,I6769="SBJ"),AND(J6769=1,I6769=0)),"?IN_FOCUS",IF(J6769&lt;=2,"?ACTIVATED",IF(J6769&lt;&gt;"","?FAMILIAR",IF(F6769="NEW",IF(ISNA(VLOOKUP(E6769,#REF!,1,FALSE())),"?TYPE_IDENTIFIABLE","?REFERENTIAL"),"_")))))</f>
        <v> </v>
      </c>
      <c r="H6769" s="25" t="str">
        <f>IF(J6769&lt;&gt;1,"",IF(I6769="SBJ","CB","?"))</f>
        <v> </v>
      </c>
      <c r="I6769" s="26" t="str">
        <f>IF(OR(E6769="",E6769="!!!",F6769="NEW"),"",INDEX(B6768:B$2,-1+SUMPRODUCT(MAX(ROW(E6768:E$2)*(E6769=E6768:E$2)))))</f>
        <v> </v>
      </c>
      <c r="J6769" s="26" t="str">
        <f>IF(OR(E6769="",E6769="!!!",F6769="NEW"),"",COUNTBLANK(OFFSET(A$1,,,SUMPRODUCT(MAX(ROW(E$2:E6769)*(E6769=E$2:E6769)))))-COUNTBLANK(OFFSET(A$1,,,SUMPRODUCT(MAX(ROW(E$1:E6768)*(E2=E$1:E6768))))))</f>
        <v> </v>
      </c>
      <c r="K6769" s="26" t="str">
        <f>IF(OR(E6769="",E6769="!!!",F6769="NEW"),"",INDEX(J$1:J6768,SUMPRODUCT(MAX(ROW(E$1:E6768)*(E6769=E$1:E6768)))))</f>
        <v> </v>
      </c>
      <c r="L6769" s="27"/>
    </row>
    <row r="6770" spans="1:12">
      <c r="A6770" s="20" t="s">
        <v>1002</v>
      </c>
      <c r="E6770" s="22">
        <f>IF(D6770="?OLD","!!!","")</f>
        <v/>
      </c>
      <c r="F6770" s="23" t="str">
        <f>IF(OR(E6770="",E6770="!!!"),"",IF(NOT(ISNA(VLOOKUP(E6770,E$1:E6769,1,FALSE()))),"OLD",IF(AND(E6770&lt;&gt;"",E6770&lt;&gt;"!!!"),"NEW","")))</f>
        <v> </v>
      </c>
      <c r="G6770" s="24" t="str">
        <f>IF(OR(E6770="",E6770="!!!"),"",IF(OR(J6770=0,AND(J6770=1,K6770=1),AND(J6770=1,I6770="SBJ"),AND(J6770=1,I6770=0)),"?IN_FOCUS",IF(J6770&lt;=2,"?ACTIVATED",IF(J6770&lt;&gt;"","?FAMILIAR",IF(F6770="NEW",IF(ISNA(VLOOKUP(E6770,#REF!,1,FALSE())),"?TYPE_IDENTIFIABLE","?REFERENTIAL"),"_")))))</f>
        <v> </v>
      </c>
      <c r="H6770" s="25" t="str">
        <f>IF(J6770&lt;&gt;1,"",IF(I6770="SBJ","CB","?"))</f>
        <v> </v>
      </c>
      <c r="I6770" s="26" t="str">
        <f>IF(OR(E6770="",E6770="!!!",F6770="NEW"),"",INDEX(B6769:B$2,-1+SUMPRODUCT(MAX(ROW(E6769:E$2)*(E6770=E6769:E$2)))))</f>
        <v> </v>
      </c>
      <c r="J6770" s="26" t="str">
        <f>IF(OR(E6770="",E6770="!!!",F6770="NEW"),"",COUNTBLANK(OFFSET(A$1,,,SUMPRODUCT(MAX(ROW(E$2:E6770)*(E6770=E$2:E6770)))))-COUNTBLANK(OFFSET(A$1,,,SUMPRODUCT(MAX(ROW(E$1:E6769)*(E2=E$1:E6769))))))</f>
        <v> </v>
      </c>
      <c r="K6770" s="26" t="str">
        <f>IF(OR(E6770="",E6770="!!!",F6770="NEW"),"",INDEX(J$1:J6769,SUMPRODUCT(MAX(ROW(E$1:E6769)*(E6770=E$1:E6769)))))</f>
        <v> </v>
      </c>
      <c r="L6770" s="27"/>
    </row>
    <row r="6771" spans="1:12">
      <c r="A6771" s="20" t="s">
        <v>1047</v>
      </c>
      <c r="B6771" s="21" t="s">
        <v>976</v>
      </c>
      <c r="C6771" s="21" t="s">
        <v>977</v>
      </c>
      <c r="D6771" s="21" t="s">
        <v>978</v>
      </c>
      <c r="E6771" s="22">
        <f>IF(D6771="?OLD","!!!","")</f>
        <v/>
      </c>
      <c r="F6771" s="23" t="str">
        <f>IF(OR(E6771="",E6771="!!!"),"",IF(NOT(ISNA(VLOOKUP(E6771,E$1:E6770,1,FALSE()))),"OLD",IF(AND(E6771&lt;&gt;"",E6771&lt;&gt;"!!!"),"NEW","")))</f>
        <v> </v>
      </c>
      <c r="G6771" s="24" t="str">
        <f>IF(OR(E6771="",E6771="!!!"),"",IF(OR(J6771=0,AND(J6771=1,K6771=1),AND(J6771=1,I6771="SBJ"),AND(J6771=1,I6771=0)),"?IN_FOCUS",IF(J6771&lt;=2,"?ACTIVATED",IF(J6771&lt;&gt;"","?FAMILIAR",IF(F6771="NEW",IF(ISNA(VLOOKUP(E6771,#REF!,1,FALSE())),"?TYPE_IDENTIFIABLE","?REFERENTIAL"),"_")))))</f>
        <v> </v>
      </c>
      <c r="H6771" s="25" t="str">
        <f>IF(J6771&lt;&gt;1,"",IF(I6771="SBJ","CB","?"))</f>
        <v> </v>
      </c>
      <c r="I6771" s="26" t="str">
        <f>IF(OR(E6771="",E6771="!!!",F6771="NEW"),"",INDEX(B6770:B$2,-1+SUMPRODUCT(MAX(ROW(E6770:E$2)*(E6771=E6770:E$2)))))</f>
        <v> </v>
      </c>
      <c r="J6771" s="26" t="str">
        <f>IF(OR(E6771="",E6771="!!!",F6771="NEW"),"",COUNTBLANK(OFFSET(A$1,,,SUMPRODUCT(MAX(ROW(E$2:E6771)*(E6771=E$2:E6771)))))-COUNTBLANK(OFFSET(A$1,,,SUMPRODUCT(MAX(ROW(E$1:E6770)*(E2=E$1:E6770))))))</f>
        <v> </v>
      </c>
      <c r="K6771" s="26" t="str">
        <f>IF(OR(E6771="",E6771="!!!",F6771="NEW"),"",INDEX(J$1:J6770,SUMPRODUCT(MAX(ROW(E$1:E6770)*(E6771=E$1:E6770)))))</f>
        <v> </v>
      </c>
      <c r="L6771" s="27"/>
    </row>
    <row r="6772" spans="1:12">
      <c r="A6772" s="20" t="s">
        <v>2313</v>
      </c>
      <c r="E6772" s="22">
        <f>IF(D6772="?OLD","!!!","")</f>
        <v/>
      </c>
      <c r="F6772" s="23" t="str">
        <f>IF(OR(E6772="",E6772="!!!"),"",IF(NOT(ISNA(VLOOKUP(E6772,E$1:E6771,1,FALSE()))),"OLD",IF(AND(E6772&lt;&gt;"",E6772&lt;&gt;"!!!"),"NEW","")))</f>
        <v> </v>
      </c>
      <c r="G6772" s="24" t="str">
        <f>IF(OR(E6772="",E6772="!!!"),"",IF(OR(J6772=0,AND(J6772=1,K6772=1),AND(J6772=1,I6772="SBJ"),AND(J6772=1,I6772=0)),"?IN_FOCUS",IF(J6772&lt;=2,"?ACTIVATED",IF(J6772&lt;&gt;"","?FAMILIAR",IF(F6772="NEW",IF(ISNA(VLOOKUP(E6772,#REF!,1,FALSE())),"?TYPE_IDENTIFIABLE","?REFERENTIAL"),"_")))))</f>
        <v> </v>
      </c>
      <c r="H6772" s="25" t="str">
        <f>IF(J6772&lt;&gt;1,"",IF(I6772="SBJ","CB","?"))</f>
        <v> </v>
      </c>
      <c r="I6772" s="26" t="str">
        <f>IF(OR(E6772="",E6772="!!!",F6772="NEW"),"",INDEX(B6771:B$2,-1+SUMPRODUCT(MAX(ROW(E6771:E$2)*(E6772=E6771:E$2)))))</f>
        <v> </v>
      </c>
      <c r="J6772" s="26" t="str">
        <f>IF(OR(E6772="",E6772="!!!",F6772="NEW"),"",COUNTBLANK(OFFSET(A$1,,,SUMPRODUCT(MAX(ROW(E$2:E6772)*(E6772=E$2:E6772)))))-COUNTBLANK(OFFSET(A$1,,,SUMPRODUCT(MAX(ROW(E$1:E6771)*(E2=E$1:E6771))))))</f>
        <v> </v>
      </c>
      <c r="K6772" s="26" t="str">
        <f>IF(OR(E6772="",E6772="!!!",F6772="NEW"),"",INDEX(J$1:J6771,SUMPRODUCT(MAX(ROW(E$1:E6771)*(E6772=E$1:E6771)))))</f>
        <v> </v>
      </c>
      <c r="L6772" s="27"/>
    </row>
    <row r="6773" spans="1:12">
      <c r="A6773" s="20" t="s">
        <v>1002</v>
      </c>
      <c r="E6773" s="22">
        <f>IF(D6773="?OLD","!!!","")</f>
        <v/>
      </c>
      <c r="F6773" s="23" t="str">
        <f>IF(OR(E6773="",E6773="!!!"),"",IF(NOT(ISNA(VLOOKUP(E6773,E$1:E6772,1,FALSE()))),"OLD",IF(AND(E6773&lt;&gt;"",E6773&lt;&gt;"!!!"),"NEW","")))</f>
        <v> </v>
      </c>
      <c r="G6773" s="24" t="str">
        <f>IF(OR(E6773="",E6773="!!!"),"",IF(OR(J6773=0,AND(J6773=1,K6773=1),AND(J6773=1,I6773="SBJ"),AND(J6773=1,I6773=0)),"?IN_FOCUS",IF(J6773&lt;=2,"?ACTIVATED",IF(J6773&lt;&gt;"","?FAMILIAR",IF(F6773="NEW",IF(ISNA(VLOOKUP(E6773,#REF!,1,FALSE())),"?TYPE_IDENTIFIABLE","?REFERENTIAL"),"_")))))</f>
        <v> </v>
      </c>
      <c r="H6773" s="25" t="str">
        <f>IF(J6773&lt;&gt;1,"",IF(I6773="SBJ","CB","?"))</f>
        <v> </v>
      </c>
      <c r="I6773" s="26" t="str">
        <f>IF(OR(E6773="",E6773="!!!",F6773="NEW"),"",INDEX(B6772:B$2,-1+SUMPRODUCT(MAX(ROW(E6772:E$2)*(E6773=E6772:E$2)))))</f>
        <v> </v>
      </c>
      <c r="J6773" s="26" t="str">
        <f>IF(OR(E6773="",E6773="!!!",F6773="NEW"),"",COUNTBLANK(OFFSET(A$1,,,SUMPRODUCT(MAX(ROW(E$2:E6773)*(E6773=E$2:E6773)))))-COUNTBLANK(OFFSET(A$1,,,SUMPRODUCT(MAX(ROW(E$1:E6772)*(E2=E$1:E6772))))))</f>
        <v> </v>
      </c>
      <c r="K6773" s="26" t="str">
        <f>IF(OR(E6773="",E6773="!!!",F6773="NEW"),"",INDEX(J$1:J6772,SUMPRODUCT(MAX(ROW(E$1:E6772)*(E6773=E$1:E6772)))))</f>
        <v> </v>
      </c>
      <c r="L6773" s="27"/>
    </row>
    <row r="6774" spans="1:12">
      <c r="A6774" s="20" t="s">
        <v>1625</v>
      </c>
      <c r="E6774" s="22">
        <f>IF(D6774="?OLD","!!!","")</f>
        <v/>
      </c>
      <c r="F6774" s="23" t="str">
        <f>IF(OR(E6774="",E6774="!!!"),"",IF(NOT(ISNA(VLOOKUP(E6774,E$1:E6773,1,FALSE()))),"OLD",IF(AND(E6774&lt;&gt;"",E6774&lt;&gt;"!!!"),"NEW","")))</f>
        <v> </v>
      </c>
      <c r="G6774" s="24" t="str">
        <f>IF(OR(E6774="",E6774="!!!"),"",IF(OR(J6774=0,AND(J6774=1,K6774=1),AND(J6774=1,I6774="SBJ"),AND(J6774=1,I6774=0)),"?IN_FOCUS",IF(J6774&lt;=2,"?ACTIVATED",IF(J6774&lt;&gt;"","?FAMILIAR",IF(F6774="NEW",IF(ISNA(VLOOKUP(E6774,#REF!,1,FALSE())),"?TYPE_IDENTIFIABLE","?REFERENTIAL"),"_")))))</f>
        <v> </v>
      </c>
      <c r="H6774" s="25" t="str">
        <f>IF(J6774&lt;&gt;1,"",IF(I6774="SBJ","CB","?"))</f>
        <v> </v>
      </c>
      <c r="I6774" s="26" t="str">
        <f>IF(OR(E6774="",E6774="!!!",F6774="NEW"),"",INDEX(B6773:B$2,-1+SUMPRODUCT(MAX(ROW(E6773:E$2)*(E6774=E6773:E$2)))))</f>
        <v> </v>
      </c>
      <c r="J6774" s="26" t="str">
        <f>IF(OR(E6774="",E6774="!!!",F6774="NEW"),"",COUNTBLANK(OFFSET(A$1,,,SUMPRODUCT(MAX(ROW(E$2:E6774)*(E6774=E$2:E6774)))))-COUNTBLANK(OFFSET(A$1,,,SUMPRODUCT(MAX(ROW(E$1:E6773)*(E2=E$1:E6773))))))</f>
        <v> </v>
      </c>
      <c r="K6774" s="26" t="str">
        <f>IF(OR(E6774="",E6774="!!!",F6774="NEW"),"",INDEX(J$1:J6773,SUMPRODUCT(MAX(ROW(E$1:E6773)*(E6774=E$1:E6773)))))</f>
        <v> </v>
      </c>
      <c r="L6774" s="27"/>
    </row>
    <row r="6775" spans="1:12">
      <c r="A6775" s="20" t="s">
        <v>1050</v>
      </c>
      <c r="E6775" s="22">
        <f>IF(D6775="?OLD","!!!","")</f>
        <v/>
      </c>
      <c r="F6775" s="23" t="str">
        <f>IF(OR(E6775="",E6775="!!!"),"",IF(NOT(ISNA(VLOOKUP(E6775,E$1:E6774,1,FALSE()))),"OLD",IF(AND(E6775&lt;&gt;"",E6775&lt;&gt;"!!!"),"NEW","")))</f>
        <v> </v>
      </c>
      <c r="G6775" s="24" t="str">
        <f>IF(OR(E6775="",E6775="!!!"),"",IF(OR(J6775=0,AND(J6775=1,K6775=1),AND(J6775=1,I6775="SBJ"),AND(J6775=1,I6775=0)),"?IN_FOCUS",IF(J6775&lt;=2,"?ACTIVATED",IF(J6775&lt;&gt;"","?FAMILIAR",IF(F6775="NEW",IF(ISNA(VLOOKUP(E6775,#REF!,1,FALSE())),"?TYPE_IDENTIFIABLE","?REFERENTIAL"),"_")))))</f>
        <v> </v>
      </c>
      <c r="H6775" s="25" t="str">
        <f>IF(J6775&lt;&gt;1,"",IF(I6775="SBJ","CB","?"))</f>
        <v> </v>
      </c>
      <c r="I6775" s="26" t="str">
        <f>IF(OR(E6775="",E6775="!!!",F6775="NEW"),"",INDEX(B6774:B$2,-1+SUMPRODUCT(MAX(ROW(E6774:E$2)*(E6775=E6774:E$2)))))</f>
        <v> </v>
      </c>
      <c r="J6775" s="26" t="str">
        <f>IF(OR(E6775="",E6775="!!!",F6775="NEW"),"",COUNTBLANK(OFFSET(A$1,,,SUMPRODUCT(MAX(ROW(E$2:E6775)*(E6775=E$2:E6775)))))-COUNTBLANK(OFFSET(A$1,,,SUMPRODUCT(MAX(ROW(E$1:E6774)*(E2=E$1:E6774))))))</f>
        <v> </v>
      </c>
      <c r="K6775" s="26" t="str">
        <f>IF(OR(E6775="",E6775="!!!",F6775="NEW"),"",INDEX(J$1:J6774,SUMPRODUCT(MAX(ROW(E$1:E6774)*(E6775=E$1:E6774)))))</f>
        <v> </v>
      </c>
      <c r="L6775" s="27"/>
    </row>
    <row r="6776" spans="1:12">
      <c r="A6776" s="20" t="s">
        <v>2611</v>
      </c>
      <c r="B6776" s="21" t="s">
        <v>1052</v>
      </c>
      <c r="C6776" s="21" t="s">
        <v>983</v>
      </c>
      <c r="E6776" s="22">
        <f>IF(D6776="?OLD","!!!","")</f>
        <v/>
      </c>
      <c r="F6776" s="23" t="str">
        <f>IF(OR(E6776="",E6776="!!!"),"",IF(NOT(ISNA(VLOOKUP(E6776,E$1:E6775,1,FALSE()))),"OLD",IF(AND(E6776&lt;&gt;"",E6776&lt;&gt;"!!!"),"NEW","")))</f>
        <v> </v>
      </c>
      <c r="G6776" s="24" t="str">
        <f>IF(OR(E6776="",E6776="!!!"),"",IF(OR(J6776=0,AND(J6776=1,K6776=1),AND(J6776=1,I6776="SBJ"),AND(J6776=1,I6776=0)),"?IN_FOCUS",IF(J6776&lt;=2,"?ACTIVATED",IF(J6776&lt;&gt;"","?FAMILIAR",IF(F6776="NEW",IF(ISNA(VLOOKUP(E6776,#REF!,1,FALSE())),"?TYPE_IDENTIFIABLE","?REFERENTIAL"),"_")))))</f>
        <v> </v>
      </c>
      <c r="H6776" s="25" t="str">
        <f>IF(J6776&lt;&gt;1,"",IF(I6776="SBJ","CB","?"))</f>
        <v> </v>
      </c>
      <c r="I6776" s="26" t="str">
        <f>IF(OR(E6776="",E6776="!!!",F6776="NEW"),"",INDEX(B6775:B$2,-1+SUMPRODUCT(MAX(ROW(E6775:E$2)*(E6776=E6775:E$2)))))</f>
        <v> </v>
      </c>
      <c r="J6776" s="26" t="str">
        <f>IF(OR(E6776="",E6776="!!!",F6776="NEW"),"",COUNTBLANK(OFFSET(A$1,,,SUMPRODUCT(MAX(ROW(E$2:E6776)*(E6776=E$2:E6776)))))-COUNTBLANK(OFFSET(A$1,,,SUMPRODUCT(MAX(ROW(E$1:E6775)*(E2=E$1:E6775))))))</f>
        <v> </v>
      </c>
      <c r="K6776" s="26" t="str">
        <f>IF(OR(E6776="",E6776="!!!",F6776="NEW"),"",INDEX(J$1:J6775,SUMPRODUCT(MAX(ROW(E$1:E6775)*(E6776=E$1:E6775)))))</f>
        <v> </v>
      </c>
      <c r="L6776" s="27"/>
    </row>
    <row r="6777" spans="1:12">
      <c r="A6777" s="20" t="s">
        <v>1482</v>
      </c>
      <c r="E6777" s="22">
        <f>IF(D6777="?OLD","!!!","")</f>
        <v/>
      </c>
      <c r="F6777" s="23" t="str">
        <f>IF(OR(E6777="",E6777="!!!"),"",IF(NOT(ISNA(VLOOKUP(E6777,E$1:E6776,1,FALSE()))),"OLD",IF(AND(E6777&lt;&gt;"",E6777&lt;&gt;"!!!"),"NEW","")))</f>
        <v> </v>
      </c>
      <c r="G6777" s="24" t="str">
        <f>IF(OR(E6777="",E6777="!!!"),"",IF(OR(J6777=0,AND(J6777=1,K6777=1),AND(J6777=1,I6777="SBJ"),AND(J6777=1,I6777=0)),"?IN_FOCUS",IF(J6777&lt;=2,"?ACTIVATED",IF(J6777&lt;&gt;"","?FAMILIAR",IF(F6777="NEW",IF(ISNA(VLOOKUP(E6777,#REF!,1,FALSE())),"?TYPE_IDENTIFIABLE","?REFERENTIAL"),"_")))))</f>
        <v> </v>
      </c>
      <c r="H6777" s="25" t="str">
        <f>IF(J6777&lt;&gt;1,"",IF(I6777="SBJ","CB","?"))</f>
        <v> </v>
      </c>
      <c r="I6777" s="26" t="str">
        <f>IF(OR(E6777="",E6777="!!!",F6777="NEW"),"",INDEX(B6776:B$2,-1+SUMPRODUCT(MAX(ROW(E6776:E$2)*(E6777=E6776:E$2)))))</f>
        <v> </v>
      </c>
      <c r="J6777" s="26" t="str">
        <f>IF(OR(E6777="",E6777="!!!",F6777="NEW"),"",COUNTBLANK(OFFSET(A$1,,,SUMPRODUCT(MAX(ROW(E$2:E6777)*(E6777=E$2:E6777)))))-COUNTBLANK(OFFSET(A$1,,,SUMPRODUCT(MAX(ROW(E$1:E6776)*(E2=E$1:E6776))))))</f>
        <v> </v>
      </c>
      <c r="K6777" s="26" t="str">
        <f>IF(OR(E6777="",E6777="!!!",F6777="NEW"),"",INDEX(J$1:J6776,SUMPRODUCT(MAX(ROW(E$1:E6776)*(E6777=E$1:E6776)))))</f>
        <v> </v>
      </c>
      <c r="L6777" s="27"/>
    </row>
    <row r="6778" spans="1:12">
      <c r="A6778" s="20" t="s">
        <v>2612</v>
      </c>
      <c r="E6778" s="22">
        <f>IF(D6778="?OLD","!!!","")</f>
        <v/>
      </c>
      <c r="F6778" s="23" t="str">
        <f>IF(OR(E6778="",E6778="!!!"),"",IF(NOT(ISNA(VLOOKUP(E6778,E$1:E6777,1,FALSE()))),"OLD",IF(AND(E6778&lt;&gt;"",E6778&lt;&gt;"!!!"),"NEW","")))</f>
        <v> </v>
      </c>
      <c r="G6778" s="24" t="str">
        <f>IF(OR(E6778="",E6778="!!!"),"",IF(OR(J6778=0,AND(J6778=1,K6778=1),AND(J6778=1,I6778="SBJ"),AND(J6778=1,I6778=0)),"?IN_FOCUS",IF(J6778&lt;=2,"?ACTIVATED",IF(J6778&lt;&gt;"","?FAMILIAR",IF(F6778="NEW",IF(ISNA(VLOOKUP(E6778,#REF!,1,FALSE())),"?TYPE_IDENTIFIABLE","?REFERENTIAL"),"_")))))</f>
        <v> </v>
      </c>
      <c r="H6778" s="25" t="str">
        <f>IF(J6778&lt;&gt;1,"",IF(I6778="SBJ","CB","?"))</f>
        <v> </v>
      </c>
      <c r="I6778" s="26" t="str">
        <f>IF(OR(E6778="",E6778="!!!",F6778="NEW"),"",INDEX(B6777:B$2,-1+SUMPRODUCT(MAX(ROW(E6777:E$2)*(E6778=E6777:E$2)))))</f>
        <v> </v>
      </c>
      <c r="J6778" s="26" t="str">
        <f>IF(OR(E6778="",E6778="!!!",F6778="NEW"),"",COUNTBLANK(OFFSET(A$1,,,SUMPRODUCT(MAX(ROW(E$2:E6778)*(E6778=E$2:E6778)))))-COUNTBLANK(OFFSET(A$1,,,SUMPRODUCT(MAX(ROW(E$1:E6777)*(E2=E$1:E6777))))))</f>
        <v> </v>
      </c>
      <c r="K6778" s="26" t="str">
        <f>IF(OR(E6778="",E6778="!!!",F6778="NEW"),"",INDEX(J$1:J6777,SUMPRODUCT(MAX(ROW(E$1:E6777)*(E6778=E$1:E6777)))))</f>
        <v> </v>
      </c>
      <c r="L6778" s="27"/>
    </row>
    <row r="6779" spans="1:12">
      <c r="A6779" s="20" t="s">
        <v>1022</v>
      </c>
      <c r="E6779" s="22">
        <f>IF(D6779="?OLD","!!!","")</f>
        <v/>
      </c>
      <c r="F6779" s="23" t="str">
        <f>IF(OR(E6779="",E6779="!!!"),"",IF(NOT(ISNA(VLOOKUP(E6779,E$1:E6778,1,FALSE()))),"OLD",IF(AND(E6779&lt;&gt;"",E6779&lt;&gt;"!!!"),"NEW","")))</f>
        <v> </v>
      </c>
      <c r="G6779" s="24" t="str">
        <f>IF(OR(E6779="",E6779="!!!"),"",IF(OR(J6779=0,AND(J6779=1,K6779=1),AND(J6779=1,I6779="SBJ"),AND(J6779=1,I6779=0)),"?IN_FOCUS",IF(J6779&lt;=2,"?ACTIVATED",IF(J6779&lt;&gt;"","?FAMILIAR",IF(F6779="NEW",IF(ISNA(VLOOKUP(E6779,#REF!,1,FALSE())),"?TYPE_IDENTIFIABLE","?REFERENTIAL"),"_")))))</f>
        <v> </v>
      </c>
      <c r="H6779" s="25" t="str">
        <f>IF(J6779&lt;&gt;1,"",IF(I6779="SBJ","CB","?"))</f>
        <v> </v>
      </c>
      <c r="I6779" s="26" t="str">
        <f>IF(OR(E6779="",E6779="!!!",F6779="NEW"),"",INDEX(B6778:B$2,-1+SUMPRODUCT(MAX(ROW(E6778:E$2)*(E6779=E6778:E$2)))))</f>
        <v> </v>
      </c>
      <c r="J6779" s="26" t="str">
        <f>IF(OR(E6779="",E6779="!!!",F6779="NEW"),"",COUNTBLANK(OFFSET(A$1,,,SUMPRODUCT(MAX(ROW(E$2:E6779)*(E6779=E$2:E6779)))))-COUNTBLANK(OFFSET(A$1,,,SUMPRODUCT(MAX(ROW(E$1:E6778)*(E2=E$1:E6778))))))</f>
        <v> </v>
      </c>
      <c r="K6779" s="26" t="str">
        <f>IF(OR(E6779="",E6779="!!!",F6779="NEW"),"",INDEX(J$1:J6778,SUMPRODUCT(MAX(ROW(E$1:E6778)*(E6779=E$1:E6778)))))</f>
        <v> </v>
      </c>
      <c r="L6779" s="27"/>
    </row>
    <row r="6780" spans="1:12">
      <c r="A6780" s="20"/>
    </row>
    <row r="6781" spans="1:12">
      <c r="A6781" s="20" t="s">
        <v>2613</v>
      </c>
    </row>
    <row r="6782" spans="1:12">
      <c r="A6782" s="20" t="s">
        <v>2614</v>
      </c>
      <c r="E6782" s="22">
        <f>IF(D6782="?OLD","!!!","")</f>
        <v/>
      </c>
      <c r="F6782" s="23" t="str">
        <f>IF(OR(E6782="",E6782="!!!"),"",IF(NOT(ISNA(VLOOKUP(E6782,E$1:E6781,1,FALSE()))),"OLD",IF(AND(E6782&lt;&gt;"",E6782&lt;&gt;"!!!"),"NEW","")))</f>
        <v> </v>
      </c>
      <c r="G6782" s="24" t="str">
        <f>IF(OR(E6782="",E6782="!!!"),"",IF(OR(J6782=0,AND(J6782=1,K6782=1),AND(J6782=1,I6782="SBJ"),AND(J6782=1,I6782=0)),"?IN_FOCUS",IF(J6782&lt;=2,"?ACTIVATED",IF(J6782&lt;&gt;"","?FAMILIAR",IF(F6782="NEW",IF(ISNA(VLOOKUP(E6782,#REF!,1,FALSE())),"?TYPE_IDENTIFIABLE","?REFERENTIAL"),"_")))))</f>
        <v> </v>
      </c>
      <c r="H6782" s="25" t="str">
        <f>IF(J6782&lt;&gt;1,"",IF(I6782="SBJ","CB","?"))</f>
        <v> </v>
      </c>
      <c r="I6782" s="26" t="str">
        <f>IF(OR(E6782="",E6782="!!!",F6782="NEW"),"",INDEX(B6781:B$2,-1+SUMPRODUCT(MAX(ROW(E6781:E$2)*(E6782=E6781:E$2)))))</f>
        <v> </v>
      </c>
      <c r="J6782" s="26" t="str">
        <f>IF(OR(E6782="",E6782="!!!",F6782="NEW"),"",COUNTBLANK(OFFSET(A$1,,,SUMPRODUCT(MAX(ROW(E$2:E6782)*(E6782=E$2:E6782)))))-COUNTBLANK(OFFSET(A$1,,,SUMPRODUCT(MAX(ROW(E$1:E6781)*(E2=E$1:E6781))))))</f>
        <v> </v>
      </c>
      <c r="K6782" s="26" t="str">
        <f>IF(OR(E6782="",E6782="!!!",F6782="NEW"),"",INDEX(J$1:J6781,SUMPRODUCT(MAX(ROW(E$1:E6781)*(E6782=E$1:E6781)))))</f>
        <v> </v>
      </c>
      <c r="L6782" s="27"/>
    </row>
    <row r="6783" spans="1:12">
      <c r="A6783" s="20" t="s">
        <v>1022</v>
      </c>
      <c r="E6783" s="22">
        <f>IF(D6783="?OLD","!!!","")</f>
        <v/>
      </c>
      <c r="F6783" s="23" t="str">
        <f>IF(OR(E6783="",E6783="!!!"),"",IF(NOT(ISNA(VLOOKUP(E6783,E$1:E6782,1,FALSE()))),"OLD",IF(AND(E6783&lt;&gt;"",E6783&lt;&gt;"!!!"),"NEW","")))</f>
        <v> </v>
      </c>
      <c r="G6783" s="24" t="str">
        <f>IF(OR(E6783="",E6783="!!!"),"",IF(OR(J6783=0,AND(J6783=1,K6783=1),AND(J6783=1,I6783="SBJ"),AND(J6783=1,I6783=0)),"?IN_FOCUS",IF(J6783&lt;=2,"?ACTIVATED",IF(J6783&lt;&gt;"","?FAMILIAR",IF(F6783="NEW",IF(ISNA(VLOOKUP(E6783,#REF!,1,FALSE())),"?TYPE_IDENTIFIABLE","?REFERENTIAL"),"_")))))</f>
        <v> </v>
      </c>
      <c r="H6783" s="25" t="str">
        <f>IF(J6783&lt;&gt;1,"",IF(I6783="SBJ","CB","?"))</f>
        <v> </v>
      </c>
      <c r="I6783" s="26" t="str">
        <f>IF(OR(E6783="",E6783="!!!",F6783="NEW"),"",INDEX(B6782:B$2,-1+SUMPRODUCT(MAX(ROW(E6782:E$2)*(E6783=E6782:E$2)))))</f>
        <v> </v>
      </c>
      <c r="J6783" s="26" t="str">
        <f>IF(OR(E6783="",E6783="!!!",F6783="NEW"),"",COUNTBLANK(OFFSET(A$1,,,SUMPRODUCT(MAX(ROW(E$2:E6783)*(E6783=E$2:E6783)))))-COUNTBLANK(OFFSET(A$1,,,SUMPRODUCT(MAX(ROW(E$1:E6782)*(E2=E$1:E6782))))))</f>
        <v> </v>
      </c>
      <c r="K6783" s="26" t="str">
        <f>IF(OR(E6783="",E6783="!!!",F6783="NEW"),"",INDEX(J$1:J6782,SUMPRODUCT(MAX(ROW(E$1:E6782)*(E6783=E$1:E6782)))))</f>
        <v> </v>
      </c>
      <c r="L6783" s="27"/>
    </row>
    <row r="6784" spans="1:12">
      <c r="A678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2024-07-05T08:22:03Z</dcterms:created>
  <dcterms:modified xsi:type="dcterms:W3CDTF">2024-07-05T08:22:03Z</dcterms:modified>
</cp:coreProperties>
</file>