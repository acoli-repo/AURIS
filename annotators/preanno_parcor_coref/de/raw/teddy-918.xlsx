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<sst xmlns="http://schemas.openxmlformats.org/spreadsheetml/2006/main" count="11143" uniqueCount="2588">
  <si>
    <t>ID</t>
  </si>
  <si>
    <t>PRED_ID</t>
  </si>
  <si>
    <t>MARKER_AUTO</t>
  </si>
  <si>
    <t>PREDICATE</t>
  </si>
  <si>
    <t>TEXT</t>
  </si>
  <si>
    <t>SENTENCE</t>
  </si>
  <si>
    <t>MARKER</t>
  </si>
  <si>
    <t>TARGET</t>
  </si>
  <si>
    <t>RELATION</t>
  </si>
  <si>
    <t>COMMENT</t>
  </si>
  <si>
    <t>1</t>
  </si>
  <si>
    <t>2</t>
  </si>
  <si>
    <t>_</t>
  </si>
  <si>
    <t>sprechen</t>
  </si>
  <si>
    <t>Heute spreche ich zu Ihnen über Energie und Klima .</t>
  </si>
  <si>
    <t>file://conllu/de/teddy-918.conllu#s1_0</t>
  </si>
  <si>
    <t>5</t>
  </si>
  <si>
    <t>etwas</t>
  </si>
  <si>
    <t>Und das überrascht vielleicht etwas , weil sich meine Vollzeitbeschäftigung bei der Stiftung hauptsächlich um Impfstoffe und Saatgut dreht , um die Dinge , die wir erfinden und liefern müssen um den ärmsten 2 Milliarden ein besseres Leben zu ermöglichen .</t>
  </si>
  <si>
    <t>file://conllu/de/teddy-918.conllu#s2_0</t>
  </si>
  <si>
    <t>3</t>
  </si>
  <si>
    <t>sein (sein wichtig)</t>
  </si>
  <si>
    <t>Aber Energie und Klima sind extrem wichtig für diese Menschen , Genau genommen sogar wichtiger als für jeden anderen auf dem Planeten .</t>
  </si>
  <si>
    <t>file://conllu/de/teddy-918.conllu#s3_0</t>
  </si>
  <si>
    <t>4</t>
  </si>
  <si>
    <t>bedeuten</t>
  </si>
  <si>
    <t>Klimaverschlechterung bedeutet , dass deren Saaten über viele Jahre nicht wachsen werden .</t>
  </si>
  <si>
    <t>file://conllu/de/teddy-918.conllu#s4_0</t>
  </si>
  <si>
    <t>8</t>
  </si>
  <si>
    <t>regnen</t>
  </si>
  <si>
    <t>Es wir zu viel oder zu wenig regnen .</t>
  </si>
  <si>
    <t>file://conllu/de/teddy-918.conllu#s5_0</t>
  </si>
  <si>
    <t>6</t>
  </si>
  <si>
    <t>ändern</t>
  </si>
  <si>
    <t>Die Dinge werden sich so ändern , wie es ihre fragile Umwelt nicht aushalten kann .</t>
  </si>
  <si>
    <t>file://conllu/de/teddy-918.conllu#s6_0</t>
  </si>
  <si>
    <t>7</t>
  </si>
  <si>
    <t>führen</t>
  </si>
  <si>
    <t>Das führt zu Hungersterben .</t>
  </si>
  <si>
    <t>file://conllu/de/teddy-918.conllu#s7_0</t>
  </si>
  <si>
    <t>Es führt zu Unsicherheit .</t>
  </si>
  <si>
    <t>file://conllu/de/teddy-918.conllu#s8_0</t>
  </si>
  <si>
    <t>9</t>
  </si>
  <si>
    <t>Es führt zu Unruhen .</t>
  </si>
  <si>
    <t>file://conllu/de/teddy-918.conllu#s9_0</t>
  </si>
  <si>
    <t>10</t>
  </si>
  <si>
    <t>werden</t>
  </si>
  <si>
    <t>Also , wird eine Klimaveränderung furchtbar für sie werden .</t>
  </si>
  <si>
    <t>file://conllu/de/teddy-918.conllu#s10_0</t>
  </si>
  <si>
    <t>11</t>
  </si>
  <si>
    <t>Außerdem ist der Energiepreis für sie sehr wichtig .</t>
  </si>
  <si>
    <t>file://conllu/de/teddy-918.conllu#s11_0</t>
  </si>
  <si>
    <t>12</t>
  </si>
  <si>
    <t>sein (sein Tatsache)</t>
  </si>
  <si>
    <t>Tatsache ist , dass , wenn Sie nur von einer Sache den Preis verringern könnten , zur zu der Armutsverringerung wäre Energie bei weitem am an dem effektivsten .</t>
  </si>
  <si>
    <t>file://conllu/de/teddy-918.conllu#s12_0</t>
  </si>
  <si>
    <t>13</t>
  </si>
  <si>
    <t>sein (sein fallen|gefallen)</t>
  </si>
  <si>
    <t>Nun , der Energiepreis ist über die Zeit gefallen .</t>
  </si>
  <si>
    <t>file://conllu/de/teddy-918.conllu#s13_0</t>
  </si>
  <si>
    <t>14</t>
  </si>
  <si>
    <t>basieren</t>
  </si>
  <si>
    <t>Tatsächlich basiert die Fortschrittsgesellschaft auf Energiefortschritten .</t>
  </si>
  <si>
    <t>file://conllu/de/teddy-918.conllu#s14_0</t>
  </si>
  <si>
    <t>15</t>
  </si>
  <si>
    <t>treiben</t>
  </si>
  <si>
    <t>Die Kohlerevolution trieb die industrielle Revolution an und selbst im in dem 20 .</t>
  </si>
  <si>
    <t>file://conllu/de/teddy-918.conllu#s15_0</t>
  </si>
  <si>
    <t>16</t>
  </si>
  <si>
    <t>Und deshalb?</t>
  </si>
  <si>
    <t>geben</t>
  </si>
  <si>
    <t>Jahrhundert gab es einen rapiden Fall im in dem Elektrizitätspreis und deshalb haben wir Kühlschränke , Klimaanlagen , wir können moderne Materialien herstellen und so viele Dinge tun .</t>
  </si>
  <si>
    <t>file://conllu/de/teddy-918.conllu#s16_0</t>
  </si>
  <si>
    <t>17</t>
  </si>
  <si>
    <t>befinden</t>
  </si>
  <si>
    <t>Wir befinden uns also in einer wunderbaren Situation mit Strom in der reichen Welt .</t>
  </si>
  <si>
    <t>file://conllu/de/teddy-918.conllu#s17_0</t>
  </si>
  <si>
    <t>18</t>
  </si>
  <si>
    <t>25</t>
  </si>
  <si>
    <t>hängen</t>
  </si>
  <si>
    <t>Aber , wenn wir den Preis verringern lassen wir uns den Preis halbieren treffen wir auf eine neue Barriere und diese Barriere hängt mit CO2 zusammen .</t>
  </si>
  <si>
    <t>file://conllu/de/teddy-918.conllu#s18_0</t>
  </si>
  <si>
    <t>19</t>
  </si>
  <si>
    <t>erwärmen</t>
  </si>
  <si>
    <t>CO2 erwärmt den Planeten und die Gleichung für CO2 ist eigentlich ziemlich klar .</t>
  </si>
  <si>
    <t>file://conllu/de/teddy-918.conllu#s19_0</t>
  </si>
  <si>
    <t>20</t>
  </si>
  <si>
    <t>summieren</t>
  </si>
  <si>
    <t>Sie summieren das ausgestoßene CO2 , welches zur zu der Temperaturerhöhung führt und diese Temperaturerhöhung hat einige sehr negative Folgen .</t>
  </si>
  <si>
    <t>file://conllu/de/teddy-918.conllu#s20_0</t>
  </si>
  <si>
    <t>21</t>
  </si>
  <si>
    <t>Effekt</t>
  </si>
  <si>
    <t>Effekte auf das Wetter und vielleicht schlimmer , die indirekte Folge , dass die natürlichen Ökosysteme sich solch rapiden Veränderungen nicht anpassen können und somit ganze Systeme zusammenfallen .</t>
  </si>
  <si>
    <t>file://conllu/de/teddy-918.conllu#s21_0</t>
  </si>
  <si>
    <t>22</t>
  </si>
  <si>
    <t>liegen</t>
  </si>
  <si>
    <t>Nun , der exakte Zusammenhang zwischen einem CO2 Anstieg und der dadurch resultierende Temperaturveränderung und wo deren weitere Folgen liegen , da gibt es einige Unklarheiten , aber nicht sehr viele .</t>
  </si>
  <si>
    <t>file://conllu/de/teddy-918.conllu#s22_0</t>
  </si>
  <si>
    <t>23</t>
  </si>
  <si>
    <t>Und es gibt sicher Unklarheit darüber , wie schlimm diese Folgen werden .</t>
  </si>
  <si>
    <t>file://conllu/de/teddy-918.conllu#s23_0</t>
  </si>
  <si>
    <t>24</t>
  </si>
  <si>
    <t>sein (sein schlimm)</t>
  </si>
  <si>
    <t>Aber sie werden extrem schlimm sein !</t>
  </si>
  <si>
    <t>file://conllu/de/teddy-918.conllu#s24_0</t>
  </si>
  <si>
    <t>gefragen</t>
  </si>
  <si>
    <t>Ich habe die Top Wissenschaftler mehrmals gefragt : &amp;quot; Müssen wir wirklich runter auf nahe Null kommen ?</t>
  </si>
  <si>
    <t>file://conllu/de/teddy-918.conllu#s25_0</t>
  </si>
  <si>
    <t>26</t>
  </si>
  <si>
    <t>Reicht</t>
  </si>
  <si>
    <t>Reicht nicht die Hälfte oder ein Viertel ? &amp;quot;</t>
  </si>
  <si>
    <t>file://conllu/de/teddy-918.conllu#s26_0</t>
  </si>
  <si>
    <t>27</t>
  </si>
  <si>
    <t>sein (sein kommen)</t>
  </si>
  <si>
    <t>Die Antwort ist : Bis wir nahe Null kommen , wird die Temperatur weiter steigen .</t>
  </si>
  <si>
    <t>file://conllu/de/teddy-918.conllu#s27_0</t>
  </si>
  <si>
    <t>28</t>
  </si>
  <si>
    <t>sein (sein Herausforderung)</t>
  </si>
  <si>
    <t>Deshalb ist es eine große Herausforderung .</t>
  </si>
  <si>
    <t>file://conllu/de/teddy-918.conllu#s28_0</t>
  </si>
  <si>
    <t>29</t>
  </si>
  <si>
    <t>sagen</t>
  </si>
  <si>
    <t>Es ist ganz anders als zu sagen , wir haben ein 3,5 m hohen LKW , der unter einer 3 m Brücke her muss .</t>
  </si>
  <si>
    <t>file://conllu/de/teddy-918.conllu#s29_0</t>
  </si>
  <si>
    <t>30</t>
  </si>
  <si>
    <t>quetschen</t>
  </si>
  <si>
    <t>Den kann man dann quasi darunter her quetschen .</t>
  </si>
  <si>
    <t>file://conllu/de/teddy-918.conllu#s30_0</t>
  </si>
  <si>
    <t>31</t>
  </si>
  <si>
    <t>müssen</t>
  </si>
  <si>
    <t>Das hier muss ganz nach unten , auf Null .</t>
  </si>
  <si>
    <t>file://conllu/de/teddy-918.conllu#s31_0</t>
  </si>
  <si>
    <t>32</t>
  </si>
  <si>
    <t>stoßen</t>
  </si>
  <si>
    <t>Nun , wir stoßen jedes Jahr eine menge Kohlenstoffdioxid aus , über 26 Milliarden Tonnen .</t>
  </si>
  <si>
    <t>file://conllu/de/teddy-918.conllu#s32_0</t>
  </si>
  <si>
    <t>33</t>
  </si>
  <si>
    <t>Tonne</t>
  </si>
  <si>
    <t>Jeder Amerikaner etwa 20 Tonnen .</t>
  </si>
  <si>
    <t>file://conllu/de/teddy-918.conllu#s33_0</t>
  </si>
  <si>
    <t>34</t>
  </si>
  <si>
    <t>ein</t>
  </si>
  <si>
    <t>Menschen aus armen Ländern , weniger als eine .</t>
  </si>
  <si>
    <t>file://conllu/de/teddy-918.conllu#s34_0</t>
  </si>
  <si>
    <t>36</t>
  </si>
  <si>
    <t>hervorbringen</t>
  </si>
  <si>
    <t>Und irgendwie müssen wir Veränderungen hervorbringen , die das auf Null senken .</t>
  </si>
  <si>
    <t>file://conllu/de/teddy-918.conllu#s36_0</t>
  </si>
  <si>
    <t>37</t>
  </si>
  <si>
    <t>sein (sein steigen)</t>
  </si>
  <si>
    <t>Es ist bisher konstant gestiegen .</t>
  </si>
  <si>
    <t>file://conllu/de/teddy-918.conllu#s37_0</t>
  </si>
  <si>
    <t>38</t>
  </si>
  <si>
    <t>beeinflussen</t>
  </si>
  <si>
    <t>Nur verschiedene ökonomische Veränderungen haben es überhaupt beeinflusst und wir müssen von rapidem Anstieg zu Verringerung gehen und zu einer Verringerung bis auf Null .</t>
  </si>
  <si>
    <t>file://conllu/de/teddy-918.conllu#s38_0</t>
  </si>
  <si>
    <t>39</t>
  </si>
  <si>
    <t>haben</t>
  </si>
  <si>
    <t>Diese Gleichung hat vier Faktoren .</t>
  </si>
  <si>
    <t>file://conllu/de/teddy-918.conllu#s39_0</t>
  </si>
  <si>
    <t>40</t>
  </si>
  <si>
    <t>Multiplikation</t>
  </si>
  <si>
    <t>Ein bisschen Multiplikation .</t>
  </si>
  <si>
    <t>file://conllu/de/teddy-918.conllu#s40_0</t>
  </si>
  <si>
    <t>41</t>
  </si>
  <si>
    <t>wollen</t>
  </si>
  <si>
    <t>Sie haben dieses Ding links CO2 , das Sie Richtung Null bringen wollen und das wird von der Anzahl der Menschen abhängen , von den Diensten , die jeder Mensch im in dem Durchschnitt nutzt , der durchschnittlichen Energie für jeden Dienst und dem CO2 , das pro Energieeinheit emittiert wird .</t>
  </si>
  <si>
    <t>file://conllu/de/teddy-918.conllu#s41_0</t>
  </si>
  <si>
    <t>42</t>
  </si>
  <si>
    <t>anschauen</t>
  </si>
  <si>
    <t>Lassen Sie uns also jeden Faktor einzeln anschauen und überlegen wir , wie wir das auf Null bekommen .</t>
  </si>
  <si>
    <t>file://conllu/de/teddy-918.conllu#s42_0</t>
  </si>
  <si>
    <t>43</t>
  </si>
  <si>
    <t>kommen</t>
  </si>
  <si>
    <t>Wahrscheinlich muss eine dieser Zahlen sehr nah an Null kommen .</t>
  </si>
  <si>
    <t>file://conllu/de/teddy-918.conllu#s43_0</t>
  </si>
  <si>
    <t>44</t>
  </si>
  <si>
    <t>Durch?</t>
  </si>
  <si>
    <t>sein (sein Algebra)</t>
  </si>
  <si>
    <t>Nun das ist grundlegende Algebra , aber gehen wir es mal durch .</t>
  </si>
  <si>
    <t>file://conllu/de/teddy-918.conllu#s44_0</t>
  </si>
  <si>
    <t>45</t>
  </si>
  <si>
    <t>Zuerst haben wir die Bevölkerung .</t>
  </si>
  <si>
    <t>file://conllu/de/teddy-918.conllu#s45_0</t>
  </si>
  <si>
    <t>46</t>
  </si>
  <si>
    <t>leben</t>
  </si>
  <si>
    <t>Heute leben 6,8 Milliarden Menschen , und es schreitet auf 9 Milliarden zu .</t>
  </si>
  <si>
    <t>file://conllu/de/teddy-918.conllu#s46_0</t>
  </si>
  <si>
    <t>47</t>
  </si>
  <si>
    <t>bewegen</t>
  </si>
  <si>
    <t>die sich auf 9 Milliarden zu bewegen .</t>
  </si>
  <si>
    <t>file://conllu/de/teddy-918.conllu#s47_0</t>
  </si>
  <si>
    <t>48</t>
  </si>
  <si>
    <t>senken</t>
  </si>
  <si>
    <t>Wenn wir sehr erfolgreich mit neuen Impfstoffen , der Gesundheitsvorsorgung und Reproduktionsmedizin sind könnten wir das wohl um 10% bis 15% senken , aber zur zu der Zeit sehen wir eine Steigung um 1,3 .</t>
  </si>
  <si>
    <t>file://conllu/de/teddy-918.conllu#s48_0</t>
  </si>
  <si>
    <t>49</t>
  </si>
  <si>
    <t>sein (sein Dienst)</t>
  </si>
  <si>
    <t>Der zweite Faktor sind die Dienste , die wir nutzen .</t>
  </si>
  <si>
    <t>file://conllu/de/teddy-918.conllu#s49_0</t>
  </si>
  <si>
    <t>50</t>
  </si>
  <si>
    <t>umfassen</t>
  </si>
  <si>
    <t>Das umfasst alles , die Nahrung , die wir essen , Kleidung , Fernsehen , Heizung .</t>
  </si>
  <si>
    <t>file://conllu/de/teddy-918.conllu#s50_0</t>
  </si>
  <si>
    <t>51</t>
  </si>
  <si>
    <t>Das sind sehr gute Dinge und Armutsverringerung bedeutet , diese Dienste fast jedem auf dem Planeten zugänglich zu machen .</t>
  </si>
  <si>
    <t>file://conllu/de/teddy-918.conllu#s51_0</t>
  </si>
  <si>
    <t>52</t>
  </si>
  <si>
    <t>sein (sein toll)</t>
  </si>
  <si>
    <t>Es ist toll , dass diese Nummer steigt .</t>
  </si>
  <si>
    <t>file://conllu/de/teddy-918.conllu#s52_0</t>
  </si>
  <si>
    <t>53</t>
  </si>
  <si>
    <t>machen</t>
  </si>
  <si>
    <t>In der reichen Welt , in der oberen Milliarde , könnten wir wohl Abstriche machen und weniger nutzen , aber im in dem Durchschnitt wird diese Zahl jedes Jahr steigen und sich somit insgesamt mehr als verdoppeln , die Zahl der Dienste die pro Person bereitgestellt werden .</t>
  </si>
  <si>
    <t>file://conllu/de/teddy-918.conllu#s53_0</t>
  </si>
  <si>
    <t>54</t>
  </si>
  <si>
    <t>sehen</t>
  </si>
  <si>
    <t>Hier sehen wir einen sehr grundlegenden Dienst .</t>
  </si>
  <si>
    <t>file://conllu/de/teddy-918.conllu#s54_0</t>
  </si>
  <si>
    <t>55</t>
  </si>
  <si>
    <t>Gibt es zu Hause Licht , damit man die Hausaufgaben lesen kann ?</t>
  </si>
  <si>
    <t>file://conllu/de/teddy-918.conllu#s55_0</t>
  </si>
  <si>
    <t>56</t>
  </si>
  <si>
    <t>gehen</t>
  </si>
  <si>
    <t>Und diese Schüler haben es nicht , also gehen sie heraus und lesen ihre Schulaufgaben unter dem Straßenlicht .</t>
  </si>
  <si>
    <t>file://conllu/de/teddy-918.conllu#s56_0</t>
  </si>
  <si>
    <t>57</t>
  </si>
  <si>
    <t>Nun , bei Effektivität , dem E , die Energie pro Dienst , gibt es endlich gute Nachrichten .</t>
  </si>
  <si>
    <t>file://conllu/de/teddy-918.conllu#s57_0</t>
  </si>
  <si>
    <t>58</t>
  </si>
  <si>
    <t>Wir haben etwas , das nicht steigt , aufgrund verschiedener Erfolge im in dem Lichtsektor , durch andere Autotypen , durch neue Methoden im in dem Häuserbau , Es gibt viele Dienste , deren Energieaufwand Sie drastisch senken können , drastisch gesenkt werden kann , 103 00:05:50,000 &amp;amp;gt ;</t>
  </si>
  <si>
    <t>file://conllu/de/teddy-918.conllu#s58_0</t>
  </si>
  <si>
    <t>59</t>
  </si>
  <si>
    <t>lassen</t>
  </si>
  <si>
    <t>00:05:53,000 manche Dienste lassen sich um 90% reduzieren .</t>
  </si>
  <si>
    <t>file://conllu/de/teddy-918.conllu#s59_0</t>
  </si>
  <si>
    <t>60</t>
  </si>
  <si>
    <t>manche einzelne Dienste lassen sich um 90% reduzieren .</t>
  </si>
  <si>
    <t>file://conllu/de/teddy-918.conllu#s60_0</t>
  </si>
  <si>
    <t>61</t>
  </si>
  <si>
    <t>&amp;amp;gen</t>
  </si>
  <si>
    <t>In anderen Diensten , wie der Herstellung von Düngemitteln , 105 00:05:56,000 &amp;amp;gt ;</t>
  </si>
  <si>
    <t>file://conllu/de/teddy-918.conllu#s61_0</t>
  </si>
  <si>
    <t>62</t>
  </si>
  <si>
    <t>sein (sein klein)</t>
  </si>
  <si>
    <t>00:05:58,000 oder dem Luftverkehr oder Luftverkehr , ist der Spielraum für Verbesserungen sehr viel kleiner .</t>
  </si>
  <si>
    <t>file://conllu/de/teddy-918.conllu#s62_0</t>
  </si>
  <si>
    <t>63</t>
  </si>
  <si>
    <t>bekommen</t>
  </si>
  <si>
    <t>Insgesamt , wenn wir optimistisch sind , bekommen wir vielleicht eine Reduzierung um einen Faktor 3 oder vielleicht sogar um einen Faktor 6 .</t>
  </si>
  <si>
    <t>file://conllu/de/teddy-918.conllu#s63_0</t>
  </si>
  <si>
    <t>64</t>
  </si>
  <si>
    <t>sein (sein gehen)</t>
  </si>
  <si>
    <t>Aber bei den ersten drei Faktoren , sind wir jetzt von 26 Milliarden auf vielleicht allerbestes 13 Milliarden Tonnen gegangen .</t>
  </si>
  <si>
    <t>file://conllu/de/teddy-918.conllu#s64_0</t>
  </si>
  <si>
    <t>65</t>
  </si>
  <si>
    <t>reichen</t>
  </si>
  <si>
    <t>Und das reicht einfach nicht aus !</t>
  </si>
  <si>
    <t>file://conllu/de/teddy-918.conllu#s65_0</t>
  </si>
  <si>
    <t>66</t>
  </si>
  <si>
    <t>Sehen wir uns also den vierten Faktor an und dieser wird ein Schlüsselfaktor sein Das ist die Menge an CO2 , die pro Energieeinheit emittiert wird .</t>
  </si>
  <si>
    <t>file://conllu/de/teddy-918.conllu#s66_0</t>
  </si>
  <si>
    <t>67</t>
  </si>
  <si>
    <t>stellen</t>
  </si>
  <si>
    <t>Es stellt sich die Frage , ob man das auf Null bekommen kann .</t>
  </si>
  <si>
    <t>file://conllu/de/teddy-918.conllu#s67_0</t>
  </si>
  <si>
    <t>68</t>
  </si>
  <si>
    <t>nein</t>
  </si>
  <si>
    <t>Wenn Sie Kohle verbrennen : Nein .</t>
  </si>
  <si>
    <t>file://conllu/de/teddy-918.conllu#s68_0</t>
  </si>
  <si>
    <t>69</t>
  </si>
  <si>
    <t>Wenn Sie Erdgas verbrennen : Nein .</t>
  </si>
  <si>
    <t>file://conllu/de/teddy-918.conllu#s69_0</t>
  </si>
  <si>
    <t>70</t>
  </si>
  <si>
    <t>emittieren</t>
  </si>
  <si>
    <t>Fast jede Herstellungsmethode für Strom emittiert heutzutage CO2 , außer die erneuerbaren Energien und Nuklearenergie .</t>
  </si>
  <si>
    <t>file://conllu/de/teddy-918.conllu#s70_0</t>
  </si>
  <si>
    <t>71</t>
  </si>
  <si>
    <t>schaffen</t>
  </si>
  <si>
    <t>Also , was wir auf einem globalen Level machen müssen , ist , ein neues System zu schaffen .</t>
  </si>
  <si>
    <t>file://conllu/de/teddy-918.conllu#s71_0</t>
  </si>
  <si>
    <t>72</t>
  </si>
  <si>
    <t>brauchen</t>
  </si>
  <si>
    <t>Wir brauchen Energiewunder .</t>
  </si>
  <si>
    <t>file://conllu/de/teddy-918.conllu#s72_0</t>
  </si>
  <si>
    <t>73</t>
  </si>
  <si>
    <t>mein</t>
  </si>
  <si>
    <t>Wenn ich nun den Begriff &amp;quot; Wunder &amp;quot; benutze , meine ich nicht das Unmögliche .</t>
  </si>
  <si>
    <t>file://conllu/de/teddy-918.conllu#s73_0</t>
  </si>
  <si>
    <t>74</t>
  </si>
  <si>
    <t>sein (sein Wunder)</t>
  </si>
  <si>
    <t>Der Mikroprozessor ist ein Wunder .</t>
  </si>
  <si>
    <t>file://conllu/de/teddy-918.conllu#s74_0</t>
  </si>
  <si>
    <t>75</t>
  </si>
  <si>
    <t>Der PC ist ein Wunder .</t>
  </si>
  <si>
    <t>file://conllu/de/teddy-918.conllu#s75_0</t>
  </si>
  <si>
    <t>76</t>
  </si>
  <si>
    <t>Das Internet und dessen Dienste ist ein Wunder .</t>
  </si>
  <si>
    <t>file://conllu/de/teddy-918.conllu#s76_0</t>
  </si>
  <si>
    <t>77</t>
  </si>
  <si>
    <t>beitragen</t>
  </si>
  <si>
    <t>Die Menschen hier haben zu der Entwicklung vieler dieser Wunder beigetragen .</t>
  </si>
  <si>
    <t>file://conllu/de/teddy-918.conllu#s77_0</t>
  </si>
  <si>
    <t>78</t>
  </si>
  <si>
    <t>Normalerweise gibt es keine Deadline , dass man ein Wunder bis zu einem bestimmten Datum braucht .</t>
  </si>
  <si>
    <t>file://conllu/de/teddy-918.conllu#s78_0</t>
  </si>
  <si>
    <t>79</t>
  </si>
  <si>
    <t>stehen</t>
  </si>
  <si>
    <t>Normalerweise steht man quasi nur daneben und manche kommen , andere nicht .</t>
  </si>
  <si>
    <t>file://conllu/de/teddy-918.conllu#s79_0</t>
  </si>
  <si>
    <t>80</t>
  </si>
  <si>
    <t>In diesem Fall müssen wir aber Vollgas geben und ein Wunder in sehr kurzer Zeit bekommen .</t>
  </si>
  <si>
    <t>file://conllu/de/teddy-918.conllu#s80_0</t>
  </si>
  <si>
    <t>81</t>
  </si>
  <si>
    <t>fragen</t>
  </si>
  <si>
    <t>Nun , ich fragte mich , wie kann ich das wirklich rüberbringen ?</t>
  </si>
  <si>
    <t>file://conllu/de/teddy-918.conllu#s81_0</t>
  </si>
  <si>
    <t>82</t>
  </si>
  <si>
    <t>Gibt es eine natürliche Illustration , eine Demonstration , die die Vorstellung der Menschen hier entfacht ?</t>
  </si>
  <si>
    <t>file://conllu/de/teddy-918.conllu#s82_0</t>
  </si>
  <si>
    <t>83</t>
  </si>
  <si>
    <t>erinnern</t>
  </si>
  <si>
    <t>Ich erinnerte mich an letztes Jahr , als ich Moskitos brachte und irgendwie mochten die Leute das .</t>
  </si>
  <si>
    <t>file://conllu/de/teddy-918.conllu#s83_0</t>
  </si>
  <si>
    <t>84</t>
  </si>
  <si>
    <t>( Lachen ) Die Idee wurde für sie wirklich greifbar , wissen Sie , dass es Menschen gibt , die mit Moskitos leben .</t>
  </si>
  <si>
    <t>file://conllu/de/teddy-918.conllu#s84_0</t>
  </si>
  <si>
    <t>85</t>
  </si>
  <si>
    <t>fallen</t>
  </si>
  <si>
    <t>Für Energie fiel mir das hier ein .</t>
  </si>
  <si>
    <t>file://conllu/de/teddy-918.conllu#s85_0</t>
  </si>
  <si>
    <t>86</t>
  </si>
  <si>
    <t>entscheiden</t>
  </si>
  <si>
    <t>Ich entschied , dass das Freilassen von Glühwürmchen mein diesjähriger Beitrag zur zu der Umwelt hier sein würde .</t>
  </si>
  <si>
    <t>file://conllu/de/teddy-918.conllu#s86_0</t>
  </si>
  <si>
    <t>87</t>
  </si>
  <si>
    <t>sein (sein Glühwürmchen)</t>
  </si>
  <si>
    <t>Hier sind also ein paar natürliche Glühwürmchen .</t>
  </si>
  <si>
    <t>file://conllu/de/teddy-918.conllu#s87_0</t>
  </si>
  <si>
    <t>88</t>
  </si>
  <si>
    <t>versichern</t>
  </si>
  <si>
    <t>Man hat mir versichert , dass sie nicht beißen .</t>
  </si>
  <si>
    <t>file://conllu/de/teddy-918.conllu#s88_0</t>
  </si>
  <si>
    <t>89</t>
  </si>
  <si>
    <t>verlassen</t>
  </si>
  <si>
    <t>Tatsächlich werden sie wohl nicht mal das Glas verlassen .</t>
  </si>
  <si>
    <t>file://conllu/de/teddy-918.conllu#s89_0</t>
  </si>
  <si>
    <t>90</t>
  </si>
  <si>
    <t>Nun , es gibt alle möglichen Spielereilösungen wie diese , aber sie bringen alle nicht viel .</t>
  </si>
  <si>
    <t>file://conllu/de/teddy-918.conllu#s90_0</t>
  </si>
  <si>
    <t>91</t>
  </si>
  <si>
    <t>Wir brauchen Lösungen , entweder eine oder mehrere die eine unvorstellbare Skalierung und unvorstellbare Verlässlichkeit haben .</t>
  </si>
  <si>
    <t>file://conllu/de/teddy-918.conllu#s91_0</t>
  </si>
  <si>
    <t>92</t>
  </si>
  <si>
    <t>Und obwohl es viele Richtungen gibt , in denen Menschen danach suchen , sehe ich wirklich nur fünf , die diese großen Anforderungen leisten können .</t>
  </si>
  <si>
    <t>file://conllu/de/teddy-918.conllu#s92_0</t>
  </si>
  <si>
    <t>93</t>
  </si>
  <si>
    <t>ausgelassen</t>
  </si>
  <si>
    <t>Ich habe Gezeiten , Geothermal , Fusion und Biokraftstoffe ausgelassen .</t>
  </si>
  <si>
    <t>file://conllu/de/teddy-918.conllu#s93_0</t>
  </si>
  <si>
    <t>94</t>
  </si>
  <si>
    <t>leisten</t>
  </si>
  <si>
    <t>Diese leisten vielleicht einen moderaten Beitrag und wenn sie besseres leisten als ich erwarte , wäre das toll , aber meine Kernaussage hier ist , dass wir an all jenen fünf arbeiten müssen , und wir können keine von ihnen aufgeben , weil sie uns einschüchtern , denn alle haben signifikante Probleme .</t>
  </si>
  <si>
    <t>file://conllu/de/teddy-918.conllu#s94_0</t>
  </si>
  <si>
    <t>95</t>
  </si>
  <si>
    <t>schauen</t>
  </si>
  <si>
    <t>Schauen wir uns zuerst das Verbrennen fossiler Brennstoffe an , Verbrennung von entweder Kohle oder Erdgas .</t>
  </si>
  <si>
    <t>file://conllu/de/teddy-918.conllu#s95_0</t>
  </si>
  <si>
    <t>96</t>
  </si>
  <si>
    <t>Was?</t>
  </si>
  <si>
    <t>scheinen</t>
  </si>
  <si>
    <t>Was man dort machen muss , scheint vielleicht einfach , aber das ist es nicht .</t>
  </si>
  <si>
    <t>file://conllu/de/teddy-918.conllu#s96_0</t>
  </si>
  <si>
    <t>97</t>
  </si>
  <si>
    <t>müssen (müssen einfangen)</t>
  </si>
  <si>
    <t>Man müsste all das CO2 , das nach dem Verbrennen aus dem Schornstein kommt , einfangen , unter Druck verflüssigen und dann irgendwo lagern und hoffen , dass es dort bleibt .</t>
  </si>
  <si>
    <t>file://conllu/de/teddy-918.conllu#s97_0</t>
  </si>
  <si>
    <t>98</t>
  </si>
  <si>
    <t>Es gibt einige Pilotprojekte , die das auf einem 60% 80% Niveau schaffen , aber es auf 100% zu bekommen wird sehr schwierig werden .</t>
  </si>
  <si>
    <t>file://conllu/de/teddy-918.conllu#s98_0</t>
  </si>
  <si>
    <t>99</t>
  </si>
  <si>
    <t>Und eine Einigung für die Lagerung des CO2 zu erzielen , ist eine große Herausforderung .</t>
  </si>
  <si>
    <t>file://conllu/de/teddy-918.conllu#s99_0</t>
  </si>
  <si>
    <t>100</t>
  </si>
  <si>
    <t>sein (sein Lagerzeitfrage)</t>
  </si>
  <si>
    <t>Aber das größte Problem hier ist die Lagerzeitfrage .</t>
  </si>
  <si>
    <t>file://conllu/de/teddy-918.conllu#s100_0</t>
  </si>
  <si>
    <t>101</t>
  </si>
  <si>
    <t>sicherstellen</t>
  </si>
  <si>
    <t>Wer wird es sicherstellen ?</t>
  </si>
  <si>
    <t>file://conllu/de/teddy-918.conllu#s101_0</t>
  </si>
  <si>
    <t>102</t>
  </si>
  <si>
    <t>garantieren</t>
  </si>
  <si>
    <t>Wer kann etwas garantieren , was buchstäblich viele Milliarden mal größer als jede Art von Müll , den man sich von Nuklear und anderen Dingen vorstellen kann ?</t>
  </si>
  <si>
    <t>file://conllu/de/teddy-918.conllu#s102_0</t>
  </si>
  <si>
    <t>103</t>
  </si>
  <si>
    <t>sein (sein Menge)</t>
  </si>
  <si>
    <t>Das ist eine Menge Volumen .</t>
  </si>
  <si>
    <t>file://conllu/de/teddy-918.conllu#s103_0</t>
  </si>
  <si>
    <t>104</t>
  </si>
  <si>
    <t>sein (sein Nuß)</t>
  </si>
  <si>
    <t>Das ist also eine harte Nuss .</t>
  </si>
  <si>
    <t>file://conllu/de/teddy-918.conllu#s104_0</t>
  </si>
  <si>
    <t>105</t>
  </si>
  <si>
    <t>nah</t>
  </si>
  <si>
    <t>Als nächstes : Nuklearenergie .</t>
  </si>
  <si>
    <t>file://conllu/de/teddy-918.conllu#s105_0</t>
  </si>
  <si>
    <t>106</t>
  </si>
  <si>
    <t>Die hat auch drei große Probleme .</t>
  </si>
  <si>
    <t>file://conllu/de/teddy-918.conllu#s106_0</t>
  </si>
  <si>
    <t>107</t>
  </si>
  <si>
    <t>Kosten</t>
  </si>
  <si>
    <t>Die Kosten , vor allem in hochregulierten Ländern sind hoch .</t>
  </si>
  <si>
    <t>file://conllu/de/teddy-918.conllu#s107_0</t>
  </si>
  <si>
    <t>108</t>
  </si>
  <si>
    <t>Frage</t>
  </si>
  <si>
    <t>Die Frage nach Sicherheit , dass man wirklich fühlt , dass nichts schief gehen kann , trotz der menschlichen Mitarbeit , dass der Treibstoff nicht für Waffen verwendet wird .</t>
  </si>
  <si>
    <t>file://conllu/de/teddy-918.conllu#s108_0</t>
  </si>
  <si>
    <t>109</t>
  </si>
  <si>
    <t>Und was macht man dann mit dem Müll ?</t>
  </si>
  <si>
    <t>file://conllu/de/teddy-918.conllu#s109_0</t>
  </si>
  <si>
    <t>110</t>
  </si>
  <si>
    <t>Denn obwohl er nicht sehr groß ist , gibt es eine Menge Bedenken .</t>
  </si>
  <si>
    <t>file://conllu/de/teddy-918.conllu#s110_0</t>
  </si>
  <si>
    <t>111</t>
  </si>
  <si>
    <t>fühlen</t>
  </si>
  <si>
    <t>Die Menschen müssen sich dabei gut fühlen .</t>
  </si>
  <si>
    <t>file://conllu/de/teddy-918.conllu#s111_0</t>
  </si>
  <si>
    <t>112</t>
  </si>
  <si>
    <t>184 00:10:20,000 &amp;amp;gt ;</t>
  </si>
  <si>
    <t>file://conllu/de/teddy-918.conllu#s112_0</t>
  </si>
  <si>
    <t>113</t>
  </si>
  <si>
    <t>arbeiten</t>
  </si>
  <si>
    <t>00:10:25,000 Also drei sehr schwierige Probleme , die vielleicht lösbar sind Also drei sehr schwierige Probleme , die vielleicht lösbar sind , und an denen man deshalb arbeiten sollte .</t>
  </si>
  <si>
    <t>file://conllu/de/teddy-918.conllu#s113_0</t>
  </si>
  <si>
    <t>114</t>
  </si>
  <si>
    <t>zusammenfassen</t>
  </si>
  <si>
    <t>Die letzten drei der fünf habe ich zusammengefasst .</t>
  </si>
  <si>
    <t>file://conllu/de/teddy-918.conllu#s114_0</t>
  </si>
  <si>
    <t>115</t>
  </si>
  <si>
    <t>sein (sein Energie)</t>
  </si>
  <si>
    <t>Es sind die Erneuerbaren Energien , wie sie oft genannt werden .</t>
  </si>
  <si>
    <t>file://conllu/de/teddy-918.conllu#s115_0</t>
  </si>
  <si>
    <t>116</t>
  </si>
  <si>
    <t>Und auch die haben obwohl es toll ist , dass sie keinen Brennstoff brauchen sie haben einige Nachteile .</t>
  </si>
  <si>
    <t>file://conllu/de/teddy-918.conllu#s116_0</t>
  </si>
  <si>
    <t>118</t>
  </si>
  <si>
    <t>sein (sein Energiefarmen)</t>
  </si>
  <si>
    <t>Das sind Energiefarmen , man spricht von vielen Quadratkilometern , tausendmal mehr Fläche als ein normales Kraftwerk .</t>
  </si>
  <si>
    <t>file://conllu/de/teddy-918.conllu#s118_0</t>
  </si>
  <si>
    <t>119</t>
  </si>
  <si>
    <t>unterliegen</t>
  </si>
  <si>
    <t>Außerdem unterliegen diese Quellen Unterbrechungen : Die Sonne scheint nicht den ganzen Tag , sie scheint auch nicht jeden Tag und genauso weht auch der Wind nicht ständig .</t>
  </si>
  <si>
    <t>file://conllu/de/teddy-918.conllu#s119_0</t>
  </si>
  <si>
    <t>120</t>
  </si>
  <si>
    <t>Deshalb muss man , wenn man von diesen Quellen abhängig ist , einen Weg haben , die Energie auch in Zeiten wenn Sie nicht verfügbar ist , zu bekommen .</t>
  </si>
  <si>
    <t>file://conllu/de/teddy-918.conllu#s120_0</t>
  </si>
  <si>
    <t>121</t>
  </si>
  <si>
    <t>Es gibt hier also große Preisherausforderungen .</t>
  </si>
  <si>
    <t>file://conllu/de/teddy-918.conllu#s121_0</t>
  </si>
  <si>
    <t>122</t>
  </si>
  <si>
    <t>Es gibt Herausforderungen bei der Übertragung .</t>
  </si>
  <si>
    <t>file://conllu/de/teddy-918.conllu#s122_0</t>
  </si>
  <si>
    <t>123</t>
  </si>
  <si>
    <t>umgehen</t>
  </si>
  <si>
    <t>Wenn wir beispielsweise sagen , dass die Energiequelle außerhalb des Landes liegt , brauchen Sie nicht nur die Technologie , Sie müssen auch mit dem Risiko umgehen , dass die Energie von wo anders herkommt .</t>
  </si>
  <si>
    <t>file://conllu/de/teddy-918.conllu#s123_0</t>
  </si>
  <si>
    <t>124</t>
  </si>
  <si>
    <t>Und es gibt das Lagerungsproblem .</t>
  </si>
  <si>
    <t>file://conllu/de/teddy-918.conllu#s124_0</t>
  </si>
  <si>
    <t>125</t>
  </si>
  <si>
    <t>angeschauen</t>
  </si>
  <si>
    <t>Und um die Dimension zu zeigen , habe ich mir alle Arten von Batterien , die hergestellt werden , angeschaut : Die für Autos , Computer , Handys , Taschenlampen , für alles .</t>
  </si>
  <si>
    <t>file://conllu/de/teddy-918.conllu#s125_0</t>
  </si>
  <si>
    <t>126</t>
  </si>
  <si>
    <t>vergleichen</t>
  </si>
  <si>
    <t>Und das habe ich mit der Menge der elektronischen Energie , welche die Welt nutzt , verglichen .</t>
  </si>
  <si>
    <t>file://conllu/de/teddy-918.conllu#s126_0</t>
  </si>
  <si>
    <t>127</t>
  </si>
  <si>
    <t>finden</t>
  </si>
  <si>
    <t>Ich fand heraus , dass alle Batterien , die wir jetzt produzieren , weniger als 10 Minuten der Gesamtenergie lagern könnten .</t>
  </si>
  <si>
    <t>file://conllu/de/teddy-918.conllu#s127_0</t>
  </si>
  <si>
    <t>128</t>
  </si>
  <si>
    <t>Wir brauchen hier also einen großen Durchbruch , etwas , dass um einen Faktor 100 besser sein wird , als die Herangehensweisen zur zu der Zeit .</t>
  </si>
  <si>
    <t>file://conllu/de/teddy-918.conllu#s128_0</t>
  </si>
  <si>
    <t>129</t>
  </si>
  <si>
    <t>sein (sein unmöglich)</t>
  </si>
  <si>
    <t>Das ist nicht unmöglich , aber es ist nicht so leicht .</t>
  </si>
  <si>
    <t>file://conllu/de/teddy-918.conllu#s129_0</t>
  </si>
  <si>
    <t>130</t>
  </si>
  <si>
    <t>passieren</t>
  </si>
  <si>
    <t>Das passiert , wenn man versucht , diese unterbrochenen Quellen über sagen wir 20% 30% des Verbrauchs zu bringen .</t>
  </si>
  <si>
    <t>file://conllu/de/teddy-918.conllu#s130_0</t>
  </si>
  <si>
    <t>131</t>
  </si>
  <si>
    <t>Wenn Sie sich um 100% darauf stützen wollen , brauchen Sie eine unglaubliche Wunderbatterie .</t>
  </si>
  <si>
    <t>file://conllu/de/teddy-918.conllu#s131_0</t>
  </si>
  <si>
    <t>132</t>
  </si>
  <si>
    <t>Nun , wohin sollen wir gehen : Was ist der richtige Ansatz ?</t>
  </si>
  <si>
    <t>file://conllu/de/teddy-918.conllu#s132_0</t>
  </si>
  <si>
    <t>133</t>
  </si>
  <si>
    <t>Manhattan</t>
  </si>
  <si>
    <t>Ein &amp;quot; Manhattan Projekt &amp;quot; ?</t>
  </si>
  <si>
    <t>file://conllu/de/teddy-918.conllu#s133_0</t>
  </si>
  <si>
    <t>134</t>
  </si>
  <si>
    <t>Wie kommen wir ans an das Ziel ?</t>
  </si>
  <si>
    <t>file://conllu/de/teddy-918.conllu#s134_0</t>
  </si>
  <si>
    <t>135</t>
  </si>
  <si>
    <t>Was wir brauchen sind viele Firmen , die daran arbeiten .</t>
  </si>
  <si>
    <t>file://conllu/de/teddy-918.conllu#s135_0</t>
  </si>
  <si>
    <t>136</t>
  </si>
  <si>
    <t>Hundert</t>
  </si>
  <si>
    <t>Hunderte .</t>
  </si>
  <si>
    <t>file://conllu/de/teddy-918.conllu#s136_0</t>
  </si>
  <si>
    <t>137</t>
  </si>
  <si>
    <t>In jeden dieser fünf Bereiche brauchen wir mindestens 100 Menschen .</t>
  </si>
  <si>
    <t>file://conllu/de/teddy-918.conllu#s137_0</t>
  </si>
  <si>
    <t>138</t>
  </si>
  <si>
    <t>Bei vielen werden Sie sagen : Die sind verrückt !</t>
  </si>
  <si>
    <t>file://conllu/de/teddy-918.conllu#s138_0</t>
  </si>
  <si>
    <t>139</t>
  </si>
  <si>
    <t>sein (sein gut)</t>
  </si>
  <si>
    <t>Das ist gut .</t>
  </si>
  <si>
    <t>file://conllu/de/teddy-918.conllu#s139_0</t>
  </si>
  <si>
    <t>140</t>
  </si>
  <si>
    <t>glauben</t>
  </si>
  <si>
    <t>Ich glaube , hier in der TED Gruppe gibt es viele , die sich dort bereits engagieren .</t>
  </si>
  <si>
    <t>file://conllu/de/teddy-918.conllu#s140_0</t>
  </si>
  <si>
    <t>141</t>
  </si>
  <si>
    <t>Bill Gross hat mehrere Firmen , unter anderem eine namens eSolar die großartige Solarthermaltechnologien hat .</t>
  </si>
  <si>
    <t>file://conllu/de/teddy-918.conllu#s141_0</t>
  </si>
  <si>
    <t>142</t>
  </si>
  <si>
    <t>investieren</t>
  </si>
  <si>
    <t>Vinod Khosla investiert in dutzende Firmen die tolle Sachen machen und interessante Möglichkeiten haben und ich versuche das zu unterstützen .</t>
  </si>
  <si>
    <t>file://conllu/de/teddy-918.conllu#s142_0</t>
  </si>
  <si>
    <t>143</t>
  </si>
  <si>
    <t>finanzieren</t>
  </si>
  <si>
    <t>Nathan Myhrvold und ich finanzieren eine Firma , die , vielleicht überraschenderweise , den nuklearen Ansatz verfolgt .</t>
  </si>
  <si>
    <t>file://conllu/de/teddy-918.conllu#s143_0</t>
  </si>
  <si>
    <t>144</t>
  </si>
  <si>
    <t>Es gibt einige Innovationen im in dem Nuklearbereich ; modular , flüssig .</t>
  </si>
  <si>
    <t>file://conllu/de/teddy-918.conllu#s144_0</t>
  </si>
  <si>
    <t>145</t>
  </si>
  <si>
    <t>aufgehören</t>
  </si>
  <si>
    <t>Die Entwicklung hat in dieser Industrie vor einiger Zeit aufgehört , also ist es keine große Überraschung , dass einige gute Konzepte herumliegen .</t>
  </si>
  <si>
    <t>file://conllu/de/teddy-918.conllu#s145_0</t>
  </si>
  <si>
    <t>146</t>
  </si>
  <si>
    <t>Das TerraPower Konzept bedeutet , dass man anstelle eines Teils des Urans , dem einen Prozent , das U235 , wir entschieden , die 99% zu verbrennen , das U238 .</t>
  </si>
  <si>
    <t>file://conllu/de/teddy-918.conllu#s146_0</t>
  </si>
  <si>
    <t>147</t>
  </si>
  <si>
    <t>sein (sein Idee)</t>
  </si>
  <si>
    <t>Das ist eine ziemlich verrückte Idee .</t>
  </si>
  <si>
    <t>file://conllu/de/teddy-918.conllu#s147_0</t>
  </si>
  <si>
    <t>148</t>
  </si>
  <si>
    <t>simulieren</t>
  </si>
  <si>
    <t>Aber tatsächlich hatte man darüber schon lange nachgedacht , aber man konnte nie vernünftig simulieren , ob es funktionieren würde , doch seitdem es moderne Supercomputer gibt , kann man es simulieren und sehen , dass : Ja !</t>
  </si>
  <si>
    <t>file://conllu/de/teddy-918.conllu#s148_0</t>
  </si>
  <si>
    <t>149</t>
  </si>
  <si>
    <t>Mit der richtigen Materialienherangehensweise , sieht es so aus , dass es funktioniere .</t>
  </si>
  <si>
    <t>file://conllu/de/teddy-918.conllu#s149_0</t>
  </si>
  <si>
    <t>150</t>
  </si>
  <si>
    <t>Und weil man diese 99% verbrennt , ist das Kostenprofil sehr viel besser .</t>
  </si>
  <si>
    <t>file://conllu/de/teddy-918.conllu#s150_0</t>
  </si>
  <si>
    <t>151</t>
  </si>
  <si>
    <t>verbrennen</t>
  </si>
  <si>
    <t>Tatsächlich verbrennt man den Müll , und man kann sogar den Abfall von heutigen Reaktoren als Antriebsstoff benutzen .</t>
  </si>
  <si>
    <t>file://conllu/de/teddy-918.conllu#s151_0</t>
  </si>
  <si>
    <t>152</t>
  </si>
  <si>
    <t>zerbrechen</t>
  </si>
  <si>
    <t>Anstatt sich darüber den Kopf zu zerbrechen , verbrennen Sie es einfach .</t>
  </si>
  <si>
    <t>file://conllu/de/teddy-918.conllu#s152_0</t>
  </si>
  <si>
    <t>153</t>
  </si>
  <si>
    <t>Sache</t>
  </si>
  <si>
    <t>Eine tolle Sache .</t>
  </si>
  <si>
    <t>file://conllu/de/teddy-918.conllu#s153_0</t>
  </si>
  <si>
    <t>154</t>
  </si>
  <si>
    <t>verbrauchen</t>
  </si>
  <si>
    <t>Das Uran wird graduell verbraucht , ein bisschen wie eine Kerze .</t>
  </si>
  <si>
    <t>file://conllu/de/teddy-918.conllu#s154_0</t>
  </si>
  <si>
    <t>155</t>
  </si>
  <si>
    <t>Sie sehen , dass es eine Art Säule ist , oft als &amp;quot; Wandernde Welle Reaktor &amp;quot; bezeichnet .</t>
  </si>
  <si>
    <t>file://conllu/de/teddy-918.conllu#s155_0</t>
  </si>
  <si>
    <t>156</t>
  </si>
  <si>
    <t>lösen</t>
  </si>
  <si>
    <t>Das löst wirklich das Treibstoffproblem .</t>
  </si>
  <si>
    <t>file://conllu/de/teddy-918.conllu#s156_0</t>
  </si>
  <si>
    <t>157</t>
  </si>
  <si>
    <t>sein (sein Bild)</t>
  </si>
  <si>
    <t>Hier ist ein Bild eines Ortes in Kentucky .</t>
  </si>
  <si>
    <t>file://conllu/de/teddy-918.conllu#s157_0</t>
  </si>
  <si>
    <t>158</t>
  </si>
  <si>
    <t>sein (sein Abfall)</t>
  </si>
  <si>
    <t>Das ist der Abfall , die 99% .</t>
  </si>
  <si>
    <t>file://conllu/de/teddy-918.conllu#s158_0</t>
  </si>
  <si>
    <t>159</t>
  </si>
  <si>
    <t>herausgenommen</t>
  </si>
  <si>
    <t>Man hat den Teil , der heute verbrannt wird , herausgenommen also heißt es aufgebrauchtes Uran .</t>
  </si>
  <si>
    <t>file://conllu/de/teddy-918.conllu#s159_0</t>
  </si>
  <si>
    <t>160</t>
  </si>
  <si>
    <t>trieben</t>
  </si>
  <si>
    <t>Das triebe die U.S. für hunderte von Jahren an .</t>
  </si>
  <si>
    <t>file://conllu/de/teddy-918.conllu#s160_0</t>
  </si>
  <si>
    <t>161</t>
  </si>
  <si>
    <t>Und wenn man Ozeanwasser günstig und einfach filtriert , bekommt man genügend Treibstoff für die restliche Lebenszeit des Planeten .</t>
  </si>
  <si>
    <t>file://conllu/de/teddy-918.conllu#s161_0</t>
  </si>
  <si>
    <t>162</t>
  </si>
  <si>
    <t>wissen</t>
  </si>
  <si>
    <t>Wissen Sie , es gibt da noch viele Herausforderungen , aber es ist ein Beispiel von vielen hunderten von Konzepten , die wir brauchen , um vorwärts zu kommen .</t>
  </si>
  <si>
    <t>file://conllu/de/teddy-918.conllu#s162_0</t>
  </si>
  <si>
    <t>163</t>
  </si>
  <si>
    <t>überlegen</t>
  </si>
  <si>
    <t>Überlegen wir uns , wie wir unseren Erfolg messen sollten .</t>
  </si>
  <si>
    <t>file://conllu/de/teddy-918.conllu#s163_0</t>
  </si>
  <si>
    <t>164</t>
  </si>
  <si>
    <t>aussehen</t>
  </si>
  <si>
    <t>Wie sollte unser Zeugnis aussehen ?</t>
  </si>
  <si>
    <t>file://conllu/de/teddy-918.conllu#s164_0</t>
  </si>
  <si>
    <t>165</t>
  </si>
  <si>
    <t>Nun , gehen wir bis ans an das Ziel , das wir erreichen müssen und dann reden wir über den Zwischenschritt .</t>
  </si>
  <si>
    <t>file://conllu/de/teddy-918.conllu#s165_0</t>
  </si>
  <si>
    <t>166</t>
  </si>
  <si>
    <t>Viele sprechen von einer 80% Reduktion bis 2050 .</t>
  </si>
  <si>
    <t>file://conllu/de/teddy-918.conllu#s166_0</t>
  </si>
  <si>
    <t>167</t>
  </si>
  <si>
    <t>Es ist wirklich sehr wichtig , dass wir dorthin gelangen .</t>
  </si>
  <si>
    <t>file://conllu/de/teddy-918.conllu#s167_0</t>
  </si>
  <si>
    <t>168</t>
  </si>
  <si>
    <t>erzeugen</t>
  </si>
  <si>
    <t>Die restlichen 20% werden in armen Ländern erzeugt werden , sowie immer noch etwas Landwirtschaft .</t>
  </si>
  <si>
    <t>file://conllu/de/teddy-918.conllu#s168_0</t>
  </si>
  <si>
    <t>169</t>
  </si>
  <si>
    <t>sein (sein sauber)</t>
  </si>
  <si>
    <t>Hoffentlich wird Waldrohdung und Zement bis dahin sauber sein .</t>
  </si>
  <si>
    <t>file://conllu/de/teddy-918.conllu#s169_0</t>
  </si>
  <si>
    <t>170</t>
  </si>
  <si>
    <t>umstellen</t>
  </si>
  <si>
    <t>Also , um diese 80% zu erreichen , müssen die Industriestaaten , inklusive Ländern wie China , ihre Elektrizitätsgeneration komplett umstellen .</t>
  </si>
  <si>
    <t>file://conllu/de/teddy-918.conllu#s170_0</t>
  </si>
  <si>
    <t>171</t>
  </si>
  <si>
    <t>Die andere Note sagt , ob wir die Null Emissionen Technologie einsetzen , ob sie in allen entwickelten Ländern eingesetzt ist und wir auf dem Weg sind , sie zu dem Rest zu bekommen .</t>
  </si>
  <si>
    <t>file://conllu/de/teddy-918.conllu#s171_0</t>
  </si>
  <si>
    <t>172</t>
  </si>
  <si>
    <t>Das ist super wichtig .</t>
  </si>
  <si>
    <t>file://conllu/de/teddy-918.conllu#s172_0</t>
  </si>
  <si>
    <t>173</t>
  </si>
  <si>
    <t>Das wird ein Schlüsselelement dieses Zeugnisses .</t>
  </si>
  <si>
    <t>file://conllu/de/teddy-918.conllu#s173_0</t>
  </si>
  <si>
    <t>174</t>
  </si>
  <si>
    <t>zurückgehen</t>
  </si>
  <si>
    <t>Wenn wir von dort zurückgehen , wie sollte das 2020 Zeugnis aussehen ?</t>
  </si>
  <si>
    <t>file://conllu/de/teddy-918.conllu#s174_0</t>
  </si>
  <si>
    <t>175</t>
  </si>
  <si>
    <t>enthalten</t>
  </si>
  <si>
    <t>Es sollte wieder die beiden Elemente enthalten .</t>
  </si>
  <si>
    <t>file://conllu/de/teddy-918.conllu#s175_0</t>
  </si>
  <si>
    <t>176</t>
  </si>
  <si>
    <t>nutzen</t>
  </si>
  <si>
    <t>Wir sollten die Effektivitätsmaßnahmen nutzen , um Reduktion auf den Weg zu bringen .</t>
  </si>
  <si>
    <t>file://conllu/de/teddy-918.conllu#s176_0</t>
  </si>
  <si>
    <t>177</t>
  </si>
  <si>
    <t>Je weniger wir emittieren , desto geringer wird die CO2 Summe sein und damit auch die Temperatur .</t>
  </si>
  <si>
    <t>file://conllu/de/teddy-918.conllu#s177_0</t>
  </si>
  <si>
    <t>178</t>
  </si>
  <si>
    <t>sein (sein unternehmen)</t>
  </si>
  <si>
    <t>Aber eigentlich ist diese Note für die Dinge die wir unternehmen , die nicht komplett zu den großen Reduktionen führen , nur gleich , oder sogar etwas weniger wichtig wie die andere , welche die Schnelligkeit der Innovation für diese Durchbrüche darstellt .</t>
  </si>
  <si>
    <t>file://conllu/de/teddy-918.conllu#s178_0</t>
  </si>
  <si>
    <t>179</t>
  </si>
  <si>
    <t>verfolgen</t>
  </si>
  <si>
    <t>Diese Durchbrüche müssen wir mit Vollgas verfolgen und das können wir messen : in Firmenzahlen , in Pilotprojekten und Regulierungsänderungen .</t>
  </si>
  <si>
    <t>file://conllu/de/teddy-918.conllu#s179_0</t>
  </si>
  <si>
    <t>180</t>
  </si>
  <si>
    <t>Es gibt viele großartige Bücher zu diesem Thema .</t>
  </si>
  <si>
    <t>file://conllu/de/teddy-918.conllu#s180_0</t>
  </si>
  <si>
    <t>181</t>
  </si>
  <si>
    <t>Das Al Gore Buch &amp;quot; Wir haben die Wahl &amp;quot; und David McKays &amp;quot; Sustainable Energy Without the Hot Air . &amp;quot;</t>
  </si>
  <si>
    <t>file://conllu/de/teddy-918.conllu#s181_0</t>
  </si>
  <si>
    <t>182</t>
  </si>
  <si>
    <t>Sie gehen es wirklich durch und schaffen einen Rahmen , in dem dies breit diskutiert werden kann , denn wir brauchen dafür Unterstützung von allen Seiten .</t>
  </si>
  <si>
    <t>file://conllu/de/teddy-918.conllu#s182_0</t>
  </si>
  <si>
    <t>183</t>
  </si>
  <si>
    <t>Es gibt Einiges , das zusammenkommen muss .</t>
  </si>
  <si>
    <t>file://conllu/de/teddy-918.conllu#s183_0</t>
  </si>
  <si>
    <t>184</t>
  </si>
  <si>
    <t>sein (sein Wunsch)</t>
  </si>
  <si>
    <t>Das ist ein Wunsch .</t>
  </si>
  <si>
    <t>file://conllu/de/teddy-918.conllu#s184_0</t>
  </si>
  <si>
    <t>185</t>
  </si>
  <si>
    <t>Wunsch</t>
  </si>
  <si>
    <t>Ein sehr konkreter Wunsch , dass wir diese Technologie erfinden .</t>
  </si>
  <si>
    <t>file://conllu/de/teddy-918.conllu#s185_0</t>
  </si>
  <si>
    <t>186</t>
  </si>
  <si>
    <t>auswählen</t>
  </si>
  <si>
    <t>Wenn Sie mir nur einen Wunsch für die nächsten 50 Jahre gestatten , ich könnte den Präsidenten auswählen , einen Impfstoff , und das liebe ich , oder ich könnte diesen Wunsch wählen , der lautet , halbierter Energiepreis ohne CO2 wird erfunden .</t>
  </si>
  <si>
    <t>file://conllu/de/teddy-918.conllu#s186_0</t>
  </si>
  <si>
    <t>187</t>
  </si>
  <si>
    <t>nähmen</t>
  </si>
  <si>
    <t>diesen Wunsch nähme ich .</t>
  </si>
  <si>
    <t>file://conllu/de/teddy-918.conllu#s187_0</t>
  </si>
  <si>
    <t>188</t>
  </si>
  <si>
    <t>Dieser hat die größte Auswirkung .</t>
  </si>
  <si>
    <t>file://conllu/de/teddy-918.conllu#s188_0</t>
  </si>
  <si>
    <t>189</t>
  </si>
  <si>
    <t>Wenn wir diesen Wunsch nicht kriegen , wird der Graben zwischen langfristig und kurzfristig denkenden Menschen schrecklich werden , zwischen den USA und China , zwischen armen und reichen Ländern .</t>
  </si>
  <si>
    <t>file://conllu/de/teddy-918.conllu#s189_0</t>
  </si>
  <si>
    <t>190</t>
  </si>
  <si>
    <t>und fast alle Leben dieser 2 Milliarden werden sehr viel schlechter sein .</t>
  </si>
  <si>
    <t>file://conllu/de/teddy-918.conllu#s190_0</t>
  </si>
  <si>
    <t>191</t>
  </si>
  <si>
    <t>tun</t>
  </si>
  <si>
    <t>Was müssen wir also tun ?</t>
  </si>
  <si>
    <t>file://conllu/de/teddy-918.conllu#s191_0</t>
  </si>
  <si>
    <t>192</t>
  </si>
  <si>
    <t>appellieren</t>
  </si>
  <si>
    <t>Für welche Maßnahmen appelliere ich ?</t>
  </si>
  <si>
    <t>file://conllu/de/teddy-918.conllu#s192_0</t>
  </si>
  <si>
    <t>193</t>
  </si>
  <si>
    <t>einsetzen</t>
  </si>
  <si>
    <t>Wir müssen uns für mehr Forschungsgelder einsetzen .</t>
  </si>
  <si>
    <t>file://conllu/de/teddy-918.conllu#s193_0</t>
  </si>
  <si>
    <t>194</t>
  </si>
  <si>
    <t>Wenn Länder sich in Orten wie Koppenhagen treffen , sollten sie nicht nur über CO2 sprechen .</t>
  </si>
  <si>
    <t>file://conllu/de/teddy-918.conllu#s194_0</t>
  </si>
  <si>
    <t>195</t>
  </si>
  <si>
    <t>besprechen</t>
  </si>
  <si>
    <t>Sie sollten diese Innovationsstrategie besprechen und Sie wären geschockt von den lächerlich geringen Geldern , die für diese innovativen Herangehensweisen ausgegeben werden .</t>
  </si>
  <si>
    <t>file://conllu/de/teddy-918.conllu#s195_0</t>
  </si>
  <si>
    <t>196</t>
  </si>
  <si>
    <t>Wir brauchen Marktanreize , CO2 Steuern , Cap &amp;amp;amp ;</t>
  </si>
  <si>
    <t>file://conllu/de/teddy-918.conllu#s196_0</t>
  </si>
  <si>
    <t>197</t>
  </si>
  <si>
    <t>Trade etwas , dass ein Preissignal schafft .</t>
  </si>
  <si>
    <t>file://conllu/de/teddy-918.conllu#s197_0</t>
  </si>
  <si>
    <t>198</t>
  </si>
  <si>
    <t>verbreiten</t>
  </si>
  <si>
    <t>Wir müssen die Nachricht verbreiten .</t>
  </si>
  <si>
    <t>file://conllu/de/teddy-918.conllu#s198_0</t>
  </si>
  <si>
    <t>199</t>
  </si>
  <si>
    <t>fahren|führen</t>
  </si>
  <si>
    <t>Wir müssen Dialog rationaler und vollständiger führen und auch die Dinge , die von der Regierung unternommen werden .</t>
  </si>
  <si>
    <t>file://conllu/de/teddy-918.conllu#s199_0</t>
  </si>
  <si>
    <t>200</t>
  </si>
  <si>
    <t>Es ist ein wichtiger Wunsch , aber ich denke , wir können ihn erfüllen .</t>
  </si>
  <si>
    <t>file://conllu/de/teddy-918.conllu#s200_0</t>
  </si>
  <si>
    <t>201</t>
  </si>
  <si>
    <t>Dank</t>
  </si>
  <si>
    <t>Vielen Dank .</t>
  </si>
  <si>
    <t>file://conllu/de/teddy-918.conllu#s201_0</t>
  </si>
  <si>
    <t>202</t>
  </si>
  <si>
    <t>Rank|Danke</t>
  </si>
  <si>
    <t>( Applaus ) Chris Anderson : Danke .</t>
  </si>
  <si>
    <t>file://conllu/de/teddy-918.conllu#s202_0</t>
  </si>
  <si>
    <t>203</t>
  </si>
  <si>
    <t>Danke !</t>
  </si>
  <si>
    <t>file://conllu/de/teddy-918.conllu#s203_0</t>
  </si>
  <si>
    <t>204</t>
  </si>
  <si>
    <t>file://conllu/de/teddy-918.conllu#s204_0</t>
  </si>
  <si>
    <t>205</t>
  </si>
  <si>
    <t>verstehen</t>
  </si>
  <si>
    <t>Nur um TerraPower etwas besser zu verstehen Erstmal , können Sie uns eine Vorstellung der Größenordnung dieser Investition geben ?</t>
  </si>
  <si>
    <t>file://conllu/de/teddy-918.conllu#s205_0</t>
  </si>
  <si>
    <t>206</t>
  </si>
  <si>
    <t>Bill</t>
  </si>
  <si>
    <t>Bill Gates :</t>
  </si>
  <si>
    <t>file://conllu/de/teddy-918.conllu#s206_0</t>
  </si>
  <si>
    <t>207</t>
  </si>
  <si>
    <t>Um die Simulation auf einem Supercomputer durchzuführen , alle großen Wissenschaftler zu bekommen , was wir gemacht haben , brauchen wir nur einige 10 Millionen .</t>
  </si>
  <si>
    <t>file://conllu/de/teddy-918.conllu#s207_0</t>
  </si>
  <si>
    <t>208</t>
  </si>
  <si>
    <t>testen</t>
  </si>
  <si>
    <t>Und selbst wenn wir unsere Materialien in einem russischen Reaktor getestet haben , um sicherzustellen , dass es vernünftig funktioniert , ist man nur in den 100en Millionen .</t>
  </si>
  <si>
    <t>file://conllu/de/teddy-918.conllu#s208_0</t>
  </si>
  <si>
    <t>209</t>
  </si>
  <si>
    <t>sein (sein bauen)</t>
  </si>
  <si>
    <t>Der schwierige Schritt ist das Bauen des ersten Reaktors , weitere Milliarden zu finden , die Regularien und den Ort der tatsächlich den ersten davon baut .</t>
  </si>
  <si>
    <t>file://conllu/de/teddy-918.conllu#s209_0</t>
  </si>
  <si>
    <t>210</t>
  </si>
  <si>
    <t>sein (sein klar)</t>
  </si>
  <si>
    <t>Sobald der Erste fertig ist , wenn er so läuft wie versprochen , dann ist alles ganz klar , denn die Wirtschaftlichkeit , die Energiedichte ist so anders als bei Nuklearenergie , wie wir sie kennen .</t>
  </si>
  <si>
    <t>file://conllu/de/teddy-918.conllu#s210_0</t>
  </si>
  <si>
    <t>211</t>
  </si>
  <si>
    <t>CA : Um das richtig zu verstehen :</t>
  </si>
  <si>
    <t>file://conllu/de/teddy-918.conllu#s211_0</t>
  </si>
  <si>
    <t>212</t>
  </si>
  <si>
    <t>Das bedeutet tief in den Boden zu bauen fast wie eine vertikale Säule nuklearen Brennstoffs , dieses verbrauchten Urans und dann beginnt der Prozess oben und arbeitet sich weiter nach unten ?</t>
  </si>
  <si>
    <t>file://conllu/de/teddy-918.conllu#s212_0</t>
  </si>
  <si>
    <t>213</t>
  </si>
  <si>
    <t>BG</t>
  </si>
  <si>
    <t>BG : Genau .</t>
  </si>
  <si>
    <t>file://conllu/de/teddy-918.conllu#s213_0</t>
  </si>
  <si>
    <t>214</t>
  </si>
  <si>
    <t>befüllen</t>
  </si>
  <si>
    <t>Heute müssen Sie den Reaktor immer neu befüllen , also gibt es viele Leute und viele Kontrollen , die schief gehen können .</t>
  </si>
  <si>
    <t>file://conllu/de/teddy-918.conllu#s214_0</t>
  </si>
  <si>
    <t>215</t>
  </si>
  <si>
    <t>Ding</t>
  </si>
  <si>
    <t>Dieses Ding wo man ihn öffnet und Sachen hinein oder herausbringt .</t>
  </si>
  <si>
    <t>file://conllu/de/teddy-918.conllu#s215_0</t>
  </si>
  <si>
    <t>216</t>
  </si>
  <si>
    <t>Das ist nicht gut !</t>
  </si>
  <si>
    <t>file://conllu/de/teddy-918.conllu#s216_0</t>
  </si>
  <si>
    <t>217</t>
  </si>
  <si>
    <t>denken</t>
  </si>
  <si>
    <t>Wenn man aber sehr billigen Brennstoff hat , kann man ihn für 60 Jahre befüllen denken Sie an eine Säule die Sie vergraben , ohne die ganzen Komplexitäten .</t>
  </si>
  <si>
    <t>file://conllu/de/teddy-918.conllu#s217_0</t>
  </si>
  <si>
    <t>218</t>
  </si>
  <si>
    <t>sitzen</t>
  </si>
  <si>
    <t>Und es sitzt dort und brennt 60 Jahre lang und dann ist es fertig .</t>
  </si>
  <si>
    <t>file://conllu/de/teddy-918.conllu#s218_0</t>
  </si>
  <si>
    <t>219</t>
  </si>
  <si>
    <t>Nuklearreaktor</t>
  </si>
  <si>
    <t>CA : Ein Nuklearreaktor , der selbst eine Lösung für den Müll bietet .</t>
  </si>
  <si>
    <t>file://conllu/de/teddy-918.conllu#s219_0</t>
  </si>
  <si>
    <t>220</t>
  </si>
  <si>
    <t>BG : Ja . Nun , was mit dem Müll passiert : Man kann ihn sitzen lassen es gibt viel weniger Müll mit dieser Methode dann nehmen Sie ihn und packen ihn in den nächsten Reaktor und verbrennen es weiter .</t>
  </si>
  <si>
    <t>file://conllu/de/teddy-918.conllu#s220_0</t>
  </si>
  <si>
    <t>221</t>
  </si>
  <si>
    <t>beginnen</t>
  </si>
  <si>
    <t>Und wir beginnen , indem wir den Müll nehmen , der bereits existiert , der in diesen Kühlbecken oder Trockenbehältern bei den Reaktoren liegt .</t>
  </si>
  <si>
    <t>file://conllu/de/teddy-918.conllu#s221_0</t>
  </si>
  <si>
    <t>222</t>
  </si>
  <si>
    <t>sein (sein Startbrennstoff)</t>
  </si>
  <si>
    <t>Das ist unser Startbrennstoff .</t>
  </si>
  <si>
    <t>file://conllu/de/teddy-918.conllu#s222_0</t>
  </si>
  <si>
    <t>223</t>
  </si>
  <si>
    <t>reduziert</t>
  </si>
  <si>
    <t>Also ist das , was für diese Reaktoren ein Problem war , das , was wir in unseren füllen und damit wird das Müllvolumen dramatisch reduziert während dieses Prozesses .</t>
  </si>
  <si>
    <t>file://conllu/de/teddy-918.conllu#s223_0</t>
  </si>
  <si>
    <t>224</t>
  </si>
  <si>
    <t>CA : Aber während Sie mit verschiedenen Menschen dieser Welt über diese Möglichkeiten gesprochen haben , wo ist das größte Interesse , so was wirklich umzusetzen ?</t>
  </si>
  <si>
    <t>file://conllu/de/teddy-918.conllu#s224_0</t>
  </si>
  <si>
    <t>225</t>
  </si>
  <si>
    <t>festlegen</t>
  </si>
  <si>
    <t>BG : Nun wir haben uns noch nicht auf einen Ort festgelegt und es gibt eine Menge interessanter Offenlegungsregeln für alles das &amp;quot; nuklear &amp;quot; im in dem Namen trägt .</t>
  </si>
  <si>
    <t>file://conllu/de/teddy-918.conllu#s225_0</t>
  </si>
  <si>
    <t>226</t>
  </si>
  <si>
    <t>sein (sein geben)</t>
  </si>
  <si>
    <t>Es gibt großes Interesse und die Menschen des Unternehmens waren in Russland , Indien , China ...</t>
  </si>
  <si>
    <t>file://conllu/de/teddy-918.conllu#s226_0</t>
  </si>
  <si>
    <t>227</t>
  </si>
  <si>
    <t>sein</t>
  </si>
  <si>
    <t>Ich war hier und habe den Energieminister getroffen und darüber gesprochen , wie dies zur zu der Energieagenda passt .</t>
  </si>
  <si>
    <t>file://conllu/de/teddy-918.conllu#s227_0</t>
  </si>
  <si>
    <t>228</t>
  </si>
  <si>
    <t>sein (sein optimistisch)</t>
  </si>
  <si>
    <t>Ich bin optimistisch .</t>
  </si>
  <si>
    <t>file://conllu/de/teddy-918.conllu#s228_0</t>
  </si>
  <si>
    <t>229</t>
  </si>
  <si>
    <t>Wissen Sie , die Franzosen und Japaner haben etwas in die Richtung gemacht .</t>
  </si>
  <si>
    <t>file://conllu/de/teddy-918.conllu#s229_0</t>
  </si>
  <si>
    <t>230</t>
  </si>
  <si>
    <t>sein (sein Variante)</t>
  </si>
  <si>
    <t>Dies ist eine Variante einer Sache , die gemacht wurde .</t>
  </si>
  <si>
    <t>file://conllu/de/teddy-918.conllu#s230_0</t>
  </si>
  <si>
    <t>231</t>
  </si>
  <si>
    <t>sein (sein jed)</t>
  </si>
  <si>
    <t>Das ist ein wichtiger Schritt vorwärts , aber es ist wie ein schneller Reaktor und einige Länder haben diese gebaut , deshalb ist jeder , der einen schnellen Reaktor umgesetzt hat , ein Kandidatat für unseren ersten .</t>
  </si>
  <si>
    <t>file://conllu/de/teddy-918.conllu#s231_0</t>
  </si>
  <si>
    <t>232</t>
  </si>
  <si>
    <t>ca</t>
  </si>
  <si>
    <t>CA :</t>
  </si>
  <si>
    <t>file://conllu/de/teddy-918.conllu#s232_0</t>
  </si>
  <si>
    <t>233</t>
  </si>
  <si>
    <t>rufen</t>
  </si>
  <si>
    <t>In Ihrer Vorstellung : Zeitrahmen und Wahrscheinlichkeit so etwas wirklich ins in das Leben zu rufen ?</t>
  </si>
  <si>
    <t>file://conllu/de/teddy-918.conllu#s233_0</t>
  </si>
  <si>
    <t>234</t>
  </si>
  <si>
    <t>BG : Nun wir brauchen eines dieser skalierbaren , stromgenerierenden Dinge , die sehr günstig sind , wir haben 20 Jahre zum zu dem Erfinden und dann 20 Jahre zum zu dem Einsetzen .</t>
  </si>
  <si>
    <t>file://conllu/de/teddy-918.conllu#s234_0</t>
  </si>
  <si>
    <t>235</t>
  </si>
  <si>
    <t>sein (sein Deadline)</t>
  </si>
  <si>
    <t>Das ist quasi die Deadline , die uns die Umweltmodelle aufgezeigt hat , die wir einhalten müssen .</t>
  </si>
  <si>
    <t>file://conllu/de/teddy-918.conllu#s235_0</t>
  </si>
  <si>
    <t>236</t>
  </si>
  <si>
    <t>halten</t>
  </si>
  <si>
    <t>Und , wissen Sie , TerraPower , wenn alles gut läuft , und das ist ein großer Wunsch , könnte das leicht halten .</t>
  </si>
  <si>
    <t>file://conllu/de/teddy-918.conllu#s236_0</t>
  </si>
  <si>
    <t>237</t>
  </si>
  <si>
    <t>Und glücklicherweise gibt es heute Dutzende von Firmen , und wir brauchen Hunderte , die , genauso , wenn deren Ansätze funktionieren , die Förderung für ihre Piloten funktioniert , dafür mitbieten können .</t>
  </si>
  <si>
    <t>file://conllu/de/teddy-918.conllu#s237_0</t>
  </si>
  <si>
    <t>238</t>
  </si>
  <si>
    <t>Und es wäre am an dem Besten , wenn es mehrere schaffen , denn dann könnte man eine Mischung benutzen .</t>
  </si>
  <si>
    <t>file://conllu/de/teddy-918.conllu#s238_0</t>
  </si>
  <si>
    <t>239</t>
  </si>
  <si>
    <t>Auf jeden Fall brauchen wir eine Lösung .</t>
  </si>
  <si>
    <t>file://conllu/de/teddy-918.conllu#s239_0</t>
  </si>
  <si>
    <t>240</t>
  </si>
  <si>
    <t>sein (sein groß)</t>
  </si>
  <si>
    <t>CA : Betreffend der großen möglichen Durchbrüche , ist dies das Größte , das Sie kennen ?</t>
  </si>
  <si>
    <t>file://conllu/de/teddy-918.conllu#s240_0</t>
  </si>
  <si>
    <t>241</t>
  </si>
  <si>
    <t>sein (sein allerwichtig)</t>
  </si>
  <si>
    <t>BG : Ein Energiedurchbruch ist das allerwichtigste .</t>
  </si>
  <si>
    <t>file://conllu/de/teddy-918.conllu#s241_0</t>
  </si>
  <si>
    <t>242</t>
  </si>
  <si>
    <t>sein (sein Umweltherausforderung)</t>
  </si>
  <si>
    <t>Das wäre es auch ohne die Umweltherausforderung gewesen , aber die macht es noch so viel wichtiger .</t>
  </si>
  <si>
    <t>file://conllu/de/teddy-918.conllu#s242_0</t>
  </si>
  <si>
    <t>244</t>
  </si>
  <si>
    <t>Wissen Sie , wir kennen deren Arbeit nicht so gut wie diese , aber es gibt die modulare Methode , das ist ein anderer Ansatz .</t>
  </si>
  <si>
    <t>file://conllu/de/teddy-918.conllu#s244_0</t>
  </si>
  <si>
    <t>245</t>
  </si>
  <si>
    <t>Es gibt einen flüssigen Reaktortyp , welches etwas schwierig scheint , aber vielleicht sagen die das über uns .</t>
  </si>
  <si>
    <t>file://conllu/de/teddy-918.conllu#s245_0</t>
  </si>
  <si>
    <t>246</t>
  </si>
  <si>
    <t>Und somit gibt es verschiedene , aber das schöne daran ist , dass ein Uranmolekül eine Millionen mal so viel Energie hat wie ein , sagen wir , ein Kohlemolekül und deshalb , wenn Sie mit den Problemen umgehen können und die sind hauptsächlich die Strahlung , der Fußabdruck und die Kosten , spielt das Potential , also die Auswirkungen auf das Land und andere Dinge , fast in einer eigenen Liga .</t>
  </si>
  <si>
    <t>file://conllu/de/teddy-918.conllu#s246_0</t>
  </si>
  <si>
    <t>247</t>
  </si>
  <si>
    <t>klappen</t>
  </si>
  <si>
    <t>CA : Wenn das nicht klappt , was dann ?</t>
  </si>
  <si>
    <t>file://conllu/de/teddy-918.conllu#s247_0</t>
  </si>
  <si>
    <t>248</t>
  </si>
  <si>
    <t>einleiten</t>
  </si>
  <si>
    <t>Müssen wir Notfallmaßnahmen einleiten , um zu versuchen , die Erdtemperatur stabil zu halten ?</t>
  </si>
  <si>
    <t>file://conllu/de/teddy-918.conllu#s248_0</t>
  </si>
  <si>
    <t>249</t>
  </si>
  <si>
    <t>essen</t>
  </si>
  <si>
    <t>BG : Wenn man in diese Situation kommt , ist es als ob man zu viel gegessen hat , und kurz vor einem Herzinfarkt steht .</t>
  </si>
  <si>
    <t>file://conllu/de/teddy-918.conllu#s249_0</t>
  </si>
  <si>
    <t>250</t>
  </si>
  <si>
    <t>Was macht man dann ?</t>
  </si>
  <si>
    <t>file://conllu/de/teddy-918.conllu#s250_0</t>
  </si>
  <si>
    <t>251</t>
  </si>
  <si>
    <t>Man braucht vielleicht eine Herzoperation oder ähnliches .</t>
  </si>
  <si>
    <t>file://conllu/de/teddy-918.conllu#s251_0</t>
  </si>
  <si>
    <t>252</t>
  </si>
  <si>
    <t>Es gibt eine Forschungsrichtung die sich Geoengineering nennt , die sich mit verschiedenen Techniken befasst , um die Erwärmung zu verzögern , damit wir 20 oder 30 Jahre länger bekämen um uns zusammenzuraufen .</t>
  </si>
  <si>
    <t>file://conllu/de/teddy-918.conllu#s252_0</t>
  </si>
  <si>
    <t>253</t>
  </si>
  <si>
    <t>sein (sein Versicherungsmethode)</t>
  </si>
  <si>
    <t>Das ist nur eine Versicherungsmethode .</t>
  </si>
  <si>
    <t>file://conllu/de/teddy-918.conllu#s253_0</t>
  </si>
  <si>
    <t>254</t>
  </si>
  <si>
    <t>hoffen</t>
  </si>
  <si>
    <t>Man hofft , dass wir das nicht brauchen .</t>
  </si>
  <si>
    <t>file://conllu/de/teddy-918.conllu#s254_0</t>
  </si>
  <si>
    <t>255</t>
  </si>
  <si>
    <t>Manche Leute sagen , man sollte gar nicht erst an der Versicherung arbeiten weil einen das vielleicht faul macht , sodass man weiter isst , weil man weiß , dass einen die Herzoperation retten wird .</t>
  </si>
  <si>
    <t>file://conllu/de/teddy-918.conllu#s255_0</t>
  </si>
  <si>
    <t>256</t>
  </si>
  <si>
    <t>Ich weiß nicht , ob das klug ist , wenn man sich die Wichtigkeit dieses Problems vor Augen führt , aber es gibt nun einen Diskurs in Geoengineering darüber , ob man das zur zu der Verfügung haben sollte , falls die Dinge schneller kommen , oder diese Innovation länger braucht , als wir erwarten .</t>
  </si>
  <si>
    <t>file://conllu/de/teddy-918.conllu#s256_0</t>
  </si>
  <si>
    <t>257</t>
  </si>
  <si>
    <t>CA : Klimaskeptiker : Haben</t>
  </si>
  <si>
    <t>file://conllu/de/teddy-918.conllu#s257_0</t>
  </si>
  <si>
    <t>258</t>
  </si>
  <si>
    <t>Satz</t>
  </si>
  <si>
    <t>Sie ein oder zwei Sätze für die , um Sie vielleicht zu überzeugen ?</t>
  </si>
  <si>
    <t>file://conllu/de/teddy-918.conllu#s258_0</t>
  </si>
  <si>
    <t>259</t>
  </si>
  <si>
    <t>BG : Nun , leider leben die Skeptiker in sehr verschiedenen Camps .</t>
  </si>
  <si>
    <t>file://conllu/de/teddy-918.conllu#s259_0</t>
  </si>
  <si>
    <t>260</t>
  </si>
  <si>
    <t>sein (sein wenig)</t>
  </si>
  <si>
    <t>Diejenigen , die wissenschaftliche Argumente machen , sind sehr wenig .</t>
  </si>
  <si>
    <t>file://conllu/de/teddy-918.conllu#s260_0</t>
  </si>
  <si>
    <t>261</t>
  </si>
  <si>
    <t>Sagen sie , dass es negative Auswirkungen gibt , die mit den Wolken zu tun haben , die Dinge verschieben ?</t>
  </si>
  <si>
    <t>file://conllu/de/teddy-918.conllu#s261_0</t>
  </si>
  <si>
    <t>262</t>
  </si>
  <si>
    <t>Es gibt sehr , sehr wenige Dinge , die sie überhaupt sagen können , von denen es eine Chance in einer Millionen gibt .</t>
  </si>
  <si>
    <t>file://conllu/de/teddy-918.conllu#s262_0</t>
  </si>
  <si>
    <t>263</t>
  </si>
  <si>
    <t>sein (sein ähnlich)</t>
  </si>
  <si>
    <t>Das Hauptproblem hier ist so ähnlich wie bei AIDS .</t>
  </si>
  <si>
    <t>file://conllu/de/teddy-918.conllu#s263_0</t>
  </si>
  <si>
    <t>264</t>
  </si>
  <si>
    <t>Man macht den Fehler jetzt , und man zahlt dafür sehr viel später .</t>
  </si>
  <si>
    <t>file://conllu/de/teddy-918.conllu#s264_0</t>
  </si>
  <si>
    <t>265</t>
  </si>
  <si>
    <t>sein (sein Vorstellung)</t>
  </si>
  <si>
    <t>Und deshalb ist die Vorstellung , jetzt , wenn man alle möglichen dringenden Probleme hat , in etwas zu investieren , von dem man erst später was hat und dazu kommt , dass die Investition nicht so klar ist .</t>
  </si>
  <si>
    <t>file://conllu/de/teddy-918.conllu#s265_0</t>
  </si>
  <si>
    <t>266</t>
  </si>
  <si>
    <t>Tatsächlich ist der IPCC Report nicht unbedingt das schlimmste Szenario und es gibt Menschen in der reichen Welt , die sich IPCC anschauen und sagen , okay , das ist kein großes Drama .</t>
  </si>
  <si>
    <t>file://conllu/de/teddy-918.conllu#s266_0</t>
  </si>
  <si>
    <t>267</t>
  </si>
  <si>
    <t>Die Tatsache ist , dass diese Unsicherheit uns Sorgen machen sollte .</t>
  </si>
  <si>
    <t>file://conllu/de/teddy-918.conllu#s267_0</t>
  </si>
  <si>
    <t>268</t>
  </si>
  <si>
    <t>Aber mein Traum hier ist , dass , wenn man es ökonomisch machen kann , und gleichzeitig das CO2 beseitigt , dann sagen auch die Skeptiker : &amp;quot; Okay , Es interessiert mich nicht , dass es kein CO2 emittiert , ich wünschte fast , dass es das täte , aber ich werde es wohl akzeptieren , weil es billiger ist als die vorherige Methode . &amp;quot;</t>
  </si>
  <si>
    <t>file://conllu/de/teddy-918.conllu#s268_0</t>
  </si>
  <si>
    <t>269</t>
  </si>
  <si>
    <t>sein (sein Antwort)</t>
  </si>
  <si>
    <t>CA : Und das wäre Ihre Antwort auf das Björn Lomborg Argument , dass , wenn man all diese Zeit und Energie verwendet um das CO2 Problem zu lösen , all die anderen Ziele darunter leiden , die Armutsverringerung , die Bekämpfung von Malaria und so weiter , dass es eine dumme Verschwendung von Ressourcen ist , Geld dafür zu investieren , während es bessere Dinge gibt , die wir tun können .</t>
  </si>
  <si>
    <t>file://conllu/de/teddy-918.conllu#s269_0</t>
  </si>
  <si>
    <t>270</t>
  </si>
  <si>
    <t>BG : Nun , die tatsächlichen Ausgaben für die Forschung sagen wir die U.S. sollten 10 Milliarden pro Jahr mehr ausgeben als sie heute tun das ist nicht so dramatisch .</t>
  </si>
  <si>
    <t>file://conllu/de/teddy-918.conllu#s270_0</t>
  </si>
  <si>
    <t>271</t>
  </si>
  <si>
    <t>leiden</t>
  </si>
  <si>
    <t>Darunter sollten anderen Dinge nicht leiden .</t>
  </si>
  <si>
    <t>file://conllu/de/teddy-918.conllu#s271_0</t>
  </si>
  <si>
    <t>272</t>
  </si>
  <si>
    <t>Man kommt dann zu großen Geldsummen , und hier können vernünftige Leute widersprechen , wenn man etwas hat , das nicht ökonomisch ist , und versucht , das zu finanzieren .</t>
  </si>
  <si>
    <t>file://conllu/de/teddy-918.conllu#s272_0</t>
  </si>
  <si>
    <t>273</t>
  </si>
  <si>
    <t>geschehen</t>
  </si>
  <si>
    <t>Für mich geschieht hier die meiste Verschwendung .</t>
  </si>
  <si>
    <t>file://conllu/de/teddy-918.conllu#s273_0</t>
  </si>
  <si>
    <t>274</t>
  </si>
  <si>
    <t>sein (sein denn)</t>
  </si>
  <si>
    <t>Es sei denn , man ist sehr kurz vor einem Kostendurchbruch und finanziert nur noch die Lernkurve .</t>
  </si>
  <si>
    <t>file://conllu/de/teddy-918.conllu#s274_0</t>
  </si>
  <si>
    <t>275</t>
  </si>
  <si>
    <t>versuchen (versuchen glauben)</t>
  </si>
  <si>
    <t>Ich glaube wir sollten mehr Dinge versuchen , die das Potential haben , sehr viel günstiger zu sein .</t>
  </si>
  <si>
    <t>file://conllu/de/teddy-918.conllu#s275_0</t>
  </si>
  <si>
    <t>276</t>
  </si>
  <si>
    <t>sein (sein Energiepreis)</t>
  </si>
  <si>
    <t>Falls der Abstrich , den man bekommt , ein sehr hoher Energiepreis ist , dann können nur die Reichen mithalten .</t>
  </si>
  <si>
    <t>file://conllu/de/teddy-918.conllu#s276_0</t>
  </si>
  <si>
    <t>277</t>
  </si>
  <si>
    <t>Ich meine?</t>
  </si>
  <si>
    <t>ausgeben</t>
  </si>
  <si>
    <t>Ich meine , jeder von uns hier könnte fünf mal so viel für unsere Energie ausgeben ohne seinen Lebensstil zu ändern .</t>
  </si>
  <si>
    <t>file://conllu/de/teddy-918.conllu#s277_0</t>
  </si>
  <si>
    <t>278</t>
  </si>
  <si>
    <t>sein (sein Desaster)</t>
  </si>
  <si>
    <t>Für die unteren zwei Milliarden aber ist es ein Desaster .</t>
  </si>
  <si>
    <t>file://conllu/de/teddy-918.conllu#s278_0</t>
  </si>
  <si>
    <t>279</t>
  </si>
  <si>
    <t>Und selbst Lomborg denkt um .</t>
  </si>
  <si>
    <t>file://conllu/de/teddy-918.conllu#s279_0</t>
  </si>
  <si>
    <t>280</t>
  </si>
  <si>
    <t>Warum?</t>
  </si>
  <si>
    <t>sein (sein jetzt)</t>
  </si>
  <si>
    <t>Seine neue Masche ist jetzt : &amp;quot; Warum wird die Forschung nicht mehr besprochen ? &amp;quot;</t>
  </si>
  <si>
    <t>file://conllu/de/teddy-918.conllu#s280_0</t>
  </si>
  <si>
    <t>281</t>
  </si>
  <si>
    <t>assoziieren</t>
  </si>
  <si>
    <t>Er wird immer noch , wegen seiner früheren Geschichten , mit dem Skeptiker Camp assoziiert , aber er hat verstanden , dass das eine sehr einsame Gruppe ist und deshalb bringt er jetzt das Forschungsargument .</t>
  </si>
  <si>
    <t>file://conllu/de/teddy-918.conllu#s281_0</t>
  </si>
  <si>
    <t>282</t>
  </si>
  <si>
    <t>sein (sein Gedankengang)</t>
  </si>
  <si>
    <t>Und das ist ein Gedankengang , den ich für angemessen halte .</t>
  </si>
  <si>
    <t>file://conllu/de/teddy-918.conllu#s282_0</t>
  </si>
  <si>
    <t>283</t>
  </si>
  <si>
    <t>Forschung</t>
  </si>
  <si>
    <t>Die Forschung , es ist einfach verrückt , wie wenig die unterstützt wird .</t>
  </si>
  <si>
    <t>file://conllu/de/teddy-918.conllu#s283_0</t>
  </si>
  <si>
    <t>284</t>
  </si>
  <si>
    <t>sagen (sagen glauben)</t>
  </si>
  <si>
    <t>CA : Bill , ich glaube ich spreche für fast alle Menschen hier , wenn ich sage , ich hoffe wirklich , dass Ihr Wunsch wahr wird .</t>
  </si>
  <si>
    <t>file://conllu/de/teddy-918.conllu#s284_0</t>
  </si>
  <si>
    <t>285</t>
  </si>
  <si>
    <t>Vielen , vielen Dank .</t>
  </si>
  <si>
    <t>file://conllu/de/teddy-918.conllu#s285_0</t>
  </si>
  <si>
    <t>286</t>
  </si>
  <si>
    <t>BG : Danke .</t>
  </si>
  <si>
    <t>file://conllu/de/teddy-918.conllu#s286_0</t>
  </si>
  <si>
    <t>WORD</t>
  </si>
  <si>
    <t>GR</t>
  </si>
  <si>
    <t>NP_TYPE</t>
  </si>
  <si>
    <t>REF_AUTO</t>
  </si>
  <si>
    <t>COREF</t>
  </si>
  <si>
    <t>REF</t>
  </si>
  <si>
    <t>IS</t>
  </si>
  <si>
    <t>CB</t>
  </si>
  <si>
    <t>GR_ANTE</t>
  </si>
  <si>
    <t>REF_DIST</t>
  </si>
  <si>
    <t>REF_DIST_ANTE</t>
  </si>
  <si>
    <t># text = Heute spreche ich zu Ihnen über Energie und Klima.</t>
  </si>
  <si>
    <t>Heute</t>
  </si>
  <si>
    <t>spreche</t>
  </si>
  <si>
    <t>ich</t>
  </si>
  <si>
    <t>SBJ</t>
  </si>
  <si>
    <t>pron.pper</t>
  </si>
  <si>
    <t>?OLD</t>
  </si>
  <si>
    <t>zu</t>
  </si>
  <si>
    <t>other_2</t>
  </si>
  <si>
    <t>pron.pind</t>
  </si>
  <si>
    <t>Ihnen</t>
  </si>
  <si>
    <t>other</t>
  </si>
  <si>
    <t>über</t>
  </si>
  <si>
    <t>Energie</t>
  </si>
  <si>
    <t>indef-np.bare</t>
  </si>
  <si>
    <t>und</t>
  </si>
  <si>
    <t>Klima</t>
  </si>
  <si>
    <t>.</t>
  </si>
  <si>
    <t># text = Und das überrascht vielleicht etwas, weil sich meine Vollzeitbeschäftigung bei der Stiftung hauptsächlich um Impfstoffe und Saatgut dreht, um die Dinge, die wir erfinden und liefern müssen um den ärmsten 2 Milliarden ein besseres Leben zu ermöglichen.</t>
  </si>
  <si>
    <t>Und</t>
  </si>
  <si>
    <t>das</t>
  </si>
  <si>
    <t>überrascht</t>
  </si>
  <si>
    <t>vielleicht</t>
  </si>
  <si>
    <t>def-np.the</t>
  </si>
  <si>
    <t>,</t>
  </si>
  <si>
    <t>weil</t>
  </si>
  <si>
    <t>sich</t>
  </si>
  <si>
    <t>OBJ_2</t>
  </si>
  <si>
    <t>meine</t>
  </si>
  <si>
    <t>other_3</t>
  </si>
  <si>
    <t>pron.ppos</t>
  </si>
  <si>
    <t>Vollzeitbeschäftigung</t>
  </si>
  <si>
    <t>SBJ_2</t>
  </si>
  <si>
    <t>bei</t>
  </si>
  <si>
    <t>der</t>
  </si>
  <si>
    <t>Stiftung</t>
  </si>
  <si>
    <t>hauptsächlich</t>
  </si>
  <si>
    <t>um</t>
  </si>
  <si>
    <t>Impfstoffe</t>
  </si>
  <si>
    <t>Saatgut</t>
  </si>
  <si>
    <t>dreht</t>
  </si>
  <si>
    <t>die</t>
  </si>
  <si>
    <t>Dinge</t>
  </si>
  <si>
    <t>OBJ_3</t>
  </si>
  <si>
    <t>OBJ_5</t>
  </si>
  <si>
    <t>wir</t>
  </si>
  <si>
    <t>SBJ_5</t>
  </si>
  <si>
    <t>pron</t>
  </si>
  <si>
    <t>erfinden</t>
  </si>
  <si>
    <t>liefern</t>
  </si>
  <si>
    <t>den</t>
  </si>
  <si>
    <t>ärmsten</t>
  </si>
  <si>
    <t>Milliarden</t>
  </si>
  <si>
    <t>other_5</t>
  </si>
  <si>
    <t>indef-np.quant</t>
  </si>
  <si>
    <t>besseres</t>
  </si>
  <si>
    <t>Leben</t>
  </si>
  <si>
    <t>indef-np.a</t>
  </si>
  <si>
    <t>ermöglichen</t>
  </si>
  <si>
    <t># text = Aber Energie und Klima sind extrem wichtig für diese Menschen, Genau genommen sogar wichtiger als für jeden anderen auf dem Planeten.</t>
  </si>
  <si>
    <t>Aber</t>
  </si>
  <si>
    <t>sind</t>
  </si>
  <si>
    <t>extrem</t>
  </si>
  <si>
    <t>wichtig</t>
  </si>
  <si>
    <t>für</t>
  </si>
  <si>
    <t>diese</t>
  </si>
  <si>
    <t>pron.pds</t>
  </si>
  <si>
    <t>Menschen</t>
  </si>
  <si>
    <t>def-np.dem</t>
  </si>
  <si>
    <t>Genau</t>
  </si>
  <si>
    <t>SBJ_3</t>
  </si>
  <si>
    <t>ne</t>
  </si>
  <si>
    <t>genommen</t>
  </si>
  <si>
    <t>sogar</t>
  </si>
  <si>
    <t>wichtiger</t>
  </si>
  <si>
    <t>als</t>
  </si>
  <si>
    <t>jeden</t>
  </si>
  <si>
    <t>anderen</t>
  </si>
  <si>
    <t>other_4</t>
  </si>
  <si>
    <t>auf</t>
  </si>
  <si>
    <t>dem</t>
  </si>
  <si>
    <t>Planeten</t>
  </si>
  <si>
    <t>def-np.the.other</t>
  </si>
  <si>
    <t># text = Klimaverschlechterung bedeutet, dass deren Saaten über viele Jahre nicht wachsen werden.</t>
  </si>
  <si>
    <t>Klimaverschlechterung</t>
  </si>
  <si>
    <t>bedeutet</t>
  </si>
  <si>
    <t>dass</t>
  </si>
  <si>
    <t>deren</t>
  </si>
  <si>
    <t>Saaten</t>
  </si>
  <si>
    <t>def-np.poss</t>
  </si>
  <si>
    <t>viele</t>
  </si>
  <si>
    <t>Jahre</t>
  </si>
  <si>
    <t>nicht</t>
  </si>
  <si>
    <t>wachsen</t>
  </si>
  <si>
    <t># text = Es wir zu viel oder zu wenig regnen.</t>
  </si>
  <si>
    <t>Es</t>
  </si>
  <si>
    <t>viel</t>
  </si>
  <si>
    <t>OBJ</t>
  </si>
  <si>
    <t>oder</t>
  </si>
  <si>
    <t>wenig</t>
  </si>
  <si>
    <t># text = Die Dinge werden sich so ändern, wie es ihre fragile Umwelt nicht aushalten kann.</t>
  </si>
  <si>
    <t>Die</t>
  </si>
  <si>
    <t>so</t>
  </si>
  <si>
    <t>wie</t>
  </si>
  <si>
    <t>es</t>
  </si>
  <si>
    <t>ihre</t>
  </si>
  <si>
    <t>fragile</t>
  </si>
  <si>
    <t>Umwelt</t>
  </si>
  <si>
    <t>indef-np</t>
  </si>
  <si>
    <t>aushalten</t>
  </si>
  <si>
    <t>kann</t>
  </si>
  <si>
    <t># text = Das führt zu Hungersterben.</t>
  </si>
  <si>
    <t>Das</t>
  </si>
  <si>
    <t>führt</t>
  </si>
  <si>
    <t>Hungersterben</t>
  </si>
  <si>
    <t># text = Es führt zu Unsicherheit.</t>
  </si>
  <si>
    <t>Unsicherheit</t>
  </si>
  <si>
    <t># text = Es führt zu Unruhen.</t>
  </si>
  <si>
    <t>Unruhen</t>
  </si>
  <si>
    <t># text = Also, wird eine Klimaveränderung furchtbar für sie werden.</t>
  </si>
  <si>
    <t>Also</t>
  </si>
  <si>
    <t>wird</t>
  </si>
  <si>
    <t>eine</t>
  </si>
  <si>
    <t>Klimaveränderung</t>
  </si>
  <si>
    <t>furchtbar</t>
  </si>
  <si>
    <t>sie</t>
  </si>
  <si>
    <t># text = Außerdem ist der Energiepreis für sie sehr wichtig.</t>
  </si>
  <si>
    <t>Außerdem</t>
  </si>
  <si>
    <t>ist</t>
  </si>
  <si>
    <t>Energiepreis</t>
  </si>
  <si>
    <t>sehr</t>
  </si>
  <si>
    <t># text = Tatsache ist, dass, wenn Sie nur von einer Sache den Preis verringern könnten, zur Armutsverringerung wäre Energie bei weitem am effektivsten.</t>
  </si>
  <si>
    <t>Tatsache</t>
  </si>
  <si>
    <t>wenn</t>
  </si>
  <si>
    <t>Sie</t>
  </si>
  <si>
    <t>nur</t>
  </si>
  <si>
    <t>von</t>
  </si>
  <si>
    <t>einer</t>
  </si>
  <si>
    <t>Preis</t>
  </si>
  <si>
    <t>verringern</t>
  </si>
  <si>
    <t>könnten</t>
  </si>
  <si>
    <t>Armutsverringerung</t>
  </si>
  <si>
    <t>wäre</t>
  </si>
  <si>
    <t>weitem</t>
  </si>
  <si>
    <t>an</t>
  </si>
  <si>
    <t>effektivsten</t>
  </si>
  <si>
    <t># text = Nun, der Energiepreis ist über die Zeit gefallen.</t>
  </si>
  <si>
    <t>Nun</t>
  </si>
  <si>
    <t>Zeit</t>
  </si>
  <si>
    <t>gefallen</t>
  </si>
  <si>
    <t># text = Tatsächlich basiert die Fortschrittsgesellschaft auf Energiefortschritten.</t>
  </si>
  <si>
    <t>Tatsächlich</t>
  </si>
  <si>
    <t>basiert</t>
  </si>
  <si>
    <t>Fortschrittsgesellschaft</t>
  </si>
  <si>
    <t>Energiefortschritten</t>
  </si>
  <si>
    <t># text = Die Kohlerevolution trieb die industrielle Revolution an und selbst im 20.</t>
  </si>
  <si>
    <t>Kohlerevolution</t>
  </si>
  <si>
    <t>trieb</t>
  </si>
  <si>
    <t>industrielle</t>
  </si>
  <si>
    <t>Revolution</t>
  </si>
  <si>
    <t>selbst</t>
  </si>
  <si>
    <t>in</t>
  </si>
  <si>
    <t># text = Jahrhundert gab es einen rapiden Fall im Elektrizitätspreis und deshalb haben wir Kühlschränke, Klimaanlagen, wir können moderne Materialien herstellen und so viele Dinge tun.</t>
  </si>
  <si>
    <t>Jahrhundert</t>
  </si>
  <si>
    <t>gab</t>
  </si>
  <si>
    <t>einen</t>
  </si>
  <si>
    <t>rapiden</t>
  </si>
  <si>
    <t>Fall</t>
  </si>
  <si>
    <t>Elektrizitätspreis</t>
  </si>
  <si>
    <t>deshalb</t>
  </si>
  <si>
    <t>Kühlschränke</t>
  </si>
  <si>
    <t>Klimaanlagen</t>
  </si>
  <si>
    <t>SBJ_4</t>
  </si>
  <si>
    <t>können</t>
  </si>
  <si>
    <t>moderne</t>
  </si>
  <si>
    <t>Materialien</t>
  </si>
  <si>
    <t>herstellen</t>
  </si>
  <si>
    <t># text = Wir befinden uns also in einer wunderbaren Situation mit Strom in der reichen Welt.</t>
  </si>
  <si>
    <t>Wir</t>
  </si>
  <si>
    <t>uns</t>
  </si>
  <si>
    <t>also</t>
  </si>
  <si>
    <t>wunderbaren</t>
  </si>
  <si>
    <t>Situation</t>
  </si>
  <si>
    <t>mit</t>
  </si>
  <si>
    <t>Strom</t>
  </si>
  <si>
    <t>Welt</t>
  </si>
  <si>
    <t># text = Aber, wenn wir den Preis verringern -- lassen wir uns den Preis halbieren -- treffen wir auf eine neue Barriere und diese Barriere hängt mit CO2 zusammen.</t>
  </si>
  <si>
    <t>OBJ_4</t>
  </si>
  <si>
    <t>halbieren</t>
  </si>
  <si>
    <t>treffen</t>
  </si>
  <si>
    <t>neue</t>
  </si>
  <si>
    <t>Barriere</t>
  </si>
  <si>
    <t>hängt</t>
  </si>
  <si>
    <t>CO2</t>
  </si>
  <si>
    <t>zusammen</t>
  </si>
  <si>
    <t># text = CO2 erwärmt den Planeten und die Gleichung für CO2 ist eigentlich ziemlich klar.</t>
  </si>
  <si>
    <t>erwärmt</t>
  </si>
  <si>
    <t>Gleichung</t>
  </si>
  <si>
    <t>eigentlich</t>
  </si>
  <si>
    <t>ziemlich</t>
  </si>
  <si>
    <t>klar</t>
  </si>
  <si>
    <t># text = Sie summieren das ausgestoßene CO2, welches zur Temperaturerhöhung führt und diese Temperaturerhöhung hat einige sehr negative Folgen.</t>
  </si>
  <si>
    <t>ausgestoßene</t>
  </si>
  <si>
    <t>welches</t>
  </si>
  <si>
    <t>Temperaturerhöhung</t>
  </si>
  <si>
    <t>hat</t>
  </si>
  <si>
    <t>einige</t>
  </si>
  <si>
    <t>negative</t>
  </si>
  <si>
    <t>Folgen</t>
  </si>
  <si>
    <t># text = Effekte auf das Wetter und vielleicht schlimmer, die indirekte Folge, dass die natürlichen Ökosysteme sich solch rapiden Veränderungen nicht anpassen können und somit ganze Systeme zusammenfallen.</t>
  </si>
  <si>
    <t>Effekte</t>
  </si>
  <si>
    <t>Wetter</t>
  </si>
  <si>
    <t>schlimmer</t>
  </si>
  <si>
    <t>indirekte</t>
  </si>
  <si>
    <t>Folge</t>
  </si>
  <si>
    <t>natürlichen</t>
  </si>
  <si>
    <t>Ökosysteme</t>
  </si>
  <si>
    <t>solch</t>
  </si>
  <si>
    <t>Veränderungen</t>
  </si>
  <si>
    <t>anpassen</t>
  </si>
  <si>
    <t>somit</t>
  </si>
  <si>
    <t>ganze</t>
  </si>
  <si>
    <t>Systeme</t>
  </si>
  <si>
    <t>zusammenfallen</t>
  </si>
  <si>
    <t># text = Nun, der exakte Zusammenhang zwischen einem CO2-Anstieg und der dadurch resultierende Temperaturveränderung und wo deren weitere Folgen liegen, da gibt es einige Unklarheiten, aber nicht sehr viele.</t>
  </si>
  <si>
    <t>exakte</t>
  </si>
  <si>
    <t>Zusammenhang</t>
  </si>
  <si>
    <t>zwischen</t>
  </si>
  <si>
    <t>einem</t>
  </si>
  <si>
    <t>Anstieg</t>
  </si>
  <si>
    <t>dadurch</t>
  </si>
  <si>
    <t>resultierende</t>
  </si>
  <si>
    <t>Temperaturveränderung</t>
  </si>
  <si>
    <t>wo</t>
  </si>
  <si>
    <t>weitere</t>
  </si>
  <si>
    <t>da</t>
  </si>
  <si>
    <t>gibt</t>
  </si>
  <si>
    <t>Unklarheiten</t>
  </si>
  <si>
    <t>aber</t>
  </si>
  <si>
    <t># text = Und es gibt sicher Unklarheit darüber, wie schlimm diese Folgen werden.</t>
  </si>
  <si>
    <t>sicher</t>
  </si>
  <si>
    <t>Unklarheit</t>
  </si>
  <si>
    <t>darüber</t>
  </si>
  <si>
    <t>schlimm</t>
  </si>
  <si>
    <t># text = Aber sie werden extrem schlimm sein!</t>
  </si>
  <si>
    <t>!</t>
  </si>
  <si>
    <t>--</t>
  </si>
  <si>
    <t># text = Ich habe die Top-Wissenschaftler mehrmals gefragt: "Müssen wir wirklich runter auf nahe Null kommen?</t>
  </si>
  <si>
    <t>Ich</t>
  </si>
  <si>
    <t>habe</t>
  </si>
  <si>
    <t>Top</t>
  </si>
  <si>
    <t>Wissenschaftler</t>
  </si>
  <si>
    <t>mehrmals</t>
  </si>
  <si>
    <t>gefragt</t>
  </si>
  <si>
    <t>:</t>
  </si>
  <si>
    <t>&amp;quot;</t>
  </si>
  <si>
    <t>Müssen</t>
  </si>
  <si>
    <t>wirklich</t>
  </si>
  <si>
    <t>runter</t>
  </si>
  <si>
    <t>nahe</t>
  </si>
  <si>
    <t>Null</t>
  </si>
  <si>
    <t>?</t>
  </si>
  <si>
    <t># text = Reicht nicht die Hälfte oder ein Viertel?"</t>
  </si>
  <si>
    <t>Hälfte</t>
  </si>
  <si>
    <t>Viertel</t>
  </si>
  <si>
    <t># text = Die Antwort ist: Bis wir nahe Null kommen, wird die Temperatur weiter steigen.</t>
  </si>
  <si>
    <t>Antwort</t>
  </si>
  <si>
    <t>Bis</t>
  </si>
  <si>
    <t>Temperatur</t>
  </si>
  <si>
    <t>weiter</t>
  </si>
  <si>
    <t>steigen</t>
  </si>
  <si>
    <t># text = Deshalb ist es eine große Herausforderung.</t>
  </si>
  <si>
    <t>Deshalb</t>
  </si>
  <si>
    <t>große</t>
  </si>
  <si>
    <t>Herausforderung</t>
  </si>
  <si>
    <t># text = Es ist ganz anders als zu sagen, wir haben ein 3,5 m hohen LKW, der unter einer 3 m Brücke her muss.</t>
  </si>
  <si>
    <t>ganz</t>
  </si>
  <si>
    <t>anders</t>
  </si>
  <si>
    <t>3,5</t>
  </si>
  <si>
    <t>m</t>
  </si>
  <si>
    <t>hohen</t>
  </si>
  <si>
    <t>LKW</t>
  </si>
  <si>
    <t>unter</t>
  </si>
  <si>
    <t>Brücke</t>
  </si>
  <si>
    <t>her</t>
  </si>
  <si>
    <t>muss</t>
  </si>
  <si>
    <t># text = Den kann man dann quasi darunter her quetschen.</t>
  </si>
  <si>
    <t>Den</t>
  </si>
  <si>
    <t>man</t>
  </si>
  <si>
    <t>dann</t>
  </si>
  <si>
    <t>quasi</t>
  </si>
  <si>
    <t>darunter</t>
  </si>
  <si>
    <t># text = Das hier muss ganz nach unten, auf Null.</t>
  </si>
  <si>
    <t>hier</t>
  </si>
  <si>
    <t>nach</t>
  </si>
  <si>
    <t>unten</t>
  </si>
  <si>
    <t># text = Nun, wir stoßen jedes Jahr eine menge Kohlenstoffdioxid aus, über 26 Milliarden Tonnen.</t>
  </si>
  <si>
    <t>jedes</t>
  </si>
  <si>
    <t>Jahr</t>
  </si>
  <si>
    <t>menge</t>
  </si>
  <si>
    <t>Kohlenstoffdioxid</t>
  </si>
  <si>
    <t>aus</t>
  </si>
  <si>
    <t>Tonnen</t>
  </si>
  <si>
    <t># text = Jeder Amerikaner etwa 20 Tonnen.</t>
  </si>
  <si>
    <t>Jeder</t>
  </si>
  <si>
    <t>Amerikaner</t>
  </si>
  <si>
    <t>etwa</t>
  </si>
  <si>
    <t># text = Menschen aus armen Ländern, weniger als eine.</t>
  </si>
  <si>
    <t>armen</t>
  </si>
  <si>
    <t>Ländern</t>
  </si>
  <si>
    <t>weniger</t>
  </si>
  <si>
    <t># text = Im Durchschnitt sind es etwa 5 Tonnen für jeden auf dem Planeten.</t>
  </si>
  <si>
    <t>In</t>
  </si>
  <si>
    <t>Durchschnitt</t>
  </si>
  <si>
    <t># text = Und irgendwie müssen wir Veränderungen hervorbringen, die das auf Null senken.</t>
  </si>
  <si>
    <t>irgendwie</t>
  </si>
  <si>
    <t># text = Es ist bisher konstant gestiegen.</t>
  </si>
  <si>
    <t>bisher</t>
  </si>
  <si>
    <t>konstant</t>
  </si>
  <si>
    <t>gestiegen</t>
  </si>
  <si>
    <t># text = Nur verschiedene ökonomische Veränderungen haben es überhaupt beeinflusst und wir müssen von rapidem Anstieg zu Verringerung gehen und zu einer Verringerung bis auf Null.</t>
  </si>
  <si>
    <t>Nur</t>
  </si>
  <si>
    <t>verschiedene</t>
  </si>
  <si>
    <t>ökonomische</t>
  </si>
  <si>
    <t>überhaupt</t>
  </si>
  <si>
    <t>beeinflusst</t>
  </si>
  <si>
    <t>rapidem</t>
  </si>
  <si>
    <t>Verringerung</t>
  </si>
  <si>
    <t>bis</t>
  </si>
  <si>
    <t># text = Diese Gleichung hat vier Faktoren.</t>
  </si>
  <si>
    <t>Diese</t>
  </si>
  <si>
    <t>vier</t>
  </si>
  <si>
    <t>Faktoren</t>
  </si>
  <si>
    <t># text = Ein bisschen Multiplikation.</t>
  </si>
  <si>
    <t>Ein</t>
  </si>
  <si>
    <t>bisschen</t>
  </si>
  <si>
    <t># text = Sie haben dieses Ding links - CO2 -, das Sie Richtung Null bringen wollen und das wird von der Anzahl der Menschen abhängen, von den Diensten, die jeder Mensch im Durchschnitt nutzt, der durchschnittlichen Energie für jeden Dienst und dem CO2, das pro Energieeinheit emittiert wird.</t>
  </si>
  <si>
    <t>dieses</t>
  </si>
  <si>
    <t>links</t>
  </si>
  <si>
    <t>Richtung</t>
  </si>
  <si>
    <t>bringen</t>
  </si>
  <si>
    <t>Anzahl</t>
  </si>
  <si>
    <t>abhängen</t>
  </si>
  <si>
    <t>Diensten</t>
  </si>
  <si>
    <t>jeder</t>
  </si>
  <si>
    <t>Mensch</t>
  </si>
  <si>
    <t>nutzt</t>
  </si>
  <si>
    <t>durchschnittlichen</t>
  </si>
  <si>
    <t>Dienst</t>
  </si>
  <si>
    <t>pro</t>
  </si>
  <si>
    <t>Energieeinheit</t>
  </si>
  <si>
    <t>emittiert</t>
  </si>
  <si>
    <t># text = Lassen Sie uns also jeden Faktor einzeln anschauen und überlegen wir, wie wir das auf Null bekommen.</t>
  </si>
  <si>
    <t>Lassen</t>
  </si>
  <si>
    <t>Faktor</t>
  </si>
  <si>
    <t>einzeln</t>
  </si>
  <si>
    <t># text = Wahrscheinlich muss eine dieser Zahlen sehr nah an Null kommen.</t>
  </si>
  <si>
    <t>Wahrscheinlich</t>
  </si>
  <si>
    <t>dieser</t>
  </si>
  <si>
    <t>Zahlen</t>
  </si>
  <si>
    <t># text = Nun das ist grundlegende Algebra, aber gehen wir es mal durch.</t>
  </si>
  <si>
    <t>grundlegende</t>
  </si>
  <si>
    <t>Algebra</t>
  </si>
  <si>
    <t>mal</t>
  </si>
  <si>
    <t>durch</t>
  </si>
  <si>
    <t># text = Zuerst haben wir die Bevölkerung.</t>
  </si>
  <si>
    <t>Zuerst</t>
  </si>
  <si>
    <t>Bevölkerung</t>
  </si>
  <si>
    <t># text = Heute leben 6,8 Milliarden Menschen, und es schreitet auf 9 Milliarden zu.</t>
  </si>
  <si>
    <t>6,8</t>
  </si>
  <si>
    <t>schreitet</t>
  </si>
  <si>
    <t># text = die sich auf 9 Milliarden zu bewegen.</t>
  </si>
  <si>
    <t># text = Wenn wir sehr erfolgreich mit neuen Impfstoffen, der Gesundheitsvorsorgung und Reproduktionsmedizin sind könnten wir das wohl um 10% bis 15% senken, aber zur Zeit sehen wir eine Steigung um 1,3.</t>
  </si>
  <si>
    <t>Wenn</t>
  </si>
  <si>
    <t>erfolgreich</t>
  </si>
  <si>
    <t>neuen</t>
  </si>
  <si>
    <t>Impfstoffen</t>
  </si>
  <si>
    <t>Gesundheitsvorsorgung</t>
  </si>
  <si>
    <t>Reproduktionsmedizin</t>
  </si>
  <si>
    <t>wohl</t>
  </si>
  <si>
    <t>10%</t>
  </si>
  <si>
    <t>15%</t>
  </si>
  <si>
    <t>Steigung</t>
  </si>
  <si>
    <t>1,3</t>
  </si>
  <si>
    <t># text = Der zweite Faktor sind die Dienste, die wir nutzen.</t>
  </si>
  <si>
    <t>Der</t>
  </si>
  <si>
    <t>zweite</t>
  </si>
  <si>
    <t>Dienste</t>
  </si>
  <si>
    <t># text = Das umfasst alles, die Nahrung, die wir essen, Kleidung, Fernsehen, Heizung.</t>
  </si>
  <si>
    <t>umfasst</t>
  </si>
  <si>
    <t>alles</t>
  </si>
  <si>
    <t>Nahrung</t>
  </si>
  <si>
    <t>Kleidung</t>
  </si>
  <si>
    <t>Fernsehen</t>
  </si>
  <si>
    <t>Heizung</t>
  </si>
  <si>
    <t># text = Das sind sehr gute Dinge und Armutsverringerung bedeutet, diese Dienste fast jedem auf dem Planeten zugänglich zu machen.</t>
  </si>
  <si>
    <t>gute</t>
  </si>
  <si>
    <t>fast</t>
  </si>
  <si>
    <t>jedem</t>
  </si>
  <si>
    <t>zugänglich</t>
  </si>
  <si>
    <t># text = Es ist toll, dass diese Nummer steigt.</t>
  </si>
  <si>
    <t>toll</t>
  </si>
  <si>
    <t>Nummer</t>
  </si>
  <si>
    <t>steigt</t>
  </si>
  <si>
    <t># text = In der reichen Welt, in der oberen Milliarde, könnten wir wohl Abstriche machen und weniger nutzen, aber im Durchschnitt wird diese Zahl jedes Jahr steigen und sich somit insgesamt mehr als verdoppeln, die Zahl der Dienste die pro Person bereitgestellt werden.</t>
  </si>
  <si>
    <t>oberen</t>
  </si>
  <si>
    <t>Milliarde</t>
  </si>
  <si>
    <t>Abstriche</t>
  </si>
  <si>
    <t>Zahl</t>
  </si>
  <si>
    <t>insgesamt</t>
  </si>
  <si>
    <t>mehr</t>
  </si>
  <si>
    <t>verdoppeln</t>
  </si>
  <si>
    <t>Person</t>
  </si>
  <si>
    <t>bereitgestellt</t>
  </si>
  <si>
    <t># text = Hier sehen wir einen sehr grundlegenden Dienst.</t>
  </si>
  <si>
    <t>Hier</t>
  </si>
  <si>
    <t>grundlegenden</t>
  </si>
  <si>
    <t># text = Gibt es zu Hause Licht, damit man die Hausaufgaben lesen kann?</t>
  </si>
  <si>
    <t>Gibt</t>
  </si>
  <si>
    <t>Hause</t>
  </si>
  <si>
    <t>Licht</t>
  </si>
  <si>
    <t>damit</t>
  </si>
  <si>
    <t>Hausaufgaben</t>
  </si>
  <si>
    <t>lesen</t>
  </si>
  <si>
    <t># text = Und diese Schüler haben es nicht, also gehen sie heraus und lesen ihre Schulaufgaben unter dem Straßenlicht.</t>
  </si>
  <si>
    <t>Schüler</t>
  </si>
  <si>
    <t>heraus</t>
  </si>
  <si>
    <t>Schulaufgaben</t>
  </si>
  <si>
    <t>Straßenlicht</t>
  </si>
  <si>
    <t># text = Nun, bei Effektivität, dem E, die Energie pro Dienst, gibt es endlich gute Nachrichten.</t>
  </si>
  <si>
    <t>Effektivität</t>
  </si>
  <si>
    <t>E</t>
  </si>
  <si>
    <t>endlich</t>
  </si>
  <si>
    <t>Nachrichten</t>
  </si>
  <si>
    <t># text = Wir haben etwas, das nicht steigt, aufgrund verschiedener Erfolge im Lichtsektor, durch andere Autotypen, durch neue Methoden im Häuserbau, Es gibt viele Dienste, deren Energieaufwand Sie drastisch senken können, drastisch gesenkt werden kann, 103 00:05:50,000 --&amp;gt;</t>
  </si>
  <si>
    <t>aufgrund</t>
  </si>
  <si>
    <t>verschiedener</t>
  </si>
  <si>
    <t>Erfolge</t>
  </si>
  <si>
    <t>Lichtsektor</t>
  </si>
  <si>
    <t>andere</t>
  </si>
  <si>
    <t>Autotypen</t>
  </si>
  <si>
    <t>Methoden</t>
  </si>
  <si>
    <t>Häuserbau</t>
  </si>
  <si>
    <t>Energieaufwand</t>
  </si>
  <si>
    <t>OBJ_6</t>
  </si>
  <si>
    <t>SBJ_6</t>
  </si>
  <si>
    <t>drastisch</t>
  </si>
  <si>
    <t>gesenkt</t>
  </si>
  <si>
    <t>00:05:50,000</t>
  </si>
  <si>
    <t>&amp;amp;gt</t>
  </si>
  <si>
    <t>;</t>
  </si>
  <si>
    <t># text = 00:05:53,000 manche Dienste lassen sich um 90% reduzieren.</t>
  </si>
  <si>
    <t>00:05:53,000</t>
  </si>
  <si>
    <t>manche</t>
  </si>
  <si>
    <t>90%</t>
  </si>
  <si>
    <t>reduzieren</t>
  </si>
  <si>
    <t># text = manche einzelne Dienste lassen sich um 90% reduzieren.</t>
  </si>
  <si>
    <t>einzelne</t>
  </si>
  <si>
    <t># text = In anderen Diensten, wie der Herstellung von Düngemitteln, 105 00:05:56,000 --&amp;gt;</t>
  </si>
  <si>
    <t>Herstellung</t>
  </si>
  <si>
    <t>Düngemitteln</t>
  </si>
  <si>
    <t>00:05:56,000</t>
  </si>
  <si>
    <t># text = 00:05:58,000 oder dem Luftverkehr oder Luftverkehr, ist der Spielraum für Verbesserungen sehr viel kleiner.</t>
  </si>
  <si>
    <t>00:05:58,000</t>
  </si>
  <si>
    <t>Luftverkehr</t>
  </si>
  <si>
    <t>Spielraum</t>
  </si>
  <si>
    <t>Verbesserungen</t>
  </si>
  <si>
    <t>kleiner</t>
  </si>
  <si>
    <t># text = Insgesamt, wenn wir optimistisch sind, bekommen wir vielleicht eine Reduzierung um einen Faktor 3 oder vielleicht sogar um einen Faktor 6.</t>
  </si>
  <si>
    <t>Insgesamt</t>
  </si>
  <si>
    <t>optimistisch</t>
  </si>
  <si>
    <t>Reduzierung</t>
  </si>
  <si>
    <t># text = Aber bei den ersten drei Faktoren, sind wir jetzt von 26 Milliarden auf vielleicht allerbestes 13 Milliarden Tonnen gegangen.</t>
  </si>
  <si>
    <t>ersten</t>
  </si>
  <si>
    <t>drei</t>
  </si>
  <si>
    <t>def-np.quant</t>
  </si>
  <si>
    <t>jetzt</t>
  </si>
  <si>
    <t>allerbestes</t>
  </si>
  <si>
    <t>gegangen</t>
  </si>
  <si>
    <t># text = Und das reicht einfach nicht aus!</t>
  </si>
  <si>
    <t>reicht</t>
  </si>
  <si>
    <t>einfach</t>
  </si>
  <si>
    <t># text = Sehen wir uns also den vierten Faktor an -- und dieser wird ein Schlüsselfaktor sein -- Das ist die Menge an CO2, die pro Energieeinheit emittiert wird.</t>
  </si>
  <si>
    <t>Sehen</t>
  </si>
  <si>
    <t>vierten</t>
  </si>
  <si>
    <t>Schlüsselfaktor</t>
  </si>
  <si>
    <t>Menge</t>
  </si>
  <si>
    <t># text = Es stellt sich die Frage, ob man das auf Null bekommen kann.</t>
  </si>
  <si>
    <t>stellt</t>
  </si>
  <si>
    <t>ob</t>
  </si>
  <si>
    <t># text = Wenn Sie Kohle verbrennen: Nein.</t>
  </si>
  <si>
    <t>Kohle</t>
  </si>
  <si>
    <t>Nein</t>
  </si>
  <si>
    <t># text = Wenn Sie Erdgas verbrennen: Nein.</t>
  </si>
  <si>
    <t>Erdgas</t>
  </si>
  <si>
    <t># text = Fast jede Herstellungsmethode für Strom emittiert heutzutage CO2, außer die erneuerbaren Energien und Nuklearenergie.</t>
  </si>
  <si>
    <t>Fast</t>
  </si>
  <si>
    <t>jede</t>
  </si>
  <si>
    <t>Herstellungsmethode</t>
  </si>
  <si>
    <t>heutzutage</t>
  </si>
  <si>
    <t>außer</t>
  </si>
  <si>
    <t>erneuerbaren</t>
  </si>
  <si>
    <t>Energien</t>
  </si>
  <si>
    <t>Nuklearenergie</t>
  </si>
  <si>
    <t># text = Also, was wir auf einem globalen Level machen müssen, ist, ein neues System zu schaffen.</t>
  </si>
  <si>
    <t>was</t>
  </si>
  <si>
    <t>globalen</t>
  </si>
  <si>
    <t>Level</t>
  </si>
  <si>
    <t>neues</t>
  </si>
  <si>
    <t>System</t>
  </si>
  <si>
    <t># text = Wir brauchen Energiewunder.</t>
  </si>
  <si>
    <t>Energiewunder</t>
  </si>
  <si>
    <t># text = Wenn ich nun den Begriff "Wunder" benutze, meine ich nicht das Unmögliche.</t>
  </si>
  <si>
    <t>nun</t>
  </si>
  <si>
    <t>Begriff</t>
  </si>
  <si>
    <t>Wunder</t>
  </si>
  <si>
    <t>benutze</t>
  </si>
  <si>
    <t>Unmögliche</t>
  </si>
  <si>
    <t># text = Der Mikroprozessor ist ein Wunder.</t>
  </si>
  <si>
    <t>Mikroprozessor</t>
  </si>
  <si>
    <t># text = Der PC ist ein Wunder.</t>
  </si>
  <si>
    <t>PC</t>
  </si>
  <si>
    <t># text = Das Internet und dessen Dienste ist ein Wunder.</t>
  </si>
  <si>
    <t>Internet</t>
  </si>
  <si>
    <t>dessen</t>
  </si>
  <si>
    <t># text = Die Menschen hier haben zu der Entwicklung vieler dieser Wunder beigetragen.</t>
  </si>
  <si>
    <t>Entwicklung</t>
  </si>
  <si>
    <t>vieler</t>
  </si>
  <si>
    <t>beigetragen</t>
  </si>
  <si>
    <t># text = Normalerweise gibt es keine Deadline, dass man ein Wunder bis zu einem bestimmten Datum braucht.</t>
  </si>
  <si>
    <t>Normalerweise</t>
  </si>
  <si>
    <t>keine</t>
  </si>
  <si>
    <t>Deadline</t>
  </si>
  <si>
    <t>bestimmten</t>
  </si>
  <si>
    <t>Datum</t>
  </si>
  <si>
    <t>braucht</t>
  </si>
  <si>
    <t># text = Normalerweise steht man quasi nur daneben und manche kommen, andere nicht.</t>
  </si>
  <si>
    <t>steht</t>
  </si>
  <si>
    <t>daneben</t>
  </si>
  <si>
    <t># text = In diesem Fall müssen wir aber Vollgas geben und ein Wunder in sehr kurzer Zeit bekommen.</t>
  </si>
  <si>
    <t>diesem</t>
  </si>
  <si>
    <t>Vollgas</t>
  </si>
  <si>
    <t>kurzer</t>
  </si>
  <si>
    <t># text = Nun, ich fragte mich, wie kann ich das wirklich rüberbringen?</t>
  </si>
  <si>
    <t>fragte</t>
  </si>
  <si>
    <t>mich</t>
  </si>
  <si>
    <t>rüberbringen</t>
  </si>
  <si>
    <t># text = Gibt es eine natürliche Illustration, eine Demonstration, die die Vorstellung der Menschen hier entfacht?</t>
  </si>
  <si>
    <t>natürliche</t>
  </si>
  <si>
    <t>Illustration</t>
  </si>
  <si>
    <t>Demonstration</t>
  </si>
  <si>
    <t>Vorstellung</t>
  </si>
  <si>
    <t>entfacht</t>
  </si>
  <si>
    <t># text = Ich erinnerte mich an letztes Jahr, als ich Moskitos brachte und irgendwie mochten die Leute das.</t>
  </si>
  <si>
    <t>erinnerte</t>
  </si>
  <si>
    <t>letztes</t>
  </si>
  <si>
    <t>Moskitos</t>
  </si>
  <si>
    <t>brachte</t>
  </si>
  <si>
    <t>mochten</t>
  </si>
  <si>
    <t>Leute</t>
  </si>
  <si>
    <t># text = (Lachen) Die Idee wurde für sie wirklich greifbar, wissen Sie, dass es Menschen gibt, die mit Moskitos leben.</t>
  </si>
  <si>
    <t>(</t>
  </si>
  <si>
    <t>Lachen</t>
  </si>
  <si>
    <t>)</t>
  </si>
  <si>
    <t>Idee</t>
  </si>
  <si>
    <t>wurde</t>
  </si>
  <si>
    <t>greifbar</t>
  </si>
  <si>
    <t># text = Für Energie fiel mir das hier ein.</t>
  </si>
  <si>
    <t>Für</t>
  </si>
  <si>
    <t>fiel</t>
  </si>
  <si>
    <t>mir</t>
  </si>
  <si>
    <t># text = Ich entschied, dass das Freilassen von Glühwürmchen mein diesjähriger Beitrag zur Umwelt hier sein würde.</t>
  </si>
  <si>
    <t>entschied</t>
  </si>
  <si>
    <t>Freilassen</t>
  </si>
  <si>
    <t>Glühwürmchen</t>
  </si>
  <si>
    <t>diesjähriger</t>
  </si>
  <si>
    <t>Beitrag</t>
  </si>
  <si>
    <t>würde</t>
  </si>
  <si>
    <t># text = Hier sind also ein paar natürliche Glühwürmchen.</t>
  </si>
  <si>
    <t>paar</t>
  </si>
  <si>
    <t># text = Man hat mir versichert, dass sie nicht beißen.</t>
  </si>
  <si>
    <t>Man</t>
  </si>
  <si>
    <t>versichert</t>
  </si>
  <si>
    <t>beißen</t>
  </si>
  <si>
    <t># text = Tatsächlich werden sie wohl nicht mal das Glas verlassen.</t>
  </si>
  <si>
    <t>Glas</t>
  </si>
  <si>
    <t># text = Nun, es gibt alle möglichen Spielereilösungen wie diese, aber sie bringen alle nicht viel.</t>
  </si>
  <si>
    <t>alle</t>
  </si>
  <si>
    <t>möglichen</t>
  </si>
  <si>
    <t>Spielereilösungen</t>
  </si>
  <si>
    <t># text = Wir brauchen Lösungen, entweder eine oder mehrere die eine unvorstellbare Skalierung und unvorstellbare Verlässlichkeit haben.</t>
  </si>
  <si>
    <t>Lösungen</t>
  </si>
  <si>
    <t>entweder</t>
  </si>
  <si>
    <t>mehrere</t>
  </si>
  <si>
    <t>unvorstellbare</t>
  </si>
  <si>
    <t>Skalierung</t>
  </si>
  <si>
    <t>Verlässlichkeit</t>
  </si>
  <si>
    <t># text = Und obwohl es viele Richtungen gibt, in denen Menschen danach suchen, sehe ich wirklich nur fünf, die diese großen Anforderungen leisten können.</t>
  </si>
  <si>
    <t>obwohl</t>
  </si>
  <si>
    <t>Richtungen</t>
  </si>
  <si>
    <t>denen</t>
  </si>
  <si>
    <t>danach</t>
  </si>
  <si>
    <t>suchen</t>
  </si>
  <si>
    <t>sehe</t>
  </si>
  <si>
    <t>fünf</t>
  </si>
  <si>
    <t>großen</t>
  </si>
  <si>
    <t>Anforderungen</t>
  </si>
  <si>
    <t># text = Ich habe Gezeiten, Geothermal, Fusion und Biokraftstoffe ausgelassen.</t>
  </si>
  <si>
    <t>Gezeiten</t>
  </si>
  <si>
    <t>Geothermal</t>
  </si>
  <si>
    <t>Fusion</t>
  </si>
  <si>
    <t>Biokraftstoffe</t>
  </si>
  <si>
    <t># text = Diese leisten vielleicht einen moderaten Beitrag und wenn sie besseres leisten als ich erwarte, wäre das toll, aber meine Kernaussage hier ist, dass wir an all jenen fünf arbeiten müssen, und wir können keine von ihnen aufgeben, weil sie uns einschüchtern, denn alle haben signifikante Probleme.</t>
  </si>
  <si>
    <t>moderaten</t>
  </si>
  <si>
    <t>erwarte</t>
  </si>
  <si>
    <t>other_6</t>
  </si>
  <si>
    <t>Kernaussage</t>
  </si>
  <si>
    <t>all</t>
  </si>
  <si>
    <t>other_7</t>
  </si>
  <si>
    <t>jenen</t>
  </si>
  <si>
    <t>SBJ_7</t>
  </si>
  <si>
    <t>ihnen</t>
  </si>
  <si>
    <t>aufgeben</t>
  </si>
  <si>
    <t>SBJ_8</t>
  </si>
  <si>
    <t>OBJ_8</t>
  </si>
  <si>
    <t>einschüchtern</t>
  </si>
  <si>
    <t>denn</t>
  </si>
  <si>
    <t>SBJ_9</t>
  </si>
  <si>
    <t>signifikante</t>
  </si>
  <si>
    <t>Probleme</t>
  </si>
  <si>
    <t>OBJ_9</t>
  </si>
  <si>
    <t># text = Schauen wir uns zuerst das Verbrennen fossiler Brennstoffe an, Verbrennung von entweder Kohle oder Erdgas.</t>
  </si>
  <si>
    <t>Schauen</t>
  </si>
  <si>
    <t>zuerst</t>
  </si>
  <si>
    <t>Verbrennen</t>
  </si>
  <si>
    <t>fossiler</t>
  </si>
  <si>
    <t>Brennstoffe</t>
  </si>
  <si>
    <t>Verbrennung</t>
  </si>
  <si>
    <t># text = Was man dort machen muss, scheint vielleicht einfach, aber das ist es nicht.</t>
  </si>
  <si>
    <t>Was</t>
  </si>
  <si>
    <t>dort</t>
  </si>
  <si>
    <t>scheint</t>
  </si>
  <si>
    <t># text = Man müsste all das CO2, das nach dem Verbrennen aus dem Schornstein kommt, einfangen, unter Druck verflüssigen und dann irgendwo lagern und hoffen, dass es dort bleibt.</t>
  </si>
  <si>
    <t>müsste</t>
  </si>
  <si>
    <t>Schornstein</t>
  </si>
  <si>
    <t>kommt</t>
  </si>
  <si>
    <t>einfangen</t>
  </si>
  <si>
    <t>Druck</t>
  </si>
  <si>
    <t>verflüssigen</t>
  </si>
  <si>
    <t>irgendwo</t>
  </si>
  <si>
    <t>lagern</t>
  </si>
  <si>
    <t>bleibt</t>
  </si>
  <si>
    <t># text = Es gibt einige Pilotprojekte, die das auf einem 60% - 80% Niveau schaffen, aber es auf 100% zu bekommen wird sehr schwierig werden.</t>
  </si>
  <si>
    <t>Pilotprojekte</t>
  </si>
  <si>
    <t>60%</t>
  </si>
  <si>
    <t>80%</t>
  </si>
  <si>
    <t>Niveau</t>
  </si>
  <si>
    <t>100%</t>
  </si>
  <si>
    <t>schwierig</t>
  </si>
  <si>
    <t># text = Und eine Einigung für die Lagerung des CO2 zu erzielen, ist eine große Herausforderung.</t>
  </si>
  <si>
    <t>Einigung</t>
  </si>
  <si>
    <t>Lagerung</t>
  </si>
  <si>
    <t>des</t>
  </si>
  <si>
    <t>erzielen</t>
  </si>
  <si>
    <t># text = Aber das größte Problem hier ist die Lagerzeitfrage.</t>
  </si>
  <si>
    <t>größte</t>
  </si>
  <si>
    <t>Problem</t>
  </si>
  <si>
    <t>Lagerzeitfrage</t>
  </si>
  <si>
    <t># text = Wer wird es sicherstellen?</t>
  </si>
  <si>
    <t>Wer</t>
  </si>
  <si>
    <t>pron.pint</t>
  </si>
  <si>
    <t># text = Wer kann etwas garantieren, was buchstäblich viele Milliarden mal größer als jede Art von Müll, den man sich von Nuklear- und anderen Dingen vorstellen kann?</t>
  </si>
  <si>
    <t>buchstäblich</t>
  </si>
  <si>
    <t>größer</t>
  </si>
  <si>
    <t>Art</t>
  </si>
  <si>
    <t>Müll</t>
  </si>
  <si>
    <t>Nuklear</t>
  </si>
  <si>
    <t>Dingen</t>
  </si>
  <si>
    <t>vorstellen</t>
  </si>
  <si>
    <t># text = Das ist eine Menge Volumen.</t>
  </si>
  <si>
    <t>Volumen</t>
  </si>
  <si>
    <t># text = Das ist also eine harte Nuss.</t>
  </si>
  <si>
    <t>harte</t>
  </si>
  <si>
    <t>Nuss</t>
  </si>
  <si>
    <t># text = Als nächstes: Nuklearenergie.</t>
  </si>
  <si>
    <t>Als</t>
  </si>
  <si>
    <t>nächstes</t>
  </si>
  <si>
    <t># text = Die hat auch drei große Probleme.</t>
  </si>
  <si>
    <t>auch</t>
  </si>
  <si>
    <t># text = Die Kosten, vor allem in hochregulierten Ländern sind hoch.</t>
  </si>
  <si>
    <t>vor</t>
  </si>
  <si>
    <t>allem</t>
  </si>
  <si>
    <t>hochregulierten</t>
  </si>
  <si>
    <t>hoch</t>
  </si>
  <si>
    <t># text = Die Frage nach Sicherheit, dass man wirklich fühlt, dass nichts schief gehen kann, trotz der menschlichen Mitarbeit, dass der Treibstoff nicht für Waffen verwendet wird.</t>
  </si>
  <si>
    <t>Sicherheit</t>
  </si>
  <si>
    <t>fühlt</t>
  </si>
  <si>
    <t>nichts</t>
  </si>
  <si>
    <t>schief</t>
  </si>
  <si>
    <t>trotz</t>
  </si>
  <si>
    <t>menschlichen</t>
  </si>
  <si>
    <t>Mitarbeit</t>
  </si>
  <si>
    <t>Treibstoff</t>
  </si>
  <si>
    <t>Waffen</t>
  </si>
  <si>
    <t>verwendet</t>
  </si>
  <si>
    <t># text = Und was macht man dann mit dem Müll?</t>
  </si>
  <si>
    <t>macht</t>
  </si>
  <si>
    <t># text = Denn obwohl er nicht sehr groß ist, gibt es eine Menge Bedenken.</t>
  </si>
  <si>
    <t>Denn</t>
  </si>
  <si>
    <t>er</t>
  </si>
  <si>
    <t>groß</t>
  </si>
  <si>
    <t>Bedenken</t>
  </si>
  <si>
    <t># text = Die Menschen müssen sich dabei gut fühlen.</t>
  </si>
  <si>
    <t>dabei</t>
  </si>
  <si>
    <t>gut</t>
  </si>
  <si>
    <t># text = 184 00:10:20,000 --&amp;gt;</t>
  </si>
  <si>
    <t>00:10:20,000</t>
  </si>
  <si>
    <t># text = 00:10:25,000 Also drei sehr schwierige Probleme, die vielleicht lösbar sind Also drei sehr schwierige Probleme, die vielleicht lösbar sind, und an denen man deshalb arbeiten sollte.</t>
  </si>
  <si>
    <t>00:10:25,000</t>
  </si>
  <si>
    <t>schwierige</t>
  </si>
  <si>
    <t>lösbar</t>
  </si>
  <si>
    <t>sollte</t>
  </si>
  <si>
    <t># text = Die letzten drei der fünf habe ich zusammengefasst.</t>
  </si>
  <si>
    <t>letzten</t>
  </si>
  <si>
    <t>zusammengefasst</t>
  </si>
  <si>
    <t># text = Es sind die Erneuerbaren Energien, wie sie oft genannt werden.</t>
  </si>
  <si>
    <t>Erneuerbaren</t>
  </si>
  <si>
    <t>oft</t>
  </si>
  <si>
    <t>genannt</t>
  </si>
  <si>
    <t># text = Und auch die haben -- obwohl es toll ist, dass sie keinen Brennstoff brauchen -- sie haben einige Nachteile.</t>
  </si>
  <si>
    <t>keinen</t>
  </si>
  <si>
    <t>Brennstoff</t>
  </si>
  <si>
    <t>Nachteile</t>
  </si>
  <si>
    <t># text = Zum einen ist die Energiedichte, die diese Technologien erzeugen dramatisch geringer als die von Kraftwerken.</t>
  </si>
  <si>
    <t>Zu</t>
  </si>
  <si>
    <t>Energiedichte</t>
  </si>
  <si>
    <t>Technologien</t>
  </si>
  <si>
    <t>dramatisch</t>
  </si>
  <si>
    <t>geringer</t>
  </si>
  <si>
    <t>Kraftwerken</t>
  </si>
  <si>
    <t># text = Das sind Energiefarmen, man spricht von vielen Quadratkilometern, tausendmal mehr Fläche als ein normales Kraftwerk.</t>
  </si>
  <si>
    <t>Energiefarmen</t>
  </si>
  <si>
    <t>spricht</t>
  </si>
  <si>
    <t>vielen</t>
  </si>
  <si>
    <t>Quadratkilometern</t>
  </si>
  <si>
    <t>tausendmal</t>
  </si>
  <si>
    <t>Fläche</t>
  </si>
  <si>
    <t>normales</t>
  </si>
  <si>
    <t>Kraftwerk</t>
  </si>
  <si>
    <t># text = Außerdem unterliegen diese Quellen Unterbrechungen: Die Sonne scheint nicht den ganzen Tag, sie scheint auch nicht jeden Tag und genauso weht auch der Wind nicht ständig.</t>
  </si>
  <si>
    <t>Quellen</t>
  </si>
  <si>
    <t>Unterbrechungen</t>
  </si>
  <si>
    <t>Sonne</t>
  </si>
  <si>
    <t>ganzen</t>
  </si>
  <si>
    <t>Tag</t>
  </si>
  <si>
    <t>genauso</t>
  </si>
  <si>
    <t>weht</t>
  </si>
  <si>
    <t>Wind</t>
  </si>
  <si>
    <t>ständig</t>
  </si>
  <si>
    <t># text = Deshalb muss man, wenn man von diesen Quellen abhängig ist, einen Weg haben, die Energie auch in Zeiten wenn Sie nicht verfügbar ist, zu bekommen.</t>
  </si>
  <si>
    <t>diesen</t>
  </si>
  <si>
    <t>abhängig</t>
  </si>
  <si>
    <t>Weg</t>
  </si>
  <si>
    <t>Zeiten</t>
  </si>
  <si>
    <t>verfügbar</t>
  </si>
  <si>
    <t># text = Es gibt hier also große Preisherausforderungen.</t>
  </si>
  <si>
    <t>Preisherausforderungen</t>
  </si>
  <si>
    <t># text = Es gibt Herausforderungen bei der Übertragung.</t>
  </si>
  <si>
    <t>Herausforderungen</t>
  </si>
  <si>
    <t>Übertragung</t>
  </si>
  <si>
    <t># text = Wenn wir beispielsweise sagen, dass die Energiequelle außerhalb des Landes liegt, brauchen Sie nicht nur die Technologie, Sie müssen auch mit dem Risiko umgehen, dass die Energie von wo anders herkommt.</t>
  </si>
  <si>
    <t>beispielsweise</t>
  </si>
  <si>
    <t>Energiequelle</t>
  </si>
  <si>
    <t>außerhalb</t>
  </si>
  <si>
    <t>Landes</t>
  </si>
  <si>
    <t>liegt</t>
  </si>
  <si>
    <t>Technologie</t>
  </si>
  <si>
    <t>Risiko</t>
  </si>
  <si>
    <t>herkommt</t>
  </si>
  <si>
    <t># text = Und es gibt das Lagerungsproblem.</t>
  </si>
  <si>
    <t>Lagerungsproblem</t>
  </si>
  <si>
    <t># text = Und um die Dimension zu zeigen, habe ich mir alle Arten von Batterien, die hergestellt werden, angeschaut: Die für Autos, Computer, Handys, Taschenlampen, für alles.</t>
  </si>
  <si>
    <t>Dimension</t>
  </si>
  <si>
    <t>zeigen</t>
  </si>
  <si>
    <t>Arten</t>
  </si>
  <si>
    <t>Batterien</t>
  </si>
  <si>
    <t>hergestellt</t>
  </si>
  <si>
    <t>angeschaut</t>
  </si>
  <si>
    <t>Autos</t>
  </si>
  <si>
    <t>Computer</t>
  </si>
  <si>
    <t>Handys</t>
  </si>
  <si>
    <t>Taschenlampen</t>
  </si>
  <si>
    <t># text = Und das habe ich mit der Menge der elektronischen Energie, welche die Welt nutzt, verglichen.</t>
  </si>
  <si>
    <t>elektronischen</t>
  </si>
  <si>
    <t>welche</t>
  </si>
  <si>
    <t>verglichen</t>
  </si>
  <si>
    <t># text = Ich fand heraus, dass alle Batterien, die wir jetzt produzieren, weniger als 10 Minuten der Gesamtenergie lagern könnten.</t>
  </si>
  <si>
    <t>fand</t>
  </si>
  <si>
    <t>produzieren</t>
  </si>
  <si>
    <t>Minuten</t>
  </si>
  <si>
    <t>Gesamtenergie</t>
  </si>
  <si>
    <t># text = Wir brauchen hier also einen großen Durchbruch, etwas, dass um einen Faktor 100 besser sein wird, als die Herangehensweisen zur Zeit.</t>
  </si>
  <si>
    <t>Durchbruch</t>
  </si>
  <si>
    <t>besser</t>
  </si>
  <si>
    <t>Herangehensweisen</t>
  </si>
  <si>
    <t># text = Das ist nicht unmöglich, aber es ist nicht so leicht.</t>
  </si>
  <si>
    <t>unmöglich</t>
  </si>
  <si>
    <t>leicht</t>
  </si>
  <si>
    <t># text = Das passiert, wenn man versucht, diese unterbrochenen Quellen über sagen wir 20% - 30% des Verbrauchs zu bringen.</t>
  </si>
  <si>
    <t>passiert</t>
  </si>
  <si>
    <t>versucht</t>
  </si>
  <si>
    <t>unterbrochenen</t>
  </si>
  <si>
    <t>20%</t>
  </si>
  <si>
    <t>30%</t>
  </si>
  <si>
    <t>Verbrauchs</t>
  </si>
  <si>
    <t># text = Wenn Sie sich um 100% darauf stützen wollen, brauchen Sie eine unglaubliche Wunderbatterie.</t>
  </si>
  <si>
    <t>darauf</t>
  </si>
  <si>
    <t>stützen</t>
  </si>
  <si>
    <t>unglaubliche</t>
  </si>
  <si>
    <t>Wunderbatterie</t>
  </si>
  <si>
    <t># text = Nun, wohin sollen wir gehen: Was ist der richtige Ansatz?</t>
  </si>
  <si>
    <t>wohin</t>
  </si>
  <si>
    <t>sollen</t>
  </si>
  <si>
    <t>richtige</t>
  </si>
  <si>
    <t>Ansatz</t>
  </si>
  <si>
    <t># text = Ein "Manhattan Projekt"?</t>
  </si>
  <si>
    <t>Projekt</t>
  </si>
  <si>
    <t># text = Wie kommen wir ans Ziel?</t>
  </si>
  <si>
    <t>Wie</t>
  </si>
  <si>
    <t>Ziel</t>
  </si>
  <si>
    <t># text = Was wir brauchen sind viele Firmen, die daran arbeiten.</t>
  </si>
  <si>
    <t>Firmen</t>
  </si>
  <si>
    <t>daran</t>
  </si>
  <si>
    <t>pron.padv</t>
  </si>
  <si>
    <t># text = Hunderte.</t>
  </si>
  <si>
    <t>Hunderte</t>
  </si>
  <si>
    <t># text = In jeden dieser fünf Bereiche brauchen wir mindestens 100 Menschen.</t>
  </si>
  <si>
    <t>Bereiche</t>
  </si>
  <si>
    <t>mindestens</t>
  </si>
  <si>
    <t># text = Bei vielen werden Sie sagen: Die sind verrückt!</t>
  </si>
  <si>
    <t>Bei</t>
  </si>
  <si>
    <t>verrückt</t>
  </si>
  <si>
    <t># text = Das ist gut.</t>
  </si>
  <si>
    <t># text = Ich glaube, hier in der TED Gruppe gibt es viele, die sich dort bereits engagieren.</t>
  </si>
  <si>
    <t>glaube</t>
  </si>
  <si>
    <t>TED</t>
  </si>
  <si>
    <t>Gruppe</t>
  </si>
  <si>
    <t>bereits</t>
  </si>
  <si>
    <t>engagieren</t>
  </si>
  <si>
    <t># text = Bill Gross hat mehrere Firmen, unter anderem eine namens eSolar die großartige Solarthermaltechnologien hat.</t>
  </si>
  <si>
    <t>Gross</t>
  </si>
  <si>
    <t>anderem</t>
  </si>
  <si>
    <t>namens</t>
  </si>
  <si>
    <t>eSolar</t>
  </si>
  <si>
    <t>großartige</t>
  </si>
  <si>
    <t>Solarthermaltechnologien</t>
  </si>
  <si>
    <t># text = Vinod Khosla investiert in dutzende Firmen die tolle Sachen machen und interessante Möglichkeiten haben und ich versuche das zu unterstützen.</t>
  </si>
  <si>
    <t>Vinod</t>
  </si>
  <si>
    <t>Khosla</t>
  </si>
  <si>
    <t>investiert</t>
  </si>
  <si>
    <t>dutzende</t>
  </si>
  <si>
    <t>tolle</t>
  </si>
  <si>
    <t>Sachen</t>
  </si>
  <si>
    <t>interessante</t>
  </si>
  <si>
    <t>Möglichkeiten</t>
  </si>
  <si>
    <t>versuche</t>
  </si>
  <si>
    <t>unterstützen</t>
  </si>
  <si>
    <t># text = Nathan Myhrvold und ich finanzieren eine Firma, die, vielleicht überraschenderweise, den nuklearen Ansatz verfolgt.</t>
  </si>
  <si>
    <t>Nathan</t>
  </si>
  <si>
    <t>Myhrvold</t>
  </si>
  <si>
    <t>Firma</t>
  </si>
  <si>
    <t>überraschenderweise</t>
  </si>
  <si>
    <t>nuklearen</t>
  </si>
  <si>
    <t>verfolgt</t>
  </si>
  <si>
    <t># text = Es gibt einige Innovationen im Nuklearbereich; modular, flüssig.</t>
  </si>
  <si>
    <t>Innovationen</t>
  </si>
  <si>
    <t>Nuklearbereich</t>
  </si>
  <si>
    <t>modular</t>
  </si>
  <si>
    <t>flüssig</t>
  </si>
  <si>
    <t># text = Die Entwicklung hat in dieser Industrie vor einiger Zeit aufgehört, also ist es keine große Überraschung, dass einige gute Konzepte herumliegen.</t>
  </si>
  <si>
    <t>Industrie</t>
  </si>
  <si>
    <t>einiger</t>
  </si>
  <si>
    <t>aufgehört</t>
  </si>
  <si>
    <t>Überraschung</t>
  </si>
  <si>
    <t>Konzepte</t>
  </si>
  <si>
    <t>herumliegen</t>
  </si>
  <si>
    <t># text = Das TerraPower-Konzept bedeutet, dass man anstelle eines Teils des Urans, dem einen Prozent, das U235, wir entschieden, die 99% zu verbrennen, das U238.</t>
  </si>
  <si>
    <t>TerraPower</t>
  </si>
  <si>
    <t>Konzept</t>
  </si>
  <si>
    <t>anstelle</t>
  </si>
  <si>
    <t>eines</t>
  </si>
  <si>
    <t>Teils</t>
  </si>
  <si>
    <t>Urans</t>
  </si>
  <si>
    <t>Prozent</t>
  </si>
  <si>
    <t>U235</t>
  </si>
  <si>
    <t>entschieden</t>
  </si>
  <si>
    <t>99%</t>
  </si>
  <si>
    <t>U238</t>
  </si>
  <si>
    <t># text = Das ist eine ziemlich verrückte Idee.</t>
  </si>
  <si>
    <t>verrückte</t>
  </si>
  <si>
    <t># text = Aber tatsächlich hatte man darüber schon lange nachgedacht, aber man konnte nie vernünftig simulieren, ob es funktionieren würde, doch seitdem es moderne Supercomputer gibt, kann man es simulieren und sehen, dass: Ja!</t>
  </si>
  <si>
    <t>tatsächlich</t>
  </si>
  <si>
    <t>hatte</t>
  </si>
  <si>
    <t>schon</t>
  </si>
  <si>
    <t>lange</t>
  </si>
  <si>
    <t>nachgedacht</t>
  </si>
  <si>
    <t>konnte</t>
  </si>
  <si>
    <t>nie</t>
  </si>
  <si>
    <t>vernünftig</t>
  </si>
  <si>
    <t>funktionieren</t>
  </si>
  <si>
    <t>doch</t>
  </si>
  <si>
    <t>seitdem</t>
  </si>
  <si>
    <t>Supercomputer</t>
  </si>
  <si>
    <t>Ja</t>
  </si>
  <si>
    <t># text = Mit der richtigen Materialienherangehensweise, sieht es so aus, dass es funktioniere.</t>
  </si>
  <si>
    <t>Mit</t>
  </si>
  <si>
    <t>richtigen</t>
  </si>
  <si>
    <t>Materialienherangehensweise</t>
  </si>
  <si>
    <t>sieht</t>
  </si>
  <si>
    <t>funktioniere</t>
  </si>
  <si>
    <t># text = Und weil man diese 99% verbrennt, ist das Kostenprofil sehr viel besser.</t>
  </si>
  <si>
    <t>verbrennt</t>
  </si>
  <si>
    <t>Kostenprofil</t>
  </si>
  <si>
    <t># text = Tatsächlich verbrennt man den Müll, und man kann sogar den Abfall von heutigen Reaktoren als Antriebsstoff benutzen.</t>
  </si>
  <si>
    <t>Abfall</t>
  </si>
  <si>
    <t>heutigen</t>
  </si>
  <si>
    <t>Reaktoren</t>
  </si>
  <si>
    <t>Antriebsstoff</t>
  </si>
  <si>
    <t>benutzen</t>
  </si>
  <si>
    <t># text = Anstatt sich darüber den Kopf zu zerbrechen, verbrennen Sie es einfach.</t>
  </si>
  <si>
    <t>Anstatt</t>
  </si>
  <si>
    <t>Kopf</t>
  </si>
  <si>
    <t># text = Eine tolle Sache.</t>
  </si>
  <si>
    <t>Eine</t>
  </si>
  <si>
    <t># text = Das Uran wird graduell verbraucht, ein bisschen wie eine Kerze.</t>
  </si>
  <si>
    <t>Uran</t>
  </si>
  <si>
    <t>graduell</t>
  </si>
  <si>
    <t>verbraucht</t>
  </si>
  <si>
    <t>Kerze</t>
  </si>
  <si>
    <t># text = Sie sehen, dass es eine Art Säule ist, oft als "Wandernde Welle Reaktor" bezeichnet.</t>
  </si>
  <si>
    <t>Säule</t>
  </si>
  <si>
    <t>Wandernde</t>
  </si>
  <si>
    <t>Welle</t>
  </si>
  <si>
    <t>Reaktor</t>
  </si>
  <si>
    <t>bezeichnet</t>
  </si>
  <si>
    <t># text = Das löst wirklich das Treibstoffproblem.</t>
  </si>
  <si>
    <t>löst</t>
  </si>
  <si>
    <t>Treibstoffproblem</t>
  </si>
  <si>
    <t># text = Hier ist ein Bild eines Ortes in Kentucky.</t>
  </si>
  <si>
    <t>Bild</t>
  </si>
  <si>
    <t>Ortes</t>
  </si>
  <si>
    <t>Kentucky</t>
  </si>
  <si>
    <t># text = Das ist der Abfall, die 99%.</t>
  </si>
  <si>
    <t># text = Man hat den Teil, der heute verbrannt wird, herausgenommen also heißt es aufgebrauchtes Uran.</t>
  </si>
  <si>
    <t>Teil</t>
  </si>
  <si>
    <t>heute</t>
  </si>
  <si>
    <t>verbrannt</t>
  </si>
  <si>
    <t>heißt</t>
  </si>
  <si>
    <t>aufgebrauchtes</t>
  </si>
  <si>
    <t># text = Das triebe die U.S. für hunderte von Jahren an.</t>
  </si>
  <si>
    <t>triebe</t>
  </si>
  <si>
    <t>U.S.</t>
  </si>
  <si>
    <t>hunderte</t>
  </si>
  <si>
    <t>Jahren</t>
  </si>
  <si>
    <t># text = Und wenn man Ozeanwasser günstig und einfach filtriert, bekommt man genügend Treibstoff für die restliche Lebenszeit des Planeten.</t>
  </si>
  <si>
    <t>Ozeanwasser</t>
  </si>
  <si>
    <t>günstig</t>
  </si>
  <si>
    <t>filtriert</t>
  </si>
  <si>
    <t>bekommt</t>
  </si>
  <si>
    <t>genügend</t>
  </si>
  <si>
    <t>restliche</t>
  </si>
  <si>
    <t>Lebenszeit</t>
  </si>
  <si>
    <t># text = Wissen Sie, es gibt da noch viele Herausforderungen, aber es ist ein Beispiel von vielen hunderten von Konzepten, die wir brauchen, um vorwärts zu kommen.</t>
  </si>
  <si>
    <t>Wissen</t>
  </si>
  <si>
    <t>noch</t>
  </si>
  <si>
    <t>Beispiel</t>
  </si>
  <si>
    <t>hunderten</t>
  </si>
  <si>
    <t>Konzepten</t>
  </si>
  <si>
    <t>vorwärts</t>
  </si>
  <si>
    <t># text = Überlegen wir uns, wie wir unseren Erfolg messen sollten.</t>
  </si>
  <si>
    <t>Überlegen</t>
  </si>
  <si>
    <t>unseren</t>
  </si>
  <si>
    <t>Erfolg</t>
  </si>
  <si>
    <t>messen</t>
  </si>
  <si>
    <t>sollten</t>
  </si>
  <si>
    <t># text = Wie sollte unser Zeugnis aussehen?</t>
  </si>
  <si>
    <t>unser</t>
  </si>
  <si>
    <t>Zeugnis</t>
  </si>
  <si>
    <t># text = Nun, gehen wir bis ans Ziel, das wir erreichen müssen und dann reden wir über den Zwischenschritt.</t>
  </si>
  <si>
    <t>erreichen</t>
  </si>
  <si>
    <t>reden</t>
  </si>
  <si>
    <t>Zwischenschritt</t>
  </si>
  <si>
    <t># text = Viele sprechen von einer 80% Reduktion bis 2050.</t>
  </si>
  <si>
    <t>Viele</t>
  </si>
  <si>
    <t>Reduktion</t>
  </si>
  <si>
    <t>2050</t>
  </si>
  <si>
    <t># text = Es ist wirklich sehr wichtig, dass wir dorthin gelangen.</t>
  </si>
  <si>
    <t>dorthin</t>
  </si>
  <si>
    <t>gelangen</t>
  </si>
  <si>
    <t># text = Die restlichen 20% werden in armen Ländern erzeugt werden, sowie immer noch etwas Landwirtschaft.</t>
  </si>
  <si>
    <t>restlichen</t>
  </si>
  <si>
    <t>erzeugt</t>
  </si>
  <si>
    <t>sowie</t>
  </si>
  <si>
    <t>immer</t>
  </si>
  <si>
    <t>Landwirtschaft</t>
  </si>
  <si>
    <t># text = Hoffentlich wird Waldrohdung und Zement bis dahin sauber sein.</t>
  </si>
  <si>
    <t>Hoffentlich</t>
  </si>
  <si>
    <t>Waldrohdung</t>
  </si>
  <si>
    <t>Zement</t>
  </si>
  <si>
    <t>dahin</t>
  </si>
  <si>
    <t>sauber</t>
  </si>
  <si>
    <t># text = Also, um diese 80% zu erreichen, müssen die Industriestaaten, inklusive Ländern wie China, ihre Elektrizitätsgeneration komplett umstellen.</t>
  </si>
  <si>
    <t>Industriestaaten</t>
  </si>
  <si>
    <t>inklusive</t>
  </si>
  <si>
    <t>China</t>
  </si>
  <si>
    <t>Elektrizitätsgeneration</t>
  </si>
  <si>
    <t>komplett</t>
  </si>
  <si>
    <t># text = Die andere Note sagt, ob wir die Null-Emissionen Technologie einsetzen, ob sie in allen entwickelten Ländern eingesetzt ist und wir auf dem Weg sind, sie zu dem Rest zu bekommen.</t>
  </si>
  <si>
    <t>Note</t>
  </si>
  <si>
    <t>sagt</t>
  </si>
  <si>
    <t>Emissionen</t>
  </si>
  <si>
    <t>allen</t>
  </si>
  <si>
    <t>entwickelten</t>
  </si>
  <si>
    <t>eingesetzt</t>
  </si>
  <si>
    <t>Rest</t>
  </si>
  <si>
    <t># text = Das ist super wichtig.</t>
  </si>
  <si>
    <t>super</t>
  </si>
  <si>
    <t># text = Das wird ein Schlüsselelement dieses Zeugnisses.</t>
  </si>
  <si>
    <t>Schlüsselelement</t>
  </si>
  <si>
    <t>Zeugnisses</t>
  </si>
  <si>
    <t># text = Wenn wir von dort zurückgehen, wie sollte das 2020 Zeugnis aussehen?</t>
  </si>
  <si>
    <t>2020</t>
  </si>
  <si>
    <t># text = Es sollte wieder die beiden Elemente enthalten.</t>
  </si>
  <si>
    <t>wieder</t>
  </si>
  <si>
    <t>beiden</t>
  </si>
  <si>
    <t>Elemente</t>
  </si>
  <si>
    <t># text = Wir sollten die Effektivitätsmaßnahmen nutzen, um Reduktion auf den Weg zu bringen.</t>
  </si>
  <si>
    <t>Effektivitätsmaßnahmen</t>
  </si>
  <si>
    <t># text = Je weniger wir emittieren, desto geringer wird die CO2-Summe sein und damit auch die Temperatur.</t>
  </si>
  <si>
    <t>Je</t>
  </si>
  <si>
    <t>desto</t>
  </si>
  <si>
    <t>Summe</t>
  </si>
  <si>
    <t># text = Aber eigentlich ist diese Note für die Dinge die wir unternehmen, die nicht komplett zu den großen Reduktionen führen, nur gleich, oder sogar etwas weniger wichtig wie die andere, welche die Schnelligkeit der Innovation für diese Durchbrüche darstellt.</t>
  </si>
  <si>
    <t>unternehmen</t>
  </si>
  <si>
    <t>Reduktionen</t>
  </si>
  <si>
    <t>gleich</t>
  </si>
  <si>
    <t>Schnelligkeit</t>
  </si>
  <si>
    <t>Innovation</t>
  </si>
  <si>
    <t>Durchbrüche</t>
  </si>
  <si>
    <t>darstellt</t>
  </si>
  <si>
    <t># text = Diese Durchbrüche müssen wir mit Vollgas verfolgen und das können wir messen: in Firmenzahlen, in Pilotprojekten und Regulierungsänderungen.</t>
  </si>
  <si>
    <t>Firmenzahlen</t>
  </si>
  <si>
    <t>Pilotprojekten</t>
  </si>
  <si>
    <t>Regulierungsänderungen</t>
  </si>
  <si>
    <t># text = Es gibt viele großartige Bücher zu diesem Thema.</t>
  </si>
  <si>
    <t>Bücher</t>
  </si>
  <si>
    <t>Thema</t>
  </si>
  <si>
    <t># text = Das Al Gore Buch \"Wir haben die Wahl\" und David McKays \"Sustainable Energy Without the Hot Air.\"</t>
  </si>
  <si>
    <t>Al</t>
  </si>
  <si>
    <t>Gore</t>
  </si>
  <si>
    <t>Buch</t>
  </si>
  <si>
    <t>Wahl</t>
  </si>
  <si>
    <t>David</t>
  </si>
  <si>
    <t>McKays</t>
  </si>
  <si>
    <t>Sustainable</t>
  </si>
  <si>
    <t>Energy</t>
  </si>
  <si>
    <t>Without</t>
  </si>
  <si>
    <t>the</t>
  </si>
  <si>
    <t>Hot</t>
  </si>
  <si>
    <t>Air</t>
  </si>
  <si>
    <t># text = Sie gehen es wirklich durch und schaffen einen Rahmen, in dem dies breit diskutiert werden kann, denn wir brauchen dafür Unterstützung von allen Seiten.</t>
  </si>
  <si>
    <t>Rahmen</t>
  </si>
  <si>
    <t>dies</t>
  </si>
  <si>
    <t>breit</t>
  </si>
  <si>
    <t>diskutiert</t>
  </si>
  <si>
    <t>dafür</t>
  </si>
  <si>
    <t>Unterstützung</t>
  </si>
  <si>
    <t>Seiten</t>
  </si>
  <si>
    <t># text = Es gibt Einiges, das zusammenkommen muss.</t>
  </si>
  <si>
    <t>Einiges</t>
  </si>
  <si>
    <t>zusammenkommen</t>
  </si>
  <si>
    <t># text = Das ist ein Wunsch.</t>
  </si>
  <si>
    <t># text = Ein sehr konkreter Wunsch, dass wir diese Technologie erfinden.</t>
  </si>
  <si>
    <t>konkreter</t>
  </si>
  <si>
    <t># text = Wenn Sie mir nur einen Wunsch für die nächsten 50 Jahre gestatten, ich könnte den Präsidenten auswählen, einen Impfstoff, und das liebe ich, oder ich könnte diesen Wunsch wählen, der lautet, halbierter Energiepreis ohne CO2 wird erfunden.</t>
  </si>
  <si>
    <t>nächsten</t>
  </si>
  <si>
    <t>gestatten</t>
  </si>
  <si>
    <t>könnte</t>
  </si>
  <si>
    <t>Präsidenten</t>
  </si>
  <si>
    <t>Impfstoff</t>
  </si>
  <si>
    <t>liebe</t>
  </si>
  <si>
    <t>wählen</t>
  </si>
  <si>
    <t>lautet</t>
  </si>
  <si>
    <t>halbierter</t>
  </si>
  <si>
    <t>ohne</t>
  </si>
  <si>
    <t>erfunden</t>
  </si>
  <si>
    <t># text = diesen Wunsch nähme ich.</t>
  </si>
  <si>
    <t>nähme</t>
  </si>
  <si>
    <t># text = Dieser hat die größte Auswirkung.</t>
  </si>
  <si>
    <t>Dieser</t>
  </si>
  <si>
    <t>Auswirkung</t>
  </si>
  <si>
    <t># text = Wenn wir diesen Wunsch nicht kriegen, wird der Graben zwischen langfristig und kurzfristig denkenden Menschen schrecklich werden, zwischen den USA und China, zwischen armen und reichen Ländern.</t>
  </si>
  <si>
    <t>kriegen</t>
  </si>
  <si>
    <t>Graben</t>
  </si>
  <si>
    <t>langfristig</t>
  </si>
  <si>
    <t>kurzfristig</t>
  </si>
  <si>
    <t>denkenden</t>
  </si>
  <si>
    <t>schrecklich</t>
  </si>
  <si>
    <t>USA</t>
  </si>
  <si>
    <t># text = und fast alle Leben dieser 2 Milliarden werden sehr viel schlechter sein.</t>
  </si>
  <si>
    <t>schlechter</t>
  </si>
  <si>
    <t># text = Was müssen wir also tun?</t>
  </si>
  <si>
    <t># text = Für welche Maßnahmen appelliere ich?</t>
  </si>
  <si>
    <t>Maßnahmen</t>
  </si>
  <si>
    <t>appelliere</t>
  </si>
  <si>
    <t># text = Wir müssen uns für mehr Forschungsgelder einsetzen.</t>
  </si>
  <si>
    <t>Forschungsgelder</t>
  </si>
  <si>
    <t># text = Wenn Länder sich in Orten wie Koppenhagen treffen, sollten sie nicht nur über CO2 sprechen.</t>
  </si>
  <si>
    <t>Länder</t>
  </si>
  <si>
    <t>Orten</t>
  </si>
  <si>
    <t>Koppenhagen</t>
  </si>
  <si>
    <t># text = Sie sollten diese Innovationsstrategie besprechen und Sie wären geschockt von den lächerlich geringen Geldern, die für diese innovativen Herangehensweisen ausgegeben werden.</t>
  </si>
  <si>
    <t>Innovationsstrategie</t>
  </si>
  <si>
    <t>wären</t>
  </si>
  <si>
    <t>geschockt</t>
  </si>
  <si>
    <t>lächerlich</t>
  </si>
  <si>
    <t>geringen</t>
  </si>
  <si>
    <t>Geldern</t>
  </si>
  <si>
    <t>innovativen</t>
  </si>
  <si>
    <t>ausgegeben</t>
  </si>
  <si>
    <t># text = Wir brauchen Marktanreize, CO2 Steuern, Cap &amp;amp;</t>
  </si>
  <si>
    <t>Marktanreize</t>
  </si>
  <si>
    <t>Steuern</t>
  </si>
  <si>
    <t>Cap</t>
  </si>
  <si>
    <t>&amp;amp;amp</t>
  </si>
  <si>
    <t># text = Trade etwas, dass ein Preissignal schafft.</t>
  </si>
  <si>
    <t>Trade</t>
  </si>
  <si>
    <t>Preissignal</t>
  </si>
  <si>
    <t>schafft</t>
  </si>
  <si>
    <t># text = Wir müssen die Nachricht verbreiten.</t>
  </si>
  <si>
    <t>Nachricht</t>
  </si>
  <si>
    <t># text = Wir müssen Dialog rationaler und vollständiger führen und auch die Dinge, die von der Regierung unternommen werden.</t>
  </si>
  <si>
    <t>Dialog</t>
  </si>
  <si>
    <t>rationaler</t>
  </si>
  <si>
    <t>vollständiger</t>
  </si>
  <si>
    <t>Regierung</t>
  </si>
  <si>
    <t>unternommen</t>
  </si>
  <si>
    <t># text = Es ist ein wichtiger Wunsch, aber ich denke, wir können ihn erfüllen.</t>
  </si>
  <si>
    <t>denke</t>
  </si>
  <si>
    <t>ihn</t>
  </si>
  <si>
    <t>erfüllen</t>
  </si>
  <si>
    <t># text = Vielen Dank.</t>
  </si>
  <si>
    <t>Vielen</t>
  </si>
  <si>
    <t># text = (Applaus) Chris Anderson: Danke.</t>
  </si>
  <si>
    <t>Applaus</t>
  </si>
  <si>
    <t>Chris</t>
  </si>
  <si>
    <t>Anderson</t>
  </si>
  <si>
    <t>Danke</t>
  </si>
  <si>
    <t># text = Danke!</t>
  </si>
  <si>
    <t># text = Nur um TerraPower etwas besser zu verstehen -- Erstmal, können Sie uns eine Vorstellung der Größenordnung dieser Investition geben?</t>
  </si>
  <si>
    <t>Erstmal</t>
  </si>
  <si>
    <t>Größenordnung</t>
  </si>
  <si>
    <t>Investition</t>
  </si>
  <si>
    <t># text = Bill Gates:</t>
  </si>
  <si>
    <t>Gates</t>
  </si>
  <si>
    <t># text = Um die Simulation auf einem Supercomputer durchzuführen, alle großen Wissenschaftler zu bekommen, was wir gemacht haben, brauchen wir nur einige 10 Millionen.</t>
  </si>
  <si>
    <t>Um</t>
  </si>
  <si>
    <t>Simulation</t>
  </si>
  <si>
    <t>durchzuführen</t>
  </si>
  <si>
    <t>gemacht</t>
  </si>
  <si>
    <t>Millionen</t>
  </si>
  <si>
    <t># text = Und selbst wenn wir unsere Materialien in einem russischen Reaktor getestet haben, um sicherzustellen, dass es vernünftig funktioniert, ist man nur in den 100en Millionen.</t>
  </si>
  <si>
    <t>unsere</t>
  </si>
  <si>
    <t>russischen</t>
  </si>
  <si>
    <t>getestet</t>
  </si>
  <si>
    <t>sicherzustellen</t>
  </si>
  <si>
    <t>funktioniert</t>
  </si>
  <si>
    <t>100en</t>
  </si>
  <si>
    <t># text = Der schwierige Schritt ist das Bauen des ersten Reaktors, weitere Milliarden zu finden, die Regularien und den Ort der tatsächlich den ersten davon baut.</t>
  </si>
  <si>
    <t>Schritt</t>
  </si>
  <si>
    <t>Bauen</t>
  </si>
  <si>
    <t>Reaktors</t>
  </si>
  <si>
    <t>Regularien</t>
  </si>
  <si>
    <t>Ort</t>
  </si>
  <si>
    <t>davon</t>
  </si>
  <si>
    <t>baut</t>
  </si>
  <si>
    <t># text = Sobald der Erste fertig ist, wenn er so läuft wie versprochen, dann ist alles ganz klar, denn die Wirtschaftlichkeit, die Energiedichte ist so anders als bei Nuklearenergie, wie wir sie kennen.</t>
  </si>
  <si>
    <t>Sobald</t>
  </si>
  <si>
    <t>Erste</t>
  </si>
  <si>
    <t>fertig</t>
  </si>
  <si>
    <t>läuft</t>
  </si>
  <si>
    <t>versprochen</t>
  </si>
  <si>
    <t>Wirtschaftlichkeit</t>
  </si>
  <si>
    <t>kennen</t>
  </si>
  <si>
    <t># text = CA: Um das richtig zu verstehen:</t>
  </si>
  <si>
    <t>CA</t>
  </si>
  <si>
    <t>richtig</t>
  </si>
  <si>
    <t># text = Das bedeutet tief in den Boden zu bauen fast wie eine vertikale Säule nuklearen Brennstoffs, dieses verbrauchten Urans und dann beginnt der Prozess oben und arbeitet sich weiter nach unten?</t>
  </si>
  <si>
    <t>tief</t>
  </si>
  <si>
    <t>Boden</t>
  </si>
  <si>
    <t>bauen</t>
  </si>
  <si>
    <t>vertikale</t>
  </si>
  <si>
    <t>Brennstoffs</t>
  </si>
  <si>
    <t>verbrauchten</t>
  </si>
  <si>
    <t>beginnt</t>
  </si>
  <si>
    <t>Prozess</t>
  </si>
  <si>
    <t>oben</t>
  </si>
  <si>
    <t>arbeitet</t>
  </si>
  <si>
    <t># text = BG: Genau.</t>
  </si>
  <si>
    <t># text = Heute müssen Sie den Reaktor immer neu befüllen, also gibt es viele Leute und viele Kontrollen, die schief gehen können.</t>
  </si>
  <si>
    <t>neu</t>
  </si>
  <si>
    <t>Kontrollen</t>
  </si>
  <si>
    <t># text = Dieses Ding wo man ihn öffnet und Sachen hinein- oder herausbringt.</t>
  </si>
  <si>
    <t>Dieses</t>
  </si>
  <si>
    <t>öffnet</t>
  </si>
  <si>
    <t>hinein</t>
  </si>
  <si>
    <t>herausbringt</t>
  </si>
  <si>
    <t># text = Das ist nicht gut!</t>
  </si>
  <si>
    <t># text = Wenn man aber sehr billigen Brennstoff hat, kann man ihn für 60 Jahre befüllen -- denken Sie an eine Säule -- die Sie vergraben, ohne die ganzen Komplexitäten.</t>
  </si>
  <si>
    <t>billigen</t>
  </si>
  <si>
    <t>vergraben</t>
  </si>
  <si>
    <t>Komplexitäten</t>
  </si>
  <si>
    <t># text = Und es sitzt dort und brennt 60 Jahre lang und dann ist es fertig.</t>
  </si>
  <si>
    <t>sitzt</t>
  </si>
  <si>
    <t>brennt</t>
  </si>
  <si>
    <t>lang</t>
  </si>
  <si>
    <t># text = CA: Ein Nuklearreaktor, der selbst eine Lösung für den Müll bietet.</t>
  </si>
  <si>
    <t>Lösung</t>
  </si>
  <si>
    <t>bietet</t>
  </si>
  <si>
    <t># text = BG: Ja. Nun, was mit dem Müll passiert: Man kann ihn sitzen lassen -- es gibt viel weniger Müll mit dieser Methode -- dann nehmen Sie ihn und packen ihn in den nächsten Reaktor und verbrennen es weiter.</t>
  </si>
  <si>
    <t>Methode</t>
  </si>
  <si>
    <t>nehmen</t>
  </si>
  <si>
    <t>packen</t>
  </si>
  <si>
    <t># text = Und wir beginnen, indem wir den Müll nehmen, der bereits existiert, der in diesen Kühlbecken oder Trockenbehältern bei den Reaktoren liegt.</t>
  </si>
  <si>
    <t>indem</t>
  </si>
  <si>
    <t>existiert</t>
  </si>
  <si>
    <t>Kühlbecken</t>
  </si>
  <si>
    <t>Trockenbehältern</t>
  </si>
  <si>
    <t># text = Das ist unser Startbrennstoff.</t>
  </si>
  <si>
    <t>Startbrennstoff</t>
  </si>
  <si>
    <t># text = Also ist das, was für diese Reaktoren ein Problem war, das, was wir in unseren füllen und damit wird das Müllvolumen dramatisch reduziert während dieses Prozesses.</t>
  </si>
  <si>
    <t>war</t>
  </si>
  <si>
    <t>füllen</t>
  </si>
  <si>
    <t>Müllvolumen</t>
  </si>
  <si>
    <t>während</t>
  </si>
  <si>
    <t>Prozesses</t>
  </si>
  <si>
    <t># text = CA: Aber während Sie mit verschiedenen Menschen dieser Welt über diese Möglichkeiten gesprochen haben, wo ist das größte Interesse, so was wirklich umzusetzen?</t>
  </si>
  <si>
    <t>verschiedenen</t>
  </si>
  <si>
    <t>gesprochen</t>
  </si>
  <si>
    <t>Interesse</t>
  </si>
  <si>
    <t>umzusetzen</t>
  </si>
  <si>
    <t># text = BG: Nun wir haben uns noch nicht auf einen Ort festgelegt und es gibt eine Menge interessanter Offenlegungsregeln für alles das \"nuklear\" im Namen trägt.</t>
  </si>
  <si>
    <t>festgelegt</t>
  </si>
  <si>
    <t>interessanter</t>
  </si>
  <si>
    <t>Offenlegungsregeln</t>
  </si>
  <si>
    <t>nuklear</t>
  </si>
  <si>
    <t>Namen</t>
  </si>
  <si>
    <t>trägt</t>
  </si>
  <si>
    <t># text = Es gibt großes Interesse und die Menschen des Unternehmens waren in Russland, Indien, China...</t>
  </si>
  <si>
    <t>großes</t>
  </si>
  <si>
    <t>Unternehmens</t>
  </si>
  <si>
    <t>waren</t>
  </si>
  <si>
    <t>Russland</t>
  </si>
  <si>
    <t>Indien</t>
  </si>
  <si>
    <t>...</t>
  </si>
  <si>
    <t># text = Ich war hier und habe den Energieminister getroffen und darüber gesprochen, wie dies zur Energieagenda passt.</t>
  </si>
  <si>
    <t>Energieminister</t>
  </si>
  <si>
    <t>getroffen</t>
  </si>
  <si>
    <t>Energieagenda</t>
  </si>
  <si>
    <t>passt</t>
  </si>
  <si>
    <t># text = Ich bin optimistisch.</t>
  </si>
  <si>
    <t>bin</t>
  </si>
  <si>
    <t># text = Wissen Sie, die Franzosen und Japaner haben etwas in die Richtung gemacht.</t>
  </si>
  <si>
    <t>Franzosen</t>
  </si>
  <si>
    <t>Japaner</t>
  </si>
  <si>
    <t># text = Dies ist eine Variante einer Sache, die gemacht wurde.</t>
  </si>
  <si>
    <t>Dies</t>
  </si>
  <si>
    <t>Variante</t>
  </si>
  <si>
    <t># text = Das ist ein wichtiger Schritt vorwärts, aber es ist wie ein schneller Reaktor und einige Länder haben diese gebaut, deshalb ist jeder, der einen schnellen Reaktor umgesetzt hat, ein Kandidatat für unseren ersten.</t>
  </si>
  <si>
    <t>schneller</t>
  </si>
  <si>
    <t>gebaut</t>
  </si>
  <si>
    <t>schnellen</t>
  </si>
  <si>
    <t>umgesetzt</t>
  </si>
  <si>
    <t>Kandidatat</t>
  </si>
  <si>
    <t># text = CA:</t>
  </si>
  <si>
    <t># text = In Ihrer Vorstellung: Zeitrahmen und Wahrscheinlichkeit so etwas wirklich ins Leben zu rufen?</t>
  </si>
  <si>
    <t>Ihrer</t>
  </si>
  <si>
    <t>Zeitrahmen</t>
  </si>
  <si>
    <t>Wahrscheinlichkeit</t>
  </si>
  <si>
    <t># text = BG: Nun wir brauchen eines dieser skalierbaren, stromgenerierenden Dinge, die sehr günstig sind, wir haben 20 Jahre zum Erfinden und dann 20 Jahre zum Einsetzen.</t>
  </si>
  <si>
    <t>skalierbaren</t>
  </si>
  <si>
    <t>stromgenerierenden</t>
  </si>
  <si>
    <t>Erfinden</t>
  </si>
  <si>
    <t>Einsetzen</t>
  </si>
  <si>
    <t># text = Das ist quasi die Deadline, die uns die Umweltmodelle aufgezeigt hat, die wir einhalten müssen.</t>
  </si>
  <si>
    <t>Umweltmodelle</t>
  </si>
  <si>
    <t>aufgezeigt</t>
  </si>
  <si>
    <t>einhalten</t>
  </si>
  <si>
    <t># text = Und, wissen Sie, TerraPower, wenn alles gut läuft, und das ist ein großer Wunsch, könnte das leicht halten.</t>
  </si>
  <si>
    <t>großer</t>
  </si>
  <si>
    <t># text = Und glücklicherweise gibt es heute Dutzende von Firmen, und wir brauchen Hunderte, die, genauso, wenn deren Ansätze funktionieren, die Förderung für ihre Piloten funktioniert, dafür mitbieten können.</t>
  </si>
  <si>
    <t>glücklicherweise</t>
  </si>
  <si>
    <t>Dutzende</t>
  </si>
  <si>
    <t>Ansätze</t>
  </si>
  <si>
    <t>Förderung</t>
  </si>
  <si>
    <t>Piloten</t>
  </si>
  <si>
    <t>mitbieten</t>
  </si>
  <si>
    <t># text = Und es wäre am Besten, wenn es mehrere schaffen, denn dann könnte man eine Mischung benutzen.</t>
  </si>
  <si>
    <t>Besten</t>
  </si>
  <si>
    <t>Mischung</t>
  </si>
  <si>
    <t># text = Auf jeden Fall brauchen wir eine Lösung.</t>
  </si>
  <si>
    <t>Auf</t>
  </si>
  <si>
    <t># text = CA: Betreffend der großen möglichen Durchbrüche, ist dies das Größte, das Sie kennen?</t>
  </si>
  <si>
    <t>Betreffend</t>
  </si>
  <si>
    <t>Größte</t>
  </si>
  <si>
    <t># text = BG: Ein Energiedurchbruch ist das allerwichtigste.</t>
  </si>
  <si>
    <t>Energiedurchbruch</t>
  </si>
  <si>
    <t>allerwichtigste</t>
  </si>
  <si>
    <t># text = Das wäre es auch ohne die Umweltherausforderung gewesen, aber die macht es noch so viel wichtiger.</t>
  </si>
  <si>
    <t>Umweltherausforderung</t>
  </si>
  <si>
    <t>gewesen</t>
  </si>
  <si>
    <t># text = Im nuklearen Sektor gibt es andere innovative Firmen.</t>
  </si>
  <si>
    <t>Sektor</t>
  </si>
  <si>
    <t>innovative</t>
  </si>
  <si>
    <t># text = Wissen Sie, wir kennen deren Arbeit nicht so gut wie diese, aber es gibt die modulare Methode, das ist ein anderer Ansatz.</t>
  </si>
  <si>
    <t>Arbeit</t>
  </si>
  <si>
    <t>modulare</t>
  </si>
  <si>
    <t>anderer</t>
  </si>
  <si>
    <t># text = Es gibt einen flüssigen Reaktortyp, welches etwas schwierig scheint, aber vielleicht sagen die das über uns.</t>
  </si>
  <si>
    <t>flüssigen</t>
  </si>
  <si>
    <t>Reaktortyp</t>
  </si>
  <si>
    <t># text = Und somit gibt es verschiedene, aber das schöne daran ist, dass ein Uranmolekül eine Millionen mal so viel Energie hat wie ein, sagen wir, ein Kohlemolekül und deshalb, wenn Sie mit den Problemen umgehen können und die sind hauptsächlich die Strahlung, der Fußabdruck und die Kosten, spielt das Potential, also die Auswirkungen auf das Land und andere Dinge, fast in einer eigenen Liga.</t>
  </si>
  <si>
    <t>schöne</t>
  </si>
  <si>
    <t>Uranmolekül</t>
  </si>
  <si>
    <t>Kohlemolekül</t>
  </si>
  <si>
    <t>Problemen</t>
  </si>
  <si>
    <t>Strahlung</t>
  </si>
  <si>
    <t>Fußabdruck</t>
  </si>
  <si>
    <t>spielt</t>
  </si>
  <si>
    <t>Potential</t>
  </si>
  <si>
    <t>Auswirkungen</t>
  </si>
  <si>
    <t>Land</t>
  </si>
  <si>
    <t>eigenen</t>
  </si>
  <si>
    <t>Liga</t>
  </si>
  <si>
    <t># text = CA: Wenn das nicht klappt, was dann?</t>
  </si>
  <si>
    <t>klappt</t>
  </si>
  <si>
    <t># text = Müssen wir Notfallmaßnahmen einleiten, um zu versuchen, die Erdtemperatur stabil zu halten?</t>
  </si>
  <si>
    <t>Notfallmaßnahmen</t>
  </si>
  <si>
    <t>versuchen</t>
  </si>
  <si>
    <t>Erdtemperatur</t>
  </si>
  <si>
    <t>stabil</t>
  </si>
  <si>
    <t># text = BG: Wenn man in diese Situation kommt, ist es als ob man zu viel gegessen hat, und kurz vor einem Herzinfarkt steht.</t>
  </si>
  <si>
    <t>gegessen</t>
  </si>
  <si>
    <t>kurz</t>
  </si>
  <si>
    <t>Herzinfarkt</t>
  </si>
  <si>
    <t># text = Was macht man dann?</t>
  </si>
  <si>
    <t># text = Man braucht vielleicht eine Herzoperation oder ähnliches.</t>
  </si>
  <si>
    <t>Herzoperation</t>
  </si>
  <si>
    <t>ähnliches</t>
  </si>
  <si>
    <t># text = Es gibt eine Forschungsrichtung die sich Geoengineering nennt, die sich mit verschiedenen Techniken befasst, um die Erwärmung zu verzögern, damit wir 20 oder 30 Jahre länger bekämen um uns zusammenzuraufen.</t>
  </si>
  <si>
    <t>Forschungsrichtung</t>
  </si>
  <si>
    <t>Geoengineering</t>
  </si>
  <si>
    <t>nennt</t>
  </si>
  <si>
    <t>Techniken</t>
  </si>
  <si>
    <t>befasst</t>
  </si>
  <si>
    <t>Erwärmung</t>
  </si>
  <si>
    <t>verzögern</t>
  </si>
  <si>
    <t>länger</t>
  </si>
  <si>
    <t>bekämen</t>
  </si>
  <si>
    <t>zusammenzuraufen</t>
  </si>
  <si>
    <t># text = Das ist nur eine Versicherungsmethode.</t>
  </si>
  <si>
    <t>Versicherungsmethode</t>
  </si>
  <si>
    <t># text = Man hofft, dass wir das nicht brauchen.</t>
  </si>
  <si>
    <t>hofft</t>
  </si>
  <si>
    <t># text = Manche Leute sagen, man sollte gar nicht erst an der Versicherung arbeiten weil einen das vielleicht faul macht, sodass man weiter isst, weil man weiß, dass einen die Herzoperation retten wird.</t>
  </si>
  <si>
    <t>Manche</t>
  </si>
  <si>
    <t>gar</t>
  </si>
  <si>
    <t>erst</t>
  </si>
  <si>
    <t>Versicherung</t>
  </si>
  <si>
    <t>faul</t>
  </si>
  <si>
    <t>sodass</t>
  </si>
  <si>
    <t>isst</t>
  </si>
  <si>
    <t>weiß</t>
  </si>
  <si>
    <t>retten</t>
  </si>
  <si>
    <t># text = Ich weiß nicht, ob das klug ist, wenn man sich die Wichtigkeit dieses Problems vor Augen führt, aber es gibt nun einen Diskurs in Geoengineering darüber, ob man das zur Verfügung haben sollte, falls die Dinge schneller kommen, oder diese Innovation länger braucht, als wir erwarten.</t>
  </si>
  <si>
    <t>klug</t>
  </si>
  <si>
    <t>Wichtigkeit</t>
  </si>
  <si>
    <t>Problems</t>
  </si>
  <si>
    <t>Augen</t>
  </si>
  <si>
    <t>Diskurs</t>
  </si>
  <si>
    <t>Verfügung</t>
  </si>
  <si>
    <t>falls</t>
  </si>
  <si>
    <t>erwarten</t>
  </si>
  <si>
    <t># text = CA: Klimaskeptiker: Haben</t>
  </si>
  <si>
    <t>Klimaskeptiker</t>
  </si>
  <si>
    <t>Haben</t>
  </si>
  <si>
    <t># text = Sie ein oder zwei Sätze für die, um Sie vielleicht zu überzeugen?</t>
  </si>
  <si>
    <t>zwei</t>
  </si>
  <si>
    <t>Sätze</t>
  </si>
  <si>
    <t>überzeugen</t>
  </si>
  <si>
    <t># text = BG: Nun, leider leben die Skeptiker in sehr verschiedenen Camps.</t>
  </si>
  <si>
    <t>leider</t>
  </si>
  <si>
    <t>Skeptiker</t>
  </si>
  <si>
    <t>Camps</t>
  </si>
  <si>
    <t># text = Diejenigen, die wissenschaftliche Argumente machen, sind sehr wenig.</t>
  </si>
  <si>
    <t>Diejenigen</t>
  </si>
  <si>
    <t>wissenschaftliche</t>
  </si>
  <si>
    <t>Argumente</t>
  </si>
  <si>
    <t># text = Sagen sie, dass es negative Auswirkungen gibt, die mit den Wolken zu tun haben, die Dinge verschieben?</t>
  </si>
  <si>
    <t>Sagen</t>
  </si>
  <si>
    <t>Wolken</t>
  </si>
  <si>
    <t>verschieben</t>
  </si>
  <si>
    <t># text = Es gibt sehr, sehr wenige Dinge, die sie überhaupt sagen können, von denen es eine Chance in einer Millionen gibt.</t>
  </si>
  <si>
    <t>wenige</t>
  </si>
  <si>
    <t>Chance</t>
  </si>
  <si>
    <t># text = Das Hauptproblem hier ist so ähnlich wie bei AIDS.</t>
  </si>
  <si>
    <t>Hauptproblem</t>
  </si>
  <si>
    <t>ähnlich</t>
  </si>
  <si>
    <t>AIDS</t>
  </si>
  <si>
    <t># text = Man macht den Fehler jetzt, und man zahlt dafür sehr viel später.</t>
  </si>
  <si>
    <t>Fehler</t>
  </si>
  <si>
    <t>zahlt</t>
  </si>
  <si>
    <t>später</t>
  </si>
  <si>
    <t># text = Und deshalb ist die Vorstellung, jetzt, wenn man alle möglichen dringenden Probleme hat, in etwas zu investieren, von dem man erst später was hat -- und dazu kommt, dass die Investition nicht so klar ist.</t>
  </si>
  <si>
    <t>dringenden</t>
  </si>
  <si>
    <t>dazu</t>
  </si>
  <si>
    <t># text = Tatsächlich ist der IPCC Report nicht unbedingt das schlimmste Szenario und es gibt Menschen in der reichen Welt, die sich IPCC anschauen und sagen, okay, das ist kein großes Drama.</t>
  </si>
  <si>
    <t>IPCC</t>
  </si>
  <si>
    <t>Report</t>
  </si>
  <si>
    <t>unbedingt</t>
  </si>
  <si>
    <t>schlimmste</t>
  </si>
  <si>
    <t>Szenario</t>
  </si>
  <si>
    <t>okay</t>
  </si>
  <si>
    <t>kein</t>
  </si>
  <si>
    <t>Drama</t>
  </si>
  <si>
    <t># text = Die Tatsache ist, dass diese Unsicherheit uns Sorgen machen sollte.</t>
  </si>
  <si>
    <t>Sorgen</t>
  </si>
  <si>
    <t># text = Aber mein Traum hier ist, dass, wenn man es ökonomisch machen kann, und gleichzeitig das CO2 beseitigt, dann sagen auch die Skeptiker: \"Okay, Es interessiert mich nicht, dass es kein CO2 emittiert, ich wünschte fast, dass es das täte, aber ich werde es wohl akzeptieren, weil es billiger ist als die vorherige Methode.\"</t>
  </si>
  <si>
    <t>Traum</t>
  </si>
  <si>
    <t>ökonomisch</t>
  </si>
  <si>
    <t>gleichzeitig</t>
  </si>
  <si>
    <t>beseitigt</t>
  </si>
  <si>
    <t>Okay</t>
  </si>
  <si>
    <t>interessiert</t>
  </si>
  <si>
    <t>other_8</t>
  </si>
  <si>
    <t>OBJ_7</t>
  </si>
  <si>
    <t>wünschte</t>
  </si>
  <si>
    <t>täte</t>
  </si>
  <si>
    <t>werde</t>
  </si>
  <si>
    <t>akzeptieren</t>
  </si>
  <si>
    <t>billiger</t>
  </si>
  <si>
    <t>vorherige</t>
  </si>
  <si>
    <t># text = CA: Und das wäre Ihre Antwort auf das Björn Lomborg Argument, dass, wenn man all diese Zeit und Energie verwendet um das CO2 Problem zu lösen, all die anderen Ziele darunter leiden, die Armutsverringerung, die Bekämpfung von Malaria und so weiter, dass es eine dumme Verschwendung von Ressourcen ist, Geld dafür zu investieren, während es bessere Dinge gibt, die wir tun können.</t>
  </si>
  <si>
    <t>Ihre</t>
  </si>
  <si>
    <t>Björn</t>
  </si>
  <si>
    <t>Lomborg</t>
  </si>
  <si>
    <t>Argument</t>
  </si>
  <si>
    <t>Ziele</t>
  </si>
  <si>
    <t>Bekämpfung</t>
  </si>
  <si>
    <t>Malaria</t>
  </si>
  <si>
    <t>dumme</t>
  </si>
  <si>
    <t>Verschwendung</t>
  </si>
  <si>
    <t>Ressourcen</t>
  </si>
  <si>
    <t>Geld</t>
  </si>
  <si>
    <t>bessere</t>
  </si>
  <si>
    <t># text = BG: Nun, die tatsächlichen Ausgaben für die Forschung -- sagen wir die U.S. sollten 10 Milliarden pro Jahr mehr ausgeben als sie heute tun -- das ist nicht so dramatisch.</t>
  </si>
  <si>
    <t>tatsächlichen</t>
  </si>
  <si>
    <t>Ausgaben</t>
  </si>
  <si>
    <t># text = Darunter sollten anderen Dinge nicht leiden.</t>
  </si>
  <si>
    <t>Darunter</t>
  </si>
  <si>
    <t># text = Man kommt dann zu großen Geldsummen, und hier können vernünftige Leute widersprechen, wenn man etwas hat, das nicht ökonomisch ist, und versucht, das zu finanzieren.</t>
  </si>
  <si>
    <t>Geldsummen</t>
  </si>
  <si>
    <t>vernünftige</t>
  </si>
  <si>
    <t>widersprechen</t>
  </si>
  <si>
    <t># text = Für mich geschieht hier die meiste Verschwendung.</t>
  </si>
  <si>
    <t>geschieht</t>
  </si>
  <si>
    <t>meiste</t>
  </si>
  <si>
    <t># text = Es sei denn, man ist sehr kurz vor einem Kostendurchbruch und finanziert nur noch die Lernkurve.</t>
  </si>
  <si>
    <t>sei</t>
  </si>
  <si>
    <t>Kostendurchbruch</t>
  </si>
  <si>
    <t>finanziert</t>
  </si>
  <si>
    <t>Lernkurve</t>
  </si>
  <si>
    <t># text = Ich glaube wir sollten mehr Dinge versuchen, die das Potential haben, sehr viel günstiger zu sein.</t>
  </si>
  <si>
    <t>günstiger</t>
  </si>
  <si>
    <t># text = Falls der Abstrich, den man bekommt, ein sehr hoher Energiepreis ist, dann können nur die Reichen mithalten.</t>
  </si>
  <si>
    <t>Falls</t>
  </si>
  <si>
    <t>Abstrich</t>
  </si>
  <si>
    <t>hoher</t>
  </si>
  <si>
    <t>Reichen</t>
  </si>
  <si>
    <t>mithalten</t>
  </si>
  <si>
    <t># text = Ich meine, jeder von uns hier könnte fünf mal so viel für unsere Energie ausgeben ohne seinen Lebensstil zu ändern.</t>
  </si>
  <si>
    <t>seinen</t>
  </si>
  <si>
    <t>Lebensstil</t>
  </si>
  <si>
    <t># text = Für die unteren zwei Milliarden aber ist es ein Desaster.</t>
  </si>
  <si>
    <t>unteren</t>
  </si>
  <si>
    <t>Desaster</t>
  </si>
  <si>
    <t># text = Und selbst Lomborg denkt um.</t>
  </si>
  <si>
    <t>denkt</t>
  </si>
  <si>
    <t># text = Seine neue Masche ist jetzt: \"Warum wird die Forschung nicht mehr besprochen?\"</t>
  </si>
  <si>
    <t>Seine</t>
  </si>
  <si>
    <t>Masche</t>
  </si>
  <si>
    <t>Warum</t>
  </si>
  <si>
    <t>besprochen</t>
  </si>
  <si>
    <t># text = Er wird immer noch, wegen seiner früheren Geschichten, mit dem Skeptiker-Camp assoziiert, aber er hat verstanden, dass das eine sehr einsame Gruppe ist und deshalb bringt er jetzt das Forschungsargument.</t>
  </si>
  <si>
    <t>Er</t>
  </si>
  <si>
    <t>wegen</t>
  </si>
  <si>
    <t>seiner</t>
  </si>
  <si>
    <t>früheren</t>
  </si>
  <si>
    <t>Geschichten</t>
  </si>
  <si>
    <t>Camp</t>
  </si>
  <si>
    <t>assoziiert</t>
  </si>
  <si>
    <t>verstanden</t>
  </si>
  <si>
    <t>einsame</t>
  </si>
  <si>
    <t>bringt</t>
  </si>
  <si>
    <t>Forschungsargument</t>
  </si>
  <si>
    <t># text = Und das ist ein Gedankengang, den ich für angemessen halte.</t>
  </si>
  <si>
    <t>Gedankengang</t>
  </si>
  <si>
    <t>angemessen</t>
  </si>
  <si>
    <t>halte</t>
  </si>
  <si>
    <t># text = Die Forschung, es ist einfach verrückt, wie wenig die unterstützt wird.</t>
  </si>
  <si>
    <t>unterstützt</t>
  </si>
  <si>
    <t># text = CA: Bill, ich glaube ich spreche für fast alle Menschen hier, wenn ich sage, ich hoffe wirklich, dass Ihr Wunsch wahr wird.</t>
  </si>
  <si>
    <t>sage</t>
  </si>
  <si>
    <t>hoffe</t>
  </si>
  <si>
    <t>Ihr</t>
  </si>
  <si>
    <t>wahr</t>
  </si>
  <si>
    <t># text = Vielen, vielen Dank.</t>
  </si>
  <si>
    <t># text = BG: 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</si>
</sst>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8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16</v>
      </c>
      <c r="B6" s="6" t="s">
        <v>28</v>
      </c>
      <c r="C6" s="6" t="s">
        <v>12</v>
      </c>
      <c r="D6" s="7" t="s">
        <v>29</v>
      </c>
      <c r="E6" s="8" t="s">
        <v>30</v>
      </c>
      <c r="F6" s="6" t="s">
        <v>31</v>
      </c>
      <c r="G6" s="9">
        <f>IF(A6=1,"_",IF(C6="_","???",C6))</f>
        <v/>
      </c>
      <c r="H6" s="10" t="s">
        <v>12</v>
      </c>
      <c r="I6" s="11" t="s">
        <v>12</v>
      </c>
      <c r="J6" s="12"/>
    </row>
    <row r="7" spans="1:10" ht="60" customHeight="1">
      <c r="A7" s="6" t="s">
        <v>32</v>
      </c>
      <c r="B7" s="6" t="s">
        <v>32</v>
      </c>
      <c r="C7" s="6" t="s">
        <v>12</v>
      </c>
      <c r="D7" s="7" t="s">
        <v>33</v>
      </c>
      <c r="E7" s="8" t="s">
        <v>34</v>
      </c>
      <c r="F7" s="6" t="s">
        <v>35</v>
      </c>
      <c r="G7" s="9">
        <f>IF(A7=1,"_",IF(C7="_","???",C7))</f>
        <v/>
      </c>
      <c r="H7" s="10" t="s">
        <v>12</v>
      </c>
      <c r="I7" s="11" t="s">
        <v>12</v>
      </c>
      <c r="J7" s="12"/>
    </row>
    <row r="8" spans="1:10" ht="60" customHeight="1">
      <c r="A8" s="6" t="s">
        <v>36</v>
      </c>
      <c r="B8" s="6" t="s">
        <v>11</v>
      </c>
      <c r="C8" s="6" t="s">
        <v>12</v>
      </c>
      <c r="D8" s="7" t="s">
        <v>37</v>
      </c>
      <c r="E8" s="8" t="s">
        <v>38</v>
      </c>
      <c r="F8" s="6" t="s">
        <v>39</v>
      </c>
      <c r="G8" s="9">
        <f>IF(A8=1,"_",IF(C8="_","???",C8))</f>
        <v/>
      </c>
      <c r="H8" s="10" t="s">
        <v>12</v>
      </c>
      <c r="I8" s="11" t="s">
        <v>12</v>
      </c>
      <c r="J8" s="12"/>
    </row>
    <row r="9" spans="1:10" ht="60" customHeight="1">
      <c r="A9" s="6" t="s">
        <v>28</v>
      </c>
      <c r="B9" s="6" t="s">
        <v>11</v>
      </c>
      <c r="C9" s="6" t="s">
        <v>12</v>
      </c>
      <c r="D9" s="7" t="s">
        <v>37</v>
      </c>
      <c r="E9" s="8" t="s">
        <v>40</v>
      </c>
      <c r="F9" s="6" t="s">
        <v>41</v>
      </c>
      <c r="G9" s="9">
        <f>IF(A9=1,"_",IF(C9="_","???",C9))</f>
        <v/>
      </c>
      <c r="H9" s="10" t="s">
        <v>12</v>
      </c>
      <c r="I9" s="11" t="s">
        <v>12</v>
      </c>
      <c r="J9" s="12"/>
    </row>
    <row r="10" spans="1:10" ht="60" customHeight="1">
      <c r="A10" s="6" t="s">
        <v>42</v>
      </c>
      <c r="B10" s="6" t="s">
        <v>11</v>
      </c>
      <c r="C10" s="6" t="s">
        <v>12</v>
      </c>
      <c r="D10" s="7" t="s">
        <v>37</v>
      </c>
      <c r="E10" s="8" t="s">
        <v>43</v>
      </c>
      <c r="F10" s="6" t="s">
        <v>44</v>
      </c>
      <c r="G10" s="9">
        <f>IF(A10=1,"_",IF(C10="_","???",C10))</f>
        <v/>
      </c>
      <c r="H10" s="10" t="s">
        <v>12</v>
      </c>
      <c r="I10" s="11" t="s">
        <v>12</v>
      </c>
      <c r="J10" s="12"/>
    </row>
    <row r="11" spans="1:10" ht="60" customHeight="1">
      <c r="A11" s="6" t="s">
        <v>45</v>
      </c>
      <c r="B11" s="6" t="s">
        <v>42</v>
      </c>
      <c r="C11" s="6" t="s">
        <v>12</v>
      </c>
      <c r="D11" s="7" t="s">
        <v>46</v>
      </c>
      <c r="E11" s="8" t="s">
        <v>47</v>
      </c>
      <c r="F11" s="6" t="s">
        <v>48</v>
      </c>
      <c r="G11" s="9">
        <f>IF(A11=1,"_",IF(C11="_","???",C11))</f>
        <v/>
      </c>
      <c r="H11" s="10" t="s">
        <v>12</v>
      </c>
      <c r="I11" s="11" t="s">
        <v>12</v>
      </c>
      <c r="J11" s="12"/>
    </row>
    <row r="12" spans="1:10" ht="60" customHeight="1">
      <c r="A12" s="6" t="s">
        <v>49</v>
      </c>
      <c r="B12" s="6" t="s">
        <v>11</v>
      </c>
      <c r="C12" s="6" t="s">
        <v>12</v>
      </c>
      <c r="D12" s="7" t="s">
        <v>21</v>
      </c>
      <c r="E12" s="8" t="s">
        <v>50</v>
      </c>
      <c r="F12" s="6" t="s">
        <v>51</v>
      </c>
      <c r="G12" s="9">
        <f>IF(A12=1,"_",IF(C12="_","???",C12))</f>
        <v/>
      </c>
      <c r="H12" s="10" t="s">
        <v>12</v>
      </c>
      <c r="I12" s="11" t="s">
        <v>12</v>
      </c>
      <c r="J12" s="12"/>
    </row>
    <row r="13" spans="1:10" ht="60" customHeight="1">
      <c r="A13" s="6" t="s">
        <v>52</v>
      </c>
      <c r="B13" s="6" t="s">
        <v>11</v>
      </c>
      <c r="C13" s="6" t="s">
        <v>12</v>
      </c>
      <c r="D13" s="7" t="s">
        <v>53</v>
      </c>
      <c r="E13" s="8" t="s">
        <v>54</v>
      </c>
      <c r="F13" s="6" t="s">
        <v>55</v>
      </c>
      <c r="G13" s="9">
        <f>IF(A13=1,"_",IF(C13="_","???",C13))</f>
        <v/>
      </c>
      <c r="H13" s="10" t="s">
        <v>12</v>
      </c>
      <c r="I13" s="11" t="s">
        <v>12</v>
      </c>
      <c r="J13" s="12"/>
    </row>
    <row r="14" spans="1:10" ht="60" customHeight="1">
      <c r="A14" s="6" t="s">
        <v>56</v>
      </c>
      <c r="B14" s="6" t="s">
        <v>16</v>
      </c>
      <c r="C14" s="6" t="s">
        <v>12</v>
      </c>
      <c r="D14" s="7" t="s">
        <v>57</v>
      </c>
      <c r="E14" s="8" t="s">
        <v>58</v>
      </c>
      <c r="F14" s="6" t="s">
        <v>59</v>
      </c>
      <c r="G14" s="9">
        <f>IF(A14=1,"_",IF(C14="_","???",C14))</f>
        <v/>
      </c>
      <c r="H14" s="10" t="s">
        <v>12</v>
      </c>
      <c r="I14" s="11" t="s">
        <v>12</v>
      </c>
      <c r="J14" s="12"/>
    </row>
    <row r="15" spans="1:10" ht="60" customHeight="1">
      <c r="A15" s="6" t="s">
        <v>60</v>
      </c>
      <c r="B15" s="6" t="s">
        <v>11</v>
      </c>
      <c r="C15" s="6" t="s">
        <v>12</v>
      </c>
      <c r="D15" s="7" t="s">
        <v>61</v>
      </c>
      <c r="E15" s="8" t="s">
        <v>62</v>
      </c>
      <c r="F15" s="6" t="s">
        <v>63</v>
      </c>
      <c r="G15" s="9">
        <f>IF(A15=1,"_",IF(C15="_","???",C15))</f>
        <v/>
      </c>
      <c r="H15" s="10" t="s">
        <v>12</v>
      </c>
      <c r="I15" s="11" t="s">
        <v>12</v>
      </c>
      <c r="J15" s="12"/>
    </row>
    <row r="16" spans="1:10" ht="60" customHeight="1">
      <c r="A16" s="6" t="s">
        <v>64</v>
      </c>
      <c r="B16" s="6" t="s">
        <v>20</v>
      </c>
      <c r="C16" s="6" t="s">
        <v>12</v>
      </c>
      <c r="D16" s="7" t="s">
        <v>65</v>
      </c>
      <c r="E16" s="8" t="s">
        <v>66</v>
      </c>
      <c r="F16" s="6" t="s">
        <v>67</v>
      </c>
      <c r="G16" s="9">
        <f>IF(A16=1,"_",IF(C16="_","???",C16))</f>
        <v/>
      </c>
      <c r="H16" s="10" t="s">
        <v>12</v>
      </c>
      <c r="I16" s="11" t="s">
        <v>12</v>
      </c>
      <c r="J16" s="12"/>
    </row>
    <row r="17" spans="1:10" ht="60" customHeight="1">
      <c r="A17" s="6" t="s">
        <v>68</v>
      </c>
      <c r="B17" s="6" t="s">
        <v>11</v>
      </c>
      <c r="C17" s="6" t="s">
        <v>69</v>
      </c>
      <c r="D17" s="7" t="s">
        <v>70</v>
      </c>
      <c r="E17" s="8" t="s">
        <v>71</v>
      </c>
      <c r="F17" s="6" t="s">
        <v>72</v>
      </c>
      <c r="G17" s="9">
        <f>IF(A17=1,"_",IF(C17="_","???",C17))</f>
        <v/>
      </c>
      <c r="H17" s="10" t="s">
        <v>12</v>
      </c>
      <c r="I17" s="11" t="s">
        <v>12</v>
      </c>
      <c r="J17" s="12"/>
    </row>
    <row r="18" spans="1:10" ht="60" customHeight="1">
      <c r="A18" s="6" t="s">
        <v>73</v>
      </c>
      <c r="B18" s="6" t="s">
        <v>11</v>
      </c>
      <c r="C18" s="6" t="s">
        <v>12</v>
      </c>
      <c r="D18" s="7" t="s">
        <v>74</v>
      </c>
      <c r="E18" s="8" t="s">
        <v>75</v>
      </c>
      <c r="F18" s="6" t="s">
        <v>76</v>
      </c>
      <c r="G18" s="9">
        <f>IF(A18=1,"_",IF(C18="_","???",C18))</f>
        <v/>
      </c>
      <c r="H18" s="10" t="s">
        <v>12</v>
      </c>
      <c r="I18" s="11" t="s">
        <v>12</v>
      </c>
      <c r="J18" s="12"/>
    </row>
    <row r="19" spans="1:10" ht="60" customHeight="1">
      <c r="A19" s="6" t="s">
        <v>77</v>
      </c>
      <c r="B19" s="6" t="s">
        <v>78</v>
      </c>
      <c r="C19" s="6" t="s">
        <v>12</v>
      </c>
      <c r="D19" s="7" t="s">
        <v>79</v>
      </c>
      <c r="E19" s="8" t="s">
        <v>80</v>
      </c>
      <c r="F19" s="6" t="s">
        <v>81</v>
      </c>
      <c r="G19" s="9">
        <f>IF(A19=1,"_",IF(C19="_","???",C19))</f>
        <v/>
      </c>
      <c r="H19" s="10" t="s">
        <v>12</v>
      </c>
      <c r="I19" s="11" t="s">
        <v>12</v>
      </c>
      <c r="J19" s="12"/>
    </row>
    <row r="20" spans="1:10" ht="60" customHeight="1">
      <c r="A20" s="6" t="s">
        <v>82</v>
      </c>
      <c r="B20" s="6" t="s">
        <v>11</v>
      </c>
      <c r="C20" s="6" t="s">
        <v>12</v>
      </c>
      <c r="D20" s="7" t="s">
        <v>83</v>
      </c>
      <c r="E20" s="8" t="s">
        <v>84</v>
      </c>
      <c r="F20" s="6" t="s">
        <v>85</v>
      </c>
      <c r="G20" s="9">
        <f>IF(A20=1,"_",IF(C20="_","???",C20))</f>
        <v/>
      </c>
      <c r="H20" s="10" t="s">
        <v>12</v>
      </c>
      <c r="I20" s="11" t="s">
        <v>12</v>
      </c>
      <c r="J20" s="12"/>
    </row>
    <row r="21" spans="1:10" ht="60" customHeight="1">
      <c r="A21" s="6" t="s">
        <v>86</v>
      </c>
      <c r="B21" s="6" t="s">
        <v>11</v>
      </c>
      <c r="C21" s="6" t="s">
        <v>12</v>
      </c>
      <c r="D21" s="7" t="s">
        <v>87</v>
      </c>
      <c r="E21" s="8" t="s">
        <v>88</v>
      </c>
      <c r="F21" s="6" t="s">
        <v>89</v>
      </c>
      <c r="G21" s="9">
        <f>IF(A21=1,"_",IF(C21="_","???",C21))</f>
        <v/>
      </c>
      <c r="H21" s="10" t="s">
        <v>12</v>
      </c>
      <c r="I21" s="11" t="s">
        <v>12</v>
      </c>
      <c r="J21" s="12"/>
    </row>
    <row r="22" spans="1:10" ht="60" customHeight="1">
      <c r="A22" s="6" t="s">
        <v>90</v>
      </c>
      <c r="B22" s="6" t="s">
        <v>10</v>
      </c>
      <c r="C22" s="6" t="s">
        <v>12</v>
      </c>
      <c r="D22" s="7" t="s">
        <v>91</v>
      </c>
      <c r="E22" s="8" t="s">
        <v>92</v>
      </c>
      <c r="F22" s="6" t="s">
        <v>93</v>
      </c>
      <c r="G22" s="9">
        <f>IF(A22=1,"_",IF(C22="_","???",C22))</f>
        <v/>
      </c>
      <c r="H22" s="10" t="s">
        <v>12</v>
      </c>
      <c r="I22" s="11" t="s">
        <v>12</v>
      </c>
      <c r="J22" s="12"/>
    </row>
    <row r="23" spans="1:10" ht="60" customHeight="1">
      <c r="A23" s="6" t="s">
        <v>94</v>
      </c>
      <c r="B23" s="6" t="s">
        <v>90</v>
      </c>
      <c r="C23" s="6" t="s">
        <v>12</v>
      </c>
      <c r="D23" s="7" t="s">
        <v>95</v>
      </c>
      <c r="E23" s="8" t="s">
        <v>96</v>
      </c>
      <c r="F23" s="6" t="s">
        <v>97</v>
      </c>
      <c r="G23" s="9">
        <f>IF(A23=1,"_",IF(C23="_","???",C23))</f>
        <v/>
      </c>
      <c r="H23" s="10" t="s">
        <v>12</v>
      </c>
      <c r="I23" s="11" t="s">
        <v>12</v>
      </c>
      <c r="J23" s="12"/>
    </row>
    <row r="24" spans="1:10" ht="60" customHeight="1">
      <c r="A24" s="6" t="s">
        <v>98</v>
      </c>
      <c r="B24" s="6" t="s">
        <v>20</v>
      </c>
      <c r="C24" s="6" t="s">
        <v>12</v>
      </c>
      <c r="D24" s="7" t="s">
        <v>70</v>
      </c>
      <c r="E24" s="8" t="s">
        <v>99</v>
      </c>
      <c r="F24" s="6" t="s">
        <v>100</v>
      </c>
      <c r="G24" s="9">
        <f>IF(A24=1,"_",IF(C24="_","???",C24))</f>
        <v/>
      </c>
      <c r="H24" s="10" t="s">
        <v>12</v>
      </c>
      <c r="I24" s="11" t="s">
        <v>12</v>
      </c>
      <c r="J24" s="12"/>
    </row>
    <row r="25" spans="1:10" ht="60" customHeight="1">
      <c r="A25" s="6" t="s">
        <v>101</v>
      </c>
      <c r="B25" s="6" t="s">
        <v>32</v>
      </c>
      <c r="C25" s="6" t="s">
        <v>12</v>
      </c>
      <c r="D25" s="7" t="s">
        <v>102</v>
      </c>
      <c r="E25" s="8" t="s">
        <v>103</v>
      </c>
      <c r="F25" s="6" t="s">
        <v>104</v>
      </c>
      <c r="G25" s="9">
        <f>IF(A25=1,"_",IF(C25="_","???",C25))</f>
        <v/>
      </c>
      <c r="H25" s="10" t="s">
        <v>12</v>
      </c>
      <c r="I25" s="11" t="s">
        <v>12</v>
      </c>
      <c r="J25" s="12"/>
    </row>
    <row r="26" spans="1:10" ht="60" customHeight="1">
      <c r="A26" s="6" t="s">
        <v>78</v>
      </c>
      <c r="B26" s="6" t="s">
        <v>28</v>
      </c>
      <c r="C26" s="6" t="s">
        <v>12</v>
      </c>
      <c r="D26" s="7" t="s">
        <v>105</v>
      </c>
      <c r="E26" s="8" t="s">
        <v>106</v>
      </c>
      <c r="F26" s="6" t="s">
        <v>107</v>
      </c>
      <c r="G26" s="9">
        <f>IF(A26=1,"_",IF(C26="_","???",C26))</f>
        <v/>
      </c>
      <c r="H26" s="10" t="s">
        <v>12</v>
      </c>
      <c r="I26" s="11" t="s">
        <v>12</v>
      </c>
      <c r="J26" s="12"/>
    </row>
    <row r="27" spans="1:10" ht="60" customHeight="1">
      <c r="A27" s="6" t="s">
        <v>108</v>
      </c>
      <c r="B27" s="6" t="s">
        <v>10</v>
      </c>
      <c r="C27" s="6" t="s">
        <v>12</v>
      </c>
      <c r="D27" s="7" t="s">
        <v>109</v>
      </c>
      <c r="E27" s="8" t="s">
        <v>110</v>
      </c>
      <c r="F27" s="6" t="s">
        <v>111</v>
      </c>
      <c r="G27" s="9">
        <f>IF(A27=1,"_",IF(C27="_","???",C27))</f>
        <v/>
      </c>
      <c r="H27" s="10" t="s">
        <v>12</v>
      </c>
      <c r="I27" s="11" t="s">
        <v>12</v>
      </c>
      <c r="J27" s="12"/>
    </row>
    <row r="28" spans="1:10" ht="60" customHeight="1">
      <c r="A28" s="6" t="s">
        <v>112</v>
      </c>
      <c r="B28" s="6" t="s">
        <v>20</v>
      </c>
      <c r="C28" s="6" t="s">
        <v>12</v>
      </c>
      <c r="D28" s="7" t="s">
        <v>113</v>
      </c>
      <c r="E28" s="8" t="s">
        <v>114</v>
      </c>
      <c r="F28" s="6" t="s">
        <v>115</v>
      </c>
      <c r="G28" s="9">
        <f>IF(A28=1,"_",IF(C28="_","???",C28))</f>
        <v/>
      </c>
      <c r="H28" s="10" t="s">
        <v>12</v>
      </c>
      <c r="I28" s="11" t="s">
        <v>12</v>
      </c>
      <c r="J28" s="12"/>
    </row>
    <row r="29" spans="1:10" ht="60" customHeight="1">
      <c r="A29" s="6" t="s">
        <v>116</v>
      </c>
      <c r="B29" s="6" t="s">
        <v>11</v>
      </c>
      <c r="C29" s="6" t="s">
        <v>12</v>
      </c>
      <c r="D29" s="7" t="s">
        <v>117</v>
      </c>
      <c r="E29" s="8" t="s">
        <v>118</v>
      </c>
      <c r="F29" s="6" t="s">
        <v>119</v>
      </c>
      <c r="G29" s="9">
        <f>IF(A29=1,"_",IF(C29="_","???",C29))</f>
        <v/>
      </c>
      <c r="H29" s="10" t="s">
        <v>12</v>
      </c>
      <c r="I29" s="11" t="s">
        <v>12</v>
      </c>
      <c r="J29" s="12"/>
    </row>
    <row r="30" spans="1:10" ht="60" customHeight="1">
      <c r="A30" s="6" t="s">
        <v>120</v>
      </c>
      <c r="B30" s="6" t="s">
        <v>36</v>
      </c>
      <c r="C30" s="6" t="s">
        <v>12</v>
      </c>
      <c r="D30" s="7" t="s">
        <v>121</v>
      </c>
      <c r="E30" s="8" t="s">
        <v>122</v>
      </c>
      <c r="F30" s="6" t="s">
        <v>123</v>
      </c>
      <c r="G30" s="9">
        <f>IF(A30=1,"_",IF(C30="_","???",C30))</f>
        <v/>
      </c>
      <c r="H30" s="10" t="s">
        <v>12</v>
      </c>
      <c r="I30" s="11" t="s">
        <v>12</v>
      </c>
      <c r="J30" s="12"/>
    </row>
    <row r="31" spans="1:10" ht="60" customHeight="1">
      <c r="A31" s="6" t="s">
        <v>124</v>
      </c>
      <c r="B31" s="6" t="s">
        <v>28</v>
      </c>
      <c r="C31" s="6" t="s">
        <v>12</v>
      </c>
      <c r="D31" s="7" t="s">
        <v>125</v>
      </c>
      <c r="E31" s="8" t="s">
        <v>126</v>
      </c>
      <c r="F31" s="6" t="s">
        <v>127</v>
      </c>
      <c r="G31" s="9">
        <f>IF(A31=1,"_",IF(C31="_","???",C31))</f>
        <v/>
      </c>
      <c r="H31" s="10" t="s">
        <v>12</v>
      </c>
      <c r="I31" s="11" t="s">
        <v>12</v>
      </c>
      <c r="J31" s="12"/>
    </row>
    <row r="32" spans="1:10" ht="60" customHeight="1">
      <c r="A32" s="6" t="s">
        <v>128</v>
      </c>
      <c r="B32" s="6" t="s">
        <v>20</v>
      </c>
      <c r="C32" s="6" t="s">
        <v>12</v>
      </c>
      <c r="D32" s="7" t="s">
        <v>129</v>
      </c>
      <c r="E32" s="8" t="s">
        <v>130</v>
      </c>
      <c r="F32" s="6" t="s">
        <v>131</v>
      </c>
      <c r="G32" s="9">
        <f>IF(A32=1,"_",IF(C32="_","???",C32))</f>
        <v/>
      </c>
      <c r="H32" s="10" t="s">
        <v>12</v>
      </c>
      <c r="I32" s="11" t="s">
        <v>12</v>
      </c>
      <c r="J32" s="12"/>
    </row>
    <row r="33" spans="1:10" ht="60" customHeight="1">
      <c r="A33" s="6" t="s">
        <v>132</v>
      </c>
      <c r="B33" s="6" t="s">
        <v>24</v>
      </c>
      <c r="C33" s="6" t="s">
        <v>12</v>
      </c>
      <c r="D33" s="7" t="s">
        <v>133</v>
      </c>
      <c r="E33" s="8" t="s">
        <v>134</v>
      </c>
      <c r="F33" s="6" t="s">
        <v>135</v>
      </c>
      <c r="G33" s="9">
        <f>IF(A33=1,"_",IF(C33="_","???",C33))</f>
        <v/>
      </c>
      <c r="H33" s="10" t="s">
        <v>12</v>
      </c>
      <c r="I33" s="11" t="s">
        <v>12</v>
      </c>
      <c r="J33" s="12"/>
    </row>
    <row r="34" spans="1:10" ht="60" customHeight="1">
      <c r="A34" s="6" t="s">
        <v>136</v>
      </c>
      <c r="B34" s="6" t="s">
        <v>16</v>
      </c>
      <c r="C34" s="6" t="s">
        <v>12</v>
      </c>
      <c r="D34" s="7" t="s">
        <v>137</v>
      </c>
      <c r="E34" s="8" t="s">
        <v>138</v>
      </c>
      <c r="F34" s="6" t="s">
        <v>139</v>
      </c>
      <c r="G34" s="9">
        <f>IF(A34=1,"_",IF(C34="_","???",C34))</f>
        <v/>
      </c>
      <c r="H34" s="10" t="s">
        <v>12</v>
      </c>
      <c r="I34" s="11" t="s">
        <v>12</v>
      </c>
      <c r="J34" s="12"/>
    </row>
    <row r="35" spans="1:10" ht="60" customHeight="1">
      <c r="A35" s="6" t="s">
        <v>140</v>
      </c>
      <c r="B35" s="6" t="s">
        <v>28</v>
      </c>
      <c r="C35" s="6" t="s">
        <v>12</v>
      </c>
      <c r="D35" s="7" t="s">
        <v>141</v>
      </c>
      <c r="E35" s="8" t="s">
        <v>142</v>
      </c>
      <c r="F35" s="6" t="s">
        <v>143</v>
      </c>
      <c r="G35" s="9">
        <f>IF(A35=1,"_",IF(C35="_","???",C35))</f>
        <v/>
      </c>
      <c r="H35" s="10" t="s">
        <v>12</v>
      </c>
      <c r="I35" s="11" t="s">
        <v>12</v>
      </c>
      <c r="J35" s="12"/>
    </row>
    <row r="36" spans="1:10" ht="60" customHeight="1">
      <c r="A36" s="6" t="s">
        <v>144</v>
      </c>
      <c r="B36" s="6" t="s">
        <v>32</v>
      </c>
      <c r="C36" s="6" t="s">
        <v>12</v>
      </c>
      <c r="D36" s="7" t="s">
        <v>145</v>
      </c>
      <c r="E36" s="8" t="s">
        <v>146</v>
      </c>
      <c r="F36" s="6" t="s">
        <v>147</v>
      </c>
      <c r="G36" s="9">
        <f>IF(A36=1,"_",IF(C36="_","???",C36))</f>
        <v/>
      </c>
      <c r="H36" s="10" t="s">
        <v>12</v>
      </c>
      <c r="I36" s="11" t="s">
        <v>12</v>
      </c>
      <c r="J36" s="12"/>
    </row>
    <row r="37" spans="1:10" ht="60" customHeight="1">
      <c r="A37" s="6" t="s">
        <v>148</v>
      </c>
      <c r="B37" s="6" t="s">
        <v>11</v>
      </c>
      <c r="C37" s="6" t="s">
        <v>12</v>
      </c>
      <c r="D37" s="7" t="s">
        <v>149</v>
      </c>
      <c r="E37" s="8" t="s">
        <v>150</v>
      </c>
      <c r="F37" s="6" t="s">
        <v>151</v>
      </c>
      <c r="G37" s="9">
        <f>IF(A37=1,"_",IF(C37="_","???",C37))</f>
        <v/>
      </c>
      <c r="H37" s="10" t="s">
        <v>12</v>
      </c>
      <c r="I37" s="11" t="s">
        <v>12</v>
      </c>
      <c r="J37" s="12"/>
    </row>
    <row r="38" spans="1:10" ht="60" customHeight="1">
      <c r="A38" s="6" t="s">
        <v>152</v>
      </c>
      <c r="B38" s="6" t="s">
        <v>28</v>
      </c>
      <c r="C38" s="6" t="s">
        <v>12</v>
      </c>
      <c r="D38" s="7" t="s">
        <v>153</v>
      </c>
      <c r="E38" s="8" t="s">
        <v>154</v>
      </c>
      <c r="F38" s="6" t="s">
        <v>155</v>
      </c>
      <c r="G38" s="9">
        <f>IF(A38=1,"_",IF(C38="_","???",C38))</f>
        <v/>
      </c>
      <c r="H38" s="10" t="s">
        <v>12</v>
      </c>
      <c r="I38" s="11" t="s">
        <v>12</v>
      </c>
      <c r="J38" s="12"/>
    </row>
    <row r="39" spans="1:10" ht="60" customHeight="1">
      <c r="A39" s="6" t="s">
        <v>156</v>
      </c>
      <c r="B39" s="6" t="s">
        <v>20</v>
      </c>
      <c r="C39" s="6" t="s">
        <v>12</v>
      </c>
      <c r="D39" s="7" t="s">
        <v>157</v>
      </c>
      <c r="E39" s="8" t="s">
        <v>158</v>
      </c>
      <c r="F39" s="6" t="s">
        <v>159</v>
      </c>
      <c r="G39" s="9">
        <f>IF(A39=1,"_",IF(C39="_","???",C39))</f>
        <v/>
      </c>
      <c r="H39" s="10" t="s">
        <v>12</v>
      </c>
      <c r="I39" s="11" t="s">
        <v>12</v>
      </c>
      <c r="J39" s="12"/>
    </row>
    <row r="40" spans="1:10" ht="60" customHeight="1">
      <c r="A40" s="6" t="s">
        <v>160</v>
      </c>
      <c r="B40" s="6" t="s">
        <v>20</v>
      </c>
      <c r="C40" s="6" t="s">
        <v>12</v>
      </c>
      <c r="D40" s="7" t="s">
        <v>161</v>
      </c>
      <c r="E40" s="8" t="s">
        <v>162</v>
      </c>
      <c r="F40" s="6" t="s">
        <v>163</v>
      </c>
      <c r="G40" s="9">
        <f>IF(A40=1,"_",IF(C40="_","???",C40))</f>
        <v/>
      </c>
      <c r="H40" s="10" t="s">
        <v>12</v>
      </c>
      <c r="I40" s="11" t="s">
        <v>12</v>
      </c>
      <c r="J40" s="12"/>
    </row>
    <row r="41" spans="1:10" ht="60" customHeight="1">
      <c r="A41" s="6" t="s">
        <v>164</v>
      </c>
      <c r="B41" s="6" t="s">
        <v>64</v>
      </c>
      <c r="C41" s="6" t="s">
        <v>12</v>
      </c>
      <c r="D41" s="7" t="s">
        <v>165</v>
      </c>
      <c r="E41" s="8" t="s">
        <v>166</v>
      </c>
      <c r="F41" s="6" t="s">
        <v>167</v>
      </c>
      <c r="G41" s="9">
        <f>IF(A41=1,"_",IF(C41="_","???",C41))</f>
        <v/>
      </c>
      <c r="H41" s="10" t="s">
        <v>12</v>
      </c>
      <c r="I41" s="11" t="s">
        <v>12</v>
      </c>
      <c r="J41" s="12"/>
    </row>
    <row r="42" spans="1:10" ht="60" customHeight="1">
      <c r="A42" s="6" t="s">
        <v>168</v>
      </c>
      <c r="B42" s="6" t="s">
        <v>28</v>
      </c>
      <c r="C42" s="6" t="s">
        <v>12</v>
      </c>
      <c r="D42" s="7" t="s">
        <v>169</v>
      </c>
      <c r="E42" s="8" t="s">
        <v>170</v>
      </c>
      <c r="F42" s="6" t="s">
        <v>171</v>
      </c>
      <c r="G42" s="9">
        <f>IF(A42=1,"_",IF(C42="_","???",C42))</f>
        <v/>
      </c>
      <c r="H42" s="10" t="s">
        <v>12</v>
      </c>
      <c r="I42" s="11" t="s">
        <v>12</v>
      </c>
      <c r="J42" s="12"/>
    </row>
    <row r="43" spans="1:10" ht="60" customHeight="1">
      <c r="A43" s="6" t="s">
        <v>172</v>
      </c>
      <c r="B43" s="6" t="s">
        <v>45</v>
      </c>
      <c r="C43" s="6" t="s">
        <v>12</v>
      </c>
      <c r="D43" s="7" t="s">
        <v>173</v>
      </c>
      <c r="E43" s="8" t="s">
        <v>174</v>
      </c>
      <c r="F43" s="6" t="s">
        <v>175</v>
      </c>
      <c r="G43" s="9">
        <f>IF(A43=1,"_",IF(C43="_","???",C43))</f>
        <v/>
      </c>
      <c r="H43" s="10" t="s">
        <v>12</v>
      </c>
      <c r="I43" s="11" t="s">
        <v>12</v>
      </c>
      <c r="J43" s="12"/>
    </row>
    <row r="44" spans="1:10" ht="60" customHeight="1">
      <c r="A44" s="6" t="s">
        <v>176</v>
      </c>
      <c r="B44" s="6" t="s">
        <v>20</v>
      </c>
      <c r="C44" s="6" t="s">
        <v>177</v>
      </c>
      <c r="D44" s="7" t="s">
        <v>178</v>
      </c>
      <c r="E44" s="8" t="s">
        <v>179</v>
      </c>
      <c r="F44" s="6" t="s">
        <v>180</v>
      </c>
      <c r="G44" s="9">
        <f>IF(A44=1,"_",IF(C44="_","???",C44))</f>
        <v/>
      </c>
      <c r="H44" s="10" t="s">
        <v>12</v>
      </c>
      <c r="I44" s="11" t="s">
        <v>12</v>
      </c>
      <c r="J44" s="12"/>
    </row>
    <row r="45" spans="1:10" ht="60" customHeight="1">
      <c r="A45" s="6" t="s">
        <v>181</v>
      </c>
      <c r="B45" s="6" t="s">
        <v>11</v>
      </c>
      <c r="C45" s="6" t="s">
        <v>12</v>
      </c>
      <c r="D45" s="7" t="s">
        <v>157</v>
      </c>
      <c r="E45" s="8" t="s">
        <v>182</v>
      </c>
      <c r="F45" s="6" t="s">
        <v>183</v>
      </c>
      <c r="G45" s="9">
        <f>IF(A45=1,"_",IF(C45="_","???",C45))</f>
        <v/>
      </c>
      <c r="H45" s="10" t="s">
        <v>12</v>
      </c>
      <c r="I45" s="11" t="s">
        <v>12</v>
      </c>
      <c r="J45" s="12"/>
    </row>
    <row r="46" spans="1:10" ht="60" customHeight="1">
      <c r="A46" s="6" t="s">
        <v>184</v>
      </c>
      <c r="B46" s="6" t="s">
        <v>11</v>
      </c>
      <c r="C46" s="6" t="s">
        <v>12</v>
      </c>
      <c r="D46" s="7" t="s">
        <v>185</v>
      </c>
      <c r="E46" s="8" t="s">
        <v>186</v>
      </c>
      <c r="F46" s="6" t="s">
        <v>187</v>
      </c>
      <c r="G46" s="9">
        <f>IF(A46=1,"_",IF(C46="_","???",C46))</f>
        <v/>
      </c>
      <c r="H46" s="10" t="s">
        <v>12</v>
      </c>
      <c r="I46" s="11" t="s">
        <v>12</v>
      </c>
      <c r="J46" s="12"/>
    </row>
    <row r="47" spans="1:10" ht="60" customHeight="1">
      <c r="A47" s="6" t="s">
        <v>188</v>
      </c>
      <c r="B47" s="6" t="s">
        <v>36</v>
      </c>
      <c r="C47" s="6" t="s">
        <v>12</v>
      </c>
      <c r="D47" s="7" t="s">
        <v>189</v>
      </c>
      <c r="E47" s="8" t="s">
        <v>190</v>
      </c>
      <c r="F47" s="6" t="s">
        <v>191</v>
      </c>
      <c r="G47" s="9">
        <f>IF(A47=1,"_",IF(C47="_","???",C47))</f>
        <v/>
      </c>
      <c r="H47" s="10" t="s">
        <v>12</v>
      </c>
      <c r="I47" s="11" t="s">
        <v>12</v>
      </c>
      <c r="J47" s="12"/>
    </row>
    <row r="48" spans="1:10" ht="60" customHeight="1">
      <c r="A48" s="6" t="s">
        <v>192</v>
      </c>
      <c r="B48" s="6" t="s">
        <v>94</v>
      </c>
      <c r="C48" s="6" t="s">
        <v>12</v>
      </c>
      <c r="D48" s="7" t="s">
        <v>193</v>
      </c>
      <c r="E48" s="8" t="s">
        <v>194</v>
      </c>
      <c r="F48" s="6" t="s">
        <v>195</v>
      </c>
      <c r="G48" s="9">
        <f>IF(A48=1,"_",IF(C48="_","???",C48))</f>
        <v/>
      </c>
      <c r="H48" s="10" t="s">
        <v>12</v>
      </c>
      <c r="I48" s="11" t="s">
        <v>12</v>
      </c>
      <c r="J48" s="12"/>
    </row>
    <row r="49" spans="1:10" ht="60" customHeight="1">
      <c r="A49" s="6" t="s">
        <v>196</v>
      </c>
      <c r="B49" s="6" t="s">
        <v>24</v>
      </c>
      <c r="C49" s="6" t="s">
        <v>12</v>
      </c>
      <c r="D49" s="7" t="s">
        <v>197</v>
      </c>
      <c r="E49" s="8" t="s">
        <v>198</v>
      </c>
      <c r="F49" s="6" t="s">
        <v>199</v>
      </c>
      <c r="G49" s="9">
        <f>IF(A49=1,"_",IF(C49="_","???",C49))</f>
        <v/>
      </c>
      <c r="H49" s="10" t="s">
        <v>12</v>
      </c>
      <c r="I49" s="11" t="s">
        <v>12</v>
      </c>
      <c r="J49" s="12"/>
    </row>
    <row r="50" spans="1:10" ht="60" customHeight="1">
      <c r="A50" s="6" t="s">
        <v>200</v>
      </c>
      <c r="B50" s="6" t="s">
        <v>11</v>
      </c>
      <c r="C50" s="6" t="s">
        <v>12</v>
      </c>
      <c r="D50" s="7" t="s">
        <v>201</v>
      </c>
      <c r="E50" s="8" t="s">
        <v>202</v>
      </c>
      <c r="F50" s="6" t="s">
        <v>203</v>
      </c>
      <c r="G50" s="9">
        <f>IF(A50=1,"_",IF(C50="_","???",C50))</f>
        <v/>
      </c>
      <c r="H50" s="10" t="s">
        <v>12</v>
      </c>
      <c r="I50" s="11" t="s">
        <v>12</v>
      </c>
      <c r="J50" s="12"/>
    </row>
    <row r="51" spans="1:10" ht="60" customHeight="1">
      <c r="A51" s="6" t="s">
        <v>204</v>
      </c>
      <c r="B51" s="6" t="s">
        <v>28</v>
      </c>
      <c r="C51" s="6" t="s">
        <v>12</v>
      </c>
      <c r="D51" s="7" t="s">
        <v>25</v>
      </c>
      <c r="E51" s="8" t="s">
        <v>205</v>
      </c>
      <c r="F51" s="6" t="s">
        <v>206</v>
      </c>
      <c r="G51" s="9">
        <f>IF(A51=1,"_",IF(C51="_","???",C51))</f>
        <v/>
      </c>
      <c r="H51" s="10" t="s">
        <v>12</v>
      </c>
      <c r="I51" s="11" t="s">
        <v>12</v>
      </c>
      <c r="J51" s="12"/>
    </row>
    <row r="52" spans="1:10" ht="60" customHeight="1">
      <c r="A52" s="6" t="s">
        <v>207</v>
      </c>
      <c r="B52" s="6" t="s">
        <v>11</v>
      </c>
      <c r="C52" s="6" t="s">
        <v>12</v>
      </c>
      <c r="D52" s="7" t="s">
        <v>208</v>
      </c>
      <c r="E52" s="8" t="s">
        <v>209</v>
      </c>
      <c r="F52" s="6" t="s">
        <v>210</v>
      </c>
      <c r="G52" s="9">
        <f>IF(A52=1,"_",IF(C52="_","???",C52))</f>
        <v/>
      </c>
      <c r="H52" s="10" t="s">
        <v>12</v>
      </c>
      <c r="I52" s="11" t="s">
        <v>12</v>
      </c>
      <c r="J52" s="12"/>
    </row>
    <row r="53" spans="1:10" ht="60" customHeight="1">
      <c r="A53" s="6" t="s">
        <v>211</v>
      </c>
      <c r="B53" s="6" t="s">
        <v>64</v>
      </c>
      <c r="C53" s="6" t="s">
        <v>12</v>
      </c>
      <c r="D53" s="7" t="s">
        <v>212</v>
      </c>
      <c r="E53" s="8" t="s">
        <v>213</v>
      </c>
      <c r="F53" s="6" t="s">
        <v>214</v>
      </c>
      <c r="G53" s="9">
        <f>IF(A53=1,"_",IF(C53="_","???",C53))</f>
        <v/>
      </c>
      <c r="H53" s="10" t="s">
        <v>12</v>
      </c>
      <c r="I53" s="11" t="s">
        <v>12</v>
      </c>
      <c r="J53" s="12"/>
    </row>
    <row r="54" spans="1:10" ht="60" customHeight="1">
      <c r="A54" s="6" t="s">
        <v>215</v>
      </c>
      <c r="B54" s="6" t="s">
        <v>11</v>
      </c>
      <c r="C54" s="6" t="s">
        <v>12</v>
      </c>
      <c r="D54" s="7" t="s">
        <v>216</v>
      </c>
      <c r="E54" s="8" t="s">
        <v>217</v>
      </c>
      <c r="F54" s="6" t="s">
        <v>218</v>
      </c>
      <c r="G54" s="9">
        <f>IF(A54=1,"_",IF(C54="_","???",C54))</f>
        <v/>
      </c>
      <c r="H54" s="10" t="s">
        <v>12</v>
      </c>
      <c r="I54" s="11" t="s">
        <v>12</v>
      </c>
      <c r="J54" s="12"/>
    </row>
    <row r="55" spans="1:10" ht="60" customHeight="1">
      <c r="A55" s="6" t="s">
        <v>219</v>
      </c>
      <c r="B55" s="6" t="s">
        <v>10</v>
      </c>
      <c r="C55" s="6" t="s">
        <v>12</v>
      </c>
      <c r="D55" s="7" t="s">
        <v>70</v>
      </c>
      <c r="E55" s="8" t="s">
        <v>220</v>
      </c>
      <c r="F55" s="6" t="s">
        <v>221</v>
      </c>
      <c r="G55" s="9">
        <f>IF(A55=1,"_",IF(C55="_","???",C55))</f>
        <v/>
      </c>
      <c r="H55" s="10" t="s">
        <v>12</v>
      </c>
      <c r="I55" s="11" t="s">
        <v>12</v>
      </c>
      <c r="J55" s="12"/>
    </row>
    <row r="56" spans="1:10" ht="60" customHeight="1">
      <c r="A56" s="6" t="s">
        <v>222</v>
      </c>
      <c r="B56" s="6" t="s">
        <v>42</v>
      </c>
      <c r="C56" s="6" t="s">
        <v>12</v>
      </c>
      <c r="D56" s="7" t="s">
        <v>223</v>
      </c>
      <c r="E56" s="8" t="s">
        <v>224</v>
      </c>
      <c r="F56" s="6" t="s">
        <v>225</v>
      </c>
      <c r="G56" s="9">
        <f>IF(A56=1,"_",IF(C56="_","???",C56))</f>
        <v/>
      </c>
      <c r="H56" s="10" t="s">
        <v>12</v>
      </c>
      <c r="I56" s="11" t="s">
        <v>12</v>
      </c>
      <c r="J56" s="12"/>
    </row>
    <row r="57" spans="1:10" ht="60" customHeight="1">
      <c r="A57" s="6" t="s">
        <v>226</v>
      </c>
      <c r="B57" s="6" t="s">
        <v>60</v>
      </c>
      <c r="C57" s="6" t="s">
        <v>12</v>
      </c>
      <c r="D57" s="7" t="s">
        <v>70</v>
      </c>
      <c r="E57" s="8" t="s">
        <v>227</v>
      </c>
      <c r="F57" s="6" t="s">
        <v>228</v>
      </c>
      <c r="G57" s="9">
        <f>IF(A57=1,"_",IF(C57="_","???",C57))</f>
        <v/>
      </c>
      <c r="H57" s="10" t="s">
        <v>12</v>
      </c>
      <c r="I57" s="11" t="s">
        <v>12</v>
      </c>
      <c r="J57" s="12"/>
    </row>
    <row r="58" spans="1:10" ht="60" customHeight="1">
      <c r="A58" s="6" t="s">
        <v>229</v>
      </c>
      <c r="B58" s="6" t="s">
        <v>11</v>
      </c>
      <c r="C58" s="6" t="s">
        <v>177</v>
      </c>
      <c r="D58" s="7" t="s">
        <v>157</v>
      </c>
      <c r="E58" s="8" t="s">
        <v>230</v>
      </c>
      <c r="F58" s="6" t="s">
        <v>231</v>
      </c>
      <c r="G58" s="9">
        <f>IF(A58=1,"_",IF(C58="_","???",C58))</f>
        <v/>
      </c>
      <c r="H58" s="10" t="s">
        <v>12</v>
      </c>
      <c r="I58" s="11" t="s">
        <v>12</v>
      </c>
      <c r="J58" s="12"/>
    </row>
    <row r="59" spans="1:10" ht="60" customHeight="1">
      <c r="A59" s="6" t="s">
        <v>232</v>
      </c>
      <c r="B59" s="6" t="s">
        <v>24</v>
      </c>
      <c r="C59" s="6" t="s">
        <v>12</v>
      </c>
      <c r="D59" s="7" t="s">
        <v>233</v>
      </c>
      <c r="E59" s="8" t="s">
        <v>234</v>
      </c>
      <c r="F59" s="6" t="s">
        <v>235</v>
      </c>
      <c r="G59" s="9">
        <f>IF(A59=1,"_",IF(C59="_","???",C59))</f>
        <v/>
      </c>
      <c r="H59" s="10" t="s">
        <v>12</v>
      </c>
      <c r="I59" s="11" t="s">
        <v>12</v>
      </c>
      <c r="J59" s="12"/>
    </row>
    <row r="60" spans="1:10" ht="60" customHeight="1">
      <c r="A60" s="6" t="s">
        <v>236</v>
      </c>
      <c r="B60" s="6" t="s">
        <v>24</v>
      </c>
      <c r="C60" s="6" t="s">
        <v>12</v>
      </c>
      <c r="D60" s="7" t="s">
        <v>233</v>
      </c>
      <c r="E60" s="8" t="s">
        <v>237</v>
      </c>
      <c r="F60" s="6" t="s">
        <v>238</v>
      </c>
      <c r="G60" s="9">
        <f>IF(A60=1,"_",IF(C60="_","???",C60))</f>
        <v/>
      </c>
      <c r="H60" s="10" t="s">
        <v>12</v>
      </c>
      <c r="I60" s="11" t="s">
        <v>12</v>
      </c>
      <c r="J60" s="12"/>
    </row>
    <row r="61" spans="1:10" ht="60" customHeight="1">
      <c r="A61" s="6" t="s">
        <v>239</v>
      </c>
      <c r="B61" s="6" t="s">
        <v>64</v>
      </c>
      <c r="C61" s="6" t="s">
        <v>12</v>
      </c>
      <c r="D61" s="7" t="s">
        <v>240</v>
      </c>
      <c r="E61" s="8" t="s">
        <v>241</v>
      </c>
      <c r="F61" s="6" t="s">
        <v>242</v>
      </c>
      <c r="G61" s="9">
        <f>IF(A61=1,"_",IF(C61="_","???",C61))</f>
        <v/>
      </c>
      <c r="H61" s="10" t="s">
        <v>12</v>
      </c>
      <c r="I61" s="11" t="s">
        <v>12</v>
      </c>
      <c r="J61" s="12"/>
    </row>
    <row r="62" spans="1:10" ht="60" customHeight="1">
      <c r="A62" s="6" t="s">
        <v>243</v>
      </c>
      <c r="B62" s="6" t="s">
        <v>28</v>
      </c>
      <c r="C62" s="6" t="s">
        <v>12</v>
      </c>
      <c r="D62" s="7" t="s">
        <v>244</v>
      </c>
      <c r="E62" s="8" t="s">
        <v>245</v>
      </c>
      <c r="F62" s="6" t="s">
        <v>246</v>
      </c>
      <c r="G62" s="9">
        <f>IF(A62=1,"_",IF(C62="_","???",C62))</f>
        <v/>
      </c>
      <c r="H62" s="10" t="s">
        <v>12</v>
      </c>
      <c r="I62" s="11" t="s">
        <v>12</v>
      </c>
      <c r="J62" s="12"/>
    </row>
    <row r="63" spans="1:10" ht="60" customHeight="1">
      <c r="A63" s="6" t="s">
        <v>247</v>
      </c>
      <c r="B63" s="6" t="s">
        <v>28</v>
      </c>
      <c r="C63" s="6" t="s">
        <v>12</v>
      </c>
      <c r="D63" s="7" t="s">
        <v>248</v>
      </c>
      <c r="E63" s="8" t="s">
        <v>249</v>
      </c>
      <c r="F63" s="6" t="s">
        <v>250</v>
      </c>
      <c r="G63" s="9">
        <f>IF(A63=1,"_",IF(C63="_","???",C63))</f>
        <v/>
      </c>
      <c r="H63" s="10" t="s">
        <v>12</v>
      </c>
      <c r="I63" s="11" t="s">
        <v>12</v>
      </c>
      <c r="J63" s="12"/>
    </row>
    <row r="64" spans="1:10" ht="60" customHeight="1">
      <c r="A64" s="6" t="s">
        <v>251</v>
      </c>
      <c r="B64" s="6" t="s">
        <v>28</v>
      </c>
      <c r="C64" s="6" t="s">
        <v>12</v>
      </c>
      <c r="D64" s="7" t="s">
        <v>252</v>
      </c>
      <c r="E64" s="8" t="s">
        <v>253</v>
      </c>
      <c r="F64" s="6" t="s">
        <v>254</v>
      </c>
      <c r="G64" s="9">
        <f>IF(A64=1,"_",IF(C64="_","???",C64))</f>
        <v/>
      </c>
      <c r="H64" s="10" t="s">
        <v>12</v>
      </c>
      <c r="I64" s="11" t="s">
        <v>12</v>
      </c>
      <c r="J64" s="12"/>
    </row>
    <row r="65" spans="1:10" ht="60" customHeight="1">
      <c r="A65" s="6" t="s">
        <v>255</v>
      </c>
      <c r="B65" s="6" t="s">
        <v>20</v>
      </c>
      <c r="C65" s="6" t="s">
        <v>12</v>
      </c>
      <c r="D65" s="7" t="s">
        <v>256</v>
      </c>
      <c r="E65" s="8" t="s">
        <v>257</v>
      </c>
      <c r="F65" s="6" t="s">
        <v>258</v>
      </c>
      <c r="G65" s="9">
        <f>IF(A65=1,"_",IF(C65="_","???",C65))</f>
        <v/>
      </c>
      <c r="H65" s="10" t="s">
        <v>12</v>
      </c>
      <c r="I65" s="11" t="s">
        <v>12</v>
      </c>
      <c r="J65" s="12"/>
    </row>
    <row r="66" spans="1:10" ht="60" customHeight="1">
      <c r="A66" s="6" t="s">
        <v>259</v>
      </c>
      <c r="B66" s="6" t="s">
        <v>10</v>
      </c>
      <c r="C66" s="6" t="s">
        <v>12</v>
      </c>
      <c r="D66" s="7" t="s">
        <v>216</v>
      </c>
      <c r="E66" s="8" t="s">
        <v>260</v>
      </c>
      <c r="F66" s="6" t="s">
        <v>261</v>
      </c>
      <c r="G66" s="9">
        <f>IF(A66=1,"_",IF(C66="_","???",C66))</f>
        <v/>
      </c>
      <c r="H66" s="10" t="s">
        <v>12</v>
      </c>
      <c r="I66" s="11" t="s">
        <v>12</v>
      </c>
      <c r="J66" s="12"/>
    </row>
    <row r="67" spans="1:10" ht="60" customHeight="1">
      <c r="A67" s="6" t="s">
        <v>262</v>
      </c>
      <c r="B67" s="6" t="s">
        <v>11</v>
      </c>
      <c r="C67" s="6" t="s">
        <v>12</v>
      </c>
      <c r="D67" s="7" t="s">
        <v>263</v>
      </c>
      <c r="E67" s="8" t="s">
        <v>264</v>
      </c>
      <c r="F67" s="6" t="s">
        <v>265</v>
      </c>
      <c r="G67" s="9">
        <f>IF(A67=1,"_",IF(C67="_","???",C67))</f>
        <v/>
      </c>
      <c r="H67" s="10" t="s">
        <v>12</v>
      </c>
      <c r="I67" s="11" t="s">
        <v>12</v>
      </c>
      <c r="J67" s="12"/>
    </row>
    <row r="68" spans="1:10" ht="60" customHeight="1">
      <c r="A68" s="6" t="s">
        <v>266</v>
      </c>
      <c r="B68" s="6" t="s">
        <v>32</v>
      </c>
      <c r="C68" s="6" t="s">
        <v>12</v>
      </c>
      <c r="D68" s="7" t="s">
        <v>267</v>
      </c>
      <c r="E68" s="8" t="s">
        <v>268</v>
      </c>
      <c r="F68" s="6" t="s">
        <v>269</v>
      </c>
      <c r="G68" s="9">
        <f>IF(A68=1,"_",IF(C68="_","???",C68))</f>
        <v/>
      </c>
      <c r="H68" s="10" t="s">
        <v>12</v>
      </c>
      <c r="I68" s="11" t="s">
        <v>12</v>
      </c>
      <c r="J68" s="12"/>
    </row>
    <row r="69" spans="1:10" ht="60" customHeight="1">
      <c r="A69" s="6" t="s">
        <v>270</v>
      </c>
      <c r="B69" s="6" t="s">
        <v>32</v>
      </c>
      <c r="C69" s="6" t="s">
        <v>12</v>
      </c>
      <c r="D69" s="7" t="s">
        <v>267</v>
      </c>
      <c r="E69" s="8" t="s">
        <v>271</v>
      </c>
      <c r="F69" s="6" t="s">
        <v>272</v>
      </c>
      <c r="G69" s="9">
        <f>IF(A69=1,"_",IF(C69="_","???",C69))</f>
        <v/>
      </c>
      <c r="H69" s="10" t="s">
        <v>12</v>
      </c>
      <c r="I69" s="11" t="s">
        <v>12</v>
      </c>
      <c r="J69" s="12"/>
    </row>
    <row r="70" spans="1:10" ht="60" customHeight="1">
      <c r="A70" s="6" t="s">
        <v>273</v>
      </c>
      <c r="B70" s="6" t="s">
        <v>32</v>
      </c>
      <c r="C70" s="6" t="s">
        <v>12</v>
      </c>
      <c r="D70" s="7" t="s">
        <v>274</v>
      </c>
      <c r="E70" s="8" t="s">
        <v>275</v>
      </c>
      <c r="F70" s="6" t="s">
        <v>276</v>
      </c>
      <c r="G70" s="9">
        <f>IF(A70=1,"_",IF(C70="_","???",C70))</f>
        <v/>
      </c>
      <c r="H70" s="10" t="s">
        <v>12</v>
      </c>
      <c r="I70" s="11" t="s">
        <v>12</v>
      </c>
      <c r="J70" s="12"/>
    </row>
    <row r="71" spans="1:10" ht="60" customHeight="1">
      <c r="A71" s="6" t="s">
        <v>277</v>
      </c>
      <c r="B71" s="6" t="s">
        <v>77</v>
      </c>
      <c r="C71" s="6" t="s">
        <v>12</v>
      </c>
      <c r="D71" s="7" t="s">
        <v>278</v>
      </c>
      <c r="E71" s="8" t="s">
        <v>279</v>
      </c>
      <c r="F71" s="6" t="s">
        <v>280</v>
      </c>
      <c r="G71" s="9">
        <f>IF(A71=1,"_",IF(C71="_","???",C71))</f>
        <v/>
      </c>
      <c r="H71" s="10" t="s">
        <v>12</v>
      </c>
      <c r="I71" s="11" t="s">
        <v>12</v>
      </c>
      <c r="J71" s="12"/>
    </row>
    <row r="72" spans="1:10" ht="60" customHeight="1">
      <c r="A72" s="6" t="s">
        <v>281</v>
      </c>
      <c r="B72" s="6" t="s">
        <v>11</v>
      </c>
      <c r="C72" s="6" t="s">
        <v>12</v>
      </c>
      <c r="D72" s="7" t="s">
        <v>282</v>
      </c>
      <c r="E72" s="8" t="s">
        <v>283</v>
      </c>
      <c r="F72" s="6" t="s">
        <v>284</v>
      </c>
      <c r="G72" s="9">
        <f>IF(A72=1,"_",IF(C72="_","???",C72))</f>
        <v/>
      </c>
      <c r="H72" s="10" t="s">
        <v>12</v>
      </c>
      <c r="I72" s="11" t="s">
        <v>12</v>
      </c>
      <c r="J72" s="12"/>
    </row>
    <row r="73" spans="1:10" ht="60" customHeight="1">
      <c r="A73" s="6" t="s">
        <v>285</v>
      </c>
      <c r="B73" s="6" t="s">
        <v>49</v>
      </c>
      <c r="C73" s="6" t="s">
        <v>12</v>
      </c>
      <c r="D73" s="7" t="s">
        <v>286</v>
      </c>
      <c r="E73" s="8" t="s">
        <v>287</v>
      </c>
      <c r="F73" s="6" t="s">
        <v>288</v>
      </c>
      <c r="G73" s="9">
        <f>IF(A73=1,"_",IF(C73="_","???",C73))</f>
        <v/>
      </c>
      <c r="H73" s="10" t="s">
        <v>12</v>
      </c>
      <c r="I73" s="11" t="s">
        <v>12</v>
      </c>
      <c r="J73" s="12"/>
    </row>
    <row r="74" spans="1:10" ht="60" customHeight="1">
      <c r="A74" s="6" t="s">
        <v>289</v>
      </c>
      <c r="B74" s="6" t="s">
        <v>20</v>
      </c>
      <c r="C74" s="6" t="s">
        <v>12</v>
      </c>
      <c r="D74" s="7" t="s">
        <v>290</v>
      </c>
      <c r="E74" s="8" t="s">
        <v>291</v>
      </c>
      <c r="F74" s="6" t="s">
        <v>292</v>
      </c>
      <c r="G74" s="9">
        <f>IF(A74=1,"_",IF(C74="_","???",C74))</f>
        <v/>
      </c>
      <c r="H74" s="10" t="s">
        <v>12</v>
      </c>
      <c r="I74" s="11" t="s">
        <v>12</v>
      </c>
      <c r="J74" s="12"/>
    </row>
    <row r="75" spans="1:10" ht="60" customHeight="1">
      <c r="A75" s="6" t="s">
        <v>293</v>
      </c>
      <c r="B75" s="6" t="s">
        <v>20</v>
      </c>
      <c r="C75" s="6" t="s">
        <v>12</v>
      </c>
      <c r="D75" s="7" t="s">
        <v>290</v>
      </c>
      <c r="E75" s="8" t="s">
        <v>294</v>
      </c>
      <c r="F75" s="6" t="s">
        <v>295</v>
      </c>
      <c r="G75" s="9">
        <f>IF(A75=1,"_",IF(C75="_","???",C75))</f>
        <v/>
      </c>
      <c r="H75" s="10" t="s">
        <v>12</v>
      </c>
      <c r="I75" s="11" t="s">
        <v>12</v>
      </c>
      <c r="J75" s="12"/>
    </row>
    <row r="76" spans="1:10" ht="60" customHeight="1">
      <c r="A76" s="6" t="s">
        <v>296</v>
      </c>
      <c r="B76" s="6" t="s">
        <v>32</v>
      </c>
      <c r="C76" s="6" t="s">
        <v>12</v>
      </c>
      <c r="D76" s="7" t="s">
        <v>290</v>
      </c>
      <c r="E76" s="8" t="s">
        <v>297</v>
      </c>
      <c r="F76" s="6" t="s">
        <v>298</v>
      </c>
      <c r="G76" s="9">
        <f>IF(A76=1,"_",IF(C76="_","???",C76))</f>
        <v/>
      </c>
      <c r="H76" s="10" t="s">
        <v>12</v>
      </c>
      <c r="I76" s="11" t="s">
        <v>12</v>
      </c>
      <c r="J76" s="12"/>
    </row>
    <row r="77" spans="1:10" ht="60" customHeight="1">
      <c r="A77" s="6" t="s">
        <v>299</v>
      </c>
      <c r="B77" s="6" t="s">
        <v>49</v>
      </c>
      <c r="C77" s="6" t="s">
        <v>12</v>
      </c>
      <c r="D77" s="7" t="s">
        <v>300</v>
      </c>
      <c r="E77" s="8" t="s">
        <v>301</v>
      </c>
      <c r="F77" s="6" t="s">
        <v>302</v>
      </c>
      <c r="G77" s="9">
        <f>IF(A77=1,"_",IF(C77="_","???",C77))</f>
        <v/>
      </c>
      <c r="H77" s="10" t="s">
        <v>12</v>
      </c>
      <c r="I77" s="11" t="s">
        <v>12</v>
      </c>
      <c r="J77" s="12"/>
    </row>
    <row r="78" spans="1:10" ht="60" customHeight="1">
      <c r="A78" s="6" t="s">
        <v>303</v>
      </c>
      <c r="B78" s="6" t="s">
        <v>11</v>
      </c>
      <c r="C78" s="6" t="s">
        <v>12</v>
      </c>
      <c r="D78" s="7" t="s">
        <v>70</v>
      </c>
      <c r="E78" s="8" t="s">
        <v>304</v>
      </c>
      <c r="F78" s="6" t="s">
        <v>305</v>
      </c>
      <c r="G78" s="9">
        <f>IF(A78=1,"_",IF(C78="_","???",C78))</f>
        <v/>
      </c>
      <c r="H78" s="10" t="s">
        <v>12</v>
      </c>
      <c r="I78" s="11" t="s">
        <v>12</v>
      </c>
      <c r="J78" s="12"/>
    </row>
    <row r="79" spans="1:10" ht="60" customHeight="1">
      <c r="A79" s="6" t="s">
        <v>306</v>
      </c>
      <c r="B79" s="6" t="s">
        <v>11</v>
      </c>
      <c r="C79" s="6" t="s">
        <v>12</v>
      </c>
      <c r="D79" s="7" t="s">
        <v>307</v>
      </c>
      <c r="E79" s="8" t="s">
        <v>308</v>
      </c>
      <c r="F79" s="6" t="s">
        <v>309</v>
      </c>
      <c r="G79" s="9">
        <f>IF(A79=1,"_",IF(C79="_","???",C79))</f>
        <v/>
      </c>
      <c r="H79" s="10" t="s">
        <v>12</v>
      </c>
      <c r="I79" s="11" t="s">
        <v>12</v>
      </c>
      <c r="J79" s="12"/>
    </row>
    <row r="80" spans="1:10" ht="60" customHeight="1">
      <c r="A80" s="6" t="s">
        <v>310</v>
      </c>
      <c r="B80" s="6" t="s">
        <v>28</v>
      </c>
      <c r="C80" s="6" t="s">
        <v>12</v>
      </c>
      <c r="D80" s="7" t="s">
        <v>70</v>
      </c>
      <c r="E80" s="8" t="s">
        <v>311</v>
      </c>
      <c r="F80" s="6" t="s">
        <v>312</v>
      </c>
      <c r="G80" s="9">
        <f>IF(A80=1,"_",IF(C80="_","???",C80))</f>
        <v/>
      </c>
      <c r="H80" s="10" t="s">
        <v>12</v>
      </c>
      <c r="I80" s="11" t="s">
        <v>12</v>
      </c>
      <c r="J80" s="12"/>
    </row>
    <row r="81" spans="1:10" ht="60" customHeight="1">
      <c r="A81" s="6" t="s">
        <v>313</v>
      </c>
      <c r="B81" s="6" t="s">
        <v>24</v>
      </c>
      <c r="C81" s="6" t="s">
        <v>12</v>
      </c>
      <c r="D81" s="7" t="s">
        <v>314</v>
      </c>
      <c r="E81" s="8" t="s">
        <v>315</v>
      </c>
      <c r="F81" s="6" t="s">
        <v>316</v>
      </c>
      <c r="G81" s="9">
        <f>IF(A81=1,"_",IF(C81="_","???",C81))</f>
        <v/>
      </c>
      <c r="H81" s="10" t="s">
        <v>12</v>
      </c>
      <c r="I81" s="11" t="s">
        <v>12</v>
      </c>
      <c r="J81" s="12"/>
    </row>
    <row r="82" spans="1:10" ht="60" customHeight="1">
      <c r="A82" s="6" t="s">
        <v>317</v>
      </c>
      <c r="B82" s="6" t="s">
        <v>10</v>
      </c>
      <c r="C82" s="6" t="s">
        <v>12</v>
      </c>
      <c r="D82" s="7" t="s">
        <v>70</v>
      </c>
      <c r="E82" s="8" t="s">
        <v>318</v>
      </c>
      <c r="F82" s="6" t="s">
        <v>319</v>
      </c>
      <c r="G82" s="9">
        <f>IF(A82=1,"_",IF(C82="_","???",C82))</f>
        <v/>
      </c>
      <c r="H82" s="10" t="s">
        <v>12</v>
      </c>
      <c r="I82" s="11" t="s">
        <v>12</v>
      </c>
      <c r="J82" s="12"/>
    </row>
    <row r="83" spans="1:10" ht="60" customHeight="1">
      <c r="A83" s="6" t="s">
        <v>320</v>
      </c>
      <c r="B83" s="6" t="s">
        <v>11</v>
      </c>
      <c r="C83" s="6" t="s">
        <v>12</v>
      </c>
      <c r="D83" s="7" t="s">
        <v>321</v>
      </c>
      <c r="E83" s="8" t="s">
        <v>322</v>
      </c>
      <c r="F83" s="6" t="s">
        <v>323</v>
      </c>
      <c r="G83" s="9">
        <f>IF(A83=1,"_",IF(C83="_","???",C83))</f>
        <v/>
      </c>
      <c r="H83" s="10" t="s">
        <v>12</v>
      </c>
      <c r="I83" s="11" t="s">
        <v>12</v>
      </c>
      <c r="J83" s="12"/>
    </row>
    <row r="84" spans="1:10" ht="60" customHeight="1">
      <c r="A84" s="6" t="s">
        <v>324</v>
      </c>
      <c r="B84" s="6" t="s">
        <v>32</v>
      </c>
      <c r="C84" s="6" t="s">
        <v>12</v>
      </c>
      <c r="D84" s="7" t="s">
        <v>46</v>
      </c>
      <c r="E84" s="8" t="s">
        <v>325</v>
      </c>
      <c r="F84" s="6" t="s">
        <v>326</v>
      </c>
      <c r="G84" s="9">
        <f>IF(A84=1,"_",IF(C84="_","???",C84))</f>
        <v/>
      </c>
      <c r="H84" s="10" t="s">
        <v>12</v>
      </c>
      <c r="I84" s="11" t="s">
        <v>12</v>
      </c>
      <c r="J84" s="12"/>
    </row>
    <row r="85" spans="1:10" ht="60" customHeight="1">
      <c r="A85" s="6" t="s">
        <v>327</v>
      </c>
      <c r="B85" s="6" t="s">
        <v>20</v>
      </c>
      <c r="C85" s="6" t="s">
        <v>12</v>
      </c>
      <c r="D85" s="7" t="s">
        <v>328</v>
      </c>
      <c r="E85" s="8" t="s">
        <v>329</v>
      </c>
      <c r="F85" s="6" t="s">
        <v>330</v>
      </c>
      <c r="G85" s="9">
        <f>IF(A85=1,"_",IF(C85="_","???",C85))</f>
        <v/>
      </c>
      <c r="H85" s="10" t="s">
        <v>12</v>
      </c>
      <c r="I85" s="11" t="s">
        <v>12</v>
      </c>
      <c r="J85" s="12"/>
    </row>
    <row r="86" spans="1:10" ht="60" customHeight="1">
      <c r="A86" s="6" t="s">
        <v>331</v>
      </c>
      <c r="B86" s="6" t="s">
        <v>11</v>
      </c>
      <c r="C86" s="6" t="s">
        <v>12</v>
      </c>
      <c r="D86" s="7" t="s">
        <v>332</v>
      </c>
      <c r="E86" s="8" t="s">
        <v>333</v>
      </c>
      <c r="F86" s="6" t="s">
        <v>334</v>
      </c>
      <c r="G86" s="9">
        <f>IF(A86=1,"_",IF(C86="_","???",C86))</f>
        <v/>
      </c>
      <c r="H86" s="10" t="s">
        <v>12</v>
      </c>
      <c r="I86" s="11" t="s">
        <v>12</v>
      </c>
      <c r="J86" s="12"/>
    </row>
    <row r="87" spans="1:10" ht="60" customHeight="1">
      <c r="A87" s="6" t="s">
        <v>335</v>
      </c>
      <c r="B87" s="6" t="s">
        <v>11</v>
      </c>
      <c r="C87" s="6" t="s">
        <v>12</v>
      </c>
      <c r="D87" s="7" t="s">
        <v>336</v>
      </c>
      <c r="E87" s="8" t="s">
        <v>337</v>
      </c>
      <c r="F87" s="6" t="s">
        <v>338</v>
      </c>
      <c r="G87" s="9">
        <f>IF(A87=1,"_",IF(C87="_","???",C87))</f>
        <v/>
      </c>
      <c r="H87" s="10" t="s">
        <v>12</v>
      </c>
      <c r="I87" s="11" t="s">
        <v>12</v>
      </c>
      <c r="J87" s="12"/>
    </row>
    <row r="88" spans="1:10" ht="60" customHeight="1">
      <c r="A88" s="6" t="s">
        <v>339</v>
      </c>
      <c r="B88" s="6" t="s">
        <v>24</v>
      </c>
      <c r="C88" s="6" t="s">
        <v>12</v>
      </c>
      <c r="D88" s="7" t="s">
        <v>340</v>
      </c>
      <c r="E88" s="8" t="s">
        <v>341</v>
      </c>
      <c r="F88" s="6" t="s">
        <v>342</v>
      </c>
      <c r="G88" s="9">
        <f>IF(A88=1,"_",IF(C88="_","???",C88))</f>
        <v/>
      </c>
      <c r="H88" s="10" t="s">
        <v>12</v>
      </c>
      <c r="I88" s="11" t="s">
        <v>12</v>
      </c>
      <c r="J88" s="12"/>
    </row>
    <row r="89" spans="1:10" ht="60" customHeight="1">
      <c r="A89" s="6" t="s">
        <v>343</v>
      </c>
      <c r="B89" s="6" t="s">
        <v>42</v>
      </c>
      <c r="C89" s="6" t="s">
        <v>12</v>
      </c>
      <c r="D89" s="7" t="s">
        <v>344</v>
      </c>
      <c r="E89" s="8" t="s">
        <v>345</v>
      </c>
      <c r="F89" s="6" t="s">
        <v>346</v>
      </c>
      <c r="G89" s="9">
        <f>IF(A89=1,"_",IF(C89="_","???",C89))</f>
        <v/>
      </c>
      <c r="H89" s="10" t="s">
        <v>12</v>
      </c>
      <c r="I89" s="11" t="s">
        <v>12</v>
      </c>
      <c r="J89" s="12"/>
    </row>
    <row r="90" spans="1:10" ht="60" customHeight="1">
      <c r="A90" s="6" t="s">
        <v>347</v>
      </c>
      <c r="B90" s="6" t="s">
        <v>24</v>
      </c>
      <c r="C90" s="6" t="s">
        <v>12</v>
      </c>
      <c r="D90" s="7" t="s">
        <v>70</v>
      </c>
      <c r="E90" s="8" t="s">
        <v>348</v>
      </c>
      <c r="F90" s="6" t="s">
        <v>349</v>
      </c>
      <c r="G90" s="9">
        <f>IF(A90=1,"_",IF(C90="_","???",C90))</f>
        <v/>
      </c>
      <c r="H90" s="10" t="s">
        <v>12</v>
      </c>
      <c r="I90" s="11" t="s">
        <v>12</v>
      </c>
      <c r="J90" s="12"/>
    </row>
    <row r="91" spans="1:10" ht="60" customHeight="1">
      <c r="A91" s="6" t="s">
        <v>350</v>
      </c>
      <c r="B91" s="6" t="s">
        <v>11</v>
      </c>
      <c r="C91" s="6" t="s">
        <v>12</v>
      </c>
      <c r="D91" s="7" t="s">
        <v>282</v>
      </c>
      <c r="E91" s="8" t="s">
        <v>351</v>
      </c>
      <c r="F91" s="6" t="s">
        <v>352</v>
      </c>
      <c r="G91" s="9">
        <f>IF(A91=1,"_",IF(C91="_","???",C91))</f>
        <v/>
      </c>
      <c r="H91" s="10" t="s">
        <v>12</v>
      </c>
      <c r="I91" s="11" t="s">
        <v>12</v>
      </c>
      <c r="J91" s="12"/>
    </row>
    <row r="92" spans="1:10" ht="60" customHeight="1">
      <c r="A92" s="6" t="s">
        <v>353</v>
      </c>
      <c r="B92" s="6" t="s">
        <v>32</v>
      </c>
      <c r="C92" s="6" t="s">
        <v>12</v>
      </c>
      <c r="D92" s="7" t="s">
        <v>70</v>
      </c>
      <c r="E92" s="8" t="s">
        <v>354</v>
      </c>
      <c r="F92" s="6" t="s">
        <v>355</v>
      </c>
      <c r="G92" s="9">
        <f>IF(A92=1,"_",IF(C92="_","???",C92))</f>
        <v/>
      </c>
      <c r="H92" s="10" t="s">
        <v>12</v>
      </c>
      <c r="I92" s="11" t="s">
        <v>12</v>
      </c>
      <c r="J92" s="12"/>
    </row>
    <row r="93" spans="1:10" ht="60" customHeight="1">
      <c r="A93" s="6" t="s">
        <v>356</v>
      </c>
      <c r="B93" s="6" t="s">
        <v>45</v>
      </c>
      <c r="C93" s="6" t="s">
        <v>12</v>
      </c>
      <c r="D93" s="7" t="s">
        <v>357</v>
      </c>
      <c r="E93" s="8" t="s">
        <v>358</v>
      </c>
      <c r="F93" s="6" t="s">
        <v>359</v>
      </c>
      <c r="G93" s="9">
        <f>IF(A93=1,"_",IF(C93="_","???",C93))</f>
        <v/>
      </c>
      <c r="H93" s="10" t="s">
        <v>12</v>
      </c>
      <c r="I93" s="11" t="s">
        <v>12</v>
      </c>
      <c r="J93" s="12"/>
    </row>
    <row r="94" spans="1:10" ht="60" customHeight="1">
      <c r="A94" s="6" t="s">
        <v>360</v>
      </c>
      <c r="B94" s="6" t="s">
        <v>11</v>
      </c>
      <c r="C94" s="6" t="s">
        <v>12</v>
      </c>
      <c r="D94" s="7" t="s">
        <v>361</v>
      </c>
      <c r="E94" s="8" t="s">
        <v>362</v>
      </c>
      <c r="F94" s="6" t="s">
        <v>363</v>
      </c>
      <c r="G94" s="9">
        <f>IF(A94=1,"_",IF(C94="_","???",C94))</f>
        <v/>
      </c>
      <c r="H94" s="10" t="s">
        <v>12</v>
      </c>
      <c r="I94" s="11" t="s">
        <v>12</v>
      </c>
      <c r="J94" s="12"/>
    </row>
    <row r="95" spans="1:10" ht="60" customHeight="1">
      <c r="A95" s="6" t="s">
        <v>364</v>
      </c>
      <c r="B95" s="6" t="s">
        <v>10</v>
      </c>
      <c r="C95" s="6" t="s">
        <v>12</v>
      </c>
      <c r="D95" s="7" t="s">
        <v>365</v>
      </c>
      <c r="E95" s="8" t="s">
        <v>366</v>
      </c>
      <c r="F95" s="6" t="s">
        <v>367</v>
      </c>
      <c r="G95" s="9">
        <f>IF(A95=1,"_",IF(C95="_","???",C95))</f>
        <v/>
      </c>
      <c r="H95" s="10" t="s">
        <v>12</v>
      </c>
      <c r="I95" s="11" t="s">
        <v>12</v>
      </c>
      <c r="J95" s="12"/>
    </row>
    <row r="96" spans="1:10" ht="60" customHeight="1">
      <c r="A96" s="6" t="s">
        <v>368</v>
      </c>
      <c r="B96" s="6" t="s">
        <v>36</v>
      </c>
      <c r="C96" s="6" t="s">
        <v>369</v>
      </c>
      <c r="D96" s="7" t="s">
        <v>370</v>
      </c>
      <c r="E96" s="8" t="s">
        <v>371</v>
      </c>
      <c r="F96" s="6" t="s">
        <v>372</v>
      </c>
      <c r="G96" s="9">
        <f>IF(A96=1,"_",IF(C96="_","???",C96))</f>
        <v/>
      </c>
      <c r="H96" s="10" t="s">
        <v>12</v>
      </c>
      <c r="I96" s="11" t="s">
        <v>12</v>
      </c>
      <c r="J96" s="12"/>
    </row>
    <row r="97" spans="1:10" ht="60" customHeight="1">
      <c r="A97" s="6" t="s">
        <v>373</v>
      </c>
      <c r="B97" s="6" t="s">
        <v>11</v>
      </c>
      <c r="C97" s="6" t="s">
        <v>12</v>
      </c>
      <c r="D97" s="7" t="s">
        <v>374</v>
      </c>
      <c r="E97" s="8" t="s">
        <v>375</v>
      </c>
      <c r="F97" s="6" t="s">
        <v>376</v>
      </c>
      <c r="G97" s="9">
        <f>IF(A97=1,"_",IF(C97="_","???",C97))</f>
        <v/>
      </c>
      <c r="H97" s="10" t="s">
        <v>12</v>
      </c>
      <c r="I97" s="11" t="s">
        <v>12</v>
      </c>
      <c r="J97" s="12"/>
    </row>
    <row r="98" spans="1:10" ht="60" customHeight="1">
      <c r="A98" s="6" t="s">
        <v>377</v>
      </c>
      <c r="B98" s="6" t="s">
        <v>11</v>
      </c>
      <c r="C98" s="6" t="s">
        <v>12</v>
      </c>
      <c r="D98" s="7" t="s">
        <v>70</v>
      </c>
      <c r="E98" s="8" t="s">
        <v>378</v>
      </c>
      <c r="F98" s="6" t="s">
        <v>379</v>
      </c>
      <c r="G98" s="9">
        <f>IF(A98=1,"_",IF(C98="_","???",C98))</f>
        <v/>
      </c>
      <c r="H98" s="10" t="s">
        <v>12</v>
      </c>
      <c r="I98" s="11" t="s">
        <v>12</v>
      </c>
      <c r="J98" s="12"/>
    </row>
    <row r="99" spans="1:10" ht="60" customHeight="1">
      <c r="A99" s="6" t="s">
        <v>380</v>
      </c>
      <c r="B99" s="6" t="s">
        <v>52</v>
      </c>
      <c r="C99" s="6" t="s">
        <v>12</v>
      </c>
      <c r="D99" s="7" t="s">
        <v>117</v>
      </c>
      <c r="E99" s="8" t="s">
        <v>381</v>
      </c>
      <c r="F99" s="6" t="s">
        <v>382</v>
      </c>
      <c r="G99" s="9">
        <f>IF(A99=1,"_",IF(C99="_","???",C99))</f>
        <v/>
      </c>
      <c r="H99" s="10" t="s">
        <v>12</v>
      </c>
      <c r="I99" s="11" t="s">
        <v>12</v>
      </c>
      <c r="J99" s="12"/>
    </row>
    <row r="100" spans="1:10" ht="60" customHeight="1">
      <c r="A100" s="6" t="s">
        <v>383</v>
      </c>
      <c r="B100" s="6" t="s">
        <v>32</v>
      </c>
      <c r="C100" s="6" t="s">
        <v>12</v>
      </c>
      <c r="D100" s="7" t="s">
        <v>384</v>
      </c>
      <c r="E100" s="8" t="s">
        <v>385</v>
      </c>
      <c r="F100" s="6" t="s">
        <v>386</v>
      </c>
      <c r="G100" s="9">
        <f>IF(A100=1,"_",IF(C100="_","???",C100))</f>
        <v/>
      </c>
      <c r="H100" s="10" t="s">
        <v>12</v>
      </c>
      <c r="I100" s="11" t="s">
        <v>12</v>
      </c>
      <c r="J100" s="12"/>
    </row>
    <row r="101" spans="1:10" ht="60" customHeight="1">
      <c r="A101" s="6" t="s">
        <v>387</v>
      </c>
      <c r="B101" s="6" t="s">
        <v>24</v>
      </c>
      <c r="C101" s="6" t="s">
        <v>12</v>
      </c>
      <c r="D101" s="7" t="s">
        <v>388</v>
      </c>
      <c r="E101" s="8" t="s">
        <v>389</v>
      </c>
      <c r="F101" s="6" t="s">
        <v>390</v>
      </c>
      <c r="G101" s="9">
        <f>IF(A101=1,"_",IF(C101="_","???",C101))</f>
        <v/>
      </c>
      <c r="H101" s="10" t="s">
        <v>12</v>
      </c>
      <c r="I101" s="11" t="s">
        <v>12</v>
      </c>
      <c r="J101" s="12"/>
    </row>
    <row r="102" spans="1:10" ht="60" customHeight="1">
      <c r="A102" s="6" t="s">
        <v>391</v>
      </c>
      <c r="B102" s="6" t="s">
        <v>24</v>
      </c>
      <c r="C102" s="6" t="s">
        <v>369</v>
      </c>
      <c r="D102" s="7" t="s">
        <v>392</v>
      </c>
      <c r="E102" s="8" t="s">
        <v>393</v>
      </c>
      <c r="F102" s="6" t="s">
        <v>394</v>
      </c>
      <c r="G102" s="9">
        <f>IF(A102=1,"_",IF(C102="_","???",C102))</f>
        <v/>
      </c>
      <c r="H102" s="10" t="s">
        <v>12</v>
      </c>
      <c r="I102" s="11" t="s">
        <v>12</v>
      </c>
      <c r="J102" s="12"/>
    </row>
    <row r="103" spans="1:10" ht="60" customHeight="1">
      <c r="A103" s="6" t="s">
        <v>395</v>
      </c>
      <c r="B103" s="6" t="s">
        <v>11</v>
      </c>
      <c r="C103" s="6" t="s">
        <v>12</v>
      </c>
      <c r="D103" s="7" t="s">
        <v>396</v>
      </c>
      <c r="E103" s="8" t="s">
        <v>397</v>
      </c>
      <c r="F103" s="6" t="s">
        <v>398</v>
      </c>
      <c r="G103" s="9">
        <f>IF(A103=1,"_",IF(C103="_","???",C103))</f>
        <v/>
      </c>
      <c r="H103" s="10" t="s">
        <v>12</v>
      </c>
      <c r="I103" s="11" t="s">
        <v>12</v>
      </c>
      <c r="J103" s="12"/>
    </row>
    <row r="104" spans="1:10" ht="60" customHeight="1">
      <c r="A104" s="6" t="s">
        <v>399</v>
      </c>
      <c r="B104" s="6" t="s">
        <v>11</v>
      </c>
      <c r="C104" s="6" t="s">
        <v>12</v>
      </c>
      <c r="D104" s="7" t="s">
        <v>400</v>
      </c>
      <c r="E104" s="8" t="s">
        <v>401</v>
      </c>
      <c r="F104" s="6" t="s">
        <v>402</v>
      </c>
      <c r="G104" s="9">
        <f>IF(A104=1,"_",IF(C104="_","???",C104))</f>
        <v/>
      </c>
      <c r="H104" s="10" t="s">
        <v>12</v>
      </c>
      <c r="I104" s="11" t="s">
        <v>12</v>
      </c>
      <c r="J104" s="12"/>
    </row>
    <row r="105" spans="1:10" ht="60" customHeight="1">
      <c r="A105" s="6" t="s">
        <v>403</v>
      </c>
      <c r="B105" s="6" t="s">
        <v>11</v>
      </c>
      <c r="C105" s="6" t="s">
        <v>12</v>
      </c>
      <c r="D105" s="7" t="s">
        <v>404</v>
      </c>
      <c r="E105" s="8" t="s">
        <v>405</v>
      </c>
      <c r="F105" s="6" t="s">
        <v>406</v>
      </c>
      <c r="G105" s="9">
        <f>IF(A105=1,"_",IF(C105="_","???",C105))</f>
        <v/>
      </c>
      <c r="H105" s="10" t="s">
        <v>12</v>
      </c>
      <c r="I105" s="11" t="s">
        <v>12</v>
      </c>
      <c r="J105" s="12"/>
    </row>
    <row r="106" spans="1:10" ht="60" customHeight="1">
      <c r="A106" s="6" t="s">
        <v>407</v>
      </c>
      <c r="B106" s="6" t="s">
        <v>11</v>
      </c>
      <c r="C106" s="6" t="s">
        <v>12</v>
      </c>
      <c r="D106" s="7" t="s">
        <v>157</v>
      </c>
      <c r="E106" s="8" t="s">
        <v>408</v>
      </c>
      <c r="F106" s="6" t="s">
        <v>409</v>
      </c>
      <c r="G106" s="9">
        <f>IF(A106=1,"_",IF(C106="_","???",C106))</f>
        <v/>
      </c>
      <c r="H106" s="10" t="s">
        <v>12</v>
      </c>
      <c r="I106" s="11" t="s">
        <v>12</v>
      </c>
      <c r="J106" s="12"/>
    </row>
    <row r="107" spans="1:10" ht="60" customHeight="1">
      <c r="A107" s="6" t="s">
        <v>410</v>
      </c>
      <c r="B107" s="6" t="s">
        <v>11</v>
      </c>
      <c r="C107" s="6" t="s">
        <v>12</v>
      </c>
      <c r="D107" s="7" t="s">
        <v>411</v>
      </c>
      <c r="E107" s="8" t="s">
        <v>412</v>
      </c>
      <c r="F107" s="6" t="s">
        <v>413</v>
      </c>
      <c r="G107" s="9">
        <f>IF(A107=1,"_",IF(C107="_","???",C107))</f>
        <v/>
      </c>
      <c r="H107" s="10" t="s">
        <v>12</v>
      </c>
      <c r="I107" s="11" t="s">
        <v>12</v>
      </c>
      <c r="J107" s="12"/>
    </row>
    <row r="108" spans="1:10" ht="60" customHeight="1">
      <c r="A108" s="6" t="s">
        <v>414</v>
      </c>
      <c r="B108" s="6" t="s">
        <v>11</v>
      </c>
      <c r="C108" s="6" t="s">
        <v>12</v>
      </c>
      <c r="D108" s="7" t="s">
        <v>415</v>
      </c>
      <c r="E108" s="8" t="s">
        <v>416</v>
      </c>
      <c r="F108" s="6" t="s">
        <v>417</v>
      </c>
      <c r="G108" s="9">
        <f>IF(A108=1,"_",IF(C108="_","???",C108))</f>
        <v/>
      </c>
      <c r="H108" s="10" t="s">
        <v>12</v>
      </c>
      <c r="I108" s="11" t="s">
        <v>12</v>
      </c>
      <c r="J108" s="12"/>
    </row>
    <row r="109" spans="1:10" ht="60" customHeight="1">
      <c r="A109" s="6" t="s">
        <v>418</v>
      </c>
      <c r="B109" s="6" t="s">
        <v>20</v>
      </c>
      <c r="C109" s="6" t="s">
        <v>369</v>
      </c>
      <c r="D109" s="7" t="s">
        <v>212</v>
      </c>
      <c r="E109" s="8" t="s">
        <v>419</v>
      </c>
      <c r="F109" s="6" t="s">
        <v>420</v>
      </c>
      <c r="G109" s="9">
        <f>IF(A109=1,"_",IF(C109="_","???",C109))</f>
        <v/>
      </c>
      <c r="H109" s="10" t="s">
        <v>12</v>
      </c>
      <c r="I109" s="11" t="s">
        <v>12</v>
      </c>
      <c r="J109" s="12"/>
    </row>
    <row r="110" spans="1:10" ht="60" customHeight="1">
      <c r="A110" s="6" t="s">
        <v>421</v>
      </c>
      <c r="B110" s="6" t="s">
        <v>42</v>
      </c>
      <c r="C110" s="6" t="s">
        <v>12</v>
      </c>
      <c r="D110" s="7" t="s">
        <v>70</v>
      </c>
      <c r="E110" s="8" t="s">
        <v>422</v>
      </c>
      <c r="F110" s="6" t="s">
        <v>423</v>
      </c>
      <c r="G110" s="9">
        <f>IF(A110=1,"_",IF(C110="_","???",C110))</f>
        <v/>
      </c>
      <c r="H110" s="10" t="s">
        <v>12</v>
      </c>
      <c r="I110" s="11" t="s">
        <v>12</v>
      </c>
      <c r="J110" s="12"/>
    </row>
    <row r="111" spans="1:10" ht="60" customHeight="1">
      <c r="A111" s="6" t="s">
        <v>424</v>
      </c>
      <c r="B111" s="6" t="s">
        <v>36</v>
      </c>
      <c r="C111" s="6" t="s">
        <v>12</v>
      </c>
      <c r="D111" s="7" t="s">
        <v>425</v>
      </c>
      <c r="E111" s="8" t="s">
        <v>426</v>
      </c>
      <c r="F111" s="6" t="s">
        <v>427</v>
      </c>
      <c r="G111" s="9">
        <f>IF(A111=1,"_",IF(C111="_","???",C111))</f>
        <v/>
      </c>
      <c r="H111" s="10" t="s">
        <v>12</v>
      </c>
      <c r="I111" s="11" t="s">
        <v>12</v>
      </c>
      <c r="J111" s="12"/>
    </row>
    <row r="112" spans="1:10" ht="60" customHeight="1">
      <c r="A112" s="6" t="s">
        <v>428</v>
      </c>
      <c r="B112" s="6" t="s">
        <v>16</v>
      </c>
      <c r="C112" s="6" t="s">
        <v>12</v>
      </c>
      <c r="D112" s="7" t="s">
        <v>240</v>
      </c>
      <c r="E112" s="8" t="s">
        <v>429</v>
      </c>
      <c r="F112" s="6" t="s">
        <v>430</v>
      </c>
      <c r="G112" s="9">
        <f>IF(A112=1,"_",IF(C112="_","???",C112))</f>
        <v/>
      </c>
      <c r="H112" s="10" t="s">
        <v>12</v>
      </c>
      <c r="I112" s="11" t="s">
        <v>12</v>
      </c>
      <c r="J112" s="12"/>
    </row>
    <row r="113" spans="1:10" ht="60" customHeight="1">
      <c r="A113" s="6" t="s">
        <v>431</v>
      </c>
      <c r="B113" s="6" t="s">
        <v>116</v>
      </c>
      <c r="C113" s="6" t="s">
        <v>12</v>
      </c>
      <c r="D113" s="7" t="s">
        <v>432</v>
      </c>
      <c r="E113" s="8" t="s">
        <v>433</v>
      </c>
      <c r="F113" s="6" t="s">
        <v>434</v>
      </c>
      <c r="G113" s="9">
        <f>IF(A113=1,"_",IF(C113="_","???",C113))</f>
        <v/>
      </c>
      <c r="H113" s="10" t="s">
        <v>12</v>
      </c>
      <c r="I113" s="11" t="s">
        <v>12</v>
      </c>
      <c r="J113" s="12"/>
    </row>
    <row r="114" spans="1:10" ht="60" customHeight="1">
      <c r="A114" s="6" t="s">
        <v>435</v>
      </c>
      <c r="B114" s="6" t="s">
        <v>28</v>
      </c>
      <c r="C114" s="6" t="s">
        <v>12</v>
      </c>
      <c r="D114" s="7" t="s">
        <v>436</v>
      </c>
      <c r="E114" s="8" t="s">
        <v>437</v>
      </c>
      <c r="F114" s="6" t="s">
        <v>438</v>
      </c>
      <c r="G114" s="9">
        <f>IF(A114=1,"_",IF(C114="_","???",C114))</f>
        <v/>
      </c>
      <c r="H114" s="10" t="s">
        <v>12</v>
      </c>
      <c r="I114" s="11" t="s">
        <v>12</v>
      </c>
      <c r="J114" s="12"/>
    </row>
    <row r="115" spans="1:10" ht="60" customHeight="1">
      <c r="A115" s="6" t="s">
        <v>439</v>
      </c>
      <c r="B115" s="6" t="s">
        <v>11</v>
      </c>
      <c r="C115" s="6" t="s">
        <v>12</v>
      </c>
      <c r="D115" s="7" t="s">
        <v>440</v>
      </c>
      <c r="E115" s="8" t="s">
        <v>441</v>
      </c>
      <c r="F115" s="6" t="s">
        <v>442</v>
      </c>
      <c r="G115" s="9">
        <f>IF(A115=1,"_",IF(C115="_","???",C115))</f>
        <v/>
      </c>
      <c r="H115" s="10" t="s">
        <v>12</v>
      </c>
      <c r="I115" s="11" t="s">
        <v>12</v>
      </c>
      <c r="J115" s="12"/>
    </row>
    <row r="116" spans="1:10" ht="60" customHeight="1">
      <c r="A116" s="6" t="s">
        <v>443</v>
      </c>
      <c r="B116" s="6" t="s">
        <v>24</v>
      </c>
      <c r="C116" s="6" t="s">
        <v>12</v>
      </c>
      <c r="D116" s="7" t="s">
        <v>157</v>
      </c>
      <c r="E116" s="8" t="s">
        <v>444</v>
      </c>
      <c r="F116" s="6" t="s">
        <v>445</v>
      </c>
      <c r="G116" s="9">
        <f>IF(A116=1,"_",IF(C116="_","???",C116))</f>
        <v/>
      </c>
      <c r="H116" s="10" t="s">
        <v>12</v>
      </c>
      <c r="I116" s="11" t="s">
        <v>12</v>
      </c>
      <c r="J116" s="12"/>
    </row>
    <row r="117" spans="1:10" ht="60" customHeight="1">
      <c r="A117" s="6" t="s">
        <v>446</v>
      </c>
      <c r="B117" s="6" t="s">
        <v>11</v>
      </c>
      <c r="C117" s="6" t="s">
        <v>12</v>
      </c>
      <c r="D117" s="7" t="s">
        <v>447</v>
      </c>
      <c r="E117" s="8" t="s">
        <v>448</v>
      </c>
      <c r="F117" s="6" t="s">
        <v>449</v>
      </c>
      <c r="G117" s="9">
        <f>IF(A117=1,"_",IF(C117="_","???",C117))</f>
        <v/>
      </c>
      <c r="H117" s="10" t="s">
        <v>12</v>
      </c>
      <c r="I117" s="11" t="s">
        <v>12</v>
      </c>
      <c r="J117" s="12"/>
    </row>
    <row r="118" spans="1:10" ht="60" customHeight="1">
      <c r="A118" s="6" t="s">
        <v>450</v>
      </c>
      <c r="B118" s="6" t="s">
        <v>11</v>
      </c>
      <c r="C118" s="6" t="s">
        <v>12</v>
      </c>
      <c r="D118" s="7" t="s">
        <v>451</v>
      </c>
      <c r="E118" s="8" t="s">
        <v>452</v>
      </c>
      <c r="F118" s="6" t="s">
        <v>453</v>
      </c>
      <c r="G118" s="9">
        <f>IF(A118=1,"_",IF(C118="_","???",C118))</f>
        <v/>
      </c>
      <c r="H118" s="10" t="s">
        <v>12</v>
      </c>
      <c r="I118" s="11" t="s">
        <v>12</v>
      </c>
      <c r="J118" s="12"/>
    </row>
    <row r="119" spans="1:10" ht="60" customHeight="1">
      <c r="A119" s="6" t="s">
        <v>454</v>
      </c>
      <c r="B119" s="6" t="s">
        <v>11</v>
      </c>
      <c r="C119" s="6" t="s">
        <v>12</v>
      </c>
      <c r="D119" s="7" t="s">
        <v>129</v>
      </c>
      <c r="E119" s="8" t="s">
        <v>455</v>
      </c>
      <c r="F119" s="6" t="s">
        <v>456</v>
      </c>
      <c r="G119" s="9">
        <f>IF(A119=1,"_",IF(C119="_","???",C119))</f>
        <v/>
      </c>
      <c r="H119" s="10" t="s">
        <v>12</v>
      </c>
      <c r="I119" s="11" t="s">
        <v>12</v>
      </c>
      <c r="J119" s="12"/>
    </row>
    <row r="120" spans="1:10" ht="60" customHeight="1">
      <c r="A120" s="6" t="s">
        <v>457</v>
      </c>
      <c r="B120" s="6" t="s">
        <v>11</v>
      </c>
      <c r="C120" s="6" t="s">
        <v>12</v>
      </c>
      <c r="D120" s="7" t="s">
        <v>70</v>
      </c>
      <c r="E120" s="8" t="s">
        <v>458</v>
      </c>
      <c r="F120" s="6" t="s">
        <v>459</v>
      </c>
      <c r="G120" s="9">
        <f>IF(A120=1,"_",IF(C120="_","???",C120))</f>
        <v/>
      </c>
      <c r="H120" s="10" t="s">
        <v>12</v>
      </c>
      <c r="I120" s="11" t="s">
        <v>12</v>
      </c>
      <c r="J120" s="12"/>
    </row>
    <row r="121" spans="1:10" ht="60" customHeight="1">
      <c r="A121" s="6" t="s">
        <v>460</v>
      </c>
      <c r="B121" s="6" t="s">
        <v>11</v>
      </c>
      <c r="C121" s="6" t="s">
        <v>12</v>
      </c>
      <c r="D121" s="7" t="s">
        <v>70</v>
      </c>
      <c r="E121" s="8" t="s">
        <v>461</v>
      </c>
      <c r="F121" s="6" t="s">
        <v>462</v>
      </c>
      <c r="G121" s="9">
        <f>IF(A121=1,"_",IF(C121="_","???",C121))</f>
        <v/>
      </c>
      <c r="H121" s="10" t="s">
        <v>12</v>
      </c>
      <c r="I121" s="11" t="s">
        <v>12</v>
      </c>
      <c r="J121" s="12"/>
    </row>
    <row r="122" spans="1:10" ht="60" customHeight="1">
      <c r="A122" s="6" t="s">
        <v>463</v>
      </c>
      <c r="B122" s="6" t="s">
        <v>112</v>
      </c>
      <c r="C122" s="6" t="s">
        <v>12</v>
      </c>
      <c r="D122" s="7" t="s">
        <v>464</v>
      </c>
      <c r="E122" s="8" t="s">
        <v>465</v>
      </c>
      <c r="F122" s="6" t="s">
        <v>466</v>
      </c>
      <c r="G122" s="9">
        <f>IF(A122=1,"_",IF(C122="_","???",C122))</f>
        <v/>
      </c>
      <c r="H122" s="10" t="s">
        <v>12</v>
      </c>
      <c r="I122" s="11" t="s">
        <v>12</v>
      </c>
      <c r="J122" s="12"/>
    </row>
    <row r="123" spans="1:10" ht="60" customHeight="1">
      <c r="A123" s="6" t="s">
        <v>467</v>
      </c>
      <c r="B123" s="6" t="s">
        <v>20</v>
      </c>
      <c r="C123" s="6" t="s">
        <v>12</v>
      </c>
      <c r="D123" s="7" t="s">
        <v>70</v>
      </c>
      <c r="E123" s="8" t="s">
        <v>468</v>
      </c>
      <c r="F123" s="6" t="s">
        <v>469</v>
      </c>
      <c r="G123" s="9">
        <f>IF(A123=1,"_",IF(C123="_","???",C123))</f>
        <v/>
      </c>
      <c r="H123" s="10" t="s">
        <v>12</v>
      </c>
      <c r="I123" s="11" t="s">
        <v>12</v>
      </c>
      <c r="J123" s="12"/>
    </row>
    <row r="124" spans="1:10" ht="60" customHeight="1">
      <c r="A124" s="6" t="s">
        <v>470</v>
      </c>
      <c r="B124" s="6" t="s">
        <v>86</v>
      </c>
      <c r="C124" s="6" t="s">
        <v>12</v>
      </c>
      <c r="D124" s="7" t="s">
        <v>471</v>
      </c>
      <c r="E124" s="8" t="s">
        <v>472</v>
      </c>
      <c r="F124" s="6" t="s">
        <v>473</v>
      </c>
      <c r="G124" s="9">
        <f>IF(A124=1,"_",IF(C124="_","???",C124))</f>
        <v/>
      </c>
      <c r="H124" s="10" t="s">
        <v>12</v>
      </c>
      <c r="I124" s="11" t="s">
        <v>12</v>
      </c>
      <c r="J124" s="12"/>
    </row>
    <row r="125" spans="1:10" ht="60" customHeight="1">
      <c r="A125" s="6" t="s">
        <v>474</v>
      </c>
      <c r="B125" s="6" t="s">
        <v>73</v>
      </c>
      <c r="C125" s="6" t="s">
        <v>12</v>
      </c>
      <c r="D125" s="7" t="s">
        <v>475</v>
      </c>
      <c r="E125" s="8" t="s">
        <v>476</v>
      </c>
      <c r="F125" s="6" t="s">
        <v>477</v>
      </c>
      <c r="G125" s="9">
        <f>IF(A125=1,"_",IF(C125="_","???",C125))</f>
        <v/>
      </c>
      <c r="H125" s="10" t="s">
        <v>12</v>
      </c>
      <c r="I125" s="11" t="s">
        <v>12</v>
      </c>
      <c r="J125" s="12"/>
    </row>
    <row r="126" spans="1:10" ht="60" customHeight="1">
      <c r="A126" s="6" t="s">
        <v>478</v>
      </c>
      <c r="B126" s="6" t="s">
        <v>11</v>
      </c>
      <c r="C126" s="6" t="s">
        <v>12</v>
      </c>
      <c r="D126" s="7" t="s">
        <v>479</v>
      </c>
      <c r="E126" s="8" t="s">
        <v>480</v>
      </c>
      <c r="F126" s="6" t="s">
        <v>481</v>
      </c>
      <c r="G126" s="9">
        <f>IF(A126=1,"_",IF(C126="_","???",C126))</f>
        <v/>
      </c>
      <c r="H126" s="10" t="s">
        <v>12</v>
      </c>
      <c r="I126" s="11" t="s">
        <v>12</v>
      </c>
      <c r="J126" s="12"/>
    </row>
    <row r="127" spans="1:10" ht="60" customHeight="1">
      <c r="A127" s="6" t="s">
        <v>482</v>
      </c>
      <c r="B127" s="6" t="s">
        <v>11</v>
      </c>
      <c r="C127" s="6" t="s">
        <v>12</v>
      </c>
      <c r="D127" s="7" t="s">
        <v>282</v>
      </c>
      <c r="E127" s="8" t="s">
        <v>483</v>
      </c>
      <c r="F127" s="6" t="s">
        <v>484</v>
      </c>
      <c r="G127" s="9">
        <f>IF(A127=1,"_",IF(C127="_","???",C127))</f>
        <v/>
      </c>
      <c r="H127" s="10" t="s">
        <v>12</v>
      </c>
      <c r="I127" s="11" t="s">
        <v>12</v>
      </c>
      <c r="J127" s="12"/>
    </row>
    <row r="128" spans="1:10" ht="60" customHeight="1">
      <c r="A128" s="6" t="s">
        <v>485</v>
      </c>
      <c r="B128" s="6" t="s">
        <v>11</v>
      </c>
      <c r="C128" s="6" t="s">
        <v>12</v>
      </c>
      <c r="D128" s="7" t="s">
        <v>486</v>
      </c>
      <c r="E128" s="8" t="s">
        <v>487</v>
      </c>
      <c r="F128" s="6" t="s">
        <v>488</v>
      </c>
      <c r="G128" s="9">
        <f>IF(A128=1,"_",IF(C128="_","???",C128))</f>
        <v/>
      </c>
      <c r="H128" s="10" t="s">
        <v>12</v>
      </c>
      <c r="I128" s="11" t="s">
        <v>12</v>
      </c>
      <c r="J128" s="12"/>
    </row>
    <row r="129" spans="1:10" ht="60" customHeight="1">
      <c r="A129" s="6" t="s">
        <v>489</v>
      </c>
      <c r="B129" s="6" t="s">
        <v>11</v>
      </c>
      <c r="C129" s="6" t="s">
        <v>12</v>
      </c>
      <c r="D129" s="7" t="s">
        <v>490</v>
      </c>
      <c r="E129" s="8" t="s">
        <v>491</v>
      </c>
      <c r="F129" s="6" t="s">
        <v>492</v>
      </c>
      <c r="G129" s="9">
        <f>IF(A129=1,"_",IF(C129="_","???",C129))</f>
        <v/>
      </c>
      <c r="H129" s="10" t="s">
        <v>12</v>
      </c>
      <c r="I129" s="11" t="s">
        <v>12</v>
      </c>
      <c r="J129" s="12"/>
    </row>
    <row r="130" spans="1:10" ht="60" customHeight="1">
      <c r="A130" s="6" t="s">
        <v>493</v>
      </c>
      <c r="B130" s="6" t="s">
        <v>45</v>
      </c>
      <c r="C130" s="6" t="s">
        <v>12</v>
      </c>
      <c r="D130" s="7" t="s">
        <v>282</v>
      </c>
      <c r="E130" s="8" t="s">
        <v>494</v>
      </c>
      <c r="F130" s="6" t="s">
        <v>495</v>
      </c>
      <c r="G130" s="9">
        <f>IF(A130=1,"_",IF(C130="_","???",C130))</f>
        <v/>
      </c>
      <c r="H130" s="10" t="s">
        <v>12</v>
      </c>
      <c r="I130" s="11" t="s">
        <v>12</v>
      </c>
      <c r="J130" s="12"/>
    </row>
    <row r="131" spans="1:10" ht="60" customHeight="1">
      <c r="A131" s="6" t="s">
        <v>496</v>
      </c>
      <c r="B131" s="6" t="s">
        <v>32</v>
      </c>
      <c r="C131" s="6" t="s">
        <v>369</v>
      </c>
      <c r="D131" s="7" t="s">
        <v>223</v>
      </c>
      <c r="E131" s="8" t="s">
        <v>497</v>
      </c>
      <c r="F131" s="6" t="s">
        <v>498</v>
      </c>
      <c r="G131" s="9">
        <f>IF(A131=1,"_",IF(C131="_","???",C131))</f>
        <v/>
      </c>
      <c r="H131" s="10" t="s">
        <v>12</v>
      </c>
      <c r="I131" s="11" t="s">
        <v>12</v>
      </c>
      <c r="J131" s="12"/>
    </row>
    <row r="132" spans="1:10" ht="60" customHeight="1">
      <c r="A132" s="6" t="s">
        <v>499</v>
      </c>
      <c r="B132" s="6" t="s">
        <v>20</v>
      </c>
      <c r="C132" s="6" t="s">
        <v>12</v>
      </c>
      <c r="D132" s="7" t="s">
        <v>500</v>
      </c>
      <c r="E132" s="8" t="s">
        <v>501</v>
      </c>
      <c r="F132" s="6" t="s">
        <v>502</v>
      </c>
      <c r="G132" s="9">
        <f>IF(A132=1,"_",IF(C132="_","???",C132))</f>
        <v/>
      </c>
      <c r="H132" s="10" t="s">
        <v>12</v>
      </c>
      <c r="I132" s="11" t="s">
        <v>12</v>
      </c>
      <c r="J132" s="12"/>
    </row>
    <row r="133" spans="1:10" ht="60" customHeight="1">
      <c r="A133" s="6" t="s">
        <v>503</v>
      </c>
      <c r="B133" s="6" t="s">
        <v>11</v>
      </c>
      <c r="C133" s="6" t="s">
        <v>12</v>
      </c>
      <c r="D133" s="7" t="s">
        <v>173</v>
      </c>
      <c r="E133" s="8" t="s">
        <v>504</v>
      </c>
      <c r="F133" s="6" t="s">
        <v>505</v>
      </c>
      <c r="G133" s="9">
        <f>IF(A133=1,"_",IF(C133="_","???",C133))</f>
        <v/>
      </c>
      <c r="H133" s="10" t="s">
        <v>12</v>
      </c>
      <c r="I133" s="11" t="s">
        <v>12</v>
      </c>
      <c r="J133" s="12"/>
    </row>
    <row r="134" spans="1:10" ht="60" customHeight="1">
      <c r="A134" s="6" t="s">
        <v>506</v>
      </c>
      <c r="B134" s="6" t="s">
        <v>20</v>
      </c>
      <c r="C134" s="6" t="s">
        <v>369</v>
      </c>
      <c r="D134" s="7" t="s">
        <v>282</v>
      </c>
      <c r="E134" s="8" t="s">
        <v>507</v>
      </c>
      <c r="F134" s="6" t="s">
        <v>508</v>
      </c>
      <c r="G134" s="9">
        <f>IF(A134=1,"_",IF(C134="_","???",C134))</f>
        <v/>
      </c>
      <c r="H134" s="10" t="s">
        <v>12</v>
      </c>
      <c r="I134" s="11" t="s">
        <v>12</v>
      </c>
      <c r="J134" s="12"/>
    </row>
    <row r="135" spans="1:10" ht="60" customHeight="1">
      <c r="A135" s="6" t="s">
        <v>509</v>
      </c>
      <c r="B135" s="6" t="s">
        <v>10</v>
      </c>
      <c r="C135" s="6" t="s">
        <v>12</v>
      </c>
      <c r="D135" s="7" t="s">
        <v>510</v>
      </c>
      <c r="E135" s="8" t="s">
        <v>511</v>
      </c>
      <c r="F135" s="6" t="s">
        <v>512</v>
      </c>
      <c r="G135" s="9">
        <f>IF(A135=1,"_",IF(C135="_","???",C135))</f>
        <v/>
      </c>
      <c r="H135" s="10" t="s">
        <v>12</v>
      </c>
      <c r="I135" s="11" t="s">
        <v>12</v>
      </c>
      <c r="J135" s="12"/>
    </row>
    <row r="136" spans="1:10" ht="60" customHeight="1">
      <c r="A136" s="6" t="s">
        <v>513</v>
      </c>
      <c r="B136" s="6" t="s">
        <v>32</v>
      </c>
      <c r="C136" s="6" t="s">
        <v>12</v>
      </c>
      <c r="D136" s="7" t="s">
        <v>282</v>
      </c>
      <c r="E136" s="8" t="s">
        <v>514</v>
      </c>
      <c r="F136" s="6" t="s">
        <v>515</v>
      </c>
      <c r="G136" s="9">
        <f>IF(A136=1,"_",IF(C136="_","???",C136))</f>
        <v/>
      </c>
      <c r="H136" s="10" t="s">
        <v>12</v>
      </c>
      <c r="I136" s="11" t="s">
        <v>12</v>
      </c>
      <c r="J136" s="12"/>
    </row>
    <row r="137" spans="1:10" ht="60" customHeight="1">
      <c r="A137" s="6" t="s">
        <v>516</v>
      </c>
      <c r="B137" s="6" t="s">
        <v>16</v>
      </c>
      <c r="C137" s="6" t="s">
        <v>12</v>
      </c>
      <c r="D137" s="7" t="s">
        <v>121</v>
      </c>
      <c r="E137" s="8" t="s">
        <v>517</v>
      </c>
      <c r="F137" s="6" t="s">
        <v>518</v>
      </c>
      <c r="G137" s="9">
        <f>IF(A137=1,"_",IF(C137="_","???",C137))</f>
        <v/>
      </c>
      <c r="H137" s="10" t="s">
        <v>12</v>
      </c>
      <c r="I137" s="11" t="s">
        <v>12</v>
      </c>
      <c r="J137" s="12"/>
    </row>
    <row r="138" spans="1:10" ht="60" customHeight="1">
      <c r="A138" s="6" t="s">
        <v>519</v>
      </c>
      <c r="B138" s="6" t="s">
        <v>11</v>
      </c>
      <c r="C138" s="6" t="s">
        <v>12</v>
      </c>
      <c r="D138" s="7" t="s">
        <v>520</v>
      </c>
      <c r="E138" s="8" t="s">
        <v>521</v>
      </c>
      <c r="F138" s="6" t="s">
        <v>522</v>
      </c>
      <c r="G138" s="9">
        <f>IF(A138=1,"_",IF(C138="_","???",C138))</f>
        <v/>
      </c>
      <c r="H138" s="10" t="s">
        <v>12</v>
      </c>
      <c r="I138" s="11" t="s">
        <v>12</v>
      </c>
      <c r="J138" s="12"/>
    </row>
    <row r="139" spans="1:10" ht="60" customHeight="1">
      <c r="A139" s="6" t="s">
        <v>523</v>
      </c>
      <c r="B139" s="6" t="s">
        <v>11</v>
      </c>
      <c r="C139" s="6" t="s">
        <v>12</v>
      </c>
      <c r="D139" s="7" t="s">
        <v>524</v>
      </c>
      <c r="E139" s="8" t="s">
        <v>525</v>
      </c>
      <c r="F139" s="6" t="s">
        <v>526</v>
      </c>
      <c r="G139" s="9">
        <f>IF(A139=1,"_",IF(C139="_","???",C139))</f>
        <v/>
      </c>
      <c r="H139" s="10" t="s">
        <v>12</v>
      </c>
      <c r="I139" s="11" t="s">
        <v>12</v>
      </c>
      <c r="J139" s="12"/>
    </row>
    <row r="140" spans="1:10" ht="60" customHeight="1">
      <c r="A140" s="6" t="s">
        <v>527</v>
      </c>
      <c r="B140" s="6" t="s">
        <v>64</v>
      </c>
      <c r="C140" s="6" t="s">
        <v>12</v>
      </c>
      <c r="D140" s="7" t="s">
        <v>157</v>
      </c>
      <c r="E140" s="8" t="s">
        <v>528</v>
      </c>
      <c r="F140" s="6" t="s">
        <v>529</v>
      </c>
      <c r="G140" s="9">
        <f>IF(A140=1,"_",IF(C140="_","???",C140))</f>
        <v/>
      </c>
      <c r="H140" s="10" t="s">
        <v>12</v>
      </c>
      <c r="I140" s="11" t="s">
        <v>12</v>
      </c>
      <c r="J140" s="12"/>
    </row>
    <row r="141" spans="1:10" ht="60" customHeight="1">
      <c r="A141" s="6" t="s">
        <v>530</v>
      </c>
      <c r="B141" s="6" t="s">
        <v>20</v>
      </c>
      <c r="C141" s="6" t="s">
        <v>12</v>
      </c>
      <c r="D141" s="7" t="s">
        <v>531</v>
      </c>
      <c r="E141" s="8" t="s">
        <v>532</v>
      </c>
      <c r="F141" s="6" t="s">
        <v>533</v>
      </c>
      <c r="G141" s="9">
        <f>IF(A141=1,"_",IF(C141="_","???",C141))</f>
        <v/>
      </c>
      <c r="H141" s="10" t="s">
        <v>12</v>
      </c>
      <c r="I141" s="11" t="s">
        <v>12</v>
      </c>
      <c r="J141" s="12"/>
    </row>
    <row r="142" spans="1:10" ht="60" customHeight="1">
      <c r="A142" s="6" t="s">
        <v>534</v>
      </c>
      <c r="B142" s="6" t="s">
        <v>16</v>
      </c>
      <c r="C142" s="6" t="s">
        <v>12</v>
      </c>
      <c r="D142" s="7" t="s">
        <v>535</v>
      </c>
      <c r="E142" s="8" t="s">
        <v>536</v>
      </c>
      <c r="F142" s="6" t="s">
        <v>537</v>
      </c>
      <c r="G142" s="9">
        <f>IF(A142=1,"_",IF(C142="_","???",C142))</f>
        <v/>
      </c>
      <c r="H142" s="10" t="s">
        <v>12</v>
      </c>
      <c r="I142" s="11" t="s">
        <v>12</v>
      </c>
      <c r="J142" s="12"/>
    </row>
    <row r="143" spans="1:10" ht="60" customHeight="1">
      <c r="A143" s="6" t="s">
        <v>538</v>
      </c>
      <c r="B143" s="6" t="s">
        <v>11</v>
      </c>
      <c r="C143" s="6" t="s">
        <v>12</v>
      </c>
      <c r="D143" s="7" t="s">
        <v>70</v>
      </c>
      <c r="E143" s="8" t="s">
        <v>539</v>
      </c>
      <c r="F143" s="6" t="s">
        <v>540</v>
      </c>
      <c r="G143" s="9">
        <f>IF(A143=1,"_",IF(C143="_","???",C143))</f>
        <v/>
      </c>
      <c r="H143" s="10" t="s">
        <v>12</v>
      </c>
      <c r="I143" s="11" t="s">
        <v>12</v>
      </c>
      <c r="J143" s="12"/>
    </row>
    <row r="144" spans="1:10" ht="60" customHeight="1">
      <c r="A144" s="6" t="s">
        <v>541</v>
      </c>
      <c r="B144" s="6" t="s">
        <v>45</v>
      </c>
      <c r="C144" s="6" t="s">
        <v>12</v>
      </c>
      <c r="D144" s="7" t="s">
        <v>542</v>
      </c>
      <c r="E144" s="8" t="s">
        <v>543</v>
      </c>
      <c r="F144" s="6" t="s">
        <v>544</v>
      </c>
      <c r="G144" s="9">
        <f>IF(A144=1,"_",IF(C144="_","???",C144))</f>
        <v/>
      </c>
      <c r="H144" s="10" t="s">
        <v>12</v>
      </c>
      <c r="I144" s="11" t="s">
        <v>12</v>
      </c>
      <c r="J144" s="12"/>
    </row>
    <row r="145" spans="1:10" ht="60" customHeight="1">
      <c r="A145" s="6" t="s">
        <v>545</v>
      </c>
      <c r="B145" s="6" t="s">
        <v>16</v>
      </c>
      <c r="C145" s="6" t="s">
        <v>12</v>
      </c>
      <c r="D145" s="7" t="s">
        <v>25</v>
      </c>
      <c r="E145" s="8" t="s">
        <v>546</v>
      </c>
      <c r="F145" s="6" t="s">
        <v>547</v>
      </c>
      <c r="G145" s="9">
        <f>IF(A145=1,"_",IF(C145="_","???",C145))</f>
        <v/>
      </c>
      <c r="H145" s="10" t="s">
        <v>12</v>
      </c>
      <c r="I145" s="11" t="s">
        <v>12</v>
      </c>
      <c r="J145" s="12"/>
    </row>
    <row r="146" spans="1:10" ht="60" customHeight="1">
      <c r="A146" s="6" t="s">
        <v>548</v>
      </c>
      <c r="B146" s="6" t="s">
        <v>11</v>
      </c>
      <c r="C146" s="6" t="s">
        <v>12</v>
      </c>
      <c r="D146" s="7" t="s">
        <v>549</v>
      </c>
      <c r="E146" s="8" t="s">
        <v>550</v>
      </c>
      <c r="F146" s="6" t="s">
        <v>551</v>
      </c>
      <c r="G146" s="9">
        <f>IF(A146=1,"_",IF(C146="_","???",C146))</f>
        <v/>
      </c>
      <c r="H146" s="10" t="s">
        <v>12</v>
      </c>
      <c r="I146" s="11" t="s">
        <v>12</v>
      </c>
      <c r="J146" s="12"/>
    </row>
    <row r="147" spans="1:10" ht="60" customHeight="1">
      <c r="A147" s="6" t="s">
        <v>552</v>
      </c>
      <c r="B147" s="6" t="s">
        <v>132</v>
      </c>
      <c r="C147" s="6" t="s">
        <v>12</v>
      </c>
      <c r="D147" s="7" t="s">
        <v>553</v>
      </c>
      <c r="E147" s="8" t="s">
        <v>554</v>
      </c>
      <c r="F147" s="6" t="s">
        <v>555</v>
      </c>
      <c r="G147" s="9">
        <f>IF(A147=1,"_",IF(C147="_","???",C147))</f>
        <v/>
      </c>
      <c r="H147" s="10" t="s">
        <v>12</v>
      </c>
      <c r="I147" s="11" t="s">
        <v>12</v>
      </c>
      <c r="J147" s="12"/>
    </row>
    <row r="148" spans="1:10" ht="60" customHeight="1">
      <c r="A148" s="6" t="s">
        <v>556</v>
      </c>
      <c r="B148" s="6" t="s">
        <v>32</v>
      </c>
      <c r="C148" s="6" t="s">
        <v>12</v>
      </c>
      <c r="D148" s="7" t="s">
        <v>216</v>
      </c>
      <c r="E148" s="8" t="s">
        <v>557</v>
      </c>
      <c r="F148" s="6" t="s">
        <v>558</v>
      </c>
      <c r="G148" s="9">
        <f>IF(A148=1,"_",IF(C148="_","???",C148))</f>
        <v/>
      </c>
      <c r="H148" s="10" t="s">
        <v>12</v>
      </c>
      <c r="I148" s="11" t="s">
        <v>12</v>
      </c>
      <c r="J148" s="12"/>
    </row>
    <row r="149" spans="1:10" ht="60" customHeight="1">
      <c r="A149" s="6" t="s">
        <v>559</v>
      </c>
      <c r="B149" s="6" t="s">
        <v>28</v>
      </c>
      <c r="C149" s="6" t="s">
        <v>12</v>
      </c>
      <c r="D149" s="7" t="s">
        <v>520</v>
      </c>
      <c r="E149" s="8" t="s">
        <v>560</v>
      </c>
      <c r="F149" s="6" t="s">
        <v>561</v>
      </c>
      <c r="G149" s="9">
        <f>IF(A149=1,"_",IF(C149="_","???",C149))</f>
        <v/>
      </c>
      <c r="H149" s="10" t="s">
        <v>12</v>
      </c>
      <c r="I149" s="11" t="s">
        <v>12</v>
      </c>
      <c r="J149" s="12"/>
    </row>
    <row r="150" spans="1:10" ht="60" customHeight="1">
      <c r="A150" s="6" t="s">
        <v>562</v>
      </c>
      <c r="B150" s="6" t="s">
        <v>11</v>
      </c>
      <c r="C150" s="6" t="s">
        <v>12</v>
      </c>
      <c r="D150" s="7" t="s">
        <v>563</v>
      </c>
      <c r="E150" s="8" t="s">
        <v>564</v>
      </c>
      <c r="F150" s="6" t="s">
        <v>565</v>
      </c>
      <c r="G150" s="9">
        <f>IF(A150=1,"_",IF(C150="_","???",C150))</f>
        <v/>
      </c>
      <c r="H150" s="10" t="s">
        <v>12</v>
      </c>
      <c r="I150" s="11" t="s">
        <v>12</v>
      </c>
      <c r="J150" s="12"/>
    </row>
    <row r="151" spans="1:10" ht="60" customHeight="1">
      <c r="A151" s="6" t="s">
        <v>566</v>
      </c>
      <c r="B151" s="6" t="s">
        <v>36</v>
      </c>
      <c r="C151" s="6" t="s">
        <v>12</v>
      </c>
      <c r="D151" s="7" t="s">
        <v>567</v>
      </c>
      <c r="E151" s="8" t="s">
        <v>568</v>
      </c>
      <c r="F151" s="6" t="s">
        <v>569</v>
      </c>
      <c r="G151" s="9">
        <f>IF(A151=1,"_",IF(C151="_","???",C151))</f>
        <v/>
      </c>
      <c r="H151" s="10" t="s">
        <v>12</v>
      </c>
      <c r="I151" s="11" t="s">
        <v>12</v>
      </c>
      <c r="J151" s="12"/>
    </row>
    <row r="152" spans="1:10" ht="60" customHeight="1">
      <c r="A152" s="6" t="s">
        <v>570</v>
      </c>
      <c r="B152" s="6" t="s">
        <v>20</v>
      </c>
      <c r="C152" s="6" t="s">
        <v>12</v>
      </c>
      <c r="D152" s="7" t="s">
        <v>571</v>
      </c>
      <c r="E152" s="8" t="s">
        <v>572</v>
      </c>
      <c r="F152" s="6" t="s">
        <v>573</v>
      </c>
      <c r="G152" s="9">
        <f>IF(A152=1,"_",IF(C152="_","???",C152))</f>
        <v/>
      </c>
      <c r="H152" s="10" t="s">
        <v>12</v>
      </c>
      <c r="I152" s="11" t="s">
        <v>12</v>
      </c>
      <c r="J152" s="12"/>
    </row>
    <row r="153" spans="1:10" ht="60" customHeight="1">
      <c r="A153" s="6" t="s">
        <v>574</v>
      </c>
      <c r="B153" s="6" t="s">
        <v>16</v>
      </c>
      <c r="C153" s="6" t="s">
        <v>12</v>
      </c>
      <c r="D153" s="7" t="s">
        <v>575</v>
      </c>
      <c r="E153" s="8" t="s">
        <v>576</v>
      </c>
      <c r="F153" s="6" t="s">
        <v>577</v>
      </c>
      <c r="G153" s="9">
        <f>IF(A153=1,"_",IF(C153="_","???",C153))</f>
        <v/>
      </c>
      <c r="H153" s="10" t="s">
        <v>12</v>
      </c>
      <c r="I153" s="11" t="s">
        <v>12</v>
      </c>
      <c r="J153" s="12"/>
    </row>
    <row r="154" spans="1:10" ht="60" customHeight="1">
      <c r="A154" s="6" t="s">
        <v>578</v>
      </c>
      <c r="B154" s="6" t="s">
        <v>11</v>
      </c>
      <c r="C154" s="6" t="s">
        <v>12</v>
      </c>
      <c r="D154" s="7" t="s">
        <v>216</v>
      </c>
      <c r="E154" s="8" t="s">
        <v>579</v>
      </c>
      <c r="F154" s="6" t="s">
        <v>580</v>
      </c>
      <c r="G154" s="9">
        <f>IF(A154=1,"_",IF(C154="_","???",C154))</f>
        <v/>
      </c>
      <c r="H154" s="10" t="s">
        <v>12</v>
      </c>
      <c r="I154" s="11" t="s">
        <v>12</v>
      </c>
      <c r="J154" s="12"/>
    </row>
    <row r="155" spans="1:10" ht="60" customHeight="1">
      <c r="A155" s="6" t="s">
        <v>581</v>
      </c>
      <c r="B155" s="6" t="s">
        <v>11</v>
      </c>
      <c r="C155" s="6" t="s">
        <v>12</v>
      </c>
      <c r="D155" s="7" t="s">
        <v>582</v>
      </c>
      <c r="E155" s="8" t="s">
        <v>583</v>
      </c>
      <c r="F155" s="6" t="s">
        <v>584</v>
      </c>
      <c r="G155" s="9">
        <f>IF(A155=1,"_",IF(C155="_","???",C155))</f>
        <v/>
      </c>
      <c r="H155" s="10" t="s">
        <v>12</v>
      </c>
      <c r="I155" s="11" t="s">
        <v>12</v>
      </c>
      <c r="J155" s="12"/>
    </row>
    <row r="156" spans="1:10" ht="60" customHeight="1">
      <c r="A156" s="6" t="s">
        <v>585</v>
      </c>
      <c r="B156" s="6" t="s">
        <v>11</v>
      </c>
      <c r="C156" s="6" t="s">
        <v>12</v>
      </c>
      <c r="D156" s="7" t="s">
        <v>586</v>
      </c>
      <c r="E156" s="8" t="s">
        <v>587</v>
      </c>
      <c r="F156" s="6" t="s">
        <v>588</v>
      </c>
      <c r="G156" s="9">
        <f>IF(A156=1,"_",IF(C156="_","???",C156))</f>
        <v/>
      </c>
      <c r="H156" s="10" t="s">
        <v>12</v>
      </c>
      <c r="I156" s="11" t="s">
        <v>12</v>
      </c>
      <c r="J156" s="12"/>
    </row>
    <row r="157" spans="1:10" ht="60" customHeight="1">
      <c r="A157" s="6" t="s">
        <v>589</v>
      </c>
      <c r="B157" s="6" t="s">
        <v>11</v>
      </c>
      <c r="C157" s="6" t="s">
        <v>12</v>
      </c>
      <c r="D157" s="7" t="s">
        <v>590</v>
      </c>
      <c r="E157" s="8" t="s">
        <v>591</v>
      </c>
      <c r="F157" s="6" t="s">
        <v>592</v>
      </c>
      <c r="G157" s="9">
        <f>IF(A157=1,"_",IF(C157="_","???",C157))</f>
        <v/>
      </c>
      <c r="H157" s="10" t="s">
        <v>12</v>
      </c>
      <c r="I157" s="11" t="s">
        <v>12</v>
      </c>
      <c r="J157" s="12"/>
    </row>
    <row r="158" spans="1:10" ht="60" customHeight="1">
      <c r="A158" s="6" t="s">
        <v>593</v>
      </c>
      <c r="B158" s="6" t="s">
        <v>49</v>
      </c>
      <c r="C158" s="6" t="s">
        <v>12</v>
      </c>
      <c r="D158" s="7" t="s">
        <v>594</v>
      </c>
      <c r="E158" s="8" t="s">
        <v>595</v>
      </c>
      <c r="F158" s="6" t="s">
        <v>596</v>
      </c>
      <c r="G158" s="9">
        <f>IF(A158=1,"_",IF(C158="_","???",C158))</f>
        <v/>
      </c>
      <c r="H158" s="10" t="s">
        <v>12</v>
      </c>
      <c r="I158" s="11" t="s">
        <v>12</v>
      </c>
      <c r="J158" s="12"/>
    </row>
    <row r="159" spans="1:10" ht="60" customHeight="1">
      <c r="A159" s="6" t="s">
        <v>597</v>
      </c>
      <c r="B159" s="6" t="s">
        <v>11</v>
      </c>
      <c r="C159" s="6" t="s">
        <v>12</v>
      </c>
      <c r="D159" s="7" t="s">
        <v>598</v>
      </c>
      <c r="E159" s="8" t="s">
        <v>599</v>
      </c>
      <c r="F159" s="6" t="s">
        <v>600</v>
      </c>
      <c r="G159" s="9">
        <f>IF(A159=1,"_",IF(C159="_","???",C159))</f>
        <v/>
      </c>
      <c r="H159" s="10" t="s">
        <v>12</v>
      </c>
      <c r="I159" s="11" t="s">
        <v>12</v>
      </c>
      <c r="J159" s="12"/>
    </row>
    <row r="160" spans="1:10" ht="60" customHeight="1">
      <c r="A160" s="6" t="s">
        <v>601</v>
      </c>
      <c r="B160" s="6" t="s">
        <v>45</v>
      </c>
      <c r="C160" s="6" t="s">
        <v>12</v>
      </c>
      <c r="D160" s="7" t="s">
        <v>248</v>
      </c>
      <c r="E160" s="8" t="s">
        <v>602</v>
      </c>
      <c r="F160" s="6" t="s">
        <v>603</v>
      </c>
      <c r="G160" s="9">
        <f>IF(A160=1,"_",IF(C160="_","???",C160))</f>
        <v/>
      </c>
      <c r="H160" s="10" t="s">
        <v>12</v>
      </c>
      <c r="I160" s="11" t="s">
        <v>12</v>
      </c>
      <c r="J160" s="12"/>
    </row>
    <row r="161" spans="1:10" ht="60" customHeight="1">
      <c r="A161" s="6" t="s">
        <v>604</v>
      </c>
      <c r="B161" s="6" t="s">
        <v>10</v>
      </c>
      <c r="C161" s="6" t="s">
        <v>12</v>
      </c>
      <c r="D161" s="7" t="s">
        <v>605</v>
      </c>
      <c r="E161" s="8" t="s">
        <v>606</v>
      </c>
      <c r="F161" s="6" t="s">
        <v>607</v>
      </c>
      <c r="G161" s="9">
        <f>IF(A161=1,"_",IF(C161="_","???",C161))</f>
        <v/>
      </c>
      <c r="H161" s="10" t="s">
        <v>12</v>
      </c>
      <c r="I161" s="11" t="s">
        <v>12</v>
      </c>
      <c r="J161" s="12"/>
    </row>
    <row r="162" spans="1:10" ht="60" customHeight="1">
      <c r="A162" s="6" t="s">
        <v>608</v>
      </c>
      <c r="B162" s="6" t="s">
        <v>10</v>
      </c>
      <c r="C162" s="6" t="s">
        <v>12</v>
      </c>
      <c r="D162" s="7" t="s">
        <v>609</v>
      </c>
      <c r="E162" s="8" t="s">
        <v>610</v>
      </c>
      <c r="F162" s="6" t="s">
        <v>611</v>
      </c>
      <c r="G162" s="9">
        <f>IF(A162=1,"_",IF(C162="_","???",C162))</f>
        <v/>
      </c>
      <c r="H162" s="10" t="s">
        <v>12</v>
      </c>
      <c r="I162" s="11" t="s">
        <v>12</v>
      </c>
      <c r="J162" s="12"/>
    </row>
    <row r="163" spans="1:10" ht="60" customHeight="1">
      <c r="A163" s="6" t="s">
        <v>612</v>
      </c>
      <c r="B163" s="6" t="s">
        <v>16</v>
      </c>
      <c r="C163" s="6" t="s">
        <v>12</v>
      </c>
      <c r="D163" s="7" t="s">
        <v>613</v>
      </c>
      <c r="E163" s="8" t="s">
        <v>614</v>
      </c>
      <c r="F163" s="6" t="s">
        <v>615</v>
      </c>
      <c r="G163" s="9">
        <f>IF(A163=1,"_",IF(C163="_","???",C163))</f>
        <v/>
      </c>
      <c r="H163" s="10" t="s">
        <v>12</v>
      </c>
      <c r="I163" s="11" t="s">
        <v>12</v>
      </c>
      <c r="J163" s="12"/>
    </row>
    <row r="164" spans="1:10" ht="60" customHeight="1">
      <c r="A164" s="6" t="s">
        <v>616</v>
      </c>
      <c r="B164" s="6" t="s">
        <v>20</v>
      </c>
      <c r="C164" s="6" t="s">
        <v>12</v>
      </c>
      <c r="D164" s="7" t="s">
        <v>223</v>
      </c>
      <c r="E164" s="8" t="s">
        <v>617</v>
      </c>
      <c r="F164" s="6" t="s">
        <v>618</v>
      </c>
      <c r="G164" s="9">
        <f>IF(A164=1,"_",IF(C164="_","???",C164))</f>
        <v/>
      </c>
      <c r="H164" s="10" t="s">
        <v>12</v>
      </c>
      <c r="I164" s="11" t="s">
        <v>12</v>
      </c>
      <c r="J164" s="12"/>
    </row>
    <row r="165" spans="1:10" ht="60" customHeight="1">
      <c r="A165" s="6" t="s">
        <v>619</v>
      </c>
      <c r="B165" s="6" t="s">
        <v>11</v>
      </c>
      <c r="C165" s="6" t="s">
        <v>12</v>
      </c>
      <c r="D165" s="7" t="s">
        <v>13</v>
      </c>
      <c r="E165" s="8" t="s">
        <v>620</v>
      </c>
      <c r="F165" s="6" t="s">
        <v>621</v>
      </c>
      <c r="G165" s="9">
        <f>IF(A165=1,"_",IF(C165="_","???",C165))</f>
        <v/>
      </c>
      <c r="H165" s="10" t="s">
        <v>12</v>
      </c>
      <c r="I165" s="11" t="s">
        <v>12</v>
      </c>
      <c r="J165" s="12"/>
    </row>
    <row r="166" spans="1:10" ht="60" customHeight="1">
      <c r="A166" s="6" t="s">
        <v>622</v>
      </c>
      <c r="B166" s="6" t="s">
        <v>11</v>
      </c>
      <c r="C166" s="6" t="s">
        <v>12</v>
      </c>
      <c r="D166" s="7" t="s">
        <v>21</v>
      </c>
      <c r="E166" s="8" t="s">
        <v>623</v>
      </c>
      <c r="F166" s="6" t="s">
        <v>624</v>
      </c>
      <c r="G166" s="9">
        <f>IF(A166=1,"_",IF(C166="_","???",C166))</f>
        <v/>
      </c>
      <c r="H166" s="10" t="s">
        <v>12</v>
      </c>
      <c r="I166" s="11" t="s">
        <v>12</v>
      </c>
      <c r="J166" s="12"/>
    </row>
    <row r="167" spans="1:10" ht="60" customHeight="1">
      <c r="A167" s="6" t="s">
        <v>625</v>
      </c>
      <c r="B167" s="6" t="s">
        <v>28</v>
      </c>
      <c r="C167" s="6" t="s">
        <v>12</v>
      </c>
      <c r="D167" s="7" t="s">
        <v>626</v>
      </c>
      <c r="E167" s="8" t="s">
        <v>627</v>
      </c>
      <c r="F167" s="6" t="s">
        <v>628</v>
      </c>
      <c r="G167" s="9">
        <f>IF(A167=1,"_",IF(C167="_","???",C167))</f>
        <v/>
      </c>
      <c r="H167" s="10" t="s">
        <v>12</v>
      </c>
      <c r="I167" s="11" t="s">
        <v>12</v>
      </c>
      <c r="J167" s="12"/>
    </row>
    <row r="168" spans="1:10" ht="60" customHeight="1">
      <c r="A168" s="6" t="s">
        <v>629</v>
      </c>
      <c r="B168" s="6" t="s">
        <v>42</v>
      </c>
      <c r="C168" s="6" t="s">
        <v>12</v>
      </c>
      <c r="D168" s="7" t="s">
        <v>630</v>
      </c>
      <c r="E168" s="8" t="s">
        <v>631</v>
      </c>
      <c r="F168" s="6" t="s">
        <v>632</v>
      </c>
      <c r="G168" s="9">
        <f>IF(A168=1,"_",IF(C168="_","???",C168))</f>
        <v/>
      </c>
      <c r="H168" s="10" t="s">
        <v>12</v>
      </c>
      <c r="I168" s="11" t="s">
        <v>12</v>
      </c>
      <c r="J168" s="12"/>
    </row>
    <row r="169" spans="1:10" ht="60" customHeight="1">
      <c r="A169" s="6" t="s">
        <v>633</v>
      </c>
      <c r="B169" s="6" t="s">
        <v>90</v>
      </c>
      <c r="C169" s="6" t="s">
        <v>12</v>
      </c>
      <c r="D169" s="7" t="s">
        <v>634</v>
      </c>
      <c r="E169" s="8" t="s">
        <v>635</v>
      </c>
      <c r="F169" s="6" t="s">
        <v>636</v>
      </c>
      <c r="G169" s="9">
        <f>IF(A169=1,"_",IF(C169="_","???",C169))</f>
        <v/>
      </c>
      <c r="H169" s="10" t="s">
        <v>12</v>
      </c>
      <c r="I169" s="11" t="s">
        <v>12</v>
      </c>
      <c r="J169" s="12"/>
    </row>
    <row r="170" spans="1:10" ht="60" customHeight="1">
      <c r="A170" s="6" t="s">
        <v>637</v>
      </c>
      <c r="B170" s="6" t="s">
        <v>24</v>
      </c>
      <c r="C170" s="6" t="s">
        <v>12</v>
      </c>
      <c r="D170" s="7" t="s">
        <v>121</v>
      </c>
      <c r="E170" s="8" t="s">
        <v>638</v>
      </c>
      <c r="F170" s="6" t="s">
        <v>639</v>
      </c>
      <c r="G170" s="9">
        <f>IF(A170=1,"_",IF(C170="_","???",C170))</f>
        <v/>
      </c>
      <c r="H170" s="10" t="s">
        <v>12</v>
      </c>
      <c r="I170" s="11" t="s">
        <v>12</v>
      </c>
      <c r="J170" s="12"/>
    </row>
    <row r="171" spans="1:10" ht="60" customHeight="1">
      <c r="A171" s="6" t="s">
        <v>640</v>
      </c>
      <c r="B171" s="6" t="s">
        <v>11</v>
      </c>
      <c r="C171" s="6" t="s">
        <v>12</v>
      </c>
      <c r="D171" s="7" t="s">
        <v>21</v>
      </c>
      <c r="E171" s="8" t="s">
        <v>641</v>
      </c>
      <c r="F171" s="6" t="s">
        <v>642</v>
      </c>
      <c r="G171" s="9">
        <f>IF(A171=1,"_",IF(C171="_","???",C171))</f>
        <v/>
      </c>
      <c r="H171" s="10" t="s">
        <v>12</v>
      </c>
      <c r="I171" s="11" t="s">
        <v>12</v>
      </c>
      <c r="J171" s="12"/>
    </row>
    <row r="172" spans="1:10" ht="60" customHeight="1">
      <c r="A172" s="6" t="s">
        <v>643</v>
      </c>
      <c r="B172" s="6" t="s">
        <v>11</v>
      </c>
      <c r="C172" s="6" t="s">
        <v>12</v>
      </c>
      <c r="D172" s="7" t="s">
        <v>46</v>
      </c>
      <c r="E172" s="8" t="s">
        <v>644</v>
      </c>
      <c r="F172" s="6" t="s">
        <v>645</v>
      </c>
      <c r="G172" s="9">
        <f>IF(A172=1,"_",IF(C172="_","???",C172))</f>
        <v/>
      </c>
      <c r="H172" s="10" t="s">
        <v>12</v>
      </c>
      <c r="I172" s="11" t="s">
        <v>12</v>
      </c>
      <c r="J172" s="12"/>
    </row>
    <row r="173" spans="1:10" ht="60" customHeight="1">
      <c r="A173" s="6" t="s">
        <v>646</v>
      </c>
      <c r="B173" s="6" t="s">
        <v>16</v>
      </c>
      <c r="C173" s="6" t="s">
        <v>12</v>
      </c>
      <c r="D173" s="7" t="s">
        <v>647</v>
      </c>
      <c r="E173" s="8" t="s">
        <v>648</v>
      </c>
      <c r="F173" s="6" t="s">
        <v>649</v>
      </c>
      <c r="G173" s="9">
        <f>IF(A173=1,"_",IF(C173="_","???",C173))</f>
        <v/>
      </c>
      <c r="H173" s="10" t="s">
        <v>12</v>
      </c>
      <c r="I173" s="11" t="s">
        <v>12</v>
      </c>
      <c r="J173" s="12"/>
    </row>
    <row r="174" spans="1:10" ht="60" customHeight="1">
      <c r="A174" s="6" t="s">
        <v>650</v>
      </c>
      <c r="B174" s="6" t="s">
        <v>36</v>
      </c>
      <c r="C174" s="6" t="s">
        <v>12</v>
      </c>
      <c r="D174" s="7" t="s">
        <v>651</v>
      </c>
      <c r="E174" s="8" t="s">
        <v>652</v>
      </c>
      <c r="F174" s="6" t="s">
        <v>653</v>
      </c>
      <c r="G174" s="9">
        <f>IF(A174=1,"_",IF(C174="_","???",C174))</f>
        <v/>
      </c>
      <c r="H174" s="10" t="s">
        <v>12</v>
      </c>
      <c r="I174" s="11" t="s">
        <v>12</v>
      </c>
      <c r="J174" s="12"/>
    </row>
    <row r="175" spans="1:10" ht="60" customHeight="1">
      <c r="A175" s="6" t="s">
        <v>654</v>
      </c>
      <c r="B175" s="6" t="s">
        <v>16</v>
      </c>
      <c r="C175" s="6" t="s">
        <v>12</v>
      </c>
      <c r="D175" s="7" t="s">
        <v>655</v>
      </c>
      <c r="E175" s="8" t="s">
        <v>656</v>
      </c>
      <c r="F175" s="6" t="s">
        <v>657</v>
      </c>
      <c r="G175" s="9">
        <f>IF(A175=1,"_",IF(C175="_","???",C175))</f>
        <v/>
      </c>
      <c r="H175" s="10" t="s">
        <v>12</v>
      </c>
      <c r="I175" s="11" t="s">
        <v>12</v>
      </c>
      <c r="J175" s="12"/>
    </row>
    <row r="176" spans="1:10" ht="60" customHeight="1">
      <c r="A176" s="6" t="s">
        <v>658</v>
      </c>
      <c r="B176" s="6" t="s">
        <v>24</v>
      </c>
      <c r="C176" s="6" t="s">
        <v>12</v>
      </c>
      <c r="D176" s="7" t="s">
        <v>274</v>
      </c>
      <c r="E176" s="8" t="s">
        <v>659</v>
      </c>
      <c r="F176" s="6" t="s">
        <v>660</v>
      </c>
      <c r="G176" s="9">
        <f>IF(A176=1,"_",IF(C176="_","???",C176))</f>
        <v/>
      </c>
      <c r="H176" s="10" t="s">
        <v>12</v>
      </c>
      <c r="I176" s="11" t="s">
        <v>12</v>
      </c>
      <c r="J176" s="12"/>
    </row>
    <row r="177" spans="1:10" ht="60" customHeight="1">
      <c r="A177" s="6" t="s">
        <v>661</v>
      </c>
      <c r="B177" s="6" t="s">
        <v>20</v>
      </c>
      <c r="C177" s="6" t="s">
        <v>12</v>
      </c>
      <c r="D177" s="7" t="s">
        <v>662</v>
      </c>
      <c r="E177" s="8" t="s">
        <v>663</v>
      </c>
      <c r="F177" s="6" t="s">
        <v>664</v>
      </c>
      <c r="G177" s="9">
        <f>IF(A177=1,"_",IF(C177="_","???",C177))</f>
        <v/>
      </c>
      <c r="H177" s="10" t="s">
        <v>12</v>
      </c>
      <c r="I177" s="11" t="s">
        <v>12</v>
      </c>
      <c r="J177" s="12"/>
    </row>
    <row r="178" spans="1:10" ht="60" customHeight="1">
      <c r="A178" s="6" t="s">
        <v>665</v>
      </c>
      <c r="B178" s="6" t="s">
        <v>36</v>
      </c>
      <c r="C178" s="6" t="s">
        <v>12</v>
      </c>
      <c r="D178" s="7" t="s">
        <v>666</v>
      </c>
      <c r="E178" s="8" t="s">
        <v>667</v>
      </c>
      <c r="F178" s="6" t="s">
        <v>668</v>
      </c>
      <c r="G178" s="9">
        <f>IF(A178=1,"_",IF(C178="_","???",C178))</f>
        <v/>
      </c>
      <c r="H178" s="10" t="s">
        <v>12</v>
      </c>
      <c r="I178" s="11" t="s">
        <v>12</v>
      </c>
      <c r="J178" s="12"/>
    </row>
    <row r="179" spans="1:10" ht="60" customHeight="1">
      <c r="A179" s="6" t="s">
        <v>669</v>
      </c>
      <c r="B179" s="6" t="s">
        <v>11</v>
      </c>
      <c r="C179" s="6" t="s">
        <v>12</v>
      </c>
      <c r="D179" s="7" t="s">
        <v>70</v>
      </c>
      <c r="E179" s="8" t="s">
        <v>670</v>
      </c>
      <c r="F179" s="6" t="s">
        <v>671</v>
      </c>
      <c r="G179" s="9">
        <f>IF(A179=1,"_",IF(C179="_","???",C179))</f>
        <v/>
      </c>
      <c r="H179" s="10" t="s">
        <v>12</v>
      </c>
      <c r="I179" s="11" t="s">
        <v>12</v>
      </c>
      <c r="J179" s="12"/>
    </row>
    <row r="180" spans="1:10" ht="60" customHeight="1">
      <c r="A180" s="6" t="s">
        <v>672</v>
      </c>
      <c r="B180" s="6" t="s">
        <v>36</v>
      </c>
      <c r="C180" s="6" t="s">
        <v>12</v>
      </c>
      <c r="D180" s="7" t="s">
        <v>157</v>
      </c>
      <c r="E180" s="8" t="s">
        <v>673</v>
      </c>
      <c r="F180" s="6" t="s">
        <v>674</v>
      </c>
      <c r="G180" s="9">
        <f>IF(A180=1,"_",IF(C180="_","???",C180))</f>
        <v/>
      </c>
      <c r="H180" s="10" t="s">
        <v>12</v>
      </c>
      <c r="I180" s="11" t="s">
        <v>12</v>
      </c>
      <c r="J180" s="12"/>
    </row>
    <row r="181" spans="1:10" ht="60" customHeight="1">
      <c r="A181" s="6" t="s">
        <v>675</v>
      </c>
      <c r="B181" s="6" t="s">
        <v>11</v>
      </c>
      <c r="C181" s="6" t="s">
        <v>177</v>
      </c>
      <c r="D181" s="7" t="s">
        <v>223</v>
      </c>
      <c r="E181" s="8" t="s">
        <v>676</v>
      </c>
      <c r="F181" s="6" t="s">
        <v>677</v>
      </c>
      <c r="G181" s="9">
        <f>IF(A181=1,"_",IF(C181="_","???",C181))</f>
        <v/>
      </c>
      <c r="H181" s="10" t="s">
        <v>12</v>
      </c>
      <c r="I181" s="11" t="s">
        <v>12</v>
      </c>
      <c r="J181" s="12"/>
    </row>
    <row r="182" spans="1:10" ht="60" customHeight="1">
      <c r="A182" s="6" t="s">
        <v>678</v>
      </c>
      <c r="B182" s="6" t="s">
        <v>11</v>
      </c>
      <c r="C182" s="6" t="s">
        <v>12</v>
      </c>
      <c r="D182" s="7" t="s">
        <v>70</v>
      </c>
      <c r="E182" s="8" t="s">
        <v>679</v>
      </c>
      <c r="F182" s="6" t="s">
        <v>680</v>
      </c>
      <c r="G182" s="9">
        <f>IF(A182=1,"_",IF(C182="_","???",C182))</f>
        <v/>
      </c>
      <c r="H182" s="10" t="s">
        <v>12</v>
      </c>
      <c r="I182" s="11" t="s">
        <v>12</v>
      </c>
      <c r="J182" s="12"/>
    </row>
    <row r="183" spans="1:10" ht="60" customHeight="1">
      <c r="A183" s="6" t="s">
        <v>681</v>
      </c>
      <c r="B183" s="6" t="s">
        <v>11</v>
      </c>
      <c r="C183" s="6" t="s">
        <v>12</v>
      </c>
      <c r="D183" s="7" t="s">
        <v>682</v>
      </c>
      <c r="E183" s="8" t="s">
        <v>683</v>
      </c>
      <c r="F183" s="6" t="s">
        <v>684</v>
      </c>
      <c r="G183" s="9">
        <f>IF(A183=1,"_",IF(C183="_","???",C183))</f>
        <v/>
      </c>
      <c r="H183" s="10" t="s">
        <v>12</v>
      </c>
      <c r="I183" s="11" t="s">
        <v>12</v>
      </c>
      <c r="J183" s="12"/>
    </row>
    <row r="184" spans="1:10" ht="60" customHeight="1">
      <c r="A184" s="6" t="s">
        <v>685</v>
      </c>
      <c r="B184" s="6" t="s">
        <v>24</v>
      </c>
      <c r="C184" s="6" t="s">
        <v>12</v>
      </c>
      <c r="D184" s="7" t="s">
        <v>686</v>
      </c>
      <c r="E184" s="8" t="s">
        <v>687</v>
      </c>
      <c r="F184" s="6" t="s">
        <v>688</v>
      </c>
      <c r="G184" s="9">
        <f>IF(A184=1,"_",IF(C184="_","???",C184))</f>
        <v/>
      </c>
      <c r="H184" s="10" t="s">
        <v>12</v>
      </c>
      <c r="I184" s="11" t="s">
        <v>12</v>
      </c>
      <c r="J184" s="12"/>
    </row>
    <row r="185" spans="1:10" ht="60" customHeight="1">
      <c r="A185" s="6" t="s">
        <v>689</v>
      </c>
      <c r="B185" s="6" t="s">
        <v>77</v>
      </c>
      <c r="C185" s="6" t="s">
        <v>12</v>
      </c>
      <c r="D185" s="7" t="s">
        <v>690</v>
      </c>
      <c r="E185" s="8" t="s">
        <v>691</v>
      </c>
      <c r="F185" s="6" t="s">
        <v>692</v>
      </c>
      <c r="G185" s="9">
        <f>IF(A185=1,"_",IF(C185="_","???",C185))</f>
        <v/>
      </c>
      <c r="H185" s="10" t="s">
        <v>12</v>
      </c>
      <c r="I185" s="11" t="s">
        <v>12</v>
      </c>
      <c r="J185" s="12"/>
    </row>
    <row r="186" spans="1:10" ht="60" customHeight="1">
      <c r="A186" s="6" t="s">
        <v>693</v>
      </c>
      <c r="B186" s="6" t="s">
        <v>20</v>
      </c>
      <c r="C186" s="6" t="s">
        <v>12</v>
      </c>
      <c r="D186" s="7" t="s">
        <v>694</v>
      </c>
      <c r="E186" s="8" t="s">
        <v>695</v>
      </c>
      <c r="F186" s="6" t="s">
        <v>696</v>
      </c>
      <c r="G186" s="9">
        <f>IF(A186=1,"_",IF(C186="_","???",C186))</f>
        <v/>
      </c>
      <c r="H186" s="10" t="s">
        <v>12</v>
      </c>
      <c r="I186" s="11" t="s">
        <v>12</v>
      </c>
      <c r="J186" s="12"/>
    </row>
    <row r="187" spans="1:10" ht="60" customHeight="1">
      <c r="A187" s="6" t="s">
        <v>697</v>
      </c>
      <c r="B187" s="6" t="s">
        <v>11</v>
      </c>
      <c r="C187" s="6" t="s">
        <v>12</v>
      </c>
      <c r="D187" s="7" t="s">
        <v>157</v>
      </c>
      <c r="E187" s="8" t="s">
        <v>698</v>
      </c>
      <c r="F187" s="6" t="s">
        <v>699</v>
      </c>
      <c r="G187" s="9">
        <f>IF(A187=1,"_",IF(C187="_","???",C187))</f>
        <v/>
      </c>
      <c r="H187" s="10" t="s">
        <v>12</v>
      </c>
      <c r="I187" s="11" t="s">
        <v>12</v>
      </c>
      <c r="J187" s="12"/>
    </row>
    <row r="188" spans="1:10" ht="60" customHeight="1">
      <c r="A188" s="6" t="s">
        <v>700</v>
      </c>
      <c r="B188" s="6" t="s">
        <v>77</v>
      </c>
      <c r="C188" s="6" t="s">
        <v>12</v>
      </c>
      <c r="D188" s="7" t="s">
        <v>46</v>
      </c>
      <c r="E188" s="8" t="s">
        <v>701</v>
      </c>
      <c r="F188" s="6" t="s">
        <v>702</v>
      </c>
      <c r="G188" s="9">
        <f>IF(A188=1,"_",IF(C188="_","???",C188))</f>
        <v/>
      </c>
      <c r="H188" s="10" t="s">
        <v>12</v>
      </c>
      <c r="I188" s="11" t="s">
        <v>12</v>
      </c>
      <c r="J188" s="12"/>
    </row>
    <row r="189" spans="1:10" ht="60" customHeight="1">
      <c r="A189" s="6" t="s">
        <v>703</v>
      </c>
      <c r="B189" s="6" t="s">
        <v>28</v>
      </c>
      <c r="C189" s="6" t="s">
        <v>12</v>
      </c>
      <c r="D189" s="7" t="s">
        <v>46</v>
      </c>
      <c r="E189" s="8" t="s">
        <v>704</v>
      </c>
      <c r="F189" s="6" t="s">
        <v>705</v>
      </c>
      <c r="G189" s="9">
        <f>IF(A189=1,"_",IF(C189="_","???",C189))</f>
        <v/>
      </c>
      <c r="H189" s="10" t="s">
        <v>12</v>
      </c>
      <c r="I189" s="11" t="s">
        <v>12</v>
      </c>
      <c r="J189" s="12"/>
    </row>
    <row r="190" spans="1:10" ht="60" customHeight="1">
      <c r="A190" s="6" t="s">
        <v>706</v>
      </c>
      <c r="B190" s="6" t="s">
        <v>16</v>
      </c>
      <c r="C190" s="6" t="s">
        <v>369</v>
      </c>
      <c r="D190" s="7" t="s">
        <v>707</v>
      </c>
      <c r="E190" s="8" t="s">
        <v>708</v>
      </c>
      <c r="F190" s="6" t="s">
        <v>709</v>
      </c>
      <c r="G190" s="9">
        <f>IF(A190=1,"_",IF(C190="_","???",C190))</f>
        <v/>
      </c>
      <c r="H190" s="10" t="s">
        <v>12</v>
      </c>
      <c r="I190" s="11" t="s">
        <v>12</v>
      </c>
      <c r="J190" s="12"/>
    </row>
    <row r="191" spans="1:10" ht="60" customHeight="1">
      <c r="A191" s="6" t="s">
        <v>710</v>
      </c>
      <c r="B191" s="6" t="s">
        <v>24</v>
      </c>
      <c r="C191" s="6" t="s">
        <v>12</v>
      </c>
      <c r="D191" s="7" t="s">
        <v>711</v>
      </c>
      <c r="E191" s="8" t="s">
        <v>712</v>
      </c>
      <c r="F191" s="6" t="s">
        <v>713</v>
      </c>
      <c r="G191" s="9">
        <f>IF(A191=1,"_",IF(C191="_","???",C191))</f>
        <v/>
      </c>
      <c r="H191" s="10" t="s">
        <v>12</v>
      </c>
      <c r="I191" s="11" t="s">
        <v>12</v>
      </c>
      <c r="J191" s="12"/>
    </row>
    <row r="192" spans="1:10" ht="60" customHeight="1">
      <c r="A192" s="6" t="s">
        <v>714</v>
      </c>
      <c r="B192" s="6" t="s">
        <v>36</v>
      </c>
      <c r="C192" s="6" t="s">
        <v>12</v>
      </c>
      <c r="D192" s="7" t="s">
        <v>715</v>
      </c>
      <c r="E192" s="8" t="s">
        <v>716</v>
      </c>
      <c r="F192" s="6" t="s">
        <v>717</v>
      </c>
      <c r="G192" s="9">
        <f>IF(A192=1,"_",IF(C192="_","???",C192))</f>
        <v/>
      </c>
      <c r="H192" s="10" t="s">
        <v>12</v>
      </c>
      <c r="I192" s="11" t="s">
        <v>12</v>
      </c>
      <c r="J192" s="12"/>
    </row>
    <row r="193" spans="1:10" ht="60" customHeight="1">
      <c r="A193" s="6" t="s">
        <v>718</v>
      </c>
      <c r="B193" s="6" t="s">
        <v>68</v>
      </c>
      <c r="C193" s="6" t="s">
        <v>12</v>
      </c>
      <c r="D193" s="7" t="s">
        <v>13</v>
      </c>
      <c r="E193" s="8" t="s">
        <v>719</v>
      </c>
      <c r="F193" s="6" t="s">
        <v>720</v>
      </c>
      <c r="G193" s="9">
        <f>IF(A193=1,"_",IF(C193="_","???",C193))</f>
        <v/>
      </c>
      <c r="H193" s="10" t="s">
        <v>12</v>
      </c>
      <c r="I193" s="11" t="s">
        <v>12</v>
      </c>
      <c r="J193" s="12"/>
    </row>
    <row r="194" spans="1:10" ht="60" customHeight="1">
      <c r="A194" s="6" t="s">
        <v>721</v>
      </c>
      <c r="B194" s="6" t="s">
        <v>16</v>
      </c>
      <c r="C194" s="6" t="s">
        <v>12</v>
      </c>
      <c r="D194" s="7" t="s">
        <v>722</v>
      </c>
      <c r="E194" s="8" t="s">
        <v>723</v>
      </c>
      <c r="F194" s="6" t="s">
        <v>724</v>
      </c>
      <c r="G194" s="9">
        <f>IF(A194=1,"_",IF(C194="_","???",C194))</f>
        <v/>
      </c>
      <c r="H194" s="10" t="s">
        <v>12</v>
      </c>
      <c r="I194" s="11" t="s">
        <v>12</v>
      </c>
      <c r="J194" s="12"/>
    </row>
    <row r="195" spans="1:10" ht="60" customHeight="1">
      <c r="A195" s="6" t="s">
        <v>725</v>
      </c>
      <c r="B195" s="6" t="s">
        <v>11</v>
      </c>
      <c r="C195" s="6" t="s">
        <v>12</v>
      </c>
      <c r="D195" s="7" t="s">
        <v>282</v>
      </c>
      <c r="E195" s="8" t="s">
        <v>726</v>
      </c>
      <c r="F195" s="6" t="s">
        <v>727</v>
      </c>
      <c r="G195" s="9">
        <f>IF(A195=1,"_",IF(C195="_","???",C195))</f>
        <v/>
      </c>
      <c r="H195" s="10" t="s">
        <v>12</v>
      </c>
      <c r="I195" s="11" t="s">
        <v>12</v>
      </c>
      <c r="J195" s="12"/>
    </row>
    <row r="196" spans="1:10" ht="60" customHeight="1">
      <c r="A196" s="6" t="s">
        <v>728</v>
      </c>
      <c r="B196" s="6" t="s">
        <v>11</v>
      </c>
      <c r="C196" s="6" t="s">
        <v>12</v>
      </c>
      <c r="D196" s="7" t="s">
        <v>17</v>
      </c>
      <c r="E196" s="8" t="s">
        <v>729</v>
      </c>
      <c r="F196" s="6" t="s">
        <v>730</v>
      </c>
      <c r="G196" s="9">
        <f>IF(A196=1,"_",IF(C196="_","???",C196))</f>
        <v/>
      </c>
      <c r="H196" s="10" t="s">
        <v>12</v>
      </c>
      <c r="I196" s="11" t="s">
        <v>12</v>
      </c>
      <c r="J196" s="12"/>
    </row>
    <row r="197" spans="1:10" ht="60" customHeight="1">
      <c r="A197" s="6" t="s">
        <v>731</v>
      </c>
      <c r="B197" s="6" t="s">
        <v>16</v>
      </c>
      <c r="C197" s="6" t="s">
        <v>12</v>
      </c>
      <c r="D197" s="7" t="s">
        <v>732</v>
      </c>
      <c r="E197" s="8" t="s">
        <v>733</v>
      </c>
      <c r="F197" s="6" t="s">
        <v>734</v>
      </c>
      <c r="G197" s="9">
        <f>IF(A197=1,"_",IF(C197="_","???",C197))</f>
        <v/>
      </c>
      <c r="H197" s="10" t="s">
        <v>12</v>
      </c>
      <c r="I197" s="11" t="s">
        <v>12</v>
      </c>
      <c r="J197" s="12"/>
    </row>
    <row r="198" spans="1:10" ht="60" customHeight="1">
      <c r="A198" s="6" t="s">
        <v>735</v>
      </c>
      <c r="B198" s="6" t="s">
        <v>36</v>
      </c>
      <c r="C198" s="6" t="s">
        <v>12</v>
      </c>
      <c r="D198" s="7" t="s">
        <v>736</v>
      </c>
      <c r="E198" s="8" t="s">
        <v>737</v>
      </c>
      <c r="F198" s="6" t="s">
        <v>738</v>
      </c>
      <c r="G198" s="9">
        <f>IF(A198=1,"_",IF(C198="_","???",C198))</f>
        <v/>
      </c>
      <c r="H198" s="10" t="s">
        <v>12</v>
      </c>
      <c r="I198" s="11" t="s">
        <v>12</v>
      </c>
      <c r="J198" s="12"/>
    </row>
    <row r="199" spans="1:10" ht="60" customHeight="1">
      <c r="A199" s="6" t="s">
        <v>739</v>
      </c>
      <c r="B199" s="6" t="s">
        <v>11</v>
      </c>
      <c r="C199" s="6" t="s">
        <v>12</v>
      </c>
      <c r="D199" s="7" t="s">
        <v>682</v>
      </c>
      <c r="E199" s="8" t="s">
        <v>740</v>
      </c>
      <c r="F199" s="6" t="s">
        <v>741</v>
      </c>
      <c r="G199" s="9">
        <f>IF(A199=1,"_",IF(C199="_","???",C199))</f>
        <v/>
      </c>
      <c r="H199" s="10" t="s">
        <v>12</v>
      </c>
      <c r="I199" s="11" t="s">
        <v>12</v>
      </c>
      <c r="J199" s="12"/>
    </row>
    <row r="200" spans="1:10" ht="60" customHeight="1">
      <c r="A200" s="6" t="s">
        <v>742</v>
      </c>
      <c r="B200" s="6" t="s">
        <v>11</v>
      </c>
      <c r="C200" s="6" t="s">
        <v>12</v>
      </c>
      <c r="D200" s="7" t="s">
        <v>743</v>
      </c>
      <c r="E200" s="8" t="s">
        <v>744</v>
      </c>
      <c r="F200" s="6" t="s">
        <v>745</v>
      </c>
      <c r="G200" s="9">
        <f>IF(A200=1,"_",IF(C200="_","???",C200))</f>
        <v/>
      </c>
      <c r="H200" s="10" t="s">
        <v>12</v>
      </c>
      <c r="I200" s="11" t="s">
        <v>12</v>
      </c>
      <c r="J200" s="12"/>
    </row>
    <row r="201" spans="1:10" ht="60" customHeight="1">
      <c r="A201" s="6" t="s">
        <v>746</v>
      </c>
      <c r="B201" s="6" t="s">
        <v>36</v>
      </c>
      <c r="C201" s="6" t="s">
        <v>12</v>
      </c>
      <c r="D201" s="7" t="s">
        <v>747</v>
      </c>
      <c r="E201" s="8" t="s">
        <v>748</v>
      </c>
      <c r="F201" s="6" t="s">
        <v>749</v>
      </c>
      <c r="G201" s="9">
        <f>IF(A201=1,"_",IF(C201="_","???",C201))</f>
        <v/>
      </c>
      <c r="H201" s="10" t="s">
        <v>12</v>
      </c>
      <c r="I201" s="11" t="s">
        <v>12</v>
      </c>
      <c r="J201" s="12"/>
    </row>
    <row r="202" spans="1:10" ht="60" customHeight="1">
      <c r="A202" s="6" t="s">
        <v>750</v>
      </c>
      <c r="B202" s="6" t="s">
        <v>10</v>
      </c>
      <c r="C202" s="6" t="s">
        <v>12</v>
      </c>
      <c r="D202" s="7" t="s">
        <v>743</v>
      </c>
      <c r="E202" s="8" t="s">
        <v>751</v>
      </c>
      <c r="F202" s="6" t="s">
        <v>752</v>
      </c>
      <c r="G202" s="9">
        <f>IF(A202=1,"_",IF(C202="_","???",C202))</f>
        <v/>
      </c>
      <c r="H202" s="10" t="s">
        <v>12</v>
      </c>
      <c r="I202" s="11" t="s">
        <v>12</v>
      </c>
      <c r="J202" s="12"/>
    </row>
    <row r="203" spans="1:10" ht="60" customHeight="1">
      <c r="A203" s="6" t="s">
        <v>753</v>
      </c>
      <c r="B203" s="6" t="s">
        <v>11</v>
      </c>
      <c r="C203" s="6" t="s">
        <v>12</v>
      </c>
      <c r="D203" s="7" t="s">
        <v>743</v>
      </c>
      <c r="E203" s="8" t="s">
        <v>744</v>
      </c>
      <c r="F203" s="6" t="s">
        <v>754</v>
      </c>
      <c r="G203" s="9">
        <f>IF(A203=1,"_",IF(C203="_","???",C203))</f>
        <v/>
      </c>
      <c r="H203" s="10" t="s">
        <v>12</v>
      </c>
      <c r="I203" s="11" t="s">
        <v>12</v>
      </c>
      <c r="J203" s="12"/>
    </row>
    <row r="204" spans="1:10" ht="60" customHeight="1">
      <c r="A204" s="6" t="s">
        <v>755</v>
      </c>
      <c r="B204" s="6" t="s">
        <v>36</v>
      </c>
      <c r="C204" s="6" t="s">
        <v>12</v>
      </c>
      <c r="D204" s="7" t="s">
        <v>756</v>
      </c>
      <c r="E204" s="8" t="s">
        <v>757</v>
      </c>
      <c r="F204" s="6" t="s">
        <v>758</v>
      </c>
      <c r="G204" s="9">
        <f>IF(A204=1,"_",IF(C204="_","???",C204))</f>
        <v/>
      </c>
      <c r="H204" s="10" t="s">
        <v>12</v>
      </c>
      <c r="I204" s="11" t="s">
        <v>12</v>
      </c>
      <c r="J204" s="12"/>
    </row>
    <row r="205" spans="1:10" ht="60" customHeight="1">
      <c r="A205" s="6" t="s">
        <v>759</v>
      </c>
      <c r="B205" s="6" t="s">
        <v>10</v>
      </c>
      <c r="C205" s="6" t="s">
        <v>12</v>
      </c>
      <c r="D205" s="7" t="s">
        <v>760</v>
      </c>
      <c r="E205" s="8" t="s">
        <v>761</v>
      </c>
      <c r="F205" s="6" t="s">
        <v>762</v>
      </c>
      <c r="G205" s="9">
        <f>IF(A205=1,"_",IF(C205="_","???",C205))</f>
        <v/>
      </c>
      <c r="H205" s="10" t="s">
        <v>12</v>
      </c>
      <c r="I205" s="11" t="s">
        <v>12</v>
      </c>
      <c r="J205" s="12"/>
    </row>
    <row r="206" spans="1:10" ht="60" customHeight="1">
      <c r="A206" s="6" t="s">
        <v>763</v>
      </c>
      <c r="B206" s="6" t="s">
        <v>86</v>
      </c>
      <c r="C206" s="6" t="s">
        <v>12</v>
      </c>
      <c r="D206" s="7" t="s">
        <v>282</v>
      </c>
      <c r="E206" s="8" t="s">
        <v>764</v>
      </c>
      <c r="F206" s="6" t="s">
        <v>765</v>
      </c>
      <c r="G206" s="9">
        <f>IF(A206=1,"_",IF(C206="_","???",C206))</f>
        <v/>
      </c>
      <c r="H206" s="10" t="s">
        <v>12</v>
      </c>
      <c r="I206" s="11" t="s">
        <v>12</v>
      </c>
      <c r="J206" s="12"/>
    </row>
    <row r="207" spans="1:10" ht="60" customHeight="1">
      <c r="A207" s="6" t="s">
        <v>766</v>
      </c>
      <c r="B207" s="6" t="s">
        <v>49</v>
      </c>
      <c r="C207" s="6" t="s">
        <v>12</v>
      </c>
      <c r="D207" s="7" t="s">
        <v>767</v>
      </c>
      <c r="E207" s="8" t="s">
        <v>768</v>
      </c>
      <c r="F207" s="6" t="s">
        <v>769</v>
      </c>
      <c r="G207" s="9">
        <f>IF(A207=1,"_",IF(C207="_","???",C207))</f>
        <v/>
      </c>
      <c r="H207" s="10" t="s">
        <v>12</v>
      </c>
      <c r="I207" s="11" t="s">
        <v>12</v>
      </c>
      <c r="J207" s="12"/>
    </row>
    <row r="208" spans="1:10" ht="60" customHeight="1">
      <c r="A208" s="6" t="s">
        <v>770</v>
      </c>
      <c r="B208" s="6" t="s">
        <v>24</v>
      </c>
      <c r="C208" s="6" t="s">
        <v>12</v>
      </c>
      <c r="D208" s="7" t="s">
        <v>771</v>
      </c>
      <c r="E208" s="8" t="s">
        <v>772</v>
      </c>
      <c r="F208" s="6" t="s">
        <v>773</v>
      </c>
      <c r="G208" s="9">
        <f>IF(A208=1,"_",IF(C208="_","???",C208))</f>
        <v/>
      </c>
      <c r="H208" s="10" t="s">
        <v>12</v>
      </c>
      <c r="I208" s="11" t="s">
        <v>12</v>
      </c>
      <c r="J208" s="12"/>
    </row>
    <row r="209" spans="1:10" ht="60" customHeight="1">
      <c r="A209" s="6" t="s">
        <v>774</v>
      </c>
      <c r="B209" s="6" t="s">
        <v>64</v>
      </c>
      <c r="C209" s="6" t="s">
        <v>12</v>
      </c>
      <c r="D209" s="7" t="s">
        <v>775</v>
      </c>
      <c r="E209" s="8" t="s">
        <v>776</v>
      </c>
      <c r="F209" s="6" t="s">
        <v>777</v>
      </c>
      <c r="G209" s="9">
        <f>IF(A209=1,"_",IF(C209="_","???",C209))</f>
        <v/>
      </c>
      <c r="H209" s="10" t="s">
        <v>12</v>
      </c>
      <c r="I209" s="11" t="s">
        <v>12</v>
      </c>
      <c r="J209" s="12"/>
    </row>
    <row r="210" spans="1:10" ht="60" customHeight="1">
      <c r="A210" s="6" t="s">
        <v>778</v>
      </c>
      <c r="B210" s="6" t="s">
        <v>36</v>
      </c>
      <c r="C210" s="6" t="s">
        <v>12</v>
      </c>
      <c r="D210" s="7" t="s">
        <v>756</v>
      </c>
      <c r="E210" s="8" t="s">
        <v>779</v>
      </c>
      <c r="F210" s="6" t="s">
        <v>780</v>
      </c>
      <c r="G210" s="9">
        <f>IF(A210=1,"_",IF(C210="_","???",C210))</f>
        <v/>
      </c>
      <c r="H210" s="10" t="s">
        <v>12</v>
      </c>
      <c r="I210" s="11" t="s">
        <v>12</v>
      </c>
      <c r="J210" s="12"/>
    </row>
    <row r="211" spans="1:10" ht="60" customHeight="1">
      <c r="A211" s="6" t="s">
        <v>781</v>
      </c>
      <c r="B211" s="6" t="s">
        <v>11</v>
      </c>
      <c r="C211" s="6" t="s">
        <v>12</v>
      </c>
      <c r="D211" s="7" t="s">
        <v>25</v>
      </c>
      <c r="E211" s="8" t="s">
        <v>782</v>
      </c>
      <c r="F211" s="6" t="s">
        <v>783</v>
      </c>
      <c r="G211" s="9">
        <f>IF(A211=1,"_",IF(C211="_","???",C211))</f>
        <v/>
      </c>
      <c r="H211" s="10" t="s">
        <v>12</v>
      </c>
      <c r="I211" s="11" t="s">
        <v>12</v>
      </c>
      <c r="J211" s="12"/>
    </row>
    <row r="212" spans="1:10" ht="60" customHeight="1">
      <c r="A212" s="6" t="s">
        <v>784</v>
      </c>
      <c r="B212" s="6" t="s">
        <v>10</v>
      </c>
      <c r="C212" s="6" t="s">
        <v>12</v>
      </c>
      <c r="D212" s="7" t="s">
        <v>785</v>
      </c>
      <c r="E212" s="8" t="s">
        <v>786</v>
      </c>
      <c r="F212" s="6" t="s">
        <v>787</v>
      </c>
      <c r="G212" s="9">
        <f>IF(A212=1,"_",IF(C212="_","???",C212))</f>
        <v/>
      </c>
      <c r="H212" s="10" t="s">
        <v>12</v>
      </c>
      <c r="I212" s="11" t="s">
        <v>12</v>
      </c>
      <c r="J212" s="12"/>
    </row>
    <row r="213" spans="1:10" ht="60" customHeight="1">
      <c r="A213" s="6" t="s">
        <v>788</v>
      </c>
      <c r="B213" s="6" t="s">
        <v>28</v>
      </c>
      <c r="C213" s="6" t="s">
        <v>12</v>
      </c>
      <c r="D213" s="7" t="s">
        <v>789</v>
      </c>
      <c r="E213" s="8" t="s">
        <v>790</v>
      </c>
      <c r="F213" s="6" t="s">
        <v>791</v>
      </c>
      <c r="G213" s="9">
        <f>IF(A213=1,"_",IF(C213="_","???",C213))</f>
        <v/>
      </c>
      <c r="H213" s="10" t="s">
        <v>12</v>
      </c>
      <c r="I213" s="11" t="s">
        <v>12</v>
      </c>
      <c r="J213" s="12"/>
    </row>
    <row r="214" spans="1:10" ht="60" customHeight="1">
      <c r="A214" s="6" t="s">
        <v>792</v>
      </c>
      <c r="B214" s="6" t="s">
        <v>11</v>
      </c>
      <c r="C214" s="6" t="s">
        <v>12</v>
      </c>
      <c r="D214" s="7" t="s">
        <v>793</v>
      </c>
      <c r="E214" s="8" t="s">
        <v>794</v>
      </c>
      <c r="F214" s="6" t="s">
        <v>795</v>
      </c>
      <c r="G214" s="9">
        <f>IF(A214=1,"_",IF(C214="_","???",C214))</f>
        <v/>
      </c>
      <c r="H214" s="10" t="s">
        <v>12</v>
      </c>
      <c r="I214" s="11" t="s">
        <v>12</v>
      </c>
      <c r="J214" s="12"/>
    </row>
    <row r="215" spans="1:10" ht="60" customHeight="1">
      <c r="A215" s="6" t="s">
        <v>796</v>
      </c>
      <c r="B215" s="6" t="s">
        <v>11</v>
      </c>
      <c r="C215" s="6" t="s">
        <v>12</v>
      </c>
      <c r="D215" s="7" t="s">
        <v>520</v>
      </c>
      <c r="E215" s="8" t="s">
        <v>797</v>
      </c>
      <c r="F215" s="6" t="s">
        <v>798</v>
      </c>
      <c r="G215" s="9">
        <f>IF(A215=1,"_",IF(C215="_","???",C215))</f>
        <v/>
      </c>
      <c r="H215" s="10" t="s">
        <v>12</v>
      </c>
      <c r="I215" s="11" t="s">
        <v>12</v>
      </c>
      <c r="J215" s="12"/>
    </row>
    <row r="216" spans="1:10" ht="60" customHeight="1">
      <c r="A216" s="6" t="s">
        <v>799</v>
      </c>
      <c r="B216" s="6" t="s">
        <v>73</v>
      </c>
      <c r="C216" s="6" t="s">
        <v>12</v>
      </c>
      <c r="D216" s="7" t="s">
        <v>800</v>
      </c>
      <c r="E216" s="8" t="s">
        <v>801</v>
      </c>
      <c r="F216" s="6" t="s">
        <v>802</v>
      </c>
      <c r="G216" s="9">
        <f>IF(A216=1,"_",IF(C216="_","???",C216))</f>
        <v/>
      </c>
      <c r="H216" s="10" t="s">
        <v>12</v>
      </c>
      <c r="I216" s="11" t="s">
        <v>12</v>
      </c>
      <c r="J216" s="12"/>
    </row>
    <row r="217" spans="1:10" ht="60" customHeight="1">
      <c r="A217" s="6" t="s">
        <v>803</v>
      </c>
      <c r="B217" s="6" t="s">
        <v>20</v>
      </c>
      <c r="C217" s="6" t="s">
        <v>12</v>
      </c>
      <c r="D217" s="7" t="s">
        <v>804</v>
      </c>
      <c r="E217" s="8" t="s">
        <v>805</v>
      </c>
      <c r="F217" s="6" t="s">
        <v>806</v>
      </c>
      <c r="G217" s="9">
        <f>IF(A217=1,"_",IF(C217="_","???",C217))</f>
        <v/>
      </c>
      <c r="H217" s="10" t="s">
        <v>12</v>
      </c>
      <c r="I217" s="11" t="s">
        <v>12</v>
      </c>
      <c r="J217" s="12"/>
    </row>
    <row r="218" spans="1:10" ht="60" customHeight="1">
      <c r="A218" s="6" t="s">
        <v>807</v>
      </c>
      <c r="B218" s="6" t="s">
        <v>24</v>
      </c>
      <c r="C218" s="6" t="s">
        <v>12</v>
      </c>
      <c r="D218" s="7" t="s">
        <v>808</v>
      </c>
      <c r="E218" s="8" t="s">
        <v>809</v>
      </c>
      <c r="F218" s="6" t="s">
        <v>810</v>
      </c>
      <c r="G218" s="9">
        <f>IF(A218=1,"_",IF(C218="_","???",C218))</f>
        <v/>
      </c>
      <c r="H218" s="10" t="s">
        <v>12</v>
      </c>
      <c r="I218" s="11" t="s">
        <v>12</v>
      </c>
      <c r="J218" s="12"/>
    </row>
    <row r="219" spans="1:10" ht="60" customHeight="1">
      <c r="A219" s="6" t="s">
        <v>811</v>
      </c>
      <c r="B219" s="6" t="s">
        <v>73</v>
      </c>
      <c r="C219" s="6" t="s">
        <v>12</v>
      </c>
      <c r="D219" s="7" t="s">
        <v>233</v>
      </c>
      <c r="E219" s="8" t="s">
        <v>812</v>
      </c>
      <c r="F219" s="6" t="s">
        <v>813</v>
      </c>
      <c r="G219" s="9">
        <f>IF(A219=1,"_",IF(C219="_","???",C219))</f>
        <v/>
      </c>
      <c r="H219" s="10" t="s">
        <v>12</v>
      </c>
      <c r="I219" s="11" t="s">
        <v>12</v>
      </c>
      <c r="J219" s="12"/>
    </row>
    <row r="220" spans="1:10" ht="60" customHeight="1">
      <c r="A220" s="6" t="s">
        <v>814</v>
      </c>
      <c r="B220" s="6" t="s">
        <v>20</v>
      </c>
      <c r="C220" s="6" t="s">
        <v>12</v>
      </c>
      <c r="D220" s="7" t="s">
        <v>815</v>
      </c>
      <c r="E220" s="8" t="s">
        <v>816</v>
      </c>
      <c r="F220" s="6" t="s">
        <v>817</v>
      </c>
      <c r="G220" s="9">
        <f>IF(A220=1,"_",IF(C220="_","???",C220))</f>
        <v/>
      </c>
      <c r="H220" s="10" t="s">
        <v>12</v>
      </c>
      <c r="I220" s="11" t="s">
        <v>12</v>
      </c>
      <c r="J220" s="12"/>
    </row>
    <row r="221" spans="1:10" ht="60" customHeight="1">
      <c r="A221" s="6" t="s">
        <v>818</v>
      </c>
      <c r="B221" s="6" t="s">
        <v>11</v>
      </c>
      <c r="C221" s="6" t="s">
        <v>12</v>
      </c>
      <c r="D221" s="7" t="s">
        <v>819</v>
      </c>
      <c r="E221" s="8" t="s">
        <v>820</v>
      </c>
      <c r="F221" s="6" t="s">
        <v>821</v>
      </c>
      <c r="G221" s="9">
        <f>IF(A221=1,"_",IF(C221="_","???",C221))</f>
        <v/>
      </c>
      <c r="H221" s="10" t="s">
        <v>12</v>
      </c>
      <c r="I221" s="11" t="s">
        <v>12</v>
      </c>
      <c r="J221" s="12"/>
    </row>
    <row r="222" spans="1:10" ht="60" customHeight="1">
      <c r="A222" s="6" t="s">
        <v>822</v>
      </c>
      <c r="B222" s="6" t="s">
        <v>108</v>
      </c>
      <c r="C222" s="6" t="s">
        <v>369</v>
      </c>
      <c r="D222" s="7" t="s">
        <v>823</v>
      </c>
      <c r="E222" s="8" t="s">
        <v>824</v>
      </c>
      <c r="F222" s="6" t="s">
        <v>825</v>
      </c>
      <c r="G222" s="9">
        <f>IF(A222=1,"_",IF(C222="_","???",C222))</f>
        <v/>
      </c>
      <c r="H222" s="10" t="s">
        <v>12</v>
      </c>
      <c r="I222" s="11" t="s">
        <v>12</v>
      </c>
      <c r="J222" s="12"/>
    </row>
    <row r="223" spans="1:10" ht="60" customHeight="1">
      <c r="A223" s="6" t="s">
        <v>826</v>
      </c>
      <c r="B223" s="6" t="s">
        <v>60</v>
      </c>
      <c r="C223" s="6" t="s">
        <v>369</v>
      </c>
      <c r="D223" s="7" t="s">
        <v>13</v>
      </c>
      <c r="E223" s="8" t="s">
        <v>827</v>
      </c>
      <c r="F223" s="6" t="s">
        <v>828</v>
      </c>
      <c r="G223" s="9">
        <f>IF(A223=1,"_",IF(C223="_","???",C223))</f>
        <v/>
      </c>
      <c r="H223" s="10" t="s">
        <v>12</v>
      </c>
      <c r="I223" s="11" t="s">
        <v>12</v>
      </c>
      <c r="J223" s="12"/>
    </row>
    <row r="224" spans="1:10" ht="60" customHeight="1">
      <c r="A224" s="6" t="s">
        <v>829</v>
      </c>
      <c r="B224" s="6" t="s">
        <v>52</v>
      </c>
      <c r="C224" s="6" t="s">
        <v>12</v>
      </c>
      <c r="D224" s="7" t="s">
        <v>830</v>
      </c>
      <c r="E224" s="8" t="s">
        <v>831</v>
      </c>
      <c r="F224" s="6" t="s">
        <v>832</v>
      </c>
      <c r="G224" s="9">
        <f>IF(A224=1,"_",IF(C224="_","???",C224))</f>
        <v/>
      </c>
      <c r="H224" s="10" t="s">
        <v>12</v>
      </c>
      <c r="I224" s="11" t="s">
        <v>12</v>
      </c>
      <c r="J224" s="12"/>
    </row>
    <row r="225" spans="1:10" ht="60" customHeight="1">
      <c r="A225" s="6" t="s">
        <v>833</v>
      </c>
      <c r="B225" s="6" t="s">
        <v>45</v>
      </c>
      <c r="C225" s="6" t="s">
        <v>12</v>
      </c>
      <c r="D225" s="7" t="s">
        <v>834</v>
      </c>
      <c r="E225" s="8" t="s">
        <v>835</v>
      </c>
      <c r="F225" s="6" t="s">
        <v>836</v>
      </c>
      <c r="G225" s="9">
        <f>IF(A225=1,"_",IF(C225="_","???",C225))</f>
        <v/>
      </c>
      <c r="H225" s="10" t="s">
        <v>12</v>
      </c>
      <c r="I225" s="11" t="s">
        <v>12</v>
      </c>
      <c r="J225" s="12"/>
    </row>
    <row r="226" spans="1:10" ht="60" customHeight="1">
      <c r="A226" s="6" t="s">
        <v>837</v>
      </c>
      <c r="B226" s="6" t="s">
        <v>11</v>
      </c>
      <c r="C226" s="6" t="s">
        <v>12</v>
      </c>
      <c r="D226" s="7" t="s">
        <v>838</v>
      </c>
      <c r="E226" s="8" t="s">
        <v>839</v>
      </c>
      <c r="F226" s="6" t="s">
        <v>840</v>
      </c>
      <c r="G226" s="9">
        <f>IF(A226=1,"_",IF(C226="_","???",C226))</f>
        <v/>
      </c>
      <c r="H226" s="10" t="s">
        <v>12</v>
      </c>
      <c r="I226" s="11" t="s">
        <v>12</v>
      </c>
      <c r="J226" s="12"/>
    </row>
    <row r="227" spans="1:10" ht="60" customHeight="1">
      <c r="A227" s="6" t="s">
        <v>841</v>
      </c>
      <c r="B227" s="6" t="s">
        <v>11</v>
      </c>
      <c r="C227" s="6" t="s">
        <v>12</v>
      </c>
      <c r="D227" s="7" t="s">
        <v>842</v>
      </c>
      <c r="E227" s="8" t="s">
        <v>843</v>
      </c>
      <c r="F227" s="6" t="s">
        <v>844</v>
      </c>
      <c r="G227" s="9">
        <f>IF(A227=1,"_",IF(C227="_","???",C227))</f>
        <v/>
      </c>
      <c r="H227" s="10" t="s">
        <v>12</v>
      </c>
      <c r="I227" s="11" t="s">
        <v>12</v>
      </c>
      <c r="J227" s="12"/>
    </row>
    <row r="228" spans="1:10" ht="60" customHeight="1">
      <c r="A228" s="6" t="s">
        <v>845</v>
      </c>
      <c r="B228" s="6" t="s">
        <v>10</v>
      </c>
      <c r="C228" s="6" t="s">
        <v>12</v>
      </c>
      <c r="D228" s="7" t="s">
        <v>605</v>
      </c>
      <c r="E228" s="8" t="s">
        <v>846</v>
      </c>
      <c r="F228" s="6" t="s">
        <v>847</v>
      </c>
      <c r="G228" s="9">
        <f>IF(A228=1,"_",IF(C228="_","???",C228))</f>
        <v/>
      </c>
      <c r="H228" s="10" t="s">
        <v>12</v>
      </c>
      <c r="I228" s="11" t="s">
        <v>12</v>
      </c>
      <c r="J228" s="12"/>
    </row>
    <row r="229" spans="1:10" ht="60" customHeight="1">
      <c r="A229" s="6" t="s">
        <v>848</v>
      </c>
      <c r="B229" s="6" t="s">
        <v>11</v>
      </c>
      <c r="C229" s="6" t="s">
        <v>12</v>
      </c>
      <c r="D229" s="7" t="s">
        <v>849</v>
      </c>
      <c r="E229" s="8" t="s">
        <v>850</v>
      </c>
      <c r="F229" s="6" t="s">
        <v>851</v>
      </c>
      <c r="G229" s="9">
        <f>IF(A229=1,"_",IF(C229="_","???",C229))</f>
        <v/>
      </c>
      <c r="H229" s="10" t="s">
        <v>12</v>
      </c>
      <c r="I229" s="11" t="s">
        <v>12</v>
      </c>
      <c r="J229" s="12"/>
    </row>
    <row r="230" spans="1:10" ht="60" customHeight="1">
      <c r="A230" s="6" t="s">
        <v>852</v>
      </c>
      <c r="B230" s="6" t="s">
        <v>98</v>
      </c>
      <c r="C230" s="6" t="s">
        <v>12</v>
      </c>
      <c r="D230" s="7" t="s">
        <v>853</v>
      </c>
      <c r="E230" s="8" t="s">
        <v>854</v>
      </c>
      <c r="F230" s="6" t="s">
        <v>855</v>
      </c>
      <c r="G230" s="9">
        <f>IF(A230=1,"_",IF(C230="_","???",C230))</f>
        <v/>
      </c>
      <c r="H230" s="10" t="s">
        <v>12</v>
      </c>
      <c r="I230" s="11" t="s">
        <v>12</v>
      </c>
      <c r="J230" s="12"/>
    </row>
    <row r="231" spans="1:10" ht="60" customHeight="1">
      <c r="A231" s="6" t="s">
        <v>856</v>
      </c>
      <c r="B231" s="6" t="s">
        <v>10</v>
      </c>
      <c r="C231" s="6" t="s">
        <v>12</v>
      </c>
      <c r="D231" s="7" t="s">
        <v>857</v>
      </c>
      <c r="E231" s="8" t="s">
        <v>858</v>
      </c>
      <c r="F231" s="6" t="s">
        <v>859</v>
      </c>
      <c r="G231" s="9">
        <f>IF(A231=1,"_",IF(C231="_","???",C231))</f>
        <v/>
      </c>
      <c r="H231" s="10" t="s">
        <v>12</v>
      </c>
      <c r="I231" s="11" t="s">
        <v>12</v>
      </c>
      <c r="J231" s="12"/>
    </row>
    <row r="232" spans="1:10" ht="60" customHeight="1">
      <c r="A232" s="6" t="s">
        <v>860</v>
      </c>
      <c r="B232" s="6" t="s">
        <v>64</v>
      </c>
      <c r="C232" s="6" t="s">
        <v>12</v>
      </c>
      <c r="D232" s="7" t="s">
        <v>861</v>
      </c>
      <c r="E232" s="8" t="s">
        <v>862</v>
      </c>
      <c r="F232" s="6" t="s">
        <v>863</v>
      </c>
      <c r="G232" s="9">
        <f>IF(A232=1,"_",IF(C232="_","???",C232))</f>
        <v/>
      </c>
      <c r="H232" s="10" t="s">
        <v>12</v>
      </c>
      <c r="I232" s="11" t="s">
        <v>12</v>
      </c>
      <c r="J232" s="12"/>
    </row>
    <row r="233" spans="1:10" ht="60" customHeight="1">
      <c r="A233" s="6" t="s">
        <v>864</v>
      </c>
      <c r="B233" s="6" t="s">
        <v>10</v>
      </c>
      <c r="C233" s="6" t="s">
        <v>12</v>
      </c>
      <c r="D233" s="7" t="s">
        <v>785</v>
      </c>
      <c r="E233" s="8" t="s">
        <v>865</v>
      </c>
      <c r="F233" s="6" t="s">
        <v>866</v>
      </c>
      <c r="G233" s="9">
        <f>IF(A233=1,"_",IF(C233="_","???",C233))</f>
        <v/>
      </c>
      <c r="H233" s="10" t="s">
        <v>12</v>
      </c>
      <c r="I233" s="11" t="s">
        <v>12</v>
      </c>
      <c r="J233" s="12"/>
    </row>
    <row r="234" spans="1:10" ht="60" customHeight="1">
      <c r="A234" s="6" t="s">
        <v>867</v>
      </c>
      <c r="B234" s="6" t="s">
        <v>11</v>
      </c>
      <c r="C234" s="6" t="s">
        <v>12</v>
      </c>
      <c r="D234" s="7" t="s">
        <v>868</v>
      </c>
      <c r="E234" s="8" t="s">
        <v>869</v>
      </c>
      <c r="F234" s="6" t="s">
        <v>870</v>
      </c>
      <c r="G234" s="9">
        <f>IF(A234=1,"_",IF(C234="_","???",C234))</f>
        <v/>
      </c>
      <c r="H234" s="10" t="s">
        <v>12</v>
      </c>
      <c r="I234" s="11" t="s">
        <v>12</v>
      </c>
      <c r="J234" s="12"/>
    </row>
    <row r="235" spans="1:10" ht="60" customHeight="1">
      <c r="A235" s="6" t="s">
        <v>871</v>
      </c>
      <c r="B235" s="6" t="s">
        <v>98</v>
      </c>
      <c r="C235" s="6" t="s">
        <v>12</v>
      </c>
      <c r="D235" s="7" t="s">
        <v>872</v>
      </c>
      <c r="E235" s="8" t="s">
        <v>873</v>
      </c>
      <c r="F235" s="6" t="s">
        <v>874</v>
      </c>
      <c r="G235" s="9">
        <f>IF(A235=1,"_",IF(C235="_","???",C235))</f>
        <v/>
      </c>
      <c r="H235" s="10" t="s">
        <v>12</v>
      </c>
      <c r="I235" s="11" t="s">
        <v>12</v>
      </c>
      <c r="J235" s="12"/>
    </row>
    <row r="236" spans="1:10" ht="60" customHeight="1">
      <c r="A236" s="6" t="s">
        <v>875</v>
      </c>
      <c r="B236" s="6" t="s">
        <v>20</v>
      </c>
      <c r="C236" s="6" t="s">
        <v>12</v>
      </c>
      <c r="D236" s="7" t="s">
        <v>70</v>
      </c>
      <c r="E236" s="8" t="s">
        <v>876</v>
      </c>
      <c r="F236" s="6" t="s">
        <v>877</v>
      </c>
      <c r="G236" s="9">
        <f>IF(A236=1,"_",IF(C236="_","???",C236))</f>
        <v/>
      </c>
      <c r="H236" s="10" t="s">
        <v>12</v>
      </c>
      <c r="I236" s="11" t="s">
        <v>12</v>
      </c>
      <c r="J236" s="12"/>
    </row>
    <row r="237" spans="1:10" ht="60" customHeight="1">
      <c r="A237" s="6" t="s">
        <v>878</v>
      </c>
      <c r="B237" s="6" t="s">
        <v>20</v>
      </c>
      <c r="C237" s="6" t="s">
        <v>12</v>
      </c>
      <c r="D237" s="7" t="s">
        <v>838</v>
      </c>
      <c r="E237" s="8" t="s">
        <v>879</v>
      </c>
      <c r="F237" s="6" t="s">
        <v>880</v>
      </c>
      <c r="G237" s="9">
        <f>IF(A237=1,"_",IF(C237="_","???",C237))</f>
        <v/>
      </c>
      <c r="H237" s="10" t="s">
        <v>12</v>
      </c>
      <c r="I237" s="11" t="s">
        <v>12</v>
      </c>
      <c r="J237" s="12"/>
    </row>
    <row r="238" spans="1:10" ht="60" customHeight="1">
      <c r="A238" s="6" t="s">
        <v>881</v>
      </c>
      <c r="B238" s="6" t="s">
        <v>24</v>
      </c>
      <c r="C238" s="6" t="s">
        <v>12</v>
      </c>
      <c r="D238" s="7" t="s">
        <v>282</v>
      </c>
      <c r="E238" s="8" t="s">
        <v>882</v>
      </c>
      <c r="F238" s="6" t="s">
        <v>883</v>
      </c>
      <c r="G238" s="9">
        <f>IF(A238=1,"_",IF(C238="_","???",C238))</f>
        <v/>
      </c>
      <c r="H238" s="10" t="s">
        <v>12</v>
      </c>
      <c r="I238" s="11" t="s">
        <v>12</v>
      </c>
      <c r="J238" s="12"/>
    </row>
    <row r="239" spans="1:10" ht="60" customHeight="1">
      <c r="A239" s="6" t="s">
        <v>884</v>
      </c>
      <c r="B239" s="6" t="s">
        <v>42</v>
      </c>
      <c r="C239" s="6" t="s">
        <v>12</v>
      </c>
      <c r="D239" s="7" t="s">
        <v>885</v>
      </c>
      <c r="E239" s="8" t="s">
        <v>886</v>
      </c>
      <c r="F239" s="6" t="s">
        <v>887</v>
      </c>
      <c r="G239" s="9">
        <f>IF(A239=1,"_",IF(C239="_","???",C239))</f>
        <v/>
      </c>
      <c r="H239" s="10" t="s">
        <v>12</v>
      </c>
      <c r="I239" s="11" t="s">
        <v>12</v>
      </c>
      <c r="J239" s="12"/>
    </row>
    <row r="240" spans="1:10" ht="60" customHeight="1">
      <c r="A240" s="6" t="s">
        <v>888</v>
      </c>
      <c r="B240" s="6" t="s">
        <v>16</v>
      </c>
      <c r="C240" s="6" t="s">
        <v>12</v>
      </c>
      <c r="D240" s="7" t="s">
        <v>889</v>
      </c>
      <c r="E240" s="8" t="s">
        <v>890</v>
      </c>
      <c r="F240" s="6" t="s">
        <v>891</v>
      </c>
      <c r="G240" s="9">
        <f>IF(A240=1,"_",IF(C240="_","???",C240))</f>
        <v/>
      </c>
      <c r="H240" s="10" t="s">
        <v>12</v>
      </c>
      <c r="I240" s="11" t="s">
        <v>12</v>
      </c>
      <c r="J240" s="12"/>
    </row>
    <row r="241" spans="1:10" ht="60" customHeight="1">
      <c r="A241" s="6" t="s">
        <v>892</v>
      </c>
      <c r="B241" s="6" t="s">
        <v>28</v>
      </c>
      <c r="C241" s="6" t="s">
        <v>12</v>
      </c>
      <c r="D241" s="7" t="s">
        <v>893</v>
      </c>
      <c r="E241" s="8" t="s">
        <v>894</v>
      </c>
      <c r="F241" s="6" t="s">
        <v>895</v>
      </c>
      <c r="G241" s="9">
        <f>IF(A241=1,"_",IF(C241="_","???",C241))</f>
        <v/>
      </c>
      <c r="H241" s="10" t="s">
        <v>12</v>
      </c>
      <c r="I241" s="11" t="s">
        <v>12</v>
      </c>
      <c r="J241" s="12"/>
    </row>
    <row r="242" spans="1:10" ht="60" customHeight="1">
      <c r="A242" s="6" t="s">
        <v>896</v>
      </c>
      <c r="B242" s="6" t="s">
        <v>10</v>
      </c>
      <c r="C242" s="6" t="s">
        <v>12</v>
      </c>
      <c r="D242" s="7" t="s">
        <v>605</v>
      </c>
      <c r="E242" s="8" t="s">
        <v>897</v>
      </c>
      <c r="F242" s="6" t="s">
        <v>898</v>
      </c>
      <c r="G242" s="9">
        <f>IF(A242=1,"_",IF(C242="_","???",C242))</f>
        <v/>
      </c>
      <c r="H242" s="10" t="s">
        <v>12</v>
      </c>
      <c r="I242" s="11" t="s">
        <v>12</v>
      </c>
      <c r="J242" s="12"/>
    </row>
    <row r="243" spans="1:10" ht="60" customHeight="1">
      <c r="A243" s="6" t="s">
        <v>899</v>
      </c>
      <c r="B243" s="6" t="s">
        <v>11</v>
      </c>
      <c r="C243" s="6" t="s">
        <v>12</v>
      </c>
      <c r="D243" s="7" t="s">
        <v>70</v>
      </c>
      <c r="E243" s="8" t="s">
        <v>900</v>
      </c>
      <c r="F243" s="6" t="s">
        <v>901</v>
      </c>
      <c r="G243" s="9">
        <f>IF(A243=1,"_",IF(C243="_","???",C243))</f>
        <v/>
      </c>
      <c r="H243" s="10" t="s">
        <v>12</v>
      </c>
      <c r="I243" s="11" t="s">
        <v>12</v>
      </c>
      <c r="J243" s="12"/>
    </row>
    <row r="244" spans="1:10" ht="60" customHeight="1">
      <c r="A244" s="6" t="s">
        <v>902</v>
      </c>
      <c r="B244" s="6" t="s">
        <v>49</v>
      </c>
      <c r="C244" s="6" t="s">
        <v>12</v>
      </c>
      <c r="D244" s="7" t="s">
        <v>834</v>
      </c>
      <c r="E244" s="8" t="s">
        <v>903</v>
      </c>
      <c r="F244" s="6" t="s">
        <v>904</v>
      </c>
      <c r="G244" s="9">
        <f>IF(A244=1,"_",IF(C244="_","???",C244))</f>
        <v/>
      </c>
      <c r="H244" s="10" t="s">
        <v>12</v>
      </c>
      <c r="I244" s="11" t="s">
        <v>12</v>
      </c>
      <c r="J244" s="12"/>
    </row>
    <row r="245" spans="1:10" ht="60" customHeight="1">
      <c r="A245" s="6" t="s">
        <v>905</v>
      </c>
      <c r="B245" s="6" t="s">
        <v>32</v>
      </c>
      <c r="C245" s="6" t="s">
        <v>369</v>
      </c>
      <c r="D245" s="7" t="s">
        <v>906</v>
      </c>
      <c r="E245" s="8" t="s">
        <v>907</v>
      </c>
      <c r="F245" s="6" t="s">
        <v>908</v>
      </c>
      <c r="G245" s="9">
        <f>IF(A245=1,"_",IF(C245="_","???",C245))</f>
        <v/>
      </c>
      <c r="H245" s="10" t="s">
        <v>12</v>
      </c>
      <c r="I245" s="11" t="s">
        <v>12</v>
      </c>
      <c r="J245" s="12"/>
    </row>
    <row r="246" spans="1:10" ht="60" customHeight="1">
      <c r="A246" s="6" t="s">
        <v>909</v>
      </c>
      <c r="B246" s="6" t="s">
        <v>24</v>
      </c>
      <c r="C246" s="6" t="s">
        <v>12</v>
      </c>
      <c r="D246" s="7" t="s">
        <v>910</v>
      </c>
      <c r="E246" s="8" t="s">
        <v>911</v>
      </c>
      <c r="F246" s="6" t="s">
        <v>912</v>
      </c>
      <c r="G246" s="9">
        <f>IF(A246=1,"_",IF(C246="_","???",C246))</f>
        <v/>
      </c>
      <c r="H246" s="10" t="s">
        <v>12</v>
      </c>
      <c r="I246" s="11" t="s">
        <v>12</v>
      </c>
      <c r="J246" s="12"/>
    </row>
    <row r="247" spans="1:10" ht="60" customHeight="1">
      <c r="A247" s="6" t="s">
        <v>913</v>
      </c>
      <c r="B247" s="6" t="s">
        <v>73</v>
      </c>
      <c r="C247" s="6" t="s">
        <v>12</v>
      </c>
      <c r="D247" s="7" t="s">
        <v>914</v>
      </c>
      <c r="E247" s="8" t="s">
        <v>915</v>
      </c>
      <c r="F247" s="6" t="s">
        <v>916</v>
      </c>
      <c r="G247" s="9">
        <f>IF(A247=1,"_",IF(C247="_","???",C247))</f>
        <v/>
      </c>
      <c r="H247" s="10" t="s">
        <v>12</v>
      </c>
      <c r="I247" s="11" t="s">
        <v>12</v>
      </c>
      <c r="J247" s="12"/>
    </row>
    <row r="248" spans="1:10" ht="60" customHeight="1">
      <c r="A248" s="6" t="s">
        <v>917</v>
      </c>
      <c r="B248" s="6" t="s">
        <v>11</v>
      </c>
      <c r="C248" s="6" t="s">
        <v>369</v>
      </c>
      <c r="D248" s="7" t="s">
        <v>212</v>
      </c>
      <c r="E248" s="8" t="s">
        <v>918</v>
      </c>
      <c r="F248" s="6" t="s">
        <v>919</v>
      </c>
      <c r="G248" s="9">
        <f>IF(A248=1,"_",IF(C248="_","???",C248))</f>
        <v/>
      </c>
      <c r="H248" s="10" t="s">
        <v>12</v>
      </c>
      <c r="I248" s="11" t="s">
        <v>12</v>
      </c>
      <c r="J248" s="12"/>
    </row>
    <row r="249" spans="1:10" ht="60" customHeight="1">
      <c r="A249" s="6" t="s">
        <v>920</v>
      </c>
      <c r="B249" s="6" t="s">
        <v>11</v>
      </c>
      <c r="C249" s="6" t="s">
        <v>12</v>
      </c>
      <c r="D249" s="7" t="s">
        <v>282</v>
      </c>
      <c r="E249" s="8" t="s">
        <v>921</v>
      </c>
      <c r="F249" s="6" t="s">
        <v>922</v>
      </c>
      <c r="G249" s="9">
        <f>IF(A249=1,"_",IF(C249="_","???",C249))</f>
        <v/>
      </c>
      <c r="H249" s="10" t="s">
        <v>12</v>
      </c>
      <c r="I249" s="11" t="s">
        <v>12</v>
      </c>
      <c r="J249" s="12"/>
    </row>
    <row r="250" spans="1:10" ht="60" customHeight="1">
      <c r="A250" s="6" t="s">
        <v>923</v>
      </c>
      <c r="B250" s="6" t="s">
        <v>11</v>
      </c>
      <c r="C250" s="6" t="s">
        <v>12</v>
      </c>
      <c r="D250" s="7" t="s">
        <v>70</v>
      </c>
      <c r="E250" s="8" t="s">
        <v>924</v>
      </c>
      <c r="F250" s="6" t="s">
        <v>925</v>
      </c>
      <c r="G250" s="9">
        <f>IF(A250=1,"_",IF(C250="_","???",C250))</f>
        <v/>
      </c>
      <c r="H250" s="10" t="s">
        <v>12</v>
      </c>
      <c r="I250" s="11" t="s">
        <v>12</v>
      </c>
      <c r="J250" s="12"/>
    </row>
    <row r="251" spans="1:10" ht="60" customHeight="1">
      <c r="A251" s="6" t="s">
        <v>926</v>
      </c>
      <c r="B251" s="6" t="s">
        <v>11</v>
      </c>
      <c r="C251" s="6" t="s">
        <v>12</v>
      </c>
      <c r="D251" s="7" t="s">
        <v>927</v>
      </c>
      <c r="E251" s="8" t="s">
        <v>928</v>
      </c>
      <c r="F251" s="6" t="s">
        <v>929</v>
      </c>
      <c r="G251" s="9">
        <f>IF(A251=1,"_",IF(C251="_","???",C251))</f>
        <v/>
      </c>
      <c r="H251" s="10" t="s">
        <v>12</v>
      </c>
      <c r="I251" s="11" t="s">
        <v>12</v>
      </c>
      <c r="J251" s="12"/>
    </row>
    <row r="252" spans="1:10" ht="60" customHeight="1">
      <c r="A252" s="6" t="s">
        <v>930</v>
      </c>
      <c r="B252" s="6" t="s">
        <v>11</v>
      </c>
      <c r="C252" s="6" t="s">
        <v>12</v>
      </c>
      <c r="D252" s="7" t="s">
        <v>931</v>
      </c>
      <c r="E252" s="8" t="s">
        <v>932</v>
      </c>
      <c r="F252" s="6" t="s">
        <v>933</v>
      </c>
      <c r="G252" s="9">
        <f>IF(A252=1,"_",IF(C252="_","???",C252))</f>
        <v/>
      </c>
      <c r="H252" s="10" t="s">
        <v>12</v>
      </c>
      <c r="I252" s="11" t="s">
        <v>12</v>
      </c>
      <c r="J252" s="12"/>
    </row>
    <row r="253" spans="1:10" ht="60" customHeight="1">
      <c r="A253" s="6" t="s">
        <v>934</v>
      </c>
      <c r="B253" s="6" t="s">
        <v>20</v>
      </c>
      <c r="C253" s="6" t="s">
        <v>12</v>
      </c>
      <c r="D253" s="7" t="s">
        <v>121</v>
      </c>
      <c r="E253" s="8" t="s">
        <v>935</v>
      </c>
      <c r="F253" s="6" t="s">
        <v>936</v>
      </c>
      <c r="G253" s="9">
        <f>IF(A253=1,"_",IF(C253="_","???",C253))</f>
        <v/>
      </c>
      <c r="H253" s="10" t="s">
        <v>12</v>
      </c>
      <c r="I253" s="11" t="s">
        <v>12</v>
      </c>
      <c r="J253" s="12"/>
    </row>
    <row r="254" spans="1:10" ht="60" customHeight="1">
      <c r="A254" s="6" t="s">
        <v>937</v>
      </c>
      <c r="B254" s="6" t="s">
        <v>11</v>
      </c>
      <c r="C254" s="6" t="s">
        <v>12</v>
      </c>
      <c r="D254" s="7" t="s">
        <v>605</v>
      </c>
      <c r="E254" s="8" t="s">
        <v>938</v>
      </c>
      <c r="F254" s="6" t="s">
        <v>939</v>
      </c>
      <c r="G254" s="9">
        <f>IF(A254=1,"_",IF(C254="_","???",C254))</f>
        <v/>
      </c>
      <c r="H254" s="10" t="s">
        <v>12</v>
      </c>
      <c r="I254" s="11" t="s">
        <v>12</v>
      </c>
      <c r="J254" s="12"/>
    </row>
    <row r="255" spans="1:10" ht="60" customHeight="1">
      <c r="A255" s="6" t="s">
        <v>940</v>
      </c>
      <c r="B255" s="6" t="s">
        <v>16</v>
      </c>
      <c r="C255" s="6" t="s">
        <v>12</v>
      </c>
      <c r="D255" s="7" t="s">
        <v>157</v>
      </c>
      <c r="E255" s="8" t="s">
        <v>941</v>
      </c>
      <c r="F255" s="6" t="s">
        <v>942</v>
      </c>
      <c r="G255" s="9">
        <f>IF(A255=1,"_",IF(C255="_","???",C255))</f>
        <v/>
      </c>
      <c r="H255" s="10" t="s">
        <v>12</v>
      </c>
      <c r="I255" s="11" t="s">
        <v>12</v>
      </c>
      <c r="J255" s="12"/>
    </row>
    <row r="256" spans="1:10" ht="60" customHeight="1">
      <c r="A256" s="6" t="s">
        <v>943</v>
      </c>
      <c r="B256" s="6" t="s">
        <v>16</v>
      </c>
      <c r="C256" s="6" t="s">
        <v>12</v>
      </c>
      <c r="D256" s="7" t="s">
        <v>944</v>
      </c>
      <c r="E256" s="8" t="s">
        <v>945</v>
      </c>
      <c r="F256" s="6" t="s">
        <v>946</v>
      </c>
      <c r="G256" s="9">
        <f>IF(A256=1,"_",IF(C256="_","???",C256))</f>
        <v/>
      </c>
      <c r="H256" s="10" t="s">
        <v>12</v>
      </c>
      <c r="I256" s="11" t="s">
        <v>12</v>
      </c>
      <c r="J256" s="12"/>
    </row>
    <row r="257" spans="1:10" ht="60" customHeight="1">
      <c r="A257" s="6" t="s">
        <v>947</v>
      </c>
      <c r="B257" s="6" t="s">
        <v>32</v>
      </c>
      <c r="C257" s="6" t="s">
        <v>12</v>
      </c>
      <c r="D257" s="7" t="s">
        <v>185</v>
      </c>
      <c r="E257" s="8" t="s">
        <v>948</v>
      </c>
      <c r="F257" s="6" t="s">
        <v>949</v>
      </c>
      <c r="G257" s="9">
        <f>IF(A257=1,"_",IF(C257="_","???",C257))</f>
        <v/>
      </c>
      <c r="H257" s="10" t="s">
        <v>12</v>
      </c>
      <c r="I257" s="11" t="s">
        <v>12</v>
      </c>
      <c r="J257" s="12"/>
    </row>
    <row r="258" spans="1:10" ht="60" customHeight="1">
      <c r="A258" s="6" t="s">
        <v>950</v>
      </c>
      <c r="B258" s="6" t="s">
        <v>28</v>
      </c>
      <c r="C258" s="6" t="s">
        <v>12</v>
      </c>
      <c r="D258" s="7" t="s">
        <v>951</v>
      </c>
      <c r="E258" s="8" t="s">
        <v>952</v>
      </c>
      <c r="F258" s="6" t="s">
        <v>953</v>
      </c>
      <c r="G258" s="9">
        <f>IF(A258=1,"_",IF(C258="_","???",C258))</f>
        <v/>
      </c>
      <c r="H258" s="10" t="s">
        <v>12</v>
      </c>
      <c r="I258" s="11" t="s">
        <v>12</v>
      </c>
      <c r="J258" s="12"/>
    </row>
    <row r="259" spans="1:10" ht="60" customHeight="1">
      <c r="A259" s="6" t="s">
        <v>954</v>
      </c>
      <c r="B259" s="6" t="s">
        <v>10</v>
      </c>
      <c r="C259" s="6" t="s">
        <v>12</v>
      </c>
      <c r="D259" s="7" t="s">
        <v>121</v>
      </c>
      <c r="E259" s="8" t="s">
        <v>955</v>
      </c>
      <c r="F259" s="6" t="s">
        <v>956</v>
      </c>
      <c r="G259" s="9">
        <f>IF(A259=1,"_",IF(C259="_","???",C259))</f>
        <v/>
      </c>
      <c r="H259" s="10" t="s">
        <v>12</v>
      </c>
      <c r="I259" s="11" t="s">
        <v>12</v>
      </c>
      <c r="J259" s="12"/>
    </row>
    <row r="260" spans="1:10" ht="60" customHeight="1">
      <c r="A260" s="6" t="s">
        <v>957</v>
      </c>
      <c r="B260" s="6" t="s">
        <v>11</v>
      </c>
      <c r="C260" s="6" t="s">
        <v>12</v>
      </c>
      <c r="D260" s="7" t="s">
        <v>70</v>
      </c>
      <c r="E260" s="8" t="s">
        <v>958</v>
      </c>
      <c r="F260" s="6" t="s">
        <v>959</v>
      </c>
      <c r="G260" s="9">
        <f>IF(A260=1,"_",IF(C260="_","???",C260))</f>
        <v/>
      </c>
      <c r="H260" s="10" t="s">
        <v>12</v>
      </c>
      <c r="I260" s="11" t="s">
        <v>12</v>
      </c>
      <c r="J260" s="12"/>
    </row>
    <row r="261" spans="1:10" ht="60" customHeight="1">
      <c r="A261" s="6" t="s">
        <v>960</v>
      </c>
      <c r="B261" s="6" t="s">
        <v>24</v>
      </c>
      <c r="C261" s="6" t="s">
        <v>12</v>
      </c>
      <c r="D261" s="7" t="s">
        <v>961</v>
      </c>
      <c r="E261" s="8" t="s">
        <v>962</v>
      </c>
      <c r="F261" s="6" t="s">
        <v>963</v>
      </c>
      <c r="G261" s="9">
        <f>IF(A261=1,"_",IF(C261="_","???",C261))</f>
        <v/>
      </c>
      <c r="H261" s="10" t="s">
        <v>12</v>
      </c>
      <c r="I261" s="11" t="s">
        <v>12</v>
      </c>
      <c r="J261" s="12"/>
    </row>
    <row r="262" spans="1:10" ht="60" customHeight="1">
      <c r="A262" s="6" t="s">
        <v>964</v>
      </c>
      <c r="B262" s="6" t="s">
        <v>11</v>
      </c>
      <c r="C262" s="6" t="s">
        <v>12</v>
      </c>
      <c r="D262" s="7" t="s">
        <v>212</v>
      </c>
      <c r="E262" s="8" t="s">
        <v>965</v>
      </c>
      <c r="F262" s="6" t="s">
        <v>966</v>
      </c>
      <c r="G262" s="9">
        <f>IF(A262=1,"_",IF(C262="_","???",C262))</f>
        <v/>
      </c>
      <c r="H262" s="10" t="s">
        <v>12</v>
      </c>
      <c r="I262" s="11" t="s">
        <v>12</v>
      </c>
      <c r="J262" s="12"/>
    </row>
    <row r="263" spans="1:10" ht="60" customHeight="1">
      <c r="A263" s="6" t="s">
        <v>967</v>
      </c>
      <c r="B263" s="6" t="s">
        <v>20</v>
      </c>
      <c r="C263" s="6" t="s">
        <v>69</v>
      </c>
      <c r="D263" s="7" t="s">
        <v>968</v>
      </c>
      <c r="E263" s="8" t="s">
        <v>969</v>
      </c>
      <c r="F263" s="6" t="s">
        <v>970</v>
      </c>
      <c r="G263" s="9">
        <f>IF(A263=1,"_",IF(C263="_","???",C263))</f>
        <v/>
      </c>
      <c r="H263" s="10" t="s">
        <v>12</v>
      </c>
      <c r="I263" s="11" t="s">
        <v>12</v>
      </c>
      <c r="J263" s="12"/>
    </row>
    <row r="264" spans="1:10" ht="60" customHeight="1">
      <c r="A264" s="6" t="s">
        <v>971</v>
      </c>
      <c r="B264" s="6" t="s">
        <v>56</v>
      </c>
      <c r="C264" s="6" t="s">
        <v>12</v>
      </c>
      <c r="D264" s="7" t="s">
        <v>70</v>
      </c>
      <c r="E264" s="8" t="s">
        <v>972</v>
      </c>
      <c r="F264" s="6" t="s">
        <v>973</v>
      </c>
      <c r="G264" s="9">
        <f>IF(A264=1,"_",IF(C264="_","???",C264))</f>
        <v/>
      </c>
      <c r="H264" s="10" t="s">
        <v>12</v>
      </c>
      <c r="I264" s="11" t="s">
        <v>12</v>
      </c>
      <c r="J264" s="12"/>
    </row>
    <row r="265" spans="1:10" ht="60" customHeight="1">
      <c r="A265" s="6" t="s">
        <v>974</v>
      </c>
      <c r="B265" s="6" t="s">
        <v>20</v>
      </c>
      <c r="C265" s="6" t="s">
        <v>12</v>
      </c>
      <c r="D265" s="7" t="s">
        <v>53</v>
      </c>
      <c r="E265" s="8" t="s">
        <v>975</v>
      </c>
      <c r="F265" s="6" t="s">
        <v>976</v>
      </c>
      <c r="G265" s="9">
        <f>IF(A265=1,"_",IF(C265="_","???",C265))</f>
        <v/>
      </c>
      <c r="H265" s="10" t="s">
        <v>12</v>
      </c>
      <c r="I265" s="11" t="s">
        <v>12</v>
      </c>
      <c r="J265" s="12"/>
    </row>
    <row r="266" spans="1:10" ht="60" customHeight="1">
      <c r="A266" s="6" t="s">
        <v>977</v>
      </c>
      <c r="B266" s="6" t="s">
        <v>16</v>
      </c>
      <c r="C266" s="6" t="s">
        <v>12</v>
      </c>
      <c r="D266" s="7" t="s">
        <v>838</v>
      </c>
      <c r="E266" s="8" t="s">
        <v>978</v>
      </c>
      <c r="F266" s="6" t="s">
        <v>979</v>
      </c>
      <c r="G266" s="9">
        <f>IF(A266=1,"_",IF(C266="_","???",C266))</f>
        <v/>
      </c>
      <c r="H266" s="10" t="s">
        <v>12</v>
      </c>
      <c r="I266" s="11" t="s">
        <v>12</v>
      </c>
      <c r="J266" s="12"/>
    </row>
    <row r="267" spans="1:10" ht="60" customHeight="1">
      <c r="A267" s="6" t="s">
        <v>980</v>
      </c>
      <c r="B267" s="6" t="s">
        <v>16</v>
      </c>
      <c r="C267" s="6" t="s">
        <v>12</v>
      </c>
      <c r="D267" s="7" t="s">
        <v>981</v>
      </c>
      <c r="E267" s="8" t="s">
        <v>982</v>
      </c>
      <c r="F267" s="6" t="s">
        <v>983</v>
      </c>
      <c r="G267" s="9">
        <f>IF(A267=1,"_",IF(C267="_","???",C267))</f>
        <v/>
      </c>
      <c r="H267" s="10" t="s">
        <v>12</v>
      </c>
      <c r="I267" s="11" t="s">
        <v>12</v>
      </c>
      <c r="J267" s="12"/>
    </row>
    <row r="268" spans="1:10" ht="60" customHeight="1">
      <c r="A268" s="6" t="s">
        <v>984</v>
      </c>
      <c r="B268" s="6" t="s">
        <v>52</v>
      </c>
      <c r="C268" s="6" t="s">
        <v>12</v>
      </c>
      <c r="D268" s="7" t="s">
        <v>121</v>
      </c>
      <c r="E268" s="8" t="s">
        <v>985</v>
      </c>
      <c r="F268" s="6" t="s">
        <v>986</v>
      </c>
      <c r="G268" s="9">
        <f>IF(A268=1,"_",IF(C268="_","???",C268))</f>
        <v/>
      </c>
      <c r="H268" s="10" t="s">
        <v>12</v>
      </c>
      <c r="I268" s="11" t="s">
        <v>12</v>
      </c>
      <c r="J268" s="12"/>
    </row>
    <row r="269" spans="1:10" ht="60" customHeight="1">
      <c r="A269" s="6" t="s">
        <v>987</v>
      </c>
      <c r="B269" s="6" t="s">
        <v>32</v>
      </c>
      <c r="C269" s="6" t="s">
        <v>12</v>
      </c>
      <c r="D269" s="7" t="s">
        <v>988</v>
      </c>
      <c r="E269" s="8" t="s">
        <v>989</v>
      </c>
      <c r="F269" s="6" t="s">
        <v>990</v>
      </c>
      <c r="G269" s="9">
        <f>IF(A269=1,"_",IF(C269="_","???",C269))</f>
        <v/>
      </c>
      <c r="H269" s="10" t="s">
        <v>12</v>
      </c>
      <c r="I269" s="11" t="s">
        <v>12</v>
      </c>
      <c r="J269" s="12"/>
    </row>
    <row r="270" spans="1:10" ht="60" customHeight="1">
      <c r="A270" s="6" t="s">
        <v>991</v>
      </c>
      <c r="B270" s="6" t="s">
        <v>11</v>
      </c>
      <c r="C270" s="6" t="s">
        <v>12</v>
      </c>
      <c r="D270" s="7" t="s">
        <v>173</v>
      </c>
      <c r="E270" s="8" t="s">
        <v>992</v>
      </c>
      <c r="F270" s="6" t="s">
        <v>993</v>
      </c>
      <c r="G270" s="9">
        <f>IF(A270=1,"_",IF(C270="_","???",C270))</f>
        <v/>
      </c>
      <c r="H270" s="10" t="s">
        <v>12</v>
      </c>
      <c r="I270" s="11" t="s">
        <v>12</v>
      </c>
      <c r="J270" s="12"/>
    </row>
    <row r="271" spans="1:10" ht="60" customHeight="1">
      <c r="A271" s="6" t="s">
        <v>994</v>
      </c>
      <c r="B271" s="6" t="s">
        <v>20</v>
      </c>
      <c r="C271" s="6" t="s">
        <v>12</v>
      </c>
      <c r="D271" s="7" t="s">
        <v>995</v>
      </c>
      <c r="E271" s="8" t="s">
        <v>996</v>
      </c>
      <c r="F271" s="6" t="s">
        <v>997</v>
      </c>
      <c r="G271" s="9">
        <f>IF(A271=1,"_",IF(C271="_","???",C271))</f>
        <v/>
      </c>
      <c r="H271" s="10" t="s">
        <v>12</v>
      </c>
      <c r="I271" s="11" t="s">
        <v>12</v>
      </c>
      <c r="J271" s="12"/>
    </row>
    <row r="272" spans="1:10" ht="60" customHeight="1">
      <c r="A272" s="6" t="s">
        <v>998</v>
      </c>
      <c r="B272" s="6" t="s">
        <v>11</v>
      </c>
      <c r="C272" s="6" t="s">
        <v>12</v>
      </c>
      <c r="D272" s="7" t="s">
        <v>999</v>
      </c>
      <c r="E272" s="8" t="s">
        <v>1000</v>
      </c>
      <c r="F272" s="6" t="s">
        <v>1001</v>
      </c>
      <c r="G272" s="9">
        <f>IF(A272=1,"_",IF(C272="_","???",C272))</f>
        <v/>
      </c>
      <c r="H272" s="10" t="s">
        <v>12</v>
      </c>
      <c r="I272" s="11" t="s">
        <v>12</v>
      </c>
      <c r="J272" s="12"/>
    </row>
    <row r="273" spans="1:10" ht="60" customHeight="1">
      <c r="A273" s="6" t="s">
        <v>1002</v>
      </c>
      <c r="B273" s="6" t="s">
        <v>36</v>
      </c>
      <c r="C273" s="6" t="s">
        <v>12</v>
      </c>
      <c r="D273" s="7" t="s">
        <v>1003</v>
      </c>
      <c r="E273" s="8" t="s">
        <v>1004</v>
      </c>
      <c r="F273" s="6" t="s">
        <v>1005</v>
      </c>
      <c r="G273" s="9">
        <f>IF(A273=1,"_",IF(C273="_","???",C273))</f>
        <v/>
      </c>
      <c r="H273" s="10" t="s">
        <v>12</v>
      </c>
      <c r="I273" s="11" t="s">
        <v>12</v>
      </c>
      <c r="J273" s="12"/>
    </row>
    <row r="274" spans="1:10" ht="60" customHeight="1">
      <c r="A274" s="6" t="s">
        <v>1006</v>
      </c>
      <c r="B274" s="6" t="s">
        <v>56</v>
      </c>
      <c r="C274" s="6" t="s">
        <v>12</v>
      </c>
      <c r="D274" s="7" t="s">
        <v>1007</v>
      </c>
      <c r="E274" s="8" t="s">
        <v>1008</v>
      </c>
      <c r="F274" s="6" t="s">
        <v>1009</v>
      </c>
      <c r="G274" s="9">
        <f>IF(A274=1,"_",IF(C274="_","???",C274))</f>
        <v/>
      </c>
      <c r="H274" s="10" t="s">
        <v>12</v>
      </c>
      <c r="I274" s="11" t="s">
        <v>12</v>
      </c>
      <c r="J274" s="12"/>
    </row>
    <row r="275" spans="1:10" ht="60" customHeight="1">
      <c r="A275" s="6" t="s">
        <v>1010</v>
      </c>
      <c r="B275" s="6" t="s">
        <v>68</v>
      </c>
      <c r="C275" s="6" t="s">
        <v>1011</v>
      </c>
      <c r="D275" s="7" t="s">
        <v>1012</v>
      </c>
      <c r="E275" s="8" t="s">
        <v>1013</v>
      </c>
      <c r="F275" s="6" t="s">
        <v>1014</v>
      </c>
      <c r="G275" s="9">
        <f>IF(A275=1,"_",IF(C275="_","???",C275))</f>
        <v/>
      </c>
      <c r="H275" s="10" t="s">
        <v>12</v>
      </c>
      <c r="I275" s="11" t="s">
        <v>12</v>
      </c>
      <c r="J275" s="12"/>
    </row>
    <row r="276" spans="1:10" ht="60" customHeight="1">
      <c r="A276" s="6" t="s">
        <v>1015</v>
      </c>
      <c r="B276" s="6" t="s">
        <v>36</v>
      </c>
      <c r="C276" s="6" t="s">
        <v>12</v>
      </c>
      <c r="D276" s="7" t="s">
        <v>1016</v>
      </c>
      <c r="E276" s="8" t="s">
        <v>1017</v>
      </c>
      <c r="F276" s="6" t="s">
        <v>1018</v>
      </c>
      <c r="G276" s="9">
        <f>IF(A276=1,"_",IF(C276="_","???",C276))</f>
        <v/>
      </c>
      <c r="H276" s="10" t="s">
        <v>12</v>
      </c>
      <c r="I276" s="11" t="s">
        <v>12</v>
      </c>
      <c r="J276" s="12"/>
    </row>
    <row r="277" spans="1:10" ht="60" customHeight="1">
      <c r="A277" s="6" t="s">
        <v>1019</v>
      </c>
      <c r="B277" s="6" t="s">
        <v>24</v>
      </c>
      <c r="C277" s="6" t="s">
        <v>12</v>
      </c>
      <c r="D277" s="7" t="s">
        <v>800</v>
      </c>
      <c r="E277" s="8" t="s">
        <v>1020</v>
      </c>
      <c r="F277" s="6" t="s">
        <v>1021</v>
      </c>
      <c r="G277" s="9">
        <f>IF(A277=1,"_",IF(C277="_","???",C277))</f>
        <v/>
      </c>
      <c r="H277" s="10" t="s">
        <v>12</v>
      </c>
      <c r="I277" s="11" t="s">
        <v>12</v>
      </c>
      <c r="J277" s="12"/>
    </row>
    <row r="278" spans="1:10" ht="60" customHeight="1">
      <c r="A278" s="6" t="s">
        <v>1022</v>
      </c>
      <c r="B278" s="6" t="s">
        <v>24</v>
      </c>
      <c r="C278" s="6" t="s">
        <v>1023</v>
      </c>
      <c r="D278" s="7" t="s">
        <v>1024</v>
      </c>
      <c r="E278" s="8" t="s">
        <v>1025</v>
      </c>
      <c r="F278" s="6" t="s">
        <v>1026</v>
      </c>
      <c r="G278" s="9">
        <f>IF(A278=1,"_",IF(C278="_","???",C278))</f>
        <v/>
      </c>
      <c r="H278" s="10" t="s">
        <v>12</v>
      </c>
      <c r="I278" s="11" t="s">
        <v>12</v>
      </c>
      <c r="J278" s="12"/>
    </row>
    <row r="279" spans="1:10" ht="60" customHeight="1">
      <c r="A279" s="6" t="s">
        <v>1027</v>
      </c>
      <c r="B279" s="6" t="s">
        <v>68</v>
      </c>
      <c r="C279" s="6" t="s">
        <v>12</v>
      </c>
      <c r="D279" s="7" t="s">
        <v>1028</v>
      </c>
      <c r="E279" s="8" t="s">
        <v>1029</v>
      </c>
      <c r="F279" s="6" t="s">
        <v>1030</v>
      </c>
      <c r="G279" s="9">
        <f>IF(A279=1,"_",IF(C279="_","???",C279))</f>
        <v/>
      </c>
      <c r="H279" s="10" t="s">
        <v>12</v>
      </c>
      <c r="I279" s="11" t="s">
        <v>12</v>
      </c>
      <c r="J279" s="12"/>
    </row>
    <row r="280" spans="1:10" ht="60" customHeight="1">
      <c r="A280" s="6" t="s">
        <v>1031</v>
      </c>
      <c r="B280" s="6" t="s">
        <v>20</v>
      </c>
      <c r="C280" s="6" t="s">
        <v>12</v>
      </c>
      <c r="D280" s="7" t="s">
        <v>1032</v>
      </c>
      <c r="E280" s="8" t="s">
        <v>1033</v>
      </c>
      <c r="F280" s="6" t="s">
        <v>1034</v>
      </c>
      <c r="G280" s="9">
        <f>IF(A280=1,"_",IF(C280="_","???",C280))</f>
        <v/>
      </c>
      <c r="H280" s="10" t="s">
        <v>12</v>
      </c>
      <c r="I280" s="11" t="s">
        <v>12</v>
      </c>
      <c r="J280" s="12"/>
    </row>
    <row r="281" spans="1:10" ht="60" customHeight="1">
      <c r="A281" s="6" t="s">
        <v>1035</v>
      </c>
      <c r="B281" s="6" t="s">
        <v>11</v>
      </c>
      <c r="C281" s="6" t="s">
        <v>12</v>
      </c>
      <c r="D281" s="7" t="s">
        <v>1036</v>
      </c>
      <c r="E281" s="8" t="s">
        <v>1037</v>
      </c>
      <c r="F281" s="6" t="s">
        <v>1038</v>
      </c>
      <c r="G281" s="9">
        <f>IF(A281=1,"_",IF(C281="_","???",C281))</f>
        <v/>
      </c>
      <c r="H281" s="10" t="s">
        <v>12</v>
      </c>
      <c r="I281" s="11" t="s">
        <v>12</v>
      </c>
      <c r="J281" s="12"/>
    </row>
    <row r="282" spans="1:10" ht="60" customHeight="1">
      <c r="A282" s="6" t="s">
        <v>1039</v>
      </c>
      <c r="B282" s="6" t="s">
        <v>73</v>
      </c>
      <c r="C282" s="6" t="s">
        <v>12</v>
      </c>
      <c r="D282" s="7" t="s">
        <v>1040</v>
      </c>
      <c r="E282" s="8" t="s">
        <v>1041</v>
      </c>
      <c r="F282" s="6" t="s">
        <v>1042</v>
      </c>
      <c r="G282" s="9">
        <f>IF(A282=1,"_",IF(C282="_","???",C282))</f>
        <v/>
      </c>
      <c r="H282" s="10" t="s">
        <v>12</v>
      </c>
      <c r="I282" s="11" t="s">
        <v>12</v>
      </c>
      <c r="J282" s="12"/>
    </row>
    <row r="283" spans="1:10" ht="60" customHeight="1">
      <c r="A283" s="6" t="s">
        <v>1043</v>
      </c>
      <c r="B283" s="6" t="s">
        <v>24</v>
      </c>
      <c r="C283" s="6" t="s">
        <v>12</v>
      </c>
      <c r="D283" s="7" t="s">
        <v>743</v>
      </c>
      <c r="E283" s="8" t="s">
        <v>1044</v>
      </c>
      <c r="F283" s="6" t="s">
        <v>1045</v>
      </c>
      <c r="G283" s="9">
        <f>IF(A283=1,"_",IF(C283="_","???",C283))</f>
        <v/>
      </c>
      <c r="H283" s="10" t="s">
        <v>12</v>
      </c>
      <c r="I283" s="11" t="s">
        <v>12</v>
      </c>
      <c r="J283" s="12"/>
    </row>
    <row r="284" spans="1:10" ht="60" customHeight="1">
      <c r="A284" s="6" t="s">
        <v>1046</v>
      </c>
      <c r="B284" s="6" t="s">
        <v>10</v>
      </c>
      <c r="C284" s="6" t="s">
        <v>12</v>
      </c>
      <c r="D284" s="7" t="s">
        <v>785</v>
      </c>
      <c r="E284" s="8" t="s">
        <v>1047</v>
      </c>
      <c r="F284" s="6" t="s">
        <v>1048</v>
      </c>
      <c r="G284" s="9">
        <f>IF(A284=1,"_",IF(C284="_","???",C284))</f>
        <v/>
      </c>
      <c r="H284" s="10" t="s">
        <v>12</v>
      </c>
      <c r="I284" s="11" t="s">
        <v>12</v>
      </c>
      <c r="J28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44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1049</v>
      </c>
      <c r="B1" s="13" t="s">
        <v>1050</v>
      </c>
      <c r="C1" s="13" t="s">
        <v>1051</v>
      </c>
      <c r="D1" s="13" t="s">
        <v>1052</v>
      </c>
      <c r="E1" s="14" t="s">
        <v>1053</v>
      </c>
      <c r="F1" s="15" t="s">
        <v>1054</v>
      </c>
      <c r="G1" s="16" t="s">
        <v>1055</v>
      </c>
      <c r="H1" s="17" t="s">
        <v>1056</v>
      </c>
      <c r="I1" s="18" t="s">
        <v>1057</v>
      </c>
      <c r="J1" s="18" t="s">
        <v>1058</v>
      </c>
      <c r="K1" s="18" t="s">
        <v>1059</v>
      </c>
      <c r="L1" s="19" t="s">
        <v>9</v>
      </c>
    </row>
    <row r="2" spans="1:12">
      <c r="A2" s="20" t="s">
        <v>1060</v>
      </c>
    </row>
    <row r="3" spans="1:12">
      <c r="A3" s="20" t="s">
        <v>1061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1062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1063</v>
      </c>
      <c r="B5" s="27" t="s">
        <v>1064</v>
      </c>
      <c r="C5" s="27" t="s">
        <v>1065</v>
      </c>
      <c r="D5" s="27" t="s">
        <v>1066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1067</v>
      </c>
      <c r="B6" s="27" t="s">
        <v>1068</v>
      </c>
      <c r="C6" s="27" t="s">
        <v>1069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1070</v>
      </c>
      <c r="B7" s="27" t="s">
        <v>1071</v>
      </c>
      <c r="C7" s="27" t="s">
        <v>1065</v>
      </c>
      <c r="D7" s="27" t="s">
        <v>1066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1072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1073</v>
      </c>
      <c r="B9" s="27" t="s">
        <v>1071</v>
      </c>
      <c r="C9" s="27" t="s">
        <v>1074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1075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1076</v>
      </c>
      <c r="B11" s="27" t="s">
        <v>1068</v>
      </c>
      <c r="C11" s="27" t="s">
        <v>1074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1077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row>
    <row r="14" spans="1:12">
      <c r="A14" s="20" t="s">
        <v>1078</v>
      </c>
    </row>
    <row r="15" spans="1:12">
      <c r="A15" s="20" t="s">
        <v>1079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1080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1081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1082</v>
      </c>
      <c r="B18" s="27" t="s">
        <v>1064</v>
      </c>
      <c r="C18" s="27" t="s">
        <v>1083</v>
      </c>
      <c r="D18" s="27" t="s">
        <v>1066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17</v>
      </c>
      <c r="B19" s="27" t="s">
        <v>1071</v>
      </c>
      <c r="C19" s="27" t="s">
        <v>1069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1084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1085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1086</v>
      </c>
      <c r="B22" s="27" t="s">
        <v>1087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1088</v>
      </c>
      <c r="B23" s="27" t="s">
        <v>1089</v>
      </c>
      <c r="C23" s="27" t="s">
        <v>1090</v>
      </c>
      <c r="D23" s="27" t="s">
        <v>1066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1091</v>
      </c>
      <c r="B24" s="27" t="s">
        <v>1092</v>
      </c>
      <c r="C24" s="27" t="s">
        <v>1074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1093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1094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1095</v>
      </c>
      <c r="B27" s="27" t="s">
        <v>1068</v>
      </c>
      <c r="C27" s="27" t="s">
        <v>1083</v>
      </c>
      <c r="D27" s="27" t="s">
        <v>1066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1096</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1097</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1098</v>
      </c>
      <c r="B30" s="27" t="s">
        <v>1068</v>
      </c>
      <c r="C30" s="27" t="s">
        <v>1074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1075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1099</v>
      </c>
      <c r="B32" s="27" t="s">
        <v>1089</v>
      </c>
      <c r="C32" s="27" t="s">
        <v>1074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1100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1084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1097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1101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1102</v>
      </c>
      <c r="B37" s="27" t="s">
        <v>1103</v>
      </c>
      <c r="C37" s="27" t="s">
        <v>1083</v>
      </c>
      <c r="D37" s="27" t="s">
        <v>1066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1084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1101</v>
      </c>
      <c r="B39" s="27" t="s">
        <v>1104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1105</v>
      </c>
      <c r="B40" s="27" t="s">
        <v>1106</v>
      </c>
      <c r="C40" s="27" t="s">
        <v>1107</v>
      </c>
      <c r="D40" s="27" t="s">
        <v>1066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1108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1075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1109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129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1097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1110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1111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1112</v>
      </c>
      <c r="B49" s="27" t="s">
        <v>1113</v>
      </c>
      <c r="C49" s="27" t="s">
        <v>1114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141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1115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1116</v>
      </c>
      <c r="B52" s="27" t="s">
        <v>1103</v>
      </c>
      <c r="C52" s="27" t="s">
        <v>1117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1067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1118</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1077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row>
    <row r="57" spans="1:12">
      <c r="A57" s="20" t="s">
        <v>1119</v>
      </c>
    </row>
    <row r="58" spans="1:12">
      <c r="A58" s="20" t="s">
        <v>1120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1073</v>
      </c>
      <c r="B59" s="27" t="s">
        <v>1064</v>
      </c>
      <c r="C59" s="27" t="s">
        <v>1074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1075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1076</v>
      </c>
      <c r="B61" s="27" t="s">
        <v>1068</v>
      </c>
      <c r="C61" s="27" t="s">
        <v>1074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1121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1122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1123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1124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1125</v>
      </c>
      <c r="B66" s="27" t="s">
        <v>1068</v>
      </c>
      <c r="C66" s="27" t="s">
        <v>1126</v>
      </c>
      <c r="D66" s="27" t="s">
        <v>1066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1127</v>
      </c>
      <c r="B67" s="27" t="s">
        <v>1071</v>
      </c>
      <c r="C67" s="27" t="s">
        <v>1128</v>
      </c>
      <c r="D67" s="27" t="s">
        <v>1066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1084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1129</v>
      </c>
      <c r="B69" s="27" t="s">
        <v>1130</v>
      </c>
      <c r="C69" s="27" t="s">
        <v>1131</v>
      </c>
      <c r="D69" s="27" t="s">
        <v>1066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1132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1133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1134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1135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1124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1136</v>
      </c>
      <c r="B75" s="27" t="s">
        <v>1113</v>
      </c>
      <c r="C75" s="27" t="s">
        <v>1069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1137</v>
      </c>
      <c r="B76" s="27" t="s">
        <v>1138</v>
      </c>
      <c r="C76" s="27" t="s">
        <v>1107</v>
      </c>
      <c r="D76" s="27" t="s">
        <v>1066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1139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1140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1141</v>
      </c>
      <c r="B79" s="27" t="s">
        <v>1089</v>
      </c>
      <c r="C79" s="27" t="s">
        <v>1142</v>
      </c>
      <c r="D79" s="27" t="s">
        <v>1066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1077</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1143</v>
      </c>
    </row>
    <row r="83" spans="1:12">
      <c r="A83" s="20" t="s">
        <v>1144</v>
      </c>
      <c r="B83" s="27" t="s">
        <v>1064</v>
      </c>
      <c r="C83" s="27" t="s">
        <v>1074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1145</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1084</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1146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1147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1148</v>
      </c>
      <c r="B88" s="27" t="s">
        <v>1092</v>
      </c>
      <c r="C88" s="27" t="s">
        <v>1149</v>
      </c>
      <c r="D88" s="27" t="s">
        <v>1066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1072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1150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1151</v>
      </c>
      <c r="B91" s="27" t="s">
        <v>1068</v>
      </c>
      <c r="C91" s="27" t="s">
        <v>1114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1152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1153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1077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1154</v>
      </c>
    </row>
    <row r="98" spans="1:12">
      <c r="A98" s="20" t="s">
        <v>1155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1105</v>
      </c>
      <c r="B99" s="27" t="s">
        <v>1064</v>
      </c>
      <c r="C99" s="27" t="s">
        <v>1107</v>
      </c>
      <c r="D99" s="27" t="s">
        <v>1066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1067</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1156</v>
      </c>
      <c r="B101" s="27" t="s">
        <v>1157</v>
      </c>
      <c r="C101" s="27" t="s">
        <v>1107</v>
      </c>
      <c r="D101" s="27" t="s">
        <v>1066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1158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1067</v>
      </c>
      <c r="B103" s="27" t="s">
        <v>1089</v>
      </c>
      <c r="C103" s="27" t="s">
        <v>1069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1159</v>
      </c>
      <c r="B104" s="27" t="s">
        <v>1068</v>
      </c>
      <c r="C104" s="27" t="s">
        <v>1107</v>
      </c>
      <c r="D104" s="27" t="s">
        <v>1066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1077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row>
    <row r="108" spans="1:12">
      <c r="A108" s="20" t="s">
        <v>1160</v>
      </c>
    </row>
    <row r="109" spans="1:12">
      <c r="A109" s="20" t="s">
        <v>1161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1102</v>
      </c>
      <c r="B110" s="27" t="s">
        <v>1064</v>
      </c>
      <c r="C110" s="27" t="s">
        <v>1083</v>
      </c>
      <c r="D110" s="27" t="s">
        <v>1066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1086</v>
      </c>
      <c r="B112" s="27" t="s">
        <v>1157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1162</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1084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1163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1164</v>
      </c>
      <c r="B117" s="27" t="s">
        <v>1092</v>
      </c>
      <c r="C117" s="27" t="s">
        <v>1065</v>
      </c>
      <c r="D117" s="27" t="s">
        <v>1066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1165</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1166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1167</v>
      </c>
      <c r="B120" s="27" t="s">
        <v>1087</v>
      </c>
      <c r="C120" s="27" t="s">
        <v>1168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1152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1169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1170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1077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row>
    <row r="126" spans="1:12">
      <c r="A126" s="20" t="s">
        <v>1171</v>
      </c>
    </row>
    <row r="127" spans="1:12">
      <c r="A127" s="20" t="s">
        <v>1172</v>
      </c>
      <c r="B127" s="27" t="s">
        <v>1064</v>
      </c>
      <c r="C127" s="27" t="s">
        <v>1126</v>
      </c>
      <c r="D127" s="27" t="s">
        <v>1066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1173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1067</v>
      </c>
      <c r="B129" s="27" t="s">
        <v>1068</v>
      </c>
      <c r="C129" s="27" t="s">
        <v>1069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1174</v>
      </c>
      <c r="B130" s="27" t="s">
        <v>1071</v>
      </c>
      <c r="C130" s="27" t="s">
        <v>1131</v>
      </c>
      <c r="D130" s="27" t="s">
        <v>1066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1077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1175</v>
      </c>
    </row>
    <row r="134" spans="1:12">
      <c r="A134" s="20" t="s">
        <v>1155</v>
      </c>
      <c r="B134" s="27" t="s">
        <v>1064</v>
      </c>
      <c r="C134" s="27" t="s">
        <v>1065</v>
      </c>
      <c r="D134" s="27" t="s">
        <v>1066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1173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1067</v>
      </c>
      <c r="B136" s="27" t="s">
        <v>1068</v>
      </c>
      <c r="C136" s="27" t="s">
        <v>1069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1176</v>
      </c>
      <c r="B137" s="27" t="s">
        <v>1071</v>
      </c>
      <c r="C137" s="27" t="s">
        <v>1074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1077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row>
    <row r="140" spans="1:12">
      <c r="A140" s="20" t="s">
        <v>1177</v>
      </c>
    </row>
    <row r="141" spans="1:12">
      <c r="A141" s="20" t="s">
        <v>1155</v>
      </c>
      <c r="B141" s="27" t="s">
        <v>1064</v>
      </c>
      <c r="C141" s="27" t="s">
        <v>1065</v>
      </c>
      <c r="D141" s="27" t="s">
        <v>1066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1173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1067</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1178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1077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1179</v>
      </c>
    </row>
    <row r="148" spans="1:12">
      <c r="A148" s="20" t="s">
        <v>1180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1084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1181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1182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1183</v>
      </c>
      <c r="B152" s="27" t="s">
        <v>1092</v>
      </c>
      <c r="C152" s="27" t="s">
        <v>1117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1184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1124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1185</v>
      </c>
      <c r="B155" s="27" t="s">
        <v>1071</v>
      </c>
      <c r="C155" s="27" t="s">
        <v>1107</v>
      </c>
      <c r="D155" s="27" t="s">
        <v>1066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46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1077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1186</v>
      </c>
    </row>
    <row r="160" spans="1:12">
      <c r="A160" s="20" t="s">
        <v>1187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1188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1094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1189</v>
      </c>
      <c r="B163" s="27" t="s">
        <v>1064</v>
      </c>
      <c r="C163" s="27" t="s">
        <v>1083</v>
      </c>
      <c r="D163" s="27" t="s">
        <v>1066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1124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1185</v>
      </c>
      <c r="B165" s="27" t="s">
        <v>1068</v>
      </c>
      <c r="C165" s="27" t="s">
        <v>1107</v>
      </c>
      <c r="D165" s="27" t="s">
        <v>1066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1190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1123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1077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row>
    <row r="170" spans="1:12">
      <c r="A170" s="20" t="s">
        <v>1191</v>
      </c>
    </row>
    <row r="171" spans="1:12">
      <c r="A171" s="20" t="s">
        <v>1192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1188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1084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1146</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1084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1193</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1194</v>
      </c>
      <c r="B177" s="27" t="s">
        <v>1092</v>
      </c>
      <c r="C177" s="27" t="s">
        <v>1065</v>
      </c>
      <c r="D177" s="27" t="s">
        <v>1066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1195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1196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1197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571</v>
      </c>
      <c r="B181" s="27" t="s">
        <v>1068</v>
      </c>
      <c r="C181" s="27" t="s">
        <v>1117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1110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1198</v>
      </c>
      <c r="B183" s="27" t="s">
        <v>1087</v>
      </c>
      <c r="C183" s="27" t="s">
        <v>1083</v>
      </c>
      <c r="D183" s="27" t="s">
        <v>1066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1199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1200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1084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1067</v>
      </c>
      <c r="B187" s="27" t="s">
        <v>1089</v>
      </c>
      <c r="C187" s="27" t="s">
        <v>1069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1094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1201</v>
      </c>
      <c r="B189" s="27" t="s">
        <v>1068</v>
      </c>
      <c r="C189" s="27" t="s">
        <v>1083</v>
      </c>
      <c r="D189" s="27" t="s">
        <v>1066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1202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1073</v>
      </c>
      <c r="B191" s="27" t="s">
        <v>1092</v>
      </c>
      <c r="C191" s="27" t="s">
        <v>1074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1093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1203</v>
      </c>
      <c r="B193" s="27" t="s">
        <v>1068</v>
      </c>
      <c r="C193" s="27" t="s">
        <v>1074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1204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1140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1205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1077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1206</v>
      </c>
    </row>
    <row r="200" spans="1:12">
      <c r="A200" s="20" t="s">
        <v>1207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1084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1094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1189</v>
      </c>
      <c r="B203" s="27" t="s">
        <v>1064</v>
      </c>
      <c r="C203" s="27" t="s">
        <v>1083</v>
      </c>
      <c r="D203" s="27" t="s">
        <v>1066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1188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1072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1101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1208</v>
      </c>
      <c r="B207" s="27" t="s">
        <v>1071</v>
      </c>
      <c r="C207" s="27" t="s">
        <v>1083</v>
      </c>
      <c r="D207" s="27" t="s">
        <v>1066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1209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1077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1210</v>
      </c>
    </row>
    <row r="212" spans="1:12">
      <c r="A212" s="20" t="s">
        <v>1211</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1212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1101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1213</v>
      </c>
      <c r="B215" s="27" t="s">
        <v>1064</v>
      </c>
      <c r="C215" s="27" t="s">
        <v>1083</v>
      </c>
      <c r="D215" s="27" t="s">
        <v>1066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1139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1214</v>
      </c>
      <c r="B217" s="27" t="s">
        <v>1071</v>
      </c>
      <c r="C217" s="27" t="s">
        <v>1074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1077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1215</v>
      </c>
    </row>
    <row r="221" spans="1:12">
      <c r="A221" s="20" t="s">
        <v>1161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1216</v>
      </c>
      <c r="B222" s="27" t="s">
        <v>1064</v>
      </c>
      <c r="C222" s="27" t="s">
        <v>1083</v>
      </c>
      <c r="D222" s="27" t="s">
        <v>1066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1217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1101</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1218</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1219</v>
      </c>
      <c r="B226" s="27" t="s">
        <v>1157</v>
      </c>
      <c r="C226" s="27" t="s">
        <v>1083</v>
      </c>
      <c r="D226" s="27" t="s">
        <v>1066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1204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1075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1220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1221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1140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1077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row>
    <row r="235" spans="1:12">
      <c r="A235" s="20" t="s">
        <v>1222</v>
      </c>
    </row>
    <row r="236" spans="1:12">
      <c r="A236" s="20" t="s">
        <v>1223</v>
      </c>
      <c r="B236" s="27" t="s">
        <v>1071</v>
      </c>
      <c r="C236" s="27" t="s">
        <v>1074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1224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1164</v>
      </c>
      <c r="B238" s="27" t="s">
        <v>1064</v>
      </c>
      <c r="C238" s="27" t="s">
        <v>1065</v>
      </c>
      <c r="D238" s="27" t="s">
        <v>1066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1225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1226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1227</v>
      </c>
      <c r="B241" s="27" t="s">
        <v>1157</v>
      </c>
      <c r="C241" s="27" t="s">
        <v>1117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1221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1140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1228</v>
      </c>
      <c r="B244" s="27" t="s">
        <v>1068</v>
      </c>
      <c r="C244" s="27" t="s">
        <v>1083</v>
      </c>
      <c r="D244" s="27" t="s">
        <v>1066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1075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1229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157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1105</v>
      </c>
      <c r="B248" s="27" t="s">
        <v>1092</v>
      </c>
      <c r="C248" s="27" t="s">
        <v>1107</v>
      </c>
      <c r="D248" s="27" t="s">
        <v>1066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1230</v>
      </c>
      <c r="B249" s="27" t="s">
        <v>1087</v>
      </c>
      <c r="C249" s="27" t="s">
        <v>1074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1084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1231</v>
      </c>
      <c r="B251" s="27" t="s">
        <v>1089</v>
      </c>
      <c r="C251" s="27" t="s">
        <v>1074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1084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1105</v>
      </c>
      <c r="B253" s="27" t="s">
        <v>1232</v>
      </c>
      <c r="C253" s="27" t="s">
        <v>1107</v>
      </c>
      <c r="D253" s="27" t="s">
        <v>1066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1233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1234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1235</v>
      </c>
      <c r="B256" s="27" t="s">
        <v>1232</v>
      </c>
      <c r="C256" s="27" t="s">
        <v>1074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1236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1075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1162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1150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1102</v>
      </c>
      <c r="B261" s="27" t="s">
        <v>1104</v>
      </c>
      <c r="C261" s="27" t="s">
        <v>1114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707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1077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1237</v>
      </c>
    </row>
    <row r="266" spans="1:12">
      <c r="A266" s="20" t="s">
        <v>1238</v>
      </c>
      <c r="B266" s="27" t="s">
        <v>1064</v>
      </c>
      <c r="C266" s="27" t="s">
        <v>1107</v>
      </c>
      <c r="D266" s="27" t="s">
        <v>1066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1239</v>
      </c>
      <c r="B268" s="27" t="s">
        <v>1071</v>
      </c>
      <c r="C268" s="27" t="s">
        <v>1107</v>
      </c>
      <c r="D268" s="27" t="s">
        <v>1066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1240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1221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1197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1241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1242</v>
      </c>
      <c r="B273" s="27" t="s">
        <v>1071</v>
      </c>
      <c r="C273" s="27" t="s">
        <v>1117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1243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1244</v>
      </c>
      <c r="B275" s="27" t="s">
        <v>1068</v>
      </c>
      <c r="C275" s="27" t="s">
        <v>1074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1221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1094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256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1245</v>
      </c>
      <c r="B279" s="27" t="s">
        <v>1089</v>
      </c>
      <c r="C279" s="27" t="s">
        <v>1083</v>
      </c>
      <c r="D279" s="27" t="s">
        <v>1066</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1077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1246</v>
      </c>
    </row>
    <row r="283" spans="1:12">
      <c r="A283" s="20" t="s">
        <v>1120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1084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1193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1105</v>
      </c>
      <c r="B286" s="27" t="s">
        <v>1232</v>
      </c>
      <c r="C286" s="27" t="s">
        <v>1107</v>
      </c>
      <c r="D286" s="27" t="s">
        <v>1066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1110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1198</v>
      </c>
      <c r="B288" s="27" t="s">
        <v>1247</v>
      </c>
      <c r="C288" s="27" t="s">
        <v>1083</v>
      </c>
      <c r="D288" s="27" t="s">
        <v>1066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1199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233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1105</v>
      </c>
      <c r="B292" s="27" t="s">
        <v>1130</v>
      </c>
      <c r="C292" s="27" t="s">
        <v>1107</v>
      </c>
      <c r="D292" s="27" t="s">
        <v>1066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1239</v>
      </c>
      <c r="B293" s="27" t="s">
        <v>1103</v>
      </c>
      <c r="C293" s="27" t="s">
        <v>1107</v>
      </c>
      <c r="D293" s="27" t="s">
        <v>1066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1110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1198</v>
      </c>
      <c r="B295" s="27" t="s">
        <v>1247</v>
      </c>
      <c r="C295" s="27" t="s">
        <v>1083</v>
      </c>
      <c r="D295" s="27" t="s">
        <v>1066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1248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1249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1105</v>
      </c>
      <c r="B299" s="27" t="s">
        <v>1092</v>
      </c>
      <c r="C299" s="27" t="s">
        <v>1107</v>
      </c>
      <c r="D299" s="27" t="s">
        <v>1066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1139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1182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1250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1251</v>
      </c>
      <c r="B303" s="27" t="s">
        <v>1071</v>
      </c>
      <c r="C303" s="27" t="s">
        <v>1117</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1075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1125</v>
      </c>
      <c r="B305" s="27" t="s">
        <v>1089</v>
      </c>
      <c r="C305" s="27" t="s">
        <v>1126</v>
      </c>
      <c r="D305" s="27" t="s">
        <v>1066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1251</v>
      </c>
      <c r="B306" s="27" t="s">
        <v>1068</v>
      </c>
      <c r="C306" s="27" t="s">
        <v>1128</v>
      </c>
      <c r="D306" s="27" t="s">
        <v>1066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1252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1243</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1253</v>
      </c>
      <c r="B309" s="27" t="s">
        <v>1071</v>
      </c>
      <c r="C309" s="27" t="s">
        <v>1131</v>
      </c>
      <c r="D309" s="27" t="s">
        <v>1066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1254</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1077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1255</v>
      </c>
    </row>
    <row r="314" spans="1:12">
      <c r="A314" s="20" t="s">
        <v>1253</v>
      </c>
      <c r="B314" s="27" t="s">
        <v>1064</v>
      </c>
      <c r="C314" s="27" t="s">
        <v>1131</v>
      </c>
      <c r="D314" s="27" t="s">
        <v>1066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1256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1110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1141</v>
      </c>
      <c r="B317" s="27" t="s">
        <v>1157</v>
      </c>
      <c r="C317" s="27" t="s">
        <v>1083</v>
      </c>
      <c r="D317" s="27" t="s">
        <v>1066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1075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1101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1257</v>
      </c>
      <c r="B320" s="27" t="s">
        <v>1068</v>
      </c>
      <c r="C320" s="27" t="s">
        <v>1083</v>
      </c>
      <c r="D320" s="27" t="s">
        <v>1066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1124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1253</v>
      </c>
      <c r="B322" s="27" t="s">
        <v>1089</v>
      </c>
      <c r="C322" s="27" t="s">
        <v>1131</v>
      </c>
      <c r="D322" s="27" t="s">
        <v>1066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1188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1258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1259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1260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1077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1261</v>
      </c>
    </row>
    <row r="330" spans="1:12">
      <c r="A330" s="20" t="s">
        <v>1194</v>
      </c>
      <c r="B330" s="27" t="s">
        <v>1064</v>
      </c>
      <c r="C330" s="27" t="s">
        <v>1065</v>
      </c>
      <c r="D330" s="27" t="s">
        <v>1066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1080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1262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1253</v>
      </c>
      <c r="B334" s="27" t="s">
        <v>1157</v>
      </c>
      <c r="C334" s="27" t="s">
        <v>1131</v>
      </c>
      <c r="D334" s="27" t="s">
        <v>1066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1084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1263</v>
      </c>
      <c r="B336" s="27" t="s">
        <v>1130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1067</v>
      </c>
      <c r="B337" s="27" t="s">
        <v>1138</v>
      </c>
      <c r="C337" s="27" t="s">
        <v>1069</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1094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1264</v>
      </c>
      <c r="B339" s="27" t="s">
        <v>1089</v>
      </c>
      <c r="C339" s="27" t="s">
        <v>1083</v>
      </c>
      <c r="D339" s="27" t="s">
        <v>1066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1173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1075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1125</v>
      </c>
      <c r="B342" s="27" t="s">
        <v>1113</v>
      </c>
      <c r="C342" s="27" t="s">
        <v>1126</v>
      </c>
      <c r="D342" s="27" t="s">
        <v>1066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1264</v>
      </c>
      <c r="B343" s="27" t="s">
        <v>1232</v>
      </c>
      <c r="C343" s="27" t="s">
        <v>1128</v>
      </c>
      <c r="D343" s="27" t="s">
        <v>1066</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1265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1266</v>
      </c>
      <c r="B345" s="27" t="s">
        <v>1113</v>
      </c>
      <c r="C345" s="27" t="s">
        <v>1069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1190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1267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1268</v>
      </c>
      <c r="B348" s="27" t="s">
        <v>1247</v>
      </c>
      <c r="C348" s="27" t="s">
        <v>1114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1077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1269</v>
      </c>
    </row>
    <row r="352" spans="1:12">
      <c r="A352" s="20" t="s">
        <v>1270</v>
      </c>
      <c r="B352" s="27" t="s">
        <v>1071</v>
      </c>
      <c r="C352" s="27" t="s">
        <v>1074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1139</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1080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1271</v>
      </c>
      <c r="B355" s="27" t="s">
        <v>1071</v>
      </c>
      <c r="C355" s="27" t="s">
        <v>1083</v>
      </c>
      <c r="D355" s="27" t="s">
        <v>1066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1075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1082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1272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1084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1101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1273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1274</v>
      </c>
      <c r="B362" s="27" t="s">
        <v>1071</v>
      </c>
      <c r="C362" s="27" t="s">
        <v>1083</v>
      </c>
      <c r="D362" s="27" t="s">
        <v>1066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1084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1146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1101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1275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1276</v>
      </c>
      <c r="B367" s="27" t="s">
        <v>1130</v>
      </c>
      <c r="C367" s="27" t="s">
        <v>1083</v>
      </c>
      <c r="D367" s="27" t="s">
        <v>1066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1086</v>
      </c>
      <c r="B368" s="27" t="s">
        <v>1103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1277</v>
      </c>
      <c r="B369" s="27" t="s">
        <v>1138</v>
      </c>
      <c r="C369" s="27" t="s">
        <v>1107</v>
      </c>
      <c r="D369" s="27" t="s">
        <v>1066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1226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1278</v>
      </c>
      <c r="B371" s="27" t="s">
        <v>1130</v>
      </c>
      <c r="C371" s="27" t="s">
        <v>1126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1152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1279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1233</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1075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1280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1281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1282</v>
      </c>
      <c r="B378" s="27" t="s">
        <v>1247</v>
      </c>
      <c r="C378" s="27" t="s">
        <v>1074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1283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1077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1284</v>
      </c>
    </row>
    <row r="383" spans="1:12">
      <c r="A383" s="20" t="s">
        <v>1207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1084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1094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1285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1286</v>
      </c>
      <c r="B387" s="27" t="s">
        <v>1064</v>
      </c>
      <c r="C387" s="27" t="s">
        <v>1083</v>
      </c>
      <c r="D387" s="27" t="s">
        <v>1066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1287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1288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1253</v>
      </c>
      <c r="B390" s="27" t="s">
        <v>1071</v>
      </c>
      <c r="C390" s="27" t="s">
        <v>1131</v>
      </c>
      <c r="D390" s="27" t="s">
        <v>1066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1289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1075</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1094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1290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1291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1292</v>
      </c>
      <c r="B397" s="27" t="s">
        <v>1071</v>
      </c>
      <c r="C397" s="27" t="s">
        <v>1083</v>
      </c>
      <c r="D397" s="27" t="s">
        <v>1066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1075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1293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1147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1294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1268</v>
      </c>
      <c r="B402" s="27" t="s">
        <v>1064</v>
      </c>
      <c r="C402" s="27" t="s">
        <v>1128</v>
      </c>
      <c r="D402" s="27" t="s">
        <v>1066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1084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1295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1296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1164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1266</v>
      </c>
      <c r="B408" s="27" t="s">
        <v>1089</v>
      </c>
      <c r="C408" s="27" t="s">
        <v>1069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1297</v>
      </c>
      <c r="B409" s="27" t="s">
        <v>1092</v>
      </c>
      <c r="C409" s="27" t="s">
        <v>1114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1084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1298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1152</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1190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1150</v>
      </c>
      <c r="B414" s="27" t="s">
        <v>1068</v>
      </c>
      <c r="C414" s="27" t="s">
        <v>1107</v>
      </c>
      <c r="D414" s="27" t="s">
        <v>1066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1077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row>
    <row r="417" spans="1:12">
      <c r="A417" s="20" t="s">
        <v>1299</v>
      </c>
    </row>
    <row r="418" spans="1:12">
      <c r="A418" s="20" t="s">
        <v>1079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1164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1296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1300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1301</v>
      </c>
      <c r="B422" s="27" t="s">
        <v>1064</v>
      </c>
      <c r="C422" s="27" t="s">
        <v>1074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1302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1084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1163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1303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1125</v>
      </c>
      <c r="B427" s="27" t="s">
        <v>1089</v>
      </c>
      <c r="C427" s="27" t="s">
        <v>1126</v>
      </c>
      <c r="D427" s="27" t="s">
        <v>1066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1268</v>
      </c>
      <c r="B428" s="27" t="s">
        <v>1092</v>
      </c>
      <c r="C428" s="27" t="s">
        <v>1128</v>
      </c>
      <c r="D428" s="27" t="s">
        <v>1066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46</v>
      </c>
      <c r="B429" s="27" t="s">
        <v>1157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1077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row>
    <row r="432" spans="1:12">
      <c r="A432" s="20" t="s">
        <v>1304</v>
      </c>
    </row>
    <row r="433" spans="1:12">
      <c r="A433" s="20" t="s">
        <v>1120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1185</v>
      </c>
      <c r="B434" s="27" t="s">
        <v>1064</v>
      </c>
      <c r="C434" s="27" t="s">
        <v>1107</v>
      </c>
      <c r="D434" s="27" t="s">
        <v>1066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1122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1303</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838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1305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1306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1307</v>
      </c>
    </row>
    <row r="443" spans="1:12">
      <c r="A443" s="20" t="s">
        <v>1308</v>
      </c>
      <c r="B443" s="27" t="s">
        <v>1064</v>
      </c>
      <c r="C443" s="27" t="s">
        <v>1065</v>
      </c>
      <c r="D443" s="27" t="s">
        <v>1066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1309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1101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1310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1311</v>
      </c>
      <c r="B448" s="27" t="s">
        <v>1157</v>
      </c>
      <c r="C448" s="27" t="s">
        <v>1083</v>
      </c>
      <c r="D448" s="27" t="s">
        <v>1066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1312</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1313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1314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1315</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1316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1105</v>
      </c>
      <c r="B454" s="27" t="s">
        <v>1092</v>
      </c>
      <c r="C454" s="27" t="s">
        <v>1107</v>
      </c>
      <c r="D454" s="27" t="s">
        <v>1066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1317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1318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1139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1319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1320</v>
      </c>
      <c r="B459" s="27" t="s">
        <v>1068</v>
      </c>
      <c r="C459" s="27" t="s">
        <v>1074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173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1321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row>
    <row r="463" spans="1:12">
      <c r="A463" s="20" t="s">
        <v>1306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1322</v>
      </c>
    </row>
    <row r="465" spans="1:12">
      <c r="A465" s="20" t="s">
        <v>109</v>
      </c>
      <c r="B465" s="27" t="s">
        <v>1071</v>
      </c>
      <c r="C465" s="27" t="s">
        <v>1074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1152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1101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1323</v>
      </c>
      <c r="B468" s="27" t="s">
        <v>1071</v>
      </c>
      <c r="C468" s="27" t="s">
        <v>1083</v>
      </c>
      <c r="D468" s="27" t="s">
        <v>1066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1158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141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1324</v>
      </c>
      <c r="B471" s="27" t="s">
        <v>1068</v>
      </c>
      <c r="C471" s="27" t="s">
        <v>1117</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1321</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1315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row>
    <row r="475" spans="1:12">
      <c r="A475" s="20" t="s">
        <v>1325</v>
      </c>
    </row>
    <row r="476" spans="1:12">
      <c r="A476" s="20" t="s">
        <v>1161</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1326</v>
      </c>
      <c r="B477" s="27" t="s">
        <v>1064</v>
      </c>
      <c r="C477" s="27" t="s">
        <v>1083</v>
      </c>
      <c r="D477" s="27" t="s">
        <v>1066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1188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1314</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1327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1105</v>
      </c>
      <c r="B481" s="27" t="s">
        <v>1092</v>
      </c>
      <c r="C481" s="27" t="s">
        <v>1107</v>
      </c>
      <c r="D481" s="27" t="s">
        <v>1066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1319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1320</v>
      </c>
      <c r="B483" s="27" t="s">
        <v>1071</v>
      </c>
      <c r="C483" s="27" t="s">
        <v>1074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173</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1084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1181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1101</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1328</v>
      </c>
      <c r="B488" s="27" t="s">
        <v>1092</v>
      </c>
      <c r="C488" s="27" t="s">
        <v>1083</v>
      </c>
      <c r="D488" s="27" t="s">
        <v>1066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1329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1330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1077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1331</v>
      </c>
    </row>
    <row r="494" spans="1:12">
      <c r="A494" s="20" t="s">
        <v>1332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1188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1164</v>
      </c>
      <c r="B496" s="27" t="s">
        <v>1064</v>
      </c>
      <c r="C496" s="27" t="s">
        <v>1065</v>
      </c>
      <c r="D496" s="27" t="s">
        <v>1066</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1182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1333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1334</v>
      </c>
      <c r="B499" s="27" t="s">
        <v>1071</v>
      </c>
      <c r="C499" s="27" t="s">
        <v>1117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1077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1335</v>
      </c>
    </row>
    <row r="503" spans="1:12">
      <c r="A503" s="20" t="s">
        <v>1155</v>
      </c>
      <c r="B503" s="27" t="s">
        <v>1064</v>
      </c>
      <c r="C503" s="27" t="s">
        <v>1065</v>
      </c>
      <c r="D503" s="27" t="s">
        <v>1066</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1188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1336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1337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1135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1067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121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1084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1105</v>
      </c>
      <c r="B511" s="27" t="s">
        <v>1092</v>
      </c>
      <c r="C511" s="27" t="s">
        <v>1107</v>
      </c>
      <c r="D511" s="27" t="s">
        <v>1066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157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141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1338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1339</v>
      </c>
      <c r="B515" s="27" t="s">
        <v>1138</v>
      </c>
      <c r="C515" s="27" t="s">
        <v>1114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1340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1341</v>
      </c>
      <c r="B517" s="27" t="s">
        <v>1087</v>
      </c>
      <c r="C517" s="27" t="s">
        <v>1117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1084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1094</v>
      </c>
      <c r="B519" s="27" t="s">
        <v>1232</v>
      </c>
      <c r="C519" s="27" t="s">
        <v>1107</v>
      </c>
      <c r="D519" s="27" t="s">
        <v>1066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1342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1197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1339</v>
      </c>
      <c r="B523" s="27" t="s">
        <v>1113</v>
      </c>
      <c r="C523" s="27" t="s">
        <v>1114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1343</v>
      </c>
      <c r="B524" s="27" t="s">
        <v>1138</v>
      </c>
      <c r="C524" s="27" t="s">
        <v>1117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1344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1345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1077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1346</v>
      </c>
    </row>
    <row r="530" spans="1:12">
      <c r="A530" s="20" t="s">
        <v>1347</v>
      </c>
      <c r="B530" s="27" t="s">
        <v>1157</v>
      </c>
      <c r="C530" s="27" t="s">
        <v>1107</v>
      </c>
      <c r="D530" s="27" t="s">
        <v>1066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1170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1348</v>
      </c>
      <c r="B532" s="27" t="s">
        <v>1064</v>
      </c>
      <c r="C532" s="27" t="s">
        <v>1069</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1349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1350</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1351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1344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125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1077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row>
    <row r="540" spans="1:12">
      <c r="A540" s="20" t="s">
        <v>1352</v>
      </c>
    </row>
    <row r="541" spans="1:12">
      <c r="A541" s="20" t="s">
        <v>1172</v>
      </c>
      <c r="B541" s="27" t="s">
        <v>1064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1353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1345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1336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1354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1355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1084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1139</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1320</v>
      </c>
      <c r="B549" s="27" t="s">
        <v>1071</v>
      </c>
      <c r="C549" s="27" t="s">
        <v>1074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1077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row>
    <row r="552" spans="1:12">
      <c r="A552" s="20" t="s">
        <v>1356</v>
      </c>
    </row>
    <row r="553" spans="1:12">
      <c r="A553" s="20" t="s">
        <v>1207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1084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1105</v>
      </c>
      <c r="B555" s="27" t="s">
        <v>1064</v>
      </c>
      <c r="C555" s="27" t="s">
        <v>1107</v>
      </c>
      <c r="D555" s="27" t="s">
        <v>1066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133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1357</v>
      </c>
      <c r="B557" s="27" t="s">
        <v>1068</v>
      </c>
      <c r="C557" s="27" t="s">
        <v>1069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1358</v>
      </c>
      <c r="B558" s="27" t="s">
        <v>1071</v>
      </c>
      <c r="C558" s="27" t="s">
        <v>1074</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1182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1359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1360</v>
      </c>
      <c r="B561" s="27" t="s">
        <v>1157</v>
      </c>
      <c r="C561" s="27" t="s">
        <v>1117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1361</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1084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1072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1112</v>
      </c>
      <c r="B566" s="27" t="s">
        <v>1068</v>
      </c>
      <c r="C566" s="27" t="s">
        <v>1114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1362</v>
      </c>
      <c r="B567" s="27" t="s">
        <v>1071</v>
      </c>
      <c r="C567" s="27" t="s">
        <v>1074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1077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row>
    <row r="570" spans="1:12">
      <c r="A570" s="20" t="s">
        <v>1363</v>
      </c>
    </row>
    <row r="571" spans="1:12">
      <c r="A571" s="20" t="s">
        <v>1364</v>
      </c>
      <c r="B571" s="27" t="s">
        <v>1068</v>
      </c>
      <c r="C571" s="27" t="s">
        <v>1069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1365</v>
      </c>
      <c r="B572" s="27" t="s">
        <v>1064</v>
      </c>
      <c r="C572" s="27" t="s">
        <v>1074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1366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1362</v>
      </c>
      <c r="B575" s="27" t="s">
        <v>1071</v>
      </c>
      <c r="C575" s="27" t="s">
        <v>1114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1077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1367</v>
      </c>
    </row>
    <row r="579" spans="1:12">
      <c r="A579" s="20" t="s">
        <v>1127</v>
      </c>
      <c r="B579" s="27" t="s">
        <v>1064</v>
      </c>
      <c r="C579" s="27" t="s">
        <v>1074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1361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1368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1369</v>
      </c>
      <c r="B582" s="27" t="s">
        <v>1071</v>
      </c>
      <c r="C582" s="27" t="s">
        <v>1114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1084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1370</v>
      </c>
      <c r="B584" s="27" t="s">
        <v>1068</v>
      </c>
      <c r="C584" s="27" t="s">
        <v>1107</v>
      </c>
      <c r="D584" s="27" t="s">
        <v>1066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1135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1182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1077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1371</v>
      </c>
    </row>
    <row r="590" spans="1:12">
      <c r="A590" s="20" t="s">
        <v>1372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1140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1373</v>
      </c>
      <c r="B592" s="27" t="s">
        <v>1071</v>
      </c>
      <c r="C592" s="27" t="s">
        <v>1083</v>
      </c>
      <c r="D592" s="27" t="s">
        <v>1066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1121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1164</v>
      </c>
      <c r="B594" s="27" t="s">
        <v>1064</v>
      </c>
      <c r="C594" s="27" t="s">
        <v>1065</v>
      </c>
      <c r="D594" s="27" t="s">
        <v>1066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1366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1362</v>
      </c>
      <c r="B597" s="27" t="s">
        <v>1071</v>
      </c>
      <c r="C597" s="27" t="s">
        <v>1114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1124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1136</v>
      </c>
      <c r="B599" s="27" t="s">
        <v>1071</v>
      </c>
      <c r="C599" s="27" t="s">
        <v>1069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1139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1140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1141</v>
      </c>
      <c r="B602" s="27" t="s">
        <v>1068</v>
      </c>
      <c r="C602" s="27" t="s">
        <v>1083</v>
      </c>
      <c r="D602" s="27" t="s">
        <v>1066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1077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row>
    <row r="605" spans="1:12">
      <c r="A605" s="20" t="s">
        <v>1374</v>
      </c>
    </row>
    <row r="606" spans="1:12">
      <c r="A606" s="20" t="s">
        <v>1079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1375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1105</v>
      </c>
      <c r="B609" s="27" t="s">
        <v>1064</v>
      </c>
      <c r="C609" s="27" t="s">
        <v>1107</v>
      </c>
      <c r="D609" s="27" t="s">
        <v>1066</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1278</v>
      </c>
      <c r="B610" s="27" t="s">
        <v>1157</v>
      </c>
      <c r="C610" s="27" t="s">
        <v>1074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1084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1101</v>
      </c>
      <c r="B613" s="27" t="s">
        <v>1092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1080</v>
      </c>
      <c r="B614" s="27" t="s">
        <v>1087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1139</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1320</v>
      </c>
      <c r="B616" s="27" t="s">
        <v>1068</v>
      </c>
      <c r="C616" s="27" t="s">
        <v>1074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193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1077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row>
    <row r="620" spans="1:12">
      <c r="A620" s="20" t="s">
        <v>1376</v>
      </c>
    </row>
    <row r="621" spans="1:12">
      <c r="A621" s="20" t="s">
        <v>1155</v>
      </c>
      <c r="B621" s="27" t="s">
        <v>1064</v>
      </c>
      <c r="C621" s="27" t="s">
        <v>1065</v>
      </c>
      <c r="D621" s="27" t="s">
        <v>1066</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1188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1377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1378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1379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1077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row>
    <row r="628" spans="1:12">
      <c r="A628" s="20" t="s">
        <v>1380</v>
      </c>
    </row>
    <row r="629" spans="1:12">
      <c r="A629" s="20" t="s">
        <v>1381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1382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1383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1278</v>
      </c>
      <c r="B632" s="27" t="s">
        <v>1064</v>
      </c>
      <c r="C632" s="27" t="s">
        <v>1074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157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1164</v>
      </c>
      <c r="B634" s="27" t="s">
        <v>1064</v>
      </c>
      <c r="C634" s="27" t="s">
        <v>1065</v>
      </c>
      <c r="D634" s="27" t="s">
        <v>1066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1384</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1385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1075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1105</v>
      </c>
      <c r="B638" s="27" t="s">
        <v>1092</v>
      </c>
      <c r="C638" s="27" t="s">
        <v>1107</v>
      </c>
      <c r="D638" s="27" t="s">
        <v>1066</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129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1196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1386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1289</v>
      </c>
      <c r="B642" s="27" t="s">
        <v>1068</v>
      </c>
      <c r="C642" s="27" t="s">
        <v>1074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1067</v>
      </c>
      <c r="B643" s="27" t="s">
        <v>1089</v>
      </c>
      <c r="C643" s="27" t="s">
        <v>1069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1387</v>
      </c>
      <c r="B644" s="27" t="s">
        <v>1068</v>
      </c>
      <c r="C644" s="27" t="s">
        <v>1074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223</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1075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1067</v>
      </c>
      <c r="B647" s="27" t="s">
        <v>1068</v>
      </c>
      <c r="C647" s="27" t="s">
        <v>1069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1197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1387</v>
      </c>
      <c r="B649" s="27" t="s">
        <v>1071</v>
      </c>
      <c r="C649" s="27" t="s">
        <v>1117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1388</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1139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1320</v>
      </c>
      <c r="B652" s="27" t="s">
        <v>1068</v>
      </c>
      <c r="C652" s="27" t="s">
        <v>1074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1077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row>
    <row r="655" spans="1:12">
      <c r="A655" s="20" t="s">
        <v>1389</v>
      </c>
    </row>
    <row r="656" spans="1:12">
      <c r="A656" s="20" t="s">
        <v>1390</v>
      </c>
      <c r="B656" s="27" t="s">
        <v>1068</v>
      </c>
      <c r="C656" s="27" t="s">
        <v>1126</v>
      </c>
      <c r="D656" s="27" t="s">
        <v>1066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1257</v>
      </c>
      <c r="B657" s="27" t="s">
        <v>1064</v>
      </c>
      <c r="C657" s="27" t="s">
        <v>1128</v>
      </c>
      <c r="D657" s="27" t="s">
        <v>1066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1265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1391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1392</v>
      </c>
      <c r="B660" s="27" t="s">
        <v>1157</v>
      </c>
      <c r="C660" s="27" t="s">
        <v>1114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1077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row>
    <row r="663" spans="1:12">
      <c r="A663" s="20" t="s">
        <v>1393</v>
      </c>
    </row>
    <row r="664" spans="1:12">
      <c r="A664" s="20" t="s">
        <v>1394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1395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161</v>
      </c>
      <c r="B666" s="27" t="s">
        <v>1071</v>
      </c>
      <c r="C666" s="27" t="s">
        <v>1117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1077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row>
    <row r="669" spans="1:12">
      <c r="A669" s="20" t="s">
        <v>1396</v>
      </c>
    </row>
    <row r="670" spans="1:12">
      <c r="A670" s="20" t="s">
        <v>1194</v>
      </c>
      <c r="B670" s="27" t="s">
        <v>1064</v>
      </c>
      <c r="C670" s="27" t="s">
        <v>1065</v>
      </c>
      <c r="D670" s="27" t="s">
        <v>1066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157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1397</v>
      </c>
      <c r="B672" s="27" t="s">
        <v>1068</v>
      </c>
      <c r="C672" s="27" t="s">
        <v>1126</v>
      </c>
      <c r="D672" s="27" t="s">
        <v>1066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793</v>
      </c>
      <c r="B673" s="27" t="s">
        <v>1064</v>
      </c>
      <c r="C673" s="27" t="s">
        <v>1128</v>
      </c>
      <c r="D673" s="27" t="s">
        <v>1066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1398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1253</v>
      </c>
      <c r="B676" s="27" t="s">
        <v>1068</v>
      </c>
      <c r="C676" s="27" t="s">
        <v>1131</v>
      </c>
      <c r="D676" s="27" t="s">
        <v>1066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1084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1080</v>
      </c>
      <c r="B679" s="27" t="s">
        <v>1232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1194</v>
      </c>
      <c r="B680" s="27" t="s">
        <v>1232</v>
      </c>
      <c r="C680" s="27" t="s">
        <v>1065</v>
      </c>
      <c r="D680" s="27" t="s">
        <v>1066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1399</v>
      </c>
      <c r="B681" s="27" t="s">
        <v>1247</v>
      </c>
      <c r="C681" s="27" t="s">
        <v>1074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1320</v>
      </c>
      <c r="B682" s="27" t="s">
        <v>1113</v>
      </c>
      <c r="C682" s="27" t="s">
        <v>1074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1400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1075</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1080</v>
      </c>
      <c r="B686" s="27" t="s">
        <v>1092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1181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1196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1094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1401</v>
      </c>
      <c r="B690" s="27" t="s">
        <v>1068</v>
      </c>
      <c r="C690" s="27" t="s">
        <v>1083</v>
      </c>
      <c r="D690" s="27" t="s">
        <v>1066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1094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1127</v>
      </c>
      <c r="B692" s="27" t="s">
        <v>1089</v>
      </c>
      <c r="C692" s="27" t="s">
        <v>1083</v>
      </c>
      <c r="D692" s="27" t="s">
        <v>1066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1402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1084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1196</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1110</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1403</v>
      </c>
      <c r="B697" s="27" t="s">
        <v>1071</v>
      </c>
      <c r="C697" s="27" t="s">
        <v>1083</v>
      </c>
      <c r="D697" s="27" t="s">
        <v>1066</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1084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1101</v>
      </c>
      <c r="B699" s="27" t="s">
        <v>1130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1404</v>
      </c>
      <c r="B700" s="27" t="s">
        <v>1138</v>
      </c>
      <c r="C700" s="27" t="s">
        <v>1069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1405</v>
      </c>
      <c r="B701" s="27" t="s">
        <v>1103</v>
      </c>
      <c r="C701" s="27" t="s">
        <v>1074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1221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1140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1373</v>
      </c>
      <c r="B704" s="27" t="s">
        <v>1089</v>
      </c>
      <c r="C704" s="27" t="s">
        <v>1083</v>
      </c>
      <c r="D704" s="27" t="s">
        <v>1066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1406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1084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1094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1407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1073</v>
      </c>
      <c r="B709" s="27" t="s">
        <v>1071</v>
      </c>
      <c r="C709" s="27" t="s">
        <v>1083</v>
      </c>
      <c r="D709" s="27" t="s">
        <v>1066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1124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1136</v>
      </c>
      <c r="B711" s="27" t="s">
        <v>1089</v>
      </c>
      <c r="C711" s="27" t="s">
        <v>1069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1408</v>
      </c>
      <c r="B712" s="27" t="s">
        <v>1068</v>
      </c>
      <c r="C712" s="27" t="s">
        <v>1074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1075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1140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1253</v>
      </c>
      <c r="B715" s="27" t="s">
        <v>1089</v>
      </c>
      <c r="C715" s="27" t="s">
        <v>1131</v>
      </c>
      <c r="D715" s="27" t="s">
        <v>1066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1084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1080</v>
      </c>
      <c r="B717" s="27" t="s">
        <v>1130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1409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1410</v>
      </c>
      <c r="B719" s="27" t="s">
        <v>1089</v>
      </c>
      <c r="C719" s="27" t="s">
        <v>1074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1411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1181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1077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1412</v>
      </c>
    </row>
    <row r="725" spans="1:12">
      <c r="A725" s="20" t="s">
        <v>1413</v>
      </c>
      <c r="B725" s="27" t="s">
        <v>1157</v>
      </c>
      <c r="C725" s="27" t="s">
        <v>1074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1194</v>
      </c>
      <c r="B726" s="27" t="s">
        <v>1092</v>
      </c>
      <c r="C726" s="27" t="s">
        <v>1065</v>
      </c>
      <c r="D726" s="27" t="s">
        <v>1066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1239</v>
      </c>
      <c r="B727" s="27" t="s">
        <v>1087</v>
      </c>
      <c r="C727" s="27" t="s">
        <v>1107</v>
      </c>
      <c r="D727" s="27" t="s">
        <v>1066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1240</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1136</v>
      </c>
      <c r="B729" s="27" t="s">
        <v>1068</v>
      </c>
      <c r="C729" s="27" t="s">
        <v>1069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1414</v>
      </c>
      <c r="B730" s="27" t="s">
        <v>1157</v>
      </c>
      <c r="C730" s="27" t="s">
        <v>1074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1415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169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1075</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609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1105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1084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1163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1105</v>
      </c>
      <c r="B738" s="27" t="s">
        <v>1092</v>
      </c>
      <c r="C738" s="27" t="s">
        <v>1107</v>
      </c>
      <c r="D738" s="27" t="s">
        <v>1066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1080</v>
      </c>
      <c r="B739" s="27" t="s">
        <v>1087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1139</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1320</v>
      </c>
      <c r="B741" s="27" t="s">
        <v>1068</v>
      </c>
      <c r="C741" s="27" t="s">
        <v>1074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248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1077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row>
    <row r="745" spans="1:12">
      <c r="A745" s="20" t="s">
        <v>1416</v>
      </c>
    </row>
    <row r="746" spans="1:12">
      <c r="A746" s="20" t="s">
        <v>1417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1345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1182</v>
      </c>
      <c r="B748" s="27" t="s">
        <v>1064</v>
      </c>
      <c r="C748" s="27" t="s">
        <v>1069</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1418</v>
      </c>
      <c r="B749" s="27" t="s">
        <v>1089</v>
      </c>
      <c r="C749" s="27" t="s">
        <v>1126</v>
      </c>
      <c r="D749" s="27" t="s">
        <v>1066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1419</v>
      </c>
      <c r="B750" s="27" t="s">
        <v>1068</v>
      </c>
      <c r="C750" s="27" t="s">
        <v>1128</v>
      </c>
      <c r="D750" s="27" t="s">
        <v>1066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1190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404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1204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1320</v>
      </c>
      <c r="B754" s="27" t="s">
        <v>1068</v>
      </c>
      <c r="C754" s="27" t="s">
        <v>1074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173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1077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row>
    <row r="758" spans="1:12">
      <c r="A758" s="20" t="s">
        <v>1420</v>
      </c>
    </row>
    <row r="759" spans="1:12">
      <c r="A759" s="20" t="s">
        <v>1207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1080</v>
      </c>
      <c r="B760" s="27" t="s">
        <v>1064</v>
      </c>
      <c r="C760" s="27" t="s">
        <v>1126</v>
      </c>
      <c r="D760" s="27" t="s">
        <v>1066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1188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1421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1422</v>
      </c>
      <c r="B763" s="27" t="s">
        <v>1071</v>
      </c>
      <c r="C763" s="27" t="s">
        <v>1074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1084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1298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223</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1105</v>
      </c>
      <c r="B767" s="27" t="s">
        <v>1092</v>
      </c>
      <c r="C767" s="27" t="s">
        <v>1107</v>
      </c>
      <c r="D767" s="27" t="s">
        <v>1066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1164</v>
      </c>
      <c r="B768" s="27" t="s">
        <v>1092</v>
      </c>
      <c r="C768" s="27" t="s">
        <v>1065</v>
      </c>
      <c r="D768" s="27" t="s">
        <v>1066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1423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1424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1077</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row>
    <row r="773" spans="1:12">
      <c r="A773" s="20" t="s">
        <v>1425</v>
      </c>
    </row>
    <row r="774" spans="1:12">
      <c r="A774" s="20" t="s">
        <v>1426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157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1105</v>
      </c>
      <c r="B776" s="27" t="s">
        <v>1064</v>
      </c>
      <c r="C776" s="27" t="s">
        <v>1107</v>
      </c>
      <c r="D776" s="27" t="s">
        <v>1066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1101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1427</v>
      </c>
      <c r="B778" s="27" t="s">
        <v>1157</v>
      </c>
      <c r="C778" s="27" t="s">
        <v>1083</v>
      </c>
      <c r="D778" s="27" t="s">
        <v>1066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1077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row>
    <row r="781" spans="1:12">
      <c r="A781" s="20" t="s">
        <v>1428</v>
      </c>
    </row>
    <row r="782" spans="1:12">
      <c r="A782" s="20" t="s">
        <v>1061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185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1429</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1112</v>
      </c>
      <c r="B785" s="27" t="s">
        <v>1068</v>
      </c>
      <c r="C785" s="27" t="s">
        <v>1114</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1127</v>
      </c>
      <c r="B786" s="27" t="s">
        <v>1064</v>
      </c>
      <c r="C786" s="27" t="s">
        <v>1074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1084</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1075</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1164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1430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1139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42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1112</v>
      </c>
      <c r="B793" s="27" t="s">
        <v>1068</v>
      </c>
      <c r="C793" s="27" t="s">
        <v>1114</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1067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1077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row>
    <row r="797" spans="1:12">
      <c r="A797" s="20" t="s">
        <v>1431</v>
      </c>
    </row>
    <row r="798" spans="1:12">
      <c r="A798" s="20" t="s">
        <v>1101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1086</v>
      </c>
      <c r="B799" s="27" t="s">
        <v>1157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1139</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1112</v>
      </c>
      <c r="B802" s="27" t="s">
        <v>1071</v>
      </c>
      <c r="C802" s="27" t="s">
        <v>1114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1067</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189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1077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row>
    <row r="807" spans="1:12">
      <c r="A807" s="20" t="s">
        <v>1432</v>
      </c>
    </row>
    <row r="808" spans="1:12">
      <c r="A808" s="20" t="s">
        <v>1433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1105</v>
      </c>
      <c r="B809" s="27" t="s">
        <v>1092</v>
      </c>
      <c r="C809" s="27" t="s">
        <v>1107</v>
      </c>
      <c r="D809" s="27" t="s">
        <v>1066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1190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1434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1243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1435</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1436</v>
      </c>
      <c r="B814" s="27" t="s">
        <v>1089</v>
      </c>
      <c r="C814" s="27" t="s">
        <v>1074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1084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1094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1437</v>
      </c>
      <c r="B817" s="27" t="s">
        <v>1138</v>
      </c>
      <c r="C817" s="27" t="s">
        <v>1083</v>
      </c>
      <c r="D817" s="27" t="s">
        <v>1066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1075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1438</v>
      </c>
      <c r="B819" s="27" t="s">
        <v>1138</v>
      </c>
      <c r="C819" s="27" t="s">
        <v>1074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1121</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1200</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1105</v>
      </c>
      <c r="B822" s="27" t="s">
        <v>1064</v>
      </c>
      <c r="C822" s="27" t="s">
        <v>1107</v>
      </c>
      <c r="D822" s="27" t="s">
        <v>1066</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1080</v>
      </c>
      <c r="B823" s="27" t="s">
        <v>1157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1439</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1097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1440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1388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1441</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193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1084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1298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1067</v>
      </c>
      <c r="B832" s="27" t="s">
        <v>1089</v>
      </c>
      <c r="C832" s="27" t="s">
        <v>1069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1094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1208</v>
      </c>
      <c r="B834" s="27" t="s">
        <v>1068</v>
      </c>
      <c r="C834" s="27" t="s">
        <v>1083</v>
      </c>
      <c r="D834" s="27" t="s">
        <v>1066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216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1105</v>
      </c>
      <c r="B836" s="27" t="s">
        <v>1092</v>
      </c>
      <c r="C836" s="27" t="s">
        <v>1107</v>
      </c>
      <c r="D836" s="27" t="s">
        <v>1066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1182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1442</v>
      </c>
      <c r="B838" s="27" t="s">
        <v>1087</v>
      </c>
      <c r="C838" s="27" t="s">
        <v>1117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1097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1443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1077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row>
    <row r="843" spans="1:12">
      <c r="A843" s="20" t="s">
        <v>1444</v>
      </c>
    </row>
    <row r="844" spans="1:12">
      <c r="A844" s="20" t="s">
        <v>1445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1446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1414</v>
      </c>
      <c r="B846" s="27" t="s">
        <v>1064</v>
      </c>
      <c r="C846" s="27" t="s">
        <v>1083</v>
      </c>
      <c r="D846" s="27" t="s">
        <v>1066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1121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1101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1447</v>
      </c>
      <c r="B849" s="27" t="s">
        <v>1071</v>
      </c>
      <c r="C849" s="27" t="s">
        <v>1083</v>
      </c>
      <c r="D849" s="27" t="s">
        <v>1066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1084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1101</v>
      </c>
      <c r="B851" s="27" t="s">
        <v>1087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1105</v>
      </c>
      <c r="B852" s="27" t="s">
        <v>1092</v>
      </c>
      <c r="C852" s="27" t="s">
        <v>1107</v>
      </c>
      <c r="D852" s="27" t="s">
        <v>1066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655</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1077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row>
    <row r="856" spans="1:12">
      <c r="A856" s="20" t="s">
        <v>1448</v>
      </c>
    </row>
    <row r="857" spans="1:12">
      <c r="A857" s="20" t="s">
        <v>1172</v>
      </c>
      <c r="B857" s="27" t="s">
        <v>1064</v>
      </c>
      <c r="C857" s="27" t="s">
        <v>1126</v>
      </c>
      <c r="D857" s="27" t="s">
        <v>1066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1449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1450</v>
      </c>
      <c r="B859" s="27" t="s">
        <v>1157</v>
      </c>
      <c r="C859" s="27" t="s">
        <v>1069</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1084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1101</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1451</v>
      </c>
      <c r="B862" s="27" t="s">
        <v>1157</v>
      </c>
      <c r="C862" s="27" t="s">
        <v>1083</v>
      </c>
      <c r="D862" s="27" t="s">
        <v>1066</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1084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1101</v>
      </c>
      <c r="B864" s="27" t="s">
        <v>1103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1105</v>
      </c>
      <c r="B865" s="27" t="s">
        <v>1130</v>
      </c>
      <c r="C865" s="27" t="s">
        <v>1107</v>
      </c>
      <c r="D865" s="27" t="s">
        <v>1066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914</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1084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1452</v>
      </c>
      <c r="B868" s="27" t="s">
        <v>1068</v>
      </c>
      <c r="C868" s="27" t="s">
        <v>1074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1084</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1453</v>
      </c>
      <c r="B870" s="27" t="s">
        <v>1068</v>
      </c>
      <c r="C870" s="27" t="s">
        <v>1074</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1084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1454</v>
      </c>
      <c r="B872" s="27" t="s">
        <v>1068</v>
      </c>
      <c r="C872" s="27" t="s">
        <v>1074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1077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1455</v>
      </c>
    </row>
    <row r="876" spans="1:12">
      <c r="A876" s="20" t="s">
        <v>1172</v>
      </c>
      <c r="B876" s="27" t="s">
        <v>1092</v>
      </c>
      <c r="C876" s="27" t="s">
        <v>1107</v>
      </c>
      <c r="D876" s="27" t="s">
        <v>1066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1121</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1190</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1456</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1102</v>
      </c>
      <c r="B880" s="27" t="s">
        <v>1064</v>
      </c>
      <c r="C880" s="27" t="s">
        <v>1074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1075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1201</v>
      </c>
      <c r="B882" s="27" t="s">
        <v>1068</v>
      </c>
      <c r="C882" s="27" t="s">
        <v>1074</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1145</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1084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1125</v>
      </c>
      <c r="B885" s="27" t="s">
        <v>1089</v>
      </c>
      <c r="C885" s="27" t="s">
        <v>1126</v>
      </c>
      <c r="D885" s="27" t="s">
        <v>1066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1447</v>
      </c>
      <c r="B886" s="27" t="s">
        <v>1087</v>
      </c>
      <c r="C886" s="27" t="s">
        <v>1128</v>
      </c>
      <c r="D886" s="27" t="s">
        <v>1066</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1457</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1458</v>
      </c>
      <c r="B888" s="27" t="s">
        <v>1087</v>
      </c>
      <c r="C888" s="27" t="s">
        <v>1069</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1139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1140</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1141</v>
      </c>
      <c r="B891" s="27" t="s">
        <v>1068</v>
      </c>
      <c r="C891" s="27" t="s">
        <v>1083</v>
      </c>
      <c r="D891" s="27" t="s">
        <v>1066</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1459</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1067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212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1077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row>
    <row r="897" spans="1:12">
      <c r="A897" s="20" t="s">
        <v>1460</v>
      </c>
    </row>
    <row r="898" spans="1:12">
      <c r="A898" s="20" t="s">
        <v>1155</v>
      </c>
      <c r="B898" s="27" t="s">
        <v>1064</v>
      </c>
      <c r="C898" s="27" t="s">
        <v>1065</v>
      </c>
      <c r="D898" s="27" t="s">
        <v>1066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1188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1461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1084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1146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1125</v>
      </c>
      <c r="B903" s="27" t="s">
        <v>1089</v>
      </c>
      <c r="C903" s="27" t="s">
        <v>1126</v>
      </c>
      <c r="D903" s="27" t="s">
        <v>1066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1462</v>
      </c>
      <c r="B904" s="27" t="s">
        <v>1092</v>
      </c>
      <c r="C904" s="27" t="s">
        <v>1128</v>
      </c>
      <c r="D904" s="27" t="s">
        <v>1066</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1463</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1077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row>
    <row r="908" spans="1:12">
      <c r="A908" s="20" t="s">
        <v>1464</v>
      </c>
    </row>
    <row r="909" spans="1:12">
      <c r="A909" s="20" t="s">
        <v>1372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1094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256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1245</v>
      </c>
      <c r="B912" s="27" t="s">
        <v>1071</v>
      </c>
      <c r="C912" s="27" t="s">
        <v>1083</v>
      </c>
      <c r="D912" s="27" t="s">
        <v>1066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1084</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1221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1094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1465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1466</v>
      </c>
      <c r="B917" s="27" t="s">
        <v>1068</v>
      </c>
      <c r="C917" s="27" t="s">
        <v>1083</v>
      </c>
      <c r="D917" s="27" t="s">
        <v>1066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1084</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1200</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1105</v>
      </c>
      <c r="B920" s="27" t="s">
        <v>1064</v>
      </c>
      <c r="C920" s="27" t="s">
        <v>1107</v>
      </c>
      <c r="D920" s="27" t="s">
        <v>1066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1439</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1467</v>
      </c>
      <c r="B922" s="27" t="s">
        <v>1157</v>
      </c>
      <c r="C922" s="27" t="s">
        <v>1074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212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1075</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1370</v>
      </c>
      <c r="B925" s="27" t="s">
        <v>1087</v>
      </c>
      <c r="C925" s="27" t="s">
        <v>1069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655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1084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1298</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1221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1140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1373</v>
      </c>
      <c r="B931" s="27" t="s">
        <v>1068</v>
      </c>
      <c r="C931" s="27" t="s">
        <v>1083</v>
      </c>
      <c r="D931" s="27" t="s">
        <v>1066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1181</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1125</v>
      </c>
      <c r="B933" s="27" t="s">
        <v>1089</v>
      </c>
      <c r="C933" s="27" t="s">
        <v>1126</v>
      </c>
      <c r="D933" s="27" t="s">
        <v>1066</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1468</v>
      </c>
      <c r="B934" s="27" t="s">
        <v>1092</v>
      </c>
      <c r="C934" s="27" t="s">
        <v>1128</v>
      </c>
      <c r="D934" s="27" t="s">
        <v>1066</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1357</v>
      </c>
      <c r="B935" s="27" t="s">
        <v>1089</v>
      </c>
      <c r="C935" s="27" t="s">
        <v>1069</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1358</v>
      </c>
      <c r="B936" s="27" t="s">
        <v>1068</v>
      </c>
      <c r="C936" s="27" t="s">
        <v>1074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1330</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1075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1086</v>
      </c>
      <c r="B939" s="27" t="s">
        <v>1103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1280</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1469</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1470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1135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1471</v>
      </c>
      <c r="B944" s="27" t="s">
        <v>1089</v>
      </c>
      <c r="C944" s="27" t="s">
        <v>1074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1084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1101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1468</v>
      </c>
      <c r="B947" s="27" t="s">
        <v>1130</v>
      </c>
      <c r="C947" s="27" t="s">
        <v>1083</v>
      </c>
      <c r="D947" s="27" t="s">
        <v>1066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1094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1447</v>
      </c>
      <c r="B949" s="27" t="s">
        <v>1138</v>
      </c>
      <c r="C949" s="27" t="s">
        <v>1083</v>
      </c>
      <c r="D949" s="27" t="s">
        <v>1066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1101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1409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1472</v>
      </c>
      <c r="B952" s="27" t="s">
        <v>1138</v>
      </c>
      <c r="C952" s="27" t="s">
        <v>1083</v>
      </c>
      <c r="D952" s="27" t="s">
        <v>1066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1473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1077</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row>
    <row r="957" spans="1:12">
      <c r="A957" s="20" t="s">
        <v>1474</v>
      </c>
    </row>
    <row r="958" spans="1:12">
      <c r="A958" s="20" t="s">
        <v>1475</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216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1105</v>
      </c>
      <c r="B960" s="27" t="s">
        <v>1064</v>
      </c>
      <c r="C960" s="27" t="s">
        <v>1107</v>
      </c>
      <c r="D960" s="27" t="s">
        <v>1066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1225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1190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1476</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1408</v>
      </c>
      <c r="B964" s="27" t="s">
        <v>1157</v>
      </c>
      <c r="C964" s="27" t="s">
        <v>1117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1077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1477</v>
      </c>
    </row>
    <row r="968" spans="1:12">
      <c r="A968" s="20" t="s">
        <v>1478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1164</v>
      </c>
      <c r="B969" s="27" t="s">
        <v>1064</v>
      </c>
      <c r="C969" s="27" t="s">
        <v>1065</v>
      </c>
      <c r="D969" s="27" t="s">
        <v>1066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1067</v>
      </c>
      <c r="B970" s="27" t="s">
        <v>1068</v>
      </c>
      <c r="C970" s="27" t="s">
        <v>1069</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1479</v>
      </c>
      <c r="B971" s="27" t="s">
        <v>1068</v>
      </c>
      <c r="C971" s="27" t="s">
        <v>1074</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1480</v>
      </c>
      <c r="B972" s="27" t="s">
        <v>1071</v>
      </c>
      <c r="C972" s="27" t="s">
        <v>1074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1084</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1481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1348</v>
      </c>
      <c r="B975" s="27" t="s">
        <v>1092</v>
      </c>
      <c r="C975" s="27" t="s">
        <v>1069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1101</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1482</v>
      </c>
      <c r="B977" s="27" t="s">
        <v>1087</v>
      </c>
      <c r="C977" s="27" t="s">
        <v>1083</v>
      </c>
      <c r="D977" s="27" t="s">
        <v>1066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1483</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1170</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1321</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row>
    <row r="982" spans="1:12">
      <c r="A982" s="20" t="s">
        <v>1484</v>
      </c>
    </row>
    <row r="983" spans="1:12">
      <c r="A983" s="20" t="s">
        <v>1079</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1125</v>
      </c>
      <c r="B984" s="27" t="s">
        <v>1068</v>
      </c>
      <c r="C984" s="27" t="s">
        <v>1126</v>
      </c>
      <c r="D984" s="27" t="s">
        <v>1066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1485</v>
      </c>
      <c r="B985" s="27" t="s">
        <v>1064</v>
      </c>
      <c r="C985" s="27" t="s">
        <v>1128</v>
      </c>
      <c r="D985" s="27" t="s">
        <v>1066</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157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1164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1152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1084</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1240</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223</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1185</v>
      </c>
      <c r="B992" s="27" t="s">
        <v>1064</v>
      </c>
      <c r="C992" s="27" t="s">
        <v>1107</v>
      </c>
      <c r="D992" s="27" t="s">
        <v>1066</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1486</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1075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1483</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1165</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1487</v>
      </c>
      <c r="B997" s="27" t="s">
        <v>1087</v>
      </c>
      <c r="C997" s="27" t="s">
        <v>1168</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1342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1140</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1488</v>
      </c>
      <c r="B1000" s="27" t="s">
        <v>1068</v>
      </c>
      <c r="C1000" s="27" t="s">
        <v>1083</v>
      </c>
      <c r="D1000" s="27" t="s">
        <v>1066</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1077</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row r="1003" spans="1:12">
      <c r="A1003" s="20" t="s">
        <v>1489</v>
      </c>
    </row>
    <row r="1004" spans="1:12">
      <c r="A1004" s="20" t="s">
        <v>1207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1084</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1093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1490</v>
      </c>
      <c r="B1007" s="27" t="s">
        <v>1071</v>
      </c>
      <c r="C1007" s="27" t="s">
        <v>1074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1084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1140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1491</v>
      </c>
      <c r="B1010" s="27" t="s">
        <v>1068</v>
      </c>
      <c r="C1010" s="27" t="s">
        <v>1083</v>
      </c>
      <c r="D1010" s="27" t="s">
        <v>1066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1084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1101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1073</v>
      </c>
      <c r="B1013" s="27" t="s">
        <v>1089</v>
      </c>
      <c r="C1013" s="27" t="s">
        <v>1083</v>
      </c>
      <c r="D1013" s="27" t="s">
        <v>1066</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1409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1408</v>
      </c>
      <c r="B1015" s="27" t="s">
        <v>1138</v>
      </c>
      <c r="C1015" s="27" t="s">
        <v>1074</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1084</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1296</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1164</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1492</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1456</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1493</v>
      </c>
      <c r="B1021" s="27" t="s">
        <v>1157</v>
      </c>
      <c r="C1021" s="27" t="s">
        <v>1074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1077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row>
    <row r="1024" spans="1:12">
      <c r="A1024" s="20" t="s">
        <v>1494</v>
      </c>
    </row>
    <row r="1025" spans="1:12">
      <c r="A1025" s="20" t="s">
        <v>1238</v>
      </c>
      <c r="B1025" s="27" t="s">
        <v>1064</v>
      </c>
      <c r="C1025" s="27" t="s">
        <v>1107</v>
      </c>
      <c r="D1025" s="27" t="s">
        <v>1066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157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17</v>
      </c>
      <c r="B1027" s="27" t="s">
        <v>1092</v>
      </c>
      <c r="C1027" s="27" t="s">
        <v>1069</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1084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1080</v>
      </c>
      <c r="B1029" s="27" t="s">
        <v>1232</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1152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1463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1084</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1495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1496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1497</v>
      </c>
      <c r="B1035" s="27" t="s">
        <v>1071</v>
      </c>
      <c r="C1035" s="27" t="s">
        <v>1114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1221</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1140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1498</v>
      </c>
      <c r="B1038" s="27" t="s">
        <v>1068</v>
      </c>
      <c r="C1038" s="27" t="s">
        <v>1083</v>
      </c>
      <c r="D1038" s="27" t="s">
        <v>1066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1084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1424</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1499</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1500</v>
      </c>
      <c r="B1042" s="27" t="s">
        <v>1071</v>
      </c>
      <c r="C1042" s="27" t="s">
        <v>1074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1084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1424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1250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1501</v>
      </c>
      <c r="B1046" s="27" t="s">
        <v>1068</v>
      </c>
      <c r="C1046" s="27" t="s">
        <v>1074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1221</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1140</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1502</v>
      </c>
      <c r="B1049" s="27" t="s">
        <v>1089</v>
      </c>
      <c r="C1049" s="27" t="s">
        <v>1083</v>
      </c>
      <c r="D1049" s="27" t="s">
        <v>1066</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1084</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1155</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1296</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1150</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1447</v>
      </c>
      <c r="B1054" s="27" t="s">
        <v>1247</v>
      </c>
      <c r="C1054" s="27" t="s">
        <v>1114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1084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1147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1503</v>
      </c>
      <c r="B1057" s="27" t="s">
        <v>1504</v>
      </c>
      <c r="C1057" s="27" t="s">
        <v>1149</v>
      </c>
      <c r="D1057" s="27" t="s">
        <v>1066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1194</v>
      </c>
      <c r="B1058" s="27" t="s">
        <v>1505</v>
      </c>
      <c r="C1058" s="27" t="s">
        <v>1065</v>
      </c>
      <c r="D1058" s="27" t="s">
        <v>1066</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1506</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193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1233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1084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1506</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1507</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46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1170</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1084</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395</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1508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1509</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1510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row>
    <row r="1075" spans="1:12">
      <c r="A1075" s="20" t="s">
        <v>1511</v>
      </c>
    </row>
    <row r="1076" spans="1:12">
      <c r="A1076" s="20" t="s">
        <v>1512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1513</v>
      </c>
      <c r="B1077" s="27" t="s">
        <v>1068</v>
      </c>
      <c r="C1077" s="27" t="s">
        <v>1069</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1447</v>
      </c>
      <c r="B1078" s="27" t="s">
        <v>1064</v>
      </c>
      <c r="C1078" s="27" t="s">
        <v>1114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233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1086</v>
      </c>
      <c r="B1080" s="27" t="s">
        <v>1157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1097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1514</v>
      </c>
      <c r="B1082" s="27" t="s">
        <v>1087</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1515</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1077</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row>
    <row r="1086" spans="1:12">
      <c r="A1086" s="20" t="s">
        <v>1516</v>
      </c>
    </row>
    <row r="1087" spans="1:12">
      <c r="A1087" s="20" t="s">
        <v>1513</v>
      </c>
      <c r="B1087" s="27" t="s">
        <v>1068</v>
      </c>
      <c r="C1087" s="27" t="s">
        <v>1069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1517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1447</v>
      </c>
      <c r="B1089" s="27" t="s">
        <v>1064</v>
      </c>
      <c r="C1089" s="27" t="s">
        <v>1114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233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1086</v>
      </c>
      <c r="B1091" s="27" t="s">
        <v>1157</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1097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1514</v>
      </c>
      <c r="B1093" s="27" t="s">
        <v>1087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1515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1077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row>
    <row r="1097" spans="1:12">
      <c r="A1097" s="20" t="s">
        <v>1518</v>
      </c>
    </row>
    <row r="1098" spans="1:12">
      <c r="A1098" s="20" t="s">
        <v>1372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1137</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1403</v>
      </c>
      <c r="B1100" s="27" t="s">
        <v>1071</v>
      </c>
      <c r="C1100" s="27" t="s">
        <v>1074</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1084</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1163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1094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1519</v>
      </c>
      <c r="B1104" s="27" t="s">
        <v>1071</v>
      </c>
      <c r="C1104" s="27" t="s">
        <v>1083</v>
      </c>
      <c r="D1104" s="27" t="s">
        <v>1066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1196</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1520</v>
      </c>
      <c r="B1106" s="27" t="s">
        <v>1068</v>
      </c>
      <c r="C1106" s="27" t="s">
        <v>1074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1084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403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1521</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1509</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1510</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row>
    <row r="1115" spans="1:12">
      <c r="A1115" s="20" t="s">
        <v>1522</v>
      </c>
    </row>
    <row r="1116" spans="1:12">
      <c r="A1116" s="20" t="s">
        <v>1523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1158</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1140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1524</v>
      </c>
      <c r="B1119" s="27" t="s">
        <v>1068</v>
      </c>
      <c r="C1119" s="27" t="s">
        <v>1083</v>
      </c>
      <c r="D1119" s="27" t="s">
        <v>1066</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1158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1524</v>
      </c>
      <c r="B1121" s="27" t="s">
        <v>1089</v>
      </c>
      <c r="C1121" s="27" t="s">
        <v>1074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1084</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1188</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1094</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1525</v>
      </c>
      <c r="B1125" s="27" t="s">
        <v>1064</v>
      </c>
      <c r="C1125" s="27" t="s">
        <v>1083</v>
      </c>
      <c r="D1125" s="27" t="s">
        <v>1066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1124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1526</v>
      </c>
      <c r="B1127" s="27" t="s">
        <v>1068</v>
      </c>
      <c r="C1127" s="27" t="s">
        <v>1074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1190</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1156</v>
      </c>
      <c r="B1129" s="27" t="s">
        <v>1157</v>
      </c>
      <c r="C1129" s="27" t="s">
        <v>1107</v>
      </c>
      <c r="D1129" s="27" t="s">
        <v>1066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1527</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1077</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row>
    <row r="1133" spans="1:12">
      <c r="A1133" s="20" t="s">
        <v>1528</v>
      </c>
    </row>
    <row r="1134" spans="1:12">
      <c r="A1134" s="20" t="s">
        <v>1529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1084</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1193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1105</v>
      </c>
      <c r="B1137" s="27" t="s">
        <v>1092</v>
      </c>
      <c r="C1137" s="27" t="s">
        <v>1107</v>
      </c>
      <c r="D1137" s="27" t="s">
        <v>1066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1530</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1121</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1084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248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1105</v>
      </c>
      <c r="B1142" s="27" t="s">
        <v>1064</v>
      </c>
      <c r="C1142" s="27" t="s">
        <v>1107</v>
      </c>
      <c r="D1142" s="27" t="s">
        <v>1066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1082</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1182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1531</v>
      </c>
      <c r="B1145" s="27" t="s">
        <v>1157</v>
      </c>
      <c r="C1145" s="27" t="s">
        <v>1117</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1097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1225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1414</v>
      </c>
      <c r="B1148" s="27" t="s">
        <v>1068</v>
      </c>
      <c r="C1148" s="27" t="s">
        <v>1117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20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1158</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1082</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1133</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1097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1225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1414</v>
      </c>
      <c r="B1155" s="27" t="s">
        <v>1071</v>
      </c>
      <c r="C1155" s="27" t="s">
        <v>1117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32</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1077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1532</v>
      </c>
    </row>
    <row r="1160" spans="1:12">
      <c r="A1160" s="20" t="s">
        <v>1120</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1093</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1110</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1533</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1534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1392</v>
      </c>
      <c r="B1165" s="27" t="s">
        <v>1071</v>
      </c>
      <c r="C1165" s="27" t="s">
        <v>1535</v>
      </c>
      <c r="D1165" s="27" t="s">
        <v>1066</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1084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1121</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1105</v>
      </c>
      <c r="B1168" s="27" t="s">
        <v>1064</v>
      </c>
      <c r="C1168" s="27" t="s">
        <v>1107</v>
      </c>
      <c r="D1168" s="27" t="s">
        <v>1066</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1536</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1196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1112</v>
      </c>
      <c r="B1172" s="27" t="s">
        <v>1071</v>
      </c>
      <c r="C1172" s="27" t="s">
        <v>1114</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1139</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1082</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1537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56</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1112</v>
      </c>
      <c r="B1177" s="27" t="s">
        <v>1068</v>
      </c>
      <c r="C1177" s="27" t="s">
        <v>1114</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1362</v>
      </c>
      <c r="B1178" s="27" t="s">
        <v>1157</v>
      </c>
      <c r="C1178" s="27" t="s">
        <v>1074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1538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1077</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row>
    <row r="1182" spans="1:12">
      <c r="A1182" s="20" t="s">
        <v>1539</v>
      </c>
    </row>
    <row r="1183" spans="1:12">
      <c r="A1183" s="20" t="s">
        <v>1079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1080</v>
      </c>
      <c r="B1184" s="27" t="s">
        <v>1064</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1540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1541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1152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1361</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1305</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1542</v>
      </c>
    </row>
    <row r="1192" spans="1:12">
      <c r="A1192" s="20" t="s">
        <v>1543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1105</v>
      </c>
      <c r="B1193" s="27" t="s">
        <v>1064</v>
      </c>
      <c r="C1193" s="27" t="s">
        <v>1107</v>
      </c>
      <c r="D1193" s="27" t="s">
        <v>1066</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1239</v>
      </c>
      <c r="B1194" s="27" t="s">
        <v>1157</v>
      </c>
      <c r="C1194" s="27" t="s">
        <v>1107</v>
      </c>
      <c r="D1194" s="27" t="s">
        <v>1066</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1240</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1110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1544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1414</v>
      </c>
      <c r="B1198" s="27" t="s">
        <v>1157</v>
      </c>
      <c r="C1198" s="27" t="s">
        <v>1083</v>
      </c>
      <c r="D1198" s="27" t="s">
        <v>1066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1204</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1075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1418</v>
      </c>
      <c r="B1202" s="27" t="s">
        <v>1092</v>
      </c>
      <c r="C1202" s="27" t="s">
        <v>1126</v>
      </c>
      <c r="D1202" s="27" t="s">
        <v>1066</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1181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141</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1545</v>
      </c>
      <c r="B1205" s="27" t="s">
        <v>1071</v>
      </c>
      <c r="C1205" s="27" t="s">
        <v>1117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838</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12</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1172</v>
      </c>
      <c r="B1208" s="27" t="s">
        <v>1092</v>
      </c>
      <c r="C1208" s="27" t="s">
        <v>1126</v>
      </c>
      <c r="D1208" s="27" t="s">
        <v>1066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1188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1101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1546</v>
      </c>
      <c r="B1211" s="27" t="s">
        <v>1071</v>
      </c>
      <c r="C1211" s="27" t="s">
        <v>1083</v>
      </c>
      <c r="D1211" s="27" t="s">
        <v>1066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1204</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1253</v>
      </c>
      <c r="B1213" s="27" t="s">
        <v>1068</v>
      </c>
      <c r="C1213" s="27" t="s">
        <v>1131</v>
      </c>
      <c r="D1213" s="27" t="s">
        <v>1066</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1084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1101</v>
      </c>
      <c r="B1215" s="27" t="s">
        <v>1130</v>
      </c>
      <c r="C1215" s="27" t="s">
        <v>1107</v>
      </c>
      <c r="D1215" s="27" t="s">
        <v>1066</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1409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1410</v>
      </c>
      <c r="B1217" s="27" t="s">
        <v>1089</v>
      </c>
      <c r="C1217" s="27" t="s">
        <v>1074</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1411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1181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1077</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row>
    <row r="1222" spans="1:12">
      <c r="A1222" s="20" t="s">
        <v>1547</v>
      </c>
    </row>
    <row r="1223" spans="1:12">
      <c r="A1223" s="20" t="s">
        <v>1155</v>
      </c>
      <c r="B1223" s="27" t="s">
        <v>1064</v>
      </c>
      <c r="C1223" s="27" t="s">
        <v>1065</v>
      </c>
      <c r="D1223" s="27" t="s">
        <v>1066</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1548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1086</v>
      </c>
      <c r="B1225" s="27" t="s">
        <v>1157</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1101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415</v>
      </c>
      <c r="B1227" s="27" t="s">
        <v>1064</v>
      </c>
      <c r="C1227" s="27" t="s">
        <v>1083</v>
      </c>
      <c r="D1227" s="27" t="s">
        <v>1066</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1084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1549</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1348</v>
      </c>
      <c r="B1230" s="27" t="s">
        <v>1130</v>
      </c>
      <c r="C1230" s="27" t="s">
        <v>1069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1080</v>
      </c>
      <c r="B1231" s="27" t="s">
        <v>1103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1139</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1320</v>
      </c>
      <c r="B1233" s="27" t="s">
        <v>1089</v>
      </c>
      <c r="C1233" s="27" t="s">
        <v>1074</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248</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1170</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1077</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row>
    <row r="1238" spans="1:12">
      <c r="A1238" s="20" t="s">
        <v>1550</v>
      </c>
    </row>
    <row r="1239" spans="1:12">
      <c r="A1239" s="20" t="s">
        <v>1433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1194</v>
      </c>
      <c r="B1240" s="27" t="s">
        <v>1092</v>
      </c>
      <c r="C1240" s="27" t="s">
        <v>1065</v>
      </c>
      <c r="D1240" s="27" t="s">
        <v>1066</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1551</v>
      </c>
      <c r="B1241" s="27" t="s">
        <v>1087</v>
      </c>
      <c r="C1241" s="27" t="s">
        <v>1074</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563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1314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1552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1077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row>
    <row r="1247" spans="1:12">
      <c r="A1247" s="20" t="s">
        <v>1553</v>
      </c>
    </row>
    <row r="1248" spans="1:12">
      <c r="A1248" s="20" t="s">
        <v>1433</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1194</v>
      </c>
      <c r="B1249" s="27" t="s">
        <v>1092</v>
      </c>
      <c r="C1249" s="27" t="s">
        <v>1065</v>
      </c>
      <c r="D1249" s="27" t="s">
        <v>1066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1554</v>
      </c>
      <c r="B1250" s="27" t="s">
        <v>1087</v>
      </c>
      <c r="C1250" s="27" t="s">
        <v>1074</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563</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1314</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1552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1077</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row>
    <row r="1256" spans="1:12">
      <c r="A1256" s="20" t="s">
        <v>1555</v>
      </c>
    </row>
    <row r="1257" spans="1:12">
      <c r="A1257" s="20" t="s">
        <v>1556</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1557</v>
      </c>
      <c r="B1258" s="27" t="s">
        <v>1068</v>
      </c>
      <c r="C1258" s="27" t="s">
        <v>1069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1558</v>
      </c>
      <c r="B1259" s="27" t="s">
        <v>1064</v>
      </c>
      <c r="C1259" s="27" t="s">
        <v>1074</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1124</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1244</v>
      </c>
      <c r="B1261" s="27" t="s">
        <v>1068</v>
      </c>
      <c r="C1261" s="27" t="s">
        <v>1074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1411</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1559</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1253</v>
      </c>
      <c r="B1264" s="27" t="s">
        <v>1157</v>
      </c>
      <c r="C1264" s="27" t="s">
        <v>1131</v>
      </c>
      <c r="D1264" s="27" t="s">
        <v>1066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1084</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1560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1101</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1561</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1562</v>
      </c>
      <c r="B1269" s="27" t="s">
        <v>1071</v>
      </c>
      <c r="C1269" s="27" t="s">
        <v>1083</v>
      </c>
      <c r="D1269" s="27" t="s">
        <v>1066</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1075</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1563</v>
      </c>
      <c r="B1271" s="27" t="s">
        <v>1068</v>
      </c>
      <c r="C1271" s="27" t="s">
        <v>1074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1077</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1564</v>
      </c>
    </row>
    <row r="1275" spans="1:12">
      <c r="A1275" s="20" t="s">
        <v>1180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1084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1565</v>
      </c>
      <c r="B1277" s="27" t="s">
        <v>1103</v>
      </c>
      <c r="C1277" s="27" t="s">
        <v>1107</v>
      </c>
      <c r="D1277" s="27" t="s">
        <v>1066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1105</v>
      </c>
      <c r="B1278" s="27" t="s">
        <v>1130</v>
      </c>
      <c r="C1278" s="27" t="s">
        <v>1107</v>
      </c>
      <c r="D1278" s="27" t="s">
        <v>1066</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1139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1288</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1566</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1567</v>
      </c>
      <c r="B1282" s="27" t="s">
        <v>1089</v>
      </c>
      <c r="C1282" s="27" t="s">
        <v>1117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212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129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1084</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1188</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1084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141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1568</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1569</v>
      </c>
      <c r="B1290" s="27" t="s">
        <v>1157</v>
      </c>
      <c r="C1290" s="27" t="s">
        <v>1117</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1067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278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1077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row>
    <row r="1295" spans="1:12">
      <c r="A1295" s="20" t="s">
        <v>1570</v>
      </c>
    </row>
    <row r="1296" spans="1:12">
      <c r="A1296" s="20" t="s">
        <v>1238</v>
      </c>
      <c r="B1296" s="27" t="s">
        <v>1064</v>
      </c>
      <c r="C1296" s="27" t="s">
        <v>1107</v>
      </c>
      <c r="D1296" s="27" t="s">
        <v>1066</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282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1571</v>
      </c>
      <c r="B1298" s="27" t="s">
        <v>1157</v>
      </c>
      <c r="C1298" s="27" t="s">
        <v>1074</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1077</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row>
    <row r="1301" spans="1:12">
      <c r="A1301" s="20" t="s">
        <v>1306</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1572</v>
      </c>
    </row>
    <row r="1303" spans="1:12">
      <c r="A1303" s="20" t="s">
        <v>1433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1063</v>
      </c>
      <c r="B1304" s="27" t="s">
        <v>1092</v>
      </c>
      <c r="C1304" s="27" t="s">
        <v>1065</v>
      </c>
      <c r="D1304" s="27" t="s">
        <v>1066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1573</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1110</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1574</v>
      </c>
      <c r="B1307" s="27" t="s">
        <v>1087</v>
      </c>
      <c r="C1307" s="27" t="s">
        <v>1083</v>
      </c>
      <c r="D1307" s="27" t="s">
        <v>1066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1315</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1575</v>
      </c>
      <c r="B1309" s="27" t="s">
        <v>1089</v>
      </c>
      <c r="C1309" s="27" t="s">
        <v>1074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1315</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1576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1084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1088</v>
      </c>
      <c r="B1313" s="27" t="s">
        <v>1071</v>
      </c>
      <c r="C1313" s="27" t="s">
        <v>1107</v>
      </c>
      <c r="D1313" s="27" t="s">
        <v>1066</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1063</v>
      </c>
      <c r="B1314" s="27" t="s">
        <v>1064</v>
      </c>
      <c r="C1314" s="27" t="s">
        <v>1065</v>
      </c>
      <c r="D1314" s="27" t="s">
        <v>1066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1152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1080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1577</v>
      </c>
      <c r="B1317" s="27" t="s">
        <v>1157</v>
      </c>
      <c r="C1317" s="27" t="s">
        <v>1083</v>
      </c>
      <c r="D1317" s="27" t="s">
        <v>1066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1077</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row>
    <row r="1320" spans="1:12">
      <c r="A1320" s="20" t="s">
        <v>1578</v>
      </c>
    </row>
    <row r="1321" spans="1:12">
      <c r="A1321" s="20" t="s">
        <v>1445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1579</v>
      </c>
      <c r="B1322" s="27" t="s">
        <v>1064</v>
      </c>
      <c r="C1322" s="27" t="s">
        <v>1083</v>
      </c>
      <c r="D1322" s="27" t="s">
        <v>1066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1188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141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1575</v>
      </c>
      <c r="B1325" s="27" t="s">
        <v>1071</v>
      </c>
      <c r="C1325" s="27" t="s">
        <v>1117</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1077</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1580</v>
      </c>
    </row>
    <row r="1329" spans="1:12">
      <c r="A1329" s="20" t="s">
        <v>1445</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1581</v>
      </c>
      <c r="B1330" s="27" t="s">
        <v>1064</v>
      </c>
      <c r="C1330" s="27" t="s">
        <v>1083</v>
      </c>
      <c r="D1330" s="27" t="s">
        <v>1066</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1188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141</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1575</v>
      </c>
      <c r="B1333" s="27" t="s">
        <v>1071</v>
      </c>
      <c r="C1333" s="27" t="s">
        <v>1117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1077</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1582</v>
      </c>
    </row>
    <row r="1337" spans="1:12">
      <c r="A1337" s="20" t="s">
        <v>1172</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1583</v>
      </c>
      <c r="B1338" s="27" t="s">
        <v>1064</v>
      </c>
      <c r="C1338" s="27" t="s">
        <v>1083</v>
      </c>
      <c r="D1338" s="27" t="s">
        <v>1066</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1075</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1584</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1447</v>
      </c>
      <c r="B1341" s="27" t="s">
        <v>1068</v>
      </c>
      <c r="C1341" s="27" t="s">
        <v>1128</v>
      </c>
      <c r="D1341" s="27" t="s">
        <v>1066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1188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141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1575</v>
      </c>
      <c r="B1344" s="27" t="s">
        <v>1071</v>
      </c>
      <c r="C1344" s="27" t="s">
        <v>1117</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1077</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row>
    <row r="1347" spans="1:12">
      <c r="A1347" s="20" t="s">
        <v>1585</v>
      </c>
    </row>
    <row r="1348" spans="1:12">
      <c r="A1348" s="20" t="s">
        <v>1161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1127</v>
      </c>
      <c r="B1349" s="27" t="s">
        <v>1064</v>
      </c>
      <c r="C1349" s="27" t="s">
        <v>1083</v>
      </c>
      <c r="D1349" s="27" t="s">
        <v>1066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1353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157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1067</v>
      </c>
      <c r="B1352" s="27" t="s">
        <v>1068</v>
      </c>
      <c r="C1352" s="27" t="s">
        <v>1069</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1094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1586</v>
      </c>
      <c r="B1354" s="27" t="s">
        <v>1071</v>
      </c>
      <c r="C1354" s="27" t="s">
        <v>1083</v>
      </c>
      <c r="D1354" s="27" t="s">
        <v>1066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1587</v>
      </c>
      <c r="B1355" s="27" t="s">
        <v>1068</v>
      </c>
      <c r="C1355" s="27" t="s">
        <v>1069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1418</v>
      </c>
      <c r="B1356" s="27" t="s">
        <v>1068</v>
      </c>
      <c r="C1356" s="27" t="s">
        <v>1126</v>
      </c>
      <c r="D1356" s="27" t="s">
        <v>1066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1575</v>
      </c>
      <c r="B1357" s="27" t="s">
        <v>1157</v>
      </c>
      <c r="C1357" s="27" t="s">
        <v>1128</v>
      </c>
      <c r="D1357" s="27" t="s">
        <v>1066</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1588</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1077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row>
    <row r="1361" spans="1:12">
      <c r="A1361" s="20" t="s">
        <v>1589</v>
      </c>
    </row>
    <row r="1362" spans="1:12">
      <c r="A1362" s="20" t="s">
        <v>1590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1296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1164</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1591</v>
      </c>
      <c r="B1365" s="27" t="s">
        <v>1068</v>
      </c>
      <c r="C1365" s="27" t="s">
        <v>1107</v>
      </c>
      <c r="D1365" s="27" t="s">
        <v>1066</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1592</v>
      </c>
      <c r="B1366" s="27" t="s">
        <v>1064</v>
      </c>
      <c r="C1366" s="27" t="s">
        <v>1114</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1084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1146</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1348</v>
      </c>
      <c r="B1369" s="27" t="s">
        <v>1092</v>
      </c>
      <c r="C1369" s="27" t="s">
        <v>1069</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141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1575</v>
      </c>
      <c r="B1371" s="27" t="s">
        <v>1087</v>
      </c>
      <c r="C1371" s="27" t="s">
        <v>1117</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1388</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1067</v>
      </c>
      <c r="B1373" s="27" t="s">
        <v>1138</v>
      </c>
      <c r="C1373" s="27" t="s">
        <v>1069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1288</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1593</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1594</v>
      </c>
      <c r="B1376" s="27" t="s">
        <v>1089</v>
      </c>
      <c r="C1376" s="27" t="s">
        <v>1117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1595</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1077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row>
    <row r="1380" spans="1:12">
      <c r="A1380" s="20" t="s">
        <v>1596</v>
      </c>
    </row>
    <row r="1381" spans="1:12">
      <c r="A1381" s="20" t="s">
        <v>1590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1597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1348</v>
      </c>
      <c r="B1383" s="27" t="s">
        <v>1064</v>
      </c>
      <c r="C1383" s="27" t="s">
        <v>1069</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1350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1195</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1598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1075</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1513</v>
      </c>
      <c r="B1388" s="27" t="s">
        <v>1092</v>
      </c>
      <c r="C1388" s="27" t="s">
        <v>1069</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173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1084</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1499</v>
      </c>
      <c r="B1391" s="27" t="s">
        <v>1071</v>
      </c>
      <c r="C1391" s="27" t="s">
        <v>1069</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1152</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1077</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row>
    <row r="1395" spans="1:12">
      <c r="A1395" s="20" t="s">
        <v>1599</v>
      </c>
    </row>
    <row r="1396" spans="1:12">
      <c r="A1396" s="20" t="s">
        <v>1372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1600</v>
      </c>
      <c r="B1397" s="27" t="s">
        <v>1068</v>
      </c>
      <c r="C1397" s="27" t="s">
        <v>1126</v>
      </c>
      <c r="D1397" s="27" t="s">
        <v>1066</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1227</v>
      </c>
      <c r="B1398" s="27" t="s">
        <v>1071</v>
      </c>
      <c r="C1398" s="27" t="s">
        <v>1128</v>
      </c>
      <c r="D1398" s="27" t="s">
        <v>1066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1105</v>
      </c>
      <c r="B1400" s="27" t="s">
        <v>1064</v>
      </c>
      <c r="C1400" s="27" t="s">
        <v>1107</v>
      </c>
      <c r="D1400" s="27" t="s">
        <v>1066</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1298</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1601</v>
      </c>
      <c r="B1402" s="27" t="s">
        <v>1157</v>
      </c>
      <c r="C1402" s="27" t="s">
        <v>1074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70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1075</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141</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1575</v>
      </c>
      <c r="B1406" s="27" t="s">
        <v>1087</v>
      </c>
      <c r="C1406" s="27" t="s">
        <v>1117</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1221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1190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1602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1208</v>
      </c>
      <c r="B1410" s="27" t="s">
        <v>1089</v>
      </c>
      <c r="C1410" s="27" t="s">
        <v>1074</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248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1077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row>
    <row r="1414" spans="1:12">
      <c r="A1414" s="20" t="s">
        <v>1603</v>
      </c>
    </row>
    <row r="1415" spans="1:12">
      <c r="A1415" s="20" t="s">
        <v>1207</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1084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1063</v>
      </c>
      <c r="B1417" s="27" t="s">
        <v>1064</v>
      </c>
      <c r="C1417" s="27" t="s">
        <v>1065</v>
      </c>
      <c r="D1417" s="27" t="s">
        <v>1066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1604</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1605</v>
      </c>
      <c r="B1419" s="27" t="s">
        <v>1157</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1084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1163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1170</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1063</v>
      </c>
      <c r="B1423" s="27" t="s">
        <v>1092</v>
      </c>
      <c r="C1423" s="27" t="s">
        <v>1065</v>
      </c>
      <c r="D1423" s="27" t="s">
        <v>1066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1080</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1317</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1606</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1321</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row>
    <row r="1429" spans="1:12">
      <c r="A1429" s="20" t="s">
        <v>1607</v>
      </c>
    </row>
    <row r="1430" spans="1:12">
      <c r="A1430" s="20" t="s">
        <v>1478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1164</v>
      </c>
      <c r="B1431" s="27" t="s">
        <v>1064</v>
      </c>
      <c r="C1431" s="27" t="s">
        <v>1065</v>
      </c>
      <c r="D1431" s="27" t="s">
        <v>1066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1182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1608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1609</v>
      </c>
      <c r="B1434" s="27" t="s">
        <v>1064</v>
      </c>
      <c r="C1434" s="27" t="s">
        <v>1117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1084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1182</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1610</v>
      </c>
      <c r="B1437" s="27" t="s">
        <v>1068</v>
      </c>
      <c r="C1437" s="27" t="s">
        <v>1117</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1084</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1101</v>
      </c>
      <c r="B1439" s="27" t="s">
        <v>1232</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1101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1611</v>
      </c>
      <c r="B1441" s="27" t="s">
        <v>1247</v>
      </c>
      <c r="C1441" s="27" t="s">
        <v>1083</v>
      </c>
      <c r="D1441" s="27" t="s">
        <v>1066</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1094</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1127</v>
      </c>
      <c r="B1443" s="27" t="s">
        <v>1113</v>
      </c>
      <c r="C1443" s="27" t="s">
        <v>1083</v>
      </c>
      <c r="D1443" s="27" t="s">
        <v>1066</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1353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1612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1321</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row>
    <row r="1448" spans="1:12">
      <c r="A1448" s="20" t="s">
        <v>1613</v>
      </c>
    </row>
    <row r="1449" spans="1:12">
      <c r="A1449" s="20" t="s">
        <v>1308</v>
      </c>
      <c r="B1449" s="27" t="s">
        <v>1064</v>
      </c>
      <c r="C1449" s="27" t="s">
        <v>1065</v>
      </c>
      <c r="D1449" s="27" t="s">
        <v>1066</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1614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1605</v>
      </c>
      <c r="B1451" s="27" t="s">
        <v>1157</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1204</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1615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1358</v>
      </c>
      <c r="B1454" s="27" t="s">
        <v>1071</v>
      </c>
      <c r="C1454" s="27" t="s">
        <v>1074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1084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1135</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1063</v>
      </c>
      <c r="B1457" s="27" t="s">
        <v>1092</v>
      </c>
      <c r="C1457" s="27" t="s">
        <v>1065</v>
      </c>
      <c r="D1457" s="27" t="s">
        <v>1066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1616</v>
      </c>
      <c r="B1458" s="27" t="s">
        <v>1087</v>
      </c>
      <c r="C1458" s="27" t="s">
        <v>1131</v>
      </c>
      <c r="D1458" s="27" t="s">
        <v>1066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1617</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1075</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1375</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1618</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1101</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1619</v>
      </c>
      <c r="B1464" s="27" t="s">
        <v>1130</v>
      </c>
      <c r="C1464" s="27" t="s">
        <v>1083</v>
      </c>
      <c r="D1464" s="27" t="s">
        <v>1066</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1080</v>
      </c>
      <c r="B1465" s="27" t="s">
        <v>1103</v>
      </c>
      <c r="C1465" s="27" t="s">
        <v>1126</v>
      </c>
      <c r="D1465" s="27" t="s">
        <v>1066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1077</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row>
    <row r="1468" spans="1:12">
      <c r="A1468" s="20" t="s">
        <v>1620</v>
      </c>
    </row>
    <row r="1469" spans="1:12">
      <c r="A1469" s="20" t="s">
        <v>1621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1622</v>
      </c>
      <c r="B1470" s="27" t="s">
        <v>1068</v>
      </c>
      <c r="C1470" s="27" t="s">
        <v>1074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1623</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1161</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1624</v>
      </c>
      <c r="B1473" s="27" t="s">
        <v>1064</v>
      </c>
      <c r="C1473" s="27" t="s">
        <v>1083</v>
      </c>
      <c r="D1473" s="27" t="s">
        <v>1066</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1625</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1124</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1185</v>
      </c>
      <c r="B1476" s="27" t="s">
        <v>1071</v>
      </c>
      <c r="C1476" s="27" t="s">
        <v>1107</v>
      </c>
      <c r="D1476" s="27" t="s">
        <v>1066</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1317</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1626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1084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605</v>
      </c>
      <c r="B1480" s="27" t="s">
        <v>1071</v>
      </c>
      <c r="C1480" s="27" t="s">
        <v>1074</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1194</v>
      </c>
      <c r="B1481" s="27" t="s">
        <v>1092</v>
      </c>
      <c r="C1481" s="27" t="s">
        <v>1065</v>
      </c>
      <c r="D1481" s="27" t="s">
        <v>1066</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1084</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1146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1164</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1127</v>
      </c>
      <c r="B1485" s="27" t="s">
        <v>1130</v>
      </c>
      <c r="C1485" s="27" t="s">
        <v>1074</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1296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1084</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1101</v>
      </c>
      <c r="B1488" s="27" t="s">
        <v>1232</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1243</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1616</v>
      </c>
      <c r="B1490" s="27" t="s">
        <v>1138</v>
      </c>
      <c r="C1490" s="27" t="s">
        <v>1131</v>
      </c>
      <c r="D1490" s="27" t="s">
        <v>1066</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185</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1077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row>
    <row r="1494" spans="1:12">
      <c r="A1494" s="20" t="s">
        <v>1627</v>
      </c>
    </row>
    <row r="1495" spans="1:12">
      <c r="A1495" s="20" t="s">
        <v>1628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1073</v>
      </c>
      <c r="B1496" s="27" t="s">
        <v>1071</v>
      </c>
      <c r="C1496" s="27" t="s">
        <v>1131</v>
      </c>
      <c r="D1496" s="27" t="s">
        <v>1066</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1629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1630</v>
      </c>
      <c r="B1498" s="27" t="s">
        <v>1157</v>
      </c>
      <c r="C1498" s="27" t="s">
        <v>1065</v>
      </c>
      <c r="D1498" s="27" t="s">
        <v>1066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1080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1353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141</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1077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row>
    <row r="1504" spans="1:12">
      <c r="A1504" s="20" t="s">
        <v>1631</v>
      </c>
    </row>
    <row r="1505" spans="1:12">
      <c r="A1505" s="20" t="s">
        <v>1308</v>
      </c>
      <c r="B1505" s="27" t="s">
        <v>1064</v>
      </c>
      <c r="C1505" s="27" t="s">
        <v>1065</v>
      </c>
      <c r="D1505" s="27" t="s">
        <v>1066</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1632</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1084</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1146</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1080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1633</v>
      </c>
      <c r="B1510" s="27" t="s">
        <v>1092</v>
      </c>
      <c r="C1510" s="27" t="s">
        <v>1083</v>
      </c>
      <c r="D1510" s="27" t="s">
        <v>1066</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1196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1634</v>
      </c>
      <c r="B1512" s="27" t="s">
        <v>1068</v>
      </c>
      <c r="C1512" s="27" t="s">
        <v>1074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286</v>
      </c>
      <c r="B1513" s="27" t="s">
        <v>1068</v>
      </c>
      <c r="C1513" s="27" t="s">
        <v>1090</v>
      </c>
      <c r="D1513" s="27" t="s">
        <v>1066</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1635</v>
      </c>
      <c r="B1514" s="27" t="s">
        <v>1068</v>
      </c>
      <c r="C1514" s="27" t="s">
        <v>1107</v>
      </c>
      <c r="D1514" s="27" t="s">
        <v>1066</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1636</v>
      </c>
      <c r="B1515" s="27" t="s">
        <v>1071</v>
      </c>
      <c r="C1515" s="27" t="s">
        <v>1074</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1067</v>
      </c>
      <c r="B1516" s="27" t="s">
        <v>1089</v>
      </c>
      <c r="C1516" s="27" t="s">
        <v>1069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1094</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1167</v>
      </c>
      <c r="B1518" s="27" t="s">
        <v>1068</v>
      </c>
      <c r="C1518" s="27" t="s">
        <v>1083</v>
      </c>
      <c r="D1518" s="27" t="s">
        <v>1066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1353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838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1637</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1077</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1638</v>
      </c>
    </row>
    <row r="1525" spans="1:12">
      <c r="A1525" s="20" t="s">
        <v>1475</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1121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1240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141</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1639</v>
      </c>
      <c r="B1529" s="27" t="s">
        <v>1071</v>
      </c>
      <c r="C1529" s="27" t="s">
        <v>1069</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1608</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1634</v>
      </c>
      <c r="B1531" s="27" t="s">
        <v>1071</v>
      </c>
      <c r="C1531" s="27" t="s">
        <v>1117</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1077</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row>
    <row r="1534" spans="1:12">
      <c r="A1534" s="20" t="s">
        <v>1640</v>
      </c>
    </row>
    <row r="1535" spans="1:12">
      <c r="A1535" s="20" t="s">
        <v>1641</v>
      </c>
      <c r="B1535" s="27" t="s">
        <v>1064</v>
      </c>
      <c r="C1535" s="27" t="s">
        <v>1069</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1265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1630</v>
      </c>
      <c r="B1537" s="27" t="s">
        <v>1157</v>
      </c>
      <c r="C1537" s="27" t="s">
        <v>1065</v>
      </c>
      <c r="D1537" s="27" t="s">
        <v>1066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1642</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1084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1146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1185</v>
      </c>
      <c r="B1541" s="27" t="s">
        <v>1092</v>
      </c>
      <c r="C1541" s="27" t="s">
        <v>1107</v>
      </c>
      <c r="D1541" s="27" t="s">
        <v>1066</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1152</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1643</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1077</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row>
    <row r="1546" spans="1:12">
      <c r="A1546" s="20" t="s">
        <v>1644</v>
      </c>
    </row>
    <row r="1547" spans="1:12">
      <c r="A1547" s="20" t="s">
        <v>1211</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46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1185</v>
      </c>
      <c r="B1549" s="27" t="s">
        <v>1064</v>
      </c>
      <c r="C1549" s="27" t="s">
        <v>1107</v>
      </c>
      <c r="D1549" s="27" t="s">
        <v>1066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1439</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1152</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1423</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1080</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1645</v>
      </c>
      <c r="B1554" s="27" t="s">
        <v>1157</v>
      </c>
      <c r="C1554" s="27" t="s">
        <v>1083</v>
      </c>
      <c r="D1554" s="27" t="s">
        <v>1066</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344</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1077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row>
    <row r="1558" spans="1:12">
      <c r="A1558" s="20" t="s">
        <v>1646</v>
      </c>
    </row>
    <row r="1559" spans="1:12">
      <c r="A1559" s="20" t="s">
        <v>1207</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1084</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1164</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1296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1647</v>
      </c>
      <c r="B1563" s="27" t="s">
        <v>1068</v>
      </c>
      <c r="C1563" s="27" t="s">
        <v>1069</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1648</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1649</v>
      </c>
      <c r="B1565" s="27" t="s">
        <v>1064</v>
      </c>
      <c r="C1565" s="27" t="s">
        <v>1114</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1163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1125</v>
      </c>
      <c r="B1567" s="27" t="s">
        <v>1068</v>
      </c>
      <c r="C1567" s="27" t="s">
        <v>1126</v>
      </c>
      <c r="D1567" s="27" t="s">
        <v>1066</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1084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1298</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1185</v>
      </c>
      <c r="B1570" s="27" t="s">
        <v>1092</v>
      </c>
      <c r="C1570" s="27" t="s">
        <v>1107</v>
      </c>
      <c r="D1570" s="27" t="s">
        <v>1066</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1400</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1647</v>
      </c>
      <c r="B1572" s="27" t="s">
        <v>1087</v>
      </c>
      <c r="C1572" s="27" t="s">
        <v>1069</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1152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1156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1077</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1650</v>
      </c>
    </row>
    <row r="1578" spans="1:12">
      <c r="A1578" s="20" t="s">
        <v>1238</v>
      </c>
      <c r="B1578" s="27" t="s">
        <v>1064</v>
      </c>
      <c r="C1578" s="27" t="s">
        <v>1107</v>
      </c>
      <c r="D1578" s="27" t="s">
        <v>1066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282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1651</v>
      </c>
      <c r="B1580" s="27" t="s">
        <v>1157</v>
      </c>
      <c r="C1580" s="27" t="s">
        <v>1168</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1084</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1652</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1182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1158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1653</v>
      </c>
      <c r="B1585" s="27" t="s">
        <v>1138</v>
      </c>
      <c r="C1585" s="27" t="s">
        <v>1069</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1101</v>
      </c>
      <c r="B1586" s="27" t="s">
        <v>1232</v>
      </c>
      <c r="C1586" s="27" t="s">
        <v>1107</v>
      </c>
      <c r="D1586" s="27" t="s">
        <v>1066</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1182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1654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1655</v>
      </c>
      <c r="B1589" s="27" t="s">
        <v>1247</v>
      </c>
      <c r="C1589" s="27" t="s">
        <v>1117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1075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1654</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1656</v>
      </c>
      <c r="B1592" s="27" t="s">
        <v>1113</v>
      </c>
      <c r="C1592" s="27" t="s">
        <v>1074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157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1077</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row>
    <row r="1596" spans="1:12">
      <c r="A1596" s="20" t="s">
        <v>1657</v>
      </c>
    </row>
    <row r="1597" spans="1:12">
      <c r="A1597" s="20" t="s">
        <v>1079</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1658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1164</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1150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1659</v>
      </c>
      <c r="B1601" s="27" t="s">
        <v>1064</v>
      </c>
      <c r="C1601" s="27" t="s">
        <v>1114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1296</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1084</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1221</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1660</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1127</v>
      </c>
      <c r="B1606" s="27" t="s">
        <v>1092</v>
      </c>
      <c r="C1606" s="27" t="s">
        <v>1074</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1661</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1662</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1084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1663</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1063</v>
      </c>
      <c r="B1611" s="27" t="s">
        <v>1092</v>
      </c>
      <c r="C1611" s="27" t="s">
        <v>1065</v>
      </c>
      <c r="D1611" s="27" t="s">
        <v>1066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1317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1195</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1664</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1084</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1101</v>
      </c>
      <c r="B1616" s="27" t="s">
        <v>1130</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1125</v>
      </c>
      <c r="B1617" s="27" t="s">
        <v>1138</v>
      </c>
      <c r="C1617" s="27" t="s">
        <v>1126</v>
      </c>
      <c r="D1617" s="27" t="s">
        <v>1066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1665</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1666</v>
      </c>
      <c r="B1619" s="27" t="s">
        <v>1103</v>
      </c>
      <c r="C1619" s="27" t="s">
        <v>1128</v>
      </c>
      <c r="D1619" s="27" t="s">
        <v>1066</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361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1233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1077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1667</v>
      </c>
    </row>
    <row r="1625" spans="1:12">
      <c r="A1625" s="20" t="s">
        <v>1308</v>
      </c>
      <c r="B1625" s="27" t="s">
        <v>1064</v>
      </c>
      <c r="C1625" s="27" t="s">
        <v>1065</v>
      </c>
      <c r="D1625" s="27" t="s">
        <v>1066</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1309</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1668</v>
      </c>
      <c r="B1627" s="27" t="s">
        <v>1157</v>
      </c>
      <c r="C1627" s="27" t="s">
        <v>1074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1084</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1669</v>
      </c>
      <c r="B1629" s="27" t="s">
        <v>1068</v>
      </c>
      <c r="C1629" s="27" t="s">
        <v>1074</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1084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1670</v>
      </c>
      <c r="B1631" s="27" t="s">
        <v>1068</v>
      </c>
      <c r="C1631" s="27" t="s">
        <v>1074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1075</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1671</v>
      </c>
      <c r="B1633" s="27" t="s">
        <v>1068</v>
      </c>
      <c r="C1633" s="27" t="s">
        <v>1074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357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1077</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1672</v>
      </c>
    </row>
    <row r="1638" spans="1:12">
      <c r="A1638" s="20" t="s">
        <v>1390</v>
      </c>
      <c r="B1638" s="27" t="s">
        <v>1064</v>
      </c>
      <c r="C1638" s="27" t="s">
        <v>1126</v>
      </c>
      <c r="D1638" s="27" t="s">
        <v>1066</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361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1082</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1225</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1673</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1636</v>
      </c>
      <c r="B1643" s="27" t="s">
        <v>1157</v>
      </c>
      <c r="C1643" s="27" t="s">
        <v>1117</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1075</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1193</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1185</v>
      </c>
      <c r="B1646" s="27" t="s">
        <v>1092</v>
      </c>
      <c r="C1646" s="27" t="s">
        <v>1107</v>
      </c>
      <c r="D1646" s="27" t="s">
        <v>1066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1115</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361</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1135</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1063</v>
      </c>
      <c r="B1650" s="27" t="s">
        <v>1130</v>
      </c>
      <c r="C1650" s="27" t="s">
        <v>1065</v>
      </c>
      <c r="D1650" s="27" t="s">
        <v>1066</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1674</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1084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1202</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1080</v>
      </c>
      <c r="B1654" s="27" t="s">
        <v>1232</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1461</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1084</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1298</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1088</v>
      </c>
      <c r="B1658" s="27" t="s">
        <v>1675</v>
      </c>
      <c r="C1658" s="27" t="s">
        <v>1090</v>
      </c>
      <c r="D1658" s="27" t="s">
        <v>1066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1676</v>
      </c>
      <c r="B1659" s="27" t="s">
        <v>1106</v>
      </c>
      <c r="C1659" s="27" t="s">
        <v>1074</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1353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1188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1084</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1146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1105</v>
      </c>
      <c r="B1664" s="27" t="s">
        <v>1505</v>
      </c>
      <c r="C1664" s="27" t="s">
        <v>1107</v>
      </c>
      <c r="D1664" s="27" t="s">
        <v>1066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1204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1677</v>
      </c>
      <c r="B1666" s="27" t="s">
        <v>1678</v>
      </c>
      <c r="C1666" s="27" t="s">
        <v>1069</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1679</v>
      </c>
      <c r="B1667" s="27" t="s">
        <v>1675</v>
      </c>
      <c r="C1667" s="27" t="s">
        <v>1126</v>
      </c>
      <c r="D1667" s="27" t="s">
        <v>1066</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1664</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432</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1084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1075</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1105</v>
      </c>
      <c r="B1673" s="27" t="s">
        <v>1680</v>
      </c>
      <c r="C1673" s="27" t="s">
        <v>1107</v>
      </c>
      <c r="D1673" s="27" t="s">
        <v>1066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1233</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1591</v>
      </c>
      <c r="B1675" s="27" t="s">
        <v>1678</v>
      </c>
      <c r="C1675" s="27" t="s">
        <v>1107</v>
      </c>
      <c r="D1675" s="27" t="s">
        <v>1066</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1196</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1681</v>
      </c>
      <c r="B1677" s="27" t="s">
        <v>1678</v>
      </c>
      <c r="C1677" s="27" t="s">
        <v>1065</v>
      </c>
      <c r="D1677" s="27" t="s">
        <v>1066</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1682</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1084</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1085</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1185</v>
      </c>
      <c r="B1681" s="27" t="s">
        <v>1683</v>
      </c>
      <c r="C1681" s="27" t="s">
        <v>1107</v>
      </c>
      <c r="D1681" s="27" t="s">
        <v>1066</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1239</v>
      </c>
      <c r="B1682" s="27" t="s">
        <v>1684</v>
      </c>
      <c r="C1682" s="27" t="s">
        <v>1107</v>
      </c>
      <c r="D1682" s="27" t="s">
        <v>1066</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1685</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1084</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1686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1647</v>
      </c>
      <c r="B1686" s="27" t="s">
        <v>1687</v>
      </c>
      <c r="C1686" s="27" t="s">
        <v>1069</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157</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1688</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1689</v>
      </c>
      <c r="B1689" s="27" t="s">
        <v>1690</v>
      </c>
      <c r="C1689" s="27" t="s">
        <v>1074</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1077</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row>
    <row r="1692" spans="1:12">
      <c r="A1692" s="20" t="s">
        <v>1691</v>
      </c>
    </row>
    <row r="1693" spans="1:12">
      <c r="A1693" s="20" t="s">
        <v>1692</v>
      </c>
      <c r="B1693" s="27" t="s">
        <v>1071</v>
      </c>
      <c r="C1693" s="27" t="s">
        <v>1074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1105</v>
      </c>
      <c r="B1694" s="27" t="s">
        <v>1092</v>
      </c>
      <c r="C1694" s="27" t="s">
        <v>1107</v>
      </c>
      <c r="D1694" s="27" t="s">
        <v>1066</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1239</v>
      </c>
      <c r="B1695" s="27" t="s">
        <v>1087</v>
      </c>
      <c r="C1695" s="27" t="s">
        <v>1107</v>
      </c>
      <c r="D1695" s="27" t="s">
        <v>1066</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1693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1080</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1694</v>
      </c>
      <c r="B1698" s="27" t="s">
        <v>1157</v>
      </c>
      <c r="C1698" s="27" t="s">
        <v>1083</v>
      </c>
      <c r="D1698" s="27" t="s">
        <v>1066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1695</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1696</v>
      </c>
      <c r="B1700" s="27" t="s">
        <v>1068</v>
      </c>
      <c r="C1700" s="27" t="s">
        <v>1074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1204</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1084</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1697</v>
      </c>
      <c r="B1703" s="27" t="s">
        <v>1068</v>
      </c>
      <c r="C1703" s="27" t="s">
        <v>1074</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1196</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1652</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1551</v>
      </c>
      <c r="B1706" s="27" t="s">
        <v>1089</v>
      </c>
      <c r="C1706" s="27" t="s">
        <v>1074</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1158</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1554</v>
      </c>
      <c r="B1708" s="27" t="s">
        <v>1138</v>
      </c>
      <c r="C1708" s="27" t="s">
        <v>1074</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1077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row>
    <row r="1711" spans="1:12">
      <c r="A1711" s="20" t="s">
        <v>1698</v>
      </c>
    </row>
    <row r="1712" spans="1:12">
      <c r="A1712" s="20" t="s">
        <v>1699</v>
      </c>
      <c r="B1712" s="27" t="s">
        <v>1087</v>
      </c>
      <c r="C1712" s="27" t="s">
        <v>1107</v>
      </c>
      <c r="D1712" s="27" t="s">
        <v>1066</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1348</v>
      </c>
      <c r="B1713" s="27" t="s">
        <v>1092</v>
      </c>
      <c r="C1713" s="27" t="s">
        <v>1069</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1700</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212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1345</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1084</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1701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1082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1541</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1084</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1298</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1080</v>
      </c>
      <c r="B1723" s="27" t="s">
        <v>1092</v>
      </c>
      <c r="C1723" s="27" t="s">
        <v>1126</v>
      </c>
      <c r="D1723" s="27" t="s">
        <v>1066</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1188</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1164</v>
      </c>
      <c r="B1725" s="27" t="s">
        <v>1092</v>
      </c>
      <c r="C1725" s="27" t="s">
        <v>1065</v>
      </c>
      <c r="D1725" s="27" t="s">
        <v>1066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1152</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1077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row>
    <row r="1729" spans="1:12">
      <c r="A1729" s="20" t="s">
        <v>1702</v>
      </c>
    </row>
    <row r="1730" spans="1:12">
      <c r="A1730" s="20" t="s">
        <v>1641</v>
      </c>
      <c r="B1730" s="27" t="s">
        <v>1064</v>
      </c>
      <c r="C1730" s="27" t="s">
        <v>1069</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1703</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1677</v>
      </c>
      <c r="B1732" s="27" t="s">
        <v>1068</v>
      </c>
      <c r="C1732" s="27" t="s">
        <v>1069</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1080</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1253</v>
      </c>
      <c r="B1734" s="27" t="s">
        <v>1064</v>
      </c>
      <c r="C1734" s="27" t="s">
        <v>1131</v>
      </c>
      <c r="D1734" s="27" t="s">
        <v>1066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1084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1080</v>
      </c>
      <c r="B1736" s="27" t="s">
        <v>1130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1354</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1140</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1694</v>
      </c>
      <c r="B1739" s="27" t="s">
        <v>1089</v>
      </c>
      <c r="C1739" s="27" t="s">
        <v>1083</v>
      </c>
      <c r="D1739" s="27" t="s">
        <v>1066</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1361</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1140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1704</v>
      </c>
      <c r="B1742" s="27" t="s">
        <v>1089</v>
      </c>
      <c r="C1742" s="27" t="s">
        <v>1083</v>
      </c>
      <c r="D1742" s="27" t="s">
        <v>1066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1705</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1084</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1706</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1084</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1342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1707</v>
      </c>
      <c r="B1748" s="27" t="s">
        <v>1068</v>
      </c>
      <c r="C1748" s="27" t="s">
        <v>1074</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1708</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1075</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1349</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1709</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1710</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1075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931</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1084</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1146</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1164</v>
      </c>
      <c r="B1758" s="27" t="s">
        <v>1130</v>
      </c>
      <c r="C1758" s="27" t="s">
        <v>1065</v>
      </c>
      <c r="D1758" s="27" t="s">
        <v>1066</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1700</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1711</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1077</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row>
    <row r="1763" spans="1:12">
      <c r="A1763" s="20" t="s">
        <v>1712</v>
      </c>
    </row>
    <row r="1764" spans="1:12">
      <c r="A1764" s="20" t="s">
        <v>1155</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1296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1266</v>
      </c>
      <c r="B1766" s="27" t="s">
        <v>1068</v>
      </c>
      <c r="C1766" s="27" t="s">
        <v>1069</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1713</v>
      </c>
      <c r="B1767" s="27" t="s">
        <v>1064</v>
      </c>
      <c r="C1767" s="27" t="s">
        <v>1114</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1084</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1101</v>
      </c>
      <c r="B1769" s="27" t="s">
        <v>1130</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1080</v>
      </c>
      <c r="B1770" s="27" t="s">
        <v>1103</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1139</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1288</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1714</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12</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1715</v>
      </c>
      <c r="B1775" s="27" t="s">
        <v>1089</v>
      </c>
      <c r="C1775" s="27" t="s">
        <v>1117</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1716</v>
      </c>
      <c r="B1776" s="27" t="s">
        <v>1138</v>
      </c>
      <c r="C1776" s="27" t="s">
        <v>1131</v>
      </c>
      <c r="D1776" s="27" t="s">
        <v>1066</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278</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1084</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1298</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1164</v>
      </c>
      <c r="B1780" s="27" t="s">
        <v>1232</v>
      </c>
      <c r="C1780" s="27" t="s">
        <v>1065</v>
      </c>
      <c r="D1780" s="27" t="s">
        <v>1066</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1139</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1717</v>
      </c>
      <c r="B1782" s="27" t="s">
        <v>1138</v>
      </c>
      <c r="C1782" s="27" t="s">
        <v>1074</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1067</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248</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1181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1190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1718</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46</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1077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row>
    <row r="1791" spans="1:12">
      <c r="A1791" s="20" t="s">
        <v>1719</v>
      </c>
    </row>
    <row r="1792" spans="1:12">
      <c r="A1792" s="20" t="s">
        <v>1079</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1182</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1720</v>
      </c>
      <c r="B1794" s="27" t="s">
        <v>1087</v>
      </c>
      <c r="C1794" s="27" t="s">
        <v>1117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1124</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1101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1721</v>
      </c>
      <c r="B1797" s="27" t="s">
        <v>1089</v>
      </c>
      <c r="C1797" s="27" t="s">
        <v>1083</v>
      </c>
      <c r="D1797" s="27" t="s">
        <v>1066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1722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1253</v>
      </c>
      <c r="B1799" s="27" t="s">
        <v>1138</v>
      </c>
      <c r="C1799" s="27" t="s">
        <v>1131</v>
      </c>
      <c r="D1799" s="27" t="s">
        <v>1066</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1067</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1723</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1084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1188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1182</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1333</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1334</v>
      </c>
      <c r="B1806" s="27" t="s">
        <v>1071</v>
      </c>
      <c r="C1806" s="27" t="s">
        <v>1117</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1077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1724</v>
      </c>
    </row>
    <row r="1810" spans="1:12">
      <c r="A1810" s="20" t="s">
        <v>1120</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1080</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1725</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1726</v>
      </c>
      <c r="B1813" s="27" t="s">
        <v>1064</v>
      </c>
      <c r="C1813" s="27" t="s">
        <v>1083</v>
      </c>
      <c r="D1813" s="27" t="s">
        <v>1066</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1353</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1188</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1101</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1727</v>
      </c>
      <c r="B1817" s="27" t="s">
        <v>1071</v>
      </c>
      <c r="C1817" s="27" t="s">
        <v>1083</v>
      </c>
      <c r="D1817" s="27" t="s">
        <v>1066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1077</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row>
    <row r="1820" spans="1:12">
      <c r="A1820" s="20" t="s">
        <v>1728</v>
      </c>
    </row>
    <row r="1821" spans="1:12">
      <c r="A1821" s="20" t="s">
        <v>1729</v>
      </c>
      <c r="B1821" s="27" t="s">
        <v>1064</v>
      </c>
      <c r="C1821" s="27" t="s">
        <v>1730</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1181</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1164</v>
      </c>
      <c r="B1823" s="27" t="s">
        <v>1064</v>
      </c>
      <c r="C1823" s="27" t="s">
        <v>1065</v>
      </c>
      <c r="D1823" s="27" t="s">
        <v>1066</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388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1321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row>
    <row r="1827" spans="1:12">
      <c r="A1827" s="20" t="s">
        <v>1731</v>
      </c>
    </row>
    <row r="1828" spans="1:12">
      <c r="A1828" s="20" t="s">
        <v>1729</v>
      </c>
      <c r="B1828" s="27" t="s">
        <v>1064</v>
      </c>
      <c r="C1828" s="27" t="s">
        <v>1730</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1170</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17</v>
      </c>
      <c r="B1830" s="27" t="s">
        <v>1157</v>
      </c>
      <c r="C1830" s="27" t="s">
        <v>1069</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392</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1084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1565</v>
      </c>
      <c r="B1833" s="27" t="s">
        <v>1092</v>
      </c>
      <c r="C1833" s="27" t="s">
        <v>1107</v>
      </c>
      <c r="D1833" s="27" t="s">
        <v>1066</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1732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1150</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1112</v>
      </c>
      <c r="B1836" s="27" t="s">
        <v>1068</v>
      </c>
      <c r="C1836" s="27" t="s">
        <v>1114</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1423</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1733</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1135</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1557</v>
      </c>
      <c r="B1840" s="27" t="s">
        <v>1089</v>
      </c>
      <c r="C1840" s="27" t="s">
        <v>1069</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1734</v>
      </c>
      <c r="B1841" s="27" t="s">
        <v>1068</v>
      </c>
      <c r="C1841" s="27" t="s">
        <v>1074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1196</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1735</v>
      </c>
      <c r="B1843" s="27" t="s">
        <v>1089</v>
      </c>
      <c r="C1843" s="27" t="s">
        <v>1131</v>
      </c>
      <c r="D1843" s="27" t="s">
        <v>1066</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1084</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1110</v>
      </c>
      <c r="B1845" s="27" t="s">
        <v>1104</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1348</v>
      </c>
      <c r="B1846" s="27" t="s">
        <v>1106</v>
      </c>
      <c r="C1846" s="27" t="s">
        <v>1069</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1086</v>
      </c>
      <c r="B1847" s="27" t="s">
        <v>1104</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1196</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1736</v>
      </c>
      <c r="B1849" s="27" t="s">
        <v>1113</v>
      </c>
      <c r="C1849" s="27" t="s">
        <v>1074</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12</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1075</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1137</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1737</v>
      </c>
      <c r="B1853" s="27" t="s">
        <v>1675</v>
      </c>
      <c r="C1853" s="27" t="s">
        <v>1074</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1738</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1170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1321</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row>
    <row r="1858" spans="1:12">
      <c r="A1858" s="20" t="s">
        <v>1739</v>
      </c>
    </row>
    <row r="1859" spans="1:12">
      <c r="A1859" s="20" t="s">
        <v>1172</v>
      </c>
      <c r="B1859" s="27" t="s">
        <v>1064</v>
      </c>
      <c r="C1859" s="27" t="s">
        <v>1126</v>
      </c>
      <c r="D1859" s="27" t="s">
        <v>1066</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1188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1182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1546</v>
      </c>
      <c r="B1862" s="27" t="s">
        <v>1071</v>
      </c>
      <c r="C1862" s="27" t="s">
        <v>1117</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1740</v>
      </c>
      <c r="B1863" s="27" t="s">
        <v>1071</v>
      </c>
      <c r="C1863" s="27" t="s">
        <v>1074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1077</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row>
    <row r="1866" spans="1:12">
      <c r="A1866" s="20" t="s">
        <v>1741</v>
      </c>
    </row>
    <row r="1867" spans="1:12">
      <c r="A1867" s="20" t="s">
        <v>1172</v>
      </c>
      <c r="B1867" s="27" t="s">
        <v>1064</v>
      </c>
      <c r="C1867" s="27" t="s">
        <v>1126</v>
      </c>
      <c r="D1867" s="27" t="s">
        <v>1066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1188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1240</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1182</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1742</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1743</v>
      </c>
      <c r="B1872" s="27" t="s">
        <v>1071</v>
      </c>
      <c r="C1872" s="27" t="s">
        <v>1117</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1077</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row>
    <row r="1875" spans="1:12">
      <c r="A1875" s="20" t="s">
        <v>1744</v>
      </c>
    </row>
    <row r="1876" spans="1:12">
      <c r="A1876" s="20" t="s">
        <v>1745</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1746</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1314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1563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1077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row>
    <row r="1882" spans="1:12">
      <c r="A1882" s="20" t="s">
        <v>1747</v>
      </c>
    </row>
    <row r="1883" spans="1:12">
      <c r="A1883" s="20" t="s">
        <v>1161</v>
      </c>
      <c r="B1883" s="27" t="s">
        <v>1064</v>
      </c>
      <c r="C1883" s="27" t="s">
        <v>1126</v>
      </c>
      <c r="D1883" s="27" t="s">
        <v>1066</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1265</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1748</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1534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1333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1689</v>
      </c>
      <c r="B1888" s="27" t="s">
        <v>1157</v>
      </c>
      <c r="C1888" s="27" t="s">
        <v>1114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1077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row>
    <row r="1891" spans="1:12">
      <c r="A1891" s="20" t="s">
        <v>1749</v>
      </c>
    </row>
    <row r="1892" spans="1:12">
      <c r="A1892" s="20" t="s">
        <v>1161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411</v>
      </c>
      <c r="B1893" s="27" t="s">
        <v>1071</v>
      </c>
      <c r="C1893" s="27" t="s">
        <v>1083</v>
      </c>
      <c r="D1893" s="27" t="s">
        <v>1066</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1084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1750</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1751</v>
      </c>
      <c r="B1896" s="27" t="s">
        <v>1068</v>
      </c>
      <c r="C1896" s="27" t="s">
        <v>1069</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1221</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1752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1369</v>
      </c>
      <c r="B1899" s="27" t="s">
        <v>1068</v>
      </c>
      <c r="C1899" s="27" t="s">
        <v>1074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1121</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1753</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1077</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row>
    <row r="1904" spans="1:12">
      <c r="A1904" s="20" t="s">
        <v>1754</v>
      </c>
    </row>
    <row r="1905" spans="1:12">
      <c r="A1905" s="20" t="s">
        <v>1161</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415</v>
      </c>
      <c r="B1906" s="27" t="s">
        <v>1071</v>
      </c>
      <c r="C1906" s="27" t="s">
        <v>1083</v>
      </c>
      <c r="D1906" s="27" t="s">
        <v>1066</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1354</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1755</v>
      </c>
      <c r="B1908" s="27" t="s">
        <v>1071</v>
      </c>
      <c r="C1908" s="27" t="s">
        <v>1074</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1084</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1146</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1348</v>
      </c>
      <c r="B1911" s="27" t="s">
        <v>1130</v>
      </c>
      <c r="C1911" s="27" t="s">
        <v>1069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1317</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1756</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1084</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1146</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1757</v>
      </c>
      <c r="B1916" s="27" t="s">
        <v>1232</v>
      </c>
      <c r="C1916" s="27" t="s">
        <v>1107</v>
      </c>
      <c r="D1916" s="27" t="s">
        <v>1066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1758</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223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1170</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1084</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1759</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1094</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1760</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1761</v>
      </c>
      <c r="B1924" s="27" t="s">
        <v>1089</v>
      </c>
      <c r="C1924" s="27" t="s">
        <v>1083</v>
      </c>
      <c r="D1924" s="27" t="s">
        <v>1066</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1084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1146</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1094</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1762</v>
      </c>
      <c r="B1928" s="27" t="s">
        <v>1232</v>
      </c>
      <c r="C1928" s="27" t="s">
        <v>1083</v>
      </c>
      <c r="D1928" s="27" t="s">
        <v>1066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1152</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1124</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1763</v>
      </c>
      <c r="B1931" s="27" t="s">
        <v>1138</v>
      </c>
      <c r="C1931" s="27" t="s">
        <v>1074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1764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1181</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1077</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row>
    <row r="1936" spans="1:12">
      <c r="A1936" s="20" t="s">
        <v>1765</v>
      </c>
    </row>
    <row r="1937" spans="1:12">
      <c r="A1937" s="20" t="s">
        <v>1079</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1565</v>
      </c>
      <c r="B1938" s="27" t="s">
        <v>1157</v>
      </c>
      <c r="C1938" s="27" t="s">
        <v>1107</v>
      </c>
      <c r="D1938" s="27" t="s">
        <v>1066</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1766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1348</v>
      </c>
      <c r="B1940" s="27" t="s">
        <v>1064</v>
      </c>
      <c r="C1940" s="27" t="s">
        <v>1069</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1349</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1243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1140</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1735</v>
      </c>
      <c r="B1944" s="27" t="s">
        <v>1071</v>
      </c>
      <c r="C1944" s="27" t="s">
        <v>1131</v>
      </c>
      <c r="D1944" s="27" t="s">
        <v>1066</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1321</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row>
    <row r="1947" spans="1:12">
      <c r="A1947" s="20" t="s">
        <v>1767</v>
      </c>
    </row>
    <row r="1948" spans="1:12">
      <c r="A1948" s="20" t="s">
        <v>1768</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1658</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1769</v>
      </c>
      <c r="B1950" s="27" t="s">
        <v>1092</v>
      </c>
      <c r="C1950" s="27" t="s">
        <v>1065</v>
      </c>
      <c r="D1950" s="27" t="s">
        <v>1066</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1152</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1190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1770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1188</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1084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1296</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1164</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1182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1546</v>
      </c>
      <c r="B1959" s="27" t="s">
        <v>1064</v>
      </c>
      <c r="C1959" s="27" t="s">
        <v>1117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1771</v>
      </c>
      <c r="B1960" s="27" t="s">
        <v>1068</v>
      </c>
      <c r="C1960" s="27" t="s">
        <v>1074</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1077</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row>
    <row r="1963" spans="1:12">
      <c r="A1963" s="20" t="s">
        <v>1772</v>
      </c>
    </row>
    <row r="1964" spans="1:12">
      <c r="A1964" s="20" t="s">
        <v>1161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1127</v>
      </c>
      <c r="B1965" s="27" t="s">
        <v>1064</v>
      </c>
      <c r="C1965" s="27" t="s">
        <v>1083</v>
      </c>
      <c r="D1965" s="27" t="s">
        <v>1066</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129</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1086</v>
      </c>
      <c r="B1967" s="27" t="s">
        <v>1157</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1773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1774</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425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1077</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row>
    <row r="1973" spans="1:12">
      <c r="A1973" s="20" t="s">
        <v>1775</v>
      </c>
    </row>
    <row r="1974" spans="1:12">
      <c r="A1974" s="20" t="s">
        <v>681</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1776</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12</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1509</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1510</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row>
    <row r="1981" spans="1:12">
      <c r="A1981" s="20" t="s">
        <v>1777</v>
      </c>
    </row>
    <row r="1982" spans="1:12">
      <c r="A1982" s="20" t="s">
        <v>1778</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1180</v>
      </c>
      <c r="B1983" s="27" t="s">
        <v>1064</v>
      </c>
      <c r="C1983" s="27" t="s">
        <v>1131</v>
      </c>
      <c r="D1983" s="27" t="s">
        <v>1066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1534</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1190</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1779</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1689</v>
      </c>
      <c r="B1987" s="27" t="s">
        <v>1157</v>
      </c>
      <c r="C1987" s="27" t="s">
        <v>1114</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1084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1101</v>
      </c>
      <c r="B1989" s="27" t="s">
        <v>1092</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1082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1780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1121</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1180</v>
      </c>
      <c r="B1993" s="27" t="s">
        <v>1064</v>
      </c>
      <c r="C1993" s="27" t="s">
        <v>1131</v>
      </c>
      <c r="D1993" s="27" t="s">
        <v>1066</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1534</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1190</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1779</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1689</v>
      </c>
      <c r="B1997" s="27" t="s">
        <v>1157</v>
      </c>
      <c r="C1997" s="27" t="s">
        <v>1114</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1084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1101</v>
      </c>
      <c r="B1999" s="27" t="s">
        <v>1092</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1082</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1780</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1121</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1084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1075</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1204</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1660</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1348</v>
      </c>
      <c r="B2007" s="27" t="s">
        <v>1064</v>
      </c>
      <c r="C2007" s="27" t="s">
        <v>1069</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1229</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432</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1781</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1077</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row>
    <row r="2013" spans="1:12">
      <c r="A2013" s="20" t="s">
        <v>1782</v>
      </c>
    </row>
    <row r="2014" spans="1:12">
      <c r="A2014" s="20" t="s">
        <v>1161</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1783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1534</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1094</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1664</v>
      </c>
      <c r="B2018" s="27" t="s">
        <v>1157</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1309</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1063</v>
      </c>
      <c r="B2020" s="27" t="s">
        <v>1064</v>
      </c>
      <c r="C2020" s="27" t="s">
        <v>1065</v>
      </c>
      <c r="D2020" s="27" t="s">
        <v>1066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1784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1077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row>
    <row r="2024" spans="1:12">
      <c r="A2024" s="20" t="s">
        <v>1785</v>
      </c>
    </row>
    <row r="2025" spans="1:12">
      <c r="A2025" s="20" t="s">
        <v>1155</v>
      </c>
      <c r="B2025" s="27" t="s">
        <v>1064</v>
      </c>
      <c r="C2025" s="27" t="s">
        <v>1065</v>
      </c>
      <c r="D2025" s="27" t="s">
        <v>1066</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1121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1101</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1786</v>
      </c>
      <c r="B2028" s="27" t="s">
        <v>1064</v>
      </c>
      <c r="C2028" s="27" t="s">
        <v>1083</v>
      </c>
      <c r="D2028" s="27" t="s">
        <v>1066</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1562</v>
      </c>
      <c r="B2029" s="27" t="s">
        <v>1071</v>
      </c>
      <c r="C2029" s="27" t="s">
        <v>1074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1084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1163</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1185</v>
      </c>
      <c r="B2032" s="27" t="s">
        <v>1092</v>
      </c>
      <c r="C2032" s="27" t="s">
        <v>1107</v>
      </c>
      <c r="D2032" s="27" t="s">
        <v>1066</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1787</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1788</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46</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1077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row>
    <row r="2038" spans="1:12">
      <c r="A2038" s="20" t="s">
        <v>1789</v>
      </c>
    </row>
    <row r="2039" spans="1:12">
      <c r="A2039" s="20" t="s">
        <v>1079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1748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1101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157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1658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1164</v>
      </c>
      <c r="B2045" s="27" t="s">
        <v>1092</v>
      </c>
      <c r="C2045" s="27" t="s">
        <v>1065</v>
      </c>
      <c r="D2045" s="27" t="s">
        <v>1066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1461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1188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1084</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1146</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1185</v>
      </c>
      <c r="B2050" s="27" t="s">
        <v>1130</v>
      </c>
      <c r="C2050" s="27" t="s">
        <v>1107</v>
      </c>
      <c r="D2050" s="27" t="s">
        <v>1066</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1790</v>
      </c>
      <c r="B2051" s="27" t="s">
        <v>1138</v>
      </c>
      <c r="C2051" s="27" t="s">
        <v>1107</v>
      </c>
      <c r="D2051" s="27" t="s">
        <v>1066</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1791</v>
      </c>
      <c r="B2052" s="27" t="s">
        <v>1103</v>
      </c>
      <c r="C2052" s="27" t="s">
        <v>1114</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282</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1185</v>
      </c>
      <c r="B2055" s="27" t="s">
        <v>1232</v>
      </c>
      <c r="C2055" s="27" t="s">
        <v>1107</v>
      </c>
      <c r="D2055" s="27" t="s">
        <v>1066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157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1266</v>
      </c>
      <c r="B2057" s="27" t="s">
        <v>1113</v>
      </c>
      <c r="C2057" s="27" t="s">
        <v>1069</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1792</v>
      </c>
      <c r="B2058" s="27" t="s">
        <v>1247</v>
      </c>
      <c r="C2058" s="27" t="s">
        <v>1114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1077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row>
    <row r="2061" spans="1:12">
      <c r="A2061" s="20" t="s">
        <v>1793</v>
      </c>
    </row>
    <row r="2062" spans="1:12">
      <c r="A2062" s="20" t="s">
        <v>1794</v>
      </c>
      <c r="B2062" s="27" t="s">
        <v>1068</v>
      </c>
      <c r="C2062" s="27" t="s">
        <v>1069</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1140</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1225</v>
      </c>
      <c r="B2064" s="27" t="s">
        <v>1071</v>
      </c>
      <c r="C2064" s="27" t="s">
        <v>1069</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1188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1101</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1795</v>
      </c>
      <c r="B2067" s="27" t="s">
        <v>1064</v>
      </c>
      <c r="C2067" s="27" t="s">
        <v>1083</v>
      </c>
      <c r="D2067" s="27" t="s">
        <v>1066</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1084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1101</v>
      </c>
      <c r="B2069" s="27" t="s">
        <v>1130</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1125</v>
      </c>
      <c r="B2070" s="27" t="s">
        <v>1138</v>
      </c>
      <c r="C2070" s="27" t="s">
        <v>1126</v>
      </c>
      <c r="D2070" s="27" t="s">
        <v>1066</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1796</v>
      </c>
      <c r="B2071" s="27" t="s">
        <v>1103</v>
      </c>
      <c r="C2071" s="27" t="s">
        <v>1128</v>
      </c>
      <c r="D2071" s="27" t="s">
        <v>1066</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626</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1797</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1798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1135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1101</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1196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1799</v>
      </c>
      <c r="B2078" s="27" t="s">
        <v>1071</v>
      </c>
      <c r="C2078" s="27" t="s">
        <v>1083</v>
      </c>
      <c r="D2078" s="27" t="s">
        <v>1066</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1077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row>
    <row r="2081" spans="1:12">
      <c r="A2081" s="20" t="s">
        <v>1800</v>
      </c>
    </row>
    <row r="2082" spans="1:12">
      <c r="A2082" s="20" t="s">
        <v>1172</v>
      </c>
      <c r="B2082" s="27" t="s">
        <v>1064</v>
      </c>
      <c r="C2082" s="27" t="s">
        <v>1107</v>
      </c>
      <c r="D2082" s="27" t="s">
        <v>1066</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1121</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1801</v>
      </c>
      <c r="B2084" s="27" t="s">
        <v>1071</v>
      </c>
      <c r="C2084" s="27" t="s">
        <v>1074</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1084</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1348</v>
      </c>
      <c r="B2086" s="27" t="s">
        <v>1092</v>
      </c>
      <c r="C2086" s="27" t="s">
        <v>1069</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1802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1196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1803</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1804</v>
      </c>
      <c r="B2090" s="27" t="s">
        <v>1068</v>
      </c>
      <c r="C2090" s="27" t="s">
        <v>1114</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1084</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1805</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1470</v>
      </c>
      <c r="B2093" s="27" t="s">
        <v>1138</v>
      </c>
      <c r="C2093" s="27" t="s">
        <v>1069</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1806</v>
      </c>
      <c r="B2094" s="27" t="s">
        <v>1130</v>
      </c>
      <c r="C2094" s="27" t="s">
        <v>1074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1135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141</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1807</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1808</v>
      </c>
      <c r="B2098" s="27" t="s">
        <v>1089</v>
      </c>
      <c r="C2098" s="27" t="s">
        <v>1117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1077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row>
    <row r="2101" spans="1:12">
      <c r="A2101" s="20" t="s">
        <v>1809</v>
      </c>
    </row>
    <row r="2102" spans="1:12">
      <c r="A2102" s="20" t="s">
        <v>1187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451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1125</v>
      </c>
      <c r="B2104" s="27" t="s">
        <v>1068</v>
      </c>
      <c r="C2104" s="27" t="s">
        <v>1126</v>
      </c>
      <c r="D2104" s="27" t="s">
        <v>1066</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1810</v>
      </c>
      <c r="B2105" s="27" t="s">
        <v>1064</v>
      </c>
      <c r="C2105" s="27" t="s">
        <v>1128</v>
      </c>
      <c r="D2105" s="27" t="s">
        <v>1066</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1811</v>
      </c>
      <c r="B2106" s="27" t="s">
        <v>1157</v>
      </c>
      <c r="C2106" s="27" t="s">
        <v>1074</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1314</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1161</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1812</v>
      </c>
      <c r="B2109" s="27" t="s">
        <v>1092</v>
      </c>
      <c r="C2109" s="27" t="s">
        <v>1083</v>
      </c>
      <c r="D2109" s="27" t="s">
        <v>1066</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1701</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1152</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1110</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1813</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1814</v>
      </c>
      <c r="B2114" s="27" t="s">
        <v>1068</v>
      </c>
      <c r="C2114" s="27" t="s">
        <v>1083</v>
      </c>
      <c r="D2114" s="27" t="s">
        <v>1066</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1084</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1185</v>
      </c>
      <c r="B2116" s="27" t="s">
        <v>1092</v>
      </c>
      <c r="C2116" s="27" t="s">
        <v>1107</v>
      </c>
      <c r="D2116" s="27" t="s">
        <v>1066</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1701</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1748</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1152</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1136</v>
      </c>
      <c r="B2120" s="27" t="s">
        <v>1089</v>
      </c>
      <c r="C2120" s="27" t="s">
        <v>1069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1814</v>
      </c>
      <c r="B2121" s="27" t="s">
        <v>1068</v>
      </c>
      <c r="C2121" s="27" t="s">
        <v>1074</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1075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1815</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1816</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1748</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1094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1817</v>
      </c>
      <c r="B2127" s="27" t="s">
        <v>1130</v>
      </c>
      <c r="C2127" s="27" t="s">
        <v>1083</v>
      </c>
      <c r="D2127" s="27" t="s">
        <v>1066</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1152</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1818</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1077</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row>
    <row r="2132" spans="1:12">
      <c r="A2132" s="20" t="s">
        <v>1819</v>
      </c>
    </row>
    <row r="2133" spans="1:12">
      <c r="A2133" s="20" t="s">
        <v>1332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1345</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1348</v>
      </c>
      <c r="B2135" s="27" t="s">
        <v>1064</v>
      </c>
      <c r="C2135" s="27" t="s">
        <v>1069</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1084</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1193</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1348</v>
      </c>
      <c r="B2138" s="27" t="s">
        <v>1092</v>
      </c>
      <c r="C2138" s="27" t="s">
        <v>1069</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1196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1820</v>
      </c>
      <c r="B2140" s="27" t="s">
        <v>1089</v>
      </c>
      <c r="C2140" s="27" t="s">
        <v>1126</v>
      </c>
      <c r="D2140" s="27" t="s">
        <v>1066</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1810</v>
      </c>
      <c r="B2141" s="27" t="s">
        <v>1068</v>
      </c>
      <c r="C2141" s="27" t="s">
        <v>1128</v>
      </c>
      <c r="D2141" s="27" t="s">
        <v>1066</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1821</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1188</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1084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1225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1822</v>
      </c>
      <c r="B2146" s="27" t="s">
        <v>1103</v>
      </c>
      <c r="C2146" s="27" t="s">
        <v>1117</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157</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1084</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1101</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1073</v>
      </c>
      <c r="B2150" s="27" t="s">
        <v>1092</v>
      </c>
      <c r="C2150" s="27" t="s">
        <v>1083</v>
      </c>
      <c r="D2150" s="27" t="s">
        <v>1066</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1748</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1221</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1823</v>
      </c>
      <c r="B2153" s="27" t="s">
        <v>1068</v>
      </c>
      <c r="C2153" s="27" t="s">
        <v>1074</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1193</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1194</v>
      </c>
      <c r="B2155" s="27" t="s">
        <v>1092</v>
      </c>
      <c r="C2155" s="27" t="s">
        <v>1065</v>
      </c>
      <c r="D2155" s="27" t="s">
        <v>1066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1152</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1824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1188</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1084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1067</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248</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1077</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row>
    <row r="2164" spans="1:12">
      <c r="A2164" s="20" t="s">
        <v>1825</v>
      </c>
    </row>
    <row r="2165" spans="1:12">
      <c r="A2165" s="20" t="s">
        <v>1155</v>
      </c>
      <c r="B2165" s="27" t="s">
        <v>1064</v>
      </c>
      <c r="C2165" s="27" t="s">
        <v>1065</v>
      </c>
      <c r="D2165" s="27" t="s">
        <v>1066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1296</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1353</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1240</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1333</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1826</v>
      </c>
      <c r="B2170" s="27" t="s">
        <v>1157</v>
      </c>
      <c r="C2170" s="27" t="s">
        <v>1074</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1077</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row>
    <row r="2173" spans="1:12">
      <c r="A2173" s="20" t="s">
        <v>1827</v>
      </c>
    </row>
    <row r="2174" spans="1:12">
      <c r="A2174" s="20" t="s">
        <v>1155</v>
      </c>
      <c r="B2174" s="27" t="s">
        <v>1064</v>
      </c>
      <c r="C2174" s="27" t="s">
        <v>1065</v>
      </c>
      <c r="D2174" s="27" t="s">
        <v>1066</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1296</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1828</v>
      </c>
      <c r="B2176" s="27" t="s">
        <v>1157</v>
      </c>
      <c r="C2176" s="27" t="s">
        <v>1074</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1093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1094</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1829</v>
      </c>
      <c r="B2179" s="27" t="s">
        <v>1068</v>
      </c>
      <c r="C2179" s="27" t="s">
        <v>1083</v>
      </c>
      <c r="D2179" s="27" t="s">
        <v>1066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1077</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row>
    <row r="2182" spans="1:12">
      <c r="A2182" s="20" t="s">
        <v>1830</v>
      </c>
    </row>
    <row r="2183" spans="1:12">
      <c r="A2183" s="20" t="s">
        <v>1433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1105</v>
      </c>
      <c r="B2184" s="27" t="s">
        <v>1130</v>
      </c>
      <c r="C2184" s="27" t="s">
        <v>1107</v>
      </c>
      <c r="D2184" s="27" t="s">
        <v>1066</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1831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121</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1084</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1146</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1101</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1832</v>
      </c>
      <c r="B2190" s="27" t="s">
        <v>1232</v>
      </c>
      <c r="C2190" s="27" t="s">
        <v>1083</v>
      </c>
      <c r="D2190" s="27" t="s">
        <v>1066</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1833</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1722</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1834</v>
      </c>
      <c r="B2193" s="27" t="s">
        <v>1138</v>
      </c>
      <c r="C2193" s="27" t="s">
        <v>1083</v>
      </c>
      <c r="D2193" s="27" t="s">
        <v>1066</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1835</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1084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282</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1194</v>
      </c>
      <c r="B2197" s="27" t="s">
        <v>1092</v>
      </c>
      <c r="C2197" s="27" t="s">
        <v>1065</v>
      </c>
      <c r="D2197" s="27" t="s">
        <v>1066</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1152</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1195</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1101</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1836</v>
      </c>
      <c r="B2201" s="27" t="s">
        <v>1087</v>
      </c>
      <c r="C2201" s="27" t="s">
        <v>1083</v>
      </c>
      <c r="D2201" s="27" t="s">
        <v>1066</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1084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1194</v>
      </c>
      <c r="B2203" s="27" t="s">
        <v>1089</v>
      </c>
      <c r="C2203" s="27" t="s">
        <v>1065</v>
      </c>
      <c r="D2203" s="27" t="s">
        <v>1066</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129</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1748</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1243</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1140</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1837</v>
      </c>
      <c r="B2208" s="27" t="s">
        <v>1071</v>
      </c>
      <c r="C2208" s="27" t="s">
        <v>1083</v>
      </c>
      <c r="D2208" s="27" t="s">
        <v>1066</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464</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1084</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1146</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1101</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1073</v>
      </c>
      <c r="B2213" s="27" t="s">
        <v>1092</v>
      </c>
      <c r="C2213" s="27" t="s">
        <v>1083</v>
      </c>
      <c r="D2213" s="27" t="s">
        <v>1066</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1196</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1293</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1337</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1838</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1077</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row>
    <row r="2220" spans="1:12">
      <c r="A2220" s="20" t="s">
        <v>1839</v>
      </c>
    </row>
    <row r="2221" spans="1:12">
      <c r="A2221" s="20" t="s">
        <v>1079</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1164</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1296</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1080</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1840</v>
      </c>
      <c r="B2225" s="27" t="s">
        <v>1064</v>
      </c>
      <c r="C2225" s="27" t="s">
        <v>1083</v>
      </c>
      <c r="D2225" s="27" t="s">
        <v>1066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1077</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row>
    <row r="2228" spans="1:12">
      <c r="A2228" s="20" t="s">
        <v>1841</v>
      </c>
    </row>
    <row r="2229" spans="1:12">
      <c r="A2229" s="20" t="s">
        <v>1079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1097</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1101</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1842</v>
      </c>
      <c r="B2232" s="27" t="s">
        <v>1087</v>
      </c>
      <c r="C2232" s="27" t="s">
        <v>1083</v>
      </c>
      <c r="D2232" s="27" t="s">
        <v>1066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1067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1843</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1084</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1309</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1063</v>
      </c>
      <c r="B2237" s="27" t="s">
        <v>1064</v>
      </c>
      <c r="C2237" s="27" t="s">
        <v>1065</v>
      </c>
      <c r="D2237" s="27" t="s">
        <v>1066</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1630</v>
      </c>
      <c r="B2238" s="27" t="s">
        <v>1157</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1647</v>
      </c>
      <c r="B2239" s="27" t="s">
        <v>1068</v>
      </c>
      <c r="C2239" s="27" t="s">
        <v>1069</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1844</v>
      </c>
      <c r="B2240" s="27" t="s">
        <v>1157</v>
      </c>
      <c r="C2240" s="27" t="s">
        <v>1114</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1196</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1845</v>
      </c>
      <c r="B2242" s="27" t="s">
        <v>1068</v>
      </c>
      <c r="C2242" s="27" t="s">
        <v>1074</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1084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1101</v>
      </c>
      <c r="B2244" s="27" t="s">
        <v>1232</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1846</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46</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1084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1847</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1314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1161</v>
      </c>
      <c r="B2250" s="27" t="s">
        <v>1071</v>
      </c>
      <c r="C2250" s="27" t="s">
        <v>1107</v>
      </c>
      <c r="D2250" s="27" t="s">
        <v>1066</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1124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1848</v>
      </c>
      <c r="B2252" s="27" t="s">
        <v>1068</v>
      </c>
      <c r="C2252" s="27" t="s">
        <v>1114</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1084</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1849</v>
      </c>
      <c r="B2254" s="27" t="s">
        <v>1089</v>
      </c>
      <c r="C2254" s="27" t="s">
        <v>1074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1084</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1850</v>
      </c>
      <c r="B2256" s="27" t="s">
        <v>1089</v>
      </c>
      <c r="C2256" s="27" t="s">
        <v>1074</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1084</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1851</v>
      </c>
      <c r="B2258" s="27" t="s">
        <v>1089</v>
      </c>
      <c r="C2258" s="27" t="s">
        <v>1074</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1084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1124</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1450</v>
      </c>
      <c r="B2261" s="27" t="s">
        <v>1089</v>
      </c>
      <c r="C2261" s="27" t="s">
        <v>1069</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1077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row>
    <row r="2264" spans="1:12">
      <c r="A2264" s="20" t="s">
        <v>1852</v>
      </c>
    </row>
    <row r="2265" spans="1:12">
      <c r="A2265" s="20" t="s">
        <v>1079</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1080</v>
      </c>
      <c r="B2266" s="27" t="s">
        <v>1157</v>
      </c>
      <c r="C2266" s="27" t="s">
        <v>1126</v>
      </c>
      <c r="D2266" s="27" t="s">
        <v>1066</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1309</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1063</v>
      </c>
      <c r="B2268" s="27" t="s">
        <v>1064</v>
      </c>
      <c r="C2268" s="27" t="s">
        <v>1065</v>
      </c>
      <c r="D2268" s="27" t="s">
        <v>1066</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1243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1094</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1546</v>
      </c>
      <c r="B2271" s="27" t="s">
        <v>1071</v>
      </c>
      <c r="C2271" s="27" t="s">
        <v>1083</v>
      </c>
      <c r="D2271" s="27" t="s">
        <v>1066</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1094</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1853</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1073</v>
      </c>
      <c r="B2274" s="27" t="s">
        <v>1068</v>
      </c>
      <c r="C2274" s="27" t="s">
        <v>1083</v>
      </c>
      <c r="D2274" s="27" t="s">
        <v>1066</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1084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1854</v>
      </c>
      <c r="B2276" s="27" t="s">
        <v>1130</v>
      </c>
      <c r="C2276" s="27" t="s">
        <v>1107</v>
      </c>
      <c r="D2276" s="27" t="s">
        <v>1066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1101</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1245</v>
      </c>
      <c r="B2278" s="27" t="s">
        <v>1103</v>
      </c>
      <c r="C2278" s="27" t="s">
        <v>1083</v>
      </c>
      <c r="D2278" s="27" t="s">
        <v>1066</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1406</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1084</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1855</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1077</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row>
    <row r="2284" spans="1:12">
      <c r="A2284" s="20" t="s">
        <v>1856</v>
      </c>
    </row>
    <row r="2285" spans="1:12">
      <c r="A2285" s="20" t="s">
        <v>1308</v>
      </c>
      <c r="B2285" s="27" t="s">
        <v>1064</v>
      </c>
      <c r="C2285" s="27" t="s">
        <v>1065</v>
      </c>
      <c r="D2285" s="27" t="s">
        <v>1066</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1857</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1486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1084</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1146</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1647</v>
      </c>
      <c r="B2290" s="27" t="s">
        <v>1089</v>
      </c>
      <c r="C2290" s="27" t="s">
        <v>1069</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1845</v>
      </c>
      <c r="B2291" s="27" t="s">
        <v>1092</v>
      </c>
      <c r="C2291" s="27" t="s">
        <v>1114</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1084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1101</v>
      </c>
      <c r="B2293" s="27" t="s">
        <v>1247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1105</v>
      </c>
      <c r="B2294" s="27" t="s">
        <v>1232</v>
      </c>
      <c r="C2294" s="27" t="s">
        <v>1107</v>
      </c>
      <c r="D2294" s="27" t="s">
        <v>1066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1536</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1858</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1084</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1370</v>
      </c>
      <c r="B2298" s="27" t="s">
        <v>1138</v>
      </c>
      <c r="C2298" s="27" t="s">
        <v>1107</v>
      </c>
      <c r="D2298" s="27" t="s">
        <v>1066</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1135</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45</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1859</v>
      </c>
      <c r="B2301" s="27" t="s">
        <v>1113</v>
      </c>
      <c r="C2301" s="27" t="s">
        <v>1114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1094</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1860</v>
      </c>
      <c r="B2303" s="27" t="s">
        <v>1675</v>
      </c>
      <c r="C2303" s="27" t="s">
        <v>1083</v>
      </c>
      <c r="D2303" s="27" t="s">
        <v>1066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1710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1200</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1077</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row>
    <row r="2308" spans="1:12">
      <c r="A2308" s="20" t="s">
        <v>1861</v>
      </c>
    </row>
    <row r="2309" spans="1:12">
      <c r="A2309" s="20" t="s">
        <v>1238</v>
      </c>
      <c r="B2309" s="27" t="s">
        <v>1064</v>
      </c>
      <c r="C2309" s="27" t="s">
        <v>1107</v>
      </c>
      <c r="D2309" s="27" t="s">
        <v>1066</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282</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1353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1240</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1225</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1665</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1862</v>
      </c>
      <c r="B2315" s="27" t="s">
        <v>1157</v>
      </c>
      <c r="C2315" s="27" t="s">
        <v>1117</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1084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17</v>
      </c>
      <c r="B2317" s="27" t="s">
        <v>1089</v>
      </c>
      <c r="C2317" s="27" t="s">
        <v>1069</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1084</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1146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1097</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1225</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1414</v>
      </c>
      <c r="B2322" s="27" t="s">
        <v>1089</v>
      </c>
      <c r="C2322" s="27" t="s">
        <v>1117</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383</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1863</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838</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1181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1084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1135</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1101</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1864</v>
      </c>
      <c r="B2330" s="27" t="s">
        <v>1232</v>
      </c>
      <c r="C2330" s="27" t="s">
        <v>1083</v>
      </c>
      <c r="D2330" s="27" t="s">
        <v>1066</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1067</v>
      </c>
      <c r="B2331" s="27" t="s">
        <v>1138</v>
      </c>
      <c r="C2331" s="27" t="s">
        <v>1069</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1094</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1208</v>
      </c>
      <c r="B2333" s="27" t="s">
        <v>1089</v>
      </c>
      <c r="C2333" s="27" t="s">
        <v>1083</v>
      </c>
      <c r="D2333" s="27" t="s">
        <v>1066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1077</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row>
    <row r="2336" spans="1:12">
      <c r="A2336" s="20" t="s">
        <v>1865</v>
      </c>
    </row>
    <row r="2337" spans="1:12">
      <c r="A2337" s="20" t="s">
        <v>1172</v>
      </c>
      <c r="B2337" s="27" t="s">
        <v>1064</v>
      </c>
      <c r="C2337" s="27" t="s">
        <v>1107</v>
      </c>
      <c r="D2337" s="27" t="s">
        <v>1066</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1188</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1152</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1866</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1084</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1298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1164</v>
      </c>
      <c r="B2343" s="27" t="s">
        <v>1092</v>
      </c>
      <c r="C2343" s="27" t="s">
        <v>1065</v>
      </c>
      <c r="D2343" s="27" t="s">
        <v>1066</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1188</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1152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1162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1867</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1077</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row>
    <row r="2350" spans="1:12">
      <c r="A2350" s="20" t="s">
        <v>1868</v>
      </c>
    </row>
    <row r="2351" spans="1:12">
      <c r="A2351" s="20" t="s">
        <v>1172</v>
      </c>
      <c r="B2351" s="27" t="s">
        <v>1064</v>
      </c>
      <c r="C2351" s="27" t="s">
        <v>1126</v>
      </c>
      <c r="D2351" s="27" t="s">
        <v>1066</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1869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1084</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1193</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1348</v>
      </c>
      <c r="B2355" s="27" t="s">
        <v>1092</v>
      </c>
      <c r="C2355" s="27" t="s">
        <v>1069</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1870</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1084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1125</v>
      </c>
      <c r="B2358" s="27" t="s">
        <v>1138</v>
      </c>
      <c r="C2358" s="27" t="s">
        <v>1126</v>
      </c>
      <c r="D2358" s="27" t="s">
        <v>1066</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1871</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1810</v>
      </c>
      <c r="B2360" s="27" t="s">
        <v>1103</v>
      </c>
      <c r="C2360" s="27" t="s">
        <v>1128</v>
      </c>
      <c r="D2360" s="27" t="s">
        <v>1066</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1072</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121</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1105</v>
      </c>
      <c r="B2363" s="27" t="s">
        <v>1130</v>
      </c>
      <c r="C2363" s="27" t="s">
        <v>1107</v>
      </c>
      <c r="D2363" s="27" t="s">
        <v>1066</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1872</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1873</v>
      </c>
      <c r="B2366" s="27" t="s">
        <v>1232</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1722</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1874</v>
      </c>
      <c r="B2368" s="27" t="s">
        <v>1113</v>
      </c>
      <c r="C2368" s="27" t="s">
        <v>1083</v>
      </c>
      <c r="D2368" s="27" t="s">
        <v>1066</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1067</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1400</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1077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row>
    <row r="2373" spans="1:12">
      <c r="A2373" s="20" t="s">
        <v>1875</v>
      </c>
    </row>
    <row r="2374" spans="1:12">
      <c r="A2374" s="20" t="s">
        <v>1433</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1194</v>
      </c>
      <c r="B2375" s="27" t="s">
        <v>1092</v>
      </c>
      <c r="C2375" s="27" t="s">
        <v>1065</v>
      </c>
      <c r="D2375" s="27" t="s">
        <v>1066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1086</v>
      </c>
      <c r="B2376" s="27" t="s">
        <v>1087</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1097</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1717</v>
      </c>
      <c r="B2378" s="27" t="s">
        <v>1087</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1876</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1877</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165</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1084</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282</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1194</v>
      </c>
      <c r="B2384" s="27" t="s">
        <v>1064</v>
      </c>
      <c r="C2384" s="27" t="s">
        <v>1065</v>
      </c>
      <c r="D2384" s="27" t="s">
        <v>1066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1182</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1878</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1879</v>
      </c>
      <c r="B2387" s="27" t="s">
        <v>1157</v>
      </c>
      <c r="C2387" s="27" t="s">
        <v>1117</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1077</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row>
    <row r="2390" spans="1:12">
      <c r="A2390" s="20" t="s">
        <v>1880</v>
      </c>
    </row>
    <row r="2391" spans="1:12">
      <c r="A2391" s="20" t="s">
        <v>1207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1084</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1881</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1882</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1105</v>
      </c>
      <c r="B2395" s="27" t="s">
        <v>1064</v>
      </c>
      <c r="C2395" s="27" t="s">
        <v>1107</v>
      </c>
      <c r="D2395" s="27" t="s">
        <v>1066</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223</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1314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1699</v>
      </c>
      <c r="B2398" s="27" t="s">
        <v>1092</v>
      </c>
      <c r="C2398" s="27" t="s">
        <v>1107</v>
      </c>
      <c r="D2398" s="27" t="s">
        <v>1066</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1188</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1094</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1883</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1884</v>
      </c>
      <c r="B2402" s="27" t="s">
        <v>1071</v>
      </c>
      <c r="C2402" s="27" t="s">
        <v>1083</v>
      </c>
      <c r="D2402" s="27" t="s">
        <v>1066</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1321</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row>
    <row r="2405" spans="1:12">
      <c r="A2405" s="20" t="s">
        <v>1306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1885</v>
      </c>
    </row>
    <row r="2407" spans="1:12">
      <c r="A2407" s="20" t="s">
        <v>1394</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1315</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500</v>
      </c>
      <c r="B2409" s="27" t="s">
        <v>1071</v>
      </c>
      <c r="C2409" s="27" t="s">
        <v>1131</v>
      </c>
      <c r="D2409" s="27" t="s">
        <v>1066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1886</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1315</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1321</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row>
    <row r="2414" spans="1:12">
      <c r="A2414" s="20" t="s">
        <v>1887</v>
      </c>
    </row>
    <row r="2415" spans="1:12">
      <c r="A2415" s="20" t="s">
        <v>1888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173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1105</v>
      </c>
      <c r="B2417" s="27" t="s">
        <v>1064</v>
      </c>
      <c r="C2417" s="27" t="s">
        <v>1107</v>
      </c>
      <c r="D2417" s="27" t="s">
        <v>1066</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1204</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1080</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1889</v>
      </c>
      <c r="B2420" s="27" t="s">
        <v>1071</v>
      </c>
      <c r="C2420" s="27" t="s">
        <v>1083</v>
      </c>
      <c r="D2420" s="27" t="s">
        <v>1066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1321</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1890</v>
      </c>
    </row>
    <row r="2424" spans="1:12">
      <c r="A2424" s="20" t="s">
        <v>1699</v>
      </c>
      <c r="B2424" s="27" t="s">
        <v>1157</v>
      </c>
      <c r="C2424" s="27" t="s">
        <v>1107</v>
      </c>
      <c r="D2424" s="27" t="s">
        <v>1066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1105</v>
      </c>
      <c r="B2425" s="27" t="s">
        <v>1064</v>
      </c>
      <c r="C2425" s="27" t="s">
        <v>1107</v>
      </c>
      <c r="D2425" s="27" t="s">
        <v>1066</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282</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1121</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1150</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1891</v>
      </c>
      <c r="B2429" s="27" t="s">
        <v>1157</v>
      </c>
      <c r="C2429" s="27" t="s">
        <v>1114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1084</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1101</v>
      </c>
      <c r="B2431" s="27" t="s">
        <v>1130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1892</v>
      </c>
      <c r="B2432" s="27" t="s">
        <v>1089</v>
      </c>
      <c r="C2432" s="27" t="s">
        <v>1893</v>
      </c>
      <c r="D2432" s="27" t="s">
        <v>1066</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432</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1077</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row>
    <row r="2436" spans="1:12">
      <c r="A2436" s="20" t="s">
        <v>1894</v>
      </c>
    </row>
    <row r="2437" spans="1:12">
      <c r="A2437" s="20" t="s">
        <v>1895</v>
      </c>
      <c r="B2437" s="27" t="s">
        <v>1071</v>
      </c>
      <c r="C2437" s="27" t="s">
        <v>1074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1077</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row>
    <row r="2440" spans="1:12">
      <c r="A2440" s="20" t="s">
        <v>1896</v>
      </c>
    </row>
    <row r="2441" spans="1:12">
      <c r="A2441" s="20" t="s">
        <v>1372</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1136</v>
      </c>
      <c r="B2442" s="27" t="s">
        <v>1068</v>
      </c>
      <c r="C2442" s="27" t="s">
        <v>1069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1418</v>
      </c>
      <c r="B2443" s="27" t="s">
        <v>1068</v>
      </c>
      <c r="C2443" s="27" t="s">
        <v>1126</v>
      </c>
      <c r="D2443" s="27" t="s">
        <v>1066</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1664</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1897</v>
      </c>
      <c r="B2445" s="27" t="s">
        <v>1071</v>
      </c>
      <c r="C2445" s="27" t="s">
        <v>1128</v>
      </c>
      <c r="D2445" s="27" t="s">
        <v>1066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282</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1105</v>
      </c>
      <c r="B2447" s="27" t="s">
        <v>1064</v>
      </c>
      <c r="C2447" s="27" t="s">
        <v>1107</v>
      </c>
      <c r="D2447" s="27" t="s">
        <v>1066</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1898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383</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1127</v>
      </c>
      <c r="B2450" s="27" t="s">
        <v>1157</v>
      </c>
      <c r="C2450" s="27" t="s">
        <v>1114</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1077</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row>
    <row r="2453" spans="1:12">
      <c r="A2453" s="20" t="s">
        <v>1899</v>
      </c>
    </row>
    <row r="2454" spans="1:12">
      <c r="A2454" s="20" t="s">
        <v>1900</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1803</v>
      </c>
      <c r="B2455" s="27" t="s">
        <v>1071</v>
      </c>
      <c r="C2455" s="27" t="s">
        <v>1069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46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1194</v>
      </c>
      <c r="B2457" s="27" t="s">
        <v>1064</v>
      </c>
      <c r="C2457" s="27" t="s">
        <v>1065</v>
      </c>
      <c r="D2457" s="27" t="s">
        <v>1066</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121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1314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1161</v>
      </c>
      <c r="B2460" s="27" t="s">
        <v>1092</v>
      </c>
      <c r="C2460" s="27" t="s">
        <v>1126</v>
      </c>
      <c r="D2460" s="27" t="s">
        <v>1066</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1121</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1901</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1305</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row>
    <row r="2465" spans="1:12">
      <c r="A2465" s="20" t="s">
        <v>1902</v>
      </c>
    </row>
    <row r="2466" spans="1:12">
      <c r="A2466" s="20" t="s">
        <v>1172</v>
      </c>
      <c r="B2466" s="27" t="s">
        <v>1064</v>
      </c>
      <c r="C2466" s="27" t="s">
        <v>1126</v>
      </c>
      <c r="D2466" s="27" t="s">
        <v>1066</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1188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1774</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1077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row>
    <row r="2471" spans="1:12">
      <c r="A2471" s="20" t="s">
        <v>1903</v>
      </c>
    </row>
    <row r="2472" spans="1:12">
      <c r="A2472" s="20" t="s">
        <v>1308</v>
      </c>
      <c r="B2472" s="27" t="s">
        <v>1064</v>
      </c>
      <c r="C2472" s="27" t="s">
        <v>1065</v>
      </c>
      <c r="D2472" s="27" t="s">
        <v>1066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1904</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1084</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1353</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1221</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1094</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1905</v>
      </c>
      <c r="B2478" s="27" t="s">
        <v>1068</v>
      </c>
      <c r="C2478" s="27" t="s">
        <v>1131</v>
      </c>
      <c r="D2478" s="27" t="s">
        <v>1066</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1906</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1296</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1164</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1150</v>
      </c>
      <c r="B2482" s="27" t="s">
        <v>1092</v>
      </c>
      <c r="C2482" s="27" t="s">
        <v>1107</v>
      </c>
      <c r="D2482" s="27" t="s">
        <v>1066</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1084</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1101</v>
      </c>
      <c r="B2484" s="27" t="s">
        <v>1232</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1086</v>
      </c>
      <c r="B2485" s="27" t="s">
        <v>1247</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1700</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1907</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1908</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1077</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row>
    <row r="2491" spans="1:12">
      <c r="A2491" s="20" t="s">
        <v>1909</v>
      </c>
    </row>
    <row r="2492" spans="1:12">
      <c r="A2492" s="20" t="s">
        <v>760</v>
      </c>
      <c r="B2492" s="27" t="s">
        <v>1064</v>
      </c>
      <c r="C2492" s="27" t="s">
        <v>1131</v>
      </c>
      <c r="D2492" s="27" t="s">
        <v>1066</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1910</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1265</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1653</v>
      </c>
      <c r="B2495" s="27" t="s">
        <v>1068</v>
      </c>
      <c r="C2495" s="27" t="s">
        <v>1069</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1891</v>
      </c>
      <c r="B2496" s="27" t="s">
        <v>1157</v>
      </c>
      <c r="C2496" s="27" t="s">
        <v>1074</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1084</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1342</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1911</v>
      </c>
      <c r="B2499" s="27" t="s">
        <v>1071</v>
      </c>
      <c r="C2499" s="27" t="s">
        <v>1069</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1182</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1912</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1913</v>
      </c>
      <c r="B2502" s="27" t="s">
        <v>1068</v>
      </c>
      <c r="C2502" s="27" t="s">
        <v>1131</v>
      </c>
      <c r="D2502" s="27" t="s">
        <v>1066</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1101</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1914</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1915</v>
      </c>
      <c r="B2505" s="27" t="s">
        <v>1157</v>
      </c>
      <c r="C2505" s="27" t="s">
        <v>1083</v>
      </c>
      <c r="D2505" s="27" t="s">
        <v>1066</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1265</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1077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1916</v>
      </c>
    </row>
    <row r="2510" spans="1:12">
      <c r="A2510" s="20" t="s">
        <v>1917</v>
      </c>
      <c r="B2510" s="27" t="s">
        <v>1064</v>
      </c>
      <c r="C2510" s="27" t="s">
        <v>1131</v>
      </c>
      <c r="D2510" s="27" t="s">
        <v>1066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1918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1919</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1221</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1920</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1891</v>
      </c>
      <c r="B2515" s="27" t="s">
        <v>1071</v>
      </c>
      <c r="C2515" s="27" t="s">
        <v>1074</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1101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1921</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1922</v>
      </c>
      <c r="B2518" s="27" t="s">
        <v>1087</v>
      </c>
      <c r="C2518" s="27" t="s">
        <v>1083</v>
      </c>
      <c r="D2518" s="27" t="s">
        <v>1066</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212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1075</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1923</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1924</v>
      </c>
      <c r="B2522" s="27" t="s">
        <v>1103</v>
      </c>
      <c r="C2522" s="27" t="s">
        <v>1074</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157</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1075</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1063</v>
      </c>
      <c r="B2525" s="27" t="s">
        <v>1092</v>
      </c>
      <c r="C2525" s="27" t="s">
        <v>1065</v>
      </c>
      <c r="D2525" s="27" t="s">
        <v>1066</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1925</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1080</v>
      </c>
      <c r="B2527" s="27" t="s">
        <v>1103</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1067</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1926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1077</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row>
    <row r="2532" spans="1:12">
      <c r="A2532" s="20" t="s">
        <v>1927</v>
      </c>
    </row>
    <row r="2533" spans="1:12">
      <c r="A2533" s="20" t="s">
        <v>1928</v>
      </c>
      <c r="B2533" s="27" t="s">
        <v>1064</v>
      </c>
      <c r="C2533" s="27" t="s">
        <v>1131</v>
      </c>
      <c r="D2533" s="27" t="s">
        <v>1066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1929</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1075</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1063</v>
      </c>
      <c r="B2536" s="27" t="s">
        <v>1068</v>
      </c>
      <c r="C2536" s="27" t="s">
        <v>1065</v>
      </c>
      <c r="D2536" s="27" t="s">
        <v>1066</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535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1182</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1930</v>
      </c>
      <c r="B2539" s="27" t="s">
        <v>1157</v>
      </c>
      <c r="C2539" s="27" t="s">
        <v>1117</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1084</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1101</v>
      </c>
      <c r="B2541" s="27" t="s">
        <v>1130</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1084</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1082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1931</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1084</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1110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1932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1884</v>
      </c>
      <c r="B2548" s="27" t="s">
        <v>1103</v>
      </c>
      <c r="C2548" s="27" t="s">
        <v>1083</v>
      </c>
      <c r="D2548" s="27" t="s">
        <v>1066</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1933</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1077</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row>
    <row r="2552" spans="1:12">
      <c r="A2552" s="20" t="s">
        <v>1934</v>
      </c>
    </row>
    <row r="2553" spans="1:12">
      <c r="A2553" s="20" t="s">
        <v>1155</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1296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1266</v>
      </c>
      <c r="B2555" s="27" t="s">
        <v>1068</v>
      </c>
      <c r="C2555" s="27" t="s">
        <v>1069</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1935</v>
      </c>
      <c r="B2556" s="27" t="s">
        <v>1064</v>
      </c>
      <c r="C2556" s="27" t="s">
        <v>1114</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1221</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1140</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1936</v>
      </c>
      <c r="B2559" s="27" t="s">
        <v>1068</v>
      </c>
      <c r="C2559" s="27" t="s">
        <v>1083</v>
      </c>
      <c r="D2559" s="27" t="s">
        <v>1066</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1510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1937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1084</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1938</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1077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row>
    <row r="2566" spans="1:12">
      <c r="A2566" s="20" t="s">
        <v>1939</v>
      </c>
    </row>
    <row r="2567" spans="1:12">
      <c r="A2567" s="20" t="s">
        <v>1161</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1586</v>
      </c>
      <c r="B2568" s="27" t="s">
        <v>1092</v>
      </c>
      <c r="C2568" s="27" t="s">
        <v>1083</v>
      </c>
      <c r="D2568" s="27" t="s">
        <v>1066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1265</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1221</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1418</v>
      </c>
      <c r="B2571" s="27" t="s">
        <v>1089</v>
      </c>
      <c r="C2571" s="27" t="s">
        <v>1126</v>
      </c>
      <c r="D2571" s="27" t="s">
        <v>1066</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1940</v>
      </c>
      <c r="B2572" s="27" t="s">
        <v>1068</v>
      </c>
      <c r="C2572" s="27" t="s">
        <v>1128</v>
      </c>
      <c r="D2572" s="27" t="s">
        <v>1066</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1750</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1941</v>
      </c>
      <c r="B2574" s="27" t="s">
        <v>1068</v>
      </c>
      <c r="C2574" s="27" t="s">
        <v>1069</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1208</v>
      </c>
      <c r="B2575" s="27" t="s">
        <v>1071</v>
      </c>
      <c r="C2575" s="27" t="s">
        <v>1114</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1942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1084</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1240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1188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1164</v>
      </c>
      <c r="B2580" s="27" t="s">
        <v>1092</v>
      </c>
      <c r="C2580" s="27" t="s">
        <v>1065</v>
      </c>
      <c r="D2580" s="27" t="s">
        <v>1066</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1591</v>
      </c>
      <c r="B2581" s="27" t="s">
        <v>1068</v>
      </c>
      <c r="C2581" s="27" t="s">
        <v>1107</v>
      </c>
      <c r="D2581" s="27" t="s">
        <v>1066</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1333</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1943</v>
      </c>
      <c r="B2583" s="27" t="s">
        <v>1071</v>
      </c>
      <c r="C2583" s="27" t="s">
        <v>1114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1084</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1146</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1266</v>
      </c>
      <c r="B2586" s="27" t="s">
        <v>1089</v>
      </c>
      <c r="C2586" s="27" t="s">
        <v>1069</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1456</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1944</v>
      </c>
      <c r="B2588" s="27" t="s">
        <v>1092</v>
      </c>
      <c r="C2588" s="27" t="s">
        <v>1114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1945</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1077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row>
    <row r="2592" spans="1:12">
      <c r="A2592" s="20" t="s">
        <v>1946</v>
      </c>
    </row>
    <row r="2593" spans="1:12">
      <c r="A2593" s="20" t="s">
        <v>1172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1947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12</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1948</v>
      </c>
      <c r="B2596" s="27" t="s">
        <v>1064</v>
      </c>
      <c r="C2596" s="27" t="s">
        <v>1083</v>
      </c>
      <c r="D2596" s="27" t="s">
        <v>1066</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1145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1084</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1146</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1348</v>
      </c>
      <c r="B2600" s="27" t="s">
        <v>1092</v>
      </c>
      <c r="C2600" s="27" t="s">
        <v>1069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1949</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1950</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1951</v>
      </c>
      <c r="B2603" s="27" t="s">
        <v>1068</v>
      </c>
      <c r="C2603" s="27" t="s">
        <v>1117</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1722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1952</v>
      </c>
      <c r="B2605" s="27" t="s">
        <v>1089</v>
      </c>
      <c r="C2605" s="27" t="s">
        <v>1083</v>
      </c>
      <c r="D2605" s="27" t="s">
        <v>1066</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1084</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1140</v>
      </c>
      <c r="B2607" s="27" t="s">
        <v>1247</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1225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1953</v>
      </c>
      <c r="B2609" s="27" t="s">
        <v>1247</v>
      </c>
      <c r="C2609" s="27" t="s">
        <v>1117</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1084</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1080</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1954</v>
      </c>
      <c r="B2612" s="27" t="s">
        <v>1113</v>
      </c>
      <c r="C2612" s="27" t="s">
        <v>1083</v>
      </c>
      <c r="D2612" s="27" t="s">
        <v>1066</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1084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1105</v>
      </c>
      <c r="B2614" s="27" t="s">
        <v>1232</v>
      </c>
      <c r="C2614" s="27" t="s">
        <v>1107</v>
      </c>
      <c r="D2614" s="27" t="s">
        <v>1066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1955</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1084</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1101</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1956</v>
      </c>
      <c r="B2618" s="27" t="s">
        <v>1087</v>
      </c>
      <c r="C2618" s="27" t="s">
        <v>1083</v>
      </c>
      <c r="D2618" s="27" t="s">
        <v>1066</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1067</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563</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1084</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1080</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1957</v>
      </c>
      <c r="B2623" s="27" t="s">
        <v>1068</v>
      </c>
      <c r="C2623" s="27" t="s">
        <v>1131</v>
      </c>
      <c r="D2623" s="27" t="s">
        <v>1066</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1077</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row>
    <row r="2626" spans="1:12">
      <c r="A2626" s="20" t="s">
        <v>1958</v>
      </c>
    </row>
    <row r="2627" spans="1:12">
      <c r="A2627" s="20" t="s">
        <v>1172</v>
      </c>
      <c r="B2627" s="27" t="s">
        <v>1064</v>
      </c>
      <c r="C2627" s="27" t="s">
        <v>1126</v>
      </c>
      <c r="D2627" s="27" t="s">
        <v>1066</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1188</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1182</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1259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1959</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1624</v>
      </c>
      <c r="B2632" s="27" t="s">
        <v>1071</v>
      </c>
      <c r="C2632" s="27" t="s">
        <v>1117</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1077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row>
    <row r="2635" spans="1:12">
      <c r="A2635" s="20" t="s">
        <v>1960</v>
      </c>
    </row>
    <row r="2636" spans="1:12">
      <c r="A2636" s="20" t="s">
        <v>1120</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1961</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1962</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1348</v>
      </c>
      <c r="B2639" s="27" t="s">
        <v>1092</v>
      </c>
      <c r="C2639" s="27" t="s">
        <v>1069</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1302</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1963</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1964</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1965</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1084</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1298</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1348</v>
      </c>
      <c r="B2646" s="27" t="s">
        <v>1130</v>
      </c>
      <c r="C2646" s="27" t="s">
        <v>1069</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1966</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1967</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1968</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553</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1084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1549</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1164</v>
      </c>
      <c r="B2653" s="27" t="s">
        <v>1232</v>
      </c>
      <c r="C2653" s="27" t="s">
        <v>1065</v>
      </c>
      <c r="D2653" s="27" t="s">
        <v>1066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1969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1637</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1084</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1970</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1971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1164</v>
      </c>
      <c r="B2659" s="27" t="s">
        <v>1103</v>
      </c>
      <c r="C2659" s="27" t="s">
        <v>1065</v>
      </c>
      <c r="D2659" s="27" t="s">
        <v>1066</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1234</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1972</v>
      </c>
      <c r="B2661" s="27" t="s">
        <v>1130</v>
      </c>
      <c r="C2661" s="27" t="s">
        <v>1074</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1296</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1084</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1170</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1348</v>
      </c>
      <c r="B2665" s="27" t="s">
        <v>1064</v>
      </c>
      <c r="C2665" s="27" t="s">
        <v>1069</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1164</v>
      </c>
      <c r="B2666" s="27" t="s">
        <v>1157</v>
      </c>
      <c r="C2666" s="27" t="s">
        <v>1065</v>
      </c>
      <c r="D2666" s="27" t="s">
        <v>1066</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553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1075</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216</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1084</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1146</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1314</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1973</v>
      </c>
      <c r="B2673" s="27" t="s">
        <v>1068</v>
      </c>
      <c r="C2673" s="27" t="s">
        <v>1131</v>
      </c>
      <c r="D2673" s="27" t="s">
        <v>1066</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1305</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row>
    <row r="2676" spans="1:12">
      <c r="A2676" s="20" t="s">
        <v>1974</v>
      </c>
    </row>
    <row r="2677" spans="1:12">
      <c r="A2677" s="20" t="s">
        <v>1975</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1094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1976</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1977</v>
      </c>
      <c r="B2680" s="27" t="s">
        <v>1071</v>
      </c>
      <c r="C2680" s="27" t="s">
        <v>1083</v>
      </c>
      <c r="D2680" s="27" t="s">
        <v>1066</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1084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1978</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1164</v>
      </c>
      <c r="B2683" s="27" t="s">
        <v>1064</v>
      </c>
      <c r="C2683" s="27" t="s">
        <v>1065</v>
      </c>
      <c r="D2683" s="27" t="s">
        <v>1066</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1162</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1361</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1084</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1146</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1164</v>
      </c>
      <c r="B2688" s="27" t="s">
        <v>1092</v>
      </c>
      <c r="C2688" s="27" t="s">
        <v>1065</v>
      </c>
      <c r="D2688" s="27" t="s">
        <v>1066</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1979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1077</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row>
    <row r="2692" spans="1:12">
      <c r="A2692" s="20" t="s">
        <v>1980</v>
      </c>
    </row>
    <row r="2693" spans="1:12">
      <c r="A2693" s="20" t="s">
        <v>1079</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1085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1348</v>
      </c>
      <c r="B2695" s="27" t="s">
        <v>1092</v>
      </c>
      <c r="C2695" s="27" t="s">
        <v>1069</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1125</v>
      </c>
      <c r="B2696" s="27" t="s">
        <v>1089</v>
      </c>
      <c r="C2696" s="27" t="s">
        <v>1126</v>
      </c>
      <c r="D2696" s="27" t="s">
        <v>1066</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1956</v>
      </c>
      <c r="B2697" s="27" t="s">
        <v>1087</v>
      </c>
      <c r="C2697" s="27" t="s">
        <v>1128</v>
      </c>
      <c r="D2697" s="27" t="s">
        <v>1066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1981</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1084</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1188</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1080</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1982</v>
      </c>
      <c r="B2702" s="27" t="s">
        <v>1064</v>
      </c>
      <c r="C2702" s="27" t="s">
        <v>1083</v>
      </c>
      <c r="D2702" s="27" t="s">
        <v>1066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1190</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1156</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1863</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1077</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row>
    <row r="2708" spans="1:12">
      <c r="A2708" s="20" t="s">
        <v>1983</v>
      </c>
    </row>
    <row r="2709" spans="1:12">
      <c r="A2709" s="20" t="s">
        <v>1211</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1981</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1348</v>
      </c>
      <c r="B2711" s="27" t="s">
        <v>1064</v>
      </c>
      <c r="C2711" s="27" t="s">
        <v>1069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1110</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1735</v>
      </c>
      <c r="B2713" s="27" t="s">
        <v>1157</v>
      </c>
      <c r="C2713" s="27" t="s">
        <v>1083</v>
      </c>
      <c r="D2713" s="27" t="s">
        <v>1066</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1084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1075</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1348</v>
      </c>
      <c r="B2716" s="27" t="s">
        <v>1092</v>
      </c>
      <c r="C2716" s="27" t="s">
        <v>1069</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1170</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1133</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1110</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1984</v>
      </c>
      <c r="B2720" s="27" t="s">
        <v>1087</v>
      </c>
      <c r="C2720" s="27" t="s">
        <v>1083</v>
      </c>
      <c r="D2720" s="27" t="s">
        <v>1066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1196</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1985</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1986</v>
      </c>
      <c r="B2723" s="27" t="s">
        <v>1089</v>
      </c>
      <c r="C2723" s="27" t="s">
        <v>1074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1135</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1987</v>
      </c>
      <c r="B2725" s="27" t="s">
        <v>1068</v>
      </c>
      <c r="C2725" s="27" t="s">
        <v>1074</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1988</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1077</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row>
    <row r="2729" spans="1:12">
      <c r="A2729" s="20" t="s">
        <v>1989</v>
      </c>
    </row>
    <row r="2730" spans="1:12">
      <c r="A2730" s="20" t="s">
        <v>1990</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1086</v>
      </c>
      <c r="B2731" s="27" t="s">
        <v>1157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1302</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1110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1991</v>
      </c>
      <c r="B2734" s="27" t="s">
        <v>1157</v>
      </c>
      <c r="C2734" s="27" t="s">
        <v>1083</v>
      </c>
      <c r="D2734" s="27" t="s">
        <v>1066</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1067</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567</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1084</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563</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1194</v>
      </c>
      <c r="B2739" s="27" t="s">
        <v>1064</v>
      </c>
      <c r="C2739" s="27" t="s">
        <v>1065</v>
      </c>
      <c r="D2739" s="27" t="s">
        <v>1066</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1164</v>
      </c>
      <c r="B2740" s="27" t="s">
        <v>1064</v>
      </c>
      <c r="C2740" s="27" t="s">
        <v>1065</v>
      </c>
      <c r="D2740" s="27" t="s">
        <v>1066</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1541</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1077</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row>
    <row r="2744" spans="1:12">
      <c r="A2744" s="20" t="s">
        <v>1992</v>
      </c>
    </row>
    <row r="2745" spans="1:12">
      <c r="A2745" s="20" t="s">
        <v>1993</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1921</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571</v>
      </c>
      <c r="B2747" s="27" t="s">
        <v>1071</v>
      </c>
      <c r="C2747" s="27" t="s">
        <v>1117</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1077</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row>
    <row r="2750" spans="1:12">
      <c r="A2750" s="20" t="s">
        <v>1994</v>
      </c>
    </row>
    <row r="2751" spans="1:12">
      <c r="A2751" s="20" t="s">
        <v>1172</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1995</v>
      </c>
      <c r="B2752" s="27" t="s">
        <v>1064</v>
      </c>
      <c r="C2752" s="27" t="s">
        <v>1893</v>
      </c>
      <c r="D2752" s="27" t="s">
        <v>1066</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1181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1996</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1997</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1084</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141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1395</v>
      </c>
      <c r="B2758" s="27" t="s">
        <v>1071</v>
      </c>
      <c r="C2758" s="27" t="s">
        <v>1069</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1163</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1182</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1998</v>
      </c>
      <c r="B2761" s="27" t="s">
        <v>1068</v>
      </c>
      <c r="C2761" s="27" t="s">
        <v>1117</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1077</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row>
    <row r="2764" spans="1:12">
      <c r="A2764" s="20" t="s">
        <v>1306</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1999</v>
      </c>
    </row>
    <row r="2766" spans="1:12">
      <c r="A2766" s="20" t="s">
        <v>1194</v>
      </c>
      <c r="B2766" s="27" t="s">
        <v>1064</v>
      </c>
      <c r="C2766" s="27" t="s">
        <v>1065</v>
      </c>
      <c r="D2766" s="27" t="s">
        <v>1066</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216</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1084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1146</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1164</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1182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1734</v>
      </c>
      <c r="B2772" s="27" t="s">
        <v>1092</v>
      </c>
      <c r="C2772" s="27" t="s">
        <v>1117</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2000</v>
      </c>
      <c r="B2773" s="27" t="s">
        <v>1071</v>
      </c>
      <c r="C2773" s="27" t="s">
        <v>1074</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1188</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1084</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1787</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1135</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1315</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2001</v>
      </c>
      <c r="B2779" s="27" t="s">
        <v>1089</v>
      </c>
      <c r="C2779" s="27" t="s">
        <v>1074</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2002</v>
      </c>
      <c r="B2780" s="27" t="s">
        <v>1138</v>
      </c>
      <c r="C2780" s="27" t="s">
        <v>1131</v>
      </c>
      <c r="D2780" s="27" t="s">
        <v>1066</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2003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1315</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2004</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1077</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row>
    <row r="2786" spans="1:12">
      <c r="A2786" s="20" t="s">
        <v>2005</v>
      </c>
    </row>
    <row r="2787" spans="1:12">
      <c r="A2787" s="20" t="s">
        <v>1172</v>
      </c>
      <c r="B2787" s="27" t="s">
        <v>1064</v>
      </c>
      <c r="C2787" s="27" t="s">
        <v>1126</v>
      </c>
      <c r="D2787" s="27" t="s">
        <v>1066</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2006</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1317</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1080</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2007</v>
      </c>
      <c r="B2791" s="27" t="s">
        <v>1157</v>
      </c>
      <c r="C2791" s="27" t="s">
        <v>1083</v>
      </c>
      <c r="D2791" s="27" t="s">
        <v>1066</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1077</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row>
    <row r="2794" spans="1:12">
      <c r="A2794" s="20" t="s">
        <v>2008</v>
      </c>
    </row>
    <row r="2795" spans="1:12">
      <c r="A2795" s="20" t="s">
        <v>1475</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1188</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141</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2009</v>
      </c>
      <c r="B2798" s="27" t="s">
        <v>1071</v>
      </c>
      <c r="C2798" s="27" t="s">
        <v>1117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1950</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2010</v>
      </c>
      <c r="B2800" s="27" t="s">
        <v>1071</v>
      </c>
      <c r="C2800" s="27" t="s">
        <v>1117</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1221</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2011</v>
      </c>
      <c r="B2802" s="27" t="s">
        <v>1068</v>
      </c>
      <c r="C2802" s="27" t="s">
        <v>1131</v>
      </c>
      <c r="D2802" s="27" t="s">
        <v>1066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1077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row>
    <row r="2805" spans="1:12">
      <c r="A2805" s="20" t="s">
        <v>2012</v>
      </c>
    </row>
    <row r="2806" spans="1:12">
      <c r="A2806" s="20" t="s">
        <v>1172</v>
      </c>
      <c r="B2806" s="27" t="s">
        <v>1064</v>
      </c>
      <c r="C2806" s="27" t="s">
        <v>1126</v>
      </c>
      <c r="D2806" s="27" t="s">
        <v>1066</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1188</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1094</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1984</v>
      </c>
      <c r="B2809" s="27" t="s">
        <v>1071</v>
      </c>
      <c r="C2809" s="27" t="s">
        <v>1083</v>
      </c>
      <c r="D2809" s="27" t="s">
        <v>1066</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1084</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1101</v>
      </c>
      <c r="B2811" s="27" t="s">
        <v>1071</v>
      </c>
      <c r="C2811" s="27" t="s">
        <v>1107</v>
      </c>
      <c r="D2811" s="27" t="s">
        <v>1066</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1956</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1077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row>
    <row r="2815" spans="1:12">
      <c r="A2815" s="20" t="s">
        <v>2013</v>
      </c>
    </row>
    <row r="2816" spans="1:12">
      <c r="A2816" s="20" t="s">
        <v>1641</v>
      </c>
      <c r="B2816" s="27" t="s">
        <v>1064</v>
      </c>
      <c r="C2816" s="27" t="s">
        <v>1069</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1265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1110</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2014</v>
      </c>
      <c r="B2819" s="27" t="s">
        <v>1157</v>
      </c>
      <c r="C2819" s="27" t="s">
        <v>1083</v>
      </c>
      <c r="D2819" s="27" t="s">
        <v>1066</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1084</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1094</v>
      </c>
      <c r="B2821" s="27" t="s">
        <v>1130</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2015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2016</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1181</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1084</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594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1240</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2017</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1164</v>
      </c>
      <c r="B2829" s="27" t="s">
        <v>1092</v>
      </c>
      <c r="C2829" s="27" t="s">
        <v>1065</v>
      </c>
      <c r="D2829" s="27" t="s">
        <v>1066</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2018</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1995</v>
      </c>
      <c r="B2831" s="27" t="s">
        <v>1068</v>
      </c>
      <c r="C2831" s="27" t="s">
        <v>1074</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1077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row>
    <row r="2834" spans="1:12">
      <c r="A2834" s="20" t="s">
        <v>2019</v>
      </c>
    </row>
    <row r="2835" spans="1:12">
      <c r="A2835" s="20" t="s">
        <v>1172</v>
      </c>
      <c r="B2835" s="27" t="s">
        <v>1064</v>
      </c>
      <c r="C2835" s="27" t="s">
        <v>1107</v>
      </c>
      <c r="D2835" s="27" t="s">
        <v>1066</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2020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1101</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2021</v>
      </c>
      <c r="B2838" s="27" t="s">
        <v>1157</v>
      </c>
      <c r="C2838" s="27" t="s">
        <v>1083</v>
      </c>
      <c r="D2838" s="27" t="s">
        <v>1066</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1124</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2022</v>
      </c>
      <c r="B2840" s="27" t="s">
        <v>1068</v>
      </c>
      <c r="C2840" s="27" t="s">
        <v>1074</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1196</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2023</v>
      </c>
      <c r="B2842" s="27" t="s">
        <v>1089</v>
      </c>
      <c r="C2842" s="27" t="s">
        <v>1074</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1204</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1077</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row>
    <row r="2846" spans="1:12">
      <c r="A2846" s="20" t="s">
        <v>2024</v>
      </c>
    </row>
    <row r="2847" spans="1:12">
      <c r="A2847" s="20" t="s">
        <v>1079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1193</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1348</v>
      </c>
      <c r="B2849" s="27" t="s">
        <v>1092</v>
      </c>
      <c r="C2849" s="27" t="s">
        <v>1069</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2025</v>
      </c>
      <c r="B2850" s="27" t="s">
        <v>1087</v>
      </c>
      <c r="C2850" s="27" t="s">
        <v>1074</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2026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1075</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1541</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2027</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1084</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2028</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1348</v>
      </c>
      <c r="B2857" s="27" t="s">
        <v>1064</v>
      </c>
      <c r="C2857" s="27" t="s">
        <v>1069</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2029</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1762</v>
      </c>
      <c r="B2859" s="27" t="s">
        <v>1157</v>
      </c>
      <c r="C2859" s="27" t="s">
        <v>1114</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1124</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1101</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2030</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2031</v>
      </c>
      <c r="B2863" s="27" t="s">
        <v>1071</v>
      </c>
      <c r="C2863" s="27" t="s">
        <v>1083</v>
      </c>
      <c r="D2863" s="27" t="s">
        <v>1066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1722</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1141</v>
      </c>
      <c r="B2865" s="27" t="s">
        <v>1068</v>
      </c>
      <c r="C2865" s="27" t="s">
        <v>1083</v>
      </c>
      <c r="D2865" s="27" t="s">
        <v>1066</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1077</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row>
    <row r="2868" spans="1:12">
      <c r="A2868" s="20" t="s">
        <v>2032</v>
      </c>
    </row>
    <row r="2869" spans="1:12">
      <c r="A2869" s="20" t="s">
        <v>2033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1194</v>
      </c>
      <c r="B2870" s="27" t="s">
        <v>1064</v>
      </c>
      <c r="C2870" s="27" t="s">
        <v>1065</v>
      </c>
      <c r="D2870" s="27" t="s">
        <v>1066</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1084</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1164</v>
      </c>
      <c r="B2872" s="27" t="s">
        <v>1092</v>
      </c>
      <c r="C2872" s="27" t="s">
        <v>1065</v>
      </c>
      <c r="D2872" s="27" t="s">
        <v>1066</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1296</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1295</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2034</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1150</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1828</v>
      </c>
      <c r="B2877" s="27" t="s">
        <v>1087</v>
      </c>
      <c r="C2877" s="27" t="s">
        <v>1114</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1084</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1298</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1164</v>
      </c>
      <c r="B2880" s="27" t="s">
        <v>1092</v>
      </c>
      <c r="C2880" s="27" t="s">
        <v>1065</v>
      </c>
      <c r="D2880" s="27" t="s">
        <v>1066</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1188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141</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2035</v>
      </c>
      <c r="B2883" s="27" t="s">
        <v>1071</v>
      </c>
      <c r="C2883" s="27" t="s">
        <v>1117</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1196</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1803</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2036</v>
      </c>
      <c r="B2886" s="27" t="s">
        <v>1068</v>
      </c>
      <c r="C2886" s="27" t="s">
        <v>1114</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1196</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2037</v>
      </c>
      <c r="B2888" s="27" t="s">
        <v>1089</v>
      </c>
      <c r="C2888" s="27" t="s">
        <v>1074</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1084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1101</v>
      </c>
      <c r="B2890" s="27" t="s">
        <v>1104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1105</v>
      </c>
      <c r="B2891" s="27" t="s">
        <v>1106</v>
      </c>
      <c r="C2891" s="27" t="s">
        <v>1107</v>
      </c>
      <c r="D2891" s="27" t="s">
        <v>1066</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282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1084</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1097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2038</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1067</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173</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1077</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row>
    <row r="2900" spans="1:12">
      <c r="A2900" s="20" t="s">
        <v>2039</v>
      </c>
    </row>
    <row r="2901" spans="1:12">
      <c r="A2901" s="20" t="s">
        <v>2040</v>
      </c>
      <c r="B2901" s="27" t="s">
        <v>1071</v>
      </c>
      <c r="C2901" s="27" t="s">
        <v>1074</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1105</v>
      </c>
      <c r="B2902" s="27" t="s">
        <v>1064</v>
      </c>
      <c r="C2902" s="27" t="s">
        <v>1107</v>
      </c>
      <c r="D2902" s="27" t="s">
        <v>1066</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1239</v>
      </c>
      <c r="B2903" s="27" t="s">
        <v>1157</v>
      </c>
      <c r="C2903" s="27" t="s">
        <v>1107</v>
      </c>
      <c r="D2903" s="27" t="s">
        <v>1066</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1084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1163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1105</v>
      </c>
      <c r="B2906" s="27" t="s">
        <v>1092</v>
      </c>
      <c r="C2906" s="27" t="s">
        <v>1107</v>
      </c>
      <c r="D2906" s="27" t="s">
        <v>1066</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2041</v>
      </c>
      <c r="B2907" s="27" t="s">
        <v>1089</v>
      </c>
      <c r="C2907" s="27" t="s">
        <v>1090</v>
      </c>
      <c r="D2907" s="27" t="s">
        <v>1066</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2042</v>
      </c>
      <c r="B2908" s="27" t="s">
        <v>1087</v>
      </c>
      <c r="C2908" s="27" t="s">
        <v>1074</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2043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2044</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1077</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row>
    <row r="2913" spans="1:12">
      <c r="A2913" s="20" t="s">
        <v>2045</v>
      </c>
    </row>
    <row r="2914" spans="1:12">
      <c r="A2914" s="20" t="s">
        <v>1888</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1781</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2046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2047</v>
      </c>
      <c r="B2917" s="27" t="s">
        <v>1157</v>
      </c>
      <c r="C2917" s="27" t="s">
        <v>1168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613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1321</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row>
    <row r="2921" spans="1:12">
      <c r="A2921" s="20" t="s">
        <v>2048</v>
      </c>
    </row>
    <row r="2922" spans="1:12">
      <c r="A2922" s="20" t="s">
        <v>1207</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1084</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223</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1105</v>
      </c>
      <c r="B2925" s="27" t="s">
        <v>1064</v>
      </c>
      <c r="C2925" s="27" t="s">
        <v>1107</v>
      </c>
      <c r="D2925" s="27" t="s">
        <v>1066</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1388</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1204</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1080</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1889</v>
      </c>
      <c r="B2929" s="27" t="s">
        <v>1071</v>
      </c>
      <c r="C2929" s="27" t="s">
        <v>1083</v>
      </c>
      <c r="D2929" s="27" t="s">
        <v>1066</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1084</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1080</v>
      </c>
      <c r="B2931" s="27" t="s">
        <v>1103</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1105</v>
      </c>
      <c r="B2932" s="27" t="s">
        <v>1130</v>
      </c>
      <c r="C2932" s="27" t="s">
        <v>1107</v>
      </c>
      <c r="D2932" s="27" t="s">
        <v>1066</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2049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129</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1075</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1349</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2050</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1105</v>
      </c>
      <c r="B2938" s="27" t="s">
        <v>1092</v>
      </c>
      <c r="C2938" s="27" t="s">
        <v>1107</v>
      </c>
      <c r="D2938" s="27" t="s">
        <v>1066</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1072</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1110</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2051</v>
      </c>
      <c r="B2941" s="27" t="s">
        <v>1068</v>
      </c>
      <c r="C2941" s="27" t="s">
        <v>1083</v>
      </c>
      <c r="D2941" s="27" t="s">
        <v>1066</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1077</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row>
    <row r="2944" spans="1:12">
      <c r="A2944" s="20" t="s">
        <v>2052</v>
      </c>
    </row>
    <row r="2945" spans="1:12">
      <c r="A2945" s="20" t="s">
        <v>2053</v>
      </c>
      <c r="B2945" s="27" t="s">
        <v>1064</v>
      </c>
      <c r="C2945" s="27" t="s">
        <v>1107</v>
      </c>
      <c r="D2945" s="27" t="s">
        <v>1066</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13</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1196</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1197</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1715</v>
      </c>
      <c r="B2949" s="27" t="s">
        <v>1071</v>
      </c>
      <c r="C2949" s="27" t="s">
        <v>1117</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2054</v>
      </c>
      <c r="B2950" s="27" t="s">
        <v>1068</v>
      </c>
      <c r="C2950" s="27" t="s">
        <v>1074</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1388</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2055</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1077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row>
    <row r="2955" spans="1:12">
      <c r="A2955" s="20" t="s">
        <v>2056</v>
      </c>
    </row>
    <row r="2956" spans="1:12">
      <c r="A2956" s="20" t="s">
        <v>1155</v>
      </c>
      <c r="B2956" s="27" t="s">
        <v>1064</v>
      </c>
      <c r="C2956" s="27" t="s">
        <v>1065</v>
      </c>
      <c r="D2956" s="27" t="s">
        <v>1066</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1188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1317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1190</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1123</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1084</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1146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1105</v>
      </c>
      <c r="B2963" s="27" t="s">
        <v>1092</v>
      </c>
      <c r="C2963" s="27" t="s">
        <v>1107</v>
      </c>
      <c r="D2963" s="27" t="s">
        <v>1066</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2057</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2058</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1077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row>
    <row r="2968" spans="1:12">
      <c r="A2968" s="20" t="s">
        <v>2059</v>
      </c>
    </row>
    <row r="2969" spans="1:12">
      <c r="A2969" s="20" t="s">
        <v>1161</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2060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1872</v>
      </c>
      <c r="B2971" s="27" t="s">
        <v>1064</v>
      </c>
      <c r="C2971" s="27" t="s">
        <v>1083</v>
      </c>
      <c r="D2971" s="27" t="s">
        <v>1066</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46</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1221</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1368</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1369</v>
      </c>
      <c r="B2975" s="27" t="s">
        <v>1071</v>
      </c>
      <c r="C2975" s="27" t="s">
        <v>1074</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2061</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46</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1084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2062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2063</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2034</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17</v>
      </c>
      <c r="B2982" s="27" t="s">
        <v>1068</v>
      </c>
      <c r="C2982" s="27" t="s">
        <v>1107</v>
      </c>
      <c r="D2982" s="27" t="s">
        <v>1066</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2064</v>
      </c>
      <c r="B2983" s="27" t="s">
        <v>1071</v>
      </c>
      <c r="C2983" s="27" t="s">
        <v>1114</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1077</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row>
    <row r="2986" spans="1:12">
      <c r="A2986" s="20" t="s">
        <v>2065</v>
      </c>
    </row>
    <row r="2987" spans="1:12">
      <c r="A2987" s="20" t="s">
        <v>2066</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1181</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2067</v>
      </c>
      <c r="B2989" s="27" t="s">
        <v>1064</v>
      </c>
      <c r="C2989" s="27" t="s">
        <v>1074</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1075</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2068</v>
      </c>
      <c r="B2991" s="27" t="s">
        <v>1068</v>
      </c>
      <c r="C2991" s="27" t="s">
        <v>1074</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1388</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2069</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2070</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838</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1077</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row>
    <row r="2998" spans="1:12">
      <c r="A2998" s="20" t="s">
        <v>2071</v>
      </c>
    </row>
    <row r="2999" spans="1:12">
      <c r="A2999" s="20" t="s">
        <v>1180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1084</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1097</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1125</v>
      </c>
      <c r="B3002" s="27" t="s">
        <v>1138</v>
      </c>
      <c r="C3002" s="27" t="s">
        <v>1126</v>
      </c>
      <c r="D3002" s="27" t="s">
        <v>1066</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1715</v>
      </c>
      <c r="B3003" s="27" t="s">
        <v>1103</v>
      </c>
      <c r="C3003" s="27" t="s">
        <v>1128</v>
      </c>
      <c r="D3003" s="27" t="s">
        <v>1066</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1067</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2049</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1084</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129</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1101</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2072</v>
      </c>
      <c r="B3009" s="27" t="s">
        <v>1064</v>
      </c>
      <c r="C3009" s="27" t="s">
        <v>1083</v>
      </c>
      <c r="D3009" s="27" t="s">
        <v>1066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1084</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2073</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1369</v>
      </c>
      <c r="B3012" s="27" t="s">
        <v>1068</v>
      </c>
      <c r="C3012" s="27" t="s">
        <v>1149</v>
      </c>
      <c r="D3012" s="27" t="s">
        <v>1066</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1163</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2074</v>
      </c>
      <c r="B3014" s="27" t="s">
        <v>1089</v>
      </c>
      <c r="C3014" s="27" t="s">
        <v>1131</v>
      </c>
      <c r="D3014" s="27" t="s">
        <v>1066</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1084</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1165</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2075</v>
      </c>
      <c r="B3017" s="27" t="s">
        <v>1157</v>
      </c>
      <c r="C3017" s="27" t="s">
        <v>1168</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2076</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634</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1077</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row>
    <row r="3022" spans="1:12">
      <c r="A3022" s="20" t="s">
        <v>2077</v>
      </c>
    </row>
    <row r="3023" spans="1:12">
      <c r="A3023" s="20" t="s">
        <v>1161</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1499</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2078</v>
      </c>
      <c r="B3025" s="27" t="s">
        <v>1064</v>
      </c>
      <c r="C3025" s="27" t="s">
        <v>1142</v>
      </c>
      <c r="D3025" s="27" t="s">
        <v>1066</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2079</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1084</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1549</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1105</v>
      </c>
      <c r="B3029" s="27" t="s">
        <v>1092</v>
      </c>
      <c r="C3029" s="27" t="s">
        <v>1107</v>
      </c>
      <c r="D3029" s="27" t="s">
        <v>1066</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1101</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1320</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2080</v>
      </c>
      <c r="B3033" s="27" t="s">
        <v>1087</v>
      </c>
      <c r="C3033" s="27" t="s">
        <v>1083</v>
      </c>
      <c r="D3033" s="27" t="s">
        <v>1066</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1836</v>
      </c>
      <c r="B3034" s="27" t="s">
        <v>1087</v>
      </c>
      <c r="C3034" s="27" t="s">
        <v>1074</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715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1084</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1549</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1185</v>
      </c>
      <c r="B3038" s="27" t="s">
        <v>1130</v>
      </c>
      <c r="C3038" s="27" t="s">
        <v>1107</v>
      </c>
      <c r="D3038" s="27" t="s">
        <v>1066</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1221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2081</v>
      </c>
      <c r="B3040" s="27" t="s">
        <v>1138</v>
      </c>
      <c r="C3040" s="27" t="s">
        <v>1069</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2082</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1369</v>
      </c>
      <c r="B3042" s="27" t="s">
        <v>1089</v>
      </c>
      <c r="C3042" s="27" t="s">
        <v>1114</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2083</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1188</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1075</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1105</v>
      </c>
      <c r="B3046" s="27" t="s">
        <v>1232</v>
      </c>
      <c r="C3046" s="27" t="s">
        <v>1107</v>
      </c>
      <c r="D3046" s="27" t="s">
        <v>1066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1139</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1140</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1822</v>
      </c>
      <c r="B3049" s="27" t="s">
        <v>1138</v>
      </c>
      <c r="C3049" s="27" t="s">
        <v>1083</v>
      </c>
      <c r="D3049" s="27" t="s">
        <v>1066</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1121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1084</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1185</v>
      </c>
      <c r="B3052" s="27" t="s">
        <v>1087</v>
      </c>
      <c r="C3052" s="27" t="s">
        <v>1107</v>
      </c>
      <c r="D3052" s="27" t="s">
        <v>1066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1067</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1140</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2084</v>
      </c>
      <c r="B3055" s="27" t="s">
        <v>1068</v>
      </c>
      <c r="C3055" s="27" t="s">
        <v>1083</v>
      </c>
      <c r="D3055" s="27" t="s">
        <v>1066</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1067</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248</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1077</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row>
    <row r="3060" spans="1:12">
      <c r="A3060" s="20" t="s">
        <v>2085</v>
      </c>
    </row>
    <row r="3061" spans="1:12">
      <c r="A3061" s="20" t="s">
        <v>1172</v>
      </c>
      <c r="B3061" s="27" t="s">
        <v>1064</v>
      </c>
      <c r="C3061" s="27" t="s">
        <v>1107</v>
      </c>
      <c r="D3061" s="27" t="s">
        <v>1066</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1188</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2086</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1123</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1077</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row>
    <row r="3067" spans="1:12">
      <c r="A3067" s="20" t="s">
        <v>2087</v>
      </c>
    </row>
    <row r="3068" spans="1:12">
      <c r="A3068" s="20" t="s">
        <v>1172</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1181</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141</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2088</v>
      </c>
      <c r="B3071" s="27" t="s">
        <v>1071</v>
      </c>
      <c r="C3071" s="27" t="s">
        <v>1149</v>
      </c>
      <c r="D3071" s="27" t="s">
        <v>1066</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1397</v>
      </c>
      <c r="B3072" s="27" t="s">
        <v>1089</v>
      </c>
      <c r="C3072" s="27" t="s">
        <v>1126</v>
      </c>
      <c r="D3072" s="27" t="s">
        <v>1066</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2089</v>
      </c>
      <c r="B3073" s="27" t="s">
        <v>1068</v>
      </c>
      <c r="C3073" s="27" t="s">
        <v>1128</v>
      </c>
      <c r="D3073" s="27" t="s">
        <v>1066</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1077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row>
    <row r="3076" spans="1:12">
      <c r="A3076" s="20" t="s">
        <v>2090</v>
      </c>
    </row>
    <row r="3077" spans="1:12">
      <c r="A3077" s="20" t="s">
        <v>1433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1105</v>
      </c>
      <c r="B3078" s="27" t="s">
        <v>1064</v>
      </c>
      <c r="C3078" s="27" t="s">
        <v>1107</v>
      </c>
      <c r="D3078" s="27" t="s">
        <v>1066</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1196</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1700</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647</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1084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1163</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1781</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1080</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2091</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2047</v>
      </c>
      <c r="B3087" s="27" t="s">
        <v>1087</v>
      </c>
      <c r="C3087" s="27" t="s">
        <v>1535</v>
      </c>
      <c r="D3087" s="27" t="s">
        <v>1066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613</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1321</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row>
    <row r="3091" spans="1:12">
      <c r="A3091" s="20" t="s">
        <v>2092</v>
      </c>
    </row>
    <row r="3092" spans="1:12">
      <c r="A3092" s="20" t="s">
        <v>1155</v>
      </c>
      <c r="B3092" s="27" t="s">
        <v>1064</v>
      </c>
      <c r="C3092" s="27" t="s">
        <v>1065</v>
      </c>
      <c r="D3092" s="27" t="s">
        <v>1066</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1781</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2093</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1101</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2094</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2095</v>
      </c>
      <c r="B3097" s="27" t="s">
        <v>1157</v>
      </c>
      <c r="C3097" s="27" t="s">
        <v>1535</v>
      </c>
      <c r="D3097" s="27" t="s">
        <v>1066</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651</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1077</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row>
    <row r="3101" spans="1:12">
      <c r="A3101" s="20" t="s">
        <v>2096</v>
      </c>
    </row>
    <row r="3102" spans="1:12">
      <c r="A3102" s="20" t="s">
        <v>1238</v>
      </c>
      <c r="B3102" s="27" t="s">
        <v>1064</v>
      </c>
      <c r="C3102" s="27" t="s">
        <v>1107</v>
      </c>
      <c r="D3102" s="27" t="s">
        <v>1066</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2044</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1101</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2097</v>
      </c>
      <c r="B3105" s="27" t="s">
        <v>1157</v>
      </c>
      <c r="C3105" s="27" t="s">
        <v>1083</v>
      </c>
      <c r="D3105" s="27" t="s">
        <v>1066</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655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1084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1097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2054</v>
      </c>
      <c r="B3109" s="27" t="s">
        <v>1087</v>
      </c>
      <c r="C3109" s="27" t="s">
        <v>1074</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1139</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1110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1822</v>
      </c>
      <c r="B3112" s="27" t="s">
        <v>1068</v>
      </c>
      <c r="C3112" s="27" t="s">
        <v>1083</v>
      </c>
      <c r="D3112" s="27" t="s">
        <v>1066</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1067</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1400</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1077</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row>
    <row r="3117" spans="1:12">
      <c r="A3117" s="20" t="s">
        <v>2098</v>
      </c>
    </row>
    <row r="3118" spans="1:12">
      <c r="A3118" s="20" t="s">
        <v>2099</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1370</v>
      </c>
      <c r="B3119" s="27" t="s">
        <v>1071</v>
      </c>
      <c r="C3119" s="27" t="s">
        <v>1107</v>
      </c>
      <c r="D3119" s="27" t="s">
        <v>1066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1105</v>
      </c>
      <c r="B3120" s="27" t="s">
        <v>1064</v>
      </c>
      <c r="C3120" s="27" t="s">
        <v>1107</v>
      </c>
      <c r="D3120" s="27" t="s">
        <v>1066</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274</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1084</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2100</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1798</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1181</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1101</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1253</v>
      </c>
      <c r="B3127" s="27" t="s">
        <v>1092</v>
      </c>
      <c r="C3127" s="27" t="s">
        <v>1131</v>
      </c>
      <c r="D3127" s="27" t="s">
        <v>1066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12</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2101</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838</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1075</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1481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1748</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1101</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1328</v>
      </c>
      <c r="B3135" s="27" t="s">
        <v>1071</v>
      </c>
      <c r="C3135" s="27" t="s">
        <v>1083</v>
      </c>
      <c r="D3135" s="27" t="s">
        <v>1066</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1077</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row>
    <row r="3138" spans="1:12">
      <c r="A3138" s="20" t="s">
        <v>2102</v>
      </c>
    </row>
    <row r="3139" spans="1:12">
      <c r="A3139" s="20" t="s">
        <v>1120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1258</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1188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1125</v>
      </c>
      <c r="B3142" s="27" t="s">
        <v>1068</v>
      </c>
      <c r="C3142" s="27" t="s">
        <v>1126</v>
      </c>
      <c r="D3142" s="27" t="s">
        <v>1066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2078</v>
      </c>
      <c r="B3143" s="27" t="s">
        <v>1064</v>
      </c>
      <c r="C3143" s="27" t="s">
        <v>1128</v>
      </c>
      <c r="D3143" s="27" t="s">
        <v>1066</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1124</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1101</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1102</v>
      </c>
      <c r="B3146" s="27" t="s">
        <v>1071</v>
      </c>
      <c r="C3146" s="27" t="s">
        <v>1083</v>
      </c>
      <c r="D3146" s="27" t="s">
        <v>1066</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1101</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1105</v>
      </c>
      <c r="B3148" s="27" t="s">
        <v>1064</v>
      </c>
      <c r="C3148" s="27" t="s">
        <v>1107</v>
      </c>
      <c r="D3148" s="27" t="s">
        <v>1066</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2103</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1084</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1101</v>
      </c>
      <c r="B3151" s="27" t="s">
        <v>1092</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1152</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2076</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1067</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1110</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1665</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2104</v>
      </c>
      <c r="B3157" s="27" t="s">
        <v>1068</v>
      </c>
      <c r="C3157" s="27" t="s">
        <v>1083</v>
      </c>
      <c r="D3157" s="27" t="s">
        <v>1066</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37</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1084</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1195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2105</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1084</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1158</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1133</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17</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1370</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1123</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1163</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1101</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1499</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1084</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1854</v>
      </c>
      <c r="B3172" s="27" t="s">
        <v>1232</v>
      </c>
      <c r="C3172" s="27" t="s">
        <v>1107</v>
      </c>
      <c r="D3172" s="27" t="s">
        <v>1066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1101</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2106</v>
      </c>
      <c r="B3174" s="27" t="s">
        <v>1247</v>
      </c>
      <c r="C3174" s="27" t="s">
        <v>1083</v>
      </c>
      <c r="D3174" s="27" t="s">
        <v>1066</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1094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2107</v>
      </c>
      <c r="B3176" s="27" t="s">
        <v>1113</v>
      </c>
      <c r="C3176" s="27" t="s">
        <v>1083</v>
      </c>
      <c r="D3176" s="27" t="s">
        <v>1066</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1124</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1125</v>
      </c>
      <c r="B3178" s="27" t="s">
        <v>1113</v>
      </c>
      <c r="C3178" s="27" t="s">
        <v>1126</v>
      </c>
      <c r="D3178" s="27" t="s">
        <v>1066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2108</v>
      </c>
      <c r="B3179" s="27" t="s">
        <v>1138</v>
      </c>
      <c r="C3179" s="27" t="s">
        <v>1128</v>
      </c>
      <c r="D3179" s="27" t="s">
        <v>1066</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2109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1077</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row>
    <row r="3183" spans="1:12">
      <c r="A3183" s="20" t="s">
        <v>2110</v>
      </c>
    </row>
    <row r="3184" spans="1:12">
      <c r="A3184" s="20" t="s">
        <v>1390</v>
      </c>
      <c r="B3184" s="27" t="s">
        <v>1068</v>
      </c>
      <c r="C3184" s="27" t="s">
        <v>1126</v>
      </c>
      <c r="D3184" s="27" t="s">
        <v>1066</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2108</v>
      </c>
      <c r="B3185" s="27" t="s">
        <v>1064</v>
      </c>
      <c r="C3185" s="27" t="s">
        <v>1128</v>
      </c>
      <c r="D3185" s="27" t="s">
        <v>1066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129</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1105</v>
      </c>
      <c r="B3187" s="27" t="s">
        <v>1064</v>
      </c>
      <c r="C3187" s="27" t="s">
        <v>1107</v>
      </c>
      <c r="D3187" s="27" t="s">
        <v>1066</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1243</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1601</v>
      </c>
      <c r="B3189" s="27" t="s">
        <v>1071</v>
      </c>
      <c r="C3189" s="27" t="s">
        <v>1074</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666</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1075</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1080</v>
      </c>
      <c r="B3192" s="27" t="s">
        <v>1087</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1233</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1105</v>
      </c>
      <c r="B3194" s="27" t="s">
        <v>1092</v>
      </c>
      <c r="C3194" s="27" t="s">
        <v>1107</v>
      </c>
      <c r="D3194" s="27" t="s">
        <v>1066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2043</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1314</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1221</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2111</v>
      </c>
      <c r="B3198" s="27" t="s">
        <v>1068</v>
      </c>
      <c r="C3198" s="27" t="s">
        <v>1074</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1084</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1221</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2112</v>
      </c>
      <c r="B3201" s="27" t="s">
        <v>1089</v>
      </c>
      <c r="C3201" s="27" t="s">
        <v>1074</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1075</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2113</v>
      </c>
      <c r="B3203" s="27" t="s">
        <v>1138</v>
      </c>
      <c r="C3203" s="27" t="s">
        <v>1074</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1077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row>
    <row r="3206" spans="1:12">
      <c r="A3206" s="20" t="s">
        <v>2114</v>
      </c>
    </row>
    <row r="3207" spans="1:12">
      <c r="A3207" s="20" t="s">
        <v>1155</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1296</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1150</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1914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2115</v>
      </c>
      <c r="B3211" s="27" t="s">
        <v>1064</v>
      </c>
      <c r="C3211" s="27" t="s">
        <v>1114</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1067</v>
      </c>
      <c r="B3212" s="27" t="s">
        <v>1068</v>
      </c>
      <c r="C3212" s="27" t="s">
        <v>1069</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1600</v>
      </c>
      <c r="B3213" s="27" t="s">
        <v>1068</v>
      </c>
      <c r="C3213" s="27" t="s">
        <v>1126</v>
      </c>
      <c r="D3213" s="27" t="s">
        <v>1066</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2116</v>
      </c>
      <c r="B3214" s="27" t="s">
        <v>1071</v>
      </c>
      <c r="C3214" s="27" t="s">
        <v>1128</v>
      </c>
      <c r="D3214" s="27" t="s">
        <v>1066</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1077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row>
    <row r="3217" spans="1:12">
      <c r="A3217" s="20" t="s">
        <v>1306</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2117</v>
      </c>
    </row>
    <row r="3219" spans="1:12">
      <c r="A3219" s="20" t="s">
        <v>1172</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2118</v>
      </c>
      <c r="B3220" s="27" t="s">
        <v>1064</v>
      </c>
      <c r="C3220" s="27" t="s">
        <v>1131</v>
      </c>
      <c r="D3220" s="27" t="s">
        <v>1066</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2119</v>
      </c>
      <c r="B3221" s="27" t="s">
        <v>1068</v>
      </c>
      <c r="C3221" s="27" t="s">
        <v>1131</v>
      </c>
      <c r="D3221" s="27" t="s">
        <v>1066</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2120</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1315</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1238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157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1101</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2121</v>
      </c>
      <c r="B3227" s="27" t="s">
        <v>1157</v>
      </c>
      <c r="C3227" s="27" t="s">
        <v>1149</v>
      </c>
      <c r="D3227" s="27" t="s">
        <v>1066</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1315</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1075</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2122</v>
      </c>
      <c r="B3230" s="27" t="s">
        <v>1068</v>
      </c>
      <c r="C3230" s="27" t="s">
        <v>1131</v>
      </c>
      <c r="D3230" s="27" t="s">
        <v>1066</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2123</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1315</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2124</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2125</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2126</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2127</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2128</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2129</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1077</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1315</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row>
    <row r="3242" spans="1:12">
      <c r="A3242" s="20" t="s">
        <v>2130</v>
      </c>
    </row>
    <row r="3243" spans="1:12">
      <c r="A3243" s="20" t="s">
        <v>1194</v>
      </c>
      <c r="B3243" s="27" t="s">
        <v>1064</v>
      </c>
      <c r="C3243" s="27" t="s">
        <v>1065</v>
      </c>
      <c r="D3243" s="27" t="s">
        <v>1066</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223</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1164</v>
      </c>
      <c r="B3245" s="27" t="s">
        <v>1064</v>
      </c>
      <c r="C3245" s="27" t="s">
        <v>1065</v>
      </c>
      <c r="D3245" s="27" t="s">
        <v>1066</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1317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1424</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1075</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278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1225</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2131</v>
      </c>
      <c r="B3251" s="27" t="s">
        <v>1087</v>
      </c>
      <c r="C3251" s="27" t="s">
        <v>1117</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1084</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1221</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1140</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2132</v>
      </c>
      <c r="B3255" s="27" t="s">
        <v>1232</v>
      </c>
      <c r="C3255" s="27" t="s">
        <v>1126</v>
      </c>
      <c r="D3255" s="27" t="s">
        <v>1066</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2133</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2134</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46</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1170</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1084</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1686</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1105</v>
      </c>
      <c r="B3262" s="27" t="s">
        <v>1092</v>
      </c>
      <c r="C3262" s="27" t="s">
        <v>1107</v>
      </c>
      <c r="D3262" s="27" t="s">
        <v>1066</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282</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2135</v>
      </c>
      <c r="B3264" s="27" t="s">
        <v>1068</v>
      </c>
      <c r="C3264" s="27" t="s">
        <v>1893</v>
      </c>
      <c r="D3264" s="27" t="s">
        <v>1066</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2136</v>
      </c>
      <c r="B3265" s="27" t="s">
        <v>1087</v>
      </c>
      <c r="C3265" s="27" t="s">
        <v>1074</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1196</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2081</v>
      </c>
      <c r="B3267" s="27" t="s">
        <v>1138</v>
      </c>
      <c r="C3267" s="27" t="s">
        <v>1069</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2137</v>
      </c>
      <c r="B3268" s="27" t="s">
        <v>1089</v>
      </c>
      <c r="C3268" s="27" t="s">
        <v>1114</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1077</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row>
    <row r="3271" spans="1:12">
      <c r="A3271" s="20" t="s">
        <v>2138</v>
      </c>
    </row>
    <row r="3272" spans="1:12">
      <c r="A3272" s="20" t="s">
        <v>1155</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1296</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2139</v>
      </c>
      <c r="B3274" s="27" t="s">
        <v>1064</v>
      </c>
      <c r="C3274" s="27" t="s">
        <v>1069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1084</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1080</v>
      </c>
      <c r="B3276" s="27" t="s">
        <v>1130</v>
      </c>
      <c r="C3276" s="27" t="s">
        <v>1107</v>
      </c>
      <c r="D3276" s="27" t="s">
        <v>1066</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2140</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1345</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1077</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row>
    <row r="3281" spans="1:12">
      <c r="A3281" s="20" t="s">
        <v>2141</v>
      </c>
    </row>
    <row r="3282" spans="1:12">
      <c r="A3282" s="20" t="s">
        <v>1172</v>
      </c>
      <c r="B3282" s="27" t="s">
        <v>1064</v>
      </c>
      <c r="C3282" s="27" t="s">
        <v>1126</v>
      </c>
      <c r="D3282" s="27" t="s">
        <v>1066</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1188</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141</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686</v>
      </c>
      <c r="B3285" s="27" t="s">
        <v>1071</v>
      </c>
      <c r="C3285" s="27" t="s">
        <v>1117</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1077</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row>
    <row r="3288" spans="1:12">
      <c r="A3288" s="20" t="s">
        <v>2142</v>
      </c>
    </row>
    <row r="3289" spans="1:12">
      <c r="A3289" s="20" t="s">
        <v>1394</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1190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2143</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686</v>
      </c>
      <c r="B3292" s="27" t="s">
        <v>1071</v>
      </c>
      <c r="C3292" s="27" t="s">
        <v>1117</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1084</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1146</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1105</v>
      </c>
      <c r="B3295" s="27" t="s">
        <v>1092</v>
      </c>
      <c r="C3295" s="27" t="s">
        <v>1107</v>
      </c>
      <c r="D3295" s="27" t="s">
        <v>1066</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1125</v>
      </c>
      <c r="B3296" s="27" t="s">
        <v>1089</v>
      </c>
      <c r="C3296" s="27" t="s">
        <v>1126</v>
      </c>
      <c r="D3296" s="27" t="s">
        <v>1066</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1836</v>
      </c>
      <c r="B3297" s="27" t="s">
        <v>1087</v>
      </c>
      <c r="C3297" s="27" t="s">
        <v>1128</v>
      </c>
      <c r="D3297" s="27" t="s">
        <v>1066</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1108</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1077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row>
    <row r="3301" spans="1:12">
      <c r="A3301" s="20" t="s">
        <v>2144</v>
      </c>
    </row>
    <row r="3302" spans="1:12">
      <c r="A3302" s="20" t="s">
        <v>1433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1194</v>
      </c>
      <c r="B3303" s="27" t="s">
        <v>1130</v>
      </c>
      <c r="C3303" s="27" t="s">
        <v>1065</v>
      </c>
      <c r="D3303" s="27" t="s">
        <v>1066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1630</v>
      </c>
      <c r="B3304" s="27" t="s">
        <v>1103</v>
      </c>
      <c r="C3304" s="27" t="s">
        <v>1065</v>
      </c>
      <c r="D3304" s="27" t="s">
        <v>1066</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1195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1225</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686</v>
      </c>
      <c r="B3307" s="27" t="s">
        <v>1103</v>
      </c>
      <c r="C3307" s="27" t="s">
        <v>1117</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1124</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1101</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2145</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200</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1151</v>
      </c>
      <c r="B3312" s="27" t="s">
        <v>1138</v>
      </c>
      <c r="C3312" s="27" t="s">
        <v>1535</v>
      </c>
      <c r="D3312" s="27" t="s">
        <v>1066</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2146</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1084</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1063</v>
      </c>
      <c r="B3315" s="27" t="s">
        <v>1064</v>
      </c>
      <c r="C3315" s="27" t="s">
        <v>1065</v>
      </c>
      <c r="D3315" s="27" t="s">
        <v>1066</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2147</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1110</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2148</v>
      </c>
      <c r="B3318" s="27" t="s">
        <v>1157</v>
      </c>
      <c r="C3318" s="27" t="s">
        <v>1083</v>
      </c>
      <c r="D3318" s="27" t="s">
        <v>1066</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690</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1084</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1225</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2149</v>
      </c>
      <c r="B3322" s="27" t="s">
        <v>1087</v>
      </c>
      <c r="C3322" s="27" t="s">
        <v>1117</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1084</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1075</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1080</v>
      </c>
      <c r="B3325" s="27" t="s">
        <v>1087</v>
      </c>
      <c r="C3325" s="27" t="s">
        <v>1107</v>
      </c>
      <c r="D3325" s="27" t="s">
        <v>1066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2150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1063</v>
      </c>
      <c r="B3327" s="27" t="s">
        <v>1092</v>
      </c>
      <c r="C3327" s="27" t="s">
        <v>1065</v>
      </c>
      <c r="D3327" s="27" t="s">
        <v>1066</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1084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1158</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1063</v>
      </c>
      <c r="B3330" s="27" t="s">
        <v>1092</v>
      </c>
      <c r="C3330" s="27" t="s">
        <v>1065</v>
      </c>
      <c r="D3330" s="27" t="s">
        <v>1066</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2147</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1820</v>
      </c>
      <c r="B3332" s="27" t="s">
        <v>1138</v>
      </c>
      <c r="C3332" s="27" t="s">
        <v>1126</v>
      </c>
      <c r="D3332" s="27" t="s">
        <v>1066</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686</v>
      </c>
      <c r="B3333" s="27" t="s">
        <v>1103</v>
      </c>
      <c r="C3333" s="27" t="s">
        <v>1128</v>
      </c>
      <c r="D3333" s="27" t="s">
        <v>1066</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2151</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1084</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1094</v>
      </c>
      <c r="B3336" s="27" t="s">
        <v>1232</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2152</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1084</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2153</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1189</v>
      </c>
      <c r="B3340" s="27" t="s">
        <v>1092</v>
      </c>
      <c r="C3340" s="27" t="s">
        <v>1074</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2154</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1253</v>
      </c>
      <c r="B3342" s="27" t="s">
        <v>1089</v>
      </c>
      <c r="C3342" s="27" t="s">
        <v>1131</v>
      </c>
      <c r="D3342" s="27" t="s">
        <v>1066</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1181</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2155</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1077</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row>
    <row r="3347" spans="1:12">
      <c r="A3347" s="20" t="s">
        <v>2156</v>
      </c>
    </row>
    <row r="3348" spans="1:12">
      <c r="A3348" s="20" t="s">
        <v>1820</v>
      </c>
      <c r="B3348" s="27" t="s">
        <v>1068</v>
      </c>
      <c r="C3348" s="27" t="s">
        <v>1126</v>
      </c>
      <c r="D3348" s="27" t="s">
        <v>1066</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686</v>
      </c>
      <c r="B3349" s="27" t="s">
        <v>1157</v>
      </c>
      <c r="C3349" s="27" t="s">
        <v>1128</v>
      </c>
      <c r="D3349" s="27" t="s">
        <v>1066</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2157</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1063</v>
      </c>
      <c r="B3351" s="27" t="s">
        <v>1064</v>
      </c>
      <c r="C3351" s="27" t="s">
        <v>1065</v>
      </c>
      <c r="D3351" s="27" t="s">
        <v>1066</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1077</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row>
    <row r="3354" spans="1:12">
      <c r="A3354" s="20" t="s">
        <v>2158</v>
      </c>
    </row>
    <row r="3355" spans="1:12">
      <c r="A3355" s="20" t="s">
        <v>2159</v>
      </c>
      <c r="B3355" s="27" t="s">
        <v>1064</v>
      </c>
      <c r="C3355" s="27" t="s">
        <v>1126</v>
      </c>
      <c r="D3355" s="27" t="s">
        <v>1066</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1265</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1101</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1725</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2160</v>
      </c>
      <c r="B3359" s="27" t="s">
        <v>1157</v>
      </c>
      <c r="C3359" s="27" t="s">
        <v>1083</v>
      </c>
      <c r="D3359" s="27" t="s">
        <v>1066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1077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row>
    <row r="3362" spans="1:12">
      <c r="A3362" s="20" t="s">
        <v>2161</v>
      </c>
    </row>
    <row r="3363" spans="1:12">
      <c r="A3363" s="20" t="s">
        <v>1433</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1105</v>
      </c>
      <c r="B3364" s="27" t="s">
        <v>1092</v>
      </c>
      <c r="C3364" s="27" t="s">
        <v>1107</v>
      </c>
      <c r="D3364" s="27" t="s">
        <v>1066</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1820</v>
      </c>
      <c r="B3365" s="27" t="s">
        <v>1089</v>
      </c>
      <c r="C3365" s="27" t="s">
        <v>1126</v>
      </c>
      <c r="D3365" s="27" t="s">
        <v>1066</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686</v>
      </c>
      <c r="B3366" s="27" t="s">
        <v>1087</v>
      </c>
      <c r="C3366" s="27" t="s">
        <v>1128</v>
      </c>
      <c r="D3366" s="27" t="s">
        <v>1066</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1152</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2162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1084</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1181</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1094</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2163</v>
      </c>
      <c r="B3372" s="27" t="s">
        <v>1064</v>
      </c>
      <c r="C3372" s="27" t="s">
        <v>1083</v>
      </c>
      <c r="D3372" s="27" t="s">
        <v>1066</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1287</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2164</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1075</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2165</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2166</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1127</v>
      </c>
      <c r="B3378" s="27" t="s">
        <v>1071</v>
      </c>
      <c r="C3378" s="27" t="s">
        <v>1074</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2167</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46</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1084</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1287</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1110</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2168</v>
      </c>
      <c r="B3384" s="27" t="s">
        <v>1071</v>
      </c>
      <c r="C3384" s="27" t="s">
        <v>1131</v>
      </c>
      <c r="D3384" s="27" t="s">
        <v>1066</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1075</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2074</v>
      </c>
      <c r="B3386" s="27" t="s">
        <v>1068</v>
      </c>
      <c r="C3386" s="27" t="s">
        <v>1131</v>
      </c>
      <c r="D3386" s="27" t="s">
        <v>1066</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1084</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1287</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1368</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1075</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256</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1369</v>
      </c>
      <c r="B3392" s="27" t="s">
        <v>1068</v>
      </c>
      <c r="C3392" s="27" t="s">
        <v>1074</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1077</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row>
    <row r="3395" spans="1:12">
      <c r="A3395" s="20" t="s">
        <v>2169</v>
      </c>
    </row>
    <row r="3396" spans="1:12">
      <c r="A3396" s="20" t="s">
        <v>1075</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1457</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1647</v>
      </c>
      <c r="B3398" s="27" t="s">
        <v>1068</v>
      </c>
      <c r="C3398" s="27" t="s">
        <v>1069</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1116</v>
      </c>
      <c r="B3399" s="27" t="s">
        <v>1064</v>
      </c>
      <c r="C3399" s="27" t="s">
        <v>1114</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1418</v>
      </c>
      <c r="B3400" s="27" t="s">
        <v>1089</v>
      </c>
      <c r="C3400" s="27" t="s">
        <v>1126</v>
      </c>
      <c r="D3400" s="27" t="s">
        <v>1066</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11</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1112</v>
      </c>
      <c r="B3402" s="27" t="s">
        <v>1068</v>
      </c>
      <c r="C3402" s="27" t="s">
        <v>1128</v>
      </c>
      <c r="D3402" s="27" t="s">
        <v>1066</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46</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1190</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1156</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2170</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838</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1077</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row>
    <row r="3410" spans="1:12">
      <c r="A3410" s="20" t="s">
        <v>2171</v>
      </c>
    </row>
    <row r="3411" spans="1:12">
      <c r="A3411" s="20" t="s">
        <v>1699</v>
      </c>
      <c r="B3411" s="27" t="s">
        <v>1157</v>
      </c>
      <c r="C3411" s="27" t="s">
        <v>1107</v>
      </c>
      <c r="D3411" s="27" t="s">
        <v>1066</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129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1105</v>
      </c>
      <c r="B3413" s="27" t="s">
        <v>1064</v>
      </c>
      <c r="C3413" s="27" t="s">
        <v>1107</v>
      </c>
      <c r="D3413" s="27" t="s">
        <v>1066</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1240</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707</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1321</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row>
    <row r="3418" spans="1:12">
      <c r="A3418" s="20" t="s">
        <v>2172</v>
      </c>
    </row>
    <row r="3419" spans="1:12">
      <c r="A3419" s="20" t="s">
        <v>1628</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1854</v>
      </c>
      <c r="B3420" s="27" t="s">
        <v>1068</v>
      </c>
      <c r="C3420" s="27" t="s">
        <v>1107</v>
      </c>
      <c r="D3420" s="27" t="s">
        <v>1066</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2173</v>
      </c>
      <c r="B3421" s="27" t="s">
        <v>1071</v>
      </c>
      <c r="C3421" s="27" t="s">
        <v>1074</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2174</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1063</v>
      </c>
      <c r="B3423" s="27" t="s">
        <v>1064</v>
      </c>
      <c r="C3423" s="27" t="s">
        <v>1065</v>
      </c>
      <c r="D3423" s="27" t="s">
        <v>1066</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1321</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row>
    <row r="3426" spans="1:12">
      <c r="A3426" s="20" t="s">
        <v>2175</v>
      </c>
    </row>
    <row r="3427" spans="1:12">
      <c r="A3427" s="20" t="s">
        <v>1238</v>
      </c>
      <c r="B3427" s="27" t="s">
        <v>1064</v>
      </c>
      <c r="C3427" s="27" t="s">
        <v>1107</v>
      </c>
      <c r="D3427" s="27" t="s">
        <v>1066</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129</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1239</v>
      </c>
      <c r="B3429" s="27" t="s">
        <v>1157</v>
      </c>
      <c r="C3429" s="27" t="s">
        <v>1107</v>
      </c>
      <c r="D3429" s="27" t="s">
        <v>1066</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1124</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1470</v>
      </c>
      <c r="B3431" s="27" t="s">
        <v>1068</v>
      </c>
      <c r="C3431" s="27" t="s">
        <v>1107</v>
      </c>
      <c r="D3431" s="27" t="s">
        <v>1066</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2176</v>
      </c>
      <c r="B3432" s="27" t="s">
        <v>1071</v>
      </c>
      <c r="C3432" s="27" t="s">
        <v>1074</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715</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1077</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row>
    <row r="3436" spans="1:12">
      <c r="A3436" s="20" t="s">
        <v>2177</v>
      </c>
    </row>
    <row r="3437" spans="1:12">
      <c r="A3437" s="20" t="s">
        <v>1433</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2178</v>
      </c>
      <c r="B3438" s="27" t="s">
        <v>1092</v>
      </c>
      <c r="C3438" s="27" t="s">
        <v>1074</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1086</v>
      </c>
      <c r="B3439" s="27" t="s">
        <v>1087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1221</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2179</v>
      </c>
      <c r="B3441" s="27" t="s">
        <v>1068</v>
      </c>
      <c r="C3441" s="27" t="s">
        <v>1074</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1163</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2180</v>
      </c>
      <c r="B3443" s="27" t="s">
        <v>1089</v>
      </c>
      <c r="C3443" s="27" t="s">
        <v>1131</v>
      </c>
      <c r="D3443" s="27" t="s">
        <v>1066</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1249</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1084</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2044</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1185</v>
      </c>
      <c r="B3447" s="27" t="s">
        <v>1064</v>
      </c>
      <c r="C3447" s="27" t="s">
        <v>1107</v>
      </c>
      <c r="D3447" s="27" t="s">
        <v>1066</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1152</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1195</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1072</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1253</v>
      </c>
      <c r="B3451" s="27" t="s">
        <v>1071</v>
      </c>
      <c r="C3451" s="27" t="s">
        <v>1131</v>
      </c>
      <c r="D3451" s="27" t="s">
        <v>1066</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13</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1077</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row>
    <row r="3455" spans="1:12">
      <c r="A3455" s="20" t="s">
        <v>2181</v>
      </c>
    </row>
    <row r="3456" spans="1:12">
      <c r="A3456" s="20" t="s">
        <v>1194</v>
      </c>
      <c r="B3456" s="27" t="s">
        <v>1064</v>
      </c>
      <c r="C3456" s="27" t="s">
        <v>1065</v>
      </c>
      <c r="D3456" s="27" t="s">
        <v>1066</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2044</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1125</v>
      </c>
      <c r="B3458" s="27" t="s">
        <v>1068</v>
      </c>
      <c r="C3458" s="27" t="s">
        <v>1126</v>
      </c>
      <c r="D3458" s="27" t="s">
        <v>1066</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2182</v>
      </c>
      <c r="B3459" s="27" t="s">
        <v>1157</v>
      </c>
      <c r="C3459" s="27" t="s">
        <v>1128</v>
      </c>
      <c r="D3459" s="27" t="s">
        <v>1066</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722</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1075</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1194</v>
      </c>
      <c r="B3462" s="27" t="s">
        <v>1092</v>
      </c>
      <c r="C3462" s="27" t="s">
        <v>1065</v>
      </c>
      <c r="D3462" s="27" t="s">
        <v>1066</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2183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2184</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1196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1110</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2185</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2186</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2187</v>
      </c>
      <c r="B3469" s="27" t="s">
        <v>1068</v>
      </c>
      <c r="C3469" s="27" t="s">
        <v>1083</v>
      </c>
      <c r="D3469" s="27" t="s">
        <v>1066</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1084</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1101</v>
      </c>
      <c r="B3471" s="27" t="s">
        <v>1232</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1124</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1125</v>
      </c>
      <c r="B3473" s="27" t="s">
        <v>1113</v>
      </c>
      <c r="C3473" s="27" t="s">
        <v>1126</v>
      </c>
      <c r="D3473" s="27" t="s">
        <v>1066</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2188</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1864</v>
      </c>
      <c r="B3475" s="27" t="s">
        <v>1138</v>
      </c>
      <c r="C3475" s="27" t="s">
        <v>1128</v>
      </c>
      <c r="D3475" s="27" t="s">
        <v>1066</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2189</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46</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1077</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row>
    <row r="3480" spans="1:12">
      <c r="A3480" s="20" t="s">
        <v>2190</v>
      </c>
    </row>
    <row r="3481" spans="1:12">
      <c r="A3481" s="20" t="s">
        <v>1238</v>
      </c>
      <c r="B3481" s="27" t="s">
        <v>1064</v>
      </c>
      <c r="C3481" s="27" t="s">
        <v>1107</v>
      </c>
      <c r="D3481" s="27" t="s">
        <v>1066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282</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2191</v>
      </c>
      <c r="B3483" s="27" t="s">
        <v>1157</v>
      </c>
      <c r="C3483" s="27" t="s">
        <v>1074</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1084</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1253</v>
      </c>
      <c r="B3485" s="27" t="s">
        <v>1089</v>
      </c>
      <c r="C3485" s="27" t="s">
        <v>1131</v>
      </c>
      <c r="D3485" s="27" t="s">
        <v>1066</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2192</v>
      </c>
      <c r="B3486" s="27" t="s">
        <v>1068</v>
      </c>
      <c r="C3486" s="27" t="s">
        <v>1074</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1084</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2193</v>
      </c>
      <c r="B3488" s="27" t="s">
        <v>1068</v>
      </c>
      <c r="C3488" s="27" t="s">
        <v>1131</v>
      </c>
      <c r="D3488" s="27" t="s">
        <v>1066</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2194</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1510</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row>
    <row r="3492" spans="1:12">
      <c r="A3492" s="20" t="s">
        <v>2195</v>
      </c>
    </row>
    <row r="3493" spans="1:12">
      <c r="A3493" s="20" t="s">
        <v>2196</v>
      </c>
      <c r="B3493" s="27" t="s">
        <v>1064</v>
      </c>
      <c r="C3493" s="27" t="s">
        <v>1074</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17</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1084</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1146</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141</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2197</v>
      </c>
      <c r="B3498" s="27" t="s">
        <v>1092</v>
      </c>
      <c r="C3498" s="27" t="s">
        <v>1117</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2198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1077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row>
    <row r="3502" spans="1:12">
      <c r="A3502" s="20" t="s">
        <v>2199</v>
      </c>
    </row>
    <row r="3503" spans="1:12">
      <c r="A3503" s="20" t="s">
        <v>1238</v>
      </c>
      <c r="B3503" s="27" t="s">
        <v>1064</v>
      </c>
      <c r="C3503" s="27" t="s">
        <v>1107</v>
      </c>
      <c r="D3503" s="27" t="s">
        <v>1066</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129</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1101</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2200</v>
      </c>
      <c r="B3506" s="27" t="s">
        <v>1157</v>
      </c>
      <c r="C3506" s="27" t="s">
        <v>1083</v>
      </c>
      <c r="D3506" s="27" t="s">
        <v>1066</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732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1077</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row>
    <row r="3510" spans="1:12">
      <c r="A3510" s="20" t="s">
        <v>2201</v>
      </c>
    </row>
    <row r="3511" spans="1:12">
      <c r="A3511" s="20" t="s">
        <v>1238</v>
      </c>
      <c r="B3511" s="27" t="s">
        <v>1064</v>
      </c>
      <c r="C3511" s="27" t="s">
        <v>1107</v>
      </c>
      <c r="D3511" s="27" t="s">
        <v>1066</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129</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2202</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2203</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1075</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2204</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37</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1075</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1748</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1101</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1102</v>
      </c>
      <c r="B3521" s="27" t="s">
        <v>1071</v>
      </c>
      <c r="C3521" s="27" t="s">
        <v>1083</v>
      </c>
      <c r="D3521" s="27" t="s">
        <v>1066</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1084</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1101</v>
      </c>
      <c r="B3523" s="27" t="s">
        <v>1130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1196</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1094</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2205</v>
      </c>
      <c r="B3526" s="27" t="s">
        <v>1089</v>
      </c>
      <c r="C3526" s="27" t="s">
        <v>1083</v>
      </c>
      <c r="D3526" s="27" t="s">
        <v>1066</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2206</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46</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1077</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row>
    <row r="3531" spans="1:12">
      <c r="A3531" s="20" t="s">
        <v>2207</v>
      </c>
    </row>
    <row r="3532" spans="1:12">
      <c r="A3532" s="20" t="s">
        <v>1155</v>
      </c>
      <c r="B3532" s="27" t="s">
        <v>1064</v>
      </c>
      <c r="C3532" s="27" t="s">
        <v>1065</v>
      </c>
      <c r="D3532" s="27" t="s">
        <v>1066</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1188</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141</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1134</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686</v>
      </c>
      <c r="B3536" s="27" t="s">
        <v>1071</v>
      </c>
      <c r="C3536" s="27" t="s">
        <v>1117</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1084</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1298</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1063</v>
      </c>
      <c r="B3539" s="27" t="s">
        <v>1092</v>
      </c>
      <c r="C3539" s="27" t="s">
        <v>1065</v>
      </c>
      <c r="D3539" s="27" t="s">
        <v>1066</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2208</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1084</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1105</v>
      </c>
      <c r="B3542" s="27" t="s">
        <v>1130</v>
      </c>
      <c r="C3542" s="27" t="s">
        <v>1107</v>
      </c>
      <c r="D3542" s="27" t="s">
        <v>1066</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1233</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2209</v>
      </c>
      <c r="B3544" s="27" t="s">
        <v>1103</v>
      </c>
      <c r="C3544" s="27" t="s">
        <v>1065</v>
      </c>
      <c r="D3544" s="27" t="s">
        <v>1066</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2210</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1077</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row>
    <row r="3548" spans="1:12">
      <c r="A3548" s="20" t="s">
        <v>2211</v>
      </c>
    </row>
    <row r="3549" spans="1:12">
      <c r="A3549" s="20" t="s">
        <v>2212</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743</v>
      </c>
      <c r="B3550" s="27" t="s">
        <v>1071</v>
      </c>
      <c r="C3550" s="27" t="s">
        <v>1114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1077</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row>
    <row r="3553" spans="1:12">
      <c r="A3553" s="20" t="s">
        <v>2213</v>
      </c>
    </row>
    <row r="3554" spans="1:12">
      <c r="A3554" s="20" t="s">
        <v>1621</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2214</v>
      </c>
      <c r="B3555" s="27" t="s">
        <v>1068</v>
      </c>
      <c r="C3555" s="27" t="s">
        <v>1131</v>
      </c>
      <c r="D3555" s="27" t="s">
        <v>1066</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1623</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2215</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2216</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1314</v>
      </c>
      <c r="B3559" s="27" t="s">
        <v>1071</v>
      </c>
      <c r="C3559" s="27" t="s">
        <v>1149</v>
      </c>
      <c r="D3559" s="27" t="s">
        <v>1066</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2217</v>
      </c>
      <c r="B3560" s="27" t="s">
        <v>1071</v>
      </c>
      <c r="C3560" s="27" t="s">
        <v>1131</v>
      </c>
      <c r="D3560" s="27" t="s">
        <v>1066</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1077</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row>
    <row r="3563" spans="1:12">
      <c r="A3563" s="20" t="s">
        <v>2218</v>
      </c>
    </row>
    <row r="3564" spans="1:12">
      <c r="A3564" s="20" t="s">
        <v>2217</v>
      </c>
      <c r="B3564" s="27" t="s">
        <v>1071</v>
      </c>
      <c r="C3564" s="27" t="s">
        <v>1074</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1305</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row>
    <row r="3567" spans="1:12">
      <c r="A3567" s="20" t="s">
        <v>2211</v>
      </c>
    </row>
    <row r="3568" spans="1:12">
      <c r="A3568" s="20" t="s">
        <v>2212</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743</v>
      </c>
      <c r="B3569" s="27" t="s">
        <v>1071</v>
      </c>
      <c r="C3569" s="27" t="s">
        <v>1114</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1077</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row>
    <row r="3572" spans="1:12">
      <c r="A3572" s="20" t="s">
        <v>2219</v>
      </c>
    </row>
    <row r="3573" spans="1:12">
      <c r="A3573" s="20" t="s">
        <v>1381</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1097</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1947</v>
      </c>
      <c r="B3575" s="27" t="s">
        <v>1157</v>
      </c>
      <c r="C3575" s="27" t="s">
        <v>1074</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1863</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1067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756</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2220</v>
      </c>
      <c r="B3581" s="27" t="s">
        <v>1068</v>
      </c>
      <c r="C3581" s="27" t="s">
        <v>1074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1084</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1233</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1194</v>
      </c>
      <c r="B3584" s="27" t="s">
        <v>1064</v>
      </c>
      <c r="C3584" s="27" t="s">
        <v>1065</v>
      </c>
      <c r="D3584" s="27" t="s">
        <v>1066</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1239</v>
      </c>
      <c r="B3585" s="27" t="s">
        <v>1157</v>
      </c>
      <c r="C3585" s="27" t="s">
        <v>1107</v>
      </c>
      <c r="D3585" s="27" t="s">
        <v>1066</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1182</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1611</v>
      </c>
      <c r="B3587" s="27" t="s">
        <v>1087</v>
      </c>
      <c r="C3587" s="27" t="s">
        <v>1117</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1094</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2221</v>
      </c>
      <c r="B3589" s="27" t="s">
        <v>1089</v>
      </c>
      <c r="C3589" s="27" t="s">
        <v>1149</v>
      </c>
      <c r="D3589" s="27" t="s">
        <v>1066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1418</v>
      </c>
      <c r="B3590" s="27" t="s">
        <v>1113</v>
      </c>
      <c r="C3590" s="27" t="s">
        <v>1126</v>
      </c>
      <c r="D3590" s="27" t="s">
        <v>1066</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2222</v>
      </c>
      <c r="B3591" s="27" t="s">
        <v>1138</v>
      </c>
      <c r="C3591" s="27" t="s">
        <v>1128</v>
      </c>
      <c r="D3591" s="27" t="s">
        <v>1066</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70</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1321</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row>
    <row r="3595" spans="1:12">
      <c r="A3595" s="20" t="s">
        <v>2223</v>
      </c>
    </row>
    <row r="3596" spans="1:12">
      <c r="A3596" s="20" t="s">
        <v>760</v>
      </c>
      <c r="B3596" s="27" t="s">
        <v>1071</v>
      </c>
      <c r="C3596" s="27" t="s">
        <v>1131</v>
      </c>
      <c r="D3596" s="27" t="s">
        <v>1066</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2224</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1314</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row>
    <row r="3600" spans="1:12">
      <c r="A3600" s="20" t="s">
        <v>2225</v>
      </c>
    </row>
    <row r="3601" spans="1:12">
      <c r="A3601" s="20" t="s">
        <v>2226</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1101</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2227</v>
      </c>
      <c r="B3603" s="27" t="s">
        <v>1087</v>
      </c>
      <c r="C3603" s="27" t="s">
        <v>1083</v>
      </c>
      <c r="D3603" s="27" t="s">
        <v>1066</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1139</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1288</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1972</v>
      </c>
      <c r="B3606" s="27" t="s">
        <v>1068</v>
      </c>
      <c r="C3606" s="27" t="s">
        <v>1117</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2228</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1084</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1647</v>
      </c>
      <c r="B3609" s="27" t="s">
        <v>1138</v>
      </c>
      <c r="C3609" s="27" t="s">
        <v>1069</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1665</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1311</v>
      </c>
      <c r="B3611" s="27" t="s">
        <v>1103</v>
      </c>
      <c r="C3611" s="27" t="s">
        <v>1114</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1067</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248</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1084</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1565</v>
      </c>
      <c r="B3615" s="27" t="s">
        <v>1103</v>
      </c>
      <c r="C3615" s="27" t="s">
        <v>1107</v>
      </c>
      <c r="D3615" s="27" t="s">
        <v>1066</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1105</v>
      </c>
      <c r="B3616" s="27" t="s">
        <v>1130</v>
      </c>
      <c r="C3616" s="27" t="s">
        <v>1107</v>
      </c>
      <c r="D3616" s="27" t="s">
        <v>1066</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2229</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157</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1084</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282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1105</v>
      </c>
      <c r="B3621" s="27" t="s">
        <v>1064</v>
      </c>
      <c r="C3621" s="27" t="s">
        <v>1107</v>
      </c>
      <c r="D3621" s="27" t="s">
        <v>1066</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1195</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1266</v>
      </c>
      <c r="B3623" s="27" t="s">
        <v>1068</v>
      </c>
      <c r="C3623" s="27" t="s">
        <v>1069</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45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2230</v>
      </c>
      <c r="B3625" s="27" t="s">
        <v>1157</v>
      </c>
      <c r="C3625" s="27" t="s">
        <v>1114</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1077</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row>
    <row r="3628" spans="1:12">
      <c r="A3628" s="20" t="s">
        <v>2231</v>
      </c>
    </row>
    <row r="3629" spans="1:12">
      <c r="A3629" s="20" t="s">
        <v>1079</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1220</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1193</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1105</v>
      </c>
      <c r="B3632" s="27" t="s">
        <v>1064</v>
      </c>
      <c r="C3632" s="27" t="s">
        <v>1107</v>
      </c>
      <c r="D3632" s="27" t="s">
        <v>1066</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2232</v>
      </c>
      <c r="B3633" s="27" t="s">
        <v>1068</v>
      </c>
      <c r="C3633" s="27" t="s">
        <v>1090</v>
      </c>
      <c r="D3633" s="27" t="s">
        <v>1066</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1235</v>
      </c>
      <c r="B3634" s="27" t="s">
        <v>1157</v>
      </c>
      <c r="C3634" s="27" t="s">
        <v>1074</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1221</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1288</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2233</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2003</v>
      </c>
      <c r="B3638" s="27" t="s">
        <v>1071</v>
      </c>
      <c r="C3638" s="27" t="s">
        <v>1117</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2234</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157</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1084</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1097</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2235</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1084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1146</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1164</v>
      </c>
      <c r="B3646" s="27" t="s">
        <v>1130</v>
      </c>
      <c r="C3646" s="27" t="s">
        <v>1065</v>
      </c>
      <c r="D3646" s="27" t="s">
        <v>1066</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1968</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2236</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1084</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1188</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1348</v>
      </c>
      <c r="B3651" s="27" t="s">
        <v>1092</v>
      </c>
      <c r="C3651" s="27" t="s">
        <v>1069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1195</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1221</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1110</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2237</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2230</v>
      </c>
      <c r="B3656" s="27" t="s">
        <v>1071</v>
      </c>
      <c r="C3656" s="27" t="s">
        <v>1083</v>
      </c>
      <c r="D3656" s="27" t="s">
        <v>1066</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1077</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row>
    <row r="3659" spans="1:12">
      <c r="A3659" s="20" t="s">
        <v>2238</v>
      </c>
    </row>
    <row r="3660" spans="1:12">
      <c r="A3660" s="20" t="s">
        <v>1445</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1779</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2239</v>
      </c>
      <c r="B3662" s="27" t="s">
        <v>1064</v>
      </c>
      <c r="C3662" s="27" t="s">
        <v>1083</v>
      </c>
      <c r="D3662" s="27" t="s">
        <v>1066</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1188</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1080</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2240</v>
      </c>
      <c r="B3665" s="27" t="s">
        <v>1071</v>
      </c>
      <c r="C3665" s="27" t="s">
        <v>1083</v>
      </c>
      <c r="D3665" s="27" t="s">
        <v>1066</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1722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1533</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2241</v>
      </c>
      <c r="B3668" s="27" t="s">
        <v>1071</v>
      </c>
      <c r="C3668" s="27" t="s">
        <v>1083</v>
      </c>
      <c r="D3668" s="27" t="s">
        <v>1066</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1084</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1294</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1112</v>
      </c>
      <c r="B3671" s="27" t="s">
        <v>1087</v>
      </c>
      <c r="C3671" s="27" t="s">
        <v>1074</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1067</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479</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1084</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1101</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2242</v>
      </c>
      <c r="B3676" s="27" t="s">
        <v>1071</v>
      </c>
      <c r="C3676" s="27" t="s">
        <v>1083</v>
      </c>
      <c r="D3676" s="27" t="s">
        <v>1066</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1075</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1110</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2243</v>
      </c>
      <c r="B3679" s="27" t="s">
        <v>1103</v>
      </c>
      <c r="C3679" s="27" t="s">
        <v>1083</v>
      </c>
      <c r="D3679" s="27" t="s">
        <v>1066</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1094</v>
      </c>
      <c r="B3680" s="27" t="s">
        <v>1130</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1961</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1110</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1533</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2244</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2245</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1077</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row>
    <row r="3688" spans="1:12">
      <c r="A3688" s="20" t="s">
        <v>2246</v>
      </c>
    </row>
    <row r="3689" spans="1:12">
      <c r="A3689" s="20" t="s">
        <v>2247</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1094</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2248</v>
      </c>
      <c r="B3691" s="27" t="s">
        <v>1092</v>
      </c>
      <c r="C3691" s="27" t="s">
        <v>1083</v>
      </c>
      <c r="D3691" s="27" t="s">
        <v>1066</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2249</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1188</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1084</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1193</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1769</v>
      </c>
      <c r="B3696" s="27" t="s">
        <v>1130</v>
      </c>
      <c r="C3696" s="27" t="s">
        <v>1065</v>
      </c>
      <c r="D3696" s="27" t="s">
        <v>1066</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1162</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2250</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1163</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2251</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1084</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1349</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1188</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1450</v>
      </c>
      <c r="B3704" s="27" t="s">
        <v>1064</v>
      </c>
      <c r="C3704" s="27" t="s">
        <v>1069</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1336</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1260</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1084</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1686</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1101</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2252</v>
      </c>
      <c r="B3710" s="27" t="s">
        <v>1092</v>
      </c>
      <c r="C3710" s="27" t="s">
        <v>1083</v>
      </c>
      <c r="D3710" s="27" t="s">
        <v>1066</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1084</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1101</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1795</v>
      </c>
      <c r="B3713" s="27" t="s">
        <v>1130</v>
      </c>
      <c r="C3713" s="27" t="s">
        <v>1083</v>
      </c>
      <c r="D3713" s="27" t="s">
        <v>1066</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1188</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1162</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1337</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1135</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1093</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1563</v>
      </c>
      <c r="B3719" s="27" t="s">
        <v>1089</v>
      </c>
      <c r="C3719" s="27" t="s">
        <v>1074</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1084</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1163</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1105</v>
      </c>
      <c r="B3722" s="27" t="s">
        <v>1092</v>
      </c>
      <c r="C3722" s="27" t="s">
        <v>1107</v>
      </c>
      <c r="D3722" s="27" t="s">
        <v>1066</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1185</v>
      </c>
      <c r="B3723" s="27" t="s">
        <v>1092</v>
      </c>
      <c r="C3723" s="27" t="s">
        <v>1107</v>
      </c>
      <c r="D3723" s="27" t="s">
        <v>1066</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2253</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1077</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row>
    <row r="3727" spans="1:12">
      <c r="A3727" s="20" t="s">
        <v>2254</v>
      </c>
    </row>
    <row r="3728" spans="1:12">
      <c r="A3728" s="20" t="s">
        <v>2255</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1314</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2226</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1080</v>
      </c>
      <c r="B3731" s="27" t="s">
        <v>1157</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2256</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1067</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756</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1314</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row>
    <row r="3737" spans="1:12">
      <c r="A3737" s="20" t="s">
        <v>2257</v>
      </c>
    </row>
    <row r="3738" spans="1:12">
      <c r="A3738" s="20" t="s">
        <v>1172</v>
      </c>
      <c r="B3738" s="27" t="s">
        <v>1064</v>
      </c>
      <c r="C3738" s="27" t="s">
        <v>1126</v>
      </c>
      <c r="D3738" s="27" t="s">
        <v>1066</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1145</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2258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1221</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1110</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2259</v>
      </c>
      <c r="B3743" s="27" t="s">
        <v>1068</v>
      </c>
      <c r="C3743" s="27" t="s">
        <v>1083</v>
      </c>
      <c r="D3743" s="27" t="s">
        <v>1066</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1067</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2260</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1457</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1163</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1182</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2261</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2000</v>
      </c>
      <c r="B3750" s="27" t="s">
        <v>1068</v>
      </c>
      <c r="C3750" s="27" t="s">
        <v>1149</v>
      </c>
      <c r="D3750" s="27" t="s">
        <v>1066</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1932</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2262</v>
      </c>
      <c r="B3752" s="27" t="s">
        <v>1089</v>
      </c>
      <c r="C3752" s="27" t="s">
        <v>1074</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1084</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1397</v>
      </c>
      <c r="B3754" s="27" t="s">
        <v>1138</v>
      </c>
      <c r="C3754" s="27" t="s">
        <v>1126</v>
      </c>
      <c r="D3754" s="27" t="s">
        <v>1066</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2263</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1952</v>
      </c>
      <c r="B3756" s="27" t="s">
        <v>1089</v>
      </c>
      <c r="C3756" s="27" t="s">
        <v>1128</v>
      </c>
      <c r="D3756" s="27" t="s">
        <v>1066</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1075</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1349</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2264</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1094</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2265</v>
      </c>
      <c r="B3761" s="27" t="s">
        <v>1092</v>
      </c>
      <c r="C3761" s="27" t="s">
        <v>1083</v>
      </c>
      <c r="D3761" s="27" t="s">
        <v>1066</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2266</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1075</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2267</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1086</v>
      </c>
      <c r="B3765" s="27" t="s">
        <v>1087</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1329</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1354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1355</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1321</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row>
    <row r="3771" spans="1:12">
      <c r="A3771" s="20" t="s">
        <v>2268</v>
      </c>
    </row>
    <row r="3772" spans="1:12">
      <c r="A3772" s="20" t="s">
        <v>785</v>
      </c>
      <c r="B3772" s="27" t="s">
        <v>1071</v>
      </c>
      <c r="C3772" s="27" t="s">
        <v>1131</v>
      </c>
      <c r="D3772" s="27" t="s">
        <v>1066</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1314</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1129</v>
      </c>
      <c r="B3774" s="27" t="s">
        <v>1071</v>
      </c>
      <c r="C3774" s="27" t="s">
        <v>1131</v>
      </c>
      <c r="D3774" s="27" t="s">
        <v>1066</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1077</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row>
    <row r="3777" spans="1:12">
      <c r="A3777" s="20" t="s">
        <v>2269</v>
      </c>
    </row>
    <row r="3778" spans="1:12">
      <c r="A3778" s="20" t="s">
        <v>1061</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129</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1194</v>
      </c>
      <c r="B3780" s="27" t="s">
        <v>1064</v>
      </c>
      <c r="C3780" s="27" t="s">
        <v>1065</v>
      </c>
      <c r="D3780" s="27" t="s">
        <v>1066</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1110</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2003</v>
      </c>
      <c r="B3782" s="27" t="s">
        <v>1157</v>
      </c>
      <c r="C3782" s="27" t="s">
        <v>1083</v>
      </c>
      <c r="D3782" s="27" t="s">
        <v>1066</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2063</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2270</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789</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1084</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1240</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1296</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1164</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1150</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1619</v>
      </c>
      <c r="B3791" s="27" t="s">
        <v>1092</v>
      </c>
      <c r="C3791" s="27" t="s">
        <v>1114</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1075</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1150</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2271</v>
      </c>
      <c r="B3794" s="27" t="s">
        <v>1089</v>
      </c>
      <c r="C3794" s="27" t="s">
        <v>1114</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1084</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1101</v>
      </c>
      <c r="B3796" s="27" t="s">
        <v>1106</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1758</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223</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1233</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1077</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row>
    <row r="3802" spans="1:12">
      <c r="A3802" s="20" t="s">
        <v>2272</v>
      </c>
    </row>
    <row r="3803" spans="1:12">
      <c r="A3803" s="20" t="s">
        <v>2273</v>
      </c>
      <c r="B3803" s="27" t="s">
        <v>1071</v>
      </c>
      <c r="C3803" s="27" t="s">
        <v>1126</v>
      </c>
      <c r="D3803" s="27" t="s">
        <v>1066</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793</v>
      </c>
      <c r="B3804" s="27" t="s">
        <v>1071</v>
      </c>
      <c r="C3804" s="27" t="s">
        <v>1128</v>
      </c>
      <c r="D3804" s="27" t="s">
        <v>1066</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1293</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1348</v>
      </c>
      <c r="B3806" s="27" t="s">
        <v>1092</v>
      </c>
      <c r="C3806" s="27" t="s">
        <v>1069</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2209</v>
      </c>
      <c r="B3807" s="27" t="s">
        <v>1087</v>
      </c>
      <c r="C3807" s="27" t="s">
        <v>1065</v>
      </c>
      <c r="D3807" s="27" t="s">
        <v>1066</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2274</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1075</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1922</v>
      </c>
      <c r="B3810" s="27" t="s">
        <v>1103</v>
      </c>
      <c r="C3810" s="27" t="s">
        <v>1074</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2275</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12</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1158</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2276</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1077</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row>
    <row r="3817" spans="1:12">
      <c r="A3817" s="20" t="s">
        <v>2277</v>
      </c>
    </row>
    <row r="3818" spans="1:12">
      <c r="A3818" s="20" t="s">
        <v>1172</v>
      </c>
      <c r="B3818" s="27" t="s">
        <v>1064</v>
      </c>
      <c r="C3818" s="27" t="s">
        <v>1107</v>
      </c>
      <c r="D3818" s="27" t="s">
        <v>1066</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1188</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1152</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1774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1305</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row>
    <row r="3824" spans="1:12">
      <c r="A3824" s="20" t="s">
        <v>2278</v>
      </c>
    </row>
    <row r="3825" spans="1:12">
      <c r="A3825" s="20" t="s">
        <v>1433</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1348</v>
      </c>
      <c r="B3826" s="27" t="s">
        <v>1092</v>
      </c>
      <c r="C3826" s="27" t="s">
        <v>1069</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1298</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1190</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2279</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1791</v>
      </c>
      <c r="B3830" s="27" t="s">
        <v>1087</v>
      </c>
      <c r="C3830" s="27" t="s">
        <v>1074</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1265</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1084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1170</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1348</v>
      </c>
      <c r="B3834" s="27" t="s">
        <v>1064</v>
      </c>
      <c r="C3834" s="27" t="s">
        <v>1069</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2209</v>
      </c>
      <c r="B3835" s="27" t="s">
        <v>1157</v>
      </c>
      <c r="C3835" s="27" t="s">
        <v>1065</v>
      </c>
      <c r="D3835" s="27" t="s">
        <v>1066</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1124</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236</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1151</v>
      </c>
      <c r="B3838" s="27" t="s">
        <v>1068</v>
      </c>
      <c r="C3838" s="27" t="s">
        <v>1114</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789</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12</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800</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1194</v>
      </c>
      <c r="B3842" s="27" t="s">
        <v>1064</v>
      </c>
      <c r="C3842" s="27" t="s">
        <v>1065</v>
      </c>
      <c r="D3842" s="27" t="s">
        <v>1066</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1204</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1182</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2000</v>
      </c>
      <c r="B3845" s="27" t="s">
        <v>1068</v>
      </c>
      <c r="C3845" s="27" t="s">
        <v>1117</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12</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1101</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1194</v>
      </c>
      <c r="B3848" s="27" t="s">
        <v>1092</v>
      </c>
      <c r="C3848" s="27" t="s">
        <v>1107</v>
      </c>
      <c r="D3848" s="27" t="s">
        <v>1066</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2280</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1084</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2154</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1101</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1813</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2281</v>
      </c>
      <c r="B3854" s="27" t="s">
        <v>1087</v>
      </c>
      <c r="C3854" s="27" t="s">
        <v>1083</v>
      </c>
      <c r="D3854" s="27" t="s">
        <v>1066</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1077</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row>
    <row r="3857" spans="1:12">
      <c r="A3857" s="20" t="s">
        <v>2282</v>
      </c>
    </row>
    <row r="3858" spans="1:12">
      <c r="A3858" s="20" t="s">
        <v>1079</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1164</v>
      </c>
      <c r="B3859" s="27" t="s">
        <v>1064</v>
      </c>
      <c r="C3859" s="27" t="s">
        <v>1065</v>
      </c>
      <c r="D3859" s="27" t="s">
        <v>1066</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2283</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1700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1075</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2284</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236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1151</v>
      </c>
      <c r="B3865" s="27" t="s">
        <v>1089</v>
      </c>
      <c r="C3865" s="27" t="s">
        <v>1114</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2285</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1075</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1349</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1188</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1164</v>
      </c>
      <c r="B3870" s="27" t="s">
        <v>1092</v>
      </c>
      <c r="C3870" s="27" t="s">
        <v>1065</v>
      </c>
      <c r="D3870" s="27" t="s">
        <v>1066</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2249</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1077</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row>
    <row r="3874" spans="1:12">
      <c r="A3874" s="20" t="s">
        <v>2286</v>
      </c>
    </row>
    <row r="3875" spans="1:12">
      <c r="A3875" s="20" t="s">
        <v>2255</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1314</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1394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808</v>
      </c>
      <c r="B3878" s="27" t="s">
        <v>1071</v>
      </c>
      <c r="C3878" s="27" t="s">
        <v>1117</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1084</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1094</v>
      </c>
      <c r="B3880" s="27" t="s">
        <v>1092</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1220</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1182</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2287</v>
      </c>
      <c r="B3883" s="27" t="s">
        <v>1087</v>
      </c>
      <c r="C3883" s="27" t="s">
        <v>1117</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1124</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1110</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1735</v>
      </c>
      <c r="B3886" s="27" t="s">
        <v>1089</v>
      </c>
      <c r="C3886" s="27" t="s">
        <v>1131</v>
      </c>
      <c r="D3886" s="27" t="s">
        <v>1066</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2288</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1077</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row>
    <row r="3890" spans="1:12">
      <c r="A3890" s="20" t="s">
        <v>2289</v>
      </c>
    </row>
    <row r="3891" spans="1:12">
      <c r="A3891" s="20" t="s">
        <v>785</v>
      </c>
      <c r="B3891" s="27" t="s">
        <v>1138</v>
      </c>
      <c r="C3891" s="27" t="s">
        <v>1131</v>
      </c>
      <c r="D3891" s="27" t="s">
        <v>1066</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1314</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1973</v>
      </c>
      <c r="B3893" s="27" t="s">
        <v>1113</v>
      </c>
      <c r="C3893" s="27" t="s">
        <v>1131</v>
      </c>
      <c r="D3893" s="27" t="s">
        <v>1066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1077</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1207</v>
      </c>
      <c r="B3895" s="27" t="s">
        <v>1068</v>
      </c>
      <c r="C3895" s="27" t="s">
        <v>1131</v>
      </c>
      <c r="D3895" s="27" t="s">
        <v>1066</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1084</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1565</v>
      </c>
      <c r="B3897" s="27" t="s">
        <v>1232</v>
      </c>
      <c r="C3897" s="27" t="s">
        <v>1107</v>
      </c>
      <c r="D3897" s="27" t="s">
        <v>1066</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1243</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1140</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1735</v>
      </c>
      <c r="B3900" s="27" t="s">
        <v>1138</v>
      </c>
      <c r="C3900" s="27" t="s">
        <v>1131</v>
      </c>
      <c r="D3900" s="27" t="s">
        <v>1066</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1869</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1314</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1641</v>
      </c>
      <c r="B3903" s="27" t="s">
        <v>1064</v>
      </c>
      <c r="C3903" s="27" t="s">
        <v>1069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1170</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2209</v>
      </c>
      <c r="B3905" s="27" t="s">
        <v>1157</v>
      </c>
      <c r="C3905" s="27" t="s">
        <v>1065</v>
      </c>
      <c r="D3905" s="27" t="s">
        <v>1066</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804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233</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12</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1164</v>
      </c>
      <c r="B3909" s="27" t="s">
        <v>1092</v>
      </c>
      <c r="C3909" s="27" t="s">
        <v>1065</v>
      </c>
      <c r="D3909" s="27" t="s">
        <v>1066</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1296</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1156</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1370</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1735</v>
      </c>
      <c r="B3913" s="27" t="s">
        <v>1087</v>
      </c>
      <c r="C3913" s="27" t="s">
        <v>1131</v>
      </c>
      <c r="D3913" s="27" t="s">
        <v>1066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1243</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1418</v>
      </c>
      <c r="B3915" s="27" t="s">
        <v>1138</v>
      </c>
      <c r="C3915" s="27" t="s">
        <v>1126</v>
      </c>
      <c r="D3915" s="27" t="s">
        <v>1066</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2290</v>
      </c>
      <c r="B3916" s="27" t="s">
        <v>1089</v>
      </c>
      <c r="C3916" s="27" t="s">
        <v>1128</v>
      </c>
      <c r="D3916" s="27" t="s">
        <v>1066</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12</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1349</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2291</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1194</v>
      </c>
      <c r="B3920" s="27" t="s">
        <v>1092</v>
      </c>
      <c r="C3920" s="27" t="s">
        <v>1065</v>
      </c>
      <c r="D3920" s="27" t="s">
        <v>1066</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2209</v>
      </c>
      <c r="B3921" s="27" t="s">
        <v>1087</v>
      </c>
      <c r="C3921" s="27" t="s">
        <v>1065</v>
      </c>
      <c r="D3921" s="27" t="s">
        <v>1066</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1075</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2292</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2209</v>
      </c>
      <c r="B3924" s="27" t="s">
        <v>1103</v>
      </c>
      <c r="C3924" s="27" t="s">
        <v>1065</v>
      </c>
      <c r="D3924" s="27" t="s">
        <v>1066</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1221</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1110</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2145</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2003</v>
      </c>
      <c r="B3928" s="27" t="s">
        <v>1068</v>
      </c>
      <c r="C3928" s="27" t="s">
        <v>1083</v>
      </c>
      <c r="D3928" s="27" t="s">
        <v>1066</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1075</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563</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1164</v>
      </c>
      <c r="B3931" s="27" t="s">
        <v>1087</v>
      </c>
      <c r="C3931" s="27" t="s">
        <v>1065</v>
      </c>
      <c r="D3931" s="27" t="s">
        <v>1066</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1329</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1077</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row>
    <row r="3935" spans="1:12">
      <c r="A3935" s="20" t="s">
        <v>2293</v>
      </c>
    </row>
    <row r="3936" spans="1:12">
      <c r="A3936" s="20" t="s">
        <v>1079</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1105</v>
      </c>
      <c r="B3937" s="27" t="s">
        <v>1064</v>
      </c>
      <c r="C3937" s="27" t="s">
        <v>1107</v>
      </c>
      <c r="D3937" s="27" t="s">
        <v>1066</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815</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1084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2294</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1105</v>
      </c>
      <c r="B3941" s="27" t="s">
        <v>1092</v>
      </c>
      <c r="C3941" s="27" t="s">
        <v>1107</v>
      </c>
      <c r="D3941" s="27" t="s">
        <v>1066</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1110</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1735</v>
      </c>
      <c r="B3943" s="27" t="s">
        <v>1087</v>
      </c>
      <c r="C3943" s="27" t="s">
        <v>1131</v>
      </c>
      <c r="D3943" s="27" t="s">
        <v>1066</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2291</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1084</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1094</v>
      </c>
      <c r="B3946" s="27" t="s">
        <v>1130</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1907</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2295</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1084</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1094</v>
      </c>
      <c r="B3950" s="27" t="s">
        <v>1092</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1221</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1820</v>
      </c>
      <c r="B3952" s="27" t="s">
        <v>1089</v>
      </c>
      <c r="C3952" s="27" t="s">
        <v>1126</v>
      </c>
      <c r="D3952" s="27" t="s">
        <v>1066</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2296</v>
      </c>
      <c r="B3953" s="27" t="s">
        <v>1068</v>
      </c>
      <c r="C3953" s="27" t="s">
        <v>1128</v>
      </c>
      <c r="D3953" s="27" t="s">
        <v>1066</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1158</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2297</v>
      </c>
      <c r="B3955" s="27" t="s">
        <v>1089</v>
      </c>
      <c r="C3955" s="27" t="s">
        <v>1074</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1093</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1110</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1986</v>
      </c>
      <c r="B3958" s="27" t="s">
        <v>1068</v>
      </c>
      <c r="C3958" s="27" t="s">
        <v>1083</v>
      </c>
      <c r="D3958" s="27" t="s">
        <v>1066</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1835</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1077</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row>
    <row r="3962" spans="1:12">
      <c r="A3962" s="20" t="s">
        <v>2298</v>
      </c>
    </row>
    <row r="3963" spans="1:12">
      <c r="A3963" s="20" t="s">
        <v>1172</v>
      </c>
      <c r="B3963" s="27" t="s">
        <v>1064</v>
      </c>
      <c r="C3963" s="27" t="s">
        <v>1126</v>
      </c>
      <c r="D3963" s="27" t="s">
        <v>1066</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1188</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2046</v>
      </c>
      <c r="B3965" s="27" t="s">
        <v>1071</v>
      </c>
      <c r="C3965" s="27" t="s">
        <v>1090</v>
      </c>
      <c r="D3965" s="27" t="s">
        <v>1066</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2299</v>
      </c>
      <c r="B3966" s="27" t="s">
        <v>1071</v>
      </c>
      <c r="C3966" s="27" t="s">
        <v>1074</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1077</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row>
    <row r="3969" spans="1:12">
      <c r="A3969" s="20" t="s">
        <v>2300</v>
      </c>
    </row>
    <row r="3970" spans="1:12">
      <c r="A3970" s="20" t="s">
        <v>1180</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1188</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1080</v>
      </c>
      <c r="B3972" s="27" t="s">
        <v>1064</v>
      </c>
      <c r="C3972" s="27" t="s">
        <v>1107</v>
      </c>
      <c r="D3972" s="27" t="s">
        <v>1066</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1084</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1565</v>
      </c>
      <c r="B3974" s="27" t="s">
        <v>1092</v>
      </c>
      <c r="C3974" s="27" t="s">
        <v>1107</v>
      </c>
      <c r="D3974" s="27" t="s">
        <v>1066</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1124</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1125</v>
      </c>
      <c r="B3976" s="27" t="s">
        <v>1089</v>
      </c>
      <c r="C3976" s="27" t="s">
        <v>1126</v>
      </c>
      <c r="D3976" s="27" t="s">
        <v>1066</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1986</v>
      </c>
      <c r="B3977" s="27" t="s">
        <v>1068</v>
      </c>
      <c r="C3977" s="27" t="s">
        <v>1128</v>
      </c>
      <c r="D3977" s="27" t="s">
        <v>1066</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141</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1726</v>
      </c>
      <c r="B3979" s="27" t="s">
        <v>1157</v>
      </c>
      <c r="C3979" s="27" t="s">
        <v>1117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2301</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1084</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1080</v>
      </c>
      <c r="B3982" s="27" t="s">
        <v>1068</v>
      </c>
      <c r="C3982" s="27" t="s">
        <v>1126</v>
      </c>
      <c r="D3982" s="27" t="s">
        <v>1066</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1084</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1565</v>
      </c>
      <c r="B3984" s="27" t="s">
        <v>1103</v>
      </c>
      <c r="C3984" s="27" t="s">
        <v>1107</v>
      </c>
      <c r="D3984" s="27" t="s">
        <v>1066</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1105</v>
      </c>
      <c r="B3985" s="27" t="s">
        <v>1130</v>
      </c>
      <c r="C3985" s="27" t="s">
        <v>1107</v>
      </c>
      <c r="D3985" s="27" t="s">
        <v>1066</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1221</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2041</v>
      </c>
      <c r="B3987" s="27" t="s">
        <v>1089</v>
      </c>
      <c r="C3987" s="27" t="s">
        <v>1090</v>
      </c>
      <c r="D3987" s="27" t="s">
        <v>1066</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2302</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1075</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1481</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1181</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1080</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2303</v>
      </c>
      <c r="B3993" s="27" t="s">
        <v>1064</v>
      </c>
      <c r="C3993" s="27" t="s">
        <v>1083</v>
      </c>
      <c r="D3993" s="27" t="s">
        <v>1066</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1797</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823</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2304</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1397</v>
      </c>
      <c r="B3997" s="27" t="s">
        <v>1068</v>
      </c>
      <c r="C3997" s="27" t="s">
        <v>1126</v>
      </c>
      <c r="D3997" s="27" t="s">
        <v>1066</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2305</v>
      </c>
      <c r="B3998" s="27" t="s">
        <v>1071</v>
      </c>
      <c r="C3998" s="27" t="s">
        <v>1128</v>
      </c>
      <c r="D3998" s="27" t="s">
        <v>1066</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1077</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row>
    <row r="4001" spans="1:12">
      <c r="A4001" s="20" t="s">
        <v>2306</v>
      </c>
    </row>
    <row r="4002" spans="1:12">
      <c r="A4002" s="20" t="s">
        <v>2255</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1314</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1120</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2304</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1194</v>
      </c>
      <c r="B4006" s="27" t="s">
        <v>1064</v>
      </c>
      <c r="C4006" s="27" t="s">
        <v>1065</v>
      </c>
      <c r="D4006" s="27" t="s">
        <v>1066</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1243</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2307</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1127</v>
      </c>
      <c r="B4009" s="27" t="s">
        <v>1071</v>
      </c>
      <c r="C4009" s="27" t="s">
        <v>1149</v>
      </c>
      <c r="D4009" s="27" t="s">
        <v>1066</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1418</v>
      </c>
      <c r="B4010" s="27" t="s">
        <v>1089</v>
      </c>
      <c r="C4010" s="27" t="s">
        <v>1126</v>
      </c>
      <c r="D4010" s="27" t="s">
        <v>1066</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1245</v>
      </c>
      <c r="B4011" s="27" t="s">
        <v>1068</v>
      </c>
      <c r="C4011" s="27" t="s">
        <v>1128</v>
      </c>
      <c r="D4011" s="27" t="s">
        <v>1066</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1072</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1125</v>
      </c>
      <c r="B4013" s="27" t="s">
        <v>1068</v>
      </c>
      <c r="C4013" s="27" t="s">
        <v>1126</v>
      </c>
      <c r="D4013" s="27" t="s">
        <v>1066</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1924</v>
      </c>
      <c r="B4014" s="27" t="s">
        <v>1071</v>
      </c>
      <c r="C4014" s="27" t="s">
        <v>1128</v>
      </c>
      <c r="D4014" s="27" t="s">
        <v>1066</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2308</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157</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1084</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1293</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1188</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1080</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1725</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2309</v>
      </c>
      <c r="B4022" s="27" t="s">
        <v>1092</v>
      </c>
      <c r="C4022" s="27" t="s">
        <v>1083</v>
      </c>
      <c r="D4022" s="27" t="s">
        <v>1066</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1084</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1162</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1565</v>
      </c>
      <c r="B4025" s="27" t="s">
        <v>1092</v>
      </c>
      <c r="C4025" s="27" t="s">
        <v>1107</v>
      </c>
      <c r="D4025" s="27" t="s">
        <v>1066</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1317</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2310</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1321</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row>
    <row r="4030" spans="1:12">
      <c r="A4030" s="20" t="s">
        <v>1306</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2311</v>
      </c>
    </row>
    <row r="4032" spans="1:12">
      <c r="A4032" s="20" t="s">
        <v>785</v>
      </c>
      <c r="B4032" s="27" t="s">
        <v>1071</v>
      </c>
      <c r="C4032" s="27" t="s">
        <v>1131</v>
      </c>
      <c r="D4032" s="27" t="s">
        <v>1066</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1314</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1207</v>
      </c>
      <c r="B4034" s="27" t="s">
        <v>1157</v>
      </c>
      <c r="C4034" s="27" t="s">
        <v>1131</v>
      </c>
      <c r="D4034" s="27" t="s">
        <v>1066</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1105</v>
      </c>
      <c r="B4035" s="27" t="s">
        <v>1064</v>
      </c>
      <c r="C4035" s="27" t="s">
        <v>1107</v>
      </c>
      <c r="D4035" s="27" t="s">
        <v>1066</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157</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1239</v>
      </c>
      <c r="B4037" s="27" t="s">
        <v>1157</v>
      </c>
      <c r="C4037" s="27" t="s">
        <v>1107</v>
      </c>
      <c r="D4037" s="27" t="s">
        <v>1066</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2034</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1152</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1139</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1225</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2243</v>
      </c>
      <c r="B4042" s="27" t="s">
        <v>1071</v>
      </c>
      <c r="C4042" s="27" t="s">
        <v>1117</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2312</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1075</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1164</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1296</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1182</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1546</v>
      </c>
      <c r="B4048" s="27" t="s">
        <v>1092</v>
      </c>
      <c r="C4048" s="27" t="s">
        <v>1117</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2313</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2314</v>
      </c>
      <c r="B4050" s="27" t="s">
        <v>1089</v>
      </c>
      <c r="C4050" s="27" t="s">
        <v>1074</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1124</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1450</v>
      </c>
      <c r="B4052" s="27" t="s">
        <v>1068</v>
      </c>
      <c r="C4052" s="27" t="s">
        <v>1069</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1080</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1315</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2315</v>
      </c>
      <c r="B4055" s="27" t="s">
        <v>1232</v>
      </c>
      <c r="C4055" s="27" t="s">
        <v>1131</v>
      </c>
      <c r="D4055" s="27" t="s">
        <v>1066</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1315</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1221</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1140</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2316</v>
      </c>
      <c r="B4059" s="27" t="s">
        <v>1138</v>
      </c>
      <c r="C4059" s="27" t="s">
        <v>1083</v>
      </c>
      <c r="D4059" s="27" t="s">
        <v>1066</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2317</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1077</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row>
    <row r="4063" spans="1:12">
      <c r="A4063" s="20" t="s">
        <v>2318</v>
      </c>
    </row>
    <row r="4064" spans="1:12">
      <c r="A4064" s="20" t="s">
        <v>1155</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1296</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2319</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2309</v>
      </c>
      <c r="B4067" s="27" t="s">
        <v>1064</v>
      </c>
      <c r="C4067" s="27" t="s">
        <v>1074</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1075</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1101</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1127</v>
      </c>
      <c r="B4070" s="27" t="s">
        <v>1068</v>
      </c>
      <c r="C4070" s="27" t="s">
        <v>1083</v>
      </c>
      <c r="D4070" s="27" t="s">
        <v>1066</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1722</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2320</v>
      </c>
      <c r="B4072" s="27" t="s">
        <v>1089</v>
      </c>
      <c r="C4072" s="27" t="s">
        <v>1083</v>
      </c>
      <c r="D4072" s="27" t="s">
        <v>1066</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2321</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1221</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2322</v>
      </c>
      <c r="B4075" s="27" t="s">
        <v>1071</v>
      </c>
      <c r="C4075" s="27" t="s">
        <v>1131</v>
      </c>
      <c r="D4075" s="27" t="s">
        <v>1066</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1084</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2323</v>
      </c>
      <c r="B4077" s="27" t="s">
        <v>1068</v>
      </c>
      <c r="C4077" s="27" t="s">
        <v>1131</v>
      </c>
      <c r="D4077" s="27" t="s">
        <v>1066</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1084</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2074</v>
      </c>
      <c r="B4079" s="27" t="s">
        <v>1068</v>
      </c>
      <c r="C4079" s="27" t="s">
        <v>1131</v>
      </c>
      <c r="D4079" s="27" t="s">
        <v>1066</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2324</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row>
    <row r="4082" spans="1:12">
      <c r="A4082" s="20" t="s">
        <v>2325</v>
      </c>
    </row>
    <row r="4083" spans="1:12">
      <c r="A4083" s="20" t="s">
        <v>1308</v>
      </c>
      <c r="B4083" s="27" t="s">
        <v>1064</v>
      </c>
      <c r="C4083" s="27" t="s">
        <v>1065</v>
      </c>
      <c r="D4083" s="27" t="s">
        <v>1066</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2301</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1353</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1075</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1309</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1110</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2326</v>
      </c>
      <c r="B4089" s="27" t="s">
        <v>1087</v>
      </c>
      <c r="C4089" s="27" t="s">
        <v>1083</v>
      </c>
      <c r="D4089" s="27" t="s">
        <v>1066</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2327</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1075</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1302</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2308</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1084</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1163</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2132</v>
      </c>
      <c r="B4096" s="27" t="s">
        <v>1130</v>
      </c>
      <c r="C4096" s="27" t="s">
        <v>1126</v>
      </c>
      <c r="D4096" s="27" t="s">
        <v>1066</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1067</v>
      </c>
      <c r="B4097" s="27" t="s">
        <v>1138</v>
      </c>
      <c r="C4097" s="27" t="s">
        <v>1069</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1094</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2328</v>
      </c>
      <c r="B4099" s="27" t="s">
        <v>1089</v>
      </c>
      <c r="C4099" s="27" t="s">
        <v>1131</v>
      </c>
      <c r="D4099" s="27" t="s">
        <v>1066</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2329</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1077</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row>
    <row r="4103" spans="1:12">
      <c r="A4103" s="20" t="s">
        <v>2330</v>
      </c>
    </row>
    <row r="4104" spans="1:12">
      <c r="A4104" s="20" t="s">
        <v>1308</v>
      </c>
      <c r="B4104" s="27" t="s">
        <v>1064</v>
      </c>
      <c r="C4104" s="27" t="s">
        <v>1065</v>
      </c>
      <c r="D4104" s="27" t="s">
        <v>1066</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2331</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1530</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1077</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row>
    <row r="4109" spans="1:12">
      <c r="A4109" s="20" t="s">
        <v>2332</v>
      </c>
    </row>
    <row r="4110" spans="1:12">
      <c r="A4110" s="20" t="s">
        <v>2033</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1194</v>
      </c>
      <c r="B4111" s="27" t="s">
        <v>1064</v>
      </c>
      <c r="C4111" s="27" t="s">
        <v>1065</v>
      </c>
      <c r="D4111" s="27" t="s">
        <v>1066</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1084</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1101</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2333</v>
      </c>
      <c r="B4114" s="27" t="s">
        <v>1092</v>
      </c>
      <c r="C4114" s="27" t="s">
        <v>1083</v>
      </c>
      <c r="D4114" s="27" t="s">
        <v>1066</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1075</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2334</v>
      </c>
      <c r="B4116" s="27" t="s">
        <v>1089</v>
      </c>
      <c r="C4116" s="27" t="s">
        <v>1131</v>
      </c>
      <c r="D4116" s="27" t="s">
        <v>1066</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157</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17</v>
      </c>
      <c r="B4118" s="27" t="s">
        <v>1087</v>
      </c>
      <c r="C4118" s="27" t="s">
        <v>1069</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1221</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1101</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1399</v>
      </c>
      <c r="B4121" s="27" t="s">
        <v>1089</v>
      </c>
      <c r="C4121" s="27" t="s">
        <v>1083</v>
      </c>
      <c r="D4121" s="27" t="s">
        <v>1066</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2229</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1077</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row>
    <row r="4125" spans="1:12">
      <c r="A4125" s="20" t="s">
        <v>2335</v>
      </c>
    </row>
    <row r="4126" spans="1:12">
      <c r="A4126" s="20" t="s">
        <v>2336</v>
      </c>
      <c r="B4126" s="27" t="s">
        <v>1064</v>
      </c>
      <c r="C4126" s="27" t="s">
        <v>1126</v>
      </c>
      <c r="D4126" s="27" t="s">
        <v>1066</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1188</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1182</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2337</v>
      </c>
      <c r="B4129" s="27" t="s">
        <v>1071</v>
      </c>
      <c r="C4129" s="27" t="s">
        <v>1117</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1197</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571</v>
      </c>
      <c r="B4131" s="27" t="s">
        <v>1071</v>
      </c>
      <c r="C4131" s="27" t="s">
        <v>1117</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1084</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1101</v>
      </c>
      <c r="B4133" s="27" t="s">
        <v>1130</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2229</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1625</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1077</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row>
    <row r="4138" spans="1:12">
      <c r="A4138" s="20" t="s">
        <v>2338</v>
      </c>
    </row>
    <row r="4139" spans="1:12">
      <c r="A4139" s="20" t="s">
        <v>1172</v>
      </c>
      <c r="B4139" s="27" t="s">
        <v>1092</v>
      </c>
      <c r="C4139" s="27" t="s">
        <v>1126</v>
      </c>
      <c r="D4139" s="27" t="s">
        <v>1066</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1188</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141</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1134</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2239</v>
      </c>
      <c r="B4143" s="27" t="s">
        <v>1064</v>
      </c>
      <c r="C4143" s="27" t="s">
        <v>1117</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2038</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1084</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1298</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1164</v>
      </c>
      <c r="B4147" s="27" t="s">
        <v>1106</v>
      </c>
      <c r="C4147" s="27" t="s">
        <v>1065</v>
      </c>
      <c r="D4147" s="27" t="s">
        <v>1066</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1188</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1163</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141</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2339</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2003</v>
      </c>
      <c r="B4152" s="27" t="s">
        <v>1138</v>
      </c>
      <c r="C4152" s="27" t="s">
        <v>1117</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1075</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1266</v>
      </c>
      <c r="B4154" s="27" t="s">
        <v>1138</v>
      </c>
      <c r="C4154" s="27" t="s">
        <v>1069</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2178</v>
      </c>
      <c r="B4155" s="27" t="s">
        <v>1130</v>
      </c>
      <c r="C4155" s="27" t="s">
        <v>1114</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157</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1125</v>
      </c>
      <c r="B4157" s="27" t="s">
        <v>1103</v>
      </c>
      <c r="C4157" s="27" t="s">
        <v>1126</v>
      </c>
      <c r="D4157" s="27" t="s">
        <v>1066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2340</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1084</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1229</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1188</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1404</v>
      </c>
      <c r="B4162" s="27" t="s">
        <v>1071</v>
      </c>
      <c r="C4162" s="27" t="s">
        <v>1069</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1084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1094</v>
      </c>
      <c r="B4164" s="27" t="s">
        <v>1092</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1225</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2341</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2003</v>
      </c>
      <c r="B4167" s="27" t="s">
        <v>1087</v>
      </c>
      <c r="C4167" s="27" t="s">
        <v>1117</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2342</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1265</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1084</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141</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2343</v>
      </c>
      <c r="B4172" s="27" t="s">
        <v>1130</v>
      </c>
      <c r="C4172" s="27" t="s">
        <v>1117</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1124</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2041</v>
      </c>
      <c r="B4174" s="27" t="s">
        <v>1089</v>
      </c>
      <c r="C4174" s="27" t="s">
        <v>1090</v>
      </c>
      <c r="D4174" s="27" t="s">
        <v>1066</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1533</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1077</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row>
    <row r="4178" spans="1:12">
      <c r="A4178" s="20" t="s">
        <v>2344</v>
      </c>
    </row>
    <row r="4179" spans="1:12">
      <c r="A4179" s="20" t="s">
        <v>2255</v>
      </c>
      <c r="B4179" s="27" t="s">
        <v>1071</v>
      </c>
      <c r="C4179" s="27" t="s">
        <v>1131</v>
      </c>
      <c r="D4179" s="27" t="s">
        <v>1066</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1314</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row>
    <row r="4182" spans="1:12">
      <c r="A4182" s="20" t="s">
        <v>2345</v>
      </c>
    </row>
    <row r="4183" spans="1:12">
      <c r="A4183" s="20" t="s">
        <v>1372</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2346</v>
      </c>
      <c r="B4184" s="27" t="s">
        <v>1068</v>
      </c>
      <c r="C4184" s="27" t="s">
        <v>1090</v>
      </c>
      <c r="D4184" s="27" t="s">
        <v>1066</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1611</v>
      </c>
      <c r="B4185" s="27" t="s">
        <v>1071</v>
      </c>
      <c r="C4185" s="27" t="s">
        <v>1074</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1314</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2347</v>
      </c>
      <c r="B4187" s="27" t="s">
        <v>1068</v>
      </c>
      <c r="C4187" s="27" t="s">
        <v>1074</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1075</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2348</v>
      </c>
      <c r="B4189" s="27" t="s">
        <v>1089</v>
      </c>
      <c r="C4189" s="27" t="s">
        <v>1074</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1162</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17</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1317</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1221</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1080</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1116</v>
      </c>
      <c r="B4195" s="27" t="s">
        <v>1071</v>
      </c>
      <c r="C4195" s="27" t="s">
        <v>1083</v>
      </c>
      <c r="D4195" s="27" t="s">
        <v>1066</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1067</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861</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1321</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row>
    <row r="4200" spans="1:12">
      <c r="A4200" s="20" t="s">
        <v>2349</v>
      </c>
    </row>
    <row r="4201" spans="1:12">
      <c r="A4201" s="20" t="s">
        <v>785</v>
      </c>
      <c r="B4201" s="27" t="s">
        <v>1071</v>
      </c>
      <c r="C4201" s="27" t="s">
        <v>1131</v>
      </c>
      <c r="D4201" s="27" t="s">
        <v>1066</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1314</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1207</v>
      </c>
      <c r="B4203" s="27" t="s">
        <v>1071</v>
      </c>
      <c r="C4203" s="27" t="s">
        <v>1131</v>
      </c>
      <c r="D4203" s="27" t="s">
        <v>1066</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1105</v>
      </c>
      <c r="B4204" s="27" t="s">
        <v>1130</v>
      </c>
      <c r="C4204" s="27" t="s">
        <v>1107</v>
      </c>
      <c r="D4204" s="27" t="s">
        <v>1066</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282</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1950</v>
      </c>
      <c r="B4206" s="27" t="s">
        <v>1103</v>
      </c>
      <c r="C4206" s="27" t="s">
        <v>1107</v>
      </c>
      <c r="D4206" s="27" t="s">
        <v>1066</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1418</v>
      </c>
      <c r="B4207" s="27" t="s">
        <v>1106</v>
      </c>
      <c r="C4207" s="27" t="s">
        <v>1126</v>
      </c>
      <c r="D4207" s="27" t="s">
        <v>1066</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2350</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1084</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2351</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1102</v>
      </c>
      <c r="B4211" s="27" t="s">
        <v>1247</v>
      </c>
      <c r="C4211" s="27" t="s">
        <v>1074</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1084</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1101</v>
      </c>
      <c r="B4213" s="27" t="s">
        <v>1505</v>
      </c>
      <c r="C4213" s="27" t="s">
        <v>1107</v>
      </c>
      <c r="D4213" s="27" t="s">
        <v>1066</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1190</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2026</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1121</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1084</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1105</v>
      </c>
      <c r="B4218" s="27" t="s">
        <v>1106</v>
      </c>
      <c r="C4218" s="27" t="s">
        <v>1107</v>
      </c>
      <c r="D4218" s="27" t="s">
        <v>1066</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157</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86</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1151</v>
      </c>
      <c r="B4221" s="27" t="s">
        <v>1675</v>
      </c>
      <c r="C4221" s="27" t="s">
        <v>1114</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1067</v>
      </c>
      <c r="B4222" s="27" t="s">
        <v>1675</v>
      </c>
      <c r="C4222" s="27" t="s">
        <v>1069</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1140</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2352</v>
      </c>
      <c r="B4224" s="27" t="s">
        <v>1113</v>
      </c>
      <c r="C4224" s="27" t="s">
        <v>1083</v>
      </c>
      <c r="D4224" s="27" t="s">
        <v>1066</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1075</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1349</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86</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1151</v>
      </c>
      <c r="B4228" s="27" t="s">
        <v>1675</v>
      </c>
      <c r="C4228" s="27" t="s">
        <v>1114</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1067</v>
      </c>
      <c r="B4229" s="27" t="s">
        <v>1675</v>
      </c>
      <c r="C4229" s="27" t="s">
        <v>1069</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1140</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2353</v>
      </c>
      <c r="B4231" s="27" t="s">
        <v>1113</v>
      </c>
      <c r="C4231" s="27" t="s">
        <v>1083</v>
      </c>
      <c r="D4231" s="27" t="s">
        <v>1066</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1077</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row>
    <row r="4234" spans="1:12">
      <c r="A4234" s="20" t="s">
        <v>2354</v>
      </c>
    </row>
    <row r="4235" spans="1:12">
      <c r="A4235" s="20" t="s">
        <v>1172</v>
      </c>
      <c r="B4235" s="27" t="s">
        <v>1064</v>
      </c>
      <c r="C4235" s="27" t="s">
        <v>1126</v>
      </c>
      <c r="D4235" s="27" t="s">
        <v>1066</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1188</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1350</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1101</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1592</v>
      </c>
      <c r="B4239" s="27" t="s">
        <v>1071</v>
      </c>
      <c r="C4239" s="27" t="s">
        <v>1083</v>
      </c>
      <c r="D4239" s="27" t="s">
        <v>1066</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1084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1101</v>
      </c>
      <c r="B4241" s="27" t="s">
        <v>1092</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1239</v>
      </c>
      <c r="B4242" s="27" t="s">
        <v>1087</v>
      </c>
      <c r="C4242" s="27" t="s">
        <v>1107</v>
      </c>
      <c r="D4242" s="27" t="s">
        <v>1066</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1101</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2355</v>
      </c>
      <c r="B4244" s="27" t="s">
        <v>1087</v>
      </c>
      <c r="C4244" s="27" t="s">
        <v>1083</v>
      </c>
      <c r="D4244" s="27" t="s">
        <v>1066</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2356</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1265</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1084</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1101</v>
      </c>
      <c r="B4248" s="27" t="s">
        <v>1087</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1105</v>
      </c>
      <c r="B4249" s="27" t="s">
        <v>1092</v>
      </c>
      <c r="C4249" s="27" t="s">
        <v>1107</v>
      </c>
      <c r="D4249" s="27" t="s">
        <v>1066</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2357</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129</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1077</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row>
    <row r="4254" spans="1:12">
      <c r="A4254" s="20" t="s">
        <v>2358</v>
      </c>
    </row>
    <row r="4255" spans="1:12">
      <c r="A4255" s="20" t="s">
        <v>1079</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1084</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605</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1194</v>
      </c>
      <c r="B4258" s="27" t="s">
        <v>1092</v>
      </c>
      <c r="C4258" s="27" t="s">
        <v>1065</v>
      </c>
      <c r="D4258" s="27" t="s">
        <v>1066</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1084</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1947</v>
      </c>
      <c r="B4260" s="27" t="s">
        <v>1087</v>
      </c>
      <c r="C4260" s="27" t="s">
        <v>1074</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1084</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1193</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1450</v>
      </c>
      <c r="B4263" s="27" t="s">
        <v>1130</v>
      </c>
      <c r="C4263" s="27" t="s">
        <v>1069</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1774</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2250</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1084</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1075</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1080</v>
      </c>
      <c r="B4268" s="27" t="s">
        <v>1130</v>
      </c>
      <c r="C4268" s="27" t="s">
        <v>1126</v>
      </c>
      <c r="D4268" s="27" t="s">
        <v>1066</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1188</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141</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2359</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686</v>
      </c>
      <c r="B4272" s="27" t="s">
        <v>1068</v>
      </c>
      <c r="C4272" s="27" t="s">
        <v>1117</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1084</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2147</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1080</v>
      </c>
      <c r="B4275" s="27" t="s">
        <v>1064</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1867</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872</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1077</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row>
    <row r="4280" spans="1:12">
      <c r="A4280" s="20" t="s">
        <v>2360</v>
      </c>
    </row>
    <row r="4281" spans="1:12">
      <c r="A4281" s="20" t="s">
        <v>1079</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2361</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1296</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1164</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2015</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2362</v>
      </c>
      <c r="B4286" s="27" t="s">
        <v>1157</v>
      </c>
      <c r="C4286" s="27" t="s">
        <v>1074</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1196</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1891</v>
      </c>
      <c r="B4288" s="27" t="s">
        <v>1068</v>
      </c>
      <c r="C4288" s="27" t="s">
        <v>1074</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1084</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1075</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1105</v>
      </c>
      <c r="B4291" s="27" t="s">
        <v>1232</v>
      </c>
      <c r="C4291" s="27" t="s">
        <v>1107</v>
      </c>
      <c r="D4291" s="27" t="s">
        <v>1066</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282</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1895</v>
      </c>
      <c r="B4293" s="27" t="s">
        <v>1089</v>
      </c>
      <c r="C4293" s="27" t="s">
        <v>1074</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1084</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1101</v>
      </c>
      <c r="B4295" s="27" t="s">
        <v>1232</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1084</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1815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1084</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1193</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1147</v>
      </c>
      <c r="B4300" s="27" t="s">
        <v>1675</v>
      </c>
      <c r="C4300" s="27" t="s">
        <v>1126</v>
      </c>
      <c r="D4300" s="27" t="s">
        <v>1066</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2363</v>
      </c>
      <c r="B4301" s="27" t="s">
        <v>1106</v>
      </c>
      <c r="C4301" s="27" t="s">
        <v>1128</v>
      </c>
      <c r="D4301" s="27" t="s">
        <v>1066</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1969</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1084</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1101</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2364</v>
      </c>
      <c r="B4305" s="27" t="s">
        <v>1247</v>
      </c>
      <c r="C4305" s="27" t="s">
        <v>1083</v>
      </c>
      <c r="D4305" s="27" t="s">
        <v>1066</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1124</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1165</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2365</v>
      </c>
      <c r="B4308" s="27" t="s">
        <v>1113</v>
      </c>
      <c r="C4308" s="27" t="s">
        <v>1168</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2236</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1084</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2135</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2366</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1233</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1077</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row>
    <row r="4316" spans="1:12">
      <c r="A4316" s="20" t="s">
        <v>2367</v>
      </c>
    </row>
    <row r="4317" spans="1:12">
      <c r="A4317" s="20" t="s">
        <v>1079</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1164</v>
      </c>
      <c r="B4318" s="27" t="s">
        <v>1064</v>
      </c>
      <c r="C4318" s="27" t="s">
        <v>1065</v>
      </c>
      <c r="D4318" s="27" t="s">
        <v>1066</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1202</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1204</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1140</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2368</v>
      </c>
      <c r="B4322" s="27" t="s">
        <v>1071</v>
      </c>
      <c r="C4322" s="27" t="s">
        <v>1083</v>
      </c>
      <c r="D4322" s="27" t="s">
        <v>1066</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1084</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1193</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1164</v>
      </c>
      <c r="B4325" s="27" t="s">
        <v>1092</v>
      </c>
      <c r="C4325" s="27" t="s">
        <v>1065</v>
      </c>
      <c r="D4325" s="27" t="s">
        <v>1066</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1653</v>
      </c>
      <c r="B4326" s="27" t="s">
        <v>1087</v>
      </c>
      <c r="C4326" s="27" t="s">
        <v>1069</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278</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1084</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1686</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1349</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2147</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1348</v>
      </c>
      <c r="B4332" s="27" t="s">
        <v>1130</v>
      </c>
      <c r="C4332" s="27" t="s">
        <v>1069</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1182</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2369</v>
      </c>
      <c r="B4334" s="27" t="s">
        <v>1103</v>
      </c>
      <c r="C4334" s="27" t="s">
        <v>1117</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1988</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1077</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row>
    <row r="4338" spans="1:12">
      <c r="A4338" s="20" t="s">
        <v>2370</v>
      </c>
    </row>
    <row r="4339" spans="1:12">
      <c r="A4339" s="20" t="s">
        <v>2371</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1136</v>
      </c>
      <c r="B4340" s="27" t="s">
        <v>1068</v>
      </c>
      <c r="C4340" s="27" t="s">
        <v>1069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1227</v>
      </c>
      <c r="B4341" s="27" t="s">
        <v>1071</v>
      </c>
      <c r="C4341" s="27" t="s">
        <v>1074</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282</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1105</v>
      </c>
      <c r="B4343" s="27" t="s">
        <v>1064</v>
      </c>
      <c r="C4343" s="27" t="s">
        <v>1107</v>
      </c>
      <c r="D4343" s="27" t="s">
        <v>1066</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1182</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2287</v>
      </c>
      <c r="B4345" s="27" t="s">
        <v>1157</v>
      </c>
      <c r="C4345" s="27" t="s">
        <v>1117</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1077</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row>
    <row r="4348" spans="1:12">
      <c r="A4348" s="20" t="s">
        <v>2372</v>
      </c>
    </row>
    <row r="4349" spans="1:12">
      <c r="A4349" s="20" t="s">
        <v>2255</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1314</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2373</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1094</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1665</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1648</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2108</v>
      </c>
      <c r="B4355" s="27" t="s">
        <v>1071</v>
      </c>
      <c r="C4355" s="27" t="s">
        <v>1083</v>
      </c>
      <c r="D4355" s="27" t="s">
        <v>1066</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1084</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1188</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2132</v>
      </c>
      <c r="B4358" s="27" t="s">
        <v>1064</v>
      </c>
      <c r="C4358" s="27" t="s">
        <v>1126</v>
      </c>
      <c r="D4358" s="27" t="s">
        <v>1066</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1080</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2374</v>
      </c>
      <c r="B4360" s="27" t="s">
        <v>1071</v>
      </c>
      <c r="C4360" s="27" t="s">
        <v>1083</v>
      </c>
      <c r="D4360" s="27" t="s">
        <v>1066</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1084</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1080</v>
      </c>
      <c r="B4362" s="27" t="s">
        <v>1092</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1194</v>
      </c>
      <c r="B4363" s="27" t="s">
        <v>1092</v>
      </c>
      <c r="C4363" s="27" t="s">
        <v>1065</v>
      </c>
      <c r="D4363" s="27" t="s">
        <v>1066</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2253</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1321</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row>
    <row r="4367" spans="1:12">
      <c r="A4367" s="20" t="s">
        <v>2375</v>
      </c>
    </row>
    <row r="4368" spans="1:12">
      <c r="A4368" s="20" t="s">
        <v>785</v>
      </c>
      <c r="B4368" s="27" t="s">
        <v>1092</v>
      </c>
      <c r="C4368" s="27" t="s">
        <v>1131</v>
      </c>
      <c r="D4368" s="27" t="s">
        <v>1066</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1314</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1394</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2376</v>
      </c>
      <c r="B4371" s="27" t="s">
        <v>1064</v>
      </c>
      <c r="C4371" s="27" t="s">
        <v>1117</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1188</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1080</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2377</v>
      </c>
      <c r="B4374" s="27" t="s">
        <v>1071</v>
      </c>
      <c r="C4374" s="27" t="s">
        <v>1083</v>
      </c>
      <c r="D4374" s="27" t="s">
        <v>1066</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1077</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row>
    <row r="4377" spans="1:12">
      <c r="A4377" s="20" t="s">
        <v>2378</v>
      </c>
    </row>
    <row r="4378" spans="1:12">
      <c r="A4378" s="20" t="s">
        <v>1172</v>
      </c>
      <c r="B4378" s="27" t="s">
        <v>1064</v>
      </c>
      <c r="C4378" s="27" t="s">
        <v>1107</v>
      </c>
      <c r="D4378" s="27" t="s">
        <v>1066</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1202</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1164</v>
      </c>
      <c r="B4380" s="27" t="s">
        <v>1064</v>
      </c>
      <c r="C4380" s="27" t="s">
        <v>1065</v>
      </c>
      <c r="D4380" s="27" t="s">
        <v>1066</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1748</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2154</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1101</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2379</v>
      </c>
      <c r="B4384" s="27" t="s">
        <v>1071</v>
      </c>
      <c r="C4384" s="27" t="s">
        <v>1083</v>
      </c>
      <c r="D4384" s="27" t="s">
        <v>1066</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2380</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1084</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1298</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1101</v>
      </c>
      <c r="B4388" s="27" t="s">
        <v>1092</v>
      </c>
      <c r="C4388" s="27" t="s">
        <v>1126</v>
      </c>
      <c r="D4388" s="27" t="s">
        <v>1066</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1766</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1164</v>
      </c>
      <c r="B4390" s="27" t="s">
        <v>1087</v>
      </c>
      <c r="C4390" s="27" t="s">
        <v>1065</v>
      </c>
      <c r="D4390" s="27" t="s">
        <v>1066</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2034</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1162</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1156</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1134</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1077</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row>
    <row r="4397" spans="1:12">
      <c r="A4397" s="20" t="s">
        <v>2381</v>
      </c>
    </row>
    <row r="4398" spans="1:12">
      <c r="A4398" s="20" t="s">
        <v>1372</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1140</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1932</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2382</v>
      </c>
      <c r="B4401" s="27" t="s">
        <v>1071</v>
      </c>
      <c r="C4401" s="27" t="s">
        <v>1083</v>
      </c>
      <c r="D4401" s="27" t="s">
        <v>1066</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1296</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1164</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1499</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2383</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1891</v>
      </c>
      <c r="B4406" s="27" t="s">
        <v>1064</v>
      </c>
      <c r="C4406" s="27" t="s">
        <v>1074</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1077</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row>
    <row r="4409" spans="1:12">
      <c r="A4409" s="20" t="s">
        <v>2384</v>
      </c>
    </row>
    <row r="4410" spans="1:12">
      <c r="A4410" s="20" t="s">
        <v>2033</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1194</v>
      </c>
      <c r="B4411" s="27" t="s">
        <v>1064</v>
      </c>
      <c r="C4411" s="27" t="s">
        <v>1065</v>
      </c>
      <c r="D4411" s="27" t="s">
        <v>1066</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1084</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1105</v>
      </c>
      <c r="B4413" s="27" t="s">
        <v>1092</v>
      </c>
      <c r="C4413" s="27" t="s">
        <v>1107</v>
      </c>
      <c r="D4413" s="27" t="s">
        <v>1066</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2253</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1147</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2385</v>
      </c>
      <c r="B4416" s="27" t="s">
        <v>1130</v>
      </c>
      <c r="C4416" s="27" t="s">
        <v>1149</v>
      </c>
      <c r="D4416" s="27" t="s">
        <v>1066</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1152</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1162</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1774</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1163</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1125</v>
      </c>
      <c r="B4421" s="27" t="s">
        <v>1130</v>
      </c>
      <c r="C4421" s="27" t="s">
        <v>1126</v>
      </c>
      <c r="D4421" s="27" t="s">
        <v>1066</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1084</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1298</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1164</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1296</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1101</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2386</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2290</v>
      </c>
      <c r="B4428" s="27" t="s">
        <v>1130</v>
      </c>
      <c r="C4428" s="27" t="s">
        <v>1083</v>
      </c>
      <c r="D4428" s="27" t="s">
        <v>1066</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1084</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1080</v>
      </c>
      <c r="B4430" s="27" t="s">
        <v>1092</v>
      </c>
      <c r="C4430" s="27" t="s">
        <v>1126</v>
      </c>
      <c r="D4430" s="27" t="s">
        <v>1066</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1188</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141</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2387</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1884</v>
      </c>
      <c r="B4434" s="27" t="s">
        <v>1157</v>
      </c>
      <c r="C4434" s="27" t="s">
        <v>1117</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1077</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row>
    <row r="4437" spans="1:12">
      <c r="A4437" s="20" t="s">
        <v>2388</v>
      </c>
    </row>
    <row r="4438" spans="1:12">
      <c r="A4438" s="20" t="s">
        <v>1155</v>
      </c>
      <c r="B4438" s="27" t="s">
        <v>1064</v>
      </c>
      <c r="C4438" s="27" t="s">
        <v>1065</v>
      </c>
      <c r="D4438" s="27" t="s">
        <v>1066</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1296</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1225</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2389</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2390</v>
      </c>
      <c r="B4442" s="27" t="s">
        <v>1157</v>
      </c>
      <c r="C4442" s="27" t="s">
        <v>1117</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1084</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1263</v>
      </c>
      <c r="B4444" s="27" t="s">
        <v>1130</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17</v>
      </c>
      <c r="B4445" s="27" t="s">
        <v>1130</v>
      </c>
      <c r="C4445" s="27" t="s">
        <v>1069</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1718</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1701</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1084</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1298</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1082</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121</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1101</v>
      </c>
      <c r="B4452" s="27" t="s">
        <v>1130</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1080</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1072</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1239</v>
      </c>
      <c r="B4455" s="27" t="s">
        <v>1087</v>
      </c>
      <c r="C4455" s="27" t="s">
        <v>1107</v>
      </c>
      <c r="D4455" s="27" t="s">
        <v>1066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1077</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row>
    <row r="4458" spans="1:12">
      <c r="A4458" s="20" t="s">
        <v>2391</v>
      </c>
    </row>
    <row r="4459" spans="1:12">
      <c r="A4459" s="20" t="s">
        <v>1079</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1280</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1296</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1164</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1382</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1084</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1298</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1080</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2392</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1892</v>
      </c>
      <c r="B4468" s="27" t="s">
        <v>1071</v>
      </c>
      <c r="C4468" s="27" t="s">
        <v>1893</v>
      </c>
      <c r="D4468" s="27" t="s">
        <v>1066</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1188</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1084</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1146</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141</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2393</v>
      </c>
      <c r="B4473" s="27" t="s">
        <v>1092</v>
      </c>
      <c r="C4473" s="27" t="s">
        <v>1117</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1182</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2230</v>
      </c>
      <c r="B4475" s="27" t="s">
        <v>1675</v>
      </c>
      <c r="C4475" s="27" t="s">
        <v>1074</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1423</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1162</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1156</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1073</v>
      </c>
      <c r="B4479" s="27" t="s">
        <v>1087</v>
      </c>
      <c r="C4479" s="27" t="s">
        <v>1117</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1265</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1163</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141</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1084</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121</v>
      </c>
      <c r="B4484" s="27" t="s">
        <v>1103</v>
      </c>
      <c r="C4484" s="27" t="s">
        <v>1117</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1105</v>
      </c>
      <c r="B4485" s="27" t="s">
        <v>1106</v>
      </c>
      <c r="C4485" s="27" t="s">
        <v>1107</v>
      </c>
      <c r="D4485" s="27" t="s">
        <v>1066</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1084</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141</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2394</v>
      </c>
      <c r="B4488" s="27" t="s">
        <v>1138</v>
      </c>
      <c r="C4488" s="27" t="s">
        <v>1117</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1075</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1229</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1084</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1193</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1194</v>
      </c>
      <c r="B4493" s="27" t="s">
        <v>1106</v>
      </c>
      <c r="C4493" s="27" t="s">
        <v>1065</v>
      </c>
      <c r="D4493" s="27" t="s">
        <v>1066</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1243</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1110</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2395</v>
      </c>
      <c r="B4496" s="27" t="s">
        <v>1113</v>
      </c>
      <c r="C4496" s="27" t="s">
        <v>1083</v>
      </c>
      <c r="D4496" s="27" t="s">
        <v>1066</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464</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1233</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1075</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1101</v>
      </c>
      <c r="B4500" s="27" t="s">
        <v>1680</v>
      </c>
      <c r="C4500" s="27" t="s">
        <v>1107</v>
      </c>
      <c r="D4500" s="27" t="s">
        <v>1066</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1121</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1096</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1101</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2396</v>
      </c>
      <c r="B4504" s="27" t="s">
        <v>1675</v>
      </c>
      <c r="C4504" s="27" t="s">
        <v>1083</v>
      </c>
      <c r="D4504" s="27" t="s">
        <v>1066</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1084</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1094</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2397</v>
      </c>
      <c r="B4507" s="27" t="s">
        <v>1678</v>
      </c>
      <c r="C4507" s="27" t="s">
        <v>1083</v>
      </c>
      <c r="D4507" s="27" t="s">
        <v>1066</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1075</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1101</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411</v>
      </c>
      <c r="B4510" s="27" t="s">
        <v>1678</v>
      </c>
      <c r="C4510" s="27" t="s">
        <v>1083</v>
      </c>
      <c r="D4510" s="27" t="s">
        <v>1066</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1084</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2398</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1080</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2399</v>
      </c>
      <c r="B4514" s="27" t="s">
        <v>1130</v>
      </c>
      <c r="C4514" s="27" t="s">
        <v>1083</v>
      </c>
      <c r="D4514" s="27" t="s">
        <v>1066</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1084</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1240</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1101</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2400</v>
      </c>
      <c r="B4518" s="27" t="s">
        <v>1138</v>
      </c>
      <c r="C4518" s="27" t="s">
        <v>1083</v>
      </c>
      <c r="D4518" s="27" t="s">
        <v>1066</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1139</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1080</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2401</v>
      </c>
      <c r="B4521" s="27" t="s">
        <v>1113</v>
      </c>
      <c r="C4521" s="27" t="s">
        <v>1083</v>
      </c>
      <c r="D4521" s="27" t="s">
        <v>1066</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1075</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1499</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1102</v>
      </c>
      <c r="B4524" s="27" t="s">
        <v>1675</v>
      </c>
      <c r="C4524" s="27" t="s">
        <v>1074</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1084</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1457</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1221</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1197</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2402</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2403</v>
      </c>
      <c r="B4530" s="27" t="s">
        <v>1113</v>
      </c>
      <c r="C4530" s="27" t="s">
        <v>1117</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1077</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row>
    <row r="4533" spans="1:12">
      <c r="A4533" s="20" t="s">
        <v>2404</v>
      </c>
    </row>
    <row r="4534" spans="1:12">
      <c r="A4534" s="20" t="s">
        <v>2255</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1314</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1433</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1080</v>
      </c>
      <c r="B4537" s="27" t="s">
        <v>1064</v>
      </c>
      <c r="C4537" s="27" t="s">
        <v>1107</v>
      </c>
      <c r="D4537" s="27" t="s">
        <v>1066</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1152</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2405</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1084</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1565</v>
      </c>
      <c r="B4541" s="27" t="s">
        <v>1092</v>
      </c>
      <c r="C4541" s="27" t="s">
        <v>1107</v>
      </c>
      <c r="D4541" s="27" t="s">
        <v>1066</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1349</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1321</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row>
    <row r="4545" spans="1:12">
      <c r="A4545" s="20" t="s">
        <v>2406</v>
      </c>
    </row>
    <row r="4546" spans="1:12">
      <c r="A4546" s="20" t="s">
        <v>1316</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1105</v>
      </c>
      <c r="B4547" s="27" t="s">
        <v>1064</v>
      </c>
      <c r="C4547" s="27" t="s">
        <v>1107</v>
      </c>
      <c r="D4547" s="27" t="s">
        <v>1066</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2407</v>
      </c>
      <c r="B4548" s="27" t="s">
        <v>1157</v>
      </c>
      <c r="C4548" s="27" t="s">
        <v>1074</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910</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1084</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1097</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1067</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2408</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1084</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1101</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2409</v>
      </c>
      <c r="B4556" s="27" t="s">
        <v>1092</v>
      </c>
      <c r="C4556" s="27" t="s">
        <v>1083</v>
      </c>
      <c r="D4556" s="27" t="s">
        <v>1066</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2410</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1067</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872</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1321</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row>
    <row r="4562" spans="1:12">
      <c r="A4562" s="20" t="s">
        <v>2411</v>
      </c>
    </row>
    <row r="4563" spans="1:12">
      <c r="A4563" s="20" t="s">
        <v>785</v>
      </c>
      <c r="B4563" s="27" t="s">
        <v>1092</v>
      </c>
      <c r="C4563" s="27" t="s">
        <v>1131</v>
      </c>
      <c r="D4563" s="27" t="s">
        <v>1066</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1314</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1433</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1348</v>
      </c>
      <c r="B4566" s="27" t="s">
        <v>1106</v>
      </c>
      <c r="C4566" s="27" t="s">
        <v>1069</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1221</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1125</v>
      </c>
      <c r="B4568" s="27" t="s">
        <v>1675</v>
      </c>
      <c r="C4568" s="27" t="s">
        <v>1126</v>
      </c>
      <c r="D4568" s="27" t="s">
        <v>1066</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1242</v>
      </c>
      <c r="B4569" s="27" t="s">
        <v>1113</v>
      </c>
      <c r="C4569" s="27" t="s">
        <v>1128</v>
      </c>
      <c r="D4569" s="27" t="s">
        <v>1066</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1705</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1084</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1188</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1164</v>
      </c>
      <c r="B4573" s="27" t="s">
        <v>1232</v>
      </c>
      <c r="C4573" s="27" t="s">
        <v>1065</v>
      </c>
      <c r="D4573" s="27" t="s">
        <v>1066</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1135</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1549</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1348</v>
      </c>
      <c r="B4576" s="27" t="s">
        <v>1064</v>
      </c>
      <c r="C4576" s="27" t="s">
        <v>1069</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1067</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1156</v>
      </c>
      <c r="B4578" s="27" t="s">
        <v>1157</v>
      </c>
      <c r="C4578" s="27" t="s">
        <v>1107</v>
      </c>
      <c r="D4578" s="27" t="s">
        <v>1066</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2412</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1265</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1084</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1075</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2413</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1750</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1288</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2414</v>
      </c>
      <c r="B4586" s="27" t="s">
        <v>1068</v>
      </c>
      <c r="C4586" s="27" t="s">
        <v>1117</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1597</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1077</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row>
    <row r="4590" spans="1:12">
      <c r="A4590" s="20" t="s">
        <v>2415</v>
      </c>
    </row>
    <row r="4591" spans="1:12">
      <c r="A4591" s="20" t="s">
        <v>1699</v>
      </c>
      <c r="B4591" s="27" t="s">
        <v>1157</v>
      </c>
      <c r="C4591" s="27" t="s">
        <v>1107</v>
      </c>
      <c r="D4591" s="27" t="s">
        <v>1066</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1766</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1348</v>
      </c>
      <c r="B4593" s="27" t="s">
        <v>1064</v>
      </c>
      <c r="C4593" s="27" t="s">
        <v>1069</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1349</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1321</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row>
    <row r="4597" spans="1:12">
      <c r="A4597" s="20" t="s">
        <v>2416</v>
      </c>
    </row>
    <row r="4598" spans="1:12">
      <c r="A4598" s="20" t="s">
        <v>1641</v>
      </c>
      <c r="B4598" s="27" t="s">
        <v>1064</v>
      </c>
      <c r="C4598" s="27" t="s">
        <v>1069</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1595</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1082</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1182</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2417</v>
      </c>
      <c r="B4602" s="27" t="s">
        <v>1157</v>
      </c>
      <c r="C4602" s="27" t="s">
        <v>1117</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1158</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2418</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1077</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row>
    <row r="4607" spans="1:12">
      <c r="A4607" s="20" t="s">
        <v>2419</v>
      </c>
    </row>
    <row r="4608" spans="1:12">
      <c r="A4608" s="20" t="s">
        <v>1155</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1296</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1182</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2420</v>
      </c>
      <c r="B4611" s="27" t="s">
        <v>1064</v>
      </c>
      <c r="C4611" s="27" t="s">
        <v>1117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1101</v>
      </c>
      <c r="B4612" s="27" t="s">
        <v>1130</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1086</v>
      </c>
      <c r="B4613" s="27" t="s">
        <v>1103</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2421</v>
      </c>
      <c r="B4614" s="27" t="s">
        <v>1130</v>
      </c>
      <c r="C4614" s="27" t="s">
        <v>1131</v>
      </c>
      <c r="D4614" s="27" t="s">
        <v>1066</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2422</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1084</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1101</v>
      </c>
      <c r="B4617" s="27" t="s">
        <v>1130</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1086</v>
      </c>
      <c r="B4618" s="27" t="s">
        <v>1103</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1243</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2307</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2423</v>
      </c>
      <c r="B4621" s="27" t="s">
        <v>1089</v>
      </c>
      <c r="C4621" s="27" t="s">
        <v>1074</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2424</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1084</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1097</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1101</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2425</v>
      </c>
      <c r="B4626" s="27" t="s">
        <v>1247</v>
      </c>
      <c r="C4626" s="27" t="s">
        <v>1083</v>
      </c>
      <c r="D4626" s="27" t="s">
        <v>1066</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1067</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2426</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1084</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1481</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1105</v>
      </c>
      <c r="B4631" s="27" t="s">
        <v>1092</v>
      </c>
      <c r="C4631" s="27" t="s">
        <v>1107</v>
      </c>
      <c r="D4631" s="27" t="s">
        <v>1066</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86</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1158</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124</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1151</v>
      </c>
      <c r="B4635" s="27" t="s">
        <v>1089</v>
      </c>
      <c r="C4635" s="27" t="s">
        <v>1114</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2427</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2428</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1097</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1239</v>
      </c>
      <c r="B4639" s="27" t="s">
        <v>1087</v>
      </c>
      <c r="C4639" s="27" t="s">
        <v>1107</v>
      </c>
      <c r="D4639" s="27" t="s">
        <v>1066</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2429</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1077</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row>
    <row r="4643" spans="1:12">
      <c r="A4643" s="20" t="s">
        <v>2430</v>
      </c>
    </row>
    <row r="4644" spans="1:12">
      <c r="A4644" s="20" t="s">
        <v>1172</v>
      </c>
      <c r="B4644" s="27" t="s">
        <v>1064</v>
      </c>
      <c r="C4644" s="27" t="s">
        <v>1126</v>
      </c>
      <c r="D4644" s="27" t="s">
        <v>1066</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1188</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1195</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1182</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2431</v>
      </c>
      <c r="B4648" s="27" t="s">
        <v>1071</v>
      </c>
      <c r="C4648" s="27" t="s">
        <v>1117</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1077</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row>
    <row r="4651" spans="1:12">
      <c r="A4651" s="20" t="s">
        <v>2432</v>
      </c>
    </row>
    <row r="4652" spans="1:12">
      <c r="A4652" s="20" t="s">
        <v>1641</v>
      </c>
      <c r="B4652" s="27" t="s">
        <v>1064</v>
      </c>
      <c r="C4652" s="27" t="s">
        <v>1069</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2433</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1084</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1146</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1105</v>
      </c>
      <c r="B4656" s="27" t="s">
        <v>1092</v>
      </c>
      <c r="C4656" s="27" t="s">
        <v>1107</v>
      </c>
      <c r="D4656" s="27" t="s">
        <v>1066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1080</v>
      </c>
      <c r="B4657" s="27" t="s">
        <v>1087</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1152</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282</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1077</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row>
    <row r="4662" spans="1:12">
      <c r="A4662" s="20" t="s">
        <v>2434</v>
      </c>
    </row>
    <row r="4663" spans="1:12">
      <c r="A4663" s="20" t="s">
        <v>2435</v>
      </c>
      <c r="B4663" s="27" t="s">
        <v>1068</v>
      </c>
      <c r="C4663" s="27" t="s">
        <v>1069</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1619</v>
      </c>
      <c r="B4664" s="27" t="s">
        <v>1064</v>
      </c>
      <c r="C4664" s="27" t="s">
        <v>1114</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121</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1084</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1348</v>
      </c>
      <c r="B4667" s="27" t="s">
        <v>1092</v>
      </c>
      <c r="C4667" s="27" t="s">
        <v>1069</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1781</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2436</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1152</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2437</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1204</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1094</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2438</v>
      </c>
      <c r="B4674" s="27" t="s">
        <v>1068</v>
      </c>
      <c r="C4674" s="27" t="s">
        <v>1083</v>
      </c>
      <c r="D4674" s="27" t="s">
        <v>1066</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432</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1085</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1225</v>
      </c>
      <c r="B4677" s="27" t="s">
        <v>1130</v>
      </c>
      <c r="C4677" s="27" t="s">
        <v>1069</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1080</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1082</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2439</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1766</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1084</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2440</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1348</v>
      </c>
      <c r="B4684" s="27" t="s">
        <v>1232</v>
      </c>
      <c r="C4684" s="27" t="s">
        <v>1069</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1329</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2441</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1084</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1085</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1348</v>
      </c>
      <c r="B4689" s="27" t="s">
        <v>1106</v>
      </c>
      <c r="C4689" s="27" t="s">
        <v>1069</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2442</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1084</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1146</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1225</v>
      </c>
      <c r="B4693" s="27" t="s">
        <v>1504</v>
      </c>
      <c r="C4693" s="27" t="s">
        <v>1107</v>
      </c>
      <c r="D4693" s="27" t="s">
        <v>1066</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1101</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2417</v>
      </c>
      <c r="B4695" s="27" t="s">
        <v>1504</v>
      </c>
      <c r="C4695" s="27" t="s">
        <v>1083</v>
      </c>
      <c r="D4695" s="27" t="s">
        <v>1066</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2443</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1181</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1077</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row>
    <row r="4700" spans="1:12">
      <c r="A4700" s="20" t="s">
        <v>2444</v>
      </c>
    </row>
    <row r="4701" spans="1:12">
      <c r="A4701" s="20" t="s">
        <v>1308</v>
      </c>
      <c r="B4701" s="27" t="s">
        <v>1064</v>
      </c>
      <c r="C4701" s="27" t="s">
        <v>1065</v>
      </c>
      <c r="D4701" s="27" t="s">
        <v>1066</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2442</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1152</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1084</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1549</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1080</v>
      </c>
      <c r="B4706" s="27" t="s">
        <v>1092</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2445</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1188</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1084</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1193</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1348</v>
      </c>
      <c r="B4711" s="27" t="s">
        <v>1092</v>
      </c>
      <c r="C4711" s="27" t="s">
        <v>1069</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1086</v>
      </c>
      <c r="B4712" s="27" t="s">
        <v>1087</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1101</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2446</v>
      </c>
      <c r="B4714" s="27" t="s">
        <v>1092</v>
      </c>
      <c r="C4714" s="27" t="s">
        <v>1149</v>
      </c>
      <c r="D4714" s="27" t="s">
        <v>1066</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1397</v>
      </c>
      <c r="B4715" s="27" t="s">
        <v>1138</v>
      </c>
      <c r="C4715" s="27" t="s">
        <v>1126</v>
      </c>
      <c r="D4715" s="27" t="s">
        <v>1066</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2447</v>
      </c>
      <c r="B4716" s="27" t="s">
        <v>1089</v>
      </c>
      <c r="C4716" s="27" t="s">
        <v>1128</v>
      </c>
      <c r="D4716" s="27" t="s">
        <v>1066</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1750</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2448</v>
      </c>
      <c r="B4718" s="27" t="s">
        <v>1068</v>
      </c>
      <c r="C4718" s="27" t="s">
        <v>1074</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1173</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1084</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1298</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1164</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1296</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1573</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1225</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2449</v>
      </c>
      <c r="B4726" s="27" t="s">
        <v>1087</v>
      </c>
      <c r="C4726" s="27" t="s">
        <v>1117</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1221</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2421</v>
      </c>
      <c r="B4728" s="27" t="s">
        <v>1089</v>
      </c>
      <c r="C4728" s="27" t="s">
        <v>1131</v>
      </c>
      <c r="D4728" s="27" t="s">
        <v>1066</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1302</v>
      </c>
      <c r="B4729" s="27" t="s">
        <v>1068</v>
      </c>
      <c r="C4729" s="27" t="s">
        <v>1893</v>
      </c>
      <c r="D4729" s="27" t="s">
        <v>1066</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1084</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1549</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1348</v>
      </c>
      <c r="B4732" s="27" t="s">
        <v>1092</v>
      </c>
      <c r="C4732" s="27" t="s">
        <v>1069</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1080</v>
      </c>
      <c r="B4733" s="27" t="s">
        <v>1087</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1067</v>
      </c>
      <c r="B4734" s="27" t="s">
        <v>1089</v>
      </c>
      <c r="C4734" s="27" t="s">
        <v>1069</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1094</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2450</v>
      </c>
      <c r="B4736" s="27" t="s">
        <v>1068</v>
      </c>
      <c r="C4736" s="27" t="s">
        <v>1083</v>
      </c>
      <c r="D4736" s="27" t="s">
        <v>1066</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157</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1781</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1084</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2451</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1101</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1102</v>
      </c>
      <c r="B4742" s="27" t="s">
        <v>1130</v>
      </c>
      <c r="C4742" s="27" t="s">
        <v>1083</v>
      </c>
      <c r="D4742" s="27" t="s">
        <v>1066</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2339</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173</v>
      </c>
      <c r="B4744" s="27" t="s">
        <v>1068</v>
      </c>
      <c r="C4744" s="27" t="s">
        <v>1074</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1084</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1158</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1125</v>
      </c>
      <c r="B4747" s="27" t="s">
        <v>1113</v>
      </c>
      <c r="C4747" s="27" t="s">
        <v>1126</v>
      </c>
      <c r="D4747" s="27" t="s">
        <v>1066</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2107</v>
      </c>
      <c r="B4748" s="27" t="s">
        <v>1232</v>
      </c>
      <c r="C4748" s="27" t="s">
        <v>1128</v>
      </c>
      <c r="D4748" s="27" t="s">
        <v>1066</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2427</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1595</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1084</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1135</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1105</v>
      </c>
      <c r="B4753" s="27" t="s">
        <v>1106</v>
      </c>
      <c r="C4753" s="27" t="s">
        <v>1107</v>
      </c>
      <c r="D4753" s="27" t="s">
        <v>1066</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2452</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1077</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row>
    <row r="4757" spans="1:12">
      <c r="A4757" s="20" t="s">
        <v>2453</v>
      </c>
    </row>
    <row r="4758" spans="1:12">
      <c r="A4758" s="20" t="s">
        <v>2255</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1314</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2454</v>
      </c>
      <c r="B4760" s="27" t="s">
        <v>1071</v>
      </c>
      <c r="C4760" s="27" t="s">
        <v>1074</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1314</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2455</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row>
    <row r="4764" spans="1:12">
      <c r="A4764" s="20" t="s">
        <v>2456</v>
      </c>
    </row>
    <row r="4765" spans="1:12">
      <c r="A4765" s="20" t="s">
        <v>1194</v>
      </c>
      <c r="B4765" s="27" t="s">
        <v>1064</v>
      </c>
      <c r="C4765" s="27" t="s">
        <v>1065</v>
      </c>
      <c r="D4765" s="27" t="s">
        <v>1066</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141</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1158</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2457</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2458</v>
      </c>
      <c r="B4769" s="27" t="s">
        <v>1071</v>
      </c>
      <c r="C4769" s="27" t="s">
        <v>1117</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1124</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1101</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1084</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1097</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1194</v>
      </c>
      <c r="B4774" s="27" t="s">
        <v>1130</v>
      </c>
      <c r="C4774" s="27" t="s">
        <v>1065</v>
      </c>
      <c r="D4774" s="27" t="s">
        <v>1066</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1082</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1067</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2459</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1321</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row>
    <row r="4780" spans="1:12">
      <c r="A4780" s="20" t="s">
        <v>2460</v>
      </c>
    </row>
    <row r="4781" spans="1:12">
      <c r="A4781" s="20" t="s">
        <v>785</v>
      </c>
      <c r="B4781" s="27" t="s">
        <v>1064</v>
      </c>
      <c r="C4781" s="27" t="s">
        <v>1131</v>
      </c>
      <c r="D4781" s="27" t="s">
        <v>1066</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1314</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1207</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1084</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2461</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185</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1101</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2462</v>
      </c>
      <c r="B4788" s="27" t="s">
        <v>1064</v>
      </c>
      <c r="C4788" s="27" t="s">
        <v>1083</v>
      </c>
      <c r="D4788" s="27" t="s">
        <v>1066</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1221</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1190</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2307</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2463</v>
      </c>
      <c r="B4792" s="27" t="s">
        <v>1071</v>
      </c>
      <c r="C4792" s="27" t="s">
        <v>1074</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1077</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row>
    <row r="4795" spans="1:12">
      <c r="A4795" s="20" t="s">
        <v>2464</v>
      </c>
    </row>
    <row r="4796" spans="1:12">
      <c r="A4796" s="20" t="s">
        <v>2465</v>
      </c>
      <c r="B4796" s="27" t="s">
        <v>1064</v>
      </c>
      <c r="C4796" s="27" t="s">
        <v>1126</v>
      </c>
      <c r="D4796" s="27" t="s">
        <v>1066</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1084</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1101</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2466</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2467</v>
      </c>
      <c r="B4800" s="27" t="s">
        <v>1103</v>
      </c>
      <c r="C4800" s="27" t="s">
        <v>1083</v>
      </c>
      <c r="D4800" s="27" t="s">
        <v>1066</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212</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1084</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1121</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1190</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1159</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1077</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row>
    <row r="4808" spans="1:12">
      <c r="A4808" s="20" t="s">
        <v>2468</v>
      </c>
    </row>
    <row r="4809" spans="1:12">
      <c r="A4809" s="20" t="s">
        <v>2469</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1185</v>
      </c>
      <c r="B4810" s="27" t="s">
        <v>1064</v>
      </c>
      <c r="C4810" s="27" t="s">
        <v>1107</v>
      </c>
      <c r="D4810" s="27" t="s">
        <v>1066</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1084</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1146</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1164</v>
      </c>
      <c r="B4813" s="27" t="s">
        <v>1092</v>
      </c>
      <c r="C4813" s="27" t="s">
        <v>1065</v>
      </c>
      <c r="D4813" s="27" t="s">
        <v>1066</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1267</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2400</v>
      </c>
      <c r="B4815" s="27" t="s">
        <v>1087</v>
      </c>
      <c r="C4815" s="27" t="s">
        <v>1074</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1296</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1084</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1101</v>
      </c>
      <c r="B4818" s="27" t="s">
        <v>1092</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1243</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1110</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2470</v>
      </c>
      <c r="B4821" s="27" t="s">
        <v>1068</v>
      </c>
      <c r="C4821" s="27" t="s">
        <v>1083</v>
      </c>
      <c r="D4821" s="27" t="s">
        <v>1066</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1067</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707</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157</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1084</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1101</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1102</v>
      </c>
      <c r="B4827" s="27" t="s">
        <v>1087</v>
      </c>
      <c r="C4827" s="27" t="s">
        <v>1083</v>
      </c>
      <c r="D4827" s="27" t="s">
        <v>1066</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2471</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1321</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row>
    <row r="4831" spans="1:12">
      <c r="A4831" s="20" t="s">
        <v>2472</v>
      </c>
    </row>
    <row r="4832" spans="1:12">
      <c r="A4832" s="20" t="s">
        <v>1155</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1296</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1190</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1084</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1190</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2473</v>
      </c>
      <c r="B4837" s="27" t="s">
        <v>1071</v>
      </c>
      <c r="C4837" s="27" t="s">
        <v>1107</v>
      </c>
      <c r="D4837" s="27" t="s">
        <v>1066</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1102</v>
      </c>
      <c r="B4838" s="27" t="s">
        <v>1064</v>
      </c>
      <c r="C4838" s="27" t="s">
        <v>1074</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1084</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1101</v>
      </c>
      <c r="B4840" s="27" t="s">
        <v>1103</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1185</v>
      </c>
      <c r="B4841" s="27" t="s">
        <v>1130</v>
      </c>
      <c r="C4841" s="27" t="s">
        <v>1107</v>
      </c>
      <c r="D4841" s="27" t="s">
        <v>1066</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1384</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121</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1233</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1084</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1196</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1660</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1164</v>
      </c>
      <c r="B4848" s="27" t="s">
        <v>1130</v>
      </c>
      <c r="C4848" s="27" t="s">
        <v>1065</v>
      </c>
      <c r="D4848" s="27" t="s">
        <v>1066</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1182</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2474</v>
      </c>
      <c r="B4850" s="27" t="s">
        <v>1130</v>
      </c>
      <c r="C4850" s="27" t="s">
        <v>1117</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1221</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1197</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2230</v>
      </c>
      <c r="B4853" s="27" t="s">
        <v>1089</v>
      </c>
      <c r="C4853" s="27" t="s">
        <v>1117</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1296</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1077</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row>
    <row r="4857" spans="1:12">
      <c r="A4857" s="20" t="s">
        <v>2475</v>
      </c>
    </row>
    <row r="4858" spans="1:12">
      <c r="A4858" s="20" t="s">
        <v>1172</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2476</v>
      </c>
      <c r="B4859" s="27" t="s">
        <v>1064</v>
      </c>
      <c r="C4859" s="27" t="s">
        <v>1083</v>
      </c>
      <c r="D4859" s="27" t="s">
        <v>1066</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1353</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1188</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1162</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2477</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1163</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1093</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2478</v>
      </c>
      <c r="B4866" s="27" t="s">
        <v>1071</v>
      </c>
      <c r="C4866" s="27" t="s">
        <v>1131</v>
      </c>
      <c r="D4866" s="27" t="s">
        <v>1066</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1077</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row>
    <row r="4869" spans="1:12">
      <c r="A4869" s="20" t="s">
        <v>2479</v>
      </c>
    </row>
    <row r="4870" spans="1:12">
      <c r="A4870" s="20" t="s">
        <v>1641</v>
      </c>
      <c r="B4870" s="27" t="s">
        <v>1064</v>
      </c>
      <c r="C4870" s="27" t="s">
        <v>1069</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1766</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1110</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2480</v>
      </c>
      <c r="B4873" s="27" t="s">
        <v>1157</v>
      </c>
      <c r="C4873" s="27" t="s">
        <v>1083</v>
      </c>
      <c r="D4873" s="27" t="s">
        <v>1066</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1536</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1084</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1075</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1348</v>
      </c>
      <c r="B4877" s="27" t="s">
        <v>1092</v>
      </c>
      <c r="C4877" s="27" t="s">
        <v>1069</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2481</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2135</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1190</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1156</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2482</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1077</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row>
    <row r="4885" spans="1:12">
      <c r="A4885" s="20" t="s">
        <v>2483</v>
      </c>
    </row>
    <row r="4886" spans="1:12">
      <c r="A4886" s="20" t="s">
        <v>1079</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1229</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1188</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1101</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1611</v>
      </c>
      <c r="B4890" s="27" t="s">
        <v>1071</v>
      </c>
      <c r="C4890" s="27" t="s">
        <v>1083</v>
      </c>
      <c r="D4890" s="27" t="s">
        <v>1066</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1084</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1536</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1084</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1193</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1348</v>
      </c>
      <c r="B4895" s="27" t="s">
        <v>1130</v>
      </c>
      <c r="C4895" s="27" t="s">
        <v>1069</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1647</v>
      </c>
      <c r="B4896" s="27" t="s">
        <v>1138</v>
      </c>
      <c r="C4896" s="27" t="s">
        <v>1069</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1648</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2484</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1689</v>
      </c>
      <c r="B4899" s="27" t="s">
        <v>1103</v>
      </c>
      <c r="C4899" s="27" t="s">
        <v>1114</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1265</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1084</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1221</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17</v>
      </c>
      <c r="B4903" s="27" t="s">
        <v>1138</v>
      </c>
      <c r="C4903" s="27" t="s">
        <v>1069</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1067</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531</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1084</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1196</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1140</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1348</v>
      </c>
      <c r="B4909" s="27" t="s">
        <v>1106</v>
      </c>
      <c r="C4909" s="27" t="s">
        <v>1069</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2437</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2482</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1565</v>
      </c>
      <c r="B4912" s="27" t="s">
        <v>1106</v>
      </c>
      <c r="C4912" s="27" t="s">
        <v>1107</v>
      </c>
      <c r="D4912" s="27" t="s">
        <v>1066</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1265</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12</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1075</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2485</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1705</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1084</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1146</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1101</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2222</v>
      </c>
      <c r="B4921" s="27" t="s">
        <v>1505</v>
      </c>
      <c r="C4921" s="27" t="s">
        <v>1083</v>
      </c>
      <c r="D4921" s="27" t="s">
        <v>1066</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1152</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1162</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1260</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1188</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1077</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row>
    <row r="4928" spans="1:12">
      <c r="A4928" s="20" t="s">
        <v>2486</v>
      </c>
    </row>
    <row r="4929" spans="1:12">
      <c r="A4929" s="20" t="s">
        <v>1211</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1188</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1094</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2487</v>
      </c>
      <c r="B4932" s="27" t="s">
        <v>1092</v>
      </c>
      <c r="C4932" s="27" t="s">
        <v>1131</v>
      </c>
      <c r="D4932" s="27" t="s">
        <v>1066</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2488</v>
      </c>
      <c r="B4933" s="27" t="s">
        <v>1064</v>
      </c>
      <c r="C4933" s="27" t="s">
        <v>1074</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1152</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2489</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1080</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2490</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2491</v>
      </c>
      <c r="B4938" s="27" t="s">
        <v>1092</v>
      </c>
      <c r="C4938" s="27" t="s">
        <v>1083</v>
      </c>
      <c r="D4938" s="27" t="s">
        <v>1066</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1075</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1164</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1296</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1127</v>
      </c>
      <c r="B4942" s="27" t="s">
        <v>1064</v>
      </c>
      <c r="C4942" s="27" t="s">
        <v>1074</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1221</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1094</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256</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1245</v>
      </c>
      <c r="B4946" s="27" t="s">
        <v>1071</v>
      </c>
      <c r="C4946" s="27" t="s">
        <v>1083</v>
      </c>
      <c r="D4946" s="27" t="s">
        <v>1066</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1084</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1101</v>
      </c>
      <c r="B4948" s="27" t="s">
        <v>1130</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1086</v>
      </c>
      <c r="B4949" s="27" t="s">
        <v>1103</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2487</v>
      </c>
      <c r="B4950" s="27" t="s">
        <v>1130</v>
      </c>
      <c r="C4950" s="27" t="s">
        <v>1131</v>
      </c>
      <c r="D4950" s="27" t="s">
        <v>1066</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169</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1075</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121</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1084</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2492</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1084</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1080</v>
      </c>
      <c r="B4957" s="27" t="s">
        <v>1092</v>
      </c>
      <c r="C4957" s="27" t="s">
        <v>1126</v>
      </c>
      <c r="D4957" s="27" t="s">
        <v>1066</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1188</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2493</v>
      </c>
      <c r="B4959" s="27" t="s">
        <v>1068</v>
      </c>
      <c r="C4959" s="27" t="s">
        <v>1107</v>
      </c>
      <c r="D4959" s="27" t="s">
        <v>1066</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2319</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2494</v>
      </c>
      <c r="B4961" s="27" t="s">
        <v>1071</v>
      </c>
      <c r="C4961" s="27" t="s">
        <v>1114</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1077</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row>
    <row r="4964" spans="1:12">
      <c r="A4964" s="20" t="s">
        <v>2495</v>
      </c>
    </row>
    <row r="4965" spans="1:12">
      <c r="A4965" s="20" t="s">
        <v>1161</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1192</v>
      </c>
      <c r="B4966" s="27" t="s">
        <v>1071</v>
      </c>
      <c r="C4966" s="27" t="s">
        <v>1083</v>
      </c>
      <c r="D4966" s="27" t="s">
        <v>1066</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1188</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1084</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1146</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1125</v>
      </c>
      <c r="B4970" s="27" t="s">
        <v>1089</v>
      </c>
      <c r="C4970" s="27" t="s">
        <v>1126</v>
      </c>
      <c r="D4970" s="27" t="s">
        <v>1066</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1176</v>
      </c>
      <c r="B4971" s="27" t="s">
        <v>1092</v>
      </c>
      <c r="C4971" s="27" t="s">
        <v>1128</v>
      </c>
      <c r="D4971" s="27" t="s">
        <v>1066</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1239</v>
      </c>
      <c r="B4972" s="27" t="s">
        <v>1089</v>
      </c>
      <c r="C4972" s="27" t="s">
        <v>1090</v>
      </c>
      <c r="D4972" s="27" t="s">
        <v>1066</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2496</v>
      </c>
      <c r="B4973" s="27" t="s">
        <v>1087</v>
      </c>
      <c r="C4973" s="27" t="s">
        <v>1074</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t="s">
        <v>212</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1781</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1077</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row>
    <row r="4978" spans="1:12">
      <c r="A4978" s="20" t="s">
        <v>1306</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2497</v>
      </c>
    </row>
    <row r="4980" spans="1:12">
      <c r="A4980" s="20" t="s">
        <v>1120</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286</v>
      </c>
      <c r="B4981" s="27" t="s">
        <v>1068</v>
      </c>
      <c r="C4981" s="27" t="s">
        <v>1090</v>
      </c>
      <c r="D4981" s="27" t="s">
        <v>1066</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2498</v>
      </c>
      <c r="B4982" s="27" t="s">
        <v>1064</v>
      </c>
      <c r="C4982" s="27" t="s">
        <v>1074</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1353</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1188</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1084</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1146</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1084</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1193</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1348</v>
      </c>
      <c r="B4989" s="27" t="s">
        <v>1092</v>
      </c>
      <c r="C4989" s="27" t="s">
        <v>1069</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1164</v>
      </c>
      <c r="B4990" s="27" t="s">
        <v>1087</v>
      </c>
      <c r="C4990" s="27" t="s">
        <v>1065</v>
      </c>
      <c r="D4990" s="27" t="s">
        <v>1066</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2499</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212</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1170</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1084</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1075</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2500</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1080</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1253</v>
      </c>
      <c r="B4998" s="27" t="s">
        <v>1130</v>
      </c>
      <c r="C4998" s="27" t="s">
        <v>1131</v>
      </c>
      <c r="D4998" s="27" t="s">
        <v>1066</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2501</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1084</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1349</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121</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1748</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1101</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2462</v>
      </c>
      <c r="B5005" s="27" t="s">
        <v>1106</v>
      </c>
      <c r="C5005" s="27" t="s">
        <v>1083</v>
      </c>
      <c r="D5005" s="27" t="s">
        <v>1066</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1314</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1315</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2502</v>
      </c>
      <c r="B5008" s="27" t="s">
        <v>1113</v>
      </c>
      <c r="C5008" s="27" t="s">
        <v>1131</v>
      </c>
      <c r="D5008" s="27" t="s">
        <v>1066</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1084</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1155</v>
      </c>
      <c r="B5010" s="27" t="s">
        <v>1106</v>
      </c>
      <c r="C5010" s="27" t="s">
        <v>1065</v>
      </c>
      <c r="D5010" s="27" t="s">
        <v>1066</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2503</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1605</v>
      </c>
      <c r="B5012" s="27" t="s">
        <v>1104</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1152</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1084</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1146</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1164</v>
      </c>
      <c r="B5016" s="27" t="s">
        <v>1680</v>
      </c>
      <c r="C5016" s="27" t="s">
        <v>1065</v>
      </c>
      <c r="D5016" s="27" t="s">
        <v>1066</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2493</v>
      </c>
      <c r="B5017" s="27" t="s">
        <v>2504</v>
      </c>
      <c r="C5017" s="27" t="s">
        <v>1107</v>
      </c>
      <c r="D5017" s="27" t="s">
        <v>1066</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1253</v>
      </c>
      <c r="B5018" s="27" t="s">
        <v>2505</v>
      </c>
      <c r="C5018" s="27" t="s">
        <v>1131</v>
      </c>
      <c r="D5018" s="27" t="s">
        <v>1066</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1411</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1084</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1063</v>
      </c>
      <c r="B5021" s="27" t="s">
        <v>1505</v>
      </c>
      <c r="C5021" s="27" t="s">
        <v>1065</v>
      </c>
      <c r="D5021" s="27" t="s">
        <v>1066</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2506</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1457</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1084</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1146</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1164</v>
      </c>
      <c r="B5026" s="27" t="s">
        <v>1680</v>
      </c>
      <c r="C5026" s="27" t="s">
        <v>1065</v>
      </c>
      <c r="D5026" s="27" t="s">
        <v>1066</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1080</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2507</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1084</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1298</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1063</v>
      </c>
      <c r="B5031" s="27" t="s">
        <v>1683</v>
      </c>
      <c r="C5031" s="27" t="s">
        <v>1065</v>
      </c>
      <c r="D5031" s="27" t="s">
        <v>1066</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2508</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1164</v>
      </c>
      <c r="B5033" s="27" t="s">
        <v>1683</v>
      </c>
      <c r="C5033" s="27" t="s">
        <v>1065</v>
      </c>
      <c r="D5033" s="27" t="s">
        <v>1066</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1439</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2509</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1084</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1085</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1164</v>
      </c>
      <c r="B5038" s="27" t="s">
        <v>1683</v>
      </c>
      <c r="C5038" s="27" t="s">
        <v>1065</v>
      </c>
      <c r="D5038" s="27" t="s">
        <v>1066</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2510</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1188</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1135</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1101</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2511</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2290</v>
      </c>
      <c r="B5044" s="27" t="s">
        <v>2504</v>
      </c>
      <c r="C5044" s="27" t="s">
        <v>1083</v>
      </c>
      <c r="D5044" s="27" t="s">
        <v>1066</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1077</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1315</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row>
    <row r="5048" spans="1:12">
      <c r="A5048" s="20" t="s">
        <v>2512</v>
      </c>
    </row>
    <row r="5049" spans="1:12">
      <c r="A5049" s="20" t="s">
        <v>2255</v>
      </c>
      <c r="B5049" s="27" t="s">
        <v>1071</v>
      </c>
      <c r="C5049" s="27" t="s">
        <v>1131</v>
      </c>
      <c r="D5049" s="27" t="s">
        <v>1066</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1314</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1079</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1080</v>
      </c>
      <c r="B5052" s="27" t="s">
        <v>1064</v>
      </c>
      <c r="C5052" s="27" t="s">
        <v>1107</v>
      </c>
      <c r="D5052" s="27" t="s">
        <v>1066</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1202</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2513</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1326</v>
      </c>
      <c r="B5055" s="27" t="s">
        <v>1071</v>
      </c>
      <c r="C5055" s="27" t="s">
        <v>1168</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1139</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1080</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2514</v>
      </c>
      <c r="B5058" s="27" t="s">
        <v>1071</v>
      </c>
      <c r="C5058" s="27" t="s">
        <v>1083</v>
      </c>
      <c r="D5058" s="27" t="s">
        <v>1066</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2515</v>
      </c>
      <c r="B5059" s="27" t="s">
        <v>1068</v>
      </c>
      <c r="C5059" s="27" t="s">
        <v>1131</v>
      </c>
      <c r="D5059" s="27" t="s">
        <v>1066</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2516</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1084</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1146</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1084</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1193</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1348</v>
      </c>
      <c r="B5065" s="27" t="s">
        <v>1232</v>
      </c>
      <c r="C5065" s="27" t="s">
        <v>1069</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1677</v>
      </c>
      <c r="B5066" s="27" t="s">
        <v>1113</v>
      </c>
      <c r="C5066" s="27" t="s">
        <v>1069</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1125</v>
      </c>
      <c r="B5067" s="27" t="s">
        <v>1113</v>
      </c>
      <c r="C5067" s="27" t="s">
        <v>1126</v>
      </c>
      <c r="D5067" s="27" t="s">
        <v>1066</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1208</v>
      </c>
      <c r="B5068" s="27" t="s">
        <v>1247</v>
      </c>
      <c r="C5068" s="27" t="s">
        <v>1128</v>
      </c>
      <c r="D5068" s="27" t="s">
        <v>1066</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1075</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1073</v>
      </c>
      <c r="B5070" s="27" t="s">
        <v>1113</v>
      </c>
      <c r="C5070" s="27" t="s">
        <v>1074</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1764</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1097</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1080</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1253</v>
      </c>
      <c r="B5074" s="27" t="s">
        <v>1113</v>
      </c>
      <c r="C5074" s="27" t="s">
        <v>1131</v>
      </c>
      <c r="D5074" s="27" t="s">
        <v>1066</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1726</v>
      </c>
      <c r="B5075" s="27" t="s">
        <v>1247</v>
      </c>
      <c r="C5075" s="27" t="s">
        <v>1083</v>
      </c>
      <c r="D5075" s="27" t="s">
        <v>1066</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1067</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582</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1084</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1677</v>
      </c>
      <c r="B5079" s="27" t="s">
        <v>1130</v>
      </c>
      <c r="C5079" s="27" t="s">
        <v>1069</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1101</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1137</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2517</v>
      </c>
      <c r="B5082" s="27" t="s">
        <v>1103</v>
      </c>
      <c r="C5082" s="27" t="s">
        <v>1142</v>
      </c>
      <c r="D5082" s="27" t="s">
        <v>1066</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1351</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988</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1084</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t="s">
        <v>1101</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1201</v>
      </c>
      <c r="B5087" s="27" t="s">
        <v>1138</v>
      </c>
      <c r="C5087" s="27" t="s">
        <v>1083</v>
      </c>
      <c r="D5087" s="27" t="s">
        <v>1066</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1084</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1101</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2518</v>
      </c>
      <c r="B5090" s="27" t="s">
        <v>1113</v>
      </c>
      <c r="C5090" s="27" t="s">
        <v>1083</v>
      </c>
      <c r="D5090" s="27" t="s">
        <v>1066</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1196</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2519</v>
      </c>
      <c r="B5092" s="27" t="s">
        <v>1675</v>
      </c>
      <c r="C5092" s="27" t="s">
        <v>1131</v>
      </c>
      <c r="D5092" s="27" t="s">
        <v>1066</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1075</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1162</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1329</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1084</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1146</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1164</v>
      </c>
      <c r="B5098" s="27" t="s">
        <v>1106</v>
      </c>
      <c r="C5098" s="27" t="s">
        <v>1065</v>
      </c>
      <c r="D5098" s="27" t="s">
        <v>1066</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1182</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2520</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2521</v>
      </c>
      <c r="B5101" s="27" t="s">
        <v>1138</v>
      </c>
      <c r="C5101" s="27" t="s">
        <v>1117</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1196</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2522</v>
      </c>
      <c r="B5103" s="27" t="s">
        <v>1113</v>
      </c>
      <c r="C5103" s="27" t="s">
        <v>1074</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1188</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1084</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2523</v>
      </c>
      <c r="B5106" s="27" t="s">
        <v>1504</v>
      </c>
      <c r="C5106" s="27" t="s">
        <v>1074</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2135</v>
      </c>
      <c r="B5107" s="27" t="s">
        <v>1675</v>
      </c>
      <c r="C5107" s="27" t="s">
        <v>1893</v>
      </c>
      <c r="D5107" s="27" t="s">
        <v>1066</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1067</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531</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1084</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2304</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1164</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2524</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1102</v>
      </c>
      <c r="B5114" s="27" t="s">
        <v>1680</v>
      </c>
      <c r="C5114" s="27" t="s">
        <v>1074</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t="s">
        <v>1296</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1084</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1101</v>
      </c>
      <c r="B5117" s="27" t="s">
        <v>1103</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1105</v>
      </c>
      <c r="B5118" s="27" t="s">
        <v>1130</v>
      </c>
      <c r="C5118" s="27" t="s">
        <v>1107</v>
      </c>
      <c r="D5118" s="27" t="s">
        <v>1066</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707</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1233</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1077</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row>
    <row r="5123" spans="1:12">
      <c r="A5123" s="20" t="s">
        <v>2525</v>
      </c>
    </row>
    <row r="5124" spans="1:12">
      <c r="A5124" s="20" t="s">
        <v>785</v>
      </c>
      <c r="B5124" s="27" t="s">
        <v>1071</v>
      </c>
      <c r="C5124" s="27" t="s">
        <v>1131</v>
      </c>
      <c r="D5124" s="27" t="s">
        <v>1066</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1314</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1207</v>
      </c>
      <c r="B5126" s="27" t="s">
        <v>1071</v>
      </c>
      <c r="C5126" s="27" t="s">
        <v>1131</v>
      </c>
      <c r="D5126" s="27" t="s">
        <v>1066</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1084</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1101</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2526</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2527</v>
      </c>
      <c r="B5130" s="27" t="s">
        <v>1157</v>
      </c>
      <c r="C5130" s="27" t="s">
        <v>1083</v>
      </c>
      <c r="D5130" s="27" t="s">
        <v>1066</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1124</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1101</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1036</v>
      </c>
      <c r="B5133" s="27" t="s">
        <v>1068</v>
      </c>
      <c r="C5133" s="27" t="s">
        <v>1083</v>
      </c>
      <c r="D5133" s="27" t="s">
        <v>1066</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12</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121</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1105</v>
      </c>
      <c r="B5136" s="27" t="s">
        <v>1064</v>
      </c>
      <c r="C5136" s="27" t="s">
        <v>1107</v>
      </c>
      <c r="D5136" s="27" t="s">
        <v>1066</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1101</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2021</v>
      </c>
      <c r="B5138" s="27" t="s">
        <v>1092</v>
      </c>
      <c r="C5138" s="27" t="s">
        <v>1131</v>
      </c>
      <c r="D5138" s="27" t="s">
        <v>1066</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2044</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45</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t="s">
        <v>1112</v>
      </c>
      <c r="B5141" s="27" t="s">
        <v>1087</v>
      </c>
      <c r="C5141" s="27" t="s">
        <v>1114</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1409</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1358</v>
      </c>
      <c r="B5143" s="27" t="s">
        <v>1089</v>
      </c>
      <c r="C5143" s="27" t="s">
        <v>1074</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1470</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1012</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1135</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1185</v>
      </c>
      <c r="B5147" s="27" t="s">
        <v>1130</v>
      </c>
      <c r="C5147" s="27" t="s">
        <v>1107</v>
      </c>
      <c r="D5147" s="27" t="s">
        <v>1066</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2015</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707</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12</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1080</v>
      </c>
      <c r="B5151" s="27" t="s">
        <v>1232</v>
      </c>
      <c r="C5151" s="27" t="s">
        <v>1107</v>
      </c>
      <c r="D5151" s="27" t="s">
        <v>1066</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1188</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1152</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1162</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1797</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1077</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row>
    <row r="5158" spans="1:12">
      <c r="A5158" s="20" t="s">
        <v>2528</v>
      </c>
    </row>
    <row r="5159" spans="1:12">
      <c r="A5159" s="20" t="s">
        <v>2529</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2044</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1137</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1102</v>
      </c>
      <c r="B5162" s="27" t="s">
        <v>1064</v>
      </c>
      <c r="C5162" s="27" t="s">
        <v>1168</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1152</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988</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1077</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row>
    <row r="5167" spans="1:12">
      <c r="A5167" s="20" t="s">
        <v>2530</v>
      </c>
    </row>
    <row r="5168" spans="1:12">
      <c r="A5168" s="20" t="s">
        <v>1641</v>
      </c>
      <c r="B5168" s="27" t="s">
        <v>1064</v>
      </c>
      <c r="C5168" s="27" t="s">
        <v>1069</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1705</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1349</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1067</v>
      </c>
      <c r="B5171" s="27" t="s">
        <v>1068</v>
      </c>
      <c r="C5171" s="27" t="s">
        <v>1069</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1665</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2531</v>
      </c>
      <c r="B5173" s="27" t="s">
        <v>1071</v>
      </c>
      <c r="C5173" s="27" t="s">
        <v>1074</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1084</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1075</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1353</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1233</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2532</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1619</v>
      </c>
      <c r="B5179" s="27" t="s">
        <v>1092</v>
      </c>
      <c r="C5179" s="27" t="s">
        <v>1074</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2533</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1084</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1193</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1348</v>
      </c>
      <c r="B5183" s="27" t="s">
        <v>1130</v>
      </c>
      <c r="C5183" s="27" t="s">
        <v>1069</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17</v>
      </c>
      <c r="B5184" s="27" t="s">
        <v>1103</v>
      </c>
      <c r="C5184" s="27" t="s">
        <v>1069</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1265</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1084</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1080</v>
      </c>
      <c r="B5187" s="27" t="s">
        <v>1092</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1152</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2499</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1188</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1084</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1075</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1870</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1084</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1080</v>
      </c>
      <c r="B5195" s="27" t="s">
        <v>1247</v>
      </c>
      <c r="C5195" s="27" t="s">
        <v>1126</v>
      </c>
      <c r="D5195" s="27" t="s">
        <v>1066</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1067</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535</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1077</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row>
    <row r="5200" spans="1:12">
      <c r="A5200" s="20" t="s">
        <v>2534</v>
      </c>
    </row>
    <row r="5201" spans="1:12">
      <c r="A5201" s="20" t="s">
        <v>1628</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1605</v>
      </c>
      <c r="B5202" s="27" t="s">
        <v>1071</v>
      </c>
      <c r="C5202" s="27" t="s">
        <v>1065</v>
      </c>
      <c r="D5202" s="27" t="s">
        <v>1066</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2535</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1353</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1101</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2536</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2521</v>
      </c>
      <c r="B5207" s="27" t="s">
        <v>1064</v>
      </c>
      <c r="C5207" s="27" t="s">
        <v>1083</v>
      </c>
      <c r="D5207" s="27" t="s">
        <v>1066</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1077</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row>
    <row r="5210" spans="1:12">
      <c r="A5210" s="20" t="s">
        <v>2537</v>
      </c>
    </row>
    <row r="5211" spans="1:12">
      <c r="A5211" s="20" t="s">
        <v>1155</v>
      </c>
      <c r="B5211" s="27" t="s">
        <v>1064</v>
      </c>
      <c r="C5211" s="27" t="s">
        <v>1065</v>
      </c>
      <c r="D5211" s="27" t="s">
        <v>1066</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2538</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1686</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1084</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t="s">
        <v>1348</v>
      </c>
      <c r="B5215" s="27" t="s">
        <v>1092</v>
      </c>
      <c r="C5215" s="27" t="s">
        <v>1069</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1188</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1190</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2413</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1750</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1288</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2539</v>
      </c>
      <c r="B5221" s="27" t="s">
        <v>1068</v>
      </c>
      <c r="C5221" s="27" t="s">
        <v>1117</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1075</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2540</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1195</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2034</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1101</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2541</v>
      </c>
      <c r="B5227" s="27" t="s">
        <v>1103</v>
      </c>
      <c r="C5227" s="27" t="s">
        <v>1083</v>
      </c>
      <c r="D5227" s="27" t="s">
        <v>1066</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1077</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row>
    <row r="5230" spans="1:12">
      <c r="A5230" s="20" t="s">
        <v>2542</v>
      </c>
    </row>
    <row r="5231" spans="1:12">
      <c r="A5231" s="20" t="s">
        <v>1308</v>
      </c>
      <c r="B5231" s="27" t="s">
        <v>1064</v>
      </c>
      <c r="C5231" s="27" t="s">
        <v>1065</v>
      </c>
      <c r="D5231" s="27" t="s">
        <v>1066</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t="s">
        <v>1904</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1105</v>
      </c>
      <c r="B5233" s="27" t="s">
        <v>1064</v>
      </c>
      <c r="C5233" s="27" t="s">
        <v>1107</v>
      </c>
      <c r="D5233" s="27" t="s">
        <v>1066</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2044</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1470</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1102</v>
      </c>
      <c r="B5236" s="27" t="s">
        <v>1087</v>
      </c>
      <c r="C5236" s="27" t="s">
        <v>1074</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2408</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1084</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1101</v>
      </c>
      <c r="B5239" s="27" t="s">
        <v>1092</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1080</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2399</v>
      </c>
      <c r="B5241" s="27" t="s">
        <v>1087</v>
      </c>
      <c r="C5241" s="27" t="s">
        <v>1083</v>
      </c>
      <c r="D5241" s="27" t="s">
        <v>1066</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157</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1084</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1190</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1156</v>
      </c>
      <c r="B5245" s="27" t="s">
        <v>1068</v>
      </c>
      <c r="C5245" s="27" t="s">
        <v>1069</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t="s">
        <v>2543</v>
      </c>
      <c r="E5246" s="21">
        <f>IF(D5246="?OLD","!!!","")</f>
        <v/>
      </c>
      <c r="F5246" s="22" t="str">
        <f>IF(OR(E5246="",E5246="!!!"),"",IF(NOT(ISNA(VLOOKUP(E5246,E$1:E5245,1,FALSE()))),"OLD",IF(AND(E5246&lt;&gt;"",E5246&lt;&gt;"!!!"),"NEW","")))</f>
        <v> </v>
      </c>
      <c r="G5246" s="23" t="str">
        <f>IF(OR(E5246="",E5246="!!!"),"",IF(OR(J5246=0,AND(J5246=1,K5246=1),AND(J5246=1,I5246="SBJ"),AND(J5246=1,I5246=0)),"?IN_FOCUS",IF(J5246&lt;=2,"?ACTIVATED",IF(J5246&lt;&gt;"","?FAMILIAR",IF(F5246="NEW",IF(ISNA(VLOOKUP(E5246,#REF!,1,FALSE())),"?TYPE_IDENTIFIABLE","?REFERENTIAL"),"_")))))</f>
        <v> </v>
      </c>
      <c r="H5246" s="24" t="str">
        <f>IF(J5246&lt;&gt;1,"",IF(I5246="SBJ","CB","?"))</f>
        <v> </v>
      </c>
      <c r="I5246" s="25" t="str">
        <f>IF(OR(E5246="",E5246="!!!",F5246="NEW"),"",INDEX(B5245:B$2,-1+SUMPRODUCT(MAX(ROW(E5245:E$2)*(E5246=E5245:E$2)))))</f>
        <v> </v>
      </c>
      <c r="J5246" s="25" t="str">
        <f>IF(OR(E5246="",E5246="!!!",F5246="NEW"),"",COUNTBLANK(OFFSET(A$1,,,SUMPRODUCT(MAX(ROW(E$2:E5246)*(E5246=E$2:E5246)))))-COUNTBLANK(OFFSET(A$1,,,SUMPRODUCT(MAX(ROW(E$1:E5245)*(E2=E$1:E5245))))))</f>
        <v> </v>
      </c>
      <c r="K5246" s="25" t="str">
        <f>IF(OR(E5246="",E5246="!!!",F5246="NEW"),"",INDEX(J$1:J5245,SUMPRODUCT(MAX(ROW(E$1:E5245)*(E5246=E$1:E5245)))))</f>
        <v> </v>
      </c>
      <c r="L5246" s="26"/>
    </row>
    <row r="5247" spans="1:12">
      <c r="A5247" s="20" t="s">
        <v>1067</v>
      </c>
      <c r="E5247" s="21">
        <f>IF(D5247="?OLD","!!!","")</f>
        <v/>
      </c>
      <c r="F5247" s="22" t="str">
        <f>IF(OR(E5247="",E5247="!!!"),"",IF(NOT(ISNA(VLOOKUP(E5247,E$1:E5246,1,FALSE()))),"OLD",IF(AND(E5247&lt;&gt;"",E5247&lt;&gt;"!!!"),"NEW","")))</f>
        <v> </v>
      </c>
      <c r="G5247" s="23" t="str">
        <f>IF(OR(E5247="",E5247="!!!"),"",IF(OR(J5247=0,AND(J5247=1,K5247=1),AND(J5247=1,I5247="SBJ"),AND(J5247=1,I5247=0)),"?IN_FOCUS",IF(J5247&lt;=2,"?ACTIVATED",IF(J5247&lt;&gt;"","?FAMILIAR",IF(F5247="NEW",IF(ISNA(VLOOKUP(E5247,#REF!,1,FALSE())),"?TYPE_IDENTIFIABLE","?REFERENTIAL"),"_")))))</f>
        <v> </v>
      </c>
      <c r="H5247" s="24" t="str">
        <f>IF(J5247&lt;&gt;1,"",IF(I5247="SBJ","CB","?"))</f>
        <v> </v>
      </c>
      <c r="I5247" s="25" t="str">
        <f>IF(OR(E5247="",E5247="!!!",F5247="NEW"),"",INDEX(B5246:B$2,-1+SUMPRODUCT(MAX(ROW(E5246:E$2)*(E5247=E5246:E$2)))))</f>
        <v> </v>
      </c>
      <c r="J5247" s="25" t="str">
        <f>IF(OR(E5247="",E5247="!!!",F5247="NEW"),"",COUNTBLANK(OFFSET(A$1,,,SUMPRODUCT(MAX(ROW(E$2:E5247)*(E5247=E$2:E5247)))))-COUNTBLANK(OFFSET(A$1,,,SUMPRODUCT(MAX(ROW(E$1:E5246)*(E2=E$1:E5246))))))</f>
        <v> </v>
      </c>
      <c r="K5247" s="25" t="str">
        <f>IF(OR(E5247="",E5247="!!!",F5247="NEW"),"",INDEX(J$1:J5246,SUMPRODUCT(MAX(ROW(E$1:E5246)*(E5247=E$1:E5246)))))</f>
        <v> </v>
      </c>
      <c r="L5247" s="26"/>
    </row>
    <row r="5248" spans="1:12">
      <c r="A5248" s="20" t="s">
        <v>838</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1077</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row>
    <row r="5251" spans="1:12">
      <c r="A5251" s="20" t="s">
        <v>2544</v>
      </c>
    </row>
    <row r="5252" spans="1:12">
      <c r="A5252" s="20" t="s">
        <v>2545</v>
      </c>
      <c r="B5252" s="27" t="s">
        <v>1064</v>
      </c>
      <c r="C5252" s="27" t="s">
        <v>1074</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1094</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2546</v>
      </c>
      <c r="B5254" s="27" t="s">
        <v>1068</v>
      </c>
      <c r="C5254" s="27" t="s">
        <v>1083</v>
      </c>
      <c r="D5254" s="27" t="s">
        <v>1066</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1084</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1110</v>
      </c>
      <c r="B5256" s="27" t="s">
        <v>1247</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1348</v>
      </c>
      <c r="B5257" s="27" t="s">
        <v>1232</v>
      </c>
      <c r="C5257" s="27" t="s">
        <v>1069</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2028</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1084</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141</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1190</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2547</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1189</v>
      </c>
      <c r="B5263" s="27" t="s">
        <v>1071</v>
      </c>
      <c r="C5263" s="27" t="s">
        <v>1117</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1188</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1084</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1349</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1233</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1195</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1101</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2548</v>
      </c>
      <c r="B5270" s="27" t="s">
        <v>1092</v>
      </c>
      <c r="C5270" s="27" t="s">
        <v>1083</v>
      </c>
      <c r="D5270" s="27" t="s">
        <v>1066</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2549</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1077</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row>
    <row r="5274" spans="1:12">
      <c r="A5274" s="20" t="s">
        <v>2550</v>
      </c>
    </row>
    <row r="5275" spans="1:12">
      <c r="A5275" s="20" t="s">
        <v>1308</v>
      </c>
      <c r="B5275" s="27" t="s">
        <v>1092</v>
      </c>
      <c r="C5275" s="27" t="s">
        <v>1065</v>
      </c>
      <c r="D5275" s="27" t="s">
        <v>1066</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1088</v>
      </c>
      <c r="B5276" s="27" t="s">
        <v>1068</v>
      </c>
      <c r="C5276" s="27" t="s">
        <v>1090</v>
      </c>
      <c r="D5276" s="27" t="s">
        <v>1066</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1084</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1404</v>
      </c>
      <c r="B5278" s="27" t="s">
        <v>1064</v>
      </c>
      <c r="C5278" s="27" t="s">
        <v>1069</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1196</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1239</v>
      </c>
      <c r="B5280" s="27" t="s">
        <v>1068</v>
      </c>
      <c r="C5280" s="27" t="s">
        <v>1107</v>
      </c>
      <c r="D5280" s="27" t="s">
        <v>1066</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1353</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2147</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1664</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1423</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1162</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1156</v>
      </c>
      <c r="B5286" s="27" t="s">
        <v>1157</v>
      </c>
      <c r="C5286" s="27" t="s">
        <v>1107</v>
      </c>
      <c r="D5286" s="27" t="s">
        <v>1066</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1124</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2232</v>
      </c>
      <c r="B5288" s="27" t="s">
        <v>1089</v>
      </c>
      <c r="C5288" s="27" t="s">
        <v>1090</v>
      </c>
      <c r="D5288" s="27" t="s">
        <v>1066</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1073</v>
      </c>
      <c r="B5289" s="27" t="s">
        <v>1068</v>
      </c>
      <c r="C5289" s="27" t="s">
        <v>1074</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1012</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2154</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2551</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2552</v>
      </c>
      <c r="B5293" s="27" t="s">
        <v>1071</v>
      </c>
      <c r="C5293" s="27" t="s">
        <v>1168</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1067</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33</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1077</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row>
    <row r="5298" spans="1:12">
      <c r="A5298" s="20" t="s">
        <v>2553</v>
      </c>
    </row>
    <row r="5299" spans="1:12">
      <c r="A5299" s="20" t="s">
        <v>1628</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1101</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2554</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2457</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1112</v>
      </c>
      <c r="B5303" s="27" t="s">
        <v>1071</v>
      </c>
      <c r="C5303" s="27" t="s">
        <v>1535</v>
      </c>
      <c r="D5303" s="27" t="s">
        <v>1066</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1298</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1188</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1164</v>
      </c>
      <c r="B5306" s="27" t="s">
        <v>1064</v>
      </c>
      <c r="C5306" s="27" t="s">
        <v>1065</v>
      </c>
      <c r="D5306" s="27" t="s">
        <v>1066</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141</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2555</v>
      </c>
      <c r="B5308" s="27" t="s">
        <v>1071</v>
      </c>
      <c r="C5308" s="27" t="s">
        <v>1117</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1077</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row>
    <row r="5311" spans="1:12">
      <c r="A5311" s="20" t="s">
        <v>2556</v>
      </c>
    </row>
    <row r="5312" spans="1:12">
      <c r="A5312" s="20" t="s">
        <v>1079</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1220</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2515</v>
      </c>
      <c r="B5314" s="27" t="s">
        <v>1064</v>
      </c>
      <c r="C5314" s="27" t="s">
        <v>1131</v>
      </c>
      <c r="D5314" s="27" t="s">
        <v>1066</v>
      </c>
      <c r="E5314" s="21">
        <f>IF(D5314="?OLD","!!!","")</f>
        <v/>
      </c>
      <c r="F5314" s="22" t="str">
        <f>IF(OR(E5314="",E5314="!!!"),"",IF(NOT(ISNA(VLOOKUP(E5314,E$1:E5313,1,FALSE()))),"OLD",IF(AND(E5314&lt;&gt;"",E5314&lt;&gt;"!!!"),"NEW","")))</f>
        <v> </v>
      </c>
      <c r="G5314" s="23" t="str">
        <f>IF(OR(E5314="",E5314="!!!"),"",IF(OR(J5314=0,AND(J5314=1,K5314=1),AND(J5314=1,I5314="SBJ"),AND(J5314=1,I5314=0)),"?IN_FOCUS",IF(J5314&lt;=2,"?ACTIVATED",IF(J5314&lt;&gt;"","?FAMILIAR",IF(F5314="NEW",IF(ISNA(VLOOKUP(E5314,#REF!,1,FALSE())),"?TYPE_IDENTIFIABLE","?REFERENTIAL"),"_")))))</f>
        <v> </v>
      </c>
      <c r="H5314" s="24" t="str">
        <f>IF(J5314&lt;&gt;1,"",IF(I5314="SBJ","CB","?"))</f>
        <v> </v>
      </c>
      <c r="I5314" s="25" t="str">
        <f>IF(OR(E5314="",E5314="!!!",F5314="NEW"),"",INDEX(B5313:B$2,-1+SUMPRODUCT(MAX(ROW(E5313:E$2)*(E5314=E5313:E$2)))))</f>
        <v> </v>
      </c>
      <c r="J5314" s="25" t="str">
        <f>IF(OR(E5314="",E5314="!!!",F5314="NEW"),"",COUNTBLANK(OFFSET(A$1,,,SUMPRODUCT(MAX(ROW(E$2:E5314)*(E5314=E$2:E5314)))))-COUNTBLANK(OFFSET(A$1,,,SUMPRODUCT(MAX(ROW(E$1:E5313)*(E2=E$1:E5313))))))</f>
        <v> </v>
      </c>
      <c r="K5314" s="25" t="str">
        <f>IF(OR(E5314="",E5314="!!!",F5314="NEW"),"",INDEX(J$1:J5313,SUMPRODUCT(MAX(ROW(E$1:E5313)*(E5314=E$1:E5313)))))</f>
        <v> </v>
      </c>
      <c r="L5314" s="26"/>
    </row>
    <row r="5315" spans="1:12">
      <c r="A5315" s="20" t="s">
        <v>2557</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1097</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1077</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row>
    <row r="5319" spans="1:12">
      <c r="A5319" s="20" t="s">
        <v>1306</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2558</v>
      </c>
    </row>
    <row r="5321" spans="1:12">
      <c r="A5321" s="20" t="s">
        <v>2559</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1250</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2560</v>
      </c>
      <c r="B5323" s="27" t="s">
        <v>1064</v>
      </c>
      <c r="C5323" s="27" t="s">
        <v>1168</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1188</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1536</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1314</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1315</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2561</v>
      </c>
      <c r="B5328" s="27" t="s">
        <v>1087</v>
      </c>
      <c r="C5328" s="27" t="s">
        <v>1730</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t="s">
        <v>1181</v>
      </c>
      <c r="E5329" s="21">
        <f>IF(D5329="?OLD","!!!","")</f>
        <v/>
      </c>
      <c r="F5329" s="22" t="str">
        <f>IF(OR(E5329="",E5329="!!!"),"",IF(NOT(ISNA(VLOOKUP(E5329,E$1:E5328,1,FALSE()))),"OLD",IF(AND(E5329&lt;&gt;"",E5329&lt;&gt;"!!!"),"NEW","")))</f>
        <v> </v>
      </c>
      <c r="G5329" s="23" t="str">
        <f>IF(OR(E5329="",E5329="!!!"),"",IF(OR(J5329=0,AND(J5329=1,K5329=1),AND(J5329=1,I5329="SBJ"),AND(J5329=1,I5329=0)),"?IN_FOCUS",IF(J5329&lt;=2,"?ACTIVATED",IF(J5329&lt;&gt;"","?FAMILIAR",IF(F5329="NEW",IF(ISNA(VLOOKUP(E5329,#REF!,1,FALSE())),"?TYPE_IDENTIFIABLE","?REFERENTIAL"),"_")))))</f>
        <v> </v>
      </c>
      <c r="H5329" s="24" t="str">
        <f>IF(J5329&lt;&gt;1,"",IF(I5329="SBJ","CB","?"))</f>
        <v> </v>
      </c>
      <c r="I5329" s="25" t="str">
        <f>IF(OR(E5329="",E5329="!!!",F5329="NEW"),"",INDEX(B5328:B$2,-1+SUMPRODUCT(MAX(ROW(E5328:E$2)*(E5329=E5328:E$2)))))</f>
        <v> </v>
      </c>
      <c r="J5329" s="25" t="str">
        <f>IF(OR(E5329="",E5329="!!!",F5329="NEW"),"",COUNTBLANK(OFFSET(A$1,,,SUMPRODUCT(MAX(ROW(E$2:E5329)*(E5329=E$2:E5329)))))-COUNTBLANK(OFFSET(A$1,,,SUMPRODUCT(MAX(ROW(E$1:E5328)*(E2=E$1:E5328))))))</f>
        <v> </v>
      </c>
      <c r="K5329" s="25" t="str">
        <f>IF(OR(E5329="",E5329="!!!",F5329="NEW"),"",INDEX(J$1:J5328,SUMPRODUCT(MAX(ROW(E$1:E5328)*(E5329=E$1:E5328)))))</f>
        <v> </v>
      </c>
      <c r="L5329" s="26"/>
    </row>
    <row r="5330" spans="1:12">
      <c r="A5330" s="20" t="s">
        <v>1101</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t="s">
        <v>1036</v>
      </c>
      <c r="B5331" s="27" t="s">
        <v>1092</v>
      </c>
      <c r="C5331" s="27" t="s">
        <v>1083</v>
      </c>
      <c r="D5331" s="27" t="s">
        <v>1066</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t="s">
        <v>1152</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1470</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2562</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1321</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1315</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row>
    <row r="5338" spans="1:12">
      <c r="A5338" s="20" t="s">
        <v>2563</v>
      </c>
    </row>
    <row r="5339" spans="1:12">
      <c r="A5339" s="20" t="s">
        <v>2564</v>
      </c>
      <c r="B5339" s="27" t="s">
        <v>1064</v>
      </c>
      <c r="C5339" s="27" t="s">
        <v>1065</v>
      </c>
      <c r="D5339" s="27" t="s">
        <v>1066</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t="s">
        <v>1181</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2063</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2034</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1084</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2565</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2566</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2567</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t="s">
        <v>2568</v>
      </c>
      <c r="B5347" s="27" t="s">
        <v>1071</v>
      </c>
      <c r="C5347" s="27" t="s">
        <v>1168</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t="s">
        <v>1084</v>
      </c>
      <c r="E5348" s="21">
        <f>IF(D5348="?OLD","!!!","")</f>
        <v/>
      </c>
      <c r="F5348" s="22" t="str">
        <f>IF(OR(E5348="",E5348="!!!"),"",IF(NOT(ISNA(VLOOKUP(E5348,E$1:E5347,1,FALSE()))),"OLD",IF(AND(E5348&lt;&gt;"",E5348&lt;&gt;"!!!"),"NEW","")))</f>
        <v> </v>
      </c>
      <c r="G5348" s="23" t="str">
        <f>IF(OR(E5348="",E5348="!!!"),"",IF(OR(J5348=0,AND(J5348=1,K5348=1),AND(J5348=1,I5348="SBJ"),AND(J5348=1,I5348=0)),"?IN_FOCUS",IF(J5348&lt;=2,"?ACTIVATED",IF(J5348&lt;&gt;"","?FAMILIAR",IF(F5348="NEW",IF(ISNA(VLOOKUP(E5348,#REF!,1,FALSE())),"?TYPE_IDENTIFIABLE","?REFERENTIAL"),"_")))))</f>
        <v> </v>
      </c>
      <c r="H5348" s="24" t="str">
        <f>IF(J5348&lt;&gt;1,"",IF(I5348="SBJ","CB","?"))</f>
        <v> </v>
      </c>
      <c r="I5348" s="25" t="str">
        <f>IF(OR(E5348="",E5348="!!!",F5348="NEW"),"",INDEX(B5347:B$2,-1+SUMPRODUCT(MAX(ROW(E5347:E$2)*(E5348=E5347:E$2)))))</f>
        <v> </v>
      </c>
      <c r="J5348" s="25" t="str">
        <f>IF(OR(E5348="",E5348="!!!",F5348="NEW"),"",COUNTBLANK(OFFSET(A$1,,,SUMPRODUCT(MAX(ROW(E$2:E5348)*(E5348=E$2:E5348)))))-COUNTBLANK(OFFSET(A$1,,,SUMPRODUCT(MAX(ROW(E$1:E5347)*(E2=E$1:E5347))))))</f>
        <v> </v>
      </c>
      <c r="K5348" s="25" t="str">
        <f>IF(OR(E5348="",E5348="!!!",F5348="NEW"),"",INDEX(J$1:J5347,SUMPRODUCT(MAX(ROW(E$1:E5347)*(E5348=E$1:E5347)))))</f>
        <v> </v>
      </c>
      <c r="L5348" s="26"/>
    </row>
    <row r="5349" spans="1:12">
      <c r="A5349" s="20" t="s">
        <v>1243</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1140</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2462</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12</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2569</v>
      </c>
      <c r="B5353" s="27" t="s">
        <v>1071</v>
      </c>
      <c r="C5353" s="27" t="s">
        <v>1083</v>
      </c>
      <c r="D5353" s="27" t="s">
        <v>1066</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2570</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1084</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1298</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1769</v>
      </c>
      <c r="B5357" s="27" t="s">
        <v>1092</v>
      </c>
      <c r="C5357" s="27" t="s">
        <v>1065</v>
      </c>
      <c r="D5357" s="27" t="s">
        <v>1066</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1265</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2571</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1084</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1146</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1080</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1182</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1190</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2572</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1906</v>
      </c>
      <c r="B5366" s="27" t="s">
        <v>1089</v>
      </c>
      <c r="C5366" s="27" t="s">
        <v>1128</v>
      </c>
      <c r="D5366" s="27" t="s">
        <v>1066</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1188</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1075</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1229</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2573</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1769</v>
      </c>
      <c r="B5371" s="27" t="s">
        <v>1106</v>
      </c>
      <c r="C5371" s="27" t="s">
        <v>1065</v>
      </c>
      <c r="D5371" s="27" t="s">
        <v>1066</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1536</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1080</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2574</v>
      </c>
      <c r="B5374" s="27" t="s">
        <v>1104</v>
      </c>
      <c r="C5374" s="27" t="s">
        <v>1083</v>
      </c>
      <c r="D5374" s="27" t="s">
        <v>1066</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1077</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row>
    <row r="5377" spans="1:12">
      <c r="A5377" s="20" t="s">
        <v>2575</v>
      </c>
    </row>
    <row r="5378" spans="1:12">
      <c r="A5378" s="20" t="s">
        <v>1079</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1080</v>
      </c>
      <c r="B5379" s="27" t="s">
        <v>1064</v>
      </c>
      <c r="C5379" s="27" t="s">
        <v>1126</v>
      </c>
      <c r="D5379" s="27" t="s">
        <v>1066</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1188</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141</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2576</v>
      </c>
      <c r="B5382" s="27" t="s">
        <v>1071</v>
      </c>
      <c r="C5382" s="27" t="s">
        <v>1117</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1084</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1110</v>
      </c>
      <c r="B5384" s="27" t="s">
        <v>1087</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1063</v>
      </c>
      <c r="B5385" s="27" t="s">
        <v>1092</v>
      </c>
      <c r="C5385" s="27" t="s">
        <v>1065</v>
      </c>
      <c r="D5385" s="27" t="s">
        <v>1066</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1124</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2577</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2578</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1077</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row>
    <row r="5391" spans="1:12">
      <c r="A5391" s="20" t="s">
        <v>2579</v>
      </c>
    </row>
    <row r="5392" spans="1:12">
      <c r="A5392" s="20" t="s">
        <v>1161</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1036</v>
      </c>
      <c r="B5393" s="27" t="s">
        <v>1071</v>
      </c>
      <c r="C5393" s="27" t="s">
        <v>1083</v>
      </c>
      <c r="D5393" s="27" t="s">
        <v>1066</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1084</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t="s">
        <v>1164</v>
      </c>
      <c r="B5395" s="27" t="s">
        <v>1092</v>
      </c>
      <c r="C5395" s="27" t="s">
        <v>1065</v>
      </c>
      <c r="D5395" s="27" t="s">
        <v>1066</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1188</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1541</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1901</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1084</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1163</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1159</v>
      </c>
      <c r="B5401" s="27" t="s">
        <v>1089</v>
      </c>
      <c r="C5401" s="27" t="s">
        <v>1107</v>
      </c>
      <c r="D5401" s="27" t="s">
        <v>1066</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1101</v>
      </c>
      <c r="B5402" s="27" t="s">
        <v>1130</v>
      </c>
      <c r="C5402" s="27" t="s">
        <v>1107</v>
      </c>
      <c r="D5402" s="27" t="s">
        <v>1066</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2580</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1181</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1077</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row>
    <row r="5407" spans="1:12">
      <c r="A5407" s="20" t="s">
        <v>2581</v>
      </c>
    </row>
    <row r="5408" spans="1:12">
      <c r="A5408" s="20" t="s">
        <v>2255</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1314</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t="s">
        <v>760</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t="s">
        <v>1084</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1063</v>
      </c>
      <c r="B5412" s="27" t="s">
        <v>1064</v>
      </c>
      <c r="C5412" s="27" t="s">
        <v>1065</v>
      </c>
      <c r="D5412" s="27" t="s">
        <v>1066</v>
      </c>
      <c r="E5412" s="21">
        <f>IF(D5412="?OLD","!!!","")</f>
        <v/>
      </c>
      <c r="F5412" s="22" t="str">
        <f>IF(OR(E5412="",E5412="!!!"),"",IF(NOT(ISNA(VLOOKUP(E5412,E$1:E5411,1,FALSE()))),"OLD",IF(AND(E5412&lt;&gt;"",E5412&lt;&gt;"!!!"),"NEW","")))</f>
        <v> </v>
      </c>
      <c r="G5412" s="23" t="str">
        <f>IF(OR(E5412="",E5412="!!!"),"",IF(OR(J5412=0,AND(J5412=1,K5412=1),AND(J5412=1,I5412="SBJ"),AND(J5412=1,I5412=0)),"?IN_FOCUS",IF(J5412&lt;=2,"?ACTIVATED",IF(J5412&lt;&gt;"","?FAMILIAR",IF(F5412="NEW",IF(ISNA(VLOOKUP(E5412,#REF!,1,FALSE())),"?TYPE_IDENTIFIABLE","?REFERENTIAL"),"_")))))</f>
        <v> </v>
      </c>
      <c r="H5412" s="24" t="str">
        <f>IF(J5412&lt;&gt;1,"",IF(I5412="SBJ","CB","?"))</f>
        <v> </v>
      </c>
      <c r="I5412" s="25" t="str">
        <f>IF(OR(E5412="",E5412="!!!",F5412="NEW"),"",INDEX(B5411:B$2,-1+SUMPRODUCT(MAX(ROW(E5411:E$2)*(E5412=E5411:E$2)))))</f>
        <v> </v>
      </c>
      <c r="J5412" s="25" t="str">
        <f>IF(OR(E5412="",E5412="!!!",F5412="NEW"),"",COUNTBLANK(OFFSET(A$1,,,SUMPRODUCT(MAX(ROW(E$2:E5412)*(E5412=E$2:E5412)))))-COUNTBLANK(OFFSET(A$1,,,SUMPRODUCT(MAX(ROW(E$1:E5411)*(E2=E$1:E5411))))))</f>
        <v> </v>
      </c>
      <c r="K5412" s="25" t="str">
        <f>IF(OR(E5412="",E5412="!!!",F5412="NEW"),"",INDEX(J$1:J5411,SUMPRODUCT(MAX(ROW(E$1:E5411)*(E5412=E$1:E5411)))))</f>
        <v> </v>
      </c>
      <c r="L5412" s="26"/>
    </row>
    <row r="5413" spans="1:12">
      <c r="A5413" s="20" t="s">
        <v>1904</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1063</v>
      </c>
      <c r="B5414" s="27" t="s">
        <v>1064</v>
      </c>
      <c r="C5414" s="27" t="s">
        <v>1065</v>
      </c>
      <c r="D5414" s="27" t="s">
        <v>1066</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1062</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1124</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1457</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1647</v>
      </c>
      <c r="B5418" s="27" t="s">
        <v>1068</v>
      </c>
      <c r="C5418" s="27" t="s">
        <v>1069</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1127</v>
      </c>
      <c r="B5419" s="27" t="s">
        <v>1064</v>
      </c>
      <c r="C5419" s="27" t="s">
        <v>1114</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1353</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1084</v>
      </c>
      <c r="E5421" s="21">
        <f>IF(D5421="?OLD","!!!","")</f>
        <v/>
      </c>
      <c r="F5421" s="22" t="str">
        <f>IF(OR(E5421="",E5421="!!!"),"",IF(NOT(ISNA(VLOOKUP(E5421,E$1:E5420,1,FALSE()))),"OLD",IF(AND(E5421&lt;&gt;"",E5421&lt;&gt;"!!!"),"NEW","")))</f>
        <v> </v>
      </c>
      <c r="G5421" s="23" t="str">
        <f>IF(OR(E5421="",E5421="!!!"),"",IF(OR(J5421=0,AND(J5421=1,K5421=1),AND(J5421=1,I5421="SBJ"),AND(J5421=1,I5421=0)),"?IN_FOCUS",IF(J5421&lt;=2,"?ACTIVATED",IF(J5421&lt;&gt;"","?FAMILIAR",IF(F5421="NEW",IF(ISNA(VLOOKUP(E5421,#REF!,1,FALSE())),"?TYPE_IDENTIFIABLE","?REFERENTIAL"),"_")))))</f>
        <v> </v>
      </c>
      <c r="H5421" s="24" t="str">
        <f>IF(J5421&lt;&gt;1,"",IF(I5421="SBJ","CB","?"))</f>
        <v> </v>
      </c>
      <c r="I5421" s="25" t="str">
        <f>IF(OR(E5421="",E5421="!!!",F5421="NEW"),"",INDEX(B5420:B$2,-1+SUMPRODUCT(MAX(ROW(E5420:E$2)*(E5421=E5420:E$2)))))</f>
        <v> </v>
      </c>
      <c r="J5421" s="25" t="str">
        <f>IF(OR(E5421="",E5421="!!!",F5421="NEW"),"",COUNTBLANK(OFFSET(A$1,,,SUMPRODUCT(MAX(ROW(E$2:E5421)*(E5421=E$2:E5421)))))-COUNTBLANK(OFFSET(A$1,,,SUMPRODUCT(MAX(ROW(E$1:E5420)*(E2=E$1:E5420))))))</f>
        <v> </v>
      </c>
      <c r="K5421" s="25" t="str">
        <f>IF(OR(E5421="",E5421="!!!",F5421="NEW"),"",INDEX(J$1:J5420,SUMPRODUCT(MAX(ROW(E$1:E5420)*(E5421=E$1:E5420)))))</f>
        <v> </v>
      </c>
      <c r="L5421" s="26"/>
    </row>
    <row r="5422" spans="1:12">
      <c r="A5422" s="20" t="s">
        <v>1193</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t="s">
        <v>1063</v>
      </c>
      <c r="B5423" s="27" t="s">
        <v>1092</v>
      </c>
      <c r="C5423" s="27" t="s">
        <v>1065</v>
      </c>
      <c r="D5423" s="27" t="s">
        <v>1066</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2582</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1084</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1063</v>
      </c>
      <c r="B5426" s="27" t="s">
        <v>1130</v>
      </c>
      <c r="C5426" s="27" t="s">
        <v>1065</v>
      </c>
      <c r="D5426" s="27" t="s">
        <v>1066</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2583</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1317</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1084</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1146</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2584</v>
      </c>
      <c r="B5431" s="27" t="s">
        <v>1113</v>
      </c>
      <c r="C5431" s="27" t="s">
        <v>1090</v>
      </c>
      <c r="D5431" s="27" t="s">
        <v>1066</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686</v>
      </c>
      <c r="B5432" s="27" t="s">
        <v>1232</v>
      </c>
      <c r="C5432" s="27" t="s">
        <v>1074</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2585</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1181</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1077</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row>
    <row r="5437" spans="1:12">
      <c r="A5437" s="20" t="s">
        <v>2586</v>
      </c>
    </row>
    <row r="5438" spans="1:12">
      <c r="A5438" s="20" t="s">
        <v>2212</v>
      </c>
      <c r="B5438" s="27" t="s">
        <v>1068</v>
      </c>
      <c r="C5438" s="27" t="s">
        <v>1069</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1084</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1803</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743</v>
      </c>
      <c r="B5441" s="27" t="s">
        <v>1071</v>
      </c>
      <c r="C5441" s="27" t="s">
        <v>1114</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1077</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row>
    <row r="5444" spans="1:12">
      <c r="A5444" s="20" t="s">
        <v>2587</v>
      </c>
    </row>
    <row r="5445" spans="1:12">
      <c r="A5445" s="20" t="s">
        <v>785</v>
      </c>
      <c r="B5445" s="27" t="s">
        <v>1071</v>
      </c>
      <c r="C5445" s="27" t="s">
        <v>1131</v>
      </c>
      <c r="D5445" s="27" t="s">
        <v>1066</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1314</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2217</v>
      </c>
      <c r="B5447" s="27" t="s">
        <v>1071</v>
      </c>
      <c r="C5447" s="27" t="s">
        <v>1131</v>
      </c>
      <c r="D5447" s="27" t="s">
        <v>1066</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1077</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2024-05-20T20:26:17Z</dcterms:created>
  <dcterms:modified xsi:type="dcterms:W3CDTF">2024-05-20T20:26:17Z</dcterms:modified>
</cp:coreProperties>
</file>