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<sst xmlns="http://schemas.openxmlformats.org/spreadsheetml/2006/main" count="7706" uniqueCount="1901">
  <si>
    <t>ID</t>
  </si>
  <si>
    <t>PRED_ID</t>
  </si>
  <si>
    <t>MARKER_AUTO</t>
  </si>
  <si>
    <t>PREDICATE</t>
  </si>
  <si>
    <t>TEXT</t>
  </si>
  <si>
    <t>SENTENCE</t>
  </si>
  <si>
    <t>MARKER</t>
  </si>
  <si>
    <t>TARGET</t>
  </si>
  <si>
    <t>RELATION</t>
  </si>
  <si>
    <t>COMMENT</t>
  </si>
  <si>
    <t>1</t>
  </si>
  <si>
    <t>6</t>
  </si>
  <si>
    <t>Was?</t>
  </si>
  <si>
    <t>erzählen</t>
  </si>
  <si>
    <t>Ich würde Ihnen gerne etwas erzählen , was mir vor ein paar Monaten beim bei dem Schreiben eines Artikels für Italian Wired aufgefallen ist .</t>
  </si>
  <si>
    <t>file://conllu/de/teddy-1154.conllu#s1_0</t>
  </si>
  <si>
    <t>_</t>
  </si>
  <si>
    <t>2</t>
  </si>
  <si>
    <t>11</t>
  </si>
  <si>
    <t>griffbereit</t>
  </si>
  <si>
    <t>Ich habe beim bei dem Schreiben immer mein Synonym Wörterbuch griffbereit , aber ich war mit dem Bearbeiten des Textes schon fertig , und mir fiel auf , dass ich noch nie in meinem Leben nachgeschlagen habe , was das Wort &amp;quot; behindert &amp;quot; wirklich bedeutet .</t>
  </si>
  <si>
    <t>file://conllu/de/teddy-1154.conllu#s2_0</t>
  </si>
  <si>
    <t>3</t>
  </si>
  <si>
    <t>les</t>
  </si>
  <si>
    <t>Ich lese Ihnen den Eintrag vor .</t>
  </si>
  <si>
    <t>file://conllu/de/teddy-1154.conllu#s3_0</t>
  </si>
  <si>
    <t>4</t>
  </si>
  <si>
    <t>26</t>
  </si>
  <si>
    <t>abtrennen</t>
  </si>
  <si>
    <t>&amp;quot; Behindert &amp;quot; , Adjektiv : &amp;quot; verkrüppelt , hilflos , nutzlos , zerstört , abgestorben , verstümmelt , verwundet , zugerichtet , lahm , abgetrennt verwahrlost , ausgedient , geschwächt , impotent , kastriert , gelähmt , gehandicapt senil , altersschwach , aus dem Verkehr gezogen , nachgebessert , erledigt , kaputt geborsten , ausgezählt , siehe auch verletzt , nutzlos und schwach .</t>
  </si>
  <si>
    <t>file://conllu/de/teddy-1154.conllu#s4_0</t>
  </si>
  <si>
    <t>5</t>
  </si>
  <si>
    <t>Synonym|Antonyme</t>
  </si>
  <si>
    <t>Antonyme : Gesund , stark , leistungsfähig . &amp;quot;</t>
  </si>
  <si>
    <t>file://conllu/de/teddy-1154.conllu#s5_0</t>
  </si>
  <si>
    <t>8</t>
  </si>
  <si>
    <t>vorlesen</t>
  </si>
  <si>
    <t>Ich habe diese Liste einem Freund laut vorgelesen und musste erstmal lachen , es wirkte so lächerlich , aber ich kam nur bis &amp;quot; zugerichtet &amp;quot; und konnte nicht mehr weitersprechen , und musste aufhören zu lesen und mich erstmal sammeln nach dieser überfallartigen Wortflut und dem damit verbundenden emotionalen Schock .</t>
  </si>
  <si>
    <t>file://conllu/de/teddy-1154.conllu#s6_0</t>
  </si>
  <si>
    <t>7</t>
  </si>
  <si>
    <t>sein (sein Wörterbuch)</t>
  </si>
  <si>
    <t>Natürlich war das ein ausgefranstes , altes Synonym Wörterbuch .</t>
  </si>
  <si>
    <t>file://conllu/de/teddy-1154.conllu#s7_0</t>
  </si>
  <si>
    <t>denken|gedenken</t>
  </si>
  <si>
    <t>Ich hab mir einfach gedacht , dass die Ausgabe schon ziemlich alt sein muss .</t>
  </si>
  <si>
    <t>file://conllu/de/teddy-1154.conllu#s8_0</t>
  </si>
  <si>
    <t>9</t>
  </si>
  <si>
    <t>sein (sein Ausgabe)</t>
  </si>
  <si>
    <t>aber tatsächlich war es eine Ausgabe auf den frühen 80ern , als ich gerade mit der Grundschule anfing und damit begann , mein Selbstbild außerhalb meines familiären Umfelds aufzubauen und zu formen , auch in Bezug auf andere Kinder und zur zu der übrigen Welt um mich herum .</t>
  </si>
  <si>
    <t>file://conllu/de/teddy-1154.conllu#s9_0</t>
  </si>
  <si>
    <t>10</t>
  </si>
  <si>
    <t>sein (sein benutzen)</t>
  </si>
  <si>
    <t>Und Gott sei Dank habe ich damals kein Synonym Wörterbuch benutzt .</t>
  </si>
  <si>
    <t>file://conllu/de/teddy-1154.conllu#s10_0</t>
  </si>
  <si>
    <t>12</t>
  </si>
  <si>
    <t>gebären</t>
  </si>
  <si>
    <t>Würde ich diesen Eintrag ernst nehmen wäre ich in eine Welt geboren , die jemand wie mich als eine Person wahrnehmen würde , deren Leben in keinster Weise positiv verlaufen kann .</t>
  </si>
  <si>
    <t>file://conllu/de/teddy-1154.conllu#s11_0</t>
  </si>
  <si>
    <t>16</t>
  </si>
  <si>
    <t>feiern</t>
  </si>
  <si>
    <t>Heute aber werde ich für die Chancen und Abenteuer , die ich erlebt habe , gefeiert .</t>
  </si>
  <si>
    <t>file://conllu/de/teddy-1154.conllu#s12_0</t>
  </si>
  <si>
    <t>13</t>
  </si>
  <si>
    <t>aufrufen</t>
  </si>
  <si>
    <t>Also hab ich mir sofort die Online Ausgabe von 2009 aufgerufen und erwartet , dass ich hier einen ansprechenderen Beitrag finde .</t>
  </si>
  <si>
    <t>file://conllu/de/teddy-1154.conllu#s13_0</t>
  </si>
  <si>
    <t>14</t>
  </si>
  <si>
    <t>sein (sein Version)</t>
  </si>
  <si>
    <t>Hier ist die aktualisierte Version dieses Eintrags .</t>
  </si>
  <si>
    <t>file://conllu/de/teddy-1154.conllu#s14_0</t>
  </si>
  <si>
    <t>15</t>
  </si>
  <si>
    <t>sein (sein gut)</t>
  </si>
  <si>
    <t>Dummerweise ist sie nicht viel besser .</t>
  </si>
  <si>
    <t>file://conllu/de/teddy-1154.conllu#s15_0</t>
  </si>
  <si>
    <t>erschüttern</t>
  </si>
  <si>
    <t>Insbesondere erschüttern mich die letzten beiden Wörter unter &amp;quot; Near Antonyms &amp;quot; &amp;quot; ganz &amp;quot; und &amp;quot; gesund &amp;quot; .</t>
  </si>
  <si>
    <t>file://conllu/de/teddy-1154.conllu#s16_0</t>
  </si>
  <si>
    <t>17</t>
  </si>
  <si>
    <t>gehen</t>
  </si>
  <si>
    <t>Aber es geht nicht nur um die Wörter .</t>
  </si>
  <si>
    <t>file://conllu/de/teddy-1154.conllu#s17_0</t>
  </si>
  <si>
    <t>18</t>
  </si>
  <si>
    <t>Es geht darum , was wir über die Menschen denken , die wir mit diesen Wörtern beschreiben .</t>
  </si>
  <si>
    <t>file://conllu/de/teddy-1154.conllu#s18_0</t>
  </si>
  <si>
    <t>19</t>
  </si>
  <si>
    <t>Es geht um die Werte , die in diesen Worten stecken , und wie wir diese Werte konstruieren .</t>
  </si>
  <si>
    <t>file://conllu/de/teddy-1154.conllu#s19_0</t>
  </si>
  <si>
    <t>20</t>
  </si>
  <si>
    <t>beeinflussen</t>
  </si>
  <si>
    <t>Unsere Sprache beeinflusst unser Denken und wie wir die Welt und die Menschen um uns herum sehen .</t>
  </si>
  <si>
    <t>file://conllu/de/teddy-1154.conllu#s20_0</t>
  </si>
  <si>
    <t>21</t>
  </si>
  <si>
    <t>glauben</t>
  </si>
  <si>
    <t>Viele altertümliche Gesellschaften , einschließlich die der Griechen und der Römer , haben wirklich geglaubt , dass die Aussprache eines Fluchs eine große Kraft hat , weil das , was man laut ausspricht , sich auch manifestieren kann .</t>
  </si>
  <si>
    <t>file://conllu/de/teddy-1154.conllu#s21_0</t>
  </si>
  <si>
    <t>22</t>
  </si>
  <si>
    <t>also</t>
  </si>
  <si>
    <t>Also , was wollen wir eigentlich manifestieren – einen behinderten Menschen oder einen kraftvollen Menschen ?</t>
  </si>
  <si>
    <t>file://conllu/de/teddy-1154.conllu#s22_0</t>
  </si>
  <si>
    <t>23</t>
  </si>
  <si>
    <t>ausreichen</t>
  </si>
  <si>
    <t>Allein schon einen Menschen achtlos als Kind zu bezeichnen , könnte ausreichen , sie einzuschränken und ihnen Vorstellungen überzustülpen .</t>
  </si>
  <si>
    <t>file://conllu/de/teddy-1154.conllu#s23_0</t>
  </si>
  <si>
    <t>24</t>
  </si>
  <si>
    <t>sein (sein schöner)</t>
  </si>
  <si>
    <t>Wäre es nicht schöner , Ihnen Türen zu öffnen ?</t>
  </si>
  <si>
    <t>file://conllu/de/teddy-1154.conllu#s24_0</t>
  </si>
  <si>
    <t>25</t>
  </si>
  <si>
    <t>sein (sein Kinderarzt)</t>
  </si>
  <si>
    <t>Ein Mensch , der für mich Türen geöffnet hat , war mein Kinderarzt am an dem A.I.</t>
  </si>
  <si>
    <t>file://conllu/de/teddy-1154.conllu#s25_0</t>
  </si>
  <si>
    <t>Dupont</t>
  </si>
  <si>
    <t>Dupont Institut in Wilmington in Delaware .</t>
  </si>
  <si>
    <t>file://conllu/de/teddy-1154.conllu#s26_0</t>
  </si>
  <si>
    <t>27</t>
  </si>
  <si>
    <t>heißen</t>
  </si>
  <si>
    <t>Er heißt Dr.</t>
  </si>
  <si>
    <t>file://conllu/de/teddy-1154.conllu#s27_0</t>
  </si>
  <si>
    <t>28</t>
  </si>
  <si>
    <t>Pizzutillo</t>
  </si>
  <si>
    <t>Pizzutillo .</t>
  </si>
  <si>
    <t>file://conllu/de/teddy-1154.conllu#s28_0</t>
  </si>
  <si>
    <t>29</t>
  </si>
  <si>
    <t>Amerikaner</t>
  </si>
  <si>
    <t>Ein Italo Amerikaner , dessen Name , wie Sie sich denken können , die meisten Amerikaner nicht korrekt aussprechen konnten .</t>
  </si>
  <si>
    <t>file://conllu/de/teddy-1154.conllu#s29_0</t>
  </si>
  <si>
    <t>30</t>
  </si>
  <si>
    <t>werden</t>
  </si>
  <si>
    <t>Also wurde er immer Dr.</t>
  </si>
  <si>
    <t>file://conllu/de/teddy-1154.conllu#s30_0</t>
  </si>
  <si>
    <t>31</t>
  </si>
  <si>
    <t>nennen</t>
  </si>
  <si>
    <t>P. genannt .</t>
  </si>
  <si>
    <t>file://conllu/de/teddy-1154.conllu#s31_0</t>
  </si>
  <si>
    <t>32</t>
  </si>
  <si>
    <t>Dr.</t>
  </si>
  <si>
    <t>Und Dr.</t>
  </si>
  <si>
    <t>file://conllu/de/teddy-1154.conllu#s32_0</t>
  </si>
  <si>
    <t>33</t>
  </si>
  <si>
    <t>tragen</t>
  </si>
  <si>
    <t>P. trug immer sehr bunte Fliegen und war für die Arbeit mit Kindern einfach wie geschaffen .</t>
  </si>
  <si>
    <t>file://conllu/de/teddy-1154.conllu#s33_0</t>
  </si>
  <si>
    <t>34</t>
  </si>
  <si>
    <t>finden</t>
  </si>
  <si>
    <t>Ich fand die Zeit , die ich in diesem Krankenhaus verbracht habe , einfach toll – bis auf meine Physiotherapie .</t>
  </si>
  <si>
    <t>file://conllu/de/teddy-1154.conllu#s34_0</t>
  </si>
  <si>
    <t>35</t>
  </si>
  <si>
    <t>wiederholen</t>
  </si>
  <si>
    <t>Ich musste einzelne Übungen scheinbar unendlich oft wiederholen mit diesen dicken , elastischen Bändern in verschiedenen Farben das kennen Sie , um meine Bein Muskeln aufzubauen .</t>
  </si>
  <si>
    <t>file://conllu/de/teddy-1154.conllu#s35_0</t>
  </si>
  <si>
    <t>36</t>
  </si>
  <si>
    <t>gehasst</t>
  </si>
  <si>
    <t>Und ich habe diese Bänder mehr gehasst als alles andere .</t>
  </si>
  <si>
    <t>file://conllu/de/teddy-1154.conllu#s36_0</t>
  </si>
  <si>
    <t>37</t>
  </si>
  <si>
    <t>hassen</t>
  </si>
  <si>
    <t>Ich hab sie gehasst .</t>
  </si>
  <si>
    <t>file://conllu/de/teddy-1154.conllu#s37_0</t>
  </si>
  <si>
    <t>38</t>
  </si>
  <si>
    <t>verfluchen</t>
  </si>
  <si>
    <t>Ich habe sie verflucht .</t>
  </si>
  <si>
    <t>file://conllu/de/teddy-1154.conllu#s38_0</t>
  </si>
  <si>
    <t>39</t>
  </si>
  <si>
    <t>file://conllu/de/teddy-1154.conllu#s39_0</t>
  </si>
  <si>
    <t>40</t>
  </si>
  <si>
    <t>stellen</t>
  </si>
  <si>
    <t>Und stellen Sie sich vor , ich hab sogar schon als fünfjähriges Kind mit Dr.</t>
  </si>
  <si>
    <t>file://conllu/de/teddy-1154.conllu#s40_0</t>
  </si>
  <si>
    <t>41</t>
  </si>
  <si>
    <t>verhandeln</t>
  </si>
  <si>
    <t>P. verhandelt und so versucht , diese Übungen zu stoppen , natürllich ohne Erfolg .</t>
  </si>
  <si>
    <t>file://conllu/de/teddy-1154.conllu#s41_0</t>
  </si>
  <si>
    <t>42</t>
  </si>
  <si>
    <t>sagen (sagen beobachten)</t>
  </si>
  <si>
    <t>Und eines Tages hat er mich bei einer meiner Übungen beobachtet diese Übungen waren einfach ermüdend und gnadenlos und er sagte zu mir , &amp;quot; Wow , Aimee , Du bist so ein starkes , kraftvolles und junges Mädchen , Du wirst eines Tages eines dieser Bänder zerreißen .</t>
  </si>
  <si>
    <t>file://conllu/de/teddy-1154.conllu#s42_0</t>
  </si>
  <si>
    <t>43</t>
  </si>
  <si>
    <t>geben</t>
  </si>
  <si>
    <t>Und wenn Du es schaffst , gebe ich Dir Hundert Dollar . &amp;quot;</t>
  </si>
  <si>
    <t>file://conllu/de/teddy-1154.conllu#s43_0</t>
  </si>
  <si>
    <t>44</t>
  </si>
  <si>
    <t>sein (sein Trick)</t>
  </si>
  <si>
    <t>Das war natürlich nur ein einfacher Trick von Dr.</t>
  </si>
  <si>
    <t>file://conllu/de/teddy-1154.conllu#s44_0</t>
  </si>
  <si>
    <t>45</t>
  </si>
  <si>
    <t>P.</t>
  </si>
  <si>
    <t>P. , damit ich die Übungen mache , die ich nicht machen wollte , mit der Aussicht , dass reichste fünfjährige Mädchen in der Krankenstation im in dem zweiten Stock zu werden .</t>
  </si>
  <si>
    <t>file://conllu/de/teddy-1154.conllu#s45_0</t>
  </si>
  <si>
    <t>46</t>
  </si>
  <si>
    <t>bringen</t>
  </si>
  <si>
    <t>Aber er hat mich tatsächlich dazu gebracht , meinen täglichen Übungs Horror mit neuen Augen zu sehen .</t>
  </si>
  <si>
    <t>file://conllu/de/teddy-1154.conllu#s46_0</t>
  </si>
  <si>
    <t>47</t>
  </si>
  <si>
    <t>So wurde daraus ein neues und vielversprechendes Erlebnis .</t>
  </si>
  <si>
    <t>file://conllu/de/teddy-1154.conllu#s47_0</t>
  </si>
  <si>
    <t>48</t>
  </si>
  <si>
    <t>vorstellen (vorstellen fragen)</t>
  </si>
  <si>
    <t>Und ich frage mich heute , wie sehr seine Vision von mir als starkes und kraftvolles junges Mädchen mein Selbstbild geformt hat und ich mir so vorstellen konnte , mich als einen von Natur aus starken , kraftvollen und atlethischen Mensch zu sehen .</t>
  </si>
  <si>
    <t>file://conllu/de/teddy-1154.conllu#s48_0</t>
  </si>
  <si>
    <t>49</t>
  </si>
  <si>
    <t>anregen</t>
  </si>
  <si>
    <t>Das ist nur ein Beispiel von vielen , wie Erwachsene in Machtpositionen die Vorstellungskraft eines Kindes anregen können .</t>
  </si>
  <si>
    <t>file://conllu/de/teddy-1154.conllu#s49_0</t>
  </si>
  <si>
    <t>50</t>
  </si>
  <si>
    <t>lassen</t>
  </si>
  <si>
    <t>Aber wie die bereits zitierten Beispiele aus den Synonym Wörterbüchern beweisen , lässt uns unsere Sprache keinen Raum , sich etwas vorzustellen , was wir uns alle wünschen würden : es jedem Einzelnen zu ermöglichen , sich selbst als kraftvollen Menschen zu sehen .</t>
  </si>
  <si>
    <t>file://conllu/de/teddy-1154.conllu#s50_0</t>
  </si>
  <si>
    <t>51</t>
  </si>
  <si>
    <t>hinken</t>
  </si>
  <si>
    <t>Unsere Sprache hinkt den gesellschaftlichen Veränderungen hinterher , die in vielen Fällen durch einen technologischen Wandel ausgelöst wurden .</t>
  </si>
  <si>
    <t>file://conllu/de/teddy-1154.conllu#s51_0</t>
  </si>
  <si>
    <t>53</t>
  </si>
  <si>
    <t>klarer</t>
  </si>
  <si>
    <t>Vielleicht verdeutlicht also dieser technologische Wandel klarer denn je , dass es schon immer eine andere Wahrheit gab , nämlich , dass jeder Mensch der Gesellschaft etwas ganz Besonderess und sehr Kraftvolles geben kann und dass die menschliche Fähigkeit , sich anzupassen , unser größtes Plus ist .</t>
  </si>
  <si>
    <t>file://conllu/de/teddy-1154.conllu#s53_0</t>
  </si>
  <si>
    <t>54</t>
  </si>
  <si>
    <t>anzupassen</t>
  </si>
  <si>
    <t>Die menschliche Fähigkeit sich anzupassen das ist eine interessante Geschichte , weil Menschen mich immer wieder darum bitten zu erzählen , wie ich mit Widrigkeiten umgehe und ich werde Ihnen etwas gestehen :</t>
  </si>
  <si>
    <t>file://conllu/de/teddy-1154.conllu#s54_0</t>
  </si>
  <si>
    <t>55</t>
  </si>
  <si>
    <t>passen</t>
  </si>
  <si>
    <t>Dieser Satz hat für mich nie gepasst und ich hab mich immer sehr unwohl damit gefühlt , die Fragen von Menschen dazu zu beantworten , und ich glaube , allmählich verstehe ich , warum .</t>
  </si>
  <si>
    <t>file://conllu/de/teddy-1154.conllu#s55_0</t>
  </si>
  <si>
    <t>56</t>
  </si>
  <si>
    <t>leben</t>
  </si>
  <si>
    <t>Dieser Satz vom von dem Umgang mit Widrigkeiten lebt von der Idee , dass Erfolg oder Glück davon abhängt , eine Herausforderung zu meistern , ohne von dem damit verbundenen Erlebnis geprägt zu werden .</t>
  </si>
  <si>
    <t>file://conllu/de/teddy-1154.conllu#s56_0</t>
  </si>
  <si>
    <t>57</t>
  </si>
  <si>
    <t>verlaufen</t>
  </si>
  <si>
    <t>Als ob mein Leben so erfolgreich verlaufen wäre , weil ich den möglichen Fallen eines Lebens mit einer Prothese ausweichen konnte , oder wie auch immer Menschen mich mit meiner Behinderung wahrnehmen .</t>
  </si>
  <si>
    <t>file://conllu/de/teddy-1154.conllu#s57_0</t>
  </si>
  <si>
    <t>58</t>
  </si>
  <si>
    <t>sein (sein aber)</t>
  </si>
  <si>
    <t>Aber die Wahrheit ist , dass wir uns verändern .</t>
  </si>
  <si>
    <t>file://conllu/de/teddy-1154.conllu#s58_0</t>
  </si>
  <si>
    <t>59</t>
  </si>
  <si>
    <t>prägen</t>
  </si>
  <si>
    <t>Natürlich sind wir von der Herausforderung geprägt , egal ob sie physisch , emotional oder sogar beides ist Und ich behaupte , dass das gut ist .</t>
  </si>
  <si>
    <t>file://conllu/de/teddy-1154.conllu#s59_0</t>
  </si>
  <si>
    <t>60</t>
  </si>
  <si>
    <t>sein (sein Hindernis)</t>
  </si>
  <si>
    <t>Widrigkeiten sind kein Hindernis , das wir umkurven müssen , um mit unserem Leben besser klar zu kommen .</t>
  </si>
  <si>
    <t>file://conllu/de/teddy-1154.conllu#s60_0</t>
  </si>
  <si>
    <t>61</t>
  </si>
  <si>
    <t>gehören</t>
  </si>
  <si>
    <t>Widrigkeiten gehören einfach zu unserem Leben .</t>
  </si>
  <si>
    <t>file://conllu/de/teddy-1154.conllu#s61_0</t>
  </si>
  <si>
    <t>62</t>
  </si>
  <si>
    <t>neigen</t>
  </si>
  <si>
    <t>Und ich neige dazu , Widrigkeiten als meinen Schatten zu sehen .</t>
  </si>
  <si>
    <t>file://conllu/de/teddy-1154.conllu#s62_0</t>
  </si>
  <si>
    <t>63</t>
  </si>
  <si>
    <t>merken</t>
  </si>
  <si>
    <t>Manchmal merke ich , dass er sehr präsent ist , manchmal ist er kaum zu sehen , aber er ist ständig bei mir .</t>
  </si>
  <si>
    <t>file://conllu/de/teddy-1154.conllu#s63_0</t>
  </si>
  <si>
    <t>64</t>
  </si>
  <si>
    <t>herabsetzen</t>
  </si>
  <si>
    <t>Und ich will damit keinesfalls die Auswirkung bzw . die Schwere des Kampfs eines Menschen herabsetzen .</t>
  </si>
  <si>
    <t>file://conllu/de/teddy-1154.conllu#s64_0</t>
  </si>
  <si>
    <t>65</t>
  </si>
  <si>
    <t>Es gibt im in dem Leben Widrigkeiten und Herausforderungen , und die sind nur alllzu real und jede Person geht damit anders um .</t>
  </si>
  <si>
    <t>file://conllu/de/teddy-1154.conllu#s65_0</t>
  </si>
  <si>
    <t>66</t>
  </si>
  <si>
    <t>lauten</t>
  </si>
  <si>
    <t>Aber die Frage lautet nicht , ob wir mit Widrigkeiten klar kommen oder nicht , sondern wie wir damit klar kommen .</t>
  </si>
  <si>
    <t>file://conllu/de/teddy-1154.conllu#s66_0</t>
  </si>
  <si>
    <t>67</t>
  </si>
  <si>
    <t>sein (sein verantwortlich)</t>
  </si>
  <si>
    <t>Wir sind also nicht nur dafür verantwortlich , die Menschen die wir lieben , vor Schicksalsschlägen zu bewahren , sondern sie auch darauf vorzubereiten , gut damit klar zu kommen .</t>
  </si>
  <si>
    <t>file://conllu/de/teddy-1154.conllu#s67_0</t>
  </si>
  <si>
    <t>68</t>
  </si>
  <si>
    <t>erweisen</t>
  </si>
  <si>
    <t>Und wir erweisen unseren Kindern keinen Gefallen , wenn wir ihnen das Gefühl geben , dass sie sich nicht anpassen können .</t>
  </si>
  <si>
    <t>file://conllu/de/teddy-1154.conllu#s68_0</t>
  </si>
  <si>
    <t>69</t>
  </si>
  <si>
    <t>trennen</t>
  </si>
  <si>
    <t>Man muss zwei Dinge klar trennen : zum zu dem einen die medizinische Tatsache , amputiert zu sein und zum zu dem anderen die gesellschaftliche Meinung darüber , ob ich behindert bin oder nicht .</t>
  </si>
  <si>
    <t>file://conllu/de/teddy-1154.conllu#s69_0</t>
  </si>
  <si>
    <t>70</t>
  </si>
  <si>
    <t>sein (sein Behinderung)</t>
  </si>
  <si>
    <t>Und um ehrlich zu sein , die einzige wirkliche und bleibende Behinderung , mit der ich mich auseinander setzen musste , ist , dass die Welt ständig meint , sie könne mich mit diesen Definitionen beschreiben .</t>
  </si>
  <si>
    <t>file://conllu/de/teddy-1154.conllu#s70_0</t>
  </si>
  <si>
    <t>71</t>
  </si>
  <si>
    <t>aufpassen</t>
  </si>
  <si>
    <t>In unserem Wunsch , die Menschen zu schützen , die uns am an dem Herzen liegen und ihnen die kalte , harte Wahrheit über ihre medizinische Prognose mitzuteilen oder sogar eine Prognose zur zu der Lebensqualität zu stellen , die sie erwartet , müssen wir aufpassen , dass wir nicht den Grundstein dafür legen , dass jemand tatsächlich behindert ist .</t>
  </si>
  <si>
    <t>file://conllu/de/teddy-1154.conllu#s71_0</t>
  </si>
  <si>
    <t>72</t>
  </si>
  <si>
    <t>sein (sein Konzept)</t>
  </si>
  <si>
    <t>Vielleicht ist das momentane Konzept , das nur darauf achtet , was in einem kaputt ist , und wie wir das reparieren , für jeden einzelnen eine größere Behinderung als die Pathologie an sich .</t>
  </si>
  <si>
    <t>file://conllu/de/teddy-1154.conllu#s72_0</t>
  </si>
  <si>
    <t>73</t>
  </si>
  <si>
    <t>schaffen</t>
  </si>
  <si>
    <t>Wenn wir einen Menschen nicht ganzheitlich behandeln , und nicht all seine Kräfte und Möglichkeiten wahrnehmen und anerkennen , schaffen wir zusätzlich zu dem natürlichen Kampf , den sie vielleicht führen müssen , eine weitere Krankheit .</t>
  </si>
  <si>
    <t>file://conllu/de/teddy-1154.conllu#s73_0</t>
  </si>
  <si>
    <t>74</t>
  </si>
  <si>
    <t>degradieren</t>
  </si>
  <si>
    <t>Wir degradieren einen Menschen , der für unsere Gesellschaft einen Wert hat .</t>
  </si>
  <si>
    <t>file://conllu/de/teddy-1154.conllu#s74_0</t>
  </si>
  <si>
    <t>75</t>
  </si>
  <si>
    <t>schauen</t>
  </si>
  <si>
    <t>Also müssen wir über die Patologie hinaus schauen und uns auf alle Bereich der menschlichen Möglichkeiten konzentrieren .</t>
  </si>
  <si>
    <t>file://conllu/de/teddy-1154.conllu#s75_0</t>
  </si>
  <si>
    <t>77</t>
  </si>
  <si>
    <t>abwert</t>
  </si>
  <si>
    <t>Wir sollten diese herausfordernden Zeiten nicht abwerten oder verleugnen , wir sollten weder versuchen , sie zu vermeiden , noch sollten wir sie unter den Teppich kehren , sondern es geht darum , in den Widrigkeiten Chancen zu erkennen .</t>
  </si>
  <si>
    <t>file://conllu/de/teddy-1154.conllu#s77_0</t>
  </si>
  <si>
    <t>78</t>
  </si>
  <si>
    <t>Es geht mir vielleicht eher darum , klar zu stellen , dass wir Widrigkeiten nicht unbedingt überwinden müssen , sondern dass wir dafür offen sind , sie zum zu dem umarmen , sie am an dem Schopf zu packen um auch mal einen Kampf Ausdruck zu verwenden und vielleicht sogar damit zu tanzen .</t>
  </si>
  <si>
    <t>file://conllu/de/teddy-1154.conllu#s78_0</t>
  </si>
  <si>
    <t>79</t>
  </si>
  <si>
    <t>Und vielleicht schaffen wir es , Widrigkeiten als etwas natürliches , stimmiges und nützliches zu sehen und fühlen uns so durch ihre Präsenz nicht mehr so belastet .</t>
  </si>
  <si>
    <t>file://conllu/de/teddy-1154.conllu#s79_0</t>
  </si>
  <si>
    <t>80</t>
  </si>
  <si>
    <t>In diesem Jahr feiern wir den 200 .</t>
  </si>
  <si>
    <t>file://conllu/de/teddy-1154.conllu#s80_0</t>
  </si>
  <si>
    <t>81</t>
  </si>
  <si>
    <t>haben</t>
  </si>
  <si>
    <t>Geburtstag von Charles Darwin und als er vor 150 Jahren über Evolution geschrieben hat , hat Darwin , in meinen Augen , auf etwas sehr Wahres im in dem menschlichen Charakter hingewiesen .</t>
  </si>
  <si>
    <t>file://conllu/de/teddy-1154.conllu#s81_0</t>
  </si>
  <si>
    <t>82</t>
  </si>
  <si>
    <t>umschreiben</t>
  </si>
  <si>
    <t>Ich würde es so umschreiben : Nicht der stärkste seiner Art überlebt , und auch nicht der intelligenteste seiner Art , sondern der , der sich Veränderungen am an dem besten anpassen kann .</t>
  </si>
  <si>
    <t>file://conllu/de/teddy-1154.conllu#s82_0</t>
  </si>
  <si>
    <t>83</t>
  </si>
  <si>
    <t>entstehen</t>
  </si>
  <si>
    <t>Aus Konflikten entsteht Kreativität .</t>
  </si>
  <si>
    <t>file://conllu/de/teddy-1154.conllu#s83_0</t>
  </si>
  <si>
    <t>84</t>
  </si>
  <si>
    <t>wissen</t>
  </si>
  <si>
    <t>Nicht nur aus Darwins Werk wissen wir , dass die Fähigkeit des Menschen , zu überleben und aufzublühen , vom von dem Kampf des menschlichen Geistes bestimmt ist , sich durch Konflikte zu wandeln .</t>
  </si>
  <si>
    <t>file://conllu/de/teddy-1154.conllu#s84_0</t>
  </si>
  <si>
    <t>85</t>
  </si>
  <si>
    <t>sein (sein Fähigkeit)</t>
  </si>
  <si>
    <t>Also , nochmals , Wandel und Anpassung sind die großartigsten Fähigkeiten des Menschen .</t>
  </si>
  <si>
    <t>file://conllu/de/teddy-1154.conllu#s85_0</t>
  </si>
  <si>
    <t>86</t>
  </si>
  <si>
    <t>Und vielleicht wissen wir erst , aus welchem Holz wir geschnitzt sind , wenn wir wirklich geprüft werden .</t>
  </si>
  <si>
    <t>file://conllu/de/teddy-1154.conllu#s86_0</t>
  </si>
  <si>
    <t>87</t>
  </si>
  <si>
    <t>sein (sein Sinn)</t>
  </si>
  <si>
    <t>Möglicherweise ist genau das der Sinn von Widrigkeiten , eine Wahrnehmung des Ichs , ein Gefühl für unsere eigene Kraft .</t>
  </si>
  <si>
    <t>file://conllu/de/teddy-1154.conllu#s87_0</t>
  </si>
  <si>
    <t>88</t>
  </si>
  <si>
    <t>schenken</t>
  </si>
  <si>
    <t>Wir können uns so selbst etwas schenken .</t>
  </si>
  <si>
    <t>file://conllu/de/teddy-1154.conllu#s88_0</t>
  </si>
  <si>
    <t>89</t>
  </si>
  <si>
    <t>Wir können Widrigkeiten eine neue Bedeutung geben , die über schwere Zeiten hinaus geht .</t>
  </si>
  <si>
    <t>file://conllu/de/teddy-1154.conllu#s89_0</t>
  </si>
  <si>
    <t>90</t>
  </si>
  <si>
    <t>sehen</t>
  </si>
  <si>
    <t>Vielleicht können wir Widrigkeiten als Veränderung sehen .</t>
  </si>
  <si>
    <t>file://conllu/de/teddy-1154.conllu#s90_0</t>
  </si>
  <si>
    <t>91</t>
  </si>
  <si>
    <t>stehen</t>
  </si>
  <si>
    <t>Widrigkeiten stehen für eine Veränderung , an die wir uns noch nicht angepasst haben .</t>
  </si>
  <si>
    <t>file://conllu/de/teddy-1154.conllu#s91_0</t>
  </si>
  <si>
    <t>92</t>
  </si>
  <si>
    <t>glauben (glauben glauben)</t>
  </si>
  <si>
    <t>Ich glaube , den größten Schaden , den wir uns selbst zugefügt haben , ist zu glauben , dass wir normal sein sollen .</t>
  </si>
  <si>
    <t>file://conllu/de/teddy-1154.conllu#s92_0</t>
  </si>
  <si>
    <t>93</t>
  </si>
  <si>
    <t>sein (sein normal)</t>
  </si>
  <si>
    <t>Mal ehrlich wer ist normal ?</t>
  </si>
  <si>
    <t>file://conllu/de/teddy-1154.conllu#s93_0</t>
  </si>
  <si>
    <t>94</t>
  </si>
  <si>
    <t>Es gibt kein Normal .</t>
  </si>
  <si>
    <t>file://conllu/de/teddy-1154.conllu#s94_0</t>
  </si>
  <si>
    <t>95</t>
  </si>
  <si>
    <t>Es gibt das Übliche .</t>
  </si>
  <si>
    <t>file://conllu/de/teddy-1154.conllu#s95_0</t>
  </si>
  <si>
    <t>96</t>
  </si>
  <si>
    <t>Typische</t>
  </si>
  <si>
    <t>Das Typische .</t>
  </si>
  <si>
    <t>file://conllu/de/teddy-1154.conllu#s96_0</t>
  </si>
  <si>
    <t>97</t>
  </si>
  <si>
    <t>Normale</t>
  </si>
  <si>
    <t>Aber nicht das Normale .</t>
  </si>
  <si>
    <t>file://conllu/de/teddy-1154.conllu#s97_0</t>
  </si>
  <si>
    <t>98</t>
  </si>
  <si>
    <t>lernen</t>
  </si>
  <si>
    <t>Und würden Sie diese arme , graue Person wirklich kennen lernen wollen , wenn es sie wirklich gäbe ?</t>
  </si>
  <si>
    <t>file://conllu/de/teddy-1154.conllu#s98_0</t>
  </si>
  <si>
    <t>99</t>
  </si>
  <si>
    <t>denken</t>
  </si>
  <si>
    <t>( Gelächter ) Ich denke , eher nicht .</t>
  </si>
  <si>
    <t>file://conllu/de/teddy-1154.conllu#s99_0</t>
  </si>
  <si>
    <t>100</t>
  </si>
  <si>
    <t>sein (sein toll)</t>
  </si>
  <si>
    <t>Es wäre toll , wenn wir dieses Denkmuster der Normalität gegen ein anderes der Möglichkeiten oder der Stärke , um es sogar noch ein bisschen gefährlicher zu formulieren , austauschen könnten .</t>
  </si>
  <si>
    <t>file://conllu/de/teddy-1154.conllu#s100_0</t>
  </si>
  <si>
    <t>101</t>
  </si>
  <si>
    <t>freisetzen</t>
  </si>
  <si>
    <t>So können wir die Kräfte von sehr vielen Kindern freisetzen , und sie dazu einladen , ihre ganz besonderen und wertvollen Fähigkeiten in die Gesellschaft einzubringen .</t>
  </si>
  <si>
    <t>file://conllu/de/teddy-1154.conllu#s101_0</t>
  </si>
  <si>
    <t>102</t>
  </si>
  <si>
    <t>Anthropolgen haben heraus gefunden , dass wir Menschen von den Mitgliedern unserer Gesellschaft immer eines gefordert haben : Nützlich zu sein und einen Beitrag zu leisten .</t>
  </si>
  <si>
    <t>file://conllu/de/teddy-1154.conllu#s102_0</t>
  </si>
  <si>
    <t>103</t>
  </si>
  <si>
    <t>Es gibt Hinweise darauf , dass schon die Neandertaler vor 60.000 Jahren ältere Menschen und Menschen mit schweren körperlichen Verletzungen mit getragen haben und das geschah vielleicht , weil die Lebenserfahrung im in dem Überlebenskampf dieser Menschen für die Gesellschaft wertvoll war : sie haben diese Menschen nicht als kaputt und nutzlos betrachtet ;</t>
  </si>
  <si>
    <t>file://conllu/de/teddy-1154.conllu#s103_0</t>
  </si>
  <si>
    <t>104</t>
  </si>
  <si>
    <t>behandeln</t>
  </si>
  <si>
    <t>sie wurden als etwas Besonderes und Wertvolles behandelt .</t>
  </si>
  <si>
    <t>file://conllu/de/teddy-1154.conllu#s104_0</t>
  </si>
  <si>
    <t>105</t>
  </si>
  <si>
    <t>Vor ein paar Jahren ging ich in der Stadt , in der ich aufgewachsen war , in einen Lebensmittelmarkt in jener &amp;quot; Red Zone &amp;quot; im in dem Nordosten von Pennsylvania , und ich stand da vor einem Scheffel ( ca. 37 Liter ) Tomaten .</t>
  </si>
  <si>
    <t>file://conllu/de/teddy-1154.conllu#s105_0</t>
  </si>
  <si>
    <t>106</t>
  </si>
  <si>
    <t>sein (sein Sommer)</t>
  </si>
  <si>
    <t>Es war Sommer und ich hatte Shorts an .</t>
  </si>
  <si>
    <t>file://conllu/de/teddy-1154.conllu#s106_0</t>
  </si>
  <si>
    <t>107</t>
  </si>
  <si>
    <t>hören (hören sagen)</t>
  </si>
  <si>
    <t>Und ich höre , wie ein Typ hinter mir sagt , &amp;quot; Na wenn das nicht Aimee Mullins ist . &amp;quot;</t>
  </si>
  <si>
    <t>file://conllu/de/teddy-1154.conllu#s107_0</t>
  </si>
  <si>
    <t>108</t>
  </si>
  <si>
    <t>dreh</t>
  </si>
  <si>
    <t>Und ich dreh mich um und sehe diesen älteren Mann .</t>
  </si>
  <si>
    <t>file://conllu/de/teddy-1154.conllu#s108_0</t>
  </si>
  <si>
    <t>109</t>
  </si>
  <si>
    <t>Ich hatte keine Ahnung wer er ist .</t>
  </si>
  <si>
    <t>file://conllu/de/teddy-1154.conllu#s109_0</t>
  </si>
  <si>
    <t>110</t>
  </si>
  <si>
    <t>kennen</t>
  </si>
  <si>
    <t>Und ich meinte &amp;quot; Entschuldigung , Sir , kennen wir uns ?</t>
  </si>
  <si>
    <t>file://conllu/de/teddy-1154.conllu#s110_0</t>
  </si>
  <si>
    <t>111</t>
  </si>
  <si>
    <t>erinnern</t>
  </si>
  <si>
    <t>Ich kann mich nicht an Sie erinnern . &amp;quot;</t>
  </si>
  <si>
    <t>file://conllu/de/teddy-1154.conllu#s111_0</t>
  </si>
  <si>
    <t>112</t>
  </si>
  <si>
    <t>erinnern (erinnern sagen)</t>
  </si>
  <si>
    <t>Und er sagte : &amp;quot; Nun ja , Sie dürften sich kaum an mich erinnern .</t>
  </si>
  <si>
    <t>file://conllu/de/teddy-1154.conllu#s112_0</t>
  </si>
  <si>
    <t>113</t>
  </si>
  <si>
    <t>holen</t>
  </si>
  <si>
    <t>Als ich Sie zum zu dem ersten Mal sah , hab ich Sie aus dem Bauch Ihrer Mutter geholt . &amp;quot;</t>
  </si>
  <si>
    <t>file://conllu/de/teddy-1154.conllu#s113_0</t>
  </si>
  <si>
    <t>114</t>
  </si>
  <si>
    <t>Oh</t>
  </si>
  <si>
    <t>Oh , also der .</t>
  </si>
  <si>
    <t>file://conllu/de/teddy-1154.conllu#s114_0</t>
  </si>
  <si>
    <t>115</t>
  </si>
  <si>
    <t>machen</t>
  </si>
  <si>
    <t>Und natürlich hat es dann aber klick gemacht .</t>
  </si>
  <si>
    <t>file://conllu/de/teddy-1154.conllu#s115_0</t>
  </si>
  <si>
    <t>116</t>
  </si>
  <si>
    <t>sein (sein Dr.)</t>
  </si>
  <si>
    <t>Das war Dr.</t>
  </si>
  <si>
    <t>file://conllu/de/teddy-1154.conllu#s116_0</t>
  </si>
  <si>
    <t>117</t>
  </si>
  <si>
    <t>Kean</t>
  </si>
  <si>
    <t>Kean , ein Mann , den ich nur aus Erzählungen meiner Mutter über diesen Tag kannte , weil ich natürlich , ganz typisch , zu meinem Geburtstag zwei Wochen zu spät kam .</t>
  </si>
  <si>
    <t>file://conllu/de/teddy-1154.conllu#s117_0</t>
  </si>
  <si>
    <t>118</t>
  </si>
  <si>
    <t>sein</t>
  </si>
  <si>
    <t>Der Arzt für pränatale Diagnostik meiner Mutter war im in dem Urlaub , und so kannten meine Eltern den Mann , der mich zur zu der Welt brachte , überhaupt nicht .</t>
  </si>
  <si>
    <t>file://conllu/de/teddy-1154.conllu#s118_0</t>
  </si>
  <si>
    <t>119</t>
  </si>
  <si>
    <t>sein (sein Überbringer)</t>
  </si>
  <si>
    <t>Und weil ich ohne Wadenbeine geboren wurde , und meine Füße sich nach ihnen gerichtet hatten und ich nur ein paar Zehen an diesem und ein paar Zehen am an dem anderen Fuß hatte war er der Überbringer , dieser Fremde musste die schlechten Nachrichten überbringen .</t>
  </si>
  <si>
    <t>file://conllu/de/teddy-1154.conllu#s119_0</t>
  </si>
  <si>
    <t>120</t>
  </si>
  <si>
    <t>sagen (sagen sagen)</t>
  </si>
  <si>
    <t>Er sagte zu mir : &amp;quot; Ich musste Deinen Eltern sagen , dass Du nie laufen würdest , und nie so beweglich sein würdest wie andere Kinder oder dass Du nie ein unabhängiges Leben führen könntest , und seitdem haben</t>
  </si>
  <si>
    <t>file://conllu/de/teddy-1154.conllu#s120_0</t>
  </si>
  <si>
    <t>121</t>
  </si>
  <si>
    <t>strafen</t>
  </si>
  <si>
    <t>Sie mich einfach Lügen gestraft . &amp;quot;</t>
  </si>
  <si>
    <t>file://conllu/de/teddy-1154.conllu#s121_0</t>
  </si>
  <si>
    <t>122</t>
  </si>
  <si>
    <t>( Applaus ) Wirklich außergewöhnlich fand ich , dass er Zeitungsausschnitte meiner gesamten Kindheit gesammelt hat , egal , ob ich bei einem Buchstabier Wettbewerb in der zweiten Klasse gewonnen hatte , ob ich mit den Pfadfindern bei der Parade zu Halloween unterwegs war , egal , ob ich mein Stipendium oder einer meiner sportlichen Siege errungen hatte , und er verwendete diese Ausschnitte , um seine Studenten zu unterrichten , Medizin Studenten aus der Hahnemann Medical School und der Hershey Medical School .</t>
  </si>
  <si>
    <t>file://conllu/de/teddy-1154.conllu#s122_0</t>
  </si>
  <si>
    <t>123</t>
  </si>
  <si>
    <t>Und er nannte diesen Teil seines Kurses den X Faktor , das Potenzial des menschlichen Willens .</t>
  </si>
  <si>
    <t>file://conllu/de/teddy-1154.conllu#s123_0</t>
  </si>
  <si>
    <t>124</t>
  </si>
  <si>
    <t>betonen</t>
  </si>
  <si>
    <t>Man kann einfach nicht genug betonen , wie entscheidend dieser Faktor für die Lebensqualität eines Menschen sein kann .</t>
  </si>
  <si>
    <t>file://conllu/de/teddy-1154.conllu#s124_0</t>
  </si>
  <si>
    <t>125</t>
  </si>
  <si>
    <t>file://conllu/de/teddy-1154.conllu#s125_0</t>
  </si>
  <si>
    <t>126</t>
  </si>
  <si>
    <t>sagen (sagen erzählen)</t>
  </si>
  <si>
    <t>Kean erzählte weiter , er sagte : &amp;quot; Ich habe gelernt , dass Kinder , wenn sie nicht ständig etwas anderes gesagt bekommen , und auch wenn sie nur ein bisschen Unterstützung bekommen , wenn man Kinder sich selbst überlässt , dann können Kinder sehr viel erreichen . &amp;quot;</t>
  </si>
  <si>
    <t>file://conllu/de/teddy-1154.conllu#s126_0</t>
  </si>
  <si>
    <t>127</t>
  </si>
  <si>
    <t>Sehen Sie , Dr.</t>
  </si>
  <si>
    <t>file://conllu/de/teddy-1154.conllu#s127_0</t>
  </si>
  <si>
    <t>128</t>
  </si>
  <si>
    <t>verändern</t>
  </si>
  <si>
    <t>Kean hat sein Denken verändert .</t>
  </si>
  <si>
    <t>file://conllu/de/teddy-1154.conllu#s128_0</t>
  </si>
  <si>
    <t>129</t>
  </si>
  <si>
    <t>verstehen</t>
  </si>
  <si>
    <t>Er hatte verstanden , dass die medizinische Diagnose , und wie jemand damit umgeht , zwei unterschiedliche Dinge sind .</t>
  </si>
  <si>
    <t>file://conllu/de/teddy-1154.conllu#s129_0</t>
  </si>
  <si>
    <t>130</t>
  </si>
  <si>
    <t>Und auch ich hab mein Denken im in dem Lauf der Zeit geändert , wenn sie mich im in dem Alter von 15 Jahren gefragt hätten , ob ich meine Prothesen gegen Beine aus Fleisch und Knochen getauscht hätte , dann hätte ich keine Sekunde gezögert .</t>
  </si>
  <si>
    <t>file://conllu/de/teddy-1154.conllu#s130_0</t>
  </si>
  <si>
    <t>131</t>
  </si>
  <si>
    <t>wirken</t>
  </si>
  <si>
    <t>Ich wollte damals unbedingt normal wirken .</t>
  </si>
  <si>
    <t>file://conllu/de/teddy-1154.conllu#s131_0</t>
  </si>
  <si>
    <t>132</t>
  </si>
  <si>
    <t>sein (sein sicher)</t>
  </si>
  <si>
    <t>Wenn Sie mich das heute fragen , bin ich mir nicht so sicher .</t>
  </si>
  <si>
    <t>file://conllu/de/teddy-1154.conllu#s132_0</t>
  </si>
  <si>
    <t>133</t>
  </si>
  <si>
    <t>sein (sein passieren)</t>
  </si>
  <si>
    <t>Und das ist passiert , WEIL ich etwas mit meinen Beinen erlebt habe und nicht TROTZ dieser Erlebnisse .</t>
  </si>
  <si>
    <t>file://conllu/de/teddy-1154.conllu#s133_0</t>
  </si>
  <si>
    <t>134</t>
  </si>
  <si>
    <t>passieren</t>
  </si>
  <si>
    <t>Und vielleicht konnte dieser Wandel auch passieren , weil ich so vielen Menschen begegnet bin , die mir Türen geöffnet haben , anstatt Menschen zu begegnen , die mich einschränken oder mir eine Vorstellung überstülpen wollten .</t>
  </si>
  <si>
    <t>file://conllu/de/teddy-1154.conllu#s134_0</t>
  </si>
  <si>
    <t>135</t>
  </si>
  <si>
    <t>Sehen Sie , es braucht wirklich nur einen Menschen , der Ihnen demonstriert , wie Sie Ihre Kräfte manifestieren können , und Sie sind durch .</t>
  </si>
  <si>
    <t>file://conllu/de/teddy-1154.conllu#s135_0</t>
  </si>
  <si>
    <t>136</t>
  </si>
  <si>
    <t>sein (sein empfangsbereit)</t>
  </si>
  <si>
    <t>Wenn Sie es jemandem ermöglichen , seine eigenen , inneren Kräfte zu aktivieren , – der menschliche Geist ist so empfangsbereit – wenn Sie das schaffen , und für jemanden in einem entscheidenden Moment eine Tür öffnen , dann sind Sie für diese Menschen ein sehr guter Lehrer .</t>
  </si>
  <si>
    <t>file://conllu/de/teddy-1154.conllu#s136_0</t>
  </si>
  <si>
    <t>137</t>
  </si>
  <si>
    <t>Sie bringen ihnen bei , sich selbst Türen zu öffnen .</t>
  </si>
  <si>
    <t>file://conllu/de/teddy-1154.conllu#s137_0</t>
  </si>
  <si>
    <t>138</t>
  </si>
  <si>
    <t>wurzeln</t>
  </si>
  <si>
    <t>Die eigentliche Bedeutung des Worts &amp;quot; educate &amp;quot; ( erziehen ) wurzelt in dem Wort &amp;quot; educe &amp;quot; ( entwickeln ) .</t>
  </si>
  <si>
    <t>file://conllu/de/teddy-1154.conllu#s138_0</t>
  </si>
  <si>
    <t>139</t>
  </si>
  <si>
    <t>bedeuten</t>
  </si>
  <si>
    <t>Es bedeutet , etwas hervorzubringen , dass in einem ist , das Potenzial herauszukitzeln .</t>
  </si>
  <si>
    <t>file://conllu/de/teddy-1154.conllu#s139_0</t>
  </si>
  <si>
    <t>140</t>
  </si>
  <si>
    <t>abrufen</t>
  </si>
  <si>
    <t>Nochmals : Welches Potenzial möchten wir denn nun abrufen ?</t>
  </si>
  <si>
    <t>file://conllu/de/teddy-1154.conllu#s140_0</t>
  </si>
  <si>
    <t>141</t>
  </si>
  <si>
    <t>durchführen</t>
  </si>
  <si>
    <t>In den 60er Jahren wurde in Großbritannien eine Fallstudie durchgeführt .</t>
  </si>
  <si>
    <t>file://conllu/de/teddy-1154.conllu#s141_0</t>
  </si>
  <si>
    <t>142</t>
  </si>
  <si>
    <t>umwandeln</t>
  </si>
  <si>
    <t>Damals wurden Gymnasien in Gesamtschulen umgewandelt .</t>
  </si>
  <si>
    <t>file://conllu/de/teddy-1154.conllu#s142_0</t>
  </si>
  <si>
    <t>143</t>
  </si>
  <si>
    <t>Sie nennen das dort &amp;quot; Streaming Trials &amp;quot; ( Strömungs Untersuchungen ) in den USA bezeichnen wir das als &amp;quot; Tracking &amp;quot; ( Nachverfolgen ) .</t>
  </si>
  <si>
    <t>file://conllu/de/teddy-1154.conllu#s143_0</t>
  </si>
  <si>
    <t>144</t>
  </si>
  <si>
    <t>aufteilen</t>
  </si>
  <si>
    <t>Die Schüler werden nach Noten ( A , B , C , D und so weiter ) aufgeteilt .</t>
  </si>
  <si>
    <t>file://conllu/de/teddy-1154.conllu#s144_0</t>
  </si>
  <si>
    <t>145</t>
  </si>
  <si>
    <t>bekommen</t>
  </si>
  <si>
    <t>Und die A Schüler werden mündlich schwerer geprüft , bekommen die besseren Lehrer usw .</t>
  </si>
  <si>
    <t>file://conllu/de/teddy-1154.conllu#s145_0</t>
  </si>
  <si>
    <t>146</t>
  </si>
  <si>
    <t>Sie haben dann über einen dreimonatigen Zeitraum Schülern mit einem &amp;quot; Ausreichend &amp;quot; ( D ) die Note &amp;quot; Sehr gut &amp;quot; ( A ) gegeben .</t>
  </si>
  <si>
    <t>file://conllu/de/teddy-1154.conllu#s146_0</t>
  </si>
  <si>
    <t>147</t>
  </si>
  <si>
    <t>sagen</t>
  </si>
  <si>
    <t>Es wurde ihnen gesagt , sie seien Asse , dass sie sehr schlau wären .</t>
  </si>
  <si>
    <t>file://conllu/de/teddy-1154.conllu#s147_0</t>
  </si>
  <si>
    <t>148</t>
  </si>
  <si>
    <t>schreiben</t>
  </si>
  <si>
    <t>Und nach diesen drei Monaten haben sie wirklich Einser geschrieben .</t>
  </si>
  <si>
    <t>file://conllu/de/teddy-1154.conllu#s148_0</t>
  </si>
  <si>
    <t>149</t>
  </si>
  <si>
    <t>zerbrichen</t>
  </si>
  <si>
    <t>Und natürlich zerbricht es einem das Herz zu hören , dass umgekehrt den Einser Schülern gesagt wurde , sie seien nur ausreichend .</t>
  </si>
  <si>
    <t>file://conllu/de/teddy-1154.conllu#s149_0</t>
  </si>
  <si>
    <t>150</t>
  </si>
  <si>
    <t>sein (sein Monat)</t>
  </si>
  <si>
    <t>Und genauso war es dann nach den drei Monaten auch .</t>
  </si>
  <si>
    <t>file://conllu/de/teddy-1154.conllu#s150_0</t>
  </si>
  <si>
    <t>151</t>
  </si>
  <si>
    <t>jen</t>
  </si>
  <si>
    <t>Aber nur jene , die immer noch in der Schule waren – abgesehen von den Schülern , die die Schule geschmissen hatten .</t>
  </si>
  <si>
    <t>file://conllu/de/teddy-1154.conllu#s151_0</t>
  </si>
  <si>
    <t>152</t>
  </si>
  <si>
    <t>sein (sein entscheidend)</t>
  </si>
  <si>
    <t>Ganz entscheidend bei dieser Studie war , dass die Lehrer nicht eingeweiht waren .</t>
  </si>
  <si>
    <t>file://conllu/de/teddy-1154.conllu#s152_0</t>
  </si>
  <si>
    <t>153</t>
  </si>
  <si>
    <t>Die Lehrer wussten nicht , dass etwas geändert wurde .</t>
  </si>
  <si>
    <t>file://conllu/de/teddy-1154.conllu#s153_0</t>
  </si>
  <si>
    <t>154</t>
  </si>
  <si>
    <t>Ihnen wurde einfach gesagt , dass seien die Einser Schüler und dass sind die Schüler mit der Note ausreichend .</t>
  </si>
  <si>
    <t>file://conllu/de/teddy-1154.conllu#s154_0</t>
  </si>
  <si>
    <t>155</t>
  </si>
  <si>
    <t>beigebrachen</t>
  </si>
  <si>
    <t>Und genauso haben sie ihnen etwas beigebracht und sie behandelt .</t>
  </si>
  <si>
    <t>file://conllu/de/teddy-1154.conllu#s155_0</t>
  </si>
  <si>
    <t>156</t>
  </si>
  <si>
    <t>sein (sein Geist)</t>
  </si>
  <si>
    <t>Die einzige wirkliche Behinderung ist ein gebrochener Geist ein Geist , der gebrochen wurde , hat keine Hoffnung mehr .</t>
  </si>
  <si>
    <t>file://conllu/de/teddy-1154.conllu#s156_0</t>
  </si>
  <si>
    <t>157</t>
  </si>
  <si>
    <t>Er findet nichts mehr schön .</t>
  </si>
  <si>
    <t>file://conllu/de/teddy-1154.conllu#s157_0</t>
  </si>
  <si>
    <t>158</t>
  </si>
  <si>
    <t>fehlen</t>
  </si>
  <si>
    <t>ihm fehlt unsere natürliche , kindliche Neugier .</t>
  </si>
  <si>
    <t>file://conllu/de/teddy-1154.conllu#s158_0</t>
  </si>
  <si>
    <t>159</t>
  </si>
  <si>
    <t>Fähigkeit</t>
  </si>
  <si>
    <t>und unsere angeborene Fähigkeit der Imagination .</t>
  </si>
  <si>
    <t>file://conllu/de/teddy-1154.conllu#s159_0</t>
  </si>
  <si>
    <t>160</t>
  </si>
  <si>
    <t>sein (sein setzen)</t>
  </si>
  <si>
    <t>Wenn wir es aber schaffen , den menschlichen Geist dabei zu unterstützen , weiterhin zu hoffen , sich selbst und andere Menschen um sich herum schön zu finden , neugierig und phantasievoll zu sein dann setzen wir unsere Kräfte wirklich positiv ein .</t>
  </si>
  <si>
    <t>file://conllu/de/teddy-1154.conllu#s160_0</t>
  </si>
  <si>
    <t>161</t>
  </si>
  <si>
    <t>Wenn ein Geist über diese Qualitäten verfügt , können wir eine neue Wirklichkeit und neue Daseinsformen schaffen .</t>
  </si>
  <si>
    <t>file://conllu/de/teddy-1154.conllu#s161_0</t>
  </si>
  <si>
    <t>162</t>
  </si>
  <si>
    <t>enden</t>
  </si>
  <si>
    <t>Ich möchte mit einem Gedicht enden , das von einem persischen Poeten namens Hafiz im in dem 14 .</t>
  </si>
  <si>
    <t>file://conllu/de/teddy-1154.conllu#s162_0</t>
  </si>
  <si>
    <t>163</t>
  </si>
  <si>
    <t>verfassen</t>
  </si>
  <si>
    <t>Jahrhundert verfasst wurde und von dem mir mein Freund Jacques Dembois erzählt hat .</t>
  </si>
  <si>
    <t>file://conllu/de/teddy-1154.conllu#s163_0</t>
  </si>
  <si>
    <t>164</t>
  </si>
  <si>
    <t>Und das Gedicht heißt &amp;quot; Der Gott , der nur vier Worte kennt . &amp;quot;</t>
  </si>
  <si>
    <t>file://conllu/de/teddy-1154.conllu#s164_0</t>
  </si>
  <si>
    <t>165</t>
  </si>
  <si>
    <t>sagen (sagen kennen)</t>
  </si>
  <si>
    <t>&amp;quot; Jedes Kind kennt Gott , nicht den Gott der Namen , nicht den Gott der Verbote , sondern den Gott , der nur vier Worte kennt und diese ständig wiederholt , er sagt immer nur : Komm , tanz mit mir . &amp;quot;</t>
  </si>
  <si>
    <t>file://conllu/de/teddy-1154.conllu#s165_0</t>
  </si>
  <si>
    <t>166</t>
  </si>
  <si>
    <t>Komm</t>
  </si>
  <si>
    <t>Komm , tanz mit mir .</t>
  </si>
  <si>
    <t>file://conllu/de/teddy-1154.conllu#s166_0</t>
  </si>
  <si>
    <t>167</t>
  </si>
  <si>
    <t>Dank</t>
  </si>
  <si>
    <t>Vielen Dank .</t>
  </si>
  <si>
    <t>file://conllu/de/teddy-1154.conllu#s167_0</t>
  </si>
  <si>
    <t>WORD</t>
  </si>
  <si>
    <t>GR</t>
  </si>
  <si>
    <t>NP_TYPE</t>
  </si>
  <si>
    <t>REF_AUTO</t>
  </si>
  <si>
    <t>COREF</t>
  </si>
  <si>
    <t>REF</t>
  </si>
  <si>
    <t>IS</t>
  </si>
  <si>
    <t>CB</t>
  </si>
  <si>
    <t>GR_ANTE</t>
  </si>
  <si>
    <t>REF_DIST</t>
  </si>
  <si>
    <t>REF_DIST_ANTE</t>
  </si>
  <si>
    <t># text = Ich würde Ihnen gerne etwas erzählen, was mir vor ein paar Monaten beim Schreiben eines Artikels für Italian Wired aufgefallen ist.</t>
  </si>
  <si>
    <t>Ich</t>
  </si>
  <si>
    <t>SBJ</t>
  </si>
  <si>
    <t>pron.pper</t>
  </si>
  <si>
    <t>?OLD</t>
  </si>
  <si>
    <t>würde</t>
  </si>
  <si>
    <t>Ihnen</t>
  </si>
  <si>
    <t>OBJ</t>
  </si>
  <si>
    <t>gerne</t>
  </si>
  <si>
    <t>etwas</t>
  </si>
  <si>
    <t>pron.pind</t>
  </si>
  <si>
    <t>,</t>
  </si>
  <si>
    <t>was</t>
  </si>
  <si>
    <t>SBJ_2</t>
  </si>
  <si>
    <t>pron</t>
  </si>
  <si>
    <t>mir</t>
  </si>
  <si>
    <t>OBJ_2</t>
  </si>
  <si>
    <t>vor</t>
  </si>
  <si>
    <t>ein</t>
  </si>
  <si>
    <t>paar</t>
  </si>
  <si>
    <t>other_3</t>
  </si>
  <si>
    <t>Monaten</t>
  </si>
  <si>
    <t>other_2</t>
  </si>
  <si>
    <t>indef-np.a</t>
  </si>
  <si>
    <t>bei</t>
  </si>
  <si>
    <t>dem</t>
  </si>
  <si>
    <t>Schreiben</t>
  </si>
  <si>
    <t>def-np.the</t>
  </si>
  <si>
    <t>eines</t>
  </si>
  <si>
    <t>Artikels</t>
  </si>
  <si>
    <t>für</t>
  </si>
  <si>
    <t>Italian</t>
  </si>
  <si>
    <t>other_4</t>
  </si>
  <si>
    <t>ne</t>
  </si>
  <si>
    <t>Wired</t>
  </si>
  <si>
    <t>aufgefallen</t>
  </si>
  <si>
    <t>ist</t>
  </si>
  <si>
    <t>.</t>
  </si>
  <si>
    <t>--</t>
  </si>
  <si>
    <t># text = Ich habe beim Schreiben immer mein Synonym-Wörterbuch griffbereit, aber ich war mit dem Bearbeiten des Textes schon fertig, und mir fiel auf, dass ich noch nie in meinem Leben nachgeschlagen habe, was das Wort \"behindert\" wirklich bedeutet.</t>
  </si>
  <si>
    <t>habe</t>
  </si>
  <si>
    <t>other</t>
  </si>
  <si>
    <t>immer</t>
  </si>
  <si>
    <t>mein</t>
  </si>
  <si>
    <t>pron.ppos</t>
  </si>
  <si>
    <t>Synonym</t>
  </si>
  <si>
    <t>Wörterbuch</t>
  </si>
  <si>
    <t>indef-np.bare</t>
  </si>
  <si>
    <t>aber</t>
  </si>
  <si>
    <t>ich</t>
  </si>
  <si>
    <t>SBJ_3</t>
  </si>
  <si>
    <t>war</t>
  </si>
  <si>
    <t>mit</t>
  </si>
  <si>
    <t>Bearbeiten</t>
  </si>
  <si>
    <t>des</t>
  </si>
  <si>
    <t>Textes</t>
  </si>
  <si>
    <t>schon</t>
  </si>
  <si>
    <t>fertig</t>
  </si>
  <si>
    <t>und</t>
  </si>
  <si>
    <t>fiel</t>
  </si>
  <si>
    <t>auf</t>
  </si>
  <si>
    <t>dass</t>
  </si>
  <si>
    <t>noch</t>
  </si>
  <si>
    <t>nie</t>
  </si>
  <si>
    <t>in</t>
  </si>
  <si>
    <t>meinem</t>
  </si>
  <si>
    <t>Leben</t>
  </si>
  <si>
    <t>nachgeschlagen</t>
  </si>
  <si>
    <t>SBJ_4</t>
  </si>
  <si>
    <t>das</t>
  </si>
  <si>
    <t>Wort</t>
  </si>
  <si>
    <t>SBJ_5</t>
  </si>
  <si>
    <t>&amp;quot;</t>
  </si>
  <si>
    <t>behindert</t>
  </si>
  <si>
    <t>wirklich</t>
  </si>
  <si>
    <t>bedeutet</t>
  </si>
  <si>
    <t># text = Ich lese Ihnen den Eintrag vor.</t>
  </si>
  <si>
    <t>lese</t>
  </si>
  <si>
    <t>pron.pds</t>
  </si>
  <si>
    <t>den</t>
  </si>
  <si>
    <t>Eintrag</t>
  </si>
  <si>
    <t># text = \"Behindert\", Adjektiv: \"verkrüppelt, hilflos, nutzlos, zerstört, abgestorben, verstümmelt, verwundet, zugerichtet, lahm, abgetrennt verwahrlost, ausgedient, geschwächt, impotent, kastriert, gelähmt, gehandicapt senil, altersschwach, aus dem Verkehr gezogen, nachgebessert, erledigt, kaputt geborsten, ausgezählt, siehe auch verletzt, nutzlos und schwach.</t>
  </si>
  <si>
    <t>Behindert</t>
  </si>
  <si>
    <t>Adjektiv</t>
  </si>
  <si>
    <t>:</t>
  </si>
  <si>
    <t>verkrüppelt</t>
  </si>
  <si>
    <t>hilflos</t>
  </si>
  <si>
    <t>nutzlos</t>
  </si>
  <si>
    <t>zerstört</t>
  </si>
  <si>
    <t>abgestorben</t>
  </si>
  <si>
    <t>verstümmelt</t>
  </si>
  <si>
    <t>verwundet</t>
  </si>
  <si>
    <t>zugerichtet</t>
  </si>
  <si>
    <t>lahm</t>
  </si>
  <si>
    <t>abgetrennt</t>
  </si>
  <si>
    <t>verwahrlost</t>
  </si>
  <si>
    <t>ausgedient</t>
  </si>
  <si>
    <t>geschwächt</t>
  </si>
  <si>
    <t>impotent</t>
  </si>
  <si>
    <t>kastriert</t>
  </si>
  <si>
    <t>gelähmt</t>
  </si>
  <si>
    <t>gehandicapt</t>
  </si>
  <si>
    <t>senil</t>
  </si>
  <si>
    <t>altersschwach</t>
  </si>
  <si>
    <t>aus</t>
  </si>
  <si>
    <t>Verkehr</t>
  </si>
  <si>
    <t>gezogen</t>
  </si>
  <si>
    <t>nachgebessert</t>
  </si>
  <si>
    <t>erledigt</t>
  </si>
  <si>
    <t>kaputt</t>
  </si>
  <si>
    <t>geborsten</t>
  </si>
  <si>
    <t>ausgezählt</t>
  </si>
  <si>
    <t>siehe</t>
  </si>
  <si>
    <t>auch</t>
  </si>
  <si>
    <t>verletzt</t>
  </si>
  <si>
    <t>schwach</t>
  </si>
  <si>
    <t># text = Antonyme: Gesund, stark, leistungsfähig."</t>
  </si>
  <si>
    <t>Antonyme</t>
  </si>
  <si>
    <t>Gesund</t>
  </si>
  <si>
    <t>stark</t>
  </si>
  <si>
    <t>leistungsfähig</t>
  </si>
  <si>
    <t># text = Ich habe diese Liste einem Freund laut vorgelesen und musste erstmal lachen, es wirkte so lächerlich, aber ich kam nur bis \"zugerichtet\" und konnte nicht mehr weitersprechen, und musste aufhören zu lesen und mich erstmal sammeln nach dieser überfallartigen Wortflut und dem damit verbundenden emotionalen Schock.</t>
  </si>
  <si>
    <t>diese</t>
  </si>
  <si>
    <t>Liste</t>
  </si>
  <si>
    <t>def-np.dem</t>
  </si>
  <si>
    <t>einem</t>
  </si>
  <si>
    <t>Freund</t>
  </si>
  <si>
    <t>laut</t>
  </si>
  <si>
    <t>vorgelesen</t>
  </si>
  <si>
    <t>musste</t>
  </si>
  <si>
    <t>erstmal</t>
  </si>
  <si>
    <t>lachen</t>
  </si>
  <si>
    <t>es</t>
  </si>
  <si>
    <t>wirkte</t>
  </si>
  <si>
    <t>so</t>
  </si>
  <si>
    <t>lächerlich</t>
  </si>
  <si>
    <t>kam</t>
  </si>
  <si>
    <t>nur</t>
  </si>
  <si>
    <t>bis</t>
  </si>
  <si>
    <t>konnte</t>
  </si>
  <si>
    <t>nicht</t>
  </si>
  <si>
    <t>mehr</t>
  </si>
  <si>
    <t>weitersprechen</t>
  </si>
  <si>
    <t>aufhören</t>
  </si>
  <si>
    <t>zu</t>
  </si>
  <si>
    <t>lesen</t>
  </si>
  <si>
    <t>mich</t>
  </si>
  <si>
    <t>OBJ_4</t>
  </si>
  <si>
    <t>sammeln</t>
  </si>
  <si>
    <t>nach</t>
  </si>
  <si>
    <t>dieser</t>
  </si>
  <si>
    <t>other_5</t>
  </si>
  <si>
    <t>überfallartigen</t>
  </si>
  <si>
    <t>Wortflut</t>
  </si>
  <si>
    <t>damit</t>
  </si>
  <si>
    <t>verbundenden</t>
  </si>
  <si>
    <t>emotionalen</t>
  </si>
  <si>
    <t>Schock</t>
  </si>
  <si>
    <t># text = Natürlich war das ein ausgefranstes, altes Synonym-Wörterbuch.</t>
  </si>
  <si>
    <t>Natürlich</t>
  </si>
  <si>
    <t>ausgefranstes</t>
  </si>
  <si>
    <t>altes</t>
  </si>
  <si>
    <t># text = Ich hab mir einfach gedacht, dass die Ausgabe schon ziemlich alt sein muss.</t>
  </si>
  <si>
    <t>hab</t>
  </si>
  <si>
    <t>einfach</t>
  </si>
  <si>
    <t>gedacht</t>
  </si>
  <si>
    <t>die</t>
  </si>
  <si>
    <t>Ausgabe</t>
  </si>
  <si>
    <t>ziemlich</t>
  </si>
  <si>
    <t>alt</t>
  </si>
  <si>
    <t>muss</t>
  </si>
  <si>
    <t># text = aber tatsächlich war es eine Ausgabe auf den frühen 80ern, als ich gerade mit der Grundschule anfing und damit begann, mein Selbstbild außerhalb meines familiären Umfelds aufzubauen und zu formen, auch in Bezug auf andere Kinder und zur übrigen Welt um mich herum.</t>
  </si>
  <si>
    <t>tatsächlich</t>
  </si>
  <si>
    <t>eine</t>
  </si>
  <si>
    <t>frühen</t>
  </si>
  <si>
    <t>80ern</t>
  </si>
  <si>
    <t>als</t>
  </si>
  <si>
    <t>gerade</t>
  </si>
  <si>
    <t>der</t>
  </si>
  <si>
    <t>Grundschule</t>
  </si>
  <si>
    <t>anfing</t>
  </si>
  <si>
    <t>begann</t>
  </si>
  <si>
    <t>Selbstbild</t>
  </si>
  <si>
    <t>außerhalb</t>
  </si>
  <si>
    <t>meines</t>
  </si>
  <si>
    <t>familiären</t>
  </si>
  <si>
    <t>Umfelds</t>
  </si>
  <si>
    <t>aufzubauen</t>
  </si>
  <si>
    <t>formen</t>
  </si>
  <si>
    <t>Bezug</t>
  </si>
  <si>
    <t>andere</t>
  </si>
  <si>
    <t>Kinder</t>
  </si>
  <si>
    <t>übrigen</t>
  </si>
  <si>
    <t>Welt</t>
  </si>
  <si>
    <t>um</t>
  </si>
  <si>
    <t>herum</t>
  </si>
  <si>
    <t># text = Und Gott sei Dank habe ich damals kein Synonym-Wörterbuch benutzt.</t>
  </si>
  <si>
    <t>Und</t>
  </si>
  <si>
    <t>Gott</t>
  </si>
  <si>
    <t>sei</t>
  </si>
  <si>
    <t>damals</t>
  </si>
  <si>
    <t>kein</t>
  </si>
  <si>
    <t>indef-np.quant</t>
  </si>
  <si>
    <t>benutzt</t>
  </si>
  <si>
    <t># text = Würde ich diesen Eintrag ernst nehmen wäre ich in eine Welt geboren, die jemand wie mich als eine Person wahrnehmen würde, deren Leben in keinster Weise positiv verlaufen kann.</t>
  </si>
  <si>
    <t>Würde</t>
  </si>
  <si>
    <t>diesen</t>
  </si>
  <si>
    <t>ernst</t>
  </si>
  <si>
    <t>nehmen</t>
  </si>
  <si>
    <t>wäre</t>
  </si>
  <si>
    <t>geboren</t>
  </si>
  <si>
    <t>jemand</t>
  </si>
  <si>
    <t>wie</t>
  </si>
  <si>
    <t>Person</t>
  </si>
  <si>
    <t>wahrnehmen</t>
  </si>
  <si>
    <t>deren</t>
  </si>
  <si>
    <t>def-np.poss</t>
  </si>
  <si>
    <t>keinster</t>
  </si>
  <si>
    <t>Weise</t>
  </si>
  <si>
    <t>positiv</t>
  </si>
  <si>
    <t>kann</t>
  </si>
  <si>
    <t># text = Heute aber werde ich für die Chancen und Abenteuer, die ich erlebt habe, gefeiert.</t>
  </si>
  <si>
    <t>Heute</t>
  </si>
  <si>
    <t>werde</t>
  </si>
  <si>
    <t>Chancen</t>
  </si>
  <si>
    <t>Abenteuer</t>
  </si>
  <si>
    <t>OBJ_3</t>
  </si>
  <si>
    <t>erlebt</t>
  </si>
  <si>
    <t>gefeiert</t>
  </si>
  <si>
    <t># text = Also hab ich mir sofort die Online-Ausgabe von 2009 aufgerufen und erwartet, dass ich hier einen ansprechenderen Beitrag finde.</t>
  </si>
  <si>
    <t>Also</t>
  </si>
  <si>
    <t>sofort</t>
  </si>
  <si>
    <t>Online</t>
  </si>
  <si>
    <t>def-np.quant</t>
  </si>
  <si>
    <t>von</t>
  </si>
  <si>
    <t>2009</t>
  </si>
  <si>
    <t>aufgerufen</t>
  </si>
  <si>
    <t>erwartet</t>
  </si>
  <si>
    <t>hier</t>
  </si>
  <si>
    <t>einen</t>
  </si>
  <si>
    <t>ansprechenderen</t>
  </si>
  <si>
    <t>Beitrag</t>
  </si>
  <si>
    <t>finde</t>
  </si>
  <si>
    <t># text = Hier ist die aktualisierte Version dieses Eintrags.</t>
  </si>
  <si>
    <t>Hier</t>
  </si>
  <si>
    <t>aktualisierte</t>
  </si>
  <si>
    <t>Version</t>
  </si>
  <si>
    <t>dieses</t>
  </si>
  <si>
    <t>Eintrags</t>
  </si>
  <si>
    <t># text = Dummerweise ist sie nicht viel besser.</t>
  </si>
  <si>
    <t>Dummerweise</t>
  </si>
  <si>
    <t>sie</t>
  </si>
  <si>
    <t>viel</t>
  </si>
  <si>
    <t>besser</t>
  </si>
  <si>
    <t># text = Insbesondere erschüttern mich die letzten beiden Wörter unter \"Near Antonyms\" \"ganz\" und \"gesund\".</t>
  </si>
  <si>
    <t>Insbesondere</t>
  </si>
  <si>
    <t>letzten</t>
  </si>
  <si>
    <t>beiden</t>
  </si>
  <si>
    <t>Wörter</t>
  </si>
  <si>
    <t>unter</t>
  </si>
  <si>
    <t>Near</t>
  </si>
  <si>
    <t>Antonyms</t>
  </si>
  <si>
    <t>ganz</t>
  </si>
  <si>
    <t>gesund</t>
  </si>
  <si>
    <t># text = Aber es geht nicht nur um die Wörter.</t>
  </si>
  <si>
    <t>Aber</t>
  </si>
  <si>
    <t>geht</t>
  </si>
  <si>
    <t># text = Es geht darum, was wir über die Menschen denken, die wir mit diesen Wörtern beschreiben.</t>
  </si>
  <si>
    <t>Es</t>
  </si>
  <si>
    <t>darum</t>
  </si>
  <si>
    <t>pron.padv</t>
  </si>
  <si>
    <t>wir</t>
  </si>
  <si>
    <t>über</t>
  </si>
  <si>
    <t>Menschen</t>
  </si>
  <si>
    <t>Wörtern</t>
  </si>
  <si>
    <t>beschreiben</t>
  </si>
  <si>
    <t># text = Es geht um die Werte, die in diesen Worten stecken, und wie wir diese Werte konstruieren.</t>
  </si>
  <si>
    <t>Werte</t>
  </si>
  <si>
    <t>Worten</t>
  </si>
  <si>
    <t>stecken</t>
  </si>
  <si>
    <t>konstruieren</t>
  </si>
  <si>
    <t># text = Unsere Sprache beeinflusst unser Denken und wie wir die Welt und die Menschen um uns herum sehen.</t>
  </si>
  <si>
    <t>Unsere</t>
  </si>
  <si>
    <t>Sprache</t>
  </si>
  <si>
    <t>beeinflusst</t>
  </si>
  <si>
    <t>unser</t>
  </si>
  <si>
    <t>Denken</t>
  </si>
  <si>
    <t>uns</t>
  </si>
  <si>
    <t># text = Viele altertümliche Gesellschaften, einschließlich die der Griechen und der Römer, haben wirklich geglaubt, dass die Aussprache eines Fluchs eine große Kraft hat, weil das, was man laut ausspricht, sich auch manifestieren kann.</t>
  </si>
  <si>
    <t>Viele</t>
  </si>
  <si>
    <t>altertümliche</t>
  </si>
  <si>
    <t>Gesellschaften</t>
  </si>
  <si>
    <t>einschließlich</t>
  </si>
  <si>
    <t>Griechen</t>
  </si>
  <si>
    <t>Römer</t>
  </si>
  <si>
    <t>geglaubt</t>
  </si>
  <si>
    <t>Aussprache</t>
  </si>
  <si>
    <t>Fluchs</t>
  </si>
  <si>
    <t>große</t>
  </si>
  <si>
    <t>Kraft</t>
  </si>
  <si>
    <t>hat</t>
  </si>
  <si>
    <t>weil</t>
  </si>
  <si>
    <t>man</t>
  </si>
  <si>
    <t>ausspricht</t>
  </si>
  <si>
    <t>sich</t>
  </si>
  <si>
    <t>manifestieren</t>
  </si>
  <si>
    <t># text = Also, was wollen wir eigentlich manifestieren – einen behinderten Menschen oder einen kraftvollen Menschen?</t>
  </si>
  <si>
    <t>wollen</t>
  </si>
  <si>
    <t>eigentlich</t>
  </si>
  <si>
    <t>–</t>
  </si>
  <si>
    <t>behinderten</t>
  </si>
  <si>
    <t>oder</t>
  </si>
  <si>
    <t>kraftvollen</t>
  </si>
  <si>
    <t>?</t>
  </si>
  <si>
    <t># text = Allein schon einen Menschen achtlos als Kind zu bezeichnen, könnte ausreichen, sie einzuschränken und ihnen Vorstellungen überzustülpen.</t>
  </si>
  <si>
    <t>Allein</t>
  </si>
  <si>
    <t>achtlos</t>
  </si>
  <si>
    <t>Kind</t>
  </si>
  <si>
    <t>bezeichnen</t>
  </si>
  <si>
    <t>könnte</t>
  </si>
  <si>
    <t>einzuschränken</t>
  </si>
  <si>
    <t>ihnen</t>
  </si>
  <si>
    <t>Vorstellungen</t>
  </si>
  <si>
    <t>überzustülpen</t>
  </si>
  <si>
    <t># text = Wäre es nicht schöner, Ihnen Türen zu öffnen?</t>
  </si>
  <si>
    <t>Wäre</t>
  </si>
  <si>
    <t>schöner</t>
  </si>
  <si>
    <t>Türen</t>
  </si>
  <si>
    <t>öffnen</t>
  </si>
  <si>
    <t># text = Ein Mensch, der für mich Türen geöffnet hat, war mein Kinderarzt am A.I.</t>
  </si>
  <si>
    <t>Ein</t>
  </si>
  <si>
    <t>Mensch</t>
  </si>
  <si>
    <t>geöffnet</t>
  </si>
  <si>
    <t>Kinderarzt</t>
  </si>
  <si>
    <t>an</t>
  </si>
  <si>
    <t>A.I.</t>
  </si>
  <si>
    <t># text = Dupont Institut in Wilmington in Delaware.</t>
  </si>
  <si>
    <t>Institut</t>
  </si>
  <si>
    <t>Wilmington</t>
  </si>
  <si>
    <t>Delaware</t>
  </si>
  <si>
    <t># text = Er heißt Dr.</t>
  </si>
  <si>
    <t>Er</t>
  </si>
  <si>
    <t>heißt</t>
  </si>
  <si>
    <t># text = Pizzutillo.</t>
  </si>
  <si>
    <t># text = Ein Italo-Amerikaner, dessen Name, wie Sie sich denken können, die meisten Amerikaner nicht korrekt aussprechen konnten.</t>
  </si>
  <si>
    <t>Italo</t>
  </si>
  <si>
    <t>dessen</t>
  </si>
  <si>
    <t>Name</t>
  </si>
  <si>
    <t>Sie</t>
  </si>
  <si>
    <t>können</t>
  </si>
  <si>
    <t>meisten</t>
  </si>
  <si>
    <t>korrekt</t>
  </si>
  <si>
    <t>aussprechen</t>
  </si>
  <si>
    <t>konnten</t>
  </si>
  <si>
    <t># text = Also wurde er immer Dr.</t>
  </si>
  <si>
    <t>wurde</t>
  </si>
  <si>
    <t>er</t>
  </si>
  <si>
    <t># text = P. genannt.</t>
  </si>
  <si>
    <t>genannt</t>
  </si>
  <si>
    <t># text = Und Dr.</t>
  </si>
  <si>
    <t># text = P. trug immer sehr bunte Fliegen und war für die Arbeit mit Kindern einfach wie geschaffen.</t>
  </si>
  <si>
    <t>trug</t>
  </si>
  <si>
    <t>sehr</t>
  </si>
  <si>
    <t>bunte</t>
  </si>
  <si>
    <t>Fliegen</t>
  </si>
  <si>
    <t>Arbeit</t>
  </si>
  <si>
    <t>Kindern</t>
  </si>
  <si>
    <t>geschaffen</t>
  </si>
  <si>
    <t># text = Ich fand die Zeit, die ich in diesem Krankenhaus verbracht habe, einfach toll – bis auf meine Physiotherapie.</t>
  </si>
  <si>
    <t>fand</t>
  </si>
  <si>
    <t>Zeit</t>
  </si>
  <si>
    <t>diesem</t>
  </si>
  <si>
    <t>Krankenhaus</t>
  </si>
  <si>
    <t>verbracht</t>
  </si>
  <si>
    <t>toll</t>
  </si>
  <si>
    <t>meine</t>
  </si>
  <si>
    <t>Physiotherapie</t>
  </si>
  <si>
    <t># text = Ich musste einzelne Übungen scheinbar unendlich oft wiederholen mit diesen dicken, elastischen Bändern -- in verschiedenen Farben -- das kennen Sie, um meine Bein-Muskeln aufzubauen.</t>
  </si>
  <si>
    <t>einzelne</t>
  </si>
  <si>
    <t>Übungen</t>
  </si>
  <si>
    <t>scheinbar</t>
  </si>
  <si>
    <t>unendlich</t>
  </si>
  <si>
    <t>oft</t>
  </si>
  <si>
    <t>dicken</t>
  </si>
  <si>
    <t>elastischen</t>
  </si>
  <si>
    <t>Bändern</t>
  </si>
  <si>
    <t>verschiedenen</t>
  </si>
  <si>
    <t>Farben</t>
  </si>
  <si>
    <t>Bein</t>
  </si>
  <si>
    <t>Muskeln</t>
  </si>
  <si>
    <t># text = Und ich habe diese Bänder mehr gehasst als alles andere.</t>
  </si>
  <si>
    <t>Bänder</t>
  </si>
  <si>
    <t>alles</t>
  </si>
  <si>
    <t># text = Ich hab sie gehasst.</t>
  </si>
  <si>
    <t># text = Ich habe sie verflucht.</t>
  </si>
  <si>
    <t>verflucht</t>
  </si>
  <si>
    <t># text = Und stellen Sie sich vor, ich hab sogar schon als fünfjähriges Kind mit Dr.</t>
  </si>
  <si>
    <t>sogar</t>
  </si>
  <si>
    <t>fünfjähriges</t>
  </si>
  <si>
    <t># text = P. verhandelt und so versucht, diese Übungen zu stoppen, natürllich ohne Erfolg.</t>
  </si>
  <si>
    <t>verhandelt</t>
  </si>
  <si>
    <t>versucht</t>
  </si>
  <si>
    <t>stoppen</t>
  </si>
  <si>
    <t>natürllich</t>
  </si>
  <si>
    <t>ohne</t>
  </si>
  <si>
    <t>Erfolg</t>
  </si>
  <si>
    <t># text = Und eines Tages hat er mich bei einer meiner Übungen beobachtet -- diese Übungen waren einfach ermüdend und gnadenlos -- und er sagte zu mir, "Wow, Aimee, Du bist so ein starkes, kraftvolles und junges Mädchen, Du wirst eines Tages eines dieser Bänder zerreißen.</t>
  </si>
  <si>
    <t>Tages</t>
  </si>
  <si>
    <t>einer</t>
  </si>
  <si>
    <t>meiner</t>
  </si>
  <si>
    <t>beobachtet</t>
  </si>
  <si>
    <t>waren</t>
  </si>
  <si>
    <t>ermüdend</t>
  </si>
  <si>
    <t>gnadenlos</t>
  </si>
  <si>
    <t>sagte</t>
  </si>
  <si>
    <t>Wow</t>
  </si>
  <si>
    <t>Aimee</t>
  </si>
  <si>
    <t>Du</t>
  </si>
  <si>
    <t>bist</t>
  </si>
  <si>
    <t>starkes</t>
  </si>
  <si>
    <t>kraftvolles</t>
  </si>
  <si>
    <t>junges</t>
  </si>
  <si>
    <t>Mädchen</t>
  </si>
  <si>
    <t>wirst</t>
  </si>
  <si>
    <t>OBJ_5</t>
  </si>
  <si>
    <t>other_7</t>
  </si>
  <si>
    <t>other_6</t>
  </si>
  <si>
    <t>zerreißen</t>
  </si>
  <si>
    <t># text = Und wenn Du es schaffst, gebe ich Dir Hundert Dollar."</t>
  </si>
  <si>
    <t>wenn</t>
  </si>
  <si>
    <t>schaffst</t>
  </si>
  <si>
    <t>gebe</t>
  </si>
  <si>
    <t>Dir</t>
  </si>
  <si>
    <t>Hundert</t>
  </si>
  <si>
    <t>Dollar</t>
  </si>
  <si>
    <t># text = Das war natürlich nur ein einfacher Trick von Dr.</t>
  </si>
  <si>
    <t>Das</t>
  </si>
  <si>
    <t>natürlich</t>
  </si>
  <si>
    <t>einfacher</t>
  </si>
  <si>
    <t>Trick</t>
  </si>
  <si>
    <t># text = P., damit ich die Übungen mache, die ich nicht machen wollte, mit der Aussicht, dass reichste fünfjährige Mädchen in der Krankenstation im zweiten Stock zu werden.</t>
  </si>
  <si>
    <t>mache</t>
  </si>
  <si>
    <t>wollte</t>
  </si>
  <si>
    <t>Aussicht</t>
  </si>
  <si>
    <t>reichste</t>
  </si>
  <si>
    <t>fünfjährige</t>
  </si>
  <si>
    <t>Krankenstation</t>
  </si>
  <si>
    <t>zweiten</t>
  </si>
  <si>
    <t>Stock</t>
  </si>
  <si>
    <t># text = Aber er hat mich tatsächlich dazu gebracht, meinen täglichen Übungs-Horror mit neuen Augen zu sehen.</t>
  </si>
  <si>
    <t>dazu</t>
  </si>
  <si>
    <t>gebracht</t>
  </si>
  <si>
    <t>meinen</t>
  </si>
  <si>
    <t>täglichen</t>
  </si>
  <si>
    <t>Übungs</t>
  </si>
  <si>
    <t>Horror</t>
  </si>
  <si>
    <t>neuen</t>
  </si>
  <si>
    <t>Augen</t>
  </si>
  <si>
    <t># text = So wurde daraus ein neues und vielversprechendes Erlebnis.</t>
  </si>
  <si>
    <t>So</t>
  </si>
  <si>
    <t>daraus</t>
  </si>
  <si>
    <t>neues</t>
  </si>
  <si>
    <t>vielversprechendes</t>
  </si>
  <si>
    <t>Erlebnis</t>
  </si>
  <si>
    <t># text = Und ich frage mich heute, wie sehr seine Vision von mir als starkes und kraftvolles junges Mädchen mein Selbstbild geformt hat und ich mir so vorstellen konnte, mich als einen von Natur aus starken, kraftvollen und atlethischen Mensch zu sehen.</t>
  </si>
  <si>
    <t>frage</t>
  </si>
  <si>
    <t>heute</t>
  </si>
  <si>
    <t>seine</t>
  </si>
  <si>
    <t>Vision</t>
  </si>
  <si>
    <t>indef-np</t>
  </si>
  <si>
    <t>geformt</t>
  </si>
  <si>
    <t>vorstellen</t>
  </si>
  <si>
    <t>Natur</t>
  </si>
  <si>
    <t>starken</t>
  </si>
  <si>
    <t>atlethischen</t>
  </si>
  <si>
    <t># text = Das ist nur ein Beispiel von vielen, wie Erwachsene in Machtpositionen die Vorstellungskraft eines Kindes anregen können.</t>
  </si>
  <si>
    <t>Beispiel</t>
  </si>
  <si>
    <t>vielen</t>
  </si>
  <si>
    <t>Erwachsene</t>
  </si>
  <si>
    <t>Machtpositionen</t>
  </si>
  <si>
    <t>Vorstellungskraft</t>
  </si>
  <si>
    <t>Kindes</t>
  </si>
  <si>
    <t># text = Aber wie die bereits zitierten Beispiele aus den Synonym-Wörterbüchern beweisen, lässt uns unsere Sprache keinen Raum, sich etwas vorzustellen, was wir uns alle wünschen würden: es jedem Einzelnen zu ermöglichen, sich selbst als kraftvollen Menschen zu sehen.</t>
  </si>
  <si>
    <t>bereits</t>
  </si>
  <si>
    <t>zitierten</t>
  </si>
  <si>
    <t>Beispiele</t>
  </si>
  <si>
    <t>Wörterbüchern</t>
  </si>
  <si>
    <t>beweisen</t>
  </si>
  <si>
    <t>lässt</t>
  </si>
  <si>
    <t>unsere</t>
  </si>
  <si>
    <t>keinen</t>
  </si>
  <si>
    <t>Raum</t>
  </si>
  <si>
    <t>vorzustellen</t>
  </si>
  <si>
    <t>alle</t>
  </si>
  <si>
    <t>wünschen</t>
  </si>
  <si>
    <t>würden</t>
  </si>
  <si>
    <t>jedem</t>
  </si>
  <si>
    <t>Einzelnen</t>
  </si>
  <si>
    <t>ermöglichen</t>
  </si>
  <si>
    <t>selbst</t>
  </si>
  <si>
    <t># text = Unsere Sprache hinkt den gesellschaftlichen Veränderungen hinterher, die in vielen Fällen durch einen technologischen Wandel ausgelöst wurden.</t>
  </si>
  <si>
    <t>hinkt</t>
  </si>
  <si>
    <t>gesellschaftlichen</t>
  </si>
  <si>
    <t>Veränderungen</t>
  </si>
  <si>
    <t>hinterher</t>
  </si>
  <si>
    <t>Fällen</t>
  </si>
  <si>
    <t>durch</t>
  </si>
  <si>
    <t>technologischen</t>
  </si>
  <si>
    <t>Wandel</t>
  </si>
  <si>
    <t>ausgelöst</t>
  </si>
  <si>
    <t>wurden</t>
  </si>
  <si>
    <t># text = Vom medizinischen Standpunkt aus betrachtet kann man natürlich sagen, dass meine Beine, die Laser-Chirurgie für Sehbehinderungen, Kniegelenke aus Titan und künstliche Hüftgelenke für alternde Körper, die es Menschen erlauben, wirklich alle ihre Möglichkeiten zu nutzen und sich über die Grenzen, die ihnen ihr natürliches Schicksal gesetzt hat, hinaus zu entwickeln, gar nicht zu sprechen von Social Networking Plattformen, Menschen ermöglichen sich eine eigene Identität geben, sich auf eigene Art und Weise definieren, und sich damit weltweit an zu Gruppen orientieren, die sie sich selbst aussuchen.</t>
  </si>
  <si>
    <t>Von</t>
  </si>
  <si>
    <t>medizinischen</t>
  </si>
  <si>
    <t>Standpunkt</t>
  </si>
  <si>
    <t>betrachtet</t>
  </si>
  <si>
    <t>Beine</t>
  </si>
  <si>
    <t>Laser</t>
  </si>
  <si>
    <t>Chirurgie</t>
  </si>
  <si>
    <t>Sehbehinderungen</t>
  </si>
  <si>
    <t>Kniegelenke</t>
  </si>
  <si>
    <t>Titan</t>
  </si>
  <si>
    <t>künstliche</t>
  </si>
  <si>
    <t>Hüftgelenke</t>
  </si>
  <si>
    <t>alternde</t>
  </si>
  <si>
    <t>Körper</t>
  </si>
  <si>
    <t>SBJ_6</t>
  </si>
  <si>
    <t>OBJ_6</t>
  </si>
  <si>
    <t>erlauben</t>
  </si>
  <si>
    <t>ihre</t>
  </si>
  <si>
    <t>Möglichkeiten</t>
  </si>
  <si>
    <t>OBJ_7</t>
  </si>
  <si>
    <t>nutzen</t>
  </si>
  <si>
    <t>OBJ_8</t>
  </si>
  <si>
    <t>Grenzen</t>
  </si>
  <si>
    <t>other_8</t>
  </si>
  <si>
    <t>SBJ_10</t>
  </si>
  <si>
    <t>OBJ_10</t>
  </si>
  <si>
    <t>ihr</t>
  </si>
  <si>
    <t>natürliches</t>
  </si>
  <si>
    <t>Schicksal</t>
  </si>
  <si>
    <t>gesetzt</t>
  </si>
  <si>
    <t>hinaus</t>
  </si>
  <si>
    <t>entwickeln</t>
  </si>
  <si>
    <t>gar</t>
  </si>
  <si>
    <t>sprechen</t>
  </si>
  <si>
    <t>Social</t>
  </si>
  <si>
    <t>Networking</t>
  </si>
  <si>
    <t>Plattformen</t>
  </si>
  <si>
    <t>eigene</t>
  </si>
  <si>
    <t>Identität</t>
  </si>
  <si>
    <t>Art</t>
  </si>
  <si>
    <t>definieren</t>
  </si>
  <si>
    <t>weltweit</t>
  </si>
  <si>
    <t>Gruppen</t>
  </si>
  <si>
    <t>orientieren</t>
  </si>
  <si>
    <t>aussuchen</t>
  </si>
  <si>
    <t># text = Vielleicht verdeutlicht also dieser technologische Wandel klarer denn je, dass es schon immer eine andere Wahrheit gab, nämlich, dass jeder Mensch der Gesellschaft etwas ganz Besonderess und sehr Kraftvolles geben kann und dass die menschliche Fähigkeit, sich anzupassen, unser größtes Plus ist.</t>
  </si>
  <si>
    <t>Vielleicht</t>
  </si>
  <si>
    <t>verdeutlicht</t>
  </si>
  <si>
    <t>technologische</t>
  </si>
  <si>
    <t>denn</t>
  </si>
  <si>
    <t>je</t>
  </si>
  <si>
    <t>Wahrheit</t>
  </si>
  <si>
    <t>gab</t>
  </si>
  <si>
    <t>nämlich</t>
  </si>
  <si>
    <t>jeder</t>
  </si>
  <si>
    <t>Gesellschaft</t>
  </si>
  <si>
    <t>Besonderess</t>
  </si>
  <si>
    <t>Kraftvolles</t>
  </si>
  <si>
    <t>menschliche</t>
  </si>
  <si>
    <t>größtes</t>
  </si>
  <si>
    <t>Plus</t>
  </si>
  <si>
    <t># text = Die menschliche Fähigkeit sich anzupassen - das ist eine interessante Geschichte, weil Menschen mich immer wieder darum bitten zu erzählen, wie ich mit Widrigkeiten umgehe und ich werde Ihnen etwas gestehen:</t>
  </si>
  <si>
    <t>Die</t>
  </si>
  <si>
    <t>interessante</t>
  </si>
  <si>
    <t>Geschichte</t>
  </si>
  <si>
    <t>wieder</t>
  </si>
  <si>
    <t>bitten</t>
  </si>
  <si>
    <t>Widrigkeiten</t>
  </si>
  <si>
    <t>umgehe</t>
  </si>
  <si>
    <t>gestehen</t>
  </si>
  <si>
    <t># text = Dieser Satz hat für mich nie gepasst und ich hab mich immer sehr unwohl damit gefühlt, die Fragen von Menschen dazu zu beantworten, und ich glaube, allmählich verstehe ich, warum.</t>
  </si>
  <si>
    <t>Dieser</t>
  </si>
  <si>
    <t>Satz</t>
  </si>
  <si>
    <t>gepasst</t>
  </si>
  <si>
    <t>unwohl</t>
  </si>
  <si>
    <t>gefühlt</t>
  </si>
  <si>
    <t>Fragen</t>
  </si>
  <si>
    <t>beantworten</t>
  </si>
  <si>
    <t>glaube</t>
  </si>
  <si>
    <t>allmählich</t>
  </si>
  <si>
    <t>verstehe</t>
  </si>
  <si>
    <t>warum</t>
  </si>
  <si>
    <t># text = Dieser Satz vom Umgang mit Widrigkeiten lebt von der Idee, dass Erfolg oder Glück davon abhängt, eine Herausforderung zu meistern, ohne von dem damit verbundenen Erlebnis geprägt zu werden.</t>
  </si>
  <si>
    <t>Umgang</t>
  </si>
  <si>
    <t>lebt</t>
  </si>
  <si>
    <t>Idee</t>
  </si>
  <si>
    <t>Glück</t>
  </si>
  <si>
    <t>davon</t>
  </si>
  <si>
    <t>abhängt</t>
  </si>
  <si>
    <t>Herausforderung</t>
  </si>
  <si>
    <t>meistern</t>
  </si>
  <si>
    <t>verbundenen</t>
  </si>
  <si>
    <t>geprägt</t>
  </si>
  <si>
    <t># text = Als ob mein Leben so erfolgreich verlaufen wäre, weil ich den möglichen Fallen eines Lebens mit einer Prothese ausweichen konnte, oder wie auch immer Menschen mich mit meiner Behinderung wahrnehmen.</t>
  </si>
  <si>
    <t>Als</t>
  </si>
  <si>
    <t>ob</t>
  </si>
  <si>
    <t>erfolgreich</t>
  </si>
  <si>
    <t>möglichen</t>
  </si>
  <si>
    <t>Fallen</t>
  </si>
  <si>
    <t>Lebens</t>
  </si>
  <si>
    <t>Prothese</t>
  </si>
  <si>
    <t>ausweichen</t>
  </si>
  <si>
    <t>Behinderung</t>
  </si>
  <si>
    <t># text = Aber die Wahrheit ist, dass wir uns verändern.</t>
  </si>
  <si>
    <t># text = Natürlich sind wir von der Herausforderung geprägt, egal ob sie physisch, emotional oder sogar beides ist Und ich behaupte, dass das gut ist.</t>
  </si>
  <si>
    <t>sind</t>
  </si>
  <si>
    <t>egal</t>
  </si>
  <si>
    <t>physisch</t>
  </si>
  <si>
    <t>emotional</t>
  </si>
  <si>
    <t>beides</t>
  </si>
  <si>
    <t>behaupte</t>
  </si>
  <si>
    <t>gut</t>
  </si>
  <si>
    <t># text = Widrigkeiten sind kein Hindernis, das wir umkurven müssen, um mit unserem Leben besser klar zu kommen.</t>
  </si>
  <si>
    <t>Hindernis</t>
  </si>
  <si>
    <t>umkurven</t>
  </si>
  <si>
    <t>müssen</t>
  </si>
  <si>
    <t>unserem</t>
  </si>
  <si>
    <t>klar</t>
  </si>
  <si>
    <t>kommen</t>
  </si>
  <si>
    <t># text = Widrigkeiten gehören einfach zu unserem Leben.</t>
  </si>
  <si>
    <t># text = Und ich neige dazu, Widrigkeiten als meinen Schatten zu sehen.</t>
  </si>
  <si>
    <t>neige</t>
  </si>
  <si>
    <t>Schatten</t>
  </si>
  <si>
    <t># text = Manchmal merke ich, dass er sehr präsent ist, manchmal ist er kaum zu sehen, aber er ist ständig bei mir.</t>
  </si>
  <si>
    <t>Manchmal</t>
  </si>
  <si>
    <t>merke</t>
  </si>
  <si>
    <t>präsent</t>
  </si>
  <si>
    <t>manchmal</t>
  </si>
  <si>
    <t>kaum</t>
  </si>
  <si>
    <t>ständig</t>
  </si>
  <si>
    <t># text = Und ich will damit keinesfalls die Auswirkung bzw. die Schwere des Kampfs eines Menschen herabsetzen.</t>
  </si>
  <si>
    <t>will</t>
  </si>
  <si>
    <t>keinesfalls</t>
  </si>
  <si>
    <t>Auswirkung</t>
  </si>
  <si>
    <t>bzw</t>
  </si>
  <si>
    <t>Schwere</t>
  </si>
  <si>
    <t>Kampfs</t>
  </si>
  <si>
    <t># text = Es gibt im Leben Widrigkeiten und Herausforderungen, und die sind nur alllzu real und jede Person geht damit anders um.</t>
  </si>
  <si>
    <t>gibt</t>
  </si>
  <si>
    <t>Herausforderungen</t>
  </si>
  <si>
    <t>alllzu</t>
  </si>
  <si>
    <t>real</t>
  </si>
  <si>
    <t>jede</t>
  </si>
  <si>
    <t>anders</t>
  </si>
  <si>
    <t># text = Aber die Frage lautet nicht, ob wir mit Widrigkeiten klar kommen oder nicht, sondern wie wir damit klar kommen.</t>
  </si>
  <si>
    <t>Frage</t>
  </si>
  <si>
    <t>lautet</t>
  </si>
  <si>
    <t>sondern</t>
  </si>
  <si>
    <t># text = Wir sind also nicht nur dafür verantwortlich, die Menschen die wir lieben, vor Schicksalsschlägen zu bewahren, sondern sie auch darauf vorzubereiten, gut damit klar zu kommen.</t>
  </si>
  <si>
    <t>Wir</t>
  </si>
  <si>
    <t>dafür</t>
  </si>
  <si>
    <t>verantwortlich</t>
  </si>
  <si>
    <t>lieben</t>
  </si>
  <si>
    <t>Schicksalsschlägen</t>
  </si>
  <si>
    <t>bewahren</t>
  </si>
  <si>
    <t>darauf</t>
  </si>
  <si>
    <t>vorzubereiten</t>
  </si>
  <si>
    <t># text = Und wir erweisen unseren Kindern keinen Gefallen, wenn wir ihnen das Gefühl geben, dass sie sich nicht anpassen können.</t>
  </si>
  <si>
    <t>unseren</t>
  </si>
  <si>
    <t>Gefallen</t>
  </si>
  <si>
    <t>Gefühl</t>
  </si>
  <si>
    <t>anpassen</t>
  </si>
  <si>
    <t># text = Man muss zwei Dinge klar trennen: zum einen die medizinische Tatsache, amputiert zu sein und zum anderen die gesellschaftliche Meinung darüber, ob ich behindert bin oder nicht.</t>
  </si>
  <si>
    <t>Man</t>
  </si>
  <si>
    <t>zwei</t>
  </si>
  <si>
    <t>Dinge</t>
  </si>
  <si>
    <t>medizinische</t>
  </si>
  <si>
    <t>Tatsache</t>
  </si>
  <si>
    <t>amputiert</t>
  </si>
  <si>
    <t>anderen</t>
  </si>
  <si>
    <t>gesellschaftliche</t>
  </si>
  <si>
    <t>Meinung</t>
  </si>
  <si>
    <t>darüber</t>
  </si>
  <si>
    <t>bin</t>
  </si>
  <si>
    <t># text = Und um ehrlich zu sein, die einzige wirkliche und bleibende Behinderung, mit der ich mich auseinander setzen musste, ist, dass die Welt ständig meint, sie könne mich mit diesen Definitionen beschreiben.</t>
  </si>
  <si>
    <t>ehrlich</t>
  </si>
  <si>
    <t>einzige</t>
  </si>
  <si>
    <t>wirkliche</t>
  </si>
  <si>
    <t>bleibende</t>
  </si>
  <si>
    <t>auseinander</t>
  </si>
  <si>
    <t>setzen</t>
  </si>
  <si>
    <t>meint</t>
  </si>
  <si>
    <t>könne</t>
  </si>
  <si>
    <t>Definitionen</t>
  </si>
  <si>
    <t># text = In unserem Wunsch, die Menschen zu schützen, die uns am Herzen liegen und ihnen die kalte, harte Wahrheit über ihre medizinische Prognose mitzuteilen oder sogar eine Prognose zur Lebensqualität zu stellen, die sie erwartet, müssen wir aufpassen, dass wir nicht den Grundstein dafür legen, dass jemand tatsächlich behindert ist.</t>
  </si>
  <si>
    <t>In</t>
  </si>
  <si>
    <t>Wunsch</t>
  </si>
  <si>
    <t>schützen</t>
  </si>
  <si>
    <t>Herzen</t>
  </si>
  <si>
    <t>liegen</t>
  </si>
  <si>
    <t>kalte</t>
  </si>
  <si>
    <t>harte</t>
  </si>
  <si>
    <t>Prognose</t>
  </si>
  <si>
    <t>mitzuteilen</t>
  </si>
  <si>
    <t>Lebensqualität</t>
  </si>
  <si>
    <t>Grundstein</t>
  </si>
  <si>
    <t>legen</t>
  </si>
  <si>
    <t># text = Vielleicht ist das momentane Konzept, das nur darauf achtet, was in einem kaputt ist, und wie wir das reparieren, für jeden einzelnen eine größere Behinderung als die Pathologie an sich.</t>
  </si>
  <si>
    <t>momentane</t>
  </si>
  <si>
    <t>Konzept</t>
  </si>
  <si>
    <t>achtet</t>
  </si>
  <si>
    <t>reparieren</t>
  </si>
  <si>
    <t>jeden</t>
  </si>
  <si>
    <t>einzelnen</t>
  </si>
  <si>
    <t>größere</t>
  </si>
  <si>
    <t>Pathologie</t>
  </si>
  <si>
    <t># text = Wenn wir einen Menschen nicht ganzheitlich behandeln, und nicht all seine Kräfte und Möglichkeiten wahrnehmen und anerkennen, schaffen wir zusätzlich zu dem natürlichen Kampf, den sie vielleicht führen müssen, eine weitere Krankheit.</t>
  </si>
  <si>
    <t>Wenn</t>
  </si>
  <si>
    <t>ganzheitlich</t>
  </si>
  <si>
    <t>all</t>
  </si>
  <si>
    <t>Kräfte</t>
  </si>
  <si>
    <t>anerkennen</t>
  </si>
  <si>
    <t>zusätzlich</t>
  </si>
  <si>
    <t>natürlichen</t>
  </si>
  <si>
    <t>Kampf</t>
  </si>
  <si>
    <t>vielleicht</t>
  </si>
  <si>
    <t>führen</t>
  </si>
  <si>
    <t>weitere</t>
  </si>
  <si>
    <t>Krankheit</t>
  </si>
  <si>
    <t># text = Wir degradieren einen Menschen, der für unsere Gesellschaft einen Wert hat.</t>
  </si>
  <si>
    <t>Wert</t>
  </si>
  <si>
    <t># text = Also müssen wir über die Patologie hinaus schauen und uns auf alle Bereich der menschlichen Möglichkeiten konzentrieren.</t>
  </si>
  <si>
    <t>Patologie</t>
  </si>
  <si>
    <t>Bereich</t>
  </si>
  <si>
    <t>menschlichen</t>
  </si>
  <si>
    <t>konzentrieren</t>
  </si>
  <si>
    <t># text = Am allerwichtigsten aber ist, dass es zwischen der Wahrnehmung unserer Unzulänglichkeiten und unserem großartigen Erfindergeist, eine Verbindung gibt.</t>
  </si>
  <si>
    <t>An</t>
  </si>
  <si>
    <t>allerwichtigsten</t>
  </si>
  <si>
    <t>zwischen</t>
  </si>
  <si>
    <t>Wahrnehmung</t>
  </si>
  <si>
    <t>unserer</t>
  </si>
  <si>
    <t>Unzulänglichkeiten</t>
  </si>
  <si>
    <t>großartigen</t>
  </si>
  <si>
    <t>Erfindergeist</t>
  </si>
  <si>
    <t>Verbindung</t>
  </si>
  <si>
    <t># text = Wir sollten diese herausfordernden Zeiten nicht abwerten oder verleugnen, wir sollten weder versuchen, sie zu vermeiden, noch sollten wir sie unter den Teppich kehren, sondern es geht darum, in den Widrigkeiten Chancen zu erkennen.</t>
  </si>
  <si>
    <t>sollten</t>
  </si>
  <si>
    <t>herausfordernden</t>
  </si>
  <si>
    <t>Zeiten</t>
  </si>
  <si>
    <t>abwerten</t>
  </si>
  <si>
    <t>verleugnen</t>
  </si>
  <si>
    <t>weder</t>
  </si>
  <si>
    <t>versuchen</t>
  </si>
  <si>
    <t>vermeiden</t>
  </si>
  <si>
    <t>Teppich</t>
  </si>
  <si>
    <t>kehren</t>
  </si>
  <si>
    <t>erkennen</t>
  </si>
  <si>
    <t># text = Es geht mir vielleicht eher darum, klar zu stellen, dass wir Widrigkeiten nicht unbedingt überwinden müssen, sondern dass wir dafür offen sind, sie zum umarmen, sie am Schopf zu packen um auch mal einen Kampf-Ausdruck zu verwenden und vielleicht sogar damit zu tanzen.</t>
  </si>
  <si>
    <t>eher</t>
  </si>
  <si>
    <t>unbedingt</t>
  </si>
  <si>
    <t>überwinden</t>
  </si>
  <si>
    <t>offen</t>
  </si>
  <si>
    <t>umarmen</t>
  </si>
  <si>
    <t>Schopf</t>
  </si>
  <si>
    <t>packen</t>
  </si>
  <si>
    <t>mal</t>
  </si>
  <si>
    <t>Ausdruck</t>
  </si>
  <si>
    <t>verwenden</t>
  </si>
  <si>
    <t>tanzen</t>
  </si>
  <si>
    <t># text = Und vielleicht schaffen wir es, Widrigkeiten als etwas natürliches, stimmiges und nützliches zu sehen und fühlen uns so durch ihre Präsenz nicht mehr so belastet.</t>
  </si>
  <si>
    <t>stimmiges</t>
  </si>
  <si>
    <t>nützliches</t>
  </si>
  <si>
    <t>fühlen</t>
  </si>
  <si>
    <t>Präsenz</t>
  </si>
  <si>
    <t>belastet</t>
  </si>
  <si>
    <t># text = In diesem Jahr feiern wir den 200.</t>
  </si>
  <si>
    <t>Jahr</t>
  </si>
  <si>
    <t>200</t>
  </si>
  <si>
    <t># text = Geburtstag von Charles Darwin und als er vor 150 Jahren über Evolution geschrieben hat, hat Darwin, in meinen Augen, auf etwas sehr Wahres im menschlichen Charakter hingewiesen.</t>
  </si>
  <si>
    <t>Geburtstag</t>
  </si>
  <si>
    <t>Charles</t>
  </si>
  <si>
    <t>Darwin</t>
  </si>
  <si>
    <t>Jahren</t>
  </si>
  <si>
    <t>Evolution</t>
  </si>
  <si>
    <t>geschrieben</t>
  </si>
  <si>
    <t>Wahres</t>
  </si>
  <si>
    <t>Charakter</t>
  </si>
  <si>
    <t>hingewiesen</t>
  </si>
  <si>
    <t># text = Ich würde es so umschreiben: Nicht der stärkste seiner Art überlebt, und auch nicht der intelligenteste seiner Art, sondern der, der sich Veränderungen am besten anpassen kann.</t>
  </si>
  <si>
    <t>Nicht</t>
  </si>
  <si>
    <t>stärkste</t>
  </si>
  <si>
    <t>seiner</t>
  </si>
  <si>
    <t>überlebt</t>
  </si>
  <si>
    <t>intelligenteste</t>
  </si>
  <si>
    <t>besten</t>
  </si>
  <si>
    <t># text = Aus Konflikten entsteht Kreativität.</t>
  </si>
  <si>
    <t>Aus</t>
  </si>
  <si>
    <t>Konflikten</t>
  </si>
  <si>
    <t>entsteht</t>
  </si>
  <si>
    <t>Kreativität</t>
  </si>
  <si>
    <t># text = Nicht nur aus Darwins Werk wissen wir, dass die Fähigkeit des Menschen, zu überleben und aufzublühen, vom Kampf des menschlichen Geistes bestimmt ist, sich durch Konflikte zu wandeln.</t>
  </si>
  <si>
    <t>Darwins</t>
  </si>
  <si>
    <t>Werk</t>
  </si>
  <si>
    <t>überleben</t>
  </si>
  <si>
    <t>aufzublühen</t>
  </si>
  <si>
    <t>Geistes</t>
  </si>
  <si>
    <t>bestimmt</t>
  </si>
  <si>
    <t>Konflikte</t>
  </si>
  <si>
    <t>wandeln</t>
  </si>
  <si>
    <t># text = Also, nochmals, Wandel und Anpassung sind die großartigsten Fähigkeiten des Menschen.</t>
  </si>
  <si>
    <t>nochmals</t>
  </si>
  <si>
    <t>Anpassung</t>
  </si>
  <si>
    <t>großartigsten</t>
  </si>
  <si>
    <t>Fähigkeiten</t>
  </si>
  <si>
    <t># text = Und vielleicht wissen wir erst, aus welchem Holz wir geschnitzt sind, wenn wir wirklich geprüft werden.</t>
  </si>
  <si>
    <t>erst</t>
  </si>
  <si>
    <t>welchem</t>
  </si>
  <si>
    <t>pron.pint</t>
  </si>
  <si>
    <t>Holz</t>
  </si>
  <si>
    <t>geschnitzt</t>
  </si>
  <si>
    <t>geprüft</t>
  </si>
  <si>
    <t># text = Möglicherweise ist genau das der Sinn von Widrigkeiten, eine Wahrnehmung des Ichs, ein Gefühl für unsere eigene Kraft.</t>
  </si>
  <si>
    <t>Möglicherweise</t>
  </si>
  <si>
    <t>genau</t>
  </si>
  <si>
    <t>Sinn</t>
  </si>
  <si>
    <t>Ichs</t>
  </si>
  <si>
    <t># text = Wir können uns so selbst etwas schenken.</t>
  </si>
  <si>
    <t># text = Wir können Widrigkeiten eine neue Bedeutung geben, die über schwere Zeiten hinaus geht.</t>
  </si>
  <si>
    <t>neue</t>
  </si>
  <si>
    <t>Bedeutung</t>
  </si>
  <si>
    <t>schwere</t>
  </si>
  <si>
    <t># text = Vielleicht können wir Widrigkeiten als Veränderung sehen.</t>
  </si>
  <si>
    <t>Veränderung</t>
  </si>
  <si>
    <t># text = Widrigkeiten stehen für eine Veränderung, an die wir uns noch nicht angepasst haben.</t>
  </si>
  <si>
    <t>angepasst</t>
  </si>
  <si>
    <t># text = Ich glaube, den größten Schaden, den wir uns selbst zugefügt haben, ist zu glauben, dass wir normal sein sollen.</t>
  </si>
  <si>
    <t>größten</t>
  </si>
  <si>
    <t>Schaden</t>
  </si>
  <si>
    <t>zugefügt</t>
  </si>
  <si>
    <t>normal</t>
  </si>
  <si>
    <t>sollen</t>
  </si>
  <si>
    <t># text = Mal ehrlich - wer ist normal?</t>
  </si>
  <si>
    <t>Mal</t>
  </si>
  <si>
    <t>wer</t>
  </si>
  <si>
    <t># text = Es gibt kein Normal.</t>
  </si>
  <si>
    <t>Normal</t>
  </si>
  <si>
    <t># text = Es gibt das Übliche.</t>
  </si>
  <si>
    <t>Übliche</t>
  </si>
  <si>
    <t># text = Das Typische.</t>
  </si>
  <si>
    <t># text = Aber nicht das Normale.</t>
  </si>
  <si>
    <t># text = Und würden Sie diese arme, graue Person wirklich kennen lernen wollen, wenn es sie wirklich gäbe?</t>
  </si>
  <si>
    <t>arme</t>
  </si>
  <si>
    <t>graue</t>
  </si>
  <si>
    <t>gäbe</t>
  </si>
  <si>
    <t># text = (Gelächter) Ich denke, eher nicht.</t>
  </si>
  <si>
    <t>(</t>
  </si>
  <si>
    <t>Gelächter</t>
  </si>
  <si>
    <t>)</t>
  </si>
  <si>
    <t>denke</t>
  </si>
  <si>
    <t># text = Es wäre toll, wenn wir dieses Denkmuster der Normalität gegen ein anderes der Möglichkeiten oder der Stärke, um es sogar noch ein bisschen gefährlicher zu formulieren, austauschen könnten.</t>
  </si>
  <si>
    <t>Denkmuster</t>
  </si>
  <si>
    <t>Normalität</t>
  </si>
  <si>
    <t>gegen</t>
  </si>
  <si>
    <t>anderes</t>
  </si>
  <si>
    <t>Stärke</t>
  </si>
  <si>
    <t>bisschen</t>
  </si>
  <si>
    <t>gefährlicher</t>
  </si>
  <si>
    <t>formulieren</t>
  </si>
  <si>
    <t>austauschen</t>
  </si>
  <si>
    <t>könnten</t>
  </si>
  <si>
    <t># text = So können wir die Kräfte von sehr vielen Kindern freisetzen, und sie dazu einladen, ihre ganz besonderen und wertvollen Fähigkeiten in die Gesellschaft einzubringen.</t>
  </si>
  <si>
    <t>einladen</t>
  </si>
  <si>
    <t>besonderen</t>
  </si>
  <si>
    <t>wertvollen</t>
  </si>
  <si>
    <t>einzubringen</t>
  </si>
  <si>
    <t># text = Anthropolgen haben heraus gefunden, dass wir Menschen von den Mitgliedern unserer Gesellschaft immer eines gefordert haben: Nützlich zu sein und einen Beitrag zu leisten.</t>
  </si>
  <si>
    <t>Anthropolgen</t>
  </si>
  <si>
    <t>heraus</t>
  </si>
  <si>
    <t>gefunden</t>
  </si>
  <si>
    <t>Mitgliedern</t>
  </si>
  <si>
    <t>gefordert</t>
  </si>
  <si>
    <t>Nützlich</t>
  </si>
  <si>
    <t>leisten</t>
  </si>
  <si>
    <t># text = Es gibt Hinweise darauf, dass schon die Neandertaler vor 60.000 Jahren ältere Menschen und Menschen mit schweren körperlichen Verletzungen mit getragen haben und das geschah vielleicht, weil die Lebenserfahrung im Überlebenskampf dieser Menschen für die Gesellschaft wertvoll war: sie haben diese Menschen nicht als kaputt und nutzlos betrachtet;</t>
  </si>
  <si>
    <t>Hinweise</t>
  </si>
  <si>
    <t>Neandertaler</t>
  </si>
  <si>
    <t>60.000</t>
  </si>
  <si>
    <t>ältere</t>
  </si>
  <si>
    <t>schweren</t>
  </si>
  <si>
    <t>körperlichen</t>
  </si>
  <si>
    <t>Verletzungen</t>
  </si>
  <si>
    <t>getragen</t>
  </si>
  <si>
    <t>geschah</t>
  </si>
  <si>
    <t>Lebenserfahrung</t>
  </si>
  <si>
    <t>Überlebenskampf</t>
  </si>
  <si>
    <t>wertvoll</t>
  </si>
  <si>
    <t>;</t>
  </si>
  <si>
    <t># text = sie wurden als etwas Besonderes und Wertvolles behandelt.</t>
  </si>
  <si>
    <t>Besonderes</t>
  </si>
  <si>
    <t>Wertvolles</t>
  </si>
  <si>
    <t>behandelt</t>
  </si>
  <si>
    <t># text = Vor ein paar Jahren ging ich in der Stadt, in der ich aufgewachsen war, in einen Lebensmittelmarkt in jener "Red Zone" im Nordosten von Pennsylvania, und ich stand da vor einem Scheffel (ca. 37 Liter) Tomaten.</t>
  </si>
  <si>
    <t>Vor</t>
  </si>
  <si>
    <t>ging</t>
  </si>
  <si>
    <t>Stadt</t>
  </si>
  <si>
    <t>aufgewachsen</t>
  </si>
  <si>
    <t>Lebensmittelmarkt</t>
  </si>
  <si>
    <t>jener</t>
  </si>
  <si>
    <t>Red</t>
  </si>
  <si>
    <t>Zone</t>
  </si>
  <si>
    <t>Nordosten</t>
  </si>
  <si>
    <t>Pennsylvania</t>
  </si>
  <si>
    <t>stand</t>
  </si>
  <si>
    <t>da</t>
  </si>
  <si>
    <t>Scheffel</t>
  </si>
  <si>
    <t>ca.</t>
  </si>
  <si>
    <t>Liter</t>
  </si>
  <si>
    <t>Tomaten</t>
  </si>
  <si>
    <t># text = Es war Sommer und ich hatte Shorts an.</t>
  </si>
  <si>
    <t>Sommer</t>
  </si>
  <si>
    <t>hatte</t>
  </si>
  <si>
    <t>Shorts</t>
  </si>
  <si>
    <t># text = Und ich höre, wie ein Typ hinter mir sagt, "Na wenn das nicht Aimee Mullins ist."</t>
  </si>
  <si>
    <t>höre</t>
  </si>
  <si>
    <t>Typ</t>
  </si>
  <si>
    <t>hinter</t>
  </si>
  <si>
    <t>sagt</t>
  </si>
  <si>
    <t>Na</t>
  </si>
  <si>
    <t>Mullins</t>
  </si>
  <si>
    <t># text = Und ich dreh mich um und sehe diesen älteren Mann.</t>
  </si>
  <si>
    <t>sehe</t>
  </si>
  <si>
    <t>älteren</t>
  </si>
  <si>
    <t>Mann</t>
  </si>
  <si>
    <t># text = Ich hatte keine Ahnung wer er ist.</t>
  </si>
  <si>
    <t>keine</t>
  </si>
  <si>
    <t>Ahnung</t>
  </si>
  <si>
    <t># text = Und ich meinte \"Entschuldigung, Sir, kennen wir uns?</t>
  </si>
  <si>
    <t>meinte</t>
  </si>
  <si>
    <t>Entschuldigung</t>
  </si>
  <si>
    <t>Sir</t>
  </si>
  <si>
    <t># text = Ich kann mich nicht an Sie erinnern."</t>
  </si>
  <si>
    <t># text = Und er sagte: "Nun ja, Sie dürften sich kaum an mich erinnern.</t>
  </si>
  <si>
    <t>Nun</t>
  </si>
  <si>
    <t>ja</t>
  </si>
  <si>
    <t>dürften</t>
  </si>
  <si>
    <t># text = Als ich Sie zum ersten Mal sah, hab ich Sie aus dem Bauch Ihrer Mutter geholt.\"</t>
  </si>
  <si>
    <t>ersten</t>
  </si>
  <si>
    <t>sah</t>
  </si>
  <si>
    <t>Bauch</t>
  </si>
  <si>
    <t>Ihrer</t>
  </si>
  <si>
    <t>Mutter</t>
  </si>
  <si>
    <t>geholt</t>
  </si>
  <si>
    <t># text = Oh, also der.</t>
  </si>
  <si>
    <t># text = Und natürlich hat es dann aber klick gemacht.</t>
  </si>
  <si>
    <t>dann</t>
  </si>
  <si>
    <t>klick</t>
  </si>
  <si>
    <t>gemacht</t>
  </si>
  <si>
    <t># text = Das war Dr.</t>
  </si>
  <si>
    <t># text = Kean, ein Mann, den ich nur aus Erzählungen meiner Mutter über diesen Tag kannte, weil ich natürlich, ganz typisch, zu meinem Geburtstag zwei Wochen zu spät kam.</t>
  </si>
  <si>
    <t>Erzählungen</t>
  </si>
  <si>
    <t>Tag</t>
  </si>
  <si>
    <t>kannte</t>
  </si>
  <si>
    <t>typisch</t>
  </si>
  <si>
    <t>Wochen</t>
  </si>
  <si>
    <t>spät</t>
  </si>
  <si>
    <t># text = Der Arzt für pränatale Diagnostik meiner Mutter war im Urlaub, und so kannten meine Eltern den Mann, der mich zur Welt brachte, überhaupt nicht.</t>
  </si>
  <si>
    <t>Der</t>
  </si>
  <si>
    <t>Arzt</t>
  </si>
  <si>
    <t>pränatale</t>
  </si>
  <si>
    <t>Diagnostik</t>
  </si>
  <si>
    <t>Urlaub</t>
  </si>
  <si>
    <t>kannten</t>
  </si>
  <si>
    <t>Eltern</t>
  </si>
  <si>
    <t>brachte</t>
  </si>
  <si>
    <t>überhaupt</t>
  </si>
  <si>
    <t># text = Und weil ich ohne Wadenbeine geboren wurde, und meine Füße sich nach ihnen gerichtet hatten und ich nur ein paar Zehen an diesem und ein paar Zehen am anderen Fuß hatte war er der Überbringer, dieser Fremde musste die schlechten Nachrichten überbringen.</t>
  </si>
  <si>
    <t>Wadenbeine</t>
  </si>
  <si>
    <t>Füße</t>
  </si>
  <si>
    <t>gerichtet</t>
  </si>
  <si>
    <t>hatten</t>
  </si>
  <si>
    <t>Zehen</t>
  </si>
  <si>
    <t>Fuß</t>
  </si>
  <si>
    <t>def-np.the.other</t>
  </si>
  <si>
    <t>Überbringer</t>
  </si>
  <si>
    <t>Fremde</t>
  </si>
  <si>
    <t>schlechten</t>
  </si>
  <si>
    <t>Nachrichten</t>
  </si>
  <si>
    <t>überbringen</t>
  </si>
  <si>
    <t># text = Er sagte zu mir: "Ich musste Deinen Eltern sagen, dass Du nie laufen würdest, und nie so beweglich sein würdest wie andere Kinder oder dass Du nie ein unabhängiges Leben führen könntest, und seitdem haben</t>
  </si>
  <si>
    <t>Deinen</t>
  </si>
  <si>
    <t>laufen</t>
  </si>
  <si>
    <t>würdest</t>
  </si>
  <si>
    <t>beweglich</t>
  </si>
  <si>
    <t>unabhängiges</t>
  </si>
  <si>
    <t>könntest</t>
  </si>
  <si>
    <t>seitdem</t>
  </si>
  <si>
    <t># text = Sie mich einfach Lügen gestraft."</t>
  </si>
  <si>
    <t>Lügen</t>
  </si>
  <si>
    <t>gestraft</t>
  </si>
  <si>
    <t># text = (Applaus) Wirklich außergewöhnlich fand ich, dass er Zeitungsausschnitte meiner gesamten Kindheit gesammelt hat, egal, ob ich bei einem Buchstabier-Wettbewerb in der zweiten Klasse gewonnen hatte, ob ich mit den Pfadfindern bei der Parade zu Halloween unterwegs war, egal, ob ich mein Stipendium oder einer meiner sportlichen Siege errungen hatte, und er verwendete diese Ausschnitte, um seine Studenten zu unterrichten, Medizin-Studenten aus der Hahnemann Medical School und der Hershey Medical School.</t>
  </si>
  <si>
    <t>Applaus</t>
  </si>
  <si>
    <t>Wirklich</t>
  </si>
  <si>
    <t>außergewöhnlich</t>
  </si>
  <si>
    <t>Zeitungsausschnitte</t>
  </si>
  <si>
    <t>gesamten</t>
  </si>
  <si>
    <t>Kindheit</t>
  </si>
  <si>
    <t>gesammelt</t>
  </si>
  <si>
    <t>Buchstabier</t>
  </si>
  <si>
    <t>Wettbewerb</t>
  </si>
  <si>
    <t>Klasse</t>
  </si>
  <si>
    <t>gewonnen</t>
  </si>
  <si>
    <t>Pfadfindern</t>
  </si>
  <si>
    <t>Parade</t>
  </si>
  <si>
    <t>Halloween</t>
  </si>
  <si>
    <t>unterwegs</t>
  </si>
  <si>
    <t>Stipendium</t>
  </si>
  <si>
    <t>SBJ_7</t>
  </si>
  <si>
    <t>sportlichen</t>
  </si>
  <si>
    <t>Siege</t>
  </si>
  <si>
    <t>errungen</t>
  </si>
  <si>
    <t>verwendete</t>
  </si>
  <si>
    <t>Ausschnitte</t>
  </si>
  <si>
    <t>Studenten</t>
  </si>
  <si>
    <t>unterrichten</t>
  </si>
  <si>
    <t>Medizin</t>
  </si>
  <si>
    <t>Hahnemann</t>
  </si>
  <si>
    <t>Medical</t>
  </si>
  <si>
    <t>School</t>
  </si>
  <si>
    <t>Hershey</t>
  </si>
  <si>
    <t># text = Und er nannte diesen Teil seines Kurses den X Faktor, das Potenzial des menschlichen Willens.</t>
  </si>
  <si>
    <t>nannte</t>
  </si>
  <si>
    <t>Teil</t>
  </si>
  <si>
    <t>seines</t>
  </si>
  <si>
    <t>Kurses</t>
  </si>
  <si>
    <t>X</t>
  </si>
  <si>
    <t>Faktor</t>
  </si>
  <si>
    <t>Potenzial</t>
  </si>
  <si>
    <t>Willens</t>
  </si>
  <si>
    <t># text = Man kann einfach nicht genug betonen, wie entscheidend dieser Faktor für die Lebensqualität eines Menschen sein kann.</t>
  </si>
  <si>
    <t>genug</t>
  </si>
  <si>
    <t>entscheidend</t>
  </si>
  <si>
    <t># text = Kean erzählte weiter, er sagte: \"Ich habe gelernt, dass Kinder, wenn sie nicht ständig etwas anderes gesagt bekommen, und auch wenn sie nur ein bisschen Unterstützung bekommen, wenn man Kinder sich selbst überlässt, dann können Kinder sehr viel erreichen.\"</t>
  </si>
  <si>
    <t>erzählte</t>
  </si>
  <si>
    <t>weiter</t>
  </si>
  <si>
    <t>gelernt</t>
  </si>
  <si>
    <t>gesagt</t>
  </si>
  <si>
    <t>Unterstützung</t>
  </si>
  <si>
    <t>überlässt</t>
  </si>
  <si>
    <t>erreichen</t>
  </si>
  <si>
    <t># text = Sehen Sie, Dr.</t>
  </si>
  <si>
    <t>Sehen</t>
  </si>
  <si>
    <t># text = Kean hat sein Denken verändert.</t>
  </si>
  <si>
    <t>verändert</t>
  </si>
  <si>
    <t># text = Er hatte verstanden, dass die medizinische Diagnose, und wie jemand damit umgeht, zwei unterschiedliche Dinge sind.</t>
  </si>
  <si>
    <t>verstanden</t>
  </si>
  <si>
    <t>Diagnose</t>
  </si>
  <si>
    <t>umgeht</t>
  </si>
  <si>
    <t>unterschiedliche</t>
  </si>
  <si>
    <t># text = Und auch ich hab mein Denken im Lauf der Zeit geändert, wenn sie mich im Alter von 15 Jahren gefragt hätten, ob ich meine Prothesen gegen Beine aus Fleisch und Knochen getauscht hätte, dann hätte ich keine Sekunde gezögert.</t>
  </si>
  <si>
    <t>Lauf</t>
  </si>
  <si>
    <t>geändert</t>
  </si>
  <si>
    <t>Alter</t>
  </si>
  <si>
    <t>gefragt</t>
  </si>
  <si>
    <t>hätten</t>
  </si>
  <si>
    <t>Prothesen</t>
  </si>
  <si>
    <t>Fleisch</t>
  </si>
  <si>
    <t>Knochen</t>
  </si>
  <si>
    <t>getauscht</t>
  </si>
  <si>
    <t>hätte</t>
  </si>
  <si>
    <t>Sekunde</t>
  </si>
  <si>
    <t>gezögert</t>
  </si>
  <si>
    <t># text = Ich wollte damals unbedingt normal wirken.</t>
  </si>
  <si>
    <t># text = Wenn Sie mich das heute fragen, bin ich mir nicht so sicher.</t>
  </si>
  <si>
    <t>fragen</t>
  </si>
  <si>
    <t>sicher</t>
  </si>
  <si>
    <t># text = Und das ist passiert, WEIL ich etwas mit meinen Beinen erlebt habe und nicht TROTZ dieser Erlebnisse.</t>
  </si>
  <si>
    <t>passiert</t>
  </si>
  <si>
    <t>WEIL</t>
  </si>
  <si>
    <t>Beinen</t>
  </si>
  <si>
    <t>TROTZ</t>
  </si>
  <si>
    <t>Erlebnisse</t>
  </si>
  <si>
    <t># text = Und vielleicht konnte dieser Wandel auch passieren, weil ich so vielen Menschen begegnet bin, die mir Türen geöffnet haben, anstatt Menschen zu begegnen, die mich einschränken oder mir eine Vorstellung überstülpen wollten.</t>
  </si>
  <si>
    <t>begegnet</t>
  </si>
  <si>
    <t>anstatt</t>
  </si>
  <si>
    <t>begegnen</t>
  </si>
  <si>
    <t>einschränken</t>
  </si>
  <si>
    <t>Vorstellung</t>
  </si>
  <si>
    <t>überstülpen</t>
  </si>
  <si>
    <t>wollten</t>
  </si>
  <si>
    <t># text = Sehen Sie, es braucht wirklich nur einen Menschen, der Ihnen demonstriert, wie Sie Ihre Kräfte manifestieren können, und Sie sind durch.</t>
  </si>
  <si>
    <t>braucht</t>
  </si>
  <si>
    <t>demonstriert</t>
  </si>
  <si>
    <t>Ihre</t>
  </si>
  <si>
    <t># text = Wenn Sie es jemandem ermöglichen, seine eigenen, inneren Kräfte zu aktivieren, – der menschliche Geist ist so empfangsbereit – wenn Sie das schaffen, und für jemanden in einem entscheidenden Moment eine Tür öffnen, dann sind Sie für diese Menschen ein sehr guter Lehrer.</t>
  </si>
  <si>
    <t>jemandem</t>
  </si>
  <si>
    <t>eigenen</t>
  </si>
  <si>
    <t>inneren</t>
  </si>
  <si>
    <t>aktivieren</t>
  </si>
  <si>
    <t>Geist</t>
  </si>
  <si>
    <t>empfangsbereit</t>
  </si>
  <si>
    <t>jemanden</t>
  </si>
  <si>
    <t>entscheidenden</t>
  </si>
  <si>
    <t>Moment</t>
  </si>
  <si>
    <t>Tür</t>
  </si>
  <si>
    <t>guter</t>
  </si>
  <si>
    <t>Lehrer</t>
  </si>
  <si>
    <t># text = Sie bringen ihnen bei, sich selbst Türen zu öffnen.</t>
  </si>
  <si>
    <t># text = Die eigentliche Bedeutung des Worts "educate" (erziehen) wurzelt in dem Wort "educe" (entwickeln).</t>
  </si>
  <si>
    <t>eigentliche</t>
  </si>
  <si>
    <t>Worts</t>
  </si>
  <si>
    <t>educate</t>
  </si>
  <si>
    <t>erziehen</t>
  </si>
  <si>
    <t>wurzelt</t>
  </si>
  <si>
    <t>educe</t>
  </si>
  <si>
    <t># text = Es bedeutet, etwas hervorzubringen, dass in einem ist, das Potenzial herauszukitzeln.</t>
  </si>
  <si>
    <t>hervorzubringen</t>
  </si>
  <si>
    <t>herauszukitzeln</t>
  </si>
  <si>
    <t># text = Nochmals: Welches Potenzial möchten wir denn nun abrufen?</t>
  </si>
  <si>
    <t>Nochmals</t>
  </si>
  <si>
    <t>Welches</t>
  </si>
  <si>
    <t>möchten</t>
  </si>
  <si>
    <t>nun</t>
  </si>
  <si>
    <t># text = In den 60er Jahren wurde in Großbritannien eine Fallstudie durchgeführt.</t>
  </si>
  <si>
    <t>60er</t>
  </si>
  <si>
    <t>Großbritannien</t>
  </si>
  <si>
    <t>Fallstudie</t>
  </si>
  <si>
    <t>durchgeführt</t>
  </si>
  <si>
    <t># text = Damals wurden Gymnasien in Gesamtschulen umgewandelt.</t>
  </si>
  <si>
    <t>Damals</t>
  </si>
  <si>
    <t>Gymnasien</t>
  </si>
  <si>
    <t>Gesamtschulen</t>
  </si>
  <si>
    <t>umgewandelt</t>
  </si>
  <si>
    <t># text = Sie nennen das dort "Streaming Trials" (Strömungs-Untersuchungen) in den USA bezeichnen wir das als "Tracking" (Nachverfolgen).</t>
  </si>
  <si>
    <t>dort</t>
  </si>
  <si>
    <t>Streaming</t>
  </si>
  <si>
    <t>Trials</t>
  </si>
  <si>
    <t>Strömungs</t>
  </si>
  <si>
    <t>Untersuchungen</t>
  </si>
  <si>
    <t>USA</t>
  </si>
  <si>
    <t>Tracking</t>
  </si>
  <si>
    <t>Nachverfolgen</t>
  </si>
  <si>
    <t># text = Die Schüler werden nach Noten (A, B, C, D und so weiter) aufgeteilt.</t>
  </si>
  <si>
    <t>Schüler</t>
  </si>
  <si>
    <t>Noten</t>
  </si>
  <si>
    <t>A</t>
  </si>
  <si>
    <t>B</t>
  </si>
  <si>
    <t>C</t>
  </si>
  <si>
    <t>D</t>
  </si>
  <si>
    <t>aufgeteilt</t>
  </si>
  <si>
    <t># text = Und die A Schüler werden mündlich schwerer geprüft, bekommen die besseren Lehrer usw.</t>
  </si>
  <si>
    <t>mündlich</t>
  </si>
  <si>
    <t>schwerer</t>
  </si>
  <si>
    <t>besseren</t>
  </si>
  <si>
    <t>usw</t>
  </si>
  <si>
    <t># text = Sie haben dann über einen dreimonatigen Zeitraum Schülern mit einem "Ausreichend" (D) die Note "Sehr gut" (A) gegeben.</t>
  </si>
  <si>
    <t>dreimonatigen</t>
  </si>
  <si>
    <t>Zeitraum</t>
  </si>
  <si>
    <t>Schülern</t>
  </si>
  <si>
    <t>Ausreichend</t>
  </si>
  <si>
    <t>Note</t>
  </si>
  <si>
    <t>Sehr</t>
  </si>
  <si>
    <t>gegeben</t>
  </si>
  <si>
    <t># text = Es wurde ihnen gesagt, sie seien Asse, dass sie sehr schlau wären.</t>
  </si>
  <si>
    <t>seien</t>
  </si>
  <si>
    <t>Asse</t>
  </si>
  <si>
    <t>schlau</t>
  </si>
  <si>
    <t>wären</t>
  </si>
  <si>
    <t># text = Und nach diesen drei Monaten haben sie wirklich Einser geschrieben.</t>
  </si>
  <si>
    <t>drei</t>
  </si>
  <si>
    <t>Einser</t>
  </si>
  <si>
    <t># text = Und natürlich zerbricht es einem das Herz zu hören, dass umgekehrt den Einser-Schülern gesagt wurde, sie seien nur ausreichend.</t>
  </si>
  <si>
    <t>zerbricht</t>
  </si>
  <si>
    <t>Herz</t>
  </si>
  <si>
    <t>hören</t>
  </si>
  <si>
    <t>umgekehrt</t>
  </si>
  <si>
    <t>ausreichend</t>
  </si>
  <si>
    <t># text = Und genauso war es dann nach den drei Monaten auch.</t>
  </si>
  <si>
    <t>genauso</t>
  </si>
  <si>
    <t># text = Aber nur jene, die immer noch in der Schule waren – abgesehen von den Schülern, die die Schule geschmissen hatten.</t>
  </si>
  <si>
    <t>jene</t>
  </si>
  <si>
    <t>Schule</t>
  </si>
  <si>
    <t>abgesehen</t>
  </si>
  <si>
    <t>geschmissen</t>
  </si>
  <si>
    <t># text = Ganz entscheidend bei dieser Studie war, dass die Lehrer nicht eingeweiht waren.</t>
  </si>
  <si>
    <t>Ganz</t>
  </si>
  <si>
    <t>Studie</t>
  </si>
  <si>
    <t>eingeweiht</t>
  </si>
  <si>
    <t># text = Die Lehrer wussten nicht, dass etwas geändert wurde.</t>
  </si>
  <si>
    <t>wussten</t>
  </si>
  <si>
    <t># text = Ihnen wurde einfach gesagt, dass seien die Einser-Schüler und dass sind die Schüler mit der Note ausreichend.</t>
  </si>
  <si>
    <t># text = Und genauso haben sie ihnen etwas beigebracht und sie behandelt.</t>
  </si>
  <si>
    <t>beigebracht</t>
  </si>
  <si>
    <t># text = Die einzige wirkliche Behinderung ist ein gebrochener Geist ein Geist, der gebrochen wurde, hat keine Hoffnung mehr.</t>
  </si>
  <si>
    <t>gebrochener</t>
  </si>
  <si>
    <t>gebrochen</t>
  </si>
  <si>
    <t>Hoffnung</t>
  </si>
  <si>
    <t># text = Er findet nichts mehr schön.</t>
  </si>
  <si>
    <t>findet</t>
  </si>
  <si>
    <t>nichts</t>
  </si>
  <si>
    <t>schön</t>
  </si>
  <si>
    <t># text = ihm fehlt unsere natürliche, kindliche Neugier.</t>
  </si>
  <si>
    <t>ihm</t>
  </si>
  <si>
    <t>fehlt</t>
  </si>
  <si>
    <t>natürliche</t>
  </si>
  <si>
    <t>kindliche</t>
  </si>
  <si>
    <t>Neugier</t>
  </si>
  <si>
    <t># text = und unsere angeborene Fähigkeit der Imagination.</t>
  </si>
  <si>
    <t>angeborene</t>
  </si>
  <si>
    <t>Imagination</t>
  </si>
  <si>
    <t># text = Wenn wir es aber schaffen, den menschlichen Geist dabei zu unterstützen, weiterhin zu hoffen, sich selbst und andere Menschen um sich herum schön zu finden, neugierig und phantasievoll zu sein dann setzen wir unsere Kräfte wirklich positiv ein.</t>
  </si>
  <si>
    <t>dabei</t>
  </si>
  <si>
    <t>unterstützen</t>
  </si>
  <si>
    <t>weiterhin</t>
  </si>
  <si>
    <t>hoffen</t>
  </si>
  <si>
    <t>neugierig</t>
  </si>
  <si>
    <t>phantasievoll</t>
  </si>
  <si>
    <t># text = Wenn ein Geist über diese Qualitäten verfügt, können wir eine neue Wirklichkeit und neue Daseinsformen schaffen.</t>
  </si>
  <si>
    <t>Qualitäten</t>
  </si>
  <si>
    <t>verfügt</t>
  </si>
  <si>
    <t>Wirklichkeit</t>
  </si>
  <si>
    <t>Daseinsformen</t>
  </si>
  <si>
    <t># text = Ich möchte mit einem Gedicht enden, das von einem persischen Poeten namens Hafiz im 14.</t>
  </si>
  <si>
    <t>möchte</t>
  </si>
  <si>
    <t>Gedicht</t>
  </si>
  <si>
    <t>persischen</t>
  </si>
  <si>
    <t>Poeten</t>
  </si>
  <si>
    <t>namens</t>
  </si>
  <si>
    <t>Hafiz</t>
  </si>
  <si>
    <t># text = Jahrhundert verfasst wurde und von dem mir mein Freund Jacques Dembois erzählt hat.</t>
  </si>
  <si>
    <t>Jahrhundert</t>
  </si>
  <si>
    <t>verfasst</t>
  </si>
  <si>
    <t>Jacques</t>
  </si>
  <si>
    <t>Dembois</t>
  </si>
  <si>
    <t>erzählt</t>
  </si>
  <si>
    <t># text = Und das Gedicht heißt \"Der Gott, der nur vier Worte kennt.\"</t>
  </si>
  <si>
    <t>vier</t>
  </si>
  <si>
    <t>Worte</t>
  </si>
  <si>
    <t>kennt</t>
  </si>
  <si>
    <t># text = \"Jedes Kind kennt Gott, nicht den Gott der Namen, nicht den Gott der Verbote, sondern den Gott, der nur vier Worte kennt und diese ständig wiederholt, er sagt immer nur: Komm, tanz mit mir.\"</t>
  </si>
  <si>
    <t>Jedes</t>
  </si>
  <si>
    <t>Namen</t>
  </si>
  <si>
    <t>Verbote</t>
  </si>
  <si>
    <t>wiederholt</t>
  </si>
  <si>
    <t>tanz</t>
  </si>
  <si>
    <t># text = Komm, tanz mit mir.</t>
  </si>
  <si>
    <t># text = Vielen Dank.</t>
  </si>
  <si>
    <t>Vielen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</si>
</sst>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66"/>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18</v>
      </c>
      <c r="C3" s="6" t="s">
        <v>16</v>
      </c>
      <c r="D3" s="7" t="s">
        <v>19</v>
      </c>
      <c r="E3" s="8" t="s">
        <v>20</v>
      </c>
      <c r="F3" s="6" t="s">
        <v>21</v>
      </c>
      <c r="G3" s="9">
        <f>IF(A3=1,"_",IF(C3="_","???",C3))</f>
        <v/>
      </c>
      <c r="H3" s="10" t="s">
        <v>16</v>
      </c>
      <c r="I3" s="11" t="s">
        <v>16</v>
      </c>
      <c r="J3" s="12"/>
    </row>
    <row r="4" spans="1:10" ht="60" customHeight="1">
      <c r="A4" s="6" t="s">
        <v>22</v>
      </c>
      <c r="B4" s="6" t="s">
        <v>17</v>
      </c>
      <c r="C4" s="6" t="s">
        <v>16</v>
      </c>
      <c r="D4" s="7" t="s">
        <v>23</v>
      </c>
      <c r="E4" s="8" t="s">
        <v>24</v>
      </c>
      <c r="F4" s="6" t="s">
        <v>25</v>
      </c>
      <c r="G4" s="9">
        <f>IF(A4=1,"_",IF(C4="_","???",C4))</f>
        <v/>
      </c>
      <c r="H4" s="10" t="s">
        <v>16</v>
      </c>
      <c r="I4" s="11" t="s">
        <v>16</v>
      </c>
      <c r="J4" s="12"/>
    </row>
    <row r="5" spans="1:10" ht="60" customHeight="1">
      <c r="A5" s="6" t="s">
        <v>26</v>
      </c>
      <c r="B5" s="6" t="s">
        <v>27</v>
      </c>
      <c r="C5" s="6" t="s">
        <v>16</v>
      </c>
      <c r="D5" s="7" t="s">
        <v>28</v>
      </c>
      <c r="E5" s="8" t="s">
        <v>29</v>
      </c>
      <c r="F5" s="6" t="s">
        <v>30</v>
      </c>
      <c r="G5" s="9">
        <f>IF(A5=1,"_",IF(C5="_","???",C5))</f>
        <v/>
      </c>
      <c r="H5" s="10" t="s">
        <v>16</v>
      </c>
      <c r="I5" s="11" t="s">
        <v>16</v>
      </c>
      <c r="J5" s="12"/>
    </row>
    <row r="6" spans="1:10" ht="60" customHeight="1">
      <c r="A6" s="6" t="s">
        <v>31</v>
      </c>
      <c r="B6" s="6" t="s">
        <v>10</v>
      </c>
      <c r="C6" s="6" t="s">
        <v>16</v>
      </c>
      <c r="D6" s="7" t="s">
        <v>32</v>
      </c>
      <c r="E6" s="8" t="s">
        <v>33</v>
      </c>
      <c r="F6" s="6" t="s">
        <v>34</v>
      </c>
      <c r="G6" s="9">
        <f>IF(A6=1,"_",IF(C6="_","???",C6))</f>
        <v/>
      </c>
      <c r="H6" s="10" t="s">
        <v>16</v>
      </c>
      <c r="I6" s="11" t="s">
        <v>16</v>
      </c>
      <c r="J6" s="12"/>
    </row>
    <row r="7" spans="1:10" ht="60" customHeight="1">
      <c r="A7" s="6" t="s">
        <v>11</v>
      </c>
      <c r="B7" s="6" t="s">
        <v>35</v>
      </c>
      <c r="C7" s="6" t="s">
        <v>16</v>
      </c>
      <c r="D7" s="7" t="s">
        <v>36</v>
      </c>
      <c r="E7" s="8" t="s">
        <v>37</v>
      </c>
      <c r="F7" s="6" t="s">
        <v>38</v>
      </c>
      <c r="G7" s="9">
        <f>IF(A7=1,"_",IF(C7="_","???",C7))</f>
        <v/>
      </c>
      <c r="H7" s="10" t="s">
        <v>16</v>
      </c>
      <c r="I7" s="11" t="s">
        <v>16</v>
      </c>
      <c r="J7" s="12"/>
    </row>
    <row r="8" spans="1:10" ht="60" customHeight="1">
      <c r="A8" s="6" t="s">
        <v>39</v>
      </c>
      <c r="B8" s="6" t="s">
        <v>17</v>
      </c>
      <c r="C8" s="6" t="s">
        <v>16</v>
      </c>
      <c r="D8" s="7" t="s">
        <v>40</v>
      </c>
      <c r="E8" s="8" t="s">
        <v>41</v>
      </c>
      <c r="F8" s="6" t="s">
        <v>42</v>
      </c>
      <c r="G8" s="9">
        <f>IF(A8=1,"_",IF(C8="_","???",C8))</f>
        <v/>
      </c>
      <c r="H8" s="10" t="s">
        <v>16</v>
      </c>
      <c r="I8" s="11" t="s">
        <v>16</v>
      </c>
      <c r="J8" s="12"/>
    </row>
    <row r="9" spans="1:10" ht="60" customHeight="1">
      <c r="A9" s="6" t="s">
        <v>35</v>
      </c>
      <c r="B9" s="6" t="s">
        <v>31</v>
      </c>
      <c r="C9" s="6" t="s">
        <v>16</v>
      </c>
      <c r="D9" s="7" t="s">
        <v>43</v>
      </c>
      <c r="E9" s="8" t="s">
        <v>44</v>
      </c>
      <c r="F9" s="6" t="s">
        <v>45</v>
      </c>
      <c r="G9" s="9">
        <f>IF(A9=1,"_",IF(C9="_","???",C9))</f>
        <v/>
      </c>
      <c r="H9" s="10" t="s">
        <v>16</v>
      </c>
      <c r="I9" s="11" t="s">
        <v>16</v>
      </c>
      <c r="J9" s="12"/>
    </row>
    <row r="10" spans="1:10" ht="60" customHeight="1">
      <c r="A10" s="6" t="s">
        <v>46</v>
      </c>
      <c r="B10" s="6" t="s">
        <v>22</v>
      </c>
      <c r="C10" s="6" t="s">
        <v>16</v>
      </c>
      <c r="D10" s="7" t="s">
        <v>47</v>
      </c>
      <c r="E10" s="8" t="s">
        <v>48</v>
      </c>
      <c r="F10" s="6" t="s">
        <v>49</v>
      </c>
      <c r="G10" s="9">
        <f>IF(A10=1,"_",IF(C10="_","???",C10))</f>
        <v/>
      </c>
      <c r="H10" s="10" t="s">
        <v>16</v>
      </c>
      <c r="I10" s="11" t="s">
        <v>16</v>
      </c>
      <c r="J10" s="12"/>
    </row>
    <row r="11" spans="1:10" ht="60" customHeight="1">
      <c r="A11" s="6" t="s">
        <v>50</v>
      </c>
      <c r="B11" s="6" t="s">
        <v>22</v>
      </c>
      <c r="C11" s="6" t="s">
        <v>16</v>
      </c>
      <c r="D11" s="7" t="s">
        <v>51</v>
      </c>
      <c r="E11" s="8" t="s">
        <v>52</v>
      </c>
      <c r="F11" s="6" t="s">
        <v>53</v>
      </c>
      <c r="G11" s="9">
        <f>IF(A11=1,"_",IF(C11="_","???",C11))</f>
        <v/>
      </c>
      <c r="H11" s="10" t="s">
        <v>16</v>
      </c>
      <c r="I11" s="11" t="s">
        <v>16</v>
      </c>
      <c r="J11" s="12"/>
    </row>
    <row r="12" spans="1:10" ht="60" customHeight="1">
      <c r="A12" s="6" t="s">
        <v>18</v>
      </c>
      <c r="B12" s="6" t="s">
        <v>54</v>
      </c>
      <c r="C12" s="6" t="s">
        <v>16</v>
      </c>
      <c r="D12" s="7" t="s">
        <v>55</v>
      </c>
      <c r="E12" s="8" t="s">
        <v>56</v>
      </c>
      <c r="F12" s="6" t="s">
        <v>57</v>
      </c>
      <c r="G12" s="9">
        <f>IF(A12=1,"_",IF(C12="_","???",C12))</f>
        <v/>
      </c>
      <c r="H12" s="10" t="s">
        <v>16</v>
      </c>
      <c r="I12" s="11" t="s">
        <v>16</v>
      </c>
      <c r="J12" s="12"/>
    </row>
    <row r="13" spans="1:10" ht="60" customHeight="1">
      <c r="A13" s="6" t="s">
        <v>54</v>
      </c>
      <c r="B13" s="6" t="s">
        <v>58</v>
      </c>
      <c r="C13" s="6" t="s">
        <v>16</v>
      </c>
      <c r="D13" s="7" t="s">
        <v>59</v>
      </c>
      <c r="E13" s="8" t="s">
        <v>60</v>
      </c>
      <c r="F13" s="6" t="s">
        <v>61</v>
      </c>
      <c r="G13" s="9">
        <f>IF(A13=1,"_",IF(C13="_","???",C13))</f>
        <v/>
      </c>
      <c r="H13" s="10" t="s">
        <v>16</v>
      </c>
      <c r="I13" s="11" t="s">
        <v>16</v>
      </c>
      <c r="J13" s="12"/>
    </row>
    <row r="14" spans="1:10" ht="60" customHeight="1">
      <c r="A14" s="6" t="s">
        <v>62</v>
      </c>
      <c r="B14" s="6" t="s">
        <v>54</v>
      </c>
      <c r="C14" s="6" t="s">
        <v>16</v>
      </c>
      <c r="D14" s="7" t="s">
        <v>63</v>
      </c>
      <c r="E14" s="8" t="s">
        <v>64</v>
      </c>
      <c r="F14" s="6" t="s">
        <v>65</v>
      </c>
      <c r="G14" s="9">
        <f>IF(A14=1,"_",IF(C14="_","???",C14))</f>
        <v/>
      </c>
      <c r="H14" s="10" t="s">
        <v>16</v>
      </c>
      <c r="I14" s="11" t="s">
        <v>16</v>
      </c>
      <c r="J14" s="12"/>
    </row>
    <row r="15" spans="1:10" ht="60" customHeight="1">
      <c r="A15" s="6" t="s">
        <v>66</v>
      </c>
      <c r="B15" s="6" t="s">
        <v>17</v>
      </c>
      <c r="C15" s="6" t="s">
        <v>16</v>
      </c>
      <c r="D15" s="7" t="s">
        <v>67</v>
      </c>
      <c r="E15" s="8" t="s">
        <v>68</v>
      </c>
      <c r="F15" s="6" t="s">
        <v>69</v>
      </c>
      <c r="G15" s="9">
        <f>IF(A15=1,"_",IF(C15="_","???",C15))</f>
        <v/>
      </c>
      <c r="H15" s="10" t="s">
        <v>16</v>
      </c>
      <c r="I15" s="11" t="s">
        <v>16</v>
      </c>
      <c r="J15" s="12"/>
    </row>
    <row r="16" spans="1:10" ht="60" customHeight="1">
      <c r="A16" s="6" t="s">
        <v>70</v>
      </c>
      <c r="B16" s="6" t="s">
        <v>17</v>
      </c>
      <c r="C16" s="6" t="s">
        <v>16</v>
      </c>
      <c r="D16" s="7" t="s">
        <v>71</v>
      </c>
      <c r="E16" s="8" t="s">
        <v>72</v>
      </c>
      <c r="F16" s="6" t="s">
        <v>73</v>
      </c>
      <c r="G16" s="9">
        <f>IF(A16=1,"_",IF(C16="_","???",C16))</f>
        <v/>
      </c>
      <c r="H16" s="10" t="s">
        <v>16</v>
      </c>
      <c r="I16" s="11" t="s">
        <v>16</v>
      </c>
      <c r="J16" s="12"/>
    </row>
    <row r="17" spans="1:10" ht="60" customHeight="1">
      <c r="A17" s="6" t="s">
        <v>58</v>
      </c>
      <c r="B17" s="6" t="s">
        <v>17</v>
      </c>
      <c r="C17" s="6" t="s">
        <v>16</v>
      </c>
      <c r="D17" s="7" t="s">
        <v>74</v>
      </c>
      <c r="E17" s="8" t="s">
        <v>75</v>
      </c>
      <c r="F17" s="6" t="s">
        <v>76</v>
      </c>
      <c r="G17" s="9">
        <f>IF(A17=1,"_",IF(C17="_","???",C17))</f>
        <v/>
      </c>
      <c r="H17" s="10" t="s">
        <v>16</v>
      </c>
      <c r="I17" s="11" t="s">
        <v>16</v>
      </c>
      <c r="J17" s="12"/>
    </row>
    <row r="18" spans="1:10" ht="60" customHeight="1">
      <c r="A18" s="6" t="s">
        <v>77</v>
      </c>
      <c r="B18" s="6" t="s">
        <v>22</v>
      </c>
      <c r="C18" s="6" t="s">
        <v>16</v>
      </c>
      <c r="D18" s="7" t="s">
        <v>78</v>
      </c>
      <c r="E18" s="8" t="s">
        <v>79</v>
      </c>
      <c r="F18" s="6" t="s">
        <v>80</v>
      </c>
      <c r="G18" s="9">
        <f>IF(A18=1,"_",IF(C18="_","???",C18))</f>
        <v/>
      </c>
      <c r="H18" s="10" t="s">
        <v>16</v>
      </c>
      <c r="I18" s="11" t="s">
        <v>16</v>
      </c>
      <c r="J18" s="12"/>
    </row>
    <row r="19" spans="1:10" ht="60" customHeight="1">
      <c r="A19" s="6" t="s">
        <v>81</v>
      </c>
      <c r="B19" s="6" t="s">
        <v>17</v>
      </c>
      <c r="C19" s="6" t="s">
        <v>12</v>
      </c>
      <c r="D19" s="7" t="s">
        <v>78</v>
      </c>
      <c r="E19" s="8" t="s">
        <v>82</v>
      </c>
      <c r="F19" s="6" t="s">
        <v>83</v>
      </c>
      <c r="G19" s="9">
        <f>IF(A19=1,"_",IF(C19="_","???",C19))</f>
        <v/>
      </c>
      <c r="H19" s="10" t="s">
        <v>16</v>
      </c>
      <c r="I19" s="11" t="s">
        <v>16</v>
      </c>
      <c r="J19" s="12"/>
    </row>
    <row r="20" spans="1:10" ht="60" customHeight="1">
      <c r="A20" s="6" t="s">
        <v>84</v>
      </c>
      <c r="B20" s="6" t="s">
        <v>17</v>
      </c>
      <c r="C20" s="6" t="s">
        <v>16</v>
      </c>
      <c r="D20" s="7" t="s">
        <v>78</v>
      </c>
      <c r="E20" s="8" t="s">
        <v>85</v>
      </c>
      <c r="F20" s="6" t="s">
        <v>86</v>
      </c>
      <c r="G20" s="9">
        <f>IF(A20=1,"_",IF(C20="_","???",C20))</f>
        <v/>
      </c>
      <c r="H20" s="10" t="s">
        <v>16</v>
      </c>
      <c r="I20" s="11" t="s">
        <v>16</v>
      </c>
      <c r="J20" s="12"/>
    </row>
    <row r="21" spans="1:10" ht="60" customHeight="1">
      <c r="A21" s="6" t="s">
        <v>87</v>
      </c>
      <c r="B21" s="6" t="s">
        <v>22</v>
      </c>
      <c r="C21" s="6" t="s">
        <v>16</v>
      </c>
      <c r="D21" s="7" t="s">
        <v>88</v>
      </c>
      <c r="E21" s="8" t="s">
        <v>89</v>
      </c>
      <c r="F21" s="6" t="s">
        <v>90</v>
      </c>
      <c r="G21" s="9">
        <f>IF(A21=1,"_",IF(C21="_","???",C21))</f>
        <v/>
      </c>
      <c r="H21" s="10" t="s">
        <v>16</v>
      </c>
      <c r="I21" s="11" t="s">
        <v>16</v>
      </c>
      <c r="J21" s="12"/>
    </row>
    <row r="22" spans="1:10" ht="60" customHeight="1">
      <c r="A22" s="6" t="s">
        <v>91</v>
      </c>
      <c r="B22" s="6" t="s">
        <v>70</v>
      </c>
      <c r="C22" s="6" t="s">
        <v>16</v>
      </c>
      <c r="D22" s="7" t="s">
        <v>92</v>
      </c>
      <c r="E22" s="8" t="s">
        <v>93</v>
      </c>
      <c r="F22" s="6" t="s">
        <v>94</v>
      </c>
      <c r="G22" s="9">
        <f>IF(A22=1,"_",IF(C22="_","???",C22))</f>
        <v/>
      </c>
      <c r="H22" s="10" t="s">
        <v>16</v>
      </c>
      <c r="I22" s="11" t="s">
        <v>16</v>
      </c>
      <c r="J22" s="12"/>
    </row>
    <row r="23" spans="1:10" ht="60" customHeight="1">
      <c r="A23" s="6" t="s">
        <v>95</v>
      </c>
      <c r="B23" s="6" t="s">
        <v>10</v>
      </c>
      <c r="C23" s="6" t="s">
        <v>12</v>
      </c>
      <c r="D23" s="7" t="s">
        <v>96</v>
      </c>
      <c r="E23" s="8" t="s">
        <v>97</v>
      </c>
      <c r="F23" s="6" t="s">
        <v>98</v>
      </c>
      <c r="G23" s="9">
        <f>IF(A23=1,"_",IF(C23="_","???",C23))</f>
        <v/>
      </c>
      <c r="H23" s="10" t="s">
        <v>16</v>
      </c>
      <c r="I23" s="11" t="s">
        <v>16</v>
      </c>
      <c r="J23" s="12"/>
    </row>
    <row r="24" spans="1:10" ht="60" customHeight="1">
      <c r="A24" s="6" t="s">
        <v>99</v>
      </c>
      <c r="B24" s="6" t="s">
        <v>54</v>
      </c>
      <c r="C24" s="6" t="s">
        <v>16</v>
      </c>
      <c r="D24" s="7" t="s">
        <v>100</v>
      </c>
      <c r="E24" s="8" t="s">
        <v>101</v>
      </c>
      <c r="F24" s="6" t="s">
        <v>102</v>
      </c>
      <c r="G24" s="9">
        <f>IF(A24=1,"_",IF(C24="_","???",C24))</f>
        <v/>
      </c>
      <c r="H24" s="10" t="s">
        <v>16</v>
      </c>
      <c r="I24" s="11" t="s">
        <v>16</v>
      </c>
      <c r="J24" s="12"/>
    </row>
    <row r="25" spans="1:10" ht="60" customHeight="1">
      <c r="A25" s="6" t="s">
        <v>103</v>
      </c>
      <c r="B25" s="6" t="s">
        <v>10</v>
      </c>
      <c r="C25" s="6" t="s">
        <v>16</v>
      </c>
      <c r="D25" s="7" t="s">
        <v>104</v>
      </c>
      <c r="E25" s="8" t="s">
        <v>105</v>
      </c>
      <c r="F25" s="6" t="s">
        <v>106</v>
      </c>
      <c r="G25" s="9">
        <f>IF(A25=1,"_",IF(C25="_","???",C25))</f>
        <v/>
      </c>
      <c r="H25" s="10" t="s">
        <v>16</v>
      </c>
      <c r="I25" s="11" t="s">
        <v>16</v>
      </c>
      <c r="J25" s="12"/>
    </row>
    <row r="26" spans="1:10" ht="60" customHeight="1">
      <c r="A26" s="6" t="s">
        <v>107</v>
      </c>
      <c r="B26" s="6" t="s">
        <v>18</v>
      </c>
      <c r="C26" s="6" t="s">
        <v>16</v>
      </c>
      <c r="D26" s="7" t="s">
        <v>108</v>
      </c>
      <c r="E26" s="8" t="s">
        <v>109</v>
      </c>
      <c r="F26" s="6" t="s">
        <v>110</v>
      </c>
      <c r="G26" s="9">
        <f>IF(A26=1,"_",IF(C26="_","???",C26))</f>
        <v/>
      </c>
      <c r="H26" s="10" t="s">
        <v>16</v>
      </c>
      <c r="I26" s="11" t="s">
        <v>16</v>
      </c>
      <c r="J26" s="12"/>
    </row>
    <row r="27" spans="1:10" ht="60" customHeight="1">
      <c r="A27" s="6" t="s">
        <v>27</v>
      </c>
      <c r="B27" s="6" t="s">
        <v>10</v>
      </c>
      <c r="C27" s="6" t="s">
        <v>16</v>
      </c>
      <c r="D27" s="7" t="s">
        <v>111</v>
      </c>
      <c r="E27" s="8" t="s">
        <v>112</v>
      </c>
      <c r="F27" s="6" t="s">
        <v>113</v>
      </c>
      <c r="G27" s="9">
        <f>IF(A27=1,"_",IF(C27="_","???",C27))</f>
        <v/>
      </c>
      <c r="H27" s="10" t="s">
        <v>16</v>
      </c>
      <c r="I27" s="11" t="s">
        <v>16</v>
      </c>
      <c r="J27" s="12"/>
    </row>
    <row r="28" spans="1:10" ht="60" customHeight="1">
      <c r="A28" s="6" t="s">
        <v>114</v>
      </c>
      <c r="B28" s="6" t="s">
        <v>17</v>
      </c>
      <c r="C28" s="6" t="s">
        <v>16</v>
      </c>
      <c r="D28" s="7" t="s">
        <v>115</v>
      </c>
      <c r="E28" s="8" t="s">
        <v>116</v>
      </c>
      <c r="F28" s="6" t="s">
        <v>117</v>
      </c>
      <c r="G28" s="9">
        <f>IF(A28=1,"_",IF(C28="_","???",C28))</f>
        <v/>
      </c>
      <c r="H28" s="10" t="s">
        <v>16</v>
      </c>
      <c r="I28" s="11" t="s">
        <v>16</v>
      </c>
      <c r="J28" s="12"/>
    </row>
    <row r="29" spans="1:10" ht="60" customHeight="1">
      <c r="A29" s="6" t="s">
        <v>118</v>
      </c>
      <c r="B29" s="6" t="s">
        <v>10</v>
      </c>
      <c r="C29" s="6" t="s">
        <v>16</v>
      </c>
      <c r="D29" s="7" t="s">
        <v>119</v>
      </c>
      <c r="E29" s="8" t="s">
        <v>120</v>
      </c>
      <c r="F29" s="6" t="s">
        <v>121</v>
      </c>
      <c r="G29" s="9">
        <f>IF(A29=1,"_",IF(C29="_","???",C29))</f>
        <v/>
      </c>
      <c r="H29" s="10" t="s">
        <v>16</v>
      </c>
      <c r="I29" s="11" t="s">
        <v>16</v>
      </c>
      <c r="J29" s="12"/>
    </row>
    <row r="30" spans="1:10" ht="60" customHeight="1">
      <c r="A30" s="6" t="s">
        <v>122</v>
      </c>
      <c r="B30" s="6" t="s">
        <v>26</v>
      </c>
      <c r="C30" s="6" t="s">
        <v>16</v>
      </c>
      <c r="D30" s="7" t="s">
        <v>123</v>
      </c>
      <c r="E30" s="8" t="s">
        <v>124</v>
      </c>
      <c r="F30" s="6" t="s">
        <v>125</v>
      </c>
      <c r="G30" s="9">
        <f>IF(A30=1,"_",IF(C30="_","???",C30))</f>
        <v/>
      </c>
      <c r="H30" s="10" t="s">
        <v>16</v>
      </c>
      <c r="I30" s="11" t="s">
        <v>16</v>
      </c>
      <c r="J30" s="12"/>
    </row>
    <row r="31" spans="1:10" ht="60" customHeight="1">
      <c r="A31" s="6" t="s">
        <v>126</v>
      </c>
      <c r="B31" s="6" t="s">
        <v>17</v>
      </c>
      <c r="C31" s="6" t="s">
        <v>16</v>
      </c>
      <c r="D31" s="7" t="s">
        <v>127</v>
      </c>
      <c r="E31" s="8" t="s">
        <v>128</v>
      </c>
      <c r="F31" s="6" t="s">
        <v>129</v>
      </c>
      <c r="G31" s="9">
        <f>IF(A31=1,"_",IF(C31="_","???",C31))</f>
        <v/>
      </c>
      <c r="H31" s="10" t="s">
        <v>16</v>
      </c>
      <c r="I31" s="11" t="s">
        <v>16</v>
      </c>
      <c r="J31" s="12"/>
    </row>
    <row r="32" spans="1:10" ht="60" customHeight="1">
      <c r="A32" s="6" t="s">
        <v>130</v>
      </c>
      <c r="B32" s="6" t="s">
        <v>17</v>
      </c>
      <c r="C32" s="6" t="s">
        <v>16</v>
      </c>
      <c r="D32" s="7" t="s">
        <v>131</v>
      </c>
      <c r="E32" s="8" t="s">
        <v>132</v>
      </c>
      <c r="F32" s="6" t="s">
        <v>133</v>
      </c>
      <c r="G32" s="9">
        <f>IF(A32=1,"_",IF(C32="_","???",C32))</f>
        <v/>
      </c>
      <c r="H32" s="10" t="s">
        <v>16</v>
      </c>
      <c r="I32" s="11" t="s">
        <v>16</v>
      </c>
      <c r="J32" s="12"/>
    </row>
    <row r="33" spans="1:10" ht="60" customHeight="1">
      <c r="A33" s="6" t="s">
        <v>134</v>
      </c>
      <c r="B33" s="6" t="s">
        <v>17</v>
      </c>
      <c r="C33" s="6" t="s">
        <v>16</v>
      </c>
      <c r="D33" s="7" t="s">
        <v>135</v>
      </c>
      <c r="E33" s="8" t="s">
        <v>136</v>
      </c>
      <c r="F33" s="6" t="s">
        <v>137</v>
      </c>
      <c r="G33" s="9">
        <f>IF(A33=1,"_",IF(C33="_","???",C33))</f>
        <v/>
      </c>
      <c r="H33" s="10" t="s">
        <v>16</v>
      </c>
      <c r="I33" s="11" t="s">
        <v>16</v>
      </c>
      <c r="J33" s="12"/>
    </row>
    <row r="34" spans="1:10" ht="60" customHeight="1">
      <c r="A34" s="6" t="s">
        <v>138</v>
      </c>
      <c r="B34" s="6" t="s">
        <v>17</v>
      </c>
      <c r="C34" s="6" t="s">
        <v>16</v>
      </c>
      <c r="D34" s="7" t="s">
        <v>139</v>
      </c>
      <c r="E34" s="8" t="s">
        <v>140</v>
      </c>
      <c r="F34" s="6" t="s">
        <v>141</v>
      </c>
      <c r="G34" s="9">
        <f>IF(A34=1,"_",IF(C34="_","???",C34))</f>
        <v/>
      </c>
      <c r="H34" s="10" t="s">
        <v>16</v>
      </c>
      <c r="I34" s="11" t="s">
        <v>16</v>
      </c>
      <c r="J34" s="12"/>
    </row>
    <row r="35" spans="1:10" ht="60" customHeight="1">
      <c r="A35" s="6" t="s">
        <v>142</v>
      </c>
      <c r="B35" s="6" t="s">
        <v>17</v>
      </c>
      <c r="C35" s="6" t="s">
        <v>16</v>
      </c>
      <c r="D35" s="7" t="s">
        <v>143</v>
      </c>
      <c r="E35" s="8" t="s">
        <v>144</v>
      </c>
      <c r="F35" s="6" t="s">
        <v>145</v>
      </c>
      <c r="G35" s="9">
        <f>IF(A35=1,"_",IF(C35="_","???",C35))</f>
        <v/>
      </c>
      <c r="H35" s="10" t="s">
        <v>16</v>
      </c>
      <c r="I35" s="11" t="s">
        <v>16</v>
      </c>
      <c r="J35" s="12"/>
    </row>
    <row r="36" spans="1:10" ht="60" customHeight="1">
      <c r="A36" s="6" t="s">
        <v>146</v>
      </c>
      <c r="B36" s="6" t="s">
        <v>35</v>
      </c>
      <c r="C36" s="6" t="s">
        <v>16</v>
      </c>
      <c r="D36" s="7" t="s">
        <v>147</v>
      </c>
      <c r="E36" s="8" t="s">
        <v>148</v>
      </c>
      <c r="F36" s="6" t="s">
        <v>149</v>
      </c>
      <c r="G36" s="9">
        <f>IF(A36=1,"_",IF(C36="_","???",C36))</f>
        <v/>
      </c>
      <c r="H36" s="10" t="s">
        <v>16</v>
      </c>
      <c r="I36" s="11" t="s">
        <v>16</v>
      </c>
      <c r="J36" s="12"/>
    </row>
    <row r="37" spans="1:10" ht="60" customHeight="1">
      <c r="A37" s="6" t="s">
        <v>150</v>
      </c>
      <c r="B37" s="6" t="s">
        <v>39</v>
      </c>
      <c r="C37" s="6" t="s">
        <v>16</v>
      </c>
      <c r="D37" s="7" t="s">
        <v>151</v>
      </c>
      <c r="E37" s="8" t="s">
        <v>152</v>
      </c>
      <c r="F37" s="6" t="s">
        <v>153</v>
      </c>
      <c r="G37" s="9">
        <f>IF(A37=1,"_",IF(C37="_","???",C37))</f>
        <v/>
      </c>
      <c r="H37" s="10" t="s">
        <v>16</v>
      </c>
      <c r="I37" s="11" t="s">
        <v>16</v>
      </c>
      <c r="J37" s="12"/>
    </row>
    <row r="38" spans="1:10" ht="60" customHeight="1">
      <c r="A38" s="6" t="s">
        <v>154</v>
      </c>
      <c r="B38" s="6" t="s">
        <v>26</v>
      </c>
      <c r="C38" s="6" t="s">
        <v>16</v>
      </c>
      <c r="D38" s="7" t="s">
        <v>155</v>
      </c>
      <c r="E38" s="8" t="s">
        <v>156</v>
      </c>
      <c r="F38" s="6" t="s">
        <v>157</v>
      </c>
      <c r="G38" s="9">
        <f>IF(A38=1,"_",IF(C38="_","???",C38))</f>
        <v/>
      </c>
      <c r="H38" s="10" t="s">
        <v>16</v>
      </c>
      <c r="I38" s="11" t="s">
        <v>16</v>
      </c>
      <c r="J38" s="12"/>
    </row>
    <row r="39" spans="1:10" ht="60" customHeight="1">
      <c r="A39" s="6" t="s">
        <v>158</v>
      </c>
      <c r="B39" s="6" t="s">
        <v>26</v>
      </c>
      <c r="C39" s="6" t="s">
        <v>16</v>
      </c>
      <c r="D39" s="7" t="s">
        <v>159</v>
      </c>
      <c r="E39" s="8" t="s">
        <v>160</v>
      </c>
      <c r="F39" s="6" t="s">
        <v>161</v>
      </c>
      <c r="G39" s="9">
        <f>IF(A39=1,"_",IF(C39="_","???",C39))</f>
        <v/>
      </c>
      <c r="H39" s="10" t="s">
        <v>16</v>
      </c>
      <c r="I39" s="11" t="s">
        <v>16</v>
      </c>
      <c r="J39" s="12"/>
    </row>
    <row r="40" spans="1:10" ht="60" customHeight="1">
      <c r="A40" s="6" t="s">
        <v>162</v>
      </c>
      <c r="B40" s="6" t="s">
        <v>26</v>
      </c>
      <c r="C40" s="6" t="s">
        <v>16</v>
      </c>
      <c r="D40" s="7" t="s">
        <v>155</v>
      </c>
      <c r="E40" s="8" t="s">
        <v>156</v>
      </c>
      <c r="F40" s="6" t="s">
        <v>163</v>
      </c>
      <c r="G40" s="9">
        <f>IF(A40=1,"_",IF(C40="_","???",C40))</f>
        <v/>
      </c>
      <c r="H40" s="10" t="s">
        <v>16</v>
      </c>
      <c r="I40" s="11" t="s">
        <v>16</v>
      </c>
      <c r="J40" s="12"/>
    </row>
    <row r="41" spans="1:10" ht="60" customHeight="1">
      <c r="A41" s="6" t="s">
        <v>164</v>
      </c>
      <c r="B41" s="6" t="s">
        <v>17</v>
      </c>
      <c r="C41" s="6" t="s">
        <v>16</v>
      </c>
      <c r="D41" s="7" t="s">
        <v>165</v>
      </c>
      <c r="E41" s="8" t="s">
        <v>166</v>
      </c>
      <c r="F41" s="6" t="s">
        <v>167</v>
      </c>
      <c r="G41" s="9">
        <f>IF(A41=1,"_",IF(C41="_","???",C41))</f>
        <v/>
      </c>
      <c r="H41" s="10" t="s">
        <v>16</v>
      </c>
      <c r="I41" s="11" t="s">
        <v>16</v>
      </c>
      <c r="J41" s="12"/>
    </row>
    <row r="42" spans="1:10" ht="60" customHeight="1">
      <c r="A42" s="6" t="s">
        <v>168</v>
      </c>
      <c r="B42" s="6" t="s">
        <v>17</v>
      </c>
      <c r="C42" s="6" t="s">
        <v>16</v>
      </c>
      <c r="D42" s="7" t="s">
        <v>169</v>
      </c>
      <c r="E42" s="8" t="s">
        <v>170</v>
      </c>
      <c r="F42" s="6" t="s">
        <v>171</v>
      </c>
      <c r="G42" s="9">
        <f>IF(A42=1,"_",IF(C42="_","???",C42))</f>
        <v/>
      </c>
      <c r="H42" s="10" t="s">
        <v>16</v>
      </c>
      <c r="I42" s="11" t="s">
        <v>16</v>
      </c>
      <c r="J42" s="12"/>
    </row>
    <row r="43" spans="1:10" ht="60" customHeight="1">
      <c r="A43" s="6" t="s">
        <v>172</v>
      </c>
      <c r="B43" s="6" t="s">
        <v>99</v>
      </c>
      <c r="C43" s="6" t="s">
        <v>16</v>
      </c>
      <c r="D43" s="7" t="s">
        <v>173</v>
      </c>
      <c r="E43" s="8" t="s">
        <v>174</v>
      </c>
      <c r="F43" s="6" t="s">
        <v>175</v>
      </c>
      <c r="G43" s="9">
        <f>IF(A43=1,"_",IF(C43="_","???",C43))</f>
        <v/>
      </c>
      <c r="H43" s="10" t="s">
        <v>16</v>
      </c>
      <c r="I43" s="11" t="s">
        <v>16</v>
      </c>
      <c r="J43" s="12"/>
    </row>
    <row r="44" spans="1:10" ht="60" customHeight="1">
      <c r="A44" s="6" t="s">
        <v>176</v>
      </c>
      <c r="B44" s="6" t="s">
        <v>39</v>
      </c>
      <c r="C44" s="6" t="s">
        <v>16</v>
      </c>
      <c r="D44" s="7" t="s">
        <v>177</v>
      </c>
      <c r="E44" s="8" t="s">
        <v>178</v>
      </c>
      <c r="F44" s="6" t="s">
        <v>179</v>
      </c>
      <c r="G44" s="9">
        <f>IF(A44=1,"_",IF(C44="_","???",C44))</f>
        <v/>
      </c>
      <c r="H44" s="10" t="s">
        <v>16</v>
      </c>
      <c r="I44" s="11" t="s">
        <v>16</v>
      </c>
      <c r="J44" s="12"/>
    </row>
    <row r="45" spans="1:10" ht="60" customHeight="1">
      <c r="A45" s="6" t="s">
        <v>180</v>
      </c>
      <c r="B45" s="6" t="s">
        <v>17</v>
      </c>
      <c r="C45" s="6" t="s">
        <v>16</v>
      </c>
      <c r="D45" s="7" t="s">
        <v>181</v>
      </c>
      <c r="E45" s="8" t="s">
        <v>182</v>
      </c>
      <c r="F45" s="6" t="s">
        <v>183</v>
      </c>
      <c r="G45" s="9">
        <f>IF(A45=1,"_",IF(C45="_","???",C45))</f>
        <v/>
      </c>
      <c r="H45" s="10" t="s">
        <v>16</v>
      </c>
      <c r="I45" s="11" t="s">
        <v>16</v>
      </c>
      <c r="J45" s="12"/>
    </row>
    <row r="46" spans="1:10" ht="60" customHeight="1">
      <c r="A46" s="6" t="s">
        <v>184</v>
      </c>
      <c r="B46" s="6" t="s">
        <v>10</v>
      </c>
      <c r="C46" s="6" t="s">
        <v>16</v>
      </c>
      <c r="D46" s="7" t="s">
        <v>185</v>
      </c>
      <c r="E46" s="8" t="s">
        <v>186</v>
      </c>
      <c r="F46" s="6" t="s">
        <v>187</v>
      </c>
      <c r="G46" s="9">
        <f>IF(A46=1,"_",IF(C46="_","???",C46))</f>
        <v/>
      </c>
      <c r="H46" s="10" t="s">
        <v>16</v>
      </c>
      <c r="I46" s="11" t="s">
        <v>16</v>
      </c>
      <c r="J46" s="12"/>
    </row>
    <row r="47" spans="1:10" ht="60" customHeight="1">
      <c r="A47" s="6" t="s">
        <v>188</v>
      </c>
      <c r="B47" s="6" t="s">
        <v>39</v>
      </c>
      <c r="C47" s="6" t="s">
        <v>16</v>
      </c>
      <c r="D47" s="7" t="s">
        <v>189</v>
      </c>
      <c r="E47" s="8" t="s">
        <v>190</v>
      </c>
      <c r="F47" s="6" t="s">
        <v>191</v>
      </c>
      <c r="G47" s="9">
        <f>IF(A47=1,"_",IF(C47="_","???",C47))</f>
        <v/>
      </c>
      <c r="H47" s="10" t="s">
        <v>16</v>
      </c>
      <c r="I47" s="11" t="s">
        <v>16</v>
      </c>
      <c r="J47" s="12"/>
    </row>
    <row r="48" spans="1:10" ht="60" customHeight="1">
      <c r="A48" s="6" t="s">
        <v>192</v>
      </c>
      <c r="B48" s="6" t="s">
        <v>17</v>
      </c>
      <c r="C48" s="6" t="s">
        <v>16</v>
      </c>
      <c r="D48" s="7" t="s">
        <v>127</v>
      </c>
      <c r="E48" s="8" t="s">
        <v>193</v>
      </c>
      <c r="F48" s="6" t="s">
        <v>194</v>
      </c>
      <c r="G48" s="9">
        <f>IF(A48=1,"_",IF(C48="_","???",C48))</f>
        <v/>
      </c>
      <c r="H48" s="10" t="s">
        <v>16</v>
      </c>
      <c r="I48" s="11" t="s">
        <v>16</v>
      </c>
      <c r="J48" s="12"/>
    </row>
    <row r="49" spans="1:10" ht="60" customHeight="1">
      <c r="A49" s="6" t="s">
        <v>195</v>
      </c>
      <c r="B49" s="6" t="s">
        <v>114</v>
      </c>
      <c r="C49" s="6" t="s">
        <v>16</v>
      </c>
      <c r="D49" s="7" t="s">
        <v>196</v>
      </c>
      <c r="E49" s="8" t="s">
        <v>197</v>
      </c>
      <c r="F49" s="6" t="s">
        <v>198</v>
      </c>
      <c r="G49" s="9">
        <f>IF(A49=1,"_",IF(C49="_","???",C49))</f>
        <v/>
      </c>
      <c r="H49" s="10" t="s">
        <v>16</v>
      </c>
      <c r="I49" s="11" t="s">
        <v>16</v>
      </c>
      <c r="J49" s="12"/>
    </row>
    <row r="50" spans="1:10" ht="60" customHeight="1">
      <c r="A50" s="6" t="s">
        <v>199</v>
      </c>
      <c r="B50" s="6" t="s">
        <v>77</v>
      </c>
      <c r="C50" s="6" t="s">
        <v>16</v>
      </c>
      <c r="D50" s="7" t="s">
        <v>200</v>
      </c>
      <c r="E50" s="8" t="s">
        <v>201</v>
      </c>
      <c r="F50" s="6" t="s">
        <v>202</v>
      </c>
      <c r="G50" s="9">
        <f>IF(A50=1,"_",IF(C50="_","???",C50))</f>
        <v/>
      </c>
      <c r="H50" s="10" t="s">
        <v>16</v>
      </c>
      <c r="I50" s="11" t="s">
        <v>16</v>
      </c>
      <c r="J50" s="12"/>
    </row>
    <row r="51" spans="1:10" ht="60" customHeight="1">
      <c r="A51" s="6" t="s">
        <v>203</v>
      </c>
      <c r="B51" s="6" t="s">
        <v>66</v>
      </c>
      <c r="C51" s="6" t="s">
        <v>12</v>
      </c>
      <c r="D51" s="7" t="s">
        <v>204</v>
      </c>
      <c r="E51" s="8" t="s">
        <v>205</v>
      </c>
      <c r="F51" s="6" t="s">
        <v>206</v>
      </c>
      <c r="G51" s="9">
        <f>IF(A51=1,"_",IF(C51="_","???",C51))</f>
        <v/>
      </c>
      <c r="H51" s="10" t="s">
        <v>16</v>
      </c>
      <c r="I51" s="11" t="s">
        <v>16</v>
      </c>
      <c r="J51" s="12"/>
    </row>
    <row r="52" spans="1:10" ht="60" customHeight="1">
      <c r="A52" s="6" t="s">
        <v>207</v>
      </c>
      <c r="B52" s="6" t="s">
        <v>22</v>
      </c>
      <c r="C52" s="6" t="s">
        <v>16</v>
      </c>
      <c r="D52" s="7" t="s">
        <v>208</v>
      </c>
      <c r="E52" s="8" t="s">
        <v>209</v>
      </c>
      <c r="F52" s="6" t="s">
        <v>210</v>
      </c>
      <c r="G52" s="9">
        <f>IF(A52=1,"_",IF(C52="_","???",C52))</f>
        <v/>
      </c>
      <c r="H52" s="10" t="s">
        <v>16</v>
      </c>
      <c r="I52" s="11" t="s">
        <v>16</v>
      </c>
      <c r="J52" s="12"/>
    </row>
    <row r="53" spans="1:10" ht="60" customHeight="1">
      <c r="A53" s="6" t="s">
        <v>211</v>
      </c>
      <c r="B53" s="6" t="s">
        <v>39</v>
      </c>
      <c r="C53" s="6" t="s">
        <v>16</v>
      </c>
      <c r="D53" s="7" t="s">
        <v>212</v>
      </c>
      <c r="E53" s="8" t="s">
        <v>213</v>
      </c>
      <c r="F53" s="6" t="s">
        <v>214</v>
      </c>
      <c r="G53" s="9">
        <f>IF(A53=1,"_",IF(C53="_","???",C53))</f>
        <v/>
      </c>
      <c r="H53" s="10" t="s">
        <v>16</v>
      </c>
      <c r="I53" s="11" t="s">
        <v>16</v>
      </c>
      <c r="J53" s="12"/>
    </row>
    <row r="54" spans="1:10" ht="60" customHeight="1">
      <c r="A54" s="6" t="s">
        <v>215</v>
      </c>
      <c r="B54" s="6" t="s">
        <v>31</v>
      </c>
      <c r="C54" s="6" t="s">
        <v>16</v>
      </c>
      <c r="D54" s="7" t="s">
        <v>216</v>
      </c>
      <c r="E54" s="8" t="s">
        <v>217</v>
      </c>
      <c r="F54" s="6" t="s">
        <v>218</v>
      </c>
      <c r="G54" s="9">
        <f>IF(A54=1,"_",IF(C54="_","???",C54))</f>
        <v/>
      </c>
      <c r="H54" s="10" t="s">
        <v>16</v>
      </c>
      <c r="I54" s="11" t="s">
        <v>16</v>
      </c>
      <c r="J54" s="12"/>
    </row>
    <row r="55" spans="1:10" ht="60" customHeight="1">
      <c r="A55" s="6" t="s">
        <v>219</v>
      </c>
      <c r="B55" s="6" t="s">
        <v>39</v>
      </c>
      <c r="C55" s="6" t="s">
        <v>16</v>
      </c>
      <c r="D55" s="7" t="s">
        <v>220</v>
      </c>
      <c r="E55" s="8" t="s">
        <v>221</v>
      </c>
      <c r="F55" s="6" t="s">
        <v>222</v>
      </c>
      <c r="G55" s="9">
        <f>IF(A55=1,"_",IF(C55="_","???",C55))</f>
        <v/>
      </c>
      <c r="H55" s="10" t="s">
        <v>16</v>
      </c>
      <c r="I55" s="11" t="s">
        <v>16</v>
      </c>
      <c r="J55" s="12"/>
    </row>
    <row r="56" spans="1:10" ht="60" customHeight="1">
      <c r="A56" s="6" t="s">
        <v>223</v>
      </c>
      <c r="B56" s="6" t="s">
        <v>35</v>
      </c>
      <c r="C56" s="6" t="s">
        <v>16</v>
      </c>
      <c r="D56" s="7" t="s">
        <v>224</v>
      </c>
      <c r="E56" s="8" t="s">
        <v>225</v>
      </c>
      <c r="F56" s="6" t="s">
        <v>226</v>
      </c>
      <c r="G56" s="9">
        <f>IF(A56=1,"_",IF(C56="_","???",C56))</f>
        <v/>
      </c>
      <c r="H56" s="10" t="s">
        <v>16</v>
      </c>
      <c r="I56" s="11" t="s">
        <v>16</v>
      </c>
      <c r="J56" s="12"/>
    </row>
    <row r="57" spans="1:10" ht="60" customHeight="1">
      <c r="A57" s="6" t="s">
        <v>227</v>
      </c>
      <c r="B57" s="6" t="s">
        <v>39</v>
      </c>
      <c r="C57" s="6" t="s">
        <v>16</v>
      </c>
      <c r="D57" s="7" t="s">
        <v>228</v>
      </c>
      <c r="E57" s="8" t="s">
        <v>229</v>
      </c>
      <c r="F57" s="6" t="s">
        <v>230</v>
      </c>
      <c r="G57" s="9">
        <f>IF(A57=1,"_",IF(C57="_","???",C57))</f>
        <v/>
      </c>
      <c r="H57" s="10" t="s">
        <v>16</v>
      </c>
      <c r="I57" s="11" t="s">
        <v>16</v>
      </c>
      <c r="J57" s="12"/>
    </row>
    <row r="58" spans="1:10" ht="60" customHeight="1">
      <c r="A58" s="6" t="s">
        <v>231</v>
      </c>
      <c r="B58" s="6" t="s">
        <v>26</v>
      </c>
      <c r="C58" s="6" t="s">
        <v>16</v>
      </c>
      <c r="D58" s="7" t="s">
        <v>232</v>
      </c>
      <c r="E58" s="8" t="s">
        <v>233</v>
      </c>
      <c r="F58" s="6" t="s">
        <v>234</v>
      </c>
      <c r="G58" s="9">
        <f>IF(A58=1,"_",IF(C58="_","???",C58))</f>
        <v/>
      </c>
      <c r="H58" s="10" t="s">
        <v>16</v>
      </c>
      <c r="I58" s="11" t="s">
        <v>16</v>
      </c>
      <c r="J58" s="12"/>
    </row>
    <row r="59" spans="1:10" ht="60" customHeight="1">
      <c r="A59" s="6" t="s">
        <v>235</v>
      </c>
      <c r="B59" s="6" t="s">
        <v>39</v>
      </c>
      <c r="C59" s="6" t="s">
        <v>16</v>
      </c>
      <c r="D59" s="7" t="s">
        <v>236</v>
      </c>
      <c r="E59" s="8" t="s">
        <v>237</v>
      </c>
      <c r="F59" s="6" t="s">
        <v>238</v>
      </c>
      <c r="G59" s="9">
        <f>IF(A59=1,"_",IF(C59="_","???",C59))</f>
        <v/>
      </c>
      <c r="H59" s="10" t="s">
        <v>16</v>
      </c>
      <c r="I59" s="11" t="s">
        <v>16</v>
      </c>
      <c r="J59" s="12"/>
    </row>
    <row r="60" spans="1:10" ht="60" customHeight="1">
      <c r="A60" s="6" t="s">
        <v>239</v>
      </c>
      <c r="B60" s="6" t="s">
        <v>17</v>
      </c>
      <c r="C60" s="6" t="s">
        <v>16</v>
      </c>
      <c r="D60" s="7" t="s">
        <v>240</v>
      </c>
      <c r="E60" s="8" t="s">
        <v>241</v>
      </c>
      <c r="F60" s="6" t="s">
        <v>242</v>
      </c>
      <c r="G60" s="9">
        <f>IF(A60=1,"_",IF(C60="_","???",C60))</f>
        <v/>
      </c>
      <c r="H60" s="10" t="s">
        <v>16</v>
      </c>
      <c r="I60" s="11" t="s">
        <v>16</v>
      </c>
      <c r="J60" s="12"/>
    </row>
    <row r="61" spans="1:10" ht="60" customHeight="1">
      <c r="A61" s="6" t="s">
        <v>243</v>
      </c>
      <c r="B61" s="6" t="s">
        <v>17</v>
      </c>
      <c r="C61" s="6" t="s">
        <v>16</v>
      </c>
      <c r="D61" s="7" t="s">
        <v>244</v>
      </c>
      <c r="E61" s="8" t="s">
        <v>245</v>
      </c>
      <c r="F61" s="6" t="s">
        <v>246</v>
      </c>
      <c r="G61" s="9">
        <f>IF(A61=1,"_",IF(C61="_","???",C61))</f>
        <v/>
      </c>
      <c r="H61" s="10" t="s">
        <v>16</v>
      </c>
      <c r="I61" s="11" t="s">
        <v>16</v>
      </c>
      <c r="J61" s="12"/>
    </row>
    <row r="62" spans="1:10" ht="60" customHeight="1">
      <c r="A62" s="6" t="s">
        <v>247</v>
      </c>
      <c r="B62" s="6" t="s">
        <v>22</v>
      </c>
      <c r="C62" s="6" t="s">
        <v>16</v>
      </c>
      <c r="D62" s="7" t="s">
        <v>248</v>
      </c>
      <c r="E62" s="8" t="s">
        <v>249</v>
      </c>
      <c r="F62" s="6" t="s">
        <v>250</v>
      </c>
      <c r="G62" s="9">
        <f>IF(A62=1,"_",IF(C62="_","???",C62))</f>
        <v/>
      </c>
      <c r="H62" s="10" t="s">
        <v>16</v>
      </c>
      <c r="I62" s="11" t="s">
        <v>16</v>
      </c>
      <c r="J62" s="12"/>
    </row>
    <row r="63" spans="1:10" ht="60" customHeight="1">
      <c r="A63" s="6" t="s">
        <v>251</v>
      </c>
      <c r="B63" s="6" t="s">
        <v>17</v>
      </c>
      <c r="C63" s="6" t="s">
        <v>16</v>
      </c>
      <c r="D63" s="7" t="s">
        <v>252</v>
      </c>
      <c r="E63" s="8" t="s">
        <v>253</v>
      </c>
      <c r="F63" s="6" t="s">
        <v>254</v>
      </c>
      <c r="G63" s="9">
        <f>IF(A63=1,"_",IF(C63="_","???",C63))</f>
        <v/>
      </c>
      <c r="H63" s="10" t="s">
        <v>16</v>
      </c>
      <c r="I63" s="11" t="s">
        <v>16</v>
      </c>
      <c r="J63" s="12"/>
    </row>
    <row r="64" spans="1:10" ht="60" customHeight="1">
      <c r="A64" s="6" t="s">
        <v>255</v>
      </c>
      <c r="B64" s="6" t="s">
        <v>58</v>
      </c>
      <c r="C64" s="6" t="s">
        <v>16</v>
      </c>
      <c r="D64" s="7" t="s">
        <v>256</v>
      </c>
      <c r="E64" s="8" t="s">
        <v>257</v>
      </c>
      <c r="F64" s="6" t="s">
        <v>258</v>
      </c>
      <c r="G64" s="9">
        <f>IF(A64=1,"_",IF(C64="_","???",C64))</f>
        <v/>
      </c>
      <c r="H64" s="10" t="s">
        <v>16</v>
      </c>
      <c r="I64" s="11" t="s">
        <v>16</v>
      </c>
      <c r="J64" s="12"/>
    </row>
    <row r="65" spans="1:10" ht="60" customHeight="1">
      <c r="A65" s="6" t="s">
        <v>259</v>
      </c>
      <c r="B65" s="6" t="s">
        <v>17</v>
      </c>
      <c r="C65" s="6" t="s">
        <v>16</v>
      </c>
      <c r="D65" s="7" t="s">
        <v>177</v>
      </c>
      <c r="E65" s="8" t="s">
        <v>260</v>
      </c>
      <c r="F65" s="6" t="s">
        <v>261</v>
      </c>
      <c r="G65" s="9">
        <f>IF(A65=1,"_",IF(C65="_","???",C65))</f>
        <v/>
      </c>
      <c r="H65" s="10" t="s">
        <v>16</v>
      </c>
      <c r="I65" s="11" t="s">
        <v>16</v>
      </c>
      <c r="J65" s="12"/>
    </row>
    <row r="66" spans="1:10" ht="60" customHeight="1">
      <c r="A66" s="6" t="s">
        <v>262</v>
      </c>
      <c r="B66" s="6" t="s">
        <v>26</v>
      </c>
      <c r="C66" s="6" t="s">
        <v>16</v>
      </c>
      <c r="D66" s="7" t="s">
        <v>263</v>
      </c>
      <c r="E66" s="8" t="s">
        <v>264</v>
      </c>
      <c r="F66" s="6" t="s">
        <v>265</v>
      </c>
      <c r="G66" s="9">
        <f>IF(A66=1,"_",IF(C66="_","???",C66))</f>
        <v/>
      </c>
      <c r="H66" s="10" t="s">
        <v>16</v>
      </c>
      <c r="I66" s="11" t="s">
        <v>16</v>
      </c>
      <c r="J66" s="12"/>
    </row>
    <row r="67" spans="1:10" ht="60" customHeight="1">
      <c r="A67" s="6" t="s">
        <v>266</v>
      </c>
      <c r="B67" s="6" t="s">
        <v>17</v>
      </c>
      <c r="C67" s="6" t="s">
        <v>16</v>
      </c>
      <c r="D67" s="7" t="s">
        <v>267</v>
      </c>
      <c r="E67" s="8" t="s">
        <v>268</v>
      </c>
      <c r="F67" s="6" t="s">
        <v>269</v>
      </c>
      <c r="G67" s="9">
        <f>IF(A67=1,"_",IF(C67="_","???",C67))</f>
        <v/>
      </c>
      <c r="H67" s="10" t="s">
        <v>16</v>
      </c>
      <c r="I67" s="11" t="s">
        <v>16</v>
      </c>
      <c r="J67" s="12"/>
    </row>
    <row r="68" spans="1:10" ht="60" customHeight="1">
      <c r="A68" s="6" t="s">
        <v>270</v>
      </c>
      <c r="B68" s="6" t="s">
        <v>22</v>
      </c>
      <c r="C68" s="6" t="s">
        <v>16</v>
      </c>
      <c r="D68" s="7" t="s">
        <v>271</v>
      </c>
      <c r="E68" s="8" t="s">
        <v>272</v>
      </c>
      <c r="F68" s="6" t="s">
        <v>273</v>
      </c>
      <c r="G68" s="9">
        <f>IF(A68=1,"_",IF(C68="_","???",C68))</f>
        <v/>
      </c>
      <c r="H68" s="10" t="s">
        <v>16</v>
      </c>
      <c r="I68" s="11" t="s">
        <v>16</v>
      </c>
      <c r="J68" s="12"/>
    </row>
    <row r="69" spans="1:10" ht="60" customHeight="1">
      <c r="A69" s="6" t="s">
        <v>274</v>
      </c>
      <c r="B69" s="6" t="s">
        <v>11</v>
      </c>
      <c r="C69" s="6" t="s">
        <v>16</v>
      </c>
      <c r="D69" s="7" t="s">
        <v>275</v>
      </c>
      <c r="E69" s="8" t="s">
        <v>276</v>
      </c>
      <c r="F69" s="6" t="s">
        <v>277</v>
      </c>
      <c r="G69" s="9">
        <f>IF(A69=1,"_",IF(C69="_","???",C69))</f>
        <v/>
      </c>
      <c r="H69" s="10" t="s">
        <v>16</v>
      </c>
      <c r="I69" s="11" t="s">
        <v>16</v>
      </c>
      <c r="J69" s="12"/>
    </row>
    <row r="70" spans="1:10" ht="60" customHeight="1">
      <c r="A70" s="6" t="s">
        <v>278</v>
      </c>
      <c r="B70" s="6" t="s">
        <v>95</v>
      </c>
      <c r="C70" s="6" t="s">
        <v>16</v>
      </c>
      <c r="D70" s="7" t="s">
        <v>279</v>
      </c>
      <c r="E70" s="8" t="s">
        <v>280</v>
      </c>
      <c r="F70" s="6" t="s">
        <v>281</v>
      </c>
      <c r="G70" s="9">
        <f>IF(A70=1,"_",IF(C70="_","???",C70))</f>
        <v/>
      </c>
      <c r="H70" s="10" t="s">
        <v>16</v>
      </c>
      <c r="I70" s="11" t="s">
        <v>16</v>
      </c>
      <c r="J70" s="12"/>
    </row>
    <row r="71" spans="1:10" ht="60" customHeight="1">
      <c r="A71" s="6" t="s">
        <v>282</v>
      </c>
      <c r="B71" s="6" t="s">
        <v>180</v>
      </c>
      <c r="C71" s="6" t="s">
        <v>16</v>
      </c>
      <c r="D71" s="7" t="s">
        <v>283</v>
      </c>
      <c r="E71" s="8" t="s">
        <v>284</v>
      </c>
      <c r="F71" s="6" t="s">
        <v>285</v>
      </c>
      <c r="G71" s="9">
        <f>IF(A71=1,"_",IF(C71="_","???",C71))</f>
        <v/>
      </c>
      <c r="H71" s="10" t="s">
        <v>16</v>
      </c>
      <c r="I71" s="11" t="s">
        <v>16</v>
      </c>
      <c r="J71" s="12"/>
    </row>
    <row r="72" spans="1:10" ht="60" customHeight="1">
      <c r="A72" s="6" t="s">
        <v>286</v>
      </c>
      <c r="B72" s="6" t="s">
        <v>17</v>
      </c>
      <c r="C72" s="6" t="s">
        <v>16</v>
      </c>
      <c r="D72" s="7" t="s">
        <v>287</v>
      </c>
      <c r="E72" s="8" t="s">
        <v>288</v>
      </c>
      <c r="F72" s="6" t="s">
        <v>289</v>
      </c>
      <c r="G72" s="9">
        <f>IF(A72=1,"_",IF(C72="_","???",C72))</f>
        <v/>
      </c>
      <c r="H72" s="10" t="s">
        <v>16</v>
      </c>
      <c r="I72" s="11" t="s">
        <v>16</v>
      </c>
      <c r="J72" s="12"/>
    </row>
    <row r="73" spans="1:10" ht="60" customHeight="1">
      <c r="A73" s="6" t="s">
        <v>290</v>
      </c>
      <c r="B73" s="6" t="s">
        <v>87</v>
      </c>
      <c r="C73" s="6" t="s">
        <v>16</v>
      </c>
      <c r="D73" s="7" t="s">
        <v>291</v>
      </c>
      <c r="E73" s="8" t="s">
        <v>292</v>
      </c>
      <c r="F73" s="6" t="s">
        <v>293</v>
      </c>
      <c r="G73" s="9">
        <f>IF(A73=1,"_",IF(C73="_","???",C73))</f>
        <v/>
      </c>
      <c r="H73" s="10" t="s">
        <v>16</v>
      </c>
      <c r="I73" s="11" t="s">
        <v>16</v>
      </c>
      <c r="J73" s="12"/>
    </row>
    <row r="74" spans="1:10" ht="60" customHeight="1">
      <c r="A74" s="6" t="s">
        <v>294</v>
      </c>
      <c r="B74" s="6" t="s">
        <v>17</v>
      </c>
      <c r="C74" s="6" t="s">
        <v>16</v>
      </c>
      <c r="D74" s="7" t="s">
        <v>295</v>
      </c>
      <c r="E74" s="8" t="s">
        <v>296</v>
      </c>
      <c r="F74" s="6" t="s">
        <v>297</v>
      </c>
      <c r="G74" s="9">
        <f>IF(A74=1,"_",IF(C74="_","???",C74))</f>
        <v/>
      </c>
      <c r="H74" s="10" t="s">
        <v>16</v>
      </c>
      <c r="I74" s="11" t="s">
        <v>16</v>
      </c>
      <c r="J74" s="12"/>
    </row>
    <row r="75" spans="1:10" ht="60" customHeight="1">
      <c r="A75" s="6" t="s">
        <v>298</v>
      </c>
      <c r="B75" s="6" t="s">
        <v>35</v>
      </c>
      <c r="C75" s="6" t="s">
        <v>16</v>
      </c>
      <c r="D75" s="7" t="s">
        <v>299</v>
      </c>
      <c r="E75" s="8" t="s">
        <v>300</v>
      </c>
      <c r="F75" s="6" t="s">
        <v>301</v>
      </c>
      <c r="G75" s="9">
        <f>IF(A75=1,"_",IF(C75="_","???",C75))</f>
        <v/>
      </c>
      <c r="H75" s="10" t="s">
        <v>16</v>
      </c>
      <c r="I75" s="11" t="s">
        <v>16</v>
      </c>
      <c r="J75" s="12"/>
    </row>
    <row r="76" spans="1:10" ht="60" customHeight="1">
      <c r="A76" s="6" t="s">
        <v>302</v>
      </c>
      <c r="B76" s="6" t="s">
        <v>39</v>
      </c>
      <c r="C76" s="6" t="s">
        <v>16</v>
      </c>
      <c r="D76" s="7" t="s">
        <v>303</v>
      </c>
      <c r="E76" s="8" t="s">
        <v>304</v>
      </c>
      <c r="F76" s="6" t="s">
        <v>305</v>
      </c>
      <c r="G76" s="9">
        <f>IF(A76=1,"_",IF(C76="_","???",C76))</f>
        <v/>
      </c>
      <c r="H76" s="10" t="s">
        <v>16</v>
      </c>
      <c r="I76" s="11" t="s">
        <v>16</v>
      </c>
      <c r="J76" s="12"/>
    </row>
    <row r="77" spans="1:10" ht="60" customHeight="1">
      <c r="A77" s="6" t="s">
        <v>306</v>
      </c>
      <c r="B77" s="6" t="s">
        <v>17</v>
      </c>
      <c r="C77" s="6" t="s">
        <v>16</v>
      </c>
      <c r="D77" s="7" t="s">
        <v>78</v>
      </c>
      <c r="E77" s="8" t="s">
        <v>307</v>
      </c>
      <c r="F77" s="6" t="s">
        <v>308</v>
      </c>
      <c r="G77" s="9">
        <f>IF(A77=1,"_",IF(C77="_","???",C77))</f>
        <v/>
      </c>
      <c r="H77" s="10" t="s">
        <v>16</v>
      </c>
      <c r="I77" s="11" t="s">
        <v>16</v>
      </c>
      <c r="J77" s="12"/>
    </row>
    <row r="78" spans="1:10" ht="60" customHeight="1">
      <c r="A78" s="6" t="s">
        <v>309</v>
      </c>
      <c r="B78" s="6" t="s">
        <v>22</v>
      </c>
      <c r="C78" s="6" t="s">
        <v>16</v>
      </c>
      <c r="D78" s="7" t="s">
        <v>291</v>
      </c>
      <c r="E78" s="8" t="s">
        <v>310</v>
      </c>
      <c r="F78" s="6" t="s">
        <v>311</v>
      </c>
      <c r="G78" s="9">
        <f>IF(A78=1,"_",IF(C78="_","???",C78))</f>
        <v/>
      </c>
      <c r="H78" s="10" t="s">
        <v>16</v>
      </c>
      <c r="I78" s="11" t="s">
        <v>16</v>
      </c>
      <c r="J78" s="12"/>
    </row>
    <row r="79" spans="1:10" ht="60" customHeight="1">
      <c r="A79" s="6" t="s">
        <v>312</v>
      </c>
      <c r="B79" s="6" t="s">
        <v>26</v>
      </c>
      <c r="C79" s="6" t="s">
        <v>16</v>
      </c>
      <c r="D79" s="7" t="s">
        <v>59</v>
      </c>
      <c r="E79" s="8" t="s">
        <v>313</v>
      </c>
      <c r="F79" s="6" t="s">
        <v>314</v>
      </c>
      <c r="G79" s="9">
        <f>IF(A79=1,"_",IF(C79="_","???",C79))</f>
        <v/>
      </c>
      <c r="H79" s="10" t="s">
        <v>16</v>
      </c>
      <c r="I79" s="11" t="s">
        <v>16</v>
      </c>
      <c r="J79" s="12"/>
    </row>
    <row r="80" spans="1:10" ht="60" customHeight="1">
      <c r="A80" s="6" t="s">
        <v>315</v>
      </c>
      <c r="B80" s="6" t="s">
        <v>58</v>
      </c>
      <c r="C80" s="6" t="s">
        <v>16</v>
      </c>
      <c r="D80" s="7" t="s">
        <v>316</v>
      </c>
      <c r="E80" s="8" t="s">
        <v>317</v>
      </c>
      <c r="F80" s="6" t="s">
        <v>318</v>
      </c>
      <c r="G80" s="9">
        <f>IF(A80=1,"_",IF(C80="_","???",C80))</f>
        <v/>
      </c>
      <c r="H80" s="10" t="s">
        <v>16</v>
      </c>
      <c r="I80" s="11" t="s">
        <v>16</v>
      </c>
      <c r="J80" s="12"/>
    </row>
    <row r="81" spans="1:10" ht="60" customHeight="1">
      <c r="A81" s="6" t="s">
        <v>319</v>
      </c>
      <c r="B81" s="6" t="s">
        <v>31</v>
      </c>
      <c r="C81" s="6" t="s">
        <v>16</v>
      </c>
      <c r="D81" s="7" t="s">
        <v>320</v>
      </c>
      <c r="E81" s="8" t="s">
        <v>321</v>
      </c>
      <c r="F81" s="6" t="s">
        <v>322</v>
      </c>
      <c r="G81" s="9">
        <f>IF(A81=1,"_",IF(C81="_","???",C81))</f>
        <v/>
      </c>
      <c r="H81" s="10" t="s">
        <v>16</v>
      </c>
      <c r="I81" s="11" t="s">
        <v>16</v>
      </c>
      <c r="J81" s="12"/>
    </row>
    <row r="82" spans="1:10" ht="60" customHeight="1">
      <c r="A82" s="6" t="s">
        <v>323</v>
      </c>
      <c r="B82" s="6" t="s">
        <v>22</v>
      </c>
      <c r="C82" s="6" t="s">
        <v>16</v>
      </c>
      <c r="D82" s="7" t="s">
        <v>324</v>
      </c>
      <c r="E82" s="8" t="s">
        <v>325</v>
      </c>
      <c r="F82" s="6" t="s">
        <v>326</v>
      </c>
      <c r="G82" s="9">
        <f>IF(A82=1,"_",IF(C82="_","???",C82))</f>
        <v/>
      </c>
      <c r="H82" s="10" t="s">
        <v>16</v>
      </c>
      <c r="I82" s="11" t="s">
        <v>16</v>
      </c>
      <c r="J82" s="12"/>
    </row>
    <row r="83" spans="1:10" ht="60" customHeight="1">
      <c r="A83" s="6" t="s">
        <v>327</v>
      </c>
      <c r="B83" s="6" t="s">
        <v>11</v>
      </c>
      <c r="C83" s="6" t="s">
        <v>16</v>
      </c>
      <c r="D83" s="7" t="s">
        <v>328</v>
      </c>
      <c r="E83" s="8" t="s">
        <v>329</v>
      </c>
      <c r="F83" s="6" t="s">
        <v>330</v>
      </c>
      <c r="G83" s="9">
        <f>IF(A83=1,"_",IF(C83="_","???",C83))</f>
        <v/>
      </c>
      <c r="H83" s="10" t="s">
        <v>16</v>
      </c>
      <c r="I83" s="11" t="s">
        <v>16</v>
      </c>
      <c r="J83" s="12"/>
    </row>
    <row r="84" spans="1:10" ht="60" customHeight="1">
      <c r="A84" s="6" t="s">
        <v>331</v>
      </c>
      <c r="B84" s="6" t="s">
        <v>35</v>
      </c>
      <c r="C84" s="6" t="s">
        <v>16</v>
      </c>
      <c r="D84" s="7" t="s">
        <v>332</v>
      </c>
      <c r="E84" s="8" t="s">
        <v>333</v>
      </c>
      <c r="F84" s="6" t="s">
        <v>334</v>
      </c>
      <c r="G84" s="9">
        <f>IF(A84=1,"_",IF(C84="_","???",C84))</f>
        <v/>
      </c>
      <c r="H84" s="10" t="s">
        <v>16</v>
      </c>
      <c r="I84" s="11" t="s">
        <v>16</v>
      </c>
      <c r="J84" s="12"/>
    </row>
    <row r="85" spans="1:10" ht="60" customHeight="1">
      <c r="A85" s="6" t="s">
        <v>335</v>
      </c>
      <c r="B85" s="6" t="s">
        <v>22</v>
      </c>
      <c r="C85" s="6" t="s">
        <v>16</v>
      </c>
      <c r="D85" s="7" t="s">
        <v>328</v>
      </c>
      <c r="E85" s="8" t="s">
        <v>336</v>
      </c>
      <c r="F85" s="6" t="s">
        <v>337</v>
      </c>
      <c r="G85" s="9">
        <f>IF(A85=1,"_",IF(C85="_","???",C85))</f>
        <v/>
      </c>
      <c r="H85" s="10" t="s">
        <v>16</v>
      </c>
      <c r="I85" s="11" t="s">
        <v>16</v>
      </c>
      <c r="J85" s="12"/>
    </row>
    <row r="86" spans="1:10" ht="60" customHeight="1">
      <c r="A86" s="6" t="s">
        <v>338</v>
      </c>
      <c r="B86" s="6" t="s">
        <v>17</v>
      </c>
      <c r="C86" s="6" t="s">
        <v>16</v>
      </c>
      <c r="D86" s="7" t="s">
        <v>339</v>
      </c>
      <c r="E86" s="8" t="s">
        <v>340</v>
      </c>
      <c r="F86" s="6" t="s">
        <v>341</v>
      </c>
      <c r="G86" s="9">
        <f>IF(A86=1,"_",IF(C86="_","???",C86))</f>
        <v/>
      </c>
      <c r="H86" s="10" t="s">
        <v>16</v>
      </c>
      <c r="I86" s="11" t="s">
        <v>16</v>
      </c>
      <c r="J86" s="12"/>
    </row>
    <row r="87" spans="1:10" ht="60" customHeight="1">
      <c r="A87" s="6" t="s">
        <v>342</v>
      </c>
      <c r="B87" s="6" t="s">
        <v>39</v>
      </c>
      <c r="C87" s="6" t="s">
        <v>16</v>
      </c>
      <c r="D87" s="7" t="s">
        <v>343</v>
      </c>
      <c r="E87" s="8" t="s">
        <v>344</v>
      </c>
      <c r="F87" s="6" t="s">
        <v>345</v>
      </c>
      <c r="G87" s="9">
        <f>IF(A87=1,"_",IF(C87="_","???",C87))</f>
        <v/>
      </c>
      <c r="H87" s="10" t="s">
        <v>16</v>
      </c>
      <c r="I87" s="11" t="s">
        <v>16</v>
      </c>
      <c r="J87" s="12"/>
    </row>
    <row r="88" spans="1:10" ht="60" customHeight="1">
      <c r="A88" s="6" t="s">
        <v>346</v>
      </c>
      <c r="B88" s="6" t="s">
        <v>39</v>
      </c>
      <c r="C88" s="6" t="s">
        <v>16</v>
      </c>
      <c r="D88" s="7" t="s">
        <v>177</v>
      </c>
      <c r="E88" s="8" t="s">
        <v>347</v>
      </c>
      <c r="F88" s="6" t="s">
        <v>348</v>
      </c>
      <c r="G88" s="9">
        <f>IF(A88=1,"_",IF(C88="_","???",C88))</f>
        <v/>
      </c>
      <c r="H88" s="10" t="s">
        <v>16</v>
      </c>
      <c r="I88" s="11" t="s">
        <v>16</v>
      </c>
      <c r="J88" s="12"/>
    </row>
    <row r="89" spans="1:10" ht="60" customHeight="1">
      <c r="A89" s="6" t="s">
        <v>349</v>
      </c>
      <c r="B89" s="6" t="s">
        <v>39</v>
      </c>
      <c r="C89" s="6" t="s">
        <v>16</v>
      </c>
      <c r="D89" s="7" t="s">
        <v>350</v>
      </c>
      <c r="E89" s="8" t="s">
        <v>351</v>
      </c>
      <c r="F89" s="6" t="s">
        <v>352</v>
      </c>
      <c r="G89" s="9">
        <f>IF(A89=1,"_",IF(C89="_","???",C89))</f>
        <v/>
      </c>
      <c r="H89" s="10" t="s">
        <v>16</v>
      </c>
      <c r="I89" s="11" t="s">
        <v>16</v>
      </c>
      <c r="J89" s="12"/>
    </row>
    <row r="90" spans="1:10" ht="60" customHeight="1">
      <c r="A90" s="6" t="s">
        <v>353</v>
      </c>
      <c r="B90" s="6" t="s">
        <v>17</v>
      </c>
      <c r="C90" s="6" t="s">
        <v>16</v>
      </c>
      <c r="D90" s="7" t="s">
        <v>354</v>
      </c>
      <c r="E90" s="8" t="s">
        <v>355</v>
      </c>
      <c r="F90" s="6" t="s">
        <v>356</v>
      </c>
      <c r="G90" s="9">
        <f>IF(A90=1,"_",IF(C90="_","???",C90))</f>
        <v/>
      </c>
      <c r="H90" s="10" t="s">
        <v>16</v>
      </c>
      <c r="I90" s="11" t="s">
        <v>16</v>
      </c>
      <c r="J90" s="12"/>
    </row>
    <row r="91" spans="1:10" ht="60" customHeight="1">
      <c r="A91" s="6" t="s">
        <v>357</v>
      </c>
      <c r="B91" s="6" t="s">
        <v>77</v>
      </c>
      <c r="C91" s="6" t="s">
        <v>16</v>
      </c>
      <c r="D91" s="7" t="s">
        <v>358</v>
      </c>
      <c r="E91" s="8" t="s">
        <v>359</v>
      </c>
      <c r="F91" s="6" t="s">
        <v>360</v>
      </c>
      <c r="G91" s="9">
        <f>IF(A91=1,"_",IF(C91="_","???",C91))</f>
        <v/>
      </c>
      <c r="H91" s="10" t="s">
        <v>16</v>
      </c>
      <c r="I91" s="11" t="s">
        <v>16</v>
      </c>
      <c r="J91" s="12"/>
    </row>
    <row r="92" spans="1:10" ht="60" customHeight="1">
      <c r="A92" s="6" t="s">
        <v>361</v>
      </c>
      <c r="B92" s="6" t="s">
        <v>31</v>
      </c>
      <c r="C92" s="6" t="s">
        <v>16</v>
      </c>
      <c r="D92" s="7" t="s">
        <v>362</v>
      </c>
      <c r="E92" s="8" t="s">
        <v>363</v>
      </c>
      <c r="F92" s="6" t="s">
        <v>364</v>
      </c>
      <c r="G92" s="9">
        <f>IF(A92=1,"_",IF(C92="_","???",C92))</f>
        <v/>
      </c>
      <c r="H92" s="10" t="s">
        <v>16</v>
      </c>
      <c r="I92" s="11" t="s">
        <v>16</v>
      </c>
      <c r="J92" s="12"/>
    </row>
    <row r="93" spans="1:10" ht="60" customHeight="1">
      <c r="A93" s="6" t="s">
        <v>365</v>
      </c>
      <c r="B93" s="6" t="s">
        <v>17</v>
      </c>
      <c r="C93" s="6" t="s">
        <v>16</v>
      </c>
      <c r="D93" s="7" t="s">
        <v>177</v>
      </c>
      <c r="E93" s="8" t="s">
        <v>366</v>
      </c>
      <c r="F93" s="6" t="s">
        <v>367</v>
      </c>
      <c r="G93" s="9">
        <f>IF(A93=1,"_",IF(C93="_","???",C93))</f>
        <v/>
      </c>
      <c r="H93" s="10" t="s">
        <v>16</v>
      </c>
      <c r="I93" s="11" t="s">
        <v>16</v>
      </c>
      <c r="J93" s="12"/>
    </row>
    <row r="94" spans="1:10" ht="60" customHeight="1">
      <c r="A94" s="6" t="s">
        <v>368</v>
      </c>
      <c r="B94" s="6" t="s">
        <v>17</v>
      </c>
      <c r="C94" s="6" t="s">
        <v>16</v>
      </c>
      <c r="D94" s="7" t="s">
        <v>177</v>
      </c>
      <c r="E94" s="8" t="s">
        <v>369</v>
      </c>
      <c r="F94" s="6" t="s">
        <v>370</v>
      </c>
      <c r="G94" s="9">
        <f>IF(A94=1,"_",IF(C94="_","???",C94))</f>
        <v/>
      </c>
      <c r="H94" s="10" t="s">
        <v>16</v>
      </c>
      <c r="I94" s="11" t="s">
        <v>16</v>
      </c>
      <c r="J94" s="12"/>
    </row>
    <row r="95" spans="1:10" ht="60" customHeight="1">
      <c r="A95" s="6" t="s">
        <v>371</v>
      </c>
      <c r="B95" s="6" t="s">
        <v>17</v>
      </c>
      <c r="C95" s="6" t="s">
        <v>16</v>
      </c>
      <c r="D95" s="7" t="s">
        <v>372</v>
      </c>
      <c r="E95" s="8" t="s">
        <v>373</v>
      </c>
      <c r="F95" s="6" t="s">
        <v>374</v>
      </c>
      <c r="G95" s="9">
        <f>IF(A95=1,"_",IF(C95="_","???",C95))</f>
        <v/>
      </c>
      <c r="H95" s="10" t="s">
        <v>16</v>
      </c>
      <c r="I95" s="11" t="s">
        <v>16</v>
      </c>
      <c r="J95" s="12"/>
    </row>
    <row r="96" spans="1:10" ht="60" customHeight="1">
      <c r="A96" s="6" t="s">
        <v>375</v>
      </c>
      <c r="B96" s="6" t="s">
        <v>26</v>
      </c>
      <c r="C96" s="6" t="s">
        <v>16</v>
      </c>
      <c r="D96" s="7" t="s">
        <v>376</v>
      </c>
      <c r="E96" s="8" t="s">
        <v>377</v>
      </c>
      <c r="F96" s="6" t="s">
        <v>378</v>
      </c>
      <c r="G96" s="9">
        <f>IF(A96=1,"_",IF(C96="_","???",C96))</f>
        <v/>
      </c>
      <c r="H96" s="10" t="s">
        <v>16</v>
      </c>
      <c r="I96" s="11" t="s">
        <v>16</v>
      </c>
      <c r="J96" s="12"/>
    </row>
    <row r="97" spans="1:10" ht="60" customHeight="1">
      <c r="A97" s="6" t="s">
        <v>379</v>
      </c>
      <c r="B97" s="6" t="s">
        <v>18</v>
      </c>
      <c r="C97" s="6" t="s">
        <v>16</v>
      </c>
      <c r="D97" s="7" t="s">
        <v>380</v>
      </c>
      <c r="E97" s="8" t="s">
        <v>381</v>
      </c>
      <c r="F97" s="6" t="s">
        <v>382</v>
      </c>
      <c r="G97" s="9">
        <f>IF(A97=1,"_",IF(C97="_","???",C97))</f>
        <v/>
      </c>
      <c r="H97" s="10" t="s">
        <v>16</v>
      </c>
      <c r="I97" s="11" t="s">
        <v>16</v>
      </c>
      <c r="J97" s="12"/>
    </row>
    <row r="98" spans="1:10" ht="60" customHeight="1">
      <c r="A98" s="6" t="s">
        <v>383</v>
      </c>
      <c r="B98" s="6" t="s">
        <v>31</v>
      </c>
      <c r="C98" s="6" t="s">
        <v>16</v>
      </c>
      <c r="D98" s="7" t="s">
        <v>384</v>
      </c>
      <c r="E98" s="8" t="s">
        <v>385</v>
      </c>
      <c r="F98" s="6" t="s">
        <v>386</v>
      </c>
      <c r="G98" s="9">
        <f>IF(A98=1,"_",IF(C98="_","???",C98))</f>
        <v/>
      </c>
      <c r="H98" s="10" t="s">
        <v>16</v>
      </c>
      <c r="I98" s="11" t="s">
        <v>16</v>
      </c>
      <c r="J98" s="12"/>
    </row>
    <row r="99" spans="1:10" ht="60" customHeight="1">
      <c r="A99" s="6" t="s">
        <v>387</v>
      </c>
      <c r="B99" s="6" t="s">
        <v>17</v>
      </c>
      <c r="C99" s="6" t="s">
        <v>16</v>
      </c>
      <c r="D99" s="7" t="s">
        <v>388</v>
      </c>
      <c r="E99" s="8" t="s">
        <v>389</v>
      </c>
      <c r="F99" s="6" t="s">
        <v>390</v>
      </c>
      <c r="G99" s="9">
        <f>IF(A99=1,"_",IF(C99="_","???",C99))</f>
        <v/>
      </c>
      <c r="H99" s="10" t="s">
        <v>16</v>
      </c>
      <c r="I99" s="11" t="s">
        <v>16</v>
      </c>
      <c r="J99" s="12"/>
    </row>
    <row r="100" spans="1:10" ht="60" customHeight="1">
      <c r="A100" s="6" t="s">
        <v>391</v>
      </c>
      <c r="B100" s="6" t="s">
        <v>50</v>
      </c>
      <c r="C100" s="6" t="s">
        <v>16</v>
      </c>
      <c r="D100" s="7" t="s">
        <v>392</v>
      </c>
      <c r="E100" s="8" t="s">
        <v>393</v>
      </c>
      <c r="F100" s="6" t="s">
        <v>394</v>
      </c>
      <c r="G100" s="9">
        <f>IF(A100=1,"_",IF(C100="_","???",C100))</f>
        <v/>
      </c>
      <c r="H100" s="10" t="s">
        <v>16</v>
      </c>
      <c r="I100" s="11" t="s">
        <v>16</v>
      </c>
      <c r="J100" s="12"/>
    </row>
    <row r="101" spans="1:10" ht="60" customHeight="1">
      <c r="A101" s="6" t="s">
        <v>395</v>
      </c>
      <c r="B101" s="6" t="s">
        <v>17</v>
      </c>
      <c r="C101" s="6" t="s">
        <v>16</v>
      </c>
      <c r="D101" s="7" t="s">
        <v>316</v>
      </c>
      <c r="E101" s="8" t="s">
        <v>396</v>
      </c>
      <c r="F101" s="6" t="s">
        <v>397</v>
      </c>
      <c r="G101" s="9">
        <f>IF(A101=1,"_",IF(C101="_","???",C101))</f>
        <v/>
      </c>
      <c r="H101" s="10" t="s">
        <v>16</v>
      </c>
      <c r="I101" s="11" t="s">
        <v>16</v>
      </c>
      <c r="J101" s="12"/>
    </row>
    <row r="102" spans="1:10" ht="60" customHeight="1">
      <c r="A102" s="6" t="s">
        <v>398</v>
      </c>
      <c r="B102" s="6" t="s">
        <v>17</v>
      </c>
      <c r="C102" s="6" t="s">
        <v>16</v>
      </c>
      <c r="D102" s="7" t="s">
        <v>177</v>
      </c>
      <c r="E102" s="8" t="s">
        <v>399</v>
      </c>
      <c r="F102" s="6" t="s">
        <v>400</v>
      </c>
      <c r="G102" s="9">
        <f>IF(A102=1,"_",IF(C102="_","???",C102))</f>
        <v/>
      </c>
      <c r="H102" s="10" t="s">
        <v>16</v>
      </c>
      <c r="I102" s="11" t="s">
        <v>16</v>
      </c>
      <c r="J102" s="12"/>
    </row>
    <row r="103" spans="1:10" ht="60" customHeight="1">
      <c r="A103" s="6" t="s">
        <v>401</v>
      </c>
      <c r="B103" s="6" t="s">
        <v>35</v>
      </c>
      <c r="C103" s="6" t="s">
        <v>16</v>
      </c>
      <c r="D103" s="7" t="s">
        <v>402</v>
      </c>
      <c r="E103" s="8" t="s">
        <v>403</v>
      </c>
      <c r="F103" s="6" t="s">
        <v>404</v>
      </c>
      <c r="G103" s="9">
        <f>IF(A103=1,"_",IF(C103="_","???",C103))</f>
        <v/>
      </c>
      <c r="H103" s="10" t="s">
        <v>16</v>
      </c>
      <c r="I103" s="11" t="s">
        <v>16</v>
      </c>
      <c r="J103" s="12"/>
    </row>
    <row r="104" spans="1:10" ht="60" customHeight="1">
      <c r="A104" s="6" t="s">
        <v>405</v>
      </c>
      <c r="B104" s="6" t="s">
        <v>31</v>
      </c>
      <c r="C104" s="6" t="s">
        <v>16</v>
      </c>
      <c r="D104" s="7" t="s">
        <v>78</v>
      </c>
      <c r="E104" s="8" t="s">
        <v>406</v>
      </c>
      <c r="F104" s="6" t="s">
        <v>407</v>
      </c>
      <c r="G104" s="9">
        <f>IF(A104=1,"_",IF(C104="_","???",C104))</f>
        <v/>
      </c>
      <c r="H104" s="10" t="s">
        <v>16</v>
      </c>
      <c r="I104" s="11" t="s">
        <v>16</v>
      </c>
      <c r="J104" s="12"/>
    </row>
    <row r="105" spans="1:10" ht="60" customHeight="1">
      <c r="A105" s="6" t="s">
        <v>408</v>
      </c>
      <c r="B105" s="6" t="s">
        <v>17</v>
      </c>
      <c r="C105" s="6" t="s">
        <v>16</v>
      </c>
      <c r="D105" s="7" t="s">
        <v>409</v>
      </c>
      <c r="E105" s="8" t="s">
        <v>410</v>
      </c>
      <c r="F105" s="6" t="s">
        <v>411</v>
      </c>
      <c r="G105" s="9">
        <f>IF(A105=1,"_",IF(C105="_","???",C105))</f>
        <v/>
      </c>
      <c r="H105" s="10" t="s">
        <v>16</v>
      </c>
      <c r="I105" s="11" t="s">
        <v>16</v>
      </c>
      <c r="J105" s="12"/>
    </row>
    <row r="106" spans="1:10" ht="60" customHeight="1">
      <c r="A106" s="6" t="s">
        <v>412</v>
      </c>
      <c r="B106" s="6" t="s">
        <v>22</v>
      </c>
      <c r="C106" s="6" t="s">
        <v>16</v>
      </c>
      <c r="D106" s="7" t="s">
        <v>413</v>
      </c>
      <c r="E106" s="8" t="s">
        <v>414</v>
      </c>
      <c r="F106" s="6" t="s">
        <v>415</v>
      </c>
      <c r="G106" s="9">
        <f>IF(A106=1,"_",IF(C106="_","???",C106))</f>
        <v/>
      </c>
      <c r="H106" s="10" t="s">
        <v>16</v>
      </c>
      <c r="I106" s="11" t="s">
        <v>16</v>
      </c>
      <c r="J106" s="12"/>
    </row>
    <row r="107" spans="1:10" ht="60" customHeight="1">
      <c r="A107" s="6" t="s">
        <v>416</v>
      </c>
      <c r="B107" s="6" t="s">
        <v>22</v>
      </c>
      <c r="C107" s="6" t="s">
        <v>16</v>
      </c>
      <c r="D107" s="7" t="s">
        <v>417</v>
      </c>
      <c r="E107" s="8" t="s">
        <v>418</v>
      </c>
      <c r="F107" s="6" t="s">
        <v>419</v>
      </c>
      <c r="G107" s="9">
        <f>IF(A107=1,"_",IF(C107="_","???",C107))</f>
        <v/>
      </c>
      <c r="H107" s="10" t="s">
        <v>16</v>
      </c>
      <c r="I107" s="11" t="s">
        <v>16</v>
      </c>
      <c r="J107" s="12"/>
    </row>
    <row r="108" spans="1:10" ht="60" customHeight="1">
      <c r="A108" s="6" t="s">
        <v>420</v>
      </c>
      <c r="B108" s="6" t="s">
        <v>17</v>
      </c>
      <c r="C108" s="6" t="s">
        <v>16</v>
      </c>
      <c r="D108" s="7" t="s">
        <v>316</v>
      </c>
      <c r="E108" s="8" t="s">
        <v>421</v>
      </c>
      <c r="F108" s="6" t="s">
        <v>422</v>
      </c>
      <c r="G108" s="9">
        <f>IF(A108=1,"_",IF(C108="_","???",C108))</f>
        <v/>
      </c>
      <c r="H108" s="10" t="s">
        <v>16</v>
      </c>
      <c r="I108" s="11" t="s">
        <v>16</v>
      </c>
      <c r="J108" s="12"/>
    </row>
    <row r="109" spans="1:10" ht="60" customHeight="1">
      <c r="A109" s="6" t="s">
        <v>423</v>
      </c>
      <c r="B109" s="6" t="s">
        <v>46</v>
      </c>
      <c r="C109" s="6" t="s">
        <v>16</v>
      </c>
      <c r="D109" s="7" t="s">
        <v>424</v>
      </c>
      <c r="E109" s="8" t="s">
        <v>425</v>
      </c>
      <c r="F109" s="6" t="s">
        <v>426</v>
      </c>
      <c r="G109" s="9">
        <f>IF(A109=1,"_",IF(C109="_","???",C109))</f>
        <v/>
      </c>
      <c r="H109" s="10" t="s">
        <v>16</v>
      </c>
      <c r="I109" s="11" t="s">
        <v>16</v>
      </c>
      <c r="J109" s="12"/>
    </row>
    <row r="110" spans="1:10" ht="60" customHeight="1">
      <c r="A110" s="6" t="s">
        <v>427</v>
      </c>
      <c r="B110" s="6" t="s">
        <v>39</v>
      </c>
      <c r="C110" s="6" t="s">
        <v>16</v>
      </c>
      <c r="D110" s="7" t="s">
        <v>428</v>
      </c>
      <c r="E110" s="8" t="s">
        <v>429</v>
      </c>
      <c r="F110" s="6" t="s">
        <v>430</v>
      </c>
      <c r="G110" s="9">
        <f>IF(A110=1,"_",IF(C110="_","???",C110))</f>
        <v/>
      </c>
      <c r="H110" s="10" t="s">
        <v>16</v>
      </c>
      <c r="I110" s="11" t="s">
        <v>16</v>
      </c>
      <c r="J110" s="12"/>
    </row>
    <row r="111" spans="1:10" ht="60" customHeight="1">
      <c r="A111" s="6" t="s">
        <v>431</v>
      </c>
      <c r="B111" s="6" t="s">
        <v>70</v>
      </c>
      <c r="C111" s="6" t="s">
        <v>16</v>
      </c>
      <c r="D111" s="7" t="s">
        <v>432</v>
      </c>
      <c r="E111" s="8" t="s">
        <v>433</v>
      </c>
      <c r="F111" s="6" t="s">
        <v>434</v>
      </c>
      <c r="G111" s="9">
        <f>IF(A111=1,"_",IF(C111="_","???",C111))</f>
        <v/>
      </c>
      <c r="H111" s="10" t="s">
        <v>16</v>
      </c>
      <c r="I111" s="11" t="s">
        <v>16</v>
      </c>
      <c r="J111" s="12"/>
    </row>
    <row r="112" spans="1:10" ht="60" customHeight="1">
      <c r="A112" s="6" t="s">
        <v>435</v>
      </c>
      <c r="B112" s="6" t="s">
        <v>81</v>
      </c>
      <c r="C112" s="6" t="s">
        <v>16</v>
      </c>
      <c r="D112" s="7" t="s">
        <v>436</v>
      </c>
      <c r="E112" s="8" t="s">
        <v>437</v>
      </c>
      <c r="F112" s="6" t="s">
        <v>438</v>
      </c>
      <c r="G112" s="9">
        <f>IF(A112=1,"_",IF(C112="_","???",C112))</f>
        <v/>
      </c>
      <c r="H112" s="10" t="s">
        <v>16</v>
      </c>
      <c r="I112" s="11" t="s">
        <v>16</v>
      </c>
      <c r="J112" s="12"/>
    </row>
    <row r="113" spans="1:10" ht="60" customHeight="1">
      <c r="A113" s="6" t="s">
        <v>439</v>
      </c>
      <c r="B113" s="6" t="s">
        <v>10</v>
      </c>
      <c r="C113" s="6" t="s">
        <v>16</v>
      </c>
      <c r="D113" s="7" t="s">
        <v>440</v>
      </c>
      <c r="E113" s="8" t="s">
        <v>441</v>
      </c>
      <c r="F113" s="6" t="s">
        <v>442</v>
      </c>
      <c r="G113" s="9">
        <f>IF(A113=1,"_",IF(C113="_","???",C113))</f>
        <v/>
      </c>
      <c r="H113" s="10" t="s">
        <v>16</v>
      </c>
      <c r="I113" s="11" t="s">
        <v>16</v>
      </c>
      <c r="J113" s="12"/>
    </row>
    <row r="114" spans="1:10" ht="60" customHeight="1">
      <c r="A114" s="6" t="s">
        <v>443</v>
      </c>
      <c r="B114" s="6" t="s">
        <v>35</v>
      </c>
      <c r="C114" s="6" t="s">
        <v>16</v>
      </c>
      <c r="D114" s="7" t="s">
        <v>444</v>
      </c>
      <c r="E114" s="8" t="s">
        <v>445</v>
      </c>
      <c r="F114" s="6" t="s">
        <v>446</v>
      </c>
      <c r="G114" s="9">
        <f>IF(A114=1,"_",IF(C114="_","???",C114))</f>
        <v/>
      </c>
      <c r="H114" s="10" t="s">
        <v>16</v>
      </c>
      <c r="I114" s="11" t="s">
        <v>16</v>
      </c>
      <c r="J114" s="12"/>
    </row>
    <row r="115" spans="1:10" ht="60" customHeight="1">
      <c r="A115" s="6" t="s">
        <v>447</v>
      </c>
      <c r="B115" s="6" t="s">
        <v>17</v>
      </c>
      <c r="C115" s="6" t="s">
        <v>16</v>
      </c>
      <c r="D115" s="7" t="s">
        <v>448</v>
      </c>
      <c r="E115" s="8" t="s">
        <v>449</v>
      </c>
      <c r="F115" s="6" t="s">
        <v>450</v>
      </c>
      <c r="G115" s="9">
        <f>IF(A115=1,"_",IF(C115="_","???",C115))</f>
        <v/>
      </c>
      <c r="H115" s="10" t="s">
        <v>16</v>
      </c>
      <c r="I115" s="11" t="s">
        <v>16</v>
      </c>
      <c r="J115" s="12"/>
    </row>
    <row r="116" spans="1:10" ht="60" customHeight="1">
      <c r="A116" s="6" t="s">
        <v>451</v>
      </c>
      <c r="B116" s="6" t="s">
        <v>10</v>
      </c>
      <c r="C116" s="6" t="s">
        <v>16</v>
      </c>
      <c r="D116" s="7" t="s">
        <v>452</v>
      </c>
      <c r="E116" s="8" t="s">
        <v>453</v>
      </c>
      <c r="F116" s="6" t="s">
        <v>454</v>
      </c>
      <c r="G116" s="9">
        <f>IF(A116=1,"_",IF(C116="_","???",C116))</f>
        <v/>
      </c>
      <c r="H116" s="10" t="s">
        <v>16</v>
      </c>
      <c r="I116" s="11" t="s">
        <v>16</v>
      </c>
      <c r="J116" s="12"/>
    </row>
    <row r="117" spans="1:10" ht="60" customHeight="1">
      <c r="A117" s="6" t="s">
        <v>455</v>
      </c>
      <c r="B117" s="6" t="s">
        <v>35</v>
      </c>
      <c r="C117" s="6" t="s">
        <v>16</v>
      </c>
      <c r="D117" s="7" t="s">
        <v>456</v>
      </c>
      <c r="E117" s="8" t="s">
        <v>457</v>
      </c>
      <c r="F117" s="6" t="s">
        <v>458</v>
      </c>
      <c r="G117" s="9">
        <f>IF(A117=1,"_",IF(C117="_","???",C117))</f>
        <v/>
      </c>
      <c r="H117" s="10" t="s">
        <v>16</v>
      </c>
      <c r="I117" s="11" t="s">
        <v>16</v>
      </c>
      <c r="J117" s="12"/>
    </row>
    <row r="118" spans="1:10" ht="60" customHeight="1">
      <c r="A118" s="6" t="s">
        <v>459</v>
      </c>
      <c r="B118" s="6" t="s">
        <v>142</v>
      </c>
      <c r="C118" s="6" t="s">
        <v>16</v>
      </c>
      <c r="D118" s="7" t="s">
        <v>460</v>
      </c>
      <c r="E118" s="8" t="s">
        <v>461</v>
      </c>
      <c r="F118" s="6" t="s">
        <v>462</v>
      </c>
      <c r="G118" s="9">
        <f>IF(A118=1,"_",IF(C118="_","???",C118))</f>
        <v/>
      </c>
      <c r="H118" s="10" t="s">
        <v>16</v>
      </c>
      <c r="I118" s="11" t="s">
        <v>16</v>
      </c>
      <c r="J118" s="12"/>
    </row>
    <row r="119" spans="1:10" ht="60" customHeight="1">
      <c r="A119" s="6" t="s">
        <v>463</v>
      </c>
      <c r="B119" s="6" t="s">
        <v>18</v>
      </c>
      <c r="C119" s="6" t="s">
        <v>16</v>
      </c>
      <c r="D119" s="7" t="s">
        <v>464</v>
      </c>
      <c r="E119" s="8" t="s">
        <v>465</v>
      </c>
      <c r="F119" s="6" t="s">
        <v>466</v>
      </c>
      <c r="G119" s="9">
        <f>IF(A119=1,"_",IF(C119="_","???",C119))</f>
        <v/>
      </c>
      <c r="H119" s="10" t="s">
        <v>16</v>
      </c>
      <c r="I119" s="11" t="s">
        <v>16</v>
      </c>
      <c r="J119" s="12"/>
    </row>
    <row r="120" spans="1:10" ht="60" customHeight="1">
      <c r="A120" s="6" t="s">
        <v>467</v>
      </c>
      <c r="B120" s="6" t="s">
        <v>31</v>
      </c>
      <c r="C120" s="6" t="s">
        <v>16</v>
      </c>
      <c r="D120" s="7" t="s">
        <v>468</v>
      </c>
      <c r="E120" s="8" t="s">
        <v>469</v>
      </c>
      <c r="F120" s="6" t="s">
        <v>470</v>
      </c>
      <c r="G120" s="9">
        <f>IF(A120=1,"_",IF(C120="_","???",C120))</f>
        <v/>
      </c>
      <c r="H120" s="10" t="s">
        <v>16</v>
      </c>
      <c r="I120" s="11" t="s">
        <v>16</v>
      </c>
      <c r="J120" s="12"/>
    </row>
    <row r="121" spans="1:10" ht="60" customHeight="1">
      <c r="A121" s="6" t="s">
        <v>471</v>
      </c>
      <c r="B121" s="6" t="s">
        <v>11</v>
      </c>
      <c r="C121" s="6" t="s">
        <v>16</v>
      </c>
      <c r="D121" s="7" t="s">
        <v>143</v>
      </c>
      <c r="E121" s="8" t="s">
        <v>472</v>
      </c>
      <c r="F121" s="6" t="s">
        <v>473</v>
      </c>
      <c r="G121" s="9">
        <f>IF(A121=1,"_",IF(C121="_","???",C121))</f>
        <v/>
      </c>
      <c r="H121" s="10" t="s">
        <v>16</v>
      </c>
      <c r="I121" s="11" t="s">
        <v>16</v>
      </c>
      <c r="J121" s="12"/>
    </row>
    <row r="122" spans="1:10" ht="60" customHeight="1">
      <c r="A122" s="6" t="s">
        <v>474</v>
      </c>
      <c r="B122" s="6" t="s">
        <v>22</v>
      </c>
      <c r="C122" s="6" t="s">
        <v>16</v>
      </c>
      <c r="D122" s="7" t="s">
        <v>131</v>
      </c>
      <c r="E122" s="8" t="s">
        <v>475</v>
      </c>
      <c r="F122" s="6" t="s">
        <v>476</v>
      </c>
      <c r="G122" s="9">
        <f>IF(A122=1,"_",IF(C122="_","???",C122))</f>
        <v/>
      </c>
      <c r="H122" s="10" t="s">
        <v>16</v>
      </c>
      <c r="I122" s="11" t="s">
        <v>16</v>
      </c>
      <c r="J122" s="12"/>
    </row>
    <row r="123" spans="1:10" ht="60" customHeight="1">
      <c r="A123" s="6" t="s">
        <v>477</v>
      </c>
      <c r="B123" s="6" t="s">
        <v>11</v>
      </c>
      <c r="C123" s="6" t="s">
        <v>16</v>
      </c>
      <c r="D123" s="7" t="s">
        <v>478</v>
      </c>
      <c r="E123" s="8" t="s">
        <v>479</v>
      </c>
      <c r="F123" s="6" t="s">
        <v>480</v>
      </c>
      <c r="G123" s="9">
        <f>IF(A123=1,"_",IF(C123="_","???",C123))</f>
        <v/>
      </c>
      <c r="H123" s="10" t="s">
        <v>16</v>
      </c>
      <c r="I123" s="11" t="s">
        <v>16</v>
      </c>
      <c r="J123" s="12"/>
    </row>
    <row r="124" spans="1:10" ht="60" customHeight="1">
      <c r="A124" s="6" t="s">
        <v>481</v>
      </c>
      <c r="B124" s="6" t="s">
        <v>17</v>
      </c>
      <c r="C124" s="6" t="s">
        <v>16</v>
      </c>
      <c r="D124" s="7" t="s">
        <v>135</v>
      </c>
      <c r="E124" s="8" t="s">
        <v>136</v>
      </c>
      <c r="F124" s="6" t="s">
        <v>482</v>
      </c>
      <c r="G124" s="9">
        <f>IF(A124=1,"_",IF(C124="_","???",C124))</f>
        <v/>
      </c>
      <c r="H124" s="10" t="s">
        <v>16</v>
      </c>
      <c r="I124" s="11" t="s">
        <v>16</v>
      </c>
      <c r="J124" s="12"/>
    </row>
    <row r="125" spans="1:10" ht="60" customHeight="1">
      <c r="A125" s="6" t="s">
        <v>483</v>
      </c>
      <c r="B125" s="6" t="s">
        <v>11</v>
      </c>
      <c r="C125" s="6" t="s">
        <v>16</v>
      </c>
      <c r="D125" s="7" t="s">
        <v>484</v>
      </c>
      <c r="E125" s="8" t="s">
        <v>485</v>
      </c>
      <c r="F125" s="6" t="s">
        <v>486</v>
      </c>
      <c r="G125" s="9">
        <f>IF(A125=1,"_",IF(C125="_","???",C125))</f>
        <v/>
      </c>
      <c r="H125" s="10" t="s">
        <v>16</v>
      </c>
      <c r="I125" s="11" t="s">
        <v>16</v>
      </c>
      <c r="J125" s="12"/>
    </row>
    <row r="126" spans="1:10" ht="60" customHeight="1">
      <c r="A126" s="6" t="s">
        <v>487</v>
      </c>
      <c r="B126" s="6" t="s">
        <v>10</v>
      </c>
      <c r="C126" s="6" t="s">
        <v>16</v>
      </c>
      <c r="D126" s="7" t="s">
        <v>350</v>
      </c>
      <c r="E126" s="8" t="s">
        <v>488</v>
      </c>
      <c r="F126" s="6" t="s">
        <v>489</v>
      </c>
      <c r="G126" s="9">
        <f>IF(A126=1,"_",IF(C126="_","???",C126))</f>
        <v/>
      </c>
      <c r="H126" s="10" t="s">
        <v>16</v>
      </c>
      <c r="I126" s="11" t="s">
        <v>16</v>
      </c>
      <c r="J126" s="12"/>
    </row>
    <row r="127" spans="1:10" ht="60" customHeight="1">
      <c r="A127" s="6" t="s">
        <v>490</v>
      </c>
      <c r="B127" s="6" t="s">
        <v>31</v>
      </c>
      <c r="C127" s="6" t="s">
        <v>16</v>
      </c>
      <c r="D127" s="7" t="s">
        <v>491</v>
      </c>
      <c r="E127" s="8" t="s">
        <v>492</v>
      </c>
      <c r="F127" s="6" t="s">
        <v>493</v>
      </c>
      <c r="G127" s="9">
        <f>IF(A127=1,"_",IF(C127="_","???",C127))</f>
        <v/>
      </c>
      <c r="H127" s="10" t="s">
        <v>16</v>
      </c>
      <c r="I127" s="11" t="s">
        <v>16</v>
      </c>
      <c r="J127" s="12"/>
    </row>
    <row r="128" spans="1:10" ht="60" customHeight="1">
      <c r="A128" s="6" t="s">
        <v>494</v>
      </c>
      <c r="B128" s="6" t="s">
        <v>22</v>
      </c>
      <c r="C128" s="6" t="s">
        <v>16</v>
      </c>
      <c r="D128" s="7" t="s">
        <v>495</v>
      </c>
      <c r="E128" s="8" t="s">
        <v>496</v>
      </c>
      <c r="F128" s="6" t="s">
        <v>497</v>
      </c>
      <c r="G128" s="9">
        <f>IF(A128=1,"_",IF(C128="_","???",C128))</f>
        <v/>
      </c>
      <c r="H128" s="10" t="s">
        <v>16</v>
      </c>
      <c r="I128" s="11" t="s">
        <v>16</v>
      </c>
      <c r="J128" s="12"/>
    </row>
    <row r="129" spans="1:10" ht="60" customHeight="1">
      <c r="A129" s="6" t="s">
        <v>498</v>
      </c>
      <c r="B129" s="6" t="s">
        <v>26</v>
      </c>
      <c r="C129" s="6" t="s">
        <v>16</v>
      </c>
      <c r="D129" s="7" t="s">
        <v>316</v>
      </c>
      <c r="E129" s="8" t="s">
        <v>499</v>
      </c>
      <c r="F129" s="6" t="s">
        <v>500</v>
      </c>
      <c r="G129" s="9">
        <f>IF(A129=1,"_",IF(C129="_","???",C129))</f>
        <v/>
      </c>
      <c r="H129" s="10" t="s">
        <v>16</v>
      </c>
      <c r="I129" s="11" t="s">
        <v>16</v>
      </c>
      <c r="J129" s="12"/>
    </row>
    <row r="130" spans="1:10" ht="60" customHeight="1">
      <c r="A130" s="6" t="s">
        <v>501</v>
      </c>
      <c r="B130" s="6" t="s">
        <v>11</v>
      </c>
      <c r="C130" s="6" t="s">
        <v>16</v>
      </c>
      <c r="D130" s="7" t="s">
        <v>502</v>
      </c>
      <c r="E130" s="8" t="s">
        <v>503</v>
      </c>
      <c r="F130" s="6" t="s">
        <v>504</v>
      </c>
      <c r="G130" s="9">
        <f>IF(A130=1,"_",IF(C130="_","???",C130))</f>
        <v/>
      </c>
      <c r="H130" s="10" t="s">
        <v>16</v>
      </c>
      <c r="I130" s="11" t="s">
        <v>16</v>
      </c>
      <c r="J130" s="12"/>
    </row>
    <row r="131" spans="1:10" ht="60" customHeight="1">
      <c r="A131" s="6" t="s">
        <v>505</v>
      </c>
      <c r="B131" s="6" t="s">
        <v>35</v>
      </c>
      <c r="C131" s="6" t="s">
        <v>16</v>
      </c>
      <c r="D131" s="7" t="s">
        <v>506</v>
      </c>
      <c r="E131" s="8" t="s">
        <v>507</v>
      </c>
      <c r="F131" s="6" t="s">
        <v>508</v>
      </c>
      <c r="G131" s="9">
        <f>IF(A131=1,"_",IF(C131="_","???",C131))</f>
        <v/>
      </c>
      <c r="H131" s="10" t="s">
        <v>16</v>
      </c>
      <c r="I131" s="11" t="s">
        <v>16</v>
      </c>
      <c r="J131" s="12"/>
    </row>
    <row r="132" spans="1:10" ht="60" customHeight="1">
      <c r="A132" s="6" t="s">
        <v>509</v>
      </c>
      <c r="B132" s="6" t="s">
        <v>22</v>
      </c>
      <c r="C132" s="6" t="s">
        <v>16</v>
      </c>
      <c r="D132" s="7" t="s">
        <v>510</v>
      </c>
      <c r="E132" s="8" t="s">
        <v>511</v>
      </c>
      <c r="F132" s="6" t="s">
        <v>512</v>
      </c>
      <c r="G132" s="9">
        <f>IF(A132=1,"_",IF(C132="_","???",C132))</f>
        <v/>
      </c>
      <c r="H132" s="10" t="s">
        <v>16</v>
      </c>
      <c r="I132" s="11" t="s">
        <v>16</v>
      </c>
      <c r="J132" s="12"/>
    </row>
    <row r="133" spans="1:10" ht="60" customHeight="1">
      <c r="A133" s="6" t="s">
        <v>513</v>
      </c>
      <c r="B133" s="6" t="s">
        <v>39</v>
      </c>
      <c r="C133" s="6" t="s">
        <v>16</v>
      </c>
      <c r="D133" s="7" t="s">
        <v>514</v>
      </c>
      <c r="E133" s="8" t="s">
        <v>515</v>
      </c>
      <c r="F133" s="6" t="s">
        <v>516</v>
      </c>
      <c r="G133" s="9">
        <f>IF(A133=1,"_",IF(C133="_","???",C133))</f>
        <v/>
      </c>
      <c r="H133" s="10" t="s">
        <v>16</v>
      </c>
      <c r="I133" s="11" t="s">
        <v>16</v>
      </c>
      <c r="J133" s="12"/>
    </row>
    <row r="134" spans="1:10" ht="60" customHeight="1">
      <c r="A134" s="6" t="s">
        <v>517</v>
      </c>
      <c r="B134" s="6" t="s">
        <v>10</v>
      </c>
      <c r="C134" s="6" t="s">
        <v>16</v>
      </c>
      <c r="D134" s="7" t="s">
        <v>350</v>
      </c>
      <c r="E134" s="8" t="s">
        <v>518</v>
      </c>
      <c r="F134" s="6" t="s">
        <v>519</v>
      </c>
      <c r="G134" s="9">
        <f>IF(A134=1,"_",IF(C134="_","???",C134))</f>
        <v/>
      </c>
      <c r="H134" s="10" t="s">
        <v>16</v>
      </c>
      <c r="I134" s="11" t="s">
        <v>16</v>
      </c>
      <c r="J134" s="12"/>
    </row>
    <row r="135" spans="1:10" ht="60" customHeight="1">
      <c r="A135" s="6" t="s">
        <v>520</v>
      </c>
      <c r="B135" s="6" t="s">
        <v>84</v>
      </c>
      <c r="C135" s="6" t="s">
        <v>16</v>
      </c>
      <c r="D135" s="7" t="s">
        <v>521</v>
      </c>
      <c r="E135" s="8" t="s">
        <v>522</v>
      </c>
      <c r="F135" s="6" t="s">
        <v>523</v>
      </c>
      <c r="G135" s="9">
        <f>IF(A135=1,"_",IF(C135="_","???",C135))</f>
        <v/>
      </c>
      <c r="H135" s="10" t="s">
        <v>16</v>
      </c>
      <c r="I135" s="11" t="s">
        <v>16</v>
      </c>
      <c r="J135" s="12"/>
    </row>
    <row r="136" spans="1:10" ht="60" customHeight="1">
      <c r="A136" s="6" t="s">
        <v>524</v>
      </c>
      <c r="B136" s="6" t="s">
        <v>17</v>
      </c>
      <c r="C136" s="6" t="s">
        <v>16</v>
      </c>
      <c r="D136" s="7" t="s">
        <v>189</v>
      </c>
      <c r="E136" s="8" t="s">
        <v>525</v>
      </c>
      <c r="F136" s="6" t="s">
        <v>526</v>
      </c>
      <c r="G136" s="9">
        <f>IF(A136=1,"_",IF(C136="_","???",C136))</f>
        <v/>
      </c>
      <c r="H136" s="10" t="s">
        <v>16</v>
      </c>
      <c r="I136" s="11" t="s">
        <v>16</v>
      </c>
      <c r="J136" s="12"/>
    </row>
    <row r="137" spans="1:10" ht="60" customHeight="1">
      <c r="A137" s="6" t="s">
        <v>527</v>
      </c>
      <c r="B137" s="6" t="s">
        <v>54</v>
      </c>
      <c r="C137" s="6" t="s">
        <v>16</v>
      </c>
      <c r="D137" s="7" t="s">
        <v>528</v>
      </c>
      <c r="E137" s="8" t="s">
        <v>529</v>
      </c>
      <c r="F137" s="6" t="s">
        <v>530</v>
      </c>
      <c r="G137" s="9">
        <f>IF(A137=1,"_",IF(C137="_","???",C137))</f>
        <v/>
      </c>
      <c r="H137" s="10" t="s">
        <v>16</v>
      </c>
      <c r="I137" s="11" t="s">
        <v>16</v>
      </c>
      <c r="J137" s="12"/>
    </row>
    <row r="138" spans="1:10" ht="60" customHeight="1">
      <c r="A138" s="6" t="s">
        <v>531</v>
      </c>
      <c r="B138" s="6" t="s">
        <v>17</v>
      </c>
      <c r="C138" s="6" t="s">
        <v>16</v>
      </c>
      <c r="D138" s="7" t="s">
        <v>532</v>
      </c>
      <c r="E138" s="8" t="s">
        <v>533</v>
      </c>
      <c r="F138" s="6" t="s">
        <v>534</v>
      </c>
      <c r="G138" s="9">
        <f>IF(A138=1,"_",IF(C138="_","???",C138))</f>
        <v/>
      </c>
      <c r="H138" s="10" t="s">
        <v>16</v>
      </c>
      <c r="I138" s="11" t="s">
        <v>16</v>
      </c>
      <c r="J138" s="12"/>
    </row>
    <row r="139" spans="1:10" ht="60" customHeight="1">
      <c r="A139" s="6" t="s">
        <v>535</v>
      </c>
      <c r="B139" s="6" t="s">
        <v>46</v>
      </c>
      <c r="C139" s="6" t="s">
        <v>16</v>
      </c>
      <c r="D139" s="7" t="s">
        <v>536</v>
      </c>
      <c r="E139" s="8" t="s">
        <v>537</v>
      </c>
      <c r="F139" s="6" t="s">
        <v>538</v>
      </c>
      <c r="G139" s="9">
        <f>IF(A139=1,"_",IF(C139="_","???",C139))</f>
        <v/>
      </c>
      <c r="H139" s="10" t="s">
        <v>16</v>
      </c>
      <c r="I139" s="11" t="s">
        <v>16</v>
      </c>
      <c r="J139" s="12"/>
    </row>
    <row r="140" spans="1:10" ht="60" customHeight="1">
      <c r="A140" s="6" t="s">
        <v>539</v>
      </c>
      <c r="B140" s="6" t="s">
        <v>50</v>
      </c>
      <c r="C140" s="6" t="s">
        <v>16</v>
      </c>
      <c r="D140" s="7" t="s">
        <v>540</v>
      </c>
      <c r="E140" s="8" t="s">
        <v>541</v>
      </c>
      <c r="F140" s="6" t="s">
        <v>542</v>
      </c>
      <c r="G140" s="9">
        <f>IF(A140=1,"_",IF(C140="_","???",C140))</f>
        <v/>
      </c>
      <c r="H140" s="10" t="s">
        <v>16</v>
      </c>
      <c r="I140" s="11" t="s">
        <v>16</v>
      </c>
      <c r="J140" s="12"/>
    </row>
    <row r="141" spans="1:10" ht="60" customHeight="1">
      <c r="A141" s="6" t="s">
        <v>543</v>
      </c>
      <c r="B141" s="6" t="s">
        <v>11</v>
      </c>
      <c r="C141" s="6" t="s">
        <v>16</v>
      </c>
      <c r="D141" s="7" t="s">
        <v>544</v>
      </c>
      <c r="E141" s="8" t="s">
        <v>545</v>
      </c>
      <c r="F141" s="6" t="s">
        <v>546</v>
      </c>
      <c r="G141" s="9">
        <f>IF(A141=1,"_",IF(C141="_","???",C141))</f>
        <v/>
      </c>
      <c r="H141" s="10" t="s">
        <v>16</v>
      </c>
      <c r="I141" s="11" t="s">
        <v>16</v>
      </c>
      <c r="J141" s="12"/>
    </row>
    <row r="142" spans="1:10" ht="60" customHeight="1">
      <c r="A142" s="6" t="s">
        <v>547</v>
      </c>
      <c r="B142" s="6" t="s">
        <v>17</v>
      </c>
      <c r="C142" s="6" t="s">
        <v>16</v>
      </c>
      <c r="D142" s="7" t="s">
        <v>131</v>
      </c>
      <c r="E142" s="8" t="s">
        <v>548</v>
      </c>
      <c r="F142" s="6" t="s">
        <v>549</v>
      </c>
      <c r="G142" s="9">
        <f>IF(A142=1,"_",IF(C142="_","???",C142))</f>
        <v/>
      </c>
      <c r="H142" s="10" t="s">
        <v>16</v>
      </c>
      <c r="I142" s="11" t="s">
        <v>16</v>
      </c>
      <c r="J142" s="12"/>
    </row>
    <row r="143" spans="1:10" ht="60" customHeight="1">
      <c r="A143" s="6" t="s">
        <v>550</v>
      </c>
      <c r="B143" s="6" t="s">
        <v>81</v>
      </c>
      <c r="C143" s="6" t="s">
        <v>16</v>
      </c>
      <c r="D143" s="7" t="s">
        <v>551</v>
      </c>
      <c r="E143" s="8" t="s">
        <v>552</v>
      </c>
      <c r="F143" s="6" t="s">
        <v>553</v>
      </c>
      <c r="G143" s="9">
        <f>IF(A143=1,"_",IF(C143="_","???",C143))</f>
        <v/>
      </c>
      <c r="H143" s="10" t="s">
        <v>16</v>
      </c>
      <c r="I143" s="11" t="s">
        <v>16</v>
      </c>
      <c r="J143" s="12"/>
    </row>
    <row r="144" spans="1:10" ht="60" customHeight="1">
      <c r="A144" s="6" t="s">
        <v>554</v>
      </c>
      <c r="B144" s="6" t="s">
        <v>50</v>
      </c>
      <c r="C144" s="6" t="s">
        <v>16</v>
      </c>
      <c r="D144" s="7" t="s">
        <v>555</v>
      </c>
      <c r="E144" s="8" t="s">
        <v>556</v>
      </c>
      <c r="F144" s="6" t="s">
        <v>557</v>
      </c>
      <c r="G144" s="9">
        <f>IF(A144=1,"_",IF(C144="_","???",C144))</f>
        <v/>
      </c>
      <c r="H144" s="10" t="s">
        <v>16</v>
      </c>
      <c r="I144" s="11" t="s">
        <v>16</v>
      </c>
      <c r="J144" s="12"/>
    </row>
    <row r="145" spans="1:10" ht="60" customHeight="1">
      <c r="A145" s="6" t="s">
        <v>558</v>
      </c>
      <c r="B145" s="6" t="s">
        <v>27</v>
      </c>
      <c r="C145" s="6" t="s">
        <v>16</v>
      </c>
      <c r="D145" s="7" t="s">
        <v>177</v>
      </c>
      <c r="E145" s="8" t="s">
        <v>559</v>
      </c>
      <c r="F145" s="6" t="s">
        <v>560</v>
      </c>
      <c r="G145" s="9">
        <f>IF(A145=1,"_",IF(C145="_","???",C145))</f>
        <v/>
      </c>
      <c r="H145" s="10" t="s">
        <v>16</v>
      </c>
      <c r="I145" s="11" t="s">
        <v>16</v>
      </c>
      <c r="J145" s="12"/>
    </row>
    <row r="146" spans="1:10" ht="60" customHeight="1">
      <c r="A146" s="6" t="s">
        <v>561</v>
      </c>
      <c r="B146" s="6" t="s">
        <v>26</v>
      </c>
      <c r="C146" s="6" t="s">
        <v>16</v>
      </c>
      <c r="D146" s="7" t="s">
        <v>562</v>
      </c>
      <c r="E146" s="8" t="s">
        <v>563</v>
      </c>
      <c r="F146" s="6" t="s">
        <v>564</v>
      </c>
      <c r="G146" s="9">
        <f>IF(A146=1,"_",IF(C146="_","???",C146))</f>
        <v/>
      </c>
      <c r="H146" s="10" t="s">
        <v>16</v>
      </c>
      <c r="I146" s="11" t="s">
        <v>16</v>
      </c>
      <c r="J146" s="12"/>
    </row>
    <row r="147" spans="1:10" ht="60" customHeight="1">
      <c r="A147" s="6" t="s">
        <v>565</v>
      </c>
      <c r="B147" s="6" t="s">
        <v>50</v>
      </c>
      <c r="C147" s="6" t="s">
        <v>16</v>
      </c>
      <c r="D147" s="7" t="s">
        <v>566</v>
      </c>
      <c r="E147" s="8" t="s">
        <v>567</v>
      </c>
      <c r="F147" s="6" t="s">
        <v>568</v>
      </c>
      <c r="G147" s="9">
        <f>IF(A147=1,"_",IF(C147="_","???",C147))</f>
        <v/>
      </c>
      <c r="H147" s="10" t="s">
        <v>16</v>
      </c>
      <c r="I147" s="11" t="s">
        <v>16</v>
      </c>
      <c r="J147" s="12"/>
    </row>
    <row r="148" spans="1:10" ht="60" customHeight="1">
      <c r="A148" s="6" t="s">
        <v>569</v>
      </c>
      <c r="B148" s="6" t="s">
        <v>22</v>
      </c>
      <c r="C148" s="6" t="s">
        <v>16</v>
      </c>
      <c r="D148" s="7" t="s">
        <v>570</v>
      </c>
      <c r="E148" s="8" t="s">
        <v>571</v>
      </c>
      <c r="F148" s="6" t="s">
        <v>572</v>
      </c>
      <c r="G148" s="9">
        <f>IF(A148=1,"_",IF(C148="_","???",C148))</f>
        <v/>
      </c>
      <c r="H148" s="10" t="s">
        <v>16</v>
      </c>
      <c r="I148" s="11" t="s">
        <v>16</v>
      </c>
      <c r="J148" s="12"/>
    </row>
    <row r="149" spans="1:10" ht="60" customHeight="1">
      <c r="A149" s="6" t="s">
        <v>573</v>
      </c>
      <c r="B149" s="6" t="s">
        <v>22</v>
      </c>
      <c r="C149" s="6" t="s">
        <v>16</v>
      </c>
      <c r="D149" s="7" t="s">
        <v>574</v>
      </c>
      <c r="E149" s="8" t="s">
        <v>575</v>
      </c>
      <c r="F149" s="6" t="s">
        <v>576</v>
      </c>
      <c r="G149" s="9">
        <f>IF(A149=1,"_",IF(C149="_","???",C149))</f>
        <v/>
      </c>
      <c r="H149" s="10" t="s">
        <v>16</v>
      </c>
      <c r="I149" s="11" t="s">
        <v>16</v>
      </c>
      <c r="J149" s="12"/>
    </row>
    <row r="150" spans="1:10" ht="60" customHeight="1">
      <c r="A150" s="6" t="s">
        <v>577</v>
      </c>
      <c r="B150" s="6" t="s">
        <v>22</v>
      </c>
      <c r="C150" s="6" t="s">
        <v>16</v>
      </c>
      <c r="D150" s="7" t="s">
        <v>578</v>
      </c>
      <c r="E150" s="8" t="s">
        <v>579</v>
      </c>
      <c r="F150" s="6" t="s">
        <v>580</v>
      </c>
      <c r="G150" s="9">
        <f>IF(A150=1,"_",IF(C150="_","???",C150))</f>
        <v/>
      </c>
      <c r="H150" s="10" t="s">
        <v>16</v>
      </c>
      <c r="I150" s="11" t="s">
        <v>16</v>
      </c>
      <c r="J150" s="12"/>
    </row>
    <row r="151" spans="1:10" ht="60" customHeight="1">
      <c r="A151" s="6" t="s">
        <v>581</v>
      </c>
      <c r="B151" s="6" t="s">
        <v>11</v>
      </c>
      <c r="C151" s="6" t="s">
        <v>16</v>
      </c>
      <c r="D151" s="7" t="s">
        <v>582</v>
      </c>
      <c r="E151" s="8" t="s">
        <v>583</v>
      </c>
      <c r="F151" s="6" t="s">
        <v>584</v>
      </c>
      <c r="G151" s="9">
        <f>IF(A151=1,"_",IF(C151="_","???",C151))</f>
        <v/>
      </c>
      <c r="H151" s="10" t="s">
        <v>16</v>
      </c>
      <c r="I151" s="11" t="s">
        <v>16</v>
      </c>
      <c r="J151" s="12"/>
    </row>
    <row r="152" spans="1:10" ht="60" customHeight="1">
      <c r="A152" s="6" t="s">
        <v>585</v>
      </c>
      <c r="B152" s="6" t="s">
        <v>22</v>
      </c>
      <c r="C152" s="6" t="s">
        <v>16</v>
      </c>
      <c r="D152" s="7" t="s">
        <v>328</v>
      </c>
      <c r="E152" s="8" t="s">
        <v>586</v>
      </c>
      <c r="F152" s="6" t="s">
        <v>587</v>
      </c>
      <c r="G152" s="9">
        <f>IF(A152=1,"_",IF(C152="_","???",C152))</f>
        <v/>
      </c>
      <c r="H152" s="10" t="s">
        <v>16</v>
      </c>
      <c r="I152" s="11" t="s">
        <v>16</v>
      </c>
      <c r="J152" s="12"/>
    </row>
    <row r="153" spans="1:10" ht="60" customHeight="1">
      <c r="A153" s="6" t="s">
        <v>588</v>
      </c>
      <c r="B153" s="6" t="s">
        <v>26</v>
      </c>
      <c r="C153" s="6" t="s">
        <v>16</v>
      </c>
      <c r="D153" s="7" t="s">
        <v>562</v>
      </c>
      <c r="E153" s="8" t="s">
        <v>589</v>
      </c>
      <c r="F153" s="6" t="s">
        <v>590</v>
      </c>
      <c r="G153" s="9">
        <f>IF(A153=1,"_",IF(C153="_","???",C153))</f>
        <v/>
      </c>
      <c r="H153" s="10" t="s">
        <v>16</v>
      </c>
      <c r="I153" s="11" t="s">
        <v>16</v>
      </c>
      <c r="J153" s="12"/>
    </row>
    <row r="154" spans="1:10" ht="60" customHeight="1">
      <c r="A154" s="6" t="s">
        <v>591</v>
      </c>
      <c r="B154" s="6" t="s">
        <v>39</v>
      </c>
      <c r="C154" s="6" t="s">
        <v>16</v>
      </c>
      <c r="D154" s="7" t="s">
        <v>592</v>
      </c>
      <c r="E154" s="8" t="s">
        <v>593</v>
      </c>
      <c r="F154" s="6" t="s">
        <v>594</v>
      </c>
      <c r="G154" s="9">
        <f>IF(A154=1,"_",IF(C154="_","???",C154))</f>
        <v/>
      </c>
      <c r="H154" s="10" t="s">
        <v>16</v>
      </c>
      <c r="I154" s="11" t="s">
        <v>16</v>
      </c>
      <c r="J154" s="12"/>
    </row>
    <row r="155" spans="1:10" ht="60" customHeight="1">
      <c r="A155" s="6" t="s">
        <v>595</v>
      </c>
      <c r="B155" s="6" t="s">
        <v>31</v>
      </c>
      <c r="C155" s="6" t="s">
        <v>16</v>
      </c>
      <c r="D155" s="7" t="s">
        <v>596</v>
      </c>
      <c r="E155" s="8" t="s">
        <v>597</v>
      </c>
      <c r="F155" s="6" t="s">
        <v>598</v>
      </c>
      <c r="G155" s="9">
        <f>IF(A155=1,"_",IF(C155="_","???",C155))</f>
        <v/>
      </c>
      <c r="H155" s="10" t="s">
        <v>16</v>
      </c>
      <c r="I155" s="11" t="s">
        <v>16</v>
      </c>
      <c r="J155" s="12"/>
    </row>
    <row r="156" spans="1:10" ht="60" customHeight="1">
      <c r="A156" s="6" t="s">
        <v>599</v>
      </c>
      <c r="B156" s="6" t="s">
        <v>17</v>
      </c>
      <c r="C156" s="6" t="s">
        <v>16</v>
      </c>
      <c r="D156" s="7" t="s">
        <v>143</v>
      </c>
      <c r="E156" s="8" t="s">
        <v>600</v>
      </c>
      <c r="F156" s="6" t="s">
        <v>601</v>
      </c>
      <c r="G156" s="9">
        <f>IF(A156=1,"_",IF(C156="_","???",C156))</f>
        <v/>
      </c>
      <c r="H156" s="10" t="s">
        <v>16</v>
      </c>
      <c r="I156" s="11" t="s">
        <v>16</v>
      </c>
      <c r="J156" s="12"/>
    </row>
    <row r="157" spans="1:10" ht="60" customHeight="1">
      <c r="A157" s="6" t="s">
        <v>602</v>
      </c>
      <c r="B157" s="6" t="s">
        <v>17</v>
      </c>
      <c r="C157" s="6" t="s">
        <v>16</v>
      </c>
      <c r="D157" s="7" t="s">
        <v>603</v>
      </c>
      <c r="E157" s="8" t="s">
        <v>604</v>
      </c>
      <c r="F157" s="6" t="s">
        <v>605</v>
      </c>
      <c r="G157" s="9">
        <f>IF(A157=1,"_",IF(C157="_","???",C157))</f>
        <v/>
      </c>
      <c r="H157" s="10" t="s">
        <v>16</v>
      </c>
      <c r="I157" s="11" t="s">
        <v>16</v>
      </c>
      <c r="J157" s="12"/>
    </row>
    <row r="158" spans="1:10" ht="60" customHeight="1">
      <c r="A158" s="6" t="s">
        <v>606</v>
      </c>
      <c r="B158" s="6" t="s">
        <v>26</v>
      </c>
      <c r="C158" s="6" t="s">
        <v>16</v>
      </c>
      <c r="D158" s="7" t="s">
        <v>607</v>
      </c>
      <c r="E158" s="8" t="s">
        <v>608</v>
      </c>
      <c r="F158" s="6" t="s">
        <v>609</v>
      </c>
      <c r="G158" s="9">
        <f>IF(A158=1,"_",IF(C158="_","???",C158))</f>
        <v/>
      </c>
      <c r="H158" s="10" t="s">
        <v>16</v>
      </c>
      <c r="I158" s="11" t="s">
        <v>16</v>
      </c>
      <c r="J158" s="12"/>
    </row>
    <row r="159" spans="1:10" ht="60" customHeight="1">
      <c r="A159" s="6" t="s">
        <v>610</v>
      </c>
      <c r="B159" s="6" t="s">
        <v>142</v>
      </c>
      <c r="C159" s="6" t="s">
        <v>16</v>
      </c>
      <c r="D159" s="7" t="s">
        <v>611</v>
      </c>
      <c r="E159" s="8" t="s">
        <v>612</v>
      </c>
      <c r="F159" s="6" t="s">
        <v>613</v>
      </c>
      <c r="G159" s="9">
        <f>IF(A159=1,"_",IF(C159="_","???",C159))</f>
        <v/>
      </c>
      <c r="H159" s="10" t="s">
        <v>16</v>
      </c>
      <c r="I159" s="11" t="s">
        <v>16</v>
      </c>
      <c r="J159" s="12"/>
    </row>
    <row r="160" spans="1:10" ht="60" customHeight="1">
      <c r="A160" s="6" t="s">
        <v>614</v>
      </c>
      <c r="B160" s="6" t="s">
        <v>77</v>
      </c>
      <c r="C160" s="6" t="s">
        <v>16</v>
      </c>
      <c r="D160" s="7" t="s">
        <v>291</v>
      </c>
      <c r="E160" s="8" t="s">
        <v>615</v>
      </c>
      <c r="F160" s="6" t="s">
        <v>616</v>
      </c>
      <c r="G160" s="9">
        <f>IF(A160=1,"_",IF(C160="_","???",C160))</f>
        <v/>
      </c>
      <c r="H160" s="10" t="s">
        <v>16</v>
      </c>
      <c r="I160" s="11" t="s">
        <v>16</v>
      </c>
      <c r="J160" s="12"/>
    </row>
    <row r="161" spans="1:10" ht="60" customHeight="1">
      <c r="A161" s="6" t="s">
        <v>617</v>
      </c>
      <c r="B161" s="6" t="s">
        <v>11</v>
      </c>
      <c r="C161" s="6" t="s">
        <v>16</v>
      </c>
      <c r="D161" s="7" t="s">
        <v>618</v>
      </c>
      <c r="E161" s="8" t="s">
        <v>619</v>
      </c>
      <c r="F161" s="6" t="s">
        <v>620</v>
      </c>
      <c r="G161" s="9">
        <f>IF(A161=1,"_",IF(C161="_","???",C161))</f>
        <v/>
      </c>
      <c r="H161" s="10" t="s">
        <v>16</v>
      </c>
      <c r="I161" s="11" t="s">
        <v>16</v>
      </c>
      <c r="J161" s="12"/>
    </row>
    <row r="162" spans="1:10" ht="60" customHeight="1">
      <c r="A162" s="6" t="s">
        <v>621</v>
      </c>
      <c r="B162" s="6" t="s">
        <v>17</v>
      </c>
      <c r="C162" s="6" t="s">
        <v>16</v>
      </c>
      <c r="D162" s="7" t="s">
        <v>622</v>
      </c>
      <c r="E162" s="8" t="s">
        <v>623</v>
      </c>
      <c r="F162" s="6" t="s">
        <v>624</v>
      </c>
      <c r="G162" s="9">
        <f>IF(A162=1,"_",IF(C162="_","???",C162))</f>
        <v/>
      </c>
      <c r="H162" s="10" t="s">
        <v>16</v>
      </c>
      <c r="I162" s="11" t="s">
        <v>16</v>
      </c>
      <c r="J162" s="12"/>
    </row>
    <row r="163" spans="1:10" ht="60" customHeight="1">
      <c r="A163" s="6" t="s">
        <v>625</v>
      </c>
      <c r="B163" s="6" t="s">
        <v>26</v>
      </c>
      <c r="C163" s="6" t="s">
        <v>16</v>
      </c>
      <c r="D163" s="7" t="s">
        <v>115</v>
      </c>
      <c r="E163" s="8" t="s">
        <v>626</v>
      </c>
      <c r="F163" s="6" t="s">
        <v>627</v>
      </c>
      <c r="G163" s="9">
        <f>IF(A163=1,"_",IF(C163="_","???",C163))</f>
        <v/>
      </c>
      <c r="H163" s="10" t="s">
        <v>16</v>
      </c>
      <c r="I163" s="11" t="s">
        <v>16</v>
      </c>
      <c r="J163" s="12"/>
    </row>
    <row r="164" spans="1:10" ht="60" customHeight="1">
      <c r="A164" s="6" t="s">
        <v>628</v>
      </c>
      <c r="B164" s="6" t="s">
        <v>142</v>
      </c>
      <c r="C164" s="6" t="s">
        <v>16</v>
      </c>
      <c r="D164" s="7" t="s">
        <v>629</v>
      </c>
      <c r="E164" s="8" t="s">
        <v>630</v>
      </c>
      <c r="F164" s="6" t="s">
        <v>631</v>
      </c>
      <c r="G164" s="9">
        <f>IF(A164=1,"_",IF(C164="_","???",C164))</f>
        <v/>
      </c>
      <c r="H164" s="10" t="s">
        <v>16</v>
      </c>
      <c r="I164" s="11" t="s">
        <v>16</v>
      </c>
      <c r="J164" s="12"/>
    </row>
    <row r="165" spans="1:10" ht="60" customHeight="1">
      <c r="A165" s="6" t="s">
        <v>632</v>
      </c>
      <c r="B165" s="6" t="s">
        <v>10</v>
      </c>
      <c r="C165" s="6" t="s">
        <v>16</v>
      </c>
      <c r="D165" s="7" t="s">
        <v>633</v>
      </c>
      <c r="E165" s="8" t="s">
        <v>634</v>
      </c>
      <c r="F165" s="6" t="s">
        <v>635</v>
      </c>
      <c r="G165" s="9">
        <f>IF(A165=1,"_",IF(C165="_","???",C165))</f>
        <v/>
      </c>
      <c r="H165" s="10" t="s">
        <v>16</v>
      </c>
      <c r="I165" s="11" t="s">
        <v>16</v>
      </c>
      <c r="J165" s="12"/>
    </row>
    <row r="166" spans="1:10" ht="60" customHeight="1">
      <c r="A166" s="6" t="s">
        <v>636</v>
      </c>
      <c r="B166" s="6" t="s">
        <v>17</v>
      </c>
      <c r="C166" s="6" t="s">
        <v>16</v>
      </c>
      <c r="D166" s="7" t="s">
        <v>637</v>
      </c>
      <c r="E166" s="8" t="s">
        <v>638</v>
      </c>
      <c r="F166" s="6" t="s">
        <v>639</v>
      </c>
      <c r="G166" s="9">
        <f>IF(A166=1,"_",IF(C166="_","???",C166))</f>
        <v/>
      </c>
      <c r="H166" s="10" t="s">
        <v>16</v>
      </c>
      <c r="I166" s="11" t="s">
        <v>16</v>
      </c>
      <c r="J166"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3888"/>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640</v>
      </c>
      <c r="B1" s="13" t="s">
        <v>641</v>
      </c>
      <c r="C1" s="13" t="s">
        <v>642</v>
      </c>
      <c r="D1" s="13" t="s">
        <v>643</v>
      </c>
      <c r="E1" s="14" t="s">
        <v>644</v>
      </c>
      <c r="F1" s="15" t="s">
        <v>645</v>
      </c>
      <c r="G1" s="16" t="s">
        <v>646</v>
      </c>
      <c r="H1" s="17" t="s">
        <v>647</v>
      </c>
      <c r="I1" s="18" t="s">
        <v>648</v>
      </c>
      <c r="J1" s="18" t="s">
        <v>649</v>
      </c>
      <c r="K1" s="18" t="s">
        <v>650</v>
      </c>
      <c r="L1" s="19" t="s">
        <v>9</v>
      </c>
    </row>
    <row r="2" spans="1:12">
      <c r="A2" s="20" t="s">
        <v>651</v>
      </c>
    </row>
    <row r="3" spans="1:12">
      <c r="A3" s="20" t="s">
        <v>652</v>
      </c>
      <c r="B3" s="21" t="s">
        <v>653</v>
      </c>
      <c r="C3" s="21" t="s">
        <v>654</v>
      </c>
      <c r="D3" s="21" t="s">
        <v>655</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656</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657</v>
      </c>
      <c r="B5" s="21" t="s">
        <v>658</v>
      </c>
      <c r="C5" s="21" t="s">
        <v>654</v>
      </c>
      <c r="D5" s="21" t="s">
        <v>655</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659</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660</v>
      </c>
      <c r="B7" s="21" t="s">
        <v>658</v>
      </c>
      <c r="C7" s="21" t="s">
        <v>661</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13</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662</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663</v>
      </c>
      <c r="B10" s="21" t="s">
        <v>664</v>
      </c>
      <c r="C10" s="21" t="s">
        <v>665</v>
      </c>
      <c r="D10" s="21" t="s">
        <v>655</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666</v>
      </c>
      <c r="B11" s="21" t="s">
        <v>667</v>
      </c>
      <c r="C11" s="21" t="s">
        <v>654</v>
      </c>
      <c r="D11" s="21" t="s">
        <v>655</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668</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669</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670</v>
      </c>
      <c r="B14" s="21" t="s">
        <v>671</v>
      </c>
      <c r="C14" s="21" t="s">
        <v>661</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672</v>
      </c>
      <c r="B15" s="21" t="s">
        <v>673</v>
      </c>
      <c r="C15" s="21" t="s">
        <v>674</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675</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676</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677</v>
      </c>
      <c r="B18" s="21" t="s">
        <v>673</v>
      </c>
      <c r="C18" s="21" t="s">
        <v>678</v>
      </c>
      <c r="D18" s="21" t="s">
        <v>655</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679</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680</v>
      </c>
      <c r="B20" s="21" t="s">
        <v>671</v>
      </c>
      <c r="C20" s="21" t="s">
        <v>674</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681</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682</v>
      </c>
      <c r="B22" s="21" t="s">
        <v>683</v>
      </c>
      <c r="C22" s="21" t="s">
        <v>684</v>
      </c>
      <c r="D22" s="21" t="s">
        <v>655</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685</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686</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687</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688</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row>
    <row r="28" spans="1:12">
      <c r="A28" s="20" t="s">
        <v>689</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690</v>
      </c>
    </row>
    <row r="30" spans="1:12">
      <c r="A30" s="20" t="s">
        <v>652</v>
      </c>
      <c r="B30" s="21" t="s">
        <v>653</v>
      </c>
      <c r="C30" s="21" t="s">
        <v>654</v>
      </c>
      <c r="D30" s="21" t="s">
        <v>655</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691</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675</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676</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677</v>
      </c>
      <c r="B34" s="21" t="s">
        <v>692</v>
      </c>
      <c r="C34" s="21" t="s">
        <v>678</v>
      </c>
      <c r="D34" s="21" t="s">
        <v>655</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693</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694</v>
      </c>
      <c r="B36" s="21" t="s">
        <v>673</v>
      </c>
      <c r="C36" s="21" t="s">
        <v>695</v>
      </c>
      <c r="D36" s="21" t="s">
        <v>655</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696</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16</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697</v>
      </c>
      <c r="B39" s="21" t="s">
        <v>658</v>
      </c>
      <c r="C39" s="21" t="s">
        <v>698</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19</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662</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699</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700</v>
      </c>
      <c r="B43" s="21" t="s">
        <v>701</v>
      </c>
      <c r="C43" s="21" t="s">
        <v>654</v>
      </c>
      <c r="D43" s="21" t="s">
        <v>655</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702</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703</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676</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704</v>
      </c>
      <c r="B47" s="21" t="s">
        <v>671</v>
      </c>
      <c r="C47" s="21" t="s">
        <v>678</v>
      </c>
      <c r="D47" s="21" t="s">
        <v>655</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705</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706</v>
      </c>
      <c r="B49" s="21" t="s">
        <v>683</v>
      </c>
      <c r="C49" s="21" t="s">
        <v>678</v>
      </c>
      <c r="D49" s="21" t="s">
        <v>655</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707</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708</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662</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709</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666</v>
      </c>
      <c r="B54" s="21" t="s">
        <v>667</v>
      </c>
      <c r="C54" s="21" t="s">
        <v>654</v>
      </c>
      <c r="D54" s="21" t="s">
        <v>655</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710</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711</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662</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712</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700</v>
      </c>
      <c r="B59" s="21" t="s">
        <v>701</v>
      </c>
      <c r="C59" s="21" t="s">
        <v>654</v>
      </c>
      <c r="D59" s="21" t="s">
        <v>655</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713</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714</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715</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716</v>
      </c>
      <c r="B63" s="21" t="s">
        <v>683</v>
      </c>
      <c r="C63" s="21" t="s">
        <v>695</v>
      </c>
      <c r="D63" s="21" t="s">
        <v>655</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717</v>
      </c>
      <c r="B64" s="21" t="s">
        <v>671</v>
      </c>
      <c r="C64" s="21" t="s">
        <v>698</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718</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691</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662</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663</v>
      </c>
      <c r="B68" s="21" t="s">
        <v>719</v>
      </c>
      <c r="C68" s="21" t="s">
        <v>665</v>
      </c>
      <c r="D68" s="21" t="s">
        <v>655</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720</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721</v>
      </c>
      <c r="B70" s="21" t="s">
        <v>722</v>
      </c>
      <c r="C70" s="21" t="s">
        <v>678</v>
      </c>
      <c r="D70" s="21" t="s">
        <v>655</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723</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724</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723</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725</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726</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688</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row>
    <row r="78" spans="1:12">
      <c r="A78" s="20" t="s">
        <v>727</v>
      </c>
    </row>
    <row r="79" spans="1:12">
      <c r="A79" s="20" t="s">
        <v>652</v>
      </c>
      <c r="B79" s="21" t="s">
        <v>653</v>
      </c>
      <c r="C79" s="21" t="s">
        <v>654</v>
      </c>
      <c r="D79" s="21" t="s">
        <v>655</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728</v>
      </c>
      <c r="B80" s="21" t="s">
        <v>692</v>
      </c>
      <c r="C80" s="21" t="s">
        <v>729</v>
      </c>
      <c r="D80" s="21" t="s">
        <v>655</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657</v>
      </c>
      <c r="B81" s="21" t="s">
        <v>692</v>
      </c>
      <c r="C81" s="21" t="s">
        <v>654</v>
      </c>
      <c r="D81" s="21" t="s">
        <v>655</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730</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731</v>
      </c>
      <c r="B83" s="21" t="s">
        <v>667</v>
      </c>
      <c r="C83" s="21" t="s">
        <v>678</v>
      </c>
      <c r="D83" s="21" t="s">
        <v>655</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668</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688</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row>
    <row r="87" spans="1:12">
      <c r="A87" s="20" t="s">
        <v>689</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732</v>
      </c>
    </row>
    <row r="89" spans="1:12">
      <c r="A89" s="20" t="s">
        <v>723</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733</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723</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662</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734</v>
      </c>
      <c r="B93" s="21" t="s">
        <v>673</v>
      </c>
      <c r="C93" s="21" t="s">
        <v>698</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735</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723</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736</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662</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737</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662</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738</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662</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739</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662</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740</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662</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741</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662</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742</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662</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743</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662</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744</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662</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745</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746</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662</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747</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662</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748</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662</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749</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662</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750</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662</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751</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662</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752</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753</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662</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754</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662</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755</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676</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756</v>
      </c>
      <c r="B134" s="21" t="s">
        <v>673</v>
      </c>
      <c r="C134" s="21" t="s">
        <v>678</v>
      </c>
      <c r="D134" s="21" t="s">
        <v>655</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757</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662</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758</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662</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759</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662</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760</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761</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662</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762</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662</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763</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764</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765</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662</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738</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709</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766</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688</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row>
    <row r="155" spans="1:12">
      <c r="A155" s="20" t="s">
        <v>689</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767</v>
      </c>
    </row>
    <row r="157" spans="1:12">
      <c r="A157" s="20" t="s">
        <v>768</v>
      </c>
      <c r="B157" s="21" t="s">
        <v>692</v>
      </c>
      <c r="C157" s="21" t="s">
        <v>698</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735</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769</v>
      </c>
      <c r="B159" s="21" t="s">
        <v>692</v>
      </c>
      <c r="C159" s="21" t="s">
        <v>698</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662</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770</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662</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771</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688</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723</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row>
    <row r="167" spans="1:12">
      <c r="A167" s="20" t="s">
        <v>689</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772</v>
      </c>
    </row>
    <row r="169" spans="1:12">
      <c r="A169" s="20" t="s">
        <v>652</v>
      </c>
      <c r="B169" s="21" t="s">
        <v>653</v>
      </c>
      <c r="C169" s="21" t="s">
        <v>654</v>
      </c>
      <c r="D169" s="21" t="s">
        <v>655</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691</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773</v>
      </c>
      <c r="B171" s="21" t="s">
        <v>673</v>
      </c>
      <c r="C171" s="21" t="s">
        <v>729</v>
      </c>
      <c r="D171" s="21" t="s">
        <v>655</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774</v>
      </c>
      <c r="B172" s="21" t="s">
        <v>658</v>
      </c>
      <c r="C172" s="21" t="s">
        <v>775</v>
      </c>
      <c r="D172" s="21" t="s">
        <v>655</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776</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777</v>
      </c>
      <c r="B174" s="21" t="s">
        <v>658</v>
      </c>
      <c r="C174" s="21" t="s">
        <v>674</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778</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779</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709</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780</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781</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782</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662</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783</v>
      </c>
      <c r="B182" s="21" t="s">
        <v>701</v>
      </c>
      <c r="C182" s="21" t="s">
        <v>654</v>
      </c>
      <c r="D182" s="21" t="s">
        <v>655</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784</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785</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786</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662</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699</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700</v>
      </c>
      <c r="B188" s="21" t="s">
        <v>664</v>
      </c>
      <c r="C188" s="21" t="s">
        <v>654</v>
      </c>
      <c r="D188" s="21" t="s">
        <v>655</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787</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788</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789</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723</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743</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723</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709</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790</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791</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792</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793</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662</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709</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780</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794</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795</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796</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709</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797</v>
      </c>
      <c r="B207" s="21" t="s">
        <v>798</v>
      </c>
      <c r="C207" s="21" t="s">
        <v>654</v>
      </c>
      <c r="D207" s="21" t="s">
        <v>655</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781</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799</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800</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801</v>
      </c>
      <c r="B211" s="21" t="s">
        <v>802</v>
      </c>
      <c r="C211" s="21" t="s">
        <v>729</v>
      </c>
      <c r="D211" s="21" t="s">
        <v>655</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803</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804</v>
      </c>
      <c r="B213" s="21" t="s">
        <v>683</v>
      </c>
      <c r="C213" s="21" t="s">
        <v>775</v>
      </c>
      <c r="D213" s="21" t="s">
        <v>655</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709</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676</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805</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806</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807</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808</v>
      </c>
      <c r="B219" s="21" t="s">
        <v>802</v>
      </c>
      <c r="C219" s="21" t="s">
        <v>678</v>
      </c>
      <c r="D219" s="21" t="s">
        <v>655</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688</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row>
    <row r="222" spans="1:12">
      <c r="A222" s="20" t="s">
        <v>809</v>
      </c>
    </row>
    <row r="223" spans="1:12">
      <c r="A223" s="20" t="s">
        <v>810</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702</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720</v>
      </c>
      <c r="B225" s="21" t="s">
        <v>653</v>
      </c>
      <c r="C225" s="21" t="s">
        <v>729</v>
      </c>
      <c r="D225" s="21" t="s">
        <v>655</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669</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811</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662</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812</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696</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16</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697</v>
      </c>
      <c r="B232" s="21" t="s">
        <v>692</v>
      </c>
      <c r="C232" s="21" t="s">
        <v>674</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688</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row>
    <row r="235" spans="1:12">
      <c r="A235" s="20" t="s">
        <v>813</v>
      </c>
    </row>
    <row r="236" spans="1:12">
      <c r="A236" s="20" t="s">
        <v>652</v>
      </c>
      <c r="B236" s="21" t="s">
        <v>653</v>
      </c>
      <c r="C236" s="21" t="s">
        <v>654</v>
      </c>
      <c r="D236" s="21" t="s">
        <v>655</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814</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666</v>
      </c>
      <c r="B238" s="21" t="s">
        <v>667</v>
      </c>
      <c r="C238" s="21" t="s">
        <v>654</v>
      </c>
      <c r="D238" s="21" t="s">
        <v>655</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815</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816</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662</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712</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817</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818</v>
      </c>
      <c r="B244" s="21" t="s">
        <v>664</v>
      </c>
      <c r="C244" s="21" t="s">
        <v>678</v>
      </c>
      <c r="D244" s="21" t="s">
        <v>655</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707</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819</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820</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456</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821</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688</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row>
    <row r="252" spans="1:12">
      <c r="A252" s="20" t="s">
        <v>822</v>
      </c>
    </row>
    <row r="253" spans="1:12">
      <c r="A253" s="20" t="s">
        <v>699</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823</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702</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783</v>
      </c>
      <c r="B256" s="21" t="s">
        <v>653</v>
      </c>
      <c r="C256" s="21" t="s">
        <v>654</v>
      </c>
      <c r="D256" s="21" t="s">
        <v>655</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824</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818</v>
      </c>
      <c r="B258" s="21" t="s">
        <v>692</v>
      </c>
      <c r="C258" s="21" t="s">
        <v>674</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711</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730</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825</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826</v>
      </c>
      <c r="B262" s="21" t="s">
        <v>692</v>
      </c>
      <c r="C262" s="21" t="s">
        <v>678</v>
      </c>
      <c r="D262" s="21" t="s">
        <v>655</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662</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827</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700</v>
      </c>
      <c r="B265" s="21" t="s">
        <v>664</v>
      </c>
      <c r="C265" s="21" t="s">
        <v>654</v>
      </c>
      <c r="D265" s="21" t="s">
        <v>655</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828</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703</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829</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830</v>
      </c>
      <c r="B269" s="21" t="s">
        <v>673</v>
      </c>
      <c r="C269" s="21" t="s">
        <v>678</v>
      </c>
      <c r="D269" s="21" t="s">
        <v>655</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831</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709</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805</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832</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662</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694</v>
      </c>
      <c r="B275" s="21" t="s">
        <v>683</v>
      </c>
      <c r="C275" s="21" t="s">
        <v>695</v>
      </c>
      <c r="D275" s="21" t="s">
        <v>655</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833</v>
      </c>
      <c r="B276" s="21" t="s">
        <v>701</v>
      </c>
      <c r="C276" s="21" t="s">
        <v>698</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834</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835</v>
      </c>
      <c r="B278" s="21" t="s">
        <v>671</v>
      </c>
      <c r="C278" s="21" t="s">
        <v>665</v>
      </c>
      <c r="D278" s="21" t="s">
        <v>655</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836</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837</v>
      </c>
      <c r="B280" s="21" t="s">
        <v>683</v>
      </c>
      <c r="C280" s="21" t="s">
        <v>698</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838</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709</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795</v>
      </c>
      <c r="B283" s="21" t="s">
        <v>671</v>
      </c>
      <c r="C283" s="21" t="s">
        <v>661</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839</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662</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764</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715</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840</v>
      </c>
      <c r="B288" s="21" t="s">
        <v>671</v>
      </c>
      <c r="C288" s="21" t="s">
        <v>698</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711</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841</v>
      </c>
      <c r="B290" s="21" t="s">
        <v>802</v>
      </c>
      <c r="C290" s="21" t="s">
        <v>665</v>
      </c>
      <c r="D290" s="21" t="s">
        <v>655</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842</v>
      </c>
      <c r="B291" s="21" t="s">
        <v>683</v>
      </c>
      <c r="C291" s="21" t="s">
        <v>698</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709</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795</v>
      </c>
      <c r="B293" s="21" t="s">
        <v>802</v>
      </c>
      <c r="C293" s="21" t="s">
        <v>661</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829</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843</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844</v>
      </c>
      <c r="B296" s="21" t="s">
        <v>683</v>
      </c>
      <c r="C296" s="21" t="s">
        <v>678</v>
      </c>
      <c r="D296" s="21" t="s">
        <v>655</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845</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797</v>
      </c>
      <c r="B298" s="21" t="s">
        <v>667</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846</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688</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row>
    <row r="302" spans="1:12">
      <c r="A302" s="20" t="s">
        <v>847</v>
      </c>
    </row>
    <row r="303" spans="1:12">
      <c r="A303" s="20" t="s">
        <v>848</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849</v>
      </c>
      <c r="B304" s="21" t="s">
        <v>653</v>
      </c>
      <c r="C304" s="21" t="s">
        <v>698</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850</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637</v>
      </c>
      <c r="B306" s="21" t="s">
        <v>653</v>
      </c>
      <c r="C306" s="21" t="s">
        <v>684</v>
      </c>
      <c r="D306" s="21" t="s">
        <v>655</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691</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700</v>
      </c>
      <c r="B308" s="21" t="s">
        <v>653</v>
      </c>
      <c r="C308" s="21" t="s">
        <v>654</v>
      </c>
      <c r="D308" s="21" t="s">
        <v>655</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851</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852</v>
      </c>
      <c r="B310" s="21" t="s">
        <v>673</v>
      </c>
      <c r="C310" s="21" t="s">
        <v>665</v>
      </c>
      <c r="D310" s="21" t="s">
        <v>655</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696</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16</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697</v>
      </c>
      <c r="B313" s="21" t="s">
        <v>658</v>
      </c>
      <c r="C313" s="21" t="s">
        <v>853</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854</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688</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row>
    <row r="317" spans="1:12">
      <c r="A317" s="20" t="s">
        <v>855</v>
      </c>
    </row>
    <row r="318" spans="1:12">
      <c r="A318" s="20" t="s">
        <v>856</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700</v>
      </c>
      <c r="B319" s="21" t="s">
        <v>664</v>
      </c>
      <c r="C319" s="21" t="s">
        <v>654</v>
      </c>
      <c r="D319" s="21" t="s">
        <v>655</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857</v>
      </c>
      <c r="B320" s="21" t="s">
        <v>671</v>
      </c>
      <c r="C320" s="21" t="s">
        <v>729</v>
      </c>
      <c r="D320" s="21" t="s">
        <v>655</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731</v>
      </c>
      <c r="B321" s="21" t="s">
        <v>667</v>
      </c>
      <c r="C321" s="21" t="s">
        <v>775</v>
      </c>
      <c r="D321" s="21" t="s">
        <v>655</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858</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859</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860</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700</v>
      </c>
      <c r="B325" s="21" t="s">
        <v>653</v>
      </c>
      <c r="C325" s="21" t="s">
        <v>654</v>
      </c>
      <c r="D325" s="21" t="s">
        <v>655</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715</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824</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844</v>
      </c>
      <c r="B328" s="21" t="s">
        <v>692</v>
      </c>
      <c r="C328" s="21" t="s">
        <v>674</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861</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662</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817</v>
      </c>
      <c r="B331" s="21" t="s">
        <v>664</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862</v>
      </c>
      <c r="B332" s="21" t="s">
        <v>664</v>
      </c>
      <c r="C332" s="21" t="s">
        <v>661</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863</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797</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827</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824</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864</v>
      </c>
      <c r="B337" s="21" t="s">
        <v>673</v>
      </c>
      <c r="C337" s="21" t="s">
        <v>674</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865</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656</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662</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866</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717</v>
      </c>
      <c r="B342" s="21" t="s">
        <v>664</v>
      </c>
      <c r="C342" s="21" t="s">
        <v>867</v>
      </c>
      <c r="D342" s="21" t="s">
        <v>655</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715</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868</v>
      </c>
      <c r="B344" s="21" t="s">
        <v>671</v>
      </c>
      <c r="C344" s="21" t="s">
        <v>665</v>
      </c>
      <c r="D344" s="21" t="s">
        <v>655</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869</v>
      </c>
      <c r="B345" s="21" t="s">
        <v>673</v>
      </c>
      <c r="C345" s="21" t="s">
        <v>698</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870</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228</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871</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688</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row>
    <row r="351" spans="1:12">
      <c r="A351" s="20" t="s">
        <v>872</v>
      </c>
    </row>
    <row r="352" spans="1:12">
      <c r="A352" s="20" t="s">
        <v>873</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699</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874</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700</v>
      </c>
      <c r="B355" s="21" t="s">
        <v>653</v>
      </c>
      <c r="C355" s="21" t="s">
        <v>654</v>
      </c>
      <c r="D355" s="21" t="s">
        <v>655</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681</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817</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875</v>
      </c>
      <c r="B358" s="21" t="s">
        <v>692</v>
      </c>
      <c r="C358" s="21" t="s">
        <v>678</v>
      </c>
      <c r="D358" s="21" t="s">
        <v>655</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709</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876</v>
      </c>
      <c r="B360" s="21" t="s">
        <v>673</v>
      </c>
      <c r="C360" s="21" t="s">
        <v>698</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662</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817</v>
      </c>
      <c r="B362" s="21" t="s">
        <v>877</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700</v>
      </c>
      <c r="B363" s="21" t="s">
        <v>701</v>
      </c>
      <c r="C363" s="21" t="s">
        <v>654</v>
      </c>
      <c r="D363" s="21" t="s">
        <v>655</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878</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691</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662</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879</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688</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row>
    <row r="370" spans="1:12">
      <c r="A370" s="20" t="s">
        <v>880</v>
      </c>
    </row>
    <row r="371" spans="1:12">
      <c r="A371" s="20" t="s">
        <v>881</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814</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700</v>
      </c>
      <c r="B373" s="21" t="s">
        <v>653</v>
      </c>
      <c r="C373" s="21" t="s">
        <v>654</v>
      </c>
      <c r="D373" s="21" t="s">
        <v>655</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666</v>
      </c>
      <c r="B374" s="21" t="s">
        <v>658</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882</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817</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883</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16</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818</v>
      </c>
      <c r="B379" s="21" t="s">
        <v>653</v>
      </c>
      <c r="C379" s="21" t="s">
        <v>884</v>
      </c>
      <c r="D379" s="21" t="s">
        <v>655</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885</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886</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887</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709</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888</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662</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712</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700</v>
      </c>
      <c r="B387" s="21" t="s">
        <v>701</v>
      </c>
      <c r="C387" s="21" t="s">
        <v>654</v>
      </c>
      <c r="D387" s="21" t="s">
        <v>655</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889</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890</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891</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892</v>
      </c>
      <c r="B391" s="21" t="s">
        <v>877</v>
      </c>
      <c r="C391" s="21" t="s">
        <v>674</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893</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688</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row>
    <row r="395" spans="1:12">
      <c r="A395" s="20" t="s">
        <v>894</v>
      </c>
    </row>
    <row r="396" spans="1:12">
      <c r="A396" s="20" t="s">
        <v>895</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687</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817</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896</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897</v>
      </c>
      <c r="B400" s="21" t="s">
        <v>692</v>
      </c>
      <c r="C400" s="21" t="s">
        <v>867</v>
      </c>
      <c r="D400" s="21" t="s">
        <v>655</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898</v>
      </c>
      <c r="B401" s="21" t="s">
        <v>673</v>
      </c>
      <c r="C401" s="21" t="s">
        <v>729</v>
      </c>
      <c r="D401" s="21" t="s">
        <v>655</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899</v>
      </c>
      <c r="B402" s="21" t="s">
        <v>692</v>
      </c>
      <c r="C402" s="21" t="s">
        <v>775</v>
      </c>
      <c r="D402" s="21" t="s">
        <v>655</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688</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row>
    <row r="405" spans="1:12">
      <c r="A405" s="20" t="s">
        <v>900</v>
      </c>
    </row>
    <row r="406" spans="1:12">
      <c r="A406" s="20" t="s">
        <v>901</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687</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902</v>
      </c>
      <c r="B408" s="21" t="s">
        <v>653</v>
      </c>
      <c r="C408" s="21" t="s">
        <v>665</v>
      </c>
      <c r="D408" s="21" t="s">
        <v>655</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791</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903</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904</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688</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row>
    <row r="414" spans="1:12">
      <c r="A414" s="20" t="s">
        <v>689</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905</v>
      </c>
    </row>
    <row r="416" spans="1:12">
      <c r="A416" s="20" t="s">
        <v>906</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74</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797</v>
      </c>
      <c r="B418" s="21" t="s">
        <v>658</v>
      </c>
      <c r="C418" s="21" t="s">
        <v>654</v>
      </c>
      <c r="D418" s="21" t="s">
        <v>655</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817</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907</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908</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909</v>
      </c>
      <c r="B422" s="21" t="s">
        <v>653</v>
      </c>
      <c r="C422" s="21" t="s">
        <v>884</v>
      </c>
      <c r="D422" s="21" t="s">
        <v>655</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910</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723</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911</v>
      </c>
      <c r="B425" s="21" t="s">
        <v>673</v>
      </c>
      <c r="C425" s="21" t="s">
        <v>684</v>
      </c>
      <c r="D425" s="21" t="s">
        <v>655</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912</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723</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723</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913</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723</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709</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723</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914</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723</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688</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row>
    <row r="437" spans="1:12">
      <c r="A437" s="20" t="s">
        <v>915</v>
      </c>
    </row>
    <row r="438" spans="1:12">
      <c r="A438" s="20" t="s">
        <v>916</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783</v>
      </c>
      <c r="B439" s="21" t="s">
        <v>653</v>
      </c>
      <c r="C439" s="21" t="s">
        <v>654</v>
      </c>
      <c r="D439" s="21" t="s">
        <v>655</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917</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791</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788</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845</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817</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909</v>
      </c>
      <c r="B445" s="21" t="s">
        <v>692</v>
      </c>
      <c r="C445" s="21" t="s">
        <v>678</v>
      </c>
      <c r="D445" s="21" t="s">
        <v>655</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688</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row>
    <row r="448" spans="1:12">
      <c r="A448" s="20" t="s">
        <v>918</v>
      </c>
    </row>
    <row r="449" spans="1:12">
      <c r="A449" s="20" t="s">
        <v>919</v>
      </c>
      <c r="B449" s="21" t="s">
        <v>653</v>
      </c>
      <c r="C449" s="21" t="s">
        <v>654</v>
      </c>
      <c r="D449" s="21" t="s">
        <v>655</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917</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920</v>
      </c>
      <c r="B451" s="21" t="s">
        <v>658</v>
      </c>
      <c r="C451" s="21" t="s">
        <v>921</v>
      </c>
      <c r="D451" s="21" t="s">
        <v>655</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662</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663</v>
      </c>
      <c r="B453" s="21" t="s">
        <v>667</v>
      </c>
      <c r="C453" s="21" t="s">
        <v>665</v>
      </c>
      <c r="D453" s="21" t="s">
        <v>655</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922</v>
      </c>
      <c r="B454" s="21" t="s">
        <v>664</v>
      </c>
      <c r="C454" s="21" t="s">
        <v>665</v>
      </c>
      <c r="D454" s="21" t="s">
        <v>655</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923</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817</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924</v>
      </c>
      <c r="B457" s="21" t="s">
        <v>673</v>
      </c>
      <c r="C457" s="21" t="s">
        <v>678</v>
      </c>
      <c r="D457" s="21" t="s">
        <v>655</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384</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662</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817</v>
      </c>
      <c r="B460" s="21" t="s">
        <v>877</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922</v>
      </c>
      <c r="B461" s="21" t="s">
        <v>701</v>
      </c>
      <c r="C461" s="21" t="s">
        <v>665</v>
      </c>
      <c r="D461" s="21" t="s">
        <v>655</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703</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857</v>
      </c>
      <c r="B463" s="21" t="s">
        <v>683</v>
      </c>
      <c r="C463" s="21" t="s">
        <v>729</v>
      </c>
      <c r="D463" s="21" t="s">
        <v>655</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925</v>
      </c>
      <c r="B464" s="21" t="s">
        <v>671</v>
      </c>
      <c r="C464" s="21" t="s">
        <v>775</v>
      </c>
      <c r="D464" s="21" t="s">
        <v>655</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926</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688</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row>
    <row r="468" spans="1:12">
      <c r="A468" s="20" t="s">
        <v>927</v>
      </c>
    </row>
    <row r="469" spans="1:12">
      <c r="A469" s="20" t="s">
        <v>919</v>
      </c>
      <c r="B469" s="21" t="s">
        <v>653</v>
      </c>
      <c r="C469" s="21" t="s">
        <v>654</v>
      </c>
      <c r="D469" s="21" t="s">
        <v>655</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917</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845</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817</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928</v>
      </c>
      <c r="B473" s="21" t="s">
        <v>692</v>
      </c>
      <c r="C473" s="21" t="s">
        <v>678</v>
      </c>
      <c r="D473" s="21" t="s">
        <v>655</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662</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817</v>
      </c>
      <c r="B475" s="21" t="s">
        <v>701</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715</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857</v>
      </c>
      <c r="B477" s="21" t="s">
        <v>683</v>
      </c>
      <c r="C477" s="21" t="s">
        <v>729</v>
      </c>
      <c r="D477" s="21" t="s">
        <v>655</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929</v>
      </c>
      <c r="B478" s="21" t="s">
        <v>671</v>
      </c>
      <c r="C478" s="21" t="s">
        <v>775</v>
      </c>
      <c r="D478" s="21" t="s">
        <v>655</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930</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662</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709</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863</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922</v>
      </c>
      <c r="B483" s="21" t="s">
        <v>664</v>
      </c>
      <c r="C483" s="21" t="s">
        <v>665</v>
      </c>
      <c r="D483" s="21" t="s">
        <v>655</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773</v>
      </c>
      <c r="B484" s="21" t="s">
        <v>671</v>
      </c>
      <c r="C484" s="21" t="s">
        <v>729</v>
      </c>
      <c r="D484" s="21" t="s">
        <v>655</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928</v>
      </c>
      <c r="B485" s="21" t="s">
        <v>667</v>
      </c>
      <c r="C485" s="21" t="s">
        <v>775</v>
      </c>
      <c r="D485" s="21" t="s">
        <v>655</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931</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688</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row>
    <row r="489" spans="1:12">
      <c r="A489" s="20" t="s">
        <v>932</v>
      </c>
    </row>
    <row r="490" spans="1:12">
      <c r="A490" s="20" t="s">
        <v>933</v>
      </c>
      <c r="B490" s="21" t="s">
        <v>673</v>
      </c>
      <c r="C490" s="21" t="s">
        <v>695</v>
      </c>
      <c r="D490" s="21" t="s">
        <v>655</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934</v>
      </c>
      <c r="B491" s="21" t="s">
        <v>653</v>
      </c>
      <c r="C491" s="21" t="s">
        <v>698</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935</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936</v>
      </c>
      <c r="B493" s="21" t="s">
        <v>673</v>
      </c>
      <c r="C493" s="21" t="s">
        <v>695</v>
      </c>
      <c r="D493" s="21" t="s">
        <v>655</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937</v>
      </c>
      <c r="B494" s="21" t="s">
        <v>658</v>
      </c>
      <c r="C494" s="21" t="s">
        <v>698</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709</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863</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922</v>
      </c>
      <c r="B497" s="21" t="s">
        <v>664</v>
      </c>
      <c r="C497" s="21" t="s">
        <v>665</v>
      </c>
      <c r="D497" s="21" t="s">
        <v>655</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817</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844</v>
      </c>
      <c r="B499" s="21" t="s">
        <v>667</v>
      </c>
      <c r="C499" s="21" t="s">
        <v>678</v>
      </c>
      <c r="D499" s="21" t="s">
        <v>655</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709</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817</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924</v>
      </c>
      <c r="B502" s="21" t="s">
        <v>671</v>
      </c>
      <c r="C502" s="21" t="s">
        <v>678</v>
      </c>
      <c r="D502" s="21" t="s">
        <v>655</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845</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938</v>
      </c>
      <c r="B504" s="21" t="s">
        <v>673</v>
      </c>
      <c r="C504" s="21" t="s">
        <v>665</v>
      </c>
      <c r="D504" s="21" t="s">
        <v>655</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846</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350</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688</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row>
    <row r="509" spans="1:12">
      <c r="A509" s="20" t="s">
        <v>939</v>
      </c>
    </row>
    <row r="510" spans="1:12">
      <c r="A510" s="20" t="s">
        <v>940</v>
      </c>
      <c r="B510" s="21" t="s">
        <v>673</v>
      </c>
      <c r="C510" s="21" t="s">
        <v>665</v>
      </c>
      <c r="D510" s="21" t="s">
        <v>655</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941</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942</v>
      </c>
      <c r="B512" s="21" t="s">
        <v>653</v>
      </c>
      <c r="C512" s="21" t="s">
        <v>853</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662</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943</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817</v>
      </c>
      <c r="B515" s="21" t="s">
        <v>653</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829</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944</v>
      </c>
      <c r="B517" s="21" t="s">
        <v>673</v>
      </c>
      <c r="C517" s="21" t="s">
        <v>678</v>
      </c>
      <c r="D517" s="21" t="s">
        <v>655</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709</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829</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945</v>
      </c>
      <c r="B520" s="21" t="s">
        <v>673</v>
      </c>
      <c r="C520" s="21" t="s">
        <v>678</v>
      </c>
      <c r="D520" s="21" t="s">
        <v>655</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662</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316</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725</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946</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662</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712</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817</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947</v>
      </c>
      <c r="B528" s="21" t="s">
        <v>664</v>
      </c>
      <c r="C528" s="21" t="s">
        <v>678</v>
      </c>
      <c r="D528" s="21" t="s">
        <v>655</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679</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948</v>
      </c>
      <c r="B530" s="21" t="s">
        <v>671</v>
      </c>
      <c r="C530" s="21" t="s">
        <v>674</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824</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949</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950</v>
      </c>
      <c r="B533" s="21" t="s">
        <v>667</v>
      </c>
      <c r="C533" s="21" t="s">
        <v>674</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951</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662</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952</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720</v>
      </c>
      <c r="B537" s="21" t="s">
        <v>701</v>
      </c>
      <c r="C537" s="21" t="s">
        <v>665</v>
      </c>
      <c r="D537" s="21" t="s">
        <v>655</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662</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663</v>
      </c>
      <c r="B539" s="21" t="s">
        <v>798</v>
      </c>
      <c r="C539" s="21" t="s">
        <v>665</v>
      </c>
      <c r="D539" s="21" t="s">
        <v>655</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953</v>
      </c>
      <c r="B540" s="21" t="s">
        <v>719</v>
      </c>
      <c r="C540" s="21" t="s">
        <v>661</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778</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954</v>
      </c>
      <c r="B542" s="21" t="s">
        <v>701</v>
      </c>
      <c r="C542" s="21" t="s">
        <v>698</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662</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955</v>
      </c>
      <c r="B544" s="21" t="s">
        <v>877</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764</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956</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871</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688</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row>
    <row r="550" spans="1:12">
      <c r="A550" s="20" t="s">
        <v>957</v>
      </c>
    </row>
    <row r="551" spans="1:12">
      <c r="A551" s="20" t="s">
        <v>881</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662</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663</v>
      </c>
      <c r="B553" s="21" t="s">
        <v>667</v>
      </c>
      <c r="C553" s="21" t="s">
        <v>665</v>
      </c>
      <c r="D553" s="21" t="s">
        <v>655</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958</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922</v>
      </c>
      <c r="B555" s="21" t="s">
        <v>664</v>
      </c>
      <c r="C555" s="21" t="s">
        <v>665</v>
      </c>
      <c r="D555" s="21" t="s">
        <v>655</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959</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956</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960</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890</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961</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924</v>
      </c>
      <c r="B561" s="21" t="s">
        <v>664</v>
      </c>
      <c r="C561" s="21" t="s">
        <v>674</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962</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890</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963</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924</v>
      </c>
      <c r="B565" s="21" t="s">
        <v>671</v>
      </c>
      <c r="C565" s="21" t="s">
        <v>674</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964</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row>
    <row r="568" spans="1:12">
      <c r="A568" s="20" t="s">
        <v>965</v>
      </c>
    </row>
    <row r="569" spans="1:12">
      <c r="A569" s="20" t="s">
        <v>966</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707</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890</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924</v>
      </c>
      <c r="B572" s="21" t="s">
        <v>667</v>
      </c>
      <c r="C572" s="21" t="s">
        <v>674</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967</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827</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968</v>
      </c>
      <c r="B575" s="21" t="s">
        <v>673</v>
      </c>
      <c r="C575" s="21" t="s">
        <v>698</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795</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969</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662</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970</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100</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662</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902</v>
      </c>
      <c r="B582" s="21" t="s">
        <v>664</v>
      </c>
      <c r="C582" s="21" t="s">
        <v>665</v>
      </c>
      <c r="D582" s="21" t="s">
        <v>655</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971</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709</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972</v>
      </c>
      <c r="B585" s="21" t="s">
        <v>877</v>
      </c>
      <c r="C585" s="21" t="s">
        <v>654</v>
      </c>
      <c r="D585" s="21" t="s">
        <v>655</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973</v>
      </c>
      <c r="B586" s="21" t="s">
        <v>877</v>
      </c>
      <c r="C586" s="21" t="s">
        <v>698</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974</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688</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row>
    <row r="590" spans="1:12">
      <c r="A590" s="20" t="s">
        <v>975</v>
      </c>
    </row>
    <row r="591" spans="1:12">
      <c r="A591" s="20" t="s">
        <v>976</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783</v>
      </c>
      <c r="B592" s="21" t="s">
        <v>653</v>
      </c>
      <c r="C592" s="21" t="s">
        <v>654</v>
      </c>
      <c r="D592" s="21" t="s">
        <v>655</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791</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977</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662</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657</v>
      </c>
      <c r="B596" s="21" t="s">
        <v>667</v>
      </c>
      <c r="C596" s="21" t="s">
        <v>654</v>
      </c>
      <c r="D596" s="21" t="s">
        <v>655</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978</v>
      </c>
      <c r="B597" s="21" t="s">
        <v>667</v>
      </c>
      <c r="C597" s="21" t="s">
        <v>698</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795</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979</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964</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row>
    <row r="602" spans="1:12">
      <c r="A602" s="20" t="s">
        <v>980</v>
      </c>
    </row>
    <row r="603" spans="1:12">
      <c r="A603" s="20" t="s">
        <v>981</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982</v>
      </c>
      <c r="B604" s="21" t="s">
        <v>653</v>
      </c>
      <c r="C604" s="21" t="s">
        <v>674</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662</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829</v>
      </c>
      <c r="B606" s="21" t="s">
        <v>701</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681</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797</v>
      </c>
      <c r="B608" s="21" t="s">
        <v>671</v>
      </c>
      <c r="C608" s="21" t="s">
        <v>654</v>
      </c>
      <c r="D608" s="21" t="s">
        <v>655</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978</v>
      </c>
      <c r="B609" s="21" t="s">
        <v>701</v>
      </c>
      <c r="C609" s="21" t="s">
        <v>698</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983</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951</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662</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702</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694</v>
      </c>
      <c r="B614" s="21" t="s">
        <v>692</v>
      </c>
      <c r="C614" s="21" t="s">
        <v>695</v>
      </c>
      <c r="D614" s="21" t="s">
        <v>655</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984</v>
      </c>
      <c r="B615" s="21" t="s">
        <v>692</v>
      </c>
      <c r="C615" s="21" t="s">
        <v>698</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985</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676</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986</v>
      </c>
      <c r="B618" s="21" t="s">
        <v>692</v>
      </c>
      <c r="C618" s="21" t="s">
        <v>684</v>
      </c>
      <c r="D618" s="21" t="s">
        <v>655</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row>
    <row r="620" spans="1:12">
      <c r="A620" s="20" t="s">
        <v>987</v>
      </c>
    </row>
    <row r="621" spans="1:12">
      <c r="A621" s="20" t="s">
        <v>111</v>
      </c>
      <c r="B621" s="21" t="s">
        <v>692</v>
      </c>
      <c r="C621" s="21" t="s">
        <v>684</v>
      </c>
      <c r="D621" s="21" t="s">
        <v>655</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988</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715</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989</v>
      </c>
      <c r="B624" s="21" t="s">
        <v>692</v>
      </c>
      <c r="C624" s="21" t="s">
        <v>684</v>
      </c>
      <c r="D624" s="21" t="s">
        <v>655</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715</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990</v>
      </c>
      <c r="B626" s="21" t="s">
        <v>673</v>
      </c>
      <c r="C626" s="21" t="s">
        <v>684</v>
      </c>
      <c r="D626" s="21" t="s">
        <v>655</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688</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row>
    <row r="629" spans="1:12">
      <c r="A629" s="20" t="s">
        <v>991</v>
      </c>
    </row>
    <row r="630" spans="1:12">
      <c r="A630" s="20" t="s">
        <v>992</v>
      </c>
      <c r="B630" s="21" t="s">
        <v>653</v>
      </c>
      <c r="C630" s="21" t="s">
        <v>654</v>
      </c>
      <c r="D630" s="21" t="s">
        <v>655</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993</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135</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row>
    <row r="634" spans="1:12">
      <c r="A634" s="20" t="s">
        <v>994</v>
      </c>
    </row>
    <row r="635" spans="1:12">
      <c r="A635" s="20" t="s">
        <v>119</v>
      </c>
      <c r="B635" s="21" t="s">
        <v>692</v>
      </c>
      <c r="C635" s="21" t="s">
        <v>698</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688</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row>
    <row r="638" spans="1:12">
      <c r="A638" s="20" t="s">
        <v>995</v>
      </c>
    </row>
    <row r="639" spans="1:12">
      <c r="A639" s="20" t="s">
        <v>981</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996</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16</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123</v>
      </c>
      <c r="B642" s="21" t="s">
        <v>692</v>
      </c>
      <c r="C642" s="21" t="s">
        <v>674</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662</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997</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998</v>
      </c>
      <c r="B645" s="21" t="s">
        <v>692</v>
      </c>
      <c r="C645" s="21" t="s">
        <v>678</v>
      </c>
      <c r="D645" s="21" t="s">
        <v>655</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662</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863</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999</v>
      </c>
      <c r="B648" s="21" t="s">
        <v>719</v>
      </c>
      <c r="C648" s="21" t="s">
        <v>654</v>
      </c>
      <c r="D648" s="21" t="s">
        <v>655</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955</v>
      </c>
      <c r="B649" s="21" t="s">
        <v>798</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384</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1000</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662</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817</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1001</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123</v>
      </c>
      <c r="B655" s="21" t="s">
        <v>701</v>
      </c>
      <c r="C655" s="21" t="s">
        <v>678</v>
      </c>
      <c r="D655" s="21" t="s">
        <v>655</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791</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1002</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1003</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1004</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688</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row>
    <row r="662" spans="1:12">
      <c r="A662" s="20" t="s">
        <v>1005</v>
      </c>
    </row>
    <row r="663" spans="1:12">
      <c r="A663" s="20" t="s">
        <v>881</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1006</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1007</v>
      </c>
      <c r="B665" s="21" t="s">
        <v>653</v>
      </c>
      <c r="C665" s="21" t="s">
        <v>654</v>
      </c>
      <c r="D665" s="21" t="s">
        <v>655</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693</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135</v>
      </c>
      <c r="B667" s="21" t="s">
        <v>692</v>
      </c>
      <c r="C667" s="21" t="s">
        <v>698</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row>
    <row r="669" spans="1:12">
      <c r="A669" s="20" t="s">
        <v>1008</v>
      </c>
    </row>
    <row r="670" spans="1:12">
      <c r="A670" s="20" t="s">
        <v>185</v>
      </c>
      <c r="B670" s="21" t="s">
        <v>692</v>
      </c>
      <c r="C670" s="21" t="s">
        <v>684</v>
      </c>
      <c r="D670" s="21" t="s">
        <v>655</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1009</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688</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row>
    <row r="674" spans="1:12">
      <c r="A674" s="20" t="s">
        <v>1010</v>
      </c>
    </row>
    <row r="675" spans="1:12">
      <c r="A675" s="20" t="s">
        <v>848</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135</v>
      </c>
      <c r="B676" s="21" t="s">
        <v>692</v>
      </c>
      <c r="C676" s="21" t="s">
        <v>698</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row>
    <row r="678" spans="1:12">
      <c r="A678" s="20" t="s">
        <v>1011</v>
      </c>
    </row>
    <row r="679" spans="1:12">
      <c r="A679" s="20" t="s">
        <v>185</v>
      </c>
      <c r="B679" s="21" t="s">
        <v>653</v>
      </c>
      <c r="C679" s="21" t="s">
        <v>684</v>
      </c>
      <c r="D679" s="21" t="s">
        <v>655</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1012</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693</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1013</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1014</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1015</v>
      </c>
      <c r="B684" s="21" t="s">
        <v>658</v>
      </c>
      <c r="C684" s="21" t="s">
        <v>698</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709</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702</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681</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817</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1016</v>
      </c>
      <c r="B689" s="21" t="s">
        <v>673</v>
      </c>
      <c r="C689" s="21" t="s">
        <v>678</v>
      </c>
      <c r="D689" s="21" t="s">
        <v>655</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703</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1017</v>
      </c>
      <c r="B691" s="21" t="s">
        <v>671</v>
      </c>
      <c r="C691" s="21" t="s">
        <v>698</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815</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863</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1018</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688</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row>
    <row r="697" spans="1:12">
      <c r="A697" s="20" t="s">
        <v>1019</v>
      </c>
    </row>
    <row r="698" spans="1:12">
      <c r="A698" s="20" t="s">
        <v>652</v>
      </c>
      <c r="B698" s="21" t="s">
        <v>653</v>
      </c>
      <c r="C698" s="21" t="s">
        <v>654</v>
      </c>
      <c r="D698" s="21" t="s">
        <v>655</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1020</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817</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1021</v>
      </c>
      <c r="B701" s="21" t="s">
        <v>658</v>
      </c>
      <c r="C701" s="21" t="s">
        <v>678</v>
      </c>
      <c r="D701" s="21" t="s">
        <v>655</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662</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817</v>
      </c>
      <c r="B703" s="21" t="s">
        <v>877</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700</v>
      </c>
      <c r="B704" s="21" t="s">
        <v>701</v>
      </c>
      <c r="C704" s="21" t="s">
        <v>654</v>
      </c>
      <c r="D704" s="21" t="s">
        <v>655</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715</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1022</v>
      </c>
      <c r="B706" s="21" t="s">
        <v>683</v>
      </c>
      <c r="C706" s="21" t="s">
        <v>729</v>
      </c>
      <c r="D706" s="21" t="s">
        <v>655</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1023</v>
      </c>
      <c r="B707" s="21" t="s">
        <v>671</v>
      </c>
      <c r="C707" s="21" t="s">
        <v>775</v>
      </c>
      <c r="D707" s="21" t="s">
        <v>655</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1024</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691</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662</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815</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1025</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960</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789</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711</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1026</v>
      </c>
      <c r="B716" s="21" t="s">
        <v>673</v>
      </c>
      <c r="C716" s="21" t="s">
        <v>695</v>
      </c>
      <c r="D716" s="21" t="s">
        <v>655</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1027</v>
      </c>
      <c r="B717" s="21" t="s">
        <v>692</v>
      </c>
      <c r="C717" s="21" t="s">
        <v>698</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688</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row>
    <row r="720" spans="1:12">
      <c r="A720" s="20" t="s">
        <v>1028</v>
      </c>
    </row>
    <row r="721" spans="1:12">
      <c r="A721" s="20" t="s">
        <v>652</v>
      </c>
      <c r="B721" s="21" t="s">
        <v>653</v>
      </c>
      <c r="C721" s="21" t="s">
        <v>654</v>
      </c>
      <c r="D721" s="21" t="s">
        <v>655</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780</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1029</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1030</v>
      </c>
      <c r="B724" s="21" t="s">
        <v>667</v>
      </c>
      <c r="C724" s="21" t="s">
        <v>698</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1031</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1032</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1033</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147</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703</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857</v>
      </c>
      <c r="B730" s="21" t="s">
        <v>673</v>
      </c>
      <c r="C730" s="21" t="s">
        <v>729</v>
      </c>
      <c r="D730" s="21" t="s">
        <v>655</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1034</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662</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1035</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1036</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16</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715</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1037</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1038</v>
      </c>
      <c r="B738" s="21" t="s">
        <v>671</v>
      </c>
      <c r="C738" s="21" t="s">
        <v>698</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16</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720</v>
      </c>
      <c r="B740" s="21" t="s">
        <v>664</v>
      </c>
      <c r="C740" s="21" t="s">
        <v>729</v>
      </c>
      <c r="D740" s="21" t="s">
        <v>655</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424</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999</v>
      </c>
      <c r="B742" s="21" t="s">
        <v>692</v>
      </c>
      <c r="C742" s="21" t="s">
        <v>654</v>
      </c>
      <c r="D742" s="21" t="s">
        <v>655</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662</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845</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1026</v>
      </c>
      <c r="B745" s="21" t="s">
        <v>671</v>
      </c>
      <c r="C745" s="21" t="s">
        <v>695</v>
      </c>
      <c r="D745" s="21" t="s">
        <v>655</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1039</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16</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1040</v>
      </c>
      <c r="B748" s="21" t="s">
        <v>667</v>
      </c>
      <c r="C748" s="21" t="s">
        <v>698</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838</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688</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row>
    <row r="752" spans="1:12">
      <c r="A752" s="20" t="s">
        <v>1041</v>
      </c>
    </row>
    <row r="753" spans="1:12">
      <c r="A753" s="20" t="s">
        <v>848</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700</v>
      </c>
      <c r="B754" s="21" t="s">
        <v>653</v>
      </c>
      <c r="C754" s="21" t="s">
        <v>654</v>
      </c>
      <c r="D754" s="21" t="s">
        <v>655</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691</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773</v>
      </c>
      <c r="B756" s="21" t="s">
        <v>673</v>
      </c>
      <c r="C756" s="21" t="s">
        <v>729</v>
      </c>
      <c r="D756" s="21" t="s">
        <v>655</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1042</v>
      </c>
      <c r="B757" s="21" t="s">
        <v>658</v>
      </c>
      <c r="C757" s="21" t="s">
        <v>775</v>
      </c>
      <c r="D757" s="21" t="s">
        <v>655</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792</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151</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827</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1043</v>
      </c>
      <c r="B761" s="21" t="s">
        <v>692</v>
      </c>
      <c r="C761" s="21" t="s">
        <v>661</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841</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688</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row>
    <row r="765" spans="1:12">
      <c r="A765" s="20" t="s">
        <v>1044</v>
      </c>
    </row>
    <row r="766" spans="1:12">
      <c r="A766" s="20" t="s">
        <v>652</v>
      </c>
      <c r="B766" s="21" t="s">
        <v>653</v>
      </c>
      <c r="C766" s="21" t="s">
        <v>654</v>
      </c>
      <c r="D766" s="21" t="s">
        <v>655</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814</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902</v>
      </c>
      <c r="B768" s="21" t="s">
        <v>653</v>
      </c>
      <c r="C768" s="21" t="s">
        <v>665</v>
      </c>
      <c r="D768" s="21" t="s">
        <v>655</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151</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688</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row>
    <row r="772" spans="1:12">
      <c r="A772" s="20" t="s">
        <v>1045</v>
      </c>
    </row>
    <row r="773" spans="1:12">
      <c r="A773" s="20" t="s">
        <v>652</v>
      </c>
      <c r="B773" s="21" t="s">
        <v>653</v>
      </c>
      <c r="C773" s="21" t="s">
        <v>654</v>
      </c>
      <c r="D773" s="21" t="s">
        <v>655</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691</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902</v>
      </c>
      <c r="B775" s="21" t="s">
        <v>658</v>
      </c>
      <c r="C775" s="21" t="s">
        <v>665</v>
      </c>
      <c r="D775" s="21" t="s">
        <v>655</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1046</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688</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row>
    <row r="779" spans="1:12">
      <c r="A779" s="20" t="s">
        <v>1044</v>
      </c>
    </row>
    <row r="780" spans="1:12">
      <c r="A780" s="20" t="s">
        <v>652</v>
      </c>
      <c r="B780" s="21" t="s">
        <v>653</v>
      </c>
      <c r="C780" s="21" t="s">
        <v>654</v>
      </c>
      <c r="D780" s="21" t="s">
        <v>655</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814</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902</v>
      </c>
      <c r="B782" s="21" t="s">
        <v>653</v>
      </c>
      <c r="C782" s="21" t="s">
        <v>665</v>
      </c>
      <c r="D782" s="21" t="s">
        <v>655</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151</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688</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row>
    <row r="786" spans="1:12">
      <c r="A786" s="20" t="s">
        <v>1047</v>
      </c>
    </row>
    <row r="787" spans="1:12">
      <c r="A787" s="20" t="s">
        <v>848</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165</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999</v>
      </c>
      <c r="B789" s="21" t="s">
        <v>653</v>
      </c>
      <c r="C789" s="21" t="s">
        <v>654</v>
      </c>
      <c r="D789" s="21" t="s">
        <v>655</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955</v>
      </c>
      <c r="B790" s="21" t="s">
        <v>658</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668</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662</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700</v>
      </c>
      <c r="B793" s="21" t="s">
        <v>664</v>
      </c>
      <c r="C793" s="21" t="s">
        <v>654</v>
      </c>
      <c r="D793" s="21" t="s">
        <v>655</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814</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1048</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707</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827</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1049</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968</v>
      </c>
      <c r="B799" s="21" t="s">
        <v>673</v>
      </c>
      <c r="C799" s="21" t="s">
        <v>698</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703</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135</v>
      </c>
      <c r="B801" s="21" t="s">
        <v>692</v>
      </c>
      <c r="C801" s="21" t="s">
        <v>698</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row>
    <row r="803" spans="1:12">
      <c r="A803" s="20" t="s">
        <v>1050</v>
      </c>
    </row>
    <row r="804" spans="1:12">
      <c r="A804" s="20" t="s">
        <v>185</v>
      </c>
      <c r="B804" s="21" t="s">
        <v>653</v>
      </c>
      <c r="C804" s="21" t="s">
        <v>684</v>
      </c>
      <c r="D804" s="21" t="s">
        <v>655</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1051</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709</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785</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1052</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662</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773</v>
      </c>
      <c r="B810" s="21" t="s">
        <v>671</v>
      </c>
      <c r="C810" s="21" t="s">
        <v>729</v>
      </c>
      <c r="D810" s="21" t="s">
        <v>655</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1030</v>
      </c>
      <c r="B811" s="21" t="s">
        <v>667</v>
      </c>
      <c r="C811" s="21" t="s">
        <v>775</v>
      </c>
      <c r="D811" s="21" t="s">
        <v>655</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795</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1053</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662</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1054</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1055</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1056</v>
      </c>
      <c r="B817" s="21" t="s">
        <v>673</v>
      </c>
      <c r="C817" s="21" t="s">
        <v>698</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688</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row>
    <row r="820" spans="1:12">
      <c r="A820" s="20" t="s">
        <v>689</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1057</v>
      </c>
    </row>
    <row r="822" spans="1:12">
      <c r="A822" s="20" t="s">
        <v>848</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679</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1058</v>
      </c>
      <c r="B824" s="21" t="s">
        <v>692</v>
      </c>
      <c r="C824" s="21" t="s">
        <v>674</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951</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1007</v>
      </c>
      <c r="B826" s="21" t="s">
        <v>653</v>
      </c>
      <c r="C826" s="21" t="s">
        <v>654</v>
      </c>
      <c r="D826" s="21" t="s">
        <v>655</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797</v>
      </c>
      <c r="B827" s="21" t="s">
        <v>658</v>
      </c>
      <c r="C827" s="21" t="s">
        <v>654</v>
      </c>
      <c r="D827" s="21" t="s">
        <v>655</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675</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1059</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1060</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1030</v>
      </c>
      <c r="B831" s="21" t="s">
        <v>692</v>
      </c>
      <c r="C831" s="21" t="s">
        <v>674</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1061</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16</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773</v>
      </c>
      <c r="B834" s="21" t="s">
        <v>671</v>
      </c>
      <c r="C834" s="21" t="s">
        <v>729</v>
      </c>
      <c r="D834" s="21" t="s">
        <v>655</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1030</v>
      </c>
      <c r="B835" s="21" t="s">
        <v>664</v>
      </c>
      <c r="C835" s="21" t="s">
        <v>775</v>
      </c>
      <c r="D835" s="21" t="s">
        <v>655</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1062</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815</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1063</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709</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1064</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16</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709</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1007</v>
      </c>
      <c r="B843" s="21" t="s">
        <v>664</v>
      </c>
      <c r="C843" s="21" t="s">
        <v>654</v>
      </c>
      <c r="D843" s="21" t="s">
        <v>655</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1065</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795</v>
      </c>
      <c r="B845" s="21" t="s">
        <v>671</v>
      </c>
      <c r="C845" s="21" t="s">
        <v>661</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666</v>
      </c>
      <c r="B846" s="21" t="s">
        <v>673</v>
      </c>
      <c r="C846" s="21" t="s">
        <v>654</v>
      </c>
      <c r="D846" s="21" t="s">
        <v>655</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662</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723</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1066</v>
      </c>
      <c r="B849" s="21" t="s">
        <v>701</v>
      </c>
      <c r="C849" s="21" t="s">
        <v>684</v>
      </c>
      <c r="D849" s="21" t="s">
        <v>655</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662</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1067</v>
      </c>
      <c r="B851" s="21" t="s">
        <v>683</v>
      </c>
      <c r="C851" s="21" t="s">
        <v>684</v>
      </c>
      <c r="D851" s="21" t="s">
        <v>655</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662</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1068</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1069</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785</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669</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1070</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662</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1071</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709</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1072</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1073</v>
      </c>
      <c r="B862" s="21" t="s">
        <v>701</v>
      </c>
      <c r="C862" s="21" t="s">
        <v>674</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662</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1068</v>
      </c>
      <c r="B864" s="21" t="s">
        <v>719</v>
      </c>
      <c r="C864" s="21" t="s">
        <v>654</v>
      </c>
      <c r="D864" s="21" t="s">
        <v>655</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1074</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679</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1058</v>
      </c>
      <c r="B867" s="21" t="s">
        <v>802</v>
      </c>
      <c r="C867" s="21" t="s">
        <v>674</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679</v>
      </c>
      <c r="B868" s="21" t="s">
        <v>1075</v>
      </c>
      <c r="C868" s="21" t="s">
        <v>665</v>
      </c>
      <c r="D868" s="21" t="s">
        <v>655</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801</v>
      </c>
      <c r="B869" s="21" t="s">
        <v>1076</v>
      </c>
      <c r="C869" s="21" t="s">
        <v>729</v>
      </c>
      <c r="D869" s="21" t="s">
        <v>655</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1042</v>
      </c>
      <c r="B870" s="21" t="s">
        <v>1077</v>
      </c>
      <c r="C870" s="21" t="s">
        <v>775</v>
      </c>
      <c r="D870" s="21" t="s">
        <v>655</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1078</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688</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row>
    <row r="874" spans="1:12">
      <c r="A874" s="20" t="s">
        <v>689</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1079</v>
      </c>
    </row>
    <row r="876" spans="1:12">
      <c r="A876" s="20" t="s">
        <v>848</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1080</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1068</v>
      </c>
      <c r="B878" s="21" t="s">
        <v>664</v>
      </c>
      <c r="C878" s="21" t="s">
        <v>654</v>
      </c>
      <c r="D878" s="21" t="s">
        <v>655</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783</v>
      </c>
      <c r="B879" s="21" t="s">
        <v>667</v>
      </c>
      <c r="C879" s="21" t="s">
        <v>654</v>
      </c>
      <c r="D879" s="21" t="s">
        <v>655</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1081</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662</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1082</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700</v>
      </c>
      <c r="B883" s="21" t="s">
        <v>653</v>
      </c>
      <c r="C883" s="21" t="s">
        <v>654</v>
      </c>
      <c r="D883" s="21" t="s">
        <v>655</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1083</v>
      </c>
      <c r="B884" s="21" t="s">
        <v>658</v>
      </c>
      <c r="C884" s="21" t="s">
        <v>654</v>
      </c>
      <c r="D884" s="21" t="s">
        <v>655</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1084</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1085</v>
      </c>
      <c r="B886" s="21" t="s">
        <v>658</v>
      </c>
      <c r="C886" s="21" t="s">
        <v>684</v>
      </c>
      <c r="D886" s="21" t="s">
        <v>655</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688</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723</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row>
    <row r="890" spans="1:12">
      <c r="A890" s="20" t="s">
        <v>1086</v>
      </c>
    </row>
    <row r="891" spans="1:12">
      <c r="A891" s="20" t="s">
        <v>1087</v>
      </c>
      <c r="B891" s="21" t="s">
        <v>653</v>
      </c>
      <c r="C891" s="21" t="s">
        <v>665</v>
      </c>
      <c r="D891" s="21" t="s">
        <v>655</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702</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1088</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788</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669</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1089</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1090</v>
      </c>
      <c r="B897" s="21" t="s">
        <v>692</v>
      </c>
      <c r="C897" s="21" t="s">
        <v>674</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885</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135</v>
      </c>
      <c r="B899" s="21" t="s">
        <v>692</v>
      </c>
      <c r="C899" s="21" t="s">
        <v>698</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row>
    <row r="901" spans="1:12">
      <c r="A901" s="20" t="s">
        <v>1091</v>
      </c>
    </row>
    <row r="902" spans="1:12">
      <c r="A902" s="20" t="s">
        <v>185</v>
      </c>
      <c r="B902" s="21" t="s">
        <v>692</v>
      </c>
      <c r="C902" s="21" t="s">
        <v>684</v>
      </c>
      <c r="D902" s="21" t="s">
        <v>655</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662</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805</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700</v>
      </c>
      <c r="B905" s="21" t="s">
        <v>664</v>
      </c>
      <c r="C905" s="21" t="s">
        <v>654</v>
      </c>
      <c r="D905" s="21" t="s">
        <v>655</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817</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1030</v>
      </c>
      <c r="B907" s="21" t="s">
        <v>692</v>
      </c>
      <c r="C907" s="21" t="s">
        <v>678</v>
      </c>
      <c r="D907" s="21" t="s">
        <v>655</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1092</v>
      </c>
      <c r="B908" s="21" t="s">
        <v>673</v>
      </c>
      <c r="C908" s="21" t="s">
        <v>665</v>
      </c>
      <c r="D908" s="21" t="s">
        <v>655</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662</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817</v>
      </c>
      <c r="B910" s="21" t="s">
        <v>798</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700</v>
      </c>
      <c r="B911" s="21" t="s">
        <v>719</v>
      </c>
      <c r="C911" s="21" t="s">
        <v>654</v>
      </c>
      <c r="D911" s="21" t="s">
        <v>655</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791</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444</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1093</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662</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703</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829</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1094</v>
      </c>
      <c r="B918" s="21" t="s">
        <v>673</v>
      </c>
      <c r="C918" s="21" t="s">
        <v>678</v>
      </c>
      <c r="D918" s="21" t="s">
        <v>655</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662</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712</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1095</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1096</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1073</v>
      </c>
      <c r="B923" s="21" t="s">
        <v>719</v>
      </c>
      <c r="C923" s="21" t="s">
        <v>698</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715</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829</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1097</v>
      </c>
      <c r="B926" s="21" t="s">
        <v>802</v>
      </c>
      <c r="C926" s="21" t="s">
        <v>678</v>
      </c>
      <c r="D926" s="21" t="s">
        <v>655</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715</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676</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1098</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1099</v>
      </c>
      <c r="B930" s="21" t="s">
        <v>1077</v>
      </c>
      <c r="C930" s="21" t="s">
        <v>678</v>
      </c>
      <c r="D930" s="21" t="s">
        <v>655</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795</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127</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688</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row>
    <row r="935" spans="1:12">
      <c r="A935" s="20" t="s">
        <v>1100</v>
      </c>
    </row>
    <row r="936" spans="1:12">
      <c r="A936" s="20" t="s">
        <v>916</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1007</v>
      </c>
      <c r="B937" s="21" t="s">
        <v>653</v>
      </c>
      <c r="C937" s="21" t="s">
        <v>654</v>
      </c>
      <c r="D937" s="21" t="s">
        <v>655</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951</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797</v>
      </c>
      <c r="B939" s="21" t="s">
        <v>658</v>
      </c>
      <c r="C939" s="21" t="s">
        <v>654</v>
      </c>
      <c r="D939" s="21" t="s">
        <v>655</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823</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1101</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1102</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662</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1103</v>
      </c>
      <c r="B944" s="21" t="s">
        <v>671</v>
      </c>
      <c r="C944" s="21" t="s">
        <v>695</v>
      </c>
      <c r="D944" s="21" t="s">
        <v>655</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1104</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1105</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16</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1106</v>
      </c>
      <c r="B948" s="21" t="s">
        <v>667</v>
      </c>
      <c r="C948" s="21" t="s">
        <v>698</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703</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1107</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1108</v>
      </c>
      <c r="B951" s="21" t="s">
        <v>673</v>
      </c>
      <c r="C951" s="21" t="s">
        <v>698</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795</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350</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688</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row>
    <row r="956" spans="1:12">
      <c r="A956" s="20" t="s">
        <v>1109</v>
      </c>
    </row>
    <row r="957" spans="1:12">
      <c r="A957" s="20" t="s">
        <v>1110</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1006</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1111</v>
      </c>
      <c r="B959" s="21" t="s">
        <v>673</v>
      </c>
      <c r="C959" s="21" t="s">
        <v>921</v>
      </c>
      <c r="D959" s="21" t="s">
        <v>655</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669</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1112</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709</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1113</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1114</v>
      </c>
      <c r="B964" s="21" t="s">
        <v>692</v>
      </c>
      <c r="C964" s="21" t="s">
        <v>674</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688</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row>
    <row r="967" spans="1:12">
      <c r="A967" s="20" t="s">
        <v>1115</v>
      </c>
    </row>
    <row r="968" spans="1:12">
      <c r="A968" s="20" t="s">
        <v>848</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700</v>
      </c>
      <c r="B969" s="21" t="s">
        <v>653</v>
      </c>
      <c r="C969" s="21" t="s">
        <v>654</v>
      </c>
      <c r="D969" s="21" t="s">
        <v>655</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1116</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797</v>
      </c>
      <c r="B971" s="21" t="s">
        <v>658</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1117</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662</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863</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1013</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1118</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1119</v>
      </c>
      <c r="B977" s="21" t="s">
        <v>667</v>
      </c>
      <c r="C977" s="21" t="s">
        <v>1120</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885</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666</v>
      </c>
      <c r="B979" s="21" t="s">
        <v>673</v>
      </c>
      <c r="C979" s="21" t="s">
        <v>665</v>
      </c>
      <c r="D979" s="21" t="s">
        <v>655</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827</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1070</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709</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1071</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1072</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1073</v>
      </c>
      <c r="B985" s="21" t="s">
        <v>673</v>
      </c>
      <c r="C985" s="21" t="s">
        <v>698</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694</v>
      </c>
      <c r="B986" s="21" t="s">
        <v>671</v>
      </c>
      <c r="C986" s="21" t="s">
        <v>695</v>
      </c>
      <c r="D986" s="21" t="s">
        <v>655</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833</v>
      </c>
      <c r="B987" s="21" t="s">
        <v>667</v>
      </c>
      <c r="C987" s="21" t="s">
        <v>698</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1121</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951</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709</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700</v>
      </c>
      <c r="B991" s="21" t="s">
        <v>664</v>
      </c>
      <c r="C991" s="21" t="s">
        <v>654</v>
      </c>
      <c r="D991" s="21" t="s">
        <v>655</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666</v>
      </c>
      <c r="B992" s="21" t="s">
        <v>667</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785</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1122</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790</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662</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797</v>
      </c>
      <c r="B997" s="21" t="s">
        <v>667</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827</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890</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885</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1123</v>
      </c>
      <c r="B1001" s="21" t="s">
        <v>671</v>
      </c>
      <c r="C1001" s="21" t="s">
        <v>674</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755</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1124</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662</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963</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709</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1125</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982</v>
      </c>
      <c r="B1008" s="21" t="s">
        <v>683</v>
      </c>
      <c r="C1008" s="21" t="s">
        <v>698</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795</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350</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688</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row>
    <row r="1013" spans="1:12">
      <c r="A1013" s="20" t="s">
        <v>1126</v>
      </c>
    </row>
    <row r="1014" spans="1:12">
      <c r="A1014" s="20" t="s">
        <v>1087</v>
      </c>
      <c r="B1014" s="21" t="s">
        <v>664</v>
      </c>
      <c r="C1014" s="21" t="s">
        <v>729</v>
      </c>
      <c r="D1014" s="21" t="s">
        <v>655</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687</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788</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669</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1127</v>
      </c>
      <c r="B1018" s="21" t="s">
        <v>653</v>
      </c>
      <c r="C1018" s="21" t="s">
        <v>674</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885</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1128</v>
      </c>
      <c r="B1020" s="21" t="s">
        <v>673</v>
      </c>
      <c r="C1020" s="21" t="s">
        <v>661</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662</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863</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1129</v>
      </c>
      <c r="B1023" s="21" t="s">
        <v>673</v>
      </c>
      <c r="C1023" s="21" t="s">
        <v>698</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715</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1130</v>
      </c>
      <c r="B1025" s="21" t="s">
        <v>671</v>
      </c>
      <c r="C1025" s="21" t="s">
        <v>698</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817</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1131</v>
      </c>
      <c r="B1027" s="21" t="s">
        <v>658</v>
      </c>
      <c r="C1027" s="21" t="s">
        <v>678</v>
      </c>
      <c r="D1027" s="21" t="s">
        <v>655</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679</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1132</v>
      </c>
      <c r="B1029" s="21" t="s">
        <v>673</v>
      </c>
      <c r="C1029" s="21" t="s">
        <v>674</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200</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1000</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688</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row>
    <row r="1034" spans="1:12">
      <c r="A1034" s="20" t="s">
        <v>1133</v>
      </c>
    </row>
    <row r="1035" spans="1:12">
      <c r="A1035" s="20" t="s">
        <v>916</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863</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817</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1134</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1135</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1136</v>
      </c>
      <c r="B1040" s="21" t="s">
        <v>664</v>
      </c>
      <c r="C1040" s="21" t="s">
        <v>678</v>
      </c>
      <c r="D1040" s="21" t="s">
        <v>655</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755</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730</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696</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16</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1137</v>
      </c>
      <c r="B1045" s="21" t="s">
        <v>673</v>
      </c>
      <c r="C1045" s="21" t="s">
        <v>678</v>
      </c>
      <c r="D1045" s="21" t="s">
        <v>655</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1138</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662</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1139</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938</v>
      </c>
      <c r="B1049" s="21" t="s">
        <v>658</v>
      </c>
      <c r="C1049" s="21" t="s">
        <v>665</v>
      </c>
      <c r="D1049" s="21" t="s">
        <v>655</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1140</v>
      </c>
      <c r="B1050" s="21" t="s">
        <v>673</v>
      </c>
      <c r="C1050" s="21" t="s">
        <v>695</v>
      </c>
      <c r="D1050" s="21" t="s">
        <v>655</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934</v>
      </c>
      <c r="B1051" s="21" t="s">
        <v>653</v>
      </c>
      <c r="C1051" s="21" t="s">
        <v>698</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1141</v>
      </c>
      <c r="B1052" s="21" t="s">
        <v>673</v>
      </c>
      <c r="C1052" s="21" t="s">
        <v>665</v>
      </c>
      <c r="D1052" s="21" t="s">
        <v>655</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1142</v>
      </c>
      <c r="B1053" s="21" t="s">
        <v>658</v>
      </c>
      <c r="C1053" s="21" t="s">
        <v>853</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662</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955</v>
      </c>
      <c r="B1055" s="21" t="s">
        <v>667</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660</v>
      </c>
      <c r="B1056" s="21" t="s">
        <v>664</v>
      </c>
      <c r="C1056" s="21" t="s">
        <v>661</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1143</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662</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663</v>
      </c>
      <c r="B1059" s="21" t="s">
        <v>664</v>
      </c>
      <c r="C1059" s="21" t="s">
        <v>665</v>
      </c>
      <c r="D1059" s="21" t="s">
        <v>655</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922</v>
      </c>
      <c r="B1060" s="21" t="s">
        <v>664</v>
      </c>
      <c r="C1060" s="21" t="s">
        <v>665</v>
      </c>
      <c r="D1060" s="21" t="s">
        <v>655</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938</v>
      </c>
      <c r="B1061" s="21" t="s">
        <v>667</v>
      </c>
      <c r="C1061" s="21" t="s">
        <v>665</v>
      </c>
      <c r="D1061" s="21" t="s">
        <v>655</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1144</v>
      </c>
      <c r="B1062" s="21" t="s">
        <v>673</v>
      </c>
      <c r="C1062" s="21" t="s">
        <v>661</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1145</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1146</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735</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783</v>
      </c>
      <c r="B1066" s="21" t="s">
        <v>667</v>
      </c>
      <c r="C1066" s="21" t="s">
        <v>654</v>
      </c>
      <c r="D1066" s="21" t="s">
        <v>655</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1147</v>
      </c>
      <c r="B1067" s="21" t="s">
        <v>671</v>
      </c>
      <c r="C1067" s="21" t="s">
        <v>661</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1148</v>
      </c>
      <c r="B1068" s="21" t="s">
        <v>667</v>
      </c>
      <c r="C1068" s="21" t="s">
        <v>698</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795</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1149</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662</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955</v>
      </c>
      <c r="B1072" s="21" t="s">
        <v>667</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1150</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827</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963</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924</v>
      </c>
      <c r="B1076" s="21" t="s">
        <v>673</v>
      </c>
      <c r="C1076" s="21" t="s">
        <v>698</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795</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350</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688</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row>
    <row r="1081" spans="1:12">
      <c r="A1081" s="20" t="s">
        <v>1151</v>
      </c>
    </row>
    <row r="1082" spans="1:12">
      <c r="A1082" s="20" t="s">
        <v>933</v>
      </c>
      <c r="B1082" s="21" t="s">
        <v>673</v>
      </c>
      <c r="C1082" s="21" t="s">
        <v>695</v>
      </c>
      <c r="D1082" s="21" t="s">
        <v>655</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934</v>
      </c>
      <c r="B1083" s="21" t="s">
        <v>653</v>
      </c>
      <c r="C1083" s="21" t="s">
        <v>698</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1152</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730</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1153</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1154</v>
      </c>
      <c r="B1087" s="21" t="s">
        <v>658</v>
      </c>
      <c r="C1087" s="21" t="s">
        <v>678</v>
      </c>
      <c r="D1087" s="21" t="s">
        <v>655</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1155</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662</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817</v>
      </c>
      <c r="B1090" s="21" t="s">
        <v>664</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715</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1128</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1156</v>
      </c>
      <c r="B1093" s="21" t="s">
        <v>673</v>
      </c>
      <c r="C1093" s="21" t="s">
        <v>853</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1157</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890</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1158</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1159</v>
      </c>
      <c r="B1097" s="21" t="s">
        <v>673</v>
      </c>
      <c r="C1097" s="21" t="s">
        <v>674</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1160</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1161</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688</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row>
    <row r="1102" spans="1:12">
      <c r="A1102" s="20" t="s">
        <v>1162</v>
      </c>
    </row>
    <row r="1103" spans="1:12">
      <c r="A1103" s="20" t="s">
        <v>1163</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676</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1164</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1165</v>
      </c>
      <c r="B1106" s="21" t="s">
        <v>673</v>
      </c>
      <c r="C1106" s="21" t="s">
        <v>678</v>
      </c>
      <c r="D1106" s="21" t="s">
        <v>655</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755</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1166</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871</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953</v>
      </c>
      <c r="B1110" s="21" t="s">
        <v>653</v>
      </c>
      <c r="C1110" s="21" t="s">
        <v>661</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1088</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562</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662</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712</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1026</v>
      </c>
      <c r="B1115" s="21" t="s">
        <v>671</v>
      </c>
      <c r="C1115" s="21" t="s">
        <v>695</v>
      </c>
      <c r="D1115" s="21" t="s">
        <v>655</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1167</v>
      </c>
      <c r="B1116" s="21" t="s">
        <v>664</v>
      </c>
      <c r="C1116" s="21" t="s">
        <v>698</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662</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817</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1168</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16</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1169</v>
      </c>
      <c r="B1121" s="21" t="s">
        <v>667</v>
      </c>
      <c r="C1121" s="21" t="s">
        <v>678</v>
      </c>
      <c r="D1121" s="21" t="s">
        <v>655</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681</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1170</v>
      </c>
      <c r="B1123" s="21" t="s">
        <v>671</v>
      </c>
      <c r="C1123" s="21" t="s">
        <v>698</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662</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1171</v>
      </c>
      <c r="B1125" s="21" t="s">
        <v>683</v>
      </c>
      <c r="C1125" s="21" t="s">
        <v>698</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755</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1172</v>
      </c>
      <c r="B1127" s="21" t="s">
        <v>802</v>
      </c>
      <c r="C1127" s="21" t="s">
        <v>684</v>
      </c>
      <c r="D1127" s="21" t="s">
        <v>655</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709</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1173</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1174</v>
      </c>
      <c r="B1130" s="21" t="s">
        <v>671</v>
      </c>
      <c r="C1130" s="21" t="s">
        <v>698</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681</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1175</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1176</v>
      </c>
      <c r="B1133" s="21" t="s">
        <v>683</v>
      </c>
      <c r="C1133" s="21" t="s">
        <v>698</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662</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817</v>
      </c>
      <c r="B1135" s="21" t="s">
        <v>1177</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783</v>
      </c>
      <c r="B1136" s="21" t="s">
        <v>1178</v>
      </c>
      <c r="C1136" s="21" t="s">
        <v>654</v>
      </c>
      <c r="D1136" s="21" t="s">
        <v>655</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924</v>
      </c>
      <c r="B1137" s="21" t="s">
        <v>1177</v>
      </c>
      <c r="C1137" s="21" t="s">
        <v>698</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1179</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662</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725</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1144</v>
      </c>
      <c r="B1141" s="21" t="s">
        <v>1077</v>
      </c>
      <c r="C1141" s="21" t="s">
        <v>661</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1180</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1181</v>
      </c>
      <c r="B1143" s="21" t="s">
        <v>1182</v>
      </c>
      <c r="C1143" s="21" t="s">
        <v>1120</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795</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1183</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709</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955</v>
      </c>
      <c r="B1147" s="21" t="s">
        <v>1184</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923</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817</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1185</v>
      </c>
      <c r="B1150" s="21" t="s">
        <v>1186</v>
      </c>
      <c r="C1150" s="21" t="s">
        <v>678</v>
      </c>
      <c r="D1150" s="21" t="s">
        <v>655</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662</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817</v>
      </c>
      <c r="B1152" s="21" t="s">
        <v>1187</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972</v>
      </c>
      <c r="B1153" s="21" t="s">
        <v>1188</v>
      </c>
      <c r="C1153" s="21" t="s">
        <v>654</v>
      </c>
      <c r="D1153" s="21" t="s">
        <v>655</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1189</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1190</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1191</v>
      </c>
      <c r="B1156" s="21" t="s">
        <v>1188</v>
      </c>
      <c r="C1156" s="21" t="s">
        <v>1120</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1192</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951</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662</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1193</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795</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1194</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662</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1195</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791</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795</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1196</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885</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1197</v>
      </c>
      <c r="B1169" s="21" t="s">
        <v>673</v>
      </c>
      <c r="C1169" s="21" t="s">
        <v>684</v>
      </c>
      <c r="D1169" s="21" t="s">
        <v>655</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1198</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1199</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662</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924</v>
      </c>
      <c r="B1173" s="21" t="s">
        <v>701</v>
      </c>
      <c r="C1173" s="21" t="s">
        <v>698</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1149</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955</v>
      </c>
      <c r="B1175" s="21" t="s">
        <v>877</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824</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1200</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1201</v>
      </c>
      <c r="B1178" s="21" t="s">
        <v>798</v>
      </c>
      <c r="C1178" s="21" t="s">
        <v>674</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177</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662</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955</v>
      </c>
      <c r="B1181" s="21" t="s">
        <v>667</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711</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1200</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1202</v>
      </c>
      <c r="B1184" s="21" t="s">
        <v>673</v>
      </c>
      <c r="C1184" s="21" t="s">
        <v>698</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709</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869</v>
      </c>
      <c r="B1186" s="21" t="s">
        <v>671</v>
      </c>
      <c r="C1186" s="21" t="s">
        <v>698</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1203</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662</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709</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955</v>
      </c>
      <c r="B1190" s="21" t="s">
        <v>877</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805</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1204</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985</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795</v>
      </c>
      <c r="B1194" s="21" t="s">
        <v>683</v>
      </c>
      <c r="C1194" s="21" t="s">
        <v>661</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1205</v>
      </c>
      <c r="B1195" s="21" t="s">
        <v>671</v>
      </c>
      <c r="C1195" s="21" t="s">
        <v>698</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1206</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662</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817</v>
      </c>
      <c r="B1198" s="21" t="s">
        <v>701</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902</v>
      </c>
      <c r="B1199" s="21" t="s">
        <v>701</v>
      </c>
      <c r="C1199" s="21" t="s">
        <v>665</v>
      </c>
      <c r="D1199" s="21" t="s">
        <v>655</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955</v>
      </c>
      <c r="B1200" s="21" t="s">
        <v>877</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1150</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1207</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688</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row>
    <row r="1205" spans="1:12">
      <c r="A1205" s="20" t="s">
        <v>1208</v>
      </c>
    </row>
    <row r="1206" spans="1:12">
      <c r="A1206" s="20" t="s">
        <v>1209</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1210</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96</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801</v>
      </c>
      <c r="B1209" s="21" t="s">
        <v>673</v>
      </c>
      <c r="C1209" s="21" t="s">
        <v>729</v>
      </c>
      <c r="D1209" s="21" t="s">
        <v>655</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1211</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1159</v>
      </c>
      <c r="B1211" s="21" t="s">
        <v>653</v>
      </c>
      <c r="C1211" s="21" t="s">
        <v>775</v>
      </c>
      <c r="D1211" s="21" t="s">
        <v>655</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212</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1212</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1213</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662</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712</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783</v>
      </c>
      <c r="B1217" s="21" t="s">
        <v>664</v>
      </c>
      <c r="C1217" s="21" t="s">
        <v>654</v>
      </c>
      <c r="D1217" s="21" t="s">
        <v>655</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707</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693</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824</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841</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1214</v>
      </c>
      <c r="B1222" s="21" t="s">
        <v>667</v>
      </c>
      <c r="C1222" s="21" t="s">
        <v>674</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1215</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662</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1216</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662</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712</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1217</v>
      </c>
      <c r="B1228" s="21" t="s">
        <v>802</v>
      </c>
      <c r="C1228" s="21" t="s">
        <v>661</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982</v>
      </c>
      <c r="B1229" s="21" t="s">
        <v>719</v>
      </c>
      <c r="C1229" s="21" t="s">
        <v>698</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829</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1218</v>
      </c>
      <c r="B1231" s="21" t="s">
        <v>802</v>
      </c>
      <c r="C1231" s="21" t="s">
        <v>678</v>
      </c>
      <c r="D1231" s="21" t="s">
        <v>655</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660</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913</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1219</v>
      </c>
      <c r="B1234" s="21" t="s">
        <v>877</v>
      </c>
      <c r="C1234" s="21" t="s">
        <v>698</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709</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1013</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1220</v>
      </c>
      <c r="B1237" s="21" t="s">
        <v>877</v>
      </c>
      <c r="C1237" s="21" t="s">
        <v>698</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177</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871</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709</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712</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817</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1221</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607</v>
      </c>
      <c r="B1244" s="21" t="s">
        <v>701</v>
      </c>
      <c r="C1244" s="21" t="s">
        <v>678</v>
      </c>
      <c r="D1244" s="21" t="s">
        <v>655</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662</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955</v>
      </c>
      <c r="B1246" s="21" t="s">
        <v>877</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216</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662</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936</v>
      </c>
      <c r="B1249" s="21" t="s">
        <v>683</v>
      </c>
      <c r="C1249" s="21" t="s">
        <v>695</v>
      </c>
      <c r="D1249" s="21" t="s">
        <v>655</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1222</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1223</v>
      </c>
      <c r="B1251" s="21" t="s">
        <v>701</v>
      </c>
      <c r="C1251" s="21" t="s">
        <v>698</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687</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688</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row>
    <row r="1255" spans="1:12">
      <c r="A1255" s="20" t="s">
        <v>1224</v>
      </c>
    </row>
    <row r="1256" spans="1:12">
      <c r="A1256" s="20" t="s">
        <v>1225</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1221</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607</v>
      </c>
      <c r="B1258" s="21" t="s">
        <v>653</v>
      </c>
      <c r="C1258" s="21" t="s">
        <v>678</v>
      </c>
      <c r="D1258" s="21" t="s">
        <v>655</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955</v>
      </c>
      <c r="B1259" s="21" t="s">
        <v>658</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216</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16</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720</v>
      </c>
      <c r="B1262" s="21" t="s">
        <v>664</v>
      </c>
      <c r="C1262" s="21" t="s">
        <v>729</v>
      </c>
      <c r="D1262" s="21" t="s">
        <v>655</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687</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824</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1226</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1227</v>
      </c>
      <c r="B1266" s="21" t="s">
        <v>692</v>
      </c>
      <c r="C1266" s="21" t="s">
        <v>674</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662</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952</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924</v>
      </c>
      <c r="B1269" s="21" t="s">
        <v>701</v>
      </c>
      <c r="C1269" s="21" t="s">
        <v>698</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797</v>
      </c>
      <c r="B1270" s="21" t="s">
        <v>877</v>
      </c>
      <c r="C1270" s="21" t="s">
        <v>654</v>
      </c>
      <c r="D1270" s="21" t="s">
        <v>655</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693</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1228</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920</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1229</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795</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13</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662</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863</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700</v>
      </c>
      <c r="B1279" s="21" t="s">
        <v>719</v>
      </c>
      <c r="C1279" s="21" t="s">
        <v>654</v>
      </c>
      <c r="D1279" s="21" t="s">
        <v>655</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703</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1230</v>
      </c>
      <c r="B1281" s="21" t="s">
        <v>683</v>
      </c>
      <c r="C1281" s="21" t="s">
        <v>698</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1231</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709</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700</v>
      </c>
      <c r="B1284" s="21" t="s">
        <v>722</v>
      </c>
      <c r="C1284" s="21" t="s">
        <v>654</v>
      </c>
      <c r="D1284" s="21" t="s">
        <v>655</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874</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657</v>
      </c>
      <c r="B1286" s="21" t="s">
        <v>1075</v>
      </c>
      <c r="C1286" s="21" t="s">
        <v>654</v>
      </c>
      <c r="D1286" s="21" t="s">
        <v>655</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660</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1232</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735</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row>
    <row r="1291" spans="1:12">
      <c r="A1291" s="20" t="s">
        <v>1233</v>
      </c>
    </row>
    <row r="1292" spans="1:12">
      <c r="A1292" s="20" t="s">
        <v>1234</v>
      </c>
      <c r="B1292" s="21" t="s">
        <v>673</v>
      </c>
      <c r="C1292" s="21" t="s">
        <v>729</v>
      </c>
      <c r="D1292" s="21" t="s">
        <v>655</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1235</v>
      </c>
      <c r="B1293" s="21" t="s">
        <v>653</v>
      </c>
      <c r="C1293" s="21" t="s">
        <v>775</v>
      </c>
      <c r="D1293" s="21" t="s">
        <v>655</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951</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681</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797</v>
      </c>
      <c r="B1296" s="21" t="s">
        <v>692</v>
      </c>
      <c r="C1296" s="21" t="s">
        <v>654</v>
      </c>
      <c r="D1296" s="21" t="s">
        <v>655</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714</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1236</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709</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700</v>
      </c>
      <c r="B1300" s="21" t="s">
        <v>664</v>
      </c>
      <c r="C1300" s="21" t="s">
        <v>654</v>
      </c>
      <c r="D1300" s="21" t="s">
        <v>655</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814</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797</v>
      </c>
      <c r="B1302" s="21" t="s">
        <v>667</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693</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1013</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1237</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805</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1238</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662</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817</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1239</v>
      </c>
      <c r="B1310" s="21" t="s">
        <v>667</v>
      </c>
      <c r="C1310" s="21" t="s">
        <v>678</v>
      </c>
      <c r="D1310" s="21" t="s">
        <v>655</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885</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924</v>
      </c>
      <c r="B1312" s="21" t="s">
        <v>671</v>
      </c>
      <c r="C1312" s="21" t="s">
        <v>698</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1101</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795</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1240</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662</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709</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700</v>
      </c>
      <c r="B1318" s="21" t="s">
        <v>664</v>
      </c>
      <c r="C1318" s="21" t="s">
        <v>654</v>
      </c>
      <c r="D1318" s="21" t="s">
        <v>655</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1241</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662</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1242</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1243</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700</v>
      </c>
      <c r="B1323" s="21" t="s">
        <v>701</v>
      </c>
      <c r="C1323" s="21" t="s">
        <v>654</v>
      </c>
      <c r="D1323" s="21" t="s">
        <v>655</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662</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1244</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688</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row>
    <row r="1328" spans="1:12">
      <c r="A1328" s="20" t="s">
        <v>1245</v>
      </c>
    </row>
    <row r="1329" spans="1:12">
      <c r="A1329" s="20" t="s">
        <v>1234</v>
      </c>
      <c r="B1329" s="21" t="s">
        <v>673</v>
      </c>
      <c r="C1329" s="21" t="s">
        <v>729</v>
      </c>
      <c r="D1329" s="21" t="s">
        <v>655</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1235</v>
      </c>
      <c r="B1330" s="21" t="s">
        <v>653</v>
      </c>
      <c r="C1330" s="21" t="s">
        <v>775</v>
      </c>
      <c r="D1330" s="21" t="s">
        <v>655</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885</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676</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1246</v>
      </c>
      <c r="B1333" s="21" t="s">
        <v>673</v>
      </c>
      <c r="C1333" s="21" t="s">
        <v>678</v>
      </c>
      <c r="D1333" s="21" t="s">
        <v>655</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703</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1230</v>
      </c>
      <c r="B1335" s="21" t="s">
        <v>671</v>
      </c>
      <c r="C1335" s="21" t="s">
        <v>698</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1247</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885</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829</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1248</v>
      </c>
      <c r="B1339" s="21" t="s">
        <v>673</v>
      </c>
      <c r="C1339" s="21" t="s">
        <v>678</v>
      </c>
      <c r="D1339" s="21" t="s">
        <v>655</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662</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712</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1056</v>
      </c>
      <c r="B1342" s="21" t="s">
        <v>719</v>
      </c>
      <c r="C1342" s="21" t="s">
        <v>698</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962</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1249</v>
      </c>
      <c r="B1344" s="21" t="s">
        <v>802</v>
      </c>
      <c r="C1344" s="21" t="s">
        <v>698</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1250</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1251</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662</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824</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1252</v>
      </c>
      <c r="B1349" s="21" t="s">
        <v>1075</v>
      </c>
      <c r="C1349" s="21" t="s">
        <v>674</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795</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1253</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662</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1055</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885</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676</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805</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1254</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1114</v>
      </c>
      <c r="B1358" s="21" t="s">
        <v>671</v>
      </c>
      <c r="C1358" s="21" t="s">
        <v>678</v>
      </c>
      <c r="D1358" s="21" t="s">
        <v>655</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1255</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795</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127</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688</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row>
    <row r="1364" spans="1:12">
      <c r="A1364" s="20" t="s">
        <v>1256</v>
      </c>
    </row>
    <row r="1365" spans="1:12">
      <c r="A1365" s="20" t="s">
        <v>1257</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1258</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694</v>
      </c>
      <c r="B1367" s="21" t="s">
        <v>673</v>
      </c>
      <c r="C1367" s="21" t="s">
        <v>695</v>
      </c>
      <c r="D1367" s="21" t="s">
        <v>655</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717</v>
      </c>
      <c r="B1368" s="21" t="s">
        <v>653</v>
      </c>
      <c r="C1368" s="21" t="s">
        <v>698</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785</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1259</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228</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860</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662</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952</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700</v>
      </c>
      <c r="B1375" s="21" t="s">
        <v>664</v>
      </c>
      <c r="C1375" s="21" t="s">
        <v>654</v>
      </c>
      <c r="D1375" s="21" t="s">
        <v>655</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730</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1260</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1261</v>
      </c>
      <c r="B1378" s="21" t="s">
        <v>667</v>
      </c>
      <c r="C1378" s="21" t="s">
        <v>678</v>
      </c>
      <c r="D1378" s="21" t="s">
        <v>655</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679</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1262</v>
      </c>
      <c r="B1380" s="21" t="s">
        <v>671</v>
      </c>
      <c r="C1380" s="21" t="s">
        <v>674</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703</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1059</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1263</v>
      </c>
      <c r="B1383" s="21" t="s">
        <v>673</v>
      </c>
      <c r="C1383" s="21" t="s">
        <v>674</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1264</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790</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662</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962</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863</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764</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693</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924</v>
      </c>
      <c r="B1391" s="21" t="s">
        <v>664</v>
      </c>
      <c r="C1391" s="21" t="s">
        <v>698</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797</v>
      </c>
      <c r="B1392" s="21" t="s">
        <v>667</v>
      </c>
      <c r="C1392" s="21" t="s">
        <v>654</v>
      </c>
      <c r="D1392" s="21" t="s">
        <v>655</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703</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1060</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1265</v>
      </c>
      <c r="B1395" s="21" t="s">
        <v>673</v>
      </c>
      <c r="C1395" s="21" t="s">
        <v>1120</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865</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688</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row>
    <row r="1399" spans="1:12">
      <c r="A1399" s="20" t="s">
        <v>1266</v>
      </c>
    </row>
    <row r="1400" spans="1:12">
      <c r="A1400" s="20" t="s">
        <v>916</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817</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1214</v>
      </c>
      <c r="B1402" s="21" t="s">
        <v>653</v>
      </c>
      <c r="C1402" s="21" t="s">
        <v>678</v>
      </c>
      <c r="D1402" s="21" t="s">
        <v>655</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687</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662</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712</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922</v>
      </c>
      <c r="B1406" s="21" t="s">
        <v>664</v>
      </c>
      <c r="C1406" s="21" t="s">
        <v>665</v>
      </c>
      <c r="D1406" s="21" t="s">
        <v>655</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938</v>
      </c>
      <c r="B1407" s="21" t="s">
        <v>667</v>
      </c>
      <c r="C1407" s="21" t="s">
        <v>665</v>
      </c>
      <c r="D1407" s="21" t="s">
        <v>655</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491</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688</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row>
    <row r="1411" spans="1:12">
      <c r="A1411" s="20" t="s">
        <v>1267</v>
      </c>
    </row>
    <row r="1412" spans="1:12">
      <c r="A1412" s="20" t="s">
        <v>810</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1268</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922</v>
      </c>
      <c r="B1414" s="21" t="s">
        <v>664</v>
      </c>
      <c r="C1414" s="21" t="s">
        <v>665</v>
      </c>
      <c r="D1414" s="21" t="s">
        <v>655</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885</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829</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1252</v>
      </c>
      <c r="B1417" s="21" t="s">
        <v>692</v>
      </c>
      <c r="C1417" s="21" t="s">
        <v>678</v>
      </c>
      <c r="D1417" s="21" t="s">
        <v>655</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1255</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662</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1269</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1258</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902</v>
      </c>
      <c r="B1422" s="21" t="s">
        <v>701</v>
      </c>
      <c r="C1422" s="21" t="s">
        <v>665</v>
      </c>
      <c r="D1422" s="21" t="s">
        <v>655</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1270</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662</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1271</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962</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1048</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1272</v>
      </c>
      <c r="B1428" s="21" t="s">
        <v>664</v>
      </c>
      <c r="C1428" s="21" t="s">
        <v>661</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687</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848</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700</v>
      </c>
      <c r="B1431" s="21" t="s">
        <v>664</v>
      </c>
      <c r="C1431" s="21" t="s">
        <v>654</v>
      </c>
      <c r="D1431" s="21" t="s">
        <v>655</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1273</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662</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712</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720</v>
      </c>
      <c r="B1435" s="21" t="s">
        <v>701</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1274</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687</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688</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row>
    <row r="1440" spans="1:12">
      <c r="A1440" s="20" t="s">
        <v>1275</v>
      </c>
    </row>
    <row r="1441" spans="1:12">
      <c r="A1441" s="20" t="s">
        <v>1230</v>
      </c>
      <c r="B1441" s="21" t="s">
        <v>653</v>
      </c>
      <c r="C1441" s="21" t="s">
        <v>698</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1268</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852</v>
      </c>
      <c r="B1443" s="21" t="s">
        <v>692</v>
      </c>
      <c r="C1443" s="21" t="s">
        <v>665</v>
      </c>
      <c r="D1443" s="21" t="s">
        <v>655</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1276</v>
      </c>
      <c r="B1444" s="21" t="s">
        <v>692</v>
      </c>
      <c r="C1444" s="21" t="s">
        <v>853</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662</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720</v>
      </c>
      <c r="B1446" s="21" t="s">
        <v>667</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922</v>
      </c>
      <c r="B1447" s="21" t="s">
        <v>664</v>
      </c>
      <c r="C1447" s="21" t="s">
        <v>665</v>
      </c>
      <c r="D1447" s="21" t="s">
        <v>655</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1277</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1278</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662</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845</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703</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1279</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717</v>
      </c>
      <c r="B1454" s="21" t="s">
        <v>671</v>
      </c>
      <c r="C1454" s="21" t="s">
        <v>1120</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904</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1280</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795</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1281</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688</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row>
    <row r="1461" spans="1:12">
      <c r="A1461" s="20" t="s">
        <v>1282</v>
      </c>
    </row>
    <row r="1462" spans="1:12">
      <c r="A1462" s="20" t="s">
        <v>1230</v>
      </c>
      <c r="B1462" s="21" t="s">
        <v>653</v>
      </c>
      <c r="C1462" s="21" t="s">
        <v>698</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244</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815</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795</v>
      </c>
      <c r="B1465" s="21" t="s">
        <v>673</v>
      </c>
      <c r="C1465" s="21" t="s">
        <v>661</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1279</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717</v>
      </c>
      <c r="B1467" s="21" t="s">
        <v>692</v>
      </c>
      <c r="C1467" s="21" t="s">
        <v>1120</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688</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row>
    <row r="1470" spans="1:12">
      <c r="A1470" s="20" t="s">
        <v>1283</v>
      </c>
    </row>
    <row r="1471" spans="1:12">
      <c r="A1471" s="20" t="s">
        <v>848</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700</v>
      </c>
      <c r="B1472" s="21" t="s">
        <v>653</v>
      </c>
      <c r="C1472" s="21" t="s">
        <v>654</v>
      </c>
      <c r="D1472" s="21" t="s">
        <v>655</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1284</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1101</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662</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1230</v>
      </c>
      <c r="B1476" s="21" t="s">
        <v>658</v>
      </c>
      <c r="C1476" s="21" t="s">
        <v>698</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827</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1103</v>
      </c>
      <c r="B1478" s="21" t="s">
        <v>673</v>
      </c>
      <c r="C1478" s="21" t="s">
        <v>695</v>
      </c>
      <c r="D1478" s="21" t="s">
        <v>655</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1285</v>
      </c>
      <c r="B1479" s="21" t="s">
        <v>692</v>
      </c>
      <c r="C1479" s="21" t="s">
        <v>698</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795</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350</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688</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row>
    <row r="1484" spans="1:12">
      <c r="A1484" s="20" t="s">
        <v>1286</v>
      </c>
    </row>
    <row r="1485" spans="1:12">
      <c r="A1485" s="20" t="s">
        <v>1287</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1288</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700</v>
      </c>
      <c r="B1487" s="21" t="s">
        <v>653</v>
      </c>
      <c r="C1487" s="21" t="s">
        <v>654</v>
      </c>
      <c r="D1487" s="21" t="s">
        <v>655</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662</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712</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1007</v>
      </c>
      <c r="B1490" s="21" t="s">
        <v>664</v>
      </c>
      <c r="C1490" s="21" t="s">
        <v>654</v>
      </c>
      <c r="D1490" s="21" t="s">
        <v>655</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1013</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1289</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687</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662</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1290</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687</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1007</v>
      </c>
      <c r="B1497" s="21" t="s">
        <v>701</v>
      </c>
      <c r="C1497" s="21" t="s">
        <v>654</v>
      </c>
      <c r="D1497" s="21" t="s">
        <v>655</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1291</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795</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350</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662</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699</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1007</v>
      </c>
      <c r="B1503" s="21" t="s">
        <v>664</v>
      </c>
      <c r="C1503" s="21" t="s">
        <v>654</v>
      </c>
      <c r="D1503" s="21" t="s">
        <v>655</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687</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1292</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675</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666</v>
      </c>
      <c r="B1507" s="21" t="s">
        <v>673</v>
      </c>
      <c r="C1507" s="21" t="s">
        <v>654</v>
      </c>
      <c r="D1507" s="21" t="s">
        <v>655</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688</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row>
    <row r="1510" spans="1:12">
      <c r="A1510" s="20" t="s">
        <v>1293</v>
      </c>
    </row>
    <row r="1511" spans="1:12">
      <c r="A1511" s="20" t="s">
        <v>848</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700</v>
      </c>
      <c r="B1512" s="21" t="s">
        <v>653</v>
      </c>
      <c r="C1512" s="21" t="s">
        <v>654</v>
      </c>
      <c r="D1512" s="21" t="s">
        <v>655</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1294</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805</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1295</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817</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1296</v>
      </c>
      <c r="B1517" s="21" t="s">
        <v>653</v>
      </c>
      <c r="C1517" s="21" t="s">
        <v>678</v>
      </c>
      <c r="D1517" s="21" t="s">
        <v>655</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1297</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688</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817</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1298</v>
      </c>
      <c r="B1521" s="21" t="s">
        <v>673</v>
      </c>
      <c r="C1521" s="21" t="s">
        <v>678</v>
      </c>
      <c r="D1521" s="21" t="s">
        <v>655</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705</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1299</v>
      </c>
      <c r="B1523" s="21" t="s">
        <v>671</v>
      </c>
      <c r="C1523" s="21" t="s">
        <v>678</v>
      </c>
      <c r="D1523" s="21" t="s">
        <v>655</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679</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924</v>
      </c>
      <c r="B1525" s="21" t="s">
        <v>683</v>
      </c>
      <c r="C1525" s="21" t="s">
        <v>674</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256</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688</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row>
    <row r="1529" spans="1:12">
      <c r="A1529" s="20" t="s">
        <v>1300</v>
      </c>
    </row>
    <row r="1530" spans="1:12">
      <c r="A1530" s="20" t="s">
        <v>919</v>
      </c>
      <c r="B1530" s="21" t="s">
        <v>653</v>
      </c>
      <c r="C1530" s="21" t="s">
        <v>654</v>
      </c>
      <c r="D1530" s="21" t="s">
        <v>655</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1301</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715</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676</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717</v>
      </c>
      <c r="B1534" s="21" t="s">
        <v>692</v>
      </c>
      <c r="C1534" s="21" t="s">
        <v>678</v>
      </c>
      <c r="D1534" s="21" t="s">
        <v>655</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1230</v>
      </c>
      <c r="B1535" s="21" t="s">
        <v>658</v>
      </c>
      <c r="C1535" s="21" t="s">
        <v>698</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709</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1302</v>
      </c>
      <c r="B1537" s="21" t="s">
        <v>673</v>
      </c>
      <c r="C1537" s="21" t="s">
        <v>698</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662</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709</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817</v>
      </c>
      <c r="B1540" s="21" t="s">
        <v>701</v>
      </c>
      <c r="C1540" s="21" t="s">
        <v>665</v>
      </c>
      <c r="D1540" s="21" t="s">
        <v>655</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1268</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788</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1303</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1304</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709</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1305</v>
      </c>
      <c r="B1546" s="21" t="s">
        <v>671</v>
      </c>
      <c r="C1546" s="21" t="s">
        <v>661</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864</v>
      </c>
      <c r="B1547" s="21" t="s">
        <v>664</v>
      </c>
      <c r="C1547" s="21" t="s">
        <v>698</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917</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805</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1306</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845</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688</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row>
    <row r="1554" spans="1:12">
      <c r="A1554" s="20" t="s">
        <v>1307</v>
      </c>
    </row>
    <row r="1555" spans="1:12">
      <c r="A1555" s="20" t="s">
        <v>916</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817</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1308</v>
      </c>
      <c r="B1557" s="21" t="s">
        <v>653</v>
      </c>
      <c r="C1557" s="21" t="s">
        <v>678</v>
      </c>
      <c r="D1557" s="21" t="s">
        <v>655</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1309</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791</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662</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1258</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922</v>
      </c>
      <c r="B1562" s="21" t="s">
        <v>664</v>
      </c>
      <c r="C1562" s="21" t="s">
        <v>665</v>
      </c>
      <c r="D1562" s="21" t="s">
        <v>655</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703</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1230</v>
      </c>
      <c r="B1564" s="21" t="s">
        <v>673</v>
      </c>
      <c r="C1564" s="21" t="s">
        <v>698</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1280</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1281</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962</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791</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662</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1310</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863</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922</v>
      </c>
      <c r="B1572" s="21" t="s">
        <v>701</v>
      </c>
      <c r="C1572" s="21" t="s">
        <v>665</v>
      </c>
      <c r="D1572" s="21" t="s">
        <v>655</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805</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1280</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1281</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688</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row>
    <row r="1578" spans="1:12">
      <c r="A1578" s="20" t="s">
        <v>1311</v>
      </c>
    </row>
    <row r="1579" spans="1:12">
      <c r="A1579" s="20" t="s">
        <v>1312</v>
      </c>
      <c r="B1579" s="21" t="s">
        <v>653</v>
      </c>
      <c r="C1579" s="21" t="s">
        <v>665</v>
      </c>
      <c r="D1579" s="21" t="s">
        <v>655</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1268</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96</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791</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788</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1313</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1314</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662</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817</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924</v>
      </c>
      <c r="B1588" s="21" t="s">
        <v>664</v>
      </c>
      <c r="C1588" s="21" t="s">
        <v>678</v>
      </c>
      <c r="D1588" s="21" t="s">
        <v>655</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817</v>
      </c>
      <c r="B1589" s="21" t="s">
        <v>667</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922</v>
      </c>
      <c r="B1590" s="21" t="s">
        <v>664</v>
      </c>
      <c r="C1590" s="21" t="s">
        <v>665</v>
      </c>
      <c r="D1590" s="21" t="s">
        <v>655</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1315</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662</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668</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1316</v>
      </c>
      <c r="B1594" s="21" t="s">
        <v>671</v>
      </c>
      <c r="C1594" s="21" t="s">
        <v>698</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795</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1317</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662</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1310</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902</v>
      </c>
      <c r="B1599" s="21" t="s">
        <v>664</v>
      </c>
      <c r="C1599" s="21" t="s">
        <v>665</v>
      </c>
      <c r="D1599" s="21" t="s">
        <v>655</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764</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1318</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1319</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662</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1274</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805</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1280</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795</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1281</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688</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row>
    <row r="1611" spans="1:12">
      <c r="A1611" s="20" t="s">
        <v>1320</v>
      </c>
    </row>
    <row r="1612" spans="1:12">
      <c r="A1612" s="20" t="s">
        <v>848</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922</v>
      </c>
      <c r="B1613" s="21" t="s">
        <v>653</v>
      </c>
      <c r="C1613" s="21" t="s">
        <v>665</v>
      </c>
      <c r="D1613" s="21" t="s">
        <v>655</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271</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1321</v>
      </c>
      <c r="B1615" s="21" t="s">
        <v>673</v>
      </c>
      <c r="C1615" s="21" t="s">
        <v>695</v>
      </c>
      <c r="D1615" s="21" t="s">
        <v>655</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1017</v>
      </c>
      <c r="B1616" s="21" t="s">
        <v>658</v>
      </c>
      <c r="C1616" s="21" t="s">
        <v>698</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1141</v>
      </c>
      <c r="B1617" s="21" t="s">
        <v>673</v>
      </c>
      <c r="C1617" s="21" t="s">
        <v>665</v>
      </c>
      <c r="D1617" s="21" t="s">
        <v>655</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1322</v>
      </c>
      <c r="B1618" s="21" t="s">
        <v>658</v>
      </c>
      <c r="C1618" s="21" t="s">
        <v>853</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662</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1080</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922</v>
      </c>
      <c r="B1621" s="21" t="s">
        <v>664</v>
      </c>
      <c r="C1621" s="21" t="s">
        <v>665</v>
      </c>
      <c r="D1621" s="21" t="s">
        <v>655</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972</v>
      </c>
      <c r="B1622" s="21" t="s">
        <v>667</v>
      </c>
      <c r="C1622" s="21" t="s">
        <v>654</v>
      </c>
      <c r="D1622" s="21" t="s">
        <v>655</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720</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1323</v>
      </c>
      <c r="B1624" s="21" t="s">
        <v>667</v>
      </c>
      <c r="C1624" s="21" t="s">
        <v>678</v>
      </c>
      <c r="D1624" s="21" t="s">
        <v>655</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177</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662</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712</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902</v>
      </c>
      <c r="B1628" s="21" t="s">
        <v>701</v>
      </c>
      <c r="C1628" s="21" t="s">
        <v>665</v>
      </c>
      <c r="D1628" s="21" t="s">
        <v>655</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955</v>
      </c>
      <c r="B1629" s="21" t="s">
        <v>877</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791</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1324</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1000</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688</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row>
    <row r="1635" spans="1:12">
      <c r="A1635" s="20" t="s">
        <v>1325</v>
      </c>
    </row>
    <row r="1636" spans="1:12">
      <c r="A1636" s="20" t="s">
        <v>1326</v>
      </c>
      <c r="B1636" s="21" t="s">
        <v>653</v>
      </c>
      <c r="C1636" s="21" t="s">
        <v>661</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821</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1327</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1328</v>
      </c>
      <c r="B1639" s="21" t="s">
        <v>658</v>
      </c>
      <c r="C1639" s="21" t="s">
        <v>853</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1280</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275</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735</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795</v>
      </c>
      <c r="B1643" s="21" t="s">
        <v>671</v>
      </c>
      <c r="C1643" s="21" t="s">
        <v>661</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676</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890</v>
      </c>
      <c r="B1645" s="21" t="s">
        <v>673</v>
      </c>
      <c r="C1645" s="21" t="s">
        <v>661</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817</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1329</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1330</v>
      </c>
      <c r="B1648" s="21" t="s">
        <v>664</v>
      </c>
      <c r="C1648" s="21" t="s">
        <v>678</v>
      </c>
      <c r="D1648" s="21" t="s">
        <v>655</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662</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1331</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795</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456</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709</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795</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676</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1332</v>
      </c>
      <c r="B1656" s="21" t="s">
        <v>671</v>
      </c>
      <c r="C1656" s="21" t="s">
        <v>661</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817</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1333</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1334</v>
      </c>
      <c r="B1659" s="21" t="s">
        <v>877</v>
      </c>
      <c r="C1659" s="21" t="s">
        <v>678</v>
      </c>
      <c r="D1659" s="21" t="s">
        <v>655</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1335</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662</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1258</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700</v>
      </c>
      <c r="B1663" s="21" t="s">
        <v>701</v>
      </c>
      <c r="C1663" s="21" t="s">
        <v>654</v>
      </c>
      <c r="D1663" s="21" t="s">
        <v>655</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724</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1336</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962</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791</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688</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row>
    <row r="1670" spans="1:12">
      <c r="A1670" s="20" t="s">
        <v>1337</v>
      </c>
    </row>
    <row r="1671" spans="1:12">
      <c r="A1671" s="20" t="s">
        <v>848</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845</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1338</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795</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456</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662</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817</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1339</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1340</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709</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1341</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1265</v>
      </c>
      <c r="B1682" s="21" t="s">
        <v>692</v>
      </c>
      <c r="C1682" s="21" t="s">
        <v>678</v>
      </c>
      <c r="D1682" s="21" t="s">
        <v>655</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662</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703</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829</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700</v>
      </c>
      <c r="B1686" s="21" t="s">
        <v>664</v>
      </c>
      <c r="C1686" s="21" t="s">
        <v>654</v>
      </c>
      <c r="D1686" s="21" t="s">
        <v>655</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797</v>
      </c>
      <c r="B1687" s="21" t="s">
        <v>667</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1342</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1343</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780</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662</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687</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662</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712</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817</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844</v>
      </c>
      <c r="B1696" s="21" t="s">
        <v>664</v>
      </c>
      <c r="C1696" s="21" t="s">
        <v>678</v>
      </c>
      <c r="D1696" s="21" t="s">
        <v>655</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1292</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1344</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662</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902</v>
      </c>
      <c r="B1700" s="21" t="s">
        <v>701</v>
      </c>
      <c r="C1700" s="21" t="s">
        <v>665</v>
      </c>
      <c r="D1700" s="21" t="s">
        <v>655</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1345</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797</v>
      </c>
      <c r="B1702" s="21" t="s">
        <v>798</v>
      </c>
      <c r="C1702" s="21" t="s">
        <v>654</v>
      </c>
      <c r="D1702" s="21" t="s">
        <v>655</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703</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857</v>
      </c>
      <c r="B1704" s="21" t="s">
        <v>683</v>
      </c>
      <c r="C1704" s="21" t="s">
        <v>729</v>
      </c>
      <c r="D1704" s="21" t="s">
        <v>655</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1346</v>
      </c>
      <c r="B1705" s="21" t="s">
        <v>671</v>
      </c>
      <c r="C1705" s="21" t="s">
        <v>775</v>
      </c>
      <c r="D1705" s="21" t="s">
        <v>655</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926</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688</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row>
    <row r="1709" spans="1:12">
      <c r="A1709" s="20" t="s">
        <v>1347</v>
      </c>
    </row>
    <row r="1710" spans="1:12">
      <c r="A1710" s="20" t="s">
        <v>1348</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1279</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1349</v>
      </c>
      <c r="B1712" s="21" t="s">
        <v>673</v>
      </c>
      <c r="C1712" s="21" t="s">
        <v>1120</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662</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817</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924</v>
      </c>
      <c r="B1715" s="21" t="s">
        <v>664</v>
      </c>
      <c r="C1715" s="21" t="s">
        <v>678</v>
      </c>
      <c r="D1715" s="21" t="s">
        <v>655</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795</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1350</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662</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817</v>
      </c>
      <c r="B1719" s="21" t="s">
        <v>701</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938</v>
      </c>
      <c r="B1720" s="21" t="s">
        <v>877</v>
      </c>
      <c r="C1720" s="21" t="s">
        <v>665</v>
      </c>
      <c r="D1720" s="21" t="s">
        <v>655</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985</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676</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1351</v>
      </c>
      <c r="B1723" s="21" t="s">
        <v>671</v>
      </c>
      <c r="C1723" s="21" t="s">
        <v>678</v>
      </c>
      <c r="D1723" s="21" t="s">
        <v>655</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1352</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709</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972</v>
      </c>
      <c r="B1726" s="21" t="s">
        <v>798</v>
      </c>
      <c r="C1726" s="21" t="s">
        <v>654</v>
      </c>
      <c r="D1726" s="21" t="s">
        <v>655</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817</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1353</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662</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1354</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1214</v>
      </c>
      <c r="B1731" s="21" t="s">
        <v>798</v>
      </c>
      <c r="C1731" s="21" t="s">
        <v>678</v>
      </c>
      <c r="D1731" s="21" t="s">
        <v>655</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923</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1180</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1329</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1355</v>
      </c>
      <c r="B1735" s="21" t="s">
        <v>683</v>
      </c>
      <c r="C1735" s="21" t="s">
        <v>1120</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1356</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962</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1048</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824</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1355</v>
      </c>
      <c r="B1740" s="21" t="s">
        <v>798</v>
      </c>
      <c r="C1740" s="21" t="s">
        <v>674</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795</v>
      </c>
      <c r="B1741" s="21" t="s">
        <v>1077</v>
      </c>
      <c r="C1741" s="21" t="s">
        <v>661</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829</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1357</v>
      </c>
      <c r="B1743" s="21" t="s">
        <v>802</v>
      </c>
      <c r="C1743" s="21" t="s">
        <v>678</v>
      </c>
      <c r="D1743" s="21" t="s">
        <v>655</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795</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165</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662</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817</v>
      </c>
      <c r="B1747" s="21" t="s">
        <v>877</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902</v>
      </c>
      <c r="B1748" s="21" t="s">
        <v>701</v>
      </c>
      <c r="C1748" s="21" t="s">
        <v>665</v>
      </c>
      <c r="D1748" s="21" t="s">
        <v>655</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888</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662</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1278</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922</v>
      </c>
      <c r="B1752" s="21" t="s">
        <v>653</v>
      </c>
      <c r="C1752" s="21" t="s">
        <v>665</v>
      </c>
      <c r="D1752" s="21" t="s">
        <v>655</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283</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662</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712</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922</v>
      </c>
      <c r="B1756" s="21" t="s">
        <v>664</v>
      </c>
      <c r="C1756" s="21" t="s">
        <v>665</v>
      </c>
      <c r="D1756" s="21" t="s">
        <v>655</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791</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730</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1358</v>
      </c>
      <c r="B1759" s="21" t="s">
        <v>667</v>
      </c>
      <c r="C1759" s="21" t="s">
        <v>678</v>
      </c>
      <c r="D1759" s="21" t="s">
        <v>655</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1313</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1359</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662</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712</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862</v>
      </c>
      <c r="B1764" s="21" t="s">
        <v>701</v>
      </c>
      <c r="C1764" s="21" t="s">
        <v>661</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823</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724</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687</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688</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row>
    <row r="1770" spans="1:12">
      <c r="A1770" s="20" t="s">
        <v>1360</v>
      </c>
    </row>
    <row r="1771" spans="1:12">
      <c r="A1771" s="20" t="s">
        <v>1209</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687</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720</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1361</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1362</v>
      </c>
      <c r="B1775" s="21" t="s">
        <v>692</v>
      </c>
      <c r="C1775" s="21" t="s">
        <v>678</v>
      </c>
      <c r="D1775" s="21" t="s">
        <v>655</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662</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720</v>
      </c>
      <c r="B1777" s="21" t="s">
        <v>664</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788</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1318</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1363</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662</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663</v>
      </c>
      <c r="B1782" s="21" t="s">
        <v>701</v>
      </c>
      <c r="C1782" s="21" t="s">
        <v>665</v>
      </c>
      <c r="D1782" s="21" t="s">
        <v>655</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715</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776</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760</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687</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662</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709</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863</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922</v>
      </c>
      <c r="B1790" s="21" t="s">
        <v>722</v>
      </c>
      <c r="C1790" s="21" t="s">
        <v>665</v>
      </c>
      <c r="D1790" s="21" t="s">
        <v>655</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720</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1364</v>
      </c>
      <c r="B1792" s="21" t="s">
        <v>798</v>
      </c>
      <c r="C1792" s="21" t="s">
        <v>775</v>
      </c>
      <c r="D1792" s="21" t="s">
        <v>655</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662</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681</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1365</v>
      </c>
      <c r="B1795" s="21" t="s">
        <v>683</v>
      </c>
      <c r="C1795" s="21" t="s">
        <v>661</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1366</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824</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1367</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1265</v>
      </c>
      <c r="B1799" s="21" t="s">
        <v>719</v>
      </c>
      <c r="C1799" s="21" t="s">
        <v>674</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827</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817</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1368</v>
      </c>
      <c r="B1802" s="21" t="s">
        <v>802</v>
      </c>
      <c r="C1802" s="21" t="s">
        <v>678</v>
      </c>
      <c r="D1802" s="21" t="s">
        <v>655</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985</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955</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688</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row>
    <row r="1807" spans="1:12">
      <c r="A1807" s="20" t="s">
        <v>1369</v>
      </c>
    </row>
    <row r="1808" spans="1:12">
      <c r="A1808" s="20" t="s">
        <v>1370</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922</v>
      </c>
      <c r="B1809" s="21" t="s">
        <v>664</v>
      </c>
      <c r="C1809" s="21" t="s">
        <v>665</v>
      </c>
      <c r="D1809" s="21" t="s">
        <v>655</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890</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924</v>
      </c>
      <c r="B1811" s="21" t="s">
        <v>667</v>
      </c>
      <c r="C1811" s="21" t="s">
        <v>674</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791</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1371</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402</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662</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709</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791</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1372</v>
      </c>
      <c r="B1818" s="21" t="s">
        <v>877</v>
      </c>
      <c r="C1818" s="21" t="s">
        <v>661</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1118</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1373</v>
      </c>
      <c r="B1820" s="21" t="s">
        <v>798</v>
      </c>
      <c r="C1820" s="21" t="s">
        <v>1120</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709</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1181</v>
      </c>
      <c r="B1822" s="21" t="s">
        <v>802</v>
      </c>
      <c r="C1822" s="21" t="s">
        <v>698</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865</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709</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1374</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662</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291</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922</v>
      </c>
      <c r="B1828" s="21" t="s">
        <v>653</v>
      </c>
      <c r="C1828" s="21" t="s">
        <v>665</v>
      </c>
      <c r="D1828" s="21" t="s">
        <v>655</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1375</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795</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676</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1376</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1377</v>
      </c>
      <c r="B1833" s="21" t="s">
        <v>692</v>
      </c>
      <c r="C1833" s="21" t="s">
        <v>678</v>
      </c>
      <c r="D1833" s="21" t="s">
        <v>655</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662</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730</v>
      </c>
      <c r="B1835" s="21" t="s">
        <v>798</v>
      </c>
      <c r="C1835" s="21" t="s">
        <v>665</v>
      </c>
      <c r="D1835" s="21" t="s">
        <v>655</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902</v>
      </c>
      <c r="B1836" s="21" t="s">
        <v>719</v>
      </c>
      <c r="C1836" s="21" t="s">
        <v>665</v>
      </c>
      <c r="D1836" s="21" t="s">
        <v>655</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1378</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1379</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1278</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662</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824</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1380</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1381</v>
      </c>
      <c r="B1843" s="21" t="s">
        <v>673</v>
      </c>
      <c r="C1843" s="21" t="s">
        <v>674</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688</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row>
    <row r="1846" spans="1:12">
      <c r="A1846" s="20" t="s">
        <v>1382</v>
      </c>
    </row>
    <row r="1847" spans="1:12">
      <c r="A1847" s="20" t="s">
        <v>1312</v>
      </c>
      <c r="B1847" s="21" t="s">
        <v>653</v>
      </c>
      <c r="C1847" s="21" t="s">
        <v>665</v>
      </c>
      <c r="D1847" s="21" t="s">
        <v>655</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295</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890</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924</v>
      </c>
      <c r="B1850" s="21" t="s">
        <v>658</v>
      </c>
      <c r="C1850" s="21" t="s">
        <v>674</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662</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829</v>
      </c>
      <c r="B1852" s="21" t="s">
        <v>701</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681</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1140</v>
      </c>
      <c r="B1854" s="21" t="s">
        <v>683</v>
      </c>
      <c r="C1854" s="21" t="s">
        <v>695</v>
      </c>
      <c r="D1854" s="21" t="s">
        <v>655</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1218</v>
      </c>
      <c r="B1855" s="21" t="s">
        <v>671</v>
      </c>
      <c r="C1855" s="21" t="s">
        <v>698</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890</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1383</v>
      </c>
      <c r="B1857" s="21" t="s">
        <v>877</v>
      </c>
      <c r="C1857" s="21" t="s">
        <v>674</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951</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688</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row>
    <row r="1861" spans="1:12">
      <c r="A1861" s="20" t="s">
        <v>1384</v>
      </c>
    </row>
    <row r="1862" spans="1:12">
      <c r="A1862" s="20" t="s">
        <v>881</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1278</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922</v>
      </c>
      <c r="B1864" s="21" t="s">
        <v>653</v>
      </c>
      <c r="C1864" s="21" t="s">
        <v>665</v>
      </c>
      <c r="D1864" s="21" t="s">
        <v>655</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923</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817</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1385</v>
      </c>
      <c r="B1867" s="21" t="s">
        <v>692</v>
      </c>
      <c r="C1867" s="21" t="s">
        <v>678</v>
      </c>
      <c r="D1867" s="21" t="s">
        <v>655</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1193</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299</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709</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938</v>
      </c>
      <c r="B1871" s="21" t="s">
        <v>667</v>
      </c>
      <c r="C1871" s="21" t="s">
        <v>665</v>
      </c>
      <c r="D1871" s="21" t="s">
        <v>655</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711</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1144</v>
      </c>
      <c r="B1873" s="21" t="s">
        <v>671</v>
      </c>
      <c r="C1873" s="21" t="s">
        <v>661</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1386</v>
      </c>
      <c r="B1874" s="21" t="s">
        <v>673</v>
      </c>
      <c r="C1874" s="21" t="s">
        <v>853</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829</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1387</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1181</v>
      </c>
      <c r="B1877" s="21" t="s">
        <v>671</v>
      </c>
      <c r="C1877" s="21" t="s">
        <v>678</v>
      </c>
      <c r="D1877" s="21" t="s">
        <v>655</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1388</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688</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row>
    <row r="1881" spans="1:12">
      <c r="A1881" s="20" t="s">
        <v>1389</v>
      </c>
    </row>
    <row r="1882" spans="1:12">
      <c r="A1882" s="20" t="s">
        <v>1390</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676</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1391</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699</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687</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662</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712</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783</v>
      </c>
      <c r="B1889" s="21" t="s">
        <v>664</v>
      </c>
      <c r="C1889" s="21" t="s">
        <v>654</v>
      </c>
      <c r="D1889" s="21" t="s">
        <v>655</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1392</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829</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1393</v>
      </c>
      <c r="B1892" s="21" t="s">
        <v>673</v>
      </c>
      <c r="C1892" s="21" t="s">
        <v>678</v>
      </c>
      <c r="D1892" s="21" t="s">
        <v>655</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1394</v>
      </c>
      <c r="B1893" s="21" t="s">
        <v>683</v>
      </c>
      <c r="C1893" s="21" t="s">
        <v>695</v>
      </c>
      <c r="D1893" s="21" t="s">
        <v>655</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1395</v>
      </c>
      <c r="B1894" s="21" t="s">
        <v>671</v>
      </c>
      <c r="C1894" s="21" t="s">
        <v>698</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709</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1279</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1396</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1397</v>
      </c>
      <c r="B1898" s="21" t="s">
        <v>671</v>
      </c>
      <c r="C1898" s="21" t="s">
        <v>1120</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662</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824</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1398</v>
      </c>
      <c r="B1901" s="21" t="s">
        <v>667</v>
      </c>
      <c r="C1901" s="21" t="s">
        <v>674</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1301</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688</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row>
    <row r="1905" spans="1:12">
      <c r="A1905" s="20" t="s">
        <v>1399</v>
      </c>
    </row>
    <row r="1906" spans="1:12">
      <c r="A1906" s="20" t="s">
        <v>1312</v>
      </c>
      <c r="B1906" s="21" t="s">
        <v>653</v>
      </c>
      <c r="C1906" s="21" t="s">
        <v>665</v>
      </c>
      <c r="D1906" s="21" t="s">
        <v>655</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1400</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773</v>
      </c>
      <c r="B1908" s="21" t="s">
        <v>673</v>
      </c>
      <c r="C1908" s="21" t="s">
        <v>729</v>
      </c>
      <c r="D1908" s="21" t="s">
        <v>655</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1401</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1402</v>
      </c>
      <c r="B1910" s="21" t="s">
        <v>653</v>
      </c>
      <c r="C1910" s="21" t="s">
        <v>775</v>
      </c>
      <c r="D1910" s="21" t="s">
        <v>655</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791</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1403</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962</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1404</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662</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922</v>
      </c>
      <c r="B1916" s="21" t="s">
        <v>664</v>
      </c>
      <c r="C1916" s="21" t="s">
        <v>665</v>
      </c>
      <c r="D1916" s="21" t="s">
        <v>655</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1400</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1405</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1406</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662</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902</v>
      </c>
      <c r="B1921" s="21" t="s">
        <v>701</v>
      </c>
      <c r="C1921" s="21" t="s">
        <v>665</v>
      </c>
      <c r="D1921" s="21" t="s">
        <v>655</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795</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1407</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662</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713</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1400</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922</v>
      </c>
      <c r="B1927" s="21" t="s">
        <v>664</v>
      </c>
      <c r="C1927" s="21" t="s">
        <v>665</v>
      </c>
      <c r="D1927" s="21" t="s">
        <v>655</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902</v>
      </c>
      <c r="B1928" s="21" t="s">
        <v>667</v>
      </c>
      <c r="C1928" s="21" t="s">
        <v>665</v>
      </c>
      <c r="D1928" s="21" t="s">
        <v>655</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910</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730</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1408</v>
      </c>
      <c r="B1931" s="21" t="s">
        <v>673</v>
      </c>
      <c r="C1931" s="21" t="s">
        <v>678</v>
      </c>
      <c r="D1931" s="21" t="s">
        <v>655</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1409</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662</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1310</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783</v>
      </c>
      <c r="B1935" s="21" t="s">
        <v>664</v>
      </c>
      <c r="C1935" s="21" t="s">
        <v>654</v>
      </c>
      <c r="D1935" s="21" t="s">
        <v>655</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917</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920</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662</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715</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730</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1230</v>
      </c>
      <c r="B1941" s="21" t="s">
        <v>671</v>
      </c>
      <c r="C1941" s="21" t="s">
        <v>678</v>
      </c>
      <c r="D1941" s="21" t="s">
        <v>655</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875</v>
      </c>
      <c r="B1942" s="21" t="s">
        <v>683</v>
      </c>
      <c r="C1942" s="21" t="s">
        <v>684</v>
      </c>
      <c r="D1942" s="21" t="s">
        <v>655</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795</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1410</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688</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row>
    <row r="1947" spans="1:12">
      <c r="A1947" s="20" t="s">
        <v>1411</v>
      </c>
    </row>
    <row r="1948" spans="1:12">
      <c r="A1948" s="20" t="s">
        <v>919</v>
      </c>
      <c r="B1948" s="21" t="s">
        <v>653</v>
      </c>
      <c r="C1948" s="21" t="s">
        <v>654</v>
      </c>
      <c r="D1948" s="21" t="s">
        <v>655</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917</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666</v>
      </c>
      <c r="B1950" s="21" t="s">
        <v>658</v>
      </c>
      <c r="C1950" s="21" t="s">
        <v>654</v>
      </c>
      <c r="D1950" s="21" t="s">
        <v>655</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1378</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1412</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920</v>
      </c>
      <c r="B1953" s="21" t="s">
        <v>658</v>
      </c>
      <c r="C1953" s="21" t="s">
        <v>921</v>
      </c>
      <c r="D1953" s="21" t="s">
        <v>655</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662</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1280</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795</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165</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662</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712</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922</v>
      </c>
      <c r="B1960" s="21" t="s">
        <v>701</v>
      </c>
      <c r="C1960" s="21" t="s">
        <v>665</v>
      </c>
      <c r="D1960" s="21" t="s">
        <v>655</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1230</v>
      </c>
      <c r="B1961" s="21" t="s">
        <v>877</v>
      </c>
      <c r="C1961" s="21" t="s">
        <v>698</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791</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1413</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1414</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1278</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662</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1310</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712</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922</v>
      </c>
      <c r="B1969" s="21" t="s">
        <v>719</v>
      </c>
      <c r="C1969" s="21" t="s">
        <v>665</v>
      </c>
      <c r="D1969" s="21" t="s">
        <v>655</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1313</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1415</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1268</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662</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902</v>
      </c>
      <c r="B1974" s="21" t="s">
        <v>664</v>
      </c>
      <c r="C1974" s="21" t="s">
        <v>665</v>
      </c>
      <c r="D1974" s="21" t="s">
        <v>655</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795</v>
      </c>
      <c r="B1975" s="21" t="s">
        <v>673</v>
      </c>
      <c r="C1975" s="21" t="s">
        <v>661</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676</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1416</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662</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902</v>
      </c>
      <c r="B1979" s="21" t="s">
        <v>877</v>
      </c>
      <c r="C1979" s="21" t="s">
        <v>665</v>
      </c>
      <c r="D1979" s="21" t="s">
        <v>655</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985</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676</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1417</v>
      </c>
      <c r="B1982" s="21" t="s">
        <v>671</v>
      </c>
      <c r="C1982" s="21" t="s">
        <v>678</v>
      </c>
      <c r="D1982" s="21" t="s">
        <v>655</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795</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1418</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845</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764</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1419</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890</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1377</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16</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1420</v>
      </c>
      <c r="B1991" s="21" t="s">
        <v>798</v>
      </c>
      <c r="C1991" s="21" t="s">
        <v>674</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795</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1421</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709</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1378</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1048</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805</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795</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1422</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688</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row>
    <row r="2002" spans="1:12">
      <c r="A2002" s="20" t="s">
        <v>1423</v>
      </c>
    </row>
    <row r="2003" spans="1:12">
      <c r="A2003" s="20" t="s">
        <v>848</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1378</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291</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922</v>
      </c>
      <c r="B2006" s="21" t="s">
        <v>653</v>
      </c>
      <c r="C2006" s="21" t="s">
        <v>665</v>
      </c>
      <c r="D2006" s="21" t="s">
        <v>655</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783</v>
      </c>
      <c r="B2007" s="21" t="s">
        <v>658</v>
      </c>
      <c r="C2007" s="21" t="s">
        <v>654</v>
      </c>
      <c r="D2007" s="21" t="s">
        <v>655</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662</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1230</v>
      </c>
      <c r="B2009" s="21" t="s">
        <v>719</v>
      </c>
      <c r="C2009" s="21" t="s">
        <v>698</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827</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660</v>
      </c>
      <c r="B2011" s="21" t="s">
        <v>683</v>
      </c>
      <c r="C2011" s="21" t="s">
        <v>661</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1190</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662</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1424</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709</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1425</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795</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350</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709</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1426</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938</v>
      </c>
      <c r="B2021" s="21" t="s">
        <v>667</v>
      </c>
      <c r="C2021" s="21" t="s">
        <v>665</v>
      </c>
      <c r="D2021" s="21" t="s">
        <v>655</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785</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1157</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1180</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1427</v>
      </c>
      <c r="B2025" s="21" t="s">
        <v>673</v>
      </c>
      <c r="C2025" s="21" t="s">
        <v>1120</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791</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792</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785</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1428</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688</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row>
    <row r="2032" spans="1:12">
      <c r="A2032" s="20" t="s">
        <v>1429</v>
      </c>
    </row>
    <row r="2033" spans="1:12">
      <c r="A2033" s="20" t="s">
        <v>1348</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1022</v>
      </c>
      <c r="B2034" s="21" t="s">
        <v>673</v>
      </c>
      <c r="C2034" s="21" t="s">
        <v>729</v>
      </c>
      <c r="D2034" s="21" t="s">
        <v>655</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1430</v>
      </c>
      <c r="B2035" s="21" t="s">
        <v>692</v>
      </c>
      <c r="C2035" s="21" t="s">
        <v>775</v>
      </c>
      <c r="D2035" s="21" t="s">
        <v>655</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59</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922</v>
      </c>
      <c r="B2037" s="21" t="s">
        <v>653</v>
      </c>
      <c r="C2037" s="21" t="s">
        <v>665</v>
      </c>
      <c r="D2037" s="21" t="s">
        <v>655</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730</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1431</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688</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row>
    <row r="2042" spans="1:12">
      <c r="A2042" s="20" t="s">
        <v>1432</v>
      </c>
    </row>
    <row r="2043" spans="1:12">
      <c r="A2043" s="20" t="s">
        <v>1433</v>
      </c>
      <c r="B2043" s="21" t="s">
        <v>673</v>
      </c>
      <c r="C2043" s="21" t="s">
        <v>698</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885</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1434</v>
      </c>
      <c r="B2045" s="21" t="s">
        <v>671</v>
      </c>
      <c r="C2045" s="21" t="s">
        <v>684</v>
      </c>
      <c r="D2045" s="21" t="s">
        <v>655</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1435</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709</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827</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1007</v>
      </c>
      <c r="B2049" s="21" t="s">
        <v>664</v>
      </c>
      <c r="C2049" s="21" t="s">
        <v>654</v>
      </c>
      <c r="D2049" s="21" t="s">
        <v>655</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668</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573</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1436</v>
      </c>
      <c r="B2052" s="21" t="s">
        <v>673</v>
      </c>
      <c r="C2052" s="21" t="s">
        <v>853</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923</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1437</v>
      </c>
      <c r="B2054" s="21" t="s">
        <v>673</v>
      </c>
      <c r="C2054" s="21" t="s">
        <v>684</v>
      </c>
      <c r="D2054" s="21" t="s">
        <v>655</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1438</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951</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662</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951</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1435</v>
      </c>
      <c r="B2059" s="21" t="s">
        <v>653</v>
      </c>
      <c r="C2059" s="21" t="s">
        <v>684</v>
      </c>
      <c r="D2059" s="21" t="s">
        <v>655</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662</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715</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1103</v>
      </c>
      <c r="B2062" s="21" t="s">
        <v>673</v>
      </c>
      <c r="C2062" s="21" t="s">
        <v>695</v>
      </c>
      <c r="D2062" s="21" t="s">
        <v>655</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1108</v>
      </c>
      <c r="B2063" s="21" t="s">
        <v>692</v>
      </c>
      <c r="C2063" s="21" t="s">
        <v>698</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662</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711</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660</v>
      </c>
      <c r="B2066" s="21" t="s">
        <v>671</v>
      </c>
      <c r="C2066" s="21" t="s">
        <v>661</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1013</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1439</v>
      </c>
      <c r="B2068" s="21" t="s">
        <v>877</v>
      </c>
      <c r="C2068" s="21" t="s">
        <v>698</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715</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676</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1387</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1440</v>
      </c>
      <c r="B2072" s="21" t="s">
        <v>683</v>
      </c>
      <c r="C2072" s="21" t="s">
        <v>678</v>
      </c>
      <c r="D2072" s="21" t="s">
        <v>655</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1441</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688</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row>
    <row r="2076" spans="1:12">
      <c r="A2076" s="20" t="s">
        <v>1442</v>
      </c>
    </row>
    <row r="2077" spans="1:12">
      <c r="A2077" s="20" t="s">
        <v>652</v>
      </c>
      <c r="B2077" s="21" t="s">
        <v>653</v>
      </c>
      <c r="C2077" s="21" t="s">
        <v>654</v>
      </c>
      <c r="D2077" s="21" t="s">
        <v>655</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656</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783</v>
      </c>
      <c r="B2079" s="21" t="s">
        <v>653</v>
      </c>
      <c r="C2079" s="21" t="s">
        <v>654</v>
      </c>
      <c r="D2079" s="21" t="s">
        <v>655</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785</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320</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735</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1443</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829</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1444</v>
      </c>
      <c r="B2085" s="21" t="s">
        <v>664</v>
      </c>
      <c r="C2085" s="21" t="s">
        <v>678</v>
      </c>
      <c r="D2085" s="21" t="s">
        <v>655</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1445</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1202</v>
      </c>
      <c r="B2087" s="21" t="s">
        <v>671</v>
      </c>
      <c r="C2087" s="21" t="s">
        <v>1120</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1446</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662</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709</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764</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791</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829</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1447</v>
      </c>
      <c r="B2094" s="21" t="s">
        <v>692</v>
      </c>
      <c r="C2094" s="21" t="s">
        <v>678</v>
      </c>
      <c r="D2094" s="21" t="s">
        <v>655</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1445</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1202</v>
      </c>
      <c r="B2096" s="21" t="s">
        <v>673</v>
      </c>
      <c r="C2096" s="21" t="s">
        <v>1120</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662</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1310</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829</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662</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829</v>
      </c>
      <c r="B2101" s="21" t="s">
        <v>701</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955</v>
      </c>
      <c r="B2102" s="21" t="s">
        <v>877</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1154</v>
      </c>
      <c r="B2103" s="21" t="s">
        <v>701</v>
      </c>
      <c r="C2103" s="21" t="s">
        <v>698</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985</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676</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1448</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1324</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871</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688</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row>
    <row r="2111" spans="1:12">
      <c r="A2111" s="20" t="s">
        <v>1449</v>
      </c>
    </row>
    <row r="2112" spans="1:12">
      <c r="A2112" s="20" t="s">
        <v>1450</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1451</v>
      </c>
      <c r="B2113" s="21" t="s">
        <v>692</v>
      </c>
      <c r="C2113" s="21" t="s">
        <v>698</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1452</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1453</v>
      </c>
      <c r="B2115" s="21" t="s">
        <v>653</v>
      </c>
      <c r="C2115" s="21" t="s">
        <v>698</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688</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row>
    <row r="2118" spans="1:12">
      <c r="A2118" s="20" t="s">
        <v>1454</v>
      </c>
    </row>
    <row r="2119" spans="1:12">
      <c r="A2119" s="20" t="s">
        <v>1443</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788</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755</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1455</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1456</v>
      </c>
      <c r="B2123" s="21" t="s">
        <v>692</v>
      </c>
      <c r="C2123" s="21" t="s">
        <v>1120</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328</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922</v>
      </c>
      <c r="B2125" s="21" t="s">
        <v>653</v>
      </c>
      <c r="C2125" s="21" t="s">
        <v>665</v>
      </c>
      <c r="D2125" s="21" t="s">
        <v>655</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662</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712</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817</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607</v>
      </c>
      <c r="B2129" s="21" t="s">
        <v>667</v>
      </c>
      <c r="C2129" s="21" t="s">
        <v>678</v>
      </c>
      <c r="D2129" s="21" t="s">
        <v>655</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705</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924</v>
      </c>
      <c r="B2131" s="21" t="s">
        <v>671</v>
      </c>
      <c r="C2131" s="21" t="s">
        <v>678</v>
      </c>
      <c r="D2131" s="21" t="s">
        <v>655</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662</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795</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1457</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709</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1458</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662</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885</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676</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1377</v>
      </c>
      <c r="B2140" s="21" t="s">
        <v>673</v>
      </c>
      <c r="C2140" s="21" t="s">
        <v>678</v>
      </c>
      <c r="D2140" s="21" t="s">
        <v>655</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705</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1387</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1459</v>
      </c>
      <c r="B2143" s="21" t="s">
        <v>671</v>
      </c>
      <c r="C2143" s="21" t="s">
        <v>678</v>
      </c>
      <c r="D2143" s="21" t="s">
        <v>655</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1460</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687</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662</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955</v>
      </c>
      <c r="B2147" s="21" t="s">
        <v>667</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1157</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1461</v>
      </c>
      <c r="B2149" s="21" t="s">
        <v>673</v>
      </c>
      <c r="C2149" s="21" t="s">
        <v>698</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795</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1462</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688</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row>
    <row r="2154" spans="1:12">
      <c r="A2154" s="20" t="s">
        <v>1463</v>
      </c>
    </row>
    <row r="2155" spans="1:12">
      <c r="A2155" s="20" t="s">
        <v>881</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662</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1464</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662</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1159</v>
      </c>
      <c r="B2159" s="21" t="s">
        <v>653</v>
      </c>
      <c r="C2159" s="21" t="s">
        <v>698</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709</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1465</v>
      </c>
      <c r="B2161" s="21" t="s">
        <v>673</v>
      </c>
      <c r="C2161" s="21" t="s">
        <v>698</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1268</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817</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1466</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1467</v>
      </c>
      <c r="B2165" s="21" t="s">
        <v>692</v>
      </c>
      <c r="C2165" s="21" t="s">
        <v>678</v>
      </c>
      <c r="D2165" s="21" t="s">
        <v>655</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705</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924</v>
      </c>
      <c r="B2167" s="21" t="s">
        <v>692</v>
      </c>
      <c r="C2167" s="21" t="s">
        <v>678</v>
      </c>
      <c r="D2167" s="21" t="s">
        <v>655</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688</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row>
    <row r="2170" spans="1:12">
      <c r="A2170" s="20" t="s">
        <v>1468</v>
      </c>
    </row>
    <row r="2171" spans="1:12">
      <c r="A2171" s="20" t="s">
        <v>848</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1378</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328</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922</v>
      </c>
      <c r="B2174" s="21" t="s">
        <v>653</v>
      </c>
      <c r="C2174" s="21" t="s">
        <v>665</v>
      </c>
      <c r="D2174" s="21" t="s">
        <v>655</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1469</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662</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755</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1470</v>
      </c>
      <c r="B2178" s="21" t="s">
        <v>671</v>
      </c>
      <c r="C2178" s="21" t="s">
        <v>1471</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1472</v>
      </c>
      <c r="B2179" s="21" t="s">
        <v>673</v>
      </c>
      <c r="C2179" s="21" t="s">
        <v>698</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922</v>
      </c>
      <c r="B2180" s="21" t="s">
        <v>664</v>
      </c>
      <c r="C2180" s="21" t="s">
        <v>665</v>
      </c>
      <c r="D2180" s="21" t="s">
        <v>655</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1473</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1268</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662</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1080</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922</v>
      </c>
      <c r="B2185" s="21" t="s">
        <v>664</v>
      </c>
      <c r="C2185" s="21" t="s">
        <v>665</v>
      </c>
      <c r="D2185" s="21" t="s">
        <v>655</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725</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1474</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127</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688</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row>
    <row r="2191" spans="1:12">
      <c r="A2191" s="20" t="s">
        <v>1475</v>
      </c>
    </row>
    <row r="2192" spans="1:12">
      <c r="A2192" s="20" t="s">
        <v>1476</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687</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1477</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720</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829</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1478</v>
      </c>
      <c r="B2197" s="21" t="s">
        <v>692</v>
      </c>
      <c r="C2197" s="21" t="s">
        <v>678</v>
      </c>
      <c r="D2197" s="21" t="s">
        <v>655</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885</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1230</v>
      </c>
      <c r="B2199" s="21" t="s">
        <v>692</v>
      </c>
      <c r="C2199" s="21" t="s">
        <v>698</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662</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824</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1393</v>
      </c>
      <c r="B2202" s="21" t="s">
        <v>673</v>
      </c>
      <c r="C2202" s="21" t="s">
        <v>674</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705</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1479</v>
      </c>
      <c r="B2204" s="21" t="s">
        <v>671</v>
      </c>
      <c r="C2204" s="21" t="s">
        <v>678</v>
      </c>
      <c r="D2204" s="21" t="s">
        <v>655</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662</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669</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1323</v>
      </c>
      <c r="B2207" s="21" t="s">
        <v>673</v>
      </c>
      <c r="C2207" s="21" t="s">
        <v>674</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681</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1140</v>
      </c>
      <c r="B2209" s="21" t="s">
        <v>683</v>
      </c>
      <c r="C2209" s="21" t="s">
        <v>695</v>
      </c>
      <c r="D2209" s="21" t="s">
        <v>655</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1200</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950</v>
      </c>
      <c r="B2211" s="21" t="s">
        <v>671</v>
      </c>
      <c r="C2211" s="21" t="s">
        <v>698</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688</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row>
    <row r="2214" spans="1:12">
      <c r="A2214" s="20" t="s">
        <v>1480</v>
      </c>
    </row>
    <row r="2215" spans="1:12">
      <c r="A2215" s="20" t="s">
        <v>1312</v>
      </c>
      <c r="B2215" s="21" t="s">
        <v>653</v>
      </c>
      <c r="C2215" s="21" t="s">
        <v>665</v>
      </c>
      <c r="D2215" s="21" t="s">
        <v>655</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1000</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938</v>
      </c>
      <c r="B2217" s="21" t="s">
        <v>658</v>
      </c>
      <c r="C2217" s="21" t="s">
        <v>665</v>
      </c>
      <c r="D2217" s="21" t="s">
        <v>655</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785</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1150</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660</v>
      </c>
      <c r="B2220" s="21" t="s">
        <v>658</v>
      </c>
      <c r="C2220" s="21" t="s">
        <v>665</v>
      </c>
      <c r="D2220" s="21" t="s">
        <v>655</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343</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688</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row>
    <row r="2224" spans="1:12">
      <c r="A2224" s="20" t="s">
        <v>1481</v>
      </c>
    </row>
    <row r="2225" spans="1:12">
      <c r="A2225" s="20" t="s">
        <v>1312</v>
      </c>
      <c r="B2225" s="21" t="s">
        <v>653</v>
      </c>
      <c r="C2225" s="21" t="s">
        <v>665</v>
      </c>
      <c r="D2225" s="21" t="s">
        <v>655</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1000</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1230</v>
      </c>
      <c r="B2227" s="21" t="s">
        <v>653</v>
      </c>
      <c r="C2227" s="21" t="s">
        <v>698</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824</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1482</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1483</v>
      </c>
      <c r="B2230" s="21" t="s">
        <v>658</v>
      </c>
      <c r="C2230" s="21" t="s">
        <v>674</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177</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662</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817</v>
      </c>
      <c r="B2233" s="21" t="s">
        <v>664</v>
      </c>
      <c r="C2233" s="21" t="s">
        <v>665</v>
      </c>
      <c r="D2233" s="21" t="s">
        <v>655</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923</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1484</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1402</v>
      </c>
      <c r="B2236" s="21" t="s">
        <v>673</v>
      </c>
      <c r="C2236" s="21" t="s">
        <v>698</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1193</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917</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t="s">
        <v>688</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row>
    <row r="2241" spans="1:12">
      <c r="A2241" s="20" t="s">
        <v>1485</v>
      </c>
    </row>
    <row r="2242" spans="1:12">
      <c r="A2242" s="20" t="s">
        <v>1209</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1000</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922</v>
      </c>
      <c r="B2244" s="21" t="s">
        <v>653</v>
      </c>
      <c r="C2244" s="21" t="s">
        <v>665</v>
      </c>
      <c r="D2244" s="21" t="s">
        <v>655</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1230</v>
      </c>
      <c r="B2245" s="21" t="s">
        <v>653</v>
      </c>
      <c r="C2245" s="21" t="s">
        <v>698</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827</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1486</v>
      </c>
      <c r="B2247" s="21" t="s">
        <v>692</v>
      </c>
      <c r="C2247" s="21" t="s">
        <v>698</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350</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688</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row>
    <row r="2251" spans="1:12">
      <c r="A2251" s="20" t="s">
        <v>1487</v>
      </c>
    </row>
    <row r="2252" spans="1:12">
      <c r="A2252" s="20" t="s">
        <v>1230</v>
      </c>
      <c r="B2252" s="21" t="s">
        <v>653</v>
      </c>
      <c r="C2252" s="21" t="s">
        <v>698</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354</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681</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824</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1486</v>
      </c>
      <c r="B2256" s="21" t="s">
        <v>692</v>
      </c>
      <c r="C2256" s="21" t="s">
        <v>674</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662</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985</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817</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922</v>
      </c>
      <c r="B2260" s="21" t="s">
        <v>701</v>
      </c>
      <c r="C2260" s="21" t="s">
        <v>665</v>
      </c>
      <c r="D2260" s="21" t="s">
        <v>655</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938</v>
      </c>
      <c r="B2261" s="21" t="s">
        <v>877</v>
      </c>
      <c r="C2261" s="21" t="s">
        <v>665</v>
      </c>
      <c r="D2261" s="21" t="s">
        <v>655</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713</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791</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1488</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316</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688</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row>
    <row r="2268" spans="1:12">
      <c r="A2268" s="20" t="s">
        <v>1489</v>
      </c>
    </row>
    <row r="2269" spans="1:12">
      <c r="A2269" s="20" t="s">
        <v>652</v>
      </c>
      <c r="B2269" s="21" t="s">
        <v>653</v>
      </c>
      <c r="C2269" s="21" t="s">
        <v>654</v>
      </c>
      <c r="D2269" s="21" t="s">
        <v>655</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1241</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662</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730</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1490</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1491</v>
      </c>
      <c r="B2274" s="21" t="s">
        <v>658</v>
      </c>
      <c r="C2274" s="21" t="s">
        <v>678</v>
      </c>
      <c r="D2274" s="21" t="s">
        <v>655</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662</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730</v>
      </c>
      <c r="B2276" s="21" t="s">
        <v>877</v>
      </c>
      <c r="C2276" s="21" t="s">
        <v>665</v>
      </c>
      <c r="D2276" s="21" t="s">
        <v>655</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922</v>
      </c>
      <c r="B2277" s="21" t="s">
        <v>701</v>
      </c>
      <c r="C2277" s="21" t="s">
        <v>665</v>
      </c>
      <c r="D2277" s="21" t="s">
        <v>655</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938</v>
      </c>
      <c r="B2278" s="21" t="s">
        <v>877</v>
      </c>
      <c r="C2278" s="21" t="s">
        <v>665</v>
      </c>
      <c r="D2278" s="21" t="s">
        <v>655</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1150</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1492</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316</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662</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687</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795</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92</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662</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712</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922</v>
      </c>
      <c r="B2288" s="21" t="s">
        <v>701</v>
      </c>
      <c r="C2288" s="21" t="s">
        <v>665</v>
      </c>
      <c r="D2288" s="21" t="s">
        <v>655</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1493</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456</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1494</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688</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row>
    <row r="2294" spans="1:12">
      <c r="A2294" s="20" t="s">
        <v>1495</v>
      </c>
    </row>
    <row r="2295" spans="1:12">
      <c r="A2295" s="20" t="s">
        <v>1496</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1338</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16</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1497</v>
      </c>
      <c r="B2298" s="21" t="s">
        <v>653</v>
      </c>
      <c r="C2298" s="21" t="s">
        <v>1471</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687</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1493</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964</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row>
    <row r="2303" spans="1:12">
      <c r="A2303" s="20" t="s">
        <v>1498</v>
      </c>
    </row>
    <row r="2304" spans="1:12">
      <c r="A2304" s="20" t="s">
        <v>919</v>
      </c>
      <c r="B2304" s="21" t="s">
        <v>653</v>
      </c>
      <c r="C2304" s="21" t="s">
        <v>654</v>
      </c>
      <c r="D2304" s="21" t="s">
        <v>655</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1301</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852</v>
      </c>
      <c r="B2306" s="21" t="s">
        <v>673</v>
      </c>
      <c r="C2306" s="21" t="s">
        <v>665</v>
      </c>
      <c r="D2306" s="21" t="s">
        <v>655</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1499</v>
      </c>
      <c r="B2307" s="21" t="s">
        <v>658</v>
      </c>
      <c r="C2307" s="21" t="s">
        <v>853</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688</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row>
    <row r="2310" spans="1:12">
      <c r="A2310" s="20" t="s">
        <v>1500</v>
      </c>
    </row>
    <row r="2311" spans="1:12">
      <c r="A2311" s="20" t="s">
        <v>919</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1301</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720</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1501</v>
      </c>
      <c r="B2314" s="21" t="s">
        <v>653</v>
      </c>
      <c r="C2314" s="21" t="s">
        <v>678</v>
      </c>
      <c r="D2314" s="21" t="s">
        <v>655</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688</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row>
    <row r="2317" spans="1:12">
      <c r="A2317" s="20" t="s">
        <v>1502</v>
      </c>
    </row>
    <row r="2318" spans="1:12">
      <c r="A2318" s="20" t="s">
        <v>1087</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372</v>
      </c>
      <c r="B2319" s="21" t="s">
        <v>692</v>
      </c>
      <c r="C2319" s="21" t="s">
        <v>678</v>
      </c>
      <c r="D2319" s="21" t="s">
        <v>655</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688</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row>
    <row r="2322" spans="1:12">
      <c r="A2322" s="20" t="s">
        <v>1503</v>
      </c>
    </row>
    <row r="2323" spans="1:12">
      <c r="A2323" s="20" t="s">
        <v>916</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791</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720</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376</v>
      </c>
      <c r="B2326" s="21" t="s">
        <v>692</v>
      </c>
      <c r="C2326" s="21" t="s">
        <v>678</v>
      </c>
      <c r="D2326" s="21" t="s">
        <v>655</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688</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row>
    <row r="2329" spans="1:12">
      <c r="A2329" s="20" t="s">
        <v>1504</v>
      </c>
    </row>
    <row r="2330" spans="1:12">
      <c r="A2330" s="20" t="s">
        <v>848</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1146</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999</v>
      </c>
      <c r="B2332" s="21" t="s">
        <v>653</v>
      </c>
      <c r="C2332" s="21" t="s">
        <v>654</v>
      </c>
      <c r="D2332" s="21" t="s">
        <v>655</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773</v>
      </c>
      <c r="B2333" s="21" t="s">
        <v>673</v>
      </c>
      <c r="C2333" s="21" t="s">
        <v>729</v>
      </c>
      <c r="D2333" s="21" t="s">
        <v>655</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1505</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662</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1506</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864</v>
      </c>
      <c r="B2337" s="21" t="s">
        <v>658</v>
      </c>
      <c r="C2337" s="21" t="s">
        <v>775</v>
      </c>
      <c r="D2337" s="21" t="s">
        <v>655</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725</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424</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380</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958</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662</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1080</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783</v>
      </c>
      <c r="B2344" s="21" t="s">
        <v>664</v>
      </c>
      <c r="C2344" s="21" t="s">
        <v>654</v>
      </c>
      <c r="D2344" s="21" t="s">
        <v>655</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902</v>
      </c>
      <c r="B2345" s="21" t="s">
        <v>664</v>
      </c>
      <c r="C2345" s="21" t="s">
        <v>665</v>
      </c>
      <c r="D2345" s="21" t="s">
        <v>655</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725</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1507</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964</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row>
    <row r="2350" spans="1:12">
      <c r="A2350" s="20" t="s">
        <v>1508</v>
      </c>
    </row>
    <row r="2351" spans="1:12">
      <c r="A2351" s="20" t="s">
        <v>1509</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1510</v>
      </c>
      <c r="B2352" s="21" t="s">
        <v>673</v>
      </c>
      <c r="C2352" s="21" t="s">
        <v>698</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1511</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652</v>
      </c>
      <c r="B2354" s="21" t="s">
        <v>653</v>
      </c>
      <c r="C2354" s="21" t="s">
        <v>654</v>
      </c>
      <c r="D2354" s="21" t="s">
        <v>655</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1512</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662</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1412</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791</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688</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row>
    <row r="2361" spans="1:12">
      <c r="A2361" s="20" t="s">
        <v>1513</v>
      </c>
    </row>
    <row r="2362" spans="1:12">
      <c r="A2362" s="20" t="s">
        <v>919</v>
      </c>
      <c r="B2362" s="21" t="s">
        <v>653</v>
      </c>
      <c r="C2362" s="21" t="s">
        <v>654</v>
      </c>
      <c r="D2362" s="21" t="s">
        <v>655</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860</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1025</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662</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1080</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922</v>
      </c>
      <c r="B2367" s="21" t="s">
        <v>664</v>
      </c>
      <c r="C2367" s="21" t="s">
        <v>665</v>
      </c>
      <c r="D2367" s="21" t="s">
        <v>655</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898</v>
      </c>
      <c r="B2368" s="21" t="s">
        <v>671</v>
      </c>
      <c r="C2368" s="21" t="s">
        <v>729</v>
      </c>
      <c r="D2368" s="21" t="s">
        <v>655</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1514</v>
      </c>
      <c r="B2369" s="21" t="s">
        <v>667</v>
      </c>
      <c r="C2369" s="21" t="s">
        <v>775</v>
      </c>
      <c r="D2369" s="21" t="s">
        <v>655</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829</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1515</v>
      </c>
      <c r="B2371" s="21" t="s">
        <v>671</v>
      </c>
      <c r="C2371" s="21" t="s">
        <v>678</v>
      </c>
      <c r="D2371" s="21" t="s">
        <v>655</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1516</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669</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1517</v>
      </c>
      <c r="B2374" s="21" t="s">
        <v>673</v>
      </c>
      <c r="C2374" s="21" t="s">
        <v>661</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829</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1181</v>
      </c>
      <c r="B2376" s="21" t="s">
        <v>671</v>
      </c>
      <c r="C2376" s="21" t="s">
        <v>678</v>
      </c>
      <c r="D2376" s="21" t="s">
        <v>655</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962</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829</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1518</v>
      </c>
      <c r="B2379" s="21" t="s">
        <v>683</v>
      </c>
      <c r="C2379" s="21" t="s">
        <v>678</v>
      </c>
      <c r="D2379" s="21" t="s">
        <v>655</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662</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845</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783</v>
      </c>
      <c r="B2382" s="21" t="s">
        <v>1178</v>
      </c>
      <c r="C2382" s="21" t="s">
        <v>654</v>
      </c>
      <c r="D2382" s="21" t="s">
        <v>655</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1048</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713</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669</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1519</v>
      </c>
      <c r="B2386" s="21" t="s">
        <v>1178</v>
      </c>
      <c r="C2386" s="21" t="s">
        <v>661</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1520</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795</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1521</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662</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1522</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1523</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688</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row>
    <row r="2395" spans="1:12">
      <c r="A2395" s="20" t="s">
        <v>1524</v>
      </c>
    </row>
    <row r="2396" spans="1:12">
      <c r="A2396" s="20" t="s">
        <v>1110</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1000</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922</v>
      </c>
      <c r="B2398" s="21" t="s">
        <v>653</v>
      </c>
      <c r="C2398" s="21" t="s">
        <v>665</v>
      </c>
      <c r="D2398" s="21" t="s">
        <v>655</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817</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1373</v>
      </c>
      <c r="B2400" s="21" t="s">
        <v>658</v>
      </c>
      <c r="C2400" s="21" t="s">
        <v>678</v>
      </c>
      <c r="D2400" s="21" t="s">
        <v>655</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885</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1013</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1128</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1017</v>
      </c>
      <c r="B2404" s="21" t="s">
        <v>673</v>
      </c>
      <c r="C2404" s="21" t="s">
        <v>853</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392</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662</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709</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902</v>
      </c>
      <c r="B2408" s="21" t="s">
        <v>664</v>
      </c>
      <c r="C2408" s="21" t="s">
        <v>665</v>
      </c>
      <c r="D2408" s="21" t="s">
        <v>655</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1101</v>
      </c>
      <c r="B2409" s="21" t="s">
        <v>673</v>
      </c>
      <c r="C2409" s="21" t="s">
        <v>921</v>
      </c>
      <c r="D2409" s="21" t="s">
        <v>655</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1525</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662</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1180</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913</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1526</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709</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1527</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1467</v>
      </c>
      <c r="B2417" s="21" t="s">
        <v>667</v>
      </c>
      <c r="C2417" s="21" t="s">
        <v>1120</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715</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817</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1218</v>
      </c>
      <c r="B2420" s="21" t="s">
        <v>673</v>
      </c>
      <c r="C2420" s="21" t="s">
        <v>678</v>
      </c>
      <c r="D2420" s="21" t="s">
        <v>655</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1528</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688</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row>
    <row r="2424" spans="1:12">
      <c r="A2424" s="20" t="s">
        <v>1529</v>
      </c>
    </row>
    <row r="2425" spans="1:12">
      <c r="A2425" s="20" t="s">
        <v>1530</v>
      </c>
      <c r="B2425" s="21" t="s">
        <v>653</v>
      </c>
      <c r="C2425" s="21" t="s">
        <v>684</v>
      </c>
      <c r="D2425" s="21" t="s">
        <v>655</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316</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1531</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1532</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662</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712</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922</v>
      </c>
      <c r="B2431" s="21" t="s">
        <v>701</v>
      </c>
      <c r="C2431" s="21" t="s">
        <v>665</v>
      </c>
      <c r="D2431" s="21" t="s">
        <v>655</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924</v>
      </c>
      <c r="B2432" s="21" t="s">
        <v>877</v>
      </c>
      <c r="C2432" s="21" t="s">
        <v>698</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885</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730</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1533</v>
      </c>
      <c r="B2435" s="21" t="s">
        <v>671</v>
      </c>
      <c r="C2435" s="21" t="s">
        <v>678</v>
      </c>
      <c r="D2435" s="21" t="s">
        <v>655</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1394</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1218</v>
      </c>
      <c r="B2437" s="21" t="s">
        <v>683</v>
      </c>
      <c r="C2437" s="21" t="s">
        <v>698</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693</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679</v>
      </c>
      <c r="B2439" s="21" t="s">
        <v>701</v>
      </c>
      <c r="C2439" s="21" t="s">
        <v>665</v>
      </c>
      <c r="D2439" s="21" t="s">
        <v>655</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1534</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316</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735</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1535</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795</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456</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709</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890</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892</v>
      </c>
      <c r="B2448" s="21" t="s">
        <v>1075</v>
      </c>
      <c r="C2448" s="21" t="s">
        <v>674</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795</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1536</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688</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row>
    <row r="2453" spans="1:12">
      <c r="A2453" s="20" t="s">
        <v>1537</v>
      </c>
    </row>
    <row r="2454" spans="1:12">
      <c r="A2454" s="20" t="s">
        <v>919</v>
      </c>
      <c r="B2454" s="21" t="s">
        <v>653</v>
      </c>
      <c r="C2454" s="21" t="s">
        <v>654</v>
      </c>
      <c r="D2454" s="21" t="s">
        <v>655</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1301</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1538</v>
      </c>
      <c r="B2456" s="21" t="s">
        <v>658</v>
      </c>
      <c r="C2456" s="21" t="s">
        <v>698</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1318</v>
      </c>
      <c r="B2457" s="21" t="s">
        <v>673</v>
      </c>
      <c r="C2457" s="21" t="s">
        <v>921</v>
      </c>
      <c r="D2457" s="21" t="s">
        <v>655</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662</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712</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707</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817</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1539</v>
      </c>
      <c r="B2462" s="21" t="s">
        <v>701</v>
      </c>
      <c r="C2462" s="21" t="s">
        <v>678</v>
      </c>
      <c r="D2462" s="21" t="s">
        <v>655</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668</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1540</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1436</v>
      </c>
      <c r="B2465" s="21" t="s">
        <v>671</v>
      </c>
      <c r="C2465" s="21" t="s">
        <v>853</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1541</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924</v>
      </c>
      <c r="B2467" s="21" t="s">
        <v>877</v>
      </c>
      <c r="C2467" s="21" t="s">
        <v>698</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709</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924</v>
      </c>
      <c r="B2469" s="21" t="s">
        <v>683</v>
      </c>
      <c r="C2469" s="21" t="s">
        <v>698</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703</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1542</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1543</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1544</v>
      </c>
      <c r="B2473" s="21" t="s">
        <v>671</v>
      </c>
      <c r="C2473" s="21" t="s">
        <v>698</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703</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1545</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316</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709</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720</v>
      </c>
      <c r="B2478" s="21" t="s">
        <v>719</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1546</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1378</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662</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952</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817</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1547</v>
      </c>
      <c r="B2484" s="21" t="s">
        <v>722</v>
      </c>
      <c r="C2484" s="21" t="s">
        <v>678</v>
      </c>
      <c r="D2484" s="21" t="s">
        <v>655</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715</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676</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1548</v>
      </c>
      <c r="B2487" s="21" t="s">
        <v>802</v>
      </c>
      <c r="C2487" s="21" t="s">
        <v>867</v>
      </c>
      <c r="D2487" s="21" t="s">
        <v>655</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801</v>
      </c>
      <c r="B2488" s="21" t="s">
        <v>1076</v>
      </c>
      <c r="C2488" s="21" t="s">
        <v>729</v>
      </c>
      <c r="D2488" s="21" t="s">
        <v>655</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924</v>
      </c>
      <c r="B2489" s="21" t="s">
        <v>1077</v>
      </c>
      <c r="C2489" s="21" t="s">
        <v>775</v>
      </c>
      <c r="D2489" s="21" t="s">
        <v>655</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681</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817</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1218</v>
      </c>
      <c r="B2492" s="21" t="s">
        <v>1077</v>
      </c>
      <c r="C2492" s="21" t="s">
        <v>678</v>
      </c>
      <c r="D2492" s="21" t="s">
        <v>655</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1549</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702</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735</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902</v>
      </c>
      <c r="B2496" s="21" t="s">
        <v>722</v>
      </c>
      <c r="C2496" s="21" t="s">
        <v>665</v>
      </c>
      <c r="D2496" s="21" t="s">
        <v>655</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316</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773</v>
      </c>
      <c r="B2498" s="21" t="s">
        <v>1077</v>
      </c>
      <c r="C2498" s="21" t="s">
        <v>729</v>
      </c>
      <c r="D2498" s="21" t="s">
        <v>655</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924</v>
      </c>
      <c r="B2499" s="21" t="s">
        <v>722</v>
      </c>
      <c r="C2499" s="21" t="s">
        <v>775</v>
      </c>
      <c r="D2499" s="21" t="s">
        <v>655</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791</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827</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760</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709</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738</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1166</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1550</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row>
    <row r="2508" spans="1:12">
      <c r="A2508" s="20" t="s">
        <v>1551</v>
      </c>
    </row>
    <row r="2509" spans="1:12">
      <c r="A2509" s="20" t="s">
        <v>902</v>
      </c>
      <c r="B2509" s="21" t="s">
        <v>653</v>
      </c>
      <c r="C2509" s="21" t="s">
        <v>665</v>
      </c>
      <c r="D2509" s="21" t="s">
        <v>655</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1161</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827</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660</v>
      </c>
      <c r="B2512" s="21" t="s">
        <v>692</v>
      </c>
      <c r="C2512" s="21" t="s">
        <v>661</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1552</v>
      </c>
      <c r="B2513" s="21" t="s">
        <v>673</v>
      </c>
      <c r="C2513" s="21" t="s">
        <v>698</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709</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1553</v>
      </c>
      <c r="B2515" s="21" t="s">
        <v>671</v>
      </c>
      <c r="C2515" s="21" t="s">
        <v>665</v>
      </c>
      <c r="D2515" s="21" t="s">
        <v>655</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1554</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688</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row>
    <row r="2519" spans="1:12">
      <c r="A2519" s="20" t="s">
        <v>689</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1555</v>
      </c>
    </row>
    <row r="2521" spans="1:12">
      <c r="A2521" s="20" t="s">
        <v>1556</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669</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670</v>
      </c>
      <c r="B2523" s="21" t="s">
        <v>673</v>
      </c>
      <c r="C2523" s="21" t="s">
        <v>661</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1436</v>
      </c>
      <c r="B2524" s="21" t="s">
        <v>692</v>
      </c>
      <c r="C2524" s="21" t="s">
        <v>674</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1557</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700</v>
      </c>
      <c r="B2526" s="21" t="s">
        <v>653</v>
      </c>
      <c r="C2526" s="21" t="s">
        <v>654</v>
      </c>
      <c r="D2526" s="21" t="s">
        <v>655</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715</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829</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1558</v>
      </c>
      <c r="B2529" s="21" t="s">
        <v>692</v>
      </c>
      <c r="C2529" s="21" t="s">
        <v>678</v>
      </c>
      <c r="D2529" s="21" t="s">
        <v>655</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662</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715</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829</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700</v>
      </c>
      <c r="B2533" s="21" t="s">
        <v>664</v>
      </c>
      <c r="C2533" s="21" t="s">
        <v>654</v>
      </c>
      <c r="D2533" s="21" t="s">
        <v>655</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1559</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702</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662</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715</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890</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1560</v>
      </c>
      <c r="B2539" s="21" t="s">
        <v>692</v>
      </c>
      <c r="C2539" s="21" t="s">
        <v>674</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715</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1561</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723</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1562</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1563</v>
      </c>
      <c r="B2544" s="21" t="s">
        <v>673</v>
      </c>
      <c r="C2544" s="21" t="s">
        <v>684</v>
      </c>
      <c r="D2544" s="21" t="s">
        <v>655</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723</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715</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676</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1564</v>
      </c>
      <c r="B2548" s="21" t="s">
        <v>671</v>
      </c>
      <c r="C2548" s="21" t="s">
        <v>678</v>
      </c>
      <c r="D2548" s="21" t="s">
        <v>655</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885</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1565</v>
      </c>
      <c r="B2550" s="21" t="s">
        <v>683</v>
      </c>
      <c r="C2550" s="21" t="s">
        <v>684</v>
      </c>
      <c r="D2550" s="21" t="s">
        <v>655</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662</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709</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700</v>
      </c>
      <c r="B2553" s="21" t="s">
        <v>664</v>
      </c>
      <c r="C2553" s="21" t="s">
        <v>654</v>
      </c>
      <c r="D2553" s="21" t="s">
        <v>655</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1566</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1567</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668</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776</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t="s">
        <v>1568</v>
      </c>
      <c r="B2558" s="21" t="s">
        <v>673</v>
      </c>
      <c r="C2558" s="21" t="s">
        <v>674</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1509</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1569</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154</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1570</v>
      </c>
      <c r="B2562" s="21" t="s">
        <v>671</v>
      </c>
      <c r="C2562" s="21" t="s">
        <v>853</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1511</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1571</v>
      </c>
      <c r="B2564" s="21" t="s">
        <v>667</v>
      </c>
      <c r="C2564" s="21" t="s">
        <v>698</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688</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row>
    <row r="2567" spans="1:12">
      <c r="A2567" s="20" t="s">
        <v>1572</v>
      </c>
    </row>
    <row r="2568" spans="1:12">
      <c r="A2568" s="20" t="s">
        <v>919</v>
      </c>
      <c r="B2568" s="21" t="s">
        <v>653</v>
      </c>
      <c r="C2568" s="21" t="s">
        <v>654</v>
      </c>
      <c r="D2568" s="21" t="s">
        <v>655</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702</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1573</v>
      </c>
      <c r="B2570" s="21" t="s">
        <v>692</v>
      </c>
      <c r="C2570" s="21" t="s">
        <v>698</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709</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700</v>
      </c>
      <c r="B2572" s="21" t="s">
        <v>664</v>
      </c>
      <c r="C2572" s="21" t="s">
        <v>654</v>
      </c>
      <c r="D2572" s="21" t="s">
        <v>655</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1574</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1575</v>
      </c>
      <c r="B2574" s="21" t="s">
        <v>667</v>
      </c>
      <c r="C2574" s="21" t="s">
        <v>684</v>
      </c>
      <c r="D2574" s="21" t="s">
        <v>655</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985</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688</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row>
    <row r="2578" spans="1:12">
      <c r="A2578" s="20" t="s">
        <v>689</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1576</v>
      </c>
    </row>
    <row r="2580" spans="1:12">
      <c r="A2580" s="20" t="s">
        <v>848</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700</v>
      </c>
      <c r="B2581" s="21" t="s">
        <v>664</v>
      </c>
      <c r="C2581" s="21" t="s">
        <v>654</v>
      </c>
      <c r="D2581" s="21" t="s">
        <v>655</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1577</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662</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863</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669</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1578</v>
      </c>
      <c r="B2586" s="21" t="s">
        <v>673</v>
      </c>
      <c r="C2586" s="21" t="s">
        <v>674</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1579</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666</v>
      </c>
      <c r="B2588" s="21" t="s">
        <v>671</v>
      </c>
      <c r="C2588" s="21" t="s">
        <v>654</v>
      </c>
      <c r="D2588" s="21" t="s">
        <v>655</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1580</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662</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723</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1581</v>
      </c>
      <c r="B2592" s="21" t="s">
        <v>653</v>
      </c>
      <c r="C2592" s="21" t="s">
        <v>684</v>
      </c>
      <c r="D2592" s="21" t="s">
        <v>655</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1080</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720</v>
      </c>
      <c r="B2594" s="21" t="s">
        <v>701</v>
      </c>
      <c r="C2594" s="21" t="s">
        <v>665</v>
      </c>
      <c r="D2594" s="21" t="s">
        <v>655</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791</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1067</v>
      </c>
      <c r="B2596" s="21" t="s">
        <v>671</v>
      </c>
      <c r="C2596" s="21" t="s">
        <v>684</v>
      </c>
      <c r="D2596" s="21" t="s">
        <v>655</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1582</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687</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688</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723</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row>
    <row r="2602" spans="1:12">
      <c r="A2602" s="20" t="s">
        <v>1583</v>
      </c>
    </row>
    <row r="2603" spans="1:12">
      <c r="A2603" s="20" t="s">
        <v>848</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700</v>
      </c>
      <c r="B2604" s="21" t="s">
        <v>653</v>
      </c>
      <c r="C2604" s="21" t="s">
        <v>654</v>
      </c>
      <c r="D2604" s="21" t="s">
        <v>655</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417</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797</v>
      </c>
      <c r="B2606" s="21" t="s">
        <v>658</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845</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709</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1584</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857</v>
      </c>
      <c r="B2610" s="21" t="s">
        <v>671</v>
      </c>
      <c r="C2610" s="21" t="s">
        <v>729</v>
      </c>
      <c r="D2610" s="21" t="s">
        <v>655</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1585</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1586</v>
      </c>
      <c r="B2612" s="21" t="s">
        <v>667</v>
      </c>
      <c r="C2612" s="21" t="s">
        <v>775</v>
      </c>
      <c r="D2612" s="21" t="s">
        <v>655</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688</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row>
    <row r="2615" spans="1:12">
      <c r="A2615" s="20" t="s">
        <v>1587</v>
      </c>
    </row>
    <row r="2616" spans="1:12">
      <c r="A2616" s="20" t="s">
        <v>652</v>
      </c>
      <c r="B2616" s="21" t="s">
        <v>653</v>
      </c>
      <c r="C2616" s="21" t="s">
        <v>654</v>
      </c>
      <c r="D2616" s="21" t="s">
        <v>655</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t="s">
        <v>1574</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1588</v>
      </c>
      <c r="B2618" s="21" t="s">
        <v>673</v>
      </c>
      <c r="C2618" s="21" t="s">
        <v>665</v>
      </c>
      <c r="D2618" s="21" t="s">
        <v>655</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1589</v>
      </c>
      <c r="B2619" s="21" t="s">
        <v>658</v>
      </c>
      <c r="C2619" s="21" t="s">
        <v>853</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1497</v>
      </c>
      <c r="B2620" s="21" t="s">
        <v>671</v>
      </c>
      <c r="C2620" s="21" t="s">
        <v>1471</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1007</v>
      </c>
      <c r="B2621" s="21" t="s">
        <v>701</v>
      </c>
      <c r="C2621" s="21" t="s">
        <v>654</v>
      </c>
      <c r="D2621" s="21" t="s">
        <v>655</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687</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688</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row>
    <row r="2625" spans="1:12">
      <c r="A2625" s="20" t="s">
        <v>689</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1590</v>
      </c>
    </row>
    <row r="2627" spans="1:12">
      <c r="A2627" s="20" t="s">
        <v>848</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700</v>
      </c>
      <c r="B2628" s="21" t="s">
        <v>664</v>
      </c>
      <c r="C2628" s="21" t="s">
        <v>654</v>
      </c>
      <c r="D2628" s="21" t="s">
        <v>655</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1591</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723</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1592</v>
      </c>
      <c r="B2631" s="21" t="s">
        <v>667</v>
      </c>
      <c r="C2631" s="21" t="s">
        <v>698</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662</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1593</v>
      </c>
      <c r="B2633" s="21" t="s">
        <v>671</v>
      </c>
      <c r="C2633" s="21" t="s">
        <v>698</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662</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424</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922</v>
      </c>
      <c r="B2636" s="21" t="s">
        <v>653</v>
      </c>
      <c r="C2636" s="21" t="s">
        <v>665</v>
      </c>
      <c r="D2636" s="21" t="s">
        <v>655</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938</v>
      </c>
      <c r="B2637" s="21" t="s">
        <v>658</v>
      </c>
      <c r="C2637" s="21" t="s">
        <v>665</v>
      </c>
      <c r="D2637" s="21" t="s">
        <v>655</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964</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row>
    <row r="2640" spans="1:12">
      <c r="A2640" s="20" t="s">
        <v>689</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1594</v>
      </c>
    </row>
    <row r="2642" spans="1:12">
      <c r="A2642" s="20" t="s">
        <v>652</v>
      </c>
      <c r="B2642" s="21" t="s">
        <v>653</v>
      </c>
      <c r="C2642" s="21" t="s">
        <v>654</v>
      </c>
      <c r="D2642" s="21" t="s">
        <v>655</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871</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797</v>
      </c>
      <c r="B2644" s="21" t="s">
        <v>658</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791</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985</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999</v>
      </c>
      <c r="B2647" s="21" t="s">
        <v>692</v>
      </c>
      <c r="C2647" s="21" t="s">
        <v>654</v>
      </c>
      <c r="D2647" s="21" t="s">
        <v>655</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428</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688</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723</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row>
    <row r="2652" spans="1:12">
      <c r="A2652" s="20" t="s">
        <v>689</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1595</v>
      </c>
    </row>
    <row r="2654" spans="1:12">
      <c r="A2654" s="20" t="s">
        <v>848</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1007</v>
      </c>
      <c r="B2655" s="21" t="s">
        <v>653</v>
      </c>
      <c r="C2655" s="21" t="s">
        <v>654</v>
      </c>
      <c r="D2655" s="21" t="s">
        <v>655</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1065</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735</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723</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1596</v>
      </c>
      <c r="B2659" s="21" t="s">
        <v>683</v>
      </c>
      <c r="C2659" s="21" t="s">
        <v>684</v>
      </c>
      <c r="D2659" s="21" t="s">
        <v>655</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1597</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662</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999</v>
      </c>
      <c r="B2662" s="21" t="s">
        <v>664</v>
      </c>
      <c r="C2662" s="21" t="s">
        <v>654</v>
      </c>
      <c r="D2662" s="21" t="s">
        <v>655</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1598</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955</v>
      </c>
      <c r="B2664" s="21" t="s">
        <v>667</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1291</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985</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797</v>
      </c>
      <c r="B2667" s="21" t="s">
        <v>673</v>
      </c>
      <c r="C2667" s="21" t="s">
        <v>654</v>
      </c>
      <c r="D2667" s="21" t="s">
        <v>655</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428</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688</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row>
    <row r="2671" spans="1:12">
      <c r="A2671" s="20" t="s">
        <v>689</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1599</v>
      </c>
    </row>
    <row r="2673" spans="1:12">
      <c r="A2673" s="20" t="s">
        <v>1257</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700</v>
      </c>
      <c r="B2674" s="21" t="s">
        <v>701</v>
      </c>
      <c r="C2674" s="21" t="s">
        <v>654</v>
      </c>
      <c r="D2674" s="21" t="s">
        <v>655</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999</v>
      </c>
      <c r="B2675" s="21" t="s">
        <v>877</v>
      </c>
      <c r="C2675" s="21" t="s">
        <v>654</v>
      </c>
      <c r="D2675" s="21" t="s">
        <v>655</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795</v>
      </c>
      <c r="B2676" s="21" t="s">
        <v>683</v>
      </c>
      <c r="C2676" s="21" t="s">
        <v>661</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676</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1600</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1496</v>
      </c>
      <c r="B2679" s="21" t="s">
        <v>671</v>
      </c>
      <c r="C2679" s="21" t="s">
        <v>678</v>
      </c>
      <c r="D2679" s="21" t="s">
        <v>655</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1601</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662</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814</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700</v>
      </c>
      <c r="B2683" s="21" t="s">
        <v>664</v>
      </c>
      <c r="C2683" s="21" t="s">
        <v>654</v>
      </c>
      <c r="D2683" s="21" t="s">
        <v>655</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999</v>
      </c>
      <c r="B2684" s="21" t="s">
        <v>667</v>
      </c>
      <c r="C2684" s="21" t="s">
        <v>654</v>
      </c>
      <c r="D2684" s="21" t="s">
        <v>655</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755</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676</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1602</v>
      </c>
      <c r="B2687" s="21" t="s">
        <v>692</v>
      </c>
      <c r="C2687" s="21" t="s">
        <v>678</v>
      </c>
      <c r="D2687" s="21" t="s">
        <v>655</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1603</v>
      </c>
      <c r="B2688" s="21" t="s">
        <v>671</v>
      </c>
      <c r="C2688" s="21" t="s">
        <v>695</v>
      </c>
      <c r="D2688" s="21" t="s">
        <v>655</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1604</v>
      </c>
      <c r="B2689" s="21" t="s">
        <v>673</v>
      </c>
      <c r="C2689" s="21" t="s">
        <v>698</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1605</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688</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723</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row>
    <row r="2694" spans="1:12">
      <c r="A2694" s="20" t="s">
        <v>1606</v>
      </c>
    </row>
    <row r="2695" spans="1:12">
      <c r="A2695" s="20" t="s">
        <v>440</v>
      </c>
      <c r="B2695" s="21" t="s">
        <v>692</v>
      </c>
      <c r="C2695" s="21" t="s">
        <v>684</v>
      </c>
      <c r="D2695" s="21" t="s">
        <v>655</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662</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96</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829</v>
      </c>
      <c r="B2698" s="21" t="s">
        <v>692</v>
      </c>
      <c r="C2698" s="21" t="s">
        <v>665</v>
      </c>
      <c r="D2698" s="21" t="s">
        <v>655</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688</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row>
    <row r="2701" spans="1:12">
      <c r="A2701" s="20" t="s">
        <v>1607</v>
      </c>
    </row>
    <row r="2702" spans="1:12">
      <c r="A2702" s="20" t="s">
        <v>848</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1088</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951</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783</v>
      </c>
      <c r="B2705" s="21" t="s">
        <v>653</v>
      </c>
      <c r="C2705" s="21" t="s">
        <v>654</v>
      </c>
      <c r="D2705" s="21" t="s">
        <v>655</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1608</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699</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1609</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1610</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688</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row>
    <row r="2712" spans="1:12">
      <c r="A2712" s="20" t="s">
        <v>1611</v>
      </c>
    </row>
    <row r="2713" spans="1:12">
      <c r="A2713" s="20" t="s">
        <v>1087</v>
      </c>
      <c r="B2713" s="21" t="s">
        <v>653</v>
      </c>
      <c r="C2713" s="21" t="s">
        <v>665</v>
      </c>
      <c r="D2713" s="21" t="s">
        <v>655</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702</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135</v>
      </c>
      <c r="B2715" s="21" t="s">
        <v>692</v>
      </c>
      <c r="C2715" s="21" t="s">
        <v>698</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row>
    <row r="2717" spans="1:12">
      <c r="A2717" s="20" t="s">
        <v>1612</v>
      </c>
    </row>
    <row r="2718" spans="1:12">
      <c r="A2718" s="20" t="s">
        <v>452</v>
      </c>
      <c r="B2718" s="21" t="s">
        <v>692</v>
      </c>
      <c r="C2718" s="21" t="s">
        <v>684</v>
      </c>
      <c r="D2718" s="21" t="s">
        <v>655</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662</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669</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1586</v>
      </c>
      <c r="B2721" s="21" t="s">
        <v>692</v>
      </c>
      <c r="C2721" s="21" t="s">
        <v>674</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662</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730</v>
      </c>
      <c r="B2723" s="21" t="s">
        <v>877</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700</v>
      </c>
      <c r="B2724" s="21" t="s">
        <v>701</v>
      </c>
      <c r="C2724" s="21" t="s">
        <v>654</v>
      </c>
      <c r="D2724" s="21" t="s">
        <v>655</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788</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755</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1613</v>
      </c>
      <c r="B2727" s="21" t="s">
        <v>671</v>
      </c>
      <c r="C2727" s="21" t="s">
        <v>698</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1060</v>
      </c>
      <c r="B2728" s="21" t="s">
        <v>802</v>
      </c>
      <c r="C2728" s="21" t="s">
        <v>695</v>
      </c>
      <c r="D2728" s="21" t="s">
        <v>655</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1604</v>
      </c>
      <c r="B2729" s="21" t="s">
        <v>683</v>
      </c>
      <c r="C2729" s="21" t="s">
        <v>698</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923</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857</v>
      </c>
      <c r="B2731" s="21" t="s">
        <v>683</v>
      </c>
      <c r="C2731" s="21" t="s">
        <v>729</v>
      </c>
      <c r="D2731" s="21" t="s">
        <v>655</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1614</v>
      </c>
      <c r="B2732" s="21" t="s">
        <v>671</v>
      </c>
      <c r="C2732" s="21" t="s">
        <v>775</v>
      </c>
      <c r="D2732" s="21" t="s">
        <v>655</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1615</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662</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952</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700</v>
      </c>
      <c r="B2736" s="21" t="s">
        <v>1177</v>
      </c>
      <c r="C2736" s="21" t="s">
        <v>654</v>
      </c>
      <c r="D2736" s="21" t="s">
        <v>655</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1088</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t="s">
        <v>662</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913</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1616</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662</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795</v>
      </c>
      <c r="B2742" s="21" t="s">
        <v>1077</v>
      </c>
      <c r="C2742" s="21" t="s">
        <v>661</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716</v>
      </c>
      <c r="B2743" s="21" t="s">
        <v>1077</v>
      </c>
      <c r="C2743" s="21" t="s">
        <v>695</v>
      </c>
      <c r="D2743" s="21" t="s">
        <v>655</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1433</v>
      </c>
      <c r="B2744" s="21" t="s">
        <v>802</v>
      </c>
      <c r="C2744" s="21" t="s">
        <v>698</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1327</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1617</v>
      </c>
      <c r="B2746" s="21" t="s">
        <v>719</v>
      </c>
      <c r="C2746" s="21" t="s">
        <v>853</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795</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1618</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787</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688</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row>
    <row r="2752" spans="1:12">
      <c r="A2752" s="20" t="s">
        <v>1619</v>
      </c>
    </row>
    <row r="2753" spans="1:12">
      <c r="A2753" s="20" t="s">
        <v>1620</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1621</v>
      </c>
      <c r="B2754" s="21" t="s">
        <v>653</v>
      </c>
      <c r="C2754" s="21" t="s">
        <v>678</v>
      </c>
      <c r="D2754" s="21" t="s">
        <v>655</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681</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1622</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1623</v>
      </c>
      <c r="B2757" s="21" t="s">
        <v>673</v>
      </c>
      <c r="C2757" s="21" t="s">
        <v>698</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1060</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1604</v>
      </c>
      <c r="B2759" s="21" t="s">
        <v>671</v>
      </c>
      <c r="C2759" s="21" t="s">
        <v>1120</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702</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715</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676</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1624</v>
      </c>
      <c r="B2763" s="21" t="s">
        <v>692</v>
      </c>
      <c r="C2763" s="21" t="s">
        <v>678</v>
      </c>
      <c r="D2763" s="21" t="s">
        <v>655</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662</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709</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785</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1625</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1026</v>
      </c>
      <c r="B2768" s="21" t="s">
        <v>671</v>
      </c>
      <c r="C2768" s="21" t="s">
        <v>695</v>
      </c>
      <c r="D2768" s="21" t="s">
        <v>655</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1626</v>
      </c>
      <c r="B2769" s="21" t="s">
        <v>664</v>
      </c>
      <c r="C2769" s="21" t="s">
        <v>698</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730</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1586</v>
      </c>
      <c r="B2771" s="21" t="s">
        <v>667</v>
      </c>
      <c r="C2771" s="21" t="s">
        <v>678</v>
      </c>
      <c r="D2771" s="21" t="s">
        <v>655</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662</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829</v>
      </c>
      <c r="B2773" s="21" t="s">
        <v>719</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797</v>
      </c>
      <c r="B2774" s="21" t="s">
        <v>798</v>
      </c>
      <c r="C2774" s="21" t="s">
        <v>654</v>
      </c>
      <c r="D2774" s="21" t="s">
        <v>655</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795</v>
      </c>
      <c r="B2775" s="21" t="s">
        <v>802</v>
      </c>
      <c r="C2775" s="21" t="s">
        <v>661</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829</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844</v>
      </c>
      <c r="B2777" s="21" t="s">
        <v>683</v>
      </c>
      <c r="C2777" s="21" t="s">
        <v>678</v>
      </c>
      <c r="D2777" s="21" t="s">
        <v>655</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1627</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662</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1628</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791</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688</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row>
    <row r="2784" spans="1:12">
      <c r="A2784" s="20" t="s">
        <v>1629</v>
      </c>
    </row>
    <row r="2785" spans="1:12">
      <c r="A2785" s="20" t="s">
        <v>848</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952</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700</v>
      </c>
      <c r="B2787" s="21" t="s">
        <v>664</v>
      </c>
      <c r="C2787" s="21" t="s">
        <v>654</v>
      </c>
      <c r="D2787" s="21" t="s">
        <v>655</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1055</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1630</v>
      </c>
      <c r="B2789" s="21" t="s">
        <v>673</v>
      </c>
      <c r="C2789" s="21" t="s">
        <v>684</v>
      </c>
      <c r="D2789" s="21" t="s">
        <v>655</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861</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1006</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662</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709</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1026</v>
      </c>
      <c r="B2794" s="21" t="s">
        <v>683</v>
      </c>
      <c r="C2794" s="21" t="s">
        <v>695</v>
      </c>
      <c r="D2794" s="21" t="s">
        <v>655</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1631</v>
      </c>
      <c r="B2795" s="21" t="s">
        <v>701</v>
      </c>
      <c r="C2795" s="21" t="s">
        <v>684</v>
      </c>
      <c r="D2795" s="21" t="s">
        <v>655</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955</v>
      </c>
      <c r="B2796" s="21" t="s">
        <v>877</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800</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972</v>
      </c>
      <c r="B2798" s="21" t="s">
        <v>671</v>
      </c>
      <c r="C2798" s="21" t="s">
        <v>654</v>
      </c>
      <c r="D2798" s="21" t="s">
        <v>655</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1632</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1633</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709</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700</v>
      </c>
      <c r="B2802" s="21" t="s">
        <v>701</v>
      </c>
      <c r="C2802" s="21" t="s">
        <v>654</v>
      </c>
      <c r="D2802" s="21" t="s">
        <v>655</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788</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669</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670</v>
      </c>
      <c r="B2805" s="21" t="s">
        <v>683</v>
      </c>
      <c r="C2805" s="21" t="s">
        <v>661</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1634</v>
      </c>
      <c r="B2806" s="21" t="s">
        <v>877</v>
      </c>
      <c r="C2806" s="21" t="s">
        <v>674</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985</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1022</v>
      </c>
      <c r="B2808" s="21" t="s">
        <v>671</v>
      </c>
      <c r="C2808" s="21" t="s">
        <v>729</v>
      </c>
      <c r="D2808" s="21" t="s">
        <v>655</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709</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669</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670</v>
      </c>
      <c r="B2811" s="21" t="s">
        <v>683</v>
      </c>
      <c r="C2811" s="21" t="s">
        <v>661</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1634</v>
      </c>
      <c r="B2812" s="21" t="s">
        <v>877</v>
      </c>
      <c r="C2812" s="21" t="s">
        <v>674</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985</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676</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1332</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1635</v>
      </c>
      <c r="B2816" s="21" t="s">
        <v>671</v>
      </c>
      <c r="C2816" s="21" t="s">
        <v>1636</v>
      </c>
      <c r="D2816" s="21" t="s">
        <v>655</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1574</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702</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1007</v>
      </c>
      <c r="B2819" s="21" t="s">
        <v>653</v>
      </c>
      <c r="C2819" s="21" t="s">
        <v>654</v>
      </c>
      <c r="D2819" s="21" t="s">
        <v>655</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829</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1637</v>
      </c>
      <c r="B2821" s="21" t="s">
        <v>692</v>
      </c>
      <c r="C2821" s="21" t="s">
        <v>678</v>
      </c>
      <c r="D2821" s="21" t="s">
        <v>655</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662</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801</v>
      </c>
      <c r="B2823" s="21" t="s">
        <v>671</v>
      </c>
      <c r="C2823" s="21" t="s">
        <v>729</v>
      </c>
      <c r="D2823" s="21" t="s">
        <v>655</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1638</v>
      </c>
      <c r="B2824" s="21" t="s">
        <v>664</v>
      </c>
      <c r="C2824" s="21" t="s">
        <v>775</v>
      </c>
      <c r="D2824" s="21" t="s">
        <v>655</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780</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817</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1639</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1640</v>
      </c>
      <c r="B2828" s="21" t="s">
        <v>667</v>
      </c>
      <c r="C2828" s="21" t="s">
        <v>678</v>
      </c>
      <c r="D2828" s="21" t="s">
        <v>655</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1641</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688</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row>
    <row r="2832" spans="1:12">
      <c r="A2832" s="20" t="s">
        <v>689</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t="s">
        <v>1642</v>
      </c>
    </row>
    <row r="2834" spans="1:12">
      <c r="A2834" s="20" t="s">
        <v>992</v>
      </c>
      <c r="B2834" s="21" t="s">
        <v>653</v>
      </c>
      <c r="C2834" s="21" t="s">
        <v>654</v>
      </c>
      <c r="D2834" s="21" t="s">
        <v>655</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1065</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795</v>
      </c>
      <c r="B2836" s="21" t="s">
        <v>673</v>
      </c>
      <c r="C2836" s="21" t="s">
        <v>661</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666</v>
      </c>
      <c r="B2837" s="21" t="s">
        <v>692</v>
      </c>
      <c r="C2837" s="21" t="s">
        <v>654</v>
      </c>
      <c r="D2837" s="21" t="s">
        <v>655</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735</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723</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652</v>
      </c>
      <c r="B2840" s="21" t="s">
        <v>664</v>
      </c>
      <c r="C2840" s="21" t="s">
        <v>654</v>
      </c>
      <c r="D2840" s="21" t="s">
        <v>655</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780</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1643</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1626</v>
      </c>
      <c r="B2843" s="21" t="s">
        <v>667</v>
      </c>
      <c r="C2843" s="21" t="s">
        <v>1120</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562</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662</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712</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1068</v>
      </c>
      <c r="B2847" s="21" t="s">
        <v>701</v>
      </c>
      <c r="C2847" s="21" t="s">
        <v>654</v>
      </c>
      <c r="D2847" s="21" t="s">
        <v>655</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714</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1644</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1645</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662</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709</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714</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785</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1646</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456</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1645</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863</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841</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842</v>
      </c>
      <c r="B2860" s="21" t="s">
        <v>683</v>
      </c>
      <c r="C2860" s="21" t="s">
        <v>698</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t="s">
        <v>962</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t="s">
        <v>712</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1068</v>
      </c>
      <c r="B2863" s="21" t="s">
        <v>719</v>
      </c>
      <c r="C2863" s="21" t="s">
        <v>654</v>
      </c>
      <c r="D2863" s="21" t="s">
        <v>655</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714</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669</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1647</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717</v>
      </c>
      <c r="B2867" s="21" t="s">
        <v>798</v>
      </c>
      <c r="C2867" s="21" t="s">
        <v>674</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1379</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1648</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662</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709</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1649</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316</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row>
    <row r="2875" spans="1:12">
      <c r="A2875" s="20" t="s">
        <v>689</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1650</v>
      </c>
    </row>
    <row r="2877" spans="1:12">
      <c r="A2877" s="20" t="s">
        <v>999</v>
      </c>
      <c r="B2877" s="21" t="s">
        <v>653</v>
      </c>
      <c r="C2877" s="21" t="s">
        <v>654</v>
      </c>
      <c r="D2877" s="21" t="s">
        <v>655</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797</v>
      </c>
      <c r="B2878" s="21" t="s">
        <v>658</v>
      </c>
      <c r="C2878" s="21" t="s">
        <v>654</v>
      </c>
      <c r="D2878" s="21" t="s">
        <v>655</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815</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1651</v>
      </c>
      <c r="B2880" s="21" t="s">
        <v>658</v>
      </c>
      <c r="C2880" s="21" t="s">
        <v>698</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1652</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688</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723</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row>
    <row r="2885" spans="1:12">
      <c r="A2885" s="20" t="s">
        <v>1653</v>
      </c>
    </row>
    <row r="2886" spans="1:12">
      <c r="A2886" s="20" t="s">
        <v>1509</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1654</v>
      </c>
      <c r="B2887" s="21" t="s">
        <v>673</v>
      </c>
      <c r="C2887" s="21" t="s">
        <v>684</v>
      </c>
      <c r="D2887" s="21" t="s">
        <v>655</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1511</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1655</v>
      </c>
      <c r="B2889" s="21" t="s">
        <v>658</v>
      </c>
      <c r="C2889" s="21" t="s">
        <v>698</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1656</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1020</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700</v>
      </c>
      <c r="B2892" s="21" t="s">
        <v>653</v>
      </c>
      <c r="C2892" s="21" t="s">
        <v>654</v>
      </c>
      <c r="D2892" s="21" t="s">
        <v>655</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662</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712</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1007</v>
      </c>
      <c r="B2895" s="21" t="s">
        <v>664</v>
      </c>
      <c r="C2895" s="21" t="s">
        <v>654</v>
      </c>
      <c r="D2895" s="21" t="s">
        <v>655</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1657</v>
      </c>
      <c r="B2896" s="21" t="s">
        <v>664</v>
      </c>
      <c r="C2896" s="21" t="s">
        <v>698</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1060</v>
      </c>
      <c r="B2897" s="21" t="s">
        <v>671</v>
      </c>
      <c r="C2897" s="21" t="s">
        <v>695</v>
      </c>
      <c r="D2897" s="21" t="s">
        <v>655</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1658</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1659</v>
      </c>
      <c r="B2899" s="21" t="s">
        <v>667</v>
      </c>
      <c r="C2899" s="21" t="s">
        <v>698</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1660</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951</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662</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1269</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662</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1258</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700</v>
      </c>
      <c r="B2906" s="21" t="s">
        <v>701</v>
      </c>
      <c r="C2906" s="21" t="s">
        <v>654</v>
      </c>
      <c r="D2906" s="21" t="s">
        <v>655</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675</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t="s">
        <v>776</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t="s">
        <v>1661</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16</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1662</v>
      </c>
      <c r="B2911" s="21" t="s">
        <v>671</v>
      </c>
      <c r="C2911" s="21" t="s">
        <v>674</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715</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829</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1098</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1663</v>
      </c>
      <c r="B2915" s="21" t="s">
        <v>671</v>
      </c>
      <c r="C2915" s="21" t="s">
        <v>678</v>
      </c>
      <c r="D2915" s="21" t="s">
        <v>655</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1664</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1574</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662</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t="s">
        <v>1258</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t="s">
        <v>700</v>
      </c>
      <c r="B2920" s="21" t="s">
        <v>719</v>
      </c>
      <c r="C2920" s="21" t="s">
        <v>654</v>
      </c>
      <c r="D2920" s="21" t="s">
        <v>655</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703</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730</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1665</v>
      </c>
      <c r="B2923" s="21" t="s">
        <v>683</v>
      </c>
      <c r="C2923" s="21" t="s">
        <v>678</v>
      </c>
      <c r="D2923" s="21" t="s">
        <v>655</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675</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829</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1666</v>
      </c>
      <c r="B2926" s="21" t="s">
        <v>802</v>
      </c>
      <c r="C2926" s="21" t="s">
        <v>678</v>
      </c>
      <c r="D2926" s="21" t="s">
        <v>655</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795</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1667</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1668</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702</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662</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1269</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662</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1258</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700</v>
      </c>
      <c r="B2935" s="21" t="s">
        <v>722</v>
      </c>
      <c r="C2935" s="21" t="s">
        <v>654</v>
      </c>
      <c r="D2935" s="21" t="s">
        <v>655</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694</v>
      </c>
      <c r="B2936" s="21" t="s">
        <v>1077</v>
      </c>
      <c r="C2936" s="21" t="s">
        <v>695</v>
      </c>
      <c r="D2936" s="21" t="s">
        <v>655</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1669</v>
      </c>
      <c r="B2937" s="21" t="s">
        <v>1075</v>
      </c>
      <c r="C2937" s="21" t="s">
        <v>698</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962</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1059</v>
      </c>
      <c r="B2939" s="21" t="s">
        <v>1670</v>
      </c>
      <c r="C2939" s="21" t="s">
        <v>661</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1060</v>
      </c>
      <c r="B2940" s="21" t="s">
        <v>1184</v>
      </c>
      <c r="C2940" s="21" t="s">
        <v>665</v>
      </c>
      <c r="D2940" s="21" t="s">
        <v>655</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1671</v>
      </c>
      <c r="B2941" s="21" t="s">
        <v>1182</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1672</v>
      </c>
      <c r="B2942" s="21" t="s">
        <v>1184</v>
      </c>
      <c r="C2942" s="21" t="s">
        <v>698</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1673</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1574</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662</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709</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1007</v>
      </c>
      <c r="B2947" s="21" t="s">
        <v>722</v>
      </c>
      <c r="C2947" s="21" t="s">
        <v>654</v>
      </c>
      <c r="D2947" s="21" t="s">
        <v>655</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1674</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773</v>
      </c>
      <c r="B2949" s="21" t="s">
        <v>1077</v>
      </c>
      <c r="C2949" s="21" t="s">
        <v>729</v>
      </c>
      <c r="D2949" s="21" t="s">
        <v>655</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1675</v>
      </c>
      <c r="B2950" s="21" t="s">
        <v>1075</v>
      </c>
      <c r="C2950" s="21" t="s">
        <v>775</v>
      </c>
      <c r="D2950" s="21" t="s">
        <v>655</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662</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845</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1118</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1676</v>
      </c>
      <c r="B2954" s="21" t="s">
        <v>1178</v>
      </c>
      <c r="C2954" s="21" t="s">
        <v>1120</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795</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1677</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662</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1678</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16</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1676</v>
      </c>
      <c r="B2960" s="21" t="s">
        <v>1077</v>
      </c>
      <c r="C2960" s="21" t="s">
        <v>698</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755</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829</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1679</v>
      </c>
      <c r="B2963" s="21" t="s">
        <v>1076</v>
      </c>
      <c r="C2963" s="21" t="s">
        <v>684</v>
      </c>
      <c r="D2963" s="21" t="s">
        <v>655</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1680</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1681</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709</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829</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1682</v>
      </c>
      <c r="B2968" s="21" t="s">
        <v>1186</v>
      </c>
      <c r="C2968" s="21" t="s">
        <v>684</v>
      </c>
      <c r="D2968" s="21" t="s">
        <v>655</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1680</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1681</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688</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row>
    <row r="2973" spans="1:12">
      <c r="A2973" s="20" t="s">
        <v>1683</v>
      </c>
    </row>
    <row r="2974" spans="1:12">
      <c r="A2974" s="20" t="s">
        <v>848</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1007</v>
      </c>
      <c r="B2975" s="21" t="s">
        <v>653</v>
      </c>
      <c r="C2975" s="21" t="s">
        <v>654</v>
      </c>
      <c r="D2975" s="21" t="s">
        <v>655</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1684</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857</v>
      </c>
      <c r="B2977" s="21" t="s">
        <v>673</v>
      </c>
      <c r="C2977" s="21" t="s">
        <v>729</v>
      </c>
      <c r="D2977" s="21" t="s">
        <v>655</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1685</v>
      </c>
      <c r="B2978" s="21" t="s">
        <v>658</v>
      </c>
      <c r="C2978" s="21" t="s">
        <v>775</v>
      </c>
      <c r="D2978" s="21" t="s">
        <v>655</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1686</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1687</v>
      </c>
      <c r="B2980" s="21" t="s">
        <v>673</v>
      </c>
      <c r="C2980" s="21" t="s">
        <v>1120</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730</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1688</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1689</v>
      </c>
      <c r="B2983" s="21" t="s">
        <v>658</v>
      </c>
      <c r="C2983" s="21" t="s">
        <v>684</v>
      </c>
      <c r="D2983" s="21" t="s">
        <v>655</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662</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720</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1690</v>
      </c>
      <c r="B2986" s="21" t="s">
        <v>673</v>
      </c>
      <c r="C2986" s="21" t="s">
        <v>867</v>
      </c>
      <c r="D2986" s="21" t="s">
        <v>655</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705</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1387</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1691</v>
      </c>
      <c r="B2989" s="21" t="s">
        <v>671</v>
      </c>
      <c r="C2989" s="21" t="s">
        <v>684</v>
      </c>
      <c r="D2989" s="21" t="s">
        <v>655</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688</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row>
    <row r="2992" spans="1:12">
      <c r="A2992" s="20" t="s">
        <v>1692</v>
      </c>
    </row>
    <row r="2993" spans="1:12">
      <c r="A2993" s="20" t="s">
        <v>1326</v>
      </c>
      <c r="B2993" s="21" t="s">
        <v>653</v>
      </c>
      <c r="C2993" s="21" t="s">
        <v>661</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871</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815</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791</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1693</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478</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662</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863</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1694</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801</v>
      </c>
      <c r="B3002" s="21" t="s">
        <v>671</v>
      </c>
      <c r="C3002" s="21" t="s">
        <v>729</v>
      </c>
      <c r="D3002" s="21" t="s">
        <v>655</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1689</v>
      </c>
      <c r="B3003" s="21" t="s">
        <v>664</v>
      </c>
      <c r="C3003" s="21" t="s">
        <v>775</v>
      </c>
      <c r="D3003" s="21" t="s">
        <v>655</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681</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817</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1357</v>
      </c>
      <c r="B3006" s="21" t="s">
        <v>671</v>
      </c>
      <c r="C3006" s="21" t="s">
        <v>678</v>
      </c>
      <c r="D3006" s="21" t="s">
        <v>655</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679</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924</v>
      </c>
      <c r="B3008" s="21" t="s">
        <v>683</v>
      </c>
      <c r="C3008" s="21" t="s">
        <v>674</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456</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871</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688</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row>
    <row r="3013" spans="1:12">
      <c r="A3013" s="20" t="s">
        <v>1010</v>
      </c>
    </row>
    <row r="3014" spans="1:12">
      <c r="A3014" s="20" t="s">
        <v>848</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135</v>
      </c>
      <c r="B3015" s="21" t="s">
        <v>692</v>
      </c>
      <c r="C3015" s="21" t="s">
        <v>698</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row>
    <row r="3017" spans="1:12">
      <c r="A3017" s="20" t="s">
        <v>689</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1695</v>
      </c>
    </row>
    <row r="3019" spans="1:12">
      <c r="A3019" s="20" t="s">
        <v>452</v>
      </c>
      <c r="B3019" s="21" t="s">
        <v>653</v>
      </c>
      <c r="C3019" s="21" t="s">
        <v>684</v>
      </c>
      <c r="D3019" s="21" t="s">
        <v>655</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1696</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1697</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662</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1007</v>
      </c>
      <c r="B3023" s="21" t="s">
        <v>664</v>
      </c>
      <c r="C3023" s="21" t="s">
        <v>654</v>
      </c>
      <c r="D3023" s="21" t="s">
        <v>655</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1065</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735</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723</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652</v>
      </c>
      <c r="B3027" s="21" t="s">
        <v>701</v>
      </c>
      <c r="C3027" s="21" t="s">
        <v>654</v>
      </c>
      <c r="D3027" s="21" t="s">
        <v>655</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691</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1698</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662</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712</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842</v>
      </c>
      <c r="B3032" s="21" t="s">
        <v>719</v>
      </c>
      <c r="C3032" s="21" t="s">
        <v>698</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662</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1080</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902</v>
      </c>
      <c r="B3035" s="21" t="s">
        <v>722</v>
      </c>
      <c r="C3035" s="21" t="s">
        <v>665</v>
      </c>
      <c r="D3035" s="21" t="s">
        <v>655</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791</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1292</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t="s">
        <v>660</v>
      </c>
      <c r="E3038" s="22">
        <f>IF(D3038="?OLD","!!!","")</f>
        <v/>
      </c>
      <c r="F3038" s="23" t="str">
        <f>IF(OR(E3038="",E3038="!!!"),"",IF(NOT(ISNA(VLOOKUP(E3038,E$1:E3037,1,FALSE()))),"OLD",IF(AND(E3038&lt;&gt;"",E3038&lt;&gt;"!!!"),"NEW","")))</f>
        <v> </v>
      </c>
      <c r="G3038" s="24" t="str">
        <f>IF(OR(E3038="",E3038="!!!"),"",IF(OR(J3038=0,AND(J3038=1,K3038=1),AND(J3038=1,I3038="SBJ"),AND(J3038=1,I3038=0)),"?IN_FOCUS",IF(J3038&lt;=2,"?ACTIVATED",IF(J3038&lt;&gt;"","?FAMILIAR",IF(F3038="NEW",IF(ISNA(VLOOKUP(E3038,#REF!,1,FALSE())),"?TYPE_IDENTIFIABLE","?REFERENTIAL"),"_")))))</f>
        <v> </v>
      </c>
      <c r="H3038" s="25" t="str">
        <f>IF(J3038&lt;&gt;1,"",IF(I3038="SBJ","CB","?"))</f>
        <v> </v>
      </c>
      <c r="I3038" s="26" t="str">
        <f>IF(OR(E3038="",E3038="!!!",F3038="NEW"),"",INDEX(B3037:B$2,-1+SUMPRODUCT(MAX(ROW(E3037:E$2)*(E3038=E3037:E$2)))))</f>
        <v> </v>
      </c>
      <c r="J3038" s="26" t="str">
        <f>IF(OR(E3038="",E3038="!!!",F3038="NEW"),"",COUNTBLANK(OFFSET(A$1,,,SUMPRODUCT(MAX(ROW(E$2:E3038)*(E3038=E$2:E3038)))))-COUNTBLANK(OFFSET(A$1,,,SUMPRODUCT(MAX(ROW(E$1:E3037)*(E2=E$1:E3037))))))</f>
        <v> </v>
      </c>
      <c r="K3038" s="26" t="str">
        <f>IF(OR(E3038="",E3038="!!!",F3038="NEW"),"",INDEX(J$1:J3037,SUMPRODUCT(MAX(ROW(E$1:E3037)*(E3038=E$1:E3037)))))</f>
        <v> </v>
      </c>
      <c r="L3038" s="27"/>
    </row>
    <row r="3039" spans="1:12">
      <c r="A3039" s="20" t="s">
        <v>1517</v>
      </c>
      <c r="B3039" s="21" t="s">
        <v>1075</v>
      </c>
      <c r="C3039" s="21" t="s">
        <v>661</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1699</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555</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662</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709</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764</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1080</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902</v>
      </c>
      <c r="B3046" s="21" t="s">
        <v>719</v>
      </c>
      <c r="C3046" s="21" t="s">
        <v>665</v>
      </c>
      <c r="D3046" s="21" t="s">
        <v>655</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788</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669</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1519</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1700</v>
      </c>
      <c r="B3050" s="21" t="s">
        <v>798</v>
      </c>
      <c r="C3050" s="21" t="s">
        <v>674</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555</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662</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1080</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953</v>
      </c>
      <c r="B3054" s="21" t="s">
        <v>722</v>
      </c>
      <c r="C3054" s="21" t="s">
        <v>661</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842</v>
      </c>
      <c r="B3055" s="21" t="s">
        <v>1075</v>
      </c>
      <c r="C3055" s="21" t="s">
        <v>698</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955</v>
      </c>
      <c r="B3056" s="21" t="s">
        <v>722</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1150</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1701</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662</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t="s">
        <v>1608</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1000</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842</v>
      </c>
      <c r="B3062" s="21" t="s">
        <v>1177</v>
      </c>
      <c r="C3062" s="21" t="s">
        <v>698</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1013</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903</v>
      </c>
      <c r="B3064" s="21" t="s">
        <v>1178</v>
      </c>
      <c r="C3064" s="21" t="s">
        <v>665</v>
      </c>
      <c r="D3064" s="21" t="s">
        <v>655</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1702</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688</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723</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row>
    <row r="3069" spans="1:12">
      <c r="A3069" s="20" t="s">
        <v>1703</v>
      </c>
    </row>
    <row r="3070" spans="1:12">
      <c r="A3070" s="20" t="s">
        <v>1704</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999</v>
      </c>
      <c r="B3071" s="21" t="s">
        <v>653</v>
      </c>
      <c r="C3071" s="21" t="s">
        <v>654</v>
      </c>
      <c r="D3071" s="21" t="s">
        <v>655</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662</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135</v>
      </c>
      <c r="B3073" s="21" t="s">
        <v>692</v>
      </c>
      <c r="C3073" s="21" t="s">
        <v>698</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row>
    <row r="3075" spans="1:12">
      <c r="A3075" s="20" t="s">
        <v>1705</v>
      </c>
    </row>
    <row r="3076" spans="1:12">
      <c r="A3076" s="20" t="s">
        <v>452</v>
      </c>
      <c r="B3076" s="21" t="s">
        <v>653</v>
      </c>
      <c r="C3076" s="21" t="s">
        <v>684</v>
      </c>
      <c r="D3076" s="21" t="s">
        <v>655</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t="s">
        <v>951</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456</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937</v>
      </c>
      <c r="B3079" s="21" t="s">
        <v>658</v>
      </c>
      <c r="C3079" s="21" t="s">
        <v>1120</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1706</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688</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row>
    <row r="3083" spans="1:12">
      <c r="A3083" s="20" t="s">
        <v>1707</v>
      </c>
    </row>
    <row r="3084" spans="1:12">
      <c r="A3084" s="20" t="s">
        <v>992</v>
      </c>
      <c r="B3084" s="21" t="s">
        <v>653</v>
      </c>
      <c r="C3084" s="21" t="s">
        <v>654</v>
      </c>
      <c r="D3084" s="21" t="s">
        <v>655</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1574</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1708</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662</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712</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817</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1329</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1709</v>
      </c>
      <c r="B3091" s="21" t="s">
        <v>692</v>
      </c>
      <c r="C3091" s="21" t="s">
        <v>678</v>
      </c>
      <c r="D3091" s="21" t="s">
        <v>655</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662</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709</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863</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862</v>
      </c>
      <c r="B3095" s="21" t="s">
        <v>683</v>
      </c>
      <c r="C3095" s="21" t="s">
        <v>661</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805</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1710</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662</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1327</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1711</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1328</v>
      </c>
      <c r="B3101" s="21" t="s">
        <v>701</v>
      </c>
      <c r="C3101" s="21" t="s">
        <v>853</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1268</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688</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row>
    <row r="3105" spans="1:12">
      <c r="A3105" s="20" t="s">
        <v>1712</v>
      </c>
    </row>
    <row r="3106" spans="1:12">
      <c r="A3106" s="20" t="s">
        <v>848</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t="s">
        <v>764</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700</v>
      </c>
      <c r="B3108" s="21" t="s">
        <v>653</v>
      </c>
      <c r="C3108" s="21" t="s">
        <v>654</v>
      </c>
      <c r="D3108" s="21" t="s">
        <v>655</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814</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694</v>
      </c>
      <c r="B3110" s="21" t="s">
        <v>673</v>
      </c>
      <c r="C3110" s="21" t="s">
        <v>695</v>
      </c>
      <c r="D3110" s="21" t="s">
        <v>655</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937</v>
      </c>
      <c r="B3111" s="21" t="s">
        <v>658</v>
      </c>
      <c r="C3111" s="21" t="s">
        <v>698</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715</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676</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1713</v>
      </c>
      <c r="B3114" s="21" t="s">
        <v>692</v>
      </c>
      <c r="C3114" s="21" t="s">
        <v>678</v>
      </c>
      <c r="D3114" s="21" t="s">
        <v>655</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829</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1021</v>
      </c>
      <c r="B3116" s="21" t="s">
        <v>673</v>
      </c>
      <c r="C3116" s="21" t="s">
        <v>678</v>
      </c>
      <c r="D3116" s="21" t="s">
        <v>655</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1714</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662</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1080</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902</v>
      </c>
      <c r="B3120" s="21" t="s">
        <v>701</v>
      </c>
      <c r="C3120" s="21" t="s">
        <v>665</v>
      </c>
      <c r="D3120" s="21" t="s">
        <v>655</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797</v>
      </c>
      <c r="B3121" s="21" t="s">
        <v>877</v>
      </c>
      <c r="C3121" s="21" t="s">
        <v>654</v>
      </c>
      <c r="D3121" s="21" t="s">
        <v>655</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715</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676</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t="s">
        <v>1715</v>
      </c>
      <c r="B3124" s="21" t="s">
        <v>671</v>
      </c>
      <c r="C3124" s="21" t="s">
        <v>678</v>
      </c>
      <c r="D3124" s="21" t="s">
        <v>655</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885</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t="s">
        <v>70</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1436</v>
      </c>
      <c r="B3127" s="21" t="s">
        <v>683</v>
      </c>
      <c r="C3127" s="21" t="s">
        <v>853</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1716</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1717</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662</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1258</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700</v>
      </c>
      <c r="B3132" s="21" t="s">
        <v>719</v>
      </c>
      <c r="C3132" s="21" t="s">
        <v>654</v>
      </c>
      <c r="D3132" s="21" t="s">
        <v>655</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1026</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1718</v>
      </c>
      <c r="B3134" s="21" t="s">
        <v>798</v>
      </c>
      <c r="C3134" s="21" t="s">
        <v>1120</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1516</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1167</v>
      </c>
      <c r="B3136" s="21" t="s">
        <v>683</v>
      </c>
      <c r="C3136" s="21" t="s">
        <v>698</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755</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1719</v>
      </c>
      <c r="B3138" s="21" t="s">
        <v>802</v>
      </c>
      <c r="C3138" s="21" t="s">
        <v>698</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709</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1720</v>
      </c>
      <c r="B3140" s="21" t="s">
        <v>1077</v>
      </c>
      <c r="C3140" s="21" t="s">
        <v>698</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1721</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t="s">
        <v>1722</v>
      </c>
      <c r="E3142" s="22">
        <f>IF(D3142="?OLD","!!!","")</f>
        <v/>
      </c>
      <c r="F3142" s="23" t="str">
        <f>IF(OR(E3142="",E3142="!!!"),"",IF(NOT(ISNA(VLOOKUP(E3142,E$1:E3141,1,FALSE()))),"OLD",IF(AND(E3142&lt;&gt;"",E3142&lt;&gt;"!!!"),"NEW","")))</f>
        <v> </v>
      </c>
      <c r="G3142" s="24" t="str">
        <f>IF(OR(E3142="",E3142="!!!"),"",IF(OR(J3142=0,AND(J3142=1,K3142=1),AND(J3142=1,I3142="SBJ"),AND(J3142=1,I3142=0)),"?IN_FOCUS",IF(J3142&lt;=2,"?ACTIVATED",IF(J3142&lt;&gt;"","?FAMILIAR",IF(F3142="NEW",IF(ISNA(VLOOKUP(E3142,#REF!,1,FALSE())),"?TYPE_IDENTIFIABLE","?REFERENTIAL"),"_")))))</f>
        <v> </v>
      </c>
      <c r="H3142" s="25" t="str">
        <f>IF(J3142&lt;&gt;1,"",IF(I3142="SBJ","CB","?"))</f>
        <v> </v>
      </c>
      <c r="I3142" s="26" t="str">
        <f>IF(OR(E3142="",E3142="!!!",F3142="NEW"),"",INDEX(B3141:B$2,-1+SUMPRODUCT(MAX(ROW(E3141:E$2)*(E3142=E3141:E$2)))))</f>
        <v> </v>
      </c>
      <c r="J3142" s="26" t="str">
        <f>IF(OR(E3142="",E3142="!!!",F3142="NEW"),"",COUNTBLANK(OFFSET(A$1,,,SUMPRODUCT(MAX(ROW(E$2:E3142)*(E3142=E$2:E3142)))))-COUNTBLANK(OFFSET(A$1,,,SUMPRODUCT(MAX(ROW(E$1:E3141)*(E2=E$1:E3141))))))</f>
        <v> </v>
      </c>
      <c r="K3142" s="26" t="str">
        <f>IF(OR(E3142="",E3142="!!!",F3142="NEW"),"",INDEX(J$1:J3141,SUMPRODUCT(MAX(ROW(E$1:E3141)*(E3142=E$1:E3141)))))</f>
        <v> </v>
      </c>
      <c r="L3142" s="27"/>
    </row>
    <row r="3143" spans="1:12">
      <c r="A3143" s="20" t="s">
        <v>662</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1608</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1722</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700</v>
      </c>
      <c r="B3146" s="21" t="s">
        <v>701</v>
      </c>
      <c r="C3146" s="21" t="s">
        <v>654</v>
      </c>
      <c r="D3146" s="21" t="s">
        <v>655</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1588</v>
      </c>
      <c r="B3147" s="21" t="s">
        <v>683</v>
      </c>
      <c r="C3147" s="21" t="s">
        <v>665</v>
      </c>
      <c r="D3147" s="21" t="s">
        <v>655</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1723</v>
      </c>
      <c r="B3148" s="21" t="s">
        <v>877</v>
      </c>
      <c r="C3148" s="21" t="s">
        <v>853</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1724</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688</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row>
    <row r="3152" spans="1:12">
      <c r="A3152" s="20" t="s">
        <v>1725</v>
      </c>
    </row>
    <row r="3153" spans="1:12">
      <c r="A3153" s="20" t="s">
        <v>652</v>
      </c>
      <c r="B3153" s="21" t="s">
        <v>653</v>
      </c>
      <c r="C3153" s="21" t="s">
        <v>654</v>
      </c>
      <c r="D3153" s="21" t="s">
        <v>655</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1093</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851</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1413</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1493</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502</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688</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row>
    <row r="3161" spans="1:12">
      <c r="A3161" s="20" t="s">
        <v>1726</v>
      </c>
    </row>
    <row r="3162" spans="1:12">
      <c r="A3162" s="20" t="s">
        <v>1370</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999</v>
      </c>
      <c r="B3163" s="21" t="s">
        <v>664</v>
      </c>
      <c r="C3163" s="21" t="s">
        <v>654</v>
      </c>
      <c r="D3163" s="21" t="s">
        <v>655</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797</v>
      </c>
      <c r="B3164" s="21" t="s">
        <v>667</v>
      </c>
      <c r="C3164" s="21" t="s">
        <v>654</v>
      </c>
      <c r="D3164" s="21" t="s">
        <v>655</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720</v>
      </c>
      <c r="B3165" s="21" t="s">
        <v>667</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1117</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1727</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662</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1336</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700</v>
      </c>
      <c r="B3170" s="21" t="s">
        <v>653</v>
      </c>
      <c r="C3170" s="21" t="s">
        <v>654</v>
      </c>
      <c r="D3170" s="21" t="s">
        <v>655</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666</v>
      </c>
      <c r="B3171" s="21" t="s">
        <v>658</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791</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785</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1728</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688</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row>
    <row r="3177" spans="1:12">
      <c r="A3177" s="20" t="s">
        <v>1729</v>
      </c>
    </row>
    <row r="3178" spans="1:12">
      <c r="A3178" s="20" t="s">
        <v>848</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720</v>
      </c>
      <c r="B3179" s="21" t="s">
        <v>653</v>
      </c>
      <c r="C3179" s="21" t="s">
        <v>729</v>
      </c>
      <c r="D3179" s="21" t="s">
        <v>655</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687</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1730</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662</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t="s">
        <v>1731</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t="s">
        <v>700</v>
      </c>
      <c r="B3184" s="21" t="s">
        <v>664</v>
      </c>
      <c r="C3184" s="21" t="s">
        <v>654</v>
      </c>
      <c r="D3184" s="21" t="s">
        <v>655</v>
      </c>
      <c r="E3184" s="22">
        <f>IF(D3184="?OLD","!!!","")</f>
        <v/>
      </c>
      <c r="F3184" s="23" t="str">
        <f>IF(OR(E3184="",E3184="!!!"),"",IF(NOT(ISNA(VLOOKUP(E3184,E$1:E3183,1,FALSE()))),"OLD",IF(AND(E3184&lt;&gt;"",E3184&lt;&gt;"!!!"),"NEW","")))</f>
        <v> </v>
      </c>
      <c r="G3184" s="24" t="str">
        <f>IF(OR(E3184="",E3184="!!!"),"",IF(OR(J3184=0,AND(J3184=1,K3184=1),AND(J3184=1,I3184="SBJ"),AND(J3184=1,I3184=0)),"?IN_FOCUS",IF(J3184&lt;=2,"?ACTIVATED",IF(J3184&lt;&gt;"","?FAMILIAR",IF(F3184="NEW",IF(ISNA(VLOOKUP(E3184,#REF!,1,FALSE())),"?TYPE_IDENTIFIABLE","?REFERENTIAL"),"_")))))</f>
        <v> </v>
      </c>
      <c r="H3184" s="25" t="str">
        <f>IF(J3184&lt;&gt;1,"",IF(I3184="SBJ","CB","?"))</f>
        <v> </v>
      </c>
      <c r="I3184" s="26" t="str">
        <f>IF(OR(E3184="",E3184="!!!",F3184="NEW"),"",INDEX(B3183:B$2,-1+SUMPRODUCT(MAX(ROW(E3183:E$2)*(E3184=E3183:E$2)))))</f>
        <v> </v>
      </c>
      <c r="J3184" s="26" t="str">
        <f>IF(OR(E3184="",E3184="!!!",F3184="NEW"),"",COUNTBLANK(OFFSET(A$1,,,SUMPRODUCT(MAX(ROW(E$2:E3184)*(E3184=E$2:E3184)))))-COUNTBLANK(OFFSET(A$1,,,SUMPRODUCT(MAX(ROW(E$1:E3183)*(E2=E$1:E3183))))))</f>
        <v> </v>
      </c>
      <c r="K3184" s="26" t="str">
        <f>IF(OR(E3184="",E3184="!!!",F3184="NEW"),"",INDEX(J$1:J3183,SUMPRODUCT(MAX(ROW(E$1:E3183)*(E3184=E$1:E3183)))))</f>
        <v> </v>
      </c>
      <c r="L3184" s="27"/>
    </row>
    <row r="3185" spans="1:12">
      <c r="A3185" s="20" t="s">
        <v>660</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703</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1103</v>
      </c>
      <c r="B3187" s="21" t="s">
        <v>671</v>
      </c>
      <c r="C3187" s="21" t="s">
        <v>695</v>
      </c>
      <c r="D3187" s="21" t="s">
        <v>655</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1732</v>
      </c>
      <c r="B3188" s="21" t="s">
        <v>673</v>
      </c>
      <c r="C3188" s="21" t="s">
        <v>698</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878</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691</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709</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791</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1733</v>
      </c>
      <c r="B3193" s="21" t="s">
        <v>673</v>
      </c>
      <c r="C3193" s="21" t="s">
        <v>684</v>
      </c>
      <c r="D3193" s="21" t="s">
        <v>655</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801</v>
      </c>
      <c r="B3194" s="21" t="s">
        <v>683</v>
      </c>
      <c r="C3194" s="21" t="s">
        <v>729</v>
      </c>
      <c r="D3194" s="21" t="s">
        <v>655</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1734</v>
      </c>
      <c r="B3195" s="21" t="s">
        <v>671</v>
      </c>
      <c r="C3195" s="21" t="s">
        <v>775</v>
      </c>
      <c r="D3195" s="21" t="s">
        <v>655</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688</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row>
    <row r="3198" spans="1:12">
      <c r="A3198" s="20" t="s">
        <v>1735</v>
      </c>
    </row>
    <row r="3199" spans="1:12">
      <c r="A3199" s="20" t="s">
        <v>848</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t="s">
        <v>1378</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t="s">
        <v>790</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801</v>
      </c>
      <c r="B3202" s="21" t="s">
        <v>673</v>
      </c>
      <c r="C3202" s="21" t="s">
        <v>729</v>
      </c>
      <c r="D3202" s="21" t="s">
        <v>655</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1159</v>
      </c>
      <c r="B3203" s="21" t="s">
        <v>653</v>
      </c>
      <c r="C3203" s="21" t="s">
        <v>775</v>
      </c>
      <c r="D3203" s="21" t="s">
        <v>655</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764</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514</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662</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952</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700</v>
      </c>
      <c r="B3208" s="21" t="s">
        <v>664</v>
      </c>
      <c r="C3208" s="21" t="s">
        <v>654</v>
      </c>
      <c r="D3208" s="21" t="s">
        <v>655</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785</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1128</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924</v>
      </c>
      <c r="B3211" s="21" t="s">
        <v>667</v>
      </c>
      <c r="C3211" s="21" t="s">
        <v>853</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1736</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1336</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662</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817</v>
      </c>
      <c r="B3215" s="21" t="s">
        <v>664</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666</v>
      </c>
      <c r="B3216" s="21" t="s">
        <v>667</v>
      </c>
      <c r="C3216" s="21" t="s">
        <v>654</v>
      </c>
      <c r="D3216" s="21" t="s">
        <v>655</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978</v>
      </c>
      <c r="B3217" s="21" t="s">
        <v>664</v>
      </c>
      <c r="C3217" s="21" t="s">
        <v>698</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983</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316</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662</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1737</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924</v>
      </c>
      <c r="B3222" s="21" t="s">
        <v>877</v>
      </c>
      <c r="C3222" s="21" t="s">
        <v>698</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t="s">
        <v>795</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t="s">
        <v>1738</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662</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t="s">
        <v>817</v>
      </c>
      <c r="B3226" s="21" t="s">
        <v>719</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797</v>
      </c>
      <c r="B3227" s="21" t="s">
        <v>798</v>
      </c>
      <c r="C3227" s="21" t="s">
        <v>654</v>
      </c>
      <c r="D3227" s="21" t="s">
        <v>655</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1739</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962</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666</v>
      </c>
      <c r="B3230" s="21" t="s">
        <v>1075</v>
      </c>
      <c r="C3230" s="21" t="s">
        <v>654</v>
      </c>
      <c r="D3230" s="21" t="s">
        <v>655</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824</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1740</v>
      </c>
      <c r="B3232" s="21" t="s">
        <v>1075</v>
      </c>
      <c r="C3232" s="21" t="s">
        <v>674</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1741</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1742</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688</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row>
    <row r="3237" spans="1:12">
      <c r="A3237" s="20" t="s">
        <v>1743</v>
      </c>
    </row>
    <row r="3238" spans="1:12">
      <c r="A3238" s="20" t="s">
        <v>1704</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999</v>
      </c>
      <c r="B3239" s="21" t="s">
        <v>653</v>
      </c>
      <c r="C3239" s="21" t="s">
        <v>654</v>
      </c>
      <c r="D3239" s="21" t="s">
        <v>655</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662</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783</v>
      </c>
      <c r="B3241" s="21" t="s">
        <v>664</v>
      </c>
      <c r="C3241" s="21" t="s">
        <v>654</v>
      </c>
      <c r="D3241" s="21" t="s">
        <v>655</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1744</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t="s">
        <v>725</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788</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t="s">
        <v>890</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t="s">
        <v>924</v>
      </c>
      <c r="B3246" s="21" t="s">
        <v>667</v>
      </c>
      <c r="C3246" s="21" t="s">
        <v>674</v>
      </c>
      <c r="E3246" s="22">
        <f>IF(D3246="?OLD","!!!","")</f>
        <v/>
      </c>
      <c r="F3246" s="23" t="str">
        <f>IF(OR(E3246="",E3246="!!!"),"",IF(NOT(ISNA(VLOOKUP(E3246,E$1:E3245,1,FALSE()))),"OLD",IF(AND(E3246&lt;&gt;"",E3246&lt;&gt;"!!!"),"NEW","")))</f>
        <v> </v>
      </c>
      <c r="G3246" s="24" t="str">
        <f>IF(OR(E3246="",E3246="!!!"),"",IF(OR(J3246=0,AND(J3246=1,K3246=1),AND(J3246=1,I3246="SBJ"),AND(J3246=1,I3246=0)),"?IN_FOCUS",IF(J3246&lt;=2,"?ACTIVATED",IF(J3246&lt;&gt;"","?FAMILIAR",IF(F3246="NEW",IF(ISNA(VLOOKUP(E3246,#REF!,1,FALSE())),"?TYPE_IDENTIFIABLE","?REFERENTIAL"),"_")))))</f>
        <v> </v>
      </c>
      <c r="H3246" s="25" t="str">
        <f>IF(J3246&lt;&gt;1,"",IF(I3246="SBJ","CB","?"))</f>
        <v> </v>
      </c>
      <c r="I3246" s="26" t="str">
        <f>IF(OR(E3246="",E3246="!!!",F3246="NEW"),"",INDEX(B3245:B$2,-1+SUMPRODUCT(MAX(ROW(E3245:E$2)*(E3246=E3245:E$2)))))</f>
        <v> </v>
      </c>
      <c r="J3246" s="26" t="str">
        <f>IF(OR(E3246="",E3246="!!!",F3246="NEW"),"",COUNTBLANK(OFFSET(A$1,,,SUMPRODUCT(MAX(ROW(E$2:E3246)*(E3246=E$2:E3246)))))-COUNTBLANK(OFFSET(A$1,,,SUMPRODUCT(MAX(ROW(E$1:E3245)*(E2=E$1:E3245))))))</f>
        <v> </v>
      </c>
      <c r="K3246" s="26" t="str">
        <f>IF(OR(E3246="",E3246="!!!",F3246="NEW"),"",INDEX(J$1:J3245,SUMPRODUCT(MAX(ROW(E$1:E3245)*(E3246=E$1:E3245)))))</f>
        <v> </v>
      </c>
      <c r="L3246" s="27"/>
    </row>
    <row r="3247" spans="1:12">
      <c r="A3247" s="20" t="s">
        <v>662</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829</v>
      </c>
      <c r="B3248" s="21" t="s">
        <v>719</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657</v>
      </c>
      <c r="B3249" s="21" t="s">
        <v>798</v>
      </c>
      <c r="C3249" s="21" t="s">
        <v>654</v>
      </c>
      <c r="D3249" s="21" t="s">
        <v>655</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1745</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662</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863</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999</v>
      </c>
      <c r="B3253" s="21" t="s">
        <v>1177</v>
      </c>
      <c r="C3253" s="21" t="s">
        <v>654</v>
      </c>
      <c r="D3253" s="21" t="s">
        <v>655</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1746</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t="s">
        <v>1373</v>
      </c>
      <c r="B3255" s="21" t="s">
        <v>1178</v>
      </c>
      <c r="C3255" s="21" t="s">
        <v>1120</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956</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t="s">
        <v>1000</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662</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709</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999</v>
      </c>
      <c r="B3260" s="21" t="s">
        <v>722</v>
      </c>
      <c r="C3260" s="21" t="s">
        <v>654</v>
      </c>
      <c r="D3260" s="21" t="s">
        <v>655</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1268</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1157</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688</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row>
    <row r="3265" spans="1:12">
      <c r="A3265" s="20" t="s">
        <v>1747</v>
      </c>
    </row>
    <row r="3266" spans="1:12">
      <c r="A3266" s="20" t="s">
        <v>1370</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999</v>
      </c>
      <c r="B3267" s="21" t="s">
        <v>664</v>
      </c>
      <c r="C3267" s="21" t="s">
        <v>654</v>
      </c>
      <c r="D3267" s="21" t="s">
        <v>655</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t="s">
        <v>783</v>
      </c>
      <c r="B3268" s="21" t="s">
        <v>667</v>
      </c>
      <c r="C3268" s="21" t="s">
        <v>654</v>
      </c>
      <c r="D3268" s="21" t="s">
        <v>655</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1748</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1149</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662</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1118</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1749</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662</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1750</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1373</v>
      </c>
      <c r="B3276" s="21" t="s">
        <v>877</v>
      </c>
      <c r="C3276" s="21" t="s">
        <v>1120</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t="s">
        <v>795</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1751</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662</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960</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829</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t="s">
        <v>1221</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t="s">
        <v>1752</v>
      </c>
      <c r="B3283" s="21" t="s">
        <v>653</v>
      </c>
      <c r="C3283" s="21" t="s">
        <v>678</v>
      </c>
      <c r="D3283" s="21" t="s">
        <v>655</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687</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785</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1753</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960</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1080</v>
      </c>
      <c r="E3288" s="22">
        <f>IF(D3288="?OLD","!!!","")</f>
        <v/>
      </c>
      <c r="F3288" s="23" t="str">
        <f>IF(OR(E3288="",E3288="!!!"),"",IF(NOT(ISNA(VLOOKUP(E3288,E$1:E3287,1,FALSE()))),"OLD",IF(AND(E3288&lt;&gt;"",E3288&lt;&gt;"!!!"),"NEW","")))</f>
        <v> </v>
      </c>
      <c r="G3288" s="24" t="str">
        <f>IF(OR(E3288="",E3288="!!!"),"",IF(OR(J3288=0,AND(J3288=1,K3288=1),AND(J3288=1,I3288="SBJ"),AND(J3288=1,I3288=0)),"?IN_FOCUS",IF(J3288&lt;=2,"?ACTIVATED",IF(J3288&lt;&gt;"","?FAMILIAR",IF(F3288="NEW",IF(ISNA(VLOOKUP(E3288,#REF!,1,FALSE())),"?TYPE_IDENTIFIABLE","?REFERENTIAL"),"_")))))</f>
        <v> </v>
      </c>
      <c r="H3288" s="25" t="str">
        <f>IF(J3288&lt;&gt;1,"",IF(I3288="SBJ","CB","?"))</f>
        <v> </v>
      </c>
      <c r="I3288" s="26" t="str">
        <f>IF(OR(E3288="",E3288="!!!",F3288="NEW"),"",INDEX(B3287:B$2,-1+SUMPRODUCT(MAX(ROW(E3287:E$2)*(E3288=E3287:E$2)))))</f>
        <v> </v>
      </c>
      <c r="J3288" s="26" t="str">
        <f>IF(OR(E3288="",E3288="!!!",F3288="NEW"),"",COUNTBLANK(OFFSET(A$1,,,SUMPRODUCT(MAX(ROW(E$2:E3288)*(E3288=E$2:E3288)))))-COUNTBLANK(OFFSET(A$1,,,SUMPRODUCT(MAX(ROW(E$1:E3287)*(E2=E$1:E3287))))))</f>
        <v> </v>
      </c>
      <c r="K3288" s="26" t="str">
        <f>IF(OR(E3288="",E3288="!!!",F3288="NEW"),"",INDEX(J$1:J3287,SUMPRODUCT(MAX(ROW(E$1:E3287)*(E3288=E$1:E3287)))))</f>
        <v> </v>
      </c>
      <c r="L3288" s="27"/>
    </row>
    <row r="3289" spans="1:12">
      <c r="A3289" s="20" t="s">
        <v>999</v>
      </c>
      <c r="B3289" s="21" t="s">
        <v>664</v>
      </c>
      <c r="C3289" s="21" t="s">
        <v>654</v>
      </c>
      <c r="D3289" s="21" t="s">
        <v>655</v>
      </c>
      <c r="E3289" s="22">
        <f>IF(D3289="?OLD","!!!","")</f>
        <v/>
      </c>
      <c r="F3289" s="23" t="str">
        <f>IF(OR(E3289="",E3289="!!!"),"",IF(NOT(ISNA(VLOOKUP(E3289,E$1:E3288,1,FALSE()))),"OLD",IF(AND(E3289&lt;&gt;"",E3289&lt;&gt;"!!!"),"NEW","")))</f>
        <v> </v>
      </c>
      <c r="G3289" s="24" t="str">
        <f>IF(OR(E3289="",E3289="!!!"),"",IF(OR(J3289=0,AND(J3289=1,K3289=1),AND(J3289=1,I3289="SBJ"),AND(J3289=1,I3289=0)),"?IN_FOCUS",IF(J3289&lt;=2,"?ACTIVATED",IF(J3289&lt;&gt;"","?FAMILIAR",IF(F3289="NEW",IF(ISNA(VLOOKUP(E3289,#REF!,1,FALSE())),"?TYPE_IDENTIFIABLE","?REFERENTIAL"),"_")))))</f>
        <v> </v>
      </c>
      <c r="H3289" s="25" t="str">
        <f>IF(J3289&lt;&gt;1,"",IF(I3289="SBJ","CB","?"))</f>
        <v> </v>
      </c>
      <c r="I3289" s="26" t="str">
        <f>IF(OR(E3289="",E3289="!!!",F3289="NEW"),"",INDEX(B3288:B$2,-1+SUMPRODUCT(MAX(ROW(E3288:E$2)*(E3289=E3288:E$2)))))</f>
        <v> </v>
      </c>
      <c r="J3289" s="26" t="str">
        <f>IF(OR(E3289="",E3289="!!!",F3289="NEW"),"",COUNTBLANK(OFFSET(A$1,,,SUMPRODUCT(MAX(ROW(E$2:E3289)*(E3289=E$2:E3289)))))-COUNTBLANK(OFFSET(A$1,,,SUMPRODUCT(MAX(ROW(E$1:E3288)*(E2=E$1:E3288))))))</f>
        <v> </v>
      </c>
      <c r="K3289" s="26" t="str">
        <f>IF(OR(E3289="",E3289="!!!",F3289="NEW"),"",INDEX(J$1:J3288,SUMPRODUCT(MAX(ROW(E$1:E3288)*(E3289=E$1:E3288)))))</f>
        <v> </v>
      </c>
      <c r="L3289" s="27"/>
    </row>
    <row r="3290" spans="1:12">
      <c r="A3290" s="20" t="s">
        <v>720</v>
      </c>
      <c r="B3290" s="21" t="s">
        <v>667</v>
      </c>
      <c r="C3290" s="21" t="s">
        <v>665</v>
      </c>
      <c r="D3290" s="21" t="s">
        <v>655</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291</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662</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709</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681</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1754</v>
      </c>
      <c r="B3295" s="21" t="s">
        <v>671</v>
      </c>
      <c r="C3295" s="21" t="s">
        <v>661</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715</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776</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1755</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1756</v>
      </c>
      <c r="B3299" s="21" t="s">
        <v>671</v>
      </c>
      <c r="C3299" s="21" t="s">
        <v>674</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824</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1757</v>
      </c>
      <c r="B3301" s="21" t="s">
        <v>877</v>
      </c>
      <c r="C3301" s="21" t="s">
        <v>674</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979</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t="s">
        <v>662</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1608</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1268</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999</v>
      </c>
      <c r="B3306" s="21" t="s">
        <v>664</v>
      </c>
      <c r="C3306" s="21" t="s">
        <v>654</v>
      </c>
      <c r="D3306" s="21" t="s">
        <v>655</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681</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773</v>
      </c>
      <c r="B3308" s="21" t="s">
        <v>671</v>
      </c>
      <c r="C3308" s="21" t="s">
        <v>729</v>
      </c>
      <c r="D3308" s="21" t="s">
        <v>655</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924</v>
      </c>
      <c r="B3309" s="21" t="s">
        <v>664</v>
      </c>
      <c r="C3309" s="21" t="s">
        <v>775</v>
      </c>
      <c r="D3309" s="21" t="s">
        <v>655</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669</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1013</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1758</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1759</v>
      </c>
      <c r="B3313" s="21" t="s">
        <v>653</v>
      </c>
      <c r="C3313" s="21" t="s">
        <v>674</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688</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row>
    <row r="3316" spans="1:12">
      <c r="A3316" s="20" t="s">
        <v>1760</v>
      </c>
    </row>
    <row r="3317" spans="1:12">
      <c r="A3317" s="20" t="s">
        <v>999</v>
      </c>
      <c r="B3317" s="21" t="s">
        <v>653</v>
      </c>
      <c r="C3317" s="21" t="s">
        <v>654</v>
      </c>
      <c r="D3317" s="21" t="s">
        <v>655</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189</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972</v>
      </c>
      <c r="B3319" s="21" t="s">
        <v>658</v>
      </c>
      <c r="C3319" s="21" t="s">
        <v>654</v>
      </c>
      <c r="D3319" s="21" t="s">
        <v>655</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675</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662</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t="s">
        <v>955</v>
      </c>
      <c r="B3322" s="21" t="s">
        <v>667</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t="s">
        <v>1150</v>
      </c>
      <c r="E3323" s="22">
        <f>IF(D3323="?OLD","!!!","")</f>
        <v/>
      </c>
      <c r="F3323" s="23" t="str">
        <f>IF(OR(E3323="",E3323="!!!"),"",IF(NOT(ISNA(VLOOKUP(E3323,E$1:E3322,1,FALSE()))),"OLD",IF(AND(E3323&lt;&gt;"",E3323&lt;&gt;"!!!"),"NEW","")))</f>
        <v> </v>
      </c>
      <c r="G3323" s="24" t="str">
        <f>IF(OR(E3323="",E3323="!!!"),"",IF(OR(J3323=0,AND(J3323=1,K3323=1),AND(J3323=1,I3323="SBJ"),AND(J3323=1,I3323=0)),"?IN_FOCUS",IF(J3323&lt;=2,"?ACTIVATED",IF(J3323&lt;&gt;"","?FAMILIAR",IF(F3323="NEW",IF(ISNA(VLOOKUP(E3323,#REF!,1,FALSE())),"?TYPE_IDENTIFIABLE","?REFERENTIAL"),"_")))))</f>
        <v> </v>
      </c>
      <c r="H3323" s="25" t="str">
        <f>IF(J3323&lt;&gt;1,"",IF(I3323="SBJ","CB","?"))</f>
        <v> </v>
      </c>
      <c r="I3323" s="26" t="str">
        <f>IF(OR(E3323="",E3323="!!!",F3323="NEW"),"",INDEX(B3322:B$2,-1+SUMPRODUCT(MAX(ROW(E3322:E$2)*(E3323=E3322:E$2)))))</f>
        <v> </v>
      </c>
      <c r="J3323" s="26" t="str">
        <f>IF(OR(E3323="",E3323="!!!",F3323="NEW"),"",COUNTBLANK(OFFSET(A$1,,,SUMPRODUCT(MAX(ROW(E$2:E3323)*(E3323=E$2:E3323)))))-COUNTBLANK(OFFSET(A$1,,,SUMPRODUCT(MAX(ROW(E$1:E3322)*(E2=E$1:E3322))))))</f>
        <v> </v>
      </c>
      <c r="K3323" s="26" t="str">
        <f>IF(OR(E3323="",E3323="!!!",F3323="NEW"),"",INDEX(J$1:J3322,SUMPRODUCT(MAX(ROW(E$1:E3322)*(E3323=E$1:E3322)))))</f>
        <v> </v>
      </c>
      <c r="L3323" s="27"/>
    </row>
    <row r="3324" spans="1:12">
      <c r="A3324" s="20" t="s">
        <v>978</v>
      </c>
      <c r="B3324" s="21" t="s">
        <v>664</v>
      </c>
      <c r="C3324" s="21" t="s">
        <v>698</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795</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979</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688</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row>
    <row r="3329" spans="1:12">
      <c r="A3329" s="20" t="s">
        <v>689</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1761</v>
      </c>
    </row>
    <row r="3331" spans="1:12">
      <c r="A3331" s="20" t="s">
        <v>1225</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1762</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1483</v>
      </c>
      <c r="B3333" s="21" t="s">
        <v>653</v>
      </c>
      <c r="C3333" s="21" t="s">
        <v>678</v>
      </c>
      <c r="D3333" s="21" t="s">
        <v>655</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705</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t="s">
        <v>1763</v>
      </c>
      <c r="B3335" s="21" t="s">
        <v>673</v>
      </c>
      <c r="C3335" s="21" t="s">
        <v>678</v>
      </c>
      <c r="D3335" s="21" t="s">
        <v>655</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723</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1764</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723</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1509</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1765</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t="s">
        <v>1511</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t="s">
        <v>1766</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715</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676</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721</v>
      </c>
      <c r="B3345" s="21" t="s">
        <v>692</v>
      </c>
      <c r="C3345" s="21" t="s">
        <v>678</v>
      </c>
      <c r="D3345" s="21" t="s">
        <v>655</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t="s">
        <v>723</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1767</v>
      </c>
      <c r="B3347" s="21" t="s">
        <v>877</v>
      </c>
      <c r="C3347" s="21" t="s">
        <v>684</v>
      </c>
      <c r="D3347" s="21" t="s">
        <v>655</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723</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1509</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1194</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1511</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688</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row>
    <row r="3354" spans="1:12">
      <c r="A3354" s="20" t="s">
        <v>1768</v>
      </c>
    </row>
    <row r="3355" spans="1:12">
      <c r="A3355" s="20" t="s">
        <v>919</v>
      </c>
      <c r="B3355" s="21" t="s">
        <v>653</v>
      </c>
      <c r="C3355" s="21" t="s">
        <v>654</v>
      </c>
      <c r="D3355" s="21" t="s">
        <v>655</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726</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662</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660</v>
      </c>
      <c r="B3358" s="21" t="s">
        <v>664</v>
      </c>
      <c r="C3358" s="21" t="s">
        <v>661</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1769</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662</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712</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715</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776</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687</v>
      </c>
      <c r="B3364" s="21" t="s">
        <v>671</v>
      </c>
      <c r="C3364" s="21" t="s">
        <v>674</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662</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720</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t="s">
        <v>1690</v>
      </c>
      <c r="B3367" s="21" t="s">
        <v>701</v>
      </c>
      <c r="C3367" s="21" t="s">
        <v>678</v>
      </c>
      <c r="D3367" s="21" t="s">
        <v>655</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1770</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688</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row>
    <row r="3371" spans="1:12">
      <c r="A3371" s="20" t="s">
        <v>1771</v>
      </c>
    </row>
    <row r="3372" spans="1:12">
      <c r="A3372" s="20" t="s">
        <v>1772</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735</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1773</v>
      </c>
      <c r="B3374" s="21" t="s">
        <v>653</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1690</v>
      </c>
      <c r="B3375" s="21" t="s">
        <v>658</v>
      </c>
      <c r="C3375" s="21" t="s">
        <v>684</v>
      </c>
      <c r="D3375" s="21" t="s">
        <v>655</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1774</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922</v>
      </c>
      <c r="B3377" s="21" t="s">
        <v>653</v>
      </c>
      <c r="C3377" s="21" t="s">
        <v>665</v>
      </c>
      <c r="D3377" s="21" t="s">
        <v>655</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1212</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1775</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536</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964</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row>
    <row r="3383" spans="1:12">
      <c r="A3383" s="20" t="s">
        <v>1776</v>
      </c>
    </row>
    <row r="3384" spans="1:12">
      <c r="A3384" s="20" t="s">
        <v>1348</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730</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1777</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1436</v>
      </c>
      <c r="B3387" s="21" t="s">
        <v>692</v>
      </c>
      <c r="C3387" s="21" t="s">
        <v>678</v>
      </c>
      <c r="D3387" s="21" t="s">
        <v>655</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1006</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715</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1778</v>
      </c>
      <c r="B3390" s="21" t="s">
        <v>692</v>
      </c>
      <c r="C3390" s="21" t="s">
        <v>684</v>
      </c>
      <c r="D3390" s="21" t="s">
        <v>655</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824</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1779</v>
      </c>
      <c r="B3392" s="21" t="s">
        <v>653</v>
      </c>
      <c r="C3392" s="21" t="s">
        <v>674</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1780</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688</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row>
    <row r="3396" spans="1:12">
      <c r="A3396" s="20" t="s">
        <v>1781</v>
      </c>
    </row>
    <row r="3397" spans="1:12">
      <c r="A3397" s="20" t="s">
        <v>1782</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1161</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1783</v>
      </c>
      <c r="B3399" s="21" t="s">
        <v>653</v>
      </c>
      <c r="C3399" s="21" t="s">
        <v>698</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715</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1784</v>
      </c>
      <c r="B3401" s="21" t="s">
        <v>692</v>
      </c>
      <c r="C3401" s="21" t="s">
        <v>698</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1785</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688</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row>
    <row r="3405" spans="1:12">
      <c r="A3405" s="20" t="s">
        <v>689</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1786</v>
      </c>
    </row>
    <row r="3407" spans="1:12">
      <c r="A3407" s="20" t="s">
        <v>999</v>
      </c>
      <c r="B3407" s="21" t="s">
        <v>653</v>
      </c>
      <c r="C3407" s="21" t="s">
        <v>654</v>
      </c>
      <c r="D3407" s="21" t="s">
        <v>655</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131</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720</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1787</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723</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1788</v>
      </c>
      <c r="B3412" s="21" t="s">
        <v>658</v>
      </c>
      <c r="C3412" s="21" t="s">
        <v>684</v>
      </c>
      <c r="D3412" s="21" t="s">
        <v>655</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1789</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t="s">
        <v>723</v>
      </c>
      <c r="E3414" s="22">
        <f>IF(D3414="?OLD","!!!","")</f>
        <v/>
      </c>
      <c r="F3414" s="23" t="str">
        <f>IF(OR(E3414="",E3414="!!!"),"",IF(NOT(ISNA(VLOOKUP(E3414,E$1:E3413,1,FALSE()))),"OLD",IF(AND(E3414&lt;&gt;"",E3414&lt;&gt;"!!!"),"NEW","")))</f>
        <v> </v>
      </c>
      <c r="G3414" s="24" t="str">
        <f>IF(OR(E3414="",E3414="!!!"),"",IF(OR(J3414=0,AND(J3414=1,K3414=1),AND(J3414=1,I3414="SBJ"),AND(J3414=1,I3414=0)),"?IN_FOCUS",IF(J3414&lt;=2,"?ACTIVATED",IF(J3414&lt;&gt;"","?FAMILIAR",IF(F3414="NEW",IF(ISNA(VLOOKUP(E3414,#REF!,1,FALSE())),"?TYPE_IDENTIFIABLE","?REFERENTIAL"),"_")))))</f>
        <v> </v>
      </c>
      <c r="H3414" s="25" t="str">
        <f>IF(J3414&lt;&gt;1,"",IF(I3414="SBJ","CB","?"))</f>
        <v> </v>
      </c>
      <c r="I3414" s="26" t="str">
        <f>IF(OR(E3414="",E3414="!!!",F3414="NEW"),"",INDEX(B3413:B$2,-1+SUMPRODUCT(MAX(ROW(E3413:E$2)*(E3414=E3413:E$2)))))</f>
        <v> </v>
      </c>
      <c r="J3414" s="26" t="str">
        <f>IF(OR(E3414="",E3414="!!!",F3414="NEW"),"",COUNTBLANK(OFFSET(A$1,,,SUMPRODUCT(MAX(ROW(E$2:E3414)*(E3414=E$2:E3414)))))-COUNTBLANK(OFFSET(A$1,,,SUMPRODUCT(MAX(ROW(E$1:E3413)*(E2=E$1:E3413))))))</f>
        <v> </v>
      </c>
      <c r="K3414" s="26" t="str">
        <f>IF(OR(E3414="",E3414="!!!",F3414="NEW"),"",INDEX(J$1:J3413,SUMPRODUCT(MAX(ROW(E$1:E3413)*(E3414=E$1:E3413)))))</f>
        <v> </v>
      </c>
      <c r="L3414" s="27"/>
    </row>
    <row r="3415" spans="1:12">
      <c r="A3415" s="20" t="s">
        <v>1509</v>
      </c>
      <c r="E3415" s="22">
        <f>IF(D3415="?OLD","!!!","")</f>
        <v/>
      </c>
      <c r="F3415" s="23" t="str">
        <f>IF(OR(E3415="",E3415="!!!"),"",IF(NOT(ISNA(VLOOKUP(E3415,E$1:E3414,1,FALSE()))),"OLD",IF(AND(E3415&lt;&gt;"",E3415&lt;&gt;"!!!"),"NEW","")))</f>
        <v> </v>
      </c>
      <c r="G3415" s="24" t="str">
        <f>IF(OR(E3415="",E3415="!!!"),"",IF(OR(J3415=0,AND(J3415=1,K3415=1),AND(J3415=1,I3415="SBJ"),AND(J3415=1,I3415=0)),"?IN_FOCUS",IF(J3415&lt;=2,"?ACTIVATED",IF(J3415&lt;&gt;"","?FAMILIAR",IF(F3415="NEW",IF(ISNA(VLOOKUP(E3415,#REF!,1,FALSE())),"?TYPE_IDENTIFIABLE","?REFERENTIAL"),"_")))))</f>
        <v> </v>
      </c>
      <c r="H3415" s="25" t="str">
        <f>IF(J3415&lt;&gt;1,"",IF(I3415="SBJ","CB","?"))</f>
        <v> </v>
      </c>
      <c r="I3415" s="26" t="str">
        <f>IF(OR(E3415="",E3415="!!!",F3415="NEW"),"",INDEX(B3414:B$2,-1+SUMPRODUCT(MAX(ROW(E3414:E$2)*(E3415=E3414:E$2)))))</f>
        <v> </v>
      </c>
      <c r="J3415" s="26" t="str">
        <f>IF(OR(E3415="",E3415="!!!",F3415="NEW"),"",COUNTBLANK(OFFSET(A$1,,,SUMPRODUCT(MAX(ROW(E$2:E3415)*(E3415=E$2:E3415)))))-COUNTBLANK(OFFSET(A$1,,,SUMPRODUCT(MAX(ROW(E$1:E3414)*(E2=E$1:E3414))))))</f>
        <v> </v>
      </c>
      <c r="K3415" s="26" t="str">
        <f>IF(OR(E3415="",E3415="!!!",F3415="NEW"),"",INDEX(J$1:J3414,SUMPRODUCT(MAX(ROW(E$1:E3414)*(E3415=E$1:E3414)))))</f>
        <v> </v>
      </c>
      <c r="L3415" s="27"/>
    </row>
    <row r="3416" spans="1:12">
      <c r="A3416" s="20" t="s">
        <v>1790</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16</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1791</v>
      </c>
      <c r="B3418" s="21" t="s">
        <v>673</v>
      </c>
      <c r="C3418" s="21" t="s">
        <v>698</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1511</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715</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730</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1792</v>
      </c>
      <c r="B3422" s="21" t="s">
        <v>673</v>
      </c>
      <c r="C3422" s="21" t="s">
        <v>684</v>
      </c>
      <c r="D3422" s="21" t="s">
        <v>655</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969</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922</v>
      </c>
      <c r="B3424" s="21" t="s">
        <v>664</v>
      </c>
      <c r="C3424" s="21" t="s">
        <v>665</v>
      </c>
      <c r="D3424" s="21" t="s">
        <v>655</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720</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t="s">
        <v>827</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t="s">
        <v>723</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t="s">
        <v>1793</v>
      </c>
      <c r="B3428" s="21" t="s">
        <v>671</v>
      </c>
      <c r="C3428" s="21" t="s">
        <v>684</v>
      </c>
      <c r="D3428" s="21" t="s">
        <v>655</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723</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t="s">
        <v>1509</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1794</v>
      </c>
      <c r="B3431" s="21" t="s">
        <v>683</v>
      </c>
      <c r="C3431" s="21" t="s">
        <v>698</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t="s">
        <v>1511</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688</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row>
    <row r="3435" spans="1:12">
      <c r="A3435" s="20" t="s">
        <v>1795</v>
      </c>
    </row>
    <row r="3436" spans="1:12">
      <c r="A3436" s="20" t="s">
        <v>1225</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1796</v>
      </c>
      <c r="B3437" s="21" t="s">
        <v>653</v>
      </c>
      <c r="C3437" s="21" t="s">
        <v>678</v>
      </c>
      <c r="D3437" s="21" t="s">
        <v>655</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127</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800</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t="s">
        <v>1797</v>
      </c>
      <c r="B3440" s="21" t="s">
        <v>692</v>
      </c>
      <c r="C3440" s="21" t="s">
        <v>684</v>
      </c>
      <c r="D3440" s="21" t="s">
        <v>655</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1509</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1798</v>
      </c>
      <c r="B3442" s="21" t="s">
        <v>673</v>
      </c>
      <c r="C3442" s="21" t="s">
        <v>684</v>
      </c>
      <c r="D3442" s="21" t="s">
        <v>655</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662</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1799</v>
      </c>
      <c r="B3444" s="21" t="s">
        <v>671</v>
      </c>
      <c r="C3444" s="21" t="s">
        <v>684</v>
      </c>
      <c r="D3444" s="21" t="s">
        <v>655</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662</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1800</v>
      </c>
      <c r="B3446" s="21" t="s">
        <v>671</v>
      </c>
      <c r="C3446" s="21" t="s">
        <v>684</v>
      </c>
      <c r="D3446" s="21" t="s">
        <v>655</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t="s">
        <v>662</v>
      </c>
      <c r="E3447" s="22">
        <f>IF(D3447="?OLD","!!!","")</f>
        <v/>
      </c>
      <c r="F3447" s="23" t="str">
        <f>IF(OR(E3447="",E3447="!!!"),"",IF(NOT(ISNA(VLOOKUP(E3447,E$1:E3446,1,FALSE()))),"OLD",IF(AND(E3447&lt;&gt;"",E3447&lt;&gt;"!!!"),"NEW","")))</f>
        <v> </v>
      </c>
      <c r="G3447" s="24" t="str">
        <f>IF(OR(E3447="",E3447="!!!"),"",IF(OR(J3447=0,AND(J3447=1,K3447=1),AND(J3447=1,I3447="SBJ"),AND(J3447=1,I3447=0)),"?IN_FOCUS",IF(J3447&lt;=2,"?ACTIVATED",IF(J3447&lt;&gt;"","?FAMILIAR",IF(F3447="NEW",IF(ISNA(VLOOKUP(E3447,#REF!,1,FALSE())),"?TYPE_IDENTIFIABLE","?REFERENTIAL"),"_")))))</f>
        <v> </v>
      </c>
      <c r="H3447" s="25" t="str">
        <f>IF(J3447&lt;&gt;1,"",IF(I3447="SBJ","CB","?"))</f>
        <v> </v>
      </c>
      <c r="I3447" s="26" t="str">
        <f>IF(OR(E3447="",E3447="!!!",F3447="NEW"),"",INDEX(B3446:B$2,-1+SUMPRODUCT(MAX(ROW(E3446:E$2)*(E3447=E3446:E$2)))))</f>
        <v> </v>
      </c>
      <c r="J3447" s="26" t="str">
        <f>IF(OR(E3447="",E3447="!!!",F3447="NEW"),"",COUNTBLANK(OFFSET(A$1,,,SUMPRODUCT(MAX(ROW(E$2:E3447)*(E3447=E$2:E3447)))))-COUNTBLANK(OFFSET(A$1,,,SUMPRODUCT(MAX(ROW(E$1:E3446)*(E2=E$1:E3446))))))</f>
        <v> </v>
      </c>
      <c r="K3447" s="26" t="str">
        <f>IF(OR(E3447="",E3447="!!!",F3447="NEW"),"",INDEX(J$1:J3446,SUMPRODUCT(MAX(ROW(E$1:E3446)*(E3447=E$1:E3446)))))</f>
        <v> </v>
      </c>
      <c r="L3447" s="27"/>
    </row>
    <row r="3448" spans="1:12">
      <c r="A3448" s="20" t="s">
        <v>1801</v>
      </c>
      <c r="B3448" s="21" t="s">
        <v>671</v>
      </c>
      <c r="C3448" s="21" t="s">
        <v>684</v>
      </c>
      <c r="D3448" s="21" t="s">
        <v>655</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t="s">
        <v>709</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785</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1697</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1511</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1802</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688</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row>
    <row r="3456" spans="1:12">
      <c r="A3456" s="20" t="s">
        <v>1803</v>
      </c>
    </row>
    <row r="3457" spans="1:12">
      <c r="A3457" s="20" t="s">
        <v>848</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817</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1798</v>
      </c>
      <c r="B3459" s="21" t="s">
        <v>653</v>
      </c>
      <c r="C3459" s="21" t="s">
        <v>684</v>
      </c>
      <c r="D3459" s="21" t="s">
        <v>655</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1796</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127</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1804</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t="s">
        <v>1805</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t="s">
        <v>1474</v>
      </c>
      <c r="E3464" s="22">
        <f>IF(D3464="?OLD","!!!","")</f>
        <v/>
      </c>
      <c r="F3464" s="23" t="str">
        <f>IF(OR(E3464="",E3464="!!!"),"",IF(NOT(ISNA(VLOOKUP(E3464,E$1:E3463,1,FALSE()))),"OLD",IF(AND(E3464&lt;&gt;"",E3464&lt;&gt;"!!!"),"NEW","")))</f>
        <v> </v>
      </c>
      <c r="G3464" s="24" t="str">
        <f>IF(OR(E3464="",E3464="!!!"),"",IF(OR(J3464=0,AND(J3464=1,K3464=1),AND(J3464=1,I3464="SBJ"),AND(J3464=1,I3464=0)),"?IN_FOCUS",IF(J3464&lt;=2,"?ACTIVATED",IF(J3464&lt;&gt;"","?FAMILIAR",IF(F3464="NEW",IF(ISNA(VLOOKUP(E3464,#REF!,1,FALSE())),"?TYPE_IDENTIFIABLE","?REFERENTIAL"),"_")))))</f>
        <v> </v>
      </c>
      <c r="H3464" s="25" t="str">
        <f>IF(J3464&lt;&gt;1,"",IF(I3464="SBJ","CB","?"))</f>
        <v> </v>
      </c>
      <c r="I3464" s="26" t="str">
        <f>IF(OR(E3464="",E3464="!!!",F3464="NEW"),"",INDEX(B3463:B$2,-1+SUMPRODUCT(MAX(ROW(E3463:E$2)*(E3464=E3463:E$2)))))</f>
        <v> </v>
      </c>
      <c r="J3464" s="26" t="str">
        <f>IF(OR(E3464="",E3464="!!!",F3464="NEW"),"",COUNTBLANK(OFFSET(A$1,,,SUMPRODUCT(MAX(ROW(E$2:E3464)*(E3464=E$2:E3464)))))-COUNTBLANK(OFFSET(A$1,,,SUMPRODUCT(MAX(ROW(E$1:E3463)*(E2=E$1:E3463))))))</f>
        <v> </v>
      </c>
      <c r="K3464" s="26" t="str">
        <f>IF(OR(E3464="",E3464="!!!",F3464="NEW"),"",INDEX(J$1:J3463,SUMPRODUCT(MAX(ROW(E$1:E3463)*(E3464=E$1:E3463)))))</f>
        <v> </v>
      </c>
      <c r="L3464" s="27"/>
    </row>
    <row r="3465" spans="1:12">
      <c r="A3465" s="20" t="s">
        <v>662</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t="s">
        <v>555</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817</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1806</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t="s">
        <v>1759</v>
      </c>
      <c r="B3469" s="21" t="s">
        <v>653</v>
      </c>
      <c r="C3469" s="21" t="s">
        <v>678</v>
      </c>
      <c r="D3469" s="21" t="s">
        <v>655</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t="s">
        <v>1807</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t="s">
        <v>688</v>
      </c>
      <c r="E3471" s="22">
        <f>IF(D3471="?OLD","!!!","")</f>
        <v/>
      </c>
      <c r="F3471" s="23" t="str">
        <f>IF(OR(E3471="",E3471="!!!"),"",IF(NOT(ISNA(VLOOKUP(E3471,E$1:E3470,1,FALSE()))),"OLD",IF(AND(E3471&lt;&gt;"",E3471&lt;&gt;"!!!"),"NEW","")))</f>
        <v> </v>
      </c>
      <c r="G3471" s="24" t="str">
        <f>IF(OR(E3471="",E3471="!!!"),"",IF(OR(J3471=0,AND(J3471=1,K3471=1),AND(J3471=1,I3471="SBJ"),AND(J3471=1,I3471=0)),"?IN_FOCUS",IF(J3471&lt;=2,"?ACTIVATED",IF(J3471&lt;&gt;"","?FAMILIAR",IF(F3471="NEW",IF(ISNA(VLOOKUP(E3471,#REF!,1,FALSE())),"?TYPE_IDENTIFIABLE","?REFERENTIAL"),"_")))))</f>
        <v> </v>
      </c>
      <c r="H3471" s="25" t="str">
        <f>IF(J3471&lt;&gt;1,"",IF(I3471="SBJ","CB","?"))</f>
        <v> </v>
      </c>
      <c r="I3471" s="26" t="str">
        <f>IF(OR(E3471="",E3471="!!!",F3471="NEW"),"",INDEX(B3470:B$2,-1+SUMPRODUCT(MAX(ROW(E3470:E$2)*(E3471=E3470:E$2)))))</f>
        <v> </v>
      </c>
      <c r="J3471" s="26" t="str">
        <f>IF(OR(E3471="",E3471="!!!",F3471="NEW"),"",COUNTBLANK(OFFSET(A$1,,,SUMPRODUCT(MAX(ROW(E$2:E3471)*(E3471=E$2:E3471)))))-COUNTBLANK(OFFSET(A$1,,,SUMPRODUCT(MAX(ROW(E$1:E3470)*(E2=E$1:E3470))))))</f>
        <v> </v>
      </c>
      <c r="K3471" s="26" t="str">
        <f>IF(OR(E3471="",E3471="!!!",F3471="NEW"),"",INDEX(J$1:J3470,SUMPRODUCT(MAX(ROW(E$1:E3470)*(E3471=E$1:E3470)))))</f>
        <v> </v>
      </c>
      <c r="L3471" s="27"/>
    </row>
    <row r="3472" spans="1:12">
      <c r="A3472" s="20"/>
    </row>
    <row r="3473" spans="1:12">
      <c r="A3473" s="20" t="s">
        <v>689</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1808</v>
      </c>
    </row>
    <row r="3475" spans="1:12">
      <c r="A3475" s="20" t="s">
        <v>999</v>
      </c>
      <c r="B3475" s="21" t="s">
        <v>653</v>
      </c>
      <c r="C3475" s="21" t="s">
        <v>654</v>
      </c>
      <c r="D3475" s="21" t="s">
        <v>655</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316</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t="s">
        <v>1608</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923</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t="s">
        <v>890</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1809</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t="s">
        <v>1810</v>
      </c>
      <c r="B3481" s="21" t="s">
        <v>692</v>
      </c>
      <c r="C3481" s="21" t="s">
        <v>674</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t="s">
        <v>1811</v>
      </c>
      <c r="B3482" s="21" t="s">
        <v>658</v>
      </c>
      <c r="C3482" s="21" t="s">
        <v>698</v>
      </c>
      <c r="E3482" s="22">
        <f>IF(D3482="?OLD","!!!","")</f>
        <v/>
      </c>
      <c r="F3482" s="23" t="str">
        <f>IF(OR(E3482="",E3482="!!!"),"",IF(NOT(ISNA(VLOOKUP(E3482,E$1:E3481,1,FALSE()))),"OLD",IF(AND(E3482&lt;&gt;"",E3482&lt;&gt;"!!!"),"NEW","")))</f>
        <v> </v>
      </c>
      <c r="G3482" s="24" t="str">
        <f>IF(OR(E3482="",E3482="!!!"),"",IF(OR(J3482=0,AND(J3482=1,K3482=1),AND(J3482=1,I3482="SBJ"),AND(J3482=1,I3482=0)),"?IN_FOCUS",IF(J3482&lt;=2,"?ACTIVATED",IF(J3482&lt;&gt;"","?FAMILIAR",IF(F3482="NEW",IF(ISNA(VLOOKUP(E3482,#REF!,1,FALSE())),"?TYPE_IDENTIFIABLE","?REFERENTIAL"),"_")))))</f>
        <v> </v>
      </c>
      <c r="H3482" s="25" t="str">
        <f>IF(J3482&lt;&gt;1,"",IF(I3482="SBJ","CB","?"))</f>
        <v> </v>
      </c>
      <c r="I3482" s="26" t="str">
        <f>IF(OR(E3482="",E3482="!!!",F3482="NEW"),"",INDEX(B3481:B$2,-1+SUMPRODUCT(MAX(ROW(E3481:E$2)*(E3482=E3481:E$2)))))</f>
        <v> </v>
      </c>
      <c r="J3482" s="26" t="str">
        <f>IF(OR(E3482="",E3482="!!!",F3482="NEW"),"",COUNTBLANK(OFFSET(A$1,,,SUMPRODUCT(MAX(ROW(E$2:E3482)*(E3482=E$2:E3482)))))-COUNTBLANK(OFFSET(A$1,,,SUMPRODUCT(MAX(ROW(E$1:E3481)*(E2=E$1:E3481))))))</f>
        <v> </v>
      </c>
      <c r="K3482" s="26" t="str">
        <f>IF(OR(E3482="",E3482="!!!",F3482="NEW"),"",INDEX(J$1:J3481,SUMPRODUCT(MAX(ROW(E$1:E3481)*(E3482=E$1:E3481)))))</f>
        <v> </v>
      </c>
      <c r="L3482" s="27"/>
    </row>
    <row r="3483" spans="1:12">
      <c r="A3483" s="20" t="s">
        <v>703</v>
      </c>
      <c r="E3483" s="22">
        <f>IF(D3483="?OLD","!!!","")</f>
        <v/>
      </c>
      <c r="F3483" s="23" t="str">
        <f>IF(OR(E3483="",E3483="!!!"),"",IF(NOT(ISNA(VLOOKUP(E3483,E$1:E3482,1,FALSE()))),"OLD",IF(AND(E3483&lt;&gt;"",E3483&lt;&gt;"!!!"),"NEW","")))</f>
        <v> </v>
      </c>
      <c r="G3483" s="24" t="str">
        <f>IF(OR(E3483="",E3483="!!!"),"",IF(OR(J3483=0,AND(J3483=1,K3483=1),AND(J3483=1,I3483="SBJ"),AND(J3483=1,I3483=0)),"?IN_FOCUS",IF(J3483&lt;=2,"?ACTIVATED",IF(J3483&lt;&gt;"","?FAMILIAR",IF(F3483="NEW",IF(ISNA(VLOOKUP(E3483,#REF!,1,FALSE())),"?TYPE_IDENTIFIABLE","?REFERENTIAL"),"_")))))</f>
        <v> </v>
      </c>
      <c r="H3483" s="25" t="str">
        <f>IF(J3483&lt;&gt;1,"",IF(I3483="SBJ","CB","?"))</f>
        <v> </v>
      </c>
      <c r="I3483" s="26" t="str">
        <f>IF(OR(E3483="",E3483="!!!",F3483="NEW"),"",INDEX(B3482:B$2,-1+SUMPRODUCT(MAX(ROW(E3482:E$2)*(E3483=E3482:E$2)))))</f>
        <v> </v>
      </c>
      <c r="J3483" s="26" t="str">
        <f>IF(OR(E3483="",E3483="!!!",F3483="NEW"),"",COUNTBLANK(OFFSET(A$1,,,SUMPRODUCT(MAX(ROW(E$2:E3483)*(E3483=E$2:E3483)))))-COUNTBLANK(OFFSET(A$1,,,SUMPRODUCT(MAX(ROW(E$1:E3482)*(E2=E$1:E3482))))))</f>
        <v> </v>
      </c>
      <c r="K3483" s="26" t="str">
        <f>IF(OR(E3483="",E3483="!!!",F3483="NEW"),"",INDEX(J$1:J3482,SUMPRODUCT(MAX(ROW(E$1:E3482)*(E3483=E$1:E3482)))))</f>
        <v> </v>
      </c>
      <c r="L3483" s="27"/>
    </row>
    <row r="3484" spans="1:12">
      <c r="A3484" s="20" t="s">
        <v>776</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723</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1812</v>
      </c>
      <c r="B3486" s="21" t="s">
        <v>692</v>
      </c>
      <c r="C3486" s="21" t="s">
        <v>674</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723</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1509</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1801</v>
      </c>
      <c r="B3489" s="21" t="s">
        <v>673</v>
      </c>
      <c r="C3489" s="21" t="s">
        <v>684</v>
      </c>
      <c r="D3489" s="21" t="s">
        <v>655</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1511</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817</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1813</v>
      </c>
      <c r="B3492" s="21" t="s">
        <v>653</v>
      </c>
      <c r="C3492" s="21" t="s">
        <v>678</v>
      </c>
      <c r="D3492" s="21" t="s">
        <v>655</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t="s">
        <v>723</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t="s">
        <v>1814</v>
      </c>
      <c r="B3494" s="21" t="s">
        <v>683</v>
      </c>
      <c r="C3494" s="21" t="s">
        <v>684</v>
      </c>
      <c r="D3494" s="21" t="s">
        <v>655</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1274</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723</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1509</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t="s">
        <v>1798</v>
      </c>
      <c r="B3498" s="21" t="s">
        <v>673</v>
      </c>
      <c r="C3498" s="21" t="s">
        <v>684</v>
      </c>
      <c r="D3498" s="21" t="s">
        <v>655</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1511</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t="s">
        <v>1815</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688</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row>
    <row r="3503" spans="1:12">
      <c r="A3503" s="20" t="s">
        <v>1816</v>
      </c>
    </row>
    <row r="3504" spans="1:12">
      <c r="A3504" s="20" t="s">
        <v>919</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1006</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972</v>
      </c>
      <c r="B3506" s="21" t="s">
        <v>658</v>
      </c>
      <c r="C3506" s="21" t="s">
        <v>654</v>
      </c>
      <c r="D3506" s="21" t="s">
        <v>655</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t="s">
        <v>1699</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t="s">
        <v>662</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t="s">
        <v>902</v>
      </c>
      <c r="B3509" s="21" t="s">
        <v>664</v>
      </c>
      <c r="C3509" s="21" t="s">
        <v>665</v>
      </c>
      <c r="D3509" s="21" t="s">
        <v>655</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1817</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1818</v>
      </c>
      <c r="B3511" s="21" t="s">
        <v>692</v>
      </c>
      <c r="C3511" s="21" t="s">
        <v>698</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662</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712</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902</v>
      </c>
      <c r="B3514" s="21" t="s">
        <v>701</v>
      </c>
      <c r="C3514" s="21" t="s">
        <v>665</v>
      </c>
      <c r="D3514" s="21" t="s">
        <v>655</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1013</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1819</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1820</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688</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row>
    <row r="3520" spans="1:12">
      <c r="A3520" s="20" t="s">
        <v>1821</v>
      </c>
    </row>
    <row r="3521" spans="1:12">
      <c r="A3521" s="20" t="s">
        <v>848</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800</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857</v>
      </c>
      <c r="B3523" s="21" t="s">
        <v>673</v>
      </c>
      <c r="C3523" s="21" t="s">
        <v>729</v>
      </c>
      <c r="D3523" s="21" t="s">
        <v>655</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1822</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t="s">
        <v>672</v>
      </c>
      <c r="B3525" s="21" t="s">
        <v>692</v>
      </c>
      <c r="C3525" s="21" t="s">
        <v>775</v>
      </c>
      <c r="D3525" s="21" t="s">
        <v>655</v>
      </c>
      <c r="E3525" s="22">
        <f>IF(D3525="?OLD","!!!","")</f>
        <v/>
      </c>
      <c r="F3525" s="23" t="str">
        <f>IF(OR(E3525="",E3525="!!!"),"",IF(NOT(ISNA(VLOOKUP(E3525,E$1:E3524,1,FALSE()))),"OLD",IF(AND(E3525&lt;&gt;"",E3525&lt;&gt;"!!!"),"NEW","")))</f>
        <v> </v>
      </c>
      <c r="G3525" s="24" t="str">
        <f>IF(OR(E3525="",E3525="!!!"),"",IF(OR(J3525=0,AND(J3525=1,K3525=1),AND(J3525=1,I3525="SBJ"),AND(J3525=1,I3525=0)),"?IN_FOCUS",IF(J3525&lt;=2,"?ACTIVATED",IF(J3525&lt;&gt;"","?FAMILIAR",IF(F3525="NEW",IF(ISNA(VLOOKUP(E3525,#REF!,1,FALSE())),"?TYPE_IDENTIFIABLE","?REFERENTIAL"),"_")))))</f>
        <v> </v>
      </c>
      <c r="H3525" s="25" t="str">
        <f>IF(J3525&lt;&gt;1,"",IF(I3525="SBJ","CB","?"))</f>
        <v> </v>
      </c>
      <c r="I3525" s="26" t="str">
        <f>IF(OR(E3525="",E3525="!!!",F3525="NEW"),"",INDEX(B3524:B$2,-1+SUMPRODUCT(MAX(ROW(E3524:E$2)*(E3525=E3524:E$2)))))</f>
        <v> </v>
      </c>
      <c r="J3525" s="26" t="str">
        <f>IF(OR(E3525="",E3525="!!!",F3525="NEW"),"",COUNTBLANK(OFFSET(A$1,,,SUMPRODUCT(MAX(ROW(E$2:E3525)*(E3525=E$2:E3525)))))-COUNTBLANK(OFFSET(A$1,,,SUMPRODUCT(MAX(ROW(E$1:E3524)*(E2=E$1:E3524))))))</f>
        <v> </v>
      </c>
      <c r="K3525" s="26" t="str">
        <f>IF(OR(E3525="",E3525="!!!",F3525="NEW"),"",INDEX(J$1:J3524,SUMPRODUCT(MAX(ROW(E$1:E3524)*(E3525=E$1:E3524)))))</f>
        <v> </v>
      </c>
      <c r="L3525" s="27"/>
    </row>
    <row r="3526" spans="1:12">
      <c r="A3526" s="20" t="s">
        <v>316</v>
      </c>
      <c r="E3526" s="22">
        <f>IF(D3526="?OLD","!!!","")</f>
        <v/>
      </c>
      <c r="F3526" s="23" t="str">
        <f>IF(OR(E3526="",E3526="!!!"),"",IF(NOT(ISNA(VLOOKUP(E3526,E$1:E3525,1,FALSE()))),"OLD",IF(AND(E3526&lt;&gt;"",E3526&lt;&gt;"!!!"),"NEW","")))</f>
        <v> </v>
      </c>
      <c r="G3526" s="24" t="str">
        <f>IF(OR(E3526="",E3526="!!!"),"",IF(OR(J3526=0,AND(J3526=1,K3526=1),AND(J3526=1,I3526="SBJ"),AND(J3526=1,I3526=0)),"?IN_FOCUS",IF(J3526&lt;=2,"?ACTIVATED",IF(J3526&lt;&gt;"","?FAMILIAR",IF(F3526="NEW",IF(ISNA(VLOOKUP(E3526,#REF!,1,FALSE())),"?TYPE_IDENTIFIABLE","?REFERENTIAL"),"_")))))</f>
        <v> </v>
      </c>
      <c r="H3526" s="25" t="str">
        <f>IF(J3526&lt;&gt;1,"",IF(I3526="SBJ","CB","?"))</f>
        <v> </v>
      </c>
      <c r="I3526" s="26" t="str">
        <f>IF(OR(E3526="",E3526="!!!",F3526="NEW"),"",INDEX(B3525:B$2,-1+SUMPRODUCT(MAX(ROW(E3525:E$2)*(E3526=E3525:E$2)))))</f>
        <v> </v>
      </c>
      <c r="J3526" s="26" t="str">
        <f>IF(OR(E3526="",E3526="!!!",F3526="NEW"),"",COUNTBLANK(OFFSET(A$1,,,SUMPRODUCT(MAX(ROW(E$2:E3526)*(E3526=E$2:E3526)))))-COUNTBLANK(OFFSET(A$1,,,SUMPRODUCT(MAX(ROW(E$1:E3525)*(E2=E$1:E3525))))))</f>
        <v> </v>
      </c>
      <c r="K3526" s="26" t="str">
        <f>IF(OR(E3526="",E3526="!!!",F3526="NEW"),"",INDEX(J$1:J3525,SUMPRODUCT(MAX(ROW(E$1:E3525)*(E3526=E$1:E3525)))))</f>
        <v> </v>
      </c>
      <c r="L3526" s="27"/>
    </row>
    <row r="3527" spans="1:12">
      <c r="A3527" s="20" t="s">
        <v>902</v>
      </c>
      <c r="B3527" s="21" t="s">
        <v>658</v>
      </c>
      <c r="C3527" s="21" t="s">
        <v>665</v>
      </c>
      <c r="D3527" s="21" t="s">
        <v>655</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725</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1823</v>
      </c>
      <c r="B3529" s="21" t="s">
        <v>692</v>
      </c>
      <c r="C3529" s="21" t="s">
        <v>698</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1438</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688</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row>
    <row r="3533" spans="1:12">
      <c r="A3533" s="20" t="s">
        <v>1824</v>
      </c>
    </row>
    <row r="3534" spans="1:12">
      <c r="A3534" s="20" t="s">
        <v>848</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1088</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1825</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783</v>
      </c>
      <c r="B3537" s="21" t="s">
        <v>653</v>
      </c>
      <c r="C3537" s="21" t="s">
        <v>654</v>
      </c>
      <c r="D3537" s="21" t="s">
        <v>655</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776</v>
      </c>
      <c r="B3538" s="21" t="s">
        <v>667</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720</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t="s">
        <v>1826</v>
      </c>
      <c r="B3540" s="21" t="s">
        <v>667</v>
      </c>
      <c r="C3540" s="21" t="s">
        <v>678</v>
      </c>
      <c r="D3540" s="21" t="s">
        <v>655</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795</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t="s">
        <v>1827</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662</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712</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1828</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730</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1823</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16</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1811</v>
      </c>
      <c r="B3549" s="21" t="s">
        <v>667</v>
      </c>
      <c r="C3549" s="21" t="s">
        <v>678</v>
      </c>
      <c r="D3549" s="21" t="s">
        <v>655</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1699</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1006</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662</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902</v>
      </c>
      <c r="B3553" s="21" t="s">
        <v>701</v>
      </c>
      <c r="C3553" s="21" t="s">
        <v>665</v>
      </c>
      <c r="D3553" s="21" t="s">
        <v>655</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1817</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788</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t="s">
        <v>1829</v>
      </c>
      <c r="E3556" s="22">
        <f>IF(D3556="?OLD","!!!","")</f>
        <v/>
      </c>
      <c r="F3556" s="23" t="str">
        <f>IF(OR(E3556="",E3556="!!!"),"",IF(NOT(ISNA(VLOOKUP(E3556,E$1:E3555,1,FALSE()))),"OLD",IF(AND(E3556&lt;&gt;"",E3556&lt;&gt;"!!!"),"NEW","")))</f>
        <v> </v>
      </c>
      <c r="G3556" s="24" t="str">
        <f>IF(OR(E3556="",E3556="!!!"),"",IF(OR(J3556=0,AND(J3556=1,K3556=1),AND(J3556=1,I3556="SBJ"),AND(J3556=1,I3556=0)),"?IN_FOCUS",IF(J3556&lt;=2,"?ACTIVATED",IF(J3556&lt;&gt;"","?FAMILIAR",IF(F3556="NEW",IF(ISNA(VLOOKUP(E3556,#REF!,1,FALSE())),"?TYPE_IDENTIFIABLE","?REFERENTIAL"),"_")))))</f>
        <v> </v>
      </c>
      <c r="H3556" s="25" t="str">
        <f>IF(J3556&lt;&gt;1,"",IF(I3556="SBJ","CB","?"))</f>
        <v> </v>
      </c>
      <c r="I3556" s="26" t="str">
        <f>IF(OR(E3556="",E3556="!!!",F3556="NEW"),"",INDEX(B3555:B$2,-1+SUMPRODUCT(MAX(ROW(E3555:E$2)*(E3556=E3555:E$2)))))</f>
        <v> </v>
      </c>
      <c r="J3556" s="26" t="str">
        <f>IF(OR(E3556="",E3556="!!!",F3556="NEW"),"",COUNTBLANK(OFFSET(A$1,,,SUMPRODUCT(MAX(ROW(E$2:E3556)*(E3556=E$2:E3556)))))-COUNTBLANK(OFFSET(A$1,,,SUMPRODUCT(MAX(ROW(E$1:E3555)*(E2=E$1:E3555))))))</f>
        <v> </v>
      </c>
      <c r="K3556" s="26" t="str">
        <f>IF(OR(E3556="",E3556="!!!",F3556="NEW"),"",INDEX(J$1:J3555,SUMPRODUCT(MAX(ROW(E$1:E3555)*(E3556=E$1:E3555)))))</f>
        <v> </v>
      </c>
      <c r="L3556" s="27"/>
    </row>
    <row r="3557" spans="1:12">
      <c r="A3557" s="20" t="s">
        <v>688</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row>
    <row r="3559" spans="1:12">
      <c r="A3559" s="20" t="s">
        <v>1830</v>
      </c>
    </row>
    <row r="3560" spans="1:12">
      <c r="A3560" s="20" t="s">
        <v>848</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1831</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702</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783</v>
      </c>
      <c r="B3563" s="21" t="s">
        <v>653</v>
      </c>
      <c r="C3563" s="21" t="s">
        <v>654</v>
      </c>
      <c r="D3563" s="21" t="s">
        <v>655</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t="s">
        <v>1608</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800</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730</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1822</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672</v>
      </c>
      <c r="B3568" s="21" t="s">
        <v>692</v>
      </c>
      <c r="C3568" s="21" t="s">
        <v>884</v>
      </c>
      <c r="D3568" s="21" t="s">
        <v>655</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t="s">
        <v>764</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688</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row>
    <row r="3572" spans="1:12">
      <c r="A3572" s="20" t="s">
        <v>1832</v>
      </c>
    </row>
    <row r="3573" spans="1:12">
      <c r="A3573" s="20" t="s">
        <v>916</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788</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1833</v>
      </c>
      <c r="B3575" s="21" t="s">
        <v>692</v>
      </c>
      <c r="C3575" s="21" t="s">
        <v>729</v>
      </c>
      <c r="D3575" s="21" t="s">
        <v>655</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662</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t="s">
        <v>817</v>
      </c>
      <c r="B3577" s="21" t="s">
        <v>664</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t="s">
        <v>693</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t="s">
        <v>713</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715</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829</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1834</v>
      </c>
      <c r="B3582" s="21" t="s">
        <v>673</v>
      </c>
      <c r="C3582" s="21" t="s">
        <v>678</v>
      </c>
      <c r="D3582" s="21" t="s">
        <v>655</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1062</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960</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t="s">
        <v>1835</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t="s">
        <v>885</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730</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1811</v>
      </c>
      <c r="B3588" s="21" t="s">
        <v>673</v>
      </c>
      <c r="C3588" s="21" t="s">
        <v>678</v>
      </c>
      <c r="D3588" s="21" t="s">
        <v>655</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t="s">
        <v>662</v>
      </c>
      <c r="E3589" s="22">
        <f>IF(D3589="?OLD","!!!","")</f>
        <v/>
      </c>
      <c r="F3589" s="23" t="str">
        <f>IF(OR(E3589="",E3589="!!!"),"",IF(NOT(ISNA(VLOOKUP(E3589,E$1:E3588,1,FALSE()))),"OLD",IF(AND(E3589&lt;&gt;"",E3589&lt;&gt;"!!!"),"NEW","")))</f>
        <v> </v>
      </c>
      <c r="G3589" s="24" t="str">
        <f>IF(OR(E3589="",E3589="!!!"),"",IF(OR(J3589=0,AND(J3589=1,K3589=1),AND(J3589=1,I3589="SBJ"),AND(J3589=1,I3589=0)),"?IN_FOCUS",IF(J3589&lt;=2,"?ACTIVATED",IF(J3589&lt;&gt;"","?FAMILIAR",IF(F3589="NEW",IF(ISNA(VLOOKUP(E3589,#REF!,1,FALSE())),"?TYPE_IDENTIFIABLE","?REFERENTIAL"),"_")))))</f>
        <v> </v>
      </c>
      <c r="H3589" s="25" t="str">
        <f>IF(J3589&lt;&gt;1,"",IF(I3589="SBJ","CB","?"))</f>
        <v> </v>
      </c>
      <c r="I3589" s="26" t="str">
        <f>IF(OR(E3589="",E3589="!!!",F3589="NEW"),"",INDEX(B3588:B$2,-1+SUMPRODUCT(MAX(ROW(E3588:E$2)*(E3589=E3588:E$2)))))</f>
        <v> </v>
      </c>
      <c r="J3589" s="26" t="str">
        <f>IF(OR(E3589="",E3589="!!!",F3589="NEW"),"",COUNTBLANK(OFFSET(A$1,,,SUMPRODUCT(MAX(ROW(E$2:E3589)*(E3589=E$2:E3589)))))-COUNTBLANK(OFFSET(A$1,,,SUMPRODUCT(MAX(ROW(E$1:E3588)*(E2=E$1:E3588))))))</f>
        <v> </v>
      </c>
      <c r="K3589" s="26" t="str">
        <f>IF(OR(E3589="",E3589="!!!",F3589="NEW"),"",INDEX(J$1:J3588,SUMPRODUCT(MAX(ROW(E$1:E3588)*(E3589=E$1:E3588)))))</f>
        <v> </v>
      </c>
      <c r="L3589" s="27"/>
    </row>
    <row r="3590" spans="1:12">
      <c r="A3590" s="20" t="s">
        <v>817</v>
      </c>
      <c r="B3590" s="21" t="s">
        <v>719</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817</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1834</v>
      </c>
      <c r="B3592" s="21" t="s">
        <v>798</v>
      </c>
      <c r="C3592" s="21" t="s">
        <v>678</v>
      </c>
      <c r="D3592" s="21" t="s">
        <v>655</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1836</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1633</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t="s">
        <v>688</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row>
    <row r="3597" spans="1:12">
      <c r="A3597" s="20" t="s">
        <v>1837</v>
      </c>
    </row>
    <row r="3598" spans="1:12">
      <c r="A3598" s="20" t="s">
        <v>1838</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1694</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t="s">
        <v>675</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t="s">
        <v>801</v>
      </c>
      <c r="B3601" s="21" t="s">
        <v>673</v>
      </c>
      <c r="C3601" s="21" t="s">
        <v>729</v>
      </c>
      <c r="D3601" s="21" t="s">
        <v>655</v>
      </c>
      <c r="E3601" s="22">
        <f>IF(D3601="?OLD","!!!","")</f>
        <v/>
      </c>
      <c r="F3601" s="23" t="str">
        <f>IF(OR(E3601="",E3601="!!!"),"",IF(NOT(ISNA(VLOOKUP(E3601,E$1:E3600,1,FALSE()))),"OLD",IF(AND(E3601&lt;&gt;"",E3601&lt;&gt;"!!!"),"NEW","")))</f>
        <v> </v>
      </c>
      <c r="G3601" s="24" t="str">
        <f>IF(OR(E3601="",E3601="!!!"),"",IF(OR(J3601=0,AND(J3601=1,K3601=1),AND(J3601=1,I3601="SBJ"),AND(J3601=1,I3601=0)),"?IN_FOCUS",IF(J3601&lt;=2,"?ACTIVATED",IF(J3601&lt;&gt;"","?FAMILIAR",IF(F3601="NEW",IF(ISNA(VLOOKUP(E3601,#REF!,1,FALSE())),"?TYPE_IDENTIFIABLE","?REFERENTIAL"),"_")))))</f>
        <v> </v>
      </c>
      <c r="H3601" s="25" t="str">
        <f>IF(J3601&lt;&gt;1,"",IF(I3601="SBJ","CB","?"))</f>
        <v> </v>
      </c>
      <c r="I3601" s="26" t="str">
        <f>IF(OR(E3601="",E3601="!!!",F3601="NEW"),"",INDEX(B3600:B$2,-1+SUMPRODUCT(MAX(ROW(E3600:E$2)*(E3601=E3600:E$2)))))</f>
        <v> </v>
      </c>
      <c r="J3601" s="26" t="str">
        <f>IF(OR(E3601="",E3601="!!!",F3601="NEW"),"",COUNTBLANK(OFFSET(A$1,,,SUMPRODUCT(MAX(ROW(E$2:E3601)*(E3601=E$2:E3601)))))-COUNTBLANK(OFFSET(A$1,,,SUMPRODUCT(MAX(ROW(E$1:E3600)*(E2=E$1:E3600))))))</f>
        <v> </v>
      </c>
      <c r="K3601" s="26" t="str">
        <f>IF(OR(E3601="",E3601="!!!",F3601="NEW"),"",INDEX(J$1:J3600,SUMPRODUCT(MAX(ROW(E$1:E3600)*(E3601=E$1:E3600)))))</f>
        <v> </v>
      </c>
      <c r="L3601" s="27"/>
    </row>
    <row r="3602" spans="1:12">
      <c r="A3602" s="20" t="s">
        <v>1839</v>
      </c>
      <c r="B3602" s="21" t="s">
        <v>692</v>
      </c>
      <c r="C3602" s="21" t="s">
        <v>775</v>
      </c>
      <c r="D3602" s="21" t="s">
        <v>655</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702</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662</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t="s">
        <v>712</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t="s">
        <v>817</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1759</v>
      </c>
      <c r="B3607" s="21" t="s">
        <v>664</v>
      </c>
      <c r="C3607" s="21" t="s">
        <v>678</v>
      </c>
      <c r="D3607" s="21" t="s">
        <v>655</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791</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1840</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1062</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688</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row>
    <row r="3613" spans="1:12">
      <c r="A3613" s="20" t="s">
        <v>1841</v>
      </c>
    </row>
    <row r="3614" spans="1:12">
      <c r="A3614" s="20" t="s">
        <v>1225</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1759</v>
      </c>
      <c r="B3615" s="21" t="s">
        <v>653</v>
      </c>
      <c r="C3615" s="21" t="s">
        <v>678</v>
      </c>
      <c r="D3615" s="21" t="s">
        <v>655</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1842</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791</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662</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712</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660</v>
      </c>
      <c r="B3620" s="21" t="s">
        <v>664</v>
      </c>
      <c r="C3620" s="21" t="s">
        <v>661</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1714</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t="s">
        <v>1006</v>
      </c>
      <c r="E3622" s="22">
        <f>IF(D3622="?OLD","!!!","")</f>
        <v/>
      </c>
      <c r="F3622" s="23" t="str">
        <f>IF(OR(E3622="",E3622="!!!"),"",IF(NOT(ISNA(VLOOKUP(E3622,E$1:E3621,1,FALSE()))),"OLD",IF(AND(E3622&lt;&gt;"",E3622&lt;&gt;"!!!"),"NEW","")))</f>
        <v> </v>
      </c>
      <c r="G3622" s="24" t="str">
        <f>IF(OR(E3622="",E3622="!!!"),"",IF(OR(J3622=0,AND(J3622=1,K3622=1),AND(J3622=1,I3622="SBJ"),AND(J3622=1,I3622=0)),"?IN_FOCUS",IF(J3622&lt;=2,"?ACTIVATED",IF(J3622&lt;&gt;"","?FAMILIAR",IF(F3622="NEW",IF(ISNA(VLOOKUP(E3622,#REF!,1,FALSE())),"?TYPE_IDENTIFIABLE","?REFERENTIAL"),"_")))))</f>
        <v> </v>
      </c>
      <c r="H3622" s="25" t="str">
        <f>IF(J3622&lt;&gt;1,"",IF(I3622="SBJ","CB","?"))</f>
        <v> </v>
      </c>
      <c r="I3622" s="26" t="str">
        <f>IF(OR(E3622="",E3622="!!!",F3622="NEW"),"",INDEX(B3621:B$2,-1+SUMPRODUCT(MAX(ROW(E3621:E$2)*(E3622=E3621:E$2)))))</f>
        <v> </v>
      </c>
      <c r="J3622" s="26" t="str">
        <f>IF(OR(E3622="",E3622="!!!",F3622="NEW"),"",COUNTBLANK(OFFSET(A$1,,,SUMPRODUCT(MAX(ROW(E$2:E3622)*(E3622=E$2:E3622)))))-COUNTBLANK(OFFSET(A$1,,,SUMPRODUCT(MAX(ROW(E$1:E3621)*(E2=E$1:E3621))))))</f>
        <v> </v>
      </c>
      <c r="K3622" s="26" t="str">
        <f>IF(OR(E3622="",E3622="!!!",F3622="NEW"),"",INDEX(J$1:J3621,SUMPRODUCT(MAX(ROW(E$1:E3621)*(E3622=E$1:E3621)))))</f>
        <v> </v>
      </c>
      <c r="L3622" s="27"/>
    </row>
    <row r="3623" spans="1:12">
      <c r="A3623" s="20" t="s">
        <v>688</v>
      </c>
      <c r="E3623" s="22">
        <f>IF(D3623="?OLD","!!!","")</f>
        <v/>
      </c>
      <c r="F3623" s="23" t="str">
        <f>IF(OR(E3623="",E3623="!!!"),"",IF(NOT(ISNA(VLOOKUP(E3623,E$1:E3622,1,FALSE()))),"OLD",IF(AND(E3623&lt;&gt;"",E3623&lt;&gt;"!!!"),"NEW","")))</f>
        <v> </v>
      </c>
      <c r="G3623" s="24" t="str">
        <f>IF(OR(E3623="",E3623="!!!"),"",IF(OR(J3623=0,AND(J3623=1,K3623=1),AND(J3623=1,I3623="SBJ"),AND(J3623=1,I3623=0)),"?IN_FOCUS",IF(J3623&lt;=2,"?ACTIVATED",IF(J3623&lt;&gt;"","?FAMILIAR",IF(F3623="NEW",IF(ISNA(VLOOKUP(E3623,#REF!,1,FALSE())),"?TYPE_IDENTIFIABLE","?REFERENTIAL"),"_")))))</f>
        <v> </v>
      </c>
      <c r="H3623" s="25" t="str">
        <f>IF(J3623&lt;&gt;1,"",IF(I3623="SBJ","CB","?"))</f>
        <v> </v>
      </c>
      <c r="I3623" s="26" t="str">
        <f>IF(OR(E3623="",E3623="!!!",F3623="NEW"),"",INDEX(B3622:B$2,-1+SUMPRODUCT(MAX(ROW(E3622:E$2)*(E3623=E3622:E$2)))))</f>
        <v> </v>
      </c>
      <c r="J3623" s="26" t="str">
        <f>IF(OR(E3623="",E3623="!!!",F3623="NEW"),"",COUNTBLANK(OFFSET(A$1,,,SUMPRODUCT(MAX(ROW(E$2:E3623)*(E3623=E$2:E3623)))))-COUNTBLANK(OFFSET(A$1,,,SUMPRODUCT(MAX(ROW(E$1:E3622)*(E2=E$1:E3622))))))</f>
        <v> </v>
      </c>
      <c r="K3623" s="26" t="str">
        <f>IF(OR(E3623="",E3623="!!!",F3623="NEW"),"",INDEX(J$1:J3622,SUMPRODUCT(MAX(ROW(E$1:E3622)*(E3623=E$1:E3622)))))</f>
        <v> </v>
      </c>
      <c r="L3623" s="27"/>
    </row>
    <row r="3624" spans="1:12">
      <c r="A3624" s="20"/>
    </row>
    <row r="3625" spans="1:12">
      <c r="A3625" s="20" t="s">
        <v>1843</v>
      </c>
    </row>
    <row r="3626" spans="1:12">
      <c r="A3626" s="20" t="s">
        <v>657</v>
      </c>
      <c r="B3626" s="21" t="s">
        <v>658</v>
      </c>
      <c r="C3626" s="21" t="s">
        <v>654</v>
      </c>
      <c r="D3626" s="21" t="s">
        <v>655</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1006</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t="s">
        <v>815</v>
      </c>
      <c r="E3628" s="22">
        <f>IF(D3628="?OLD","!!!","")</f>
        <v/>
      </c>
      <c r="F3628" s="23" t="str">
        <f>IF(OR(E3628="",E3628="!!!"),"",IF(NOT(ISNA(VLOOKUP(E3628,E$1:E3627,1,FALSE()))),"OLD",IF(AND(E3628&lt;&gt;"",E3628&lt;&gt;"!!!"),"NEW","")))</f>
        <v> </v>
      </c>
      <c r="G3628" s="24" t="str">
        <f>IF(OR(E3628="",E3628="!!!"),"",IF(OR(J3628=0,AND(J3628=1,K3628=1),AND(J3628=1,I3628="SBJ"),AND(J3628=1,I3628=0)),"?IN_FOCUS",IF(J3628&lt;=2,"?ACTIVATED",IF(J3628&lt;&gt;"","?FAMILIAR",IF(F3628="NEW",IF(ISNA(VLOOKUP(E3628,#REF!,1,FALSE())),"?TYPE_IDENTIFIABLE","?REFERENTIAL"),"_")))))</f>
        <v> </v>
      </c>
      <c r="H3628" s="25" t="str">
        <f>IF(J3628&lt;&gt;1,"",IF(I3628="SBJ","CB","?"))</f>
        <v> </v>
      </c>
      <c r="I3628" s="26" t="str">
        <f>IF(OR(E3628="",E3628="!!!",F3628="NEW"),"",INDEX(B3627:B$2,-1+SUMPRODUCT(MAX(ROW(E3627:E$2)*(E3628=E3627:E$2)))))</f>
        <v> </v>
      </c>
      <c r="J3628" s="26" t="str">
        <f>IF(OR(E3628="",E3628="!!!",F3628="NEW"),"",COUNTBLANK(OFFSET(A$1,,,SUMPRODUCT(MAX(ROW(E$2:E3628)*(E3628=E$2:E3628)))))-COUNTBLANK(OFFSET(A$1,,,SUMPRODUCT(MAX(ROW(E$1:E3627)*(E2=E$1:E3627))))))</f>
        <v> </v>
      </c>
      <c r="K3628" s="26" t="str">
        <f>IF(OR(E3628="",E3628="!!!",F3628="NEW"),"",INDEX(J$1:J3627,SUMPRODUCT(MAX(ROW(E$1:E3627)*(E3628=E$1:E3627)))))</f>
        <v> </v>
      </c>
      <c r="L3628" s="27"/>
    </row>
    <row r="3629" spans="1:12">
      <c r="A3629" s="20" t="s">
        <v>1699</v>
      </c>
      <c r="E3629" s="22">
        <f>IF(D3629="?OLD","!!!","")</f>
        <v/>
      </c>
      <c r="F3629" s="23" t="str">
        <f>IF(OR(E3629="",E3629="!!!"),"",IF(NOT(ISNA(VLOOKUP(E3629,E$1:E3628,1,FALSE()))),"OLD",IF(AND(E3629&lt;&gt;"",E3629&lt;&gt;"!!!"),"NEW","")))</f>
        <v> </v>
      </c>
      <c r="G3629" s="24" t="str">
        <f>IF(OR(E3629="",E3629="!!!"),"",IF(OR(J3629=0,AND(J3629=1,K3629=1),AND(J3629=1,I3629="SBJ"),AND(J3629=1,I3629=0)),"?IN_FOCUS",IF(J3629&lt;=2,"?ACTIVATED",IF(J3629&lt;&gt;"","?FAMILIAR",IF(F3629="NEW",IF(ISNA(VLOOKUP(E3629,#REF!,1,FALSE())),"?TYPE_IDENTIFIABLE","?REFERENTIAL"),"_")))))</f>
        <v> </v>
      </c>
      <c r="H3629" s="25" t="str">
        <f>IF(J3629&lt;&gt;1,"",IF(I3629="SBJ","CB","?"))</f>
        <v> </v>
      </c>
      <c r="I3629" s="26" t="str">
        <f>IF(OR(E3629="",E3629="!!!",F3629="NEW"),"",INDEX(B3628:B$2,-1+SUMPRODUCT(MAX(ROW(E3628:E$2)*(E3629=E3628:E$2)))))</f>
        <v> </v>
      </c>
      <c r="J3629" s="26" t="str">
        <f>IF(OR(E3629="",E3629="!!!",F3629="NEW"),"",COUNTBLANK(OFFSET(A$1,,,SUMPRODUCT(MAX(ROW(E$2:E3629)*(E3629=E$2:E3629)))))-COUNTBLANK(OFFSET(A$1,,,SUMPRODUCT(MAX(ROW(E$1:E3628)*(E2=E$1:E3628))))))</f>
        <v> </v>
      </c>
      <c r="K3629" s="26" t="str">
        <f>IF(OR(E3629="",E3629="!!!",F3629="NEW"),"",INDEX(J$1:J3628,SUMPRODUCT(MAX(ROW(E$1:E3628)*(E3629=E$1:E3628)))))</f>
        <v> </v>
      </c>
      <c r="L3629" s="27"/>
    </row>
    <row r="3630" spans="1:12">
      <c r="A3630" s="20" t="s">
        <v>662</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t="s">
        <v>712</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1817</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817</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1823</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16</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t="s">
        <v>1796</v>
      </c>
      <c r="B3636" s="21" t="s">
        <v>664</v>
      </c>
      <c r="C3636" s="21" t="s">
        <v>678</v>
      </c>
      <c r="D3636" s="21" t="s">
        <v>655</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t="s">
        <v>709</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t="s">
        <v>712</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t="s">
        <v>1268</v>
      </c>
      <c r="E3639" s="22">
        <f>IF(D3639="?OLD","!!!","")</f>
        <v/>
      </c>
      <c r="F3639" s="23" t="str">
        <f>IF(OR(E3639="",E3639="!!!"),"",IF(NOT(ISNA(VLOOKUP(E3639,E$1:E3638,1,FALSE()))),"OLD",IF(AND(E3639&lt;&gt;"",E3639&lt;&gt;"!!!"),"NEW","")))</f>
        <v> </v>
      </c>
      <c r="G3639" s="24" t="str">
        <f>IF(OR(E3639="",E3639="!!!"),"",IF(OR(J3639=0,AND(J3639=1,K3639=1),AND(J3639=1,I3639="SBJ"),AND(J3639=1,I3639=0)),"?IN_FOCUS",IF(J3639&lt;=2,"?ACTIVATED",IF(J3639&lt;&gt;"","?FAMILIAR",IF(F3639="NEW",IF(ISNA(VLOOKUP(E3639,#REF!,1,FALSE())),"?TYPE_IDENTIFIABLE","?REFERENTIAL"),"_")))))</f>
        <v> </v>
      </c>
      <c r="H3639" s="25" t="str">
        <f>IF(J3639&lt;&gt;1,"",IF(I3639="SBJ","CB","?"))</f>
        <v> </v>
      </c>
      <c r="I3639" s="26" t="str">
        <f>IF(OR(E3639="",E3639="!!!",F3639="NEW"),"",INDEX(B3638:B$2,-1+SUMPRODUCT(MAX(ROW(E3638:E$2)*(E3639=E3638:E$2)))))</f>
        <v> </v>
      </c>
      <c r="J3639" s="26" t="str">
        <f>IF(OR(E3639="",E3639="!!!",F3639="NEW"),"",COUNTBLANK(OFFSET(A$1,,,SUMPRODUCT(MAX(ROW(E$2:E3639)*(E3639=E$2:E3639)))))-COUNTBLANK(OFFSET(A$1,,,SUMPRODUCT(MAX(ROW(E$1:E3638)*(E2=E$1:E3638))))))</f>
        <v> </v>
      </c>
      <c r="K3639" s="26" t="str">
        <f>IF(OR(E3639="",E3639="!!!",F3639="NEW"),"",INDEX(J$1:J3638,SUMPRODUCT(MAX(ROW(E$1:E3638)*(E3639=E$1:E3638)))))</f>
        <v> </v>
      </c>
      <c r="L3639" s="27"/>
    </row>
    <row r="3640" spans="1:12">
      <c r="A3640" s="20" t="s">
        <v>817</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t="s">
        <v>1796</v>
      </c>
      <c r="B3641" s="21" t="s">
        <v>664</v>
      </c>
      <c r="C3641" s="21" t="s">
        <v>678</v>
      </c>
      <c r="D3641" s="21" t="s">
        <v>655</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703</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829</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1813</v>
      </c>
      <c r="B3644" s="21" t="s">
        <v>671</v>
      </c>
      <c r="C3644" s="21" t="s">
        <v>678</v>
      </c>
      <c r="D3644" s="21" t="s">
        <v>655</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1829</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t="s">
        <v>688</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row>
    <row r="3648" spans="1:12">
      <c r="A3648" s="20" t="s">
        <v>1844</v>
      </c>
    </row>
    <row r="3649" spans="1:12">
      <c r="A3649" s="20" t="s">
        <v>848</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1831</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316</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902</v>
      </c>
      <c r="B3652" s="21" t="s">
        <v>653</v>
      </c>
      <c r="C3652" s="21" t="s">
        <v>665</v>
      </c>
      <c r="D3652" s="21" t="s">
        <v>655</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972</v>
      </c>
      <c r="B3653" s="21" t="s">
        <v>658</v>
      </c>
      <c r="C3653" s="21" t="s">
        <v>654</v>
      </c>
      <c r="D3653" s="21" t="s">
        <v>655</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t="s">
        <v>660</v>
      </c>
      <c r="B3654" s="21" t="s">
        <v>658</v>
      </c>
      <c r="C3654" s="21" t="s">
        <v>661</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1845</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709</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902</v>
      </c>
      <c r="B3657" s="21" t="s">
        <v>664</v>
      </c>
      <c r="C3657" s="21" t="s">
        <v>665</v>
      </c>
      <c r="D3657" s="21" t="s">
        <v>655</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1554</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688</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row>
    <row r="3661" spans="1:12">
      <c r="A3661" s="20" t="s">
        <v>1846</v>
      </c>
    </row>
    <row r="3662" spans="1:12">
      <c r="A3662" s="20" t="s">
        <v>1225</v>
      </c>
      <c r="E3662" s="22">
        <f>IF(D3662="?OLD","!!!","")</f>
        <v/>
      </c>
      <c r="F3662" s="23" t="str">
        <f>IF(OR(E3662="",E3662="!!!"),"",IF(NOT(ISNA(VLOOKUP(E3662,E$1:E3661,1,FALSE()))),"OLD",IF(AND(E3662&lt;&gt;"",E3662&lt;&gt;"!!!"),"NEW","")))</f>
        <v> </v>
      </c>
      <c r="G3662" s="24" t="str">
        <f>IF(OR(E3662="",E3662="!!!"),"",IF(OR(J3662=0,AND(J3662=1,K3662=1),AND(J3662=1,I3662="SBJ"),AND(J3662=1,I3662=0)),"?IN_FOCUS",IF(J3662&lt;=2,"?ACTIVATED",IF(J3662&lt;&gt;"","?FAMILIAR",IF(F3662="NEW",IF(ISNA(VLOOKUP(E3662,#REF!,1,FALSE())),"?TYPE_IDENTIFIABLE","?REFERENTIAL"),"_")))))</f>
        <v> </v>
      </c>
      <c r="H3662" s="25" t="str">
        <f>IF(J3662&lt;&gt;1,"",IF(I3662="SBJ","CB","?"))</f>
        <v> </v>
      </c>
      <c r="I3662" s="26" t="str">
        <f>IF(OR(E3662="",E3662="!!!",F3662="NEW"),"",INDEX(B3661:B$2,-1+SUMPRODUCT(MAX(ROW(E3661:E$2)*(E3662=E3661:E$2)))))</f>
        <v> </v>
      </c>
      <c r="J3662" s="26" t="str">
        <f>IF(OR(E3662="",E3662="!!!",F3662="NEW"),"",COUNTBLANK(OFFSET(A$1,,,SUMPRODUCT(MAX(ROW(E$2:E3662)*(E3662=E$2:E3662)))))-COUNTBLANK(OFFSET(A$1,,,SUMPRODUCT(MAX(ROW(E$1:E3661)*(E2=E$1:E3661))))))</f>
        <v> </v>
      </c>
      <c r="K3662" s="26" t="str">
        <f>IF(OR(E3662="",E3662="!!!",F3662="NEW"),"",INDEX(J$1:J3661,SUMPRODUCT(MAX(ROW(E$1:E3661)*(E3662=E$1:E3661)))))</f>
        <v> </v>
      </c>
      <c r="L3662" s="27"/>
    </row>
    <row r="3663" spans="1:12">
      <c r="A3663" s="20" t="s">
        <v>1339</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t="s">
        <v>1340</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t="s">
        <v>1265</v>
      </c>
      <c r="B3665" s="21" t="s">
        <v>653</v>
      </c>
      <c r="C3665" s="21" t="s">
        <v>678</v>
      </c>
      <c r="D3665" s="21" t="s">
        <v>655</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t="s">
        <v>687</v>
      </c>
      <c r="E3666" s="22">
        <f>IF(D3666="?OLD","!!!","")</f>
        <v/>
      </c>
      <c r="F3666" s="23" t="str">
        <f>IF(OR(E3666="",E3666="!!!"),"",IF(NOT(ISNA(VLOOKUP(E3666,E$1:E3665,1,FALSE()))),"OLD",IF(AND(E3666&lt;&gt;"",E3666&lt;&gt;"!!!"),"NEW","")))</f>
        <v> </v>
      </c>
      <c r="G3666" s="24" t="str">
        <f>IF(OR(E3666="",E3666="!!!"),"",IF(OR(J3666=0,AND(J3666=1,K3666=1),AND(J3666=1,I3666="SBJ"),AND(J3666=1,I3666=0)),"?IN_FOCUS",IF(J3666&lt;=2,"?ACTIVATED",IF(J3666&lt;&gt;"","?FAMILIAR",IF(F3666="NEW",IF(ISNA(VLOOKUP(E3666,#REF!,1,FALSE())),"?TYPE_IDENTIFIABLE","?REFERENTIAL"),"_")))))</f>
        <v> </v>
      </c>
      <c r="H3666" s="25" t="str">
        <f>IF(J3666&lt;&gt;1,"",IF(I3666="SBJ","CB","?"))</f>
        <v> </v>
      </c>
      <c r="I3666" s="26" t="str">
        <f>IF(OR(E3666="",E3666="!!!",F3666="NEW"),"",INDEX(B3665:B$2,-1+SUMPRODUCT(MAX(ROW(E3665:E$2)*(E3666=E3665:E$2)))))</f>
        <v> </v>
      </c>
      <c r="J3666" s="26" t="str">
        <f>IF(OR(E3666="",E3666="!!!",F3666="NEW"),"",COUNTBLANK(OFFSET(A$1,,,SUMPRODUCT(MAX(ROW(E$2:E3666)*(E3666=E$2:E3666)))))-COUNTBLANK(OFFSET(A$1,,,SUMPRODUCT(MAX(ROW(E$1:E3665)*(E2=E$1:E3665))))))</f>
        <v> </v>
      </c>
      <c r="K3666" s="26" t="str">
        <f>IF(OR(E3666="",E3666="!!!",F3666="NEW"),"",INDEX(J$1:J3665,SUMPRODUCT(MAX(ROW(E$1:E3665)*(E3666=E$1:E3665)))))</f>
        <v> </v>
      </c>
      <c r="L3666" s="27"/>
    </row>
    <row r="3667" spans="1:12">
      <c r="A3667" s="20" t="s">
        <v>669</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1847</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1752</v>
      </c>
      <c r="B3669" s="21" t="s">
        <v>692</v>
      </c>
      <c r="C3669" s="21" t="s">
        <v>674</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669</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t="s">
        <v>1752</v>
      </c>
      <c r="B3671" s="21" t="s">
        <v>664</v>
      </c>
      <c r="C3671" s="21" t="s">
        <v>674</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662</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829</v>
      </c>
      <c r="B3673" s="21" t="s">
        <v>719</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1848</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1006</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662</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951</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1588</v>
      </c>
      <c r="B3678" s="21" t="s">
        <v>671</v>
      </c>
      <c r="C3678" s="21" t="s">
        <v>665</v>
      </c>
      <c r="D3678" s="21" t="s">
        <v>655</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t="s">
        <v>1849</v>
      </c>
      <c r="B3679" s="21" t="s">
        <v>667</v>
      </c>
      <c r="C3679" s="21" t="s">
        <v>853</v>
      </c>
      <c r="E3679" s="22">
        <f>IF(D3679="?OLD","!!!","")</f>
        <v/>
      </c>
      <c r="F3679" s="23" t="str">
        <f>IF(OR(E3679="",E3679="!!!"),"",IF(NOT(ISNA(VLOOKUP(E3679,E$1:E3678,1,FALSE()))),"OLD",IF(AND(E3679&lt;&gt;"",E3679&lt;&gt;"!!!"),"NEW","")))</f>
        <v> </v>
      </c>
      <c r="G3679" s="24" t="str">
        <f>IF(OR(E3679="",E3679="!!!"),"",IF(OR(J3679=0,AND(J3679=1,K3679=1),AND(J3679=1,I3679="SBJ"),AND(J3679=1,I3679=0)),"?IN_FOCUS",IF(J3679&lt;=2,"?ACTIVATED",IF(J3679&lt;&gt;"","?FAMILIAR",IF(F3679="NEW",IF(ISNA(VLOOKUP(E3679,#REF!,1,FALSE())),"?TYPE_IDENTIFIABLE","?REFERENTIAL"),"_")))))</f>
        <v> </v>
      </c>
      <c r="H3679" s="25" t="str">
        <f>IF(J3679&lt;&gt;1,"",IF(I3679="SBJ","CB","?"))</f>
        <v> </v>
      </c>
      <c r="I3679" s="26" t="str">
        <f>IF(OR(E3679="",E3679="!!!",F3679="NEW"),"",INDEX(B3678:B$2,-1+SUMPRODUCT(MAX(ROW(E3678:E$2)*(E3679=E3678:E$2)))))</f>
        <v> </v>
      </c>
      <c r="J3679" s="26" t="str">
        <f>IF(OR(E3679="",E3679="!!!",F3679="NEW"),"",COUNTBLANK(OFFSET(A$1,,,SUMPRODUCT(MAX(ROW(E$2:E3679)*(E3679=E$2:E3679)))))-COUNTBLANK(OFFSET(A$1,,,SUMPRODUCT(MAX(ROW(E$1:E3678)*(E2=E$1:E3678))))))</f>
        <v> </v>
      </c>
      <c r="K3679" s="26" t="str">
        <f>IF(OR(E3679="",E3679="!!!",F3679="NEW"),"",INDEX(J$1:J3678,SUMPRODUCT(MAX(ROW(E$1:E3678)*(E3679=E$1:E3678)))))</f>
        <v> </v>
      </c>
      <c r="L3679" s="27"/>
    </row>
    <row r="3680" spans="1:12">
      <c r="A3680" s="20" t="s">
        <v>792</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688</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row>
    <row r="3683" spans="1:12">
      <c r="A3683" s="20" t="s">
        <v>1850</v>
      </c>
    </row>
    <row r="3684" spans="1:12">
      <c r="A3684" s="20" t="s">
        <v>992</v>
      </c>
      <c r="B3684" s="21" t="s">
        <v>653</v>
      </c>
      <c r="C3684" s="21" t="s">
        <v>654</v>
      </c>
      <c r="D3684" s="21" t="s">
        <v>655</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t="s">
        <v>1851</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t="s">
        <v>1852</v>
      </c>
      <c r="B3686" s="21" t="s">
        <v>658</v>
      </c>
      <c r="C3686" s="21" t="s">
        <v>665</v>
      </c>
      <c r="D3686" s="21" t="s">
        <v>655</v>
      </c>
      <c r="E3686" s="22">
        <f>IF(D3686="?OLD","!!!","")</f>
        <v/>
      </c>
      <c r="F3686" s="23" t="str">
        <f>IF(OR(E3686="",E3686="!!!"),"",IF(NOT(ISNA(VLOOKUP(E3686,E$1:E3685,1,FALSE()))),"OLD",IF(AND(E3686&lt;&gt;"",E3686&lt;&gt;"!!!"),"NEW","")))</f>
        <v> </v>
      </c>
      <c r="G3686" s="24" t="str">
        <f>IF(OR(E3686="",E3686="!!!"),"",IF(OR(J3686=0,AND(J3686=1,K3686=1),AND(J3686=1,I3686="SBJ"),AND(J3686=1,I3686=0)),"?IN_FOCUS",IF(J3686&lt;=2,"?ACTIVATED",IF(J3686&lt;&gt;"","?FAMILIAR",IF(F3686="NEW",IF(ISNA(VLOOKUP(E3686,#REF!,1,FALSE())),"?TYPE_IDENTIFIABLE","?REFERENTIAL"),"_")))))</f>
        <v> </v>
      </c>
      <c r="H3686" s="25" t="str">
        <f>IF(J3686&lt;&gt;1,"",IF(I3686="SBJ","CB","?"))</f>
        <v> </v>
      </c>
      <c r="I3686" s="26" t="str">
        <f>IF(OR(E3686="",E3686="!!!",F3686="NEW"),"",INDEX(B3685:B$2,-1+SUMPRODUCT(MAX(ROW(E3685:E$2)*(E3686=E3685:E$2)))))</f>
        <v> </v>
      </c>
      <c r="J3686" s="26" t="str">
        <f>IF(OR(E3686="",E3686="!!!",F3686="NEW"),"",COUNTBLANK(OFFSET(A$1,,,SUMPRODUCT(MAX(ROW(E$2:E3686)*(E3686=E$2:E3686)))))-COUNTBLANK(OFFSET(A$1,,,SUMPRODUCT(MAX(ROW(E$1:E3685)*(E2=E$1:E3685))))))</f>
        <v> </v>
      </c>
      <c r="K3686" s="26" t="str">
        <f>IF(OR(E3686="",E3686="!!!",F3686="NEW"),"",INDEX(J$1:J3685,SUMPRODUCT(MAX(ROW(E$1:E3685)*(E3686=E$1:E3685)))))</f>
        <v> </v>
      </c>
      <c r="L3686" s="27"/>
    </row>
    <row r="3687" spans="1:12">
      <c r="A3687" s="20" t="s">
        <v>792</v>
      </c>
      <c r="E3687" s="22">
        <f>IF(D3687="?OLD","!!!","")</f>
        <v/>
      </c>
      <c r="F3687" s="23" t="str">
        <f>IF(OR(E3687="",E3687="!!!"),"",IF(NOT(ISNA(VLOOKUP(E3687,E$1:E3686,1,FALSE()))),"OLD",IF(AND(E3687&lt;&gt;"",E3687&lt;&gt;"!!!"),"NEW","")))</f>
        <v> </v>
      </c>
      <c r="G3687" s="24" t="str">
        <f>IF(OR(E3687="",E3687="!!!"),"",IF(OR(J3687=0,AND(J3687=1,K3687=1),AND(J3687=1,I3687="SBJ"),AND(J3687=1,I3687=0)),"?IN_FOCUS",IF(J3687&lt;=2,"?ACTIVATED",IF(J3687&lt;&gt;"","?FAMILIAR",IF(F3687="NEW",IF(ISNA(VLOOKUP(E3687,#REF!,1,FALSE())),"?TYPE_IDENTIFIABLE","?REFERENTIAL"),"_")))))</f>
        <v> </v>
      </c>
      <c r="H3687" s="25" t="str">
        <f>IF(J3687&lt;&gt;1,"",IF(I3687="SBJ","CB","?"))</f>
        <v> </v>
      </c>
      <c r="I3687" s="26" t="str">
        <f>IF(OR(E3687="",E3687="!!!",F3687="NEW"),"",INDEX(B3686:B$2,-1+SUMPRODUCT(MAX(ROW(E3686:E$2)*(E3687=E3686:E$2)))))</f>
        <v> </v>
      </c>
      <c r="J3687" s="26" t="str">
        <f>IF(OR(E3687="",E3687="!!!",F3687="NEW"),"",COUNTBLANK(OFFSET(A$1,,,SUMPRODUCT(MAX(ROW(E$2:E3687)*(E3687=E$2:E3687)))))-COUNTBLANK(OFFSET(A$1,,,SUMPRODUCT(MAX(ROW(E$1:E3686)*(E2=E$1:E3686))))))</f>
        <v> </v>
      </c>
      <c r="K3687" s="26" t="str">
        <f>IF(OR(E3687="",E3687="!!!",F3687="NEW"),"",INDEX(J$1:J3686,SUMPRODUCT(MAX(ROW(E$1:E3686)*(E3687=E$1:E3686)))))</f>
        <v> </v>
      </c>
      <c r="L3687" s="27"/>
    </row>
    <row r="3688" spans="1:12">
      <c r="A3688" s="20" t="s">
        <v>1853</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688</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row>
    <row r="3691" spans="1:12">
      <c r="A3691" s="20" t="s">
        <v>1854</v>
      </c>
    </row>
    <row r="3692" spans="1:12">
      <c r="A3692" s="20" t="s">
        <v>1855</v>
      </c>
      <c r="B3692" s="21" t="s">
        <v>658</v>
      </c>
      <c r="C3692" s="21" t="s">
        <v>654</v>
      </c>
      <c r="D3692" s="21" t="s">
        <v>655</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1856</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1140</v>
      </c>
      <c r="B3694" s="21" t="s">
        <v>673</v>
      </c>
      <c r="C3694" s="21" t="s">
        <v>695</v>
      </c>
      <c r="D3694" s="21" t="s">
        <v>655</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t="s">
        <v>1857</v>
      </c>
      <c r="E3695" s="22">
        <f>IF(D3695="?OLD","!!!","")</f>
        <v/>
      </c>
      <c r="F3695" s="23" t="str">
        <f>IF(OR(E3695="",E3695="!!!"),"",IF(NOT(ISNA(VLOOKUP(E3695,E$1:E3694,1,FALSE()))),"OLD",IF(AND(E3695&lt;&gt;"",E3695&lt;&gt;"!!!"),"NEW","")))</f>
        <v> </v>
      </c>
      <c r="G3695" s="24" t="str">
        <f>IF(OR(E3695="",E3695="!!!"),"",IF(OR(J3695=0,AND(J3695=1,K3695=1),AND(J3695=1,I3695="SBJ"),AND(J3695=1,I3695=0)),"?IN_FOCUS",IF(J3695&lt;=2,"?ACTIVATED",IF(J3695&lt;&gt;"","?FAMILIAR",IF(F3695="NEW",IF(ISNA(VLOOKUP(E3695,#REF!,1,FALSE())),"?TYPE_IDENTIFIABLE","?REFERENTIAL"),"_")))))</f>
        <v> </v>
      </c>
      <c r="H3695" s="25" t="str">
        <f>IF(J3695&lt;&gt;1,"",IF(I3695="SBJ","CB","?"))</f>
        <v> </v>
      </c>
      <c r="I3695" s="26" t="str">
        <f>IF(OR(E3695="",E3695="!!!",F3695="NEW"),"",INDEX(B3694:B$2,-1+SUMPRODUCT(MAX(ROW(E3694:E$2)*(E3695=E3694:E$2)))))</f>
        <v> </v>
      </c>
      <c r="J3695" s="26" t="str">
        <f>IF(OR(E3695="",E3695="!!!",F3695="NEW"),"",COUNTBLANK(OFFSET(A$1,,,SUMPRODUCT(MAX(ROW(E$2:E3695)*(E3695=E$2:E3695)))))-COUNTBLANK(OFFSET(A$1,,,SUMPRODUCT(MAX(ROW(E$1:E3694)*(E2=E$1:E3694))))))</f>
        <v> </v>
      </c>
      <c r="K3695" s="26" t="str">
        <f>IF(OR(E3695="",E3695="!!!",F3695="NEW"),"",INDEX(J$1:J3694,SUMPRODUCT(MAX(ROW(E$1:E3694)*(E3695=E$1:E3694)))))</f>
        <v> </v>
      </c>
      <c r="L3695" s="27"/>
    </row>
    <row r="3696" spans="1:12">
      <c r="A3696" s="20" t="s">
        <v>662</v>
      </c>
      <c r="E3696" s="22">
        <f>IF(D3696="?OLD","!!!","")</f>
        <v/>
      </c>
      <c r="F3696" s="23" t="str">
        <f>IF(OR(E3696="",E3696="!!!"),"",IF(NOT(ISNA(VLOOKUP(E3696,E$1:E3695,1,FALSE()))),"OLD",IF(AND(E3696&lt;&gt;"",E3696&lt;&gt;"!!!"),"NEW","")))</f>
        <v> </v>
      </c>
      <c r="G3696" s="24" t="str">
        <f>IF(OR(E3696="",E3696="!!!"),"",IF(OR(J3696=0,AND(J3696=1,K3696=1),AND(J3696=1,I3696="SBJ"),AND(J3696=1,I3696=0)),"?IN_FOCUS",IF(J3696&lt;=2,"?ACTIVATED",IF(J3696&lt;&gt;"","?FAMILIAR",IF(F3696="NEW",IF(ISNA(VLOOKUP(E3696,#REF!,1,FALSE())),"?TYPE_IDENTIFIABLE","?REFERENTIAL"),"_")))))</f>
        <v> </v>
      </c>
      <c r="H3696" s="25" t="str">
        <f>IF(J3696&lt;&gt;1,"",IF(I3696="SBJ","CB","?"))</f>
        <v> </v>
      </c>
      <c r="I3696" s="26" t="str">
        <f>IF(OR(E3696="",E3696="!!!",F3696="NEW"),"",INDEX(B3695:B$2,-1+SUMPRODUCT(MAX(ROW(E3695:E$2)*(E3696=E3695:E$2)))))</f>
        <v> </v>
      </c>
      <c r="J3696" s="26" t="str">
        <f>IF(OR(E3696="",E3696="!!!",F3696="NEW"),"",COUNTBLANK(OFFSET(A$1,,,SUMPRODUCT(MAX(ROW(E$2:E3696)*(E3696=E$2:E3696)))))-COUNTBLANK(OFFSET(A$1,,,SUMPRODUCT(MAX(ROW(E$1:E3695)*(E2=E$1:E3695))))))</f>
        <v> </v>
      </c>
      <c r="K3696" s="26" t="str">
        <f>IF(OR(E3696="",E3696="!!!",F3696="NEW"),"",INDEX(J$1:J3695,SUMPRODUCT(MAX(ROW(E$1:E3695)*(E3696=E$1:E3695)))))</f>
        <v> </v>
      </c>
      <c r="L3696" s="27"/>
    </row>
    <row r="3697" spans="1:12">
      <c r="A3697" s="20" t="s">
        <v>1858</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1859</v>
      </c>
      <c r="B3698" s="21" t="s">
        <v>653</v>
      </c>
      <c r="C3698" s="21" t="s">
        <v>698</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688</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row>
    <row r="3701" spans="1:12">
      <c r="A3701" s="20" t="s">
        <v>1860</v>
      </c>
    </row>
    <row r="3702" spans="1:12">
      <c r="A3702" s="20" t="s">
        <v>709</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t="s">
        <v>1140</v>
      </c>
      <c r="B3703" s="21" t="s">
        <v>692</v>
      </c>
      <c r="C3703" s="21" t="s">
        <v>695</v>
      </c>
      <c r="D3703" s="21" t="s">
        <v>655</v>
      </c>
      <c r="E3703" s="22">
        <f>IF(D3703="?OLD","!!!","")</f>
        <v/>
      </c>
      <c r="F3703" s="23" t="str">
        <f>IF(OR(E3703="",E3703="!!!"),"",IF(NOT(ISNA(VLOOKUP(E3703,E$1:E3702,1,FALSE()))),"OLD",IF(AND(E3703&lt;&gt;"",E3703&lt;&gt;"!!!"),"NEW","")))</f>
        <v> </v>
      </c>
      <c r="G3703" s="24" t="str">
        <f>IF(OR(E3703="",E3703="!!!"),"",IF(OR(J3703=0,AND(J3703=1,K3703=1),AND(J3703=1,I3703="SBJ"),AND(J3703=1,I3703=0)),"?IN_FOCUS",IF(J3703&lt;=2,"?ACTIVATED",IF(J3703&lt;&gt;"","?FAMILIAR",IF(F3703="NEW",IF(ISNA(VLOOKUP(E3703,#REF!,1,FALSE())),"?TYPE_IDENTIFIABLE","?REFERENTIAL"),"_")))))</f>
        <v> </v>
      </c>
      <c r="H3703" s="25" t="str">
        <f>IF(J3703&lt;&gt;1,"",IF(I3703="SBJ","CB","?"))</f>
        <v> </v>
      </c>
      <c r="I3703" s="26" t="str">
        <f>IF(OR(E3703="",E3703="!!!",F3703="NEW"),"",INDEX(B3702:B$2,-1+SUMPRODUCT(MAX(ROW(E3702:E$2)*(E3703=E3702:E$2)))))</f>
        <v> </v>
      </c>
      <c r="J3703" s="26" t="str">
        <f>IF(OR(E3703="",E3703="!!!",F3703="NEW"),"",COUNTBLANK(OFFSET(A$1,,,SUMPRODUCT(MAX(ROW(E$2:E3703)*(E3703=E$2:E3703)))))-COUNTBLANK(OFFSET(A$1,,,SUMPRODUCT(MAX(ROW(E$1:E3702)*(E2=E$1:E3702))))))</f>
        <v> </v>
      </c>
      <c r="K3703" s="26" t="str">
        <f>IF(OR(E3703="",E3703="!!!",F3703="NEW"),"",INDEX(J$1:J3702,SUMPRODUCT(MAX(ROW(E$1:E3702)*(E3703=E$1:E3702)))))</f>
        <v> </v>
      </c>
      <c r="L3703" s="27"/>
    </row>
    <row r="3704" spans="1:12">
      <c r="A3704" s="20" t="s">
        <v>1861</v>
      </c>
      <c r="E3704" s="22">
        <f>IF(D3704="?OLD","!!!","")</f>
        <v/>
      </c>
      <c r="F3704" s="23" t="str">
        <f>IF(OR(E3704="",E3704="!!!"),"",IF(NOT(ISNA(VLOOKUP(E3704,E$1:E3703,1,FALSE()))),"OLD",IF(AND(E3704&lt;&gt;"",E3704&lt;&gt;"!!!"),"NEW","")))</f>
        <v> </v>
      </c>
      <c r="G3704" s="24" t="str">
        <f>IF(OR(E3704="",E3704="!!!"),"",IF(OR(J3704=0,AND(J3704=1,K3704=1),AND(J3704=1,I3704="SBJ"),AND(J3704=1,I3704=0)),"?IN_FOCUS",IF(J3704&lt;=2,"?ACTIVATED",IF(J3704&lt;&gt;"","?FAMILIAR",IF(F3704="NEW",IF(ISNA(VLOOKUP(E3704,#REF!,1,FALSE())),"?TYPE_IDENTIFIABLE","?REFERENTIAL"),"_")))))</f>
        <v> </v>
      </c>
      <c r="H3704" s="25" t="str">
        <f>IF(J3704&lt;&gt;1,"",IF(I3704="SBJ","CB","?"))</f>
        <v> </v>
      </c>
      <c r="I3704" s="26" t="str">
        <f>IF(OR(E3704="",E3704="!!!",F3704="NEW"),"",INDEX(B3703:B$2,-1+SUMPRODUCT(MAX(ROW(E3703:E$2)*(E3704=E3703:E$2)))))</f>
        <v> </v>
      </c>
      <c r="J3704" s="26" t="str">
        <f>IF(OR(E3704="",E3704="!!!",F3704="NEW"),"",COUNTBLANK(OFFSET(A$1,,,SUMPRODUCT(MAX(ROW(E$2:E3704)*(E3704=E$2:E3704)))))-COUNTBLANK(OFFSET(A$1,,,SUMPRODUCT(MAX(ROW(E$1:E3703)*(E2=E$1:E3703))))))</f>
        <v> </v>
      </c>
      <c r="K3704" s="26" t="str">
        <f>IF(OR(E3704="",E3704="!!!",F3704="NEW"),"",INDEX(J$1:J3703,SUMPRODUCT(MAX(ROW(E$1:E3703)*(E3704=E$1:E3703)))))</f>
        <v> </v>
      </c>
      <c r="L3704" s="27"/>
    </row>
    <row r="3705" spans="1:12">
      <c r="A3705" s="20" t="s">
        <v>607</v>
      </c>
      <c r="B3705" s="21" t="s">
        <v>692</v>
      </c>
      <c r="C3705" s="21" t="s">
        <v>698</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t="s">
        <v>829</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1862</v>
      </c>
      <c r="B3707" s="21" t="s">
        <v>692</v>
      </c>
      <c r="C3707" s="21" t="s">
        <v>678</v>
      </c>
      <c r="D3707" s="21" t="s">
        <v>655</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688</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row>
    <row r="3710" spans="1:12">
      <c r="A3710" s="20" t="s">
        <v>1863</v>
      </c>
    </row>
    <row r="3711" spans="1:12">
      <c r="A3711" s="20" t="s">
        <v>1370</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922</v>
      </c>
      <c r="B3712" s="21" t="s">
        <v>664</v>
      </c>
      <c r="C3712" s="21" t="s">
        <v>665</v>
      </c>
      <c r="D3712" s="21" t="s">
        <v>655</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783</v>
      </c>
      <c r="B3713" s="21" t="s">
        <v>667</v>
      </c>
      <c r="C3713" s="21" t="s">
        <v>654</v>
      </c>
      <c r="D3713" s="21" t="s">
        <v>655</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699</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t="s">
        <v>291</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t="s">
        <v>662</v>
      </c>
      <c r="E3716" s="22">
        <f>IF(D3716="?OLD","!!!","")</f>
        <v/>
      </c>
      <c r="F3716" s="23" t="str">
        <f>IF(OR(E3716="",E3716="!!!"),"",IF(NOT(ISNA(VLOOKUP(E3716,E$1:E3715,1,FALSE()))),"OLD",IF(AND(E3716&lt;&gt;"",E3716&lt;&gt;"!!!"),"NEW","")))</f>
        <v> </v>
      </c>
      <c r="G3716" s="24" t="str">
        <f>IF(OR(E3716="",E3716="!!!"),"",IF(OR(J3716=0,AND(J3716=1,K3716=1),AND(J3716=1,I3716="SBJ"),AND(J3716=1,I3716=0)),"?IN_FOCUS",IF(J3716&lt;=2,"?ACTIVATED",IF(J3716&lt;&gt;"","?FAMILIAR",IF(F3716="NEW",IF(ISNA(VLOOKUP(E3716,#REF!,1,FALSE())),"?TYPE_IDENTIFIABLE","?REFERENTIAL"),"_")))))</f>
        <v> </v>
      </c>
      <c r="H3716" s="25" t="str">
        <f>IF(J3716&lt;&gt;1,"",IF(I3716="SBJ","CB","?"))</f>
        <v> </v>
      </c>
      <c r="I3716" s="26" t="str">
        <f>IF(OR(E3716="",E3716="!!!",F3716="NEW"),"",INDEX(B3715:B$2,-1+SUMPRODUCT(MAX(ROW(E3715:E$2)*(E3716=E3715:E$2)))))</f>
        <v> </v>
      </c>
      <c r="J3716" s="26" t="str">
        <f>IF(OR(E3716="",E3716="!!!",F3716="NEW"),"",COUNTBLANK(OFFSET(A$1,,,SUMPRODUCT(MAX(ROW(E$2:E3716)*(E3716=E$2:E3716)))))-COUNTBLANK(OFFSET(A$1,,,SUMPRODUCT(MAX(ROW(E$1:E3715)*(E2=E$1:E3715))))))</f>
        <v> </v>
      </c>
      <c r="K3716" s="26" t="str">
        <f>IF(OR(E3716="",E3716="!!!",F3716="NEW"),"",INDEX(J$1:J3715,SUMPRODUCT(MAX(ROW(E$1:E3715)*(E3716=E$1:E3715)))))</f>
        <v> </v>
      </c>
      <c r="L3716" s="27"/>
    </row>
    <row r="3717" spans="1:12">
      <c r="A3717" s="20" t="s">
        <v>730</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1387</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1752</v>
      </c>
      <c r="B3719" s="21" t="s">
        <v>877</v>
      </c>
      <c r="C3719" s="21" t="s">
        <v>678</v>
      </c>
      <c r="D3719" s="21" t="s">
        <v>655</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t="s">
        <v>1864</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t="s">
        <v>795</v>
      </c>
      <c r="E3721" s="22">
        <f>IF(D3721="?OLD","!!!","")</f>
        <v/>
      </c>
      <c r="F3721" s="23" t="str">
        <f>IF(OR(E3721="",E3721="!!!"),"",IF(NOT(ISNA(VLOOKUP(E3721,E$1:E3720,1,FALSE()))),"OLD",IF(AND(E3721&lt;&gt;"",E3721&lt;&gt;"!!!"),"NEW","")))</f>
        <v> </v>
      </c>
      <c r="G3721" s="24" t="str">
        <f>IF(OR(E3721="",E3721="!!!"),"",IF(OR(J3721=0,AND(J3721=1,K3721=1),AND(J3721=1,I3721="SBJ"),AND(J3721=1,I3721=0)),"?IN_FOCUS",IF(J3721&lt;=2,"?ACTIVATED",IF(J3721&lt;&gt;"","?FAMILIAR",IF(F3721="NEW",IF(ISNA(VLOOKUP(E3721,#REF!,1,FALSE())),"?TYPE_IDENTIFIABLE","?REFERENTIAL"),"_")))))</f>
        <v> </v>
      </c>
      <c r="H3721" s="25" t="str">
        <f>IF(J3721&lt;&gt;1,"",IF(I3721="SBJ","CB","?"))</f>
        <v> </v>
      </c>
      <c r="I3721" s="26" t="str">
        <f>IF(OR(E3721="",E3721="!!!",F3721="NEW"),"",INDEX(B3720:B$2,-1+SUMPRODUCT(MAX(ROW(E3720:E$2)*(E3721=E3720:E$2)))))</f>
        <v> </v>
      </c>
      <c r="J3721" s="26" t="str">
        <f>IF(OR(E3721="",E3721="!!!",F3721="NEW"),"",COUNTBLANK(OFFSET(A$1,,,SUMPRODUCT(MAX(ROW(E$2:E3721)*(E3721=E$2:E3721)))))-COUNTBLANK(OFFSET(A$1,,,SUMPRODUCT(MAX(ROW(E$1:E3720)*(E2=E$1:E3720))))))</f>
        <v> </v>
      </c>
      <c r="K3721" s="26" t="str">
        <f>IF(OR(E3721="",E3721="!!!",F3721="NEW"),"",INDEX(J$1:J3720,SUMPRODUCT(MAX(ROW(E$1:E3720)*(E3721=E$1:E3720)))))</f>
        <v> </v>
      </c>
      <c r="L3721" s="27"/>
    </row>
    <row r="3722" spans="1:12">
      <c r="A3722" s="20" t="s">
        <v>1865</v>
      </c>
      <c r="E3722" s="22">
        <f>IF(D3722="?OLD","!!!","")</f>
        <v/>
      </c>
      <c r="F3722" s="23" t="str">
        <f>IF(OR(E3722="",E3722="!!!"),"",IF(NOT(ISNA(VLOOKUP(E3722,E$1:E3721,1,FALSE()))),"OLD",IF(AND(E3722&lt;&gt;"",E3722&lt;&gt;"!!!"),"NEW","")))</f>
        <v> </v>
      </c>
      <c r="G3722" s="24" t="str">
        <f>IF(OR(E3722="",E3722="!!!"),"",IF(OR(J3722=0,AND(J3722=1,K3722=1),AND(J3722=1,I3722="SBJ"),AND(J3722=1,I3722=0)),"?IN_FOCUS",IF(J3722&lt;=2,"?ACTIVATED",IF(J3722&lt;&gt;"","?FAMILIAR",IF(F3722="NEW",IF(ISNA(VLOOKUP(E3722,#REF!,1,FALSE())),"?TYPE_IDENTIFIABLE","?REFERENTIAL"),"_")))))</f>
        <v> </v>
      </c>
      <c r="H3722" s="25" t="str">
        <f>IF(J3722&lt;&gt;1,"",IF(I3722="SBJ","CB","?"))</f>
        <v> </v>
      </c>
      <c r="I3722" s="26" t="str">
        <f>IF(OR(E3722="",E3722="!!!",F3722="NEW"),"",INDEX(B3721:B$2,-1+SUMPRODUCT(MAX(ROW(E3721:E$2)*(E3722=E3721:E$2)))))</f>
        <v> </v>
      </c>
      <c r="J3722" s="26" t="str">
        <f>IF(OR(E3722="",E3722="!!!",F3722="NEW"),"",COUNTBLANK(OFFSET(A$1,,,SUMPRODUCT(MAX(ROW(E$2:E3722)*(E3722=E$2:E3722)))))-COUNTBLANK(OFFSET(A$1,,,SUMPRODUCT(MAX(ROW(E$1:E3721)*(E2=E$1:E3721))))))</f>
        <v> </v>
      </c>
      <c r="K3722" s="26" t="str">
        <f>IF(OR(E3722="",E3722="!!!",F3722="NEW"),"",INDEX(J$1:J3721,SUMPRODUCT(MAX(ROW(E$1:E3721)*(E3722=E$1:E3721)))))</f>
        <v> </v>
      </c>
      <c r="L3722" s="27"/>
    </row>
    <row r="3723" spans="1:12">
      <c r="A3723" s="20" t="s">
        <v>662</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1866</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795</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1867</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662</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t="s">
        <v>955</v>
      </c>
      <c r="B3728" s="21" t="s">
        <v>798</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t="s">
        <v>1150</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709</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841</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924</v>
      </c>
      <c r="B3732" s="21" t="s">
        <v>719</v>
      </c>
      <c r="C3732" s="21" t="s">
        <v>698</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t="s">
        <v>845</v>
      </c>
      <c r="E3733" s="22">
        <f>IF(D3733="?OLD","!!!","")</f>
        <v/>
      </c>
      <c r="F3733" s="23" t="str">
        <f>IF(OR(E3733="",E3733="!!!"),"",IF(NOT(ISNA(VLOOKUP(E3733,E$1:E3732,1,FALSE()))),"OLD",IF(AND(E3733&lt;&gt;"",E3733&lt;&gt;"!!!"),"NEW","")))</f>
        <v> </v>
      </c>
      <c r="G3733" s="24" t="str">
        <f>IF(OR(E3733="",E3733="!!!"),"",IF(OR(J3733=0,AND(J3733=1,K3733=1),AND(J3733=1,I3733="SBJ"),AND(J3733=1,I3733=0)),"?IN_FOCUS",IF(J3733&lt;=2,"?ACTIVATED",IF(J3733&lt;&gt;"","?FAMILIAR",IF(F3733="NEW",IF(ISNA(VLOOKUP(E3733,#REF!,1,FALSE())),"?TYPE_IDENTIFIABLE","?REFERENTIAL"),"_")))))</f>
        <v> </v>
      </c>
      <c r="H3733" s="25" t="str">
        <f>IF(J3733&lt;&gt;1,"",IF(I3733="SBJ","CB","?"))</f>
        <v> </v>
      </c>
      <c r="I3733" s="26" t="str">
        <f>IF(OR(E3733="",E3733="!!!",F3733="NEW"),"",INDEX(B3732:B$2,-1+SUMPRODUCT(MAX(ROW(E3732:E$2)*(E3733=E3732:E$2)))))</f>
        <v> </v>
      </c>
      <c r="J3733" s="26" t="str">
        <f>IF(OR(E3733="",E3733="!!!",F3733="NEW"),"",COUNTBLANK(OFFSET(A$1,,,SUMPRODUCT(MAX(ROW(E$2:E3733)*(E3733=E$2:E3733)))))-COUNTBLANK(OFFSET(A$1,,,SUMPRODUCT(MAX(ROW(E$1:E3732)*(E2=E$1:E3732))))))</f>
        <v> </v>
      </c>
      <c r="K3733" s="26" t="str">
        <f>IF(OR(E3733="",E3733="!!!",F3733="NEW"),"",INDEX(J$1:J3732,SUMPRODUCT(MAX(ROW(E$1:E3732)*(E3733=E$1:E3732)))))</f>
        <v> </v>
      </c>
      <c r="L3733" s="27"/>
    </row>
    <row r="3734" spans="1:12">
      <c r="A3734" s="20" t="s">
        <v>955</v>
      </c>
      <c r="B3734" s="21" t="s">
        <v>798</v>
      </c>
      <c r="E3734" s="22">
        <f>IF(D3734="?OLD","!!!","")</f>
        <v/>
      </c>
      <c r="F3734" s="23" t="str">
        <f>IF(OR(E3734="",E3734="!!!"),"",IF(NOT(ISNA(VLOOKUP(E3734,E$1:E3733,1,FALSE()))),"OLD",IF(AND(E3734&lt;&gt;"",E3734&lt;&gt;"!!!"),"NEW","")))</f>
        <v> </v>
      </c>
      <c r="G3734" s="24" t="str">
        <f>IF(OR(E3734="",E3734="!!!"),"",IF(OR(J3734=0,AND(J3734=1,K3734=1),AND(J3734=1,I3734="SBJ"),AND(J3734=1,I3734=0)),"?IN_FOCUS",IF(J3734&lt;=2,"?ACTIVATED",IF(J3734&lt;&gt;"","?FAMILIAR",IF(F3734="NEW",IF(ISNA(VLOOKUP(E3734,#REF!,1,FALSE())),"?TYPE_IDENTIFIABLE","?REFERENTIAL"),"_")))))</f>
        <v> </v>
      </c>
      <c r="H3734" s="25" t="str">
        <f>IF(J3734&lt;&gt;1,"",IF(I3734="SBJ","CB","?"))</f>
        <v> </v>
      </c>
      <c r="I3734" s="26" t="str">
        <f>IF(OR(E3734="",E3734="!!!",F3734="NEW"),"",INDEX(B3733:B$2,-1+SUMPRODUCT(MAX(ROW(E3733:E$2)*(E3734=E3733:E$2)))))</f>
        <v> </v>
      </c>
      <c r="J3734" s="26" t="str">
        <f>IF(OR(E3734="",E3734="!!!",F3734="NEW"),"",COUNTBLANK(OFFSET(A$1,,,SUMPRODUCT(MAX(ROW(E$2:E3734)*(E3734=E$2:E3734)))))-COUNTBLANK(OFFSET(A$1,,,SUMPRODUCT(MAX(ROW(E$1:E3733)*(E2=E$1:E3733))))))</f>
        <v> </v>
      </c>
      <c r="K3734" s="26" t="str">
        <f>IF(OR(E3734="",E3734="!!!",F3734="NEW"),"",INDEX(J$1:J3733,SUMPRODUCT(MAX(ROW(E$1:E3733)*(E3734=E$1:E3733)))))</f>
        <v> </v>
      </c>
      <c r="L3734" s="27"/>
    </row>
    <row r="3735" spans="1:12">
      <c r="A3735" s="20" t="s">
        <v>846</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1853</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t="s">
        <v>795</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t="s">
        <v>143</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t="s">
        <v>662</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1868</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709</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t="s">
        <v>1869</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795</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t="s">
        <v>456</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t="s">
        <v>1608</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1343</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922</v>
      </c>
      <c r="B3747" s="21" t="s">
        <v>653</v>
      </c>
      <c r="C3747" s="21" t="s">
        <v>665</v>
      </c>
      <c r="D3747" s="21" t="s">
        <v>655</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1140</v>
      </c>
      <c r="B3748" s="21" t="s">
        <v>673</v>
      </c>
      <c r="C3748" s="21" t="s">
        <v>695</v>
      </c>
      <c r="D3748" s="21" t="s">
        <v>655</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t="s">
        <v>1373</v>
      </c>
      <c r="B3749" s="21" t="s">
        <v>658</v>
      </c>
      <c r="C3749" s="21" t="s">
        <v>698</v>
      </c>
      <c r="E3749" s="22">
        <f>IF(D3749="?OLD","!!!","")</f>
        <v/>
      </c>
      <c r="F3749" s="23" t="str">
        <f>IF(OR(E3749="",E3749="!!!"),"",IF(NOT(ISNA(VLOOKUP(E3749,E$1:E3748,1,FALSE()))),"OLD",IF(AND(E3749&lt;&gt;"",E3749&lt;&gt;"!!!"),"NEW","")))</f>
        <v> </v>
      </c>
      <c r="G3749" s="24" t="str">
        <f>IF(OR(E3749="",E3749="!!!"),"",IF(OR(J3749=0,AND(J3749=1,K3749=1),AND(J3749=1,I3749="SBJ"),AND(J3749=1,I3749=0)),"?IN_FOCUS",IF(J3749&lt;=2,"?ACTIVATED",IF(J3749&lt;&gt;"","?FAMILIAR",IF(F3749="NEW",IF(ISNA(VLOOKUP(E3749,#REF!,1,FALSE())),"?TYPE_IDENTIFIABLE","?REFERENTIAL"),"_")))))</f>
        <v> </v>
      </c>
      <c r="H3749" s="25" t="str">
        <f>IF(J3749&lt;&gt;1,"",IF(I3749="SBJ","CB","?"))</f>
        <v> </v>
      </c>
      <c r="I3749" s="26" t="str">
        <f>IF(OR(E3749="",E3749="!!!",F3749="NEW"),"",INDEX(B3748:B$2,-1+SUMPRODUCT(MAX(ROW(E3748:E$2)*(E3749=E3748:E$2)))))</f>
        <v> </v>
      </c>
      <c r="J3749" s="26" t="str">
        <f>IF(OR(E3749="",E3749="!!!",F3749="NEW"),"",COUNTBLANK(OFFSET(A$1,,,SUMPRODUCT(MAX(ROW(E$2:E3749)*(E3749=E$2:E3749)))))-COUNTBLANK(OFFSET(A$1,,,SUMPRODUCT(MAX(ROW(E$1:E3748)*(E2=E$1:E3748))))))</f>
        <v> </v>
      </c>
      <c r="K3749" s="26" t="str">
        <f>IF(OR(E3749="",E3749="!!!",F3749="NEW"),"",INDEX(J$1:J3748,SUMPRODUCT(MAX(ROW(E$1:E3748)*(E3749=E$1:E3748)))))</f>
        <v> </v>
      </c>
      <c r="L3749" s="27"/>
    </row>
    <row r="3750" spans="1:12">
      <c r="A3750" s="20" t="s">
        <v>725</v>
      </c>
      <c r="E3750" s="22">
        <f>IF(D3750="?OLD","!!!","")</f>
        <v/>
      </c>
      <c r="F3750" s="23" t="str">
        <f>IF(OR(E3750="",E3750="!!!"),"",IF(NOT(ISNA(VLOOKUP(E3750,E$1:E3749,1,FALSE()))),"OLD",IF(AND(E3750&lt;&gt;"",E3750&lt;&gt;"!!!"),"NEW","")))</f>
        <v> </v>
      </c>
      <c r="G3750" s="24" t="str">
        <f>IF(OR(E3750="",E3750="!!!"),"",IF(OR(J3750=0,AND(J3750=1,K3750=1),AND(J3750=1,I3750="SBJ"),AND(J3750=1,I3750=0)),"?IN_FOCUS",IF(J3750&lt;=2,"?ACTIVATED",IF(J3750&lt;&gt;"","?FAMILIAR",IF(F3750="NEW",IF(ISNA(VLOOKUP(E3750,#REF!,1,FALSE())),"?TYPE_IDENTIFIABLE","?REFERENTIAL"),"_")))))</f>
        <v> </v>
      </c>
      <c r="H3750" s="25" t="str">
        <f>IF(J3750&lt;&gt;1,"",IF(I3750="SBJ","CB","?"))</f>
        <v> </v>
      </c>
      <c r="I3750" s="26" t="str">
        <f>IF(OR(E3750="",E3750="!!!",F3750="NEW"),"",INDEX(B3749:B$2,-1+SUMPRODUCT(MAX(ROW(E3749:E$2)*(E3750=E3749:E$2)))))</f>
        <v> </v>
      </c>
      <c r="J3750" s="26" t="str">
        <f>IF(OR(E3750="",E3750="!!!",F3750="NEW"),"",COUNTBLANK(OFFSET(A$1,,,SUMPRODUCT(MAX(ROW(E$2:E3750)*(E3750=E$2:E3750)))))-COUNTBLANK(OFFSET(A$1,,,SUMPRODUCT(MAX(ROW(E$1:E3749)*(E2=E$1:E3749))))))</f>
        <v> </v>
      </c>
      <c r="K3750" s="26" t="str">
        <f>IF(OR(E3750="",E3750="!!!",F3750="NEW"),"",INDEX(J$1:J3749,SUMPRODUCT(MAX(ROW(E$1:E3749)*(E3750=E$1:E3749)))))</f>
        <v> </v>
      </c>
      <c r="L3750" s="27"/>
    </row>
    <row r="3751" spans="1:12">
      <c r="A3751" s="20" t="s">
        <v>870</v>
      </c>
      <c r="E3751" s="22">
        <f>IF(D3751="?OLD","!!!","")</f>
        <v/>
      </c>
      <c r="F3751" s="23" t="str">
        <f>IF(OR(E3751="",E3751="!!!"),"",IF(NOT(ISNA(VLOOKUP(E3751,E$1:E3750,1,FALSE()))),"OLD",IF(AND(E3751&lt;&gt;"",E3751&lt;&gt;"!!!"),"NEW","")))</f>
        <v> </v>
      </c>
      <c r="G3751" s="24" t="str">
        <f>IF(OR(E3751="",E3751="!!!"),"",IF(OR(J3751=0,AND(J3751=1,K3751=1),AND(J3751=1,I3751="SBJ"),AND(J3751=1,I3751=0)),"?IN_FOCUS",IF(J3751&lt;=2,"?ACTIVATED",IF(J3751&lt;&gt;"","?FAMILIAR",IF(F3751="NEW",IF(ISNA(VLOOKUP(E3751,#REF!,1,FALSE())),"?TYPE_IDENTIFIABLE","?REFERENTIAL"),"_")))))</f>
        <v> </v>
      </c>
      <c r="H3751" s="25" t="str">
        <f>IF(J3751&lt;&gt;1,"",IF(I3751="SBJ","CB","?"))</f>
        <v> </v>
      </c>
      <c r="I3751" s="26" t="str">
        <f>IF(OR(E3751="",E3751="!!!",F3751="NEW"),"",INDEX(B3750:B$2,-1+SUMPRODUCT(MAX(ROW(E3750:E$2)*(E3751=E3750:E$2)))))</f>
        <v> </v>
      </c>
      <c r="J3751" s="26" t="str">
        <f>IF(OR(E3751="",E3751="!!!",F3751="NEW"),"",COUNTBLANK(OFFSET(A$1,,,SUMPRODUCT(MAX(ROW(E$2:E3751)*(E3751=E$2:E3751)))))-COUNTBLANK(OFFSET(A$1,,,SUMPRODUCT(MAX(ROW(E$1:E3750)*(E2=E$1:E3750))))))</f>
        <v> </v>
      </c>
      <c r="K3751" s="26" t="str">
        <f>IF(OR(E3751="",E3751="!!!",F3751="NEW"),"",INDEX(J$1:J3750,SUMPRODUCT(MAX(ROW(E$1:E3750)*(E3751=E$1:E3750)))))</f>
        <v> </v>
      </c>
      <c r="L3751" s="27"/>
    </row>
    <row r="3752" spans="1:12">
      <c r="A3752" s="20" t="s">
        <v>669</v>
      </c>
      <c r="E3752" s="22">
        <f>IF(D3752="?OLD","!!!","")</f>
        <v/>
      </c>
      <c r="F3752" s="23" t="str">
        <f>IF(OR(E3752="",E3752="!!!"),"",IF(NOT(ISNA(VLOOKUP(E3752,E$1:E3751,1,FALSE()))),"OLD",IF(AND(E3752&lt;&gt;"",E3752&lt;&gt;"!!!"),"NEW","")))</f>
        <v> </v>
      </c>
      <c r="G3752" s="24" t="str">
        <f>IF(OR(E3752="",E3752="!!!"),"",IF(OR(J3752=0,AND(J3752=1,K3752=1),AND(J3752=1,I3752="SBJ"),AND(J3752=1,I3752=0)),"?IN_FOCUS",IF(J3752&lt;=2,"?ACTIVATED",IF(J3752&lt;&gt;"","?FAMILIAR",IF(F3752="NEW",IF(ISNA(VLOOKUP(E3752,#REF!,1,FALSE())),"?TYPE_IDENTIFIABLE","?REFERENTIAL"),"_")))))</f>
        <v> </v>
      </c>
      <c r="H3752" s="25" t="str">
        <f>IF(J3752&lt;&gt;1,"",IF(I3752="SBJ","CB","?"))</f>
        <v> </v>
      </c>
      <c r="I3752" s="26" t="str">
        <f>IF(OR(E3752="",E3752="!!!",F3752="NEW"),"",INDEX(B3751:B$2,-1+SUMPRODUCT(MAX(ROW(E3751:E$2)*(E3752=E3751:E$2)))))</f>
        <v> </v>
      </c>
      <c r="J3752" s="26" t="str">
        <f>IF(OR(E3752="",E3752="!!!",F3752="NEW"),"",COUNTBLANK(OFFSET(A$1,,,SUMPRODUCT(MAX(ROW(E$2:E3752)*(E3752=E$2:E3752)))))-COUNTBLANK(OFFSET(A$1,,,SUMPRODUCT(MAX(ROW(E$1:E3751)*(E2=E$1:E3751))))))</f>
        <v> </v>
      </c>
      <c r="K3752" s="26" t="str">
        <f>IF(OR(E3752="",E3752="!!!",F3752="NEW"),"",INDEX(J$1:J3751,SUMPRODUCT(MAX(ROW(E$1:E3751)*(E3752=E$1:E3751)))))</f>
        <v> </v>
      </c>
      <c r="L3752" s="27"/>
    </row>
    <row r="3753" spans="1:12">
      <c r="A3753" s="20" t="s">
        <v>688</v>
      </c>
      <c r="E3753" s="22">
        <f>IF(D3753="?OLD","!!!","")</f>
        <v/>
      </c>
      <c r="F3753" s="23" t="str">
        <f>IF(OR(E3753="",E3753="!!!"),"",IF(NOT(ISNA(VLOOKUP(E3753,E$1:E3752,1,FALSE()))),"OLD",IF(AND(E3753&lt;&gt;"",E3753&lt;&gt;"!!!"),"NEW","")))</f>
        <v> </v>
      </c>
      <c r="G3753" s="24" t="str">
        <f>IF(OR(E3753="",E3753="!!!"),"",IF(OR(J3753=0,AND(J3753=1,K3753=1),AND(J3753=1,I3753="SBJ"),AND(J3753=1,I3753=0)),"?IN_FOCUS",IF(J3753&lt;=2,"?ACTIVATED",IF(J3753&lt;&gt;"","?FAMILIAR",IF(F3753="NEW",IF(ISNA(VLOOKUP(E3753,#REF!,1,FALSE())),"?TYPE_IDENTIFIABLE","?REFERENTIAL"),"_")))))</f>
        <v> </v>
      </c>
      <c r="H3753" s="25" t="str">
        <f>IF(J3753&lt;&gt;1,"",IF(I3753="SBJ","CB","?"))</f>
        <v> </v>
      </c>
      <c r="I3753" s="26" t="str">
        <f>IF(OR(E3753="",E3753="!!!",F3753="NEW"),"",INDEX(B3752:B$2,-1+SUMPRODUCT(MAX(ROW(E3752:E$2)*(E3753=E3752:E$2)))))</f>
        <v> </v>
      </c>
      <c r="J3753" s="26" t="str">
        <f>IF(OR(E3753="",E3753="!!!",F3753="NEW"),"",COUNTBLANK(OFFSET(A$1,,,SUMPRODUCT(MAX(ROW(E$2:E3753)*(E3753=E$2:E3753)))))-COUNTBLANK(OFFSET(A$1,,,SUMPRODUCT(MAX(ROW(E$1:E3752)*(E2=E$1:E3752))))))</f>
        <v> </v>
      </c>
      <c r="K3753" s="26" t="str">
        <f>IF(OR(E3753="",E3753="!!!",F3753="NEW"),"",INDEX(J$1:J3752,SUMPRODUCT(MAX(ROW(E$1:E3752)*(E3753=E$1:E3752)))))</f>
        <v> </v>
      </c>
      <c r="L3753" s="27"/>
    </row>
    <row r="3754" spans="1:12">
      <c r="A3754" s="20"/>
    </row>
    <row r="3755" spans="1:12">
      <c r="A3755" s="20" t="s">
        <v>1870</v>
      </c>
    </row>
    <row r="3756" spans="1:12">
      <c r="A3756" s="20" t="s">
        <v>1370</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t="s">
        <v>669</v>
      </c>
      <c r="E3757" s="22">
        <f>IF(D3757="?OLD","!!!","")</f>
        <v/>
      </c>
      <c r="F3757" s="23" t="str">
        <f>IF(OR(E3757="",E3757="!!!"),"",IF(NOT(ISNA(VLOOKUP(E3757,E$1:E3756,1,FALSE()))),"OLD",IF(AND(E3757&lt;&gt;"",E3757&lt;&gt;"!!!"),"NEW","")))</f>
        <v> </v>
      </c>
      <c r="G3757" s="24" t="str">
        <f>IF(OR(E3757="",E3757="!!!"),"",IF(OR(J3757=0,AND(J3757=1,K3757=1),AND(J3757=1,I3757="SBJ"),AND(J3757=1,I3757=0)),"?IN_FOCUS",IF(J3757&lt;=2,"?ACTIVATED",IF(J3757&lt;&gt;"","?FAMILIAR",IF(F3757="NEW",IF(ISNA(VLOOKUP(E3757,#REF!,1,FALSE())),"?TYPE_IDENTIFIABLE","?REFERENTIAL"),"_")))))</f>
        <v> </v>
      </c>
      <c r="H3757" s="25" t="str">
        <f>IF(J3757&lt;&gt;1,"",IF(I3757="SBJ","CB","?"))</f>
        <v> </v>
      </c>
      <c r="I3757" s="26" t="str">
        <f>IF(OR(E3757="",E3757="!!!",F3757="NEW"),"",INDEX(B3756:B$2,-1+SUMPRODUCT(MAX(ROW(E3756:E$2)*(E3757=E3756:E$2)))))</f>
        <v> </v>
      </c>
      <c r="J3757" s="26" t="str">
        <f>IF(OR(E3757="",E3757="!!!",F3757="NEW"),"",COUNTBLANK(OFFSET(A$1,,,SUMPRODUCT(MAX(ROW(E$2:E3757)*(E3757=E$2:E3757)))))-COUNTBLANK(OFFSET(A$1,,,SUMPRODUCT(MAX(ROW(E$1:E3756)*(E2=E$1:E3756))))))</f>
        <v> </v>
      </c>
      <c r="K3757" s="26" t="str">
        <f>IF(OR(E3757="",E3757="!!!",F3757="NEW"),"",INDEX(J$1:J3756,SUMPRODUCT(MAX(ROW(E$1:E3756)*(E3757=E$1:E3756)))))</f>
        <v> </v>
      </c>
      <c r="L3757" s="27"/>
    </row>
    <row r="3758" spans="1:12">
      <c r="A3758" s="20" t="s">
        <v>1752</v>
      </c>
      <c r="B3758" s="21" t="s">
        <v>664</v>
      </c>
      <c r="C3758" s="21" t="s">
        <v>674</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t="s">
        <v>923</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773</v>
      </c>
      <c r="B3760" s="21" t="s">
        <v>671</v>
      </c>
      <c r="C3760" s="21" t="s">
        <v>729</v>
      </c>
      <c r="D3760" s="21" t="s">
        <v>655</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1871</v>
      </c>
      <c r="B3761" s="21" t="s">
        <v>673</v>
      </c>
      <c r="C3761" s="21" t="s">
        <v>775</v>
      </c>
      <c r="D3761" s="21" t="s">
        <v>655</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t="s">
        <v>1872</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t="s">
        <v>662</v>
      </c>
      <c r="E3763" s="22">
        <f>IF(D3763="?OLD","!!!","")</f>
        <v/>
      </c>
      <c r="F3763" s="23" t="str">
        <f>IF(OR(E3763="",E3763="!!!"),"",IF(NOT(ISNA(VLOOKUP(E3763,E$1:E3762,1,FALSE()))),"OLD",IF(AND(E3763&lt;&gt;"",E3763&lt;&gt;"!!!"),"NEW","")))</f>
        <v> </v>
      </c>
      <c r="G3763" s="24" t="str">
        <f>IF(OR(E3763="",E3763="!!!"),"",IF(OR(J3763=0,AND(J3763=1,K3763=1),AND(J3763=1,I3763="SBJ"),AND(J3763=1,I3763=0)),"?IN_FOCUS",IF(J3763&lt;=2,"?ACTIVATED",IF(J3763&lt;&gt;"","?FAMILIAR",IF(F3763="NEW",IF(ISNA(VLOOKUP(E3763,#REF!,1,FALSE())),"?TYPE_IDENTIFIABLE","?REFERENTIAL"),"_")))))</f>
        <v> </v>
      </c>
      <c r="H3763" s="25" t="str">
        <f>IF(J3763&lt;&gt;1,"",IF(I3763="SBJ","CB","?"))</f>
        <v> </v>
      </c>
      <c r="I3763" s="26" t="str">
        <f>IF(OR(E3763="",E3763="!!!",F3763="NEW"),"",INDEX(B3762:B$2,-1+SUMPRODUCT(MAX(ROW(E3762:E$2)*(E3763=E3762:E$2)))))</f>
        <v> </v>
      </c>
      <c r="J3763" s="26" t="str">
        <f>IF(OR(E3763="",E3763="!!!",F3763="NEW"),"",COUNTBLANK(OFFSET(A$1,,,SUMPRODUCT(MAX(ROW(E$2:E3763)*(E3763=E$2:E3763)))))-COUNTBLANK(OFFSET(A$1,,,SUMPRODUCT(MAX(ROW(E$1:E3762)*(E2=E$1:E3762))))))</f>
        <v> </v>
      </c>
      <c r="K3763" s="26" t="str">
        <f>IF(OR(E3763="",E3763="!!!",F3763="NEW"),"",INDEX(J$1:J3762,SUMPRODUCT(MAX(ROW(E$1:E3762)*(E3763=E$1:E3762)))))</f>
        <v> </v>
      </c>
      <c r="L3763" s="27"/>
    </row>
    <row r="3764" spans="1:12">
      <c r="A3764" s="20" t="s">
        <v>1000</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922</v>
      </c>
      <c r="B3765" s="21" t="s">
        <v>653</v>
      </c>
      <c r="C3765" s="21" t="s">
        <v>665</v>
      </c>
      <c r="D3765" s="21" t="s">
        <v>655</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824</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1482</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t="s">
        <v>1873</v>
      </c>
      <c r="B3768" s="21" t="s">
        <v>658</v>
      </c>
      <c r="C3768" s="21" t="s">
        <v>674</v>
      </c>
      <c r="E3768" s="22">
        <f>IF(D3768="?OLD","!!!","")</f>
        <v/>
      </c>
      <c r="F3768" s="23" t="str">
        <f>IF(OR(E3768="",E3768="!!!"),"",IF(NOT(ISNA(VLOOKUP(E3768,E$1:E3767,1,FALSE()))),"OLD",IF(AND(E3768&lt;&gt;"",E3768&lt;&gt;"!!!"),"NEW","")))</f>
        <v> </v>
      </c>
      <c r="G3768" s="24" t="str">
        <f>IF(OR(E3768="",E3768="!!!"),"",IF(OR(J3768=0,AND(J3768=1,K3768=1),AND(J3768=1,I3768="SBJ"),AND(J3768=1,I3768=0)),"?IN_FOCUS",IF(J3768&lt;=2,"?ACTIVATED",IF(J3768&lt;&gt;"","?FAMILIAR",IF(F3768="NEW",IF(ISNA(VLOOKUP(E3768,#REF!,1,FALSE())),"?TYPE_IDENTIFIABLE","?REFERENTIAL"),"_")))))</f>
        <v> </v>
      </c>
      <c r="H3768" s="25" t="str">
        <f>IF(J3768&lt;&gt;1,"",IF(I3768="SBJ","CB","?"))</f>
        <v> </v>
      </c>
      <c r="I3768" s="26" t="str">
        <f>IF(OR(E3768="",E3768="!!!",F3768="NEW"),"",INDEX(B3767:B$2,-1+SUMPRODUCT(MAX(ROW(E3767:E$2)*(E3768=E3767:E$2)))))</f>
        <v> </v>
      </c>
      <c r="J3768" s="26" t="str">
        <f>IF(OR(E3768="",E3768="!!!",F3768="NEW"),"",COUNTBLANK(OFFSET(A$1,,,SUMPRODUCT(MAX(ROW(E$2:E3768)*(E3768=E$2:E3768)))))-COUNTBLANK(OFFSET(A$1,,,SUMPRODUCT(MAX(ROW(E$1:E3767)*(E2=E$1:E3767))))))</f>
        <v> </v>
      </c>
      <c r="K3768" s="26" t="str">
        <f>IF(OR(E3768="",E3768="!!!",F3768="NEW"),"",INDEX(J$1:J3767,SUMPRODUCT(MAX(ROW(E$1:E3767)*(E3768=E$1:E3767)))))</f>
        <v> </v>
      </c>
      <c r="L3768" s="27"/>
    </row>
    <row r="3769" spans="1:12">
      <c r="A3769" s="20" t="s">
        <v>709</v>
      </c>
      <c r="E3769" s="22">
        <f>IF(D3769="?OLD","!!!","")</f>
        <v/>
      </c>
      <c r="F3769" s="23" t="str">
        <f>IF(OR(E3769="",E3769="!!!"),"",IF(NOT(ISNA(VLOOKUP(E3769,E$1:E3768,1,FALSE()))),"OLD",IF(AND(E3769&lt;&gt;"",E3769&lt;&gt;"!!!"),"NEW","")))</f>
        <v> </v>
      </c>
      <c r="G3769" s="24" t="str">
        <f>IF(OR(E3769="",E3769="!!!"),"",IF(OR(J3769=0,AND(J3769=1,K3769=1),AND(J3769=1,I3769="SBJ"),AND(J3769=1,I3769=0)),"?IN_FOCUS",IF(J3769&lt;=2,"?ACTIVATED",IF(J3769&lt;&gt;"","?FAMILIAR",IF(F3769="NEW",IF(ISNA(VLOOKUP(E3769,#REF!,1,FALSE())),"?TYPE_IDENTIFIABLE","?REFERENTIAL"),"_")))))</f>
        <v> </v>
      </c>
      <c r="H3769" s="25" t="str">
        <f>IF(J3769&lt;&gt;1,"",IF(I3769="SBJ","CB","?"))</f>
        <v> </v>
      </c>
      <c r="I3769" s="26" t="str">
        <f>IF(OR(E3769="",E3769="!!!",F3769="NEW"),"",INDEX(B3768:B$2,-1+SUMPRODUCT(MAX(ROW(E3768:E$2)*(E3769=E3768:E$2)))))</f>
        <v> </v>
      </c>
      <c r="J3769" s="26" t="str">
        <f>IF(OR(E3769="",E3769="!!!",F3769="NEW"),"",COUNTBLANK(OFFSET(A$1,,,SUMPRODUCT(MAX(ROW(E$2:E3769)*(E3769=E$2:E3769)))))-COUNTBLANK(OFFSET(A$1,,,SUMPRODUCT(MAX(ROW(E$1:E3768)*(E2=E$1:E3768))))))</f>
        <v> </v>
      </c>
      <c r="K3769" s="26" t="str">
        <f>IF(OR(E3769="",E3769="!!!",F3769="NEW"),"",INDEX(J$1:J3768,SUMPRODUCT(MAX(ROW(E$1:E3768)*(E3769=E$1:E3768)))))</f>
        <v> </v>
      </c>
      <c r="L3769" s="27"/>
    </row>
    <row r="3770" spans="1:12">
      <c r="A3770" s="20" t="s">
        <v>1482</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t="s">
        <v>1874</v>
      </c>
      <c r="B3771" s="21" t="s">
        <v>673</v>
      </c>
      <c r="C3771" s="21" t="s">
        <v>698</v>
      </c>
      <c r="E3771" s="22">
        <f>IF(D3771="?OLD","!!!","")</f>
        <v/>
      </c>
      <c r="F3771" s="23" t="str">
        <f>IF(OR(E3771="",E3771="!!!"),"",IF(NOT(ISNA(VLOOKUP(E3771,E$1:E3770,1,FALSE()))),"OLD",IF(AND(E3771&lt;&gt;"",E3771&lt;&gt;"!!!"),"NEW","")))</f>
        <v> </v>
      </c>
      <c r="G3771" s="24" t="str">
        <f>IF(OR(E3771="",E3771="!!!"),"",IF(OR(J3771=0,AND(J3771=1,K3771=1),AND(J3771=1,I3771="SBJ"),AND(J3771=1,I3771=0)),"?IN_FOCUS",IF(J3771&lt;=2,"?ACTIVATED",IF(J3771&lt;&gt;"","?FAMILIAR",IF(F3771="NEW",IF(ISNA(VLOOKUP(E3771,#REF!,1,FALSE())),"?TYPE_IDENTIFIABLE","?REFERENTIAL"),"_")))))</f>
        <v> </v>
      </c>
      <c r="H3771" s="25" t="str">
        <f>IF(J3771&lt;&gt;1,"",IF(I3771="SBJ","CB","?"))</f>
        <v> </v>
      </c>
      <c r="I3771" s="26" t="str">
        <f>IF(OR(E3771="",E3771="!!!",F3771="NEW"),"",INDEX(B3770:B$2,-1+SUMPRODUCT(MAX(ROW(E3770:E$2)*(E3771=E3770:E$2)))))</f>
        <v> </v>
      </c>
      <c r="J3771" s="26" t="str">
        <f>IF(OR(E3771="",E3771="!!!",F3771="NEW"),"",COUNTBLANK(OFFSET(A$1,,,SUMPRODUCT(MAX(ROW(E$2:E3771)*(E3771=E$2:E3771)))))-COUNTBLANK(OFFSET(A$1,,,SUMPRODUCT(MAX(ROW(E$1:E3770)*(E2=E$1:E3770))))))</f>
        <v> </v>
      </c>
      <c r="K3771" s="26" t="str">
        <f>IF(OR(E3771="",E3771="!!!",F3771="NEW"),"",INDEX(J$1:J3770,SUMPRODUCT(MAX(ROW(E$1:E3770)*(E3771=E$1:E3770)))))</f>
        <v> </v>
      </c>
      <c r="L3771" s="27"/>
    </row>
    <row r="3772" spans="1:12">
      <c r="A3772" s="20" t="s">
        <v>291</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t="s">
        <v>688</v>
      </c>
      <c r="E3773" s="22">
        <f>IF(D3773="?OLD","!!!","")</f>
        <v/>
      </c>
      <c r="F3773" s="23" t="str">
        <f>IF(OR(E3773="",E3773="!!!"),"",IF(NOT(ISNA(VLOOKUP(E3773,E$1:E3772,1,FALSE()))),"OLD",IF(AND(E3773&lt;&gt;"",E3773&lt;&gt;"!!!"),"NEW","")))</f>
        <v> </v>
      </c>
      <c r="G3773" s="24" t="str">
        <f>IF(OR(E3773="",E3773="!!!"),"",IF(OR(J3773=0,AND(J3773=1,K3773=1),AND(J3773=1,I3773="SBJ"),AND(J3773=1,I3773=0)),"?IN_FOCUS",IF(J3773&lt;=2,"?ACTIVATED",IF(J3773&lt;&gt;"","?FAMILIAR",IF(F3773="NEW",IF(ISNA(VLOOKUP(E3773,#REF!,1,FALSE())),"?TYPE_IDENTIFIABLE","?REFERENTIAL"),"_")))))</f>
        <v> </v>
      </c>
      <c r="H3773" s="25" t="str">
        <f>IF(J3773&lt;&gt;1,"",IF(I3773="SBJ","CB","?"))</f>
        <v> </v>
      </c>
      <c r="I3773" s="26" t="str">
        <f>IF(OR(E3773="",E3773="!!!",F3773="NEW"),"",INDEX(B3772:B$2,-1+SUMPRODUCT(MAX(ROW(E3772:E$2)*(E3773=E3772:E$2)))))</f>
        <v> </v>
      </c>
      <c r="J3773" s="26" t="str">
        <f>IF(OR(E3773="",E3773="!!!",F3773="NEW"),"",COUNTBLANK(OFFSET(A$1,,,SUMPRODUCT(MAX(ROW(E$2:E3773)*(E3773=E$2:E3773)))))-COUNTBLANK(OFFSET(A$1,,,SUMPRODUCT(MAX(ROW(E$1:E3772)*(E2=E$1:E3772))))))</f>
        <v> </v>
      </c>
      <c r="K3773" s="26" t="str">
        <f>IF(OR(E3773="",E3773="!!!",F3773="NEW"),"",INDEX(J$1:J3772,SUMPRODUCT(MAX(ROW(E$1:E3772)*(E3773=E$1:E3772)))))</f>
        <v> </v>
      </c>
      <c r="L3773" s="27"/>
    </row>
    <row r="3774" spans="1:12">
      <c r="A3774" s="20"/>
    </row>
    <row r="3775" spans="1:12">
      <c r="A3775" s="20" t="s">
        <v>1875</v>
      </c>
    </row>
    <row r="3776" spans="1:12">
      <c r="A3776" s="20" t="s">
        <v>652</v>
      </c>
      <c r="B3776" s="21" t="s">
        <v>653</v>
      </c>
      <c r="C3776" s="21" t="s">
        <v>654</v>
      </c>
      <c r="D3776" s="21" t="s">
        <v>655</v>
      </c>
      <c r="E3776" s="22">
        <f>IF(D3776="?OLD","!!!","")</f>
        <v/>
      </c>
      <c r="F3776" s="23" t="str">
        <f>IF(OR(E3776="",E3776="!!!"),"",IF(NOT(ISNA(VLOOKUP(E3776,E$1:E3775,1,FALSE()))),"OLD",IF(AND(E3776&lt;&gt;"",E3776&lt;&gt;"!!!"),"NEW","")))</f>
        <v> </v>
      </c>
      <c r="G3776" s="24" t="str">
        <f>IF(OR(E3776="",E3776="!!!"),"",IF(OR(J3776=0,AND(J3776=1,K3776=1),AND(J3776=1,I3776="SBJ"),AND(J3776=1,I3776=0)),"?IN_FOCUS",IF(J3776&lt;=2,"?ACTIVATED",IF(J3776&lt;&gt;"","?FAMILIAR",IF(F3776="NEW",IF(ISNA(VLOOKUP(E3776,#REF!,1,FALSE())),"?TYPE_IDENTIFIABLE","?REFERENTIAL"),"_")))))</f>
        <v> </v>
      </c>
      <c r="H3776" s="25" t="str">
        <f>IF(J3776&lt;&gt;1,"",IF(I3776="SBJ","CB","?"))</f>
        <v> </v>
      </c>
      <c r="I3776" s="26" t="str">
        <f>IF(OR(E3776="",E3776="!!!",F3776="NEW"),"",INDEX(B3775:B$2,-1+SUMPRODUCT(MAX(ROW(E3775:E$2)*(E3776=E3775:E$2)))))</f>
        <v> </v>
      </c>
      <c r="J3776" s="26" t="str">
        <f>IF(OR(E3776="",E3776="!!!",F3776="NEW"),"",COUNTBLANK(OFFSET(A$1,,,SUMPRODUCT(MAX(ROW(E$2:E3776)*(E3776=E$2:E3776)))))-COUNTBLANK(OFFSET(A$1,,,SUMPRODUCT(MAX(ROW(E$1:E3775)*(E2=E$1:E3775))))))</f>
        <v> </v>
      </c>
      <c r="K3776" s="26" t="str">
        <f>IF(OR(E3776="",E3776="!!!",F3776="NEW"),"",INDEX(J$1:J3775,SUMPRODUCT(MAX(ROW(E$1:E3775)*(E3776=E$1:E3775)))))</f>
        <v> </v>
      </c>
      <c r="L3776" s="27"/>
    </row>
    <row r="3777" spans="1:12">
      <c r="A3777" s="20" t="s">
        <v>1876</v>
      </c>
      <c r="E3777" s="22">
        <f>IF(D3777="?OLD","!!!","")</f>
        <v/>
      </c>
      <c r="F3777" s="23" t="str">
        <f>IF(OR(E3777="",E3777="!!!"),"",IF(NOT(ISNA(VLOOKUP(E3777,E$1:E3776,1,FALSE()))),"OLD",IF(AND(E3777&lt;&gt;"",E3777&lt;&gt;"!!!"),"NEW","")))</f>
        <v> </v>
      </c>
      <c r="G3777" s="24" t="str">
        <f>IF(OR(E3777="",E3777="!!!"),"",IF(OR(J3777=0,AND(J3777=1,K3777=1),AND(J3777=1,I3777="SBJ"),AND(J3777=1,I3777=0)),"?IN_FOCUS",IF(J3777&lt;=2,"?ACTIVATED",IF(J3777&lt;&gt;"","?FAMILIAR",IF(F3777="NEW",IF(ISNA(VLOOKUP(E3777,#REF!,1,FALSE())),"?TYPE_IDENTIFIABLE","?REFERENTIAL"),"_")))))</f>
        <v> </v>
      </c>
      <c r="H3777" s="25" t="str">
        <f>IF(J3777&lt;&gt;1,"",IF(I3777="SBJ","CB","?"))</f>
        <v> </v>
      </c>
      <c r="I3777" s="26" t="str">
        <f>IF(OR(E3777="",E3777="!!!",F3777="NEW"),"",INDEX(B3776:B$2,-1+SUMPRODUCT(MAX(ROW(E3776:E$2)*(E3777=E3776:E$2)))))</f>
        <v> </v>
      </c>
      <c r="J3777" s="26" t="str">
        <f>IF(OR(E3777="",E3777="!!!",F3777="NEW"),"",COUNTBLANK(OFFSET(A$1,,,SUMPRODUCT(MAX(ROW(E$2:E3777)*(E3777=E$2:E3777)))))-COUNTBLANK(OFFSET(A$1,,,SUMPRODUCT(MAX(ROW(E$1:E3776)*(E2=E$1:E3776))))))</f>
        <v> </v>
      </c>
      <c r="K3777" s="26" t="str">
        <f>IF(OR(E3777="",E3777="!!!",F3777="NEW"),"",INDEX(J$1:J3776,SUMPRODUCT(MAX(ROW(E$1:E3776)*(E3777=E$1:E3776)))))</f>
        <v> </v>
      </c>
      <c r="L3777" s="27"/>
    </row>
    <row r="3778" spans="1:12">
      <c r="A3778" s="20" t="s">
        <v>703</v>
      </c>
      <c r="E3778" s="22">
        <f>IF(D3778="?OLD","!!!","")</f>
        <v/>
      </c>
      <c r="F3778" s="23" t="str">
        <f>IF(OR(E3778="",E3778="!!!"),"",IF(NOT(ISNA(VLOOKUP(E3778,E$1:E3777,1,FALSE()))),"OLD",IF(AND(E3778&lt;&gt;"",E3778&lt;&gt;"!!!"),"NEW","")))</f>
        <v> </v>
      </c>
      <c r="G3778" s="24" t="str">
        <f>IF(OR(E3778="",E3778="!!!"),"",IF(OR(J3778=0,AND(J3778=1,K3778=1),AND(J3778=1,I3778="SBJ"),AND(J3778=1,I3778=0)),"?IN_FOCUS",IF(J3778&lt;=2,"?ACTIVATED",IF(J3778&lt;&gt;"","?FAMILIAR",IF(F3778="NEW",IF(ISNA(VLOOKUP(E3778,#REF!,1,FALSE())),"?TYPE_IDENTIFIABLE","?REFERENTIAL"),"_")))))</f>
        <v> </v>
      </c>
      <c r="H3778" s="25" t="str">
        <f>IF(J3778&lt;&gt;1,"",IF(I3778="SBJ","CB","?"))</f>
        <v> </v>
      </c>
      <c r="I3778" s="26" t="str">
        <f>IF(OR(E3778="",E3778="!!!",F3778="NEW"),"",INDEX(B3777:B$2,-1+SUMPRODUCT(MAX(ROW(E3777:E$2)*(E3778=E3777:E$2)))))</f>
        <v> </v>
      </c>
      <c r="J3778" s="26" t="str">
        <f>IF(OR(E3778="",E3778="!!!",F3778="NEW"),"",COUNTBLANK(OFFSET(A$1,,,SUMPRODUCT(MAX(ROW(E$2:E3778)*(E3778=E$2:E3778)))))-COUNTBLANK(OFFSET(A$1,,,SUMPRODUCT(MAX(ROW(E$1:E3777)*(E2=E$1:E3777))))))</f>
        <v> </v>
      </c>
      <c r="K3778" s="26" t="str">
        <f>IF(OR(E3778="",E3778="!!!",F3778="NEW"),"",INDEX(J$1:J3777,SUMPRODUCT(MAX(ROW(E$1:E3777)*(E3778=E$1:E3777)))))</f>
        <v> </v>
      </c>
      <c r="L3778" s="27"/>
    </row>
    <row r="3779" spans="1:12">
      <c r="A3779" s="20" t="s">
        <v>776</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1877</v>
      </c>
      <c r="B3780" s="21" t="s">
        <v>692</v>
      </c>
      <c r="C3780" s="21" t="s">
        <v>674</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618</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662</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t="s">
        <v>720</v>
      </c>
      <c r="E3783" s="22">
        <f>IF(D3783="?OLD","!!!","")</f>
        <v/>
      </c>
      <c r="F3783" s="23" t="str">
        <f>IF(OR(E3783="",E3783="!!!"),"",IF(NOT(ISNA(VLOOKUP(E3783,E$1:E3782,1,FALSE()))),"OLD",IF(AND(E3783&lt;&gt;"",E3783&lt;&gt;"!!!"),"NEW","")))</f>
        <v> </v>
      </c>
      <c r="G3783" s="24" t="str">
        <f>IF(OR(E3783="",E3783="!!!"),"",IF(OR(J3783=0,AND(J3783=1,K3783=1),AND(J3783=1,I3783="SBJ"),AND(J3783=1,I3783=0)),"?IN_FOCUS",IF(J3783&lt;=2,"?ACTIVATED",IF(J3783&lt;&gt;"","?FAMILIAR",IF(F3783="NEW",IF(ISNA(VLOOKUP(E3783,#REF!,1,FALSE())),"?TYPE_IDENTIFIABLE","?REFERENTIAL"),"_")))))</f>
        <v> </v>
      </c>
      <c r="H3783" s="25" t="str">
        <f>IF(J3783&lt;&gt;1,"",IF(I3783="SBJ","CB","?"))</f>
        <v> </v>
      </c>
      <c r="I3783" s="26" t="str">
        <f>IF(OR(E3783="",E3783="!!!",F3783="NEW"),"",INDEX(B3782:B$2,-1+SUMPRODUCT(MAX(ROW(E3782:E$2)*(E3783=E3782:E$2)))))</f>
        <v> </v>
      </c>
      <c r="J3783" s="26" t="str">
        <f>IF(OR(E3783="",E3783="!!!",F3783="NEW"),"",COUNTBLANK(OFFSET(A$1,,,SUMPRODUCT(MAX(ROW(E$2:E3783)*(E3783=E$2:E3783)))))-COUNTBLANK(OFFSET(A$1,,,SUMPRODUCT(MAX(ROW(E$1:E3782)*(E2=E$1:E3782))))))</f>
        <v> </v>
      </c>
      <c r="K3783" s="26" t="str">
        <f>IF(OR(E3783="",E3783="!!!",F3783="NEW"),"",INDEX(J$1:J3782,SUMPRODUCT(MAX(ROW(E$1:E3782)*(E3783=E$1:E3782)))))</f>
        <v> </v>
      </c>
      <c r="L3783" s="27"/>
    </row>
    <row r="3784" spans="1:12">
      <c r="A3784" s="20" t="s">
        <v>885</v>
      </c>
      <c r="E3784" s="22">
        <f>IF(D3784="?OLD","!!!","")</f>
        <v/>
      </c>
      <c r="F3784" s="23" t="str">
        <f>IF(OR(E3784="",E3784="!!!"),"",IF(NOT(ISNA(VLOOKUP(E3784,E$1:E3783,1,FALSE()))),"OLD",IF(AND(E3784&lt;&gt;"",E3784&lt;&gt;"!!!"),"NEW","")))</f>
        <v> </v>
      </c>
      <c r="G3784" s="24" t="str">
        <f>IF(OR(E3784="",E3784="!!!"),"",IF(OR(J3784=0,AND(J3784=1,K3784=1),AND(J3784=1,I3784="SBJ"),AND(J3784=1,I3784=0)),"?IN_FOCUS",IF(J3784&lt;=2,"?ACTIVATED",IF(J3784&lt;&gt;"","?FAMILIAR",IF(F3784="NEW",IF(ISNA(VLOOKUP(E3784,#REF!,1,FALSE())),"?TYPE_IDENTIFIABLE","?REFERENTIAL"),"_")))))</f>
        <v> </v>
      </c>
      <c r="H3784" s="25" t="str">
        <f>IF(J3784&lt;&gt;1,"",IF(I3784="SBJ","CB","?"))</f>
        <v> </v>
      </c>
      <c r="I3784" s="26" t="str">
        <f>IF(OR(E3784="",E3784="!!!",F3784="NEW"),"",INDEX(B3783:B$2,-1+SUMPRODUCT(MAX(ROW(E3783:E$2)*(E3784=E3783:E$2)))))</f>
        <v> </v>
      </c>
      <c r="J3784" s="26" t="str">
        <f>IF(OR(E3784="",E3784="!!!",F3784="NEW"),"",COUNTBLANK(OFFSET(A$1,,,SUMPRODUCT(MAX(ROW(E$2:E3784)*(E3784=E$2:E3784)))))-COUNTBLANK(OFFSET(A$1,,,SUMPRODUCT(MAX(ROW(E$1:E3783)*(E2=E$1:E3783))))))</f>
        <v> </v>
      </c>
      <c r="K3784" s="26" t="str">
        <f>IF(OR(E3784="",E3784="!!!",F3784="NEW"),"",INDEX(J$1:J3783,SUMPRODUCT(MAX(ROW(E$1:E3783)*(E3784=E$1:E3783)))))</f>
        <v> </v>
      </c>
      <c r="L3784" s="27"/>
    </row>
    <row r="3785" spans="1:12">
      <c r="A3785" s="20" t="s">
        <v>776</v>
      </c>
      <c r="E3785" s="22">
        <f>IF(D3785="?OLD","!!!","")</f>
        <v/>
      </c>
      <c r="F3785" s="23" t="str">
        <f>IF(OR(E3785="",E3785="!!!"),"",IF(NOT(ISNA(VLOOKUP(E3785,E$1:E3784,1,FALSE()))),"OLD",IF(AND(E3785&lt;&gt;"",E3785&lt;&gt;"!!!"),"NEW","")))</f>
        <v> </v>
      </c>
      <c r="G3785" s="24" t="str">
        <f>IF(OR(E3785="",E3785="!!!"),"",IF(OR(J3785=0,AND(J3785=1,K3785=1),AND(J3785=1,I3785="SBJ"),AND(J3785=1,I3785=0)),"?IN_FOCUS",IF(J3785&lt;=2,"?ACTIVATED",IF(J3785&lt;&gt;"","?FAMILIAR",IF(F3785="NEW",IF(ISNA(VLOOKUP(E3785,#REF!,1,FALSE())),"?TYPE_IDENTIFIABLE","?REFERENTIAL"),"_")))))</f>
        <v> </v>
      </c>
      <c r="H3785" s="25" t="str">
        <f>IF(J3785&lt;&gt;1,"",IF(I3785="SBJ","CB","?"))</f>
        <v> </v>
      </c>
      <c r="I3785" s="26" t="str">
        <f>IF(OR(E3785="",E3785="!!!",F3785="NEW"),"",INDEX(B3784:B$2,-1+SUMPRODUCT(MAX(ROW(E3784:E$2)*(E3785=E3784:E$2)))))</f>
        <v> </v>
      </c>
      <c r="J3785" s="26" t="str">
        <f>IF(OR(E3785="",E3785="!!!",F3785="NEW"),"",COUNTBLANK(OFFSET(A$1,,,SUMPRODUCT(MAX(ROW(E$2:E3785)*(E3785=E$2:E3785)))))-COUNTBLANK(OFFSET(A$1,,,SUMPRODUCT(MAX(ROW(E$1:E3784)*(E2=E$1:E3784))))))</f>
        <v> </v>
      </c>
      <c r="K3785" s="26" t="str">
        <f>IF(OR(E3785="",E3785="!!!",F3785="NEW"),"",INDEX(J$1:J3784,SUMPRODUCT(MAX(ROW(E$1:E3784)*(E3785=E$1:E3784)))))</f>
        <v> </v>
      </c>
      <c r="L3785" s="27"/>
    </row>
    <row r="3786" spans="1:12">
      <c r="A3786" s="20" t="s">
        <v>1878</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t="s">
        <v>1879</v>
      </c>
      <c r="B3787" s="21" t="s">
        <v>673</v>
      </c>
      <c r="C3787" s="21" t="s">
        <v>674</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t="s">
        <v>1880</v>
      </c>
      <c r="E3788" s="22">
        <f>IF(D3788="?OLD","!!!","")</f>
        <v/>
      </c>
      <c r="F3788" s="23" t="str">
        <f>IF(OR(E3788="",E3788="!!!"),"",IF(NOT(ISNA(VLOOKUP(E3788,E$1:E3787,1,FALSE()))),"OLD",IF(AND(E3788&lt;&gt;"",E3788&lt;&gt;"!!!"),"NEW","")))</f>
        <v> </v>
      </c>
      <c r="G3788" s="24" t="str">
        <f>IF(OR(E3788="",E3788="!!!"),"",IF(OR(J3788=0,AND(J3788=1,K3788=1),AND(J3788=1,I3788="SBJ"),AND(J3788=1,I3788=0)),"?IN_FOCUS",IF(J3788&lt;=2,"?ACTIVATED",IF(J3788&lt;&gt;"","?FAMILIAR",IF(F3788="NEW",IF(ISNA(VLOOKUP(E3788,#REF!,1,FALSE())),"?TYPE_IDENTIFIABLE","?REFERENTIAL"),"_")))))</f>
        <v> </v>
      </c>
      <c r="H3788" s="25" t="str">
        <f>IF(J3788&lt;&gt;1,"",IF(I3788="SBJ","CB","?"))</f>
        <v> </v>
      </c>
      <c r="I3788" s="26" t="str">
        <f>IF(OR(E3788="",E3788="!!!",F3788="NEW"),"",INDEX(B3787:B$2,-1+SUMPRODUCT(MAX(ROW(E3787:E$2)*(E3788=E3787:E$2)))))</f>
        <v> </v>
      </c>
      <c r="J3788" s="26" t="str">
        <f>IF(OR(E3788="",E3788="!!!",F3788="NEW"),"",COUNTBLANK(OFFSET(A$1,,,SUMPRODUCT(MAX(ROW(E$2:E3788)*(E3788=E$2:E3788)))))-COUNTBLANK(OFFSET(A$1,,,SUMPRODUCT(MAX(ROW(E$1:E3787)*(E2=E$1:E3787))))))</f>
        <v> </v>
      </c>
      <c r="K3788" s="26" t="str">
        <f>IF(OR(E3788="",E3788="!!!",F3788="NEW"),"",INDEX(J$1:J3787,SUMPRODUCT(MAX(ROW(E$1:E3787)*(E3788=E$1:E3787)))))</f>
        <v> </v>
      </c>
      <c r="L3788" s="27"/>
    </row>
    <row r="3789" spans="1:12">
      <c r="A3789" s="20" t="s">
        <v>1881</v>
      </c>
      <c r="B3789" s="21" t="s">
        <v>671</v>
      </c>
      <c r="C3789" s="21" t="s">
        <v>684</v>
      </c>
      <c r="D3789" s="21" t="s">
        <v>655</v>
      </c>
      <c r="E3789" s="22">
        <f>IF(D3789="?OLD","!!!","")</f>
        <v/>
      </c>
      <c r="F3789" s="23" t="str">
        <f>IF(OR(E3789="",E3789="!!!"),"",IF(NOT(ISNA(VLOOKUP(E3789,E$1:E3788,1,FALSE()))),"OLD",IF(AND(E3789&lt;&gt;"",E3789&lt;&gt;"!!!"),"NEW","")))</f>
        <v> </v>
      </c>
      <c r="G3789" s="24" t="str">
        <f>IF(OR(E3789="",E3789="!!!"),"",IF(OR(J3789=0,AND(J3789=1,K3789=1),AND(J3789=1,I3789="SBJ"),AND(J3789=1,I3789=0)),"?IN_FOCUS",IF(J3789&lt;=2,"?ACTIVATED",IF(J3789&lt;&gt;"","?FAMILIAR",IF(F3789="NEW",IF(ISNA(VLOOKUP(E3789,#REF!,1,FALSE())),"?TYPE_IDENTIFIABLE","?REFERENTIAL"),"_")))))</f>
        <v> </v>
      </c>
      <c r="H3789" s="25" t="str">
        <f>IF(J3789&lt;&gt;1,"",IF(I3789="SBJ","CB","?"))</f>
        <v> </v>
      </c>
      <c r="I3789" s="26" t="str">
        <f>IF(OR(E3789="",E3789="!!!",F3789="NEW"),"",INDEX(B3788:B$2,-1+SUMPRODUCT(MAX(ROW(E3788:E$2)*(E3789=E3788:E$2)))))</f>
        <v> </v>
      </c>
      <c r="J3789" s="26" t="str">
        <f>IF(OR(E3789="",E3789="!!!",F3789="NEW"),"",COUNTBLANK(OFFSET(A$1,,,SUMPRODUCT(MAX(ROW(E$2:E3789)*(E3789=E$2:E3789)))))-COUNTBLANK(OFFSET(A$1,,,SUMPRODUCT(MAX(ROW(E$1:E3788)*(E2=E$1:E3788))))))</f>
        <v> </v>
      </c>
      <c r="K3789" s="26" t="str">
        <f>IF(OR(E3789="",E3789="!!!",F3789="NEW"),"",INDEX(J$1:J3788,SUMPRODUCT(MAX(ROW(E$1:E3788)*(E3789=E$1:E3788)))))</f>
        <v> </v>
      </c>
      <c r="L3789" s="27"/>
    </row>
    <row r="3790" spans="1:12">
      <c r="A3790" s="20" t="s">
        <v>715</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676</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t="s">
        <v>66</v>
      </c>
      <c r="E3792" s="22">
        <f>IF(D3792="?OLD","!!!","")</f>
        <v/>
      </c>
      <c r="F3792" s="23" t="str">
        <f>IF(OR(E3792="",E3792="!!!"),"",IF(NOT(ISNA(VLOOKUP(E3792,E$1:E3791,1,FALSE()))),"OLD",IF(AND(E3792&lt;&gt;"",E3792&lt;&gt;"!!!"),"NEW","")))</f>
        <v> </v>
      </c>
      <c r="G3792" s="24" t="str">
        <f>IF(OR(E3792="",E3792="!!!"),"",IF(OR(J3792=0,AND(J3792=1,K3792=1),AND(J3792=1,I3792="SBJ"),AND(J3792=1,I3792=0)),"?IN_FOCUS",IF(J3792&lt;=2,"?ACTIVATED",IF(J3792&lt;&gt;"","?FAMILIAR",IF(F3792="NEW",IF(ISNA(VLOOKUP(E3792,#REF!,1,FALSE())),"?TYPE_IDENTIFIABLE","?REFERENTIAL"),"_")))))</f>
        <v> </v>
      </c>
      <c r="H3792" s="25" t="str">
        <f>IF(J3792&lt;&gt;1,"",IF(I3792="SBJ","CB","?"))</f>
        <v> </v>
      </c>
      <c r="I3792" s="26" t="str">
        <f>IF(OR(E3792="",E3792="!!!",F3792="NEW"),"",INDEX(B3791:B$2,-1+SUMPRODUCT(MAX(ROW(E3791:E$2)*(E3792=E3791:E$2)))))</f>
        <v> </v>
      </c>
      <c r="J3792" s="26" t="str">
        <f>IF(OR(E3792="",E3792="!!!",F3792="NEW"),"",COUNTBLANK(OFFSET(A$1,,,SUMPRODUCT(MAX(ROW(E$2:E3792)*(E3792=E$2:E3792)))))-COUNTBLANK(OFFSET(A$1,,,SUMPRODUCT(MAX(ROW(E$1:E3791)*(E2=E$1:E3791))))))</f>
        <v> </v>
      </c>
      <c r="K3792" s="26" t="str">
        <f>IF(OR(E3792="",E3792="!!!",F3792="NEW"),"",INDEX(J$1:J3791,SUMPRODUCT(MAX(ROW(E$1:E3791)*(E3792=E$1:E3791)))))</f>
        <v> </v>
      </c>
      <c r="L3792" s="27"/>
    </row>
    <row r="3793" spans="1:12">
      <c r="A3793" s="20" t="s">
        <v>688</v>
      </c>
      <c r="E3793" s="22">
        <f>IF(D3793="?OLD","!!!","")</f>
        <v/>
      </c>
      <c r="F3793" s="23" t="str">
        <f>IF(OR(E3793="",E3793="!!!"),"",IF(NOT(ISNA(VLOOKUP(E3793,E$1:E3792,1,FALSE()))),"OLD",IF(AND(E3793&lt;&gt;"",E3793&lt;&gt;"!!!"),"NEW","")))</f>
        <v> </v>
      </c>
      <c r="G3793" s="24" t="str">
        <f>IF(OR(E3793="",E3793="!!!"),"",IF(OR(J3793=0,AND(J3793=1,K3793=1),AND(J3793=1,I3793="SBJ"),AND(J3793=1,I3793=0)),"?IN_FOCUS",IF(J3793&lt;=2,"?ACTIVATED",IF(J3793&lt;&gt;"","?FAMILIAR",IF(F3793="NEW",IF(ISNA(VLOOKUP(E3793,#REF!,1,FALSE())),"?TYPE_IDENTIFIABLE","?REFERENTIAL"),"_")))))</f>
        <v> </v>
      </c>
      <c r="H3793" s="25" t="str">
        <f>IF(J3793&lt;&gt;1,"",IF(I3793="SBJ","CB","?"))</f>
        <v> </v>
      </c>
      <c r="I3793" s="26" t="str">
        <f>IF(OR(E3793="",E3793="!!!",F3793="NEW"),"",INDEX(B3792:B$2,-1+SUMPRODUCT(MAX(ROW(E3792:E$2)*(E3793=E3792:E$2)))))</f>
        <v> </v>
      </c>
      <c r="J3793" s="26" t="str">
        <f>IF(OR(E3793="",E3793="!!!",F3793="NEW"),"",COUNTBLANK(OFFSET(A$1,,,SUMPRODUCT(MAX(ROW(E$2:E3793)*(E3793=E$2:E3793)))))-COUNTBLANK(OFFSET(A$1,,,SUMPRODUCT(MAX(ROW(E$1:E3792)*(E2=E$1:E3792))))))</f>
        <v> </v>
      </c>
      <c r="K3793" s="26" t="str">
        <f>IF(OR(E3793="",E3793="!!!",F3793="NEW"),"",INDEX(J$1:J3792,SUMPRODUCT(MAX(ROW(E$1:E3792)*(E3793=E$1:E3792)))))</f>
        <v> </v>
      </c>
      <c r="L3793" s="27"/>
    </row>
    <row r="3794" spans="1:12">
      <c r="A3794" s="20"/>
    </row>
    <row r="3795" spans="1:12">
      <c r="A3795" s="20" t="s">
        <v>1882</v>
      </c>
    </row>
    <row r="3796" spans="1:12">
      <c r="A3796" s="20" t="s">
        <v>1883</v>
      </c>
      <c r="B3796" s="21" t="s">
        <v>692</v>
      </c>
      <c r="C3796" s="21" t="s">
        <v>698</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1884</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t="s">
        <v>1006</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709</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t="s">
        <v>885</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676</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666</v>
      </c>
      <c r="B3802" s="21" t="s">
        <v>673</v>
      </c>
      <c r="C3802" s="21" t="s">
        <v>654</v>
      </c>
      <c r="D3802" s="21" t="s">
        <v>655</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694</v>
      </c>
      <c r="B3803" s="21" t="s">
        <v>671</v>
      </c>
      <c r="C3803" s="21" t="s">
        <v>695</v>
      </c>
      <c r="D3803" s="21" t="s">
        <v>655</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t="s">
        <v>777</v>
      </c>
      <c r="B3804" s="21" t="s">
        <v>664</v>
      </c>
      <c r="C3804" s="21" t="s">
        <v>698</v>
      </c>
      <c r="E3804" s="22">
        <f>IF(D3804="?OLD","!!!","")</f>
        <v/>
      </c>
      <c r="F3804" s="23" t="str">
        <f>IF(OR(E3804="",E3804="!!!"),"",IF(NOT(ISNA(VLOOKUP(E3804,E$1:E3803,1,FALSE()))),"OLD",IF(AND(E3804&lt;&gt;"",E3804&lt;&gt;"!!!"),"NEW","")))</f>
        <v> </v>
      </c>
      <c r="G3804" s="24" t="str">
        <f>IF(OR(E3804="",E3804="!!!"),"",IF(OR(J3804=0,AND(J3804=1,K3804=1),AND(J3804=1,I3804="SBJ"),AND(J3804=1,I3804=0)),"?IN_FOCUS",IF(J3804&lt;=2,"?ACTIVATED",IF(J3804&lt;&gt;"","?FAMILIAR",IF(F3804="NEW",IF(ISNA(VLOOKUP(E3804,#REF!,1,FALSE())),"?TYPE_IDENTIFIABLE","?REFERENTIAL"),"_")))))</f>
        <v> </v>
      </c>
      <c r="H3804" s="25" t="str">
        <f>IF(J3804&lt;&gt;1,"",IF(I3804="SBJ","CB","?"))</f>
        <v> </v>
      </c>
      <c r="I3804" s="26" t="str">
        <f>IF(OR(E3804="",E3804="!!!",F3804="NEW"),"",INDEX(B3803:B$2,-1+SUMPRODUCT(MAX(ROW(E3803:E$2)*(E3804=E3803:E$2)))))</f>
        <v> </v>
      </c>
      <c r="J3804" s="26" t="str">
        <f>IF(OR(E3804="",E3804="!!!",F3804="NEW"),"",COUNTBLANK(OFFSET(A$1,,,SUMPRODUCT(MAX(ROW(E$2:E3804)*(E3804=E$2:E3804)))))-COUNTBLANK(OFFSET(A$1,,,SUMPRODUCT(MAX(ROW(E$1:E3803)*(E2=E$1:E3803))))))</f>
        <v> </v>
      </c>
      <c r="K3804" s="26" t="str">
        <f>IF(OR(E3804="",E3804="!!!",F3804="NEW"),"",INDEX(J$1:J3803,SUMPRODUCT(MAX(ROW(E$1:E3803)*(E3804=E$1:E3803)))))</f>
        <v> </v>
      </c>
      <c r="L3804" s="27"/>
    </row>
    <row r="3805" spans="1:12">
      <c r="A3805" s="20" t="s">
        <v>1885</v>
      </c>
      <c r="B3805" s="21" t="s">
        <v>671</v>
      </c>
      <c r="C3805" s="21" t="s">
        <v>684</v>
      </c>
      <c r="D3805" s="21" t="s">
        <v>655</v>
      </c>
      <c r="E3805" s="22">
        <f>IF(D3805="?OLD","!!!","")</f>
        <v/>
      </c>
      <c r="F3805" s="23" t="str">
        <f>IF(OR(E3805="",E3805="!!!"),"",IF(NOT(ISNA(VLOOKUP(E3805,E$1:E3804,1,FALSE()))),"OLD",IF(AND(E3805&lt;&gt;"",E3805&lt;&gt;"!!!"),"NEW","")))</f>
        <v> </v>
      </c>
      <c r="G3805" s="24" t="str">
        <f>IF(OR(E3805="",E3805="!!!"),"",IF(OR(J3805=0,AND(J3805=1,K3805=1),AND(J3805=1,I3805="SBJ"),AND(J3805=1,I3805=0)),"?IN_FOCUS",IF(J3805&lt;=2,"?ACTIVATED",IF(J3805&lt;&gt;"","?FAMILIAR",IF(F3805="NEW",IF(ISNA(VLOOKUP(E3805,#REF!,1,FALSE())),"?TYPE_IDENTIFIABLE","?REFERENTIAL"),"_")))))</f>
        <v> </v>
      </c>
      <c r="H3805" s="25" t="str">
        <f>IF(J3805&lt;&gt;1,"",IF(I3805="SBJ","CB","?"))</f>
        <v> </v>
      </c>
      <c r="I3805" s="26" t="str">
        <f>IF(OR(E3805="",E3805="!!!",F3805="NEW"),"",INDEX(B3804:B$2,-1+SUMPRODUCT(MAX(ROW(E3804:E$2)*(E3805=E3804:E$2)))))</f>
        <v> </v>
      </c>
      <c r="J3805" s="26" t="str">
        <f>IF(OR(E3805="",E3805="!!!",F3805="NEW"),"",COUNTBLANK(OFFSET(A$1,,,SUMPRODUCT(MAX(ROW(E$2:E3805)*(E3805=E$2:E3805)))))-COUNTBLANK(OFFSET(A$1,,,SUMPRODUCT(MAX(ROW(E$1:E3804)*(E2=E$1:E3804))))))</f>
        <v> </v>
      </c>
      <c r="K3805" s="26" t="str">
        <f>IF(OR(E3805="",E3805="!!!",F3805="NEW"),"",INDEX(J$1:J3804,SUMPRODUCT(MAX(ROW(E$1:E3804)*(E3805=E$1:E3804)))))</f>
        <v> </v>
      </c>
      <c r="L3805" s="27"/>
    </row>
    <row r="3806" spans="1:12">
      <c r="A3806" s="20" t="s">
        <v>1886</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1887</v>
      </c>
      <c r="E3807" s="22">
        <f>IF(D3807="?OLD","!!!","")</f>
        <v/>
      </c>
      <c r="F3807" s="23" t="str">
        <f>IF(OR(E3807="",E3807="!!!"),"",IF(NOT(ISNA(VLOOKUP(E3807,E$1:E3806,1,FALSE()))),"OLD",IF(AND(E3807&lt;&gt;"",E3807&lt;&gt;"!!!"),"NEW","")))</f>
        <v> </v>
      </c>
      <c r="G3807" s="24" t="str">
        <f>IF(OR(E3807="",E3807="!!!"),"",IF(OR(J3807=0,AND(J3807=1,K3807=1),AND(J3807=1,I3807="SBJ"),AND(J3807=1,I3807=0)),"?IN_FOCUS",IF(J3807&lt;=2,"?ACTIVATED",IF(J3807&lt;&gt;"","?FAMILIAR",IF(F3807="NEW",IF(ISNA(VLOOKUP(E3807,#REF!,1,FALSE())),"?TYPE_IDENTIFIABLE","?REFERENTIAL"),"_")))))</f>
        <v> </v>
      </c>
      <c r="H3807" s="25" t="str">
        <f>IF(J3807&lt;&gt;1,"",IF(I3807="SBJ","CB","?"))</f>
        <v> </v>
      </c>
      <c r="I3807" s="26" t="str">
        <f>IF(OR(E3807="",E3807="!!!",F3807="NEW"),"",INDEX(B3806:B$2,-1+SUMPRODUCT(MAX(ROW(E3806:E$2)*(E3807=E3806:E$2)))))</f>
        <v> </v>
      </c>
      <c r="J3807" s="26" t="str">
        <f>IF(OR(E3807="",E3807="!!!",F3807="NEW"),"",COUNTBLANK(OFFSET(A$1,,,SUMPRODUCT(MAX(ROW(E$2:E3807)*(E3807=E$2:E3807)))))-COUNTBLANK(OFFSET(A$1,,,SUMPRODUCT(MAX(ROW(E$1:E3806)*(E2=E$1:E3806))))))</f>
        <v> </v>
      </c>
      <c r="K3807" s="26" t="str">
        <f>IF(OR(E3807="",E3807="!!!",F3807="NEW"),"",INDEX(J$1:J3806,SUMPRODUCT(MAX(ROW(E$1:E3806)*(E3807=E$1:E3806)))))</f>
        <v> </v>
      </c>
      <c r="L3807" s="27"/>
    </row>
    <row r="3808" spans="1:12">
      <c r="A3808" s="20" t="s">
        <v>951</v>
      </c>
      <c r="E3808" s="22">
        <f>IF(D3808="?OLD","!!!","")</f>
        <v/>
      </c>
      <c r="F3808" s="23" t="str">
        <f>IF(OR(E3808="",E3808="!!!"),"",IF(NOT(ISNA(VLOOKUP(E3808,E$1:E3807,1,FALSE()))),"OLD",IF(AND(E3808&lt;&gt;"",E3808&lt;&gt;"!!!"),"NEW","")))</f>
        <v> </v>
      </c>
      <c r="G3808" s="24" t="str">
        <f>IF(OR(E3808="",E3808="!!!"),"",IF(OR(J3808=0,AND(J3808=1,K3808=1),AND(J3808=1,I3808="SBJ"),AND(J3808=1,I3808=0)),"?IN_FOCUS",IF(J3808&lt;=2,"?ACTIVATED",IF(J3808&lt;&gt;"","?FAMILIAR",IF(F3808="NEW",IF(ISNA(VLOOKUP(E3808,#REF!,1,FALSE())),"?TYPE_IDENTIFIABLE","?REFERENTIAL"),"_")))))</f>
        <v> </v>
      </c>
      <c r="H3808" s="25" t="str">
        <f>IF(J3808&lt;&gt;1,"",IF(I3808="SBJ","CB","?"))</f>
        <v> </v>
      </c>
      <c r="I3808" s="26" t="str">
        <f>IF(OR(E3808="",E3808="!!!",F3808="NEW"),"",INDEX(B3807:B$2,-1+SUMPRODUCT(MAX(ROW(E3807:E$2)*(E3808=E3807:E$2)))))</f>
        <v> </v>
      </c>
      <c r="J3808" s="26" t="str">
        <f>IF(OR(E3808="",E3808="!!!",F3808="NEW"),"",COUNTBLANK(OFFSET(A$1,,,SUMPRODUCT(MAX(ROW(E$2:E3808)*(E3808=E$2:E3808)))))-COUNTBLANK(OFFSET(A$1,,,SUMPRODUCT(MAX(ROW(E$1:E3807)*(E2=E$1:E3807))))))</f>
        <v> </v>
      </c>
      <c r="K3808" s="26" t="str">
        <f>IF(OR(E3808="",E3808="!!!",F3808="NEW"),"",INDEX(J$1:J3807,SUMPRODUCT(MAX(ROW(E$1:E3807)*(E3808=E$1:E3807)))))</f>
        <v> </v>
      </c>
      <c r="L3808" s="27"/>
    </row>
    <row r="3809" spans="1:12">
      <c r="A3809" s="20" t="s">
        <v>688</v>
      </c>
      <c r="E3809" s="22">
        <f>IF(D3809="?OLD","!!!","")</f>
        <v/>
      </c>
      <c r="F3809" s="23" t="str">
        <f>IF(OR(E3809="",E3809="!!!"),"",IF(NOT(ISNA(VLOOKUP(E3809,E$1:E3808,1,FALSE()))),"OLD",IF(AND(E3809&lt;&gt;"",E3809&lt;&gt;"!!!"),"NEW","")))</f>
        <v> </v>
      </c>
      <c r="G3809" s="24" t="str">
        <f>IF(OR(E3809="",E3809="!!!"),"",IF(OR(J3809=0,AND(J3809=1,K3809=1),AND(J3809=1,I3809="SBJ"),AND(J3809=1,I3809=0)),"?IN_FOCUS",IF(J3809&lt;=2,"?ACTIVATED",IF(J3809&lt;&gt;"","?FAMILIAR",IF(F3809="NEW",IF(ISNA(VLOOKUP(E3809,#REF!,1,FALSE())),"?TYPE_IDENTIFIABLE","?REFERENTIAL"),"_")))))</f>
        <v> </v>
      </c>
      <c r="H3809" s="25" t="str">
        <f>IF(J3809&lt;&gt;1,"",IF(I3809="SBJ","CB","?"))</f>
        <v> </v>
      </c>
      <c r="I3809" s="26" t="str">
        <f>IF(OR(E3809="",E3809="!!!",F3809="NEW"),"",INDEX(B3808:B$2,-1+SUMPRODUCT(MAX(ROW(E3808:E$2)*(E3809=E3808:E$2)))))</f>
        <v> </v>
      </c>
      <c r="J3809" s="26" t="str">
        <f>IF(OR(E3809="",E3809="!!!",F3809="NEW"),"",COUNTBLANK(OFFSET(A$1,,,SUMPRODUCT(MAX(ROW(E$2:E3809)*(E3809=E$2:E3809)))))-COUNTBLANK(OFFSET(A$1,,,SUMPRODUCT(MAX(ROW(E$1:E3808)*(E2=E$1:E3808))))))</f>
        <v> </v>
      </c>
      <c r="K3809" s="26" t="str">
        <f>IF(OR(E3809="",E3809="!!!",F3809="NEW"),"",INDEX(J$1:J3808,SUMPRODUCT(MAX(ROW(E$1:E3808)*(E3809=E$1:E3808)))))</f>
        <v> </v>
      </c>
      <c r="L3809" s="27"/>
    </row>
    <row r="3810" spans="1:12">
      <c r="A3810" s="20"/>
    </row>
    <row r="3811" spans="1:12">
      <c r="A3811" s="20" t="s">
        <v>689</v>
      </c>
      <c r="E3811" s="22">
        <f>IF(D3811="?OLD","!!!","")</f>
        <v/>
      </c>
      <c r="F3811" s="23" t="str">
        <f>IF(OR(E3811="",E3811="!!!"),"",IF(NOT(ISNA(VLOOKUP(E3811,E$1:E3810,1,FALSE()))),"OLD",IF(AND(E3811&lt;&gt;"",E3811&lt;&gt;"!!!"),"NEW","")))</f>
        <v> </v>
      </c>
      <c r="G3811" s="24" t="str">
        <f>IF(OR(E3811="",E3811="!!!"),"",IF(OR(J3811=0,AND(J3811=1,K3811=1),AND(J3811=1,I3811="SBJ"),AND(J3811=1,I3811=0)),"?IN_FOCUS",IF(J3811&lt;=2,"?ACTIVATED",IF(J3811&lt;&gt;"","?FAMILIAR",IF(F3811="NEW",IF(ISNA(VLOOKUP(E3811,#REF!,1,FALSE())),"?TYPE_IDENTIFIABLE","?REFERENTIAL"),"_")))))</f>
        <v> </v>
      </c>
      <c r="H3811" s="25" t="str">
        <f>IF(J3811&lt;&gt;1,"",IF(I3811="SBJ","CB","?"))</f>
        <v> </v>
      </c>
      <c r="I3811" s="26" t="str">
        <f>IF(OR(E3811="",E3811="!!!",F3811="NEW"),"",INDEX(B3810:B$2,-1+SUMPRODUCT(MAX(ROW(E3810:E$2)*(E3811=E3810:E$2)))))</f>
        <v> </v>
      </c>
      <c r="J3811" s="26" t="str">
        <f>IF(OR(E3811="",E3811="!!!",F3811="NEW"),"",COUNTBLANK(OFFSET(A$1,,,SUMPRODUCT(MAX(ROW(E$2:E3811)*(E3811=E$2:E3811)))))-COUNTBLANK(OFFSET(A$1,,,SUMPRODUCT(MAX(ROW(E$1:E3810)*(E2=E$1:E3810))))))</f>
        <v> </v>
      </c>
      <c r="K3811" s="26" t="str">
        <f>IF(OR(E3811="",E3811="!!!",F3811="NEW"),"",INDEX(J$1:J3810,SUMPRODUCT(MAX(ROW(E$1:E3810)*(E3811=E$1:E3810)))))</f>
        <v> </v>
      </c>
      <c r="L3811" s="27"/>
    </row>
    <row r="3812" spans="1:12">
      <c r="A3812" s="20" t="s">
        <v>1888</v>
      </c>
    </row>
    <row r="3813" spans="1:12">
      <c r="A3813" s="20" t="s">
        <v>848</v>
      </c>
      <c r="E3813" s="22">
        <f>IF(D3813="?OLD","!!!","")</f>
        <v/>
      </c>
      <c r="F3813" s="23" t="str">
        <f>IF(OR(E3813="",E3813="!!!"),"",IF(NOT(ISNA(VLOOKUP(E3813,E$1:E3812,1,FALSE()))),"OLD",IF(AND(E3813&lt;&gt;"",E3813&lt;&gt;"!!!"),"NEW","")))</f>
        <v> </v>
      </c>
      <c r="G3813" s="24" t="str">
        <f>IF(OR(E3813="",E3813="!!!"),"",IF(OR(J3813=0,AND(J3813=1,K3813=1),AND(J3813=1,I3813="SBJ"),AND(J3813=1,I3813=0)),"?IN_FOCUS",IF(J3813&lt;=2,"?ACTIVATED",IF(J3813&lt;&gt;"","?FAMILIAR",IF(F3813="NEW",IF(ISNA(VLOOKUP(E3813,#REF!,1,FALSE())),"?TYPE_IDENTIFIABLE","?REFERENTIAL"),"_")))))</f>
        <v> </v>
      </c>
      <c r="H3813" s="25" t="str">
        <f>IF(J3813&lt;&gt;1,"",IF(I3813="SBJ","CB","?"))</f>
        <v> </v>
      </c>
      <c r="I3813" s="26" t="str">
        <f>IF(OR(E3813="",E3813="!!!",F3813="NEW"),"",INDEX(B3812:B$2,-1+SUMPRODUCT(MAX(ROW(E3812:E$2)*(E3813=E3812:E$2)))))</f>
        <v> </v>
      </c>
      <c r="J3813" s="26" t="str">
        <f>IF(OR(E3813="",E3813="!!!",F3813="NEW"),"",COUNTBLANK(OFFSET(A$1,,,SUMPRODUCT(MAX(ROW(E$2:E3813)*(E3813=E$2:E3813)))))-COUNTBLANK(OFFSET(A$1,,,SUMPRODUCT(MAX(ROW(E$1:E3812)*(E2=E$1:E3812))))))</f>
        <v> </v>
      </c>
      <c r="K3813" s="26" t="str">
        <f>IF(OR(E3813="",E3813="!!!",F3813="NEW"),"",INDEX(J$1:J3812,SUMPRODUCT(MAX(ROW(E$1:E3812)*(E3813=E$1:E3812)))))</f>
        <v> </v>
      </c>
      <c r="L3813" s="27"/>
    </row>
    <row r="3814" spans="1:12">
      <c r="A3814" s="20" t="s">
        <v>720</v>
      </c>
      <c r="E3814" s="22">
        <f>IF(D3814="?OLD","!!!","")</f>
        <v/>
      </c>
      <c r="F3814" s="23" t="str">
        <f>IF(OR(E3814="",E3814="!!!"),"",IF(NOT(ISNA(VLOOKUP(E3814,E$1:E3813,1,FALSE()))),"OLD",IF(AND(E3814&lt;&gt;"",E3814&lt;&gt;"!!!"),"NEW","")))</f>
        <v> </v>
      </c>
      <c r="G3814" s="24" t="str">
        <f>IF(OR(E3814="",E3814="!!!"),"",IF(OR(J3814=0,AND(J3814=1,K3814=1),AND(J3814=1,I3814="SBJ"),AND(J3814=1,I3814=0)),"?IN_FOCUS",IF(J3814&lt;=2,"?ACTIVATED",IF(J3814&lt;&gt;"","?FAMILIAR",IF(F3814="NEW",IF(ISNA(VLOOKUP(E3814,#REF!,1,FALSE())),"?TYPE_IDENTIFIABLE","?REFERENTIAL"),"_")))))</f>
        <v> </v>
      </c>
      <c r="H3814" s="25" t="str">
        <f>IF(J3814&lt;&gt;1,"",IF(I3814="SBJ","CB","?"))</f>
        <v> </v>
      </c>
      <c r="I3814" s="26" t="str">
        <f>IF(OR(E3814="",E3814="!!!",F3814="NEW"),"",INDEX(B3813:B$2,-1+SUMPRODUCT(MAX(ROW(E3813:E$2)*(E3814=E3813:E$2)))))</f>
        <v> </v>
      </c>
      <c r="J3814" s="26" t="str">
        <f>IF(OR(E3814="",E3814="!!!",F3814="NEW"),"",COUNTBLANK(OFFSET(A$1,,,SUMPRODUCT(MAX(ROW(E$2:E3814)*(E3814=E$2:E3814)))))-COUNTBLANK(OFFSET(A$1,,,SUMPRODUCT(MAX(ROW(E$1:E3813)*(E2=E$1:E3813))))))</f>
        <v> </v>
      </c>
      <c r="K3814" s="26" t="str">
        <f>IF(OR(E3814="",E3814="!!!",F3814="NEW"),"",INDEX(J$1:J3813,SUMPRODUCT(MAX(ROW(E$1:E3813)*(E3814=E$1:E3813)))))</f>
        <v> </v>
      </c>
      <c r="L3814" s="27"/>
    </row>
    <row r="3815" spans="1:12">
      <c r="A3815" s="20" t="s">
        <v>1877</v>
      </c>
      <c r="B3815" s="21" t="s">
        <v>653</v>
      </c>
      <c r="C3815" s="21" t="s">
        <v>678</v>
      </c>
      <c r="D3815" s="21" t="s">
        <v>655</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993</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t="s">
        <v>723</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1620</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t="s">
        <v>849</v>
      </c>
      <c r="B3819" s="21" t="s">
        <v>658</v>
      </c>
      <c r="C3819" s="21" t="s">
        <v>678</v>
      </c>
      <c r="D3819" s="21" t="s">
        <v>655</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662</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829</v>
      </c>
      <c r="B3821" s="21" t="s">
        <v>701</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788</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1889</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1890</v>
      </c>
      <c r="B3824" s="21" t="s">
        <v>877</v>
      </c>
      <c r="C3824" s="21" t="s">
        <v>853</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1891</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688</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t="s">
        <v>723</v>
      </c>
      <c r="E3827" s="22">
        <f>IF(D3827="?OLD","!!!","")</f>
        <v/>
      </c>
      <c r="F3827" s="23" t="str">
        <f>IF(OR(E3827="",E3827="!!!"),"",IF(NOT(ISNA(VLOOKUP(E3827,E$1:E3826,1,FALSE()))),"OLD",IF(AND(E3827&lt;&gt;"",E3827&lt;&gt;"!!!"),"NEW","")))</f>
        <v> </v>
      </c>
      <c r="G3827" s="24" t="str">
        <f>IF(OR(E3827="",E3827="!!!"),"",IF(OR(J3827=0,AND(J3827=1,K3827=1),AND(J3827=1,I3827="SBJ"),AND(J3827=1,I3827=0)),"?IN_FOCUS",IF(J3827&lt;=2,"?ACTIVATED",IF(J3827&lt;&gt;"","?FAMILIAR",IF(F3827="NEW",IF(ISNA(VLOOKUP(E3827,#REF!,1,FALSE())),"?TYPE_IDENTIFIABLE","?REFERENTIAL"),"_")))))</f>
        <v> </v>
      </c>
      <c r="H3827" s="25" t="str">
        <f>IF(J3827&lt;&gt;1,"",IF(I3827="SBJ","CB","?"))</f>
        <v> </v>
      </c>
      <c r="I3827" s="26" t="str">
        <f>IF(OR(E3827="",E3827="!!!",F3827="NEW"),"",INDEX(B3826:B$2,-1+SUMPRODUCT(MAX(ROW(E3826:E$2)*(E3827=E3826:E$2)))))</f>
        <v> </v>
      </c>
      <c r="J3827" s="26" t="str">
        <f>IF(OR(E3827="",E3827="!!!",F3827="NEW"),"",COUNTBLANK(OFFSET(A$1,,,SUMPRODUCT(MAX(ROW(E$2:E3827)*(E3827=E$2:E3827)))))-COUNTBLANK(OFFSET(A$1,,,SUMPRODUCT(MAX(ROW(E$1:E3826)*(E2=E$1:E3826))))))</f>
        <v> </v>
      </c>
      <c r="K3827" s="26" t="str">
        <f>IF(OR(E3827="",E3827="!!!",F3827="NEW"),"",INDEX(J$1:J3826,SUMPRODUCT(MAX(ROW(E$1:E3826)*(E3827=E$1:E3826)))))</f>
        <v> </v>
      </c>
      <c r="L3827" s="27"/>
    </row>
    <row r="3828" spans="1:12">
      <c r="A3828" s="20"/>
    </row>
    <row r="3829" spans="1:12">
      <c r="A3829" s="20" t="s">
        <v>689</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1892</v>
      </c>
    </row>
    <row r="3831" spans="1:12">
      <c r="A3831" s="20" t="s">
        <v>723</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t="s">
        <v>1893</v>
      </c>
      <c r="B3832" s="21" t="s">
        <v>673</v>
      </c>
      <c r="C3832" s="21" t="s">
        <v>661</v>
      </c>
      <c r="E3832" s="22">
        <f>IF(D3832="?OLD","!!!","")</f>
        <v/>
      </c>
      <c r="F3832" s="23" t="str">
        <f>IF(OR(E3832="",E3832="!!!"),"",IF(NOT(ISNA(VLOOKUP(E3832,E$1:E3831,1,FALSE()))),"OLD",IF(AND(E3832&lt;&gt;"",E3832&lt;&gt;"!!!"),"NEW","")))</f>
        <v> </v>
      </c>
      <c r="G3832" s="24" t="str">
        <f>IF(OR(E3832="",E3832="!!!"),"",IF(OR(J3832=0,AND(J3832=1,K3832=1),AND(J3832=1,I3832="SBJ"),AND(J3832=1,I3832=0)),"?IN_FOCUS",IF(J3832&lt;=2,"?ACTIVATED",IF(J3832&lt;&gt;"","?FAMILIAR",IF(F3832="NEW",IF(ISNA(VLOOKUP(E3832,#REF!,1,FALSE())),"?TYPE_IDENTIFIABLE","?REFERENTIAL"),"_")))))</f>
        <v> </v>
      </c>
      <c r="H3832" s="25" t="str">
        <f>IF(J3832&lt;&gt;1,"",IF(I3832="SBJ","CB","?"))</f>
        <v> </v>
      </c>
      <c r="I3832" s="26" t="str">
        <f>IF(OR(E3832="",E3832="!!!",F3832="NEW"),"",INDEX(B3831:B$2,-1+SUMPRODUCT(MAX(ROW(E3831:E$2)*(E3832=E3831:E$2)))))</f>
        <v> </v>
      </c>
      <c r="J3832" s="26" t="str">
        <f>IF(OR(E3832="",E3832="!!!",F3832="NEW"),"",COUNTBLANK(OFFSET(A$1,,,SUMPRODUCT(MAX(ROW(E$2:E3832)*(E3832=E$2:E3832)))))-COUNTBLANK(OFFSET(A$1,,,SUMPRODUCT(MAX(ROW(E$1:E3831)*(E2=E$1:E3831))))))</f>
        <v> </v>
      </c>
      <c r="K3832" s="26" t="str">
        <f>IF(OR(E3832="",E3832="!!!",F3832="NEW"),"",INDEX(J$1:J3831,SUMPRODUCT(MAX(ROW(E$1:E3831)*(E3832=E$1:E3831)))))</f>
        <v> </v>
      </c>
      <c r="L3832" s="27"/>
    </row>
    <row r="3833" spans="1:12">
      <c r="A3833" s="20" t="s">
        <v>968</v>
      </c>
      <c r="B3833" s="21" t="s">
        <v>653</v>
      </c>
      <c r="C3833" s="21" t="s">
        <v>698</v>
      </c>
      <c r="E3833" s="22">
        <f>IF(D3833="?OLD","!!!","")</f>
        <v/>
      </c>
      <c r="F3833" s="23" t="str">
        <f>IF(OR(E3833="",E3833="!!!"),"",IF(NOT(ISNA(VLOOKUP(E3833,E$1:E3832,1,FALSE()))),"OLD",IF(AND(E3833&lt;&gt;"",E3833&lt;&gt;"!!!"),"NEW","")))</f>
        <v> </v>
      </c>
      <c r="G3833" s="24" t="str">
        <f>IF(OR(E3833="",E3833="!!!"),"",IF(OR(J3833=0,AND(J3833=1,K3833=1),AND(J3833=1,I3833="SBJ"),AND(J3833=1,I3833=0)),"?IN_FOCUS",IF(J3833&lt;=2,"?ACTIVATED",IF(J3833&lt;&gt;"","?FAMILIAR",IF(F3833="NEW",IF(ISNA(VLOOKUP(E3833,#REF!,1,FALSE())),"?TYPE_IDENTIFIABLE","?REFERENTIAL"),"_")))))</f>
        <v> </v>
      </c>
      <c r="H3833" s="25" t="str">
        <f>IF(J3833&lt;&gt;1,"",IF(I3833="SBJ","CB","?"))</f>
        <v> </v>
      </c>
      <c r="I3833" s="26" t="str">
        <f>IF(OR(E3833="",E3833="!!!",F3833="NEW"),"",INDEX(B3832:B$2,-1+SUMPRODUCT(MAX(ROW(E3832:E$2)*(E3833=E3832:E$2)))))</f>
        <v> </v>
      </c>
      <c r="J3833" s="26" t="str">
        <f>IF(OR(E3833="",E3833="!!!",F3833="NEW"),"",COUNTBLANK(OFFSET(A$1,,,SUMPRODUCT(MAX(ROW(E$2:E3833)*(E3833=E$2:E3833)))))-COUNTBLANK(OFFSET(A$1,,,SUMPRODUCT(MAX(ROW(E$1:E3832)*(E2=E$1:E3832))))))</f>
        <v> </v>
      </c>
      <c r="K3833" s="26" t="str">
        <f>IF(OR(E3833="",E3833="!!!",F3833="NEW"),"",INDEX(J$1:J3832,SUMPRODUCT(MAX(ROW(E$1:E3832)*(E3833=E$1:E3832)))))</f>
        <v> </v>
      </c>
      <c r="L3833" s="27"/>
    </row>
    <row r="3834" spans="1:12">
      <c r="A3834" s="20" t="s">
        <v>1891</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t="s">
        <v>849</v>
      </c>
      <c r="B3835" s="21" t="s">
        <v>658</v>
      </c>
      <c r="C3835" s="21" t="s">
        <v>698</v>
      </c>
      <c r="E3835" s="22">
        <f>IF(D3835="?OLD","!!!","")</f>
        <v/>
      </c>
      <c r="F3835" s="23" t="str">
        <f>IF(OR(E3835="",E3835="!!!"),"",IF(NOT(ISNA(VLOOKUP(E3835,E$1:E3834,1,FALSE()))),"OLD",IF(AND(E3835&lt;&gt;"",E3835&lt;&gt;"!!!"),"NEW","")))</f>
        <v> </v>
      </c>
      <c r="G3835" s="24" t="str">
        <f>IF(OR(E3835="",E3835="!!!"),"",IF(OR(J3835=0,AND(J3835=1,K3835=1),AND(J3835=1,I3835="SBJ"),AND(J3835=1,I3835=0)),"?IN_FOCUS",IF(J3835&lt;=2,"?ACTIVATED",IF(J3835&lt;&gt;"","?FAMILIAR",IF(F3835="NEW",IF(ISNA(VLOOKUP(E3835,#REF!,1,FALSE())),"?TYPE_IDENTIFIABLE","?REFERENTIAL"),"_")))))</f>
        <v> </v>
      </c>
      <c r="H3835" s="25" t="str">
        <f>IF(J3835&lt;&gt;1,"",IF(I3835="SBJ","CB","?"))</f>
        <v> </v>
      </c>
      <c r="I3835" s="26" t="str">
        <f>IF(OR(E3835="",E3835="!!!",F3835="NEW"),"",INDEX(B3834:B$2,-1+SUMPRODUCT(MAX(ROW(E3834:E$2)*(E3835=E3834:E$2)))))</f>
        <v> </v>
      </c>
      <c r="J3835" s="26" t="str">
        <f>IF(OR(E3835="",E3835="!!!",F3835="NEW"),"",COUNTBLANK(OFFSET(A$1,,,SUMPRODUCT(MAX(ROW(E$2:E3835)*(E3835=E$2:E3835)))))-COUNTBLANK(OFFSET(A$1,,,SUMPRODUCT(MAX(ROW(E$1:E3834)*(E2=E$1:E3834))))))</f>
        <v> </v>
      </c>
      <c r="K3835" s="26" t="str">
        <f>IF(OR(E3835="",E3835="!!!",F3835="NEW"),"",INDEX(J$1:J3834,SUMPRODUCT(MAX(ROW(E$1:E3834)*(E3835=E$1:E3834)))))</f>
        <v> </v>
      </c>
      <c r="L3835" s="27"/>
    </row>
    <row r="3836" spans="1:12">
      <c r="A3836" s="20" t="s">
        <v>662</v>
      </c>
      <c r="E3836" s="22">
        <f>IF(D3836="?OLD","!!!","")</f>
        <v/>
      </c>
      <c r="F3836" s="23" t="str">
        <f>IF(OR(E3836="",E3836="!!!"),"",IF(NOT(ISNA(VLOOKUP(E3836,E$1:E3835,1,FALSE()))),"OLD",IF(AND(E3836&lt;&gt;"",E3836&lt;&gt;"!!!"),"NEW","")))</f>
        <v> </v>
      </c>
      <c r="G3836" s="24" t="str">
        <f>IF(OR(E3836="",E3836="!!!"),"",IF(OR(J3836=0,AND(J3836=1,K3836=1),AND(J3836=1,I3836="SBJ"),AND(J3836=1,I3836=0)),"?IN_FOCUS",IF(J3836&lt;=2,"?ACTIVATED",IF(J3836&lt;&gt;"","?FAMILIAR",IF(F3836="NEW",IF(ISNA(VLOOKUP(E3836,#REF!,1,FALSE())),"?TYPE_IDENTIFIABLE","?REFERENTIAL"),"_")))))</f>
        <v> </v>
      </c>
      <c r="H3836" s="25" t="str">
        <f>IF(J3836&lt;&gt;1,"",IF(I3836="SBJ","CB","?"))</f>
        <v> </v>
      </c>
      <c r="I3836" s="26" t="str">
        <f>IF(OR(E3836="",E3836="!!!",F3836="NEW"),"",INDEX(B3835:B$2,-1+SUMPRODUCT(MAX(ROW(E3835:E$2)*(E3836=E3835:E$2)))))</f>
        <v> </v>
      </c>
      <c r="J3836" s="26" t="str">
        <f>IF(OR(E3836="",E3836="!!!",F3836="NEW"),"",COUNTBLANK(OFFSET(A$1,,,SUMPRODUCT(MAX(ROW(E$2:E3836)*(E3836=E$2:E3836)))))-COUNTBLANK(OFFSET(A$1,,,SUMPRODUCT(MAX(ROW(E$1:E3835)*(E2=E$1:E3835))))))</f>
        <v> </v>
      </c>
      <c r="K3836" s="26" t="str">
        <f>IF(OR(E3836="",E3836="!!!",F3836="NEW"),"",INDEX(J$1:J3835,SUMPRODUCT(MAX(ROW(E$1:E3835)*(E3836=E$1:E3835)))))</f>
        <v> </v>
      </c>
      <c r="L3836" s="27"/>
    </row>
    <row r="3837" spans="1:12">
      <c r="A3837" s="20" t="s">
        <v>791</v>
      </c>
      <c r="E3837" s="22">
        <f>IF(D3837="?OLD","!!!","")</f>
        <v/>
      </c>
      <c r="F3837" s="23" t="str">
        <f>IF(OR(E3837="",E3837="!!!"),"",IF(NOT(ISNA(VLOOKUP(E3837,E$1:E3836,1,FALSE()))),"OLD",IF(AND(E3837&lt;&gt;"",E3837&lt;&gt;"!!!"),"NEW","")))</f>
        <v> </v>
      </c>
      <c r="G3837" s="24" t="str">
        <f>IF(OR(E3837="",E3837="!!!"),"",IF(OR(J3837=0,AND(J3837=1,K3837=1),AND(J3837=1,I3837="SBJ"),AND(J3837=1,I3837=0)),"?IN_FOCUS",IF(J3837&lt;=2,"?ACTIVATED",IF(J3837&lt;&gt;"","?FAMILIAR",IF(F3837="NEW",IF(ISNA(VLOOKUP(E3837,#REF!,1,FALSE())),"?TYPE_IDENTIFIABLE","?REFERENTIAL"),"_")))))</f>
        <v> </v>
      </c>
      <c r="H3837" s="25" t="str">
        <f>IF(J3837&lt;&gt;1,"",IF(I3837="SBJ","CB","?"))</f>
        <v> </v>
      </c>
      <c r="I3837" s="26" t="str">
        <f>IF(OR(E3837="",E3837="!!!",F3837="NEW"),"",INDEX(B3836:B$2,-1+SUMPRODUCT(MAX(ROW(E3836:E$2)*(E3837=E3836:E$2)))))</f>
        <v> </v>
      </c>
      <c r="J3837" s="26" t="str">
        <f>IF(OR(E3837="",E3837="!!!",F3837="NEW"),"",COUNTBLANK(OFFSET(A$1,,,SUMPRODUCT(MAX(ROW(E$2:E3837)*(E3837=E$2:E3837)))))-COUNTBLANK(OFFSET(A$1,,,SUMPRODUCT(MAX(ROW(E$1:E3836)*(E2=E$1:E3836))))))</f>
        <v> </v>
      </c>
      <c r="K3837" s="26" t="str">
        <f>IF(OR(E3837="",E3837="!!!",F3837="NEW"),"",INDEX(J$1:J3836,SUMPRODUCT(MAX(ROW(E$1:E3836)*(E3837=E$1:E3836)))))</f>
        <v> </v>
      </c>
      <c r="L3837" s="27"/>
    </row>
    <row r="3838" spans="1:12">
      <c r="A3838" s="20" t="s">
        <v>730</v>
      </c>
      <c r="E3838" s="22">
        <f>IF(D3838="?OLD","!!!","")</f>
        <v/>
      </c>
      <c r="F3838" s="23" t="str">
        <f>IF(OR(E3838="",E3838="!!!"),"",IF(NOT(ISNA(VLOOKUP(E3838,E$1:E3837,1,FALSE()))),"OLD",IF(AND(E3838&lt;&gt;"",E3838&lt;&gt;"!!!"),"NEW","")))</f>
        <v> </v>
      </c>
      <c r="G3838" s="24" t="str">
        <f>IF(OR(E3838="",E3838="!!!"),"",IF(OR(J3838=0,AND(J3838=1,K3838=1),AND(J3838=1,I3838="SBJ"),AND(J3838=1,I3838=0)),"?IN_FOCUS",IF(J3838&lt;=2,"?ACTIVATED",IF(J3838&lt;&gt;"","?FAMILIAR",IF(F3838="NEW",IF(ISNA(VLOOKUP(E3838,#REF!,1,FALSE())),"?TYPE_IDENTIFIABLE","?REFERENTIAL"),"_")))))</f>
        <v> </v>
      </c>
      <c r="H3838" s="25" t="str">
        <f>IF(J3838&lt;&gt;1,"",IF(I3838="SBJ","CB","?"))</f>
        <v> </v>
      </c>
      <c r="I3838" s="26" t="str">
        <f>IF(OR(E3838="",E3838="!!!",F3838="NEW"),"",INDEX(B3837:B$2,-1+SUMPRODUCT(MAX(ROW(E3837:E$2)*(E3838=E3837:E$2)))))</f>
        <v> </v>
      </c>
      <c r="J3838" s="26" t="str">
        <f>IF(OR(E3838="",E3838="!!!",F3838="NEW"),"",COUNTBLANK(OFFSET(A$1,,,SUMPRODUCT(MAX(ROW(E$2:E3838)*(E3838=E$2:E3838)))))-COUNTBLANK(OFFSET(A$1,,,SUMPRODUCT(MAX(ROW(E$1:E3837)*(E2=E$1:E3837))))))</f>
        <v> </v>
      </c>
      <c r="K3838" s="26" t="str">
        <f>IF(OR(E3838="",E3838="!!!",F3838="NEW"),"",INDEX(J$1:J3837,SUMPRODUCT(MAX(ROW(E$1:E3837)*(E3838=E$1:E3837)))))</f>
        <v> </v>
      </c>
      <c r="L3838" s="27"/>
    </row>
    <row r="3839" spans="1:12">
      <c r="A3839" s="20" t="s">
        <v>849</v>
      </c>
      <c r="B3839" s="21" t="s">
        <v>667</v>
      </c>
      <c r="C3839" s="21" t="s">
        <v>678</v>
      </c>
      <c r="D3839" s="21" t="s">
        <v>655</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829</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1894</v>
      </c>
      <c r="B3841" s="21" t="s">
        <v>671</v>
      </c>
      <c r="C3841" s="21" t="s">
        <v>678</v>
      </c>
      <c r="D3841" s="21" t="s">
        <v>655</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t="s">
        <v>662</v>
      </c>
      <c r="E3842" s="22">
        <f>IF(D3842="?OLD","!!!","")</f>
        <v/>
      </c>
      <c r="F3842" s="23" t="str">
        <f>IF(OR(E3842="",E3842="!!!"),"",IF(NOT(ISNA(VLOOKUP(E3842,E$1:E3841,1,FALSE()))),"OLD",IF(AND(E3842&lt;&gt;"",E3842&lt;&gt;"!!!"),"NEW","")))</f>
        <v> </v>
      </c>
      <c r="G3842" s="24" t="str">
        <f>IF(OR(E3842="",E3842="!!!"),"",IF(OR(J3842=0,AND(J3842=1,K3842=1),AND(J3842=1,I3842="SBJ"),AND(J3842=1,I3842=0)),"?IN_FOCUS",IF(J3842&lt;=2,"?ACTIVATED",IF(J3842&lt;&gt;"","?FAMILIAR",IF(F3842="NEW",IF(ISNA(VLOOKUP(E3842,#REF!,1,FALSE())),"?TYPE_IDENTIFIABLE","?REFERENTIAL"),"_")))))</f>
        <v> </v>
      </c>
      <c r="H3842" s="25" t="str">
        <f>IF(J3842&lt;&gt;1,"",IF(I3842="SBJ","CB","?"))</f>
        <v> </v>
      </c>
      <c r="I3842" s="26" t="str">
        <f>IF(OR(E3842="",E3842="!!!",F3842="NEW"),"",INDEX(B3841:B$2,-1+SUMPRODUCT(MAX(ROW(E3841:E$2)*(E3842=E3841:E$2)))))</f>
        <v> </v>
      </c>
      <c r="J3842" s="26" t="str">
        <f>IF(OR(E3842="",E3842="!!!",F3842="NEW"),"",COUNTBLANK(OFFSET(A$1,,,SUMPRODUCT(MAX(ROW(E$2:E3842)*(E3842=E$2:E3842)))))-COUNTBLANK(OFFSET(A$1,,,SUMPRODUCT(MAX(ROW(E$1:E3841)*(E2=E$1:E3841))))))</f>
        <v> </v>
      </c>
      <c r="K3842" s="26" t="str">
        <f>IF(OR(E3842="",E3842="!!!",F3842="NEW"),"",INDEX(J$1:J3841,SUMPRODUCT(MAX(ROW(E$1:E3841)*(E3842=E$1:E3841)))))</f>
        <v> </v>
      </c>
      <c r="L3842" s="27"/>
    </row>
    <row r="3843" spans="1:12">
      <c r="A3843" s="20" t="s">
        <v>791</v>
      </c>
      <c r="E3843" s="22">
        <f>IF(D3843="?OLD","!!!","")</f>
        <v/>
      </c>
      <c r="F3843" s="23" t="str">
        <f>IF(OR(E3843="",E3843="!!!"),"",IF(NOT(ISNA(VLOOKUP(E3843,E$1:E3842,1,FALSE()))),"OLD",IF(AND(E3843&lt;&gt;"",E3843&lt;&gt;"!!!"),"NEW","")))</f>
        <v> </v>
      </c>
      <c r="G3843" s="24" t="str">
        <f>IF(OR(E3843="",E3843="!!!"),"",IF(OR(J3843=0,AND(J3843=1,K3843=1),AND(J3843=1,I3843="SBJ"),AND(J3843=1,I3843=0)),"?IN_FOCUS",IF(J3843&lt;=2,"?ACTIVATED",IF(J3843&lt;&gt;"","?FAMILIAR",IF(F3843="NEW",IF(ISNA(VLOOKUP(E3843,#REF!,1,FALSE())),"?TYPE_IDENTIFIABLE","?REFERENTIAL"),"_")))))</f>
        <v> </v>
      </c>
      <c r="H3843" s="25" t="str">
        <f>IF(J3843&lt;&gt;1,"",IF(I3843="SBJ","CB","?"))</f>
        <v> </v>
      </c>
      <c r="I3843" s="26" t="str">
        <f>IF(OR(E3843="",E3843="!!!",F3843="NEW"),"",INDEX(B3842:B$2,-1+SUMPRODUCT(MAX(ROW(E3842:E$2)*(E3843=E3842:E$2)))))</f>
        <v> </v>
      </c>
      <c r="J3843" s="26" t="str">
        <f>IF(OR(E3843="",E3843="!!!",F3843="NEW"),"",COUNTBLANK(OFFSET(A$1,,,SUMPRODUCT(MAX(ROW(E$2:E3843)*(E3843=E$2:E3843)))))-COUNTBLANK(OFFSET(A$1,,,SUMPRODUCT(MAX(ROW(E$1:E3842)*(E2=E$1:E3842))))))</f>
        <v> </v>
      </c>
      <c r="K3843" s="26" t="str">
        <f>IF(OR(E3843="",E3843="!!!",F3843="NEW"),"",INDEX(J$1:J3842,SUMPRODUCT(MAX(ROW(E$1:E3842)*(E3843=E$1:E3842)))))</f>
        <v> </v>
      </c>
      <c r="L3843" s="27"/>
    </row>
    <row r="3844" spans="1:12">
      <c r="A3844" s="20" t="s">
        <v>730</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t="s">
        <v>849</v>
      </c>
      <c r="B3845" s="21" t="s">
        <v>671</v>
      </c>
      <c r="C3845" s="21" t="s">
        <v>678</v>
      </c>
      <c r="D3845" s="21" t="s">
        <v>655</v>
      </c>
      <c r="E3845" s="22">
        <f>IF(D3845="?OLD","!!!","")</f>
        <v/>
      </c>
      <c r="F3845" s="23" t="str">
        <f>IF(OR(E3845="",E3845="!!!"),"",IF(NOT(ISNA(VLOOKUP(E3845,E$1:E3844,1,FALSE()))),"OLD",IF(AND(E3845&lt;&gt;"",E3845&lt;&gt;"!!!"),"NEW","")))</f>
        <v> </v>
      </c>
      <c r="G3845" s="24" t="str">
        <f>IF(OR(E3845="",E3845="!!!"),"",IF(OR(J3845=0,AND(J3845=1,K3845=1),AND(J3845=1,I3845="SBJ"),AND(J3845=1,I3845=0)),"?IN_FOCUS",IF(J3845&lt;=2,"?ACTIVATED",IF(J3845&lt;&gt;"","?FAMILIAR",IF(F3845="NEW",IF(ISNA(VLOOKUP(E3845,#REF!,1,FALSE())),"?TYPE_IDENTIFIABLE","?REFERENTIAL"),"_")))))</f>
        <v> </v>
      </c>
      <c r="H3845" s="25" t="str">
        <f>IF(J3845&lt;&gt;1,"",IF(I3845="SBJ","CB","?"))</f>
        <v> </v>
      </c>
      <c r="I3845" s="26" t="str">
        <f>IF(OR(E3845="",E3845="!!!",F3845="NEW"),"",INDEX(B3844:B$2,-1+SUMPRODUCT(MAX(ROW(E3844:E$2)*(E3845=E3844:E$2)))))</f>
        <v> </v>
      </c>
      <c r="J3845" s="26" t="str">
        <f>IF(OR(E3845="",E3845="!!!",F3845="NEW"),"",COUNTBLANK(OFFSET(A$1,,,SUMPRODUCT(MAX(ROW(E$2:E3845)*(E3845=E$2:E3845)))))-COUNTBLANK(OFFSET(A$1,,,SUMPRODUCT(MAX(ROW(E$1:E3844)*(E2=E$1:E3844))))))</f>
        <v> </v>
      </c>
      <c r="K3845" s="26" t="str">
        <f>IF(OR(E3845="",E3845="!!!",F3845="NEW"),"",INDEX(J$1:J3844,SUMPRODUCT(MAX(ROW(E$1:E3844)*(E3845=E$1:E3844)))))</f>
        <v> </v>
      </c>
      <c r="L3845" s="27"/>
    </row>
    <row r="3846" spans="1:12">
      <c r="A3846" s="20" t="s">
        <v>829</v>
      </c>
      <c r="E3846" s="22">
        <f>IF(D3846="?OLD","!!!","")</f>
        <v/>
      </c>
      <c r="F3846" s="23" t="str">
        <f>IF(OR(E3846="",E3846="!!!"),"",IF(NOT(ISNA(VLOOKUP(E3846,E$1:E3845,1,FALSE()))),"OLD",IF(AND(E3846&lt;&gt;"",E3846&lt;&gt;"!!!"),"NEW","")))</f>
        <v> </v>
      </c>
      <c r="G3846" s="24" t="str">
        <f>IF(OR(E3846="",E3846="!!!"),"",IF(OR(J3846=0,AND(J3846=1,K3846=1),AND(J3846=1,I3846="SBJ"),AND(J3846=1,I3846=0)),"?IN_FOCUS",IF(J3846&lt;=2,"?ACTIVATED",IF(J3846&lt;&gt;"","?FAMILIAR",IF(F3846="NEW",IF(ISNA(VLOOKUP(E3846,#REF!,1,FALSE())),"?TYPE_IDENTIFIABLE","?REFERENTIAL"),"_")))))</f>
        <v> </v>
      </c>
      <c r="H3846" s="25" t="str">
        <f>IF(J3846&lt;&gt;1,"",IF(I3846="SBJ","CB","?"))</f>
        <v> </v>
      </c>
      <c r="I3846" s="26" t="str">
        <f>IF(OR(E3846="",E3846="!!!",F3846="NEW"),"",INDEX(B3845:B$2,-1+SUMPRODUCT(MAX(ROW(E3845:E$2)*(E3846=E3845:E$2)))))</f>
        <v> </v>
      </c>
      <c r="J3846" s="26" t="str">
        <f>IF(OR(E3846="",E3846="!!!",F3846="NEW"),"",COUNTBLANK(OFFSET(A$1,,,SUMPRODUCT(MAX(ROW(E$2:E3846)*(E3846=E$2:E3846)))))-COUNTBLANK(OFFSET(A$1,,,SUMPRODUCT(MAX(ROW(E$1:E3845)*(E2=E$1:E3845))))))</f>
        <v> </v>
      </c>
      <c r="K3846" s="26" t="str">
        <f>IF(OR(E3846="",E3846="!!!",F3846="NEW"),"",INDEX(J$1:J3845,SUMPRODUCT(MAX(ROW(E$1:E3845)*(E3846=E$1:E3845)))))</f>
        <v> </v>
      </c>
      <c r="L3846" s="27"/>
    </row>
    <row r="3847" spans="1:12">
      <c r="A3847" s="20" t="s">
        <v>1895</v>
      </c>
      <c r="B3847" s="21" t="s">
        <v>683</v>
      </c>
      <c r="C3847" s="21" t="s">
        <v>678</v>
      </c>
      <c r="D3847" s="21" t="s">
        <v>655</v>
      </c>
      <c r="E3847" s="22">
        <f>IF(D3847="?OLD","!!!","")</f>
        <v/>
      </c>
      <c r="F3847" s="23" t="str">
        <f>IF(OR(E3847="",E3847="!!!"),"",IF(NOT(ISNA(VLOOKUP(E3847,E$1:E3846,1,FALSE()))),"OLD",IF(AND(E3847&lt;&gt;"",E3847&lt;&gt;"!!!"),"NEW","")))</f>
        <v> </v>
      </c>
      <c r="G3847" s="24" t="str">
        <f>IF(OR(E3847="",E3847="!!!"),"",IF(OR(J3847=0,AND(J3847=1,K3847=1),AND(J3847=1,I3847="SBJ"),AND(J3847=1,I3847=0)),"?IN_FOCUS",IF(J3847&lt;=2,"?ACTIVATED",IF(J3847&lt;&gt;"","?FAMILIAR",IF(F3847="NEW",IF(ISNA(VLOOKUP(E3847,#REF!,1,FALSE())),"?TYPE_IDENTIFIABLE","?REFERENTIAL"),"_")))))</f>
        <v> </v>
      </c>
      <c r="H3847" s="25" t="str">
        <f>IF(J3847&lt;&gt;1,"",IF(I3847="SBJ","CB","?"))</f>
        <v> </v>
      </c>
      <c r="I3847" s="26" t="str">
        <f>IF(OR(E3847="",E3847="!!!",F3847="NEW"),"",INDEX(B3846:B$2,-1+SUMPRODUCT(MAX(ROW(E3846:E$2)*(E3847=E3846:E$2)))))</f>
        <v> </v>
      </c>
      <c r="J3847" s="26" t="str">
        <f>IF(OR(E3847="",E3847="!!!",F3847="NEW"),"",COUNTBLANK(OFFSET(A$1,,,SUMPRODUCT(MAX(ROW(E$2:E3847)*(E3847=E$2:E3847)))))-COUNTBLANK(OFFSET(A$1,,,SUMPRODUCT(MAX(ROW(E$1:E3846)*(E2=E$1:E3846))))))</f>
        <v> </v>
      </c>
      <c r="K3847" s="26" t="str">
        <f>IF(OR(E3847="",E3847="!!!",F3847="NEW"),"",INDEX(J$1:J3846,SUMPRODUCT(MAX(ROW(E$1:E3846)*(E3847=E$1:E3846)))))</f>
        <v> </v>
      </c>
      <c r="L3847" s="27"/>
    </row>
    <row r="3848" spans="1:12">
      <c r="A3848" s="20" t="s">
        <v>662</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t="s">
        <v>1310</v>
      </c>
      <c r="E3849" s="22">
        <f>IF(D3849="?OLD","!!!","")</f>
        <v/>
      </c>
      <c r="F3849" s="23" t="str">
        <f>IF(OR(E3849="",E3849="!!!"),"",IF(NOT(ISNA(VLOOKUP(E3849,E$1:E3848,1,FALSE()))),"OLD",IF(AND(E3849&lt;&gt;"",E3849&lt;&gt;"!!!"),"NEW","")))</f>
        <v> </v>
      </c>
      <c r="G3849" s="24" t="str">
        <f>IF(OR(E3849="",E3849="!!!"),"",IF(OR(J3849=0,AND(J3849=1,K3849=1),AND(J3849=1,I3849="SBJ"),AND(J3849=1,I3849=0)),"?IN_FOCUS",IF(J3849&lt;=2,"?ACTIVATED",IF(J3849&lt;&gt;"","?FAMILIAR",IF(F3849="NEW",IF(ISNA(VLOOKUP(E3849,#REF!,1,FALSE())),"?TYPE_IDENTIFIABLE","?REFERENTIAL"),"_")))))</f>
        <v> </v>
      </c>
      <c r="H3849" s="25" t="str">
        <f>IF(J3849&lt;&gt;1,"",IF(I3849="SBJ","CB","?"))</f>
        <v> </v>
      </c>
      <c r="I3849" s="26" t="str">
        <f>IF(OR(E3849="",E3849="!!!",F3849="NEW"),"",INDEX(B3848:B$2,-1+SUMPRODUCT(MAX(ROW(E3848:E$2)*(E3849=E3848:E$2)))))</f>
        <v> </v>
      </c>
      <c r="J3849" s="26" t="str">
        <f>IF(OR(E3849="",E3849="!!!",F3849="NEW"),"",COUNTBLANK(OFFSET(A$1,,,SUMPRODUCT(MAX(ROW(E$2:E3849)*(E3849=E$2:E3849)))))-COUNTBLANK(OFFSET(A$1,,,SUMPRODUCT(MAX(ROW(E$1:E3848)*(E2=E$1:E3848))))))</f>
        <v> </v>
      </c>
      <c r="K3849" s="26" t="str">
        <f>IF(OR(E3849="",E3849="!!!",F3849="NEW"),"",INDEX(J$1:J3848,SUMPRODUCT(MAX(ROW(E$1:E3848)*(E3849=E$1:E3848)))))</f>
        <v> </v>
      </c>
      <c r="L3849" s="27"/>
    </row>
    <row r="3850" spans="1:12">
      <c r="A3850" s="20" t="s">
        <v>730</v>
      </c>
      <c r="E3850" s="22">
        <f>IF(D3850="?OLD","!!!","")</f>
        <v/>
      </c>
      <c r="F3850" s="23" t="str">
        <f>IF(OR(E3850="",E3850="!!!"),"",IF(NOT(ISNA(VLOOKUP(E3850,E$1:E3849,1,FALSE()))),"OLD",IF(AND(E3850&lt;&gt;"",E3850&lt;&gt;"!!!"),"NEW","")))</f>
        <v> </v>
      </c>
      <c r="G3850" s="24" t="str">
        <f>IF(OR(E3850="",E3850="!!!"),"",IF(OR(J3850=0,AND(J3850=1,K3850=1),AND(J3850=1,I3850="SBJ"),AND(J3850=1,I3850=0)),"?IN_FOCUS",IF(J3850&lt;=2,"?ACTIVATED",IF(J3850&lt;&gt;"","?FAMILIAR",IF(F3850="NEW",IF(ISNA(VLOOKUP(E3850,#REF!,1,FALSE())),"?TYPE_IDENTIFIABLE","?REFERENTIAL"),"_")))))</f>
        <v> </v>
      </c>
      <c r="H3850" s="25" t="str">
        <f>IF(J3850&lt;&gt;1,"",IF(I3850="SBJ","CB","?"))</f>
        <v> </v>
      </c>
      <c r="I3850" s="26" t="str">
        <f>IF(OR(E3850="",E3850="!!!",F3850="NEW"),"",INDEX(B3849:B$2,-1+SUMPRODUCT(MAX(ROW(E3849:E$2)*(E3850=E3849:E$2)))))</f>
        <v> </v>
      </c>
      <c r="J3850" s="26" t="str">
        <f>IF(OR(E3850="",E3850="!!!",F3850="NEW"),"",COUNTBLANK(OFFSET(A$1,,,SUMPRODUCT(MAX(ROW(E$2:E3850)*(E3850=E$2:E3850)))))-COUNTBLANK(OFFSET(A$1,,,SUMPRODUCT(MAX(ROW(E$1:E3849)*(E2=E$1:E3849))))))</f>
        <v> </v>
      </c>
      <c r="K3850" s="26" t="str">
        <f>IF(OR(E3850="",E3850="!!!",F3850="NEW"),"",INDEX(J$1:J3849,SUMPRODUCT(MAX(ROW(E$1:E3849)*(E3850=E$1:E3849)))))</f>
        <v> </v>
      </c>
      <c r="L3850" s="27"/>
    </row>
    <row r="3851" spans="1:12">
      <c r="A3851" s="20" t="s">
        <v>849</v>
      </c>
      <c r="B3851" s="21" t="s">
        <v>683</v>
      </c>
      <c r="C3851" s="21" t="s">
        <v>678</v>
      </c>
      <c r="D3851" s="21" t="s">
        <v>655</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662</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829</v>
      </c>
      <c r="B3853" s="21" t="s">
        <v>719</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t="s">
        <v>788</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t="s">
        <v>1889</v>
      </c>
      <c r="E3855" s="22">
        <f>IF(D3855="?OLD","!!!","")</f>
        <v/>
      </c>
      <c r="F3855" s="23" t="str">
        <f>IF(OR(E3855="",E3855="!!!"),"",IF(NOT(ISNA(VLOOKUP(E3855,E$1:E3854,1,FALSE()))),"OLD",IF(AND(E3855&lt;&gt;"",E3855&lt;&gt;"!!!"),"NEW","")))</f>
        <v> </v>
      </c>
      <c r="G3855" s="24" t="str">
        <f>IF(OR(E3855="",E3855="!!!"),"",IF(OR(J3855=0,AND(J3855=1,K3855=1),AND(J3855=1,I3855="SBJ"),AND(J3855=1,I3855=0)),"?IN_FOCUS",IF(J3855&lt;=2,"?ACTIVATED",IF(J3855&lt;&gt;"","?FAMILIAR",IF(F3855="NEW",IF(ISNA(VLOOKUP(E3855,#REF!,1,FALSE())),"?TYPE_IDENTIFIABLE","?REFERENTIAL"),"_")))))</f>
        <v> </v>
      </c>
      <c r="H3855" s="25" t="str">
        <f>IF(J3855&lt;&gt;1,"",IF(I3855="SBJ","CB","?"))</f>
        <v> </v>
      </c>
      <c r="I3855" s="26" t="str">
        <f>IF(OR(E3855="",E3855="!!!",F3855="NEW"),"",INDEX(B3854:B$2,-1+SUMPRODUCT(MAX(ROW(E3854:E$2)*(E3855=E3854:E$2)))))</f>
        <v> </v>
      </c>
      <c r="J3855" s="26" t="str">
        <f>IF(OR(E3855="",E3855="!!!",F3855="NEW"),"",COUNTBLANK(OFFSET(A$1,,,SUMPRODUCT(MAX(ROW(E$2:E3855)*(E3855=E$2:E3855)))))-COUNTBLANK(OFFSET(A$1,,,SUMPRODUCT(MAX(ROW(E$1:E3854)*(E2=E$1:E3854))))))</f>
        <v> </v>
      </c>
      <c r="K3855" s="26" t="str">
        <f>IF(OR(E3855="",E3855="!!!",F3855="NEW"),"",INDEX(J$1:J3854,SUMPRODUCT(MAX(ROW(E$1:E3854)*(E3855=E$1:E3854)))))</f>
        <v> </v>
      </c>
      <c r="L3855" s="27"/>
    </row>
    <row r="3856" spans="1:12">
      <c r="A3856" s="20" t="s">
        <v>1890</v>
      </c>
      <c r="B3856" s="21" t="s">
        <v>798</v>
      </c>
      <c r="C3856" s="21" t="s">
        <v>853</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t="s">
        <v>1891</v>
      </c>
      <c r="E3857" s="22">
        <f>IF(D3857="?OLD","!!!","")</f>
        <v/>
      </c>
      <c r="F3857" s="23" t="str">
        <f>IF(OR(E3857="",E3857="!!!"),"",IF(NOT(ISNA(VLOOKUP(E3857,E$1:E3856,1,FALSE()))),"OLD",IF(AND(E3857&lt;&gt;"",E3857&lt;&gt;"!!!"),"NEW","")))</f>
        <v> </v>
      </c>
      <c r="G3857" s="24" t="str">
        <f>IF(OR(E3857="",E3857="!!!"),"",IF(OR(J3857=0,AND(J3857=1,K3857=1),AND(J3857=1,I3857="SBJ"),AND(J3857=1,I3857=0)),"?IN_FOCUS",IF(J3857&lt;=2,"?ACTIVATED",IF(J3857&lt;&gt;"","?FAMILIAR",IF(F3857="NEW",IF(ISNA(VLOOKUP(E3857,#REF!,1,FALSE())),"?TYPE_IDENTIFIABLE","?REFERENTIAL"),"_")))))</f>
        <v> </v>
      </c>
      <c r="H3857" s="25" t="str">
        <f>IF(J3857&lt;&gt;1,"",IF(I3857="SBJ","CB","?"))</f>
        <v> </v>
      </c>
      <c r="I3857" s="26" t="str">
        <f>IF(OR(E3857="",E3857="!!!",F3857="NEW"),"",INDEX(B3856:B$2,-1+SUMPRODUCT(MAX(ROW(E3856:E$2)*(E3857=E3856:E$2)))))</f>
        <v> </v>
      </c>
      <c r="J3857" s="26" t="str">
        <f>IF(OR(E3857="",E3857="!!!",F3857="NEW"),"",COUNTBLANK(OFFSET(A$1,,,SUMPRODUCT(MAX(ROW(E$2:E3857)*(E3857=E$2:E3857)))))-COUNTBLANK(OFFSET(A$1,,,SUMPRODUCT(MAX(ROW(E$1:E3856)*(E2=E$1:E3856))))))</f>
        <v> </v>
      </c>
      <c r="K3857" s="26" t="str">
        <f>IF(OR(E3857="",E3857="!!!",F3857="NEW"),"",INDEX(J$1:J3856,SUMPRODUCT(MAX(ROW(E$1:E3856)*(E3857=E$1:E3856)))))</f>
        <v> </v>
      </c>
      <c r="L3857" s="27"/>
    </row>
    <row r="3858" spans="1:12">
      <c r="A3858" s="20" t="s">
        <v>709</v>
      </c>
      <c r="E3858" s="22">
        <f>IF(D3858="?OLD","!!!","")</f>
        <v/>
      </c>
      <c r="F3858" s="23" t="str">
        <f>IF(OR(E3858="",E3858="!!!"),"",IF(NOT(ISNA(VLOOKUP(E3858,E$1:E3857,1,FALSE()))),"OLD",IF(AND(E3858&lt;&gt;"",E3858&lt;&gt;"!!!"),"NEW","")))</f>
        <v> </v>
      </c>
      <c r="G3858" s="24" t="str">
        <f>IF(OR(E3858="",E3858="!!!"),"",IF(OR(J3858=0,AND(J3858=1,K3858=1),AND(J3858=1,I3858="SBJ"),AND(J3858=1,I3858=0)),"?IN_FOCUS",IF(J3858&lt;=2,"?ACTIVATED",IF(J3858&lt;&gt;"","?FAMILIAR",IF(F3858="NEW",IF(ISNA(VLOOKUP(E3858,#REF!,1,FALSE())),"?TYPE_IDENTIFIABLE","?REFERENTIAL"),"_")))))</f>
        <v> </v>
      </c>
      <c r="H3858" s="25" t="str">
        <f>IF(J3858&lt;&gt;1,"",IF(I3858="SBJ","CB","?"))</f>
        <v> </v>
      </c>
      <c r="I3858" s="26" t="str">
        <f>IF(OR(E3858="",E3858="!!!",F3858="NEW"),"",INDEX(B3857:B$2,-1+SUMPRODUCT(MAX(ROW(E3857:E$2)*(E3858=E3857:E$2)))))</f>
        <v> </v>
      </c>
      <c r="J3858" s="26" t="str">
        <f>IF(OR(E3858="",E3858="!!!",F3858="NEW"),"",COUNTBLANK(OFFSET(A$1,,,SUMPRODUCT(MAX(ROW(E$2:E3858)*(E3858=E$2:E3858)))))-COUNTBLANK(OFFSET(A$1,,,SUMPRODUCT(MAX(ROW(E$1:E3857)*(E2=E$1:E3857))))))</f>
        <v> </v>
      </c>
      <c r="K3858" s="26" t="str">
        <f>IF(OR(E3858="",E3858="!!!",F3858="NEW"),"",INDEX(J$1:J3857,SUMPRODUCT(MAX(ROW(E$1:E3857)*(E3858=E$1:E3857)))))</f>
        <v> </v>
      </c>
      <c r="L3858" s="27"/>
    </row>
    <row r="3859" spans="1:12">
      <c r="A3859" s="20" t="s">
        <v>773</v>
      </c>
      <c r="B3859" s="21" t="s">
        <v>1075</v>
      </c>
      <c r="C3859" s="21" t="s">
        <v>729</v>
      </c>
      <c r="D3859" s="21" t="s">
        <v>655</v>
      </c>
      <c r="E3859" s="22">
        <f>IF(D3859="?OLD","!!!","")</f>
        <v/>
      </c>
      <c r="F3859" s="23" t="str">
        <f>IF(OR(E3859="",E3859="!!!"),"",IF(NOT(ISNA(VLOOKUP(E3859,E$1:E3858,1,FALSE()))),"OLD",IF(AND(E3859&lt;&gt;"",E3859&lt;&gt;"!!!"),"NEW","")))</f>
        <v> </v>
      </c>
      <c r="G3859" s="24" t="str">
        <f>IF(OR(E3859="",E3859="!!!"),"",IF(OR(J3859=0,AND(J3859=1,K3859=1),AND(J3859=1,I3859="SBJ"),AND(J3859=1,I3859=0)),"?IN_FOCUS",IF(J3859&lt;=2,"?ACTIVATED",IF(J3859&lt;&gt;"","?FAMILIAR",IF(F3859="NEW",IF(ISNA(VLOOKUP(E3859,#REF!,1,FALSE())),"?TYPE_IDENTIFIABLE","?REFERENTIAL"),"_")))))</f>
        <v> </v>
      </c>
      <c r="H3859" s="25" t="str">
        <f>IF(J3859&lt;&gt;1,"",IF(I3859="SBJ","CB","?"))</f>
        <v> </v>
      </c>
      <c r="I3859" s="26" t="str">
        <f>IF(OR(E3859="",E3859="!!!",F3859="NEW"),"",INDEX(B3858:B$2,-1+SUMPRODUCT(MAX(ROW(E3858:E$2)*(E3859=E3858:E$2)))))</f>
        <v> </v>
      </c>
      <c r="J3859" s="26" t="str">
        <f>IF(OR(E3859="",E3859="!!!",F3859="NEW"),"",COUNTBLANK(OFFSET(A$1,,,SUMPRODUCT(MAX(ROW(E$2:E3859)*(E3859=E$2:E3859)))))-COUNTBLANK(OFFSET(A$1,,,SUMPRODUCT(MAX(ROW(E$1:E3858)*(E2=E$1:E3858))))))</f>
        <v> </v>
      </c>
      <c r="K3859" s="26" t="str">
        <f>IF(OR(E3859="",E3859="!!!",F3859="NEW"),"",INDEX(J$1:J3858,SUMPRODUCT(MAX(ROW(E$1:E3858)*(E3859=E$1:E3858)))))</f>
        <v> </v>
      </c>
      <c r="L3859" s="27"/>
    </row>
    <row r="3860" spans="1:12">
      <c r="A3860" s="20" t="s">
        <v>1292</v>
      </c>
      <c r="E3860" s="22">
        <f>IF(D3860="?OLD","!!!","")</f>
        <v/>
      </c>
      <c r="F3860" s="23" t="str">
        <f>IF(OR(E3860="",E3860="!!!"),"",IF(NOT(ISNA(VLOOKUP(E3860,E$1:E3859,1,FALSE()))),"OLD",IF(AND(E3860&lt;&gt;"",E3860&lt;&gt;"!!!"),"NEW","")))</f>
        <v> </v>
      </c>
      <c r="G3860" s="24" t="str">
        <f>IF(OR(E3860="",E3860="!!!"),"",IF(OR(J3860=0,AND(J3860=1,K3860=1),AND(J3860=1,I3860="SBJ"),AND(J3860=1,I3860=0)),"?IN_FOCUS",IF(J3860&lt;=2,"?ACTIVATED",IF(J3860&lt;&gt;"","?FAMILIAR",IF(F3860="NEW",IF(ISNA(VLOOKUP(E3860,#REF!,1,FALSE())),"?TYPE_IDENTIFIABLE","?REFERENTIAL"),"_")))))</f>
        <v> </v>
      </c>
      <c r="H3860" s="25" t="str">
        <f>IF(J3860&lt;&gt;1,"",IF(I3860="SBJ","CB","?"))</f>
        <v> </v>
      </c>
      <c r="I3860" s="26" t="str">
        <f>IF(OR(E3860="",E3860="!!!",F3860="NEW"),"",INDEX(B3859:B$2,-1+SUMPRODUCT(MAX(ROW(E3859:E$2)*(E3860=E3859:E$2)))))</f>
        <v> </v>
      </c>
      <c r="J3860" s="26" t="str">
        <f>IF(OR(E3860="",E3860="!!!",F3860="NEW"),"",COUNTBLANK(OFFSET(A$1,,,SUMPRODUCT(MAX(ROW(E$2:E3860)*(E3860=E$2:E3860)))))-COUNTBLANK(OFFSET(A$1,,,SUMPRODUCT(MAX(ROW(E$1:E3859)*(E2=E$1:E3859))))))</f>
        <v> </v>
      </c>
      <c r="K3860" s="26" t="str">
        <f>IF(OR(E3860="",E3860="!!!",F3860="NEW"),"",INDEX(J$1:J3859,SUMPRODUCT(MAX(ROW(E$1:E3859)*(E3860=E$1:E3859)))))</f>
        <v> </v>
      </c>
      <c r="L3860" s="27"/>
    </row>
    <row r="3861" spans="1:12">
      <c r="A3861" s="20" t="s">
        <v>1896</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t="s">
        <v>662</v>
      </c>
      <c r="E3862" s="22">
        <f>IF(D3862="?OLD","!!!","")</f>
        <v/>
      </c>
      <c r="F3862" s="23" t="str">
        <f>IF(OR(E3862="",E3862="!!!"),"",IF(NOT(ISNA(VLOOKUP(E3862,E$1:E3861,1,FALSE()))),"OLD",IF(AND(E3862&lt;&gt;"",E3862&lt;&gt;"!!!"),"NEW","")))</f>
        <v> </v>
      </c>
      <c r="G3862" s="24" t="str">
        <f>IF(OR(E3862="",E3862="!!!"),"",IF(OR(J3862=0,AND(J3862=1,K3862=1),AND(J3862=1,I3862="SBJ"),AND(J3862=1,I3862=0)),"?IN_FOCUS",IF(J3862&lt;=2,"?ACTIVATED",IF(J3862&lt;&gt;"","?FAMILIAR",IF(F3862="NEW",IF(ISNA(VLOOKUP(E3862,#REF!,1,FALSE())),"?TYPE_IDENTIFIABLE","?REFERENTIAL"),"_")))))</f>
        <v> </v>
      </c>
      <c r="H3862" s="25" t="str">
        <f>IF(J3862&lt;&gt;1,"",IF(I3862="SBJ","CB","?"))</f>
        <v> </v>
      </c>
      <c r="I3862" s="26" t="str">
        <f>IF(OR(E3862="",E3862="!!!",F3862="NEW"),"",INDEX(B3861:B$2,-1+SUMPRODUCT(MAX(ROW(E3861:E$2)*(E3862=E3861:E$2)))))</f>
        <v> </v>
      </c>
      <c r="J3862" s="26" t="str">
        <f>IF(OR(E3862="",E3862="!!!",F3862="NEW"),"",COUNTBLANK(OFFSET(A$1,,,SUMPRODUCT(MAX(ROW(E$2:E3862)*(E3862=E$2:E3862)))))-COUNTBLANK(OFFSET(A$1,,,SUMPRODUCT(MAX(ROW(E$1:E3861)*(E2=E$1:E3861))))))</f>
        <v> </v>
      </c>
      <c r="K3862" s="26" t="str">
        <f>IF(OR(E3862="",E3862="!!!",F3862="NEW"),"",INDEX(J$1:J3861,SUMPRODUCT(MAX(ROW(E$1:E3861)*(E3862=E$1:E3861)))))</f>
        <v> </v>
      </c>
      <c r="L3862" s="27"/>
    </row>
    <row r="3863" spans="1:12">
      <c r="A3863" s="20" t="s">
        <v>1007</v>
      </c>
      <c r="B3863" s="21" t="s">
        <v>664</v>
      </c>
      <c r="C3863" s="21" t="s">
        <v>654</v>
      </c>
      <c r="D3863" s="21" t="s">
        <v>655</v>
      </c>
      <c r="E3863" s="22">
        <f>IF(D3863="?OLD","!!!","")</f>
        <v/>
      </c>
      <c r="F3863" s="23" t="str">
        <f>IF(OR(E3863="",E3863="!!!"),"",IF(NOT(ISNA(VLOOKUP(E3863,E$1:E3862,1,FALSE()))),"OLD",IF(AND(E3863&lt;&gt;"",E3863&lt;&gt;"!!!"),"NEW","")))</f>
        <v> </v>
      </c>
      <c r="G3863" s="24" t="str">
        <f>IF(OR(E3863="",E3863="!!!"),"",IF(OR(J3863=0,AND(J3863=1,K3863=1),AND(J3863=1,I3863="SBJ"),AND(J3863=1,I3863=0)),"?IN_FOCUS",IF(J3863&lt;=2,"?ACTIVATED",IF(J3863&lt;&gt;"","?FAMILIAR",IF(F3863="NEW",IF(ISNA(VLOOKUP(E3863,#REF!,1,FALSE())),"?TYPE_IDENTIFIABLE","?REFERENTIAL"),"_")))))</f>
        <v> </v>
      </c>
      <c r="H3863" s="25" t="str">
        <f>IF(J3863&lt;&gt;1,"",IF(I3863="SBJ","CB","?"))</f>
        <v> </v>
      </c>
      <c r="I3863" s="26" t="str">
        <f>IF(OR(E3863="",E3863="!!!",F3863="NEW"),"",INDEX(B3862:B$2,-1+SUMPRODUCT(MAX(ROW(E3862:E$2)*(E3863=E3862:E$2)))))</f>
        <v> </v>
      </c>
      <c r="J3863" s="26" t="str">
        <f>IF(OR(E3863="",E3863="!!!",F3863="NEW"),"",COUNTBLANK(OFFSET(A$1,,,SUMPRODUCT(MAX(ROW(E$2:E3863)*(E3863=E$2:E3863)))))-COUNTBLANK(OFFSET(A$1,,,SUMPRODUCT(MAX(ROW(E$1:E3862)*(E2=E$1:E3862))))))</f>
        <v> </v>
      </c>
      <c r="K3863" s="26" t="str">
        <f>IF(OR(E3863="",E3863="!!!",F3863="NEW"),"",INDEX(J$1:J3862,SUMPRODUCT(MAX(ROW(E$1:E3862)*(E3863=E$1:E3862)))))</f>
        <v> </v>
      </c>
      <c r="L3863" s="27"/>
    </row>
    <row r="3864" spans="1:12">
      <c r="A3864" s="20" t="s">
        <v>1580</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t="s">
        <v>693</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t="s">
        <v>788</v>
      </c>
      <c r="E3866" s="22">
        <f>IF(D3866="?OLD","!!!","")</f>
        <v/>
      </c>
      <c r="F3866" s="23" t="str">
        <f>IF(OR(E3866="",E3866="!!!"),"",IF(NOT(ISNA(VLOOKUP(E3866,E$1:E3865,1,FALSE()))),"OLD",IF(AND(E3866&lt;&gt;"",E3866&lt;&gt;"!!!"),"NEW","")))</f>
        <v> </v>
      </c>
      <c r="G3866" s="24" t="str">
        <f>IF(OR(E3866="",E3866="!!!"),"",IF(OR(J3866=0,AND(J3866=1,K3866=1),AND(J3866=1,I3866="SBJ"),AND(J3866=1,I3866=0)),"?IN_FOCUS",IF(J3866&lt;=2,"?ACTIVATED",IF(J3866&lt;&gt;"","?FAMILIAR",IF(F3866="NEW",IF(ISNA(VLOOKUP(E3866,#REF!,1,FALSE())),"?TYPE_IDENTIFIABLE","?REFERENTIAL"),"_")))))</f>
        <v> </v>
      </c>
      <c r="H3866" s="25" t="str">
        <f>IF(J3866&lt;&gt;1,"",IF(I3866="SBJ","CB","?"))</f>
        <v> </v>
      </c>
      <c r="I3866" s="26" t="str">
        <f>IF(OR(E3866="",E3866="!!!",F3866="NEW"),"",INDEX(B3865:B$2,-1+SUMPRODUCT(MAX(ROW(E3865:E$2)*(E3866=E3865:E$2)))))</f>
        <v> </v>
      </c>
      <c r="J3866" s="26" t="str">
        <f>IF(OR(E3866="",E3866="!!!",F3866="NEW"),"",COUNTBLANK(OFFSET(A$1,,,SUMPRODUCT(MAX(ROW(E$2:E3866)*(E3866=E$2:E3866)))))-COUNTBLANK(OFFSET(A$1,,,SUMPRODUCT(MAX(ROW(E$1:E3865)*(E2=E$1:E3865))))))</f>
        <v> </v>
      </c>
      <c r="K3866" s="26" t="str">
        <f>IF(OR(E3866="",E3866="!!!",F3866="NEW"),"",INDEX(J$1:J3865,SUMPRODUCT(MAX(ROW(E$1:E3865)*(E3866=E$1:E3865)))))</f>
        <v> </v>
      </c>
      <c r="L3866" s="27"/>
    </row>
    <row r="3867" spans="1:12">
      <c r="A3867" s="20" t="s">
        <v>735</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t="s">
        <v>633</v>
      </c>
      <c r="B3868" s="21" t="s">
        <v>692</v>
      </c>
      <c r="C3868" s="21" t="s">
        <v>698</v>
      </c>
      <c r="E3868" s="22">
        <f>IF(D3868="?OLD","!!!","")</f>
        <v/>
      </c>
      <c r="F3868" s="23" t="str">
        <f>IF(OR(E3868="",E3868="!!!"),"",IF(NOT(ISNA(VLOOKUP(E3868,E$1:E3867,1,FALSE()))),"OLD",IF(AND(E3868&lt;&gt;"",E3868&lt;&gt;"!!!"),"NEW","")))</f>
        <v> </v>
      </c>
      <c r="G3868" s="24" t="str">
        <f>IF(OR(E3868="",E3868="!!!"),"",IF(OR(J3868=0,AND(J3868=1,K3868=1),AND(J3868=1,I3868="SBJ"),AND(J3868=1,I3868=0)),"?IN_FOCUS",IF(J3868&lt;=2,"?ACTIVATED",IF(J3868&lt;&gt;"","?FAMILIAR",IF(F3868="NEW",IF(ISNA(VLOOKUP(E3868,#REF!,1,FALSE())),"?TYPE_IDENTIFIABLE","?REFERENTIAL"),"_")))))</f>
        <v> </v>
      </c>
      <c r="H3868" s="25" t="str">
        <f>IF(J3868&lt;&gt;1,"",IF(I3868="SBJ","CB","?"))</f>
        <v> </v>
      </c>
      <c r="I3868" s="26" t="str">
        <f>IF(OR(E3868="",E3868="!!!",F3868="NEW"),"",INDEX(B3867:B$2,-1+SUMPRODUCT(MAX(ROW(E3867:E$2)*(E3868=E3867:E$2)))))</f>
        <v> </v>
      </c>
      <c r="J3868" s="26" t="str">
        <f>IF(OR(E3868="",E3868="!!!",F3868="NEW"),"",COUNTBLANK(OFFSET(A$1,,,SUMPRODUCT(MAX(ROW(E$2:E3868)*(E3868=E$2:E3868)))))-COUNTBLANK(OFFSET(A$1,,,SUMPRODUCT(MAX(ROW(E$1:E3867)*(E2=E$1:E3867))))))</f>
        <v> </v>
      </c>
      <c r="K3868" s="26" t="str">
        <f>IF(OR(E3868="",E3868="!!!",F3868="NEW"),"",INDEX(J$1:J3867,SUMPRODUCT(MAX(ROW(E$1:E3867)*(E3868=E$1:E3867)))))</f>
        <v> </v>
      </c>
      <c r="L3868" s="27"/>
    </row>
    <row r="3869" spans="1:12">
      <c r="A3869" s="20" t="s">
        <v>662</v>
      </c>
      <c r="E3869" s="22">
        <f>IF(D3869="?OLD","!!!","")</f>
        <v/>
      </c>
      <c r="F3869" s="23" t="str">
        <f>IF(OR(E3869="",E3869="!!!"),"",IF(NOT(ISNA(VLOOKUP(E3869,E$1:E3868,1,FALSE()))),"OLD",IF(AND(E3869&lt;&gt;"",E3869&lt;&gt;"!!!"),"NEW","")))</f>
        <v> </v>
      </c>
      <c r="G3869" s="24" t="str">
        <f>IF(OR(E3869="",E3869="!!!"),"",IF(OR(J3869=0,AND(J3869=1,K3869=1),AND(J3869=1,I3869="SBJ"),AND(J3869=1,I3869=0)),"?IN_FOCUS",IF(J3869&lt;=2,"?ACTIVATED",IF(J3869&lt;&gt;"","?FAMILIAR",IF(F3869="NEW",IF(ISNA(VLOOKUP(E3869,#REF!,1,FALSE())),"?TYPE_IDENTIFIABLE","?REFERENTIAL"),"_")))))</f>
        <v> </v>
      </c>
      <c r="H3869" s="25" t="str">
        <f>IF(J3869&lt;&gt;1,"",IF(I3869="SBJ","CB","?"))</f>
        <v> </v>
      </c>
      <c r="I3869" s="26" t="str">
        <f>IF(OR(E3869="",E3869="!!!",F3869="NEW"),"",INDEX(B3868:B$2,-1+SUMPRODUCT(MAX(ROW(E3868:E$2)*(E3869=E3868:E$2)))))</f>
        <v> </v>
      </c>
      <c r="J3869" s="26" t="str">
        <f>IF(OR(E3869="",E3869="!!!",F3869="NEW"),"",COUNTBLANK(OFFSET(A$1,,,SUMPRODUCT(MAX(ROW(E$2:E3869)*(E3869=E$2:E3869)))))-COUNTBLANK(OFFSET(A$1,,,SUMPRODUCT(MAX(ROW(E$1:E3868)*(E2=E$1:E3868))))))</f>
        <v> </v>
      </c>
      <c r="K3869" s="26" t="str">
        <f>IF(OR(E3869="",E3869="!!!",F3869="NEW"),"",INDEX(J$1:J3868,SUMPRODUCT(MAX(ROW(E$1:E3868)*(E3869=E$1:E3868)))))</f>
        <v> </v>
      </c>
      <c r="L3869" s="27"/>
    </row>
    <row r="3870" spans="1:12">
      <c r="A3870" s="20" t="s">
        <v>1897</v>
      </c>
      <c r="E3870" s="22">
        <f>IF(D3870="?OLD","!!!","")</f>
        <v/>
      </c>
      <c r="F3870" s="23" t="str">
        <f>IF(OR(E3870="",E3870="!!!"),"",IF(NOT(ISNA(VLOOKUP(E3870,E$1:E3869,1,FALSE()))),"OLD",IF(AND(E3870&lt;&gt;"",E3870&lt;&gt;"!!!"),"NEW","")))</f>
        <v> </v>
      </c>
      <c r="G3870" s="24" t="str">
        <f>IF(OR(E3870="",E3870="!!!"),"",IF(OR(J3870=0,AND(J3870=1,K3870=1),AND(J3870=1,I3870="SBJ"),AND(J3870=1,I3870=0)),"?IN_FOCUS",IF(J3870&lt;=2,"?ACTIVATED",IF(J3870&lt;&gt;"","?FAMILIAR",IF(F3870="NEW",IF(ISNA(VLOOKUP(E3870,#REF!,1,FALSE())),"?TYPE_IDENTIFIABLE","?REFERENTIAL"),"_")))))</f>
        <v> </v>
      </c>
      <c r="H3870" s="25" t="str">
        <f>IF(J3870&lt;&gt;1,"",IF(I3870="SBJ","CB","?"))</f>
        <v> </v>
      </c>
      <c r="I3870" s="26" t="str">
        <f>IF(OR(E3870="",E3870="!!!",F3870="NEW"),"",INDEX(B3869:B$2,-1+SUMPRODUCT(MAX(ROW(E3869:E$2)*(E3870=E3869:E$2)))))</f>
        <v> </v>
      </c>
      <c r="J3870" s="26" t="str">
        <f>IF(OR(E3870="",E3870="!!!",F3870="NEW"),"",COUNTBLANK(OFFSET(A$1,,,SUMPRODUCT(MAX(ROW(E$2:E3870)*(E3870=E$2:E3870)))))-COUNTBLANK(OFFSET(A$1,,,SUMPRODUCT(MAX(ROW(E$1:E3869)*(E2=E$1:E3869))))))</f>
        <v> </v>
      </c>
      <c r="K3870" s="26" t="str">
        <f>IF(OR(E3870="",E3870="!!!",F3870="NEW"),"",INDEX(J$1:J3869,SUMPRODUCT(MAX(ROW(E$1:E3869)*(E3870=E$1:E3869)))))</f>
        <v> </v>
      </c>
      <c r="L3870" s="27"/>
    </row>
    <row r="3871" spans="1:12">
      <c r="A3871" s="20" t="s">
        <v>703</v>
      </c>
      <c r="E3871" s="22">
        <f>IF(D3871="?OLD","!!!","")</f>
        <v/>
      </c>
      <c r="F3871" s="23" t="str">
        <f>IF(OR(E3871="",E3871="!!!"),"",IF(NOT(ISNA(VLOOKUP(E3871,E$1:E3870,1,FALSE()))),"OLD",IF(AND(E3871&lt;&gt;"",E3871&lt;&gt;"!!!"),"NEW","")))</f>
        <v> </v>
      </c>
      <c r="G3871" s="24" t="str">
        <f>IF(OR(E3871="",E3871="!!!"),"",IF(OR(J3871=0,AND(J3871=1,K3871=1),AND(J3871=1,I3871="SBJ"),AND(J3871=1,I3871=0)),"?IN_FOCUS",IF(J3871&lt;=2,"?ACTIVATED",IF(J3871&lt;&gt;"","?FAMILIAR",IF(F3871="NEW",IF(ISNA(VLOOKUP(E3871,#REF!,1,FALSE())),"?TYPE_IDENTIFIABLE","?REFERENTIAL"),"_")))))</f>
        <v> </v>
      </c>
      <c r="H3871" s="25" t="str">
        <f>IF(J3871&lt;&gt;1,"",IF(I3871="SBJ","CB","?"))</f>
        <v> </v>
      </c>
      <c r="I3871" s="26" t="str">
        <f>IF(OR(E3871="",E3871="!!!",F3871="NEW"),"",INDEX(B3870:B$2,-1+SUMPRODUCT(MAX(ROW(E3870:E$2)*(E3871=E3870:E$2)))))</f>
        <v> </v>
      </c>
      <c r="J3871" s="26" t="str">
        <f>IF(OR(E3871="",E3871="!!!",F3871="NEW"),"",COUNTBLANK(OFFSET(A$1,,,SUMPRODUCT(MAX(ROW(E$2:E3871)*(E3871=E$2:E3871)))))-COUNTBLANK(OFFSET(A$1,,,SUMPRODUCT(MAX(ROW(E$1:E3870)*(E2=E$1:E3870))))))</f>
        <v> </v>
      </c>
      <c r="K3871" s="26" t="str">
        <f>IF(OR(E3871="",E3871="!!!",F3871="NEW"),"",INDEX(J$1:J3870,SUMPRODUCT(MAX(ROW(E$1:E3870)*(E3871=E$1:E3870)))))</f>
        <v> </v>
      </c>
      <c r="L3871" s="27"/>
    </row>
    <row r="3872" spans="1:12">
      <c r="A3872" s="20" t="s">
        <v>666</v>
      </c>
      <c r="B3872" s="21" t="s">
        <v>671</v>
      </c>
      <c r="C3872" s="21" t="s">
        <v>654</v>
      </c>
      <c r="D3872" s="21" t="s">
        <v>655</v>
      </c>
      <c r="E3872" s="22">
        <f>IF(D3872="?OLD","!!!","")</f>
        <v/>
      </c>
      <c r="F3872" s="23" t="str">
        <f>IF(OR(E3872="",E3872="!!!"),"",IF(NOT(ISNA(VLOOKUP(E3872,E$1:E3871,1,FALSE()))),"OLD",IF(AND(E3872&lt;&gt;"",E3872&lt;&gt;"!!!"),"NEW","")))</f>
        <v> </v>
      </c>
      <c r="G3872" s="24" t="str">
        <f>IF(OR(E3872="",E3872="!!!"),"",IF(OR(J3872=0,AND(J3872=1,K3872=1),AND(J3872=1,I3872="SBJ"),AND(J3872=1,I3872=0)),"?IN_FOCUS",IF(J3872&lt;=2,"?ACTIVATED",IF(J3872&lt;&gt;"","?FAMILIAR",IF(F3872="NEW",IF(ISNA(VLOOKUP(E3872,#REF!,1,FALSE())),"?TYPE_IDENTIFIABLE","?REFERENTIAL"),"_")))))</f>
        <v> </v>
      </c>
      <c r="H3872" s="25" t="str">
        <f>IF(J3872&lt;&gt;1,"",IF(I3872="SBJ","CB","?"))</f>
        <v> </v>
      </c>
      <c r="I3872" s="26" t="str">
        <f>IF(OR(E3872="",E3872="!!!",F3872="NEW"),"",INDEX(B3871:B$2,-1+SUMPRODUCT(MAX(ROW(E3871:E$2)*(E3872=E3871:E$2)))))</f>
        <v> </v>
      </c>
      <c r="J3872" s="26" t="str">
        <f>IF(OR(E3872="",E3872="!!!",F3872="NEW"),"",COUNTBLANK(OFFSET(A$1,,,SUMPRODUCT(MAX(ROW(E$2:E3872)*(E3872=E$2:E3872)))))-COUNTBLANK(OFFSET(A$1,,,SUMPRODUCT(MAX(ROW(E$1:E3871)*(E2=E$1:E3871))))))</f>
        <v> </v>
      </c>
      <c r="K3872" s="26" t="str">
        <f>IF(OR(E3872="",E3872="!!!",F3872="NEW"),"",INDEX(J$1:J3871,SUMPRODUCT(MAX(ROW(E$1:E3871)*(E3872=E$1:E3871)))))</f>
        <v> </v>
      </c>
      <c r="L3872" s="27"/>
    </row>
    <row r="3873" spans="1:12">
      <c r="A3873" s="20" t="s">
        <v>688</v>
      </c>
      <c r="E3873" s="22">
        <f>IF(D3873="?OLD","!!!","")</f>
        <v/>
      </c>
      <c r="F3873" s="23" t="str">
        <f>IF(OR(E3873="",E3873="!!!"),"",IF(NOT(ISNA(VLOOKUP(E3873,E$1:E3872,1,FALSE()))),"OLD",IF(AND(E3873&lt;&gt;"",E3873&lt;&gt;"!!!"),"NEW","")))</f>
        <v> </v>
      </c>
      <c r="G3873" s="24" t="str">
        <f>IF(OR(E3873="",E3873="!!!"),"",IF(OR(J3873=0,AND(J3873=1,K3873=1),AND(J3873=1,I3873="SBJ"),AND(J3873=1,I3873=0)),"?IN_FOCUS",IF(J3873&lt;=2,"?ACTIVATED",IF(J3873&lt;&gt;"","?FAMILIAR",IF(F3873="NEW",IF(ISNA(VLOOKUP(E3873,#REF!,1,FALSE())),"?TYPE_IDENTIFIABLE","?REFERENTIAL"),"_")))))</f>
        <v> </v>
      </c>
      <c r="H3873" s="25" t="str">
        <f>IF(J3873&lt;&gt;1,"",IF(I3873="SBJ","CB","?"))</f>
        <v> </v>
      </c>
      <c r="I3873" s="26" t="str">
        <f>IF(OR(E3873="",E3873="!!!",F3873="NEW"),"",INDEX(B3872:B$2,-1+SUMPRODUCT(MAX(ROW(E3872:E$2)*(E3873=E3872:E$2)))))</f>
        <v> </v>
      </c>
      <c r="J3873" s="26" t="str">
        <f>IF(OR(E3873="",E3873="!!!",F3873="NEW"),"",COUNTBLANK(OFFSET(A$1,,,SUMPRODUCT(MAX(ROW(E$2:E3873)*(E3873=E$2:E3873)))))-COUNTBLANK(OFFSET(A$1,,,SUMPRODUCT(MAX(ROW(E$1:E3872)*(E2=E$1:E3872))))))</f>
        <v> </v>
      </c>
      <c r="K3873" s="26" t="str">
        <f>IF(OR(E3873="",E3873="!!!",F3873="NEW"),"",INDEX(J$1:J3872,SUMPRODUCT(MAX(ROW(E$1:E3872)*(E3873=E$1:E3872)))))</f>
        <v> </v>
      </c>
      <c r="L3873" s="27"/>
    </row>
    <row r="3874" spans="1:12">
      <c r="A3874" s="20" t="s">
        <v>723</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row>
    <row r="3876" spans="1:12">
      <c r="A3876" s="20" t="s">
        <v>1898</v>
      </c>
    </row>
    <row r="3877" spans="1:12">
      <c r="A3877" s="20" t="s">
        <v>633</v>
      </c>
      <c r="B3877" s="21" t="s">
        <v>692</v>
      </c>
      <c r="C3877" s="21" t="s">
        <v>698</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t="s">
        <v>662</v>
      </c>
      <c r="E3878" s="22">
        <f>IF(D3878="?OLD","!!!","")</f>
        <v/>
      </c>
      <c r="F3878" s="23" t="str">
        <f>IF(OR(E3878="",E3878="!!!"),"",IF(NOT(ISNA(VLOOKUP(E3878,E$1:E3877,1,FALSE()))),"OLD",IF(AND(E3878&lt;&gt;"",E3878&lt;&gt;"!!!"),"NEW","")))</f>
        <v> </v>
      </c>
      <c r="G3878" s="24" t="str">
        <f>IF(OR(E3878="",E3878="!!!"),"",IF(OR(J3878=0,AND(J3878=1,K3878=1),AND(J3878=1,I3878="SBJ"),AND(J3878=1,I3878=0)),"?IN_FOCUS",IF(J3878&lt;=2,"?ACTIVATED",IF(J3878&lt;&gt;"","?FAMILIAR",IF(F3878="NEW",IF(ISNA(VLOOKUP(E3878,#REF!,1,FALSE())),"?TYPE_IDENTIFIABLE","?REFERENTIAL"),"_")))))</f>
        <v> </v>
      </c>
      <c r="H3878" s="25" t="str">
        <f>IF(J3878&lt;&gt;1,"",IF(I3878="SBJ","CB","?"))</f>
        <v> </v>
      </c>
      <c r="I3878" s="26" t="str">
        <f>IF(OR(E3878="",E3878="!!!",F3878="NEW"),"",INDEX(B3877:B$2,-1+SUMPRODUCT(MAX(ROW(E3877:E$2)*(E3878=E3877:E$2)))))</f>
        <v> </v>
      </c>
      <c r="J3878" s="26" t="str">
        <f>IF(OR(E3878="",E3878="!!!",F3878="NEW"),"",COUNTBLANK(OFFSET(A$1,,,SUMPRODUCT(MAX(ROW(E$2:E3878)*(E3878=E$2:E3878)))))-COUNTBLANK(OFFSET(A$1,,,SUMPRODUCT(MAX(ROW(E$1:E3877)*(E2=E$1:E3877))))))</f>
        <v> </v>
      </c>
      <c r="K3878" s="26" t="str">
        <f>IF(OR(E3878="",E3878="!!!",F3878="NEW"),"",INDEX(J$1:J3877,SUMPRODUCT(MAX(ROW(E$1:E3877)*(E3878=E$1:E3877)))))</f>
        <v> </v>
      </c>
      <c r="L3878" s="27"/>
    </row>
    <row r="3879" spans="1:12">
      <c r="A3879" s="20" t="s">
        <v>1897</v>
      </c>
      <c r="B3879" s="21" t="s">
        <v>692</v>
      </c>
      <c r="C3879" s="21" t="s">
        <v>698</v>
      </c>
      <c r="E3879" s="22">
        <f>IF(D3879="?OLD","!!!","")</f>
        <v/>
      </c>
      <c r="F3879" s="23" t="str">
        <f>IF(OR(E3879="",E3879="!!!"),"",IF(NOT(ISNA(VLOOKUP(E3879,E$1:E3878,1,FALSE()))),"OLD",IF(AND(E3879&lt;&gt;"",E3879&lt;&gt;"!!!"),"NEW","")))</f>
        <v> </v>
      </c>
      <c r="G3879" s="24" t="str">
        <f>IF(OR(E3879="",E3879="!!!"),"",IF(OR(J3879=0,AND(J3879=1,K3879=1),AND(J3879=1,I3879="SBJ"),AND(J3879=1,I3879=0)),"?IN_FOCUS",IF(J3879&lt;=2,"?ACTIVATED",IF(J3879&lt;&gt;"","?FAMILIAR",IF(F3879="NEW",IF(ISNA(VLOOKUP(E3879,#REF!,1,FALSE())),"?TYPE_IDENTIFIABLE","?REFERENTIAL"),"_")))))</f>
        <v> </v>
      </c>
      <c r="H3879" s="25" t="str">
        <f>IF(J3879&lt;&gt;1,"",IF(I3879="SBJ","CB","?"))</f>
        <v> </v>
      </c>
      <c r="I3879" s="26" t="str">
        <f>IF(OR(E3879="",E3879="!!!",F3879="NEW"),"",INDEX(B3878:B$2,-1+SUMPRODUCT(MAX(ROW(E3878:E$2)*(E3879=E3878:E$2)))))</f>
        <v> </v>
      </c>
      <c r="J3879" s="26" t="str">
        <f>IF(OR(E3879="",E3879="!!!",F3879="NEW"),"",COUNTBLANK(OFFSET(A$1,,,SUMPRODUCT(MAX(ROW(E$2:E3879)*(E3879=E$2:E3879)))))-COUNTBLANK(OFFSET(A$1,,,SUMPRODUCT(MAX(ROW(E$1:E3878)*(E2=E$1:E3878))))))</f>
        <v> </v>
      </c>
      <c r="K3879" s="26" t="str">
        <f>IF(OR(E3879="",E3879="!!!",F3879="NEW"),"",INDEX(J$1:J3878,SUMPRODUCT(MAX(ROW(E$1:E3878)*(E3879=E$1:E3878)))))</f>
        <v> </v>
      </c>
      <c r="L3879" s="27"/>
    </row>
    <row r="3880" spans="1:12">
      <c r="A3880" s="20" t="s">
        <v>703</v>
      </c>
      <c r="E3880" s="22">
        <f>IF(D3880="?OLD","!!!","")</f>
        <v/>
      </c>
      <c r="F3880" s="23" t="str">
        <f>IF(OR(E3880="",E3880="!!!"),"",IF(NOT(ISNA(VLOOKUP(E3880,E$1:E3879,1,FALSE()))),"OLD",IF(AND(E3880&lt;&gt;"",E3880&lt;&gt;"!!!"),"NEW","")))</f>
        <v> </v>
      </c>
      <c r="G3880" s="24" t="str">
        <f>IF(OR(E3880="",E3880="!!!"),"",IF(OR(J3880=0,AND(J3880=1,K3880=1),AND(J3880=1,I3880="SBJ"),AND(J3880=1,I3880=0)),"?IN_FOCUS",IF(J3880&lt;=2,"?ACTIVATED",IF(J3880&lt;&gt;"","?FAMILIAR",IF(F3880="NEW",IF(ISNA(VLOOKUP(E3880,#REF!,1,FALSE())),"?TYPE_IDENTIFIABLE","?REFERENTIAL"),"_")))))</f>
        <v> </v>
      </c>
      <c r="H3880" s="25" t="str">
        <f>IF(J3880&lt;&gt;1,"",IF(I3880="SBJ","CB","?"))</f>
        <v> </v>
      </c>
      <c r="I3880" s="26" t="str">
        <f>IF(OR(E3880="",E3880="!!!",F3880="NEW"),"",INDEX(B3879:B$2,-1+SUMPRODUCT(MAX(ROW(E3879:E$2)*(E3880=E3879:E$2)))))</f>
        <v> </v>
      </c>
      <c r="J3880" s="26" t="str">
        <f>IF(OR(E3880="",E3880="!!!",F3880="NEW"),"",COUNTBLANK(OFFSET(A$1,,,SUMPRODUCT(MAX(ROW(E$2:E3880)*(E3880=E$2:E3880)))))-COUNTBLANK(OFFSET(A$1,,,SUMPRODUCT(MAX(ROW(E$1:E3879)*(E2=E$1:E3879))))))</f>
        <v> </v>
      </c>
      <c r="K3880" s="26" t="str">
        <f>IF(OR(E3880="",E3880="!!!",F3880="NEW"),"",INDEX(J$1:J3879,SUMPRODUCT(MAX(ROW(E$1:E3879)*(E3880=E$1:E3879)))))</f>
        <v> </v>
      </c>
      <c r="L3880" s="27"/>
    </row>
    <row r="3881" spans="1:12">
      <c r="A3881" s="20" t="s">
        <v>666</v>
      </c>
      <c r="B3881" s="21" t="s">
        <v>673</v>
      </c>
      <c r="C3881" s="21" t="s">
        <v>654</v>
      </c>
      <c r="D3881" s="21" t="s">
        <v>655</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t="s">
        <v>688</v>
      </c>
      <c r="E3882" s="22">
        <f>IF(D3882="?OLD","!!!","")</f>
        <v/>
      </c>
      <c r="F3882" s="23" t="str">
        <f>IF(OR(E3882="",E3882="!!!"),"",IF(NOT(ISNA(VLOOKUP(E3882,E$1:E3881,1,FALSE()))),"OLD",IF(AND(E3882&lt;&gt;"",E3882&lt;&gt;"!!!"),"NEW","")))</f>
        <v> </v>
      </c>
      <c r="G3882" s="24" t="str">
        <f>IF(OR(E3882="",E3882="!!!"),"",IF(OR(J3882=0,AND(J3882=1,K3882=1),AND(J3882=1,I3882="SBJ"),AND(J3882=1,I3882=0)),"?IN_FOCUS",IF(J3882&lt;=2,"?ACTIVATED",IF(J3882&lt;&gt;"","?FAMILIAR",IF(F3882="NEW",IF(ISNA(VLOOKUP(E3882,#REF!,1,FALSE())),"?TYPE_IDENTIFIABLE","?REFERENTIAL"),"_")))))</f>
        <v> </v>
      </c>
      <c r="H3882" s="25" t="str">
        <f>IF(J3882&lt;&gt;1,"",IF(I3882="SBJ","CB","?"))</f>
        <v> </v>
      </c>
      <c r="I3882" s="26" t="str">
        <f>IF(OR(E3882="",E3882="!!!",F3882="NEW"),"",INDEX(B3881:B$2,-1+SUMPRODUCT(MAX(ROW(E3881:E$2)*(E3882=E3881:E$2)))))</f>
        <v> </v>
      </c>
      <c r="J3882" s="26" t="str">
        <f>IF(OR(E3882="",E3882="!!!",F3882="NEW"),"",COUNTBLANK(OFFSET(A$1,,,SUMPRODUCT(MAX(ROW(E$2:E3882)*(E3882=E$2:E3882)))))-COUNTBLANK(OFFSET(A$1,,,SUMPRODUCT(MAX(ROW(E$1:E3881)*(E2=E$1:E3881))))))</f>
        <v> </v>
      </c>
      <c r="K3882" s="26" t="str">
        <f>IF(OR(E3882="",E3882="!!!",F3882="NEW"),"",INDEX(J$1:J3881,SUMPRODUCT(MAX(ROW(E$1:E3881)*(E3882=E$1:E3881)))))</f>
        <v> </v>
      </c>
      <c r="L3882" s="27"/>
    </row>
    <row r="3883" spans="1:12">
      <c r="A3883" s="20"/>
    </row>
    <row r="3884" spans="1:12">
      <c r="A3884" s="20" t="s">
        <v>1899</v>
      </c>
    </row>
    <row r="3885" spans="1:12">
      <c r="A3885" s="20" t="s">
        <v>1900</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t="s">
        <v>637</v>
      </c>
      <c r="B3886" s="21" t="s">
        <v>692</v>
      </c>
      <c r="C3886" s="21" t="s">
        <v>853</v>
      </c>
      <c r="E3886" s="22">
        <f>IF(D3886="?OLD","!!!","")</f>
        <v/>
      </c>
      <c r="F3886" s="23" t="str">
        <f>IF(OR(E3886="",E3886="!!!"),"",IF(NOT(ISNA(VLOOKUP(E3886,E$1:E3885,1,FALSE()))),"OLD",IF(AND(E3886&lt;&gt;"",E3886&lt;&gt;"!!!"),"NEW","")))</f>
        <v> </v>
      </c>
      <c r="G3886" s="24" t="str">
        <f>IF(OR(E3886="",E3886="!!!"),"",IF(OR(J3886=0,AND(J3886=1,K3886=1),AND(J3886=1,I3886="SBJ"),AND(J3886=1,I3886=0)),"?IN_FOCUS",IF(J3886&lt;=2,"?ACTIVATED",IF(J3886&lt;&gt;"","?FAMILIAR",IF(F3886="NEW",IF(ISNA(VLOOKUP(E3886,#REF!,1,FALSE())),"?TYPE_IDENTIFIABLE","?REFERENTIAL"),"_")))))</f>
        <v> </v>
      </c>
      <c r="H3886" s="25" t="str">
        <f>IF(J3886&lt;&gt;1,"",IF(I3886="SBJ","CB","?"))</f>
        <v> </v>
      </c>
      <c r="I3886" s="26" t="str">
        <f>IF(OR(E3886="",E3886="!!!",F3886="NEW"),"",INDEX(B3885:B$2,-1+SUMPRODUCT(MAX(ROW(E3885:E$2)*(E3886=E3885:E$2)))))</f>
        <v> </v>
      </c>
      <c r="J3886" s="26" t="str">
        <f>IF(OR(E3886="",E3886="!!!",F3886="NEW"),"",COUNTBLANK(OFFSET(A$1,,,SUMPRODUCT(MAX(ROW(E$2:E3886)*(E3886=E$2:E3886)))))-COUNTBLANK(OFFSET(A$1,,,SUMPRODUCT(MAX(ROW(E$1:E3885)*(E2=E$1:E3885))))))</f>
        <v> </v>
      </c>
      <c r="K3886" s="26" t="str">
        <f>IF(OR(E3886="",E3886="!!!",F3886="NEW"),"",INDEX(J$1:J3885,SUMPRODUCT(MAX(ROW(E$1:E3885)*(E3886=E$1:E3885)))))</f>
        <v> </v>
      </c>
      <c r="L3886" s="27"/>
    </row>
    <row r="3887" spans="1:12">
      <c r="A3887" s="20" t="s">
        <v>688</v>
      </c>
      <c r="E3887" s="22">
        <f>IF(D3887="?OLD","!!!","")</f>
        <v/>
      </c>
      <c r="F3887" s="23" t="str">
        <f>IF(OR(E3887="",E3887="!!!"),"",IF(NOT(ISNA(VLOOKUP(E3887,E$1:E3886,1,FALSE()))),"OLD",IF(AND(E3887&lt;&gt;"",E3887&lt;&gt;"!!!"),"NEW","")))</f>
        <v> </v>
      </c>
      <c r="G3887" s="24" t="str">
        <f>IF(OR(E3887="",E3887="!!!"),"",IF(OR(J3887=0,AND(J3887=1,K3887=1),AND(J3887=1,I3887="SBJ"),AND(J3887=1,I3887=0)),"?IN_FOCUS",IF(J3887&lt;=2,"?ACTIVATED",IF(J3887&lt;&gt;"","?FAMILIAR",IF(F3887="NEW",IF(ISNA(VLOOKUP(E3887,#REF!,1,FALSE())),"?TYPE_IDENTIFIABLE","?REFERENTIAL"),"_")))))</f>
        <v> </v>
      </c>
      <c r="H3887" s="25" t="str">
        <f>IF(J3887&lt;&gt;1,"",IF(I3887="SBJ","CB","?"))</f>
        <v> </v>
      </c>
      <c r="I3887" s="26" t="str">
        <f>IF(OR(E3887="",E3887="!!!",F3887="NEW"),"",INDEX(B3886:B$2,-1+SUMPRODUCT(MAX(ROW(E3886:E$2)*(E3887=E3886:E$2)))))</f>
        <v> </v>
      </c>
      <c r="J3887" s="26" t="str">
        <f>IF(OR(E3887="",E3887="!!!",F3887="NEW"),"",COUNTBLANK(OFFSET(A$1,,,SUMPRODUCT(MAX(ROW(E$2:E3887)*(E3887=E$2:E3887)))))-COUNTBLANK(OFFSET(A$1,,,SUMPRODUCT(MAX(ROW(E$1:E3886)*(E2=E$1:E3886))))))</f>
        <v> </v>
      </c>
      <c r="K3887" s="26" t="str">
        <f>IF(OR(E3887="",E3887="!!!",F3887="NEW"),"",INDEX(J$1:J3886,SUMPRODUCT(MAX(ROW(E$1:E3886)*(E3887=E$1:E3886)))))</f>
        <v> </v>
      </c>
      <c r="L3887" s="27"/>
    </row>
    <row r="3888" spans="1:12">
      <c r="A3888"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2024-12-05T17:55:18Z</dcterms:created>
  <dcterms:modified xsi:type="dcterms:W3CDTF">2024-12-05T17:55:18Z</dcterms:modified>
</cp:coreProperties>
</file>